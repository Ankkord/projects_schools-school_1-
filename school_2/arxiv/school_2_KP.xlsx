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nux\Documents\schools\school_2\"/>
    </mc:Choice>
  </mc:AlternateContent>
  <bookViews>
    <workbookView xWindow="0" yWindow="0" windowWidth="12540" windowHeight="6912" activeTab="2"/>
  </bookViews>
  <sheets>
    <sheet name="Изменения" sheetId="1" r:id="rId1"/>
    <sheet name="ТКП" sheetId="2" r:id="rId2"/>
    <sheet name="Лист1" sheetId="3" r:id="rId3"/>
  </sheets>
  <definedNames>
    <definedName name="_xlnm._FilterDatabase" localSheetId="0" hidden="1">Изменения!$A$7:$U$7</definedName>
    <definedName name="_xlnm._FilterDatabase" localSheetId="1" hidden="1">ТКП!$A$7:$U$7</definedName>
  </definedNames>
  <calcPr calcId="152511"/>
</workbook>
</file>

<file path=xl/calcChain.xml><?xml version="1.0" encoding="utf-8"?>
<calcChain xmlns="http://schemas.openxmlformats.org/spreadsheetml/2006/main">
  <c r="E240" i="3" l="1"/>
  <c r="E245" i="3"/>
  <c r="W795" i="3" l="1"/>
  <c r="T795" i="3"/>
  <c r="Z795" i="3" s="1"/>
  <c r="R795" i="3"/>
  <c r="X795" i="3" s="1"/>
  <c r="N795" i="3"/>
  <c r="O795" i="3" s="1"/>
  <c r="O794" i="3" s="1"/>
  <c r="O793" i="3" s="1"/>
  <c r="O792" i="3" s="1"/>
  <c r="L795" i="3"/>
  <c r="Y794" i="3"/>
  <c r="Y793" i="3" s="1"/>
  <c r="Y792" i="3" s="1"/>
  <c r="S794" i="3"/>
  <c r="S793" i="3" s="1"/>
  <c r="S792" i="3" s="1"/>
  <c r="M794" i="3"/>
  <c r="M793" i="3" s="1"/>
  <c r="M792" i="3" s="1"/>
  <c r="V791" i="3"/>
  <c r="S791" i="3"/>
  <c r="Y791" i="3" s="1"/>
  <c r="M791" i="3"/>
  <c r="V790" i="3"/>
  <c r="S790" i="3"/>
  <c r="Y790" i="3" s="1"/>
  <c r="M790" i="3"/>
  <c r="V789" i="3"/>
  <c r="S789" i="3"/>
  <c r="Y789" i="3" s="1"/>
  <c r="M789" i="3"/>
  <c r="V788" i="3"/>
  <c r="S788" i="3"/>
  <c r="Y788" i="3" s="1"/>
  <c r="M788" i="3"/>
  <c r="V787" i="3"/>
  <c r="S787" i="3"/>
  <c r="Y787" i="3" s="1"/>
  <c r="M787" i="3"/>
  <c r="V786" i="3"/>
  <c r="S786" i="3"/>
  <c r="Y786" i="3" s="1"/>
  <c r="M786" i="3"/>
  <c r="V785" i="3"/>
  <c r="S785" i="3"/>
  <c r="Y785" i="3" s="1"/>
  <c r="M785" i="3"/>
  <c r="V784" i="3"/>
  <c r="S784" i="3"/>
  <c r="Y784" i="3" s="1"/>
  <c r="M784" i="3"/>
  <c r="V783" i="3"/>
  <c r="S783" i="3"/>
  <c r="Y783" i="3" s="1"/>
  <c r="M783" i="3"/>
  <c r="V782" i="3"/>
  <c r="S782" i="3"/>
  <c r="Y782" i="3" s="1"/>
  <c r="M782" i="3"/>
  <c r="V781" i="3"/>
  <c r="S781" i="3"/>
  <c r="Y781" i="3" s="1"/>
  <c r="M781" i="3"/>
  <c r="V780" i="3"/>
  <c r="S780" i="3"/>
  <c r="Y780" i="3" s="1"/>
  <c r="M780" i="3"/>
  <c r="V779" i="3"/>
  <c r="S779" i="3"/>
  <c r="Y779" i="3" s="1"/>
  <c r="M779" i="3"/>
  <c r="V778" i="3"/>
  <c r="S778" i="3"/>
  <c r="Y778" i="3" s="1"/>
  <c r="M778" i="3"/>
  <c r="V777" i="3"/>
  <c r="S777" i="3"/>
  <c r="Y777" i="3" s="1"/>
  <c r="M777" i="3"/>
  <c r="V776" i="3"/>
  <c r="S776" i="3"/>
  <c r="Y776" i="3" s="1"/>
  <c r="M776" i="3"/>
  <c r="V775" i="3"/>
  <c r="S775" i="3"/>
  <c r="M775" i="3"/>
  <c r="W774" i="3"/>
  <c r="T774" i="3"/>
  <c r="Z774" i="3" s="1"/>
  <c r="N774" i="3"/>
  <c r="V773" i="3"/>
  <c r="S773" i="3"/>
  <c r="Y773" i="3" s="1"/>
  <c r="M773" i="3"/>
  <c r="V772" i="3"/>
  <c r="S772" i="3"/>
  <c r="Y772" i="3" s="1"/>
  <c r="M772" i="3"/>
  <c r="V771" i="3"/>
  <c r="S771" i="3"/>
  <c r="Y771" i="3" s="1"/>
  <c r="M771" i="3"/>
  <c r="V770" i="3"/>
  <c r="S770" i="3"/>
  <c r="Y770" i="3" s="1"/>
  <c r="M770" i="3"/>
  <c r="V769" i="3"/>
  <c r="S769" i="3"/>
  <c r="Y769" i="3" s="1"/>
  <c r="M769" i="3"/>
  <c r="V768" i="3"/>
  <c r="S768" i="3"/>
  <c r="Y768" i="3" s="1"/>
  <c r="M768" i="3"/>
  <c r="V767" i="3"/>
  <c r="S767" i="3"/>
  <c r="Y767" i="3" s="1"/>
  <c r="M767" i="3"/>
  <c r="V766" i="3"/>
  <c r="S766" i="3"/>
  <c r="Y766" i="3" s="1"/>
  <c r="M766" i="3"/>
  <c r="V765" i="3"/>
  <c r="S765" i="3"/>
  <c r="Y765" i="3" s="1"/>
  <c r="M765" i="3"/>
  <c r="V764" i="3"/>
  <c r="S764" i="3"/>
  <c r="Y764" i="3" s="1"/>
  <c r="M764" i="3"/>
  <c r="V763" i="3"/>
  <c r="S763" i="3"/>
  <c r="Y763" i="3" s="1"/>
  <c r="M763" i="3"/>
  <c r="V762" i="3"/>
  <c r="S762" i="3"/>
  <c r="Y762" i="3" s="1"/>
  <c r="M762" i="3"/>
  <c r="V761" i="3"/>
  <c r="S761" i="3"/>
  <c r="Y761" i="3" s="1"/>
  <c r="M761" i="3"/>
  <c r="V760" i="3"/>
  <c r="S760" i="3"/>
  <c r="Y760" i="3" s="1"/>
  <c r="M760" i="3"/>
  <c r="V759" i="3"/>
  <c r="S759" i="3"/>
  <c r="Y759" i="3" s="1"/>
  <c r="M759" i="3"/>
  <c r="V758" i="3"/>
  <c r="S758" i="3"/>
  <c r="Y758" i="3" s="1"/>
  <c r="M758" i="3"/>
  <c r="V757" i="3"/>
  <c r="S757" i="3"/>
  <c r="Y757" i="3" s="1"/>
  <c r="M757" i="3"/>
  <c r="V756" i="3"/>
  <c r="S756" i="3"/>
  <c r="Y756" i="3" s="1"/>
  <c r="M756" i="3"/>
  <c r="V755" i="3"/>
  <c r="S755" i="3"/>
  <c r="Y755" i="3" s="1"/>
  <c r="M755" i="3"/>
  <c r="V754" i="3"/>
  <c r="S754" i="3"/>
  <c r="M754" i="3"/>
  <c r="W753" i="3"/>
  <c r="T753" i="3"/>
  <c r="N753" i="3"/>
  <c r="N752" i="3" s="1"/>
  <c r="W751" i="3"/>
  <c r="T751" i="3"/>
  <c r="R751" i="3"/>
  <c r="X751" i="3" s="1"/>
  <c r="N751" i="3"/>
  <c r="O751" i="3" s="1"/>
  <c r="L751" i="3"/>
  <c r="V750" i="3"/>
  <c r="S750" i="3"/>
  <c r="Y750" i="3" s="1"/>
  <c r="M750" i="3"/>
  <c r="V749" i="3"/>
  <c r="S749" i="3"/>
  <c r="Y749" i="3" s="1"/>
  <c r="M749" i="3"/>
  <c r="V748" i="3"/>
  <c r="S748" i="3"/>
  <c r="Y748" i="3" s="1"/>
  <c r="M748" i="3"/>
  <c r="V747" i="3"/>
  <c r="S747" i="3"/>
  <c r="Y747" i="3" s="1"/>
  <c r="M747" i="3"/>
  <c r="V746" i="3"/>
  <c r="S746" i="3"/>
  <c r="Y746" i="3" s="1"/>
  <c r="M746" i="3"/>
  <c r="V745" i="3"/>
  <c r="S745" i="3"/>
  <c r="Y745" i="3" s="1"/>
  <c r="M745" i="3"/>
  <c r="V744" i="3"/>
  <c r="S744" i="3"/>
  <c r="Y744" i="3" s="1"/>
  <c r="M744" i="3"/>
  <c r="V743" i="3"/>
  <c r="S743" i="3"/>
  <c r="Y743" i="3" s="1"/>
  <c r="M743" i="3"/>
  <c r="V742" i="3"/>
  <c r="S742" i="3"/>
  <c r="Y742" i="3" s="1"/>
  <c r="M742" i="3"/>
  <c r="V741" i="3"/>
  <c r="S741" i="3"/>
  <c r="Y741" i="3" s="1"/>
  <c r="M741" i="3"/>
  <c r="V740" i="3"/>
  <c r="S740" i="3"/>
  <c r="Y740" i="3" s="1"/>
  <c r="M740" i="3"/>
  <c r="W739" i="3"/>
  <c r="T739" i="3"/>
  <c r="Z739" i="3" s="1"/>
  <c r="N739" i="3"/>
  <c r="V738" i="3"/>
  <c r="S738" i="3"/>
  <c r="Y738" i="3" s="1"/>
  <c r="M738" i="3"/>
  <c r="V737" i="3"/>
  <c r="S737" i="3"/>
  <c r="Y737" i="3" s="1"/>
  <c r="M737" i="3"/>
  <c r="V736" i="3"/>
  <c r="S736" i="3"/>
  <c r="Y736" i="3" s="1"/>
  <c r="M736" i="3"/>
  <c r="V735" i="3"/>
  <c r="S735" i="3"/>
  <c r="Y735" i="3" s="1"/>
  <c r="M735" i="3"/>
  <c r="V734" i="3"/>
  <c r="S734" i="3"/>
  <c r="Y734" i="3" s="1"/>
  <c r="M734" i="3"/>
  <c r="V733" i="3"/>
  <c r="S733" i="3"/>
  <c r="Y733" i="3" s="1"/>
  <c r="M733" i="3"/>
  <c r="V732" i="3"/>
  <c r="S732" i="3"/>
  <c r="Y732" i="3" s="1"/>
  <c r="M732" i="3"/>
  <c r="V731" i="3"/>
  <c r="S731" i="3"/>
  <c r="Y731" i="3" s="1"/>
  <c r="M731" i="3"/>
  <c r="V730" i="3"/>
  <c r="S730" i="3"/>
  <c r="Y730" i="3" s="1"/>
  <c r="M730" i="3"/>
  <c r="V729" i="3"/>
  <c r="S729" i="3"/>
  <c r="Y729" i="3" s="1"/>
  <c r="M729" i="3"/>
  <c r="V728" i="3"/>
  <c r="S728" i="3"/>
  <c r="M728" i="3"/>
  <c r="W727" i="3"/>
  <c r="T727" i="3"/>
  <c r="Z727" i="3" s="1"/>
  <c r="N727" i="3"/>
  <c r="V726" i="3"/>
  <c r="S726" i="3"/>
  <c r="Y726" i="3" s="1"/>
  <c r="M726" i="3"/>
  <c r="V725" i="3"/>
  <c r="S725" i="3"/>
  <c r="Y725" i="3" s="1"/>
  <c r="M725" i="3"/>
  <c r="V724" i="3"/>
  <c r="S724" i="3"/>
  <c r="Y724" i="3" s="1"/>
  <c r="M724" i="3"/>
  <c r="V723" i="3"/>
  <c r="S723" i="3"/>
  <c r="Y723" i="3" s="1"/>
  <c r="M723" i="3"/>
  <c r="V722" i="3"/>
  <c r="S722" i="3"/>
  <c r="Y722" i="3" s="1"/>
  <c r="M722" i="3"/>
  <c r="V721" i="3"/>
  <c r="S721" i="3"/>
  <c r="Y721" i="3" s="1"/>
  <c r="M721" i="3"/>
  <c r="V720" i="3"/>
  <c r="S720" i="3"/>
  <c r="Y720" i="3" s="1"/>
  <c r="M720" i="3"/>
  <c r="V719" i="3"/>
  <c r="S719" i="3"/>
  <c r="Y719" i="3" s="1"/>
  <c r="M719" i="3"/>
  <c r="V718" i="3"/>
  <c r="S718" i="3"/>
  <c r="Y718" i="3" s="1"/>
  <c r="M718" i="3"/>
  <c r="V717" i="3"/>
  <c r="S717" i="3"/>
  <c r="Y717" i="3" s="1"/>
  <c r="M717" i="3"/>
  <c r="V716" i="3"/>
  <c r="S716" i="3"/>
  <c r="Y716" i="3" s="1"/>
  <c r="M716" i="3"/>
  <c r="V715" i="3"/>
  <c r="S715" i="3"/>
  <c r="M715" i="3"/>
  <c r="W714" i="3"/>
  <c r="T714" i="3"/>
  <c r="Z714" i="3" s="1"/>
  <c r="N714" i="3"/>
  <c r="V713" i="3"/>
  <c r="S713" i="3"/>
  <c r="Y713" i="3" s="1"/>
  <c r="M713" i="3"/>
  <c r="V712" i="3"/>
  <c r="S712" i="3"/>
  <c r="Y712" i="3" s="1"/>
  <c r="M712" i="3"/>
  <c r="V711" i="3"/>
  <c r="S711" i="3"/>
  <c r="Y711" i="3" s="1"/>
  <c r="M711" i="3"/>
  <c r="V710" i="3"/>
  <c r="S710" i="3"/>
  <c r="Y710" i="3" s="1"/>
  <c r="M710" i="3"/>
  <c r="V709" i="3"/>
  <c r="S709" i="3"/>
  <c r="Y709" i="3" s="1"/>
  <c r="M709" i="3"/>
  <c r="V708" i="3"/>
  <c r="S708" i="3"/>
  <c r="Y708" i="3" s="1"/>
  <c r="M708" i="3"/>
  <c r="V707" i="3"/>
  <c r="S707" i="3"/>
  <c r="Y707" i="3" s="1"/>
  <c r="M707" i="3"/>
  <c r="V706" i="3"/>
  <c r="S706" i="3"/>
  <c r="Y706" i="3" s="1"/>
  <c r="M706" i="3"/>
  <c r="V705" i="3"/>
  <c r="S705" i="3"/>
  <c r="Y705" i="3" s="1"/>
  <c r="M705" i="3"/>
  <c r="V704" i="3"/>
  <c r="S704" i="3"/>
  <c r="Y704" i="3" s="1"/>
  <c r="M704" i="3"/>
  <c r="V703" i="3"/>
  <c r="S703" i="3"/>
  <c r="Y703" i="3" s="1"/>
  <c r="M703" i="3"/>
  <c r="V702" i="3"/>
  <c r="S702" i="3"/>
  <c r="M702" i="3"/>
  <c r="V701" i="3"/>
  <c r="S701" i="3"/>
  <c r="Y701" i="3" s="1"/>
  <c r="M701" i="3"/>
  <c r="W700" i="3"/>
  <c r="T700" i="3"/>
  <c r="Z700" i="3" s="1"/>
  <c r="N700" i="3"/>
  <c r="V699" i="3"/>
  <c r="S699" i="3"/>
  <c r="P698" i="3" s="1"/>
  <c r="M699" i="3"/>
  <c r="J698" i="3" s="1"/>
  <c r="W698" i="3"/>
  <c r="T698" i="3"/>
  <c r="Z698" i="3" s="1"/>
  <c r="N698" i="3"/>
  <c r="V697" i="3"/>
  <c r="S697" i="3"/>
  <c r="Y697" i="3" s="1"/>
  <c r="M697" i="3"/>
  <c r="J696" i="3" s="1"/>
  <c r="W696" i="3"/>
  <c r="T696" i="3"/>
  <c r="Z696" i="3" s="1"/>
  <c r="N696" i="3"/>
  <c r="V695" i="3"/>
  <c r="S695" i="3"/>
  <c r="M695" i="3"/>
  <c r="J694" i="3" s="1"/>
  <c r="W694" i="3"/>
  <c r="T694" i="3"/>
  <c r="Z694" i="3" s="1"/>
  <c r="N694" i="3"/>
  <c r="V693" i="3"/>
  <c r="S693" i="3"/>
  <c r="Y693" i="3" s="1"/>
  <c r="M693" i="3"/>
  <c r="J692" i="3" s="1"/>
  <c r="W692" i="3"/>
  <c r="T692" i="3"/>
  <c r="Z692" i="3" s="1"/>
  <c r="P692" i="3"/>
  <c r="S692" i="3" s="1"/>
  <c r="N692" i="3"/>
  <c r="V691" i="3"/>
  <c r="S691" i="3"/>
  <c r="P690" i="3" s="1"/>
  <c r="M691" i="3"/>
  <c r="J690" i="3" s="1"/>
  <c r="M690" i="3" s="1"/>
  <c r="W690" i="3"/>
  <c r="T690" i="3"/>
  <c r="Z690" i="3" s="1"/>
  <c r="N690" i="3"/>
  <c r="V689" i="3"/>
  <c r="S689" i="3"/>
  <c r="Y689" i="3" s="1"/>
  <c r="M689" i="3"/>
  <c r="J688" i="3" s="1"/>
  <c r="W688" i="3"/>
  <c r="T688" i="3"/>
  <c r="Z688" i="3" s="1"/>
  <c r="N688" i="3"/>
  <c r="V687" i="3"/>
  <c r="S687" i="3"/>
  <c r="P686" i="3" s="1"/>
  <c r="M687" i="3"/>
  <c r="J686" i="3" s="1"/>
  <c r="M686" i="3" s="1"/>
  <c r="O686" i="3" s="1"/>
  <c r="W686" i="3"/>
  <c r="T686" i="3"/>
  <c r="Z686" i="3" s="1"/>
  <c r="N686" i="3"/>
  <c r="V685" i="3"/>
  <c r="S685" i="3"/>
  <c r="Y685" i="3" s="1"/>
  <c r="M685" i="3"/>
  <c r="J684" i="3" s="1"/>
  <c r="W684" i="3"/>
  <c r="T684" i="3"/>
  <c r="Z684" i="3" s="1"/>
  <c r="N684" i="3"/>
  <c r="V683" i="3"/>
  <c r="S683" i="3"/>
  <c r="P682" i="3" s="1"/>
  <c r="M683" i="3"/>
  <c r="J682" i="3" s="1"/>
  <c r="W682" i="3"/>
  <c r="T682" i="3"/>
  <c r="Z682" i="3" s="1"/>
  <c r="N682" i="3"/>
  <c r="V681" i="3"/>
  <c r="S681" i="3"/>
  <c r="Y681" i="3" s="1"/>
  <c r="M681" i="3"/>
  <c r="J680" i="3" s="1"/>
  <c r="W680" i="3"/>
  <c r="T680" i="3"/>
  <c r="N680" i="3"/>
  <c r="V678" i="3"/>
  <c r="S678" i="3"/>
  <c r="Y678" i="3" s="1"/>
  <c r="M678" i="3"/>
  <c r="V677" i="3"/>
  <c r="S677" i="3"/>
  <c r="Y677" i="3" s="1"/>
  <c r="M677" i="3"/>
  <c r="W676" i="3"/>
  <c r="T676" i="3"/>
  <c r="Z676" i="3" s="1"/>
  <c r="N676" i="3"/>
  <c r="V675" i="3"/>
  <c r="S675" i="3"/>
  <c r="Y675" i="3" s="1"/>
  <c r="M675" i="3"/>
  <c r="V674" i="3"/>
  <c r="S674" i="3"/>
  <c r="Y674" i="3" s="1"/>
  <c r="M674" i="3"/>
  <c r="W673" i="3"/>
  <c r="T673" i="3"/>
  <c r="Z673" i="3" s="1"/>
  <c r="N673" i="3"/>
  <c r="V672" i="3"/>
  <c r="S672" i="3"/>
  <c r="Y672" i="3" s="1"/>
  <c r="M672" i="3"/>
  <c r="V671" i="3"/>
  <c r="S671" i="3"/>
  <c r="M671" i="3"/>
  <c r="W670" i="3"/>
  <c r="T670" i="3"/>
  <c r="Z670" i="3" s="1"/>
  <c r="N670" i="3"/>
  <c r="V669" i="3"/>
  <c r="S669" i="3"/>
  <c r="Y669" i="3" s="1"/>
  <c r="M669" i="3"/>
  <c r="V668" i="3"/>
  <c r="S668" i="3"/>
  <c r="Y668" i="3" s="1"/>
  <c r="M668" i="3"/>
  <c r="W667" i="3"/>
  <c r="T667" i="3"/>
  <c r="Z667" i="3" s="1"/>
  <c r="N667" i="3"/>
  <c r="V666" i="3"/>
  <c r="S666" i="3"/>
  <c r="Y666" i="3" s="1"/>
  <c r="M666" i="3"/>
  <c r="V665" i="3"/>
  <c r="S665" i="3"/>
  <c r="Y665" i="3" s="1"/>
  <c r="M665" i="3"/>
  <c r="W664" i="3"/>
  <c r="T664" i="3"/>
  <c r="Z664" i="3" s="1"/>
  <c r="N664" i="3"/>
  <c r="V663" i="3"/>
  <c r="S663" i="3"/>
  <c r="Y663" i="3" s="1"/>
  <c r="M663" i="3"/>
  <c r="V662" i="3"/>
  <c r="S662" i="3"/>
  <c r="Y662" i="3" s="1"/>
  <c r="M662" i="3"/>
  <c r="W661" i="3"/>
  <c r="T661" i="3"/>
  <c r="Z661" i="3" s="1"/>
  <c r="N661" i="3"/>
  <c r="Y660" i="3"/>
  <c r="V660" i="3"/>
  <c r="S660" i="3"/>
  <c r="M660" i="3"/>
  <c r="V659" i="3"/>
  <c r="S659" i="3"/>
  <c r="Y659" i="3" s="1"/>
  <c r="M659" i="3"/>
  <c r="J658" i="3" s="1"/>
  <c r="L658" i="3" s="1"/>
  <c r="W658" i="3"/>
  <c r="T658" i="3"/>
  <c r="Z658" i="3" s="1"/>
  <c r="N658" i="3"/>
  <c r="V657" i="3"/>
  <c r="S657" i="3"/>
  <c r="M657" i="3"/>
  <c r="V656" i="3"/>
  <c r="S656" i="3"/>
  <c r="Y656" i="3" s="1"/>
  <c r="M656" i="3"/>
  <c r="W655" i="3"/>
  <c r="T655" i="3"/>
  <c r="Z655" i="3" s="1"/>
  <c r="N655" i="3"/>
  <c r="V654" i="3"/>
  <c r="S654" i="3"/>
  <c r="Y654" i="3" s="1"/>
  <c r="M654" i="3"/>
  <c r="V653" i="3"/>
  <c r="S653" i="3"/>
  <c r="Y653" i="3" s="1"/>
  <c r="M653" i="3"/>
  <c r="W652" i="3"/>
  <c r="T652" i="3"/>
  <c r="Z652" i="3" s="1"/>
  <c r="N652" i="3"/>
  <c r="V651" i="3"/>
  <c r="S651" i="3"/>
  <c r="Y651" i="3" s="1"/>
  <c r="M651" i="3"/>
  <c r="V650" i="3"/>
  <c r="S650" i="3"/>
  <c r="Y650" i="3" s="1"/>
  <c r="M650" i="3"/>
  <c r="W649" i="3"/>
  <c r="T649" i="3"/>
  <c r="Z649" i="3" s="1"/>
  <c r="N649" i="3"/>
  <c r="V648" i="3"/>
  <c r="S648" i="3"/>
  <c r="Y648" i="3" s="1"/>
  <c r="M648" i="3"/>
  <c r="V647" i="3"/>
  <c r="S647" i="3"/>
  <c r="Y647" i="3" s="1"/>
  <c r="M647" i="3"/>
  <c r="W646" i="3"/>
  <c r="T646" i="3"/>
  <c r="Z646" i="3" s="1"/>
  <c r="N646" i="3"/>
  <c r="V645" i="3"/>
  <c r="S645" i="3"/>
  <c r="M645" i="3"/>
  <c r="V644" i="3"/>
  <c r="S644" i="3"/>
  <c r="Y644" i="3" s="1"/>
  <c r="M644" i="3"/>
  <c r="J643" i="3" s="1"/>
  <c r="W643" i="3"/>
  <c r="T643" i="3"/>
  <c r="Z643" i="3" s="1"/>
  <c r="N643" i="3"/>
  <c r="V642" i="3"/>
  <c r="S642" i="3"/>
  <c r="Y642" i="3" s="1"/>
  <c r="M642" i="3"/>
  <c r="V641" i="3"/>
  <c r="S641" i="3"/>
  <c r="Y641" i="3" s="1"/>
  <c r="M641" i="3"/>
  <c r="J640" i="3" s="1"/>
  <c r="M640" i="3" s="1"/>
  <c r="W640" i="3"/>
  <c r="T640" i="3"/>
  <c r="Z640" i="3" s="1"/>
  <c r="N640" i="3"/>
  <c r="V639" i="3"/>
  <c r="S639" i="3"/>
  <c r="Y639" i="3" s="1"/>
  <c r="M639" i="3"/>
  <c r="V638" i="3"/>
  <c r="S638" i="3"/>
  <c r="M638" i="3"/>
  <c r="J637" i="3" s="1"/>
  <c r="L637" i="3" s="1"/>
  <c r="Z637" i="3"/>
  <c r="W637" i="3"/>
  <c r="T637" i="3"/>
  <c r="N637" i="3"/>
  <c r="V636" i="3"/>
  <c r="S636" i="3"/>
  <c r="Y636" i="3" s="1"/>
  <c r="M636" i="3"/>
  <c r="V635" i="3"/>
  <c r="S635" i="3"/>
  <c r="Y635" i="3" s="1"/>
  <c r="M635" i="3"/>
  <c r="W634" i="3"/>
  <c r="T634" i="3"/>
  <c r="Z634" i="3" s="1"/>
  <c r="N634" i="3"/>
  <c r="V633" i="3"/>
  <c r="S633" i="3"/>
  <c r="Y633" i="3" s="1"/>
  <c r="M633" i="3"/>
  <c r="V632" i="3"/>
  <c r="S632" i="3"/>
  <c r="Y632" i="3" s="1"/>
  <c r="M632" i="3"/>
  <c r="W631" i="3"/>
  <c r="T631" i="3"/>
  <c r="Z631" i="3" s="1"/>
  <c r="N631" i="3"/>
  <c r="V630" i="3"/>
  <c r="S630" i="3"/>
  <c r="M630" i="3"/>
  <c r="V629" i="3"/>
  <c r="S629" i="3"/>
  <c r="Y629" i="3" s="1"/>
  <c r="M629" i="3"/>
  <c r="W628" i="3"/>
  <c r="T628" i="3"/>
  <c r="Z628" i="3" s="1"/>
  <c r="N628" i="3"/>
  <c r="J628" i="3"/>
  <c r="L628" i="3" s="1"/>
  <c r="V627" i="3"/>
  <c r="S627" i="3"/>
  <c r="M627" i="3"/>
  <c r="V626" i="3"/>
  <c r="S626" i="3"/>
  <c r="Y626" i="3" s="1"/>
  <c r="M626" i="3"/>
  <c r="J625" i="3" s="1"/>
  <c r="W625" i="3"/>
  <c r="T625" i="3"/>
  <c r="Z625" i="3" s="1"/>
  <c r="N625" i="3"/>
  <c r="V624" i="3"/>
  <c r="S624" i="3"/>
  <c r="M624" i="3"/>
  <c r="V623" i="3"/>
  <c r="S623" i="3"/>
  <c r="Y623" i="3" s="1"/>
  <c r="M623" i="3"/>
  <c r="W622" i="3"/>
  <c r="T622" i="3"/>
  <c r="Z622" i="3" s="1"/>
  <c r="N622" i="3"/>
  <c r="V621" i="3"/>
  <c r="S621" i="3"/>
  <c r="M621" i="3"/>
  <c r="V620" i="3"/>
  <c r="S620" i="3"/>
  <c r="Y620" i="3" s="1"/>
  <c r="M620" i="3"/>
  <c r="W619" i="3"/>
  <c r="T619" i="3"/>
  <c r="Z619" i="3" s="1"/>
  <c r="N619" i="3"/>
  <c r="V618" i="3"/>
  <c r="S618" i="3"/>
  <c r="M618" i="3"/>
  <c r="V617" i="3"/>
  <c r="S617" i="3"/>
  <c r="Y617" i="3" s="1"/>
  <c r="M617" i="3"/>
  <c r="W616" i="3"/>
  <c r="T616" i="3"/>
  <c r="Z616" i="3" s="1"/>
  <c r="N616" i="3"/>
  <c r="V615" i="3"/>
  <c r="S615" i="3"/>
  <c r="M615" i="3"/>
  <c r="V614" i="3"/>
  <c r="S614" i="3"/>
  <c r="Y614" i="3" s="1"/>
  <c r="M614" i="3"/>
  <c r="W613" i="3"/>
  <c r="T613" i="3"/>
  <c r="Z613" i="3" s="1"/>
  <c r="N613" i="3"/>
  <c r="V612" i="3"/>
  <c r="S612" i="3"/>
  <c r="M612" i="3"/>
  <c r="V611" i="3"/>
  <c r="S611" i="3"/>
  <c r="Y611" i="3" s="1"/>
  <c r="M611" i="3"/>
  <c r="W610" i="3"/>
  <c r="T610" i="3"/>
  <c r="Z610" i="3" s="1"/>
  <c r="N610" i="3"/>
  <c r="V609" i="3"/>
  <c r="S609" i="3"/>
  <c r="Y609" i="3" s="1"/>
  <c r="M609" i="3"/>
  <c r="V608" i="3"/>
  <c r="S608" i="3"/>
  <c r="Y608" i="3" s="1"/>
  <c r="M608" i="3"/>
  <c r="W607" i="3"/>
  <c r="T607" i="3"/>
  <c r="Z607" i="3" s="1"/>
  <c r="N607" i="3"/>
  <c r="V606" i="3"/>
  <c r="S606" i="3"/>
  <c r="Y606" i="3" s="1"/>
  <c r="M606" i="3"/>
  <c r="V605" i="3"/>
  <c r="S605" i="3"/>
  <c r="M605" i="3"/>
  <c r="W604" i="3"/>
  <c r="T604" i="3"/>
  <c r="Z604" i="3" s="1"/>
  <c r="N604" i="3"/>
  <c r="V603" i="3"/>
  <c r="S603" i="3"/>
  <c r="Y603" i="3" s="1"/>
  <c r="M603" i="3"/>
  <c r="V602" i="3"/>
  <c r="S602" i="3"/>
  <c r="Y602" i="3" s="1"/>
  <c r="M602" i="3"/>
  <c r="W601" i="3"/>
  <c r="T601" i="3"/>
  <c r="Z601" i="3" s="1"/>
  <c r="N601" i="3"/>
  <c r="V600" i="3"/>
  <c r="S600" i="3"/>
  <c r="Y600" i="3" s="1"/>
  <c r="M600" i="3"/>
  <c r="V599" i="3"/>
  <c r="S599" i="3"/>
  <c r="M599" i="3"/>
  <c r="W598" i="3"/>
  <c r="T598" i="3"/>
  <c r="Z598" i="3" s="1"/>
  <c r="N598" i="3"/>
  <c r="V597" i="3"/>
  <c r="S597" i="3"/>
  <c r="M597" i="3"/>
  <c r="V596" i="3"/>
  <c r="S596" i="3"/>
  <c r="Y596" i="3" s="1"/>
  <c r="M596" i="3"/>
  <c r="W595" i="3"/>
  <c r="T595" i="3"/>
  <c r="Z595" i="3" s="1"/>
  <c r="N595" i="3"/>
  <c r="V594" i="3"/>
  <c r="S594" i="3"/>
  <c r="M594" i="3"/>
  <c r="V593" i="3"/>
  <c r="S593" i="3"/>
  <c r="Y593" i="3" s="1"/>
  <c r="M593" i="3"/>
  <c r="W592" i="3"/>
  <c r="T592" i="3"/>
  <c r="Z592" i="3" s="1"/>
  <c r="N592" i="3"/>
  <c r="V591" i="3"/>
  <c r="S591" i="3"/>
  <c r="Y591" i="3" s="1"/>
  <c r="M591" i="3"/>
  <c r="V590" i="3"/>
  <c r="S590" i="3"/>
  <c r="M590" i="3"/>
  <c r="W589" i="3"/>
  <c r="T589" i="3"/>
  <c r="Z589" i="3" s="1"/>
  <c r="N589" i="3"/>
  <c r="V588" i="3"/>
  <c r="S588" i="3"/>
  <c r="Y588" i="3" s="1"/>
  <c r="M588" i="3"/>
  <c r="V587" i="3"/>
  <c r="S587" i="3"/>
  <c r="M587" i="3"/>
  <c r="W586" i="3"/>
  <c r="T586" i="3"/>
  <c r="Z586" i="3" s="1"/>
  <c r="N586" i="3"/>
  <c r="V585" i="3"/>
  <c r="S585" i="3"/>
  <c r="Y585" i="3" s="1"/>
  <c r="M585" i="3"/>
  <c r="V584" i="3"/>
  <c r="S584" i="3"/>
  <c r="M584" i="3"/>
  <c r="J583" i="3" s="1"/>
  <c r="W583" i="3"/>
  <c r="T583" i="3"/>
  <c r="Z583" i="3" s="1"/>
  <c r="N583" i="3"/>
  <c r="V582" i="3"/>
  <c r="S582" i="3"/>
  <c r="Y582" i="3" s="1"/>
  <c r="M582" i="3"/>
  <c r="V581" i="3"/>
  <c r="S581" i="3"/>
  <c r="M581" i="3"/>
  <c r="Z580" i="3"/>
  <c r="W580" i="3"/>
  <c r="T580" i="3"/>
  <c r="N580" i="3"/>
  <c r="V579" i="3"/>
  <c r="S579" i="3"/>
  <c r="Y579" i="3" s="1"/>
  <c r="M579" i="3"/>
  <c r="V578" i="3"/>
  <c r="S578" i="3"/>
  <c r="M578" i="3"/>
  <c r="W577" i="3"/>
  <c r="T577" i="3"/>
  <c r="Z577" i="3" s="1"/>
  <c r="N577" i="3"/>
  <c r="V576" i="3"/>
  <c r="S576" i="3"/>
  <c r="Y576" i="3" s="1"/>
  <c r="M576" i="3"/>
  <c r="V575" i="3"/>
  <c r="S575" i="3"/>
  <c r="M575" i="3"/>
  <c r="W574" i="3"/>
  <c r="T574" i="3"/>
  <c r="Z574" i="3" s="1"/>
  <c r="N574" i="3"/>
  <c r="V573" i="3"/>
  <c r="S573" i="3"/>
  <c r="Y573" i="3" s="1"/>
  <c r="M573" i="3"/>
  <c r="V572" i="3"/>
  <c r="S572" i="3"/>
  <c r="M572" i="3"/>
  <c r="W571" i="3"/>
  <c r="T571" i="3"/>
  <c r="Z571" i="3" s="1"/>
  <c r="N571" i="3"/>
  <c r="V570" i="3"/>
  <c r="S570" i="3"/>
  <c r="Y570" i="3" s="1"/>
  <c r="M570" i="3"/>
  <c r="V569" i="3"/>
  <c r="S569" i="3"/>
  <c r="M569" i="3"/>
  <c r="W568" i="3"/>
  <c r="T568" i="3"/>
  <c r="Z568" i="3" s="1"/>
  <c r="N568" i="3"/>
  <c r="V567" i="3"/>
  <c r="S567" i="3"/>
  <c r="Y567" i="3" s="1"/>
  <c r="M567" i="3"/>
  <c r="V566" i="3"/>
  <c r="S566" i="3"/>
  <c r="M566" i="3"/>
  <c r="J565" i="3" s="1"/>
  <c r="M565" i="3" s="1"/>
  <c r="O565" i="3" s="1"/>
  <c r="W565" i="3"/>
  <c r="T565" i="3"/>
  <c r="Z565" i="3" s="1"/>
  <c r="N565" i="3"/>
  <c r="V564" i="3"/>
  <c r="S564" i="3"/>
  <c r="Y564" i="3" s="1"/>
  <c r="M564" i="3"/>
  <c r="V563" i="3"/>
  <c r="S563" i="3"/>
  <c r="M563" i="3"/>
  <c r="W562" i="3"/>
  <c r="T562" i="3"/>
  <c r="Z562" i="3" s="1"/>
  <c r="N562" i="3"/>
  <c r="V561" i="3"/>
  <c r="S561" i="3"/>
  <c r="Y561" i="3" s="1"/>
  <c r="M561" i="3"/>
  <c r="V560" i="3"/>
  <c r="S560" i="3"/>
  <c r="M560" i="3"/>
  <c r="W559" i="3"/>
  <c r="T559" i="3"/>
  <c r="Z559" i="3" s="1"/>
  <c r="N559" i="3"/>
  <c r="V558" i="3"/>
  <c r="S558" i="3"/>
  <c r="Y558" i="3" s="1"/>
  <c r="M558" i="3"/>
  <c r="V557" i="3"/>
  <c r="S557" i="3"/>
  <c r="M557" i="3"/>
  <c r="W556" i="3"/>
  <c r="T556" i="3"/>
  <c r="Z556" i="3" s="1"/>
  <c r="N556" i="3"/>
  <c r="V555" i="3"/>
  <c r="S555" i="3"/>
  <c r="Y555" i="3" s="1"/>
  <c r="M555" i="3"/>
  <c r="V554" i="3"/>
  <c r="S554" i="3"/>
  <c r="M554" i="3"/>
  <c r="W553" i="3"/>
  <c r="T553" i="3"/>
  <c r="Z553" i="3" s="1"/>
  <c r="N553" i="3"/>
  <c r="V552" i="3"/>
  <c r="S552" i="3"/>
  <c r="Y552" i="3" s="1"/>
  <c r="M552" i="3"/>
  <c r="V551" i="3"/>
  <c r="S551" i="3"/>
  <c r="M551" i="3"/>
  <c r="W550" i="3"/>
  <c r="T550" i="3"/>
  <c r="Z550" i="3" s="1"/>
  <c r="N550" i="3"/>
  <c r="V549" i="3"/>
  <c r="S549" i="3"/>
  <c r="Y549" i="3" s="1"/>
  <c r="M549" i="3"/>
  <c r="V548" i="3"/>
  <c r="S548" i="3"/>
  <c r="M548" i="3"/>
  <c r="W547" i="3"/>
  <c r="T547" i="3"/>
  <c r="Z547" i="3" s="1"/>
  <c r="N547" i="3"/>
  <c r="V546" i="3"/>
  <c r="S546" i="3"/>
  <c r="Y546" i="3" s="1"/>
  <c r="M546" i="3"/>
  <c r="V545" i="3"/>
  <c r="S545" i="3"/>
  <c r="M545" i="3"/>
  <c r="W544" i="3"/>
  <c r="T544" i="3"/>
  <c r="Z544" i="3" s="1"/>
  <c r="N544" i="3"/>
  <c r="V543" i="3"/>
  <c r="S543" i="3"/>
  <c r="Y543" i="3" s="1"/>
  <c r="M543" i="3"/>
  <c r="V542" i="3"/>
  <c r="S542" i="3"/>
  <c r="M542" i="3"/>
  <c r="W541" i="3"/>
  <c r="T541" i="3"/>
  <c r="Z541" i="3" s="1"/>
  <c r="N541" i="3"/>
  <c r="V540" i="3"/>
  <c r="S540" i="3"/>
  <c r="Y540" i="3" s="1"/>
  <c r="M540" i="3"/>
  <c r="J538" i="3" s="1"/>
  <c r="M538" i="3" s="1"/>
  <c r="V539" i="3"/>
  <c r="S539" i="3"/>
  <c r="M539" i="3"/>
  <c r="W538" i="3"/>
  <c r="T538" i="3"/>
  <c r="N538" i="3"/>
  <c r="V536" i="3"/>
  <c r="S536" i="3"/>
  <c r="Y536" i="3" s="1"/>
  <c r="M536" i="3"/>
  <c r="V535" i="3"/>
  <c r="S535" i="3"/>
  <c r="M535" i="3"/>
  <c r="W534" i="3"/>
  <c r="T534" i="3"/>
  <c r="Z534" i="3" s="1"/>
  <c r="N534" i="3"/>
  <c r="V533" i="3"/>
  <c r="S533" i="3"/>
  <c r="Y533" i="3" s="1"/>
  <c r="M533" i="3"/>
  <c r="V532" i="3"/>
  <c r="S532" i="3"/>
  <c r="M532" i="3"/>
  <c r="W531" i="3"/>
  <c r="T531" i="3"/>
  <c r="Z531" i="3" s="1"/>
  <c r="N531" i="3"/>
  <c r="V530" i="3"/>
  <c r="S530" i="3"/>
  <c r="Y530" i="3" s="1"/>
  <c r="M530" i="3"/>
  <c r="V529" i="3"/>
  <c r="S529" i="3"/>
  <c r="M529" i="3"/>
  <c r="W528" i="3"/>
  <c r="T528" i="3"/>
  <c r="Z528" i="3" s="1"/>
  <c r="N528" i="3"/>
  <c r="V527" i="3"/>
  <c r="S527" i="3"/>
  <c r="Y527" i="3" s="1"/>
  <c r="M527" i="3"/>
  <c r="V526" i="3"/>
  <c r="S526" i="3"/>
  <c r="M526" i="3"/>
  <c r="W525" i="3"/>
  <c r="T525" i="3"/>
  <c r="Z525" i="3" s="1"/>
  <c r="N525" i="3"/>
  <c r="V524" i="3"/>
  <c r="S524" i="3"/>
  <c r="Y524" i="3" s="1"/>
  <c r="M524" i="3"/>
  <c r="V523" i="3"/>
  <c r="S523" i="3"/>
  <c r="M523" i="3"/>
  <c r="W522" i="3"/>
  <c r="T522" i="3"/>
  <c r="N522" i="3"/>
  <c r="V519" i="3"/>
  <c r="S519" i="3"/>
  <c r="P518" i="3" s="1"/>
  <c r="M519" i="3"/>
  <c r="J518" i="3" s="1"/>
  <c r="W518" i="3"/>
  <c r="T518" i="3"/>
  <c r="Z518" i="3" s="1"/>
  <c r="N518" i="3"/>
  <c r="V517" i="3"/>
  <c r="S517" i="3"/>
  <c r="P516" i="3" s="1"/>
  <c r="V516" i="3" s="1"/>
  <c r="M517" i="3"/>
  <c r="J516" i="3" s="1"/>
  <c r="W516" i="3"/>
  <c r="T516" i="3"/>
  <c r="Z516" i="3" s="1"/>
  <c r="N516" i="3"/>
  <c r="V514" i="3"/>
  <c r="S514" i="3"/>
  <c r="Y514" i="3" s="1"/>
  <c r="M514" i="3"/>
  <c r="V513" i="3"/>
  <c r="S513" i="3"/>
  <c r="Y513" i="3" s="1"/>
  <c r="M513" i="3"/>
  <c r="V512" i="3"/>
  <c r="S512" i="3"/>
  <c r="Y512" i="3" s="1"/>
  <c r="M512" i="3"/>
  <c r="V511" i="3"/>
  <c r="S511" i="3"/>
  <c r="Y511" i="3" s="1"/>
  <c r="M511" i="3"/>
  <c r="W510" i="3"/>
  <c r="T510" i="3"/>
  <c r="Z510" i="3" s="1"/>
  <c r="N510" i="3"/>
  <c r="V509" i="3"/>
  <c r="S509" i="3"/>
  <c r="Y509" i="3" s="1"/>
  <c r="M509" i="3"/>
  <c r="V508" i="3"/>
  <c r="S508" i="3"/>
  <c r="Y508" i="3" s="1"/>
  <c r="M508" i="3"/>
  <c r="V507" i="3"/>
  <c r="S507" i="3"/>
  <c r="M507" i="3"/>
  <c r="W506" i="3"/>
  <c r="T506" i="3"/>
  <c r="Z506" i="3" s="1"/>
  <c r="N506" i="3"/>
  <c r="V505" i="3"/>
  <c r="S505" i="3"/>
  <c r="Y505" i="3" s="1"/>
  <c r="M505" i="3"/>
  <c r="V504" i="3"/>
  <c r="S504" i="3"/>
  <c r="Y504" i="3" s="1"/>
  <c r="M504" i="3"/>
  <c r="V503" i="3"/>
  <c r="S503" i="3"/>
  <c r="Y503" i="3" s="1"/>
  <c r="M503" i="3"/>
  <c r="V502" i="3"/>
  <c r="S502" i="3"/>
  <c r="M502" i="3"/>
  <c r="W501" i="3"/>
  <c r="T501" i="3"/>
  <c r="Z501" i="3" s="1"/>
  <c r="N501" i="3"/>
  <c r="V500" i="3"/>
  <c r="S500" i="3"/>
  <c r="Y500" i="3" s="1"/>
  <c r="M500" i="3"/>
  <c r="V499" i="3"/>
  <c r="S499" i="3"/>
  <c r="Y499" i="3" s="1"/>
  <c r="M499" i="3"/>
  <c r="V498" i="3"/>
  <c r="S498" i="3"/>
  <c r="Y498" i="3" s="1"/>
  <c r="M498" i="3"/>
  <c r="V497" i="3"/>
  <c r="S497" i="3"/>
  <c r="M497" i="3"/>
  <c r="W496" i="3"/>
  <c r="T496" i="3"/>
  <c r="Z496" i="3" s="1"/>
  <c r="N496" i="3"/>
  <c r="V495" i="3"/>
  <c r="S495" i="3"/>
  <c r="Y495" i="3" s="1"/>
  <c r="M495" i="3"/>
  <c r="V494" i="3"/>
  <c r="S494" i="3"/>
  <c r="Y494" i="3" s="1"/>
  <c r="M494" i="3"/>
  <c r="V493" i="3"/>
  <c r="S493" i="3"/>
  <c r="M493" i="3"/>
  <c r="V492" i="3"/>
  <c r="S492" i="3"/>
  <c r="Y492" i="3" s="1"/>
  <c r="M492" i="3"/>
  <c r="W491" i="3"/>
  <c r="T491" i="3"/>
  <c r="Z491" i="3" s="1"/>
  <c r="N491" i="3"/>
  <c r="V490" i="3"/>
  <c r="S490" i="3"/>
  <c r="Y490" i="3" s="1"/>
  <c r="M490" i="3"/>
  <c r="V489" i="3"/>
  <c r="S489" i="3"/>
  <c r="M489" i="3"/>
  <c r="V488" i="3"/>
  <c r="S488" i="3"/>
  <c r="Y488" i="3" s="1"/>
  <c r="M488" i="3"/>
  <c r="W487" i="3"/>
  <c r="T487" i="3"/>
  <c r="Z487" i="3" s="1"/>
  <c r="N487" i="3"/>
  <c r="V486" i="3"/>
  <c r="S486" i="3"/>
  <c r="Y486" i="3" s="1"/>
  <c r="M486" i="3"/>
  <c r="V485" i="3"/>
  <c r="S485" i="3"/>
  <c r="M485" i="3"/>
  <c r="V484" i="3"/>
  <c r="S484" i="3"/>
  <c r="Y484" i="3" s="1"/>
  <c r="M484" i="3"/>
  <c r="W483" i="3"/>
  <c r="T483" i="3"/>
  <c r="Z483" i="3" s="1"/>
  <c r="N483" i="3"/>
  <c r="V482" i="3"/>
  <c r="S482" i="3"/>
  <c r="Y482" i="3" s="1"/>
  <c r="M482" i="3"/>
  <c r="V481" i="3"/>
  <c r="S481" i="3"/>
  <c r="M481" i="3"/>
  <c r="V480" i="3"/>
  <c r="S480" i="3"/>
  <c r="Y480" i="3" s="1"/>
  <c r="M480" i="3"/>
  <c r="W479" i="3"/>
  <c r="T479" i="3"/>
  <c r="Z479" i="3" s="1"/>
  <c r="N479" i="3"/>
  <c r="V478" i="3"/>
  <c r="S478" i="3"/>
  <c r="Y478" i="3" s="1"/>
  <c r="M478" i="3"/>
  <c r="V477" i="3"/>
  <c r="S477" i="3"/>
  <c r="Y477" i="3" s="1"/>
  <c r="M477" i="3"/>
  <c r="V476" i="3"/>
  <c r="S476" i="3"/>
  <c r="Y476" i="3" s="1"/>
  <c r="M476" i="3"/>
  <c r="V475" i="3"/>
  <c r="S475" i="3"/>
  <c r="M475" i="3"/>
  <c r="W474" i="3"/>
  <c r="T474" i="3"/>
  <c r="Z474" i="3" s="1"/>
  <c r="N474" i="3"/>
  <c r="V473" i="3"/>
  <c r="S473" i="3"/>
  <c r="Y473" i="3" s="1"/>
  <c r="M473" i="3"/>
  <c r="V472" i="3"/>
  <c r="S472" i="3"/>
  <c r="Y472" i="3" s="1"/>
  <c r="M472" i="3"/>
  <c r="V471" i="3"/>
  <c r="S471" i="3"/>
  <c r="Y471" i="3" s="1"/>
  <c r="M471" i="3"/>
  <c r="V470" i="3"/>
  <c r="S470" i="3"/>
  <c r="M470" i="3"/>
  <c r="W469" i="3"/>
  <c r="T469" i="3"/>
  <c r="Z469" i="3" s="1"/>
  <c r="N469" i="3"/>
  <c r="V468" i="3"/>
  <c r="S468" i="3"/>
  <c r="Y468" i="3" s="1"/>
  <c r="M468" i="3"/>
  <c r="V467" i="3"/>
  <c r="S467" i="3"/>
  <c r="Y467" i="3" s="1"/>
  <c r="M467" i="3"/>
  <c r="W466" i="3"/>
  <c r="T466" i="3"/>
  <c r="Z466" i="3" s="1"/>
  <c r="N466" i="3"/>
  <c r="V465" i="3"/>
  <c r="S465" i="3"/>
  <c r="M465" i="3"/>
  <c r="V464" i="3"/>
  <c r="S464" i="3"/>
  <c r="Y464" i="3" s="1"/>
  <c r="M464" i="3"/>
  <c r="W463" i="3"/>
  <c r="T463" i="3"/>
  <c r="Z463" i="3" s="1"/>
  <c r="N463" i="3"/>
  <c r="V462" i="3"/>
  <c r="S462" i="3"/>
  <c r="Y462" i="3" s="1"/>
  <c r="M462" i="3"/>
  <c r="V461" i="3"/>
  <c r="S461" i="3"/>
  <c r="Y461" i="3" s="1"/>
  <c r="M461" i="3"/>
  <c r="W460" i="3"/>
  <c r="T460" i="3"/>
  <c r="N460" i="3"/>
  <c r="V459" i="3"/>
  <c r="S459" i="3"/>
  <c r="Y459" i="3" s="1"/>
  <c r="M459" i="3"/>
  <c r="V458" i="3"/>
  <c r="S458" i="3"/>
  <c r="Y458" i="3" s="1"/>
  <c r="M458" i="3"/>
  <c r="V457" i="3"/>
  <c r="S457" i="3"/>
  <c r="M457" i="3"/>
  <c r="W456" i="3"/>
  <c r="T456" i="3"/>
  <c r="Z456" i="3" s="1"/>
  <c r="N456" i="3"/>
  <c r="V455" i="3"/>
  <c r="S455" i="3"/>
  <c r="Y455" i="3" s="1"/>
  <c r="M455" i="3"/>
  <c r="V454" i="3"/>
  <c r="S454" i="3"/>
  <c r="Y454" i="3" s="1"/>
  <c r="M454" i="3"/>
  <c r="V453" i="3"/>
  <c r="S453" i="3"/>
  <c r="M453" i="3"/>
  <c r="W452" i="3"/>
  <c r="T452" i="3"/>
  <c r="Z452" i="3" s="1"/>
  <c r="N452" i="3"/>
  <c r="V451" i="3"/>
  <c r="S451" i="3"/>
  <c r="Y451" i="3" s="1"/>
  <c r="M451" i="3"/>
  <c r="V450" i="3"/>
  <c r="S450" i="3"/>
  <c r="Y450" i="3" s="1"/>
  <c r="M450" i="3"/>
  <c r="V449" i="3"/>
  <c r="S449" i="3"/>
  <c r="M449" i="3"/>
  <c r="W448" i="3"/>
  <c r="T448" i="3"/>
  <c r="Z448" i="3" s="1"/>
  <c r="N448" i="3"/>
  <c r="V447" i="3"/>
  <c r="S447" i="3"/>
  <c r="Y447" i="3" s="1"/>
  <c r="M447" i="3"/>
  <c r="V446" i="3"/>
  <c r="S446" i="3"/>
  <c r="M446" i="3"/>
  <c r="V445" i="3"/>
  <c r="S445" i="3"/>
  <c r="Y445" i="3" s="1"/>
  <c r="M445" i="3"/>
  <c r="W444" i="3"/>
  <c r="T444" i="3"/>
  <c r="Z444" i="3" s="1"/>
  <c r="N444" i="3"/>
  <c r="V442" i="3"/>
  <c r="S442" i="3"/>
  <c r="Y442" i="3" s="1"/>
  <c r="M442" i="3"/>
  <c r="V441" i="3"/>
  <c r="S441" i="3"/>
  <c r="Y441" i="3" s="1"/>
  <c r="M441" i="3"/>
  <c r="V440" i="3"/>
  <c r="S440" i="3"/>
  <c r="Y440" i="3" s="1"/>
  <c r="M440" i="3"/>
  <c r="V439" i="3"/>
  <c r="S439" i="3"/>
  <c r="Y439" i="3" s="1"/>
  <c r="M439" i="3"/>
  <c r="W438" i="3"/>
  <c r="T438" i="3"/>
  <c r="Z438" i="3" s="1"/>
  <c r="N438" i="3"/>
  <c r="V437" i="3"/>
  <c r="S437" i="3"/>
  <c r="Y437" i="3" s="1"/>
  <c r="M437" i="3"/>
  <c r="V436" i="3"/>
  <c r="S436" i="3"/>
  <c r="Y436" i="3" s="1"/>
  <c r="M436" i="3"/>
  <c r="V435" i="3"/>
  <c r="S435" i="3"/>
  <c r="Y435" i="3" s="1"/>
  <c r="M435" i="3"/>
  <c r="V434" i="3"/>
  <c r="S434" i="3"/>
  <c r="M434" i="3"/>
  <c r="W433" i="3"/>
  <c r="T433" i="3"/>
  <c r="Z433" i="3" s="1"/>
  <c r="N433" i="3"/>
  <c r="V432" i="3"/>
  <c r="S432" i="3"/>
  <c r="Y432" i="3" s="1"/>
  <c r="M432" i="3"/>
  <c r="V431" i="3"/>
  <c r="S431" i="3"/>
  <c r="Y431" i="3" s="1"/>
  <c r="M431" i="3"/>
  <c r="V430" i="3"/>
  <c r="S430" i="3"/>
  <c r="Y430" i="3" s="1"/>
  <c r="M430" i="3"/>
  <c r="V429" i="3"/>
  <c r="S429" i="3"/>
  <c r="Y429" i="3" s="1"/>
  <c r="M429" i="3"/>
  <c r="V428" i="3"/>
  <c r="S428" i="3"/>
  <c r="M428" i="3"/>
  <c r="W427" i="3"/>
  <c r="T427" i="3"/>
  <c r="Z427" i="3" s="1"/>
  <c r="N427" i="3"/>
  <c r="V426" i="3"/>
  <c r="S426" i="3"/>
  <c r="Y426" i="3" s="1"/>
  <c r="M426" i="3"/>
  <c r="V425" i="3"/>
  <c r="S425" i="3"/>
  <c r="Y425" i="3" s="1"/>
  <c r="M425" i="3"/>
  <c r="V424" i="3"/>
  <c r="S424" i="3"/>
  <c r="M424" i="3"/>
  <c r="V423" i="3"/>
  <c r="S423" i="3"/>
  <c r="Y423" i="3" s="1"/>
  <c r="M423" i="3"/>
  <c r="W422" i="3"/>
  <c r="T422" i="3"/>
  <c r="Z422" i="3" s="1"/>
  <c r="N422" i="3"/>
  <c r="V421" i="3"/>
  <c r="S421" i="3"/>
  <c r="Y421" i="3" s="1"/>
  <c r="M421" i="3"/>
  <c r="V420" i="3"/>
  <c r="S420" i="3"/>
  <c r="Y420" i="3" s="1"/>
  <c r="M420" i="3"/>
  <c r="V419" i="3"/>
  <c r="S419" i="3"/>
  <c r="Y419" i="3" s="1"/>
  <c r="M419" i="3"/>
  <c r="V418" i="3"/>
  <c r="S418" i="3"/>
  <c r="M418" i="3"/>
  <c r="W417" i="3"/>
  <c r="T417" i="3"/>
  <c r="Z417" i="3" s="1"/>
  <c r="N417" i="3"/>
  <c r="V416" i="3"/>
  <c r="S416" i="3"/>
  <c r="Y416" i="3" s="1"/>
  <c r="M416" i="3"/>
  <c r="V415" i="3"/>
  <c r="S415" i="3"/>
  <c r="Y415" i="3" s="1"/>
  <c r="M415" i="3"/>
  <c r="V414" i="3"/>
  <c r="S414" i="3"/>
  <c r="Y414" i="3" s="1"/>
  <c r="M414" i="3"/>
  <c r="V413" i="3"/>
  <c r="S413" i="3"/>
  <c r="Y413" i="3" s="1"/>
  <c r="M413" i="3"/>
  <c r="W412" i="3"/>
  <c r="T412" i="3"/>
  <c r="Z412" i="3" s="1"/>
  <c r="N412" i="3"/>
  <c r="V411" i="3"/>
  <c r="S411" i="3"/>
  <c r="Y411" i="3" s="1"/>
  <c r="M411" i="3"/>
  <c r="V410" i="3"/>
  <c r="S410" i="3"/>
  <c r="Y410" i="3" s="1"/>
  <c r="M410" i="3"/>
  <c r="V409" i="3"/>
  <c r="S409" i="3"/>
  <c r="Y409" i="3" s="1"/>
  <c r="M409" i="3"/>
  <c r="V408" i="3"/>
  <c r="S408" i="3"/>
  <c r="M408" i="3"/>
  <c r="W407" i="3"/>
  <c r="T407" i="3"/>
  <c r="Z407" i="3" s="1"/>
  <c r="N407" i="3"/>
  <c r="V406" i="3"/>
  <c r="S406" i="3"/>
  <c r="Y406" i="3" s="1"/>
  <c r="M406" i="3"/>
  <c r="V405" i="3"/>
  <c r="S405" i="3"/>
  <c r="Y405" i="3" s="1"/>
  <c r="M405" i="3"/>
  <c r="V404" i="3"/>
  <c r="S404" i="3"/>
  <c r="Y404" i="3" s="1"/>
  <c r="M404" i="3"/>
  <c r="V403" i="3"/>
  <c r="S403" i="3"/>
  <c r="M403" i="3"/>
  <c r="W402" i="3"/>
  <c r="T402" i="3"/>
  <c r="Z402" i="3" s="1"/>
  <c r="N402" i="3"/>
  <c r="V401" i="3"/>
  <c r="S401" i="3"/>
  <c r="Y401" i="3" s="1"/>
  <c r="M401" i="3"/>
  <c r="V400" i="3"/>
  <c r="S400" i="3"/>
  <c r="Y400" i="3" s="1"/>
  <c r="M400" i="3"/>
  <c r="V399" i="3"/>
  <c r="S399" i="3"/>
  <c r="Y399" i="3" s="1"/>
  <c r="M399" i="3"/>
  <c r="V398" i="3"/>
  <c r="S398" i="3"/>
  <c r="Y398" i="3" s="1"/>
  <c r="M398" i="3"/>
  <c r="V397" i="3"/>
  <c r="S397" i="3"/>
  <c r="Y397" i="3" s="1"/>
  <c r="M397" i="3"/>
  <c r="W396" i="3"/>
  <c r="T396" i="3"/>
  <c r="Z396" i="3" s="1"/>
  <c r="N396" i="3"/>
  <c r="V395" i="3"/>
  <c r="S395" i="3"/>
  <c r="Y395" i="3" s="1"/>
  <c r="M395" i="3"/>
  <c r="V394" i="3"/>
  <c r="S394" i="3"/>
  <c r="Y394" i="3" s="1"/>
  <c r="M394" i="3"/>
  <c r="V393" i="3"/>
  <c r="S393" i="3"/>
  <c r="Y393" i="3" s="1"/>
  <c r="M393" i="3"/>
  <c r="V392" i="3"/>
  <c r="S392" i="3"/>
  <c r="Y392" i="3" s="1"/>
  <c r="M392" i="3"/>
  <c r="V391" i="3"/>
  <c r="S391" i="3"/>
  <c r="M391" i="3"/>
  <c r="W390" i="3"/>
  <c r="T390" i="3"/>
  <c r="Z390" i="3" s="1"/>
  <c r="N390" i="3"/>
  <c r="V389" i="3"/>
  <c r="S389" i="3"/>
  <c r="Y389" i="3" s="1"/>
  <c r="M389" i="3"/>
  <c r="V388" i="3"/>
  <c r="S388" i="3"/>
  <c r="Y388" i="3" s="1"/>
  <c r="M388" i="3"/>
  <c r="V387" i="3"/>
  <c r="S387" i="3"/>
  <c r="Y387" i="3" s="1"/>
  <c r="M387" i="3"/>
  <c r="W386" i="3"/>
  <c r="T386" i="3"/>
  <c r="Z386" i="3" s="1"/>
  <c r="N386" i="3"/>
  <c r="V385" i="3"/>
  <c r="S385" i="3"/>
  <c r="Y385" i="3" s="1"/>
  <c r="M385" i="3"/>
  <c r="V384" i="3"/>
  <c r="S384" i="3"/>
  <c r="Y384" i="3" s="1"/>
  <c r="M384" i="3"/>
  <c r="V383" i="3"/>
  <c r="S383" i="3"/>
  <c r="Y383" i="3" s="1"/>
  <c r="M383" i="3"/>
  <c r="V382" i="3"/>
  <c r="S382" i="3"/>
  <c r="Y382" i="3" s="1"/>
  <c r="M382" i="3"/>
  <c r="W381" i="3"/>
  <c r="T381" i="3"/>
  <c r="Z381" i="3" s="1"/>
  <c r="N381" i="3"/>
  <c r="V380" i="3"/>
  <c r="S380" i="3"/>
  <c r="Y380" i="3" s="1"/>
  <c r="M380" i="3"/>
  <c r="V379" i="3"/>
  <c r="S379" i="3"/>
  <c r="Y379" i="3" s="1"/>
  <c r="M379" i="3"/>
  <c r="V378" i="3"/>
  <c r="S378" i="3"/>
  <c r="M378" i="3"/>
  <c r="W377" i="3"/>
  <c r="T377" i="3"/>
  <c r="Z377" i="3" s="1"/>
  <c r="N377" i="3"/>
  <c r="V376" i="3"/>
  <c r="S376" i="3"/>
  <c r="Y376" i="3" s="1"/>
  <c r="M376" i="3"/>
  <c r="V375" i="3"/>
  <c r="S375" i="3"/>
  <c r="Y375" i="3" s="1"/>
  <c r="M375" i="3"/>
  <c r="V374" i="3"/>
  <c r="S374" i="3"/>
  <c r="Y374" i="3" s="1"/>
  <c r="M374" i="3"/>
  <c r="V373" i="3"/>
  <c r="S373" i="3"/>
  <c r="M373" i="3"/>
  <c r="W372" i="3"/>
  <c r="T372" i="3"/>
  <c r="Z372" i="3" s="1"/>
  <c r="N372" i="3"/>
  <c r="V371" i="3"/>
  <c r="S371" i="3"/>
  <c r="Y371" i="3" s="1"/>
  <c r="M371" i="3"/>
  <c r="V370" i="3"/>
  <c r="S370" i="3"/>
  <c r="Y370" i="3" s="1"/>
  <c r="M370" i="3"/>
  <c r="V369" i="3"/>
  <c r="S369" i="3"/>
  <c r="Y369" i="3" s="1"/>
  <c r="M369" i="3"/>
  <c r="V368" i="3"/>
  <c r="S368" i="3"/>
  <c r="M368" i="3"/>
  <c r="W367" i="3"/>
  <c r="T367" i="3"/>
  <c r="Z367" i="3" s="1"/>
  <c r="N367" i="3"/>
  <c r="V366" i="3"/>
  <c r="S366" i="3"/>
  <c r="Y366" i="3" s="1"/>
  <c r="M366" i="3"/>
  <c r="V365" i="3"/>
  <c r="S365" i="3"/>
  <c r="Y365" i="3" s="1"/>
  <c r="M365" i="3"/>
  <c r="V364" i="3"/>
  <c r="S364" i="3"/>
  <c r="Y364" i="3" s="1"/>
  <c r="M364" i="3"/>
  <c r="V363" i="3"/>
  <c r="S363" i="3"/>
  <c r="M363" i="3"/>
  <c r="W362" i="3"/>
  <c r="T362" i="3"/>
  <c r="Z362" i="3" s="1"/>
  <c r="N362" i="3"/>
  <c r="V361" i="3"/>
  <c r="S361" i="3"/>
  <c r="Y361" i="3" s="1"/>
  <c r="M361" i="3"/>
  <c r="V360" i="3"/>
  <c r="S360" i="3"/>
  <c r="M360" i="3"/>
  <c r="W359" i="3"/>
  <c r="T359" i="3"/>
  <c r="Z359" i="3" s="1"/>
  <c r="N359" i="3"/>
  <c r="V358" i="3"/>
  <c r="S358" i="3"/>
  <c r="Y358" i="3" s="1"/>
  <c r="M358" i="3"/>
  <c r="V357" i="3"/>
  <c r="S357" i="3"/>
  <c r="M357" i="3"/>
  <c r="J356" i="3" s="1"/>
  <c r="W356" i="3"/>
  <c r="T356" i="3"/>
  <c r="Z356" i="3" s="1"/>
  <c r="N356" i="3"/>
  <c r="V355" i="3"/>
  <c r="S355" i="3"/>
  <c r="Y355" i="3" s="1"/>
  <c r="M355" i="3"/>
  <c r="V354" i="3"/>
  <c r="S354" i="3"/>
  <c r="M354" i="3"/>
  <c r="W353" i="3"/>
  <c r="T353" i="3"/>
  <c r="Z353" i="3" s="1"/>
  <c r="N353" i="3"/>
  <c r="V352" i="3"/>
  <c r="S352" i="3"/>
  <c r="Y352" i="3" s="1"/>
  <c r="M352" i="3"/>
  <c r="V351" i="3"/>
  <c r="S351" i="3"/>
  <c r="M351" i="3"/>
  <c r="W350" i="3"/>
  <c r="T350" i="3"/>
  <c r="Z350" i="3" s="1"/>
  <c r="N350" i="3"/>
  <c r="V349" i="3"/>
  <c r="S349" i="3"/>
  <c r="Y349" i="3" s="1"/>
  <c r="M349" i="3"/>
  <c r="V348" i="3"/>
  <c r="S348" i="3"/>
  <c r="M348" i="3"/>
  <c r="W347" i="3"/>
  <c r="T347" i="3"/>
  <c r="Z347" i="3" s="1"/>
  <c r="N347" i="3"/>
  <c r="V346" i="3"/>
  <c r="S346" i="3"/>
  <c r="Y346" i="3" s="1"/>
  <c r="M346" i="3"/>
  <c r="V345" i="3"/>
  <c r="S345" i="3"/>
  <c r="M345" i="3"/>
  <c r="J344" i="3" s="1"/>
  <c r="W344" i="3"/>
  <c r="T344" i="3"/>
  <c r="Z344" i="3" s="1"/>
  <c r="N344" i="3"/>
  <c r="V343" i="3"/>
  <c r="S343" i="3"/>
  <c r="Y343" i="3" s="1"/>
  <c r="M343" i="3"/>
  <c r="V342" i="3"/>
  <c r="S342" i="3"/>
  <c r="M342" i="3"/>
  <c r="W341" i="3"/>
  <c r="T341" i="3"/>
  <c r="Z341" i="3" s="1"/>
  <c r="N341" i="3"/>
  <c r="V340" i="3"/>
  <c r="S340" i="3"/>
  <c r="Y340" i="3" s="1"/>
  <c r="M340" i="3"/>
  <c r="V339" i="3"/>
  <c r="S339" i="3"/>
  <c r="M339" i="3"/>
  <c r="W338" i="3"/>
  <c r="T338" i="3"/>
  <c r="Z338" i="3" s="1"/>
  <c r="N338" i="3"/>
  <c r="V337" i="3"/>
  <c r="S337" i="3"/>
  <c r="Y337" i="3" s="1"/>
  <c r="M337" i="3"/>
  <c r="V336" i="3"/>
  <c r="S336" i="3"/>
  <c r="M336" i="3"/>
  <c r="W335" i="3"/>
  <c r="T335" i="3"/>
  <c r="Z335" i="3" s="1"/>
  <c r="N335" i="3"/>
  <c r="V334" i="3"/>
  <c r="S334" i="3"/>
  <c r="Y334" i="3" s="1"/>
  <c r="M334" i="3"/>
  <c r="V333" i="3"/>
  <c r="S333" i="3"/>
  <c r="M333" i="3"/>
  <c r="W332" i="3"/>
  <c r="T332" i="3"/>
  <c r="Z332" i="3" s="1"/>
  <c r="N332" i="3"/>
  <c r="V331" i="3"/>
  <c r="S331" i="3"/>
  <c r="Y331" i="3" s="1"/>
  <c r="M331" i="3"/>
  <c r="V330" i="3"/>
  <c r="S330" i="3"/>
  <c r="M330" i="3"/>
  <c r="W329" i="3"/>
  <c r="T329" i="3"/>
  <c r="Z329" i="3" s="1"/>
  <c r="N329" i="3"/>
  <c r="V328" i="3"/>
  <c r="S328" i="3"/>
  <c r="Y328" i="3" s="1"/>
  <c r="M328" i="3"/>
  <c r="V327" i="3"/>
  <c r="S327" i="3"/>
  <c r="M327" i="3"/>
  <c r="W326" i="3"/>
  <c r="T326" i="3"/>
  <c r="Z326" i="3" s="1"/>
  <c r="N326" i="3"/>
  <c r="J326" i="3"/>
  <c r="L326" i="3" s="1"/>
  <c r="V325" i="3"/>
  <c r="S325" i="3"/>
  <c r="Y325" i="3" s="1"/>
  <c r="M325" i="3"/>
  <c r="V324" i="3"/>
  <c r="S324" i="3"/>
  <c r="M324" i="3"/>
  <c r="W323" i="3"/>
  <c r="T323" i="3"/>
  <c r="Z323" i="3" s="1"/>
  <c r="N323" i="3"/>
  <c r="V322" i="3"/>
  <c r="S322" i="3"/>
  <c r="Y322" i="3" s="1"/>
  <c r="M322" i="3"/>
  <c r="V321" i="3"/>
  <c r="S321" i="3"/>
  <c r="M321" i="3"/>
  <c r="W320" i="3"/>
  <c r="T320" i="3"/>
  <c r="Z320" i="3" s="1"/>
  <c r="N320" i="3"/>
  <c r="V319" i="3"/>
  <c r="S319" i="3"/>
  <c r="Y319" i="3" s="1"/>
  <c r="M319" i="3"/>
  <c r="V318" i="3"/>
  <c r="S318" i="3"/>
  <c r="Y318" i="3" s="1"/>
  <c r="M318" i="3"/>
  <c r="W317" i="3"/>
  <c r="T317" i="3"/>
  <c r="Z317" i="3" s="1"/>
  <c r="N317" i="3"/>
  <c r="V316" i="3"/>
  <c r="S316" i="3"/>
  <c r="Y316" i="3" s="1"/>
  <c r="M316" i="3"/>
  <c r="V315" i="3"/>
  <c r="S315" i="3"/>
  <c r="Y315" i="3" s="1"/>
  <c r="M315" i="3"/>
  <c r="W314" i="3"/>
  <c r="T314" i="3"/>
  <c r="Z314" i="3" s="1"/>
  <c r="N314" i="3"/>
  <c r="V313" i="3"/>
  <c r="S313" i="3"/>
  <c r="Y313" i="3" s="1"/>
  <c r="M313" i="3"/>
  <c r="V312" i="3"/>
  <c r="S312" i="3"/>
  <c r="Y312" i="3" s="1"/>
  <c r="M312" i="3"/>
  <c r="W311" i="3"/>
  <c r="T311" i="3"/>
  <c r="Z311" i="3" s="1"/>
  <c r="N311" i="3"/>
  <c r="V310" i="3"/>
  <c r="S310" i="3"/>
  <c r="Y310" i="3" s="1"/>
  <c r="M310" i="3"/>
  <c r="V309" i="3"/>
  <c r="S309" i="3"/>
  <c r="Y309" i="3" s="1"/>
  <c r="M309" i="3"/>
  <c r="W308" i="3"/>
  <c r="T308" i="3"/>
  <c r="Z308" i="3" s="1"/>
  <c r="N308" i="3"/>
  <c r="V307" i="3"/>
  <c r="S307" i="3"/>
  <c r="Y307" i="3" s="1"/>
  <c r="M307" i="3"/>
  <c r="V306" i="3"/>
  <c r="S306" i="3"/>
  <c r="Y306" i="3" s="1"/>
  <c r="M306" i="3"/>
  <c r="W305" i="3"/>
  <c r="T305" i="3"/>
  <c r="Z305" i="3" s="1"/>
  <c r="N305" i="3"/>
  <c r="V304" i="3"/>
  <c r="S304" i="3"/>
  <c r="M304" i="3"/>
  <c r="V303" i="3"/>
  <c r="S303" i="3"/>
  <c r="Y303" i="3" s="1"/>
  <c r="M303" i="3"/>
  <c r="W302" i="3"/>
  <c r="T302" i="3"/>
  <c r="Z302" i="3" s="1"/>
  <c r="N302" i="3"/>
  <c r="V301" i="3"/>
  <c r="S301" i="3"/>
  <c r="Y301" i="3" s="1"/>
  <c r="M301" i="3"/>
  <c r="V300" i="3"/>
  <c r="S300" i="3"/>
  <c r="P299" i="3" s="1"/>
  <c r="R299" i="3" s="1"/>
  <c r="X299" i="3" s="1"/>
  <c r="M300" i="3"/>
  <c r="W299" i="3"/>
  <c r="T299" i="3"/>
  <c r="Z299" i="3" s="1"/>
  <c r="N299" i="3"/>
  <c r="V298" i="3"/>
  <c r="S298" i="3"/>
  <c r="Y298" i="3" s="1"/>
  <c r="M298" i="3"/>
  <c r="V297" i="3"/>
  <c r="S297" i="3"/>
  <c r="Y297" i="3" s="1"/>
  <c r="M297" i="3"/>
  <c r="W296" i="3"/>
  <c r="T296" i="3"/>
  <c r="Z296" i="3" s="1"/>
  <c r="N296" i="3"/>
  <c r="V295" i="3"/>
  <c r="S295" i="3"/>
  <c r="Y295" i="3" s="1"/>
  <c r="M295" i="3"/>
  <c r="V294" i="3"/>
  <c r="S294" i="3"/>
  <c r="Y294" i="3" s="1"/>
  <c r="M294" i="3"/>
  <c r="W293" i="3"/>
  <c r="T293" i="3"/>
  <c r="Z293" i="3" s="1"/>
  <c r="N293" i="3"/>
  <c r="V292" i="3"/>
  <c r="S292" i="3"/>
  <c r="Y292" i="3" s="1"/>
  <c r="M292" i="3"/>
  <c r="V291" i="3"/>
  <c r="S291" i="3"/>
  <c r="M291" i="3"/>
  <c r="W290" i="3"/>
  <c r="T290" i="3"/>
  <c r="Z290" i="3" s="1"/>
  <c r="N290" i="3"/>
  <c r="V289" i="3"/>
  <c r="S289" i="3"/>
  <c r="Y289" i="3" s="1"/>
  <c r="M289" i="3"/>
  <c r="V288" i="3"/>
  <c r="S288" i="3"/>
  <c r="Y288" i="3" s="1"/>
  <c r="M288" i="3"/>
  <c r="W287" i="3"/>
  <c r="T287" i="3"/>
  <c r="Z287" i="3" s="1"/>
  <c r="N287" i="3"/>
  <c r="V286" i="3"/>
  <c r="S286" i="3"/>
  <c r="Y286" i="3" s="1"/>
  <c r="M286" i="3"/>
  <c r="V285" i="3"/>
  <c r="S285" i="3"/>
  <c r="Y285" i="3" s="1"/>
  <c r="M285" i="3"/>
  <c r="J284" i="3" s="1"/>
  <c r="M284" i="3" s="1"/>
  <c r="O284" i="3" s="1"/>
  <c r="W284" i="3"/>
  <c r="T284" i="3"/>
  <c r="Z284" i="3" s="1"/>
  <c r="N284" i="3"/>
  <c r="V283" i="3"/>
  <c r="S283" i="3"/>
  <c r="Y283" i="3" s="1"/>
  <c r="M283" i="3"/>
  <c r="V282" i="3"/>
  <c r="S282" i="3"/>
  <c r="Y282" i="3" s="1"/>
  <c r="M282" i="3"/>
  <c r="W281" i="3"/>
  <c r="T281" i="3"/>
  <c r="Z281" i="3" s="1"/>
  <c r="N281" i="3"/>
  <c r="V280" i="3"/>
  <c r="S280" i="3"/>
  <c r="M280" i="3"/>
  <c r="V279" i="3"/>
  <c r="S279" i="3"/>
  <c r="Y279" i="3" s="1"/>
  <c r="M279" i="3"/>
  <c r="W278" i="3"/>
  <c r="T278" i="3"/>
  <c r="Z278" i="3" s="1"/>
  <c r="N278" i="3"/>
  <c r="V277" i="3"/>
  <c r="S277" i="3"/>
  <c r="Y277" i="3" s="1"/>
  <c r="M277" i="3"/>
  <c r="J275" i="3" s="1"/>
  <c r="M275" i="3" s="1"/>
  <c r="O275" i="3" s="1"/>
  <c r="V276" i="3"/>
  <c r="S276" i="3"/>
  <c r="M276" i="3"/>
  <c r="W275" i="3"/>
  <c r="T275" i="3"/>
  <c r="Z275" i="3" s="1"/>
  <c r="N275" i="3"/>
  <c r="V274" i="3"/>
  <c r="S274" i="3"/>
  <c r="Y274" i="3" s="1"/>
  <c r="M274" i="3"/>
  <c r="V273" i="3"/>
  <c r="S273" i="3"/>
  <c r="Y273" i="3" s="1"/>
  <c r="M273" i="3"/>
  <c r="V272" i="3"/>
  <c r="S272" i="3"/>
  <c r="Y272" i="3" s="1"/>
  <c r="M272" i="3"/>
  <c r="V271" i="3"/>
  <c r="S271" i="3"/>
  <c r="Y271" i="3" s="1"/>
  <c r="M271" i="3"/>
  <c r="V270" i="3"/>
  <c r="S270" i="3"/>
  <c r="M270" i="3"/>
  <c r="W269" i="3"/>
  <c r="T269" i="3"/>
  <c r="N269" i="3"/>
  <c r="V268" i="3"/>
  <c r="S268" i="3"/>
  <c r="Y268" i="3" s="1"/>
  <c r="M268" i="3"/>
  <c r="V267" i="3"/>
  <c r="S267" i="3"/>
  <c r="Y267" i="3" s="1"/>
  <c r="M267" i="3"/>
  <c r="V266" i="3"/>
  <c r="S266" i="3"/>
  <c r="Y266" i="3" s="1"/>
  <c r="M266" i="3"/>
  <c r="V265" i="3"/>
  <c r="S265" i="3"/>
  <c r="Y265" i="3" s="1"/>
  <c r="M265" i="3"/>
  <c r="V264" i="3"/>
  <c r="S264" i="3"/>
  <c r="Y264" i="3" s="1"/>
  <c r="M264" i="3"/>
  <c r="W263" i="3"/>
  <c r="T263" i="3"/>
  <c r="Z263" i="3" s="1"/>
  <c r="N263" i="3"/>
  <c r="V261" i="3"/>
  <c r="S261" i="3"/>
  <c r="Y261" i="3" s="1"/>
  <c r="M261" i="3"/>
  <c r="V260" i="3"/>
  <c r="S260" i="3"/>
  <c r="M260" i="3"/>
  <c r="V259" i="3"/>
  <c r="S259" i="3"/>
  <c r="Y259" i="3" s="1"/>
  <c r="M259" i="3"/>
  <c r="W258" i="3"/>
  <c r="T258" i="3"/>
  <c r="Z258" i="3" s="1"/>
  <c r="N258" i="3"/>
  <c r="V257" i="3"/>
  <c r="S257" i="3"/>
  <c r="Y257" i="3" s="1"/>
  <c r="M257" i="3"/>
  <c r="V256" i="3"/>
  <c r="S256" i="3"/>
  <c r="Y256" i="3" s="1"/>
  <c r="M256" i="3"/>
  <c r="V255" i="3"/>
  <c r="S255" i="3"/>
  <c r="P254" i="3" s="1"/>
  <c r="M255" i="3"/>
  <c r="W254" i="3"/>
  <c r="T254" i="3"/>
  <c r="Z254" i="3" s="1"/>
  <c r="N254" i="3"/>
  <c r="V253" i="3"/>
  <c r="S253" i="3"/>
  <c r="Y253" i="3" s="1"/>
  <c r="M253" i="3"/>
  <c r="J250" i="3" s="1"/>
  <c r="M250" i="3" s="1"/>
  <c r="V252" i="3"/>
  <c r="S252" i="3"/>
  <c r="M252" i="3"/>
  <c r="V251" i="3"/>
  <c r="S251" i="3"/>
  <c r="Y251" i="3" s="1"/>
  <c r="M251" i="3"/>
  <c r="W250" i="3"/>
  <c r="T250" i="3"/>
  <c r="Z250" i="3" s="1"/>
  <c r="N250" i="3"/>
  <c r="V249" i="3"/>
  <c r="S249" i="3"/>
  <c r="Y249" i="3" s="1"/>
  <c r="M249" i="3"/>
  <c r="V248" i="3"/>
  <c r="S248" i="3"/>
  <c r="Y248" i="3" s="1"/>
  <c r="M248" i="3"/>
  <c r="V247" i="3"/>
  <c r="S247" i="3"/>
  <c r="P246" i="3" s="1"/>
  <c r="V246" i="3" s="1"/>
  <c r="M247" i="3"/>
  <c r="W246" i="3"/>
  <c r="T246" i="3"/>
  <c r="Z246" i="3" s="1"/>
  <c r="N246" i="3"/>
  <c r="V245" i="3"/>
  <c r="S245" i="3"/>
  <c r="Y245" i="3" s="1"/>
  <c r="M245" i="3"/>
  <c r="V244" i="3"/>
  <c r="S244" i="3"/>
  <c r="Y244" i="3" s="1"/>
  <c r="M244" i="3"/>
  <c r="V243" i="3"/>
  <c r="S243" i="3"/>
  <c r="Y243" i="3" s="1"/>
  <c r="M243" i="3"/>
  <c r="V242" i="3"/>
  <c r="S242" i="3"/>
  <c r="M242" i="3"/>
  <c r="W241" i="3"/>
  <c r="T241" i="3"/>
  <c r="Z241" i="3" s="1"/>
  <c r="N241" i="3"/>
  <c r="V240" i="3"/>
  <c r="S240" i="3"/>
  <c r="Y240" i="3" s="1"/>
  <c r="M240" i="3"/>
  <c r="V239" i="3"/>
  <c r="S239" i="3"/>
  <c r="Y239" i="3" s="1"/>
  <c r="M239" i="3"/>
  <c r="V238" i="3"/>
  <c r="S238" i="3"/>
  <c r="Y238" i="3" s="1"/>
  <c r="M238" i="3"/>
  <c r="V237" i="3"/>
  <c r="S237" i="3"/>
  <c r="M237" i="3"/>
  <c r="W236" i="3"/>
  <c r="T236" i="3"/>
  <c r="Z236" i="3" s="1"/>
  <c r="N236" i="3"/>
  <c r="V235" i="3"/>
  <c r="S235" i="3"/>
  <c r="Y235" i="3" s="1"/>
  <c r="M235" i="3"/>
  <c r="V234" i="3"/>
  <c r="S234" i="3"/>
  <c r="Y234" i="3" s="1"/>
  <c r="M234" i="3"/>
  <c r="V233" i="3"/>
  <c r="S233" i="3"/>
  <c r="Y233" i="3" s="1"/>
  <c r="M233" i="3"/>
  <c r="V232" i="3"/>
  <c r="S232" i="3"/>
  <c r="M232" i="3"/>
  <c r="W231" i="3"/>
  <c r="T231" i="3"/>
  <c r="Z231" i="3" s="1"/>
  <c r="N231" i="3"/>
  <c r="V230" i="3"/>
  <c r="S230" i="3"/>
  <c r="Y230" i="3" s="1"/>
  <c r="M230" i="3"/>
  <c r="V229" i="3"/>
  <c r="S229" i="3"/>
  <c r="Y229" i="3" s="1"/>
  <c r="M229" i="3"/>
  <c r="V228" i="3"/>
  <c r="S228" i="3"/>
  <c r="Y228" i="3" s="1"/>
  <c r="M228" i="3"/>
  <c r="V227" i="3"/>
  <c r="S227" i="3"/>
  <c r="M227" i="3"/>
  <c r="W226" i="3"/>
  <c r="T226" i="3"/>
  <c r="Z226" i="3" s="1"/>
  <c r="N226" i="3"/>
  <c r="V225" i="3"/>
  <c r="S225" i="3"/>
  <c r="Y225" i="3" s="1"/>
  <c r="M225" i="3"/>
  <c r="V224" i="3"/>
  <c r="S224" i="3"/>
  <c r="Y224" i="3" s="1"/>
  <c r="M224" i="3"/>
  <c r="V223" i="3"/>
  <c r="S223" i="3"/>
  <c r="Y223" i="3" s="1"/>
  <c r="M223" i="3"/>
  <c r="V222" i="3"/>
  <c r="S222" i="3"/>
  <c r="M222" i="3"/>
  <c r="W221" i="3"/>
  <c r="T221" i="3"/>
  <c r="Z221" i="3" s="1"/>
  <c r="N221" i="3"/>
  <c r="V220" i="3"/>
  <c r="S220" i="3"/>
  <c r="Y220" i="3" s="1"/>
  <c r="M220" i="3"/>
  <c r="V219" i="3"/>
  <c r="S219" i="3"/>
  <c r="M219" i="3"/>
  <c r="W218" i="3"/>
  <c r="T218" i="3"/>
  <c r="Z218" i="3" s="1"/>
  <c r="N218" i="3"/>
  <c r="V217" i="3"/>
  <c r="S217" i="3"/>
  <c r="Y217" i="3" s="1"/>
  <c r="M217" i="3"/>
  <c r="V216" i="3"/>
  <c r="S216" i="3"/>
  <c r="P215" i="3" s="1"/>
  <c r="V215" i="3" s="1"/>
  <c r="M216" i="3"/>
  <c r="W215" i="3"/>
  <c r="T215" i="3"/>
  <c r="Z215" i="3" s="1"/>
  <c r="N215" i="3"/>
  <c r="V214" i="3"/>
  <c r="S214" i="3"/>
  <c r="Y214" i="3" s="1"/>
  <c r="M214" i="3"/>
  <c r="V213" i="3"/>
  <c r="S213" i="3"/>
  <c r="M213" i="3"/>
  <c r="W212" i="3"/>
  <c r="T212" i="3"/>
  <c r="Z212" i="3" s="1"/>
  <c r="N212" i="3"/>
  <c r="V211" i="3"/>
  <c r="S211" i="3"/>
  <c r="Y211" i="3" s="1"/>
  <c r="M211" i="3"/>
  <c r="V210" i="3"/>
  <c r="S210" i="3"/>
  <c r="M210" i="3"/>
  <c r="W209" i="3"/>
  <c r="T209" i="3"/>
  <c r="Z209" i="3" s="1"/>
  <c r="N209" i="3"/>
  <c r="V208" i="3"/>
  <c r="S208" i="3"/>
  <c r="Y208" i="3" s="1"/>
  <c r="M208" i="3"/>
  <c r="V207" i="3"/>
  <c r="S207" i="3"/>
  <c r="M207" i="3"/>
  <c r="W206" i="3"/>
  <c r="T206" i="3"/>
  <c r="Z206" i="3" s="1"/>
  <c r="N206" i="3"/>
  <c r="V205" i="3"/>
  <c r="S205" i="3"/>
  <c r="Y205" i="3" s="1"/>
  <c r="M205" i="3"/>
  <c r="V204" i="3"/>
  <c r="S204" i="3"/>
  <c r="M204" i="3"/>
  <c r="V203" i="3"/>
  <c r="S203" i="3"/>
  <c r="Y203" i="3" s="1"/>
  <c r="M203" i="3"/>
  <c r="W202" i="3"/>
  <c r="T202" i="3"/>
  <c r="Z202" i="3" s="1"/>
  <c r="N202" i="3"/>
  <c r="V201" i="3"/>
  <c r="S201" i="3"/>
  <c r="Y201" i="3" s="1"/>
  <c r="M201" i="3"/>
  <c r="V200" i="3"/>
  <c r="S200" i="3"/>
  <c r="Y200" i="3" s="1"/>
  <c r="M200" i="3"/>
  <c r="W199" i="3"/>
  <c r="T199" i="3"/>
  <c r="Z199" i="3" s="1"/>
  <c r="N199" i="3"/>
  <c r="V198" i="3"/>
  <c r="S198" i="3"/>
  <c r="Y198" i="3" s="1"/>
  <c r="M198" i="3"/>
  <c r="V197" i="3"/>
  <c r="S197" i="3"/>
  <c r="Y197" i="3" s="1"/>
  <c r="M197" i="3"/>
  <c r="V196" i="3"/>
  <c r="S196" i="3"/>
  <c r="M196" i="3"/>
  <c r="W195" i="3"/>
  <c r="T195" i="3"/>
  <c r="Z195" i="3" s="1"/>
  <c r="N195" i="3"/>
  <c r="V194" i="3"/>
  <c r="S194" i="3"/>
  <c r="Y194" i="3" s="1"/>
  <c r="M194" i="3"/>
  <c r="V193" i="3"/>
  <c r="S193" i="3"/>
  <c r="M193" i="3"/>
  <c r="W192" i="3"/>
  <c r="T192" i="3"/>
  <c r="Z192" i="3" s="1"/>
  <c r="N192" i="3"/>
  <c r="V191" i="3"/>
  <c r="S191" i="3"/>
  <c r="Y191" i="3" s="1"/>
  <c r="M191" i="3"/>
  <c r="V190" i="3"/>
  <c r="S190" i="3"/>
  <c r="M190" i="3"/>
  <c r="V189" i="3"/>
  <c r="S189" i="3"/>
  <c r="Y189" i="3" s="1"/>
  <c r="M189" i="3"/>
  <c r="W188" i="3"/>
  <c r="T188" i="3"/>
  <c r="Z188" i="3" s="1"/>
  <c r="N188" i="3"/>
  <c r="V187" i="3"/>
  <c r="S187" i="3"/>
  <c r="Y187" i="3" s="1"/>
  <c r="M187" i="3"/>
  <c r="V186" i="3"/>
  <c r="S186" i="3"/>
  <c r="Y186" i="3" s="1"/>
  <c r="M186" i="3"/>
  <c r="W185" i="3"/>
  <c r="T185" i="3"/>
  <c r="Z185" i="3" s="1"/>
  <c r="N185" i="3"/>
  <c r="V184" i="3"/>
  <c r="S184" i="3"/>
  <c r="Y184" i="3" s="1"/>
  <c r="M184" i="3"/>
  <c r="V183" i="3"/>
  <c r="S183" i="3"/>
  <c r="Y183" i="3" s="1"/>
  <c r="M183" i="3"/>
  <c r="V182" i="3"/>
  <c r="S182" i="3"/>
  <c r="M182" i="3"/>
  <c r="W181" i="3"/>
  <c r="T181" i="3"/>
  <c r="Z181" i="3" s="1"/>
  <c r="N181" i="3"/>
  <c r="V180" i="3"/>
  <c r="S180" i="3"/>
  <c r="Y180" i="3" s="1"/>
  <c r="M180" i="3"/>
  <c r="V179" i="3"/>
  <c r="S179" i="3"/>
  <c r="Y179" i="3" s="1"/>
  <c r="M179" i="3"/>
  <c r="W178" i="3"/>
  <c r="T178" i="3"/>
  <c r="Z178" i="3" s="1"/>
  <c r="N178" i="3"/>
  <c r="V177" i="3"/>
  <c r="S177" i="3"/>
  <c r="Y177" i="3" s="1"/>
  <c r="M177" i="3"/>
  <c r="V176" i="3"/>
  <c r="S176" i="3"/>
  <c r="Y176" i="3" s="1"/>
  <c r="M176" i="3"/>
  <c r="V175" i="3"/>
  <c r="S175" i="3"/>
  <c r="Y175" i="3" s="1"/>
  <c r="M175" i="3"/>
  <c r="V174" i="3"/>
  <c r="S174" i="3"/>
  <c r="Y174" i="3" s="1"/>
  <c r="M174" i="3"/>
  <c r="W173" i="3"/>
  <c r="T173" i="3"/>
  <c r="Z173" i="3" s="1"/>
  <c r="N173" i="3"/>
  <c r="V172" i="3"/>
  <c r="S172" i="3"/>
  <c r="Y172" i="3" s="1"/>
  <c r="M172" i="3"/>
  <c r="V171" i="3"/>
  <c r="S171" i="3"/>
  <c r="Y171" i="3" s="1"/>
  <c r="M171" i="3"/>
  <c r="V170" i="3"/>
  <c r="S170" i="3"/>
  <c r="Y170" i="3" s="1"/>
  <c r="M170" i="3"/>
  <c r="W169" i="3"/>
  <c r="T169" i="3"/>
  <c r="Z169" i="3" s="1"/>
  <c r="N169" i="3"/>
  <c r="V168" i="3"/>
  <c r="S168" i="3"/>
  <c r="Y168" i="3" s="1"/>
  <c r="M168" i="3"/>
  <c r="J166" i="3" s="1"/>
  <c r="V167" i="3"/>
  <c r="S167" i="3"/>
  <c r="Y167" i="3" s="1"/>
  <c r="M167" i="3"/>
  <c r="W166" i="3"/>
  <c r="T166" i="3"/>
  <c r="N166" i="3"/>
  <c r="V163" i="3"/>
  <c r="S163" i="3"/>
  <c r="Y163" i="3" s="1"/>
  <c r="M163" i="3"/>
  <c r="V162" i="3"/>
  <c r="S162" i="3"/>
  <c r="Y162" i="3" s="1"/>
  <c r="M162" i="3"/>
  <c r="J159" i="3" s="1"/>
  <c r="V161" i="3"/>
  <c r="S161" i="3"/>
  <c r="Y161" i="3" s="1"/>
  <c r="M161" i="3"/>
  <c r="V160" i="3"/>
  <c r="S160" i="3"/>
  <c r="P159" i="3" s="1"/>
  <c r="M160" i="3"/>
  <c r="W159" i="3"/>
  <c r="T159" i="3"/>
  <c r="Z159" i="3" s="1"/>
  <c r="N159" i="3"/>
  <c r="V158" i="3"/>
  <c r="S158" i="3"/>
  <c r="Y158" i="3" s="1"/>
  <c r="M158" i="3"/>
  <c r="V157" i="3"/>
  <c r="S157" i="3"/>
  <c r="Y157" i="3" s="1"/>
  <c r="M157" i="3"/>
  <c r="V156" i="3"/>
  <c r="S156" i="3"/>
  <c r="Y156" i="3" s="1"/>
  <c r="M156" i="3"/>
  <c r="V155" i="3"/>
  <c r="S155" i="3"/>
  <c r="M155" i="3"/>
  <c r="J154" i="3" s="1"/>
  <c r="W154" i="3"/>
  <c r="T154" i="3"/>
  <c r="Z154" i="3" s="1"/>
  <c r="N154" i="3"/>
  <c r="Y153" i="3"/>
  <c r="V153" i="3"/>
  <c r="S153" i="3"/>
  <c r="M153" i="3"/>
  <c r="V152" i="3"/>
  <c r="S152" i="3"/>
  <c r="Y152" i="3" s="1"/>
  <c r="M152" i="3"/>
  <c r="J149" i="3" s="1"/>
  <c r="V151" i="3"/>
  <c r="S151" i="3"/>
  <c r="Y151" i="3" s="1"/>
  <c r="M151" i="3"/>
  <c r="V150" i="3"/>
  <c r="S150" i="3"/>
  <c r="M150" i="3"/>
  <c r="W149" i="3"/>
  <c r="T149" i="3"/>
  <c r="Z149" i="3" s="1"/>
  <c r="N149" i="3"/>
  <c r="Y148" i="3"/>
  <c r="V148" i="3"/>
  <c r="S148" i="3"/>
  <c r="M148" i="3"/>
  <c r="V147" i="3"/>
  <c r="S147" i="3"/>
  <c r="Y147" i="3" s="1"/>
  <c r="M147" i="3"/>
  <c r="Y146" i="3"/>
  <c r="V146" i="3"/>
  <c r="S146" i="3"/>
  <c r="M146" i="3"/>
  <c r="V145" i="3"/>
  <c r="S145" i="3"/>
  <c r="M145" i="3"/>
  <c r="J144" i="3" s="1"/>
  <c r="W144" i="3"/>
  <c r="T144" i="3"/>
  <c r="Z144" i="3" s="1"/>
  <c r="N144" i="3"/>
  <c r="Y143" i="3"/>
  <c r="V143" i="3"/>
  <c r="S143" i="3"/>
  <c r="M143" i="3"/>
  <c r="V142" i="3"/>
  <c r="S142" i="3"/>
  <c r="Y142" i="3" s="1"/>
  <c r="M142" i="3"/>
  <c r="V141" i="3"/>
  <c r="S141" i="3"/>
  <c r="Y141" i="3" s="1"/>
  <c r="M141" i="3"/>
  <c r="V140" i="3"/>
  <c r="S140" i="3"/>
  <c r="M140" i="3"/>
  <c r="W139" i="3"/>
  <c r="T139" i="3"/>
  <c r="Z139" i="3" s="1"/>
  <c r="N139" i="3"/>
  <c r="J139" i="3"/>
  <c r="M139" i="3" s="1"/>
  <c r="Y138" i="3"/>
  <c r="V138" i="3"/>
  <c r="S138" i="3"/>
  <c r="M138" i="3"/>
  <c r="V137" i="3"/>
  <c r="S137" i="3"/>
  <c r="Y137" i="3" s="1"/>
  <c r="M137" i="3"/>
  <c r="Y136" i="3"/>
  <c r="V136" i="3"/>
  <c r="S136" i="3"/>
  <c r="M136" i="3"/>
  <c r="V135" i="3"/>
  <c r="S135" i="3"/>
  <c r="M135" i="3"/>
  <c r="J134" i="3" s="1"/>
  <c r="W134" i="3"/>
  <c r="T134" i="3"/>
  <c r="Z134" i="3" s="1"/>
  <c r="N134" i="3"/>
  <c r="V133" i="3"/>
  <c r="S133" i="3"/>
  <c r="Y133" i="3" s="1"/>
  <c r="M133" i="3"/>
  <c r="V132" i="3"/>
  <c r="S132" i="3"/>
  <c r="Y132" i="3" s="1"/>
  <c r="M132" i="3"/>
  <c r="Y131" i="3"/>
  <c r="V131" i="3"/>
  <c r="S131" i="3"/>
  <c r="M131" i="3"/>
  <c r="V130" i="3"/>
  <c r="S130" i="3"/>
  <c r="M130" i="3"/>
  <c r="W129" i="3"/>
  <c r="T129" i="3"/>
  <c r="Z129" i="3" s="1"/>
  <c r="N129" i="3"/>
  <c r="J129" i="3"/>
  <c r="M129" i="3" s="1"/>
  <c r="O129" i="3" s="1"/>
  <c r="V128" i="3"/>
  <c r="S128" i="3"/>
  <c r="Y128" i="3" s="1"/>
  <c r="M128" i="3"/>
  <c r="Z127" i="3"/>
  <c r="W127" i="3"/>
  <c r="T127" i="3"/>
  <c r="P127" i="3"/>
  <c r="V127" i="3" s="1"/>
  <c r="N127" i="3"/>
  <c r="L127" i="3"/>
  <c r="J127" i="3"/>
  <c r="M127" i="3" s="1"/>
  <c r="O127" i="3" s="1"/>
  <c r="V126" i="3"/>
  <c r="S126" i="3"/>
  <c r="P125" i="3" s="1"/>
  <c r="M126" i="3"/>
  <c r="W125" i="3"/>
  <c r="T125" i="3"/>
  <c r="Z125" i="3" s="1"/>
  <c r="N125" i="3"/>
  <c r="L125" i="3"/>
  <c r="J125" i="3"/>
  <c r="M125" i="3" s="1"/>
  <c r="O125" i="3" s="1"/>
  <c r="Y124" i="3"/>
  <c r="V124" i="3"/>
  <c r="S124" i="3"/>
  <c r="M124" i="3"/>
  <c r="V123" i="3"/>
  <c r="S123" i="3"/>
  <c r="P122" i="3" s="1"/>
  <c r="M123" i="3"/>
  <c r="J122" i="3" s="1"/>
  <c r="W122" i="3"/>
  <c r="T122" i="3"/>
  <c r="Z122" i="3" s="1"/>
  <c r="N122" i="3"/>
  <c r="Y121" i="3"/>
  <c r="V121" i="3"/>
  <c r="S121" i="3"/>
  <c r="M121" i="3"/>
  <c r="V120" i="3"/>
  <c r="S120" i="3"/>
  <c r="M120" i="3"/>
  <c r="W119" i="3"/>
  <c r="T119" i="3"/>
  <c r="Z119" i="3" s="1"/>
  <c r="N119" i="3"/>
  <c r="L119" i="3"/>
  <c r="J119" i="3"/>
  <c r="M119" i="3" s="1"/>
  <c r="O119" i="3" s="1"/>
  <c r="Y118" i="3"/>
  <c r="V118" i="3"/>
  <c r="S118" i="3"/>
  <c r="M118" i="3"/>
  <c r="V117" i="3"/>
  <c r="S117" i="3"/>
  <c r="P116" i="3" s="1"/>
  <c r="M117" i="3"/>
  <c r="J116" i="3" s="1"/>
  <c r="W116" i="3"/>
  <c r="T116" i="3"/>
  <c r="Z116" i="3" s="1"/>
  <c r="N116" i="3"/>
  <c r="Y115" i="3"/>
  <c r="V115" i="3"/>
  <c r="S115" i="3"/>
  <c r="M115" i="3"/>
  <c r="V114" i="3"/>
  <c r="S114" i="3"/>
  <c r="M114" i="3"/>
  <c r="V113" i="3"/>
  <c r="S113" i="3"/>
  <c r="Y113" i="3" s="1"/>
  <c r="M113" i="3"/>
  <c r="Z112" i="3"/>
  <c r="W112" i="3"/>
  <c r="T112" i="3"/>
  <c r="N112" i="3"/>
  <c r="V111" i="3"/>
  <c r="S111" i="3"/>
  <c r="Y111" i="3" s="1"/>
  <c r="M111" i="3"/>
  <c r="Y110" i="3"/>
  <c r="V110" i="3"/>
  <c r="S110" i="3"/>
  <c r="M110" i="3"/>
  <c r="V109" i="3"/>
  <c r="S109" i="3"/>
  <c r="M109" i="3"/>
  <c r="J108" i="3" s="1"/>
  <c r="W108" i="3"/>
  <c r="T108" i="3"/>
  <c r="Z108" i="3" s="1"/>
  <c r="N108" i="3"/>
  <c r="V107" i="3"/>
  <c r="S107" i="3"/>
  <c r="Y107" i="3" s="1"/>
  <c r="M107" i="3"/>
  <c r="V106" i="3"/>
  <c r="S106" i="3"/>
  <c r="M106" i="3"/>
  <c r="W105" i="3"/>
  <c r="T105" i="3"/>
  <c r="Z105" i="3" s="1"/>
  <c r="N105" i="3"/>
  <c r="L105" i="3"/>
  <c r="J105" i="3"/>
  <c r="M105" i="3" s="1"/>
  <c r="O105" i="3" s="1"/>
  <c r="Y104" i="3"/>
  <c r="V104" i="3"/>
  <c r="S104" i="3"/>
  <c r="M104" i="3"/>
  <c r="V103" i="3"/>
  <c r="S103" i="3"/>
  <c r="Y103" i="3" s="1"/>
  <c r="M103" i="3"/>
  <c r="J100" i="3" s="1"/>
  <c r="V102" i="3"/>
  <c r="S102" i="3"/>
  <c r="Y102" i="3" s="1"/>
  <c r="M102" i="3"/>
  <c r="V101" i="3"/>
  <c r="S101" i="3"/>
  <c r="M101" i="3"/>
  <c r="W100" i="3"/>
  <c r="T100" i="3"/>
  <c r="Z100" i="3" s="1"/>
  <c r="N100" i="3"/>
  <c r="Y99" i="3"/>
  <c r="V99" i="3"/>
  <c r="S99" i="3"/>
  <c r="M99" i="3"/>
  <c r="V98" i="3"/>
  <c r="S98" i="3"/>
  <c r="Y98" i="3" s="1"/>
  <c r="M98" i="3"/>
  <c r="Y97" i="3"/>
  <c r="V97" i="3"/>
  <c r="S97" i="3"/>
  <c r="M97" i="3"/>
  <c r="V96" i="3"/>
  <c r="S96" i="3"/>
  <c r="Y96" i="3" s="1"/>
  <c r="M96" i="3"/>
  <c r="J94" i="3" s="1"/>
  <c r="Y95" i="3"/>
  <c r="V95" i="3"/>
  <c r="S95" i="3"/>
  <c r="M95" i="3"/>
  <c r="W94" i="3"/>
  <c r="T94" i="3"/>
  <c r="T93" i="3" s="1"/>
  <c r="P94" i="3"/>
  <c r="V94" i="3" s="1"/>
  <c r="N94" i="3"/>
  <c r="V92" i="3"/>
  <c r="S92" i="3"/>
  <c r="P91" i="3" s="1"/>
  <c r="M92" i="3"/>
  <c r="J91" i="3" s="1"/>
  <c r="W91" i="3"/>
  <c r="T91" i="3"/>
  <c r="Z91" i="3" s="1"/>
  <c r="N91" i="3"/>
  <c r="V90" i="3"/>
  <c r="S90" i="3"/>
  <c r="Y90" i="3" s="1"/>
  <c r="M90" i="3"/>
  <c r="W89" i="3"/>
  <c r="T89" i="3"/>
  <c r="Z89" i="3" s="1"/>
  <c r="R89" i="3"/>
  <c r="X89" i="3" s="1"/>
  <c r="P89" i="3"/>
  <c r="V89" i="3" s="1"/>
  <c r="N89" i="3"/>
  <c r="J89" i="3"/>
  <c r="M89" i="3" s="1"/>
  <c r="O89" i="3" s="1"/>
  <c r="V88" i="3"/>
  <c r="S88" i="3"/>
  <c r="P87" i="3" s="1"/>
  <c r="M88" i="3"/>
  <c r="J87" i="3" s="1"/>
  <c r="W87" i="3"/>
  <c r="T87" i="3"/>
  <c r="Z87" i="3" s="1"/>
  <c r="N87" i="3"/>
  <c r="V86" i="3"/>
  <c r="S86" i="3"/>
  <c r="Y86" i="3" s="1"/>
  <c r="M86" i="3"/>
  <c r="J85" i="3" s="1"/>
  <c r="Z85" i="3"/>
  <c r="W85" i="3"/>
  <c r="T85" i="3"/>
  <c r="N85" i="3"/>
  <c r="V84" i="3"/>
  <c r="S84" i="3"/>
  <c r="Y84" i="3" s="1"/>
  <c r="M84" i="3"/>
  <c r="V83" i="3"/>
  <c r="S83" i="3"/>
  <c r="Y83" i="3" s="1"/>
  <c r="M83" i="3"/>
  <c r="Z82" i="3"/>
  <c r="W82" i="3"/>
  <c r="T82" i="3"/>
  <c r="P82" i="3"/>
  <c r="V82" i="3" s="1"/>
  <c r="N82" i="3"/>
  <c r="V81" i="3"/>
  <c r="S81" i="3"/>
  <c r="Y81" i="3" s="1"/>
  <c r="M81" i="3"/>
  <c r="V80" i="3"/>
  <c r="S80" i="3"/>
  <c r="Y80" i="3" s="1"/>
  <c r="M80" i="3"/>
  <c r="Z79" i="3"/>
  <c r="W79" i="3"/>
  <c r="T79" i="3"/>
  <c r="T78" i="3" s="1"/>
  <c r="N79" i="3"/>
  <c r="V77" i="3"/>
  <c r="S77" i="3"/>
  <c r="Y77" i="3" s="1"/>
  <c r="M77" i="3"/>
  <c r="Y76" i="3"/>
  <c r="V76" i="3"/>
  <c r="S76" i="3"/>
  <c r="M76" i="3"/>
  <c r="V75" i="3"/>
  <c r="S75" i="3"/>
  <c r="Y75" i="3" s="1"/>
  <c r="M75" i="3"/>
  <c r="Y74" i="3"/>
  <c r="V74" i="3"/>
  <c r="S74" i="3"/>
  <c r="M74" i="3"/>
  <c r="V73" i="3"/>
  <c r="S73" i="3"/>
  <c r="Y73" i="3" s="1"/>
  <c r="M73" i="3"/>
  <c r="W72" i="3"/>
  <c r="T72" i="3"/>
  <c r="Z72" i="3" s="1"/>
  <c r="N72" i="3"/>
  <c r="V71" i="3"/>
  <c r="S71" i="3"/>
  <c r="Y71" i="3" s="1"/>
  <c r="M71" i="3"/>
  <c r="V70" i="3"/>
  <c r="S70" i="3"/>
  <c r="Y70" i="3" s="1"/>
  <c r="M70" i="3"/>
  <c r="Y69" i="3"/>
  <c r="V69" i="3"/>
  <c r="S69" i="3"/>
  <c r="M69" i="3"/>
  <c r="V68" i="3"/>
  <c r="S68" i="3"/>
  <c r="Y68" i="3" s="1"/>
  <c r="M68" i="3"/>
  <c r="V67" i="3"/>
  <c r="S67" i="3"/>
  <c r="Y67" i="3" s="1"/>
  <c r="M67" i="3"/>
  <c r="W66" i="3"/>
  <c r="T66" i="3"/>
  <c r="Z66" i="3" s="1"/>
  <c r="N66" i="3"/>
  <c r="J66" i="3"/>
  <c r="M66" i="3" s="1"/>
  <c r="O66" i="3" s="1"/>
  <c r="V65" i="3"/>
  <c r="S65" i="3"/>
  <c r="Y65" i="3" s="1"/>
  <c r="M65" i="3"/>
  <c r="V64" i="3"/>
  <c r="S64" i="3"/>
  <c r="Y64" i="3" s="1"/>
  <c r="M64" i="3"/>
  <c r="V63" i="3"/>
  <c r="S63" i="3"/>
  <c r="Y63" i="3" s="1"/>
  <c r="M63" i="3"/>
  <c r="V62" i="3"/>
  <c r="S62" i="3"/>
  <c r="Y62" i="3" s="1"/>
  <c r="M62" i="3"/>
  <c r="V61" i="3"/>
  <c r="S61" i="3"/>
  <c r="Y61" i="3" s="1"/>
  <c r="M61" i="3"/>
  <c r="V60" i="3"/>
  <c r="S60" i="3"/>
  <c r="Y60" i="3" s="1"/>
  <c r="M60" i="3"/>
  <c r="V59" i="3"/>
  <c r="S59" i="3"/>
  <c r="M59" i="3"/>
  <c r="W58" i="3"/>
  <c r="T58" i="3"/>
  <c r="Z58" i="3" s="1"/>
  <c r="N58" i="3"/>
  <c r="V57" i="3"/>
  <c r="S57" i="3"/>
  <c r="Y57" i="3" s="1"/>
  <c r="M57" i="3"/>
  <c r="V56" i="3"/>
  <c r="S56" i="3"/>
  <c r="Y56" i="3" s="1"/>
  <c r="M56" i="3"/>
  <c r="V55" i="3"/>
  <c r="S55" i="3"/>
  <c r="Y55" i="3" s="1"/>
  <c r="M55" i="3"/>
  <c r="V54" i="3"/>
  <c r="S54" i="3"/>
  <c r="Y54" i="3" s="1"/>
  <c r="M54" i="3"/>
  <c r="V53" i="3"/>
  <c r="S53" i="3"/>
  <c r="Y53" i="3" s="1"/>
  <c r="M53" i="3"/>
  <c r="J52" i="3" s="1"/>
  <c r="M52" i="3" s="1"/>
  <c r="O52" i="3" s="1"/>
  <c r="W52" i="3"/>
  <c r="T52" i="3"/>
  <c r="Z52" i="3" s="1"/>
  <c r="N52" i="3"/>
  <c r="V51" i="3"/>
  <c r="S51" i="3"/>
  <c r="Y51" i="3" s="1"/>
  <c r="M51" i="3"/>
  <c r="V50" i="3"/>
  <c r="S50" i="3"/>
  <c r="Y50" i="3" s="1"/>
  <c r="M50" i="3"/>
  <c r="V49" i="3"/>
  <c r="S49" i="3"/>
  <c r="Y49" i="3" s="1"/>
  <c r="M49" i="3"/>
  <c r="V48" i="3"/>
  <c r="S48" i="3"/>
  <c r="Y48" i="3" s="1"/>
  <c r="M48" i="3"/>
  <c r="V47" i="3"/>
  <c r="S47" i="3"/>
  <c r="Y47" i="3" s="1"/>
  <c r="M47" i="3"/>
  <c r="W46" i="3"/>
  <c r="T46" i="3"/>
  <c r="Z46" i="3" s="1"/>
  <c r="N46" i="3"/>
  <c r="V45" i="3"/>
  <c r="S45" i="3"/>
  <c r="Y45" i="3" s="1"/>
  <c r="M45" i="3"/>
  <c r="V44" i="3"/>
  <c r="S44" i="3"/>
  <c r="Y44" i="3" s="1"/>
  <c r="M44" i="3"/>
  <c r="V43" i="3"/>
  <c r="S43" i="3"/>
  <c r="Y43" i="3" s="1"/>
  <c r="M43" i="3"/>
  <c r="V42" i="3"/>
  <c r="S42" i="3"/>
  <c r="Y42" i="3" s="1"/>
  <c r="M42" i="3"/>
  <c r="V41" i="3"/>
  <c r="S41" i="3"/>
  <c r="Y41" i="3" s="1"/>
  <c r="M41" i="3"/>
  <c r="J40" i="3" s="1"/>
  <c r="M40" i="3" s="1"/>
  <c r="O40" i="3" s="1"/>
  <c r="Z40" i="3"/>
  <c r="W40" i="3"/>
  <c r="T40" i="3"/>
  <c r="N40" i="3"/>
  <c r="V39" i="3"/>
  <c r="S39" i="3"/>
  <c r="Y39" i="3" s="1"/>
  <c r="M39" i="3"/>
  <c r="V38" i="3"/>
  <c r="S38" i="3"/>
  <c r="Y38" i="3" s="1"/>
  <c r="M38" i="3"/>
  <c r="V37" i="3"/>
  <c r="S37" i="3"/>
  <c r="Y37" i="3" s="1"/>
  <c r="M37" i="3"/>
  <c r="V36" i="3"/>
  <c r="S36" i="3"/>
  <c r="Y36" i="3" s="1"/>
  <c r="M36" i="3"/>
  <c r="V35" i="3"/>
  <c r="S35" i="3"/>
  <c r="Y35" i="3" s="1"/>
  <c r="M35" i="3"/>
  <c r="V34" i="3"/>
  <c r="S34" i="3"/>
  <c r="Y34" i="3" s="1"/>
  <c r="M34" i="3"/>
  <c r="V33" i="3"/>
  <c r="S33" i="3"/>
  <c r="P32" i="3" s="1"/>
  <c r="M33" i="3"/>
  <c r="W32" i="3"/>
  <c r="T32" i="3"/>
  <c r="Z32" i="3" s="1"/>
  <c r="N32" i="3"/>
  <c r="V31" i="3"/>
  <c r="S31" i="3"/>
  <c r="Y31" i="3" s="1"/>
  <c r="M31" i="3"/>
  <c r="V30" i="3"/>
  <c r="S30" i="3"/>
  <c r="Y30" i="3" s="1"/>
  <c r="M30" i="3"/>
  <c r="V29" i="3"/>
  <c r="S29" i="3"/>
  <c r="Y29" i="3" s="1"/>
  <c r="M29" i="3"/>
  <c r="V28" i="3"/>
  <c r="S28" i="3"/>
  <c r="Y28" i="3" s="1"/>
  <c r="M28" i="3"/>
  <c r="V27" i="3"/>
  <c r="S27" i="3"/>
  <c r="Y27" i="3" s="1"/>
  <c r="M27" i="3"/>
  <c r="V26" i="3"/>
  <c r="S26" i="3"/>
  <c r="Y26" i="3" s="1"/>
  <c r="M26" i="3"/>
  <c r="V25" i="3"/>
  <c r="S25" i="3"/>
  <c r="Y25" i="3" s="1"/>
  <c r="M25" i="3"/>
  <c r="W24" i="3"/>
  <c r="T24" i="3"/>
  <c r="Z24" i="3" s="1"/>
  <c r="N24" i="3"/>
  <c r="J24" i="3"/>
  <c r="M24" i="3" s="1"/>
  <c r="O24" i="3" s="1"/>
  <c r="V23" i="3"/>
  <c r="S23" i="3"/>
  <c r="P22" i="3" s="1"/>
  <c r="M23" i="3"/>
  <c r="J22" i="3" s="1"/>
  <c r="W22" i="3"/>
  <c r="T22" i="3"/>
  <c r="Z22" i="3" s="1"/>
  <c r="N22" i="3"/>
  <c r="V21" i="3"/>
  <c r="S21" i="3"/>
  <c r="Y21" i="3" s="1"/>
  <c r="M21" i="3"/>
  <c r="V20" i="3"/>
  <c r="S20" i="3"/>
  <c r="Y20" i="3" s="1"/>
  <c r="M20" i="3"/>
  <c r="V19" i="3"/>
  <c r="S19" i="3"/>
  <c r="Y19" i="3" s="1"/>
  <c r="M19" i="3"/>
  <c r="W18" i="3"/>
  <c r="T18" i="3"/>
  <c r="Z18" i="3" s="1"/>
  <c r="N18" i="3"/>
  <c r="V17" i="3"/>
  <c r="S17" i="3"/>
  <c r="Y17" i="3" s="1"/>
  <c r="M17" i="3"/>
  <c r="V16" i="3"/>
  <c r="S16" i="3"/>
  <c r="Y16" i="3" s="1"/>
  <c r="M16" i="3"/>
  <c r="J15" i="3" s="1"/>
  <c r="W15" i="3"/>
  <c r="T15" i="3"/>
  <c r="T14" i="3" s="1"/>
  <c r="N15" i="3"/>
  <c r="P601" i="3" l="1"/>
  <c r="J652" i="3"/>
  <c r="J676" i="3"/>
  <c r="U692" i="3"/>
  <c r="P290" i="3"/>
  <c r="V290" i="3" s="1"/>
  <c r="J308" i="3"/>
  <c r="P589" i="3"/>
  <c r="J610" i="3"/>
  <c r="L610" i="3" s="1"/>
  <c r="J631" i="3"/>
  <c r="L631" i="3" s="1"/>
  <c r="J592" i="3"/>
  <c r="J670" i="3"/>
  <c r="L670" i="3" s="1"/>
  <c r="J655" i="3"/>
  <c r="L655" i="3" s="1"/>
  <c r="M583" i="3"/>
  <c r="O583" i="3" s="1"/>
  <c r="L583" i="3"/>
  <c r="J278" i="3"/>
  <c r="L278" i="3" s="1"/>
  <c r="J293" i="3"/>
  <c r="L293" i="3" s="1"/>
  <c r="Y590" i="3"/>
  <c r="P634" i="3"/>
  <c r="P646" i="3"/>
  <c r="S646" i="3" s="1"/>
  <c r="P676" i="3"/>
  <c r="R676" i="3" s="1"/>
  <c r="X676" i="3" s="1"/>
  <c r="Y300" i="3"/>
  <c r="J353" i="3"/>
  <c r="M353" i="3" s="1"/>
  <c r="O353" i="3" s="1"/>
  <c r="J544" i="3"/>
  <c r="J556" i="3"/>
  <c r="M556" i="3" s="1"/>
  <c r="O556" i="3" s="1"/>
  <c r="J562" i="3"/>
  <c r="M562" i="3" s="1"/>
  <c r="O562" i="3" s="1"/>
  <c r="J598" i="3"/>
  <c r="J616" i="3"/>
  <c r="L616" i="3" s="1"/>
  <c r="P664" i="3"/>
  <c r="R664" i="3" s="1"/>
  <c r="X664" i="3" s="1"/>
  <c r="J547" i="3"/>
  <c r="J559" i="3"/>
  <c r="L559" i="3" s="1"/>
  <c r="J619" i="3"/>
  <c r="L619" i="3" s="1"/>
  <c r="J634" i="3"/>
  <c r="L634" i="3" s="1"/>
  <c r="J341" i="3"/>
  <c r="M341" i="3" s="1"/>
  <c r="O341" i="3" s="1"/>
  <c r="J550" i="3"/>
  <c r="M550" i="3" s="1"/>
  <c r="J577" i="3"/>
  <c r="M577" i="3" s="1"/>
  <c r="O577" i="3" s="1"/>
  <c r="J595" i="3"/>
  <c r="L595" i="3" s="1"/>
  <c r="J622" i="3"/>
  <c r="J649" i="3"/>
  <c r="L649" i="3" s="1"/>
  <c r="J323" i="3"/>
  <c r="M323" i="3" s="1"/>
  <c r="O323" i="3" s="1"/>
  <c r="P407" i="3"/>
  <c r="V407" i="3" s="1"/>
  <c r="J483" i="3"/>
  <c r="M483" i="3" s="1"/>
  <c r="O483" i="3" s="1"/>
  <c r="J496" i="3"/>
  <c r="M496" i="3" s="1"/>
  <c r="O496" i="3" s="1"/>
  <c r="J553" i="3"/>
  <c r="M553" i="3" s="1"/>
  <c r="O553" i="3" s="1"/>
  <c r="J568" i="3"/>
  <c r="M568" i="3" s="1"/>
  <c r="O568" i="3" s="1"/>
  <c r="J580" i="3"/>
  <c r="M580" i="3" s="1"/>
  <c r="O580" i="3" s="1"/>
  <c r="P604" i="3"/>
  <c r="R604" i="3" s="1"/>
  <c r="X604" i="3" s="1"/>
  <c r="J607" i="3"/>
  <c r="J667" i="3"/>
  <c r="L667" i="3" s="1"/>
  <c r="M652" i="3"/>
  <c r="O652" i="3" s="1"/>
  <c r="L652" i="3"/>
  <c r="J362" i="3"/>
  <c r="L362" i="3" s="1"/>
  <c r="J407" i="3"/>
  <c r="L407" i="3" s="1"/>
  <c r="J646" i="3"/>
  <c r="M646" i="3" s="1"/>
  <c r="O646" i="3" s="1"/>
  <c r="J305" i="3"/>
  <c r="L305" i="3" s="1"/>
  <c r="J359" i="3"/>
  <c r="M359" i="3" s="1"/>
  <c r="O359" i="3" s="1"/>
  <c r="O550" i="3"/>
  <c r="P652" i="3"/>
  <c r="S652" i="3" s="1"/>
  <c r="U652" i="3" s="1"/>
  <c r="J296" i="3"/>
  <c r="M296" i="3" s="1"/>
  <c r="O296" i="3" s="1"/>
  <c r="P372" i="3"/>
  <c r="V372" i="3" s="1"/>
  <c r="J664" i="3"/>
  <c r="L664" i="3" s="1"/>
  <c r="P673" i="3"/>
  <c r="R673" i="3" s="1"/>
  <c r="X673" i="3" s="1"/>
  <c r="J433" i="3"/>
  <c r="M433" i="3" s="1"/>
  <c r="O433" i="3" s="1"/>
  <c r="N262" i="3"/>
  <c r="J338" i="3"/>
  <c r="M338" i="3" s="1"/>
  <c r="O338" i="3" s="1"/>
  <c r="P427" i="3"/>
  <c r="R427" i="3" s="1"/>
  <c r="X427" i="3" s="1"/>
  <c r="Y605" i="3"/>
  <c r="L640" i="3"/>
  <c r="J320" i="3"/>
  <c r="M320" i="3" s="1"/>
  <c r="O320" i="3" s="1"/>
  <c r="J299" i="3"/>
  <c r="L299" i="3" s="1"/>
  <c r="P381" i="3"/>
  <c r="S381" i="3" s="1"/>
  <c r="U381" i="3" s="1"/>
  <c r="J739" i="3"/>
  <c r="M739" i="3" s="1"/>
  <c r="O739" i="3" s="1"/>
  <c r="P356" i="3"/>
  <c r="R356" i="3" s="1"/>
  <c r="X356" i="3" s="1"/>
  <c r="J386" i="3"/>
  <c r="M386" i="3" s="1"/>
  <c r="O386" i="3" s="1"/>
  <c r="J541" i="3"/>
  <c r="M541" i="3" s="1"/>
  <c r="O541" i="3" s="1"/>
  <c r="J314" i="3"/>
  <c r="M314" i="3" s="1"/>
  <c r="O314" i="3" s="1"/>
  <c r="J281" i="3"/>
  <c r="M281" i="3" s="1"/>
  <c r="O281" i="3" s="1"/>
  <c r="J332" i="3"/>
  <c r="M332" i="3" s="1"/>
  <c r="O332" i="3" s="1"/>
  <c r="J350" i="3"/>
  <c r="L350" i="3" s="1"/>
  <c r="P359" i="3"/>
  <c r="V359" i="3" s="1"/>
  <c r="P586" i="3"/>
  <c r="P598" i="3"/>
  <c r="V598" i="3" s="1"/>
  <c r="J613" i="3"/>
  <c r="M613" i="3" s="1"/>
  <c r="O613" i="3" s="1"/>
  <c r="J209" i="3"/>
  <c r="M209" i="3" s="1"/>
  <c r="O209" i="3" s="1"/>
  <c r="P202" i="3"/>
  <c r="V202" i="3" s="1"/>
  <c r="J206" i="3"/>
  <c r="M206" i="3" s="1"/>
  <c r="O206" i="3" s="1"/>
  <c r="L344" i="3"/>
  <c r="M344" i="3"/>
  <c r="O344" i="3" s="1"/>
  <c r="L592" i="3"/>
  <c r="M592" i="3"/>
  <c r="O592" i="3" s="1"/>
  <c r="L607" i="3"/>
  <c r="M607" i="3"/>
  <c r="O607" i="3" s="1"/>
  <c r="M664" i="3"/>
  <c r="O664" i="3" s="1"/>
  <c r="M698" i="3"/>
  <c r="O698" i="3" s="1"/>
  <c r="L698" i="3"/>
  <c r="L359" i="3"/>
  <c r="M694" i="3"/>
  <c r="L694" i="3"/>
  <c r="L284" i="3"/>
  <c r="P296" i="3"/>
  <c r="M628" i="3"/>
  <c r="O628" i="3" s="1"/>
  <c r="P680" i="3"/>
  <c r="V680" i="3" s="1"/>
  <c r="O690" i="3"/>
  <c r="Y699" i="3"/>
  <c r="P700" i="3"/>
  <c r="R700" i="3" s="1"/>
  <c r="X700" i="3" s="1"/>
  <c r="J444" i="3"/>
  <c r="L444" i="3" s="1"/>
  <c r="J452" i="3"/>
  <c r="M452" i="3" s="1"/>
  <c r="O452" i="3" s="1"/>
  <c r="J574" i="3"/>
  <c r="M574" i="3" s="1"/>
  <c r="O574" i="3" s="1"/>
  <c r="P640" i="3"/>
  <c r="R640" i="3" s="1"/>
  <c r="X640" i="3" s="1"/>
  <c r="P688" i="3"/>
  <c r="V688" i="3" s="1"/>
  <c r="T752" i="3"/>
  <c r="J753" i="3"/>
  <c r="M753" i="3" s="1"/>
  <c r="J774" i="3"/>
  <c r="L774" i="3" s="1"/>
  <c r="J269" i="3"/>
  <c r="L269" i="3" s="1"/>
  <c r="Y291" i="3"/>
  <c r="P293" i="3"/>
  <c r="S293" i="3" s="1"/>
  <c r="J372" i="3"/>
  <c r="L372" i="3" s="1"/>
  <c r="J396" i="3"/>
  <c r="L396" i="3" s="1"/>
  <c r="N443" i="3"/>
  <c r="P696" i="3"/>
  <c r="S696" i="3" s="1"/>
  <c r="J317" i="3"/>
  <c r="M317" i="3" s="1"/>
  <c r="O317" i="3" s="1"/>
  <c r="Y428" i="3"/>
  <c r="J427" i="3"/>
  <c r="L427" i="3" s="1"/>
  <c r="P438" i="3"/>
  <c r="R438" i="3" s="1"/>
  <c r="X438" i="3" s="1"/>
  <c r="Y599" i="3"/>
  <c r="J601" i="3"/>
  <c r="L601" i="3" s="1"/>
  <c r="M631" i="3"/>
  <c r="O631" i="3" s="1"/>
  <c r="N537" i="3"/>
  <c r="Y587" i="3"/>
  <c r="M637" i="3"/>
  <c r="O637" i="3" s="1"/>
  <c r="M658" i="3"/>
  <c r="O658" i="3" s="1"/>
  <c r="P661" i="3"/>
  <c r="S661" i="3" s="1"/>
  <c r="J700" i="3"/>
  <c r="M700" i="3" s="1"/>
  <c r="O700" i="3" s="1"/>
  <c r="L353" i="3"/>
  <c r="J290" i="3"/>
  <c r="J381" i="3"/>
  <c r="L381" i="3" s="1"/>
  <c r="P275" i="3"/>
  <c r="V275" i="3" s="1"/>
  <c r="J335" i="3"/>
  <c r="M335" i="3" s="1"/>
  <c r="O335" i="3" s="1"/>
  <c r="P362" i="3"/>
  <c r="J402" i="3"/>
  <c r="L402" i="3" s="1"/>
  <c r="P287" i="3"/>
  <c r="R287" i="3" s="1"/>
  <c r="X287" i="3" s="1"/>
  <c r="J287" i="3"/>
  <c r="M287" i="3" s="1"/>
  <c r="O287" i="3" s="1"/>
  <c r="M299" i="3"/>
  <c r="O299" i="3" s="1"/>
  <c r="J311" i="3"/>
  <c r="M311" i="3" s="1"/>
  <c r="O311" i="3" s="1"/>
  <c r="M326" i="3"/>
  <c r="O326" i="3" s="1"/>
  <c r="J377" i="3"/>
  <c r="J390" i="3"/>
  <c r="L390" i="3" s="1"/>
  <c r="P402" i="3"/>
  <c r="S402" i="3" s="1"/>
  <c r="J466" i="3"/>
  <c r="M466" i="3" s="1"/>
  <c r="O466" i="3" s="1"/>
  <c r="J531" i="3"/>
  <c r="M531" i="3" s="1"/>
  <c r="O531" i="3" s="1"/>
  <c r="L580" i="3"/>
  <c r="J586" i="3"/>
  <c r="J589" i="3"/>
  <c r="M589" i="3" s="1"/>
  <c r="O589" i="3" s="1"/>
  <c r="P631" i="3"/>
  <c r="V631" i="3" s="1"/>
  <c r="O640" i="3"/>
  <c r="J673" i="3"/>
  <c r="L673" i="3" s="1"/>
  <c r="V381" i="3"/>
  <c r="J302" i="3"/>
  <c r="J329" i="3"/>
  <c r="M329" i="3" s="1"/>
  <c r="O329" i="3" s="1"/>
  <c r="J263" i="3"/>
  <c r="M263" i="3" s="1"/>
  <c r="Y276" i="3"/>
  <c r="P284" i="3"/>
  <c r="S284" i="3" s="1"/>
  <c r="J347" i="3"/>
  <c r="M347" i="3" s="1"/>
  <c r="O347" i="3" s="1"/>
  <c r="J367" i="3"/>
  <c r="L367" i="3" s="1"/>
  <c r="P377" i="3"/>
  <c r="P386" i="3"/>
  <c r="P390" i="3"/>
  <c r="R390" i="3" s="1"/>
  <c r="X390" i="3" s="1"/>
  <c r="J506" i="3"/>
  <c r="M506" i="3" s="1"/>
  <c r="O506" i="3" s="1"/>
  <c r="T515" i="3"/>
  <c r="J571" i="3"/>
  <c r="M571" i="3" s="1"/>
  <c r="O571" i="3" s="1"/>
  <c r="J604" i="3"/>
  <c r="L604" i="3" s="1"/>
  <c r="P658" i="3"/>
  <c r="R658" i="3" s="1"/>
  <c r="X658" i="3" s="1"/>
  <c r="M670" i="3"/>
  <c r="O670" i="3" s="1"/>
  <c r="P684" i="3"/>
  <c r="S684" i="3" s="1"/>
  <c r="U684" i="3" s="1"/>
  <c r="L686" i="3"/>
  <c r="Y687" i="3"/>
  <c r="Y691" i="3"/>
  <c r="P367" i="3"/>
  <c r="P396" i="3"/>
  <c r="J417" i="3"/>
  <c r="M417" i="3" s="1"/>
  <c r="O417" i="3" s="1"/>
  <c r="N515" i="3"/>
  <c r="J522" i="3"/>
  <c r="L522" i="3" s="1"/>
  <c r="P649" i="3"/>
  <c r="R649" i="3" s="1"/>
  <c r="X649" i="3" s="1"/>
  <c r="J661" i="3"/>
  <c r="M134" i="3"/>
  <c r="O134" i="3" s="1"/>
  <c r="L134" i="3"/>
  <c r="M159" i="3"/>
  <c r="O159" i="3" s="1"/>
  <c r="L159" i="3"/>
  <c r="M149" i="3"/>
  <c r="O149" i="3" s="1"/>
  <c r="L149" i="3"/>
  <c r="L22" i="3"/>
  <c r="M22" i="3"/>
  <c r="O22" i="3" s="1"/>
  <c r="M122" i="3"/>
  <c r="O122" i="3" s="1"/>
  <c r="L122" i="3"/>
  <c r="M154" i="3"/>
  <c r="O154" i="3" s="1"/>
  <c r="L154" i="3"/>
  <c r="M108" i="3"/>
  <c r="O108" i="3" s="1"/>
  <c r="L108" i="3"/>
  <c r="M100" i="3"/>
  <c r="O100" i="3" s="1"/>
  <c r="L100" i="3"/>
  <c r="M116" i="3"/>
  <c r="O116" i="3" s="1"/>
  <c r="L116" i="3"/>
  <c r="M85" i="3"/>
  <c r="O85" i="3" s="1"/>
  <c r="L85" i="3"/>
  <c r="M144" i="3"/>
  <c r="O144" i="3" s="1"/>
  <c r="L144" i="3"/>
  <c r="L139" i="3"/>
  <c r="P144" i="3"/>
  <c r="R144" i="3" s="1"/>
  <c r="X144" i="3" s="1"/>
  <c r="P66" i="3"/>
  <c r="S66" i="3" s="1"/>
  <c r="P58" i="3"/>
  <c r="R82" i="3"/>
  <c r="X82" i="3" s="1"/>
  <c r="J82" i="3"/>
  <c r="P85" i="3"/>
  <c r="L89" i="3"/>
  <c r="Z94" i="3"/>
  <c r="P108" i="3"/>
  <c r="R108" i="3" s="1"/>
  <c r="X108" i="3" s="1"/>
  <c r="L129" i="3"/>
  <c r="P134" i="3"/>
  <c r="N14" i="3"/>
  <c r="P24" i="3"/>
  <c r="V24" i="3" s="1"/>
  <c r="N78" i="3"/>
  <c r="P100" i="3"/>
  <c r="R100" i="3" s="1"/>
  <c r="X100" i="3" s="1"/>
  <c r="J112" i="3"/>
  <c r="P149" i="3"/>
  <c r="R149" i="3" s="1"/>
  <c r="X149" i="3" s="1"/>
  <c r="Z15" i="3"/>
  <c r="Z14" i="3" s="1"/>
  <c r="J32" i="3"/>
  <c r="T13" i="3"/>
  <c r="J18" i="3"/>
  <c r="J58" i="3"/>
  <c r="P79" i="3"/>
  <c r="Z78" i="3"/>
  <c r="P112" i="3"/>
  <c r="V112" i="3" s="1"/>
  <c r="P119" i="3"/>
  <c r="P15" i="3"/>
  <c r="V15" i="3" s="1"/>
  <c r="J46" i="3"/>
  <c r="J72" i="3"/>
  <c r="L72" i="3" s="1"/>
  <c r="J79" i="3"/>
  <c r="P139" i="3"/>
  <c r="S139" i="3" s="1"/>
  <c r="N93" i="3"/>
  <c r="P105" i="3"/>
  <c r="R105" i="3" s="1"/>
  <c r="X105" i="3" s="1"/>
  <c r="P154" i="3"/>
  <c r="P129" i="3"/>
  <c r="O139" i="3"/>
  <c r="P199" i="3"/>
  <c r="V199" i="3" s="1"/>
  <c r="J185" i="3"/>
  <c r="L185" i="3" s="1"/>
  <c r="J173" i="3"/>
  <c r="M173" i="3" s="1"/>
  <c r="O173" i="3" s="1"/>
  <c r="J202" i="3"/>
  <c r="M202" i="3" s="1"/>
  <c r="O202" i="3" s="1"/>
  <c r="O250" i="3"/>
  <c r="J254" i="3"/>
  <c r="M254" i="3" s="1"/>
  <c r="O254" i="3" s="1"/>
  <c r="J192" i="3"/>
  <c r="L192" i="3" s="1"/>
  <c r="J221" i="3"/>
  <c r="M221" i="3" s="1"/>
  <c r="O221" i="3" s="1"/>
  <c r="J178" i="3"/>
  <c r="M178" i="3" s="1"/>
  <c r="O178" i="3" s="1"/>
  <c r="P188" i="3"/>
  <c r="R188" i="3" s="1"/>
  <c r="X188" i="3" s="1"/>
  <c r="J199" i="3"/>
  <c r="L199" i="3" s="1"/>
  <c r="J212" i="3"/>
  <c r="L212" i="3" s="1"/>
  <c r="J226" i="3"/>
  <c r="M226" i="3" s="1"/>
  <c r="O226" i="3" s="1"/>
  <c r="P212" i="3"/>
  <c r="V212" i="3" s="1"/>
  <c r="P192" i="3"/>
  <c r="V192" i="3" s="1"/>
  <c r="J215" i="3"/>
  <c r="M215" i="3" s="1"/>
  <c r="O215" i="3" s="1"/>
  <c r="J218" i="3"/>
  <c r="M218" i="3" s="1"/>
  <c r="O218" i="3" s="1"/>
  <c r="Y247" i="3"/>
  <c r="P258" i="3"/>
  <c r="S258" i="3" s="1"/>
  <c r="J258" i="3"/>
  <c r="M258" i="3" s="1"/>
  <c r="O258" i="3" s="1"/>
  <c r="M516" i="3"/>
  <c r="O516" i="3" s="1"/>
  <c r="L516" i="3"/>
  <c r="Y517" i="3"/>
  <c r="P452" i="3"/>
  <c r="S452" i="3" s="1"/>
  <c r="J474" i="3"/>
  <c r="M474" i="3" s="1"/>
  <c r="O474" i="3" s="1"/>
  <c r="J463" i="3"/>
  <c r="M463" i="3" s="1"/>
  <c r="O463" i="3" s="1"/>
  <c r="J448" i="3"/>
  <c r="L448" i="3" s="1"/>
  <c r="Y453" i="3"/>
  <c r="J479" i="3"/>
  <c r="M479" i="3" s="1"/>
  <c r="O479" i="3" s="1"/>
  <c r="P510" i="3"/>
  <c r="J528" i="3"/>
  <c r="M528" i="3" s="1"/>
  <c r="O528" i="3" s="1"/>
  <c r="N521" i="3"/>
  <c r="J534" i="3"/>
  <c r="L534" i="3" s="1"/>
  <c r="L538" i="3"/>
  <c r="J525" i="3"/>
  <c r="M525" i="3" s="1"/>
  <c r="O525" i="3" s="1"/>
  <c r="P448" i="3"/>
  <c r="S448" i="3" s="1"/>
  <c r="J460" i="3"/>
  <c r="L460" i="3" s="1"/>
  <c r="J510" i="3"/>
  <c r="Y519" i="3"/>
  <c r="J491" i="3"/>
  <c r="J456" i="3"/>
  <c r="L456" i="3" s="1"/>
  <c r="J487" i="3"/>
  <c r="L487" i="3" s="1"/>
  <c r="J501" i="3"/>
  <c r="M501" i="3" s="1"/>
  <c r="O501" i="3" s="1"/>
  <c r="P250" i="3"/>
  <c r="R250" i="3" s="1"/>
  <c r="X250" i="3" s="1"/>
  <c r="P231" i="3"/>
  <c r="S231" i="3" s="1"/>
  <c r="J236" i="3"/>
  <c r="L236" i="3" s="1"/>
  <c r="J246" i="3"/>
  <c r="P226" i="3"/>
  <c r="V226" i="3" s="1"/>
  <c r="J231" i="3"/>
  <c r="P206" i="3"/>
  <c r="S206" i="3" s="1"/>
  <c r="P218" i="3"/>
  <c r="V218" i="3" s="1"/>
  <c r="P181" i="3"/>
  <c r="V181" i="3" s="1"/>
  <c r="P209" i="3"/>
  <c r="V209" i="3" s="1"/>
  <c r="Y182" i="3"/>
  <c r="J188" i="3"/>
  <c r="M188" i="3" s="1"/>
  <c r="O188" i="3" s="1"/>
  <c r="J195" i="3"/>
  <c r="M195" i="3" s="1"/>
  <c r="O195" i="3" s="1"/>
  <c r="T165" i="3"/>
  <c r="N165" i="3"/>
  <c r="J181" i="3"/>
  <c r="M181" i="3" s="1"/>
  <c r="O181" i="3" s="1"/>
  <c r="M236" i="3"/>
  <c r="O236" i="3" s="1"/>
  <c r="P241" i="3"/>
  <c r="R241" i="3" s="1"/>
  <c r="X241" i="3" s="1"/>
  <c r="J241" i="3"/>
  <c r="P236" i="3"/>
  <c r="R236" i="3" s="1"/>
  <c r="X236" i="3" s="1"/>
  <c r="P221" i="3"/>
  <c r="V221" i="3" s="1"/>
  <c r="J169" i="3"/>
  <c r="M169" i="3" s="1"/>
  <c r="O169" i="3" s="1"/>
  <c r="L58" i="3"/>
  <c r="M58" i="3"/>
  <c r="O58" i="3" s="1"/>
  <c r="R119" i="3"/>
  <c r="X119" i="3" s="1"/>
  <c r="S119" i="3"/>
  <c r="V119" i="3"/>
  <c r="R125" i="3"/>
  <c r="X125" i="3" s="1"/>
  <c r="S125" i="3"/>
  <c r="V125" i="3"/>
  <c r="M166" i="3"/>
  <c r="L166" i="3"/>
  <c r="S58" i="3"/>
  <c r="R58" i="3"/>
  <c r="X58" i="3" s="1"/>
  <c r="V58" i="3"/>
  <c r="V100" i="3"/>
  <c r="S22" i="3"/>
  <c r="R22" i="3"/>
  <c r="X22" i="3" s="1"/>
  <c r="V22" i="3"/>
  <c r="L46" i="3"/>
  <c r="M46" i="3"/>
  <c r="O46" i="3" s="1"/>
  <c r="M79" i="3"/>
  <c r="L79" i="3"/>
  <c r="R139" i="3"/>
  <c r="X139" i="3" s="1"/>
  <c r="V139" i="3"/>
  <c r="R134" i="3"/>
  <c r="X134" i="3" s="1"/>
  <c r="S134" i="3"/>
  <c r="V134" i="3"/>
  <c r="M18" i="3"/>
  <c r="O18" i="3" s="1"/>
  <c r="L18" i="3"/>
  <c r="S32" i="3"/>
  <c r="R32" i="3"/>
  <c r="X32" i="3" s="1"/>
  <c r="V32" i="3"/>
  <c r="M87" i="3"/>
  <c r="O87" i="3" s="1"/>
  <c r="L87" i="3"/>
  <c r="V105" i="3"/>
  <c r="R154" i="3"/>
  <c r="X154" i="3" s="1"/>
  <c r="V154" i="3"/>
  <c r="S154" i="3"/>
  <c r="S91" i="3"/>
  <c r="R91" i="3"/>
  <c r="X91" i="3" s="1"/>
  <c r="V91" i="3"/>
  <c r="N13" i="3"/>
  <c r="S87" i="3"/>
  <c r="R87" i="3"/>
  <c r="X87" i="3" s="1"/>
  <c r="V87" i="3"/>
  <c r="M94" i="3"/>
  <c r="L94" i="3"/>
  <c r="R129" i="3"/>
  <c r="X129" i="3" s="1"/>
  <c r="V129" i="3"/>
  <c r="S129" i="3"/>
  <c r="L173" i="3"/>
  <c r="M91" i="3"/>
  <c r="O91" i="3" s="1"/>
  <c r="L91" i="3"/>
  <c r="M112" i="3"/>
  <c r="O112" i="3" s="1"/>
  <c r="L112" i="3"/>
  <c r="Z93" i="3"/>
  <c r="Z13" i="3" s="1"/>
  <c r="R116" i="3"/>
  <c r="X116" i="3" s="1"/>
  <c r="V116" i="3"/>
  <c r="S116" i="3"/>
  <c r="R122" i="3"/>
  <c r="X122" i="3" s="1"/>
  <c r="S122" i="3"/>
  <c r="V122" i="3"/>
  <c r="M82" i="3"/>
  <c r="O82" i="3" s="1"/>
  <c r="L82" i="3"/>
  <c r="L32" i="3"/>
  <c r="M32" i="3"/>
  <c r="O32" i="3" s="1"/>
  <c r="L15" i="3"/>
  <c r="M15" i="3"/>
  <c r="Y66" i="3"/>
  <c r="AA66" i="3" s="1"/>
  <c r="U66" i="3"/>
  <c r="R159" i="3"/>
  <c r="X159" i="3" s="1"/>
  <c r="S159" i="3"/>
  <c r="V159" i="3"/>
  <c r="L209" i="3"/>
  <c r="V258" i="3"/>
  <c r="P40" i="3"/>
  <c r="V402" i="3"/>
  <c r="V700" i="3"/>
  <c r="R15" i="3"/>
  <c r="X15" i="3" s="1"/>
  <c r="R24" i="3"/>
  <c r="X24" i="3" s="1"/>
  <c r="R66" i="3"/>
  <c r="X66" i="3" s="1"/>
  <c r="L206" i="3"/>
  <c r="Y280" i="3"/>
  <c r="P278" i="3"/>
  <c r="L281" i="3"/>
  <c r="Y304" i="3"/>
  <c r="P302" i="3"/>
  <c r="P341" i="3"/>
  <c r="Y342" i="3"/>
  <c r="M676" i="3"/>
  <c r="O676" i="3" s="1"/>
  <c r="L676" i="3"/>
  <c r="P18" i="3"/>
  <c r="P52" i="3"/>
  <c r="S254" i="3"/>
  <c r="R254" i="3"/>
  <c r="X254" i="3" s="1"/>
  <c r="P456" i="3"/>
  <c r="Y457" i="3"/>
  <c r="S15" i="3"/>
  <c r="Y23" i="3"/>
  <c r="Y255" i="3"/>
  <c r="S79" i="3"/>
  <c r="S82" i="3"/>
  <c r="S85" i="3"/>
  <c r="Y88" i="3"/>
  <c r="S89" i="3"/>
  <c r="Y92" i="3"/>
  <c r="R94" i="3"/>
  <c r="X94" i="3" s="1"/>
  <c r="R127" i="3"/>
  <c r="X127" i="3" s="1"/>
  <c r="P173" i="3"/>
  <c r="P185" i="3"/>
  <c r="S215" i="3"/>
  <c r="R215" i="3"/>
  <c r="X215" i="3" s="1"/>
  <c r="Y237" i="3"/>
  <c r="Y252" i="3"/>
  <c r="V287" i="3"/>
  <c r="L332" i="3"/>
  <c r="S24" i="3"/>
  <c r="Y33" i="3"/>
  <c r="Y59" i="3"/>
  <c r="Y242" i="3"/>
  <c r="L24" i="3"/>
  <c r="L40" i="3"/>
  <c r="P46" i="3"/>
  <c r="L52" i="3"/>
  <c r="L66" i="3"/>
  <c r="P72" i="3"/>
  <c r="S94" i="3"/>
  <c r="Y101" i="3"/>
  <c r="Y106" i="3"/>
  <c r="Y109" i="3"/>
  <c r="Y114" i="3"/>
  <c r="Y117" i="3"/>
  <c r="Y120" i="3"/>
  <c r="Y123" i="3"/>
  <c r="Y126" i="3"/>
  <c r="S127" i="3"/>
  <c r="Y130" i="3"/>
  <c r="Y135" i="3"/>
  <c r="Y140" i="3"/>
  <c r="Y145" i="3"/>
  <c r="Y150" i="3"/>
  <c r="Y155" i="3"/>
  <c r="Y160" i="3"/>
  <c r="Y204" i="3"/>
  <c r="Y232" i="3"/>
  <c r="Y260" i="3"/>
  <c r="M278" i="3"/>
  <c r="O278" i="3" s="1"/>
  <c r="P281" i="3"/>
  <c r="L386" i="3"/>
  <c r="P491" i="3"/>
  <c r="Y493" i="3"/>
  <c r="V66" i="3"/>
  <c r="P166" i="3"/>
  <c r="Z166" i="3"/>
  <c r="Z165" i="3" s="1"/>
  <c r="P178" i="3"/>
  <c r="Y190" i="3"/>
  <c r="P195" i="3"/>
  <c r="Y207" i="3"/>
  <c r="Y210" i="3"/>
  <c r="Y213" i="3"/>
  <c r="Y216" i="3"/>
  <c r="Y219" i="3"/>
  <c r="Y222" i="3"/>
  <c r="Y227" i="3"/>
  <c r="V254" i="3"/>
  <c r="P263" i="3"/>
  <c r="V284" i="3"/>
  <c r="Y470" i="3"/>
  <c r="P469" i="3"/>
  <c r="Y193" i="3"/>
  <c r="S290" i="3"/>
  <c r="R290" i="3"/>
  <c r="X290" i="3" s="1"/>
  <c r="S299" i="3"/>
  <c r="V299" i="3"/>
  <c r="P169" i="3"/>
  <c r="Z269" i="3"/>
  <c r="Z262" i="3" s="1"/>
  <c r="T262" i="3"/>
  <c r="Y196" i="3"/>
  <c r="V206" i="3"/>
  <c r="S246" i="3"/>
  <c r="R246" i="3"/>
  <c r="X246" i="3" s="1"/>
  <c r="Y270" i="3"/>
  <c r="P269" i="3"/>
  <c r="L275" i="3"/>
  <c r="M308" i="3"/>
  <c r="O308" i="3" s="1"/>
  <c r="L308" i="3"/>
  <c r="L377" i="3"/>
  <c r="M377" i="3"/>
  <c r="O377" i="3" s="1"/>
  <c r="P323" i="3"/>
  <c r="Y324" i="3"/>
  <c r="P347" i="3"/>
  <c r="Y348" i="3"/>
  <c r="L356" i="3"/>
  <c r="M356" i="3"/>
  <c r="O356" i="3" s="1"/>
  <c r="M427" i="3"/>
  <c r="O427" i="3" s="1"/>
  <c r="L433" i="3"/>
  <c r="P483" i="3"/>
  <c r="Y485" i="3"/>
  <c r="L250" i="3"/>
  <c r="L320" i="3"/>
  <c r="L323" i="3"/>
  <c r="Y424" i="3"/>
  <c r="P422" i="3"/>
  <c r="P305" i="3"/>
  <c r="P308" i="3"/>
  <c r="P311" i="3"/>
  <c r="P314" i="3"/>
  <c r="P317" i="3"/>
  <c r="Y446" i="3"/>
  <c r="P444" i="3"/>
  <c r="P329" i="3"/>
  <c r="Y330" i="3"/>
  <c r="Y408" i="3"/>
  <c r="Y418" i="3"/>
  <c r="P417" i="3"/>
  <c r="Y475" i="3"/>
  <c r="P474" i="3"/>
  <c r="S427" i="3"/>
  <c r="L568" i="3"/>
  <c r="P320" i="3"/>
  <c r="Y321" i="3"/>
  <c r="P350" i="3"/>
  <c r="Y351" i="3"/>
  <c r="J438" i="3"/>
  <c r="M444" i="3"/>
  <c r="Y465" i="3"/>
  <c r="P463" i="3"/>
  <c r="M544" i="3"/>
  <c r="O544" i="3" s="1"/>
  <c r="L544" i="3"/>
  <c r="P568" i="3"/>
  <c r="Y569" i="3"/>
  <c r="P574" i="3"/>
  <c r="Y575" i="3"/>
  <c r="L625" i="3"/>
  <c r="M625" i="3"/>
  <c r="O625" i="3" s="1"/>
  <c r="L643" i="3"/>
  <c r="M643" i="3"/>
  <c r="O643" i="3" s="1"/>
  <c r="P335" i="3"/>
  <c r="Y336" i="3"/>
  <c r="J422" i="3"/>
  <c r="P326" i="3"/>
  <c r="Y327" i="3"/>
  <c r="P344" i="3"/>
  <c r="Y345" i="3"/>
  <c r="J412" i="3"/>
  <c r="Z460" i="3"/>
  <c r="Z443" i="3" s="1"/>
  <c r="T443" i="3"/>
  <c r="L479" i="3"/>
  <c r="P353" i="3"/>
  <c r="Y354" i="3"/>
  <c r="P332" i="3"/>
  <c r="Y333" i="3"/>
  <c r="P338" i="3"/>
  <c r="Y339" i="3"/>
  <c r="P412" i="3"/>
  <c r="Y434" i="3"/>
  <c r="P433" i="3"/>
  <c r="J469" i="3"/>
  <c r="P534" i="3"/>
  <c r="Y535" i="3"/>
  <c r="O538" i="3"/>
  <c r="R448" i="3"/>
  <c r="X448" i="3" s="1"/>
  <c r="Y481" i="3"/>
  <c r="P479" i="3"/>
  <c r="P506" i="3"/>
  <c r="Y507" i="3"/>
  <c r="Z515" i="3"/>
  <c r="M518" i="3"/>
  <c r="O518" i="3" s="1"/>
  <c r="L518" i="3"/>
  <c r="P544" i="3"/>
  <c r="Y545" i="3"/>
  <c r="Y621" i="3"/>
  <c r="P619" i="3"/>
  <c r="M680" i="3"/>
  <c r="L680" i="3"/>
  <c r="L496" i="3"/>
  <c r="Y497" i="3"/>
  <c r="P496" i="3"/>
  <c r="P550" i="3"/>
  <c r="Y551" i="3"/>
  <c r="S589" i="3"/>
  <c r="V589" i="3"/>
  <c r="R589" i="3"/>
  <c r="X589" i="3" s="1"/>
  <c r="L598" i="3"/>
  <c r="M598" i="3"/>
  <c r="O598" i="3" s="1"/>
  <c r="Y630" i="3"/>
  <c r="P628" i="3"/>
  <c r="Y357" i="3"/>
  <c r="Y360" i="3"/>
  <c r="Y363" i="3"/>
  <c r="Y368" i="3"/>
  <c r="Y373" i="3"/>
  <c r="Y378" i="3"/>
  <c r="Y391" i="3"/>
  <c r="Y403" i="3"/>
  <c r="Y449" i="3"/>
  <c r="Y489" i="3"/>
  <c r="P487" i="3"/>
  <c r="V518" i="3"/>
  <c r="S518" i="3"/>
  <c r="R518" i="3"/>
  <c r="X518" i="3" s="1"/>
  <c r="T537" i="3"/>
  <c r="Z538" i="3"/>
  <c r="Z537" i="3" s="1"/>
  <c r="L550" i="3"/>
  <c r="Y597" i="3"/>
  <c r="P595" i="3"/>
  <c r="L622" i="3"/>
  <c r="M622" i="3"/>
  <c r="O622" i="3" s="1"/>
  <c r="M547" i="3"/>
  <c r="O547" i="3" s="1"/>
  <c r="L547" i="3"/>
  <c r="V448" i="3"/>
  <c r="P460" i="3"/>
  <c r="P466" i="3"/>
  <c r="P501" i="3"/>
  <c r="Y502" i="3"/>
  <c r="S510" i="3"/>
  <c r="R510" i="3"/>
  <c r="X510" i="3" s="1"/>
  <c r="V510" i="3"/>
  <c r="P522" i="3"/>
  <c r="Y523" i="3"/>
  <c r="P547" i="3"/>
  <c r="Y548" i="3"/>
  <c r="P583" i="3"/>
  <c r="Y584" i="3"/>
  <c r="M610" i="3"/>
  <c r="O610" i="3" s="1"/>
  <c r="Y618" i="3"/>
  <c r="P616" i="3"/>
  <c r="Y638" i="3"/>
  <c r="P637" i="3"/>
  <c r="P571" i="3"/>
  <c r="Y572" i="3"/>
  <c r="L753" i="3"/>
  <c r="O694" i="3"/>
  <c r="N679" i="3"/>
  <c r="P553" i="3"/>
  <c r="Y554" i="3"/>
  <c r="P577" i="3"/>
  <c r="Y578" i="3"/>
  <c r="S586" i="3"/>
  <c r="V586" i="3"/>
  <c r="R586" i="3"/>
  <c r="X586" i="3" s="1"/>
  <c r="R601" i="3"/>
  <c r="X601" i="3" s="1"/>
  <c r="S601" i="3"/>
  <c r="V601" i="3"/>
  <c r="P556" i="3"/>
  <c r="Y557" i="3"/>
  <c r="P580" i="3"/>
  <c r="Y581" i="3"/>
  <c r="Y615" i="3"/>
  <c r="P613" i="3"/>
  <c r="Y627" i="3"/>
  <c r="P625" i="3"/>
  <c r="V652" i="3"/>
  <c r="P525" i="3"/>
  <c r="Y526" i="3"/>
  <c r="P559" i="3"/>
  <c r="Y560" i="3"/>
  <c r="L565" i="3"/>
  <c r="Y594" i="3"/>
  <c r="P592" i="3"/>
  <c r="M619" i="3"/>
  <c r="O619" i="3" s="1"/>
  <c r="Y652" i="3"/>
  <c r="AA652" i="3" s="1"/>
  <c r="Z522" i="3"/>
  <c r="Z521" i="3" s="1"/>
  <c r="T521" i="3"/>
  <c r="P528" i="3"/>
  <c r="Y529" i="3"/>
  <c r="P538" i="3"/>
  <c r="Y539" i="3"/>
  <c r="P562" i="3"/>
  <c r="Y563" i="3"/>
  <c r="S598" i="3"/>
  <c r="Y612" i="3"/>
  <c r="P610" i="3"/>
  <c r="Y624" i="3"/>
  <c r="P622" i="3"/>
  <c r="S516" i="3"/>
  <c r="R516" i="3"/>
  <c r="X516" i="3" s="1"/>
  <c r="P531" i="3"/>
  <c r="Y532" i="3"/>
  <c r="P541" i="3"/>
  <c r="Y542" i="3"/>
  <c r="P565" i="3"/>
  <c r="Y566" i="3"/>
  <c r="V649" i="3"/>
  <c r="M682" i="3"/>
  <c r="O682" i="3" s="1"/>
  <c r="L682" i="3"/>
  <c r="P607" i="3"/>
  <c r="P655" i="3"/>
  <c r="Y657" i="3"/>
  <c r="M688" i="3"/>
  <c r="O688" i="3" s="1"/>
  <c r="L688" i="3"/>
  <c r="S634" i="3"/>
  <c r="V634" i="3"/>
  <c r="R631" i="3"/>
  <c r="X631" i="3" s="1"/>
  <c r="S631" i="3"/>
  <c r="R634" i="3"/>
  <c r="X634" i="3" s="1"/>
  <c r="P643" i="3"/>
  <c r="Y645" i="3"/>
  <c r="P670" i="3"/>
  <c r="M684" i="3"/>
  <c r="O684" i="3" s="1"/>
  <c r="L684" i="3"/>
  <c r="P694" i="3"/>
  <c r="Y695" i="3"/>
  <c r="M655" i="3"/>
  <c r="O655" i="3" s="1"/>
  <c r="P667" i="3"/>
  <c r="Y671" i="3"/>
  <c r="Z680" i="3"/>
  <c r="T679" i="3"/>
  <c r="M696" i="3"/>
  <c r="O696" i="3" s="1"/>
  <c r="L696" i="3"/>
  <c r="P714" i="3"/>
  <c r="Z751" i="3"/>
  <c r="AA751" i="3" s="1"/>
  <c r="U751" i="3"/>
  <c r="Y702" i="3"/>
  <c r="P727" i="3"/>
  <c r="P739" i="3"/>
  <c r="V682" i="3"/>
  <c r="S682" i="3"/>
  <c r="R682" i="3"/>
  <c r="X682" i="3" s="1"/>
  <c r="R692" i="3"/>
  <c r="X692" i="3" s="1"/>
  <c r="V692" i="3"/>
  <c r="Y715" i="3"/>
  <c r="V686" i="3"/>
  <c r="S686" i="3"/>
  <c r="R686" i="3"/>
  <c r="X686" i="3" s="1"/>
  <c r="V696" i="3"/>
  <c r="J714" i="3"/>
  <c r="Y728" i="3"/>
  <c r="P774" i="3"/>
  <c r="Y775" i="3"/>
  <c r="Y683" i="3"/>
  <c r="L690" i="3"/>
  <c r="V690" i="3"/>
  <c r="S690" i="3"/>
  <c r="R690" i="3"/>
  <c r="X690" i="3" s="1"/>
  <c r="J727" i="3"/>
  <c r="Z753" i="3"/>
  <c r="Z752" i="3" s="1"/>
  <c r="V698" i="3"/>
  <c r="S698" i="3"/>
  <c r="R698" i="3"/>
  <c r="X698" i="3" s="1"/>
  <c r="AA795" i="3"/>
  <c r="AA794" i="3" s="1"/>
  <c r="AA793" i="3" s="1"/>
  <c r="AA792" i="3" s="1"/>
  <c r="Z794" i="3"/>
  <c r="Z793" i="3" s="1"/>
  <c r="Z792" i="3" s="1"/>
  <c r="M692" i="3"/>
  <c r="O692" i="3" s="1"/>
  <c r="L692" i="3"/>
  <c r="Y692" i="3"/>
  <c r="AA692" i="3" s="1"/>
  <c r="P753" i="3"/>
  <c r="Y754" i="3"/>
  <c r="T794" i="3"/>
  <c r="T793" i="3" s="1"/>
  <c r="T792" i="3" s="1"/>
  <c r="U795" i="3"/>
  <c r="U794" i="3" s="1"/>
  <c r="U793" i="3" s="1"/>
  <c r="U792" i="3" s="1"/>
  <c r="N794" i="3"/>
  <c r="N793" i="3" s="1"/>
  <c r="N792" i="3" s="1"/>
  <c r="AA796" i="2"/>
  <c r="Z796" i="2"/>
  <c r="Y796" i="2"/>
  <c r="U796" i="2"/>
  <c r="T796" i="2"/>
  <c r="S796" i="2"/>
  <c r="O796" i="2"/>
  <c r="N796" i="2"/>
  <c r="M796" i="2"/>
  <c r="AA795" i="2"/>
  <c r="Z795" i="2"/>
  <c r="X795" i="2"/>
  <c r="W795" i="2"/>
  <c r="U795" i="2"/>
  <c r="T795" i="2"/>
  <c r="R795" i="2"/>
  <c r="O795" i="2"/>
  <c r="N795" i="2"/>
  <c r="L795" i="2"/>
  <c r="AA794" i="2"/>
  <c r="Z794" i="2"/>
  <c r="Y794" i="2"/>
  <c r="U794" i="2"/>
  <c r="T794" i="2"/>
  <c r="S794" i="2"/>
  <c r="O794" i="2"/>
  <c r="N794" i="2"/>
  <c r="M794" i="2"/>
  <c r="AA793" i="2"/>
  <c r="Z793" i="2"/>
  <c r="Y793" i="2"/>
  <c r="U793" i="2"/>
  <c r="T793" i="2"/>
  <c r="S793" i="2"/>
  <c r="O793" i="2"/>
  <c r="N793" i="2"/>
  <c r="M793" i="2"/>
  <c r="AA792" i="2"/>
  <c r="Z792" i="2"/>
  <c r="Y792" i="2"/>
  <c r="U792" i="2"/>
  <c r="T792" i="2"/>
  <c r="S792" i="2"/>
  <c r="O792" i="2"/>
  <c r="N792" i="2"/>
  <c r="M792" i="2"/>
  <c r="Y791" i="2"/>
  <c r="V791" i="2"/>
  <c r="S791" i="2"/>
  <c r="M791" i="2"/>
  <c r="Y790" i="2"/>
  <c r="V790" i="2"/>
  <c r="S790" i="2"/>
  <c r="M790" i="2"/>
  <c r="Y789" i="2"/>
  <c r="V789" i="2"/>
  <c r="S789" i="2"/>
  <c r="M789" i="2"/>
  <c r="Y788" i="2"/>
  <c r="V788" i="2"/>
  <c r="S788" i="2"/>
  <c r="M788" i="2"/>
  <c r="Y787" i="2"/>
  <c r="V787" i="2"/>
  <c r="S787" i="2"/>
  <c r="M787" i="2"/>
  <c r="Y786" i="2"/>
  <c r="V786" i="2"/>
  <c r="S786" i="2"/>
  <c r="M786" i="2"/>
  <c r="Y785" i="2"/>
  <c r="V785" i="2"/>
  <c r="S785" i="2"/>
  <c r="M785" i="2"/>
  <c r="Y784" i="2"/>
  <c r="V784" i="2"/>
  <c r="S784" i="2"/>
  <c r="M784" i="2"/>
  <c r="Y783" i="2"/>
  <c r="V783" i="2"/>
  <c r="S783" i="2"/>
  <c r="M783" i="2"/>
  <c r="Y782" i="2"/>
  <c r="V782" i="2"/>
  <c r="S782" i="2"/>
  <c r="M782" i="2"/>
  <c r="Y781" i="2"/>
  <c r="V781" i="2"/>
  <c r="S781" i="2"/>
  <c r="M781" i="2"/>
  <c r="Y780" i="2"/>
  <c r="V780" i="2"/>
  <c r="S780" i="2"/>
  <c r="M780" i="2"/>
  <c r="Y779" i="2"/>
  <c r="V779" i="2"/>
  <c r="S779" i="2"/>
  <c r="M779" i="2"/>
  <c r="Y778" i="2"/>
  <c r="V778" i="2"/>
  <c r="S778" i="2"/>
  <c r="M778" i="2"/>
  <c r="Y777" i="2"/>
  <c r="V777" i="2"/>
  <c r="S777" i="2"/>
  <c r="M777" i="2"/>
  <c r="Y776" i="2"/>
  <c r="V776" i="2"/>
  <c r="S776" i="2"/>
  <c r="M776" i="2"/>
  <c r="Y775" i="2"/>
  <c r="V775" i="2"/>
  <c r="S775" i="2"/>
  <c r="M775" i="2"/>
  <c r="AA774" i="2"/>
  <c r="Z774" i="2"/>
  <c r="Y774" i="2"/>
  <c r="X774" i="2"/>
  <c r="W774" i="2"/>
  <c r="V774" i="2"/>
  <c r="U774" i="2"/>
  <c r="T774" i="2"/>
  <c r="S774" i="2"/>
  <c r="R774" i="2"/>
  <c r="P774" i="2"/>
  <c r="O774" i="2"/>
  <c r="N774" i="2"/>
  <c r="M774" i="2"/>
  <c r="L774" i="2"/>
  <c r="J774" i="2"/>
  <c r="Y773" i="2"/>
  <c r="V773" i="2"/>
  <c r="S773" i="2"/>
  <c r="M773" i="2"/>
  <c r="Y772" i="2"/>
  <c r="V772" i="2"/>
  <c r="S772" i="2"/>
  <c r="M772" i="2"/>
  <c r="Y771" i="2"/>
  <c r="V771" i="2"/>
  <c r="S771" i="2"/>
  <c r="M771" i="2"/>
  <c r="Y770" i="2"/>
  <c r="V770" i="2"/>
  <c r="S770" i="2"/>
  <c r="M770" i="2"/>
  <c r="Y769" i="2"/>
  <c r="V769" i="2"/>
  <c r="S769" i="2"/>
  <c r="M769" i="2"/>
  <c r="Y768" i="2"/>
  <c r="V768" i="2"/>
  <c r="S768" i="2"/>
  <c r="M768" i="2"/>
  <c r="Y767" i="2"/>
  <c r="V767" i="2"/>
  <c r="S767" i="2"/>
  <c r="M767" i="2"/>
  <c r="Y766" i="2"/>
  <c r="V766" i="2"/>
  <c r="S766" i="2"/>
  <c r="M766" i="2"/>
  <c r="Y765" i="2"/>
  <c r="V765" i="2"/>
  <c r="S765" i="2"/>
  <c r="M765" i="2"/>
  <c r="Y764" i="2"/>
  <c r="V764" i="2"/>
  <c r="S764" i="2"/>
  <c r="M764" i="2"/>
  <c r="Y763" i="2"/>
  <c r="V763" i="2"/>
  <c r="S763" i="2"/>
  <c r="M763" i="2"/>
  <c r="Y762" i="2"/>
  <c r="V762" i="2"/>
  <c r="S762" i="2"/>
  <c r="M762" i="2"/>
  <c r="Y761" i="2"/>
  <c r="V761" i="2"/>
  <c r="S761" i="2"/>
  <c r="M761" i="2"/>
  <c r="Y760" i="2"/>
  <c r="V760" i="2"/>
  <c r="S760" i="2"/>
  <c r="M760" i="2"/>
  <c r="Y759" i="2"/>
  <c r="V759" i="2"/>
  <c r="S759" i="2"/>
  <c r="M759" i="2"/>
  <c r="Y758" i="2"/>
  <c r="V758" i="2"/>
  <c r="S758" i="2"/>
  <c r="M758" i="2"/>
  <c r="Y757" i="2"/>
  <c r="V757" i="2"/>
  <c r="S757" i="2"/>
  <c r="M757" i="2"/>
  <c r="Y756" i="2"/>
  <c r="V756" i="2"/>
  <c r="S756" i="2"/>
  <c r="M756" i="2"/>
  <c r="Y755" i="2"/>
  <c r="V755" i="2"/>
  <c r="S755" i="2"/>
  <c r="M755" i="2"/>
  <c r="Y754" i="2"/>
  <c r="V754" i="2"/>
  <c r="S754" i="2"/>
  <c r="M754" i="2"/>
  <c r="AA753" i="2"/>
  <c r="Z753" i="2"/>
  <c r="Y753" i="2"/>
  <c r="X753" i="2"/>
  <c r="W753" i="2"/>
  <c r="V753" i="2"/>
  <c r="U753" i="2"/>
  <c r="T753" i="2"/>
  <c r="S753" i="2"/>
  <c r="R753" i="2"/>
  <c r="P753" i="2"/>
  <c r="O753" i="2"/>
  <c r="N753" i="2"/>
  <c r="M753" i="2"/>
  <c r="L753" i="2"/>
  <c r="J753" i="2"/>
  <c r="AA752" i="2"/>
  <c r="Z752" i="2"/>
  <c r="Y752" i="2"/>
  <c r="U752" i="2"/>
  <c r="T752" i="2"/>
  <c r="S752" i="2"/>
  <c r="O752" i="2"/>
  <c r="N752" i="2"/>
  <c r="M752" i="2"/>
  <c r="AA751" i="2"/>
  <c r="Z751" i="2"/>
  <c r="X751" i="2"/>
  <c r="W751" i="2"/>
  <c r="U751" i="2"/>
  <c r="T751" i="2"/>
  <c r="R751" i="2"/>
  <c r="O751" i="2"/>
  <c r="N751" i="2"/>
  <c r="L751" i="2"/>
  <c r="Y750" i="2"/>
  <c r="V750" i="2"/>
  <c r="S750" i="2"/>
  <c r="M750" i="2"/>
  <c r="Y749" i="2"/>
  <c r="V749" i="2"/>
  <c r="S749" i="2"/>
  <c r="M749" i="2"/>
  <c r="Y748" i="2"/>
  <c r="V748" i="2"/>
  <c r="S748" i="2"/>
  <c r="M748" i="2"/>
  <c r="Y747" i="2"/>
  <c r="V747" i="2"/>
  <c r="S747" i="2"/>
  <c r="M747" i="2"/>
  <c r="Y746" i="2"/>
  <c r="V746" i="2"/>
  <c r="S746" i="2"/>
  <c r="M746" i="2"/>
  <c r="Y745" i="2"/>
  <c r="V745" i="2"/>
  <c r="S745" i="2"/>
  <c r="M745" i="2"/>
  <c r="Y744" i="2"/>
  <c r="V744" i="2"/>
  <c r="S744" i="2"/>
  <c r="M744" i="2"/>
  <c r="Y743" i="2"/>
  <c r="V743" i="2"/>
  <c r="S743" i="2"/>
  <c r="M743" i="2"/>
  <c r="Y742" i="2"/>
  <c r="V742" i="2"/>
  <c r="S742" i="2"/>
  <c r="M742" i="2"/>
  <c r="Y741" i="2"/>
  <c r="V741" i="2"/>
  <c r="S741" i="2"/>
  <c r="M741" i="2"/>
  <c r="Y740" i="2"/>
  <c r="V740" i="2"/>
  <c r="S740" i="2"/>
  <c r="M740" i="2"/>
  <c r="AA739" i="2"/>
  <c r="Z739" i="2"/>
  <c r="Y739" i="2"/>
  <c r="X739" i="2"/>
  <c r="W739" i="2"/>
  <c r="V739" i="2"/>
  <c r="U739" i="2"/>
  <c r="T739" i="2"/>
  <c r="S739" i="2"/>
  <c r="R739" i="2"/>
  <c r="P739" i="2"/>
  <c r="O739" i="2"/>
  <c r="N739" i="2"/>
  <c r="M739" i="2"/>
  <c r="L739" i="2"/>
  <c r="J739" i="2"/>
  <c r="Y738" i="2"/>
  <c r="V738" i="2"/>
  <c r="S738" i="2"/>
  <c r="M738" i="2"/>
  <c r="Y737" i="2"/>
  <c r="V737" i="2"/>
  <c r="S737" i="2"/>
  <c r="M737" i="2"/>
  <c r="Y736" i="2"/>
  <c r="V736" i="2"/>
  <c r="S736" i="2"/>
  <c r="M736" i="2"/>
  <c r="Y735" i="2"/>
  <c r="V735" i="2"/>
  <c r="S735" i="2"/>
  <c r="M735" i="2"/>
  <c r="Y734" i="2"/>
  <c r="V734" i="2"/>
  <c r="S734" i="2"/>
  <c r="M734" i="2"/>
  <c r="Y733" i="2"/>
  <c r="V733" i="2"/>
  <c r="S733" i="2"/>
  <c r="M733" i="2"/>
  <c r="Y732" i="2"/>
  <c r="V732" i="2"/>
  <c r="S732" i="2"/>
  <c r="M732" i="2"/>
  <c r="Y731" i="2"/>
  <c r="V731" i="2"/>
  <c r="S731" i="2"/>
  <c r="M731" i="2"/>
  <c r="Y730" i="2"/>
  <c r="V730" i="2"/>
  <c r="S730" i="2"/>
  <c r="M730" i="2"/>
  <c r="Y729" i="2"/>
  <c r="V729" i="2"/>
  <c r="S729" i="2"/>
  <c r="M729" i="2"/>
  <c r="Y728" i="2"/>
  <c r="V728" i="2"/>
  <c r="S728" i="2"/>
  <c r="M728" i="2"/>
  <c r="AA727" i="2"/>
  <c r="Z727" i="2"/>
  <c r="Y727" i="2"/>
  <c r="X727" i="2"/>
  <c r="W727" i="2"/>
  <c r="V727" i="2"/>
  <c r="U727" i="2"/>
  <c r="T727" i="2"/>
  <c r="S727" i="2"/>
  <c r="R727" i="2"/>
  <c r="P727" i="2"/>
  <c r="O727" i="2"/>
  <c r="N727" i="2"/>
  <c r="M727" i="2"/>
  <c r="L727" i="2"/>
  <c r="J727" i="2"/>
  <c r="Y726" i="2"/>
  <c r="V726" i="2"/>
  <c r="S726" i="2"/>
  <c r="M726" i="2"/>
  <c r="Y725" i="2"/>
  <c r="V725" i="2"/>
  <c r="S725" i="2"/>
  <c r="M725" i="2"/>
  <c r="Y724" i="2"/>
  <c r="V724" i="2"/>
  <c r="S724" i="2"/>
  <c r="M724" i="2"/>
  <c r="Y723" i="2"/>
  <c r="V723" i="2"/>
  <c r="S723" i="2"/>
  <c r="M723" i="2"/>
  <c r="Y722" i="2"/>
  <c r="V722" i="2"/>
  <c r="S722" i="2"/>
  <c r="M722" i="2"/>
  <c r="Y721" i="2"/>
  <c r="V721" i="2"/>
  <c r="S721" i="2"/>
  <c r="M721" i="2"/>
  <c r="Y720" i="2"/>
  <c r="V720" i="2"/>
  <c r="S720" i="2"/>
  <c r="M720" i="2"/>
  <c r="Y719" i="2"/>
  <c r="V719" i="2"/>
  <c r="S719" i="2"/>
  <c r="M719" i="2"/>
  <c r="Y718" i="2"/>
  <c r="V718" i="2"/>
  <c r="S718" i="2"/>
  <c r="M718" i="2"/>
  <c r="Y717" i="2"/>
  <c r="V717" i="2"/>
  <c r="S717" i="2"/>
  <c r="M717" i="2"/>
  <c r="Y716" i="2"/>
  <c r="V716" i="2"/>
  <c r="S716" i="2"/>
  <c r="M716" i="2"/>
  <c r="Y715" i="2"/>
  <c r="V715" i="2"/>
  <c r="S715" i="2"/>
  <c r="M715" i="2"/>
  <c r="AA714" i="2"/>
  <c r="Z714" i="2"/>
  <c r="Y714" i="2"/>
  <c r="X714" i="2"/>
  <c r="W714" i="2"/>
  <c r="V714" i="2"/>
  <c r="U714" i="2"/>
  <c r="T714" i="2"/>
  <c r="S714" i="2"/>
  <c r="R714" i="2"/>
  <c r="P714" i="2"/>
  <c r="O714" i="2"/>
  <c r="N714" i="2"/>
  <c r="M714" i="2"/>
  <c r="L714" i="2"/>
  <c r="J714" i="2"/>
  <c r="Y713" i="2"/>
  <c r="V713" i="2"/>
  <c r="S713" i="2"/>
  <c r="M713" i="2"/>
  <c r="Y712" i="2"/>
  <c r="V712" i="2"/>
  <c r="S712" i="2"/>
  <c r="M712" i="2"/>
  <c r="Y711" i="2"/>
  <c r="V711" i="2"/>
  <c r="S711" i="2"/>
  <c r="M711" i="2"/>
  <c r="Y710" i="2"/>
  <c r="V710" i="2"/>
  <c r="S710" i="2"/>
  <c r="M710" i="2"/>
  <c r="Y709" i="2"/>
  <c r="V709" i="2"/>
  <c r="S709" i="2"/>
  <c r="M709" i="2"/>
  <c r="Y708" i="2"/>
  <c r="V708" i="2"/>
  <c r="S708" i="2"/>
  <c r="M708" i="2"/>
  <c r="Y707" i="2"/>
  <c r="V707" i="2"/>
  <c r="S707" i="2"/>
  <c r="M707" i="2"/>
  <c r="Y706" i="2"/>
  <c r="V706" i="2"/>
  <c r="S706" i="2"/>
  <c r="M706" i="2"/>
  <c r="Y705" i="2"/>
  <c r="V705" i="2"/>
  <c r="S705" i="2"/>
  <c r="M705" i="2"/>
  <c r="Y704" i="2"/>
  <c r="V704" i="2"/>
  <c r="S704" i="2"/>
  <c r="M704" i="2"/>
  <c r="Y703" i="2"/>
  <c r="V703" i="2"/>
  <c r="S703" i="2"/>
  <c r="M703" i="2"/>
  <c r="Y702" i="2"/>
  <c r="V702" i="2"/>
  <c r="S702" i="2"/>
  <c r="M702" i="2"/>
  <c r="Y701" i="2"/>
  <c r="V701" i="2"/>
  <c r="S701" i="2"/>
  <c r="M701" i="2"/>
  <c r="AA700" i="2"/>
  <c r="Z700" i="2"/>
  <c r="Y700" i="2"/>
  <c r="X700" i="2"/>
  <c r="W700" i="2"/>
  <c r="V700" i="2"/>
  <c r="U700" i="2"/>
  <c r="T700" i="2"/>
  <c r="S700" i="2"/>
  <c r="R700" i="2"/>
  <c r="P700" i="2"/>
  <c r="O700" i="2"/>
  <c r="N700" i="2"/>
  <c r="M700" i="2"/>
  <c r="L700" i="2"/>
  <c r="J700" i="2"/>
  <c r="Y699" i="2"/>
  <c r="V699" i="2"/>
  <c r="S699" i="2"/>
  <c r="M699" i="2"/>
  <c r="AA698" i="2"/>
  <c r="Z698" i="2"/>
  <c r="Y698" i="2"/>
  <c r="X698" i="2"/>
  <c r="W698" i="2"/>
  <c r="V698" i="2"/>
  <c r="U698" i="2"/>
  <c r="T698" i="2"/>
  <c r="S698" i="2"/>
  <c r="R698" i="2"/>
  <c r="P698" i="2"/>
  <c r="O698" i="2"/>
  <c r="N698" i="2"/>
  <c r="M698" i="2"/>
  <c r="L698" i="2"/>
  <c r="J698" i="2"/>
  <c r="Y697" i="2"/>
  <c r="V697" i="2"/>
  <c r="S697" i="2"/>
  <c r="M697" i="2"/>
  <c r="AA696" i="2"/>
  <c r="Z696" i="2"/>
  <c r="Y696" i="2"/>
  <c r="X696" i="2"/>
  <c r="W696" i="2"/>
  <c r="V696" i="2"/>
  <c r="U696" i="2"/>
  <c r="T696" i="2"/>
  <c r="S696" i="2"/>
  <c r="R696" i="2"/>
  <c r="P696" i="2"/>
  <c r="O696" i="2"/>
  <c r="N696" i="2"/>
  <c r="M696" i="2"/>
  <c r="L696" i="2"/>
  <c r="J696" i="2"/>
  <c r="Y695" i="2"/>
  <c r="V695" i="2"/>
  <c r="S695" i="2"/>
  <c r="M695" i="2"/>
  <c r="AA694" i="2"/>
  <c r="Z694" i="2"/>
  <c r="Y694" i="2"/>
  <c r="X694" i="2"/>
  <c r="W694" i="2"/>
  <c r="V694" i="2"/>
  <c r="U694" i="2"/>
  <c r="T694" i="2"/>
  <c r="S694" i="2"/>
  <c r="R694" i="2"/>
  <c r="P694" i="2"/>
  <c r="O694" i="2"/>
  <c r="N694" i="2"/>
  <c r="M694" i="2"/>
  <c r="L694" i="2"/>
  <c r="J694" i="2"/>
  <c r="Y693" i="2"/>
  <c r="V693" i="2"/>
  <c r="S693" i="2"/>
  <c r="M693" i="2"/>
  <c r="AA692" i="2"/>
  <c r="Z692" i="2"/>
  <c r="Y692" i="2"/>
  <c r="X692" i="2"/>
  <c r="W692" i="2"/>
  <c r="V692" i="2"/>
  <c r="U692" i="2"/>
  <c r="T692" i="2"/>
  <c r="S692" i="2"/>
  <c r="R692" i="2"/>
  <c r="P692" i="2"/>
  <c r="O692" i="2"/>
  <c r="N692" i="2"/>
  <c r="M692" i="2"/>
  <c r="L692" i="2"/>
  <c r="J692" i="2"/>
  <c r="Y691" i="2"/>
  <c r="V691" i="2"/>
  <c r="S691" i="2"/>
  <c r="M691" i="2"/>
  <c r="AA690" i="2"/>
  <c r="Z690" i="2"/>
  <c r="Y690" i="2"/>
  <c r="X690" i="2"/>
  <c r="W690" i="2"/>
  <c r="V690" i="2"/>
  <c r="U690" i="2"/>
  <c r="T690" i="2"/>
  <c r="S690" i="2"/>
  <c r="R690" i="2"/>
  <c r="P690" i="2"/>
  <c r="O690" i="2"/>
  <c r="N690" i="2"/>
  <c r="M690" i="2"/>
  <c r="L690" i="2"/>
  <c r="J690" i="2"/>
  <c r="Y689" i="2"/>
  <c r="V689" i="2"/>
  <c r="S689" i="2"/>
  <c r="M689" i="2"/>
  <c r="AA688" i="2"/>
  <c r="Z688" i="2"/>
  <c r="Y688" i="2"/>
  <c r="X688" i="2"/>
  <c r="W688" i="2"/>
  <c r="V688" i="2"/>
  <c r="U688" i="2"/>
  <c r="T688" i="2"/>
  <c r="S688" i="2"/>
  <c r="R688" i="2"/>
  <c r="P688" i="2"/>
  <c r="O688" i="2"/>
  <c r="N688" i="2"/>
  <c r="M688" i="2"/>
  <c r="L688" i="2"/>
  <c r="J688" i="2"/>
  <c r="Y687" i="2"/>
  <c r="V687" i="2"/>
  <c r="S687" i="2"/>
  <c r="M687" i="2"/>
  <c r="AA686" i="2"/>
  <c r="Z686" i="2"/>
  <c r="Y686" i="2"/>
  <c r="X686" i="2"/>
  <c r="W686" i="2"/>
  <c r="V686" i="2"/>
  <c r="U686" i="2"/>
  <c r="T686" i="2"/>
  <c r="S686" i="2"/>
  <c r="R686" i="2"/>
  <c r="P686" i="2"/>
  <c r="O686" i="2"/>
  <c r="N686" i="2"/>
  <c r="M686" i="2"/>
  <c r="L686" i="2"/>
  <c r="J686" i="2"/>
  <c r="Y685" i="2"/>
  <c r="V685" i="2"/>
  <c r="S685" i="2"/>
  <c r="M685" i="2"/>
  <c r="AA684" i="2"/>
  <c r="Z684" i="2"/>
  <c r="Y684" i="2"/>
  <c r="X684" i="2"/>
  <c r="W684" i="2"/>
  <c r="V684" i="2"/>
  <c r="U684" i="2"/>
  <c r="T684" i="2"/>
  <c r="S684" i="2"/>
  <c r="R684" i="2"/>
  <c r="P684" i="2"/>
  <c r="O684" i="2"/>
  <c r="N684" i="2"/>
  <c r="M684" i="2"/>
  <c r="L684" i="2"/>
  <c r="J684" i="2"/>
  <c r="Y683" i="2"/>
  <c r="V683" i="2"/>
  <c r="S683" i="2"/>
  <c r="M683" i="2"/>
  <c r="AA682" i="2"/>
  <c r="Z682" i="2"/>
  <c r="Y682" i="2"/>
  <c r="X682" i="2"/>
  <c r="W682" i="2"/>
  <c r="V682" i="2"/>
  <c r="U682" i="2"/>
  <c r="T682" i="2"/>
  <c r="S682" i="2"/>
  <c r="R682" i="2"/>
  <c r="P682" i="2"/>
  <c r="O682" i="2"/>
  <c r="N682" i="2"/>
  <c r="M682" i="2"/>
  <c r="L682" i="2"/>
  <c r="J682" i="2"/>
  <c r="Y681" i="2"/>
  <c r="V681" i="2"/>
  <c r="S681" i="2"/>
  <c r="M681" i="2"/>
  <c r="AA680" i="2"/>
  <c r="Z680" i="2"/>
  <c r="Y680" i="2"/>
  <c r="X680" i="2"/>
  <c r="W680" i="2"/>
  <c r="V680" i="2"/>
  <c r="U680" i="2"/>
  <c r="T680" i="2"/>
  <c r="S680" i="2"/>
  <c r="R680" i="2"/>
  <c r="P680" i="2"/>
  <c r="O680" i="2"/>
  <c r="N680" i="2"/>
  <c r="M680" i="2"/>
  <c r="L680" i="2"/>
  <c r="J680" i="2"/>
  <c r="AA679" i="2"/>
  <c r="Z679" i="2"/>
  <c r="Y679" i="2"/>
  <c r="U679" i="2"/>
  <c r="T679" i="2"/>
  <c r="S679" i="2"/>
  <c r="O679" i="2"/>
  <c r="N679" i="2"/>
  <c r="M679" i="2"/>
  <c r="Y678" i="2"/>
  <c r="V678" i="2"/>
  <c r="S678" i="2"/>
  <c r="M678" i="2"/>
  <c r="Y677" i="2"/>
  <c r="V677" i="2"/>
  <c r="S677" i="2"/>
  <c r="M677" i="2"/>
  <c r="AA676" i="2"/>
  <c r="Z676" i="2"/>
  <c r="Y676" i="2"/>
  <c r="X676" i="2"/>
  <c r="W676" i="2"/>
  <c r="V676" i="2"/>
  <c r="U676" i="2"/>
  <c r="T676" i="2"/>
  <c r="S676" i="2"/>
  <c r="R676" i="2"/>
  <c r="P676" i="2"/>
  <c r="O676" i="2"/>
  <c r="N676" i="2"/>
  <c r="M676" i="2"/>
  <c r="L676" i="2"/>
  <c r="J676" i="2"/>
  <c r="Y675" i="2"/>
  <c r="V675" i="2"/>
  <c r="S675" i="2"/>
  <c r="M675" i="2"/>
  <c r="Y674" i="2"/>
  <c r="V674" i="2"/>
  <c r="S674" i="2"/>
  <c r="M674" i="2"/>
  <c r="AA673" i="2"/>
  <c r="Z673" i="2"/>
  <c r="Y673" i="2"/>
  <c r="X673" i="2"/>
  <c r="W673" i="2"/>
  <c r="V673" i="2"/>
  <c r="U673" i="2"/>
  <c r="T673" i="2"/>
  <c r="S673" i="2"/>
  <c r="R673" i="2"/>
  <c r="P673" i="2"/>
  <c r="O673" i="2"/>
  <c r="N673" i="2"/>
  <c r="M673" i="2"/>
  <c r="L673" i="2"/>
  <c r="J673" i="2"/>
  <c r="Y672" i="2"/>
  <c r="V672" i="2"/>
  <c r="S672" i="2"/>
  <c r="M672" i="2"/>
  <c r="Y671" i="2"/>
  <c r="V671" i="2"/>
  <c r="S671" i="2"/>
  <c r="M671" i="2"/>
  <c r="AA670" i="2"/>
  <c r="Z670" i="2"/>
  <c r="Y670" i="2"/>
  <c r="X670" i="2"/>
  <c r="W670" i="2"/>
  <c r="V670" i="2"/>
  <c r="U670" i="2"/>
  <c r="T670" i="2"/>
  <c r="S670" i="2"/>
  <c r="R670" i="2"/>
  <c r="P670" i="2"/>
  <c r="O670" i="2"/>
  <c r="N670" i="2"/>
  <c r="M670" i="2"/>
  <c r="L670" i="2"/>
  <c r="J670" i="2"/>
  <c r="Y669" i="2"/>
  <c r="V669" i="2"/>
  <c r="S669" i="2"/>
  <c r="M669" i="2"/>
  <c r="Y668" i="2"/>
  <c r="V668" i="2"/>
  <c r="S668" i="2"/>
  <c r="M668" i="2"/>
  <c r="AA667" i="2"/>
  <c r="Z667" i="2"/>
  <c r="Y667" i="2"/>
  <c r="X667" i="2"/>
  <c r="W667" i="2"/>
  <c r="V667" i="2"/>
  <c r="U667" i="2"/>
  <c r="T667" i="2"/>
  <c r="S667" i="2"/>
  <c r="R667" i="2"/>
  <c r="P667" i="2"/>
  <c r="O667" i="2"/>
  <c r="N667" i="2"/>
  <c r="M667" i="2"/>
  <c r="L667" i="2"/>
  <c r="J667" i="2"/>
  <c r="Y666" i="2"/>
  <c r="V666" i="2"/>
  <c r="S666" i="2"/>
  <c r="M666" i="2"/>
  <c r="Y665" i="2"/>
  <c r="V665" i="2"/>
  <c r="S665" i="2"/>
  <c r="M665" i="2"/>
  <c r="AA664" i="2"/>
  <c r="Z664" i="2"/>
  <c r="Y664" i="2"/>
  <c r="X664" i="2"/>
  <c r="W664" i="2"/>
  <c r="V664" i="2"/>
  <c r="U664" i="2"/>
  <c r="T664" i="2"/>
  <c r="S664" i="2"/>
  <c r="R664" i="2"/>
  <c r="P664" i="2"/>
  <c r="O664" i="2"/>
  <c r="N664" i="2"/>
  <c r="M664" i="2"/>
  <c r="L664" i="2"/>
  <c r="J664" i="2"/>
  <c r="Y663" i="2"/>
  <c r="V663" i="2"/>
  <c r="S663" i="2"/>
  <c r="M663" i="2"/>
  <c r="Y662" i="2"/>
  <c r="V662" i="2"/>
  <c r="S662" i="2"/>
  <c r="M662" i="2"/>
  <c r="AA661" i="2"/>
  <c r="Z661" i="2"/>
  <c r="Y661" i="2"/>
  <c r="X661" i="2"/>
  <c r="W661" i="2"/>
  <c r="V661" i="2"/>
  <c r="U661" i="2"/>
  <c r="T661" i="2"/>
  <c r="S661" i="2"/>
  <c r="R661" i="2"/>
  <c r="P661" i="2"/>
  <c r="O661" i="2"/>
  <c r="N661" i="2"/>
  <c r="M661" i="2"/>
  <c r="L661" i="2"/>
  <c r="J661" i="2"/>
  <c r="Y660" i="2"/>
  <c r="V660" i="2"/>
  <c r="S660" i="2"/>
  <c r="M660" i="2"/>
  <c r="Y659" i="2"/>
  <c r="V659" i="2"/>
  <c r="S659" i="2"/>
  <c r="M659" i="2"/>
  <c r="AA658" i="2"/>
  <c r="Z658" i="2"/>
  <c r="Y658" i="2"/>
  <c r="X658" i="2"/>
  <c r="W658" i="2"/>
  <c r="V658" i="2"/>
  <c r="U658" i="2"/>
  <c r="T658" i="2"/>
  <c r="S658" i="2"/>
  <c r="R658" i="2"/>
  <c r="P658" i="2"/>
  <c r="O658" i="2"/>
  <c r="N658" i="2"/>
  <c r="M658" i="2"/>
  <c r="L658" i="2"/>
  <c r="J658" i="2"/>
  <c r="Y657" i="2"/>
  <c r="V657" i="2"/>
  <c r="S657" i="2"/>
  <c r="M657" i="2"/>
  <c r="Y656" i="2"/>
  <c r="V656" i="2"/>
  <c r="S656" i="2"/>
  <c r="M656" i="2"/>
  <c r="AA655" i="2"/>
  <c r="Z655" i="2"/>
  <c r="Y655" i="2"/>
  <c r="X655" i="2"/>
  <c r="W655" i="2"/>
  <c r="V655" i="2"/>
  <c r="U655" i="2"/>
  <c r="T655" i="2"/>
  <c r="S655" i="2"/>
  <c r="R655" i="2"/>
  <c r="P655" i="2"/>
  <c r="O655" i="2"/>
  <c r="N655" i="2"/>
  <c r="M655" i="2"/>
  <c r="L655" i="2"/>
  <c r="J655" i="2"/>
  <c r="Y654" i="2"/>
  <c r="V654" i="2"/>
  <c r="S654" i="2"/>
  <c r="M654" i="2"/>
  <c r="Y653" i="2"/>
  <c r="V653" i="2"/>
  <c r="S653" i="2"/>
  <c r="M653" i="2"/>
  <c r="AA652" i="2"/>
  <c r="Z652" i="2"/>
  <c r="Y652" i="2"/>
  <c r="X652" i="2"/>
  <c r="W652" i="2"/>
  <c r="V652" i="2"/>
  <c r="U652" i="2"/>
  <c r="T652" i="2"/>
  <c r="S652" i="2"/>
  <c r="R652" i="2"/>
  <c r="P652" i="2"/>
  <c r="O652" i="2"/>
  <c r="N652" i="2"/>
  <c r="M652" i="2"/>
  <c r="L652" i="2"/>
  <c r="J652" i="2"/>
  <c r="Y651" i="2"/>
  <c r="V651" i="2"/>
  <c r="S651" i="2"/>
  <c r="M651" i="2"/>
  <c r="Y650" i="2"/>
  <c r="V650" i="2"/>
  <c r="S650" i="2"/>
  <c r="M650" i="2"/>
  <c r="AA649" i="2"/>
  <c r="Z649" i="2"/>
  <c r="Y649" i="2"/>
  <c r="X649" i="2"/>
  <c r="W649" i="2"/>
  <c r="V649" i="2"/>
  <c r="U649" i="2"/>
  <c r="T649" i="2"/>
  <c r="S649" i="2"/>
  <c r="R649" i="2"/>
  <c r="P649" i="2"/>
  <c r="O649" i="2"/>
  <c r="N649" i="2"/>
  <c r="M649" i="2"/>
  <c r="L649" i="2"/>
  <c r="J649" i="2"/>
  <c r="Y648" i="2"/>
  <c r="V648" i="2"/>
  <c r="S648" i="2"/>
  <c r="M648" i="2"/>
  <c r="Y647" i="2"/>
  <c r="V647" i="2"/>
  <c r="S647" i="2"/>
  <c r="M647" i="2"/>
  <c r="AA646" i="2"/>
  <c r="Z646" i="2"/>
  <c r="Y646" i="2"/>
  <c r="X646" i="2"/>
  <c r="W646" i="2"/>
  <c r="V646" i="2"/>
  <c r="U646" i="2"/>
  <c r="T646" i="2"/>
  <c r="S646" i="2"/>
  <c r="R646" i="2"/>
  <c r="P646" i="2"/>
  <c r="O646" i="2"/>
  <c r="N646" i="2"/>
  <c r="M646" i="2"/>
  <c r="L646" i="2"/>
  <c r="J646" i="2"/>
  <c r="Y645" i="2"/>
  <c r="V645" i="2"/>
  <c r="S645" i="2"/>
  <c r="M645" i="2"/>
  <c r="Y644" i="2"/>
  <c r="V644" i="2"/>
  <c r="S644" i="2"/>
  <c r="M644" i="2"/>
  <c r="AA643" i="2"/>
  <c r="Z643" i="2"/>
  <c r="Y643" i="2"/>
  <c r="X643" i="2"/>
  <c r="W643" i="2"/>
  <c r="V643" i="2"/>
  <c r="U643" i="2"/>
  <c r="T643" i="2"/>
  <c r="S643" i="2"/>
  <c r="R643" i="2"/>
  <c r="P643" i="2"/>
  <c r="O643" i="2"/>
  <c r="N643" i="2"/>
  <c r="M643" i="2"/>
  <c r="L643" i="2"/>
  <c r="J643" i="2"/>
  <c r="Y642" i="2"/>
  <c r="V642" i="2"/>
  <c r="S642" i="2"/>
  <c r="M642" i="2"/>
  <c r="Y641" i="2"/>
  <c r="V641" i="2"/>
  <c r="S641" i="2"/>
  <c r="M641" i="2"/>
  <c r="AA640" i="2"/>
  <c r="Z640" i="2"/>
  <c r="Y640" i="2"/>
  <c r="X640" i="2"/>
  <c r="W640" i="2"/>
  <c r="V640" i="2"/>
  <c r="U640" i="2"/>
  <c r="T640" i="2"/>
  <c r="S640" i="2"/>
  <c r="R640" i="2"/>
  <c r="P640" i="2"/>
  <c r="O640" i="2"/>
  <c r="N640" i="2"/>
  <c r="M640" i="2"/>
  <c r="L640" i="2"/>
  <c r="J640" i="2"/>
  <c r="Y639" i="2"/>
  <c r="V639" i="2"/>
  <c r="S639" i="2"/>
  <c r="M639" i="2"/>
  <c r="Y638" i="2"/>
  <c r="V638" i="2"/>
  <c r="S638" i="2"/>
  <c r="M638" i="2"/>
  <c r="AA637" i="2"/>
  <c r="Z637" i="2"/>
  <c r="Y637" i="2"/>
  <c r="X637" i="2"/>
  <c r="W637" i="2"/>
  <c r="V637" i="2"/>
  <c r="U637" i="2"/>
  <c r="T637" i="2"/>
  <c r="S637" i="2"/>
  <c r="R637" i="2"/>
  <c r="P637" i="2"/>
  <c r="O637" i="2"/>
  <c r="N637" i="2"/>
  <c r="M637" i="2"/>
  <c r="L637" i="2"/>
  <c r="J637" i="2"/>
  <c r="Y636" i="2"/>
  <c r="V636" i="2"/>
  <c r="S636" i="2"/>
  <c r="M636" i="2"/>
  <c r="Y635" i="2"/>
  <c r="V635" i="2"/>
  <c r="S635" i="2"/>
  <c r="M635" i="2"/>
  <c r="AA634" i="2"/>
  <c r="Z634" i="2"/>
  <c r="Y634" i="2"/>
  <c r="X634" i="2"/>
  <c r="W634" i="2"/>
  <c r="V634" i="2"/>
  <c r="U634" i="2"/>
  <c r="T634" i="2"/>
  <c r="S634" i="2"/>
  <c r="R634" i="2"/>
  <c r="P634" i="2"/>
  <c r="O634" i="2"/>
  <c r="N634" i="2"/>
  <c r="M634" i="2"/>
  <c r="L634" i="2"/>
  <c r="J634" i="2"/>
  <c r="Y633" i="2"/>
  <c r="V633" i="2"/>
  <c r="S633" i="2"/>
  <c r="M633" i="2"/>
  <c r="Y632" i="2"/>
  <c r="V632" i="2"/>
  <c r="S632" i="2"/>
  <c r="M632" i="2"/>
  <c r="AA631" i="2"/>
  <c r="Z631" i="2"/>
  <c r="Y631" i="2"/>
  <c r="X631" i="2"/>
  <c r="W631" i="2"/>
  <c r="V631" i="2"/>
  <c r="U631" i="2"/>
  <c r="T631" i="2"/>
  <c r="S631" i="2"/>
  <c r="R631" i="2"/>
  <c r="P631" i="2"/>
  <c r="O631" i="2"/>
  <c r="N631" i="2"/>
  <c r="M631" i="2"/>
  <c r="L631" i="2"/>
  <c r="J631" i="2"/>
  <c r="Y630" i="2"/>
  <c r="V630" i="2"/>
  <c r="S630" i="2"/>
  <c r="M630" i="2"/>
  <c r="Y629" i="2"/>
  <c r="V629" i="2"/>
  <c r="S629" i="2"/>
  <c r="M629" i="2"/>
  <c r="AA628" i="2"/>
  <c r="Z628" i="2"/>
  <c r="Y628" i="2"/>
  <c r="X628" i="2"/>
  <c r="W628" i="2"/>
  <c r="V628" i="2"/>
  <c r="U628" i="2"/>
  <c r="T628" i="2"/>
  <c r="S628" i="2"/>
  <c r="R628" i="2"/>
  <c r="P628" i="2"/>
  <c r="O628" i="2"/>
  <c r="N628" i="2"/>
  <c r="M628" i="2"/>
  <c r="L628" i="2"/>
  <c r="J628" i="2"/>
  <c r="Y627" i="2"/>
  <c r="V627" i="2"/>
  <c r="S627" i="2"/>
  <c r="M627" i="2"/>
  <c r="Y626" i="2"/>
  <c r="V626" i="2"/>
  <c r="S626" i="2"/>
  <c r="M626" i="2"/>
  <c r="AA625" i="2"/>
  <c r="Z625" i="2"/>
  <c r="Y625" i="2"/>
  <c r="X625" i="2"/>
  <c r="W625" i="2"/>
  <c r="V625" i="2"/>
  <c r="U625" i="2"/>
  <c r="T625" i="2"/>
  <c r="S625" i="2"/>
  <c r="R625" i="2"/>
  <c r="P625" i="2"/>
  <c r="O625" i="2"/>
  <c r="N625" i="2"/>
  <c r="M625" i="2"/>
  <c r="L625" i="2"/>
  <c r="J625" i="2"/>
  <c r="Y624" i="2"/>
  <c r="V624" i="2"/>
  <c r="S624" i="2"/>
  <c r="M624" i="2"/>
  <c r="Y623" i="2"/>
  <c r="V623" i="2"/>
  <c r="S623" i="2"/>
  <c r="M623" i="2"/>
  <c r="AA622" i="2"/>
  <c r="Z622" i="2"/>
  <c r="Y622" i="2"/>
  <c r="X622" i="2"/>
  <c r="W622" i="2"/>
  <c r="V622" i="2"/>
  <c r="U622" i="2"/>
  <c r="T622" i="2"/>
  <c r="S622" i="2"/>
  <c r="R622" i="2"/>
  <c r="P622" i="2"/>
  <c r="O622" i="2"/>
  <c r="N622" i="2"/>
  <c r="M622" i="2"/>
  <c r="L622" i="2"/>
  <c r="J622" i="2"/>
  <c r="Y621" i="2"/>
  <c r="V621" i="2"/>
  <c r="S621" i="2"/>
  <c r="M621" i="2"/>
  <c r="Y620" i="2"/>
  <c r="V620" i="2"/>
  <c r="S620" i="2"/>
  <c r="M620" i="2"/>
  <c r="AA619" i="2"/>
  <c r="Z619" i="2"/>
  <c r="Y619" i="2"/>
  <c r="X619" i="2"/>
  <c r="W619" i="2"/>
  <c r="V619" i="2"/>
  <c r="U619" i="2"/>
  <c r="T619" i="2"/>
  <c r="S619" i="2"/>
  <c r="R619" i="2"/>
  <c r="P619" i="2"/>
  <c r="O619" i="2"/>
  <c r="N619" i="2"/>
  <c r="M619" i="2"/>
  <c r="L619" i="2"/>
  <c r="J619" i="2"/>
  <c r="Y618" i="2"/>
  <c r="V618" i="2"/>
  <c r="S618" i="2"/>
  <c r="M618" i="2"/>
  <c r="Y617" i="2"/>
  <c r="V617" i="2"/>
  <c r="S617" i="2"/>
  <c r="M617" i="2"/>
  <c r="AA616" i="2"/>
  <c r="Z616" i="2"/>
  <c r="Y616" i="2"/>
  <c r="X616" i="2"/>
  <c r="W616" i="2"/>
  <c r="V616" i="2"/>
  <c r="U616" i="2"/>
  <c r="T616" i="2"/>
  <c r="S616" i="2"/>
  <c r="R616" i="2"/>
  <c r="P616" i="2"/>
  <c r="O616" i="2"/>
  <c r="N616" i="2"/>
  <c r="M616" i="2"/>
  <c r="L616" i="2"/>
  <c r="J616" i="2"/>
  <c r="Y615" i="2"/>
  <c r="V615" i="2"/>
  <c r="S615" i="2"/>
  <c r="M615" i="2"/>
  <c r="Y614" i="2"/>
  <c r="V614" i="2"/>
  <c r="S614" i="2"/>
  <c r="M614" i="2"/>
  <c r="AA613" i="2"/>
  <c r="Z613" i="2"/>
  <c r="Y613" i="2"/>
  <c r="X613" i="2"/>
  <c r="W613" i="2"/>
  <c r="V613" i="2"/>
  <c r="U613" i="2"/>
  <c r="T613" i="2"/>
  <c r="S613" i="2"/>
  <c r="R613" i="2"/>
  <c r="P613" i="2"/>
  <c r="O613" i="2"/>
  <c r="N613" i="2"/>
  <c r="M613" i="2"/>
  <c r="L613" i="2"/>
  <c r="J613" i="2"/>
  <c r="Y612" i="2"/>
  <c r="V612" i="2"/>
  <c r="S612" i="2"/>
  <c r="M612" i="2"/>
  <c r="Y611" i="2"/>
  <c r="V611" i="2"/>
  <c r="S611" i="2"/>
  <c r="M611" i="2"/>
  <c r="AA610" i="2"/>
  <c r="Z610" i="2"/>
  <c r="Y610" i="2"/>
  <c r="X610" i="2"/>
  <c r="W610" i="2"/>
  <c r="V610" i="2"/>
  <c r="U610" i="2"/>
  <c r="T610" i="2"/>
  <c r="S610" i="2"/>
  <c r="R610" i="2"/>
  <c r="P610" i="2"/>
  <c r="O610" i="2"/>
  <c r="N610" i="2"/>
  <c r="M610" i="2"/>
  <c r="L610" i="2"/>
  <c r="J610" i="2"/>
  <c r="Y609" i="2"/>
  <c r="V609" i="2"/>
  <c r="S609" i="2"/>
  <c r="M609" i="2"/>
  <c r="Y608" i="2"/>
  <c r="V608" i="2"/>
  <c r="S608" i="2"/>
  <c r="M608" i="2"/>
  <c r="AA607" i="2"/>
  <c r="Z607" i="2"/>
  <c r="Y607" i="2"/>
  <c r="X607" i="2"/>
  <c r="W607" i="2"/>
  <c r="V607" i="2"/>
  <c r="U607" i="2"/>
  <c r="T607" i="2"/>
  <c r="S607" i="2"/>
  <c r="R607" i="2"/>
  <c r="P607" i="2"/>
  <c r="O607" i="2"/>
  <c r="N607" i="2"/>
  <c r="M607" i="2"/>
  <c r="L607" i="2"/>
  <c r="J607" i="2"/>
  <c r="Y606" i="2"/>
  <c r="V606" i="2"/>
  <c r="S606" i="2"/>
  <c r="M606" i="2"/>
  <c r="Y605" i="2"/>
  <c r="V605" i="2"/>
  <c r="S605" i="2"/>
  <c r="M605" i="2"/>
  <c r="AA604" i="2"/>
  <c r="Z604" i="2"/>
  <c r="Y604" i="2"/>
  <c r="X604" i="2"/>
  <c r="W604" i="2"/>
  <c r="V604" i="2"/>
  <c r="U604" i="2"/>
  <c r="T604" i="2"/>
  <c r="S604" i="2"/>
  <c r="R604" i="2"/>
  <c r="P604" i="2"/>
  <c r="O604" i="2"/>
  <c r="N604" i="2"/>
  <c r="M604" i="2"/>
  <c r="L604" i="2"/>
  <c r="J604" i="2"/>
  <c r="Y603" i="2"/>
  <c r="V603" i="2"/>
  <c r="S603" i="2"/>
  <c r="M603" i="2"/>
  <c r="Y602" i="2"/>
  <c r="V602" i="2"/>
  <c r="S602" i="2"/>
  <c r="M602" i="2"/>
  <c r="AA601" i="2"/>
  <c r="Z601" i="2"/>
  <c r="Y601" i="2"/>
  <c r="X601" i="2"/>
  <c r="W601" i="2"/>
  <c r="V601" i="2"/>
  <c r="U601" i="2"/>
  <c r="T601" i="2"/>
  <c r="S601" i="2"/>
  <c r="R601" i="2"/>
  <c r="P601" i="2"/>
  <c r="O601" i="2"/>
  <c r="N601" i="2"/>
  <c r="M601" i="2"/>
  <c r="L601" i="2"/>
  <c r="J601" i="2"/>
  <c r="Y600" i="2"/>
  <c r="V600" i="2"/>
  <c r="S600" i="2"/>
  <c r="M600" i="2"/>
  <c r="Y599" i="2"/>
  <c r="V599" i="2"/>
  <c r="S599" i="2"/>
  <c r="M599" i="2"/>
  <c r="AA598" i="2"/>
  <c r="Z598" i="2"/>
  <c r="Y598" i="2"/>
  <c r="X598" i="2"/>
  <c r="W598" i="2"/>
  <c r="V598" i="2"/>
  <c r="U598" i="2"/>
  <c r="T598" i="2"/>
  <c r="S598" i="2"/>
  <c r="R598" i="2"/>
  <c r="P598" i="2"/>
  <c r="O598" i="2"/>
  <c r="N598" i="2"/>
  <c r="M598" i="2"/>
  <c r="L598" i="2"/>
  <c r="J598" i="2"/>
  <c r="Y597" i="2"/>
  <c r="V597" i="2"/>
  <c r="S597" i="2"/>
  <c r="M597" i="2"/>
  <c r="Y596" i="2"/>
  <c r="V596" i="2"/>
  <c r="S596" i="2"/>
  <c r="M596" i="2"/>
  <c r="AA595" i="2"/>
  <c r="Z595" i="2"/>
  <c r="Y595" i="2"/>
  <c r="X595" i="2"/>
  <c r="W595" i="2"/>
  <c r="V595" i="2"/>
  <c r="U595" i="2"/>
  <c r="T595" i="2"/>
  <c r="S595" i="2"/>
  <c r="R595" i="2"/>
  <c r="P595" i="2"/>
  <c r="O595" i="2"/>
  <c r="N595" i="2"/>
  <c r="M595" i="2"/>
  <c r="L595" i="2"/>
  <c r="J595" i="2"/>
  <c r="Y594" i="2"/>
  <c r="V594" i="2"/>
  <c r="S594" i="2"/>
  <c r="M594" i="2"/>
  <c r="Y593" i="2"/>
  <c r="V593" i="2"/>
  <c r="S593" i="2"/>
  <c r="M593" i="2"/>
  <c r="AA592" i="2"/>
  <c r="Z592" i="2"/>
  <c r="Y592" i="2"/>
  <c r="X592" i="2"/>
  <c r="W592" i="2"/>
  <c r="V592" i="2"/>
  <c r="U592" i="2"/>
  <c r="T592" i="2"/>
  <c r="S592" i="2"/>
  <c r="R592" i="2"/>
  <c r="P592" i="2"/>
  <c r="O592" i="2"/>
  <c r="N592" i="2"/>
  <c r="M592" i="2"/>
  <c r="L592" i="2"/>
  <c r="J592" i="2"/>
  <c r="Y591" i="2"/>
  <c r="V591" i="2"/>
  <c r="S591" i="2"/>
  <c r="M591" i="2"/>
  <c r="Y590" i="2"/>
  <c r="V590" i="2"/>
  <c r="S590" i="2"/>
  <c r="M590" i="2"/>
  <c r="AA589" i="2"/>
  <c r="Z589" i="2"/>
  <c r="Y589" i="2"/>
  <c r="X589" i="2"/>
  <c r="W589" i="2"/>
  <c r="V589" i="2"/>
  <c r="U589" i="2"/>
  <c r="T589" i="2"/>
  <c r="S589" i="2"/>
  <c r="R589" i="2"/>
  <c r="P589" i="2"/>
  <c r="O589" i="2"/>
  <c r="N589" i="2"/>
  <c r="M589" i="2"/>
  <c r="L589" i="2"/>
  <c r="J589" i="2"/>
  <c r="Y588" i="2"/>
  <c r="V588" i="2"/>
  <c r="S588" i="2"/>
  <c r="M588" i="2"/>
  <c r="Y587" i="2"/>
  <c r="V587" i="2"/>
  <c r="S587" i="2"/>
  <c r="M587" i="2"/>
  <c r="AA586" i="2"/>
  <c r="Z586" i="2"/>
  <c r="Y586" i="2"/>
  <c r="X586" i="2"/>
  <c r="W586" i="2"/>
  <c r="V586" i="2"/>
  <c r="U586" i="2"/>
  <c r="T586" i="2"/>
  <c r="S586" i="2"/>
  <c r="R586" i="2"/>
  <c r="P586" i="2"/>
  <c r="O586" i="2"/>
  <c r="N586" i="2"/>
  <c r="M586" i="2"/>
  <c r="L586" i="2"/>
  <c r="J586" i="2"/>
  <c r="Y585" i="2"/>
  <c r="V585" i="2"/>
  <c r="S585" i="2"/>
  <c r="M585" i="2"/>
  <c r="Y584" i="2"/>
  <c r="V584" i="2"/>
  <c r="S584" i="2"/>
  <c r="M584" i="2"/>
  <c r="AA583" i="2"/>
  <c r="Z583" i="2"/>
  <c r="Y583" i="2"/>
  <c r="X583" i="2"/>
  <c r="W583" i="2"/>
  <c r="V583" i="2"/>
  <c r="U583" i="2"/>
  <c r="T583" i="2"/>
  <c r="S583" i="2"/>
  <c r="R583" i="2"/>
  <c r="P583" i="2"/>
  <c r="O583" i="2"/>
  <c r="N583" i="2"/>
  <c r="M583" i="2"/>
  <c r="L583" i="2"/>
  <c r="J583" i="2"/>
  <c r="Y582" i="2"/>
  <c r="V582" i="2"/>
  <c r="S582" i="2"/>
  <c r="M582" i="2"/>
  <c r="Y581" i="2"/>
  <c r="V581" i="2"/>
  <c r="S581" i="2"/>
  <c r="M581" i="2"/>
  <c r="AA580" i="2"/>
  <c r="Z580" i="2"/>
  <c r="Y580" i="2"/>
  <c r="X580" i="2"/>
  <c r="W580" i="2"/>
  <c r="V580" i="2"/>
  <c r="U580" i="2"/>
  <c r="T580" i="2"/>
  <c r="S580" i="2"/>
  <c r="R580" i="2"/>
  <c r="P580" i="2"/>
  <c r="O580" i="2"/>
  <c r="N580" i="2"/>
  <c r="M580" i="2"/>
  <c r="L580" i="2"/>
  <c r="J580" i="2"/>
  <c r="Y579" i="2"/>
  <c r="V579" i="2"/>
  <c r="S579" i="2"/>
  <c r="M579" i="2"/>
  <c r="Y578" i="2"/>
  <c r="V578" i="2"/>
  <c r="S578" i="2"/>
  <c r="M578" i="2"/>
  <c r="AA577" i="2"/>
  <c r="Z577" i="2"/>
  <c r="Y577" i="2"/>
  <c r="X577" i="2"/>
  <c r="W577" i="2"/>
  <c r="V577" i="2"/>
  <c r="U577" i="2"/>
  <c r="T577" i="2"/>
  <c r="S577" i="2"/>
  <c r="R577" i="2"/>
  <c r="P577" i="2"/>
  <c r="O577" i="2"/>
  <c r="N577" i="2"/>
  <c r="M577" i="2"/>
  <c r="L577" i="2"/>
  <c r="J577" i="2"/>
  <c r="Y576" i="2"/>
  <c r="V576" i="2"/>
  <c r="S576" i="2"/>
  <c r="M576" i="2"/>
  <c r="Y575" i="2"/>
  <c r="V575" i="2"/>
  <c r="S575" i="2"/>
  <c r="M575" i="2"/>
  <c r="AA574" i="2"/>
  <c r="Z574" i="2"/>
  <c r="Y574" i="2"/>
  <c r="X574" i="2"/>
  <c r="W574" i="2"/>
  <c r="V574" i="2"/>
  <c r="U574" i="2"/>
  <c r="T574" i="2"/>
  <c r="S574" i="2"/>
  <c r="R574" i="2"/>
  <c r="P574" i="2"/>
  <c r="O574" i="2"/>
  <c r="N574" i="2"/>
  <c r="M574" i="2"/>
  <c r="L574" i="2"/>
  <c r="J574" i="2"/>
  <c r="Y573" i="2"/>
  <c r="V573" i="2"/>
  <c r="S573" i="2"/>
  <c r="M573" i="2"/>
  <c r="Y572" i="2"/>
  <c r="V572" i="2"/>
  <c r="S572" i="2"/>
  <c r="M572" i="2"/>
  <c r="AA571" i="2"/>
  <c r="Z571" i="2"/>
  <c r="Y571" i="2"/>
  <c r="X571" i="2"/>
  <c r="W571" i="2"/>
  <c r="V571" i="2"/>
  <c r="U571" i="2"/>
  <c r="T571" i="2"/>
  <c r="S571" i="2"/>
  <c r="R571" i="2"/>
  <c r="P571" i="2"/>
  <c r="O571" i="2"/>
  <c r="N571" i="2"/>
  <c r="M571" i="2"/>
  <c r="L571" i="2"/>
  <c r="J571" i="2"/>
  <c r="Y570" i="2"/>
  <c r="V570" i="2"/>
  <c r="S570" i="2"/>
  <c r="M570" i="2"/>
  <c r="Y569" i="2"/>
  <c r="V569" i="2"/>
  <c r="S569" i="2"/>
  <c r="M569" i="2"/>
  <c r="AA568" i="2"/>
  <c r="Z568" i="2"/>
  <c r="Y568" i="2"/>
  <c r="X568" i="2"/>
  <c r="W568" i="2"/>
  <c r="V568" i="2"/>
  <c r="U568" i="2"/>
  <c r="T568" i="2"/>
  <c r="S568" i="2"/>
  <c r="R568" i="2"/>
  <c r="P568" i="2"/>
  <c r="O568" i="2"/>
  <c r="N568" i="2"/>
  <c r="M568" i="2"/>
  <c r="L568" i="2"/>
  <c r="J568" i="2"/>
  <c r="Y567" i="2"/>
  <c r="V567" i="2"/>
  <c r="S567" i="2"/>
  <c r="M567" i="2"/>
  <c r="Y566" i="2"/>
  <c r="V566" i="2"/>
  <c r="S566" i="2"/>
  <c r="M566" i="2"/>
  <c r="AA565" i="2"/>
  <c r="Z565" i="2"/>
  <c r="Y565" i="2"/>
  <c r="X565" i="2"/>
  <c r="W565" i="2"/>
  <c r="V565" i="2"/>
  <c r="U565" i="2"/>
  <c r="T565" i="2"/>
  <c r="S565" i="2"/>
  <c r="R565" i="2"/>
  <c r="P565" i="2"/>
  <c r="O565" i="2"/>
  <c r="N565" i="2"/>
  <c r="M565" i="2"/>
  <c r="L565" i="2"/>
  <c r="J565" i="2"/>
  <c r="Y564" i="2"/>
  <c r="V564" i="2"/>
  <c r="S564" i="2"/>
  <c r="M564" i="2"/>
  <c r="Y563" i="2"/>
  <c r="V563" i="2"/>
  <c r="S563" i="2"/>
  <c r="M563" i="2"/>
  <c r="AA562" i="2"/>
  <c r="Z562" i="2"/>
  <c r="Y562" i="2"/>
  <c r="X562" i="2"/>
  <c r="W562" i="2"/>
  <c r="V562" i="2"/>
  <c r="U562" i="2"/>
  <c r="T562" i="2"/>
  <c r="S562" i="2"/>
  <c r="R562" i="2"/>
  <c r="P562" i="2"/>
  <c r="O562" i="2"/>
  <c r="N562" i="2"/>
  <c r="M562" i="2"/>
  <c r="L562" i="2"/>
  <c r="J562" i="2"/>
  <c r="Y561" i="2"/>
  <c r="V561" i="2"/>
  <c r="S561" i="2"/>
  <c r="M561" i="2"/>
  <c r="Y560" i="2"/>
  <c r="V560" i="2"/>
  <c r="S560" i="2"/>
  <c r="M560" i="2"/>
  <c r="AA559" i="2"/>
  <c r="Z559" i="2"/>
  <c r="Y559" i="2"/>
  <c r="X559" i="2"/>
  <c r="W559" i="2"/>
  <c r="V559" i="2"/>
  <c r="U559" i="2"/>
  <c r="T559" i="2"/>
  <c r="S559" i="2"/>
  <c r="R559" i="2"/>
  <c r="P559" i="2"/>
  <c r="O559" i="2"/>
  <c r="N559" i="2"/>
  <c r="M559" i="2"/>
  <c r="L559" i="2"/>
  <c r="J559" i="2"/>
  <c r="Y558" i="2"/>
  <c r="V558" i="2"/>
  <c r="S558" i="2"/>
  <c r="M558" i="2"/>
  <c r="Y557" i="2"/>
  <c r="V557" i="2"/>
  <c r="S557" i="2"/>
  <c r="M557" i="2"/>
  <c r="AA556" i="2"/>
  <c r="Z556" i="2"/>
  <c r="Y556" i="2"/>
  <c r="X556" i="2"/>
  <c r="W556" i="2"/>
  <c r="V556" i="2"/>
  <c r="U556" i="2"/>
  <c r="T556" i="2"/>
  <c r="S556" i="2"/>
  <c r="R556" i="2"/>
  <c r="P556" i="2"/>
  <c r="O556" i="2"/>
  <c r="N556" i="2"/>
  <c r="M556" i="2"/>
  <c r="L556" i="2"/>
  <c r="J556" i="2"/>
  <c r="Y555" i="2"/>
  <c r="V555" i="2"/>
  <c r="S555" i="2"/>
  <c r="M555" i="2"/>
  <c r="Y554" i="2"/>
  <c r="V554" i="2"/>
  <c r="S554" i="2"/>
  <c r="M554" i="2"/>
  <c r="AA553" i="2"/>
  <c r="Z553" i="2"/>
  <c r="Y553" i="2"/>
  <c r="X553" i="2"/>
  <c r="W553" i="2"/>
  <c r="V553" i="2"/>
  <c r="U553" i="2"/>
  <c r="T553" i="2"/>
  <c r="S553" i="2"/>
  <c r="R553" i="2"/>
  <c r="P553" i="2"/>
  <c r="O553" i="2"/>
  <c r="N553" i="2"/>
  <c r="M553" i="2"/>
  <c r="L553" i="2"/>
  <c r="J553" i="2"/>
  <c r="Y552" i="2"/>
  <c r="V552" i="2"/>
  <c r="S552" i="2"/>
  <c r="M552" i="2"/>
  <c r="Y551" i="2"/>
  <c r="V551" i="2"/>
  <c r="S551" i="2"/>
  <c r="M551" i="2"/>
  <c r="AA550" i="2"/>
  <c r="Z550" i="2"/>
  <c r="Y550" i="2"/>
  <c r="X550" i="2"/>
  <c r="W550" i="2"/>
  <c r="V550" i="2"/>
  <c r="U550" i="2"/>
  <c r="T550" i="2"/>
  <c r="S550" i="2"/>
  <c r="R550" i="2"/>
  <c r="P550" i="2"/>
  <c r="O550" i="2"/>
  <c r="N550" i="2"/>
  <c r="M550" i="2"/>
  <c r="L550" i="2"/>
  <c r="J550" i="2"/>
  <c r="Y549" i="2"/>
  <c r="V549" i="2"/>
  <c r="S549" i="2"/>
  <c r="M549" i="2"/>
  <c r="Y548" i="2"/>
  <c r="V548" i="2"/>
  <c r="S548" i="2"/>
  <c r="M548" i="2"/>
  <c r="AA547" i="2"/>
  <c r="Z547" i="2"/>
  <c r="Y547" i="2"/>
  <c r="X547" i="2"/>
  <c r="W547" i="2"/>
  <c r="V547" i="2"/>
  <c r="U547" i="2"/>
  <c r="T547" i="2"/>
  <c r="S547" i="2"/>
  <c r="R547" i="2"/>
  <c r="P547" i="2"/>
  <c r="O547" i="2"/>
  <c r="N547" i="2"/>
  <c r="M547" i="2"/>
  <c r="L547" i="2"/>
  <c r="J547" i="2"/>
  <c r="Y546" i="2"/>
  <c r="V546" i="2"/>
  <c r="S546" i="2"/>
  <c r="M546" i="2"/>
  <c r="Y545" i="2"/>
  <c r="V545" i="2"/>
  <c r="S545" i="2"/>
  <c r="M545" i="2"/>
  <c r="AA544" i="2"/>
  <c r="Z544" i="2"/>
  <c r="Y544" i="2"/>
  <c r="X544" i="2"/>
  <c r="W544" i="2"/>
  <c r="V544" i="2"/>
  <c r="U544" i="2"/>
  <c r="T544" i="2"/>
  <c r="S544" i="2"/>
  <c r="R544" i="2"/>
  <c r="P544" i="2"/>
  <c r="O544" i="2"/>
  <c r="N544" i="2"/>
  <c r="M544" i="2"/>
  <c r="L544" i="2"/>
  <c r="J544" i="2"/>
  <c r="Y543" i="2"/>
  <c r="V543" i="2"/>
  <c r="S543" i="2"/>
  <c r="M543" i="2"/>
  <c r="Y542" i="2"/>
  <c r="V542" i="2"/>
  <c r="S542" i="2"/>
  <c r="M542" i="2"/>
  <c r="AA541" i="2"/>
  <c r="Z541" i="2"/>
  <c r="Y541" i="2"/>
  <c r="X541" i="2"/>
  <c r="W541" i="2"/>
  <c r="V541" i="2"/>
  <c r="U541" i="2"/>
  <c r="T541" i="2"/>
  <c r="S541" i="2"/>
  <c r="R541" i="2"/>
  <c r="P541" i="2"/>
  <c r="O541" i="2"/>
  <c r="N541" i="2"/>
  <c r="M541" i="2"/>
  <c r="L541" i="2"/>
  <c r="J541" i="2"/>
  <c r="Y540" i="2"/>
  <c r="V540" i="2"/>
  <c r="S540" i="2"/>
  <c r="M540" i="2"/>
  <c r="Y539" i="2"/>
  <c r="V539" i="2"/>
  <c r="S539" i="2"/>
  <c r="M539" i="2"/>
  <c r="AA538" i="2"/>
  <c r="Z538" i="2"/>
  <c r="Y538" i="2"/>
  <c r="X538" i="2"/>
  <c r="W538" i="2"/>
  <c r="V538" i="2"/>
  <c r="U538" i="2"/>
  <c r="T538" i="2"/>
  <c r="S538" i="2"/>
  <c r="R538" i="2"/>
  <c r="P538" i="2"/>
  <c r="O538" i="2"/>
  <c r="N538" i="2"/>
  <c r="M538" i="2"/>
  <c r="L538" i="2"/>
  <c r="J538" i="2"/>
  <c r="AA537" i="2"/>
  <c r="Z537" i="2"/>
  <c r="Y537" i="2"/>
  <c r="U537" i="2"/>
  <c r="T537" i="2"/>
  <c r="S537" i="2"/>
  <c r="O537" i="2"/>
  <c r="N537" i="2"/>
  <c r="M537" i="2"/>
  <c r="Y536" i="2"/>
  <c r="V536" i="2"/>
  <c r="S536" i="2"/>
  <c r="M536" i="2"/>
  <c r="Y535" i="2"/>
  <c r="V535" i="2"/>
  <c r="S535" i="2"/>
  <c r="M535" i="2"/>
  <c r="AA534" i="2"/>
  <c r="Z534" i="2"/>
  <c r="Y534" i="2"/>
  <c r="X534" i="2"/>
  <c r="W534" i="2"/>
  <c r="V534" i="2"/>
  <c r="U534" i="2"/>
  <c r="T534" i="2"/>
  <c r="S534" i="2"/>
  <c r="R534" i="2"/>
  <c r="P534" i="2"/>
  <c r="O534" i="2"/>
  <c r="N534" i="2"/>
  <c r="M534" i="2"/>
  <c r="L534" i="2"/>
  <c r="J534" i="2"/>
  <c r="Y533" i="2"/>
  <c r="V533" i="2"/>
  <c r="S533" i="2"/>
  <c r="M533" i="2"/>
  <c r="Y532" i="2"/>
  <c r="V532" i="2"/>
  <c r="S532" i="2"/>
  <c r="M532" i="2"/>
  <c r="AA531" i="2"/>
  <c r="Z531" i="2"/>
  <c r="Y531" i="2"/>
  <c r="X531" i="2"/>
  <c r="W531" i="2"/>
  <c r="V531" i="2"/>
  <c r="U531" i="2"/>
  <c r="T531" i="2"/>
  <c r="S531" i="2"/>
  <c r="R531" i="2"/>
  <c r="P531" i="2"/>
  <c r="O531" i="2"/>
  <c r="N531" i="2"/>
  <c r="M531" i="2"/>
  <c r="L531" i="2"/>
  <c r="J531" i="2"/>
  <c r="Y530" i="2"/>
  <c r="V530" i="2"/>
  <c r="S530" i="2"/>
  <c r="M530" i="2"/>
  <c r="Y529" i="2"/>
  <c r="V529" i="2"/>
  <c r="S529" i="2"/>
  <c r="M529" i="2"/>
  <c r="AA528" i="2"/>
  <c r="Z528" i="2"/>
  <c r="Y528" i="2"/>
  <c r="X528" i="2"/>
  <c r="W528" i="2"/>
  <c r="V528" i="2"/>
  <c r="U528" i="2"/>
  <c r="T528" i="2"/>
  <c r="S528" i="2"/>
  <c r="R528" i="2"/>
  <c r="P528" i="2"/>
  <c r="O528" i="2"/>
  <c r="N528" i="2"/>
  <c r="M528" i="2"/>
  <c r="L528" i="2"/>
  <c r="J528" i="2"/>
  <c r="Y527" i="2"/>
  <c r="V527" i="2"/>
  <c r="S527" i="2"/>
  <c r="M527" i="2"/>
  <c r="Y526" i="2"/>
  <c r="V526" i="2"/>
  <c r="S526" i="2"/>
  <c r="M526" i="2"/>
  <c r="AA525" i="2"/>
  <c r="Z525" i="2"/>
  <c r="Y525" i="2"/>
  <c r="X525" i="2"/>
  <c r="W525" i="2"/>
  <c r="V525" i="2"/>
  <c r="U525" i="2"/>
  <c r="T525" i="2"/>
  <c r="S525" i="2"/>
  <c r="R525" i="2"/>
  <c r="P525" i="2"/>
  <c r="O525" i="2"/>
  <c r="N525" i="2"/>
  <c r="M525" i="2"/>
  <c r="L525" i="2"/>
  <c r="J525" i="2"/>
  <c r="Y524" i="2"/>
  <c r="V524" i="2"/>
  <c r="S524" i="2"/>
  <c r="M524" i="2"/>
  <c r="Y523" i="2"/>
  <c r="V523" i="2"/>
  <c r="S523" i="2"/>
  <c r="M523" i="2"/>
  <c r="AA522" i="2"/>
  <c r="Z522" i="2"/>
  <c r="Y522" i="2"/>
  <c r="X522" i="2"/>
  <c r="W522" i="2"/>
  <c r="V522" i="2"/>
  <c r="U522" i="2"/>
  <c r="T522" i="2"/>
  <c r="S522" i="2"/>
  <c r="R522" i="2"/>
  <c r="P522" i="2"/>
  <c r="O522" i="2"/>
  <c r="N522" i="2"/>
  <c r="M522" i="2"/>
  <c r="L522" i="2"/>
  <c r="J522" i="2"/>
  <c r="AA521" i="2"/>
  <c r="Z521" i="2"/>
  <c r="Y521" i="2"/>
  <c r="U521" i="2"/>
  <c r="T521" i="2"/>
  <c r="S521" i="2"/>
  <c r="O521" i="2"/>
  <c r="N521" i="2"/>
  <c r="M521" i="2"/>
  <c r="AA520" i="2"/>
  <c r="Z520" i="2"/>
  <c r="Y520" i="2"/>
  <c r="U520" i="2"/>
  <c r="T520" i="2"/>
  <c r="S520" i="2"/>
  <c r="O520" i="2"/>
  <c r="N520" i="2"/>
  <c r="M520" i="2"/>
  <c r="Y519" i="2"/>
  <c r="V519" i="2"/>
  <c r="S519" i="2"/>
  <c r="M519" i="2"/>
  <c r="AA518" i="2"/>
  <c r="Z518" i="2"/>
  <c r="Y518" i="2"/>
  <c r="X518" i="2"/>
  <c r="W518" i="2"/>
  <c r="V518" i="2"/>
  <c r="U518" i="2"/>
  <c r="T518" i="2"/>
  <c r="S518" i="2"/>
  <c r="R518" i="2"/>
  <c r="P518" i="2"/>
  <c r="O518" i="2"/>
  <c r="N518" i="2"/>
  <c r="M518" i="2"/>
  <c r="L518" i="2"/>
  <c r="J518" i="2"/>
  <c r="Y517" i="2"/>
  <c r="V517" i="2"/>
  <c r="S517" i="2"/>
  <c r="M517" i="2"/>
  <c r="AA516" i="2"/>
  <c r="Z516" i="2"/>
  <c r="Y516" i="2"/>
  <c r="X516" i="2"/>
  <c r="W516" i="2"/>
  <c r="V516" i="2"/>
  <c r="U516" i="2"/>
  <c r="T516" i="2"/>
  <c r="S516" i="2"/>
  <c r="R516" i="2"/>
  <c r="P516" i="2"/>
  <c r="O516" i="2"/>
  <c r="N516" i="2"/>
  <c r="M516" i="2"/>
  <c r="L516" i="2"/>
  <c r="J516" i="2"/>
  <c r="AA515" i="2"/>
  <c r="Z515" i="2"/>
  <c r="Y515" i="2"/>
  <c r="U515" i="2"/>
  <c r="T515" i="2"/>
  <c r="S515" i="2"/>
  <c r="O515" i="2"/>
  <c r="N515" i="2"/>
  <c r="M515" i="2"/>
  <c r="Y514" i="2"/>
  <c r="V514" i="2"/>
  <c r="S514" i="2"/>
  <c r="M514" i="2"/>
  <c r="Y513" i="2"/>
  <c r="V513" i="2"/>
  <c r="S513" i="2"/>
  <c r="M513" i="2"/>
  <c r="Y512" i="2"/>
  <c r="V512" i="2"/>
  <c r="S512" i="2"/>
  <c r="M512" i="2"/>
  <c r="Y511" i="2"/>
  <c r="V511" i="2"/>
  <c r="S511" i="2"/>
  <c r="M511" i="2"/>
  <c r="AA510" i="2"/>
  <c r="Z510" i="2"/>
  <c r="Y510" i="2"/>
  <c r="X510" i="2"/>
  <c r="W510" i="2"/>
  <c r="V510" i="2"/>
  <c r="U510" i="2"/>
  <c r="T510" i="2"/>
  <c r="S510" i="2"/>
  <c r="R510" i="2"/>
  <c r="P510" i="2"/>
  <c r="O510" i="2"/>
  <c r="N510" i="2"/>
  <c r="M510" i="2"/>
  <c r="L510" i="2"/>
  <c r="J510" i="2"/>
  <c r="Y509" i="2"/>
  <c r="V509" i="2"/>
  <c r="S509" i="2"/>
  <c r="M509" i="2"/>
  <c r="Y508" i="2"/>
  <c r="V508" i="2"/>
  <c r="S508" i="2"/>
  <c r="M508" i="2"/>
  <c r="Y507" i="2"/>
  <c r="V507" i="2"/>
  <c r="S507" i="2"/>
  <c r="M507" i="2"/>
  <c r="AA506" i="2"/>
  <c r="Z506" i="2"/>
  <c r="Y506" i="2"/>
  <c r="X506" i="2"/>
  <c r="W506" i="2"/>
  <c r="V506" i="2"/>
  <c r="U506" i="2"/>
  <c r="T506" i="2"/>
  <c r="S506" i="2"/>
  <c r="R506" i="2"/>
  <c r="P506" i="2"/>
  <c r="O506" i="2"/>
  <c r="N506" i="2"/>
  <c r="M506" i="2"/>
  <c r="L506" i="2"/>
  <c r="J506" i="2"/>
  <c r="Y505" i="2"/>
  <c r="V505" i="2"/>
  <c r="S505" i="2"/>
  <c r="M505" i="2"/>
  <c r="Y504" i="2"/>
  <c r="V504" i="2"/>
  <c r="S504" i="2"/>
  <c r="M504" i="2"/>
  <c r="Y503" i="2"/>
  <c r="V503" i="2"/>
  <c r="S503" i="2"/>
  <c r="M503" i="2"/>
  <c r="Y502" i="2"/>
  <c r="V502" i="2"/>
  <c r="S502" i="2"/>
  <c r="M502" i="2"/>
  <c r="AA501" i="2"/>
  <c r="Z501" i="2"/>
  <c r="Y501" i="2"/>
  <c r="X501" i="2"/>
  <c r="W501" i="2"/>
  <c r="V501" i="2"/>
  <c r="U501" i="2"/>
  <c r="T501" i="2"/>
  <c r="S501" i="2"/>
  <c r="R501" i="2"/>
  <c r="P501" i="2"/>
  <c r="O501" i="2"/>
  <c r="N501" i="2"/>
  <c r="M501" i="2"/>
  <c r="L501" i="2"/>
  <c r="J501" i="2"/>
  <c r="Y500" i="2"/>
  <c r="V500" i="2"/>
  <c r="S500" i="2"/>
  <c r="M500" i="2"/>
  <c r="Y499" i="2"/>
  <c r="V499" i="2"/>
  <c r="S499" i="2"/>
  <c r="M499" i="2"/>
  <c r="Y498" i="2"/>
  <c r="V498" i="2"/>
  <c r="S498" i="2"/>
  <c r="M498" i="2"/>
  <c r="Y497" i="2"/>
  <c r="V497" i="2"/>
  <c r="S497" i="2"/>
  <c r="M497" i="2"/>
  <c r="AA496" i="2"/>
  <c r="Z496" i="2"/>
  <c r="Y496" i="2"/>
  <c r="X496" i="2"/>
  <c r="W496" i="2"/>
  <c r="V496" i="2"/>
  <c r="U496" i="2"/>
  <c r="T496" i="2"/>
  <c r="S496" i="2"/>
  <c r="R496" i="2"/>
  <c r="P496" i="2"/>
  <c r="O496" i="2"/>
  <c r="N496" i="2"/>
  <c r="M496" i="2"/>
  <c r="L496" i="2"/>
  <c r="J496" i="2"/>
  <c r="Y495" i="2"/>
  <c r="V495" i="2"/>
  <c r="S495" i="2"/>
  <c r="M495" i="2"/>
  <c r="Y494" i="2"/>
  <c r="V494" i="2"/>
  <c r="S494" i="2"/>
  <c r="M494" i="2"/>
  <c r="Y493" i="2"/>
  <c r="V493" i="2"/>
  <c r="S493" i="2"/>
  <c r="M493" i="2"/>
  <c r="Y492" i="2"/>
  <c r="V492" i="2"/>
  <c r="S492" i="2"/>
  <c r="M492" i="2"/>
  <c r="AA491" i="2"/>
  <c r="Z491" i="2"/>
  <c r="Y491" i="2"/>
  <c r="X491" i="2"/>
  <c r="W491" i="2"/>
  <c r="V491" i="2"/>
  <c r="U491" i="2"/>
  <c r="T491" i="2"/>
  <c r="S491" i="2"/>
  <c r="R491" i="2"/>
  <c r="P491" i="2"/>
  <c r="O491" i="2"/>
  <c r="N491" i="2"/>
  <c r="M491" i="2"/>
  <c r="L491" i="2"/>
  <c r="J491" i="2"/>
  <c r="Y490" i="2"/>
  <c r="V490" i="2"/>
  <c r="S490" i="2"/>
  <c r="M490" i="2"/>
  <c r="Y489" i="2"/>
  <c r="V489" i="2"/>
  <c r="S489" i="2"/>
  <c r="M489" i="2"/>
  <c r="Y488" i="2"/>
  <c r="V488" i="2"/>
  <c r="S488" i="2"/>
  <c r="M488" i="2"/>
  <c r="AA487" i="2"/>
  <c r="Z487" i="2"/>
  <c r="Y487" i="2"/>
  <c r="X487" i="2"/>
  <c r="W487" i="2"/>
  <c r="V487" i="2"/>
  <c r="U487" i="2"/>
  <c r="T487" i="2"/>
  <c r="S487" i="2"/>
  <c r="R487" i="2"/>
  <c r="P487" i="2"/>
  <c r="O487" i="2"/>
  <c r="N487" i="2"/>
  <c r="M487" i="2"/>
  <c r="L487" i="2"/>
  <c r="J487" i="2"/>
  <c r="Y486" i="2"/>
  <c r="V486" i="2"/>
  <c r="S486" i="2"/>
  <c r="M486" i="2"/>
  <c r="Y485" i="2"/>
  <c r="V485" i="2"/>
  <c r="S485" i="2"/>
  <c r="M485" i="2"/>
  <c r="Y484" i="2"/>
  <c r="V484" i="2"/>
  <c r="S484" i="2"/>
  <c r="M484" i="2"/>
  <c r="AA483" i="2"/>
  <c r="Z483" i="2"/>
  <c r="Y483" i="2"/>
  <c r="X483" i="2"/>
  <c r="W483" i="2"/>
  <c r="V483" i="2"/>
  <c r="U483" i="2"/>
  <c r="T483" i="2"/>
  <c r="S483" i="2"/>
  <c r="R483" i="2"/>
  <c r="P483" i="2"/>
  <c r="O483" i="2"/>
  <c r="N483" i="2"/>
  <c r="M483" i="2"/>
  <c r="L483" i="2"/>
  <c r="J483" i="2"/>
  <c r="Y482" i="2"/>
  <c r="V482" i="2"/>
  <c r="S482" i="2"/>
  <c r="M482" i="2"/>
  <c r="Y481" i="2"/>
  <c r="V481" i="2"/>
  <c r="S481" i="2"/>
  <c r="M481" i="2"/>
  <c r="Y480" i="2"/>
  <c r="V480" i="2"/>
  <c r="S480" i="2"/>
  <c r="M480" i="2"/>
  <c r="AA479" i="2"/>
  <c r="Z479" i="2"/>
  <c r="Y479" i="2"/>
  <c r="X479" i="2"/>
  <c r="W479" i="2"/>
  <c r="V479" i="2"/>
  <c r="U479" i="2"/>
  <c r="T479" i="2"/>
  <c r="S479" i="2"/>
  <c r="R479" i="2"/>
  <c r="P479" i="2"/>
  <c r="O479" i="2"/>
  <c r="N479" i="2"/>
  <c r="M479" i="2"/>
  <c r="L479" i="2"/>
  <c r="J479" i="2"/>
  <c r="Y478" i="2"/>
  <c r="V478" i="2"/>
  <c r="S478" i="2"/>
  <c r="M478" i="2"/>
  <c r="Y477" i="2"/>
  <c r="V477" i="2"/>
  <c r="S477" i="2"/>
  <c r="M477" i="2"/>
  <c r="Y476" i="2"/>
  <c r="V476" i="2"/>
  <c r="S476" i="2"/>
  <c r="M476" i="2"/>
  <c r="Y475" i="2"/>
  <c r="V475" i="2"/>
  <c r="S475" i="2"/>
  <c r="M475" i="2"/>
  <c r="AA474" i="2"/>
  <c r="Z474" i="2"/>
  <c r="Y474" i="2"/>
  <c r="X474" i="2"/>
  <c r="W474" i="2"/>
  <c r="V474" i="2"/>
  <c r="U474" i="2"/>
  <c r="T474" i="2"/>
  <c r="S474" i="2"/>
  <c r="R474" i="2"/>
  <c r="P474" i="2"/>
  <c r="O474" i="2"/>
  <c r="N474" i="2"/>
  <c r="M474" i="2"/>
  <c r="L474" i="2"/>
  <c r="J474" i="2"/>
  <c r="Y473" i="2"/>
  <c r="V473" i="2"/>
  <c r="S473" i="2"/>
  <c r="M473" i="2"/>
  <c r="Y472" i="2"/>
  <c r="V472" i="2"/>
  <c r="S472" i="2"/>
  <c r="M472" i="2"/>
  <c r="Y471" i="2"/>
  <c r="V471" i="2"/>
  <c r="S471" i="2"/>
  <c r="M471" i="2"/>
  <c r="Y470" i="2"/>
  <c r="V470" i="2"/>
  <c r="S470" i="2"/>
  <c r="M470" i="2"/>
  <c r="AA469" i="2"/>
  <c r="Z469" i="2"/>
  <c r="Y469" i="2"/>
  <c r="X469" i="2"/>
  <c r="W469" i="2"/>
  <c r="V469" i="2"/>
  <c r="U469" i="2"/>
  <c r="T469" i="2"/>
  <c r="S469" i="2"/>
  <c r="R469" i="2"/>
  <c r="P469" i="2"/>
  <c r="O469" i="2"/>
  <c r="N469" i="2"/>
  <c r="M469" i="2"/>
  <c r="L469" i="2"/>
  <c r="J469" i="2"/>
  <c r="Y468" i="2"/>
  <c r="V468" i="2"/>
  <c r="S468" i="2"/>
  <c r="M468" i="2"/>
  <c r="Y467" i="2"/>
  <c r="V467" i="2"/>
  <c r="S467" i="2"/>
  <c r="M467" i="2"/>
  <c r="AA466" i="2"/>
  <c r="Z466" i="2"/>
  <c r="Y466" i="2"/>
  <c r="X466" i="2"/>
  <c r="W466" i="2"/>
  <c r="V466" i="2"/>
  <c r="U466" i="2"/>
  <c r="T466" i="2"/>
  <c r="S466" i="2"/>
  <c r="R466" i="2"/>
  <c r="P466" i="2"/>
  <c r="O466" i="2"/>
  <c r="N466" i="2"/>
  <c r="M466" i="2"/>
  <c r="L466" i="2"/>
  <c r="J466" i="2"/>
  <c r="Y465" i="2"/>
  <c r="V465" i="2"/>
  <c r="S465" i="2"/>
  <c r="M465" i="2"/>
  <c r="Y464" i="2"/>
  <c r="V464" i="2"/>
  <c r="S464" i="2"/>
  <c r="M464" i="2"/>
  <c r="AA463" i="2"/>
  <c r="Z463" i="2"/>
  <c r="Y463" i="2"/>
  <c r="X463" i="2"/>
  <c r="W463" i="2"/>
  <c r="V463" i="2"/>
  <c r="U463" i="2"/>
  <c r="T463" i="2"/>
  <c r="S463" i="2"/>
  <c r="R463" i="2"/>
  <c r="P463" i="2"/>
  <c r="O463" i="2"/>
  <c r="N463" i="2"/>
  <c r="M463" i="2"/>
  <c r="L463" i="2"/>
  <c r="J463" i="2"/>
  <c r="Y462" i="2"/>
  <c r="V462" i="2"/>
  <c r="S462" i="2"/>
  <c r="M462" i="2"/>
  <c r="Y461" i="2"/>
  <c r="V461" i="2"/>
  <c r="S461" i="2"/>
  <c r="M461" i="2"/>
  <c r="AA460" i="2"/>
  <c r="Z460" i="2"/>
  <c r="Y460" i="2"/>
  <c r="X460" i="2"/>
  <c r="W460" i="2"/>
  <c r="V460" i="2"/>
  <c r="U460" i="2"/>
  <c r="T460" i="2"/>
  <c r="S460" i="2"/>
  <c r="R460" i="2"/>
  <c r="P460" i="2"/>
  <c r="O460" i="2"/>
  <c r="N460" i="2"/>
  <c r="M460" i="2"/>
  <c r="L460" i="2"/>
  <c r="J460" i="2"/>
  <c r="Y459" i="2"/>
  <c r="V459" i="2"/>
  <c r="S459" i="2"/>
  <c r="M459" i="2"/>
  <c r="Y458" i="2"/>
  <c r="V458" i="2"/>
  <c r="S458" i="2"/>
  <c r="M458" i="2"/>
  <c r="Y457" i="2"/>
  <c r="V457" i="2"/>
  <c r="S457" i="2"/>
  <c r="M457" i="2"/>
  <c r="AA456" i="2"/>
  <c r="Z456" i="2"/>
  <c r="Y456" i="2"/>
  <c r="X456" i="2"/>
  <c r="W456" i="2"/>
  <c r="V456" i="2"/>
  <c r="U456" i="2"/>
  <c r="T456" i="2"/>
  <c r="S456" i="2"/>
  <c r="R456" i="2"/>
  <c r="P456" i="2"/>
  <c r="O456" i="2"/>
  <c r="N456" i="2"/>
  <c r="M456" i="2"/>
  <c r="L456" i="2"/>
  <c r="J456" i="2"/>
  <c r="Y455" i="2"/>
  <c r="V455" i="2"/>
  <c r="S455" i="2"/>
  <c r="M455" i="2"/>
  <c r="Y454" i="2"/>
  <c r="V454" i="2"/>
  <c r="S454" i="2"/>
  <c r="M454" i="2"/>
  <c r="Y453" i="2"/>
  <c r="V453" i="2"/>
  <c r="S453" i="2"/>
  <c r="M453" i="2"/>
  <c r="AA452" i="2"/>
  <c r="Z452" i="2"/>
  <c r="Y452" i="2"/>
  <c r="X452" i="2"/>
  <c r="W452" i="2"/>
  <c r="V452" i="2"/>
  <c r="U452" i="2"/>
  <c r="T452" i="2"/>
  <c r="S452" i="2"/>
  <c r="R452" i="2"/>
  <c r="P452" i="2"/>
  <c r="O452" i="2"/>
  <c r="N452" i="2"/>
  <c r="M452" i="2"/>
  <c r="L452" i="2"/>
  <c r="J452" i="2"/>
  <c r="Y451" i="2"/>
  <c r="V451" i="2"/>
  <c r="S451" i="2"/>
  <c r="M451" i="2"/>
  <c r="Y450" i="2"/>
  <c r="V450" i="2"/>
  <c r="S450" i="2"/>
  <c r="M450" i="2"/>
  <c r="Y449" i="2"/>
  <c r="V449" i="2"/>
  <c r="S449" i="2"/>
  <c r="M449" i="2"/>
  <c r="AA448" i="2"/>
  <c r="Z448" i="2"/>
  <c r="Y448" i="2"/>
  <c r="X448" i="2"/>
  <c r="W448" i="2"/>
  <c r="V448" i="2"/>
  <c r="U448" i="2"/>
  <c r="T448" i="2"/>
  <c r="S448" i="2"/>
  <c r="R448" i="2"/>
  <c r="P448" i="2"/>
  <c r="O448" i="2"/>
  <c r="N448" i="2"/>
  <c r="M448" i="2"/>
  <c r="L448" i="2"/>
  <c r="J448" i="2"/>
  <c r="Y447" i="2"/>
  <c r="V447" i="2"/>
  <c r="S447" i="2"/>
  <c r="M447" i="2"/>
  <c r="Y446" i="2"/>
  <c r="V446" i="2"/>
  <c r="S446" i="2"/>
  <c r="M446" i="2"/>
  <c r="Y445" i="2"/>
  <c r="V445" i="2"/>
  <c r="S445" i="2"/>
  <c r="M445" i="2"/>
  <c r="AA444" i="2"/>
  <c r="Z444" i="2"/>
  <c r="Y444" i="2"/>
  <c r="X444" i="2"/>
  <c r="W444" i="2"/>
  <c r="V444" i="2"/>
  <c r="U444" i="2"/>
  <c r="T444" i="2"/>
  <c r="S444" i="2"/>
  <c r="R444" i="2"/>
  <c r="P444" i="2"/>
  <c r="O444" i="2"/>
  <c r="N444" i="2"/>
  <c r="M444" i="2"/>
  <c r="L444" i="2"/>
  <c r="J444" i="2"/>
  <c r="AA443" i="2"/>
  <c r="Z443" i="2"/>
  <c r="Y443" i="2"/>
  <c r="U443" i="2"/>
  <c r="T443" i="2"/>
  <c r="S443" i="2"/>
  <c r="O443" i="2"/>
  <c r="N443" i="2"/>
  <c r="M443" i="2"/>
  <c r="Y442" i="2"/>
  <c r="V442" i="2"/>
  <c r="S442" i="2"/>
  <c r="M442" i="2"/>
  <c r="Y441" i="2"/>
  <c r="V441" i="2"/>
  <c r="S441" i="2"/>
  <c r="M441" i="2"/>
  <c r="Y440" i="2"/>
  <c r="V440" i="2"/>
  <c r="S440" i="2"/>
  <c r="M440" i="2"/>
  <c r="Y439" i="2"/>
  <c r="V439" i="2"/>
  <c r="S439" i="2"/>
  <c r="M439" i="2"/>
  <c r="AA438" i="2"/>
  <c r="Z438" i="2"/>
  <c r="Y438" i="2"/>
  <c r="X438" i="2"/>
  <c r="W438" i="2"/>
  <c r="V438" i="2"/>
  <c r="U438" i="2"/>
  <c r="T438" i="2"/>
  <c r="S438" i="2"/>
  <c r="R438" i="2"/>
  <c r="P438" i="2"/>
  <c r="O438" i="2"/>
  <c r="N438" i="2"/>
  <c r="M438" i="2"/>
  <c r="L438" i="2"/>
  <c r="J438" i="2"/>
  <c r="Y437" i="2"/>
  <c r="V437" i="2"/>
  <c r="S437" i="2"/>
  <c r="M437" i="2"/>
  <c r="Y436" i="2"/>
  <c r="V436" i="2"/>
  <c r="S436" i="2"/>
  <c r="M436" i="2"/>
  <c r="Y435" i="2"/>
  <c r="V435" i="2"/>
  <c r="S435" i="2"/>
  <c r="M435" i="2"/>
  <c r="Y434" i="2"/>
  <c r="V434" i="2"/>
  <c r="S434" i="2"/>
  <c r="M434" i="2"/>
  <c r="AA433" i="2"/>
  <c r="Z433" i="2"/>
  <c r="Y433" i="2"/>
  <c r="X433" i="2"/>
  <c r="W433" i="2"/>
  <c r="V433" i="2"/>
  <c r="U433" i="2"/>
  <c r="T433" i="2"/>
  <c r="S433" i="2"/>
  <c r="R433" i="2"/>
  <c r="P433" i="2"/>
  <c r="O433" i="2"/>
  <c r="N433" i="2"/>
  <c r="M433" i="2"/>
  <c r="L433" i="2"/>
  <c r="J433" i="2"/>
  <c r="Y432" i="2"/>
  <c r="V432" i="2"/>
  <c r="S432" i="2"/>
  <c r="M432" i="2"/>
  <c r="Y431" i="2"/>
  <c r="V431" i="2"/>
  <c r="S431" i="2"/>
  <c r="M431" i="2"/>
  <c r="Y430" i="2"/>
  <c r="V430" i="2"/>
  <c r="S430" i="2"/>
  <c r="M430" i="2"/>
  <c r="Y429" i="2"/>
  <c r="V429" i="2"/>
  <c r="S429" i="2"/>
  <c r="M429" i="2"/>
  <c r="Y428" i="2"/>
  <c r="V428" i="2"/>
  <c r="S428" i="2"/>
  <c r="M428" i="2"/>
  <c r="AA427" i="2"/>
  <c r="Z427" i="2"/>
  <c r="Y427" i="2"/>
  <c r="X427" i="2"/>
  <c r="W427" i="2"/>
  <c r="V427" i="2"/>
  <c r="U427" i="2"/>
  <c r="T427" i="2"/>
  <c r="S427" i="2"/>
  <c r="R427" i="2"/>
  <c r="P427" i="2"/>
  <c r="O427" i="2"/>
  <c r="N427" i="2"/>
  <c r="M427" i="2"/>
  <c r="L427" i="2"/>
  <c r="J427" i="2"/>
  <c r="Y426" i="2"/>
  <c r="V426" i="2"/>
  <c r="S426" i="2"/>
  <c r="M426" i="2"/>
  <c r="Y425" i="2"/>
  <c r="V425" i="2"/>
  <c r="S425" i="2"/>
  <c r="M425" i="2"/>
  <c r="Y424" i="2"/>
  <c r="V424" i="2"/>
  <c r="S424" i="2"/>
  <c r="M424" i="2"/>
  <c r="Y423" i="2"/>
  <c r="V423" i="2"/>
  <c r="S423" i="2"/>
  <c r="M423" i="2"/>
  <c r="AA422" i="2"/>
  <c r="Z422" i="2"/>
  <c r="Y422" i="2"/>
  <c r="X422" i="2"/>
  <c r="W422" i="2"/>
  <c r="V422" i="2"/>
  <c r="U422" i="2"/>
  <c r="T422" i="2"/>
  <c r="S422" i="2"/>
  <c r="R422" i="2"/>
  <c r="P422" i="2"/>
  <c r="O422" i="2"/>
  <c r="N422" i="2"/>
  <c r="M422" i="2"/>
  <c r="L422" i="2"/>
  <c r="J422" i="2"/>
  <c r="Y421" i="2"/>
  <c r="V421" i="2"/>
  <c r="S421" i="2"/>
  <c r="M421" i="2"/>
  <c r="Y420" i="2"/>
  <c r="V420" i="2"/>
  <c r="S420" i="2"/>
  <c r="M420" i="2"/>
  <c r="Y419" i="2"/>
  <c r="V419" i="2"/>
  <c r="S419" i="2"/>
  <c r="M419" i="2"/>
  <c r="Y418" i="2"/>
  <c r="V418" i="2"/>
  <c r="S418" i="2"/>
  <c r="M418" i="2"/>
  <c r="AA417" i="2"/>
  <c r="Z417" i="2"/>
  <c r="Y417" i="2"/>
  <c r="X417" i="2"/>
  <c r="W417" i="2"/>
  <c r="V417" i="2"/>
  <c r="U417" i="2"/>
  <c r="T417" i="2"/>
  <c r="S417" i="2"/>
  <c r="R417" i="2"/>
  <c r="P417" i="2"/>
  <c r="O417" i="2"/>
  <c r="N417" i="2"/>
  <c r="M417" i="2"/>
  <c r="L417" i="2"/>
  <c r="J417" i="2"/>
  <c r="Y416" i="2"/>
  <c r="V416" i="2"/>
  <c r="S416" i="2"/>
  <c r="M416" i="2"/>
  <c r="Y415" i="2"/>
  <c r="V415" i="2"/>
  <c r="S415" i="2"/>
  <c r="M415" i="2"/>
  <c r="Y414" i="2"/>
  <c r="V414" i="2"/>
  <c r="S414" i="2"/>
  <c r="M414" i="2"/>
  <c r="Y413" i="2"/>
  <c r="V413" i="2"/>
  <c r="S413" i="2"/>
  <c r="M413" i="2"/>
  <c r="AA412" i="2"/>
  <c r="Z412" i="2"/>
  <c r="Y412" i="2"/>
  <c r="X412" i="2"/>
  <c r="W412" i="2"/>
  <c r="V412" i="2"/>
  <c r="U412" i="2"/>
  <c r="T412" i="2"/>
  <c r="S412" i="2"/>
  <c r="R412" i="2"/>
  <c r="P412" i="2"/>
  <c r="O412" i="2"/>
  <c r="N412" i="2"/>
  <c r="M412" i="2"/>
  <c r="L412" i="2"/>
  <c r="J412" i="2"/>
  <c r="Y411" i="2"/>
  <c r="V411" i="2"/>
  <c r="S411" i="2"/>
  <c r="M411" i="2"/>
  <c r="Y410" i="2"/>
  <c r="V410" i="2"/>
  <c r="S410" i="2"/>
  <c r="M410" i="2"/>
  <c r="Y409" i="2"/>
  <c r="V409" i="2"/>
  <c r="S409" i="2"/>
  <c r="M409" i="2"/>
  <c r="Y408" i="2"/>
  <c r="V408" i="2"/>
  <c r="S408" i="2"/>
  <c r="M408" i="2"/>
  <c r="AA407" i="2"/>
  <c r="Z407" i="2"/>
  <c r="Y407" i="2"/>
  <c r="X407" i="2"/>
  <c r="W407" i="2"/>
  <c r="V407" i="2"/>
  <c r="U407" i="2"/>
  <c r="T407" i="2"/>
  <c r="S407" i="2"/>
  <c r="R407" i="2"/>
  <c r="P407" i="2"/>
  <c r="O407" i="2"/>
  <c r="N407" i="2"/>
  <c r="M407" i="2"/>
  <c r="L407" i="2"/>
  <c r="J407" i="2"/>
  <c r="Y406" i="2"/>
  <c r="V406" i="2"/>
  <c r="S406" i="2"/>
  <c r="M406" i="2"/>
  <c r="Y405" i="2"/>
  <c r="V405" i="2"/>
  <c r="S405" i="2"/>
  <c r="M405" i="2"/>
  <c r="Y404" i="2"/>
  <c r="V404" i="2"/>
  <c r="S404" i="2"/>
  <c r="M404" i="2"/>
  <c r="Y403" i="2"/>
  <c r="V403" i="2"/>
  <c r="S403" i="2"/>
  <c r="M403" i="2"/>
  <c r="AA402" i="2"/>
  <c r="Z402" i="2"/>
  <c r="Y402" i="2"/>
  <c r="X402" i="2"/>
  <c r="W402" i="2"/>
  <c r="V402" i="2"/>
  <c r="U402" i="2"/>
  <c r="T402" i="2"/>
  <c r="S402" i="2"/>
  <c r="R402" i="2"/>
  <c r="P402" i="2"/>
  <c r="O402" i="2"/>
  <c r="N402" i="2"/>
  <c r="M402" i="2"/>
  <c r="L402" i="2"/>
  <c r="J402" i="2"/>
  <c r="Y401" i="2"/>
  <c r="V401" i="2"/>
  <c r="S401" i="2"/>
  <c r="M401" i="2"/>
  <c r="Y400" i="2"/>
  <c r="V400" i="2"/>
  <c r="S400" i="2"/>
  <c r="M400" i="2"/>
  <c r="Y399" i="2"/>
  <c r="V399" i="2"/>
  <c r="S399" i="2"/>
  <c r="M399" i="2"/>
  <c r="Y398" i="2"/>
  <c r="V398" i="2"/>
  <c r="S398" i="2"/>
  <c r="M398" i="2"/>
  <c r="Y397" i="2"/>
  <c r="V397" i="2"/>
  <c r="S397" i="2"/>
  <c r="M397" i="2"/>
  <c r="AA396" i="2"/>
  <c r="Z396" i="2"/>
  <c r="Y396" i="2"/>
  <c r="X396" i="2"/>
  <c r="W396" i="2"/>
  <c r="V396" i="2"/>
  <c r="U396" i="2"/>
  <c r="T396" i="2"/>
  <c r="S396" i="2"/>
  <c r="R396" i="2"/>
  <c r="P396" i="2"/>
  <c r="O396" i="2"/>
  <c r="N396" i="2"/>
  <c r="M396" i="2"/>
  <c r="L396" i="2"/>
  <c r="J396" i="2"/>
  <c r="Y395" i="2"/>
  <c r="V395" i="2"/>
  <c r="S395" i="2"/>
  <c r="M395" i="2"/>
  <c r="Y394" i="2"/>
  <c r="V394" i="2"/>
  <c r="S394" i="2"/>
  <c r="M394" i="2"/>
  <c r="Y393" i="2"/>
  <c r="V393" i="2"/>
  <c r="S393" i="2"/>
  <c r="M393" i="2"/>
  <c r="Y392" i="2"/>
  <c r="V392" i="2"/>
  <c r="S392" i="2"/>
  <c r="M392" i="2"/>
  <c r="Y391" i="2"/>
  <c r="V391" i="2"/>
  <c r="S391" i="2"/>
  <c r="M391" i="2"/>
  <c r="AA390" i="2"/>
  <c r="Z390" i="2"/>
  <c r="Y390" i="2"/>
  <c r="X390" i="2"/>
  <c r="W390" i="2"/>
  <c r="V390" i="2"/>
  <c r="U390" i="2"/>
  <c r="T390" i="2"/>
  <c r="S390" i="2"/>
  <c r="R390" i="2"/>
  <c r="P390" i="2"/>
  <c r="O390" i="2"/>
  <c r="N390" i="2"/>
  <c r="M390" i="2"/>
  <c r="L390" i="2"/>
  <c r="J390" i="2"/>
  <c r="Y389" i="2"/>
  <c r="V389" i="2"/>
  <c r="S389" i="2"/>
  <c r="M389" i="2"/>
  <c r="Y388" i="2"/>
  <c r="V388" i="2"/>
  <c r="S388" i="2"/>
  <c r="M388" i="2"/>
  <c r="Y387" i="2"/>
  <c r="V387" i="2"/>
  <c r="S387" i="2"/>
  <c r="M387" i="2"/>
  <c r="AA386" i="2"/>
  <c r="Z386" i="2"/>
  <c r="Y386" i="2"/>
  <c r="X386" i="2"/>
  <c r="W386" i="2"/>
  <c r="V386" i="2"/>
  <c r="U386" i="2"/>
  <c r="T386" i="2"/>
  <c r="S386" i="2"/>
  <c r="R386" i="2"/>
  <c r="P386" i="2"/>
  <c r="O386" i="2"/>
  <c r="N386" i="2"/>
  <c r="M386" i="2"/>
  <c r="L386" i="2"/>
  <c r="J386" i="2"/>
  <c r="Y385" i="2"/>
  <c r="V385" i="2"/>
  <c r="S385" i="2"/>
  <c r="M385" i="2"/>
  <c r="Y384" i="2"/>
  <c r="V384" i="2"/>
  <c r="S384" i="2"/>
  <c r="M384" i="2"/>
  <c r="Y383" i="2"/>
  <c r="V383" i="2"/>
  <c r="S383" i="2"/>
  <c r="M383" i="2"/>
  <c r="Y382" i="2"/>
  <c r="V382" i="2"/>
  <c r="S382" i="2"/>
  <c r="M382" i="2"/>
  <c r="AA381" i="2"/>
  <c r="Z381" i="2"/>
  <c r="Y381" i="2"/>
  <c r="X381" i="2"/>
  <c r="W381" i="2"/>
  <c r="V381" i="2"/>
  <c r="U381" i="2"/>
  <c r="T381" i="2"/>
  <c r="S381" i="2"/>
  <c r="R381" i="2"/>
  <c r="P381" i="2"/>
  <c r="O381" i="2"/>
  <c r="N381" i="2"/>
  <c r="M381" i="2"/>
  <c r="L381" i="2"/>
  <c r="J381" i="2"/>
  <c r="Y380" i="2"/>
  <c r="V380" i="2"/>
  <c r="S380" i="2"/>
  <c r="M380" i="2"/>
  <c r="Y379" i="2"/>
  <c r="V379" i="2"/>
  <c r="S379" i="2"/>
  <c r="M379" i="2"/>
  <c r="Y378" i="2"/>
  <c r="V378" i="2"/>
  <c r="S378" i="2"/>
  <c r="M378" i="2"/>
  <c r="AA377" i="2"/>
  <c r="Z377" i="2"/>
  <c r="Y377" i="2"/>
  <c r="X377" i="2"/>
  <c r="W377" i="2"/>
  <c r="V377" i="2"/>
  <c r="U377" i="2"/>
  <c r="T377" i="2"/>
  <c r="S377" i="2"/>
  <c r="R377" i="2"/>
  <c r="P377" i="2"/>
  <c r="O377" i="2"/>
  <c r="N377" i="2"/>
  <c r="M377" i="2"/>
  <c r="L377" i="2"/>
  <c r="J377" i="2"/>
  <c r="Y376" i="2"/>
  <c r="V376" i="2"/>
  <c r="S376" i="2"/>
  <c r="M376" i="2"/>
  <c r="Y375" i="2"/>
  <c r="V375" i="2"/>
  <c r="S375" i="2"/>
  <c r="M375" i="2"/>
  <c r="Y374" i="2"/>
  <c r="V374" i="2"/>
  <c r="S374" i="2"/>
  <c r="M374" i="2"/>
  <c r="Y373" i="2"/>
  <c r="V373" i="2"/>
  <c r="S373" i="2"/>
  <c r="M373" i="2"/>
  <c r="AA372" i="2"/>
  <c r="Z372" i="2"/>
  <c r="Y372" i="2"/>
  <c r="X372" i="2"/>
  <c r="W372" i="2"/>
  <c r="V372" i="2"/>
  <c r="U372" i="2"/>
  <c r="T372" i="2"/>
  <c r="S372" i="2"/>
  <c r="R372" i="2"/>
  <c r="P372" i="2"/>
  <c r="O372" i="2"/>
  <c r="N372" i="2"/>
  <c r="M372" i="2"/>
  <c r="L372" i="2"/>
  <c r="J372" i="2"/>
  <c r="Y371" i="2"/>
  <c r="V371" i="2"/>
  <c r="S371" i="2"/>
  <c r="M371" i="2"/>
  <c r="Y370" i="2"/>
  <c r="V370" i="2"/>
  <c r="S370" i="2"/>
  <c r="M370" i="2"/>
  <c r="Y369" i="2"/>
  <c r="V369" i="2"/>
  <c r="S369" i="2"/>
  <c r="M369" i="2"/>
  <c r="Y368" i="2"/>
  <c r="V368" i="2"/>
  <c r="S368" i="2"/>
  <c r="M368" i="2"/>
  <c r="AA367" i="2"/>
  <c r="Z367" i="2"/>
  <c r="Y367" i="2"/>
  <c r="X367" i="2"/>
  <c r="W367" i="2"/>
  <c r="V367" i="2"/>
  <c r="U367" i="2"/>
  <c r="T367" i="2"/>
  <c r="S367" i="2"/>
  <c r="R367" i="2"/>
  <c r="P367" i="2"/>
  <c r="O367" i="2"/>
  <c r="N367" i="2"/>
  <c r="M367" i="2"/>
  <c r="L367" i="2"/>
  <c r="J367" i="2"/>
  <c r="Y366" i="2"/>
  <c r="V366" i="2"/>
  <c r="S366" i="2"/>
  <c r="M366" i="2"/>
  <c r="Y365" i="2"/>
  <c r="V365" i="2"/>
  <c r="S365" i="2"/>
  <c r="M365" i="2"/>
  <c r="Y364" i="2"/>
  <c r="V364" i="2"/>
  <c r="S364" i="2"/>
  <c r="M364" i="2"/>
  <c r="Y363" i="2"/>
  <c r="V363" i="2"/>
  <c r="S363" i="2"/>
  <c r="M363" i="2"/>
  <c r="AA362" i="2"/>
  <c r="Z362" i="2"/>
  <c r="Y362" i="2"/>
  <c r="X362" i="2"/>
  <c r="W362" i="2"/>
  <c r="V362" i="2"/>
  <c r="U362" i="2"/>
  <c r="T362" i="2"/>
  <c r="S362" i="2"/>
  <c r="R362" i="2"/>
  <c r="P362" i="2"/>
  <c r="O362" i="2"/>
  <c r="N362" i="2"/>
  <c r="M362" i="2"/>
  <c r="L362" i="2"/>
  <c r="J362" i="2"/>
  <c r="Y361" i="2"/>
  <c r="V361" i="2"/>
  <c r="S361" i="2"/>
  <c r="M361" i="2"/>
  <c r="Y360" i="2"/>
  <c r="V360" i="2"/>
  <c r="S360" i="2"/>
  <c r="M360" i="2"/>
  <c r="AA359" i="2"/>
  <c r="Z359" i="2"/>
  <c r="Y359" i="2"/>
  <c r="X359" i="2"/>
  <c r="W359" i="2"/>
  <c r="V359" i="2"/>
  <c r="U359" i="2"/>
  <c r="T359" i="2"/>
  <c r="S359" i="2"/>
  <c r="R359" i="2"/>
  <c r="P359" i="2"/>
  <c r="O359" i="2"/>
  <c r="N359" i="2"/>
  <c r="M359" i="2"/>
  <c r="L359" i="2"/>
  <c r="J359" i="2"/>
  <c r="Y358" i="2"/>
  <c r="V358" i="2"/>
  <c r="S358" i="2"/>
  <c r="M358" i="2"/>
  <c r="Y357" i="2"/>
  <c r="V357" i="2"/>
  <c r="S357" i="2"/>
  <c r="M357" i="2"/>
  <c r="AA356" i="2"/>
  <c r="Z356" i="2"/>
  <c r="Y356" i="2"/>
  <c r="X356" i="2"/>
  <c r="W356" i="2"/>
  <c r="V356" i="2"/>
  <c r="U356" i="2"/>
  <c r="T356" i="2"/>
  <c r="S356" i="2"/>
  <c r="R356" i="2"/>
  <c r="P356" i="2"/>
  <c r="O356" i="2"/>
  <c r="N356" i="2"/>
  <c r="M356" i="2"/>
  <c r="L356" i="2"/>
  <c r="J356" i="2"/>
  <c r="Y355" i="2"/>
  <c r="V355" i="2"/>
  <c r="S355" i="2"/>
  <c r="M355" i="2"/>
  <c r="Y354" i="2"/>
  <c r="V354" i="2"/>
  <c r="S354" i="2"/>
  <c r="M354" i="2"/>
  <c r="AA353" i="2"/>
  <c r="Z353" i="2"/>
  <c r="Y353" i="2"/>
  <c r="X353" i="2"/>
  <c r="W353" i="2"/>
  <c r="V353" i="2"/>
  <c r="U353" i="2"/>
  <c r="T353" i="2"/>
  <c r="S353" i="2"/>
  <c r="R353" i="2"/>
  <c r="P353" i="2"/>
  <c r="O353" i="2"/>
  <c r="N353" i="2"/>
  <c r="M353" i="2"/>
  <c r="L353" i="2"/>
  <c r="J353" i="2"/>
  <c r="Y352" i="2"/>
  <c r="V352" i="2"/>
  <c r="S352" i="2"/>
  <c r="M352" i="2"/>
  <c r="Y351" i="2"/>
  <c r="V351" i="2"/>
  <c r="S351" i="2"/>
  <c r="M351" i="2"/>
  <c r="AA350" i="2"/>
  <c r="Z350" i="2"/>
  <c r="Y350" i="2"/>
  <c r="X350" i="2"/>
  <c r="W350" i="2"/>
  <c r="V350" i="2"/>
  <c r="U350" i="2"/>
  <c r="T350" i="2"/>
  <c r="S350" i="2"/>
  <c r="R350" i="2"/>
  <c r="P350" i="2"/>
  <c r="O350" i="2"/>
  <c r="N350" i="2"/>
  <c r="M350" i="2"/>
  <c r="L350" i="2"/>
  <c r="J350" i="2"/>
  <c r="Y349" i="2"/>
  <c r="V349" i="2"/>
  <c r="S349" i="2"/>
  <c r="M349" i="2"/>
  <c r="Y348" i="2"/>
  <c r="V348" i="2"/>
  <c r="S348" i="2"/>
  <c r="M348" i="2"/>
  <c r="AA347" i="2"/>
  <c r="Z347" i="2"/>
  <c r="Y347" i="2"/>
  <c r="X347" i="2"/>
  <c r="W347" i="2"/>
  <c r="V347" i="2"/>
  <c r="U347" i="2"/>
  <c r="T347" i="2"/>
  <c r="S347" i="2"/>
  <c r="R347" i="2"/>
  <c r="P347" i="2"/>
  <c r="O347" i="2"/>
  <c r="N347" i="2"/>
  <c r="M347" i="2"/>
  <c r="L347" i="2"/>
  <c r="J347" i="2"/>
  <c r="Y346" i="2"/>
  <c r="V346" i="2"/>
  <c r="S346" i="2"/>
  <c r="M346" i="2"/>
  <c r="Y345" i="2"/>
  <c r="V345" i="2"/>
  <c r="S345" i="2"/>
  <c r="M345" i="2"/>
  <c r="AA344" i="2"/>
  <c r="Z344" i="2"/>
  <c r="Y344" i="2"/>
  <c r="X344" i="2"/>
  <c r="W344" i="2"/>
  <c r="V344" i="2"/>
  <c r="U344" i="2"/>
  <c r="T344" i="2"/>
  <c r="S344" i="2"/>
  <c r="R344" i="2"/>
  <c r="P344" i="2"/>
  <c r="O344" i="2"/>
  <c r="N344" i="2"/>
  <c r="M344" i="2"/>
  <c r="L344" i="2"/>
  <c r="J344" i="2"/>
  <c r="Y343" i="2"/>
  <c r="V343" i="2"/>
  <c r="S343" i="2"/>
  <c r="M343" i="2"/>
  <c r="Y342" i="2"/>
  <c r="V342" i="2"/>
  <c r="S342" i="2"/>
  <c r="M342" i="2"/>
  <c r="AA341" i="2"/>
  <c r="Z341" i="2"/>
  <c r="Y341" i="2"/>
  <c r="X341" i="2"/>
  <c r="W341" i="2"/>
  <c r="V341" i="2"/>
  <c r="U341" i="2"/>
  <c r="T341" i="2"/>
  <c r="S341" i="2"/>
  <c r="R341" i="2"/>
  <c r="P341" i="2"/>
  <c r="O341" i="2"/>
  <c r="N341" i="2"/>
  <c r="M341" i="2"/>
  <c r="L341" i="2"/>
  <c r="J341" i="2"/>
  <c r="Y340" i="2"/>
  <c r="V340" i="2"/>
  <c r="S340" i="2"/>
  <c r="M340" i="2"/>
  <c r="Y339" i="2"/>
  <c r="V339" i="2"/>
  <c r="S339" i="2"/>
  <c r="M339" i="2"/>
  <c r="AA338" i="2"/>
  <c r="Z338" i="2"/>
  <c r="Y338" i="2"/>
  <c r="X338" i="2"/>
  <c r="W338" i="2"/>
  <c r="V338" i="2"/>
  <c r="U338" i="2"/>
  <c r="T338" i="2"/>
  <c r="S338" i="2"/>
  <c r="R338" i="2"/>
  <c r="P338" i="2"/>
  <c r="O338" i="2"/>
  <c r="N338" i="2"/>
  <c r="M338" i="2"/>
  <c r="L338" i="2"/>
  <c r="J338" i="2"/>
  <c r="Y337" i="2"/>
  <c r="V337" i="2"/>
  <c r="S337" i="2"/>
  <c r="M337" i="2"/>
  <c r="Y336" i="2"/>
  <c r="V336" i="2"/>
  <c r="S336" i="2"/>
  <c r="M336" i="2"/>
  <c r="AA335" i="2"/>
  <c r="Z335" i="2"/>
  <c r="Y335" i="2"/>
  <c r="X335" i="2"/>
  <c r="W335" i="2"/>
  <c r="V335" i="2"/>
  <c r="U335" i="2"/>
  <c r="T335" i="2"/>
  <c r="S335" i="2"/>
  <c r="R335" i="2"/>
  <c r="P335" i="2"/>
  <c r="O335" i="2"/>
  <c r="N335" i="2"/>
  <c r="M335" i="2"/>
  <c r="L335" i="2"/>
  <c r="J335" i="2"/>
  <c r="Y334" i="2"/>
  <c r="V334" i="2"/>
  <c r="S334" i="2"/>
  <c r="M334" i="2"/>
  <c r="Y333" i="2"/>
  <c r="V333" i="2"/>
  <c r="S333" i="2"/>
  <c r="M333" i="2"/>
  <c r="AA332" i="2"/>
  <c r="Z332" i="2"/>
  <c r="Y332" i="2"/>
  <c r="X332" i="2"/>
  <c r="W332" i="2"/>
  <c r="V332" i="2"/>
  <c r="U332" i="2"/>
  <c r="T332" i="2"/>
  <c r="S332" i="2"/>
  <c r="R332" i="2"/>
  <c r="P332" i="2"/>
  <c r="O332" i="2"/>
  <c r="N332" i="2"/>
  <c r="M332" i="2"/>
  <c r="L332" i="2"/>
  <c r="J332" i="2"/>
  <c r="Y331" i="2"/>
  <c r="V331" i="2"/>
  <c r="S331" i="2"/>
  <c r="M331" i="2"/>
  <c r="Y330" i="2"/>
  <c r="V330" i="2"/>
  <c r="S330" i="2"/>
  <c r="M330" i="2"/>
  <c r="AA329" i="2"/>
  <c r="Z329" i="2"/>
  <c r="Y329" i="2"/>
  <c r="X329" i="2"/>
  <c r="W329" i="2"/>
  <c r="V329" i="2"/>
  <c r="U329" i="2"/>
  <c r="T329" i="2"/>
  <c r="S329" i="2"/>
  <c r="R329" i="2"/>
  <c r="P329" i="2"/>
  <c r="O329" i="2"/>
  <c r="N329" i="2"/>
  <c r="M329" i="2"/>
  <c r="L329" i="2"/>
  <c r="J329" i="2"/>
  <c r="Y328" i="2"/>
  <c r="V328" i="2"/>
  <c r="S328" i="2"/>
  <c r="M328" i="2"/>
  <c r="Y327" i="2"/>
  <c r="V327" i="2"/>
  <c r="S327" i="2"/>
  <c r="M327" i="2"/>
  <c r="AA326" i="2"/>
  <c r="Z326" i="2"/>
  <c r="Y326" i="2"/>
  <c r="X326" i="2"/>
  <c r="W326" i="2"/>
  <c r="V326" i="2"/>
  <c r="U326" i="2"/>
  <c r="T326" i="2"/>
  <c r="S326" i="2"/>
  <c r="R326" i="2"/>
  <c r="P326" i="2"/>
  <c r="O326" i="2"/>
  <c r="N326" i="2"/>
  <c r="M326" i="2"/>
  <c r="L326" i="2"/>
  <c r="J326" i="2"/>
  <c r="Y325" i="2"/>
  <c r="V325" i="2"/>
  <c r="S325" i="2"/>
  <c r="M325" i="2"/>
  <c r="Y324" i="2"/>
  <c r="V324" i="2"/>
  <c r="S324" i="2"/>
  <c r="M324" i="2"/>
  <c r="AA323" i="2"/>
  <c r="Z323" i="2"/>
  <c r="Y323" i="2"/>
  <c r="X323" i="2"/>
  <c r="W323" i="2"/>
  <c r="V323" i="2"/>
  <c r="U323" i="2"/>
  <c r="T323" i="2"/>
  <c r="S323" i="2"/>
  <c r="R323" i="2"/>
  <c r="P323" i="2"/>
  <c r="O323" i="2"/>
  <c r="N323" i="2"/>
  <c r="M323" i="2"/>
  <c r="L323" i="2"/>
  <c r="J323" i="2"/>
  <c r="Y322" i="2"/>
  <c r="V322" i="2"/>
  <c r="S322" i="2"/>
  <c r="M322" i="2"/>
  <c r="Y321" i="2"/>
  <c r="V321" i="2"/>
  <c r="S321" i="2"/>
  <c r="M321" i="2"/>
  <c r="AA320" i="2"/>
  <c r="Z320" i="2"/>
  <c r="Y320" i="2"/>
  <c r="X320" i="2"/>
  <c r="W320" i="2"/>
  <c r="V320" i="2"/>
  <c r="U320" i="2"/>
  <c r="T320" i="2"/>
  <c r="S320" i="2"/>
  <c r="R320" i="2"/>
  <c r="P320" i="2"/>
  <c r="O320" i="2"/>
  <c r="N320" i="2"/>
  <c r="M320" i="2"/>
  <c r="L320" i="2"/>
  <c r="J320" i="2"/>
  <c r="Y319" i="2"/>
  <c r="V319" i="2"/>
  <c r="S319" i="2"/>
  <c r="M319" i="2"/>
  <c r="Y318" i="2"/>
  <c r="V318" i="2"/>
  <c r="S318" i="2"/>
  <c r="M318" i="2"/>
  <c r="AA317" i="2"/>
  <c r="Z317" i="2"/>
  <c r="Y317" i="2"/>
  <c r="X317" i="2"/>
  <c r="W317" i="2"/>
  <c r="V317" i="2"/>
  <c r="U317" i="2"/>
  <c r="T317" i="2"/>
  <c r="S317" i="2"/>
  <c r="R317" i="2"/>
  <c r="P317" i="2"/>
  <c r="O317" i="2"/>
  <c r="N317" i="2"/>
  <c r="M317" i="2"/>
  <c r="L317" i="2"/>
  <c r="J317" i="2"/>
  <c r="Y316" i="2"/>
  <c r="V316" i="2"/>
  <c r="S316" i="2"/>
  <c r="M316" i="2"/>
  <c r="Y315" i="2"/>
  <c r="V315" i="2"/>
  <c r="S315" i="2"/>
  <c r="M315" i="2"/>
  <c r="AA314" i="2"/>
  <c r="Z314" i="2"/>
  <c r="Y314" i="2"/>
  <c r="X314" i="2"/>
  <c r="W314" i="2"/>
  <c r="V314" i="2"/>
  <c r="U314" i="2"/>
  <c r="T314" i="2"/>
  <c r="S314" i="2"/>
  <c r="R314" i="2"/>
  <c r="P314" i="2"/>
  <c r="O314" i="2"/>
  <c r="N314" i="2"/>
  <c r="M314" i="2"/>
  <c r="L314" i="2"/>
  <c r="J314" i="2"/>
  <c r="Y313" i="2"/>
  <c r="V313" i="2"/>
  <c r="S313" i="2"/>
  <c r="M313" i="2"/>
  <c r="Y312" i="2"/>
  <c r="V312" i="2"/>
  <c r="S312" i="2"/>
  <c r="M312" i="2"/>
  <c r="AA311" i="2"/>
  <c r="Z311" i="2"/>
  <c r="Y311" i="2"/>
  <c r="X311" i="2"/>
  <c r="W311" i="2"/>
  <c r="V311" i="2"/>
  <c r="U311" i="2"/>
  <c r="T311" i="2"/>
  <c r="S311" i="2"/>
  <c r="R311" i="2"/>
  <c r="P311" i="2"/>
  <c r="O311" i="2"/>
  <c r="N311" i="2"/>
  <c r="M311" i="2"/>
  <c r="L311" i="2"/>
  <c r="J311" i="2"/>
  <c r="Y310" i="2"/>
  <c r="V310" i="2"/>
  <c r="S310" i="2"/>
  <c r="M310" i="2"/>
  <c r="Y309" i="2"/>
  <c r="V309" i="2"/>
  <c r="S309" i="2"/>
  <c r="M309" i="2"/>
  <c r="AA308" i="2"/>
  <c r="Z308" i="2"/>
  <c r="Y308" i="2"/>
  <c r="X308" i="2"/>
  <c r="W308" i="2"/>
  <c r="V308" i="2"/>
  <c r="U308" i="2"/>
  <c r="T308" i="2"/>
  <c r="S308" i="2"/>
  <c r="R308" i="2"/>
  <c r="P308" i="2"/>
  <c r="O308" i="2"/>
  <c r="N308" i="2"/>
  <c r="M308" i="2"/>
  <c r="L308" i="2"/>
  <c r="J308" i="2"/>
  <c r="Y307" i="2"/>
  <c r="V307" i="2"/>
  <c r="S307" i="2"/>
  <c r="M307" i="2"/>
  <c r="Y306" i="2"/>
  <c r="V306" i="2"/>
  <c r="S306" i="2"/>
  <c r="M306" i="2"/>
  <c r="AA305" i="2"/>
  <c r="Z305" i="2"/>
  <c r="Y305" i="2"/>
  <c r="X305" i="2"/>
  <c r="W305" i="2"/>
  <c r="V305" i="2"/>
  <c r="U305" i="2"/>
  <c r="T305" i="2"/>
  <c r="S305" i="2"/>
  <c r="R305" i="2"/>
  <c r="P305" i="2"/>
  <c r="O305" i="2"/>
  <c r="N305" i="2"/>
  <c r="M305" i="2"/>
  <c r="L305" i="2"/>
  <c r="J305" i="2"/>
  <c r="Y304" i="2"/>
  <c r="V304" i="2"/>
  <c r="S304" i="2"/>
  <c r="M304" i="2"/>
  <c r="Y303" i="2"/>
  <c r="V303" i="2"/>
  <c r="S303" i="2"/>
  <c r="M303" i="2"/>
  <c r="AA302" i="2"/>
  <c r="Z302" i="2"/>
  <c r="Y302" i="2"/>
  <c r="X302" i="2"/>
  <c r="W302" i="2"/>
  <c r="V302" i="2"/>
  <c r="U302" i="2"/>
  <c r="T302" i="2"/>
  <c r="S302" i="2"/>
  <c r="R302" i="2"/>
  <c r="P302" i="2"/>
  <c r="O302" i="2"/>
  <c r="N302" i="2"/>
  <c r="M302" i="2"/>
  <c r="L302" i="2"/>
  <c r="J302" i="2"/>
  <c r="Y301" i="2"/>
  <c r="V301" i="2"/>
  <c r="S301" i="2"/>
  <c r="M301" i="2"/>
  <c r="Y300" i="2"/>
  <c r="V300" i="2"/>
  <c r="S300" i="2"/>
  <c r="M300" i="2"/>
  <c r="AA299" i="2"/>
  <c r="Z299" i="2"/>
  <c r="Y299" i="2"/>
  <c r="X299" i="2"/>
  <c r="W299" i="2"/>
  <c r="V299" i="2"/>
  <c r="U299" i="2"/>
  <c r="T299" i="2"/>
  <c r="S299" i="2"/>
  <c r="R299" i="2"/>
  <c r="P299" i="2"/>
  <c r="O299" i="2"/>
  <c r="N299" i="2"/>
  <c r="M299" i="2"/>
  <c r="L299" i="2"/>
  <c r="J299" i="2"/>
  <c r="Y298" i="2"/>
  <c r="V298" i="2"/>
  <c r="S298" i="2"/>
  <c r="M298" i="2"/>
  <c r="Y297" i="2"/>
  <c r="V297" i="2"/>
  <c r="S297" i="2"/>
  <c r="M297" i="2"/>
  <c r="AA296" i="2"/>
  <c r="Z296" i="2"/>
  <c r="Y296" i="2"/>
  <c r="X296" i="2"/>
  <c r="W296" i="2"/>
  <c r="V296" i="2"/>
  <c r="U296" i="2"/>
  <c r="T296" i="2"/>
  <c r="S296" i="2"/>
  <c r="R296" i="2"/>
  <c r="P296" i="2"/>
  <c r="O296" i="2"/>
  <c r="N296" i="2"/>
  <c r="M296" i="2"/>
  <c r="L296" i="2"/>
  <c r="J296" i="2"/>
  <c r="Y295" i="2"/>
  <c r="V295" i="2"/>
  <c r="S295" i="2"/>
  <c r="M295" i="2"/>
  <c r="Y294" i="2"/>
  <c r="V294" i="2"/>
  <c r="S294" i="2"/>
  <c r="M294" i="2"/>
  <c r="AA293" i="2"/>
  <c r="Z293" i="2"/>
  <c r="Y293" i="2"/>
  <c r="X293" i="2"/>
  <c r="W293" i="2"/>
  <c r="V293" i="2"/>
  <c r="U293" i="2"/>
  <c r="T293" i="2"/>
  <c r="S293" i="2"/>
  <c r="R293" i="2"/>
  <c r="P293" i="2"/>
  <c r="O293" i="2"/>
  <c r="N293" i="2"/>
  <c r="M293" i="2"/>
  <c r="L293" i="2"/>
  <c r="J293" i="2"/>
  <c r="Y292" i="2"/>
  <c r="V292" i="2"/>
  <c r="S292" i="2"/>
  <c r="M292" i="2"/>
  <c r="Y291" i="2"/>
  <c r="V291" i="2"/>
  <c r="S291" i="2"/>
  <c r="M291" i="2"/>
  <c r="AA290" i="2"/>
  <c r="Z290" i="2"/>
  <c r="Y290" i="2"/>
  <c r="X290" i="2"/>
  <c r="W290" i="2"/>
  <c r="V290" i="2"/>
  <c r="U290" i="2"/>
  <c r="T290" i="2"/>
  <c r="S290" i="2"/>
  <c r="R290" i="2"/>
  <c r="P290" i="2"/>
  <c r="O290" i="2"/>
  <c r="N290" i="2"/>
  <c r="M290" i="2"/>
  <c r="L290" i="2"/>
  <c r="J290" i="2"/>
  <c r="Y289" i="2"/>
  <c r="V289" i="2"/>
  <c r="S289" i="2"/>
  <c r="M289" i="2"/>
  <c r="Y288" i="2"/>
  <c r="V288" i="2"/>
  <c r="S288" i="2"/>
  <c r="M288" i="2"/>
  <c r="AA287" i="2"/>
  <c r="Z287" i="2"/>
  <c r="Y287" i="2"/>
  <c r="X287" i="2"/>
  <c r="W287" i="2"/>
  <c r="V287" i="2"/>
  <c r="U287" i="2"/>
  <c r="T287" i="2"/>
  <c r="S287" i="2"/>
  <c r="R287" i="2"/>
  <c r="P287" i="2"/>
  <c r="O287" i="2"/>
  <c r="N287" i="2"/>
  <c r="M287" i="2"/>
  <c r="L287" i="2"/>
  <c r="J287" i="2"/>
  <c r="Y286" i="2"/>
  <c r="V286" i="2"/>
  <c r="S286" i="2"/>
  <c r="M286" i="2"/>
  <c r="Y285" i="2"/>
  <c r="V285" i="2"/>
  <c r="S285" i="2"/>
  <c r="M285" i="2"/>
  <c r="AA284" i="2"/>
  <c r="Z284" i="2"/>
  <c r="Y284" i="2"/>
  <c r="X284" i="2"/>
  <c r="W284" i="2"/>
  <c r="V284" i="2"/>
  <c r="U284" i="2"/>
  <c r="T284" i="2"/>
  <c r="S284" i="2"/>
  <c r="R284" i="2"/>
  <c r="P284" i="2"/>
  <c r="O284" i="2"/>
  <c r="N284" i="2"/>
  <c r="M284" i="2"/>
  <c r="L284" i="2"/>
  <c r="J284" i="2"/>
  <c r="Y283" i="2"/>
  <c r="V283" i="2"/>
  <c r="S283" i="2"/>
  <c r="M283" i="2"/>
  <c r="Y282" i="2"/>
  <c r="V282" i="2"/>
  <c r="S282" i="2"/>
  <c r="M282" i="2"/>
  <c r="AA281" i="2"/>
  <c r="Z281" i="2"/>
  <c r="Y281" i="2"/>
  <c r="X281" i="2"/>
  <c r="W281" i="2"/>
  <c r="V281" i="2"/>
  <c r="U281" i="2"/>
  <c r="T281" i="2"/>
  <c r="S281" i="2"/>
  <c r="R281" i="2"/>
  <c r="P281" i="2"/>
  <c r="O281" i="2"/>
  <c r="N281" i="2"/>
  <c r="M281" i="2"/>
  <c r="L281" i="2"/>
  <c r="J281" i="2"/>
  <c r="Y280" i="2"/>
  <c r="V280" i="2"/>
  <c r="S280" i="2"/>
  <c r="M280" i="2"/>
  <c r="Y279" i="2"/>
  <c r="V279" i="2"/>
  <c r="S279" i="2"/>
  <c r="M279" i="2"/>
  <c r="AA278" i="2"/>
  <c r="Z278" i="2"/>
  <c r="Y278" i="2"/>
  <c r="X278" i="2"/>
  <c r="W278" i="2"/>
  <c r="V278" i="2"/>
  <c r="U278" i="2"/>
  <c r="T278" i="2"/>
  <c r="S278" i="2"/>
  <c r="R278" i="2"/>
  <c r="P278" i="2"/>
  <c r="O278" i="2"/>
  <c r="N278" i="2"/>
  <c r="M278" i="2"/>
  <c r="L278" i="2"/>
  <c r="J278" i="2"/>
  <c r="Y277" i="2"/>
  <c r="V277" i="2"/>
  <c r="S277" i="2"/>
  <c r="M277" i="2"/>
  <c r="Y276" i="2"/>
  <c r="V276" i="2"/>
  <c r="S276" i="2"/>
  <c r="M276" i="2"/>
  <c r="AA275" i="2"/>
  <c r="Z275" i="2"/>
  <c r="Y275" i="2"/>
  <c r="X275" i="2"/>
  <c r="W275" i="2"/>
  <c r="V275" i="2"/>
  <c r="U275" i="2"/>
  <c r="T275" i="2"/>
  <c r="S275" i="2"/>
  <c r="R275" i="2"/>
  <c r="P275" i="2"/>
  <c r="O275" i="2"/>
  <c r="N275" i="2"/>
  <c r="M275" i="2"/>
  <c r="L275" i="2"/>
  <c r="J275" i="2"/>
  <c r="Y274" i="2"/>
  <c r="V274" i="2"/>
  <c r="S274" i="2"/>
  <c r="M274" i="2"/>
  <c r="Y273" i="2"/>
  <c r="V273" i="2"/>
  <c r="S273" i="2"/>
  <c r="M273" i="2"/>
  <c r="Y272" i="2"/>
  <c r="V272" i="2"/>
  <c r="S272" i="2"/>
  <c r="M272" i="2"/>
  <c r="Y271" i="2"/>
  <c r="V271" i="2"/>
  <c r="S271" i="2"/>
  <c r="M271" i="2"/>
  <c r="Y270" i="2"/>
  <c r="V270" i="2"/>
  <c r="S270" i="2"/>
  <c r="M270" i="2"/>
  <c r="AA269" i="2"/>
  <c r="Z269" i="2"/>
  <c r="Y269" i="2"/>
  <c r="X269" i="2"/>
  <c r="W269" i="2"/>
  <c r="V269" i="2"/>
  <c r="U269" i="2"/>
  <c r="T269" i="2"/>
  <c r="S269" i="2"/>
  <c r="R269" i="2"/>
  <c r="P269" i="2"/>
  <c r="O269" i="2"/>
  <c r="N269" i="2"/>
  <c r="M269" i="2"/>
  <c r="L269" i="2"/>
  <c r="J269" i="2"/>
  <c r="Y268" i="2"/>
  <c r="V268" i="2"/>
  <c r="S268" i="2"/>
  <c r="M268" i="2"/>
  <c r="Y267" i="2"/>
  <c r="V267" i="2"/>
  <c r="S267" i="2"/>
  <c r="M267" i="2"/>
  <c r="Y266" i="2"/>
  <c r="V266" i="2"/>
  <c r="S266" i="2"/>
  <c r="M266" i="2"/>
  <c r="Y265" i="2"/>
  <c r="V265" i="2"/>
  <c r="S265" i="2"/>
  <c r="M265" i="2"/>
  <c r="Y264" i="2"/>
  <c r="V264" i="2"/>
  <c r="S264" i="2"/>
  <c r="M264" i="2"/>
  <c r="AA263" i="2"/>
  <c r="Z263" i="2"/>
  <c r="Y263" i="2"/>
  <c r="X263" i="2"/>
  <c r="W263" i="2"/>
  <c r="V263" i="2"/>
  <c r="U263" i="2"/>
  <c r="T263" i="2"/>
  <c r="S263" i="2"/>
  <c r="R263" i="2"/>
  <c r="P263" i="2"/>
  <c r="O263" i="2"/>
  <c r="N263" i="2"/>
  <c r="M263" i="2"/>
  <c r="L263" i="2"/>
  <c r="J263" i="2"/>
  <c r="AA262" i="2"/>
  <c r="Z262" i="2"/>
  <c r="Y262" i="2"/>
  <c r="U262" i="2"/>
  <c r="T262" i="2"/>
  <c r="S262" i="2"/>
  <c r="O262" i="2"/>
  <c r="N262" i="2"/>
  <c r="M262" i="2"/>
  <c r="Y261" i="2"/>
  <c r="V261" i="2"/>
  <c r="S261" i="2"/>
  <c r="M261" i="2"/>
  <c r="Y260" i="2"/>
  <c r="V260" i="2"/>
  <c r="S260" i="2"/>
  <c r="M260" i="2"/>
  <c r="Y259" i="2"/>
  <c r="V259" i="2"/>
  <c r="S259" i="2"/>
  <c r="M259" i="2"/>
  <c r="AA258" i="2"/>
  <c r="Z258" i="2"/>
  <c r="Y258" i="2"/>
  <c r="X258" i="2"/>
  <c r="W258" i="2"/>
  <c r="V258" i="2"/>
  <c r="U258" i="2"/>
  <c r="T258" i="2"/>
  <c r="S258" i="2"/>
  <c r="R258" i="2"/>
  <c r="P258" i="2"/>
  <c r="O258" i="2"/>
  <c r="N258" i="2"/>
  <c r="M258" i="2"/>
  <c r="L258" i="2"/>
  <c r="J258" i="2"/>
  <c r="Y257" i="2"/>
  <c r="V257" i="2"/>
  <c r="S257" i="2"/>
  <c r="M257" i="2"/>
  <c r="Y256" i="2"/>
  <c r="V256" i="2"/>
  <c r="S256" i="2"/>
  <c r="M256" i="2"/>
  <c r="Y255" i="2"/>
  <c r="V255" i="2"/>
  <c r="S255" i="2"/>
  <c r="M255" i="2"/>
  <c r="AA254" i="2"/>
  <c r="Z254" i="2"/>
  <c r="Y254" i="2"/>
  <c r="X254" i="2"/>
  <c r="W254" i="2"/>
  <c r="V254" i="2"/>
  <c r="U254" i="2"/>
  <c r="T254" i="2"/>
  <c r="S254" i="2"/>
  <c r="R254" i="2"/>
  <c r="P254" i="2"/>
  <c r="O254" i="2"/>
  <c r="N254" i="2"/>
  <c r="M254" i="2"/>
  <c r="L254" i="2"/>
  <c r="J254" i="2"/>
  <c r="Y253" i="2"/>
  <c r="V253" i="2"/>
  <c r="S253" i="2"/>
  <c r="M253" i="2"/>
  <c r="Y252" i="2"/>
  <c r="V252" i="2"/>
  <c r="S252" i="2"/>
  <c r="M252" i="2"/>
  <c r="Y251" i="2"/>
  <c r="V251" i="2"/>
  <c r="S251" i="2"/>
  <c r="M251" i="2"/>
  <c r="AA250" i="2"/>
  <c r="Z250" i="2"/>
  <c r="Y250" i="2"/>
  <c r="X250" i="2"/>
  <c r="W250" i="2"/>
  <c r="V250" i="2"/>
  <c r="U250" i="2"/>
  <c r="T250" i="2"/>
  <c r="S250" i="2"/>
  <c r="R250" i="2"/>
  <c r="P250" i="2"/>
  <c r="O250" i="2"/>
  <c r="N250" i="2"/>
  <c r="M250" i="2"/>
  <c r="L250" i="2"/>
  <c r="J250" i="2"/>
  <c r="Y249" i="2"/>
  <c r="V249" i="2"/>
  <c r="S249" i="2"/>
  <c r="M249" i="2"/>
  <c r="Y248" i="2"/>
  <c r="V248" i="2"/>
  <c r="S248" i="2"/>
  <c r="M248" i="2"/>
  <c r="Y247" i="2"/>
  <c r="V247" i="2"/>
  <c r="S247" i="2"/>
  <c r="M247" i="2"/>
  <c r="AA246" i="2"/>
  <c r="Z246" i="2"/>
  <c r="Y246" i="2"/>
  <c r="X246" i="2"/>
  <c r="W246" i="2"/>
  <c r="V246" i="2"/>
  <c r="U246" i="2"/>
  <c r="T246" i="2"/>
  <c r="S246" i="2"/>
  <c r="R246" i="2"/>
  <c r="P246" i="2"/>
  <c r="O246" i="2"/>
  <c r="N246" i="2"/>
  <c r="M246" i="2"/>
  <c r="L246" i="2"/>
  <c r="J246" i="2"/>
  <c r="Y245" i="2"/>
  <c r="V245" i="2"/>
  <c r="S245" i="2"/>
  <c r="M245" i="2"/>
  <c r="Y244" i="2"/>
  <c r="V244" i="2"/>
  <c r="S244" i="2"/>
  <c r="M244" i="2"/>
  <c r="Y243" i="2"/>
  <c r="V243" i="2"/>
  <c r="S243" i="2"/>
  <c r="M243" i="2"/>
  <c r="Y242" i="2"/>
  <c r="V242" i="2"/>
  <c r="S242" i="2"/>
  <c r="M242" i="2"/>
  <c r="AA241" i="2"/>
  <c r="Z241" i="2"/>
  <c r="Y241" i="2"/>
  <c r="X241" i="2"/>
  <c r="W241" i="2"/>
  <c r="V241" i="2"/>
  <c r="U241" i="2"/>
  <c r="T241" i="2"/>
  <c r="S241" i="2"/>
  <c r="R241" i="2"/>
  <c r="P241" i="2"/>
  <c r="O241" i="2"/>
  <c r="N241" i="2"/>
  <c r="M241" i="2"/>
  <c r="L241" i="2"/>
  <c r="J241" i="2"/>
  <c r="Y240" i="2"/>
  <c r="V240" i="2"/>
  <c r="S240" i="2"/>
  <c r="M240" i="2"/>
  <c r="Y239" i="2"/>
  <c r="V239" i="2"/>
  <c r="S239" i="2"/>
  <c r="M239" i="2"/>
  <c r="Y238" i="2"/>
  <c r="V238" i="2"/>
  <c r="S238" i="2"/>
  <c r="M238" i="2"/>
  <c r="Y237" i="2"/>
  <c r="V237" i="2"/>
  <c r="S237" i="2"/>
  <c r="M237" i="2"/>
  <c r="AA236" i="2"/>
  <c r="Z236" i="2"/>
  <c r="Y236" i="2"/>
  <c r="X236" i="2"/>
  <c r="W236" i="2"/>
  <c r="V236" i="2"/>
  <c r="U236" i="2"/>
  <c r="T236" i="2"/>
  <c r="S236" i="2"/>
  <c r="R236" i="2"/>
  <c r="P236" i="2"/>
  <c r="O236" i="2"/>
  <c r="N236" i="2"/>
  <c r="M236" i="2"/>
  <c r="L236" i="2"/>
  <c r="J236" i="2"/>
  <c r="Y235" i="2"/>
  <c r="V235" i="2"/>
  <c r="S235" i="2"/>
  <c r="M235" i="2"/>
  <c r="Y234" i="2"/>
  <c r="V234" i="2"/>
  <c r="S234" i="2"/>
  <c r="M234" i="2"/>
  <c r="Y233" i="2"/>
  <c r="V233" i="2"/>
  <c r="S233" i="2"/>
  <c r="M233" i="2"/>
  <c r="Y232" i="2"/>
  <c r="V232" i="2"/>
  <c r="S232" i="2"/>
  <c r="M232" i="2"/>
  <c r="AA231" i="2"/>
  <c r="Z231" i="2"/>
  <c r="Y231" i="2"/>
  <c r="X231" i="2"/>
  <c r="W231" i="2"/>
  <c r="V231" i="2"/>
  <c r="U231" i="2"/>
  <c r="T231" i="2"/>
  <c r="S231" i="2"/>
  <c r="R231" i="2"/>
  <c r="P231" i="2"/>
  <c r="O231" i="2"/>
  <c r="N231" i="2"/>
  <c r="M231" i="2"/>
  <c r="L231" i="2"/>
  <c r="J231" i="2"/>
  <c r="Y230" i="2"/>
  <c r="V230" i="2"/>
  <c r="S230" i="2"/>
  <c r="M230" i="2"/>
  <c r="Y229" i="2"/>
  <c r="V229" i="2"/>
  <c r="S229" i="2"/>
  <c r="M229" i="2"/>
  <c r="Y228" i="2"/>
  <c r="V228" i="2"/>
  <c r="S228" i="2"/>
  <c r="M228" i="2"/>
  <c r="Y227" i="2"/>
  <c r="V227" i="2"/>
  <c r="S227" i="2"/>
  <c r="M227" i="2"/>
  <c r="AA226" i="2"/>
  <c r="Z226" i="2"/>
  <c r="Y226" i="2"/>
  <c r="X226" i="2"/>
  <c r="W226" i="2"/>
  <c r="V226" i="2"/>
  <c r="U226" i="2"/>
  <c r="T226" i="2"/>
  <c r="S226" i="2"/>
  <c r="R226" i="2"/>
  <c r="P226" i="2"/>
  <c r="O226" i="2"/>
  <c r="N226" i="2"/>
  <c r="M226" i="2"/>
  <c r="L226" i="2"/>
  <c r="J226" i="2"/>
  <c r="Y225" i="2"/>
  <c r="V225" i="2"/>
  <c r="S225" i="2"/>
  <c r="M225" i="2"/>
  <c r="Y224" i="2"/>
  <c r="V224" i="2"/>
  <c r="S224" i="2"/>
  <c r="M224" i="2"/>
  <c r="Y223" i="2"/>
  <c r="V223" i="2"/>
  <c r="S223" i="2"/>
  <c r="M223" i="2"/>
  <c r="Y222" i="2"/>
  <c r="V222" i="2"/>
  <c r="S222" i="2"/>
  <c r="M222" i="2"/>
  <c r="AA221" i="2"/>
  <c r="Z221" i="2"/>
  <c r="Y221" i="2"/>
  <c r="X221" i="2"/>
  <c r="W221" i="2"/>
  <c r="V221" i="2"/>
  <c r="U221" i="2"/>
  <c r="T221" i="2"/>
  <c r="S221" i="2"/>
  <c r="R221" i="2"/>
  <c r="P221" i="2"/>
  <c r="O221" i="2"/>
  <c r="N221" i="2"/>
  <c r="M221" i="2"/>
  <c r="L221" i="2"/>
  <c r="J221" i="2"/>
  <c r="Y220" i="2"/>
  <c r="V220" i="2"/>
  <c r="S220" i="2"/>
  <c r="M220" i="2"/>
  <c r="Y219" i="2"/>
  <c r="V219" i="2"/>
  <c r="S219" i="2"/>
  <c r="M219" i="2"/>
  <c r="AA218" i="2"/>
  <c r="Z218" i="2"/>
  <c r="Y218" i="2"/>
  <c r="X218" i="2"/>
  <c r="W218" i="2"/>
  <c r="V218" i="2"/>
  <c r="U218" i="2"/>
  <c r="T218" i="2"/>
  <c r="S218" i="2"/>
  <c r="R218" i="2"/>
  <c r="P218" i="2"/>
  <c r="O218" i="2"/>
  <c r="N218" i="2"/>
  <c r="M218" i="2"/>
  <c r="L218" i="2"/>
  <c r="J218" i="2"/>
  <c r="Y217" i="2"/>
  <c r="V217" i="2"/>
  <c r="S217" i="2"/>
  <c r="M217" i="2"/>
  <c r="Y216" i="2"/>
  <c r="V216" i="2"/>
  <c r="S216" i="2"/>
  <c r="M216" i="2"/>
  <c r="AA215" i="2"/>
  <c r="Z215" i="2"/>
  <c r="Y215" i="2"/>
  <c r="X215" i="2"/>
  <c r="W215" i="2"/>
  <c r="V215" i="2"/>
  <c r="U215" i="2"/>
  <c r="T215" i="2"/>
  <c r="S215" i="2"/>
  <c r="R215" i="2"/>
  <c r="P215" i="2"/>
  <c r="O215" i="2"/>
  <c r="N215" i="2"/>
  <c r="M215" i="2"/>
  <c r="L215" i="2"/>
  <c r="J215" i="2"/>
  <c r="Y214" i="2"/>
  <c r="V214" i="2"/>
  <c r="S214" i="2"/>
  <c r="M214" i="2"/>
  <c r="Y213" i="2"/>
  <c r="V213" i="2"/>
  <c r="S213" i="2"/>
  <c r="M213" i="2"/>
  <c r="AA212" i="2"/>
  <c r="Z212" i="2"/>
  <c r="Y212" i="2"/>
  <c r="X212" i="2"/>
  <c r="W212" i="2"/>
  <c r="V212" i="2"/>
  <c r="U212" i="2"/>
  <c r="T212" i="2"/>
  <c r="S212" i="2"/>
  <c r="R212" i="2"/>
  <c r="P212" i="2"/>
  <c r="O212" i="2"/>
  <c r="N212" i="2"/>
  <c r="M212" i="2"/>
  <c r="L212" i="2"/>
  <c r="J212" i="2"/>
  <c r="Y211" i="2"/>
  <c r="V211" i="2"/>
  <c r="S211" i="2"/>
  <c r="M211" i="2"/>
  <c r="Y210" i="2"/>
  <c r="V210" i="2"/>
  <c r="S210" i="2"/>
  <c r="M210" i="2"/>
  <c r="AA209" i="2"/>
  <c r="Z209" i="2"/>
  <c r="Y209" i="2"/>
  <c r="X209" i="2"/>
  <c r="W209" i="2"/>
  <c r="V209" i="2"/>
  <c r="U209" i="2"/>
  <c r="T209" i="2"/>
  <c r="S209" i="2"/>
  <c r="R209" i="2"/>
  <c r="P209" i="2"/>
  <c r="O209" i="2"/>
  <c r="N209" i="2"/>
  <c r="M209" i="2"/>
  <c r="L209" i="2"/>
  <c r="J209" i="2"/>
  <c r="Y208" i="2"/>
  <c r="V208" i="2"/>
  <c r="S208" i="2"/>
  <c r="M208" i="2"/>
  <c r="Y207" i="2"/>
  <c r="V207" i="2"/>
  <c r="S207" i="2"/>
  <c r="M207" i="2"/>
  <c r="AA206" i="2"/>
  <c r="Z206" i="2"/>
  <c r="Y206" i="2"/>
  <c r="X206" i="2"/>
  <c r="W206" i="2"/>
  <c r="V206" i="2"/>
  <c r="U206" i="2"/>
  <c r="T206" i="2"/>
  <c r="S206" i="2"/>
  <c r="R206" i="2"/>
  <c r="P206" i="2"/>
  <c r="O206" i="2"/>
  <c r="N206" i="2"/>
  <c r="M206" i="2"/>
  <c r="L206" i="2"/>
  <c r="J206" i="2"/>
  <c r="Y205" i="2"/>
  <c r="V205" i="2"/>
  <c r="S205" i="2"/>
  <c r="M205" i="2"/>
  <c r="Y204" i="2"/>
  <c r="V204" i="2"/>
  <c r="S204" i="2"/>
  <c r="M204" i="2"/>
  <c r="Y203" i="2"/>
  <c r="V203" i="2"/>
  <c r="S203" i="2"/>
  <c r="M203" i="2"/>
  <c r="AA202" i="2"/>
  <c r="Z202" i="2"/>
  <c r="Y202" i="2"/>
  <c r="X202" i="2"/>
  <c r="W202" i="2"/>
  <c r="V202" i="2"/>
  <c r="U202" i="2"/>
  <c r="T202" i="2"/>
  <c r="S202" i="2"/>
  <c r="R202" i="2"/>
  <c r="P202" i="2"/>
  <c r="O202" i="2"/>
  <c r="N202" i="2"/>
  <c r="M202" i="2"/>
  <c r="L202" i="2"/>
  <c r="J202" i="2"/>
  <c r="Y201" i="2"/>
  <c r="V201" i="2"/>
  <c r="S201" i="2"/>
  <c r="M201" i="2"/>
  <c r="Y200" i="2"/>
  <c r="V200" i="2"/>
  <c r="S200" i="2"/>
  <c r="M200" i="2"/>
  <c r="AA199" i="2"/>
  <c r="Z199" i="2"/>
  <c r="Y199" i="2"/>
  <c r="X199" i="2"/>
  <c r="W199" i="2"/>
  <c r="V199" i="2"/>
  <c r="U199" i="2"/>
  <c r="T199" i="2"/>
  <c r="S199" i="2"/>
  <c r="R199" i="2"/>
  <c r="P199" i="2"/>
  <c r="O199" i="2"/>
  <c r="N199" i="2"/>
  <c r="M199" i="2"/>
  <c r="L199" i="2"/>
  <c r="J199" i="2"/>
  <c r="Y198" i="2"/>
  <c r="V198" i="2"/>
  <c r="S198" i="2"/>
  <c r="M198" i="2"/>
  <c r="Y197" i="2"/>
  <c r="V197" i="2"/>
  <c r="S197" i="2"/>
  <c r="M197" i="2"/>
  <c r="Y196" i="2"/>
  <c r="V196" i="2"/>
  <c r="S196" i="2"/>
  <c r="M196" i="2"/>
  <c r="AA195" i="2"/>
  <c r="Z195" i="2"/>
  <c r="Y195" i="2"/>
  <c r="X195" i="2"/>
  <c r="W195" i="2"/>
  <c r="V195" i="2"/>
  <c r="U195" i="2"/>
  <c r="T195" i="2"/>
  <c r="S195" i="2"/>
  <c r="R195" i="2"/>
  <c r="P195" i="2"/>
  <c r="O195" i="2"/>
  <c r="N195" i="2"/>
  <c r="M195" i="2"/>
  <c r="L195" i="2"/>
  <c r="J195" i="2"/>
  <c r="Y194" i="2"/>
  <c r="V194" i="2"/>
  <c r="S194" i="2"/>
  <c r="M194" i="2"/>
  <c r="Y193" i="2"/>
  <c r="V193" i="2"/>
  <c r="S193" i="2"/>
  <c r="M193" i="2"/>
  <c r="AA192" i="2"/>
  <c r="Z192" i="2"/>
  <c r="Y192" i="2"/>
  <c r="X192" i="2"/>
  <c r="W192" i="2"/>
  <c r="V192" i="2"/>
  <c r="U192" i="2"/>
  <c r="T192" i="2"/>
  <c r="S192" i="2"/>
  <c r="R192" i="2"/>
  <c r="P192" i="2"/>
  <c r="O192" i="2"/>
  <c r="N192" i="2"/>
  <c r="M192" i="2"/>
  <c r="L192" i="2"/>
  <c r="J192" i="2"/>
  <c r="Y191" i="2"/>
  <c r="V191" i="2"/>
  <c r="S191" i="2"/>
  <c r="M191" i="2"/>
  <c r="Y190" i="2"/>
  <c r="V190" i="2"/>
  <c r="S190" i="2"/>
  <c r="M190" i="2"/>
  <c r="Y189" i="2"/>
  <c r="V189" i="2"/>
  <c r="S189" i="2"/>
  <c r="M189" i="2"/>
  <c r="AA188" i="2"/>
  <c r="Z188" i="2"/>
  <c r="Y188" i="2"/>
  <c r="X188" i="2"/>
  <c r="W188" i="2"/>
  <c r="V188" i="2"/>
  <c r="U188" i="2"/>
  <c r="T188" i="2"/>
  <c r="S188" i="2"/>
  <c r="R188" i="2"/>
  <c r="P188" i="2"/>
  <c r="O188" i="2"/>
  <c r="N188" i="2"/>
  <c r="M188" i="2"/>
  <c r="L188" i="2"/>
  <c r="J188" i="2"/>
  <c r="Y187" i="2"/>
  <c r="V187" i="2"/>
  <c r="S187" i="2"/>
  <c r="M187" i="2"/>
  <c r="Y186" i="2"/>
  <c r="V186" i="2"/>
  <c r="S186" i="2"/>
  <c r="M186" i="2"/>
  <c r="AA185" i="2"/>
  <c r="Z185" i="2"/>
  <c r="Y185" i="2"/>
  <c r="X185" i="2"/>
  <c r="W185" i="2"/>
  <c r="V185" i="2"/>
  <c r="U185" i="2"/>
  <c r="T185" i="2"/>
  <c r="S185" i="2"/>
  <c r="R185" i="2"/>
  <c r="P185" i="2"/>
  <c r="O185" i="2"/>
  <c r="N185" i="2"/>
  <c r="M185" i="2"/>
  <c r="L185" i="2"/>
  <c r="J185" i="2"/>
  <c r="Y184" i="2"/>
  <c r="V184" i="2"/>
  <c r="S184" i="2"/>
  <c r="M184" i="2"/>
  <c r="Y183" i="2"/>
  <c r="V183" i="2"/>
  <c r="S183" i="2"/>
  <c r="M183" i="2"/>
  <c r="Y182" i="2"/>
  <c r="V182" i="2"/>
  <c r="S182" i="2"/>
  <c r="M182" i="2"/>
  <c r="AA181" i="2"/>
  <c r="Z181" i="2"/>
  <c r="Y181" i="2"/>
  <c r="X181" i="2"/>
  <c r="W181" i="2"/>
  <c r="V181" i="2"/>
  <c r="U181" i="2"/>
  <c r="T181" i="2"/>
  <c r="S181" i="2"/>
  <c r="R181" i="2"/>
  <c r="P181" i="2"/>
  <c r="O181" i="2"/>
  <c r="N181" i="2"/>
  <c r="M181" i="2"/>
  <c r="L181" i="2"/>
  <c r="J181" i="2"/>
  <c r="Y180" i="2"/>
  <c r="V180" i="2"/>
  <c r="S180" i="2"/>
  <c r="M180" i="2"/>
  <c r="Y179" i="2"/>
  <c r="V179" i="2"/>
  <c r="S179" i="2"/>
  <c r="M179" i="2"/>
  <c r="AA178" i="2"/>
  <c r="Z178" i="2"/>
  <c r="Y178" i="2"/>
  <c r="X178" i="2"/>
  <c r="W178" i="2"/>
  <c r="V178" i="2"/>
  <c r="U178" i="2"/>
  <c r="T178" i="2"/>
  <c r="S178" i="2"/>
  <c r="R178" i="2"/>
  <c r="P178" i="2"/>
  <c r="O178" i="2"/>
  <c r="N178" i="2"/>
  <c r="M178" i="2"/>
  <c r="L178" i="2"/>
  <c r="J178" i="2"/>
  <c r="Y177" i="2"/>
  <c r="V177" i="2"/>
  <c r="S177" i="2"/>
  <c r="M177" i="2"/>
  <c r="Y176" i="2"/>
  <c r="V176" i="2"/>
  <c r="S176" i="2"/>
  <c r="M176" i="2"/>
  <c r="Y175" i="2"/>
  <c r="V175" i="2"/>
  <c r="S175" i="2"/>
  <c r="M175" i="2"/>
  <c r="Y174" i="2"/>
  <c r="V174" i="2"/>
  <c r="S174" i="2"/>
  <c r="M174" i="2"/>
  <c r="AA173" i="2"/>
  <c r="Z173" i="2"/>
  <c r="Y173" i="2"/>
  <c r="X173" i="2"/>
  <c r="W173" i="2"/>
  <c r="V173" i="2"/>
  <c r="U173" i="2"/>
  <c r="T173" i="2"/>
  <c r="S173" i="2"/>
  <c r="R173" i="2"/>
  <c r="P173" i="2"/>
  <c r="O173" i="2"/>
  <c r="N173" i="2"/>
  <c r="M173" i="2"/>
  <c r="L173" i="2"/>
  <c r="J173" i="2"/>
  <c r="Y172" i="2"/>
  <c r="V172" i="2"/>
  <c r="S172" i="2"/>
  <c r="M172" i="2"/>
  <c r="Y171" i="2"/>
  <c r="V171" i="2"/>
  <c r="S171" i="2"/>
  <c r="M171" i="2"/>
  <c r="Y170" i="2"/>
  <c r="V170" i="2"/>
  <c r="S170" i="2"/>
  <c r="M170" i="2"/>
  <c r="AA169" i="2"/>
  <c r="Z169" i="2"/>
  <c r="Y169" i="2"/>
  <c r="X169" i="2"/>
  <c r="W169" i="2"/>
  <c r="V169" i="2"/>
  <c r="U169" i="2"/>
  <c r="T169" i="2"/>
  <c r="S169" i="2"/>
  <c r="R169" i="2"/>
  <c r="P169" i="2"/>
  <c r="O169" i="2"/>
  <c r="N169" i="2"/>
  <c r="M169" i="2"/>
  <c r="L169" i="2"/>
  <c r="J169" i="2"/>
  <c r="Y168" i="2"/>
  <c r="V168" i="2"/>
  <c r="S168" i="2"/>
  <c r="M168" i="2"/>
  <c r="Y167" i="2"/>
  <c r="V167" i="2"/>
  <c r="S167" i="2"/>
  <c r="M167" i="2"/>
  <c r="AA166" i="2"/>
  <c r="Z166" i="2"/>
  <c r="Y166" i="2"/>
  <c r="X166" i="2"/>
  <c r="W166" i="2"/>
  <c r="V166" i="2"/>
  <c r="U166" i="2"/>
  <c r="T166" i="2"/>
  <c r="S166" i="2"/>
  <c r="R166" i="2"/>
  <c r="P166" i="2"/>
  <c r="O166" i="2"/>
  <c r="N166" i="2"/>
  <c r="M166" i="2"/>
  <c r="L166" i="2"/>
  <c r="J166" i="2"/>
  <c r="AA165" i="2"/>
  <c r="Z165" i="2"/>
  <c r="Y165" i="2"/>
  <c r="U165" i="2"/>
  <c r="T165" i="2"/>
  <c r="S165" i="2"/>
  <c r="O165" i="2"/>
  <c r="N165" i="2"/>
  <c r="M165" i="2"/>
  <c r="AA164" i="2"/>
  <c r="Z164" i="2"/>
  <c r="Y164" i="2"/>
  <c r="U164" i="2"/>
  <c r="T164" i="2"/>
  <c r="S164" i="2"/>
  <c r="O164" i="2"/>
  <c r="N164" i="2"/>
  <c r="M164" i="2"/>
  <c r="Y163" i="2"/>
  <c r="V163" i="2"/>
  <c r="S163" i="2"/>
  <c r="M163" i="2"/>
  <c r="Y162" i="2"/>
  <c r="V162" i="2"/>
  <c r="S162" i="2"/>
  <c r="M162" i="2"/>
  <c r="Y161" i="2"/>
  <c r="V161" i="2"/>
  <c r="S161" i="2"/>
  <c r="M161" i="2"/>
  <c r="Y160" i="2"/>
  <c r="V160" i="2"/>
  <c r="S160" i="2"/>
  <c r="M160" i="2"/>
  <c r="AA159" i="2"/>
  <c r="Z159" i="2"/>
  <c r="Y159" i="2"/>
  <c r="X159" i="2"/>
  <c r="W159" i="2"/>
  <c r="V159" i="2"/>
  <c r="U159" i="2"/>
  <c r="T159" i="2"/>
  <c r="S159" i="2"/>
  <c r="R159" i="2"/>
  <c r="P159" i="2"/>
  <c r="O159" i="2"/>
  <c r="N159" i="2"/>
  <c r="M159" i="2"/>
  <c r="L159" i="2"/>
  <c r="J159" i="2"/>
  <c r="Y158" i="2"/>
  <c r="V158" i="2"/>
  <c r="S158" i="2"/>
  <c r="M158" i="2"/>
  <c r="Y157" i="2"/>
  <c r="V157" i="2"/>
  <c r="S157" i="2"/>
  <c r="M157" i="2"/>
  <c r="Y156" i="2"/>
  <c r="V156" i="2"/>
  <c r="S156" i="2"/>
  <c r="M156" i="2"/>
  <c r="Y155" i="2"/>
  <c r="V155" i="2"/>
  <c r="S155" i="2"/>
  <c r="M155" i="2"/>
  <c r="AA154" i="2"/>
  <c r="Z154" i="2"/>
  <c r="Y154" i="2"/>
  <c r="X154" i="2"/>
  <c r="W154" i="2"/>
  <c r="V154" i="2"/>
  <c r="U154" i="2"/>
  <c r="T154" i="2"/>
  <c r="S154" i="2"/>
  <c r="R154" i="2"/>
  <c r="P154" i="2"/>
  <c r="O154" i="2"/>
  <c r="N154" i="2"/>
  <c r="M154" i="2"/>
  <c r="L154" i="2"/>
  <c r="J154" i="2"/>
  <c r="Y153" i="2"/>
  <c r="V153" i="2"/>
  <c r="S153" i="2"/>
  <c r="M153" i="2"/>
  <c r="Y152" i="2"/>
  <c r="V152" i="2"/>
  <c r="S152" i="2"/>
  <c r="M152" i="2"/>
  <c r="Y151" i="2"/>
  <c r="V151" i="2"/>
  <c r="S151" i="2"/>
  <c r="M151" i="2"/>
  <c r="Y150" i="2"/>
  <c r="V150" i="2"/>
  <c r="S150" i="2"/>
  <c r="M150" i="2"/>
  <c r="AA149" i="2"/>
  <c r="Z149" i="2"/>
  <c r="Y149" i="2"/>
  <c r="X149" i="2"/>
  <c r="W149" i="2"/>
  <c r="V149" i="2"/>
  <c r="U149" i="2"/>
  <c r="T149" i="2"/>
  <c r="S149" i="2"/>
  <c r="R149" i="2"/>
  <c r="P149" i="2"/>
  <c r="O149" i="2"/>
  <c r="N149" i="2"/>
  <c r="M149" i="2"/>
  <c r="L149" i="2"/>
  <c r="J149" i="2"/>
  <c r="Y148" i="2"/>
  <c r="V148" i="2"/>
  <c r="S148" i="2"/>
  <c r="M148" i="2"/>
  <c r="Y147" i="2"/>
  <c r="V147" i="2"/>
  <c r="S147" i="2"/>
  <c r="M147" i="2"/>
  <c r="Y146" i="2"/>
  <c r="V146" i="2"/>
  <c r="S146" i="2"/>
  <c r="M146" i="2"/>
  <c r="Y145" i="2"/>
  <c r="V145" i="2"/>
  <c r="S145" i="2"/>
  <c r="M145" i="2"/>
  <c r="AA144" i="2"/>
  <c r="Z144" i="2"/>
  <c r="Y144" i="2"/>
  <c r="X144" i="2"/>
  <c r="W144" i="2"/>
  <c r="V144" i="2"/>
  <c r="U144" i="2"/>
  <c r="T144" i="2"/>
  <c r="S144" i="2"/>
  <c r="R144" i="2"/>
  <c r="P144" i="2"/>
  <c r="O144" i="2"/>
  <c r="N144" i="2"/>
  <c r="M144" i="2"/>
  <c r="L144" i="2"/>
  <c r="J144" i="2"/>
  <c r="Y143" i="2"/>
  <c r="V143" i="2"/>
  <c r="S143" i="2"/>
  <c r="M143" i="2"/>
  <c r="Y142" i="2"/>
  <c r="V142" i="2"/>
  <c r="S142" i="2"/>
  <c r="M142" i="2"/>
  <c r="Y141" i="2"/>
  <c r="V141" i="2"/>
  <c r="S141" i="2"/>
  <c r="M141" i="2"/>
  <c r="Y140" i="2"/>
  <c r="V140" i="2"/>
  <c r="S140" i="2"/>
  <c r="M140" i="2"/>
  <c r="AA139" i="2"/>
  <c r="Z139" i="2"/>
  <c r="Y139" i="2"/>
  <c r="X139" i="2"/>
  <c r="W139" i="2"/>
  <c r="V139" i="2"/>
  <c r="U139" i="2"/>
  <c r="T139" i="2"/>
  <c r="S139" i="2"/>
  <c r="R139" i="2"/>
  <c r="P139" i="2"/>
  <c r="O139" i="2"/>
  <c r="N139" i="2"/>
  <c r="M139" i="2"/>
  <c r="L139" i="2"/>
  <c r="J139" i="2"/>
  <c r="Y138" i="2"/>
  <c r="V138" i="2"/>
  <c r="S138" i="2"/>
  <c r="M138" i="2"/>
  <c r="Y137" i="2"/>
  <c r="V137" i="2"/>
  <c r="S137" i="2"/>
  <c r="M137" i="2"/>
  <c r="Y136" i="2"/>
  <c r="V136" i="2"/>
  <c r="S136" i="2"/>
  <c r="M136" i="2"/>
  <c r="Y135" i="2"/>
  <c r="V135" i="2"/>
  <c r="S135" i="2"/>
  <c r="M135" i="2"/>
  <c r="AA134" i="2"/>
  <c r="Z134" i="2"/>
  <c r="Y134" i="2"/>
  <c r="X134" i="2"/>
  <c r="W134" i="2"/>
  <c r="V134" i="2"/>
  <c r="U134" i="2"/>
  <c r="T134" i="2"/>
  <c r="S134" i="2"/>
  <c r="R134" i="2"/>
  <c r="P134" i="2"/>
  <c r="O134" i="2"/>
  <c r="N134" i="2"/>
  <c r="M134" i="2"/>
  <c r="L134" i="2"/>
  <c r="J134" i="2"/>
  <c r="Y133" i="2"/>
  <c r="V133" i="2"/>
  <c r="S133" i="2"/>
  <c r="M133" i="2"/>
  <c r="Y132" i="2"/>
  <c r="V132" i="2"/>
  <c r="S132" i="2"/>
  <c r="M132" i="2"/>
  <c r="Y131" i="2"/>
  <c r="V131" i="2"/>
  <c r="S131" i="2"/>
  <c r="M131" i="2"/>
  <c r="Y130" i="2"/>
  <c r="V130" i="2"/>
  <c r="S130" i="2"/>
  <c r="M130" i="2"/>
  <c r="AA129" i="2"/>
  <c r="Z129" i="2"/>
  <c r="Y129" i="2"/>
  <c r="X129" i="2"/>
  <c r="W129" i="2"/>
  <c r="V129" i="2"/>
  <c r="U129" i="2"/>
  <c r="T129" i="2"/>
  <c r="S129" i="2"/>
  <c r="R129" i="2"/>
  <c r="P129" i="2"/>
  <c r="O129" i="2"/>
  <c r="N129" i="2"/>
  <c r="M129" i="2"/>
  <c r="L129" i="2"/>
  <c r="J129" i="2"/>
  <c r="Y128" i="2"/>
  <c r="V128" i="2"/>
  <c r="S128" i="2"/>
  <c r="M128" i="2"/>
  <c r="AA127" i="2"/>
  <c r="Z127" i="2"/>
  <c r="Y127" i="2"/>
  <c r="X127" i="2"/>
  <c r="W127" i="2"/>
  <c r="V127" i="2"/>
  <c r="U127" i="2"/>
  <c r="T127" i="2"/>
  <c r="S127" i="2"/>
  <c r="R127" i="2"/>
  <c r="P127" i="2"/>
  <c r="O127" i="2"/>
  <c r="N127" i="2"/>
  <c r="M127" i="2"/>
  <c r="L127" i="2"/>
  <c r="J127" i="2"/>
  <c r="Y126" i="2"/>
  <c r="V126" i="2"/>
  <c r="S126" i="2"/>
  <c r="M126" i="2"/>
  <c r="AA125" i="2"/>
  <c r="Z125" i="2"/>
  <c r="Y125" i="2"/>
  <c r="X125" i="2"/>
  <c r="W125" i="2"/>
  <c r="V125" i="2"/>
  <c r="U125" i="2"/>
  <c r="T125" i="2"/>
  <c r="S125" i="2"/>
  <c r="R125" i="2"/>
  <c r="P125" i="2"/>
  <c r="O125" i="2"/>
  <c r="N125" i="2"/>
  <c r="M125" i="2"/>
  <c r="L125" i="2"/>
  <c r="J125" i="2"/>
  <c r="Y124" i="2"/>
  <c r="V124" i="2"/>
  <c r="S124" i="2"/>
  <c r="M124" i="2"/>
  <c r="Y123" i="2"/>
  <c r="V123" i="2"/>
  <c r="S123" i="2"/>
  <c r="M123" i="2"/>
  <c r="AA122" i="2"/>
  <c r="Z122" i="2"/>
  <c r="Y122" i="2"/>
  <c r="X122" i="2"/>
  <c r="W122" i="2"/>
  <c r="V122" i="2"/>
  <c r="U122" i="2"/>
  <c r="T122" i="2"/>
  <c r="S122" i="2"/>
  <c r="R122" i="2"/>
  <c r="P122" i="2"/>
  <c r="O122" i="2"/>
  <c r="N122" i="2"/>
  <c r="M122" i="2"/>
  <c r="L122" i="2"/>
  <c r="J122" i="2"/>
  <c r="Y121" i="2"/>
  <c r="V121" i="2"/>
  <c r="S121" i="2"/>
  <c r="M121" i="2"/>
  <c r="Y120" i="2"/>
  <c r="V120" i="2"/>
  <c r="S120" i="2"/>
  <c r="M120" i="2"/>
  <c r="AA119" i="2"/>
  <c r="Z119" i="2"/>
  <c r="Y119" i="2"/>
  <c r="X119" i="2"/>
  <c r="W119" i="2"/>
  <c r="V119" i="2"/>
  <c r="U119" i="2"/>
  <c r="T119" i="2"/>
  <c r="S119" i="2"/>
  <c r="R119" i="2"/>
  <c r="P119" i="2"/>
  <c r="O119" i="2"/>
  <c r="N119" i="2"/>
  <c r="M119" i="2"/>
  <c r="L119" i="2"/>
  <c r="J119" i="2"/>
  <c r="Y118" i="2"/>
  <c r="V118" i="2"/>
  <c r="S118" i="2"/>
  <c r="M118" i="2"/>
  <c r="Y117" i="2"/>
  <c r="V117" i="2"/>
  <c r="S117" i="2"/>
  <c r="M117" i="2"/>
  <c r="AA116" i="2"/>
  <c r="Z116" i="2"/>
  <c r="Y116" i="2"/>
  <c r="X116" i="2"/>
  <c r="W116" i="2"/>
  <c r="V116" i="2"/>
  <c r="U116" i="2"/>
  <c r="T116" i="2"/>
  <c r="S116" i="2"/>
  <c r="R116" i="2"/>
  <c r="P116" i="2"/>
  <c r="O116" i="2"/>
  <c r="N116" i="2"/>
  <c r="M116" i="2"/>
  <c r="L116" i="2"/>
  <c r="J116" i="2"/>
  <c r="Y115" i="2"/>
  <c r="V115" i="2"/>
  <c r="S115" i="2"/>
  <c r="M115" i="2"/>
  <c r="Y114" i="2"/>
  <c r="V114" i="2"/>
  <c r="S114" i="2"/>
  <c r="M114" i="2"/>
  <c r="Y113" i="2"/>
  <c r="V113" i="2"/>
  <c r="S113" i="2"/>
  <c r="M113" i="2"/>
  <c r="AA112" i="2"/>
  <c r="Z112" i="2"/>
  <c r="Y112" i="2"/>
  <c r="X112" i="2"/>
  <c r="W112" i="2"/>
  <c r="V112" i="2"/>
  <c r="U112" i="2"/>
  <c r="T112" i="2"/>
  <c r="S112" i="2"/>
  <c r="R112" i="2"/>
  <c r="P112" i="2"/>
  <c r="O112" i="2"/>
  <c r="N112" i="2"/>
  <c r="M112" i="2"/>
  <c r="L112" i="2"/>
  <c r="J112" i="2"/>
  <c r="Y111" i="2"/>
  <c r="V111" i="2"/>
  <c r="S111" i="2"/>
  <c r="M111" i="2"/>
  <c r="Y110" i="2"/>
  <c r="V110" i="2"/>
  <c r="S110" i="2"/>
  <c r="M110" i="2"/>
  <c r="Y109" i="2"/>
  <c r="V109" i="2"/>
  <c r="S109" i="2"/>
  <c r="M109" i="2"/>
  <c r="AA108" i="2"/>
  <c r="Z108" i="2"/>
  <c r="Y108" i="2"/>
  <c r="X108" i="2"/>
  <c r="W108" i="2"/>
  <c r="V108" i="2"/>
  <c r="U108" i="2"/>
  <c r="T108" i="2"/>
  <c r="S108" i="2"/>
  <c r="R108" i="2"/>
  <c r="P108" i="2"/>
  <c r="O108" i="2"/>
  <c r="N108" i="2"/>
  <c r="M108" i="2"/>
  <c r="L108" i="2"/>
  <c r="J108" i="2"/>
  <c r="Y107" i="2"/>
  <c r="V107" i="2"/>
  <c r="S107" i="2"/>
  <c r="M107" i="2"/>
  <c r="Y106" i="2"/>
  <c r="V106" i="2"/>
  <c r="S106" i="2"/>
  <c r="M106" i="2"/>
  <c r="AA105" i="2"/>
  <c r="Z105" i="2"/>
  <c r="Y105" i="2"/>
  <c r="X105" i="2"/>
  <c r="W105" i="2"/>
  <c r="V105" i="2"/>
  <c r="U105" i="2"/>
  <c r="T105" i="2"/>
  <c r="S105" i="2"/>
  <c r="R105" i="2"/>
  <c r="P105" i="2"/>
  <c r="O105" i="2"/>
  <c r="N105" i="2"/>
  <c r="M105" i="2"/>
  <c r="L105" i="2"/>
  <c r="J105" i="2"/>
  <c r="Y104" i="2"/>
  <c r="V104" i="2"/>
  <c r="S104" i="2"/>
  <c r="M104" i="2"/>
  <c r="Y103" i="2"/>
  <c r="V103" i="2"/>
  <c r="S103" i="2"/>
  <c r="M103" i="2"/>
  <c r="Y102" i="2"/>
  <c r="V102" i="2"/>
  <c r="S102" i="2"/>
  <c r="M102" i="2"/>
  <c r="Y101" i="2"/>
  <c r="V101" i="2"/>
  <c r="S101" i="2"/>
  <c r="M101" i="2"/>
  <c r="AA100" i="2"/>
  <c r="Z100" i="2"/>
  <c r="Y100" i="2"/>
  <c r="X100" i="2"/>
  <c r="W100" i="2"/>
  <c r="V100" i="2"/>
  <c r="U100" i="2"/>
  <c r="T100" i="2"/>
  <c r="S100" i="2"/>
  <c r="R100" i="2"/>
  <c r="P100" i="2"/>
  <c r="O100" i="2"/>
  <c r="N100" i="2"/>
  <c r="M100" i="2"/>
  <c r="L100" i="2"/>
  <c r="J100" i="2"/>
  <c r="Y99" i="2"/>
  <c r="V99" i="2"/>
  <c r="S99" i="2"/>
  <c r="M99" i="2"/>
  <c r="Y98" i="2"/>
  <c r="V98" i="2"/>
  <c r="S98" i="2"/>
  <c r="M98" i="2"/>
  <c r="Y97" i="2"/>
  <c r="V97" i="2"/>
  <c r="S97" i="2"/>
  <c r="M97" i="2"/>
  <c r="Y96" i="2"/>
  <c r="V96" i="2"/>
  <c r="S96" i="2"/>
  <c r="M96" i="2"/>
  <c r="Y95" i="2"/>
  <c r="V95" i="2"/>
  <c r="S95" i="2"/>
  <c r="M95" i="2"/>
  <c r="AA94" i="2"/>
  <c r="Z94" i="2"/>
  <c r="Y94" i="2"/>
  <c r="X94" i="2"/>
  <c r="W94" i="2"/>
  <c r="V94" i="2"/>
  <c r="U94" i="2"/>
  <c r="T94" i="2"/>
  <c r="S94" i="2"/>
  <c r="R94" i="2"/>
  <c r="P94" i="2"/>
  <c r="O94" i="2"/>
  <c r="N94" i="2"/>
  <c r="M94" i="2"/>
  <c r="L94" i="2"/>
  <c r="J94" i="2"/>
  <c r="AA93" i="2"/>
  <c r="Z93" i="2"/>
  <c r="Y93" i="2"/>
  <c r="U93" i="2"/>
  <c r="T93" i="2"/>
  <c r="S93" i="2"/>
  <c r="O93" i="2"/>
  <c r="N93" i="2"/>
  <c r="M93" i="2"/>
  <c r="Y92" i="2"/>
  <c r="V92" i="2"/>
  <c r="S92" i="2"/>
  <c r="M92" i="2"/>
  <c r="AA91" i="2"/>
  <c r="Z91" i="2"/>
  <c r="Y91" i="2"/>
  <c r="X91" i="2"/>
  <c r="W91" i="2"/>
  <c r="V91" i="2"/>
  <c r="U91" i="2"/>
  <c r="T91" i="2"/>
  <c r="S91" i="2"/>
  <c r="R91" i="2"/>
  <c r="P91" i="2"/>
  <c r="O91" i="2"/>
  <c r="N91" i="2"/>
  <c r="M91" i="2"/>
  <c r="L91" i="2"/>
  <c r="J91" i="2"/>
  <c r="Y90" i="2"/>
  <c r="V90" i="2"/>
  <c r="S90" i="2"/>
  <c r="M90" i="2"/>
  <c r="AA89" i="2"/>
  <c r="Z89" i="2"/>
  <c r="Y89" i="2"/>
  <c r="X89" i="2"/>
  <c r="W89" i="2"/>
  <c r="V89" i="2"/>
  <c r="U89" i="2"/>
  <c r="T89" i="2"/>
  <c r="S89" i="2"/>
  <c r="R89" i="2"/>
  <c r="P89" i="2"/>
  <c r="O89" i="2"/>
  <c r="N89" i="2"/>
  <c r="M89" i="2"/>
  <c r="L89" i="2"/>
  <c r="J89" i="2"/>
  <c r="Y88" i="2"/>
  <c r="V88" i="2"/>
  <c r="S88" i="2"/>
  <c r="M88" i="2"/>
  <c r="AA87" i="2"/>
  <c r="Z87" i="2"/>
  <c r="Y87" i="2"/>
  <c r="X87" i="2"/>
  <c r="W87" i="2"/>
  <c r="V87" i="2"/>
  <c r="U87" i="2"/>
  <c r="T87" i="2"/>
  <c r="S87" i="2"/>
  <c r="R87" i="2"/>
  <c r="P87" i="2"/>
  <c r="O87" i="2"/>
  <c r="N87" i="2"/>
  <c r="M87" i="2"/>
  <c r="L87" i="2"/>
  <c r="J87" i="2"/>
  <c r="Y86" i="2"/>
  <c r="V86" i="2"/>
  <c r="S86" i="2"/>
  <c r="M86" i="2"/>
  <c r="AA85" i="2"/>
  <c r="Z85" i="2"/>
  <c r="Y85" i="2"/>
  <c r="X85" i="2"/>
  <c r="W85" i="2"/>
  <c r="V85" i="2"/>
  <c r="U85" i="2"/>
  <c r="T85" i="2"/>
  <c r="S85" i="2"/>
  <c r="R85" i="2"/>
  <c r="P85" i="2"/>
  <c r="O85" i="2"/>
  <c r="N85" i="2"/>
  <c r="M85" i="2"/>
  <c r="L85" i="2"/>
  <c r="J85" i="2"/>
  <c r="Y84" i="2"/>
  <c r="V84" i="2"/>
  <c r="S84" i="2"/>
  <c r="M84" i="2"/>
  <c r="Y83" i="2"/>
  <c r="V83" i="2"/>
  <c r="S83" i="2"/>
  <c r="M83" i="2"/>
  <c r="AA82" i="2"/>
  <c r="Z82" i="2"/>
  <c r="Y82" i="2"/>
  <c r="X82" i="2"/>
  <c r="W82" i="2"/>
  <c r="V82" i="2"/>
  <c r="U82" i="2"/>
  <c r="T82" i="2"/>
  <c r="S82" i="2"/>
  <c r="R82" i="2"/>
  <c r="P82" i="2"/>
  <c r="O82" i="2"/>
  <c r="N82" i="2"/>
  <c r="M82" i="2"/>
  <c r="L82" i="2"/>
  <c r="J82" i="2"/>
  <c r="Y81" i="2"/>
  <c r="V81" i="2"/>
  <c r="S81" i="2"/>
  <c r="M81" i="2"/>
  <c r="Y80" i="2"/>
  <c r="V80" i="2"/>
  <c r="S80" i="2"/>
  <c r="M80" i="2"/>
  <c r="AA79" i="2"/>
  <c r="Z79" i="2"/>
  <c r="Y79" i="2"/>
  <c r="X79" i="2"/>
  <c r="W79" i="2"/>
  <c r="V79" i="2"/>
  <c r="U79" i="2"/>
  <c r="T79" i="2"/>
  <c r="S79" i="2"/>
  <c r="R79" i="2"/>
  <c r="P79" i="2"/>
  <c r="O79" i="2"/>
  <c r="N79" i="2"/>
  <c r="M79" i="2"/>
  <c r="L79" i="2"/>
  <c r="J79" i="2"/>
  <c r="AA78" i="2"/>
  <c r="Z78" i="2"/>
  <c r="Y78" i="2"/>
  <c r="U78" i="2"/>
  <c r="T78" i="2"/>
  <c r="S78" i="2"/>
  <c r="O78" i="2"/>
  <c r="N78" i="2"/>
  <c r="M78" i="2"/>
  <c r="Y77" i="2"/>
  <c r="V77" i="2"/>
  <c r="S77" i="2"/>
  <c r="M77" i="2"/>
  <c r="Y76" i="2"/>
  <c r="V76" i="2"/>
  <c r="S76" i="2"/>
  <c r="M76" i="2"/>
  <c r="Y75" i="2"/>
  <c r="V75" i="2"/>
  <c r="S75" i="2"/>
  <c r="M75" i="2"/>
  <c r="Y74" i="2"/>
  <c r="V74" i="2"/>
  <c r="S74" i="2"/>
  <c r="M74" i="2"/>
  <c r="Y73" i="2"/>
  <c r="V73" i="2"/>
  <c r="S73" i="2"/>
  <c r="M73" i="2"/>
  <c r="AA72" i="2"/>
  <c r="Z72" i="2"/>
  <c r="Y72" i="2"/>
  <c r="X72" i="2"/>
  <c r="W72" i="2"/>
  <c r="V72" i="2"/>
  <c r="U72" i="2"/>
  <c r="T72" i="2"/>
  <c r="S72" i="2"/>
  <c r="R72" i="2"/>
  <c r="P72" i="2"/>
  <c r="O72" i="2"/>
  <c r="N72" i="2"/>
  <c r="M72" i="2"/>
  <c r="L72" i="2"/>
  <c r="J72" i="2"/>
  <c r="Y71" i="2"/>
  <c r="V71" i="2"/>
  <c r="S71" i="2"/>
  <c r="M71" i="2"/>
  <c r="Y70" i="2"/>
  <c r="V70" i="2"/>
  <c r="S70" i="2"/>
  <c r="M70" i="2"/>
  <c r="Y69" i="2"/>
  <c r="V69" i="2"/>
  <c r="S69" i="2"/>
  <c r="M69" i="2"/>
  <c r="Y68" i="2"/>
  <c r="V68" i="2"/>
  <c r="S68" i="2"/>
  <c r="M68" i="2"/>
  <c r="Y67" i="2"/>
  <c r="V67" i="2"/>
  <c r="S67" i="2"/>
  <c r="M67" i="2"/>
  <c r="AA66" i="2"/>
  <c r="Z66" i="2"/>
  <c r="Y66" i="2"/>
  <c r="X66" i="2"/>
  <c r="W66" i="2"/>
  <c r="V66" i="2"/>
  <c r="U66" i="2"/>
  <c r="T66" i="2"/>
  <c r="S66" i="2"/>
  <c r="R66" i="2"/>
  <c r="P66" i="2"/>
  <c r="O66" i="2"/>
  <c r="N66" i="2"/>
  <c r="M66" i="2"/>
  <c r="L66" i="2"/>
  <c r="J66" i="2"/>
  <c r="Y65" i="2"/>
  <c r="V65" i="2"/>
  <c r="S65" i="2"/>
  <c r="M65" i="2"/>
  <c r="Y64" i="2"/>
  <c r="V64" i="2"/>
  <c r="S64" i="2"/>
  <c r="M64" i="2"/>
  <c r="Y63" i="2"/>
  <c r="V63" i="2"/>
  <c r="S63" i="2"/>
  <c r="M63" i="2"/>
  <c r="Y62" i="2"/>
  <c r="V62" i="2"/>
  <c r="S62" i="2"/>
  <c r="M62" i="2"/>
  <c r="Y61" i="2"/>
  <c r="V61" i="2"/>
  <c r="S61" i="2"/>
  <c r="M61" i="2"/>
  <c r="Y60" i="2"/>
  <c r="V60" i="2"/>
  <c r="S60" i="2"/>
  <c r="M60" i="2"/>
  <c r="Y59" i="2"/>
  <c r="V59" i="2"/>
  <c r="S59" i="2"/>
  <c r="M59" i="2"/>
  <c r="AA58" i="2"/>
  <c r="Z58" i="2"/>
  <c r="Y58" i="2"/>
  <c r="X58" i="2"/>
  <c r="W58" i="2"/>
  <c r="V58" i="2"/>
  <c r="U58" i="2"/>
  <c r="T58" i="2"/>
  <c r="S58" i="2"/>
  <c r="R58" i="2"/>
  <c r="P58" i="2"/>
  <c r="O58" i="2"/>
  <c r="N58" i="2"/>
  <c r="M58" i="2"/>
  <c r="L58" i="2"/>
  <c r="J58" i="2"/>
  <c r="Y57" i="2"/>
  <c r="V57" i="2"/>
  <c r="S57" i="2"/>
  <c r="M57" i="2"/>
  <c r="Y56" i="2"/>
  <c r="V56" i="2"/>
  <c r="S56" i="2"/>
  <c r="M56" i="2"/>
  <c r="Y55" i="2"/>
  <c r="V55" i="2"/>
  <c r="S55" i="2"/>
  <c r="M55" i="2"/>
  <c r="Y54" i="2"/>
  <c r="V54" i="2"/>
  <c r="S54" i="2"/>
  <c r="M54" i="2"/>
  <c r="Y53" i="2"/>
  <c r="V53" i="2"/>
  <c r="S53" i="2"/>
  <c r="M53" i="2"/>
  <c r="AA52" i="2"/>
  <c r="Z52" i="2"/>
  <c r="Y52" i="2"/>
  <c r="X52" i="2"/>
  <c r="W52" i="2"/>
  <c r="V52" i="2"/>
  <c r="U52" i="2"/>
  <c r="T52" i="2"/>
  <c r="S52" i="2"/>
  <c r="R52" i="2"/>
  <c r="P52" i="2"/>
  <c r="O52" i="2"/>
  <c r="N52" i="2"/>
  <c r="M52" i="2"/>
  <c r="L52" i="2"/>
  <c r="J52" i="2"/>
  <c r="Y51" i="2"/>
  <c r="V51" i="2"/>
  <c r="S51" i="2"/>
  <c r="M51" i="2"/>
  <c r="Y50" i="2"/>
  <c r="V50" i="2"/>
  <c r="S50" i="2"/>
  <c r="M50" i="2"/>
  <c r="Y49" i="2"/>
  <c r="V49" i="2"/>
  <c r="S49" i="2"/>
  <c r="M49" i="2"/>
  <c r="Y48" i="2"/>
  <c r="V48" i="2"/>
  <c r="S48" i="2"/>
  <c r="M48" i="2"/>
  <c r="Y47" i="2"/>
  <c r="V47" i="2"/>
  <c r="S47" i="2"/>
  <c r="M47" i="2"/>
  <c r="AA46" i="2"/>
  <c r="Z46" i="2"/>
  <c r="Y46" i="2"/>
  <c r="X46" i="2"/>
  <c r="W46" i="2"/>
  <c r="V46" i="2"/>
  <c r="U46" i="2"/>
  <c r="T46" i="2"/>
  <c r="S46" i="2"/>
  <c r="R46" i="2"/>
  <c r="P46" i="2"/>
  <c r="O46" i="2"/>
  <c r="N46" i="2"/>
  <c r="M46" i="2"/>
  <c r="L46" i="2"/>
  <c r="J46" i="2"/>
  <c r="Y45" i="2"/>
  <c r="V45" i="2"/>
  <c r="S45" i="2"/>
  <c r="M45" i="2"/>
  <c r="Y44" i="2"/>
  <c r="V44" i="2"/>
  <c r="S44" i="2"/>
  <c r="M44" i="2"/>
  <c r="Y43" i="2"/>
  <c r="V43" i="2"/>
  <c r="S43" i="2"/>
  <c r="M43" i="2"/>
  <c r="Y42" i="2"/>
  <c r="V42" i="2"/>
  <c r="S42" i="2"/>
  <c r="M42" i="2"/>
  <c r="Y41" i="2"/>
  <c r="V41" i="2"/>
  <c r="S41" i="2"/>
  <c r="M41" i="2"/>
  <c r="AA40" i="2"/>
  <c r="Z40" i="2"/>
  <c r="Y40" i="2"/>
  <c r="X40" i="2"/>
  <c r="W40" i="2"/>
  <c r="V40" i="2"/>
  <c r="U40" i="2"/>
  <c r="T40" i="2"/>
  <c r="S40" i="2"/>
  <c r="R40" i="2"/>
  <c r="P40" i="2"/>
  <c r="O40" i="2"/>
  <c r="N40" i="2"/>
  <c r="M40" i="2"/>
  <c r="L40" i="2"/>
  <c r="J40" i="2"/>
  <c r="Y39" i="2"/>
  <c r="V39" i="2"/>
  <c r="S39" i="2"/>
  <c r="M39" i="2"/>
  <c r="Y38" i="2"/>
  <c r="V38" i="2"/>
  <c r="S38" i="2"/>
  <c r="M38" i="2"/>
  <c r="Y37" i="2"/>
  <c r="V37" i="2"/>
  <c r="S37" i="2"/>
  <c r="M37" i="2"/>
  <c r="Y36" i="2"/>
  <c r="V36" i="2"/>
  <c r="S36" i="2"/>
  <c r="M36" i="2"/>
  <c r="Y35" i="2"/>
  <c r="V35" i="2"/>
  <c r="S35" i="2"/>
  <c r="M35" i="2"/>
  <c r="Y34" i="2"/>
  <c r="V34" i="2"/>
  <c r="S34" i="2"/>
  <c r="M34" i="2"/>
  <c r="Y33" i="2"/>
  <c r="V33" i="2"/>
  <c r="S33" i="2"/>
  <c r="M33" i="2"/>
  <c r="AA32" i="2"/>
  <c r="Z32" i="2"/>
  <c r="Y32" i="2"/>
  <c r="X32" i="2"/>
  <c r="W32" i="2"/>
  <c r="V32" i="2"/>
  <c r="U32" i="2"/>
  <c r="T32" i="2"/>
  <c r="S32" i="2"/>
  <c r="R32" i="2"/>
  <c r="P32" i="2"/>
  <c r="O32" i="2"/>
  <c r="N32" i="2"/>
  <c r="M32" i="2"/>
  <c r="L32" i="2"/>
  <c r="J32" i="2"/>
  <c r="Y31" i="2"/>
  <c r="V31" i="2"/>
  <c r="S31" i="2"/>
  <c r="M31" i="2"/>
  <c r="Y30" i="2"/>
  <c r="V30" i="2"/>
  <c r="S30" i="2"/>
  <c r="M30" i="2"/>
  <c r="Y29" i="2"/>
  <c r="V29" i="2"/>
  <c r="S29" i="2"/>
  <c r="M29" i="2"/>
  <c r="Y28" i="2"/>
  <c r="V28" i="2"/>
  <c r="S28" i="2"/>
  <c r="M28" i="2"/>
  <c r="Y27" i="2"/>
  <c r="V27" i="2"/>
  <c r="S27" i="2"/>
  <c r="M27" i="2"/>
  <c r="Y26" i="2"/>
  <c r="V26" i="2"/>
  <c r="S26" i="2"/>
  <c r="M26" i="2"/>
  <c r="Y25" i="2"/>
  <c r="V25" i="2"/>
  <c r="S25" i="2"/>
  <c r="M25" i="2"/>
  <c r="AA24" i="2"/>
  <c r="Z24" i="2"/>
  <c r="Y24" i="2"/>
  <c r="X24" i="2"/>
  <c r="W24" i="2"/>
  <c r="V24" i="2"/>
  <c r="U24" i="2"/>
  <c r="T24" i="2"/>
  <c r="S24" i="2"/>
  <c r="R24" i="2"/>
  <c r="P24" i="2"/>
  <c r="O24" i="2"/>
  <c r="N24" i="2"/>
  <c r="M24" i="2"/>
  <c r="L24" i="2"/>
  <c r="J24" i="2"/>
  <c r="Y23" i="2"/>
  <c r="V23" i="2"/>
  <c r="S23" i="2"/>
  <c r="M23" i="2"/>
  <c r="AA22" i="2"/>
  <c r="Z22" i="2"/>
  <c r="Y22" i="2"/>
  <c r="X22" i="2"/>
  <c r="W22" i="2"/>
  <c r="V22" i="2"/>
  <c r="U22" i="2"/>
  <c r="T22" i="2"/>
  <c r="S22" i="2"/>
  <c r="R22" i="2"/>
  <c r="P22" i="2"/>
  <c r="O22" i="2"/>
  <c r="N22" i="2"/>
  <c r="M22" i="2"/>
  <c r="L22" i="2"/>
  <c r="J22" i="2"/>
  <c r="Y21" i="2"/>
  <c r="V21" i="2"/>
  <c r="S21" i="2"/>
  <c r="M21" i="2"/>
  <c r="Y20" i="2"/>
  <c r="V20" i="2"/>
  <c r="S20" i="2"/>
  <c r="M20" i="2"/>
  <c r="Y19" i="2"/>
  <c r="V19" i="2"/>
  <c r="S19" i="2"/>
  <c r="M19" i="2"/>
  <c r="AA18" i="2"/>
  <c r="Z18" i="2"/>
  <c r="Y18" i="2"/>
  <c r="X18" i="2"/>
  <c r="W18" i="2"/>
  <c r="V18" i="2"/>
  <c r="U18" i="2"/>
  <c r="T18" i="2"/>
  <c r="S18" i="2"/>
  <c r="R18" i="2"/>
  <c r="P18" i="2"/>
  <c r="O18" i="2"/>
  <c r="N18" i="2"/>
  <c r="M18" i="2"/>
  <c r="L18" i="2"/>
  <c r="J18" i="2"/>
  <c r="Y17" i="2"/>
  <c r="V17" i="2"/>
  <c r="S17" i="2"/>
  <c r="M17" i="2"/>
  <c r="Y16" i="2"/>
  <c r="V16" i="2"/>
  <c r="S16" i="2"/>
  <c r="M16" i="2"/>
  <c r="AA15" i="2"/>
  <c r="Z15" i="2"/>
  <c r="Y15" i="2"/>
  <c r="X15" i="2"/>
  <c r="W15" i="2"/>
  <c r="V15" i="2"/>
  <c r="U15" i="2"/>
  <c r="T15" i="2"/>
  <c r="S15" i="2"/>
  <c r="R15" i="2"/>
  <c r="P15" i="2"/>
  <c r="O15" i="2"/>
  <c r="N15" i="2"/>
  <c r="M15" i="2"/>
  <c r="L15" i="2"/>
  <c r="J15" i="2"/>
  <c r="AA14" i="2"/>
  <c r="Z14" i="2"/>
  <c r="Y14" i="2"/>
  <c r="U14" i="2"/>
  <c r="T14" i="2"/>
  <c r="S14" i="2"/>
  <c r="O14" i="2"/>
  <c r="N14" i="2"/>
  <c r="M14" i="2"/>
  <c r="AA13" i="2"/>
  <c r="Z13" i="2"/>
  <c r="Y13" i="2"/>
  <c r="U13" i="2"/>
  <c r="T13" i="2"/>
  <c r="S13" i="2"/>
  <c r="O13" i="2"/>
  <c r="N13" i="2"/>
  <c r="M13" i="2"/>
  <c r="AA12" i="2"/>
  <c r="Z12" i="2"/>
  <c r="Y12" i="2"/>
  <c r="U12" i="2"/>
  <c r="T12" i="2"/>
  <c r="S12" i="2"/>
  <c r="O12" i="2"/>
  <c r="N12" i="2"/>
  <c r="M12" i="2"/>
  <c r="AA11" i="2"/>
  <c r="Z11" i="2"/>
  <c r="Y11" i="2"/>
  <c r="U11" i="2"/>
  <c r="T11" i="2"/>
  <c r="S11" i="2"/>
  <c r="O11" i="2"/>
  <c r="N11" i="2"/>
  <c r="M11" i="2"/>
  <c r="AA10" i="2"/>
  <c r="Z10" i="2"/>
  <c r="Y10" i="2"/>
  <c r="U10" i="2"/>
  <c r="T10" i="2"/>
  <c r="S10" i="2"/>
  <c r="O10" i="2"/>
  <c r="N10" i="2"/>
  <c r="M10" i="2"/>
  <c r="AA9" i="2"/>
  <c r="Z9" i="2"/>
  <c r="Y9" i="2"/>
  <c r="U9" i="2"/>
  <c r="T9" i="2"/>
  <c r="S9" i="2"/>
  <c r="O9" i="2"/>
  <c r="N9" i="2"/>
  <c r="M9" i="2"/>
  <c r="AA8" i="2"/>
  <c r="Z8" i="2"/>
  <c r="Y8" i="2"/>
  <c r="U8" i="2"/>
  <c r="T8" i="2"/>
  <c r="S8" i="2"/>
  <c r="O8" i="2"/>
  <c r="N8" i="2"/>
  <c r="M8" i="2"/>
  <c r="AA922" i="1"/>
  <c r="Z922" i="1"/>
  <c r="Y922" i="1"/>
  <c r="U922" i="1"/>
  <c r="T922" i="1"/>
  <c r="S922" i="1"/>
  <c r="O922" i="1"/>
  <c r="N922" i="1"/>
  <c r="M922" i="1"/>
  <c r="AA921" i="1"/>
  <c r="Z921" i="1"/>
  <c r="X921" i="1"/>
  <c r="W921" i="1"/>
  <c r="U921" i="1"/>
  <c r="T921" i="1"/>
  <c r="R921" i="1"/>
  <c r="O921" i="1"/>
  <c r="N921" i="1"/>
  <c r="L921" i="1"/>
  <c r="AA920" i="1"/>
  <c r="Z920" i="1"/>
  <c r="Y920" i="1"/>
  <c r="U920" i="1"/>
  <c r="T920" i="1"/>
  <c r="S920" i="1"/>
  <c r="O920" i="1"/>
  <c r="N920" i="1"/>
  <c r="M920" i="1"/>
  <c r="AA919" i="1"/>
  <c r="Z919" i="1"/>
  <c r="Y919" i="1"/>
  <c r="U919" i="1"/>
  <c r="T919" i="1"/>
  <c r="S919" i="1"/>
  <c r="O919" i="1"/>
  <c r="N919" i="1"/>
  <c r="M919" i="1"/>
  <c r="AA918" i="1"/>
  <c r="Z918" i="1"/>
  <c r="Y918" i="1"/>
  <c r="U918" i="1"/>
  <c r="T918" i="1"/>
  <c r="S918" i="1"/>
  <c r="O918" i="1"/>
  <c r="N918" i="1"/>
  <c r="M918" i="1"/>
  <c r="Y917" i="1"/>
  <c r="V917" i="1"/>
  <c r="S917" i="1"/>
  <c r="M917" i="1"/>
  <c r="Y916" i="1"/>
  <c r="V916" i="1"/>
  <c r="S916" i="1"/>
  <c r="M916" i="1"/>
  <c r="Y915" i="1"/>
  <c r="V915" i="1"/>
  <c r="S915" i="1"/>
  <c r="M915" i="1"/>
  <c r="Y914" i="1"/>
  <c r="V914" i="1"/>
  <c r="S914" i="1"/>
  <c r="M914" i="1"/>
  <c r="Y913" i="1"/>
  <c r="V913" i="1"/>
  <c r="S913" i="1"/>
  <c r="M913" i="1"/>
  <c r="Y912" i="1"/>
  <c r="V912" i="1"/>
  <c r="S912" i="1"/>
  <c r="M912" i="1"/>
  <c r="Y911" i="1"/>
  <c r="V911" i="1"/>
  <c r="S911" i="1"/>
  <c r="M911" i="1"/>
  <c r="Y910" i="1"/>
  <c r="V910" i="1"/>
  <c r="S910" i="1"/>
  <c r="M910" i="1"/>
  <c r="Y909" i="1"/>
  <c r="V909" i="1"/>
  <c r="S909" i="1"/>
  <c r="M909" i="1"/>
  <c r="Y908" i="1"/>
  <c r="V908" i="1"/>
  <c r="S908" i="1"/>
  <c r="M908" i="1"/>
  <c r="Y907" i="1"/>
  <c r="V907" i="1"/>
  <c r="S907" i="1"/>
  <c r="M907" i="1"/>
  <c r="Y906" i="1"/>
  <c r="V906" i="1"/>
  <c r="S906" i="1"/>
  <c r="M906" i="1"/>
  <c r="Y905" i="1"/>
  <c r="V905" i="1"/>
  <c r="S905" i="1"/>
  <c r="M905" i="1"/>
  <c r="Y904" i="1"/>
  <c r="V904" i="1"/>
  <c r="S904" i="1"/>
  <c r="M904" i="1"/>
  <c r="Y903" i="1"/>
  <c r="V903" i="1"/>
  <c r="S903" i="1"/>
  <c r="M903" i="1"/>
  <c r="Y902" i="1"/>
  <c r="V902" i="1"/>
  <c r="S902" i="1"/>
  <c r="M902" i="1"/>
  <c r="Y901" i="1"/>
  <c r="V901" i="1"/>
  <c r="S901" i="1"/>
  <c r="M901" i="1"/>
  <c r="AA900" i="1"/>
  <c r="Z900" i="1"/>
  <c r="Y900" i="1"/>
  <c r="X900" i="1"/>
  <c r="W900" i="1"/>
  <c r="V900" i="1"/>
  <c r="U900" i="1"/>
  <c r="T900" i="1"/>
  <c r="S900" i="1"/>
  <c r="R900" i="1"/>
  <c r="P900" i="1"/>
  <c r="O900" i="1"/>
  <c r="N900" i="1"/>
  <c r="M900" i="1"/>
  <c r="L900" i="1"/>
  <c r="J900" i="1"/>
  <c r="Y899" i="1"/>
  <c r="V899" i="1"/>
  <c r="S899" i="1"/>
  <c r="M899" i="1"/>
  <c r="Y898" i="1"/>
  <c r="V898" i="1"/>
  <c r="S898" i="1"/>
  <c r="M898" i="1"/>
  <c r="Y897" i="1"/>
  <c r="V897" i="1"/>
  <c r="S897" i="1"/>
  <c r="M897" i="1"/>
  <c r="Y896" i="1"/>
  <c r="V896" i="1"/>
  <c r="S896" i="1"/>
  <c r="M896" i="1"/>
  <c r="Y895" i="1"/>
  <c r="V895" i="1"/>
  <c r="S895" i="1"/>
  <c r="M895" i="1"/>
  <c r="Y894" i="1"/>
  <c r="V894" i="1"/>
  <c r="S894" i="1"/>
  <c r="M894" i="1"/>
  <c r="Y893" i="1"/>
  <c r="V893" i="1"/>
  <c r="S893" i="1"/>
  <c r="M893" i="1"/>
  <c r="Y892" i="1"/>
  <c r="V892" i="1"/>
  <c r="S892" i="1"/>
  <c r="M892" i="1"/>
  <c r="Y891" i="1"/>
  <c r="V891" i="1"/>
  <c r="S891" i="1"/>
  <c r="M891" i="1"/>
  <c r="Y890" i="1"/>
  <c r="V890" i="1"/>
  <c r="S890" i="1"/>
  <c r="M890" i="1"/>
  <c r="Y889" i="1"/>
  <c r="V889" i="1"/>
  <c r="S889" i="1"/>
  <c r="M889" i="1"/>
  <c r="Y888" i="1"/>
  <c r="V888" i="1"/>
  <c r="S888" i="1"/>
  <c r="M888" i="1"/>
  <c r="Y887" i="1"/>
  <c r="V887" i="1"/>
  <c r="S887" i="1"/>
  <c r="M887" i="1"/>
  <c r="Y886" i="1"/>
  <c r="V886" i="1"/>
  <c r="S886" i="1"/>
  <c r="M886" i="1"/>
  <c r="Y885" i="1"/>
  <c r="V885" i="1"/>
  <c r="S885" i="1"/>
  <c r="M885" i="1"/>
  <c r="Y884" i="1"/>
  <c r="V884" i="1"/>
  <c r="S884" i="1"/>
  <c r="M884" i="1"/>
  <c r="Y883" i="1"/>
  <c r="V883" i="1"/>
  <c r="S883" i="1"/>
  <c r="M883" i="1"/>
  <c r="Y882" i="1"/>
  <c r="V882" i="1"/>
  <c r="S882" i="1"/>
  <c r="M882" i="1"/>
  <c r="Y881" i="1"/>
  <c r="V881" i="1"/>
  <c r="S881" i="1"/>
  <c r="M881" i="1"/>
  <c r="Y880" i="1"/>
  <c r="V880" i="1"/>
  <c r="S880" i="1"/>
  <c r="M880" i="1"/>
  <c r="AA879" i="1"/>
  <c r="Z879" i="1"/>
  <c r="Y879" i="1"/>
  <c r="X879" i="1"/>
  <c r="W879" i="1"/>
  <c r="V879" i="1"/>
  <c r="U879" i="1"/>
  <c r="T879" i="1"/>
  <c r="S879" i="1"/>
  <c r="R879" i="1"/>
  <c r="P879" i="1"/>
  <c r="O879" i="1"/>
  <c r="N879" i="1"/>
  <c r="M879" i="1"/>
  <c r="L879" i="1"/>
  <c r="J879" i="1"/>
  <c r="AA878" i="1"/>
  <c r="Z878" i="1"/>
  <c r="Y878" i="1"/>
  <c r="U878" i="1"/>
  <c r="T878" i="1"/>
  <c r="S878" i="1"/>
  <c r="O878" i="1"/>
  <c r="N878" i="1"/>
  <c r="M878" i="1"/>
  <c r="AA877" i="1"/>
  <c r="Z877" i="1"/>
  <c r="X877" i="1"/>
  <c r="W877" i="1"/>
  <c r="U877" i="1"/>
  <c r="T877" i="1"/>
  <c r="R877" i="1"/>
  <c r="O877" i="1"/>
  <c r="N877" i="1"/>
  <c r="L877" i="1"/>
  <c r="Y876" i="1"/>
  <c r="V876" i="1"/>
  <c r="S876" i="1"/>
  <c r="M876" i="1"/>
  <c r="Y875" i="1"/>
  <c r="V875" i="1"/>
  <c r="S875" i="1"/>
  <c r="M875" i="1"/>
  <c r="Y874" i="1"/>
  <c r="V874" i="1"/>
  <c r="S874" i="1"/>
  <c r="M874" i="1"/>
  <c r="Y873" i="1"/>
  <c r="V873" i="1"/>
  <c r="S873" i="1"/>
  <c r="M873" i="1"/>
  <c r="Y872" i="1"/>
  <c r="V872" i="1"/>
  <c r="S872" i="1"/>
  <c r="M872" i="1"/>
  <c r="Y871" i="1"/>
  <c r="V871" i="1"/>
  <c r="S871" i="1"/>
  <c r="M871" i="1"/>
  <c r="Y870" i="1"/>
  <c r="V870" i="1"/>
  <c r="S870" i="1"/>
  <c r="M870" i="1"/>
  <c r="Y869" i="1"/>
  <c r="V869" i="1"/>
  <c r="S869" i="1"/>
  <c r="M869" i="1"/>
  <c r="Y868" i="1"/>
  <c r="V868" i="1"/>
  <c r="S868" i="1"/>
  <c r="M868" i="1"/>
  <c r="Y867" i="1"/>
  <c r="V867" i="1"/>
  <c r="S867" i="1"/>
  <c r="M867" i="1"/>
  <c r="Y866" i="1"/>
  <c r="V866" i="1"/>
  <c r="S866" i="1"/>
  <c r="M866" i="1"/>
  <c r="AA865" i="1"/>
  <c r="Z865" i="1"/>
  <c r="Y865" i="1"/>
  <c r="X865" i="1"/>
  <c r="W865" i="1"/>
  <c r="V865" i="1"/>
  <c r="U865" i="1"/>
  <c r="T865" i="1"/>
  <c r="S865" i="1"/>
  <c r="R865" i="1"/>
  <c r="P865" i="1"/>
  <c r="O865" i="1"/>
  <c r="N865" i="1"/>
  <c r="M865" i="1"/>
  <c r="L865" i="1"/>
  <c r="J865" i="1"/>
  <c r="Y864" i="1"/>
  <c r="V864" i="1"/>
  <c r="S864" i="1"/>
  <c r="M864" i="1"/>
  <c r="Y863" i="1"/>
  <c r="V863" i="1"/>
  <c r="S863" i="1"/>
  <c r="M863" i="1"/>
  <c r="Y862" i="1"/>
  <c r="V862" i="1"/>
  <c r="S862" i="1"/>
  <c r="M862" i="1"/>
  <c r="Y861" i="1"/>
  <c r="V861" i="1"/>
  <c r="S861" i="1"/>
  <c r="M861" i="1"/>
  <c r="Y860" i="1"/>
  <c r="V860" i="1"/>
  <c r="S860" i="1"/>
  <c r="M860" i="1"/>
  <c r="Y859" i="1"/>
  <c r="V859" i="1"/>
  <c r="S859" i="1"/>
  <c r="M859" i="1"/>
  <c r="Y858" i="1"/>
  <c r="V858" i="1"/>
  <c r="S858" i="1"/>
  <c r="M858" i="1"/>
  <c r="Y857" i="1"/>
  <c r="V857" i="1"/>
  <c r="S857" i="1"/>
  <c r="M857" i="1"/>
  <c r="Y856" i="1"/>
  <c r="V856" i="1"/>
  <c r="S856" i="1"/>
  <c r="M856" i="1"/>
  <c r="Y855" i="1"/>
  <c r="V855" i="1"/>
  <c r="S855" i="1"/>
  <c r="M855" i="1"/>
  <c r="Y854" i="1"/>
  <c r="V854" i="1"/>
  <c r="S854" i="1"/>
  <c r="M854" i="1"/>
  <c r="AA853" i="1"/>
  <c r="Z853" i="1"/>
  <c r="Y853" i="1"/>
  <c r="X853" i="1"/>
  <c r="W853" i="1"/>
  <c r="V853" i="1"/>
  <c r="U853" i="1"/>
  <c r="T853" i="1"/>
  <c r="S853" i="1"/>
  <c r="R853" i="1"/>
  <c r="P853" i="1"/>
  <c r="O853" i="1"/>
  <c r="N853" i="1"/>
  <c r="M853" i="1"/>
  <c r="L853" i="1"/>
  <c r="J853" i="1"/>
  <c r="Y852" i="1"/>
  <c r="V852" i="1"/>
  <c r="S852" i="1"/>
  <c r="M852" i="1"/>
  <c r="Y851" i="1"/>
  <c r="V851" i="1"/>
  <c r="S851" i="1"/>
  <c r="M851" i="1"/>
  <c r="Y850" i="1"/>
  <c r="V850" i="1"/>
  <c r="S850" i="1"/>
  <c r="M850" i="1"/>
  <c r="Y849" i="1"/>
  <c r="V849" i="1"/>
  <c r="S849" i="1"/>
  <c r="M849" i="1"/>
  <c r="Y848" i="1"/>
  <c r="V848" i="1"/>
  <c r="S848" i="1"/>
  <c r="M848" i="1"/>
  <c r="Y847" i="1"/>
  <c r="V847" i="1"/>
  <c r="S847" i="1"/>
  <c r="M847" i="1"/>
  <c r="Y846" i="1"/>
  <c r="V846" i="1"/>
  <c r="S846" i="1"/>
  <c r="M846" i="1"/>
  <c r="Y845" i="1"/>
  <c r="V845" i="1"/>
  <c r="S845" i="1"/>
  <c r="M845" i="1"/>
  <c r="Y844" i="1"/>
  <c r="V844" i="1"/>
  <c r="S844" i="1"/>
  <c r="M844" i="1"/>
  <c r="Y843" i="1"/>
  <c r="V843" i="1"/>
  <c r="S843" i="1"/>
  <c r="M843" i="1"/>
  <c r="Y842" i="1"/>
  <c r="V842" i="1"/>
  <c r="S842" i="1"/>
  <c r="M842" i="1"/>
  <c r="Y841" i="1"/>
  <c r="V841" i="1"/>
  <c r="S841" i="1"/>
  <c r="M841" i="1"/>
  <c r="AA840" i="1"/>
  <c r="Z840" i="1"/>
  <c r="Y840" i="1"/>
  <c r="X840" i="1"/>
  <c r="W840" i="1"/>
  <c r="V840" i="1"/>
  <c r="U840" i="1"/>
  <c r="T840" i="1"/>
  <c r="S840" i="1"/>
  <c r="R840" i="1"/>
  <c r="P840" i="1"/>
  <c r="O840" i="1"/>
  <c r="N840" i="1"/>
  <c r="M840" i="1"/>
  <c r="L840" i="1"/>
  <c r="J840" i="1"/>
  <c r="Y839" i="1"/>
  <c r="V839" i="1"/>
  <c r="S839" i="1"/>
  <c r="M839" i="1"/>
  <c r="Y838" i="1"/>
  <c r="V838" i="1"/>
  <c r="S838" i="1"/>
  <c r="M838" i="1"/>
  <c r="Y837" i="1"/>
  <c r="V837" i="1"/>
  <c r="S837" i="1"/>
  <c r="M837" i="1"/>
  <c r="Y836" i="1"/>
  <c r="V836" i="1"/>
  <c r="S836" i="1"/>
  <c r="M836" i="1"/>
  <c r="Y835" i="1"/>
  <c r="V835" i="1"/>
  <c r="S835" i="1"/>
  <c r="M835" i="1"/>
  <c r="Y834" i="1"/>
  <c r="V834" i="1"/>
  <c r="S834" i="1"/>
  <c r="M834" i="1"/>
  <c r="Y833" i="1"/>
  <c r="V833" i="1"/>
  <c r="S833" i="1"/>
  <c r="M833" i="1"/>
  <c r="Y832" i="1"/>
  <c r="V832" i="1"/>
  <c r="S832" i="1"/>
  <c r="M832" i="1"/>
  <c r="Y831" i="1"/>
  <c r="V831" i="1"/>
  <c r="S831" i="1"/>
  <c r="M831" i="1"/>
  <c r="Y830" i="1"/>
  <c r="V830" i="1"/>
  <c r="S830" i="1"/>
  <c r="M830" i="1"/>
  <c r="Y829" i="1"/>
  <c r="V829" i="1"/>
  <c r="S829" i="1"/>
  <c r="M829" i="1"/>
  <c r="Y828" i="1"/>
  <c r="V828" i="1"/>
  <c r="S828" i="1"/>
  <c r="M828" i="1"/>
  <c r="Y827" i="1"/>
  <c r="V827" i="1"/>
  <c r="S827" i="1"/>
  <c r="M827" i="1"/>
  <c r="AA826" i="1"/>
  <c r="Z826" i="1"/>
  <c r="Y826" i="1"/>
  <c r="X826" i="1"/>
  <c r="W826" i="1"/>
  <c r="V826" i="1"/>
  <c r="U826" i="1"/>
  <c r="T826" i="1"/>
  <c r="S826" i="1"/>
  <c r="R826" i="1"/>
  <c r="P826" i="1"/>
  <c r="O826" i="1"/>
  <c r="N826" i="1"/>
  <c r="M826" i="1"/>
  <c r="L826" i="1"/>
  <c r="J826" i="1"/>
  <c r="Y825" i="1"/>
  <c r="V825" i="1"/>
  <c r="S825" i="1"/>
  <c r="M825" i="1"/>
  <c r="AA824" i="1"/>
  <c r="Z824" i="1"/>
  <c r="Y824" i="1"/>
  <c r="X824" i="1"/>
  <c r="W824" i="1"/>
  <c r="V824" i="1"/>
  <c r="U824" i="1"/>
  <c r="T824" i="1"/>
  <c r="S824" i="1"/>
  <c r="R824" i="1"/>
  <c r="P824" i="1"/>
  <c r="O824" i="1"/>
  <c r="N824" i="1"/>
  <c r="M824" i="1"/>
  <c r="L824" i="1"/>
  <c r="J824" i="1"/>
  <c r="Y823" i="1"/>
  <c r="V823" i="1"/>
  <c r="S823" i="1"/>
  <c r="M823" i="1"/>
  <c r="AA822" i="1"/>
  <c r="Z822" i="1"/>
  <c r="Y822" i="1"/>
  <c r="X822" i="1"/>
  <c r="W822" i="1"/>
  <c r="V822" i="1"/>
  <c r="U822" i="1"/>
  <c r="T822" i="1"/>
  <c r="S822" i="1"/>
  <c r="R822" i="1"/>
  <c r="P822" i="1"/>
  <c r="O822" i="1"/>
  <c r="N822" i="1"/>
  <c r="M822" i="1"/>
  <c r="L822" i="1"/>
  <c r="J822" i="1"/>
  <c r="Y821" i="1"/>
  <c r="V821" i="1"/>
  <c r="S821" i="1"/>
  <c r="M821" i="1"/>
  <c r="AA820" i="1"/>
  <c r="Z820" i="1"/>
  <c r="Y820" i="1"/>
  <c r="X820" i="1"/>
  <c r="W820" i="1"/>
  <c r="V820" i="1"/>
  <c r="U820" i="1"/>
  <c r="T820" i="1"/>
  <c r="S820" i="1"/>
  <c r="R820" i="1"/>
  <c r="P820" i="1"/>
  <c r="O820" i="1"/>
  <c r="N820" i="1"/>
  <c r="M820" i="1"/>
  <c r="L820" i="1"/>
  <c r="J820" i="1"/>
  <c r="Y819" i="1"/>
  <c r="V819" i="1"/>
  <c r="S819" i="1"/>
  <c r="M819" i="1"/>
  <c r="AA818" i="1"/>
  <c r="Z818" i="1"/>
  <c r="Y818" i="1"/>
  <c r="X818" i="1"/>
  <c r="W818" i="1"/>
  <c r="V818" i="1"/>
  <c r="U818" i="1"/>
  <c r="T818" i="1"/>
  <c r="S818" i="1"/>
  <c r="R818" i="1"/>
  <c r="P818" i="1"/>
  <c r="O818" i="1"/>
  <c r="N818" i="1"/>
  <c r="M818" i="1"/>
  <c r="L818" i="1"/>
  <c r="J818" i="1"/>
  <c r="Y817" i="1"/>
  <c r="V817" i="1"/>
  <c r="S817" i="1"/>
  <c r="M817" i="1"/>
  <c r="AA816" i="1"/>
  <c r="Z816" i="1"/>
  <c r="Y816" i="1"/>
  <c r="X816" i="1"/>
  <c r="W816" i="1"/>
  <c r="V816" i="1"/>
  <c r="U816" i="1"/>
  <c r="T816" i="1"/>
  <c r="S816" i="1"/>
  <c r="R816" i="1"/>
  <c r="P816" i="1"/>
  <c r="O816" i="1"/>
  <c r="N816" i="1"/>
  <c r="M816" i="1"/>
  <c r="L816" i="1"/>
  <c r="J816" i="1"/>
  <c r="Y815" i="1"/>
  <c r="V815" i="1"/>
  <c r="S815" i="1"/>
  <c r="M815" i="1"/>
  <c r="AA814" i="1"/>
  <c r="Z814" i="1"/>
  <c r="Y814" i="1"/>
  <c r="X814" i="1"/>
  <c r="W814" i="1"/>
  <c r="V814" i="1"/>
  <c r="U814" i="1"/>
  <c r="T814" i="1"/>
  <c r="S814" i="1"/>
  <c r="R814" i="1"/>
  <c r="P814" i="1"/>
  <c r="O814" i="1"/>
  <c r="N814" i="1"/>
  <c r="M814" i="1"/>
  <c r="L814" i="1"/>
  <c r="J814" i="1"/>
  <c r="Y813" i="1"/>
  <c r="V813" i="1"/>
  <c r="S813" i="1"/>
  <c r="M813" i="1"/>
  <c r="AA812" i="1"/>
  <c r="Z812" i="1"/>
  <c r="Y812" i="1"/>
  <c r="X812" i="1"/>
  <c r="W812" i="1"/>
  <c r="V812" i="1"/>
  <c r="U812" i="1"/>
  <c r="T812" i="1"/>
  <c r="S812" i="1"/>
  <c r="R812" i="1"/>
  <c r="P812" i="1"/>
  <c r="O812" i="1"/>
  <c r="N812" i="1"/>
  <c r="M812" i="1"/>
  <c r="L812" i="1"/>
  <c r="J812" i="1"/>
  <c r="Y811" i="1"/>
  <c r="V811" i="1"/>
  <c r="S811" i="1"/>
  <c r="M811" i="1"/>
  <c r="AA810" i="1"/>
  <c r="Z810" i="1"/>
  <c r="Y810" i="1"/>
  <c r="X810" i="1"/>
  <c r="W810" i="1"/>
  <c r="V810" i="1"/>
  <c r="U810" i="1"/>
  <c r="T810" i="1"/>
  <c r="S810" i="1"/>
  <c r="R810" i="1"/>
  <c r="P810" i="1"/>
  <c r="O810" i="1"/>
  <c r="N810" i="1"/>
  <c r="M810" i="1"/>
  <c r="L810" i="1"/>
  <c r="J810" i="1"/>
  <c r="Y809" i="1"/>
  <c r="V809" i="1"/>
  <c r="S809" i="1"/>
  <c r="M809" i="1"/>
  <c r="AA808" i="1"/>
  <c r="Z808" i="1"/>
  <c r="Y808" i="1"/>
  <c r="X808" i="1"/>
  <c r="W808" i="1"/>
  <c r="V808" i="1"/>
  <c r="U808" i="1"/>
  <c r="T808" i="1"/>
  <c r="S808" i="1"/>
  <c r="R808" i="1"/>
  <c r="P808" i="1"/>
  <c r="O808" i="1"/>
  <c r="N808" i="1"/>
  <c r="M808" i="1"/>
  <c r="L808" i="1"/>
  <c r="J808" i="1"/>
  <c r="Y807" i="1"/>
  <c r="V807" i="1"/>
  <c r="S807" i="1"/>
  <c r="M807" i="1"/>
  <c r="AA806" i="1"/>
  <c r="Z806" i="1"/>
  <c r="Y806" i="1"/>
  <c r="X806" i="1"/>
  <c r="W806" i="1"/>
  <c r="V806" i="1"/>
  <c r="U806" i="1"/>
  <c r="T806" i="1"/>
  <c r="S806" i="1"/>
  <c r="R806" i="1"/>
  <c r="P806" i="1"/>
  <c r="O806" i="1"/>
  <c r="N806" i="1"/>
  <c r="M806" i="1"/>
  <c r="L806" i="1"/>
  <c r="J806" i="1"/>
  <c r="AA805" i="1"/>
  <c r="Z805" i="1"/>
  <c r="Y805" i="1"/>
  <c r="U805" i="1"/>
  <c r="T805" i="1"/>
  <c r="S805" i="1"/>
  <c r="O805" i="1"/>
  <c r="N805" i="1"/>
  <c r="M805" i="1"/>
  <c r="Y804" i="1"/>
  <c r="V804" i="1"/>
  <c r="S804" i="1"/>
  <c r="M804" i="1"/>
  <c r="Y803" i="1"/>
  <c r="V803" i="1"/>
  <c r="S803" i="1"/>
  <c r="M803" i="1"/>
  <c r="AA802" i="1"/>
  <c r="Z802" i="1"/>
  <c r="Y802" i="1"/>
  <c r="X802" i="1"/>
  <c r="W802" i="1"/>
  <c r="V802" i="1"/>
  <c r="U802" i="1"/>
  <c r="T802" i="1"/>
  <c r="S802" i="1"/>
  <c r="R802" i="1"/>
  <c r="P802" i="1"/>
  <c r="O802" i="1"/>
  <c r="N802" i="1"/>
  <c r="M802" i="1"/>
  <c r="L802" i="1"/>
  <c r="J802" i="1"/>
  <c r="Y801" i="1"/>
  <c r="V801" i="1"/>
  <c r="S801" i="1"/>
  <c r="M801" i="1"/>
  <c r="Y800" i="1"/>
  <c r="V800" i="1"/>
  <c r="S800" i="1"/>
  <c r="M800" i="1"/>
  <c r="AA799" i="1"/>
  <c r="Z799" i="1"/>
  <c r="Y799" i="1"/>
  <c r="X799" i="1"/>
  <c r="W799" i="1"/>
  <c r="V799" i="1"/>
  <c r="U799" i="1"/>
  <c r="T799" i="1"/>
  <c r="S799" i="1"/>
  <c r="R799" i="1"/>
  <c r="P799" i="1"/>
  <c r="O799" i="1"/>
  <c r="N799" i="1"/>
  <c r="M799" i="1"/>
  <c r="L799" i="1"/>
  <c r="J799" i="1"/>
  <c r="Y798" i="1"/>
  <c r="V798" i="1"/>
  <c r="S798" i="1"/>
  <c r="M798" i="1"/>
  <c r="Y797" i="1"/>
  <c r="V797" i="1"/>
  <c r="S797" i="1"/>
  <c r="M797" i="1"/>
  <c r="AA796" i="1"/>
  <c r="Z796" i="1"/>
  <c r="Y796" i="1"/>
  <c r="X796" i="1"/>
  <c r="W796" i="1"/>
  <c r="V796" i="1"/>
  <c r="U796" i="1"/>
  <c r="T796" i="1"/>
  <c r="S796" i="1"/>
  <c r="R796" i="1"/>
  <c r="P796" i="1"/>
  <c r="O796" i="1"/>
  <c r="N796" i="1"/>
  <c r="M796" i="1"/>
  <c r="L796" i="1"/>
  <c r="J796" i="1"/>
  <c r="Y795" i="1"/>
  <c r="V795" i="1"/>
  <c r="S795" i="1"/>
  <c r="M795" i="1"/>
  <c r="Y794" i="1"/>
  <c r="V794" i="1"/>
  <c r="S794" i="1"/>
  <c r="M794" i="1"/>
  <c r="AA793" i="1"/>
  <c r="Z793" i="1"/>
  <c r="Y793" i="1"/>
  <c r="X793" i="1"/>
  <c r="W793" i="1"/>
  <c r="V793" i="1"/>
  <c r="U793" i="1"/>
  <c r="T793" i="1"/>
  <c r="S793" i="1"/>
  <c r="R793" i="1"/>
  <c r="P793" i="1"/>
  <c r="O793" i="1"/>
  <c r="N793" i="1"/>
  <c r="M793" i="1"/>
  <c r="L793" i="1"/>
  <c r="J793" i="1"/>
  <c r="Y792" i="1"/>
  <c r="V792" i="1"/>
  <c r="S792" i="1"/>
  <c r="M792" i="1"/>
  <c r="Y791" i="1"/>
  <c r="V791" i="1"/>
  <c r="S791" i="1"/>
  <c r="M791" i="1"/>
  <c r="AA790" i="1"/>
  <c r="Z790" i="1"/>
  <c r="Y790" i="1"/>
  <c r="X790" i="1"/>
  <c r="W790" i="1"/>
  <c r="V790" i="1"/>
  <c r="U790" i="1"/>
  <c r="T790" i="1"/>
  <c r="S790" i="1"/>
  <c r="R790" i="1"/>
  <c r="P790" i="1"/>
  <c r="O790" i="1"/>
  <c r="N790" i="1"/>
  <c r="M790" i="1"/>
  <c r="L790" i="1"/>
  <c r="J790" i="1"/>
  <c r="Y789" i="1"/>
  <c r="V789" i="1"/>
  <c r="S789" i="1"/>
  <c r="M789" i="1"/>
  <c r="Y788" i="1"/>
  <c r="V788" i="1"/>
  <c r="S788" i="1"/>
  <c r="M788" i="1"/>
  <c r="AA787" i="1"/>
  <c r="Z787" i="1"/>
  <c r="Y787" i="1"/>
  <c r="X787" i="1"/>
  <c r="W787" i="1"/>
  <c r="V787" i="1"/>
  <c r="U787" i="1"/>
  <c r="T787" i="1"/>
  <c r="S787" i="1"/>
  <c r="R787" i="1"/>
  <c r="P787" i="1"/>
  <c r="O787" i="1"/>
  <c r="N787" i="1"/>
  <c r="M787" i="1"/>
  <c r="L787" i="1"/>
  <c r="J787" i="1"/>
  <c r="Y786" i="1"/>
  <c r="V786" i="1"/>
  <c r="S786" i="1"/>
  <c r="M786" i="1"/>
  <c r="Y785" i="1"/>
  <c r="V785" i="1"/>
  <c r="S785" i="1"/>
  <c r="M785" i="1"/>
  <c r="AA784" i="1"/>
  <c r="Z784" i="1"/>
  <c r="Y784" i="1"/>
  <c r="X784" i="1"/>
  <c r="W784" i="1"/>
  <c r="V784" i="1"/>
  <c r="U784" i="1"/>
  <c r="T784" i="1"/>
  <c r="S784" i="1"/>
  <c r="R784" i="1"/>
  <c r="P784" i="1"/>
  <c r="O784" i="1"/>
  <c r="N784" i="1"/>
  <c r="M784" i="1"/>
  <c r="L784" i="1"/>
  <c r="J784" i="1"/>
  <c r="Y783" i="1"/>
  <c r="V783" i="1"/>
  <c r="S783" i="1"/>
  <c r="M783" i="1"/>
  <c r="Y782" i="1"/>
  <c r="V782" i="1"/>
  <c r="S782" i="1"/>
  <c r="M782" i="1"/>
  <c r="AA781" i="1"/>
  <c r="Z781" i="1"/>
  <c r="Y781" i="1"/>
  <c r="X781" i="1"/>
  <c r="W781" i="1"/>
  <c r="V781" i="1"/>
  <c r="U781" i="1"/>
  <c r="T781" i="1"/>
  <c r="S781" i="1"/>
  <c r="R781" i="1"/>
  <c r="P781" i="1"/>
  <c r="O781" i="1"/>
  <c r="N781" i="1"/>
  <c r="M781" i="1"/>
  <c r="L781" i="1"/>
  <c r="J781" i="1"/>
  <c r="Y780" i="1"/>
  <c r="V780" i="1"/>
  <c r="S780" i="1"/>
  <c r="M780" i="1"/>
  <c r="Y779" i="1"/>
  <c r="V779" i="1"/>
  <c r="S779" i="1"/>
  <c r="M779" i="1"/>
  <c r="AA778" i="1"/>
  <c r="Z778" i="1"/>
  <c r="Y778" i="1"/>
  <c r="X778" i="1"/>
  <c r="W778" i="1"/>
  <c r="V778" i="1"/>
  <c r="U778" i="1"/>
  <c r="T778" i="1"/>
  <c r="S778" i="1"/>
  <c r="R778" i="1"/>
  <c r="P778" i="1"/>
  <c r="O778" i="1"/>
  <c r="N778" i="1"/>
  <c r="M778" i="1"/>
  <c r="L778" i="1"/>
  <c r="J778" i="1"/>
  <c r="Y777" i="1"/>
  <c r="V777" i="1"/>
  <c r="S777" i="1"/>
  <c r="M777" i="1"/>
  <c r="Y776" i="1"/>
  <c r="V776" i="1"/>
  <c r="S776" i="1"/>
  <c r="M776" i="1"/>
  <c r="AA775" i="1"/>
  <c r="Z775" i="1"/>
  <c r="Y775" i="1"/>
  <c r="X775" i="1"/>
  <c r="W775" i="1"/>
  <c r="V775" i="1"/>
  <c r="U775" i="1"/>
  <c r="T775" i="1"/>
  <c r="S775" i="1"/>
  <c r="R775" i="1"/>
  <c r="P775" i="1"/>
  <c r="O775" i="1"/>
  <c r="N775" i="1"/>
  <c r="M775" i="1"/>
  <c r="L775" i="1"/>
  <c r="J775" i="1"/>
  <c r="Y774" i="1"/>
  <c r="V774" i="1"/>
  <c r="S774" i="1"/>
  <c r="M774" i="1"/>
  <c r="Y773" i="1"/>
  <c r="V773" i="1"/>
  <c r="S773" i="1"/>
  <c r="M773" i="1"/>
  <c r="AA772" i="1"/>
  <c r="Z772" i="1"/>
  <c r="Y772" i="1"/>
  <c r="X772" i="1"/>
  <c r="W772" i="1"/>
  <c r="V772" i="1"/>
  <c r="U772" i="1"/>
  <c r="T772" i="1"/>
  <c r="S772" i="1"/>
  <c r="R772" i="1"/>
  <c r="P772" i="1"/>
  <c r="O772" i="1"/>
  <c r="N772" i="1"/>
  <c r="M772" i="1"/>
  <c r="L772" i="1"/>
  <c r="J772" i="1"/>
  <c r="Y771" i="1"/>
  <c r="V771" i="1"/>
  <c r="S771" i="1"/>
  <c r="M771" i="1"/>
  <c r="Y770" i="1"/>
  <c r="V770" i="1"/>
  <c r="S770" i="1"/>
  <c r="M770" i="1"/>
  <c r="AA769" i="1"/>
  <c r="Z769" i="1"/>
  <c r="Y769" i="1"/>
  <c r="X769" i="1"/>
  <c r="W769" i="1"/>
  <c r="V769" i="1"/>
  <c r="U769" i="1"/>
  <c r="T769" i="1"/>
  <c r="S769" i="1"/>
  <c r="R769" i="1"/>
  <c r="P769" i="1"/>
  <c r="O769" i="1"/>
  <c r="N769" i="1"/>
  <c r="M769" i="1"/>
  <c r="L769" i="1"/>
  <c r="J769" i="1"/>
  <c r="Y768" i="1"/>
  <c r="V768" i="1"/>
  <c r="S768" i="1"/>
  <c r="M768" i="1"/>
  <c r="Y767" i="1"/>
  <c r="V767" i="1"/>
  <c r="S767" i="1"/>
  <c r="M767" i="1"/>
  <c r="AA766" i="1"/>
  <c r="Z766" i="1"/>
  <c r="Y766" i="1"/>
  <c r="X766" i="1"/>
  <c r="W766" i="1"/>
  <c r="V766" i="1"/>
  <c r="U766" i="1"/>
  <c r="T766" i="1"/>
  <c r="S766" i="1"/>
  <c r="R766" i="1"/>
  <c r="P766" i="1"/>
  <c r="O766" i="1"/>
  <c r="N766" i="1"/>
  <c r="M766" i="1"/>
  <c r="L766" i="1"/>
  <c r="J766" i="1"/>
  <c r="Y765" i="1"/>
  <c r="V765" i="1"/>
  <c r="S765" i="1"/>
  <c r="M765" i="1"/>
  <c r="Y764" i="1"/>
  <c r="V764" i="1"/>
  <c r="S764" i="1"/>
  <c r="M764" i="1"/>
  <c r="AA763" i="1"/>
  <c r="Z763" i="1"/>
  <c r="Y763" i="1"/>
  <c r="X763" i="1"/>
  <c r="W763" i="1"/>
  <c r="V763" i="1"/>
  <c r="U763" i="1"/>
  <c r="T763" i="1"/>
  <c r="S763" i="1"/>
  <c r="R763" i="1"/>
  <c r="P763" i="1"/>
  <c r="O763" i="1"/>
  <c r="N763" i="1"/>
  <c r="M763" i="1"/>
  <c r="L763" i="1"/>
  <c r="J763" i="1"/>
  <c r="Y762" i="1"/>
  <c r="V762" i="1"/>
  <c r="S762" i="1"/>
  <c r="M762" i="1"/>
  <c r="Y761" i="1"/>
  <c r="V761" i="1"/>
  <c r="S761" i="1"/>
  <c r="M761" i="1"/>
  <c r="AA760" i="1"/>
  <c r="Z760" i="1"/>
  <c r="Y760" i="1"/>
  <c r="X760" i="1"/>
  <c r="W760" i="1"/>
  <c r="V760" i="1"/>
  <c r="U760" i="1"/>
  <c r="T760" i="1"/>
  <c r="S760" i="1"/>
  <c r="R760" i="1"/>
  <c r="P760" i="1"/>
  <c r="O760" i="1"/>
  <c r="N760" i="1"/>
  <c r="M760" i="1"/>
  <c r="L760" i="1"/>
  <c r="J760" i="1"/>
  <c r="Y759" i="1"/>
  <c r="V759" i="1"/>
  <c r="S759" i="1"/>
  <c r="M759" i="1"/>
  <c r="Y758" i="1"/>
  <c r="V758" i="1"/>
  <c r="S758" i="1"/>
  <c r="M758" i="1"/>
  <c r="AA757" i="1"/>
  <c r="Z757" i="1"/>
  <c r="Y757" i="1"/>
  <c r="X757" i="1"/>
  <c r="W757" i="1"/>
  <c r="V757" i="1"/>
  <c r="U757" i="1"/>
  <c r="T757" i="1"/>
  <c r="S757" i="1"/>
  <c r="R757" i="1"/>
  <c r="P757" i="1"/>
  <c r="O757" i="1"/>
  <c r="N757" i="1"/>
  <c r="M757" i="1"/>
  <c r="L757" i="1"/>
  <c r="J757" i="1"/>
  <c r="Y756" i="1"/>
  <c r="V756" i="1"/>
  <c r="S756" i="1"/>
  <c r="M756" i="1"/>
  <c r="Y755" i="1"/>
  <c r="V755" i="1"/>
  <c r="S755" i="1"/>
  <c r="M755" i="1"/>
  <c r="AA754" i="1"/>
  <c r="Z754" i="1"/>
  <c r="Y754" i="1"/>
  <c r="X754" i="1"/>
  <c r="W754" i="1"/>
  <c r="V754" i="1"/>
  <c r="U754" i="1"/>
  <c r="T754" i="1"/>
  <c r="S754" i="1"/>
  <c r="R754" i="1"/>
  <c r="P754" i="1"/>
  <c r="O754" i="1"/>
  <c r="N754" i="1"/>
  <c r="M754" i="1"/>
  <c r="L754" i="1"/>
  <c r="J754" i="1"/>
  <c r="Y753" i="1"/>
  <c r="V753" i="1"/>
  <c r="S753" i="1"/>
  <c r="M753" i="1"/>
  <c r="Y752" i="1"/>
  <c r="V752" i="1"/>
  <c r="S752" i="1"/>
  <c r="M752" i="1"/>
  <c r="AA751" i="1"/>
  <c r="Z751" i="1"/>
  <c r="Y751" i="1"/>
  <c r="X751" i="1"/>
  <c r="W751" i="1"/>
  <c r="V751" i="1"/>
  <c r="U751" i="1"/>
  <c r="T751" i="1"/>
  <c r="S751" i="1"/>
  <c r="R751" i="1"/>
  <c r="P751" i="1"/>
  <c r="O751" i="1"/>
  <c r="N751" i="1"/>
  <c r="M751" i="1"/>
  <c r="L751" i="1"/>
  <c r="J751" i="1"/>
  <c r="Y750" i="1"/>
  <c r="V750" i="1"/>
  <c r="S750" i="1"/>
  <c r="M750" i="1"/>
  <c r="Y749" i="1"/>
  <c r="V749" i="1"/>
  <c r="S749" i="1"/>
  <c r="M749" i="1"/>
  <c r="AA748" i="1"/>
  <c r="Z748" i="1"/>
  <c r="Y748" i="1"/>
  <c r="X748" i="1"/>
  <c r="W748" i="1"/>
  <c r="V748" i="1"/>
  <c r="U748" i="1"/>
  <c r="T748" i="1"/>
  <c r="S748" i="1"/>
  <c r="R748" i="1"/>
  <c r="P748" i="1"/>
  <c r="O748" i="1"/>
  <c r="N748" i="1"/>
  <c r="M748" i="1"/>
  <c r="L748" i="1"/>
  <c r="J748" i="1"/>
  <c r="Y747" i="1"/>
  <c r="V747" i="1"/>
  <c r="S747" i="1"/>
  <c r="M747" i="1"/>
  <c r="Y746" i="1"/>
  <c r="V746" i="1"/>
  <c r="S746" i="1"/>
  <c r="M746" i="1"/>
  <c r="AA745" i="1"/>
  <c r="Z745" i="1"/>
  <c r="Y745" i="1"/>
  <c r="X745" i="1"/>
  <c r="W745" i="1"/>
  <c r="V745" i="1"/>
  <c r="U745" i="1"/>
  <c r="T745" i="1"/>
  <c r="S745" i="1"/>
  <c r="R745" i="1"/>
  <c r="P745" i="1"/>
  <c r="O745" i="1"/>
  <c r="N745" i="1"/>
  <c r="M745" i="1"/>
  <c r="L745" i="1"/>
  <c r="J745" i="1"/>
  <c r="Y744" i="1"/>
  <c r="V744" i="1"/>
  <c r="S744" i="1"/>
  <c r="M744" i="1"/>
  <c r="Y743" i="1"/>
  <c r="V743" i="1"/>
  <c r="S743" i="1"/>
  <c r="M743" i="1"/>
  <c r="AA742" i="1"/>
  <c r="Z742" i="1"/>
  <c r="Y742" i="1"/>
  <c r="X742" i="1"/>
  <c r="W742" i="1"/>
  <c r="V742" i="1"/>
  <c r="U742" i="1"/>
  <c r="T742" i="1"/>
  <c r="S742" i="1"/>
  <c r="R742" i="1"/>
  <c r="P742" i="1"/>
  <c r="O742" i="1"/>
  <c r="N742" i="1"/>
  <c r="M742" i="1"/>
  <c r="L742" i="1"/>
  <c r="J742" i="1"/>
  <c r="Y741" i="1"/>
  <c r="V741" i="1"/>
  <c r="S741" i="1"/>
  <c r="M741" i="1"/>
  <c r="Y740" i="1"/>
  <c r="V740" i="1"/>
  <c r="S740" i="1"/>
  <c r="M740" i="1"/>
  <c r="AA739" i="1"/>
  <c r="Z739" i="1"/>
  <c r="Y739" i="1"/>
  <c r="X739" i="1"/>
  <c r="W739" i="1"/>
  <c r="V739" i="1"/>
  <c r="U739" i="1"/>
  <c r="T739" i="1"/>
  <c r="S739" i="1"/>
  <c r="R739" i="1"/>
  <c r="P739" i="1"/>
  <c r="O739" i="1"/>
  <c r="N739" i="1"/>
  <c r="M739" i="1"/>
  <c r="L739" i="1"/>
  <c r="J739" i="1"/>
  <c r="Y738" i="1"/>
  <c r="V738" i="1"/>
  <c r="S738" i="1"/>
  <c r="M738" i="1"/>
  <c r="Y737" i="1"/>
  <c r="V737" i="1"/>
  <c r="S737" i="1"/>
  <c r="M737" i="1"/>
  <c r="AA736" i="1"/>
  <c r="Z736" i="1"/>
  <c r="Y736" i="1"/>
  <c r="X736" i="1"/>
  <c r="W736" i="1"/>
  <c r="V736" i="1"/>
  <c r="U736" i="1"/>
  <c r="T736" i="1"/>
  <c r="S736" i="1"/>
  <c r="R736" i="1"/>
  <c r="P736" i="1"/>
  <c r="O736" i="1"/>
  <c r="N736" i="1"/>
  <c r="M736" i="1"/>
  <c r="L736" i="1"/>
  <c r="J736" i="1"/>
  <c r="Y735" i="1"/>
  <c r="V735" i="1"/>
  <c r="S735" i="1"/>
  <c r="M735" i="1"/>
  <c r="Y734" i="1"/>
  <c r="V734" i="1"/>
  <c r="S734" i="1"/>
  <c r="M734" i="1"/>
  <c r="AA733" i="1"/>
  <c r="Z733" i="1"/>
  <c r="Y733" i="1"/>
  <c r="X733" i="1"/>
  <c r="W733" i="1"/>
  <c r="V733" i="1"/>
  <c r="U733" i="1"/>
  <c r="T733" i="1"/>
  <c r="S733" i="1"/>
  <c r="R733" i="1"/>
  <c r="P733" i="1"/>
  <c r="O733" i="1"/>
  <c r="N733" i="1"/>
  <c r="M733" i="1"/>
  <c r="L733" i="1"/>
  <c r="J733" i="1"/>
  <c r="Y732" i="1"/>
  <c r="V732" i="1"/>
  <c r="S732" i="1"/>
  <c r="M732" i="1"/>
  <c r="Y731" i="1"/>
  <c r="V731" i="1"/>
  <c r="S731" i="1"/>
  <c r="M731" i="1"/>
  <c r="AA730" i="1"/>
  <c r="Z730" i="1"/>
  <c r="Y730" i="1"/>
  <c r="X730" i="1"/>
  <c r="W730" i="1"/>
  <c r="V730" i="1"/>
  <c r="U730" i="1"/>
  <c r="T730" i="1"/>
  <c r="S730" i="1"/>
  <c r="R730" i="1"/>
  <c r="P730" i="1"/>
  <c r="O730" i="1"/>
  <c r="N730" i="1"/>
  <c r="M730" i="1"/>
  <c r="L730" i="1"/>
  <c r="J730" i="1"/>
  <c r="Y729" i="1"/>
  <c r="V729" i="1"/>
  <c r="S729" i="1"/>
  <c r="M729" i="1"/>
  <c r="Y728" i="1"/>
  <c r="V728" i="1"/>
  <c r="S728" i="1"/>
  <c r="M728" i="1"/>
  <c r="AA727" i="1"/>
  <c r="Z727" i="1"/>
  <c r="Y727" i="1"/>
  <c r="X727" i="1"/>
  <c r="W727" i="1"/>
  <c r="V727" i="1"/>
  <c r="U727" i="1"/>
  <c r="T727" i="1"/>
  <c r="S727" i="1"/>
  <c r="R727" i="1"/>
  <c r="P727" i="1"/>
  <c r="O727" i="1"/>
  <c r="N727" i="1"/>
  <c r="M727" i="1"/>
  <c r="L727" i="1"/>
  <c r="J727" i="1"/>
  <c r="Y726" i="1"/>
  <c r="V726" i="1"/>
  <c r="S726" i="1"/>
  <c r="M726" i="1"/>
  <c r="Y725" i="1"/>
  <c r="V725" i="1"/>
  <c r="S725" i="1"/>
  <c r="M725" i="1"/>
  <c r="AA724" i="1"/>
  <c r="Z724" i="1"/>
  <c r="Y724" i="1"/>
  <c r="X724" i="1"/>
  <c r="W724" i="1"/>
  <c r="V724" i="1"/>
  <c r="U724" i="1"/>
  <c r="T724" i="1"/>
  <c r="S724" i="1"/>
  <c r="R724" i="1"/>
  <c r="P724" i="1"/>
  <c r="O724" i="1"/>
  <c r="N724" i="1"/>
  <c r="M724" i="1"/>
  <c r="L724" i="1"/>
  <c r="J724" i="1"/>
  <c r="Y723" i="1"/>
  <c r="V723" i="1"/>
  <c r="S723" i="1"/>
  <c r="M723" i="1"/>
  <c r="Y722" i="1"/>
  <c r="V722" i="1"/>
  <c r="S722" i="1"/>
  <c r="M722" i="1"/>
  <c r="AA721" i="1"/>
  <c r="Z721" i="1"/>
  <c r="Y721" i="1"/>
  <c r="X721" i="1"/>
  <c r="W721" i="1"/>
  <c r="V721" i="1"/>
  <c r="U721" i="1"/>
  <c r="T721" i="1"/>
  <c r="S721" i="1"/>
  <c r="R721" i="1"/>
  <c r="P721" i="1"/>
  <c r="O721" i="1"/>
  <c r="N721" i="1"/>
  <c r="M721" i="1"/>
  <c r="L721" i="1"/>
  <c r="J721" i="1"/>
  <c r="Y720" i="1"/>
  <c r="V720" i="1"/>
  <c r="S720" i="1"/>
  <c r="M720" i="1"/>
  <c r="Y719" i="1"/>
  <c r="V719" i="1"/>
  <c r="S719" i="1"/>
  <c r="M719" i="1"/>
  <c r="AA718" i="1"/>
  <c r="Z718" i="1"/>
  <c r="Y718" i="1"/>
  <c r="X718" i="1"/>
  <c r="W718" i="1"/>
  <c r="V718" i="1"/>
  <c r="U718" i="1"/>
  <c r="T718" i="1"/>
  <c r="S718" i="1"/>
  <c r="R718" i="1"/>
  <c r="P718" i="1"/>
  <c r="O718" i="1"/>
  <c r="N718" i="1"/>
  <c r="M718" i="1"/>
  <c r="L718" i="1"/>
  <c r="J718" i="1"/>
  <c r="Y717" i="1"/>
  <c r="V717" i="1"/>
  <c r="S717" i="1"/>
  <c r="M717" i="1"/>
  <c r="Y716" i="1"/>
  <c r="V716" i="1"/>
  <c r="S716" i="1"/>
  <c r="M716" i="1"/>
  <c r="AA715" i="1"/>
  <c r="Z715" i="1"/>
  <c r="Y715" i="1"/>
  <c r="X715" i="1"/>
  <c r="W715" i="1"/>
  <c r="V715" i="1"/>
  <c r="U715" i="1"/>
  <c r="T715" i="1"/>
  <c r="S715" i="1"/>
  <c r="R715" i="1"/>
  <c r="P715" i="1"/>
  <c r="O715" i="1"/>
  <c r="N715" i="1"/>
  <c r="M715" i="1"/>
  <c r="L715" i="1"/>
  <c r="J715" i="1"/>
  <c r="Y714" i="1"/>
  <c r="V714" i="1"/>
  <c r="S714" i="1"/>
  <c r="M714" i="1"/>
  <c r="Y713" i="1"/>
  <c r="V713" i="1"/>
  <c r="S713" i="1"/>
  <c r="M713" i="1"/>
  <c r="AA712" i="1"/>
  <c r="Z712" i="1"/>
  <c r="Y712" i="1"/>
  <c r="X712" i="1"/>
  <c r="W712" i="1"/>
  <c r="V712" i="1"/>
  <c r="U712" i="1"/>
  <c r="T712" i="1"/>
  <c r="S712" i="1"/>
  <c r="R712" i="1"/>
  <c r="P712" i="1"/>
  <c r="O712" i="1"/>
  <c r="N712" i="1"/>
  <c r="M712" i="1"/>
  <c r="L712" i="1"/>
  <c r="J712" i="1"/>
  <c r="Y711" i="1"/>
  <c r="V711" i="1"/>
  <c r="S711" i="1"/>
  <c r="M711" i="1"/>
  <c r="Y710" i="1"/>
  <c r="V710" i="1"/>
  <c r="S710" i="1"/>
  <c r="M710" i="1"/>
  <c r="AA709" i="1"/>
  <c r="Z709" i="1"/>
  <c r="Y709" i="1"/>
  <c r="X709" i="1"/>
  <c r="W709" i="1"/>
  <c r="V709" i="1"/>
  <c r="U709" i="1"/>
  <c r="T709" i="1"/>
  <c r="S709" i="1"/>
  <c r="R709" i="1"/>
  <c r="P709" i="1"/>
  <c r="O709" i="1"/>
  <c r="N709" i="1"/>
  <c r="M709" i="1"/>
  <c r="L709" i="1"/>
  <c r="J709" i="1"/>
  <c r="Y708" i="1"/>
  <c r="V708" i="1"/>
  <c r="S708" i="1"/>
  <c r="M708" i="1"/>
  <c r="Y707" i="1"/>
  <c r="V707" i="1"/>
  <c r="S707" i="1"/>
  <c r="M707" i="1"/>
  <c r="AA706" i="1"/>
  <c r="Z706" i="1"/>
  <c r="Y706" i="1"/>
  <c r="X706" i="1"/>
  <c r="W706" i="1"/>
  <c r="V706" i="1"/>
  <c r="U706" i="1"/>
  <c r="T706" i="1"/>
  <c r="S706" i="1"/>
  <c r="R706" i="1"/>
  <c r="P706" i="1"/>
  <c r="O706" i="1"/>
  <c r="N706" i="1"/>
  <c r="M706" i="1"/>
  <c r="L706" i="1"/>
  <c r="J706" i="1"/>
  <c r="Y705" i="1"/>
  <c r="V705" i="1"/>
  <c r="S705" i="1"/>
  <c r="M705" i="1"/>
  <c r="Y704" i="1"/>
  <c r="V704" i="1"/>
  <c r="S704" i="1"/>
  <c r="M704" i="1"/>
  <c r="AA703" i="1"/>
  <c r="Z703" i="1"/>
  <c r="Y703" i="1"/>
  <c r="X703" i="1"/>
  <c r="W703" i="1"/>
  <c r="V703" i="1"/>
  <c r="U703" i="1"/>
  <c r="T703" i="1"/>
  <c r="S703" i="1"/>
  <c r="R703" i="1"/>
  <c r="P703" i="1"/>
  <c r="O703" i="1"/>
  <c r="N703" i="1"/>
  <c r="M703" i="1"/>
  <c r="L703" i="1"/>
  <c r="J703" i="1"/>
  <c r="Y702" i="1"/>
  <c r="V702" i="1"/>
  <c r="S702" i="1"/>
  <c r="M702" i="1"/>
  <c r="Y701" i="1"/>
  <c r="V701" i="1"/>
  <c r="S701" i="1"/>
  <c r="M701" i="1"/>
  <c r="AA700" i="1"/>
  <c r="Z700" i="1"/>
  <c r="Y700" i="1"/>
  <c r="X700" i="1"/>
  <c r="W700" i="1"/>
  <c r="V700" i="1"/>
  <c r="U700" i="1"/>
  <c r="T700" i="1"/>
  <c r="S700" i="1"/>
  <c r="R700" i="1"/>
  <c r="P700" i="1"/>
  <c r="O700" i="1"/>
  <c r="N700" i="1"/>
  <c r="M700" i="1"/>
  <c r="L700" i="1"/>
  <c r="J700" i="1"/>
  <c r="Y699" i="1"/>
  <c r="V699" i="1"/>
  <c r="S699" i="1"/>
  <c r="M699" i="1"/>
  <c r="Y698" i="1"/>
  <c r="V698" i="1"/>
  <c r="S698" i="1"/>
  <c r="M698" i="1"/>
  <c r="AA697" i="1"/>
  <c r="Z697" i="1"/>
  <c r="Y697" i="1"/>
  <c r="X697" i="1"/>
  <c r="W697" i="1"/>
  <c r="V697" i="1"/>
  <c r="U697" i="1"/>
  <c r="T697" i="1"/>
  <c r="S697" i="1"/>
  <c r="R697" i="1"/>
  <c r="P697" i="1"/>
  <c r="O697" i="1"/>
  <c r="N697" i="1"/>
  <c r="M697" i="1"/>
  <c r="L697" i="1"/>
  <c r="J697" i="1"/>
  <c r="Y696" i="1"/>
  <c r="V696" i="1"/>
  <c r="S696" i="1"/>
  <c r="M696" i="1"/>
  <c r="Y695" i="1"/>
  <c r="V695" i="1"/>
  <c r="S695" i="1"/>
  <c r="M695" i="1"/>
  <c r="AA694" i="1"/>
  <c r="Z694" i="1"/>
  <c r="Y694" i="1"/>
  <c r="X694" i="1"/>
  <c r="W694" i="1"/>
  <c r="V694" i="1"/>
  <c r="U694" i="1"/>
  <c r="T694" i="1"/>
  <c r="S694" i="1"/>
  <c r="R694" i="1"/>
  <c r="P694" i="1"/>
  <c r="O694" i="1"/>
  <c r="N694" i="1"/>
  <c r="M694" i="1"/>
  <c r="L694" i="1"/>
  <c r="J694" i="1"/>
  <c r="Y693" i="1"/>
  <c r="V693" i="1"/>
  <c r="S693" i="1"/>
  <c r="M693" i="1"/>
  <c r="Y692" i="1"/>
  <c r="V692" i="1"/>
  <c r="S692" i="1"/>
  <c r="M692" i="1"/>
  <c r="AA691" i="1"/>
  <c r="Z691" i="1"/>
  <c r="Y691" i="1"/>
  <c r="X691" i="1"/>
  <c r="W691" i="1"/>
  <c r="V691" i="1"/>
  <c r="U691" i="1"/>
  <c r="T691" i="1"/>
  <c r="S691" i="1"/>
  <c r="R691" i="1"/>
  <c r="P691" i="1"/>
  <c r="O691" i="1"/>
  <c r="N691" i="1"/>
  <c r="M691" i="1"/>
  <c r="L691" i="1"/>
  <c r="J691" i="1"/>
  <c r="Y690" i="1"/>
  <c r="V690" i="1"/>
  <c r="S690" i="1"/>
  <c r="M690" i="1"/>
  <c r="Y689" i="1"/>
  <c r="V689" i="1"/>
  <c r="S689" i="1"/>
  <c r="M689" i="1"/>
  <c r="AA688" i="1"/>
  <c r="Z688" i="1"/>
  <c r="Y688" i="1"/>
  <c r="X688" i="1"/>
  <c r="W688" i="1"/>
  <c r="V688" i="1"/>
  <c r="U688" i="1"/>
  <c r="T688" i="1"/>
  <c r="S688" i="1"/>
  <c r="R688" i="1"/>
  <c r="P688" i="1"/>
  <c r="O688" i="1"/>
  <c r="N688" i="1"/>
  <c r="M688" i="1"/>
  <c r="L688" i="1"/>
  <c r="J688" i="1"/>
  <c r="Y687" i="1"/>
  <c r="V687" i="1"/>
  <c r="S687" i="1"/>
  <c r="M687" i="1"/>
  <c r="Y686" i="1"/>
  <c r="V686" i="1"/>
  <c r="S686" i="1"/>
  <c r="M686" i="1"/>
  <c r="Y685" i="1"/>
  <c r="V685" i="1"/>
  <c r="S685" i="1"/>
  <c r="M685" i="1"/>
  <c r="Y684" i="1"/>
  <c r="V684" i="1"/>
  <c r="S684" i="1"/>
  <c r="M684" i="1"/>
  <c r="Z683" i="1"/>
  <c r="X683" i="1"/>
  <c r="W683" i="1"/>
  <c r="AA682" i="1"/>
  <c r="Z682" i="1"/>
  <c r="Y682" i="1"/>
  <c r="X682" i="1"/>
  <c r="W682" i="1"/>
  <c r="V682" i="1"/>
  <c r="U682" i="1"/>
  <c r="T682" i="1"/>
  <c r="S682" i="1"/>
  <c r="R682" i="1"/>
  <c r="P682" i="1"/>
  <c r="O682" i="1"/>
  <c r="N682" i="1"/>
  <c r="M682" i="1"/>
  <c r="L682" i="1"/>
  <c r="J682" i="1"/>
  <c r="Y681" i="1"/>
  <c r="V681" i="1"/>
  <c r="S681" i="1"/>
  <c r="M681" i="1"/>
  <c r="Y680" i="1"/>
  <c r="V680" i="1"/>
  <c r="S680" i="1"/>
  <c r="M680" i="1"/>
  <c r="Y679" i="1"/>
  <c r="V679" i="1"/>
  <c r="S679" i="1"/>
  <c r="M679" i="1"/>
  <c r="Y678" i="1"/>
  <c r="V678" i="1"/>
  <c r="S678" i="1"/>
  <c r="M678" i="1"/>
  <c r="Z677" i="1"/>
  <c r="X677" i="1"/>
  <c r="W677" i="1"/>
  <c r="AA676" i="1"/>
  <c r="Z676" i="1"/>
  <c r="Y676" i="1"/>
  <c r="X676" i="1"/>
  <c r="W676" i="1"/>
  <c r="V676" i="1"/>
  <c r="U676" i="1"/>
  <c r="T676" i="1"/>
  <c r="S676" i="1"/>
  <c r="R676" i="1"/>
  <c r="P676" i="1"/>
  <c r="O676" i="1"/>
  <c r="N676" i="1"/>
  <c r="M676" i="1"/>
  <c r="L676" i="1"/>
  <c r="J676" i="1"/>
  <c r="Y675" i="1"/>
  <c r="V675" i="1"/>
  <c r="S675" i="1"/>
  <c r="M675" i="1"/>
  <c r="Y674" i="1"/>
  <c r="V674" i="1"/>
  <c r="S674" i="1"/>
  <c r="M674" i="1"/>
  <c r="Y673" i="1"/>
  <c r="V673" i="1"/>
  <c r="S673" i="1"/>
  <c r="M673" i="1"/>
  <c r="Y672" i="1"/>
  <c r="V672" i="1"/>
  <c r="S672" i="1"/>
  <c r="M672" i="1"/>
  <c r="Z671" i="1"/>
  <c r="X671" i="1"/>
  <c r="W671" i="1"/>
  <c r="AA670" i="1"/>
  <c r="Z670" i="1"/>
  <c r="Y670" i="1"/>
  <c r="X670" i="1"/>
  <c r="W670" i="1"/>
  <c r="V670" i="1"/>
  <c r="U670" i="1"/>
  <c r="T670" i="1"/>
  <c r="S670" i="1"/>
  <c r="R670" i="1"/>
  <c r="P670" i="1"/>
  <c r="O670" i="1"/>
  <c r="N670" i="1"/>
  <c r="M670" i="1"/>
  <c r="L670" i="1"/>
  <c r="J670" i="1"/>
  <c r="Y669" i="1"/>
  <c r="V669" i="1"/>
  <c r="S669" i="1"/>
  <c r="M669" i="1"/>
  <c r="Y668" i="1"/>
  <c r="V668" i="1"/>
  <c r="S668" i="1"/>
  <c r="M668" i="1"/>
  <c r="Y667" i="1"/>
  <c r="V667" i="1"/>
  <c r="S667" i="1"/>
  <c r="M667" i="1"/>
  <c r="Y666" i="1"/>
  <c r="V666" i="1"/>
  <c r="S666" i="1"/>
  <c r="M666" i="1"/>
  <c r="Z665" i="1"/>
  <c r="X665" i="1"/>
  <c r="W665" i="1"/>
  <c r="AA664" i="1"/>
  <c r="Z664" i="1"/>
  <c r="Y664" i="1"/>
  <c r="X664" i="1"/>
  <c r="W664" i="1"/>
  <c r="V664" i="1"/>
  <c r="U664" i="1"/>
  <c r="T664" i="1"/>
  <c r="S664" i="1"/>
  <c r="R664" i="1"/>
  <c r="P664" i="1"/>
  <c r="O664" i="1"/>
  <c r="N664" i="1"/>
  <c r="M664" i="1"/>
  <c r="L664" i="1"/>
  <c r="J664" i="1"/>
  <c r="Y663" i="1"/>
  <c r="V663" i="1"/>
  <c r="S663" i="1"/>
  <c r="M663" i="1"/>
  <c r="Y662" i="1"/>
  <c r="V662" i="1"/>
  <c r="S662" i="1"/>
  <c r="M662" i="1"/>
  <c r="Y661" i="1"/>
  <c r="V661" i="1"/>
  <c r="S661" i="1"/>
  <c r="M661" i="1"/>
  <c r="Y660" i="1"/>
  <c r="V660" i="1"/>
  <c r="S660" i="1"/>
  <c r="M660" i="1"/>
  <c r="Z659" i="1"/>
  <c r="X659" i="1"/>
  <c r="W659" i="1"/>
  <c r="AA658" i="1"/>
  <c r="Z658" i="1"/>
  <c r="Y658" i="1"/>
  <c r="X658" i="1"/>
  <c r="W658" i="1"/>
  <c r="V658" i="1"/>
  <c r="U658" i="1"/>
  <c r="T658" i="1"/>
  <c r="S658" i="1"/>
  <c r="R658" i="1"/>
  <c r="P658" i="1"/>
  <c r="O658" i="1"/>
  <c r="N658" i="1"/>
  <c r="M658" i="1"/>
  <c r="L658" i="1"/>
  <c r="J658" i="1"/>
  <c r="Y657" i="1"/>
  <c r="V657" i="1"/>
  <c r="S657" i="1"/>
  <c r="M657" i="1"/>
  <c r="Y656" i="1"/>
  <c r="V656" i="1"/>
  <c r="S656" i="1"/>
  <c r="M656" i="1"/>
  <c r="Y655" i="1"/>
  <c r="V655" i="1"/>
  <c r="S655" i="1"/>
  <c r="M655" i="1"/>
  <c r="Y654" i="1"/>
  <c r="V654" i="1"/>
  <c r="S654" i="1"/>
  <c r="M654" i="1"/>
  <c r="Z653" i="1"/>
  <c r="X653" i="1"/>
  <c r="W653" i="1"/>
  <c r="AA652" i="1"/>
  <c r="Z652" i="1"/>
  <c r="Y652" i="1"/>
  <c r="X652" i="1"/>
  <c r="W652" i="1"/>
  <c r="V652" i="1"/>
  <c r="U652" i="1"/>
  <c r="T652" i="1"/>
  <c r="S652" i="1"/>
  <c r="R652" i="1"/>
  <c r="P652" i="1"/>
  <c r="O652" i="1"/>
  <c r="N652" i="1"/>
  <c r="M652" i="1"/>
  <c r="L652" i="1"/>
  <c r="J652" i="1"/>
  <c r="Y651" i="1"/>
  <c r="V651" i="1"/>
  <c r="S651" i="1"/>
  <c r="M651" i="1"/>
  <c r="Y650" i="1"/>
  <c r="V650" i="1"/>
  <c r="S650" i="1"/>
  <c r="M650" i="1"/>
  <c r="Y649" i="1"/>
  <c r="V649" i="1"/>
  <c r="S649" i="1"/>
  <c r="M649" i="1"/>
  <c r="Y648" i="1"/>
  <c r="V648" i="1"/>
  <c r="S648" i="1"/>
  <c r="M648" i="1"/>
  <c r="Z647" i="1"/>
  <c r="X647" i="1"/>
  <c r="W647" i="1"/>
  <c r="AA646" i="1"/>
  <c r="Z646" i="1"/>
  <c r="Y646" i="1"/>
  <c r="X646" i="1"/>
  <c r="W646" i="1"/>
  <c r="V646" i="1"/>
  <c r="U646" i="1"/>
  <c r="T646" i="1"/>
  <c r="S646" i="1"/>
  <c r="R646" i="1"/>
  <c r="P646" i="1"/>
  <c r="O646" i="1"/>
  <c r="N646" i="1"/>
  <c r="M646" i="1"/>
  <c r="L646" i="1"/>
  <c r="J646" i="1"/>
  <c r="Y645" i="1"/>
  <c r="V645" i="1"/>
  <c r="S645" i="1"/>
  <c r="M645" i="1"/>
  <c r="Y644" i="1"/>
  <c r="V644" i="1"/>
  <c r="S644" i="1"/>
  <c r="M644" i="1"/>
  <c r="Y643" i="1"/>
  <c r="V643" i="1"/>
  <c r="S643" i="1"/>
  <c r="M643" i="1"/>
  <c r="Y642" i="1"/>
  <c r="V642" i="1"/>
  <c r="S642" i="1"/>
  <c r="M642" i="1"/>
  <c r="Z641" i="1"/>
  <c r="X641" i="1"/>
  <c r="W641" i="1"/>
  <c r="AA640" i="1"/>
  <c r="Z640" i="1"/>
  <c r="Y640" i="1"/>
  <c r="X640" i="1"/>
  <c r="W640" i="1"/>
  <c r="V640" i="1"/>
  <c r="U640" i="1"/>
  <c r="T640" i="1"/>
  <c r="S640" i="1"/>
  <c r="R640" i="1"/>
  <c r="P640" i="1"/>
  <c r="O640" i="1"/>
  <c r="N640" i="1"/>
  <c r="M640" i="1"/>
  <c r="L640" i="1"/>
  <c r="J640" i="1"/>
  <c r="AA639" i="1"/>
  <c r="Z639" i="1"/>
  <c r="Y639" i="1"/>
  <c r="U639" i="1"/>
  <c r="T639" i="1"/>
  <c r="S639" i="1"/>
  <c r="O639" i="1"/>
  <c r="N639" i="1"/>
  <c r="M639" i="1"/>
  <c r="Y638" i="1"/>
  <c r="V638" i="1"/>
  <c r="S638" i="1"/>
  <c r="M638" i="1"/>
  <c r="Y637" i="1"/>
  <c r="V637" i="1"/>
  <c r="S637" i="1"/>
  <c r="M637" i="1"/>
  <c r="AA636" i="1"/>
  <c r="Z636" i="1"/>
  <c r="Y636" i="1"/>
  <c r="X636" i="1"/>
  <c r="W636" i="1"/>
  <c r="V636" i="1"/>
  <c r="U636" i="1"/>
  <c r="T636" i="1"/>
  <c r="S636" i="1"/>
  <c r="R636" i="1"/>
  <c r="P636" i="1"/>
  <c r="O636" i="1"/>
  <c r="N636" i="1"/>
  <c r="M636" i="1"/>
  <c r="L636" i="1"/>
  <c r="J636" i="1"/>
  <c r="Y635" i="1"/>
  <c r="V635" i="1"/>
  <c r="S635" i="1"/>
  <c r="M635" i="1"/>
  <c r="Y634" i="1"/>
  <c r="V634" i="1"/>
  <c r="S634" i="1"/>
  <c r="M634" i="1"/>
  <c r="AA633" i="1"/>
  <c r="Z633" i="1"/>
  <c r="Y633" i="1"/>
  <c r="X633" i="1"/>
  <c r="W633" i="1"/>
  <c r="V633" i="1"/>
  <c r="U633" i="1"/>
  <c r="T633" i="1"/>
  <c r="S633" i="1"/>
  <c r="R633" i="1"/>
  <c r="P633" i="1"/>
  <c r="O633" i="1"/>
  <c r="N633" i="1"/>
  <c r="M633" i="1"/>
  <c r="L633" i="1"/>
  <c r="J633" i="1"/>
  <c r="Y632" i="1"/>
  <c r="V632" i="1"/>
  <c r="S632" i="1"/>
  <c r="M632" i="1"/>
  <c r="Y631" i="1"/>
  <c r="V631" i="1"/>
  <c r="S631" i="1"/>
  <c r="M631" i="1"/>
  <c r="AA630" i="1"/>
  <c r="Z630" i="1"/>
  <c r="Y630" i="1"/>
  <c r="X630" i="1"/>
  <c r="W630" i="1"/>
  <c r="V630" i="1"/>
  <c r="U630" i="1"/>
  <c r="T630" i="1"/>
  <c r="S630" i="1"/>
  <c r="R630" i="1"/>
  <c r="P630" i="1"/>
  <c r="O630" i="1"/>
  <c r="N630" i="1"/>
  <c r="M630" i="1"/>
  <c r="L630" i="1"/>
  <c r="J630" i="1"/>
  <c r="Y629" i="1"/>
  <c r="V629" i="1"/>
  <c r="S629" i="1"/>
  <c r="M629" i="1"/>
  <c r="Y628" i="1"/>
  <c r="V628" i="1"/>
  <c r="S628" i="1"/>
  <c r="M628" i="1"/>
  <c r="AA627" i="1"/>
  <c r="Z627" i="1"/>
  <c r="Y627" i="1"/>
  <c r="X627" i="1"/>
  <c r="W627" i="1"/>
  <c r="V627" i="1"/>
  <c r="U627" i="1"/>
  <c r="T627" i="1"/>
  <c r="S627" i="1"/>
  <c r="R627" i="1"/>
  <c r="P627" i="1"/>
  <c r="O627" i="1"/>
  <c r="N627" i="1"/>
  <c r="M627" i="1"/>
  <c r="L627" i="1"/>
  <c r="J627" i="1"/>
  <c r="Y626" i="1"/>
  <c r="V626" i="1"/>
  <c r="S626" i="1"/>
  <c r="M626" i="1"/>
  <c r="Y625" i="1"/>
  <c r="V625" i="1"/>
  <c r="S625" i="1"/>
  <c r="M625" i="1"/>
  <c r="Y624" i="1"/>
  <c r="V624" i="1"/>
  <c r="S624" i="1"/>
  <c r="M624" i="1"/>
  <c r="Y623" i="1"/>
  <c r="V623" i="1"/>
  <c r="S623" i="1"/>
  <c r="M623" i="1"/>
  <c r="Z622" i="1"/>
  <c r="X622" i="1"/>
  <c r="W622" i="1"/>
  <c r="AA621" i="1"/>
  <c r="Z621" i="1"/>
  <c r="Y621" i="1"/>
  <c r="X621" i="1"/>
  <c r="W621" i="1"/>
  <c r="V621" i="1"/>
  <c r="U621" i="1"/>
  <c r="T621" i="1"/>
  <c r="S621" i="1"/>
  <c r="R621" i="1"/>
  <c r="P621" i="1"/>
  <c r="O621" i="1"/>
  <c r="N621" i="1"/>
  <c r="M621" i="1"/>
  <c r="L621" i="1"/>
  <c r="J621" i="1"/>
  <c r="AA620" i="1"/>
  <c r="Z620" i="1"/>
  <c r="Y620" i="1"/>
  <c r="U620" i="1"/>
  <c r="T620" i="1"/>
  <c r="S620" i="1"/>
  <c r="O620" i="1"/>
  <c r="N620" i="1"/>
  <c r="M620" i="1"/>
  <c r="AA619" i="1"/>
  <c r="Z619" i="1"/>
  <c r="Y619" i="1"/>
  <c r="U619" i="1"/>
  <c r="T619" i="1"/>
  <c r="S619" i="1"/>
  <c r="O619" i="1"/>
  <c r="N619" i="1"/>
  <c r="M619" i="1"/>
  <c r="Y618" i="1"/>
  <c r="V618" i="1"/>
  <c r="S618" i="1"/>
  <c r="M618" i="1"/>
  <c r="AA617" i="1"/>
  <c r="Z617" i="1"/>
  <c r="Y617" i="1"/>
  <c r="X617" i="1"/>
  <c r="W617" i="1"/>
  <c r="V617" i="1"/>
  <c r="U617" i="1"/>
  <c r="T617" i="1"/>
  <c r="S617" i="1"/>
  <c r="R617" i="1"/>
  <c r="P617" i="1"/>
  <c r="O617" i="1"/>
  <c r="N617" i="1"/>
  <c r="M617" i="1"/>
  <c r="L617" i="1"/>
  <c r="J617" i="1"/>
  <c r="Y616" i="1"/>
  <c r="V616" i="1"/>
  <c r="S616" i="1"/>
  <c r="M616" i="1"/>
  <c r="AA615" i="1"/>
  <c r="Z615" i="1"/>
  <c r="Y615" i="1"/>
  <c r="X615" i="1"/>
  <c r="W615" i="1"/>
  <c r="V615" i="1"/>
  <c r="U615" i="1"/>
  <c r="T615" i="1"/>
  <c r="S615" i="1"/>
  <c r="R615" i="1"/>
  <c r="P615" i="1"/>
  <c r="O615" i="1"/>
  <c r="N615" i="1"/>
  <c r="M615" i="1"/>
  <c r="L615" i="1"/>
  <c r="J615" i="1"/>
  <c r="AA614" i="1"/>
  <c r="Z614" i="1"/>
  <c r="Y614" i="1"/>
  <c r="U614" i="1"/>
  <c r="T614" i="1"/>
  <c r="S614" i="1"/>
  <c r="O614" i="1"/>
  <c r="N614" i="1"/>
  <c r="M614" i="1"/>
  <c r="Y613" i="1"/>
  <c r="V613" i="1"/>
  <c r="S613" i="1"/>
  <c r="M613" i="1"/>
  <c r="Y612" i="1"/>
  <c r="V612" i="1"/>
  <c r="S612" i="1"/>
  <c r="M612" i="1"/>
  <c r="Y611" i="1"/>
  <c r="V611" i="1"/>
  <c r="S611" i="1"/>
  <c r="M611" i="1"/>
  <c r="Y610" i="1"/>
  <c r="V610" i="1"/>
  <c r="S610" i="1"/>
  <c r="M610" i="1"/>
  <c r="AA609" i="1"/>
  <c r="Z609" i="1"/>
  <c r="Y609" i="1"/>
  <c r="X609" i="1"/>
  <c r="W609" i="1"/>
  <c r="V609" i="1"/>
  <c r="U609" i="1"/>
  <c r="T609" i="1"/>
  <c r="S609" i="1"/>
  <c r="R609" i="1"/>
  <c r="P609" i="1"/>
  <c r="O609" i="1"/>
  <c r="N609" i="1"/>
  <c r="M609" i="1"/>
  <c r="L609" i="1"/>
  <c r="J609" i="1"/>
  <c r="Y608" i="1"/>
  <c r="V608" i="1"/>
  <c r="S608" i="1"/>
  <c r="M608" i="1"/>
  <c r="Y607" i="1"/>
  <c r="V607" i="1"/>
  <c r="S607" i="1"/>
  <c r="M607" i="1"/>
  <c r="Y606" i="1"/>
  <c r="V606" i="1"/>
  <c r="S606" i="1"/>
  <c r="M606" i="1"/>
  <c r="AA605" i="1"/>
  <c r="Z605" i="1"/>
  <c r="Y605" i="1"/>
  <c r="X605" i="1"/>
  <c r="W605" i="1"/>
  <c r="V605" i="1"/>
  <c r="U605" i="1"/>
  <c r="T605" i="1"/>
  <c r="S605" i="1"/>
  <c r="R605" i="1"/>
  <c r="P605" i="1"/>
  <c r="O605" i="1"/>
  <c r="N605" i="1"/>
  <c r="M605" i="1"/>
  <c r="L605" i="1"/>
  <c r="J605" i="1"/>
  <c r="Y604" i="1"/>
  <c r="V604" i="1"/>
  <c r="S604" i="1"/>
  <c r="M604" i="1"/>
  <c r="Y603" i="1"/>
  <c r="V603" i="1"/>
  <c r="S603" i="1"/>
  <c r="M603" i="1"/>
  <c r="Y602" i="1"/>
  <c r="V602" i="1"/>
  <c r="S602" i="1"/>
  <c r="M602" i="1"/>
  <c r="Y601" i="1"/>
  <c r="V601" i="1"/>
  <c r="S601" i="1"/>
  <c r="M601" i="1"/>
  <c r="AA600" i="1"/>
  <c r="Z600" i="1"/>
  <c r="Y600" i="1"/>
  <c r="X600" i="1"/>
  <c r="W600" i="1"/>
  <c r="V600" i="1"/>
  <c r="U600" i="1"/>
  <c r="T600" i="1"/>
  <c r="S600" i="1"/>
  <c r="R600" i="1"/>
  <c r="P600" i="1"/>
  <c r="O600" i="1"/>
  <c r="N600" i="1"/>
  <c r="M600" i="1"/>
  <c r="L600" i="1"/>
  <c r="J600" i="1"/>
  <c r="Y599" i="1"/>
  <c r="V599" i="1"/>
  <c r="S599" i="1"/>
  <c r="M599" i="1"/>
  <c r="Y598" i="1"/>
  <c r="V598" i="1"/>
  <c r="S598" i="1"/>
  <c r="M598" i="1"/>
  <c r="Y597" i="1"/>
  <c r="V597" i="1"/>
  <c r="S597" i="1"/>
  <c r="M597" i="1"/>
  <c r="Y596" i="1"/>
  <c r="V596" i="1"/>
  <c r="S596" i="1"/>
  <c r="M596" i="1"/>
  <c r="AA595" i="1"/>
  <c r="Z595" i="1"/>
  <c r="Y595" i="1"/>
  <c r="X595" i="1"/>
  <c r="W595" i="1"/>
  <c r="V595" i="1"/>
  <c r="U595" i="1"/>
  <c r="T595" i="1"/>
  <c r="S595" i="1"/>
  <c r="R595" i="1"/>
  <c r="P595" i="1"/>
  <c r="O595" i="1"/>
  <c r="N595" i="1"/>
  <c r="M595" i="1"/>
  <c r="L595" i="1"/>
  <c r="J595" i="1"/>
  <c r="Y594" i="1"/>
  <c r="V594" i="1"/>
  <c r="S594" i="1"/>
  <c r="M594" i="1"/>
  <c r="Y593" i="1"/>
  <c r="V593" i="1"/>
  <c r="S593" i="1"/>
  <c r="M593" i="1"/>
  <c r="Y592" i="1"/>
  <c r="V592" i="1"/>
  <c r="S592" i="1"/>
  <c r="M592" i="1"/>
  <c r="Y591" i="1"/>
  <c r="V591" i="1"/>
  <c r="S591" i="1"/>
  <c r="M591" i="1"/>
  <c r="AA590" i="1"/>
  <c r="Z590" i="1"/>
  <c r="Y590" i="1"/>
  <c r="X590" i="1"/>
  <c r="W590" i="1"/>
  <c r="V590" i="1"/>
  <c r="U590" i="1"/>
  <c r="T590" i="1"/>
  <c r="S590" i="1"/>
  <c r="R590" i="1"/>
  <c r="P590" i="1"/>
  <c r="O590" i="1"/>
  <c r="N590" i="1"/>
  <c r="M590" i="1"/>
  <c r="L590" i="1"/>
  <c r="J590" i="1"/>
  <c r="Y589" i="1"/>
  <c r="V589" i="1"/>
  <c r="S589" i="1"/>
  <c r="M589" i="1"/>
  <c r="Y588" i="1"/>
  <c r="V588" i="1"/>
  <c r="S588" i="1"/>
  <c r="M588" i="1"/>
  <c r="Y587" i="1"/>
  <c r="V587" i="1"/>
  <c r="S587" i="1"/>
  <c r="M587" i="1"/>
  <c r="Y586" i="1"/>
  <c r="V586" i="1"/>
  <c r="S586" i="1"/>
  <c r="M586" i="1"/>
  <c r="Y585" i="1"/>
  <c r="V585" i="1"/>
  <c r="S585" i="1"/>
  <c r="M585" i="1"/>
  <c r="Y584" i="1"/>
  <c r="V584" i="1"/>
  <c r="S584" i="1"/>
  <c r="M584" i="1"/>
  <c r="Z583" i="1"/>
  <c r="X583" i="1"/>
  <c r="W583" i="1"/>
  <c r="AA582" i="1"/>
  <c r="Z582" i="1"/>
  <c r="Y582" i="1"/>
  <c r="X582" i="1"/>
  <c r="W582" i="1"/>
  <c r="V582" i="1"/>
  <c r="U582" i="1"/>
  <c r="T582" i="1"/>
  <c r="S582" i="1"/>
  <c r="R582" i="1"/>
  <c r="P582" i="1"/>
  <c r="O582" i="1"/>
  <c r="N582" i="1"/>
  <c r="M582" i="1"/>
  <c r="L582" i="1"/>
  <c r="J582" i="1"/>
  <c r="Y581" i="1"/>
  <c r="V581" i="1"/>
  <c r="S581" i="1"/>
  <c r="M581" i="1"/>
  <c r="Y580" i="1"/>
  <c r="V580" i="1"/>
  <c r="S580" i="1"/>
  <c r="M580" i="1"/>
  <c r="Y579" i="1"/>
  <c r="V579" i="1"/>
  <c r="S579" i="1"/>
  <c r="M579" i="1"/>
  <c r="AA578" i="1"/>
  <c r="Z578" i="1"/>
  <c r="Y578" i="1"/>
  <c r="X578" i="1"/>
  <c r="W578" i="1"/>
  <c r="V578" i="1"/>
  <c r="U578" i="1"/>
  <c r="T578" i="1"/>
  <c r="S578" i="1"/>
  <c r="R578" i="1"/>
  <c r="P578" i="1"/>
  <c r="O578" i="1"/>
  <c r="N578" i="1"/>
  <c r="M578" i="1"/>
  <c r="L578" i="1"/>
  <c r="J578" i="1"/>
  <c r="Y577" i="1"/>
  <c r="V577" i="1"/>
  <c r="S577" i="1"/>
  <c r="M577" i="1"/>
  <c r="Y576" i="1"/>
  <c r="V576" i="1"/>
  <c r="S576" i="1"/>
  <c r="M576" i="1"/>
  <c r="Y575" i="1"/>
  <c r="V575" i="1"/>
  <c r="S575" i="1"/>
  <c r="M575" i="1"/>
  <c r="AA574" i="1"/>
  <c r="Z574" i="1"/>
  <c r="Y574" i="1"/>
  <c r="X574" i="1"/>
  <c r="W574" i="1"/>
  <c r="V574" i="1"/>
  <c r="U574" i="1"/>
  <c r="T574" i="1"/>
  <c r="S574" i="1"/>
  <c r="R574" i="1"/>
  <c r="P574" i="1"/>
  <c r="O574" i="1"/>
  <c r="N574" i="1"/>
  <c r="M574" i="1"/>
  <c r="L574" i="1"/>
  <c r="J574" i="1"/>
  <c r="Y573" i="1"/>
  <c r="V573" i="1"/>
  <c r="S573" i="1"/>
  <c r="M573" i="1"/>
  <c r="Y572" i="1"/>
  <c r="V572" i="1"/>
  <c r="S572" i="1"/>
  <c r="M572" i="1"/>
  <c r="Y571" i="1"/>
  <c r="V571" i="1"/>
  <c r="S571" i="1"/>
  <c r="M571" i="1"/>
  <c r="Y570" i="1"/>
  <c r="V570" i="1"/>
  <c r="S570" i="1"/>
  <c r="M570" i="1"/>
  <c r="AA569" i="1"/>
  <c r="Z569" i="1"/>
  <c r="Y569" i="1"/>
  <c r="X569" i="1"/>
  <c r="W569" i="1"/>
  <c r="V569" i="1"/>
  <c r="U569" i="1"/>
  <c r="T569" i="1"/>
  <c r="S569" i="1"/>
  <c r="R569" i="1"/>
  <c r="P569" i="1"/>
  <c r="O569" i="1"/>
  <c r="N569" i="1"/>
  <c r="M569" i="1"/>
  <c r="L569" i="1"/>
  <c r="J569" i="1"/>
  <c r="Y568" i="1"/>
  <c r="V568" i="1"/>
  <c r="S568" i="1"/>
  <c r="M568" i="1"/>
  <c r="Y567" i="1"/>
  <c r="V567" i="1"/>
  <c r="S567" i="1"/>
  <c r="M567" i="1"/>
  <c r="Y566" i="1"/>
  <c r="V566" i="1"/>
  <c r="S566" i="1"/>
  <c r="M566" i="1"/>
  <c r="Y565" i="1"/>
  <c r="V565" i="1"/>
  <c r="S565" i="1"/>
  <c r="M565" i="1"/>
  <c r="AA564" i="1"/>
  <c r="Z564" i="1"/>
  <c r="Y564" i="1"/>
  <c r="X564" i="1"/>
  <c r="W564" i="1"/>
  <c r="V564" i="1"/>
  <c r="U564" i="1"/>
  <c r="T564" i="1"/>
  <c r="S564" i="1"/>
  <c r="R564" i="1"/>
  <c r="P564" i="1"/>
  <c r="O564" i="1"/>
  <c r="N564" i="1"/>
  <c r="M564" i="1"/>
  <c r="L564" i="1"/>
  <c r="J564" i="1"/>
  <c r="Y563" i="1"/>
  <c r="V563" i="1"/>
  <c r="S563" i="1"/>
  <c r="M563" i="1"/>
  <c r="Y562" i="1"/>
  <c r="V562" i="1"/>
  <c r="S562" i="1"/>
  <c r="M562" i="1"/>
  <c r="AA561" i="1"/>
  <c r="Z561" i="1"/>
  <c r="Y561" i="1"/>
  <c r="X561" i="1"/>
  <c r="W561" i="1"/>
  <c r="V561" i="1"/>
  <c r="U561" i="1"/>
  <c r="T561" i="1"/>
  <c r="S561" i="1"/>
  <c r="R561" i="1"/>
  <c r="P561" i="1"/>
  <c r="O561" i="1"/>
  <c r="N561" i="1"/>
  <c r="M561" i="1"/>
  <c r="L561" i="1"/>
  <c r="J561" i="1"/>
  <c r="Y560" i="1"/>
  <c r="V560" i="1"/>
  <c r="S560" i="1"/>
  <c r="M560" i="1"/>
  <c r="Y559" i="1"/>
  <c r="V559" i="1"/>
  <c r="S559" i="1"/>
  <c r="M559" i="1"/>
  <c r="AA558" i="1"/>
  <c r="Z558" i="1"/>
  <c r="Y558" i="1"/>
  <c r="X558" i="1"/>
  <c r="W558" i="1"/>
  <c r="V558" i="1"/>
  <c r="U558" i="1"/>
  <c r="T558" i="1"/>
  <c r="S558" i="1"/>
  <c r="R558" i="1"/>
  <c r="P558" i="1"/>
  <c r="O558" i="1"/>
  <c r="N558" i="1"/>
  <c r="M558" i="1"/>
  <c r="L558" i="1"/>
  <c r="J558" i="1"/>
  <c r="Y557" i="1"/>
  <c r="V557" i="1"/>
  <c r="S557" i="1"/>
  <c r="M557" i="1"/>
  <c r="Y556" i="1"/>
  <c r="V556" i="1"/>
  <c r="S556" i="1"/>
  <c r="M556" i="1"/>
  <c r="AA555" i="1"/>
  <c r="Z555" i="1"/>
  <c r="Y555" i="1"/>
  <c r="X555" i="1"/>
  <c r="W555" i="1"/>
  <c r="V555" i="1"/>
  <c r="U555" i="1"/>
  <c r="T555" i="1"/>
  <c r="S555" i="1"/>
  <c r="R555" i="1"/>
  <c r="P555" i="1"/>
  <c r="O555" i="1"/>
  <c r="N555" i="1"/>
  <c r="M555" i="1"/>
  <c r="L555" i="1"/>
  <c r="J555" i="1"/>
  <c r="Y554" i="1"/>
  <c r="V554" i="1"/>
  <c r="S554" i="1"/>
  <c r="M554" i="1"/>
  <c r="Y553" i="1"/>
  <c r="V553" i="1"/>
  <c r="S553" i="1"/>
  <c r="M553" i="1"/>
  <c r="Y552" i="1"/>
  <c r="V552" i="1"/>
  <c r="S552" i="1"/>
  <c r="M552" i="1"/>
  <c r="AA551" i="1"/>
  <c r="Z551" i="1"/>
  <c r="Y551" i="1"/>
  <c r="X551" i="1"/>
  <c r="W551" i="1"/>
  <c r="V551" i="1"/>
  <c r="U551" i="1"/>
  <c r="T551" i="1"/>
  <c r="S551" i="1"/>
  <c r="R551" i="1"/>
  <c r="P551" i="1"/>
  <c r="O551" i="1"/>
  <c r="N551" i="1"/>
  <c r="M551" i="1"/>
  <c r="L551" i="1"/>
  <c r="J551" i="1"/>
  <c r="Y550" i="1"/>
  <c r="V550" i="1"/>
  <c r="S550" i="1"/>
  <c r="M550" i="1"/>
  <c r="Y549" i="1"/>
  <c r="V549" i="1"/>
  <c r="S549" i="1"/>
  <c r="M549" i="1"/>
  <c r="Y548" i="1"/>
  <c r="V548" i="1"/>
  <c r="S548" i="1"/>
  <c r="M548" i="1"/>
  <c r="AA547" i="1"/>
  <c r="Z547" i="1"/>
  <c r="Y547" i="1"/>
  <c r="X547" i="1"/>
  <c r="W547" i="1"/>
  <c r="V547" i="1"/>
  <c r="U547" i="1"/>
  <c r="T547" i="1"/>
  <c r="S547" i="1"/>
  <c r="R547" i="1"/>
  <c r="P547" i="1"/>
  <c r="O547" i="1"/>
  <c r="N547" i="1"/>
  <c r="M547" i="1"/>
  <c r="L547" i="1"/>
  <c r="J547" i="1"/>
  <c r="Y546" i="1"/>
  <c r="V546" i="1"/>
  <c r="S546" i="1"/>
  <c r="M546" i="1"/>
  <c r="Y545" i="1"/>
  <c r="V545" i="1"/>
  <c r="S545" i="1"/>
  <c r="M545" i="1"/>
  <c r="Y544" i="1"/>
  <c r="V544" i="1"/>
  <c r="S544" i="1"/>
  <c r="M544" i="1"/>
  <c r="AA543" i="1"/>
  <c r="Z543" i="1"/>
  <c r="Y543" i="1"/>
  <c r="X543" i="1"/>
  <c r="W543" i="1"/>
  <c r="V543" i="1"/>
  <c r="U543" i="1"/>
  <c r="T543" i="1"/>
  <c r="S543" i="1"/>
  <c r="R543" i="1"/>
  <c r="P543" i="1"/>
  <c r="O543" i="1"/>
  <c r="N543" i="1"/>
  <c r="M543" i="1"/>
  <c r="L543" i="1"/>
  <c r="J543" i="1"/>
  <c r="Y542" i="1"/>
  <c r="V542" i="1"/>
  <c r="S542" i="1"/>
  <c r="M542" i="1"/>
  <c r="Y541" i="1"/>
  <c r="V541" i="1"/>
  <c r="S541" i="1"/>
  <c r="M541" i="1"/>
  <c r="Y540" i="1"/>
  <c r="V540" i="1"/>
  <c r="S540" i="1"/>
  <c r="M540" i="1"/>
  <c r="AA539" i="1"/>
  <c r="Z539" i="1"/>
  <c r="Y539" i="1"/>
  <c r="X539" i="1"/>
  <c r="W539" i="1"/>
  <c r="V539" i="1"/>
  <c r="U539" i="1"/>
  <c r="T539" i="1"/>
  <c r="S539" i="1"/>
  <c r="R539" i="1"/>
  <c r="P539" i="1"/>
  <c r="O539" i="1"/>
  <c r="N539" i="1"/>
  <c r="M539" i="1"/>
  <c r="L539" i="1"/>
  <c r="J539" i="1"/>
  <c r="AA538" i="1"/>
  <c r="Z538" i="1"/>
  <c r="Y538" i="1"/>
  <c r="U538" i="1"/>
  <c r="T538" i="1"/>
  <c r="S538" i="1"/>
  <c r="O538" i="1"/>
  <c r="N538" i="1"/>
  <c r="M538" i="1"/>
  <c r="Y537" i="1"/>
  <c r="V537" i="1"/>
  <c r="S537" i="1"/>
  <c r="M537" i="1"/>
  <c r="Y536" i="1"/>
  <c r="V536" i="1"/>
  <c r="S536" i="1"/>
  <c r="M536" i="1"/>
  <c r="Y535" i="1"/>
  <c r="V535" i="1"/>
  <c r="S535" i="1"/>
  <c r="M535" i="1"/>
  <c r="Y534" i="1"/>
  <c r="V534" i="1"/>
  <c r="S534" i="1"/>
  <c r="M534" i="1"/>
  <c r="AA533" i="1"/>
  <c r="Z533" i="1"/>
  <c r="Y533" i="1"/>
  <c r="X533" i="1"/>
  <c r="W533" i="1"/>
  <c r="V533" i="1"/>
  <c r="U533" i="1"/>
  <c r="T533" i="1"/>
  <c r="S533" i="1"/>
  <c r="R533" i="1"/>
  <c r="P533" i="1"/>
  <c r="O533" i="1"/>
  <c r="N533" i="1"/>
  <c r="M533" i="1"/>
  <c r="L533" i="1"/>
  <c r="J533" i="1"/>
  <c r="Y532" i="1"/>
  <c r="V532" i="1"/>
  <c r="S532" i="1"/>
  <c r="M532" i="1"/>
  <c r="Y531" i="1"/>
  <c r="V531" i="1"/>
  <c r="S531" i="1"/>
  <c r="M531" i="1"/>
  <c r="Y530" i="1"/>
  <c r="V530" i="1"/>
  <c r="S530" i="1"/>
  <c r="M530" i="1"/>
  <c r="Y529" i="1"/>
  <c r="V529" i="1"/>
  <c r="S529" i="1"/>
  <c r="M529" i="1"/>
  <c r="AA528" i="1"/>
  <c r="Z528" i="1"/>
  <c r="Y528" i="1"/>
  <c r="X528" i="1"/>
  <c r="W528" i="1"/>
  <c r="V528" i="1"/>
  <c r="U528" i="1"/>
  <c r="T528" i="1"/>
  <c r="S528" i="1"/>
  <c r="R528" i="1"/>
  <c r="P528" i="1"/>
  <c r="O528" i="1"/>
  <c r="N528" i="1"/>
  <c r="M528" i="1"/>
  <c r="L528" i="1"/>
  <c r="J528" i="1"/>
  <c r="Y527" i="1"/>
  <c r="V527" i="1"/>
  <c r="S527" i="1"/>
  <c r="M527" i="1"/>
  <c r="Y526" i="1"/>
  <c r="V526" i="1"/>
  <c r="S526" i="1"/>
  <c r="M526" i="1"/>
  <c r="Y525" i="1"/>
  <c r="V525" i="1"/>
  <c r="S525" i="1"/>
  <c r="M525" i="1"/>
  <c r="Y524" i="1"/>
  <c r="V524" i="1"/>
  <c r="S524" i="1"/>
  <c r="M524" i="1"/>
  <c r="Y523" i="1"/>
  <c r="V523" i="1"/>
  <c r="S523" i="1"/>
  <c r="M523" i="1"/>
  <c r="AA522" i="1"/>
  <c r="Z522" i="1"/>
  <c r="Y522" i="1"/>
  <c r="X522" i="1"/>
  <c r="W522" i="1"/>
  <c r="V522" i="1"/>
  <c r="U522" i="1"/>
  <c r="T522" i="1"/>
  <c r="S522" i="1"/>
  <c r="R522" i="1"/>
  <c r="P522" i="1"/>
  <c r="O522" i="1"/>
  <c r="N522" i="1"/>
  <c r="M522" i="1"/>
  <c r="L522" i="1"/>
  <c r="J522" i="1"/>
  <c r="Y521" i="1"/>
  <c r="V521" i="1"/>
  <c r="S521" i="1"/>
  <c r="M521" i="1"/>
  <c r="Y520" i="1"/>
  <c r="V520" i="1"/>
  <c r="S520" i="1"/>
  <c r="M520" i="1"/>
  <c r="Y519" i="1"/>
  <c r="V519" i="1"/>
  <c r="S519" i="1"/>
  <c r="M519" i="1"/>
  <c r="Y518" i="1"/>
  <c r="V518" i="1"/>
  <c r="S518" i="1"/>
  <c r="M518" i="1"/>
  <c r="AA517" i="1"/>
  <c r="Z517" i="1"/>
  <c r="Y517" i="1"/>
  <c r="X517" i="1"/>
  <c r="W517" i="1"/>
  <c r="V517" i="1"/>
  <c r="U517" i="1"/>
  <c r="T517" i="1"/>
  <c r="S517" i="1"/>
  <c r="R517" i="1"/>
  <c r="P517" i="1"/>
  <c r="O517" i="1"/>
  <c r="N517" i="1"/>
  <c r="M517" i="1"/>
  <c r="L517" i="1"/>
  <c r="J517" i="1"/>
  <c r="Y516" i="1"/>
  <c r="V516" i="1"/>
  <c r="S516" i="1"/>
  <c r="M516" i="1"/>
  <c r="Y515" i="1"/>
  <c r="V515" i="1"/>
  <c r="S515" i="1"/>
  <c r="M515" i="1"/>
  <c r="Y514" i="1"/>
  <c r="V514" i="1"/>
  <c r="S514" i="1"/>
  <c r="M514" i="1"/>
  <c r="Y513" i="1"/>
  <c r="V513" i="1"/>
  <c r="S513" i="1"/>
  <c r="M513" i="1"/>
  <c r="AA512" i="1"/>
  <c r="Z512" i="1"/>
  <c r="Y512" i="1"/>
  <c r="X512" i="1"/>
  <c r="W512" i="1"/>
  <c r="V512" i="1"/>
  <c r="U512" i="1"/>
  <c r="T512" i="1"/>
  <c r="S512" i="1"/>
  <c r="R512" i="1"/>
  <c r="P512" i="1"/>
  <c r="O512" i="1"/>
  <c r="N512" i="1"/>
  <c r="M512" i="1"/>
  <c r="L512" i="1"/>
  <c r="J512" i="1"/>
  <c r="Y511" i="1"/>
  <c r="V511" i="1"/>
  <c r="S511" i="1"/>
  <c r="M511" i="1"/>
  <c r="Y510" i="1"/>
  <c r="V510" i="1"/>
  <c r="S510" i="1"/>
  <c r="M510" i="1"/>
  <c r="Y509" i="1"/>
  <c r="V509" i="1"/>
  <c r="S509" i="1"/>
  <c r="M509" i="1"/>
  <c r="Y508" i="1"/>
  <c r="V508" i="1"/>
  <c r="S508" i="1"/>
  <c r="M508" i="1"/>
  <c r="AA507" i="1"/>
  <c r="Z507" i="1"/>
  <c r="Y507" i="1"/>
  <c r="X507" i="1"/>
  <c r="W507" i="1"/>
  <c r="V507" i="1"/>
  <c r="U507" i="1"/>
  <c r="T507" i="1"/>
  <c r="S507" i="1"/>
  <c r="R507" i="1"/>
  <c r="P507" i="1"/>
  <c r="O507" i="1"/>
  <c r="N507" i="1"/>
  <c r="M507" i="1"/>
  <c r="L507" i="1"/>
  <c r="J507" i="1"/>
  <c r="Y506" i="1"/>
  <c r="V506" i="1"/>
  <c r="S506" i="1"/>
  <c r="M506" i="1"/>
  <c r="Y505" i="1"/>
  <c r="V505" i="1"/>
  <c r="S505" i="1"/>
  <c r="M505" i="1"/>
  <c r="Y504" i="1"/>
  <c r="V504" i="1"/>
  <c r="S504" i="1"/>
  <c r="M504" i="1"/>
  <c r="Y503" i="1"/>
  <c r="V503" i="1"/>
  <c r="S503" i="1"/>
  <c r="M503" i="1"/>
  <c r="AA502" i="1"/>
  <c r="Z502" i="1"/>
  <c r="Y502" i="1"/>
  <c r="X502" i="1"/>
  <c r="W502" i="1"/>
  <c r="V502" i="1"/>
  <c r="U502" i="1"/>
  <c r="T502" i="1"/>
  <c r="S502" i="1"/>
  <c r="R502" i="1"/>
  <c r="P502" i="1"/>
  <c r="O502" i="1"/>
  <c r="N502" i="1"/>
  <c r="M502" i="1"/>
  <c r="L502" i="1"/>
  <c r="J502" i="1"/>
  <c r="Y501" i="1"/>
  <c r="V501" i="1"/>
  <c r="S501" i="1"/>
  <c r="M501" i="1"/>
  <c r="Y500" i="1"/>
  <c r="V500" i="1"/>
  <c r="S500" i="1"/>
  <c r="M500" i="1"/>
  <c r="Y499" i="1"/>
  <c r="V499" i="1"/>
  <c r="S499" i="1"/>
  <c r="M499" i="1"/>
  <c r="Y498" i="1"/>
  <c r="V498" i="1"/>
  <c r="S498" i="1"/>
  <c r="M498" i="1"/>
  <c r="AA497" i="1"/>
  <c r="Z497" i="1"/>
  <c r="Y497" i="1"/>
  <c r="X497" i="1"/>
  <c r="W497" i="1"/>
  <c r="V497" i="1"/>
  <c r="U497" i="1"/>
  <c r="T497" i="1"/>
  <c r="S497" i="1"/>
  <c r="R497" i="1"/>
  <c r="P497" i="1"/>
  <c r="O497" i="1"/>
  <c r="N497" i="1"/>
  <c r="M497" i="1"/>
  <c r="L497" i="1"/>
  <c r="J497" i="1"/>
  <c r="Y496" i="1"/>
  <c r="V496" i="1"/>
  <c r="S496" i="1"/>
  <c r="M496" i="1"/>
  <c r="Y495" i="1"/>
  <c r="V495" i="1"/>
  <c r="S495" i="1"/>
  <c r="M495" i="1"/>
  <c r="Y494" i="1"/>
  <c r="V494" i="1"/>
  <c r="S494" i="1"/>
  <c r="M494" i="1"/>
  <c r="Y493" i="1"/>
  <c r="V493" i="1"/>
  <c r="S493" i="1"/>
  <c r="M493" i="1"/>
  <c r="Y492" i="1"/>
  <c r="V492" i="1"/>
  <c r="S492" i="1"/>
  <c r="M492" i="1"/>
  <c r="AA491" i="1"/>
  <c r="Z491" i="1"/>
  <c r="Y491" i="1"/>
  <c r="X491" i="1"/>
  <c r="W491" i="1"/>
  <c r="V491" i="1"/>
  <c r="U491" i="1"/>
  <c r="T491" i="1"/>
  <c r="S491" i="1"/>
  <c r="R491" i="1"/>
  <c r="P491" i="1"/>
  <c r="O491" i="1"/>
  <c r="N491" i="1"/>
  <c r="M491" i="1"/>
  <c r="L491" i="1"/>
  <c r="J491" i="1"/>
  <c r="Y490" i="1"/>
  <c r="V490" i="1"/>
  <c r="S490" i="1"/>
  <c r="M490" i="1"/>
  <c r="Y489" i="1"/>
  <c r="V489" i="1"/>
  <c r="S489" i="1"/>
  <c r="M489" i="1"/>
  <c r="Y488" i="1"/>
  <c r="V488" i="1"/>
  <c r="S488" i="1"/>
  <c r="M488" i="1"/>
  <c r="Y487" i="1"/>
  <c r="V487" i="1"/>
  <c r="S487" i="1"/>
  <c r="M487" i="1"/>
  <c r="Y486" i="1"/>
  <c r="V486" i="1"/>
  <c r="S486" i="1"/>
  <c r="M486" i="1"/>
  <c r="AA485" i="1"/>
  <c r="Z485" i="1"/>
  <c r="Y485" i="1"/>
  <c r="X485" i="1"/>
  <c r="W485" i="1"/>
  <c r="V485" i="1"/>
  <c r="U485" i="1"/>
  <c r="T485" i="1"/>
  <c r="S485" i="1"/>
  <c r="R485" i="1"/>
  <c r="P485" i="1"/>
  <c r="O485" i="1"/>
  <c r="N485" i="1"/>
  <c r="M485" i="1"/>
  <c r="L485" i="1"/>
  <c r="J485" i="1"/>
  <c r="Y484" i="1"/>
  <c r="V484" i="1"/>
  <c r="S484" i="1"/>
  <c r="M484" i="1"/>
  <c r="Y483" i="1"/>
  <c r="V483" i="1"/>
  <c r="S483" i="1"/>
  <c r="M483" i="1"/>
  <c r="Y482" i="1"/>
  <c r="V482" i="1"/>
  <c r="S482" i="1"/>
  <c r="M482" i="1"/>
  <c r="AA481" i="1"/>
  <c r="Z481" i="1"/>
  <c r="Y481" i="1"/>
  <c r="X481" i="1"/>
  <c r="W481" i="1"/>
  <c r="V481" i="1"/>
  <c r="U481" i="1"/>
  <c r="T481" i="1"/>
  <c r="S481" i="1"/>
  <c r="R481" i="1"/>
  <c r="P481" i="1"/>
  <c r="O481" i="1"/>
  <c r="N481" i="1"/>
  <c r="M481" i="1"/>
  <c r="L481" i="1"/>
  <c r="J481" i="1"/>
  <c r="Y480" i="1"/>
  <c r="V480" i="1"/>
  <c r="S480" i="1"/>
  <c r="M480" i="1"/>
  <c r="Y479" i="1"/>
  <c r="V479" i="1"/>
  <c r="S479" i="1"/>
  <c r="M479" i="1"/>
  <c r="Y478" i="1"/>
  <c r="V478" i="1"/>
  <c r="S478" i="1"/>
  <c r="M478" i="1"/>
  <c r="Y477" i="1"/>
  <c r="V477" i="1"/>
  <c r="S477" i="1"/>
  <c r="M477" i="1"/>
  <c r="AA476" i="1"/>
  <c r="Z476" i="1"/>
  <c r="Y476" i="1"/>
  <c r="X476" i="1"/>
  <c r="W476" i="1"/>
  <c r="V476" i="1"/>
  <c r="U476" i="1"/>
  <c r="T476" i="1"/>
  <c r="S476" i="1"/>
  <c r="R476" i="1"/>
  <c r="P476" i="1"/>
  <c r="O476" i="1"/>
  <c r="N476" i="1"/>
  <c r="M476" i="1"/>
  <c r="L476" i="1"/>
  <c r="J476" i="1"/>
  <c r="Y475" i="1"/>
  <c r="V475" i="1"/>
  <c r="S475" i="1"/>
  <c r="M475" i="1"/>
  <c r="Y474" i="1"/>
  <c r="V474" i="1"/>
  <c r="S474" i="1"/>
  <c r="M474" i="1"/>
  <c r="Y473" i="1"/>
  <c r="V473" i="1"/>
  <c r="S473" i="1"/>
  <c r="M473" i="1"/>
  <c r="AA472" i="1"/>
  <c r="Z472" i="1"/>
  <c r="Y472" i="1"/>
  <c r="X472" i="1"/>
  <c r="W472" i="1"/>
  <c r="V472" i="1"/>
  <c r="U472" i="1"/>
  <c r="T472" i="1"/>
  <c r="S472" i="1"/>
  <c r="R472" i="1"/>
  <c r="P472" i="1"/>
  <c r="O472" i="1"/>
  <c r="N472" i="1"/>
  <c r="M472" i="1"/>
  <c r="L472" i="1"/>
  <c r="J472" i="1"/>
  <c r="Y471" i="1"/>
  <c r="V471" i="1"/>
  <c r="S471" i="1"/>
  <c r="M471" i="1"/>
  <c r="Y470" i="1"/>
  <c r="V470" i="1"/>
  <c r="S470" i="1"/>
  <c r="M470" i="1"/>
  <c r="Y469" i="1"/>
  <c r="V469" i="1"/>
  <c r="S469" i="1"/>
  <c r="M469" i="1"/>
  <c r="Y468" i="1"/>
  <c r="V468" i="1"/>
  <c r="S468" i="1"/>
  <c r="M468" i="1"/>
  <c r="AA467" i="1"/>
  <c r="Z467" i="1"/>
  <c r="Y467" i="1"/>
  <c r="X467" i="1"/>
  <c r="W467" i="1"/>
  <c r="V467" i="1"/>
  <c r="U467" i="1"/>
  <c r="T467" i="1"/>
  <c r="S467" i="1"/>
  <c r="R467" i="1"/>
  <c r="P467" i="1"/>
  <c r="O467" i="1"/>
  <c r="N467" i="1"/>
  <c r="M467" i="1"/>
  <c r="L467" i="1"/>
  <c r="J467" i="1"/>
  <c r="Y466" i="1"/>
  <c r="V466" i="1"/>
  <c r="S466" i="1"/>
  <c r="M466" i="1"/>
  <c r="Y465" i="1"/>
  <c r="V465" i="1"/>
  <c r="S465" i="1"/>
  <c r="M465" i="1"/>
  <c r="Y464" i="1"/>
  <c r="V464" i="1"/>
  <c r="S464" i="1"/>
  <c r="M464" i="1"/>
  <c r="Y463" i="1"/>
  <c r="V463" i="1"/>
  <c r="S463" i="1"/>
  <c r="M463" i="1"/>
  <c r="AA462" i="1"/>
  <c r="Z462" i="1"/>
  <c r="Y462" i="1"/>
  <c r="X462" i="1"/>
  <c r="W462" i="1"/>
  <c r="V462" i="1"/>
  <c r="U462" i="1"/>
  <c r="T462" i="1"/>
  <c r="S462" i="1"/>
  <c r="R462" i="1"/>
  <c r="P462" i="1"/>
  <c r="O462" i="1"/>
  <c r="N462" i="1"/>
  <c r="M462" i="1"/>
  <c r="L462" i="1"/>
  <c r="J462" i="1"/>
  <c r="Y461" i="1"/>
  <c r="V461" i="1"/>
  <c r="S461" i="1"/>
  <c r="M461" i="1"/>
  <c r="Y460" i="1"/>
  <c r="V460" i="1"/>
  <c r="S460" i="1"/>
  <c r="M460" i="1"/>
  <c r="Y459" i="1"/>
  <c r="V459" i="1"/>
  <c r="S459" i="1"/>
  <c r="M459" i="1"/>
  <c r="Y458" i="1"/>
  <c r="V458" i="1"/>
  <c r="S458" i="1"/>
  <c r="M458" i="1"/>
  <c r="AA457" i="1"/>
  <c r="Z457" i="1"/>
  <c r="Y457" i="1"/>
  <c r="X457" i="1"/>
  <c r="W457" i="1"/>
  <c r="V457" i="1"/>
  <c r="U457" i="1"/>
  <c r="T457" i="1"/>
  <c r="S457" i="1"/>
  <c r="R457" i="1"/>
  <c r="P457" i="1"/>
  <c r="O457" i="1"/>
  <c r="N457" i="1"/>
  <c r="M457" i="1"/>
  <c r="L457" i="1"/>
  <c r="J457" i="1"/>
  <c r="Y456" i="1"/>
  <c r="V456" i="1"/>
  <c r="S456" i="1"/>
  <c r="M456" i="1"/>
  <c r="Y455" i="1"/>
  <c r="V455" i="1"/>
  <c r="S455" i="1"/>
  <c r="M455" i="1"/>
  <c r="AA454" i="1"/>
  <c r="Z454" i="1"/>
  <c r="Y454" i="1"/>
  <c r="X454" i="1"/>
  <c r="W454" i="1"/>
  <c r="V454" i="1"/>
  <c r="U454" i="1"/>
  <c r="T454" i="1"/>
  <c r="S454" i="1"/>
  <c r="R454" i="1"/>
  <c r="P454" i="1"/>
  <c r="O454" i="1"/>
  <c r="N454" i="1"/>
  <c r="M454" i="1"/>
  <c r="L454" i="1"/>
  <c r="J454" i="1"/>
  <c r="Y453" i="1"/>
  <c r="V453" i="1"/>
  <c r="S453" i="1"/>
  <c r="M453" i="1"/>
  <c r="Y452" i="1"/>
  <c r="V452" i="1"/>
  <c r="S452" i="1"/>
  <c r="M452" i="1"/>
  <c r="AA451" i="1"/>
  <c r="Z451" i="1"/>
  <c r="Y451" i="1"/>
  <c r="X451" i="1"/>
  <c r="W451" i="1"/>
  <c r="V451" i="1"/>
  <c r="U451" i="1"/>
  <c r="T451" i="1"/>
  <c r="S451" i="1"/>
  <c r="R451" i="1"/>
  <c r="P451" i="1"/>
  <c r="O451" i="1"/>
  <c r="N451" i="1"/>
  <c r="M451" i="1"/>
  <c r="L451" i="1"/>
  <c r="J451" i="1"/>
  <c r="Y450" i="1"/>
  <c r="V450" i="1"/>
  <c r="S450" i="1"/>
  <c r="M450" i="1"/>
  <c r="Y449" i="1"/>
  <c r="V449" i="1"/>
  <c r="S449" i="1"/>
  <c r="M449" i="1"/>
  <c r="AA448" i="1"/>
  <c r="Z448" i="1"/>
  <c r="Y448" i="1"/>
  <c r="X448" i="1"/>
  <c r="W448" i="1"/>
  <c r="V448" i="1"/>
  <c r="U448" i="1"/>
  <c r="T448" i="1"/>
  <c r="S448" i="1"/>
  <c r="R448" i="1"/>
  <c r="P448" i="1"/>
  <c r="O448" i="1"/>
  <c r="N448" i="1"/>
  <c r="M448" i="1"/>
  <c r="L448" i="1"/>
  <c r="J448" i="1"/>
  <c r="Y447" i="1"/>
  <c r="V447" i="1"/>
  <c r="S447" i="1"/>
  <c r="M447" i="1"/>
  <c r="Y446" i="1"/>
  <c r="V446" i="1"/>
  <c r="S446" i="1"/>
  <c r="M446" i="1"/>
  <c r="AA445" i="1"/>
  <c r="Z445" i="1"/>
  <c r="Y445" i="1"/>
  <c r="X445" i="1"/>
  <c r="W445" i="1"/>
  <c r="V445" i="1"/>
  <c r="U445" i="1"/>
  <c r="T445" i="1"/>
  <c r="S445" i="1"/>
  <c r="R445" i="1"/>
  <c r="P445" i="1"/>
  <c r="O445" i="1"/>
  <c r="N445" i="1"/>
  <c r="M445" i="1"/>
  <c r="L445" i="1"/>
  <c r="J445" i="1"/>
  <c r="Y444" i="1"/>
  <c r="V444" i="1"/>
  <c r="S444" i="1"/>
  <c r="M444" i="1"/>
  <c r="Y443" i="1"/>
  <c r="V443" i="1"/>
  <c r="S443" i="1"/>
  <c r="M443" i="1"/>
  <c r="AA442" i="1"/>
  <c r="Z442" i="1"/>
  <c r="Y442" i="1"/>
  <c r="X442" i="1"/>
  <c r="W442" i="1"/>
  <c r="V442" i="1"/>
  <c r="U442" i="1"/>
  <c r="T442" i="1"/>
  <c r="S442" i="1"/>
  <c r="R442" i="1"/>
  <c r="P442" i="1"/>
  <c r="O442" i="1"/>
  <c r="N442" i="1"/>
  <c r="M442" i="1"/>
  <c r="L442" i="1"/>
  <c r="J442" i="1"/>
  <c r="Y441" i="1"/>
  <c r="V441" i="1"/>
  <c r="S441" i="1"/>
  <c r="M441" i="1"/>
  <c r="Y440" i="1"/>
  <c r="V440" i="1"/>
  <c r="S440" i="1"/>
  <c r="M440" i="1"/>
  <c r="AA439" i="1"/>
  <c r="Z439" i="1"/>
  <c r="Y439" i="1"/>
  <c r="X439" i="1"/>
  <c r="W439" i="1"/>
  <c r="V439" i="1"/>
  <c r="U439" i="1"/>
  <c r="T439" i="1"/>
  <c r="S439" i="1"/>
  <c r="R439" i="1"/>
  <c r="P439" i="1"/>
  <c r="O439" i="1"/>
  <c r="N439" i="1"/>
  <c r="M439" i="1"/>
  <c r="L439" i="1"/>
  <c r="J439" i="1"/>
  <c r="Y438" i="1"/>
  <c r="V438" i="1"/>
  <c r="S438" i="1"/>
  <c r="M438" i="1"/>
  <c r="Y437" i="1"/>
  <c r="V437" i="1"/>
  <c r="S437" i="1"/>
  <c r="M437" i="1"/>
  <c r="AA436" i="1"/>
  <c r="Z436" i="1"/>
  <c r="Y436" i="1"/>
  <c r="X436" i="1"/>
  <c r="W436" i="1"/>
  <c r="V436" i="1"/>
  <c r="U436" i="1"/>
  <c r="T436" i="1"/>
  <c r="S436" i="1"/>
  <c r="R436" i="1"/>
  <c r="P436" i="1"/>
  <c r="O436" i="1"/>
  <c r="N436" i="1"/>
  <c r="M436" i="1"/>
  <c r="L436" i="1"/>
  <c r="J436" i="1"/>
  <c r="Y435" i="1"/>
  <c r="V435" i="1"/>
  <c r="S435" i="1"/>
  <c r="M435" i="1"/>
  <c r="Y434" i="1"/>
  <c r="V434" i="1"/>
  <c r="S434" i="1"/>
  <c r="M434" i="1"/>
  <c r="AA433" i="1"/>
  <c r="Z433" i="1"/>
  <c r="Y433" i="1"/>
  <c r="X433" i="1"/>
  <c r="W433" i="1"/>
  <c r="V433" i="1"/>
  <c r="U433" i="1"/>
  <c r="T433" i="1"/>
  <c r="S433" i="1"/>
  <c r="R433" i="1"/>
  <c r="P433" i="1"/>
  <c r="O433" i="1"/>
  <c r="N433" i="1"/>
  <c r="M433" i="1"/>
  <c r="L433" i="1"/>
  <c r="J433" i="1"/>
  <c r="Y432" i="1"/>
  <c r="V432" i="1"/>
  <c r="S432" i="1"/>
  <c r="M432" i="1"/>
  <c r="Y431" i="1"/>
  <c r="V431" i="1"/>
  <c r="S431" i="1"/>
  <c r="M431" i="1"/>
  <c r="AA430" i="1"/>
  <c r="Z430" i="1"/>
  <c r="Y430" i="1"/>
  <c r="X430" i="1"/>
  <c r="W430" i="1"/>
  <c r="V430" i="1"/>
  <c r="U430" i="1"/>
  <c r="T430" i="1"/>
  <c r="S430" i="1"/>
  <c r="R430" i="1"/>
  <c r="P430" i="1"/>
  <c r="O430" i="1"/>
  <c r="N430" i="1"/>
  <c r="M430" i="1"/>
  <c r="L430" i="1"/>
  <c r="J430" i="1"/>
  <c r="Y429" i="1"/>
  <c r="V429" i="1"/>
  <c r="S429" i="1"/>
  <c r="M429" i="1"/>
  <c r="Y428" i="1"/>
  <c r="V428" i="1"/>
  <c r="S428" i="1"/>
  <c r="M428" i="1"/>
  <c r="AA427" i="1"/>
  <c r="Z427" i="1"/>
  <c r="Y427" i="1"/>
  <c r="X427" i="1"/>
  <c r="W427" i="1"/>
  <c r="V427" i="1"/>
  <c r="U427" i="1"/>
  <c r="T427" i="1"/>
  <c r="S427" i="1"/>
  <c r="R427" i="1"/>
  <c r="P427" i="1"/>
  <c r="O427" i="1"/>
  <c r="N427" i="1"/>
  <c r="M427" i="1"/>
  <c r="L427" i="1"/>
  <c r="J427" i="1"/>
  <c r="Y426" i="1"/>
  <c r="V426" i="1"/>
  <c r="S426" i="1"/>
  <c r="M426" i="1"/>
  <c r="Y425" i="1"/>
  <c r="V425" i="1"/>
  <c r="S425" i="1"/>
  <c r="M425" i="1"/>
  <c r="AA424" i="1"/>
  <c r="Z424" i="1"/>
  <c r="Y424" i="1"/>
  <c r="X424" i="1"/>
  <c r="W424" i="1"/>
  <c r="V424" i="1"/>
  <c r="U424" i="1"/>
  <c r="T424" i="1"/>
  <c r="S424" i="1"/>
  <c r="R424" i="1"/>
  <c r="P424" i="1"/>
  <c r="O424" i="1"/>
  <c r="N424" i="1"/>
  <c r="M424" i="1"/>
  <c r="L424" i="1"/>
  <c r="J424" i="1"/>
  <c r="Y423" i="1"/>
  <c r="V423" i="1"/>
  <c r="S423" i="1"/>
  <c r="M423" i="1"/>
  <c r="Y422" i="1"/>
  <c r="V422" i="1"/>
  <c r="S422" i="1"/>
  <c r="M422" i="1"/>
  <c r="AA421" i="1"/>
  <c r="Z421" i="1"/>
  <c r="Y421" i="1"/>
  <c r="X421" i="1"/>
  <c r="W421" i="1"/>
  <c r="V421" i="1"/>
  <c r="U421" i="1"/>
  <c r="T421" i="1"/>
  <c r="S421" i="1"/>
  <c r="R421" i="1"/>
  <c r="P421" i="1"/>
  <c r="O421" i="1"/>
  <c r="N421" i="1"/>
  <c r="M421" i="1"/>
  <c r="L421" i="1"/>
  <c r="J421" i="1"/>
  <c r="Y420" i="1"/>
  <c r="V420" i="1"/>
  <c r="S420" i="1"/>
  <c r="M420" i="1"/>
  <c r="Y419" i="1"/>
  <c r="V419" i="1"/>
  <c r="S419" i="1"/>
  <c r="M419" i="1"/>
  <c r="AA418" i="1"/>
  <c r="Z418" i="1"/>
  <c r="Y418" i="1"/>
  <c r="X418" i="1"/>
  <c r="W418" i="1"/>
  <c r="V418" i="1"/>
  <c r="U418" i="1"/>
  <c r="T418" i="1"/>
  <c r="S418" i="1"/>
  <c r="R418" i="1"/>
  <c r="P418" i="1"/>
  <c r="O418" i="1"/>
  <c r="N418" i="1"/>
  <c r="M418" i="1"/>
  <c r="L418" i="1"/>
  <c r="J418" i="1"/>
  <c r="Y417" i="1"/>
  <c r="V417" i="1"/>
  <c r="S417" i="1"/>
  <c r="M417" i="1"/>
  <c r="Y416" i="1"/>
  <c r="V416" i="1"/>
  <c r="S416" i="1"/>
  <c r="M416" i="1"/>
  <c r="AA415" i="1"/>
  <c r="Z415" i="1"/>
  <c r="Y415" i="1"/>
  <c r="X415" i="1"/>
  <c r="W415" i="1"/>
  <c r="V415" i="1"/>
  <c r="U415" i="1"/>
  <c r="T415" i="1"/>
  <c r="S415" i="1"/>
  <c r="R415" i="1"/>
  <c r="P415" i="1"/>
  <c r="O415" i="1"/>
  <c r="N415" i="1"/>
  <c r="M415" i="1"/>
  <c r="L415" i="1"/>
  <c r="J415" i="1"/>
  <c r="Y414" i="1"/>
  <c r="V414" i="1"/>
  <c r="S414" i="1"/>
  <c r="M414" i="1"/>
  <c r="Y413" i="1"/>
  <c r="V413" i="1"/>
  <c r="S413" i="1"/>
  <c r="M413" i="1"/>
  <c r="AA412" i="1"/>
  <c r="Z412" i="1"/>
  <c r="Y412" i="1"/>
  <c r="X412" i="1"/>
  <c r="W412" i="1"/>
  <c r="V412" i="1"/>
  <c r="U412" i="1"/>
  <c r="T412" i="1"/>
  <c r="S412" i="1"/>
  <c r="R412" i="1"/>
  <c r="P412" i="1"/>
  <c r="O412" i="1"/>
  <c r="N412" i="1"/>
  <c r="M412" i="1"/>
  <c r="L412" i="1"/>
  <c r="J412" i="1"/>
  <c r="Y411" i="1"/>
  <c r="V411" i="1"/>
  <c r="S411" i="1"/>
  <c r="M411" i="1"/>
  <c r="Y410" i="1"/>
  <c r="V410" i="1"/>
  <c r="S410" i="1"/>
  <c r="M410" i="1"/>
  <c r="AA409" i="1"/>
  <c r="Z409" i="1"/>
  <c r="Y409" i="1"/>
  <c r="X409" i="1"/>
  <c r="W409" i="1"/>
  <c r="V409" i="1"/>
  <c r="U409" i="1"/>
  <c r="T409" i="1"/>
  <c r="S409" i="1"/>
  <c r="R409" i="1"/>
  <c r="P409" i="1"/>
  <c r="O409" i="1"/>
  <c r="N409" i="1"/>
  <c r="M409" i="1"/>
  <c r="L409" i="1"/>
  <c r="J409" i="1"/>
  <c r="Y408" i="1"/>
  <c r="V408" i="1"/>
  <c r="S408" i="1"/>
  <c r="M408" i="1"/>
  <c r="Y407" i="1"/>
  <c r="V407" i="1"/>
  <c r="S407" i="1"/>
  <c r="M407" i="1"/>
  <c r="AA406" i="1"/>
  <c r="Z406" i="1"/>
  <c r="Y406" i="1"/>
  <c r="X406" i="1"/>
  <c r="W406" i="1"/>
  <c r="V406" i="1"/>
  <c r="U406" i="1"/>
  <c r="T406" i="1"/>
  <c r="S406" i="1"/>
  <c r="R406" i="1"/>
  <c r="P406" i="1"/>
  <c r="O406" i="1"/>
  <c r="N406" i="1"/>
  <c r="M406" i="1"/>
  <c r="L406" i="1"/>
  <c r="J406" i="1"/>
  <c r="Y405" i="1"/>
  <c r="V405" i="1"/>
  <c r="S405" i="1"/>
  <c r="M405" i="1"/>
  <c r="Y404" i="1"/>
  <c r="V404" i="1"/>
  <c r="S404" i="1"/>
  <c r="M404" i="1"/>
  <c r="AA403" i="1"/>
  <c r="Z403" i="1"/>
  <c r="Y403" i="1"/>
  <c r="X403" i="1"/>
  <c r="W403" i="1"/>
  <c r="V403" i="1"/>
  <c r="U403" i="1"/>
  <c r="T403" i="1"/>
  <c r="S403" i="1"/>
  <c r="R403" i="1"/>
  <c r="P403" i="1"/>
  <c r="O403" i="1"/>
  <c r="N403" i="1"/>
  <c r="M403" i="1"/>
  <c r="L403" i="1"/>
  <c r="J403" i="1"/>
  <c r="Y402" i="1"/>
  <c r="V402" i="1"/>
  <c r="S402" i="1"/>
  <c r="M402" i="1"/>
  <c r="Y401" i="1"/>
  <c r="V401" i="1"/>
  <c r="S401" i="1"/>
  <c r="M401" i="1"/>
  <c r="AA400" i="1"/>
  <c r="Z400" i="1"/>
  <c r="Y400" i="1"/>
  <c r="X400" i="1"/>
  <c r="W400" i="1"/>
  <c r="V400" i="1"/>
  <c r="U400" i="1"/>
  <c r="T400" i="1"/>
  <c r="S400" i="1"/>
  <c r="R400" i="1"/>
  <c r="P400" i="1"/>
  <c r="O400" i="1"/>
  <c r="N400" i="1"/>
  <c r="M400" i="1"/>
  <c r="L400" i="1"/>
  <c r="J400" i="1"/>
  <c r="Y399" i="1"/>
  <c r="V399" i="1"/>
  <c r="S399" i="1"/>
  <c r="M399" i="1"/>
  <c r="Y398" i="1"/>
  <c r="V398" i="1"/>
  <c r="S398" i="1"/>
  <c r="M398" i="1"/>
  <c r="AA397" i="1"/>
  <c r="Z397" i="1"/>
  <c r="Y397" i="1"/>
  <c r="X397" i="1"/>
  <c r="W397" i="1"/>
  <c r="V397" i="1"/>
  <c r="U397" i="1"/>
  <c r="T397" i="1"/>
  <c r="S397" i="1"/>
  <c r="R397" i="1"/>
  <c r="P397" i="1"/>
  <c r="O397" i="1"/>
  <c r="N397" i="1"/>
  <c r="M397" i="1"/>
  <c r="L397" i="1"/>
  <c r="J397" i="1"/>
  <c r="Y396" i="1"/>
  <c r="V396" i="1"/>
  <c r="S396" i="1"/>
  <c r="M396" i="1"/>
  <c r="Y395" i="1"/>
  <c r="V395" i="1"/>
  <c r="S395" i="1"/>
  <c r="M395" i="1"/>
  <c r="AA394" i="1"/>
  <c r="Z394" i="1"/>
  <c r="Y394" i="1"/>
  <c r="X394" i="1"/>
  <c r="W394" i="1"/>
  <c r="V394" i="1"/>
  <c r="U394" i="1"/>
  <c r="T394" i="1"/>
  <c r="S394" i="1"/>
  <c r="R394" i="1"/>
  <c r="P394" i="1"/>
  <c r="O394" i="1"/>
  <c r="N394" i="1"/>
  <c r="M394" i="1"/>
  <c r="L394" i="1"/>
  <c r="J394" i="1"/>
  <c r="Y393" i="1"/>
  <c r="V393" i="1"/>
  <c r="S393" i="1"/>
  <c r="M393" i="1"/>
  <c r="Y392" i="1"/>
  <c r="V392" i="1"/>
  <c r="S392" i="1"/>
  <c r="M392" i="1"/>
  <c r="AA391" i="1"/>
  <c r="Z391" i="1"/>
  <c r="Y391" i="1"/>
  <c r="X391" i="1"/>
  <c r="W391" i="1"/>
  <c r="V391" i="1"/>
  <c r="U391" i="1"/>
  <c r="T391" i="1"/>
  <c r="S391" i="1"/>
  <c r="R391" i="1"/>
  <c r="P391" i="1"/>
  <c r="O391" i="1"/>
  <c r="N391" i="1"/>
  <c r="M391" i="1"/>
  <c r="L391" i="1"/>
  <c r="J391" i="1"/>
  <c r="Y390" i="1"/>
  <c r="V390" i="1"/>
  <c r="S390" i="1"/>
  <c r="M390" i="1"/>
  <c r="Y389" i="1"/>
  <c r="V389" i="1"/>
  <c r="S389" i="1"/>
  <c r="M389" i="1"/>
  <c r="Y388" i="1"/>
  <c r="V388" i="1"/>
  <c r="S388" i="1"/>
  <c r="M388" i="1"/>
  <c r="Y387" i="1"/>
  <c r="V387" i="1"/>
  <c r="S387" i="1"/>
  <c r="M387" i="1"/>
  <c r="Z386" i="1"/>
  <c r="X386" i="1"/>
  <c r="W386" i="1"/>
  <c r="AA385" i="1"/>
  <c r="Z385" i="1"/>
  <c r="Y385" i="1"/>
  <c r="X385" i="1"/>
  <c r="W385" i="1"/>
  <c r="V385" i="1"/>
  <c r="U385" i="1"/>
  <c r="T385" i="1"/>
  <c r="S385" i="1"/>
  <c r="R385" i="1"/>
  <c r="P385" i="1"/>
  <c r="O385" i="1"/>
  <c r="N385" i="1"/>
  <c r="M385" i="1"/>
  <c r="L385" i="1"/>
  <c r="J385" i="1"/>
  <c r="Y384" i="1"/>
  <c r="V384" i="1"/>
  <c r="S384" i="1"/>
  <c r="M384" i="1"/>
  <c r="Y383" i="1"/>
  <c r="V383" i="1"/>
  <c r="S383" i="1"/>
  <c r="M383" i="1"/>
  <c r="Y382" i="1"/>
  <c r="V382" i="1"/>
  <c r="S382" i="1"/>
  <c r="M382" i="1"/>
  <c r="Y381" i="1"/>
  <c r="V381" i="1"/>
  <c r="S381" i="1"/>
  <c r="M381" i="1"/>
  <c r="Z380" i="1"/>
  <c r="X380" i="1"/>
  <c r="W380" i="1"/>
  <c r="AA379" i="1"/>
  <c r="Z379" i="1"/>
  <c r="Y379" i="1"/>
  <c r="X379" i="1"/>
  <c r="W379" i="1"/>
  <c r="V379" i="1"/>
  <c r="U379" i="1"/>
  <c r="T379" i="1"/>
  <c r="S379" i="1"/>
  <c r="R379" i="1"/>
  <c r="P379" i="1"/>
  <c r="O379" i="1"/>
  <c r="N379" i="1"/>
  <c r="M379" i="1"/>
  <c r="L379" i="1"/>
  <c r="J379" i="1"/>
  <c r="Y378" i="1"/>
  <c r="V378" i="1"/>
  <c r="S378" i="1"/>
  <c r="M378" i="1"/>
  <c r="Y377" i="1"/>
  <c r="V377" i="1"/>
  <c r="S377" i="1"/>
  <c r="M377" i="1"/>
  <c r="Y376" i="1"/>
  <c r="V376" i="1"/>
  <c r="S376" i="1"/>
  <c r="M376" i="1"/>
  <c r="Y375" i="1"/>
  <c r="V375" i="1"/>
  <c r="S375" i="1"/>
  <c r="M375" i="1"/>
  <c r="Z374" i="1"/>
  <c r="X374" i="1"/>
  <c r="W374" i="1"/>
  <c r="AA373" i="1"/>
  <c r="Z373" i="1"/>
  <c r="Y373" i="1"/>
  <c r="X373" i="1"/>
  <c r="W373" i="1"/>
  <c r="V373" i="1"/>
  <c r="U373" i="1"/>
  <c r="T373" i="1"/>
  <c r="S373" i="1"/>
  <c r="R373" i="1"/>
  <c r="P373" i="1"/>
  <c r="O373" i="1"/>
  <c r="N373" i="1"/>
  <c r="M373" i="1"/>
  <c r="L373" i="1"/>
  <c r="J373" i="1"/>
  <c r="Y372" i="1"/>
  <c r="V372" i="1"/>
  <c r="S372" i="1"/>
  <c r="M372" i="1"/>
  <c r="Y371" i="1"/>
  <c r="V371" i="1"/>
  <c r="S371" i="1"/>
  <c r="M371" i="1"/>
  <c r="Y370" i="1"/>
  <c r="V370" i="1"/>
  <c r="S370" i="1"/>
  <c r="M370" i="1"/>
  <c r="Y369" i="1"/>
  <c r="V369" i="1"/>
  <c r="S369" i="1"/>
  <c r="M369" i="1"/>
  <c r="Z368" i="1"/>
  <c r="X368" i="1"/>
  <c r="W368" i="1"/>
  <c r="AA367" i="1"/>
  <c r="Z367" i="1"/>
  <c r="Y367" i="1"/>
  <c r="X367" i="1"/>
  <c r="W367" i="1"/>
  <c r="V367" i="1"/>
  <c r="U367" i="1"/>
  <c r="T367" i="1"/>
  <c r="S367" i="1"/>
  <c r="R367" i="1"/>
  <c r="P367" i="1"/>
  <c r="O367" i="1"/>
  <c r="N367" i="1"/>
  <c r="M367" i="1"/>
  <c r="L367" i="1"/>
  <c r="J367" i="1"/>
  <c r="Y366" i="1"/>
  <c r="V366" i="1"/>
  <c r="S366" i="1"/>
  <c r="M366" i="1"/>
  <c r="Y365" i="1"/>
  <c r="V365" i="1"/>
  <c r="S365" i="1"/>
  <c r="M365" i="1"/>
  <c r="Y364" i="1"/>
  <c r="V364" i="1"/>
  <c r="S364" i="1"/>
  <c r="M364" i="1"/>
  <c r="Y363" i="1"/>
  <c r="V363" i="1"/>
  <c r="S363" i="1"/>
  <c r="M363" i="1"/>
  <c r="Z362" i="1"/>
  <c r="X362" i="1"/>
  <c r="W362" i="1"/>
  <c r="AA361" i="1"/>
  <c r="Z361" i="1"/>
  <c r="Y361" i="1"/>
  <c r="X361" i="1"/>
  <c r="W361" i="1"/>
  <c r="V361" i="1"/>
  <c r="U361" i="1"/>
  <c r="T361" i="1"/>
  <c r="S361" i="1"/>
  <c r="R361" i="1"/>
  <c r="P361" i="1"/>
  <c r="O361" i="1"/>
  <c r="N361" i="1"/>
  <c r="M361" i="1"/>
  <c r="L361" i="1"/>
  <c r="J361" i="1"/>
  <c r="Y360" i="1"/>
  <c r="V360" i="1"/>
  <c r="S360" i="1"/>
  <c r="M360" i="1"/>
  <c r="Y359" i="1"/>
  <c r="V359" i="1"/>
  <c r="S359" i="1"/>
  <c r="M359" i="1"/>
  <c r="Y358" i="1"/>
  <c r="V358" i="1"/>
  <c r="S358" i="1"/>
  <c r="M358" i="1"/>
  <c r="Y357" i="1"/>
  <c r="V357" i="1"/>
  <c r="S357" i="1"/>
  <c r="M357" i="1"/>
  <c r="Z356" i="1"/>
  <c r="X356" i="1"/>
  <c r="W356" i="1"/>
  <c r="AA355" i="1"/>
  <c r="Z355" i="1"/>
  <c r="Y355" i="1"/>
  <c r="X355" i="1"/>
  <c r="W355" i="1"/>
  <c r="V355" i="1"/>
  <c r="U355" i="1"/>
  <c r="T355" i="1"/>
  <c r="S355" i="1"/>
  <c r="R355" i="1"/>
  <c r="P355" i="1"/>
  <c r="O355" i="1"/>
  <c r="N355" i="1"/>
  <c r="M355" i="1"/>
  <c r="L355" i="1"/>
  <c r="J355" i="1"/>
  <c r="Y354" i="1"/>
  <c r="V354" i="1"/>
  <c r="S354" i="1"/>
  <c r="M354" i="1"/>
  <c r="Y353" i="1"/>
  <c r="V353" i="1"/>
  <c r="S353" i="1"/>
  <c r="M353" i="1"/>
  <c r="Y352" i="1"/>
  <c r="V352" i="1"/>
  <c r="S352" i="1"/>
  <c r="M352" i="1"/>
  <c r="Y351" i="1"/>
  <c r="V351" i="1"/>
  <c r="S351" i="1"/>
  <c r="M351" i="1"/>
  <c r="Z350" i="1"/>
  <c r="X350" i="1"/>
  <c r="W350" i="1"/>
  <c r="AA349" i="1"/>
  <c r="Z349" i="1"/>
  <c r="Y349" i="1"/>
  <c r="X349" i="1"/>
  <c r="W349" i="1"/>
  <c r="V349" i="1"/>
  <c r="U349" i="1"/>
  <c r="T349" i="1"/>
  <c r="S349" i="1"/>
  <c r="R349" i="1"/>
  <c r="P349" i="1"/>
  <c r="O349" i="1"/>
  <c r="N349" i="1"/>
  <c r="M349" i="1"/>
  <c r="L349" i="1"/>
  <c r="J349" i="1"/>
  <c r="Y348" i="1"/>
  <c r="V348" i="1"/>
  <c r="S348" i="1"/>
  <c r="M348" i="1"/>
  <c r="Y347" i="1"/>
  <c r="V347" i="1"/>
  <c r="S347" i="1"/>
  <c r="M347" i="1"/>
  <c r="Y346" i="1"/>
  <c r="V346" i="1"/>
  <c r="S346" i="1"/>
  <c r="M346" i="1"/>
  <c r="Y345" i="1"/>
  <c r="V345" i="1"/>
  <c r="S345" i="1"/>
  <c r="M345" i="1"/>
  <c r="Y344" i="1"/>
  <c r="V344" i="1"/>
  <c r="S344" i="1"/>
  <c r="M344" i="1"/>
  <c r="Y343" i="1"/>
  <c r="V343" i="1"/>
  <c r="S343" i="1"/>
  <c r="M343" i="1"/>
  <c r="Y342" i="1"/>
  <c r="V342" i="1"/>
  <c r="S342" i="1"/>
  <c r="M342" i="1"/>
  <c r="Y341" i="1"/>
  <c r="V341" i="1"/>
  <c r="S341" i="1"/>
  <c r="M341" i="1"/>
  <c r="Y340" i="1"/>
  <c r="V340" i="1"/>
  <c r="S340" i="1"/>
  <c r="M340" i="1"/>
  <c r="Y339" i="1"/>
  <c r="V339" i="1"/>
  <c r="S339" i="1"/>
  <c r="M339" i="1"/>
  <c r="Z338" i="1"/>
  <c r="X338" i="1"/>
  <c r="W338" i="1"/>
  <c r="AA337" i="1"/>
  <c r="Z337" i="1"/>
  <c r="Y337" i="1"/>
  <c r="X337" i="1"/>
  <c r="W337" i="1"/>
  <c r="V337" i="1"/>
  <c r="U337" i="1"/>
  <c r="T337" i="1"/>
  <c r="S337" i="1"/>
  <c r="R337" i="1"/>
  <c r="P337" i="1"/>
  <c r="O337" i="1"/>
  <c r="N337" i="1"/>
  <c r="M337" i="1"/>
  <c r="L337" i="1"/>
  <c r="J337" i="1"/>
  <c r="Y336" i="1"/>
  <c r="V336" i="1"/>
  <c r="S336" i="1"/>
  <c r="M336" i="1"/>
  <c r="Y335" i="1"/>
  <c r="V335" i="1"/>
  <c r="S335" i="1"/>
  <c r="M335" i="1"/>
  <c r="Y334" i="1"/>
  <c r="V334" i="1"/>
  <c r="S334" i="1"/>
  <c r="M334" i="1"/>
  <c r="Y333" i="1"/>
  <c r="V333" i="1"/>
  <c r="S333" i="1"/>
  <c r="M333" i="1"/>
  <c r="Y332" i="1"/>
  <c r="V332" i="1"/>
  <c r="S332" i="1"/>
  <c r="M332" i="1"/>
  <c r="Y331" i="1"/>
  <c r="V331" i="1"/>
  <c r="S331" i="1"/>
  <c r="M331" i="1"/>
  <c r="Y330" i="1"/>
  <c r="V330" i="1"/>
  <c r="S330" i="1"/>
  <c r="M330" i="1"/>
  <c r="Y329" i="1"/>
  <c r="V329" i="1"/>
  <c r="S329" i="1"/>
  <c r="M329" i="1"/>
  <c r="Y328" i="1"/>
  <c r="V328" i="1"/>
  <c r="S328" i="1"/>
  <c r="M328" i="1"/>
  <c r="Y327" i="1"/>
  <c r="V327" i="1"/>
  <c r="S327" i="1"/>
  <c r="M327" i="1"/>
  <c r="Z326" i="1"/>
  <c r="X326" i="1"/>
  <c r="W326" i="1"/>
  <c r="AA325" i="1"/>
  <c r="Z325" i="1"/>
  <c r="Y325" i="1"/>
  <c r="X325" i="1"/>
  <c r="W325" i="1"/>
  <c r="V325" i="1"/>
  <c r="U325" i="1"/>
  <c r="T325" i="1"/>
  <c r="S325" i="1"/>
  <c r="R325" i="1"/>
  <c r="P325" i="1"/>
  <c r="O325" i="1"/>
  <c r="N325" i="1"/>
  <c r="M325" i="1"/>
  <c r="L325" i="1"/>
  <c r="J325" i="1"/>
  <c r="AA324" i="1"/>
  <c r="Z324" i="1"/>
  <c r="Y324" i="1"/>
  <c r="U324" i="1"/>
  <c r="T324" i="1"/>
  <c r="S324" i="1"/>
  <c r="O324" i="1"/>
  <c r="N324" i="1"/>
  <c r="M324" i="1"/>
  <c r="Y323" i="1"/>
  <c r="V323" i="1"/>
  <c r="S323" i="1"/>
  <c r="M323" i="1"/>
  <c r="Y322" i="1"/>
  <c r="V322" i="1"/>
  <c r="S322" i="1"/>
  <c r="M322" i="1"/>
  <c r="Y321" i="1"/>
  <c r="V321" i="1"/>
  <c r="S321" i="1"/>
  <c r="M321" i="1"/>
  <c r="AA320" i="1"/>
  <c r="Z320" i="1"/>
  <c r="Y320" i="1"/>
  <c r="X320" i="1"/>
  <c r="W320" i="1"/>
  <c r="V320" i="1"/>
  <c r="U320" i="1"/>
  <c r="T320" i="1"/>
  <c r="S320" i="1"/>
  <c r="R320" i="1"/>
  <c r="P320" i="1"/>
  <c r="O320" i="1"/>
  <c r="N320" i="1"/>
  <c r="M320" i="1"/>
  <c r="L320" i="1"/>
  <c r="J320" i="1"/>
  <c r="Y319" i="1"/>
  <c r="V319" i="1"/>
  <c r="S319" i="1"/>
  <c r="M319" i="1"/>
  <c r="Y318" i="1"/>
  <c r="V318" i="1"/>
  <c r="S318" i="1"/>
  <c r="M318" i="1"/>
  <c r="Y317" i="1"/>
  <c r="V317" i="1"/>
  <c r="S317" i="1"/>
  <c r="M317" i="1"/>
  <c r="AA316" i="1"/>
  <c r="Z316" i="1"/>
  <c r="Y316" i="1"/>
  <c r="X316" i="1"/>
  <c r="W316" i="1"/>
  <c r="V316" i="1"/>
  <c r="U316" i="1"/>
  <c r="T316" i="1"/>
  <c r="S316" i="1"/>
  <c r="R316" i="1"/>
  <c r="P316" i="1"/>
  <c r="O316" i="1"/>
  <c r="N316" i="1"/>
  <c r="M316" i="1"/>
  <c r="L316" i="1"/>
  <c r="J316" i="1"/>
  <c r="Y315" i="1"/>
  <c r="V315" i="1"/>
  <c r="S315" i="1"/>
  <c r="M315" i="1"/>
  <c r="Y314" i="1"/>
  <c r="V314" i="1"/>
  <c r="S314" i="1"/>
  <c r="M314" i="1"/>
  <c r="Y313" i="1"/>
  <c r="V313" i="1"/>
  <c r="S313" i="1"/>
  <c r="M313" i="1"/>
  <c r="AA312" i="1"/>
  <c r="Z312" i="1"/>
  <c r="Y312" i="1"/>
  <c r="X312" i="1"/>
  <c r="W312" i="1"/>
  <c r="V312" i="1"/>
  <c r="U312" i="1"/>
  <c r="T312" i="1"/>
  <c r="S312" i="1"/>
  <c r="R312" i="1"/>
  <c r="P312" i="1"/>
  <c r="O312" i="1"/>
  <c r="N312" i="1"/>
  <c r="M312" i="1"/>
  <c r="L312" i="1"/>
  <c r="J312" i="1"/>
  <c r="Y311" i="1"/>
  <c r="V311" i="1"/>
  <c r="S311" i="1"/>
  <c r="M311" i="1"/>
  <c r="Y310" i="1"/>
  <c r="V310" i="1"/>
  <c r="S310" i="1"/>
  <c r="M310" i="1"/>
  <c r="Y309" i="1"/>
  <c r="V309" i="1"/>
  <c r="S309" i="1"/>
  <c r="M309" i="1"/>
  <c r="AA308" i="1"/>
  <c r="Z308" i="1"/>
  <c r="Y308" i="1"/>
  <c r="X308" i="1"/>
  <c r="W308" i="1"/>
  <c r="V308" i="1"/>
  <c r="U308" i="1"/>
  <c r="T308" i="1"/>
  <c r="S308" i="1"/>
  <c r="R308" i="1"/>
  <c r="P308" i="1"/>
  <c r="O308" i="1"/>
  <c r="N308" i="1"/>
  <c r="M308" i="1"/>
  <c r="L308" i="1"/>
  <c r="J308" i="1"/>
  <c r="Y307" i="1"/>
  <c r="V307" i="1"/>
  <c r="S307" i="1"/>
  <c r="M307" i="1"/>
  <c r="Y306" i="1"/>
  <c r="V306" i="1"/>
  <c r="S306" i="1"/>
  <c r="M306" i="1"/>
  <c r="Y305" i="1"/>
  <c r="V305" i="1"/>
  <c r="S305" i="1"/>
  <c r="M305" i="1"/>
  <c r="Y304" i="1"/>
  <c r="V304" i="1"/>
  <c r="S304" i="1"/>
  <c r="M304" i="1"/>
  <c r="AA303" i="1"/>
  <c r="Z303" i="1"/>
  <c r="Y303" i="1"/>
  <c r="X303" i="1"/>
  <c r="W303" i="1"/>
  <c r="V303" i="1"/>
  <c r="U303" i="1"/>
  <c r="T303" i="1"/>
  <c r="S303" i="1"/>
  <c r="R303" i="1"/>
  <c r="P303" i="1"/>
  <c r="O303" i="1"/>
  <c r="N303" i="1"/>
  <c r="M303" i="1"/>
  <c r="L303" i="1"/>
  <c r="J303" i="1"/>
  <c r="Y302" i="1"/>
  <c r="V302" i="1"/>
  <c r="S302" i="1"/>
  <c r="M302" i="1"/>
  <c r="Y301" i="1"/>
  <c r="V301" i="1"/>
  <c r="S301" i="1"/>
  <c r="M301" i="1"/>
  <c r="Y300" i="1"/>
  <c r="V300" i="1"/>
  <c r="S300" i="1"/>
  <c r="M300" i="1"/>
  <c r="Y299" i="1"/>
  <c r="V299" i="1"/>
  <c r="S299" i="1"/>
  <c r="M299" i="1"/>
  <c r="AA298" i="1"/>
  <c r="Z298" i="1"/>
  <c r="Y298" i="1"/>
  <c r="X298" i="1"/>
  <c r="W298" i="1"/>
  <c r="V298" i="1"/>
  <c r="U298" i="1"/>
  <c r="T298" i="1"/>
  <c r="S298" i="1"/>
  <c r="R298" i="1"/>
  <c r="P298" i="1"/>
  <c r="O298" i="1"/>
  <c r="N298" i="1"/>
  <c r="M298" i="1"/>
  <c r="L298" i="1"/>
  <c r="J298" i="1"/>
  <c r="Y297" i="1"/>
  <c r="V297" i="1"/>
  <c r="S297" i="1"/>
  <c r="M297" i="1"/>
  <c r="Y296" i="1"/>
  <c r="V296" i="1"/>
  <c r="S296" i="1"/>
  <c r="M296" i="1"/>
  <c r="Y295" i="1"/>
  <c r="V295" i="1"/>
  <c r="S295" i="1"/>
  <c r="M295" i="1"/>
  <c r="Y294" i="1"/>
  <c r="V294" i="1"/>
  <c r="S294" i="1"/>
  <c r="M294" i="1"/>
  <c r="AA293" i="1"/>
  <c r="Z293" i="1"/>
  <c r="Y293" i="1"/>
  <c r="X293" i="1"/>
  <c r="W293" i="1"/>
  <c r="V293" i="1"/>
  <c r="U293" i="1"/>
  <c r="T293" i="1"/>
  <c r="S293" i="1"/>
  <c r="R293" i="1"/>
  <c r="P293" i="1"/>
  <c r="O293" i="1"/>
  <c r="N293" i="1"/>
  <c r="M293" i="1"/>
  <c r="L293" i="1"/>
  <c r="J293" i="1"/>
  <c r="Y292" i="1"/>
  <c r="V292" i="1"/>
  <c r="S292" i="1"/>
  <c r="M292" i="1"/>
  <c r="Y291" i="1"/>
  <c r="V291" i="1"/>
  <c r="S291" i="1"/>
  <c r="M291" i="1"/>
  <c r="Y290" i="1"/>
  <c r="V290" i="1"/>
  <c r="S290" i="1"/>
  <c r="M290" i="1"/>
  <c r="Y289" i="1"/>
  <c r="V289" i="1"/>
  <c r="S289" i="1"/>
  <c r="M289" i="1"/>
  <c r="AA288" i="1"/>
  <c r="Z288" i="1"/>
  <c r="Y288" i="1"/>
  <c r="X288" i="1"/>
  <c r="W288" i="1"/>
  <c r="V288" i="1"/>
  <c r="U288" i="1"/>
  <c r="T288" i="1"/>
  <c r="S288" i="1"/>
  <c r="R288" i="1"/>
  <c r="P288" i="1"/>
  <c r="O288" i="1"/>
  <c r="N288" i="1"/>
  <c r="M288" i="1"/>
  <c r="L288" i="1"/>
  <c r="J288" i="1"/>
  <c r="Y287" i="1"/>
  <c r="V287" i="1"/>
  <c r="S287" i="1"/>
  <c r="M287" i="1"/>
  <c r="Y286" i="1"/>
  <c r="V286" i="1"/>
  <c r="S286" i="1"/>
  <c r="M286" i="1"/>
  <c r="Y285" i="1"/>
  <c r="V285" i="1"/>
  <c r="S285" i="1"/>
  <c r="M285" i="1"/>
  <c r="Y284" i="1"/>
  <c r="V284" i="1"/>
  <c r="S284" i="1"/>
  <c r="M284" i="1"/>
  <c r="Y283" i="1"/>
  <c r="V283" i="1"/>
  <c r="S283" i="1"/>
  <c r="M283" i="1"/>
  <c r="Y282" i="1"/>
  <c r="V282" i="1"/>
  <c r="S282" i="1"/>
  <c r="M282" i="1"/>
  <c r="Y281" i="1"/>
  <c r="V281" i="1"/>
  <c r="S281" i="1"/>
  <c r="M281" i="1"/>
  <c r="Y280" i="1"/>
  <c r="V280" i="1"/>
  <c r="S280" i="1"/>
  <c r="M280" i="1"/>
  <c r="Z279" i="1"/>
  <c r="X279" i="1"/>
  <c r="W279" i="1"/>
  <c r="AA278" i="1"/>
  <c r="Z278" i="1"/>
  <c r="Y278" i="1"/>
  <c r="X278" i="1"/>
  <c r="W278" i="1"/>
  <c r="V278" i="1"/>
  <c r="U278" i="1"/>
  <c r="T278" i="1"/>
  <c r="S278" i="1"/>
  <c r="R278" i="1"/>
  <c r="P278" i="1"/>
  <c r="O278" i="1"/>
  <c r="N278" i="1"/>
  <c r="M278" i="1"/>
  <c r="L278" i="1"/>
  <c r="J278" i="1"/>
  <c r="Y277" i="1"/>
  <c r="V277" i="1"/>
  <c r="S277" i="1"/>
  <c r="M277" i="1"/>
  <c r="Y276" i="1"/>
  <c r="V276" i="1"/>
  <c r="S276" i="1"/>
  <c r="M276" i="1"/>
  <c r="AA275" i="1"/>
  <c r="Z275" i="1"/>
  <c r="Y275" i="1"/>
  <c r="X275" i="1"/>
  <c r="W275" i="1"/>
  <c r="V275" i="1"/>
  <c r="U275" i="1"/>
  <c r="T275" i="1"/>
  <c r="S275" i="1"/>
  <c r="R275" i="1"/>
  <c r="P275" i="1"/>
  <c r="O275" i="1"/>
  <c r="N275" i="1"/>
  <c r="M275" i="1"/>
  <c r="L275" i="1"/>
  <c r="J275" i="1"/>
  <c r="Y274" i="1"/>
  <c r="V274" i="1"/>
  <c r="S274" i="1"/>
  <c r="M274" i="1"/>
  <c r="Y273" i="1"/>
  <c r="V273" i="1"/>
  <c r="S273" i="1"/>
  <c r="M273" i="1"/>
  <c r="AA272" i="1"/>
  <c r="Z272" i="1"/>
  <c r="Y272" i="1"/>
  <c r="X272" i="1"/>
  <c r="W272" i="1"/>
  <c r="V272" i="1"/>
  <c r="U272" i="1"/>
  <c r="T272" i="1"/>
  <c r="S272" i="1"/>
  <c r="R272" i="1"/>
  <c r="P272" i="1"/>
  <c r="O272" i="1"/>
  <c r="N272" i="1"/>
  <c r="M272" i="1"/>
  <c r="L272" i="1"/>
  <c r="J272" i="1"/>
  <c r="Y271" i="1"/>
  <c r="V271" i="1"/>
  <c r="S271" i="1"/>
  <c r="M271" i="1"/>
  <c r="Y270" i="1"/>
  <c r="V270" i="1"/>
  <c r="S270" i="1"/>
  <c r="M270" i="1"/>
  <c r="AA269" i="1"/>
  <c r="Z269" i="1"/>
  <c r="Y269" i="1"/>
  <c r="X269" i="1"/>
  <c r="W269" i="1"/>
  <c r="V269" i="1"/>
  <c r="U269" i="1"/>
  <c r="T269" i="1"/>
  <c r="S269" i="1"/>
  <c r="R269" i="1"/>
  <c r="P269" i="1"/>
  <c r="O269" i="1"/>
  <c r="N269" i="1"/>
  <c r="M269" i="1"/>
  <c r="L269" i="1"/>
  <c r="J269" i="1"/>
  <c r="Y268" i="1"/>
  <c r="V268" i="1"/>
  <c r="S268" i="1"/>
  <c r="M268" i="1"/>
  <c r="Y267" i="1"/>
  <c r="V267" i="1"/>
  <c r="S267" i="1"/>
  <c r="M267" i="1"/>
  <c r="AA266" i="1"/>
  <c r="Z266" i="1"/>
  <c r="Y266" i="1"/>
  <c r="X266" i="1"/>
  <c r="W266" i="1"/>
  <c r="V266" i="1"/>
  <c r="U266" i="1"/>
  <c r="T266" i="1"/>
  <c r="S266" i="1"/>
  <c r="R266" i="1"/>
  <c r="P266" i="1"/>
  <c r="O266" i="1"/>
  <c r="N266" i="1"/>
  <c r="M266" i="1"/>
  <c r="L266" i="1"/>
  <c r="J266" i="1"/>
  <c r="Y265" i="1"/>
  <c r="V265" i="1"/>
  <c r="S265" i="1"/>
  <c r="M265" i="1"/>
  <c r="Y264" i="1"/>
  <c r="V264" i="1"/>
  <c r="S264" i="1"/>
  <c r="M264" i="1"/>
  <c r="AA263" i="1"/>
  <c r="Z263" i="1"/>
  <c r="Y263" i="1"/>
  <c r="X263" i="1"/>
  <c r="W263" i="1"/>
  <c r="V263" i="1"/>
  <c r="U263" i="1"/>
  <c r="T263" i="1"/>
  <c r="S263" i="1"/>
  <c r="R263" i="1"/>
  <c r="P263" i="1"/>
  <c r="O263" i="1"/>
  <c r="N263" i="1"/>
  <c r="M263" i="1"/>
  <c r="L263" i="1"/>
  <c r="J263" i="1"/>
  <c r="Y262" i="1"/>
  <c r="V262" i="1"/>
  <c r="S262" i="1"/>
  <c r="M262" i="1"/>
  <c r="Y261" i="1"/>
  <c r="V261" i="1"/>
  <c r="S261" i="1"/>
  <c r="M261" i="1"/>
  <c r="Y260" i="1"/>
  <c r="V260" i="1"/>
  <c r="S260" i="1"/>
  <c r="M260" i="1"/>
  <c r="AA259" i="1"/>
  <c r="Z259" i="1"/>
  <c r="Y259" i="1"/>
  <c r="X259" i="1"/>
  <c r="W259" i="1"/>
  <c r="V259" i="1"/>
  <c r="U259" i="1"/>
  <c r="T259" i="1"/>
  <c r="S259" i="1"/>
  <c r="R259" i="1"/>
  <c r="P259" i="1"/>
  <c r="O259" i="1"/>
  <c r="N259" i="1"/>
  <c r="M259" i="1"/>
  <c r="L259" i="1"/>
  <c r="J259" i="1"/>
  <c r="Y258" i="1"/>
  <c r="V258" i="1"/>
  <c r="S258" i="1"/>
  <c r="M258" i="1"/>
  <c r="Y257" i="1"/>
  <c r="V257" i="1"/>
  <c r="S257" i="1"/>
  <c r="M257" i="1"/>
  <c r="AA256" i="1"/>
  <c r="Z256" i="1"/>
  <c r="Y256" i="1"/>
  <c r="X256" i="1"/>
  <c r="W256" i="1"/>
  <c r="V256" i="1"/>
  <c r="U256" i="1"/>
  <c r="T256" i="1"/>
  <c r="S256" i="1"/>
  <c r="R256" i="1"/>
  <c r="P256" i="1"/>
  <c r="O256" i="1"/>
  <c r="N256" i="1"/>
  <c r="M256" i="1"/>
  <c r="L256" i="1"/>
  <c r="J256" i="1"/>
  <c r="Y255" i="1"/>
  <c r="V255" i="1"/>
  <c r="S255" i="1"/>
  <c r="M255" i="1"/>
  <c r="Y254" i="1"/>
  <c r="V254" i="1"/>
  <c r="S254" i="1"/>
  <c r="M254" i="1"/>
  <c r="Y253" i="1"/>
  <c r="V253" i="1"/>
  <c r="S253" i="1"/>
  <c r="M253" i="1"/>
  <c r="AA252" i="1"/>
  <c r="Z252" i="1"/>
  <c r="Y252" i="1"/>
  <c r="X252" i="1"/>
  <c r="W252" i="1"/>
  <c r="V252" i="1"/>
  <c r="U252" i="1"/>
  <c r="T252" i="1"/>
  <c r="S252" i="1"/>
  <c r="R252" i="1"/>
  <c r="P252" i="1"/>
  <c r="O252" i="1"/>
  <c r="N252" i="1"/>
  <c r="M252" i="1"/>
  <c r="L252" i="1"/>
  <c r="J252" i="1"/>
  <c r="Y251" i="1"/>
  <c r="V251" i="1"/>
  <c r="S251" i="1"/>
  <c r="M251" i="1"/>
  <c r="Y250" i="1"/>
  <c r="V250" i="1"/>
  <c r="S250" i="1"/>
  <c r="M250" i="1"/>
  <c r="AA249" i="1"/>
  <c r="Z249" i="1"/>
  <c r="Y249" i="1"/>
  <c r="X249" i="1"/>
  <c r="W249" i="1"/>
  <c r="V249" i="1"/>
  <c r="U249" i="1"/>
  <c r="T249" i="1"/>
  <c r="S249" i="1"/>
  <c r="R249" i="1"/>
  <c r="P249" i="1"/>
  <c r="O249" i="1"/>
  <c r="N249" i="1"/>
  <c r="M249" i="1"/>
  <c r="L249" i="1"/>
  <c r="J249" i="1"/>
  <c r="Y248" i="1"/>
  <c r="V248" i="1"/>
  <c r="S248" i="1"/>
  <c r="M248" i="1"/>
  <c r="Y247" i="1"/>
  <c r="V247" i="1"/>
  <c r="S247" i="1"/>
  <c r="M247" i="1"/>
  <c r="Y246" i="1"/>
  <c r="V246" i="1"/>
  <c r="S246" i="1"/>
  <c r="M246" i="1"/>
  <c r="AA245" i="1"/>
  <c r="Z245" i="1"/>
  <c r="Y245" i="1"/>
  <c r="X245" i="1"/>
  <c r="W245" i="1"/>
  <c r="V245" i="1"/>
  <c r="U245" i="1"/>
  <c r="T245" i="1"/>
  <c r="S245" i="1"/>
  <c r="R245" i="1"/>
  <c r="P245" i="1"/>
  <c r="O245" i="1"/>
  <c r="N245" i="1"/>
  <c r="M245" i="1"/>
  <c r="L245" i="1"/>
  <c r="J245" i="1"/>
  <c r="Y244" i="1"/>
  <c r="V244" i="1"/>
  <c r="S244" i="1"/>
  <c r="M244" i="1"/>
  <c r="Y243" i="1"/>
  <c r="V243" i="1"/>
  <c r="S243" i="1"/>
  <c r="M243" i="1"/>
  <c r="AA242" i="1"/>
  <c r="Z242" i="1"/>
  <c r="Y242" i="1"/>
  <c r="X242" i="1"/>
  <c r="W242" i="1"/>
  <c r="V242" i="1"/>
  <c r="U242" i="1"/>
  <c r="T242" i="1"/>
  <c r="S242" i="1"/>
  <c r="R242" i="1"/>
  <c r="P242" i="1"/>
  <c r="O242" i="1"/>
  <c r="N242" i="1"/>
  <c r="M242" i="1"/>
  <c r="L242" i="1"/>
  <c r="J242" i="1"/>
  <c r="Y241" i="1"/>
  <c r="V241" i="1"/>
  <c r="S241" i="1"/>
  <c r="M241" i="1"/>
  <c r="Y240" i="1"/>
  <c r="V240" i="1"/>
  <c r="S240" i="1"/>
  <c r="M240" i="1"/>
  <c r="Y239" i="1"/>
  <c r="V239" i="1"/>
  <c r="S239" i="1"/>
  <c r="M239" i="1"/>
  <c r="AA238" i="1"/>
  <c r="Z238" i="1"/>
  <c r="Y238" i="1"/>
  <c r="X238" i="1"/>
  <c r="W238" i="1"/>
  <c r="V238" i="1"/>
  <c r="U238" i="1"/>
  <c r="T238" i="1"/>
  <c r="S238" i="1"/>
  <c r="R238" i="1"/>
  <c r="P238" i="1"/>
  <c r="O238" i="1"/>
  <c r="N238" i="1"/>
  <c r="M238" i="1"/>
  <c r="L238" i="1"/>
  <c r="J238" i="1"/>
  <c r="Y237" i="1"/>
  <c r="V237" i="1"/>
  <c r="S237" i="1"/>
  <c r="M237" i="1"/>
  <c r="Y236" i="1"/>
  <c r="V236" i="1"/>
  <c r="S236" i="1"/>
  <c r="M236" i="1"/>
  <c r="Y235" i="1"/>
  <c r="V235" i="1"/>
  <c r="S235" i="1"/>
  <c r="M235" i="1"/>
  <c r="Y234" i="1"/>
  <c r="V234" i="1"/>
  <c r="S234" i="1"/>
  <c r="M234" i="1"/>
  <c r="Z233" i="1"/>
  <c r="X233" i="1"/>
  <c r="W233" i="1"/>
  <c r="AA232" i="1"/>
  <c r="Z232" i="1"/>
  <c r="Y232" i="1"/>
  <c r="X232" i="1"/>
  <c r="W232" i="1"/>
  <c r="V232" i="1"/>
  <c r="U232" i="1"/>
  <c r="T232" i="1"/>
  <c r="S232" i="1"/>
  <c r="R232" i="1"/>
  <c r="P232" i="1"/>
  <c r="O232" i="1"/>
  <c r="N232" i="1"/>
  <c r="M232" i="1"/>
  <c r="L232" i="1"/>
  <c r="J232" i="1"/>
  <c r="Y231" i="1"/>
  <c r="V231" i="1"/>
  <c r="S231" i="1"/>
  <c r="M231" i="1"/>
  <c r="Y230" i="1"/>
  <c r="V230" i="1"/>
  <c r="S230" i="1"/>
  <c r="M230" i="1"/>
  <c r="Y229" i="1"/>
  <c r="V229" i="1"/>
  <c r="S229" i="1"/>
  <c r="M229" i="1"/>
  <c r="Y228" i="1"/>
  <c r="V228" i="1"/>
  <c r="S228" i="1"/>
  <c r="M228" i="1"/>
  <c r="Y227" i="1"/>
  <c r="V227" i="1"/>
  <c r="S227" i="1"/>
  <c r="M227" i="1"/>
  <c r="Y226" i="1"/>
  <c r="V226" i="1"/>
  <c r="S226" i="1"/>
  <c r="M226" i="1"/>
  <c r="Y225" i="1"/>
  <c r="V225" i="1"/>
  <c r="S225" i="1"/>
  <c r="M225" i="1"/>
  <c r="Y224" i="1"/>
  <c r="V224" i="1"/>
  <c r="S224" i="1"/>
  <c r="M224" i="1"/>
  <c r="Z223" i="1"/>
  <c r="X223" i="1"/>
  <c r="W223" i="1"/>
  <c r="AA222" i="1"/>
  <c r="Z222" i="1"/>
  <c r="Y222" i="1"/>
  <c r="X222" i="1"/>
  <c r="W222" i="1"/>
  <c r="V222" i="1"/>
  <c r="U222" i="1"/>
  <c r="T222" i="1"/>
  <c r="S222" i="1"/>
  <c r="R222" i="1"/>
  <c r="P222" i="1"/>
  <c r="O222" i="1"/>
  <c r="N222" i="1"/>
  <c r="M222" i="1"/>
  <c r="L222" i="1"/>
  <c r="J222" i="1"/>
  <c r="Y221" i="1"/>
  <c r="V221" i="1"/>
  <c r="S221" i="1"/>
  <c r="M221" i="1"/>
  <c r="Y220" i="1"/>
  <c r="V220" i="1"/>
  <c r="S220" i="1"/>
  <c r="M220" i="1"/>
  <c r="Y219" i="1"/>
  <c r="V219" i="1"/>
  <c r="S219" i="1"/>
  <c r="M219" i="1"/>
  <c r="Y218" i="1"/>
  <c r="V218" i="1"/>
  <c r="S218" i="1"/>
  <c r="M218" i="1"/>
  <c r="Y217" i="1"/>
  <c r="V217" i="1"/>
  <c r="S217" i="1"/>
  <c r="M217" i="1"/>
  <c r="Y216" i="1"/>
  <c r="V216" i="1"/>
  <c r="S216" i="1"/>
  <c r="M216" i="1"/>
  <c r="Z215" i="1"/>
  <c r="X215" i="1"/>
  <c r="W215" i="1"/>
  <c r="AA214" i="1"/>
  <c r="Z214" i="1"/>
  <c r="Y214" i="1"/>
  <c r="X214" i="1"/>
  <c r="W214" i="1"/>
  <c r="V214" i="1"/>
  <c r="U214" i="1"/>
  <c r="T214" i="1"/>
  <c r="S214" i="1"/>
  <c r="R214" i="1"/>
  <c r="P214" i="1"/>
  <c r="O214" i="1"/>
  <c r="N214" i="1"/>
  <c r="M214" i="1"/>
  <c r="L214" i="1"/>
  <c r="J214" i="1"/>
  <c r="Y213" i="1"/>
  <c r="V213" i="1"/>
  <c r="S213" i="1"/>
  <c r="M213" i="1"/>
  <c r="Y212" i="1"/>
  <c r="V212" i="1"/>
  <c r="S212" i="1"/>
  <c r="M212" i="1"/>
  <c r="AA211" i="1"/>
  <c r="Z211" i="1"/>
  <c r="Y211" i="1"/>
  <c r="X211" i="1"/>
  <c r="W211" i="1"/>
  <c r="V211" i="1"/>
  <c r="U211" i="1"/>
  <c r="T211" i="1"/>
  <c r="S211" i="1"/>
  <c r="R211" i="1"/>
  <c r="P211" i="1"/>
  <c r="O211" i="1"/>
  <c r="N211" i="1"/>
  <c r="M211" i="1"/>
  <c r="L211" i="1"/>
  <c r="J211" i="1"/>
  <c r="AA210" i="1"/>
  <c r="Z210" i="1"/>
  <c r="Y210" i="1"/>
  <c r="U210" i="1"/>
  <c r="T210" i="1"/>
  <c r="S210" i="1"/>
  <c r="O210" i="1"/>
  <c r="N210" i="1"/>
  <c r="M210" i="1"/>
  <c r="AA209" i="1"/>
  <c r="Z209" i="1"/>
  <c r="Y209" i="1"/>
  <c r="U209" i="1"/>
  <c r="T209" i="1"/>
  <c r="S209" i="1"/>
  <c r="O209" i="1"/>
  <c r="N209" i="1"/>
  <c r="M209" i="1"/>
  <c r="Y208" i="1"/>
  <c r="V208" i="1"/>
  <c r="S208" i="1"/>
  <c r="M208" i="1"/>
  <c r="Y207" i="1"/>
  <c r="V207" i="1"/>
  <c r="S207" i="1"/>
  <c r="M207" i="1"/>
  <c r="Y206" i="1"/>
  <c r="V206" i="1"/>
  <c r="S206" i="1"/>
  <c r="M206" i="1"/>
  <c r="Y205" i="1"/>
  <c r="V205" i="1"/>
  <c r="S205" i="1"/>
  <c r="M205" i="1"/>
  <c r="AA204" i="1"/>
  <c r="Z204" i="1"/>
  <c r="Y204" i="1"/>
  <c r="X204" i="1"/>
  <c r="W204" i="1"/>
  <c r="V204" i="1"/>
  <c r="U204" i="1"/>
  <c r="T204" i="1"/>
  <c r="S204" i="1"/>
  <c r="R204" i="1"/>
  <c r="P204" i="1"/>
  <c r="O204" i="1"/>
  <c r="N204" i="1"/>
  <c r="M204" i="1"/>
  <c r="L204" i="1"/>
  <c r="J204" i="1"/>
  <c r="Y203" i="1"/>
  <c r="V203" i="1"/>
  <c r="S203" i="1"/>
  <c r="M203" i="1"/>
  <c r="Y202" i="1"/>
  <c r="V202" i="1"/>
  <c r="S202" i="1"/>
  <c r="M202" i="1"/>
  <c r="Y201" i="1"/>
  <c r="V201" i="1"/>
  <c r="S201" i="1"/>
  <c r="M201" i="1"/>
  <c r="Y200" i="1"/>
  <c r="V200" i="1"/>
  <c r="S200" i="1"/>
  <c r="M200" i="1"/>
  <c r="AA199" i="1"/>
  <c r="Z199" i="1"/>
  <c r="Y199" i="1"/>
  <c r="X199" i="1"/>
  <c r="W199" i="1"/>
  <c r="V199" i="1"/>
  <c r="U199" i="1"/>
  <c r="T199" i="1"/>
  <c r="S199" i="1"/>
  <c r="R199" i="1"/>
  <c r="P199" i="1"/>
  <c r="O199" i="1"/>
  <c r="N199" i="1"/>
  <c r="M199" i="1"/>
  <c r="L199" i="1"/>
  <c r="J199" i="1"/>
  <c r="Y198" i="1"/>
  <c r="V198" i="1"/>
  <c r="S198" i="1"/>
  <c r="M198" i="1"/>
  <c r="Y197" i="1"/>
  <c r="V197" i="1"/>
  <c r="S197" i="1"/>
  <c r="M197" i="1"/>
  <c r="Y196" i="1"/>
  <c r="V196" i="1"/>
  <c r="S196" i="1"/>
  <c r="M196" i="1"/>
  <c r="Y195" i="1"/>
  <c r="V195" i="1"/>
  <c r="S195" i="1"/>
  <c r="M195" i="1"/>
  <c r="AA194" i="1"/>
  <c r="Z194" i="1"/>
  <c r="Y194" i="1"/>
  <c r="X194" i="1"/>
  <c r="W194" i="1"/>
  <c r="V194" i="1"/>
  <c r="U194" i="1"/>
  <c r="T194" i="1"/>
  <c r="S194" i="1"/>
  <c r="R194" i="1"/>
  <c r="P194" i="1"/>
  <c r="O194" i="1"/>
  <c r="N194" i="1"/>
  <c r="M194" i="1"/>
  <c r="L194" i="1"/>
  <c r="J194" i="1"/>
  <c r="Y193" i="1"/>
  <c r="V193" i="1"/>
  <c r="S193" i="1"/>
  <c r="M193" i="1"/>
  <c r="Y192" i="1"/>
  <c r="V192" i="1"/>
  <c r="S192" i="1"/>
  <c r="M192" i="1"/>
  <c r="Y191" i="1"/>
  <c r="V191" i="1"/>
  <c r="S191" i="1"/>
  <c r="M191" i="1"/>
  <c r="Y190" i="1"/>
  <c r="V190" i="1"/>
  <c r="S190" i="1"/>
  <c r="M190" i="1"/>
  <c r="AA189" i="1"/>
  <c r="Z189" i="1"/>
  <c r="Y189" i="1"/>
  <c r="X189" i="1"/>
  <c r="W189" i="1"/>
  <c r="V189" i="1"/>
  <c r="U189" i="1"/>
  <c r="T189" i="1"/>
  <c r="S189" i="1"/>
  <c r="R189" i="1"/>
  <c r="P189" i="1"/>
  <c r="O189" i="1"/>
  <c r="N189" i="1"/>
  <c r="M189" i="1"/>
  <c r="L189" i="1"/>
  <c r="J189" i="1"/>
  <c r="Y188" i="1"/>
  <c r="V188" i="1"/>
  <c r="S188" i="1"/>
  <c r="M188" i="1"/>
  <c r="Y187" i="1"/>
  <c r="V187" i="1"/>
  <c r="S187" i="1"/>
  <c r="M187" i="1"/>
  <c r="Y186" i="1"/>
  <c r="V186" i="1"/>
  <c r="S186" i="1"/>
  <c r="M186" i="1"/>
  <c r="Y185" i="1"/>
  <c r="V185" i="1"/>
  <c r="S185" i="1"/>
  <c r="M185" i="1"/>
  <c r="AA184" i="1"/>
  <c r="Z184" i="1"/>
  <c r="Y184" i="1"/>
  <c r="X184" i="1"/>
  <c r="W184" i="1"/>
  <c r="V184" i="1"/>
  <c r="U184" i="1"/>
  <c r="T184" i="1"/>
  <c r="S184" i="1"/>
  <c r="R184" i="1"/>
  <c r="P184" i="1"/>
  <c r="O184" i="1"/>
  <c r="N184" i="1"/>
  <c r="M184" i="1"/>
  <c r="L184" i="1"/>
  <c r="J184" i="1"/>
  <c r="Y183" i="1"/>
  <c r="V183" i="1"/>
  <c r="S183" i="1"/>
  <c r="M183" i="1"/>
  <c r="Y182" i="1"/>
  <c r="V182" i="1"/>
  <c r="S182" i="1"/>
  <c r="M182" i="1"/>
  <c r="Y181" i="1"/>
  <c r="V181" i="1"/>
  <c r="S181" i="1"/>
  <c r="M181" i="1"/>
  <c r="Y180" i="1"/>
  <c r="V180" i="1"/>
  <c r="S180" i="1"/>
  <c r="M180" i="1"/>
  <c r="AA179" i="1"/>
  <c r="Z179" i="1"/>
  <c r="Y179" i="1"/>
  <c r="X179" i="1"/>
  <c r="W179" i="1"/>
  <c r="V179" i="1"/>
  <c r="U179" i="1"/>
  <c r="T179" i="1"/>
  <c r="S179" i="1"/>
  <c r="R179" i="1"/>
  <c r="P179" i="1"/>
  <c r="O179" i="1"/>
  <c r="N179" i="1"/>
  <c r="M179" i="1"/>
  <c r="L179" i="1"/>
  <c r="J179" i="1"/>
  <c r="Y178" i="1"/>
  <c r="V178" i="1"/>
  <c r="S178" i="1"/>
  <c r="M178" i="1"/>
  <c r="Y177" i="1"/>
  <c r="V177" i="1"/>
  <c r="S177" i="1"/>
  <c r="M177" i="1"/>
  <c r="Y176" i="1"/>
  <c r="V176" i="1"/>
  <c r="S176" i="1"/>
  <c r="M176" i="1"/>
  <c r="Y175" i="1"/>
  <c r="V175" i="1"/>
  <c r="S175" i="1"/>
  <c r="M175" i="1"/>
  <c r="AA174" i="1"/>
  <c r="Z174" i="1"/>
  <c r="Y174" i="1"/>
  <c r="X174" i="1"/>
  <c r="W174" i="1"/>
  <c r="V174" i="1"/>
  <c r="U174" i="1"/>
  <c r="T174" i="1"/>
  <c r="S174" i="1"/>
  <c r="R174" i="1"/>
  <c r="P174" i="1"/>
  <c r="O174" i="1"/>
  <c r="N174" i="1"/>
  <c r="M174" i="1"/>
  <c r="L174" i="1"/>
  <c r="J174" i="1"/>
  <c r="Y173" i="1"/>
  <c r="V173" i="1"/>
  <c r="S173" i="1"/>
  <c r="M173" i="1"/>
  <c r="AA172" i="1"/>
  <c r="Z172" i="1"/>
  <c r="Y172" i="1"/>
  <c r="X172" i="1"/>
  <c r="W172" i="1"/>
  <c r="V172" i="1"/>
  <c r="U172" i="1"/>
  <c r="T172" i="1"/>
  <c r="S172" i="1"/>
  <c r="R172" i="1"/>
  <c r="P172" i="1"/>
  <c r="O172" i="1"/>
  <c r="N172" i="1"/>
  <c r="M172" i="1"/>
  <c r="L172" i="1"/>
  <c r="J172" i="1"/>
  <c r="Y171" i="1"/>
  <c r="V171" i="1"/>
  <c r="S171" i="1"/>
  <c r="M171" i="1"/>
  <c r="AA170" i="1"/>
  <c r="Z170" i="1"/>
  <c r="Y170" i="1"/>
  <c r="X170" i="1"/>
  <c r="W170" i="1"/>
  <c r="V170" i="1"/>
  <c r="U170" i="1"/>
  <c r="T170" i="1"/>
  <c r="S170" i="1"/>
  <c r="R170" i="1"/>
  <c r="P170" i="1"/>
  <c r="O170" i="1"/>
  <c r="N170" i="1"/>
  <c r="M170" i="1"/>
  <c r="L170" i="1"/>
  <c r="J170" i="1"/>
  <c r="Y169" i="1"/>
  <c r="V169" i="1"/>
  <c r="S169" i="1"/>
  <c r="M169" i="1"/>
  <c r="Y168" i="1"/>
  <c r="V168" i="1"/>
  <c r="S168" i="1"/>
  <c r="M168" i="1"/>
  <c r="AA167" i="1"/>
  <c r="Z167" i="1"/>
  <c r="Y167" i="1"/>
  <c r="X167" i="1"/>
  <c r="W167" i="1"/>
  <c r="V167" i="1"/>
  <c r="U167" i="1"/>
  <c r="T167" i="1"/>
  <c r="S167" i="1"/>
  <c r="R167" i="1"/>
  <c r="P167" i="1"/>
  <c r="O167" i="1"/>
  <c r="N167" i="1"/>
  <c r="M167" i="1"/>
  <c r="L167" i="1"/>
  <c r="J167" i="1"/>
  <c r="Y166" i="1"/>
  <c r="V166" i="1"/>
  <c r="S166" i="1"/>
  <c r="M166" i="1"/>
  <c r="Y165" i="1"/>
  <c r="V165" i="1"/>
  <c r="S165" i="1"/>
  <c r="M165" i="1"/>
  <c r="Y164" i="1"/>
  <c r="V164" i="1"/>
  <c r="S164" i="1"/>
  <c r="M164" i="1"/>
  <c r="Y163" i="1"/>
  <c r="V163" i="1"/>
  <c r="S163" i="1"/>
  <c r="M163" i="1"/>
  <c r="Z162" i="1"/>
  <c r="X162" i="1"/>
  <c r="W162" i="1"/>
  <c r="AA161" i="1"/>
  <c r="Z161" i="1"/>
  <c r="Y161" i="1"/>
  <c r="X161" i="1"/>
  <c r="W161" i="1"/>
  <c r="V161" i="1"/>
  <c r="U161" i="1"/>
  <c r="T161" i="1"/>
  <c r="S161" i="1"/>
  <c r="R161" i="1"/>
  <c r="P161" i="1"/>
  <c r="O161" i="1"/>
  <c r="N161" i="1"/>
  <c r="M161" i="1"/>
  <c r="L161" i="1"/>
  <c r="J161" i="1"/>
  <c r="Y160" i="1"/>
  <c r="V160" i="1"/>
  <c r="S160" i="1"/>
  <c r="M160" i="1"/>
  <c r="Y159" i="1"/>
  <c r="V159" i="1"/>
  <c r="S159" i="1"/>
  <c r="M159" i="1"/>
  <c r="Y158" i="1"/>
  <c r="V158" i="1"/>
  <c r="S158" i="1"/>
  <c r="M158" i="1"/>
  <c r="Y157" i="1"/>
  <c r="V157" i="1"/>
  <c r="S157" i="1"/>
  <c r="M157" i="1"/>
  <c r="Z156" i="1"/>
  <c r="X156" i="1"/>
  <c r="W156" i="1"/>
  <c r="AA155" i="1"/>
  <c r="Z155" i="1"/>
  <c r="Y155" i="1"/>
  <c r="X155" i="1"/>
  <c r="W155" i="1"/>
  <c r="V155" i="1"/>
  <c r="U155" i="1"/>
  <c r="T155" i="1"/>
  <c r="S155" i="1"/>
  <c r="R155" i="1"/>
  <c r="P155" i="1"/>
  <c r="O155" i="1"/>
  <c r="N155" i="1"/>
  <c r="M155" i="1"/>
  <c r="L155" i="1"/>
  <c r="J155" i="1"/>
  <c r="Y154" i="1"/>
  <c r="V154" i="1"/>
  <c r="S154" i="1"/>
  <c r="M154" i="1"/>
  <c r="Y153" i="1"/>
  <c r="V153" i="1"/>
  <c r="S153" i="1"/>
  <c r="M153" i="1"/>
  <c r="Y152" i="1"/>
  <c r="V152" i="1"/>
  <c r="S152" i="1"/>
  <c r="M152" i="1"/>
  <c r="Y151" i="1"/>
  <c r="V151" i="1"/>
  <c r="S151" i="1"/>
  <c r="M151" i="1"/>
  <c r="Y150" i="1"/>
  <c r="V150" i="1"/>
  <c r="S150" i="1"/>
  <c r="M150" i="1"/>
  <c r="Y149" i="1"/>
  <c r="V149" i="1"/>
  <c r="S149" i="1"/>
  <c r="M149" i="1"/>
  <c r="Z148" i="1"/>
  <c r="X148" i="1"/>
  <c r="W148" i="1"/>
  <c r="AA147" i="1"/>
  <c r="Z147" i="1"/>
  <c r="Y147" i="1"/>
  <c r="X147" i="1"/>
  <c r="W147" i="1"/>
  <c r="V147" i="1"/>
  <c r="U147" i="1"/>
  <c r="T147" i="1"/>
  <c r="S147" i="1"/>
  <c r="R147" i="1"/>
  <c r="P147" i="1"/>
  <c r="O147" i="1"/>
  <c r="N147" i="1"/>
  <c r="M147" i="1"/>
  <c r="L147" i="1"/>
  <c r="J147" i="1"/>
  <c r="Y146" i="1"/>
  <c r="V146" i="1"/>
  <c r="S146" i="1"/>
  <c r="M146" i="1"/>
  <c r="Y145" i="1"/>
  <c r="V145" i="1"/>
  <c r="S145" i="1"/>
  <c r="M145" i="1"/>
  <c r="Y144" i="1"/>
  <c r="V144" i="1"/>
  <c r="S144" i="1"/>
  <c r="M144" i="1"/>
  <c r="AA143" i="1"/>
  <c r="Z143" i="1"/>
  <c r="Y143" i="1"/>
  <c r="X143" i="1"/>
  <c r="W143" i="1"/>
  <c r="V143" i="1"/>
  <c r="U143" i="1"/>
  <c r="T143" i="1"/>
  <c r="S143" i="1"/>
  <c r="R143" i="1"/>
  <c r="P143" i="1"/>
  <c r="O143" i="1"/>
  <c r="N143" i="1"/>
  <c r="M143" i="1"/>
  <c r="L143" i="1"/>
  <c r="J143" i="1"/>
  <c r="Y142" i="1"/>
  <c r="V142" i="1"/>
  <c r="S142" i="1"/>
  <c r="M142" i="1"/>
  <c r="Y141" i="1"/>
  <c r="V141" i="1"/>
  <c r="S141" i="1"/>
  <c r="M141" i="1"/>
  <c r="Y140" i="1"/>
  <c r="V140" i="1"/>
  <c r="S140" i="1"/>
  <c r="M140" i="1"/>
  <c r="Y139" i="1"/>
  <c r="V139" i="1"/>
  <c r="S139" i="1"/>
  <c r="M139" i="1"/>
  <c r="Z138" i="1"/>
  <c r="X138" i="1"/>
  <c r="W138" i="1"/>
  <c r="AA137" i="1"/>
  <c r="Z137" i="1"/>
  <c r="Y137" i="1"/>
  <c r="X137" i="1"/>
  <c r="W137" i="1"/>
  <c r="V137" i="1"/>
  <c r="U137" i="1"/>
  <c r="T137" i="1"/>
  <c r="S137" i="1"/>
  <c r="R137" i="1"/>
  <c r="P137" i="1"/>
  <c r="O137" i="1"/>
  <c r="N137" i="1"/>
  <c r="M137" i="1"/>
  <c r="L137" i="1"/>
  <c r="J137" i="1"/>
  <c r="Y136" i="1"/>
  <c r="V136" i="1"/>
  <c r="S136" i="1"/>
  <c r="M136" i="1"/>
  <c r="Y135" i="1"/>
  <c r="V135" i="1"/>
  <c r="S135" i="1"/>
  <c r="M135" i="1"/>
  <c r="Y134" i="1"/>
  <c r="V134" i="1"/>
  <c r="S134" i="1"/>
  <c r="M134" i="1"/>
  <c r="Y133" i="1"/>
  <c r="V133" i="1"/>
  <c r="S133" i="1"/>
  <c r="M133" i="1"/>
  <c r="AA132" i="1"/>
  <c r="Z132" i="1"/>
  <c r="Y132" i="1"/>
  <c r="X132" i="1"/>
  <c r="W132" i="1"/>
  <c r="V132" i="1"/>
  <c r="U132" i="1"/>
  <c r="T132" i="1"/>
  <c r="S132" i="1"/>
  <c r="R132" i="1"/>
  <c r="P132" i="1"/>
  <c r="O132" i="1"/>
  <c r="N132" i="1"/>
  <c r="M132" i="1"/>
  <c r="L132" i="1"/>
  <c r="J132" i="1"/>
  <c r="Y131" i="1"/>
  <c r="V131" i="1"/>
  <c r="S131" i="1"/>
  <c r="M131" i="1"/>
  <c r="Y130" i="1"/>
  <c r="V130" i="1"/>
  <c r="S130" i="1"/>
  <c r="M130" i="1"/>
  <c r="Y129" i="1"/>
  <c r="V129" i="1"/>
  <c r="S129" i="1"/>
  <c r="M129" i="1"/>
  <c r="Y128" i="1"/>
  <c r="V128" i="1"/>
  <c r="S128" i="1"/>
  <c r="M128" i="1"/>
  <c r="Y127" i="1"/>
  <c r="V127" i="1"/>
  <c r="S127" i="1"/>
  <c r="M127" i="1"/>
  <c r="Y126" i="1"/>
  <c r="V126" i="1"/>
  <c r="S126" i="1"/>
  <c r="M126" i="1"/>
  <c r="Y125" i="1"/>
  <c r="V125" i="1"/>
  <c r="S125" i="1"/>
  <c r="M125" i="1"/>
  <c r="Y124" i="1"/>
  <c r="V124" i="1"/>
  <c r="S124" i="1"/>
  <c r="M124" i="1"/>
  <c r="Y123" i="1"/>
  <c r="V123" i="1"/>
  <c r="S123" i="1"/>
  <c r="M123" i="1"/>
  <c r="Y122" i="1"/>
  <c r="V122" i="1"/>
  <c r="S122" i="1"/>
  <c r="M122" i="1"/>
  <c r="Z121" i="1"/>
  <c r="X121" i="1"/>
  <c r="W121" i="1"/>
  <c r="AA120" i="1"/>
  <c r="Z120" i="1"/>
  <c r="Y120" i="1"/>
  <c r="X120" i="1"/>
  <c r="W120" i="1"/>
  <c r="V120" i="1"/>
  <c r="U120" i="1"/>
  <c r="T120" i="1"/>
  <c r="S120" i="1"/>
  <c r="R120" i="1"/>
  <c r="P120" i="1"/>
  <c r="O120" i="1"/>
  <c r="N120" i="1"/>
  <c r="M120" i="1"/>
  <c r="L120" i="1"/>
  <c r="J120" i="1"/>
  <c r="AA119" i="1"/>
  <c r="Z119" i="1"/>
  <c r="Y119" i="1"/>
  <c r="U119" i="1"/>
  <c r="T119" i="1"/>
  <c r="S119" i="1"/>
  <c r="O119" i="1"/>
  <c r="N119" i="1"/>
  <c r="M119" i="1"/>
  <c r="Y118" i="1"/>
  <c r="V118" i="1"/>
  <c r="S118" i="1"/>
  <c r="M118" i="1"/>
  <c r="AA117" i="1"/>
  <c r="Z117" i="1"/>
  <c r="Y117" i="1"/>
  <c r="X117" i="1"/>
  <c r="W117" i="1"/>
  <c r="V117" i="1"/>
  <c r="U117" i="1"/>
  <c r="T117" i="1"/>
  <c r="S117" i="1"/>
  <c r="R117" i="1"/>
  <c r="P117" i="1"/>
  <c r="O117" i="1"/>
  <c r="N117" i="1"/>
  <c r="M117" i="1"/>
  <c r="L117" i="1"/>
  <c r="J117" i="1"/>
  <c r="Y116" i="1"/>
  <c r="V116" i="1"/>
  <c r="S116" i="1"/>
  <c r="M116" i="1"/>
  <c r="Y115" i="1"/>
  <c r="V115" i="1"/>
  <c r="S115" i="1"/>
  <c r="M115" i="1"/>
  <c r="Z114" i="1"/>
  <c r="X114" i="1"/>
  <c r="W114" i="1"/>
  <c r="AA113" i="1"/>
  <c r="Z113" i="1"/>
  <c r="Y113" i="1"/>
  <c r="X113" i="1"/>
  <c r="W113" i="1"/>
  <c r="V113" i="1"/>
  <c r="U113" i="1"/>
  <c r="T113" i="1"/>
  <c r="S113" i="1"/>
  <c r="R113" i="1"/>
  <c r="P113" i="1"/>
  <c r="O113" i="1"/>
  <c r="N113" i="1"/>
  <c r="M113" i="1"/>
  <c r="L113" i="1"/>
  <c r="J113" i="1"/>
  <c r="Y112" i="1"/>
  <c r="V112" i="1"/>
  <c r="S112" i="1"/>
  <c r="M112" i="1"/>
  <c r="AA111" i="1"/>
  <c r="Z111" i="1"/>
  <c r="Y111" i="1"/>
  <c r="X111" i="1"/>
  <c r="W111" i="1"/>
  <c r="V111" i="1"/>
  <c r="U111" i="1"/>
  <c r="T111" i="1"/>
  <c r="S111" i="1"/>
  <c r="R111" i="1"/>
  <c r="P111" i="1"/>
  <c r="O111" i="1"/>
  <c r="N111" i="1"/>
  <c r="M111" i="1"/>
  <c r="L111" i="1"/>
  <c r="J111" i="1"/>
  <c r="Y110" i="1"/>
  <c r="V110" i="1"/>
  <c r="S110" i="1"/>
  <c r="M110" i="1"/>
  <c r="AA109" i="1"/>
  <c r="Z109" i="1"/>
  <c r="Y109" i="1"/>
  <c r="X109" i="1"/>
  <c r="W109" i="1"/>
  <c r="V109" i="1"/>
  <c r="U109" i="1"/>
  <c r="T109" i="1"/>
  <c r="S109" i="1"/>
  <c r="R109" i="1"/>
  <c r="P109" i="1"/>
  <c r="O109" i="1"/>
  <c r="N109" i="1"/>
  <c r="M109" i="1"/>
  <c r="L109" i="1"/>
  <c r="J109" i="1"/>
  <c r="Y108" i="1"/>
  <c r="V108" i="1"/>
  <c r="S108" i="1"/>
  <c r="M108" i="1"/>
  <c r="Y107" i="1"/>
  <c r="V107" i="1"/>
  <c r="S107" i="1"/>
  <c r="M107" i="1"/>
  <c r="AA106" i="1"/>
  <c r="Z106" i="1"/>
  <c r="Y106" i="1"/>
  <c r="X106" i="1"/>
  <c r="W106" i="1"/>
  <c r="V106" i="1"/>
  <c r="U106" i="1"/>
  <c r="T106" i="1"/>
  <c r="S106" i="1"/>
  <c r="R106" i="1"/>
  <c r="P106" i="1"/>
  <c r="O106" i="1"/>
  <c r="N106" i="1"/>
  <c r="M106" i="1"/>
  <c r="L106" i="1"/>
  <c r="J106" i="1"/>
  <c r="Y105" i="1"/>
  <c r="V105" i="1"/>
  <c r="S105" i="1"/>
  <c r="M105" i="1"/>
  <c r="Y104" i="1"/>
  <c r="V104" i="1"/>
  <c r="S104" i="1"/>
  <c r="M104" i="1"/>
  <c r="AA103" i="1"/>
  <c r="Z103" i="1"/>
  <c r="Y103" i="1"/>
  <c r="X103" i="1"/>
  <c r="W103" i="1"/>
  <c r="V103" i="1"/>
  <c r="U103" i="1"/>
  <c r="T103" i="1"/>
  <c r="S103" i="1"/>
  <c r="R103" i="1"/>
  <c r="P103" i="1"/>
  <c r="O103" i="1"/>
  <c r="N103" i="1"/>
  <c r="M103" i="1"/>
  <c r="L103" i="1"/>
  <c r="J103" i="1"/>
  <c r="AA102" i="1"/>
  <c r="Z102" i="1"/>
  <c r="Y102" i="1"/>
  <c r="U102" i="1"/>
  <c r="T102" i="1"/>
  <c r="S102" i="1"/>
  <c r="O102" i="1"/>
  <c r="N102" i="1"/>
  <c r="M102" i="1"/>
  <c r="Y101" i="1"/>
  <c r="V101" i="1"/>
  <c r="S101" i="1"/>
  <c r="M101" i="1"/>
  <c r="Y100" i="1"/>
  <c r="V100" i="1"/>
  <c r="S100" i="1"/>
  <c r="M100" i="1"/>
  <c r="Y99" i="1"/>
  <c r="V99" i="1"/>
  <c r="S99" i="1"/>
  <c r="M99" i="1"/>
  <c r="Y98" i="1"/>
  <c r="V98" i="1"/>
  <c r="S98" i="1"/>
  <c r="M98" i="1"/>
  <c r="Y97" i="1"/>
  <c r="V97" i="1"/>
  <c r="S97" i="1"/>
  <c r="M97" i="1"/>
  <c r="AA96" i="1"/>
  <c r="Z96" i="1"/>
  <c r="Y96" i="1"/>
  <c r="X96" i="1"/>
  <c r="W96" i="1"/>
  <c r="V96" i="1"/>
  <c r="U96" i="1"/>
  <c r="T96" i="1"/>
  <c r="S96" i="1"/>
  <c r="R96" i="1"/>
  <c r="P96" i="1"/>
  <c r="O96" i="1"/>
  <c r="N96" i="1"/>
  <c r="M96" i="1"/>
  <c r="L96" i="1"/>
  <c r="J96" i="1"/>
  <c r="Y95" i="1"/>
  <c r="V95" i="1"/>
  <c r="S95" i="1"/>
  <c r="M95" i="1"/>
  <c r="Y94" i="1"/>
  <c r="V94" i="1"/>
  <c r="S94" i="1"/>
  <c r="M94" i="1"/>
  <c r="Y93" i="1"/>
  <c r="V93" i="1"/>
  <c r="S93" i="1"/>
  <c r="M93" i="1"/>
  <c r="Y92" i="1"/>
  <c r="V92" i="1"/>
  <c r="S92" i="1"/>
  <c r="M92" i="1"/>
  <c r="Y91" i="1"/>
  <c r="V91" i="1"/>
  <c r="S91" i="1"/>
  <c r="M91" i="1"/>
  <c r="AA90" i="1"/>
  <c r="Z90" i="1"/>
  <c r="Y90" i="1"/>
  <c r="X90" i="1"/>
  <c r="W90" i="1"/>
  <c r="V90" i="1"/>
  <c r="U90" i="1"/>
  <c r="T90" i="1"/>
  <c r="S90" i="1"/>
  <c r="R90" i="1"/>
  <c r="P90" i="1"/>
  <c r="O90" i="1"/>
  <c r="N90" i="1"/>
  <c r="M90" i="1"/>
  <c r="L90" i="1"/>
  <c r="J90" i="1"/>
  <c r="Y89" i="1"/>
  <c r="V89" i="1"/>
  <c r="S89" i="1"/>
  <c r="M89" i="1"/>
  <c r="Y88" i="1"/>
  <c r="V88" i="1"/>
  <c r="S88" i="1"/>
  <c r="M88" i="1"/>
  <c r="Y87" i="1"/>
  <c r="V87" i="1"/>
  <c r="S87" i="1"/>
  <c r="M87" i="1"/>
  <c r="Y86" i="1"/>
  <c r="V86" i="1"/>
  <c r="S86" i="1"/>
  <c r="M86" i="1"/>
  <c r="Y85" i="1"/>
  <c r="V85" i="1"/>
  <c r="S85" i="1"/>
  <c r="M85" i="1"/>
  <c r="Y84" i="1"/>
  <c r="V84" i="1"/>
  <c r="S84" i="1"/>
  <c r="M84" i="1"/>
  <c r="Y83" i="1"/>
  <c r="V83" i="1"/>
  <c r="S83" i="1"/>
  <c r="M83" i="1"/>
  <c r="Y82" i="1"/>
  <c r="V82" i="1"/>
  <c r="S82" i="1"/>
  <c r="M82" i="1"/>
  <c r="Y81" i="1"/>
  <c r="V81" i="1"/>
  <c r="S81" i="1"/>
  <c r="M81" i="1"/>
  <c r="Y80" i="1"/>
  <c r="V80" i="1"/>
  <c r="S80" i="1"/>
  <c r="M80" i="1"/>
  <c r="Y79" i="1"/>
  <c r="V79" i="1"/>
  <c r="S79" i="1"/>
  <c r="M79" i="1"/>
  <c r="Y78" i="1"/>
  <c r="V78" i="1"/>
  <c r="S78" i="1"/>
  <c r="M78" i="1"/>
  <c r="Y77" i="1"/>
  <c r="V77" i="1"/>
  <c r="S77" i="1"/>
  <c r="M77" i="1"/>
  <c r="Y76" i="1"/>
  <c r="V76" i="1"/>
  <c r="S76" i="1"/>
  <c r="M76" i="1"/>
  <c r="Z75" i="1"/>
  <c r="X75" i="1"/>
  <c r="W75" i="1"/>
  <c r="AA74" i="1"/>
  <c r="Z74" i="1"/>
  <c r="Y74" i="1"/>
  <c r="X74" i="1"/>
  <c r="W74" i="1"/>
  <c r="V74" i="1"/>
  <c r="U74" i="1"/>
  <c r="T74" i="1"/>
  <c r="S74" i="1"/>
  <c r="R74" i="1"/>
  <c r="P74" i="1"/>
  <c r="O74" i="1"/>
  <c r="N74" i="1"/>
  <c r="M74" i="1"/>
  <c r="L74" i="1"/>
  <c r="J74" i="1"/>
  <c r="Y73" i="1"/>
  <c r="V73" i="1"/>
  <c r="S73" i="1"/>
  <c r="M73" i="1"/>
  <c r="Y72" i="1"/>
  <c r="V72" i="1"/>
  <c r="S72" i="1"/>
  <c r="M72" i="1"/>
  <c r="Y71" i="1"/>
  <c r="V71" i="1"/>
  <c r="S71" i="1"/>
  <c r="M71" i="1"/>
  <c r="Y70" i="1"/>
  <c r="V70" i="1"/>
  <c r="S70" i="1"/>
  <c r="M70" i="1"/>
  <c r="Y69" i="1"/>
  <c r="V69" i="1"/>
  <c r="S69" i="1"/>
  <c r="M69" i="1"/>
  <c r="AA68" i="1"/>
  <c r="Z68" i="1"/>
  <c r="Y68" i="1"/>
  <c r="X68" i="1"/>
  <c r="W68" i="1"/>
  <c r="V68" i="1"/>
  <c r="U68" i="1"/>
  <c r="T68" i="1"/>
  <c r="S68" i="1"/>
  <c r="R68" i="1"/>
  <c r="P68" i="1"/>
  <c r="O68" i="1"/>
  <c r="N68" i="1"/>
  <c r="M68" i="1"/>
  <c r="L68" i="1"/>
  <c r="J68" i="1"/>
  <c r="Y67" i="1"/>
  <c r="V67" i="1"/>
  <c r="S67" i="1"/>
  <c r="M67" i="1"/>
  <c r="Y66" i="1"/>
  <c r="V66" i="1"/>
  <c r="S66" i="1"/>
  <c r="M66" i="1"/>
  <c r="Y65" i="1"/>
  <c r="V65" i="1"/>
  <c r="S65" i="1"/>
  <c r="M65" i="1"/>
  <c r="Y64" i="1"/>
  <c r="V64" i="1"/>
  <c r="S64" i="1"/>
  <c r="M64" i="1"/>
  <c r="Y63" i="1"/>
  <c r="V63" i="1"/>
  <c r="S63" i="1"/>
  <c r="M63" i="1"/>
  <c r="AA62" i="1"/>
  <c r="Z62" i="1"/>
  <c r="Y62" i="1"/>
  <c r="X62" i="1"/>
  <c r="W62" i="1"/>
  <c r="V62" i="1"/>
  <c r="U62" i="1"/>
  <c r="T62" i="1"/>
  <c r="S62" i="1"/>
  <c r="R62" i="1"/>
  <c r="P62" i="1"/>
  <c r="O62" i="1"/>
  <c r="N62" i="1"/>
  <c r="M62" i="1"/>
  <c r="L62" i="1"/>
  <c r="J62" i="1"/>
  <c r="Y61" i="1"/>
  <c r="V61" i="1"/>
  <c r="S61" i="1"/>
  <c r="M61" i="1"/>
  <c r="Y60" i="1"/>
  <c r="V60" i="1"/>
  <c r="S60" i="1"/>
  <c r="M60" i="1"/>
  <c r="Y59" i="1"/>
  <c r="V59" i="1"/>
  <c r="S59" i="1"/>
  <c r="M59" i="1"/>
  <c r="Y58" i="1"/>
  <c r="V58" i="1"/>
  <c r="S58" i="1"/>
  <c r="M58" i="1"/>
  <c r="Y57" i="1"/>
  <c r="V57" i="1"/>
  <c r="S57" i="1"/>
  <c r="M57" i="1"/>
  <c r="AA56" i="1"/>
  <c r="Z56" i="1"/>
  <c r="Y56" i="1"/>
  <c r="X56" i="1"/>
  <c r="W56" i="1"/>
  <c r="V56" i="1"/>
  <c r="U56" i="1"/>
  <c r="T56" i="1"/>
  <c r="S56" i="1"/>
  <c r="R56" i="1"/>
  <c r="P56" i="1"/>
  <c r="O56" i="1"/>
  <c r="N56" i="1"/>
  <c r="M56" i="1"/>
  <c r="L56" i="1"/>
  <c r="J56" i="1"/>
  <c r="Y55" i="1"/>
  <c r="V55" i="1"/>
  <c r="S55" i="1"/>
  <c r="M55" i="1"/>
  <c r="Y54" i="1"/>
  <c r="V54" i="1"/>
  <c r="S54" i="1"/>
  <c r="M54" i="1"/>
  <c r="Y53" i="1"/>
  <c r="V53" i="1"/>
  <c r="S53" i="1"/>
  <c r="M53" i="1"/>
  <c r="Y52" i="1"/>
  <c r="V52" i="1"/>
  <c r="S52" i="1"/>
  <c r="M52" i="1"/>
  <c r="Y51" i="1"/>
  <c r="V51" i="1"/>
  <c r="S51" i="1"/>
  <c r="M51" i="1"/>
  <c r="Y50" i="1"/>
  <c r="V50" i="1"/>
  <c r="S50" i="1"/>
  <c r="M50" i="1"/>
  <c r="Y49" i="1"/>
  <c r="V49" i="1"/>
  <c r="S49" i="1"/>
  <c r="M49" i="1"/>
  <c r="Y48" i="1"/>
  <c r="V48" i="1"/>
  <c r="S48" i="1"/>
  <c r="M48" i="1"/>
  <c r="Y47" i="1"/>
  <c r="V47" i="1"/>
  <c r="S47" i="1"/>
  <c r="M47" i="1"/>
  <c r="Y46" i="1"/>
  <c r="V46" i="1"/>
  <c r="S46" i="1"/>
  <c r="M46" i="1"/>
  <c r="Y45" i="1"/>
  <c r="V45" i="1"/>
  <c r="S45" i="1"/>
  <c r="M45" i="1"/>
  <c r="Y44" i="1"/>
  <c r="V44" i="1"/>
  <c r="S44" i="1"/>
  <c r="M44" i="1"/>
  <c r="Y43" i="1"/>
  <c r="V43" i="1"/>
  <c r="S43" i="1"/>
  <c r="M43" i="1"/>
  <c r="Y42" i="1"/>
  <c r="V42" i="1"/>
  <c r="S42" i="1"/>
  <c r="M42" i="1"/>
  <c r="Z41" i="1"/>
  <c r="X41" i="1"/>
  <c r="W41" i="1"/>
  <c r="AA40" i="1"/>
  <c r="Z40" i="1"/>
  <c r="Y40" i="1"/>
  <c r="X40" i="1"/>
  <c r="W40" i="1"/>
  <c r="V40" i="1"/>
  <c r="U40" i="1"/>
  <c r="T40" i="1"/>
  <c r="S40" i="1"/>
  <c r="R40" i="1"/>
  <c r="P40" i="1"/>
  <c r="O40" i="1"/>
  <c r="N40" i="1"/>
  <c r="M40" i="1"/>
  <c r="L40" i="1"/>
  <c r="J40" i="1"/>
  <c r="Y39" i="1"/>
  <c r="V39" i="1"/>
  <c r="S39" i="1"/>
  <c r="M39" i="1"/>
  <c r="Y38" i="1"/>
  <c r="V38" i="1"/>
  <c r="S38" i="1"/>
  <c r="M38" i="1"/>
  <c r="Y37" i="1"/>
  <c r="V37" i="1"/>
  <c r="S37" i="1"/>
  <c r="M37" i="1"/>
  <c r="Y36" i="1"/>
  <c r="V36" i="1"/>
  <c r="S36" i="1"/>
  <c r="M36" i="1"/>
  <c r="Y35" i="1"/>
  <c r="V35" i="1"/>
  <c r="S35" i="1"/>
  <c r="M35" i="1"/>
  <c r="Y34" i="1"/>
  <c r="V34" i="1"/>
  <c r="S34" i="1"/>
  <c r="M34" i="1"/>
  <c r="Y33" i="1"/>
  <c r="V33" i="1"/>
  <c r="S33" i="1"/>
  <c r="M33" i="1"/>
  <c r="Y32" i="1"/>
  <c r="V32" i="1"/>
  <c r="S32" i="1"/>
  <c r="M32" i="1"/>
  <c r="Y31" i="1"/>
  <c r="V31" i="1"/>
  <c r="S31" i="1"/>
  <c r="M31" i="1"/>
  <c r="Y30" i="1"/>
  <c r="V30" i="1"/>
  <c r="S30" i="1"/>
  <c r="M30" i="1"/>
  <c r="Y29" i="1"/>
  <c r="V29" i="1"/>
  <c r="S29" i="1"/>
  <c r="M29" i="1"/>
  <c r="Y28" i="1"/>
  <c r="V28" i="1"/>
  <c r="S28" i="1"/>
  <c r="M28" i="1"/>
  <c r="Y27" i="1"/>
  <c r="V27" i="1"/>
  <c r="S27" i="1"/>
  <c r="M27" i="1"/>
  <c r="Y26" i="1"/>
  <c r="V26" i="1"/>
  <c r="S26" i="1"/>
  <c r="M26" i="1"/>
  <c r="Z25" i="1"/>
  <c r="X25" i="1"/>
  <c r="W25" i="1"/>
  <c r="AA24" i="1"/>
  <c r="Z24" i="1"/>
  <c r="Y24" i="1"/>
  <c r="X24" i="1"/>
  <c r="W24" i="1"/>
  <c r="V24" i="1"/>
  <c r="U24" i="1"/>
  <c r="T24" i="1"/>
  <c r="S24" i="1"/>
  <c r="R24" i="1"/>
  <c r="P24" i="1"/>
  <c r="O24" i="1"/>
  <c r="N24" i="1"/>
  <c r="M24" i="1"/>
  <c r="L24" i="1"/>
  <c r="J24" i="1"/>
  <c r="Y23" i="1"/>
  <c r="V23" i="1"/>
  <c r="S23" i="1"/>
  <c r="M23" i="1"/>
  <c r="AA22" i="1"/>
  <c r="Z22" i="1"/>
  <c r="Y22" i="1"/>
  <c r="X22" i="1"/>
  <c r="W22" i="1"/>
  <c r="V22" i="1"/>
  <c r="U22" i="1"/>
  <c r="T22" i="1"/>
  <c r="S22" i="1"/>
  <c r="R22" i="1"/>
  <c r="P22" i="1"/>
  <c r="O22" i="1"/>
  <c r="N22" i="1"/>
  <c r="M22" i="1"/>
  <c r="L22" i="1"/>
  <c r="J22" i="1"/>
  <c r="Y21" i="1"/>
  <c r="V21" i="1"/>
  <c r="S21" i="1"/>
  <c r="M21" i="1"/>
  <c r="Y20" i="1"/>
  <c r="V20" i="1"/>
  <c r="S20" i="1"/>
  <c r="M20" i="1"/>
  <c r="Y19" i="1"/>
  <c r="V19" i="1"/>
  <c r="S19" i="1"/>
  <c r="M19" i="1"/>
  <c r="AA18" i="1"/>
  <c r="Z18" i="1"/>
  <c r="Y18" i="1"/>
  <c r="X18" i="1"/>
  <c r="W18" i="1"/>
  <c r="V18" i="1"/>
  <c r="U18" i="1"/>
  <c r="T18" i="1"/>
  <c r="S18" i="1"/>
  <c r="R18" i="1"/>
  <c r="P18" i="1"/>
  <c r="O18" i="1"/>
  <c r="N18" i="1"/>
  <c r="M18" i="1"/>
  <c r="L18" i="1"/>
  <c r="J18" i="1"/>
  <c r="Y17" i="1"/>
  <c r="V17" i="1"/>
  <c r="S17" i="1"/>
  <c r="M17" i="1"/>
  <c r="Y16" i="1"/>
  <c r="V16" i="1"/>
  <c r="S16" i="1"/>
  <c r="M16" i="1"/>
  <c r="AA15" i="1"/>
  <c r="Z15" i="1"/>
  <c r="Y15" i="1"/>
  <c r="X15" i="1"/>
  <c r="W15" i="1"/>
  <c r="V15" i="1"/>
  <c r="U15" i="1"/>
  <c r="T15" i="1"/>
  <c r="S15" i="1"/>
  <c r="R15" i="1"/>
  <c r="P15" i="1"/>
  <c r="O15" i="1"/>
  <c r="N15" i="1"/>
  <c r="M15" i="1"/>
  <c r="L15" i="1"/>
  <c r="J15" i="1"/>
  <c r="AA14" i="1"/>
  <c r="Z14" i="1"/>
  <c r="Y14" i="1"/>
  <c r="U14" i="1"/>
  <c r="T14" i="1"/>
  <c r="S14" i="1"/>
  <c r="O14" i="1"/>
  <c r="N14" i="1"/>
  <c r="M14" i="1"/>
  <c r="AA13" i="1"/>
  <c r="Z13" i="1"/>
  <c r="Y13" i="1"/>
  <c r="U13" i="1"/>
  <c r="T13" i="1"/>
  <c r="S13" i="1"/>
  <c r="O13" i="1"/>
  <c r="N13" i="1"/>
  <c r="M13" i="1"/>
  <c r="AA12" i="1"/>
  <c r="Z12" i="1"/>
  <c r="Y12" i="1"/>
  <c r="U12" i="1"/>
  <c r="T12" i="1"/>
  <c r="S12" i="1"/>
  <c r="O12" i="1"/>
  <c r="N12" i="1"/>
  <c r="M12" i="1"/>
  <c r="AA11" i="1"/>
  <c r="Z11" i="1"/>
  <c r="Y11" i="1"/>
  <c r="U11" i="1"/>
  <c r="T11" i="1"/>
  <c r="S11" i="1"/>
  <c r="O11" i="1"/>
  <c r="N11" i="1"/>
  <c r="M11" i="1"/>
  <c r="AA10" i="1"/>
  <c r="Z10" i="1"/>
  <c r="Y10" i="1"/>
  <c r="U10" i="1"/>
  <c r="T10" i="1"/>
  <c r="S10" i="1"/>
  <c r="O10" i="1"/>
  <c r="N10" i="1"/>
  <c r="M10" i="1"/>
  <c r="AA9" i="1"/>
  <c r="Z9" i="1"/>
  <c r="Y9" i="1"/>
  <c r="U9" i="1"/>
  <c r="T9" i="1"/>
  <c r="S9" i="1"/>
  <c r="O9" i="1"/>
  <c r="N9" i="1"/>
  <c r="M9" i="1"/>
  <c r="AA8" i="1"/>
  <c r="Z8" i="1"/>
  <c r="Y8" i="1"/>
  <c r="U8" i="1"/>
  <c r="T8" i="1"/>
  <c r="S8" i="1"/>
  <c r="O8" i="1"/>
  <c r="N8" i="1"/>
  <c r="M8" i="1"/>
  <c r="R199" i="3" l="1"/>
  <c r="X199" i="3" s="1"/>
  <c r="S202" i="3"/>
  <c r="L226" i="3"/>
  <c r="R202" i="3"/>
  <c r="X202" i="3" s="1"/>
  <c r="S188" i="3"/>
  <c r="S199" i="3"/>
  <c r="M649" i="3"/>
  <c r="O649" i="3" s="1"/>
  <c r="M559" i="3"/>
  <c r="O559" i="3" s="1"/>
  <c r="M604" i="3"/>
  <c r="O604" i="3" s="1"/>
  <c r="M634" i="3"/>
  <c r="O634" i="3" s="1"/>
  <c r="V604" i="3"/>
  <c r="S604" i="3"/>
  <c r="M774" i="3"/>
  <c r="O774" i="3" s="1"/>
  <c r="S287" i="3"/>
  <c r="Y287" i="3" s="1"/>
  <c r="AA287" i="3" s="1"/>
  <c r="L317" i="3"/>
  <c r="M616" i="3"/>
  <c r="O616" i="3" s="1"/>
  <c r="L700" i="3"/>
  <c r="M673" i="3"/>
  <c r="O673" i="3" s="1"/>
  <c r="R646" i="3"/>
  <c r="X646" i="3" s="1"/>
  <c r="M362" i="3"/>
  <c r="O362" i="3" s="1"/>
  <c r="V452" i="3"/>
  <c r="L553" i="3"/>
  <c r="M367" i="3"/>
  <c r="O367" i="3" s="1"/>
  <c r="R284" i="3"/>
  <c r="X284" i="3" s="1"/>
  <c r="R372" i="3"/>
  <c r="X372" i="3" s="1"/>
  <c r="L739" i="3"/>
  <c r="L613" i="3"/>
  <c r="R407" i="3"/>
  <c r="X407" i="3" s="1"/>
  <c r="R359" i="3"/>
  <c r="X359" i="3" s="1"/>
  <c r="L483" i="3"/>
  <c r="L556" i="3"/>
  <c r="R652" i="3"/>
  <c r="X652" i="3" s="1"/>
  <c r="V661" i="3"/>
  <c r="L571" i="3"/>
  <c r="L341" i="3"/>
  <c r="S359" i="3"/>
  <c r="Y359" i="3" s="1"/>
  <c r="AA359" i="3" s="1"/>
  <c r="L338" i="3"/>
  <c r="R452" i="3"/>
  <c r="X452" i="3" s="1"/>
  <c r="L562" i="3"/>
  <c r="L528" i="3"/>
  <c r="L287" i="3"/>
  <c r="S700" i="3"/>
  <c r="S407" i="3"/>
  <c r="Y407" i="3" s="1"/>
  <c r="AA407" i="3" s="1"/>
  <c r="R661" i="3"/>
  <c r="X661" i="3" s="1"/>
  <c r="M595" i="3"/>
  <c r="O595" i="3" s="1"/>
  <c r="L506" i="3"/>
  <c r="V646" i="3"/>
  <c r="V427" i="3"/>
  <c r="L347" i="3"/>
  <c r="L263" i="3"/>
  <c r="M293" i="3"/>
  <c r="O293" i="3" s="1"/>
  <c r="V676" i="3"/>
  <c r="S649" i="3"/>
  <c r="U649" i="3" s="1"/>
  <c r="M601" i="3"/>
  <c r="O601" i="3" s="1"/>
  <c r="L541" i="3"/>
  <c r="M402" i="3"/>
  <c r="O402" i="3" s="1"/>
  <c r="R688" i="3"/>
  <c r="X688" i="3" s="1"/>
  <c r="S676" i="3"/>
  <c r="R598" i="3"/>
  <c r="X598" i="3" s="1"/>
  <c r="L452" i="3"/>
  <c r="L577" i="3"/>
  <c r="M396" i="3"/>
  <c r="O396" i="3" s="1"/>
  <c r="M305" i="3"/>
  <c r="O305" i="3" s="1"/>
  <c r="L296" i="3"/>
  <c r="S688" i="3"/>
  <c r="U688" i="3" s="1"/>
  <c r="M667" i="3"/>
  <c r="O667" i="3" s="1"/>
  <c r="R680" i="3"/>
  <c r="X680" i="3" s="1"/>
  <c r="O515" i="3"/>
  <c r="S390" i="3"/>
  <c r="M407" i="3"/>
  <c r="O407" i="3" s="1"/>
  <c r="S372" i="3"/>
  <c r="U372" i="3" s="1"/>
  <c r="R696" i="3"/>
  <c r="X696" i="3" s="1"/>
  <c r="S664" i="3"/>
  <c r="U664" i="3" s="1"/>
  <c r="L501" i="3"/>
  <c r="M390" i="3"/>
  <c r="O390" i="3" s="1"/>
  <c r="V664" i="3"/>
  <c r="V673" i="3"/>
  <c r="L646" i="3"/>
  <c r="S673" i="3"/>
  <c r="M534" i="3"/>
  <c r="O534" i="3" s="1"/>
  <c r="V390" i="3"/>
  <c r="L258" i="3"/>
  <c r="M350" i="3"/>
  <c r="O350" i="3" s="1"/>
  <c r="U407" i="3"/>
  <c r="L314" i="3"/>
  <c r="R381" i="3"/>
  <c r="X381" i="3" s="1"/>
  <c r="M487" i="3"/>
  <c r="O487" i="3" s="1"/>
  <c r="Y381" i="3"/>
  <c r="AA381" i="3" s="1"/>
  <c r="S438" i="3"/>
  <c r="Y438" i="3" s="1"/>
  <c r="AA438" i="3" s="1"/>
  <c r="L589" i="3"/>
  <c r="R402" i="3"/>
  <c r="X402" i="3" s="1"/>
  <c r="R258" i="3"/>
  <c r="X258" i="3" s="1"/>
  <c r="Z679" i="3"/>
  <c r="V438" i="3"/>
  <c r="L466" i="3"/>
  <c r="L417" i="3"/>
  <c r="Y372" i="3"/>
  <c r="AA372" i="3" s="1"/>
  <c r="M381" i="3"/>
  <c r="O381" i="3" s="1"/>
  <c r="R293" i="3"/>
  <c r="X293" i="3" s="1"/>
  <c r="S356" i="3"/>
  <c r="V356" i="3"/>
  <c r="V293" i="3"/>
  <c r="M199" i="3"/>
  <c r="O199" i="3" s="1"/>
  <c r="R181" i="3"/>
  <c r="X181" i="3" s="1"/>
  <c r="L525" i="3"/>
  <c r="L335" i="3"/>
  <c r="L302" i="3"/>
  <c r="M302" i="3"/>
  <c r="O302" i="3" s="1"/>
  <c r="S640" i="3"/>
  <c r="U640" i="3" s="1"/>
  <c r="M269" i="3"/>
  <c r="O269" i="3" s="1"/>
  <c r="S296" i="3"/>
  <c r="V296" i="3"/>
  <c r="S386" i="3"/>
  <c r="R386" i="3"/>
  <c r="X386" i="3" s="1"/>
  <c r="V386" i="3"/>
  <c r="V377" i="3"/>
  <c r="S377" i="3"/>
  <c r="V640" i="3"/>
  <c r="M456" i="3"/>
  <c r="O456" i="3" s="1"/>
  <c r="N520" i="3"/>
  <c r="S396" i="3"/>
  <c r="R396" i="3"/>
  <c r="X396" i="3" s="1"/>
  <c r="V396" i="3"/>
  <c r="L290" i="3"/>
  <c r="M290" i="3"/>
  <c r="O290" i="3" s="1"/>
  <c r="L531" i="3"/>
  <c r="V367" i="3"/>
  <c r="S367" i="3"/>
  <c r="V658" i="3"/>
  <c r="R296" i="3"/>
  <c r="X296" i="3" s="1"/>
  <c r="L329" i="3"/>
  <c r="R377" i="3"/>
  <c r="X377" i="3" s="1"/>
  <c r="N164" i="3"/>
  <c r="M522" i="3"/>
  <c r="O522" i="3" s="1"/>
  <c r="V684" i="3"/>
  <c r="S680" i="3"/>
  <c r="Y680" i="3" s="1"/>
  <c r="S658" i="3"/>
  <c r="U658" i="3" s="1"/>
  <c r="Y684" i="3"/>
  <c r="AA684" i="3" s="1"/>
  <c r="M372" i="3"/>
  <c r="O372" i="3" s="1"/>
  <c r="R367" i="3"/>
  <c r="X367" i="3" s="1"/>
  <c r="R275" i="3"/>
  <c r="X275" i="3" s="1"/>
  <c r="L311" i="3"/>
  <c r="L661" i="3"/>
  <c r="M661" i="3"/>
  <c r="O661" i="3" s="1"/>
  <c r="R684" i="3"/>
  <c r="X684" i="3" s="1"/>
  <c r="L574" i="3"/>
  <c r="S275" i="3"/>
  <c r="Y275" i="3" s="1"/>
  <c r="AA275" i="3" s="1"/>
  <c r="L586" i="3"/>
  <c r="M586" i="3"/>
  <c r="O586" i="3" s="1"/>
  <c r="V362" i="3"/>
  <c r="S362" i="3"/>
  <c r="R362" i="3"/>
  <c r="X362" i="3" s="1"/>
  <c r="S144" i="3"/>
  <c r="V108" i="3"/>
  <c r="S105" i="3"/>
  <c r="V144" i="3"/>
  <c r="S108" i="3"/>
  <c r="V79" i="3"/>
  <c r="R79" i="3"/>
  <c r="X79" i="3" s="1"/>
  <c r="R112" i="3"/>
  <c r="X112" i="3" s="1"/>
  <c r="V85" i="3"/>
  <c r="R85" i="3"/>
  <c r="X85" i="3" s="1"/>
  <c r="V149" i="3"/>
  <c r="S112" i="3"/>
  <c r="S149" i="3"/>
  <c r="M72" i="3"/>
  <c r="O72" i="3" s="1"/>
  <c r="S100" i="3"/>
  <c r="L221" i="3"/>
  <c r="L202" i="3"/>
  <c r="M185" i="3"/>
  <c r="O185" i="3" s="1"/>
  <c r="V188" i="3"/>
  <c r="M192" i="3"/>
  <c r="O192" i="3" s="1"/>
  <c r="L254" i="3"/>
  <c r="L215" i="3"/>
  <c r="R212" i="3"/>
  <c r="X212" i="3" s="1"/>
  <c r="R231" i="3"/>
  <c r="X231" i="3" s="1"/>
  <c r="L178" i="3"/>
  <c r="M212" i="3"/>
  <c r="O212" i="3" s="1"/>
  <c r="R221" i="3"/>
  <c r="X221" i="3" s="1"/>
  <c r="V231" i="3"/>
  <c r="L195" i="3"/>
  <c r="R192" i="3"/>
  <c r="X192" i="3" s="1"/>
  <c r="V236" i="3"/>
  <c r="S192" i="3"/>
  <c r="Y192" i="3" s="1"/>
  <c r="AA192" i="3" s="1"/>
  <c r="S181" i="3"/>
  <c r="Y181" i="3" s="1"/>
  <c r="AA181" i="3" s="1"/>
  <c r="V241" i="3"/>
  <c r="S212" i="3"/>
  <c r="Y212" i="3" s="1"/>
  <c r="AA212" i="3" s="1"/>
  <c r="L188" i="3"/>
  <c r="S250" i="3"/>
  <c r="U250" i="3" s="1"/>
  <c r="S241" i="3"/>
  <c r="U241" i="3" s="1"/>
  <c r="V250" i="3"/>
  <c r="L169" i="3"/>
  <c r="L218" i="3"/>
  <c r="S221" i="3"/>
  <c r="Y221" i="3" s="1"/>
  <c r="AA221" i="3" s="1"/>
  <c r="S236" i="3"/>
  <c r="Y236" i="3" s="1"/>
  <c r="AA236" i="3" s="1"/>
  <c r="L474" i="3"/>
  <c r="M448" i="3"/>
  <c r="O448" i="3" s="1"/>
  <c r="L463" i="3"/>
  <c r="T520" i="3"/>
  <c r="Z520" i="3"/>
  <c r="M460" i="3"/>
  <c r="O460" i="3" s="1"/>
  <c r="L510" i="3"/>
  <c r="M510" i="3"/>
  <c r="O510" i="3" s="1"/>
  <c r="M491" i="3"/>
  <c r="O491" i="3" s="1"/>
  <c r="L491" i="3"/>
  <c r="M231" i="3"/>
  <c r="O231" i="3" s="1"/>
  <c r="L231" i="3"/>
  <c r="L246" i="3"/>
  <c r="M246" i="3"/>
  <c r="O246" i="3" s="1"/>
  <c r="T164" i="3"/>
  <c r="R226" i="3"/>
  <c r="X226" i="3" s="1"/>
  <c r="S226" i="3"/>
  <c r="U226" i="3" s="1"/>
  <c r="R209" i="3"/>
  <c r="X209" i="3" s="1"/>
  <c r="R218" i="3"/>
  <c r="X218" i="3" s="1"/>
  <c r="S209" i="3"/>
  <c r="U209" i="3" s="1"/>
  <c r="L181" i="3"/>
  <c r="S218" i="3"/>
  <c r="Y218" i="3" s="1"/>
  <c r="AA218" i="3" s="1"/>
  <c r="R206" i="3"/>
  <c r="X206" i="3" s="1"/>
  <c r="M241" i="3"/>
  <c r="O241" i="3" s="1"/>
  <c r="L241" i="3"/>
  <c r="S774" i="3"/>
  <c r="V774" i="3"/>
  <c r="R774" i="3"/>
  <c r="X774" i="3" s="1"/>
  <c r="U518" i="3"/>
  <c r="Y518" i="3"/>
  <c r="AA518" i="3" s="1"/>
  <c r="S323" i="3"/>
  <c r="R323" i="3"/>
  <c r="X323" i="3" s="1"/>
  <c r="V323" i="3"/>
  <c r="Y290" i="3"/>
  <c r="AA290" i="3" s="1"/>
  <c r="U290" i="3"/>
  <c r="S456" i="3"/>
  <c r="R456" i="3"/>
  <c r="X456" i="3" s="1"/>
  <c r="V456" i="3"/>
  <c r="Y129" i="3"/>
  <c r="AA129" i="3" s="1"/>
  <c r="U129" i="3"/>
  <c r="V565" i="3"/>
  <c r="R565" i="3"/>
  <c r="X565" i="3" s="1"/>
  <c r="S565" i="3"/>
  <c r="R613" i="3"/>
  <c r="X613" i="3" s="1"/>
  <c r="S613" i="3"/>
  <c r="V613" i="3"/>
  <c r="Y646" i="3"/>
  <c r="AA646" i="3" s="1"/>
  <c r="U646" i="3"/>
  <c r="V320" i="3"/>
  <c r="S320" i="3"/>
  <c r="R320" i="3"/>
  <c r="X320" i="3" s="1"/>
  <c r="Z164" i="3"/>
  <c r="S46" i="3"/>
  <c r="R46" i="3"/>
  <c r="X46" i="3" s="1"/>
  <c r="V46" i="3"/>
  <c r="U24" i="3"/>
  <c r="Y24" i="3"/>
  <c r="AA24" i="3" s="1"/>
  <c r="Y215" i="3"/>
  <c r="AA215" i="3" s="1"/>
  <c r="U215" i="3"/>
  <c r="U85" i="3"/>
  <c r="Y85" i="3"/>
  <c r="AA85" i="3" s="1"/>
  <c r="Y159" i="3"/>
  <c r="AA159" i="3" s="1"/>
  <c r="U159" i="3"/>
  <c r="Y108" i="3"/>
  <c r="AA108" i="3" s="1"/>
  <c r="U108" i="3"/>
  <c r="U105" i="3"/>
  <c r="Y105" i="3"/>
  <c r="AA105" i="3" s="1"/>
  <c r="Y119" i="3"/>
  <c r="AA119" i="3" s="1"/>
  <c r="U119" i="3"/>
  <c r="M714" i="3"/>
  <c r="O714" i="3" s="1"/>
  <c r="L714" i="3"/>
  <c r="V694" i="3"/>
  <c r="S694" i="3"/>
  <c r="R694" i="3"/>
  <c r="X694" i="3" s="1"/>
  <c r="Y676" i="3"/>
  <c r="AA676" i="3" s="1"/>
  <c r="U676" i="3"/>
  <c r="V562" i="3"/>
  <c r="S562" i="3"/>
  <c r="R562" i="3"/>
  <c r="X562" i="3" s="1"/>
  <c r="U510" i="3"/>
  <c r="Y510" i="3"/>
  <c r="AA510" i="3" s="1"/>
  <c r="S595" i="3"/>
  <c r="V595" i="3"/>
  <c r="R595" i="3"/>
  <c r="X595" i="3" s="1"/>
  <c r="S487" i="3"/>
  <c r="R487" i="3"/>
  <c r="X487" i="3" s="1"/>
  <c r="V487" i="3"/>
  <c r="V496" i="3"/>
  <c r="R496" i="3"/>
  <c r="X496" i="3" s="1"/>
  <c r="S496" i="3"/>
  <c r="S332" i="3"/>
  <c r="R332" i="3"/>
  <c r="X332" i="3" s="1"/>
  <c r="V332" i="3"/>
  <c r="U299" i="3"/>
  <c r="Y299" i="3"/>
  <c r="AA299" i="3" s="1"/>
  <c r="U275" i="3"/>
  <c r="V166" i="3"/>
  <c r="S166" i="3"/>
  <c r="R166" i="3"/>
  <c r="X166" i="3" s="1"/>
  <c r="U199" i="3"/>
  <c r="Y199" i="3"/>
  <c r="AA199" i="3" s="1"/>
  <c r="V185" i="3"/>
  <c r="S185" i="3"/>
  <c r="R185" i="3"/>
  <c r="X185" i="3" s="1"/>
  <c r="U82" i="3"/>
  <c r="Y82" i="3"/>
  <c r="AA82" i="3" s="1"/>
  <c r="U700" i="3"/>
  <c r="Y700" i="3"/>
  <c r="AA700" i="3" s="1"/>
  <c r="U258" i="3"/>
  <c r="Y258" i="3"/>
  <c r="AA258" i="3" s="1"/>
  <c r="Y144" i="3"/>
  <c r="AA144" i="3" s="1"/>
  <c r="U144" i="3"/>
  <c r="M727" i="3"/>
  <c r="O727" i="3" s="1"/>
  <c r="L727" i="3"/>
  <c r="S670" i="3"/>
  <c r="V670" i="3"/>
  <c r="R670" i="3"/>
  <c r="X670" i="3" s="1"/>
  <c r="U661" i="3"/>
  <c r="Y661" i="3"/>
  <c r="AA661" i="3" s="1"/>
  <c r="S417" i="3"/>
  <c r="V417" i="3"/>
  <c r="R417" i="3"/>
  <c r="X417" i="3" s="1"/>
  <c r="V491" i="3"/>
  <c r="S491" i="3"/>
  <c r="R491" i="3"/>
  <c r="X491" i="3" s="1"/>
  <c r="Y116" i="3"/>
  <c r="AA116" i="3" s="1"/>
  <c r="U116" i="3"/>
  <c r="U696" i="3"/>
  <c r="Y696" i="3"/>
  <c r="AA696" i="3" s="1"/>
  <c r="Y658" i="3"/>
  <c r="AA658" i="3" s="1"/>
  <c r="R622" i="3"/>
  <c r="X622" i="3" s="1"/>
  <c r="S622" i="3"/>
  <c r="V622" i="3"/>
  <c r="M515" i="3"/>
  <c r="U604" i="3"/>
  <c r="Y604" i="3"/>
  <c r="AA604" i="3" s="1"/>
  <c r="V463" i="3"/>
  <c r="S463" i="3"/>
  <c r="R463" i="3"/>
  <c r="X463" i="3" s="1"/>
  <c r="Y690" i="3"/>
  <c r="AA690" i="3" s="1"/>
  <c r="U690" i="3"/>
  <c r="V643" i="3"/>
  <c r="R643" i="3"/>
  <c r="X643" i="3" s="1"/>
  <c r="S643" i="3"/>
  <c r="V541" i="3"/>
  <c r="R541" i="3"/>
  <c r="X541" i="3" s="1"/>
  <c r="S541" i="3"/>
  <c r="R610" i="3"/>
  <c r="X610" i="3" s="1"/>
  <c r="S610" i="3"/>
  <c r="V610" i="3"/>
  <c r="R525" i="3"/>
  <c r="X525" i="3" s="1"/>
  <c r="S525" i="3"/>
  <c r="V525" i="3"/>
  <c r="V571" i="3"/>
  <c r="R571" i="3"/>
  <c r="X571" i="3" s="1"/>
  <c r="S571" i="3"/>
  <c r="S583" i="3"/>
  <c r="R583" i="3"/>
  <c r="X583" i="3" s="1"/>
  <c r="V583" i="3"/>
  <c r="V506" i="3"/>
  <c r="S506" i="3"/>
  <c r="R506" i="3"/>
  <c r="X506" i="3" s="1"/>
  <c r="Y427" i="3"/>
  <c r="AA427" i="3" s="1"/>
  <c r="U427" i="3"/>
  <c r="V444" i="3"/>
  <c r="S444" i="3"/>
  <c r="R444" i="3"/>
  <c r="X444" i="3" s="1"/>
  <c r="U452" i="3"/>
  <c r="Y452" i="3"/>
  <c r="AA452" i="3" s="1"/>
  <c r="S422" i="3"/>
  <c r="R422" i="3"/>
  <c r="X422" i="3" s="1"/>
  <c r="V422" i="3"/>
  <c r="S269" i="3"/>
  <c r="R269" i="3"/>
  <c r="X269" i="3" s="1"/>
  <c r="V269" i="3"/>
  <c r="S173" i="3"/>
  <c r="R173" i="3"/>
  <c r="X173" i="3" s="1"/>
  <c r="V173" i="3"/>
  <c r="S78" i="3"/>
  <c r="U79" i="3"/>
  <c r="Y79" i="3"/>
  <c r="U293" i="3"/>
  <c r="Y293" i="3"/>
  <c r="AA293" i="3" s="1"/>
  <c r="V341" i="3"/>
  <c r="S341" i="3"/>
  <c r="R341" i="3"/>
  <c r="X341" i="3" s="1"/>
  <c r="Y284" i="3"/>
  <c r="AA284" i="3" s="1"/>
  <c r="U284" i="3"/>
  <c r="U149" i="3"/>
  <c r="Y149" i="3"/>
  <c r="AA149" i="3" s="1"/>
  <c r="Y139" i="3"/>
  <c r="AA139" i="3" s="1"/>
  <c r="U139" i="3"/>
  <c r="U58" i="3"/>
  <c r="Y58" i="3"/>
  <c r="AA58" i="3" s="1"/>
  <c r="V727" i="3"/>
  <c r="S727" i="3"/>
  <c r="R727" i="3"/>
  <c r="X727" i="3" s="1"/>
  <c r="U601" i="3"/>
  <c r="Y601" i="3"/>
  <c r="AA601" i="3" s="1"/>
  <c r="S338" i="3"/>
  <c r="R338" i="3"/>
  <c r="X338" i="3" s="1"/>
  <c r="V338" i="3"/>
  <c r="Y206" i="3"/>
  <c r="AA206" i="3" s="1"/>
  <c r="U206" i="3"/>
  <c r="S278" i="3"/>
  <c r="V278" i="3"/>
  <c r="R278" i="3"/>
  <c r="X278" i="3" s="1"/>
  <c r="S753" i="3"/>
  <c r="V753" i="3"/>
  <c r="R753" i="3"/>
  <c r="X753" i="3" s="1"/>
  <c r="V655" i="3"/>
  <c r="R655" i="3"/>
  <c r="X655" i="3" s="1"/>
  <c r="S655" i="3"/>
  <c r="V538" i="3"/>
  <c r="S538" i="3"/>
  <c r="R538" i="3"/>
  <c r="X538" i="3" s="1"/>
  <c r="S592" i="3"/>
  <c r="V592" i="3"/>
  <c r="R592" i="3"/>
  <c r="X592" i="3" s="1"/>
  <c r="V580" i="3"/>
  <c r="S580" i="3"/>
  <c r="R580" i="3"/>
  <c r="X580" i="3" s="1"/>
  <c r="U586" i="3"/>
  <c r="Y586" i="3"/>
  <c r="AA586" i="3" s="1"/>
  <c r="R637" i="3"/>
  <c r="X637" i="3" s="1"/>
  <c r="V637" i="3"/>
  <c r="S637" i="3"/>
  <c r="V501" i="3"/>
  <c r="S501" i="3"/>
  <c r="R501" i="3"/>
  <c r="X501" i="3" s="1"/>
  <c r="S479" i="3"/>
  <c r="R479" i="3"/>
  <c r="X479" i="3" s="1"/>
  <c r="V479" i="3"/>
  <c r="V433" i="3"/>
  <c r="S433" i="3"/>
  <c r="R433" i="3"/>
  <c r="X433" i="3" s="1"/>
  <c r="M412" i="3"/>
  <c r="O412" i="3" s="1"/>
  <c r="L412" i="3"/>
  <c r="S344" i="3"/>
  <c r="R344" i="3"/>
  <c r="X344" i="3" s="1"/>
  <c r="V344" i="3"/>
  <c r="M422" i="3"/>
  <c r="O422" i="3" s="1"/>
  <c r="L422" i="3"/>
  <c r="V574" i="3"/>
  <c r="S574" i="3"/>
  <c r="R574" i="3"/>
  <c r="X574" i="3" s="1"/>
  <c r="O444" i="3"/>
  <c r="V317" i="3"/>
  <c r="S317" i="3"/>
  <c r="R317" i="3"/>
  <c r="X317" i="3" s="1"/>
  <c r="R347" i="3"/>
  <c r="X347" i="3" s="1"/>
  <c r="V347" i="3"/>
  <c r="S347" i="3"/>
  <c r="S263" i="3"/>
  <c r="R263" i="3"/>
  <c r="X263" i="3" s="1"/>
  <c r="V263" i="3"/>
  <c r="U127" i="3"/>
  <c r="Y127" i="3"/>
  <c r="AA127" i="3" s="1"/>
  <c r="S302" i="3"/>
  <c r="V302" i="3"/>
  <c r="R302" i="3"/>
  <c r="X302" i="3" s="1"/>
  <c r="O263" i="3"/>
  <c r="M93" i="3"/>
  <c r="O94" i="3"/>
  <c r="O93" i="3" s="1"/>
  <c r="O166" i="3"/>
  <c r="Y112" i="3"/>
  <c r="AA112" i="3" s="1"/>
  <c r="U112" i="3"/>
  <c r="V559" i="3"/>
  <c r="S559" i="3"/>
  <c r="R559" i="3"/>
  <c r="X559" i="3" s="1"/>
  <c r="V169" i="3"/>
  <c r="S169" i="3"/>
  <c r="R169" i="3"/>
  <c r="X169" i="3" s="1"/>
  <c r="S178" i="3"/>
  <c r="R178" i="3"/>
  <c r="X178" i="3" s="1"/>
  <c r="V178" i="3"/>
  <c r="U359" i="3"/>
  <c r="Y698" i="3"/>
  <c r="AA698" i="3" s="1"/>
  <c r="U698" i="3"/>
  <c r="Y682" i="3"/>
  <c r="AA682" i="3" s="1"/>
  <c r="U682" i="3"/>
  <c r="U631" i="3"/>
  <c r="Y631" i="3"/>
  <c r="AA631" i="3" s="1"/>
  <c r="Y634" i="3"/>
  <c r="AA634" i="3" s="1"/>
  <c r="U634" i="3"/>
  <c r="R607" i="3"/>
  <c r="X607" i="3" s="1"/>
  <c r="S607" i="3"/>
  <c r="V607" i="3"/>
  <c r="Y640" i="3"/>
  <c r="AA640" i="3" s="1"/>
  <c r="R531" i="3"/>
  <c r="X531" i="3" s="1"/>
  <c r="S531" i="3"/>
  <c r="V531" i="3"/>
  <c r="V547" i="3"/>
  <c r="S547" i="3"/>
  <c r="R547" i="3"/>
  <c r="X547" i="3" s="1"/>
  <c r="V466" i="3"/>
  <c r="S466" i="3"/>
  <c r="R466" i="3"/>
  <c r="X466" i="3" s="1"/>
  <c r="R628" i="3"/>
  <c r="X628" i="3" s="1"/>
  <c r="S628" i="3"/>
  <c r="V628" i="3"/>
  <c r="Y589" i="3"/>
  <c r="AA589" i="3" s="1"/>
  <c r="U589" i="3"/>
  <c r="M438" i="3"/>
  <c r="O438" i="3" s="1"/>
  <c r="L438" i="3"/>
  <c r="Y390" i="3"/>
  <c r="AA390" i="3" s="1"/>
  <c r="U390" i="3"/>
  <c r="V314" i="3"/>
  <c r="S314" i="3"/>
  <c r="R314" i="3"/>
  <c r="X314" i="3" s="1"/>
  <c r="V483" i="3"/>
  <c r="S483" i="3"/>
  <c r="R483" i="3"/>
  <c r="X483" i="3" s="1"/>
  <c r="S281" i="3"/>
  <c r="V281" i="3"/>
  <c r="R281" i="3"/>
  <c r="X281" i="3" s="1"/>
  <c r="S93" i="3"/>
  <c r="Y94" i="3"/>
  <c r="U94" i="3"/>
  <c r="Y254" i="3"/>
  <c r="AA254" i="3" s="1"/>
  <c r="U254" i="3"/>
  <c r="Y241" i="3"/>
  <c r="AA241" i="3" s="1"/>
  <c r="O15" i="3"/>
  <c r="O14" i="3" s="1"/>
  <c r="Y91" i="3"/>
  <c r="AA91" i="3" s="1"/>
  <c r="U91" i="3"/>
  <c r="Y154" i="3"/>
  <c r="AA154" i="3" s="1"/>
  <c r="U154" i="3"/>
  <c r="Y134" i="3"/>
  <c r="AA134" i="3" s="1"/>
  <c r="U134" i="3"/>
  <c r="U22" i="3"/>
  <c r="Y22" i="3"/>
  <c r="AA22" i="3" s="1"/>
  <c r="V553" i="3"/>
  <c r="S553" i="3"/>
  <c r="R553" i="3"/>
  <c r="X553" i="3" s="1"/>
  <c r="S40" i="3"/>
  <c r="V40" i="3"/>
  <c r="R40" i="3"/>
  <c r="X40" i="3" s="1"/>
  <c r="U202" i="3"/>
  <c r="Y202" i="3"/>
  <c r="AA202" i="3" s="1"/>
  <c r="Y686" i="3"/>
  <c r="AA686" i="3" s="1"/>
  <c r="U686" i="3"/>
  <c r="V714" i="3"/>
  <c r="S714" i="3"/>
  <c r="R714" i="3"/>
  <c r="X714" i="3" s="1"/>
  <c r="S667" i="3"/>
  <c r="V667" i="3"/>
  <c r="R667" i="3"/>
  <c r="X667" i="3" s="1"/>
  <c r="R528" i="3"/>
  <c r="X528" i="3" s="1"/>
  <c r="S528" i="3"/>
  <c r="V528" i="3"/>
  <c r="V556" i="3"/>
  <c r="S556" i="3"/>
  <c r="R556" i="3"/>
  <c r="X556" i="3" s="1"/>
  <c r="V577" i="3"/>
  <c r="S577" i="3"/>
  <c r="R577" i="3"/>
  <c r="X577" i="3" s="1"/>
  <c r="O753" i="3"/>
  <c r="R616" i="3"/>
  <c r="X616" i="3" s="1"/>
  <c r="S616" i="3"/>
  <c r="V616" i="3"/>
  <c r="V460" i="3"/>
  <c r="S460" i="3"/>
  <c r="R460" i="3"/>
  <c r="X460" i="3" s="1"/>
  <c r="O680" i="3"/>
  <c r="V544" i="3"/>
  <c r="S544" i="3"/>
  <c r="R544" i="3"/>
  <c r="X544" i="3" s="1"/>
  <c r="R534" i="3"/>
  <c r="X534" i="3" s="1"/>
  <c r="V534" i="3"/>
  <c r="S534" i="3"/>
  <c r="S412" i="3"/>
  <c r="R412" i="3"/>
  <c r="X412" i="3" s="1"/>
  <c r="V412" i="3"/>
  <c r="V326" i="3"/>
  <c r="S326" i="3"/>
  <c r="R326" i="3"/>
  <c r="X326" i="3" s="1"/>
  <c r="V335" i="3"/>
  <c r="S335" i="3"/>
  <c r="R335" i="3"/>
  <c r="X335" i="3" s="1"/>
  <c r="V568" i="3"/>
  <c r="S568" i="3"/>
  <c r="R568" i="3"/>
  <c r="X568" i="3" s="1"/>
  <c r="S474" i="3"/>
  <c r="R474" i="3"/>
  <c r="X474" i="3" s="1"/>
  <c r="V474" i="3"/>
  <c r="V311" i="3"/>
  <c r="S311" i="3"/>
  <c r="R311" i="3"/>
  <c r="X311" i="3" s="1"/>
  <c r="Y246" i="3"/>
  <c r="AA246" i="3" s="1"/>
  <c r="U246" i="3"/>
  <c r="S195" i="3"/>
  <c r="R195" i="3"/>
  <c r="X195" i="3" s="1"/>
  <c r="V195" i="3"/>
  <c r="S72" i="3"/>
  <c r="R72" i="3"/>
  <c r="X72" i="3" s="1"/>
  <c r="V72" i="3"/>
  <c r="U287" i="3"/>
  <c r="U15" i="3"/>
  <c r="Y15" i="3"/>
  <c r="V52" i="3"/>
  <c r="S52" i="3"/>
  <c r="R52" i="3"/>
  <c r="X52" i="3" s="1"/>
  <c r="Y402" i="3"/>
  <c r="AA402" i="3" s="1"/>
  <c r="U402" i="3"/>
  <c r="Y122" i="3"/>
  <c r="AA122" i="3" s="1"/>
  <c r="U122" i="3"/>
  <c r="O79" i="3"/>
  <c r="O78" i="3" s="1"/>
  <c r="M78" i="3"/>
  <c r="U188" i="3"/>
  <c r="Y188" i="3"/>
  <c r="AA188" i="3" s="1"/>
  <c r="Y125" i="3"/>
  <c r="AA125" i="3" s="1"/>
  <c r="U125" i="3"/>
  <c r="S305" i="3"/>
  <c r="R305" i="3"/>
  <c r="X305" i="3" s="1"/>
  <c r="V305" i="3"/>
  <c r="R739" i="3"/>
  <c r="X739" i="3" s="1"/>
  <c r="V739" i="3"/>
  <c r="S739" i="3"/>
  <c r="U673" i="3"/>
  <c r="Y673" i="3"/>
  <c r="AA673" i="3" s="1"/>
  <c r="Y516" i="3"/>
  <c r="U516" i="3"/>
  <c r="U515" i="3" s="1"/>
  <c r="S515" i="3"/>
  <c r="U598" i="3"/>
  <c r="Y598" i="3"/>
  <c r="AA598" i="3" s="1"/>
  <c r="R625" i="3"/>
  <c r="X625" i="3" s="1"/>
  <c r="S625" i="3"/>
  <c r="V625" i="3"/>
  <c r="R522" i="3"/>
  <c r="X522" i="3" s="1"/>
  <c r="S522" i="3"/>
  <c r="V522" i="3"/>
  <c r="V550" i="3"/>
  <c r="S550" i="3"/>
  <c r="R550" i="3"/>
  <c r="X550" i="3" s="1"/>
  <c r="R619" i="3"/>
  <c r="X619" i="3" s="1"/>
  <c r="S619" i="3"/>
  <c r="V619" i="3"/>
  <c r="Y448" i="3"/>
  <c r="AA448" i="3" s="1"/>
  <c r="U448" i="3"/>
  <c r="M469" i="3"/>
  <c r="O469" i="3" s="1"/>
  <c r="L469" i="3"/>
  <c r="S353" i="3"/>
  <c r="R353" i="3"/>
  <c r="X353" i="3" s="1"/>
  <c r="V353" i="3"/>
  <c r="V350" i="3"/>
  <c r="S350" i="3"/>
  <c r="R350" i="3"/>
  <c r="X350" i="3" s="1"/>
  <c r="V329" i="3"/>
  <c r="S329" i="3"/>
  <c r="R329" i="3"/>
  <c r="X329" i="3" s="1"/>
  <c r="V308" i="3"/>
  <c r="S308" i="3"/>
  <c r="R308" i="3"/>
  <c r="X308" i="3" s="1"/>
  <c r="Y231" i="3"/>
  <c r="AA231" i="3" s="1"/>
  <c r="U231" i="3"/>
  <c r="S469" i="3"/>
  <c r="V469" i="3"/>
  <c r="R469" i="3"/>
  <c r="X469" i="3" s="1"/>
  <c r="U89" i="3"/>
  <c r="Y89" i="3"/>
  <c r="AA89" i="3" s="1"/>
  <c r="V18" i="3"/>
  <c r="S18" i="3"/>
  <c r="R18" i="3"/>
  <c r="X18" i="3" s="1"/>
  <c r="Y87" i="3"/>
  <c r="AA87" i="3" s="1"/>
  <c r="U87" i="3"/>
  <c r="U32" i="3"/>
  <c r="Y32" i="3"/>
  <c r="AA32" i="3" s="1"/>
  <c r="Y100" i="3"/>
  <c r="AA100" i="3" s="1"/>
  <c r="U100" i="3"/>
  <c r="O752" i="3" l="1"/>
  <c r="Y649" i="3"/>
  <c r="AA649" i="3" s="1"/>
  <c r="M752" i="3"/>
  <c r="O537" i="3"/>
  <c r="O520" i="3" s="1"/>
  <c r="M521" i="3"/>
  <c r="Y664" i="3"/>
  <c r="AA664" i="3" s="1"/>
  <c r="O679" i="3"/>
  <c r="U438" i="3"/>
  <c r="M679" i="3"/>
  <c r="O521" i="3"/>
  <c r="Y688" i="3"/>
  <c r="AA688" i="3" s="1"/>
  <c r="M262" i="3"/>
  <c r="Z12" i="3"/>
  <c r="Z11" i="3" s="1"/>
  <c r="Z10" i="3" s="1"/>
  <c r="Z9" i="3" s="1"/>
  <c r="Z8" i="3" s="1"/>
  <c r="Z796" i="3" s="1"/>
  <c r="Y356" i="3"/>
  <c r="AA356" i="3" s="1"/>
  <c r="U356" i="3"/>
  <c r="N12" i="3"/>
  <c r="N11" i="3" s="1"/>
  <c r="N10" i="3" s="1"/>
  <c r="N9" i="3" s="1"/>
  <c r="N8" i="3" s="1"/>
  <c r="N796" i="3" s="1"/>
  <c r="U362" i="3"/>
  <c r="Y362" i="3"/>
  <c r="AA362" i="3" s="1"/>
  <c r="Y296" i="3"/>
  <c r="AA296" i="3" s="1"/>
  <c r="U296" i="3"/>
  <c r="Y377" i="3"/>
  <c r="AA377" i="3" s="1"/>
  <c r="U377" i="3"/>
  <c r="U680" i="3"/>
  <c r="T12" i="3"/>
  <c r="T11" i="3" s="1"/>
  <c r="T10" i="3" s="1"/>
  <c r="T9" i="3" s="1"/>
  <c r="T8" i="3" s="1"/>
  <c r="T796" i="3" s="1"/>
  <c r="Y367" i="3"/>
  <c r="AA367" i="3" s="1"/>
  <c r="U367" i="3"/>
  <c r="S679" i="3"/>
  <c r="M537" i="3"/>
  <c r="M520" i="3" s="1"/>
  <c r="U396" i="3"/>
  <c r="Y396" i="3"/>
  <c r="AA396" i="3" s="1"/>
  <c r="Y386" i="3"/>
  <c r="AA386" i="3" s="1"/>
  <c r="U386" i="3"/>
  <c r="M14" i="3"/>
  <c r="M13" i="3" s="1"/>
  <c r="Y250" i="3"/>
  <c r="AA250" i="3" s="1"/>
  <c r="U192" i="3"/>
  <c r="Y209" i="3"/>
  <c r="AA209" i="3" s="1"/>
  <c r="U221" i="3"/>
  <c r="U181" i="3"/>
  <c r="U236" i="3"/>
  <c r="O165" i="3"/>
  <c r="U212" i="3"/>
  <c r="M165" i="3"/>
  <c r="U218" i="3"/>
  <c r="Y226" i="3"/>
  <c r="AA226" i="3" s="1"/>
  <c r="U314" i="3"/>
  <c r="Y314" i="3"/>
  <c r="AA314" i="3" s="1"/>
  <c r="Y350" i="3"/>
  <c r="AA350" i="3" s="1"/>
  <c r="U350" i="3"/>
  <c r="U625" i="3"/>
  <c r="Y625" i="3"/>
  <c r="AA625" i="3" s="1"/>
  <c r="Y544" i="3"/>
  <c r="AA544" i="3" s="1"/>
  <c r="U544" i="3"/>
  <c r="U616" i="3"/>
  <c r="Y616" i="3"/>
  <c r="AA616" i="3" s="1"/>
  <c r="Y556" i="3"/>
  <c r="AA556" i="3" s="1"/>
  <c r="U556" i="3"/>
  <c r="Y93" i="3"/>
  <c r="AA94" i="3"/>
  <c r="AA93" i="3" s="1"/>
  <c r="U637" i="3"/>
  <c r="Y637" i="3"/>
  <c r="AA637" i="3" s="1"/>
  <c r="Y269" i="3"/>
  <c r="AA269" i="3" s="1"/>
  <c r="U269" i="3"/>
  <c r="U491" i="3"/>
  <c r="Y491" i="3"/>
  <c r="AA491" i="3" s="1"/>
  <c r="Y694" i="3"/>
  <c r="AA694" i="3" s="1"/>
  <c r="U694" i="3"/>
  <c r="Y568" i="3"/>
  <c r="AA568" i="3" s="1"/>
  <c r="U568" i="3"/>
  <c r="Y547" i="3"/>
  <c r="AA547" i="3" s="1"/>
  <c r="U547" i="3"/>
  <c r="U670" i="3"/>
  <c r="Y670" i="3"/>
  <c r="AA670" i="3" s="1"/>
  <c r="Y72" i="3"/>
  <c r="AA72" i="3" s="1"/>
  <c r="U72" i="3"/>
  <c r="Y263" i="3"/>
  <c r="S262" i="3"/>
  <c r="U263" i="3"/>
  <c r="M443" i="3"/>
  <c r="U592" i="3"/>
  <c r="Y592" i="3"/>
  <c r="AA592" i="3" s="1"/>
  <c r="Y341" i="3"/>
  <c r="AA341" i="3" s="1"/>
  <c r="U341" i="3"/>
  <c r="Y571" i="3"/>
  <c r="AA571" i="3" s="1"/>
  <c r="U571" i="3"/>
  <c r="S165" i="3"/>
  <c r="Y166" i="3"/>
  <c r="U166" i="3"/>
  <c r="U487" i="3"/>
  <c r="Y487" i="3"/>
  <c r="AA487" i="3" s="1"/>
  <c r="Y323" i="3"/>
  <c r="AA323" i="3" s="1"/>
  <c r="U323" i="3"/>
  <c r="Y353" i="3"/>
  <c r="AA353" i="3" s="1"/>
  <c r="U353" i="3"/>
  <c r="Y40" i="3"/>
  <c r="AA40" i="3" s="1"/>
  <c r="U40" i="3"/>
  <c r="U169" i="3"/>
  <c r="Y169" i="3"/>
  <c r="AA169" i="3" s="1"/>
  <c r="Y583" i="3"/>
  <c r="AA583" i="3" s="1"/>
  <c r="U583" i="3"/>
  <c r="Y562" i="3"/>
  <c r="AA562" i="3" s="1"/>
  <c r="U562" i="3"/>
  <c r="Y329" i="3"/>
  <c r="AA329" i="3" s="1"/>
  <c r="U329" i="3"/>
  <c r="Y550" i="3"/>
  <c r="AA550" i="3" s="1"/>
  <c r="U550" i="3"/>
  <c r="U18" i="3"/>
  <c r="U14" i="3" s="1"/>
  <c r="Y18" i="3"/>
  <c r="AA18" i="3" s="1"/>
  <c r="Y469" i="3"/>
  <c r="AA469" i="3" s="1"/>
  <c r="U469" i="3"/>
  <c r="U739" i="3"/>
  <c r="Y739" i="3"/>
  <c r="AA739" i="3" s="1"/>
  <c r="S14" i="3"/>
  <c r="S13" i="3" s="1"/>
  <c r="U311" i="3"/>
  <c r="Y311" i="3"/>
  <c r="AA311" i="3" s="1"/>
  <c r="U412" i="3"/>
  <c r="Y412" i="3"/>
  <c r="AA412" i="3" s="1"/>
  <c r="Y528" i="3"/>
  <c r="AA528" i="3" s="1"/>
  <c r="U528" i="3"/>
  <c r="Y553" i="3"/>
  <c r="AA553" i="3" s="1"/>
  <c r="U553" i="3"/>
  <c r="U628" i="3"/>
  <c r="Y628" i="3"/>
  <c r="AA628" i="3" s="1"/>
  <c r="Y347" i="3"/>
  <c r="AA347" i="3" s="1"/>
  <c r="U347" i="3"/>
  <c r="O443" i="3"/>
  <c r="Y344" i="3"/>
  <c r="AA344" i="3" s="1"/>
  <c r="U344" i="3"/>
  <c r="Y753" i="3"/>
  <c r="S752" i="3"/>
  <c r="U753" i="3"/>
  <c r="Y338" i="3"/>
  <c r="AA338" i="3" s="1"/>
  <c r="U338" i="3"/>
  <c r="U173" i="3"/>
  <c r="Y173" i="3"/>
  <c r="AA173" i="3" s="1"/>
  <c r="U422" i="3"/>
  <c r="Y422" i="3"/>
  <c r="AA422" i="3" s="1"/>
  <c r="Y541" i="3"/>
  <c r="AA541" i="3" s="1"/>
  <c r="U541" i="3"/>
  <c r="U305" i="3"/>
  <c r="Y305" i="3"/>
  <c r="AA305" i="3" s="1"/>
  <c r="U302" i="3"/>
  <c r="Y302" i="3"/>
  <c r="AA302" i="3" s="1"/>
  <c r="U610" i="3"/>
  <c r="Y610" i="3"/>
  <c r="AA610" i="3" s="1"/>
  <c r="AA680" i="3"/>
  <c r="Y335" i="3"/>
  <c r="AA335" i="3" s="1"/>
  <c r="U335" i="3"/>
  <c r="Y534" i="3"/>
  <c r="AA534" i="3" s="1"/>
  <c r="U534" i="3"/>
  <c r="Y281" i="3"/>
  <c r="AA281" i="3" s="1"/>
  <c r="U281" i="3"/>
  <c r="Y531" i="3"/>
  <c r="AA531" i="3" s="1"/>
  <c r="U531" i="3"/>
  <c r="Y559" i="3"/>
  <c r="AA559" i="3" s="1"/>
  <c r="U559" i="3"/>
  <c r="O262" i="3"/>
  <c r="Y479" i="3"/>
  <c r="AA479" i="3" s="1"/>
  <c r="U479" i="3"/>
  <c r="Y538" i="3"/>
  <c r="S537" i="3"/>
  <c r="U538" i="3"/>
  <c r="U622" i="3"/>
  <c r="Y622" i="3"/>
  <c r="AA622" i="3" s="1"/>
  <c r="Y417" i="3"/>
  <c r="AA417" i="3" s="1"/>
  <c r="U417" i="3"/>
  <c r="Y332" i="3"/>
  <c r="AA332" i="3" s="1"/>
  <c r="U332" i="3"/>
  <c r="U46" i="3"/>
  <c r="Y46" i="3"/>
  <c r="AA46" i="3" s="1"/>
  <c r="U613" i="3"/>
  <c r="Y613" i="3"/>
  <c r="AA613" i="3" s="1"/>
  <c r="AA15" i="3"/>
  <c r="Y714" i="3"/>
  <c r="AA714" i="3" s="1"/>
  <c r="U714" i="3"/>
  <c r="Y522" i="3"/>
  <c r="U522" i="3"/>
  <c r="S521" i="3"/>
  <c r="U460" i="3"/>
  <c r="Y460" i="3"/>
  <c r="AA460" i="3" s="1"/>
  <c r="Y506" i="3"/>
  <c r="AA506" i="3" s="1"/>
  <c r="U506" i="3"/>
  <c r="U595" i="3"/>
  <c r="Y595" i="3"/>
  <c r="AA595" i="3" s="1"/>
  <c r="AA516" i="3"/>
  <c r="AA515" i="3" s="1"/>
  <c r="Y515" i="3"/>
  <c r="O13" i="3"/>
  <c r="U483" i="3"/>
  <c r="Y483" i="3"/>
  <c r="AA483" i="3" s="1"/>
  <c r="U466" i="3"/>
  <c r="Y466" i="3"/>
  <c r="AA466" i="3" s="1"/>
  <c r="Y501" i="3"/>
  <c r="AA501" i="3" s="1"/>
  <c r="U501" i="3"/>
  <c r="Y580" i="3"/>
  <c r="AA580" i="3" s="1"/>
  <c r="U580" i="3"/>
  <c r="Y655" i="3"/>
  <c r="AA655" i="3" s="1"/>
  <c r="U655" i="3"/>
  <c r="U278" i="3"/>
  <c r="Y278" i="3"/>
  <c r="AA278" i="3" s="1"/>
  <c r="AA79" i="3"/>
  <c r="AA78" i="3" s="1"/>
  <c r="Y78" i="3"/>
  <c r="Y525" i="3"/>
  <c r="AA525" i="3" s="1"/>
  <c r="U525" i="3"/>
  <c r="Y643" i="3"/>
  <c r="AA643" i="3" s="1"/>
  <c r="U643" i="3"/>
  <c r="U463" i="3"/>
  <c r="Y463" i="3"/>
  <c r="AA463" i="3" s="1"/>
  <c r="Y565" i="3"/>
  <c r="AA565" i="3" s="1"/>
  <c r="U565" i="3"/>
  <c r="U607" i="3"/>
  <c r="Y607" i="3"/>
  <c r="AA607" i="3" s="1"/>
  <c r="Y195" i="3"/>
  <c r="AA195" i="3" s="1"/>
  <c r="U195" i="3"/>
  <c r="Y577" i="3"/>
  <c r="AA577" i="3" s="1"/>
  <c r="U577" i="3"/>
  <c r="Y574" i="3"/>
  <c r="AA574" i="3" s="1"/>
  <c r="U574" i="3"/>
  <c r="U185" i="3"/>
  <c r="Y185" i="3"/>
  <c r="AA185" i="3" s="1"/>
  <c r="Y496" i="3"/>
  <c r="AA496" i="3" s="1"/>
  <c r="U496" i="3"/>
  <c r="Y456" i="3"/>
  <c r="AA456" i="3" s="1"/>
  <c r="U456" i="3"/>
  <c r="U308" i="3"/>
  <c r="Y308" i="3"/>
  <c r="AA308" i="3" s="1"/>
  <c r="U619" i="3"/>
  <c r="Y619" i="3"/>
  <c r="AA619" i="3" s="1"/>
  <c r="U52" i="3"/>
  <c r="Y52" i="3"/>
  <c r="AA52" i="3" s="1"/>
  <c r="U474" i="3"/>
  <c r="Y474" i="3"/>
  <c r="AA474" i="3" s="1"/>
  <c r="Y326" i="3"/>
  <c r="AA326" i="3" s="1"/>
  <c r="U326" i="3"/>
  <c r="U667" i="3"/>
  <c r="Y667" i="3"/>
  <c r="AA667" i="3" s="1"/>
  <c r="U93" i="3"/>
  <c r="U178" i="3"/>
  <c r="Y178" i="3"/>
  <c r="AA178" i="3" s="1"/>
  <c r="U317" i="3"/>
  <c r="Y317" i="3"/>
  <c r="AA317" i="3" s="1"/>
  <c r="Y433" i="3"/>
  <c r="AA433" i="3" s="1"/>
  <c r="U433" i="3"/>
  <c r="Y727" i="3"/>
  <c r="AA727" i="3" s="1"/>
  <c r="U727" i="3"/>
  <c r="U78" i="3"/>
  <c r="S443" i="3"/>
  <c r="U444" i="3"/>
  <c r="Y444" i="3"/>
  <c r="Y320" i="3"/>
  <c r="AA320" i="3" s="1"/>
  <c r="U320" i="3"/>
  <c r="Y774" i="3"/>
  <c r="AA774" i="3" s="1"/>
  <c r="U774" i="3"/>
  <c r="U679" i="3" l="1"/>
  <c r="S520" i="3"/>
  <c r="M164" i="3"/>
  <c r="M12" i="3" s="1"/>
  <c r="M11" i="3" s="1"/>
  <c r="M10" i="3" s="1"/>
  <c r="M9" i="3" s="1"/>
  <c r="M8" i="3" s="1"/>
  <c r="M796" i="3" s="1"/>
  <c r="O796" i="3" s="1"/>
  <c r="O164" i="3"/>
  <c r="O12" i="3" s="1"/>
  <c r="O11" i="3" s="1"/>
  <c r="O10" i="3" s="1"/>
  <c r="O9" i="3" s="1"/>
  <c r="O8" i="3" s="1"/>
  <c r="U13" i="3"/>
  <c r="AA14" i="3"/>
  <c r="AA13" i="3" s="1"/>
  <c r="U165" i="3"/>
  <c r="S164" i="3"/>
  <c r="S12" i="3" s="1"/>
  <c r="S11" i="3" s="1"/>
  <c r="S10" i="3" s="1"/>
  <c r="S9" i="3" s="1"/>
  <c r="S8" i="3" s="1"/>
  <c r="S796" i="3" s="1"/>
  <c r="U796" i="3" s="1"/>
  <c r="U262" i="3"/>
  <c r="AA753" i="3"/>
  <c r="AA752" i="3" s="1"/>
  <c r="Y752" i="3"/>
  <c r="U521" i="3"/>
  <c r="U537" i="3"/>
  <c r="AA679" i="3"/>
  <c r="AA263" i="3"/>
  <c r="AA262" i="3" s="1"/>
  <c r="Y262" i="3"/>
  <c r="U443" i="3"/>
  <c r="Y521" i="3"/>
  <c r="AA522" i="3"/>
  <c r="AA521" i="3" s="1"/>
  <c r="Y679" i="3"/>
  <c r="U752" i="3"/>
  <c r="Y14" i="3"/>
  <c r="Y13" i="3" s="1"/>
  <c r="AA166" i="3"/>
  <c r="AA165" i="3" s="1"/>
  <c r="Y165" i="3"/>
  <c r="Y443" i="3"/>
  <c r="AA444" i="3"/>
  <c r="AA443" i="3" s="1"/>
  <c r="Y537" i="3"/>
  <c r="AA538" i="3"/>
  <c r="AA537" i="3" s="1"/>
  <c r="Y520" i="3" l="1"/>
  <c r="Y164" i="3"/>
  <c r="U520" i="3"/>
  <c r="AA164" i="3"/>
  <c r="U164" i="3"/>
  <c r="AA520" i="3"/>
  <c r="Y12" i="3" l="1"/>
  <c r="Y11" i="3" s="1"/>
  <c r="Y10" i="3" s="1"/>
  <c r="Y9" i="3" s="1"/>
  <c r="Y8" i="3" s="1"/>
  <c r="Y796" i="3" s="1"/>
  <c r="AA796" i="3" s="1"/>
  <c r="U12" i="3"/>
  <c r="U11" i="3" s="1"/>
  <c r="U10" i="3" s="1"/>
  <c r="U9" i="3" s="1"/>
  <c r="U8" i="3" s="1"/>
  <c r="AA12" i="3"/>
  <c r="AA11" i="3" s="1"/>
  <c r="AA10" i="3" s="1"/>
  <c r="AA9" i="3" s="1"/>
  <c r="AA8" i="3" s="1"/>
</calcChain>
</file>

<file path=xl/sharedStrings.xml><?xml version="1.0" encoding="utf-8"?>
<sst xmlns="http://schemas.openxmlformats.org/spreadsheetml/2006/main" count="16829" uniqueCount="3056">
  <si>
    <t>Указать название организации (на бланке организации)</t>
  </si>
  <si>
    <t>{"tkp_id":null,"is_full":true,"with_vat":true,"price_type":"c4c5aea1-b5cd-11e8-80e5-005056881952","estimate_id":5140471,"estimate_version_id":6826566,"tkp_form_id":null,"fill_recommended_prices":true}</t>
  </si>
  <si>
    <t>8</t>
  </si>
  <si>
    <t>l4tiRkmj+h/fkem1VjuYpj5XOlrgSeMAes72qRC6/fRGvf2pg9A0gmcMj0zn3h2IYsrsbdVRKBNM2VFoR6WhuVmvpDc1/oA6zmzBJGUqsJr5K3itj74q4AFan0WcfA+99SmYPzSxJn5r6vETVSB/E40Qbd4ZMvJyoeGL37xBxpQ=</t>
  </si>
  <si>
    <t>ТЕХНИКО-КОММЕРЧЕСКОЕ ПРЕДЛОЖЕНИЕ (ТКП)</t>
  </si>
  <si>
    <t>г. Москва, Волоколамское ш., Покровское, вл. 71/15, СОШ 2, 850 мест</t>
  </si>
  <si>
    <t>Стоимость, указанная в предложении, включает в себя все необходимые затраты на выполнение полного комплекса работ, с НДС</t>
  </si>
  <si>
    <t>Предельная стоимость производства работ (ПСПР)</t>
  </si>
  <si>
    <t>Заполните : Название компании</t>
  </si>
  <si>
    <t>Заполните : ИНН</t>
  </si>
  <si>
    <t>eF7s/WuTJMdx5wt/lTK9Iru76slb5AVmeAE0G7M1nO6q6azSY1qNjNaX6l2YSIAHgPaitTUjAEGgDiiBFMUVDQQIAjq7e14cOza4DDnEZfAVqr/C80meiKzK6unqiMi/e6VnNXZF2vRMX2bgP49M979HeET8lz957T//ePYnz/zJj05+/Cd7f/IfTn74V7NJ9ZWX/uqHP9z7k9l/Opv9cPGFP3m1/gH95//y4E/OXv7Rj15+6cGfPPPn+hPzr+g/Xn1178HVP/Zg+a89uPrnqp999erHqs/n/zL/Yv5w/of5w8s3Ln/Wm39dffKp/vj1/PH8UW/+5PIn88+Wn5qf+lv9++Ped8wP9uafzL+svvWF8ye/W/33zl5++ZXzF186eW3xH30urL46e/W1F3+kv3b88n8cnj9l8Euvvfjaf77zVy/WX/uve9dpX7p48d/xaP/Lgwf6X/rLH/9A/9sPVn9J/+nFV39wof9cffG1V/5qVn3xP7742r//wX84ee36V3/8yotnsx9U5pivmw9nyZk6mZ2E/VN1dt4Pw1nez4OZ6geBClSa52GhIvNz1d+vqWsbVJgESRZe/95/mL3y6osvv1T/TJpHqUrTvdr8i5df+dENhosXf/jDH7wyM0/D7KXz2fkPKktfXVn/X21D8b1NhkI/wLxxsFnywiaWvPriv2O+ADZTDjYxZaO38eP5r+b/ff7B/Nfz9+a/7ZsP8/f1/381/938f+qPH1Vf+VVv/qH+wq/m/zT/jf70v+k/mb/xK/1Wfqx/4EP7Oxc9M422hfXZoKcpnly+riOFji17vfk/zp/o2PFEf/6kiiFfVd97ouPI5U8HewZQf08HlCfzT+vv6K9+Ov9y0MtC/Uj/f0KlP/9I4//fvWivl6ugN/9q/ujy9cs3rPTxM9N4W/QfXb6h7X+s7Xti7Lv82V7v8s067OpwqUPp5bsarjf/RhM/mn9eeeb3+k8mlD6uuL+Yf3n5D5dv659/dPmG+VntlUfzT6q/Z/5oIvcj/bc+uXxLf/zc/Ncu3zFfXkT2n1Qf3+ktwvan+lvfVI7/evkf0T9Yf+GJDuJPepXLv9Jf/FL/xBf6v/CwZ/4RHfGfXL6h7X+9p5+5f5p/ZHV28sw02ZazP1y68JF22M+WrjVevz4CC1c/qTLVp8Zh1Y98eo1Sv04f6idMv2rWF+quemaktkX5z9rIesAea8sf9Z4xA7KWu+sxXHzhsY1irJ45vl0Uv9YcH9hMLdUz062Z+kHlykeXP9FPjgk/+qPtyVfPPJdty8T3zHNsIssfTEQ1jvxo/jublc+rZ57fmpXmITUv4qMq1Dz1sD4VqGxG76tn9rdm9HvV6FdG68f0obby8fyPVcj0uPl76pnv3UKLdaz7yeW7+uPb+ks6CdlMP1DPHGzN9F/NP9dywUTmrwY2415Qz7ywNeO0Xy///vJvBtWD+voy2Vp9eEc9c2ebZs6/7JvU1pv/Yv5bm33/Rj3zb7Zm32+1UPk7/XAuk9TCVJuVQ/XMcGtW/o8qSmm5qt+YN+efDPyy5276zPfTbZn6vombJj/pF+ehlj7vmCT14MFLRhKaylzb//nT8dYKsDVHf6Tt/12l+j+wx9Lvb8002jNwL33m3tZMtdUZldF+mw/TZ46+1c/t4fY83vTcHm3NtEWEtVc/e9rB0OM8Sp8ZbY2A9uaN02fuf6uf4vHWHN34FN/fmmm0Z+A4feZ4a6Yyo2+ZPjP5Vj+35fY83vTcTrZmWivRd5o+M92E4LWXXzv54Q2AB3/y0smPZot/lg9xfTYQofleEW0y/+yC+fGrP35lYr53qP/JV148+eHB//FXL/74R/pfsyBerCE+W04Pv3OYW+f3DoXtLX/0yvilV1Ajj+xGHgkbOTZLSIiNxlu7K2vWZYSMla9tNOyl3aOloK20IZ/YDZwIGggPt/HS7sQx3FMZC//9i+fns5c2e9f/zO7TPxO3mDb0/9Zu5r8VNxN+AIzHdv+t4wF47jmyoX9R/Svns/HJa/9ef02bnZ6eRaenJ0F/llyofpIHF/08zy76J0kcnMQqCc/PTxY/+crL/3Hxh2Lx2wp49sPZ6uFgpcBw0Jv/Y5XwzGLRo2qtzqxRzh9bvt6v1pQe237crNv+wuqp/JlhDnsKdcp/1X8xjGFntJBCi73DInTkUSG+hM5HewmPir0jF9SREJSiQ8GvrGEaFXsjF9NIiAl/KzdM6MVe6WIrZdiigMZGewAnxd7EBTQRAgppQKSHb1rsTV08UwEeA5Q+uJ4i1vlenZ299qKlzNMp4q9+dDqzjdXNJBHaiJ4rrERRFoZxFCi1jrXI13oIYAtNvvzBj6uE2WhkajPxeaaJ62+0x4lYnjWdAOtdKqs8WnUGmG6OZY+GdZ1ov3hmyKS5kSndOC1kyjBwVJtM49fTIGA8LQodOSw+4lqs6BaTwszIYfCIazD+uG+YwByGl0zDb2SnBsNpz8XEYe2Eay0emhmpx2HslGOssXYZM4TziiOzhIHX6tTpYthIUmoZxDYrn+daib9uaHb5rc4bVUeg6XfZq2czv7x8V+eXr6s2yavZzMt39qpOUv1ZlXSqWo8wHb4fBs8Muegdp6LQnorY1neQi+wmH7FNVnSTSYFn5LB4xLYYfz02zUZ2y0uu5dLpyG7uhG0uHtI5+chu7ZRlbfVcPOgmIblSkn3LRG135vQybCYxJdntfJ5rJ/7WsZLSon3/9zqpfHn5zuVbi0ZN02/8d8sG/T/aaPbDUOcaJlHHuSZy5Bqu9R3kGrvJR2yTFd1kUlAZOSwesS3Gn/pNc43d8pJruXSusZs7YZuLR2tOrrFbO2VZa8xdPsgd5BpXtrGvLtWW504/w4aSs81A2Sx9nmsp/uYx841zSWo/jHRSYZrdcVKJ9w6joNg7TEP9IQ+U/pA5VqHYRB0kmnjvyGAcGYwjg3HkwjhiYyg6BinKjDTFyFCMDMXIUIxcFCM2Bf5abJqQ4r3S0JSGpjQ0pYum5NJIJ6l4b2IQJgZhYhAmLoQJGwEP/ZzEFe9NDcHUEEwNwdRFMGURdFs4udNZ7LW9cHofNpWRzlwFFNNW/M1FE9qH1RzeOzYr98NY5zCmpR3nsGTvMAwi/SEsHJmLy9FB5kr2jozxRy7jj9jGK7rxpOAy0raPjO0jl+0jtu34s75plkr2SsNQuhhKLoN0bkr2JsbwicvwCdtwPH5zMlKyNzV2T112T1l2d5+HXJko8VmfBk6vw8ayMpErFzGtxd9PSi763BycUa0sfboosRZHGzypDvaYV3vz/2b+uDrq4Kd1Y6D5+heXP7l8R/89swvehrkfJjqZMVE7Tma6AgtzXZTpfBbpxJYEe4cq1fWZ/jzVX8/01wr9tSJ1pDouZQepTldlGu1Iox1ptCONdqTRjjTakUY70mhHGu3IgXbERlN0NFJMG2mykSYbabKRJhtpspEmG2mykSYbabKRJhs5yEZsMvw13DRN6upNE5aasNSEpSYsNWGpCUtNWGrCUhOWDsKSSyidRHVFp7EmGmuisSYaa6KxJhprorEmGmuisSYOrAkbC09NnBSrqzxNNdVUU0011VRTTTXVVFNNNdVUU001dVBNWVQGaxkpDdyf+xLxf3z5lb+0oPKysCsPKy9E5BwazFZmEnavqjHNXU9OLteCWfhfVj2Df6x7BRcnGn6pk+unptWjXlpbpGWzX+3J/LOqsePrVeZ+Uh+U8qnZGXn5lsnV1T/3uOoFWRwc9UV1MNYf6x83E6tf6W/9TbWZ8uvFF79cnr5iPjEbK3vLtpO/G5i/8KQXVmeWfeVI+kyXrmdC5xNgTgl87Qcvvoo8svN/NOuT1Rk92iuPL1+/2gpYtcdcvmHOI/umOuHN9MrYzhgz2wivztaqFjffWp0W+Xhx1Fv1+RNz+MuX5t/91IzM5dvaiW9e/sPA5qbvcd2kSG4CXBT1Lv/enLQz/73NzgOunSlm549mJ6/+1SvQS/JVZDPwBa6BGWbg7D/9ePbSqzYDX1ozMBwEQWAz8Q7XxHWd4TCxylWAgUmUxgOrE4dcC8N1oeAw0Si8KpuytNDwhYPj49Hxd45H06PvfWch2LU4D7Pvmug0NCcqRt/dszdK3mWjgelzheYUQevjEOf5wP6kfJ9tLJg/V8Yibteu2124/PsLF9tMvsc2Gcyhm1V3C/s1yc7QzXDIZgCTFqN2Wxiujd65NgQuhCM2giIiwI+P9upubdaN0otrLZhWftxirCl1rCmhWDNmY4HJ6MctxZn7bENzgqGIu8erGHPf/X4es82lZFDW47KwfeyPLyXX/ht1uM9+fmy5748tE7b5YAolFtv6kZnY48qUZakx9fwiOc+z8KSfh2rWT4I07ednZ2F/FsfFRXwRnxUXswWMs7z+0fL5sQByS2xXkZ3SKFE8WyHuoaIU4zaO5yU51tWFb3TAKv2Dq4L8qtb+8geLEnn+L1Wt+Df6199eqwrNPo36yNUPzfno/flH84/nP68OnPn5/Hfzj22+2Zf0jcJ9g9eRNooDSYp1KeChIFSZX8w/s5G8IEmynv09JJRyNLWB3JEEWU+3HhC0aE3zKAxdVasgyo3K1sNCqm7XAYtBmtno7orSEcJjGwVYXYalRmNoqZS6SzFJakLIgCsIdDzHomTUNw8h847luHksSzHiSrKdnp7NTi7ioq+S5KyfZPlF/yQNVD8JT/Pz8PTkPFbLd7hTyWYNVc+F9vPwPK7A8DqXbIIchJiESrZfri2RPDTXDHxdaTizRPJ6dXjkz2qN9hutx4w2+/X8fXObw5Wy+6C6vuaD+cfmZ/5f/clHvXtjFfbmP7c5aV/SSQp30qbaTZCCEIjb0G6CJCLaLRhEStlQ7kiiUHMIABIGeTYIQ6sSHUqydCbf8nyQW+fY7oriEWJlm/otW+b8zK3fJKkJYYOt35wDOhZFo758CFqDgGsczFKM2Cg4nzBrt1XFIcnsJ3ct4EK8ZbSrVhWmueAyG6qovp2tKjaP7nM9mmAe/V+mU4XpJkVyE+CiuKFThWknuKRI0KGuThWmgeDiIC4vPZ0qTBMp62yAgXGWBK45P6aF2+tUKcxeX/0rXK4g595uFS4emEHp3SpJEDi7VbjGgimU2K2Sr7pVcne3CtdkMI22IbY1yc7QzXDIZgAT1wbdKvnOtSFwd6twERQRAX58tFd3a7PWrB2xrQVTC1yrAPGmNNu+dbwpoXgzZqOBSYnWseKONffZhrbfsZKvOlac7+gx21xKJmU9MnX1540xJdd+4Y6VfOea690dK1zzwTRK7VjJdyf22DJlWXprlz8iV8dKQaNE8Tpf/hDkIEzpocX6lpY/BJ2kcCfhhaWN4kCSgjCPSSg7ncsfgiRdL38IolBnYAGQQsWDTFlD4lAS5TasfkjiEUJlGwVZXZYVywnzwl2aSVITogZcUcADOhZFo757CFrD6kfjYJZixJV+S8KLLMhOi34WzjL9E0HYz9OLqJ+dXETFeaou1BY6jiPHWkkUUF2B4XWt3yQ5CEEJ1W+/Wa5uPOyZwzbmT6oVgbfNcsvluzcXRPQXf2AkW74TBkG16qE/iQLH6oekKxTuig1VmiQFId4SVJpZsfls0LOPyguSPCJazSpu7khiUHMFApHbk95QkqMzkRYGg8Qu0kTxCPGwRZEWBYu8vvjdRn0oSk0IGmyR5hzQsSga9cVD0PwirXkwSzHi27stLLLfW/NcFFJdgeF1LtIEOQhBCRVpnW4Lk/SNwn2zqWoTpCAEYIJqc82tSZLI6DXHtjBJEGriADBUkSeuw0wkUToTbcXAPgV6V5SOEB7b1GzhMs2Hbs0mSU0IGWzN5hrPsSgZ9c1DyBokW+NYlmLE+n9/8VTg7PhAPIcoizywQZqsw3bUZZw5uoy55oLtUaim+metkb7SWunrqr318eXblb5a3l646Gx93bS4Vo3Cl2/pn/p9NR22bIKt7km8fLfqHP60Z/qVL9+cf9KzEe9ziROMmNYFbLPwe1wLFclCwLqmYbkaDXPb5Be96tDg3w9M4/Kj6i5kLXirM4XNfOWjq/ODL9+9fKsX9a/6e/d6V3/uL6c+PzX3Xlo7lA+4DgLbswgy8StrEHiBayDYZEVRf67OX66JlH4lwMBokFv7ZIZc+7bW9xvFi/67KPL1+7KxwFxG7/dViZbWro5ftrlgOqN1/EZR3fG7cLLN5Htsk8GU1oYO1iQ7QzfDIZsBTFL8jl9t+LUhcHb8shEUEQF+fLRXd2uz1qwdsa0FUwpcRgCRpoQizZiNBCYhWqevL8rcZ5vaeq/vKsLcd7+dx2xzKbmT9bDUNZk3upRc+2V7fVeR5b4/skzY5oMplNjrqx+ZiT2qTFmWGlNns0jNLmZF/1SFWT8MZ3k/D2aqHwQqUGmeh4VaJlhnreup/Ln1rqPXN4pplChe58sQghyEeTa0ZP5oWRX/rHf5t1VjyKJ1RJdq/ariel1Xaw/r1pH3I3vo3ZeEVjg0XpPaKA4kKQiThYTC0bm+IEgis76QuQpMQRLqNCfAkeSFdaFkKMnR2epCNkiswfuuKB0h6rVRVdW1VbyckY7d9ZUkNSFgwGUBOp5jUTLqa4eQNawuNI5lKUZcry7UUy/mae5weSEZ/MDG+1yk7LyRipIiS+J13o4WGELHgsjzXHvB6RhULtnOMam+9O789zobP15eNL7s4niof/Kr6/0blZBazmwvTygxp24k4eJunOr0kTRwHj7CdUOCuaGNZQemhYpkIWDd/OPFkS7VcsLD66Ok3Oe7HHABwDkcgrpzHAjCNRCckSGINveyANNEytQGYKDKBo5lAaZ9IssCN/ex2b16l201mGLos/65Us45f66xYIahzPnbDLzHNhBMKSQtij4Dh2yrwQxAn9O3mXnENlMRzdzkERixrQRjPVuYu4Z/zLYYDP606Xj363+fbWjLk/E2447ZxlHyU5vjXnItlplst5k4YZsIZifShLrNwinLQmNiXpxHaZBEfZWYRrKL6KxfZEHQD4OoOCkuVBCpJYSzqvMUuezKLnTVdo7zN12cKGDnU+mCHIRJJbQ2/L90pfGFOR2jaiP7SV3+6U8v3zQ9S735P5sTNOZ/MEXe5dvmYI1q46XOefpj0refd7wv6QWFewEvvGwUB5IUhKkyvPq6/OnlGzaSFyRJRObWrSXQHUkM6gwfAJGk0SCxgQwlQTqbWY8GylHzSdIRgiCpmmmYWV+eIB25jwMXpSaEC7aAd43nWJSM+t4hZA0z641jWYoRL84zO4+j4OIk65/OkqSfxHHYP1H5rF+oPIxPT4tZlC8lS6fSLHJJM8fhIG5nYICdSzNBDkJUokizT5bT8Isjxr8wLQ6V/Mr6YeSebxfkVDjnpuJLkIIQTXHx5W5sECQREV+moreusd6RRKEmAgAkGuSFjWMoydGd/gryQWxdebwrykeIdW0qsOUpVpH7SDJRakLM4Csw54iORdmorx7C1qDBGkezFCNeaLCLPJqd6h87Tc6ifhIWZ/3Tk/iiH0ShyqMsVKdq6ZVONVjs0GCxYyOpxxkQYNcaTJKDEJdQDfbRsufhYe/y7+dfGuV1+fr808UMWBCYw8d2lI1zX5JT4ZwbajBJCkI8JWgwR/uBJIiIBAvtHed3JEGoWQDASOOBsnczSIJ0psBCs5Zo7y4V5SNEuhYVWLw87yB2n10hSk2IGGwF5h7RsSgb9d1D2PwKrHk0SzHixamwJ0FRpEHYL07OVV//fNDPZ+lpf3YRn6voJAzT0/MH3SswV/PpUpcTnIEBdq7ABDkIcQlVYB+aZUmtwb6sWlE/f3rDTyXD5u8rx/4eSVCFg24qwQQpCAGVIMFc02CSJCIaLBjEVjV5R5KEmggAjiJKHC2lkiCdibDMtQwpSkcIdW1KsOWmkNi9wUeUmhAx2BLMNZ5jUTLqe4eQNQiwxrEsxYgrAZYqdXIanqVGrOmfTc4v+nmYnfRVGEfnSXEeZvmysbFTAaZcAkxRnYEBdi7ABDkIUQkXYI+qe3i/WB7zas6zqg7mX91DPP/KnG1lDnm18e5L8iqcd1MdJkhBiKoEHeY4oEsSREiGuVYjJVGo+QAAca5GSnJ0JsPC1Hmj5V1RQELMa1OJqWX2Vm4lJklNiBlsJeYZ0rEoHPXlQ+AaxFjjcJZixLf3jqRkkLrEGLlBDgPsXIwJchACEyrGJG9JknSFwl2xqU4TpCDEXIJO89+SJMkjItccUk0Qg5otAIjIuq1lKEnRnVBz3pEkikeIhm3KtGWvd+zu2xelJoQMvkxz3pEkikZ97RC0BpHWOJilGPHtvYg8GWQukUbvoIMAOxdpghyEsISKtO1cRS7pJIU7aVP5JkhBiMUE+eZc7hQkERFugf2OoTuSINQcAmCE4UA51JsgSGfqzX0NuSgeIUy2qd6WXeKxu+dflJoQMdjqzX0NuSga9c1D0BrUW+NglmLERr75VFm75xe6VjATbz9dka/jbfv8Qq6968HiW35+IdcNCeaGFs4v5FqoSBYC1vnOL0w95xdyAdYDtNj5hVwD15Wa4PmFXBPXM8GG5xemsSOcDLkGbvcAQ7bVYI5p9QBDtrFgitn4AEO2gWBOIYlP9Bk4ZFsNpoCWDjBkm6mIZm7yCIzYVoLBnq3EnWvdbIvB6N/aAYZsQ7s4wJBtHCVBtTnuJdfiDg8wZJsIZqfNDzBkWXhrJ9tNxeQo7mIaJwrY9WS7JAdhFgktDrcz2S7pJIU7CS/MbBQHkhSEqTNCdeaabJck6XSyXRKEOuUHYIRROnD0SkiS3ILZdlE8QpwkFTz+2fZkuSElcW8uEqUmhAy2xnfPtouiUV89BM0/2948mKUY8e1taFXOQw4TRXUGBti5fBPkIIQlVL5JNrRKukLhrthUpAlSECIuQaT5G1oleUSkmr2hVRKDmi0AiCjLbBhDSYzOVJq7o1UUjxAO21Rpy50qiXvjkSg1IWawVZq7o1UUjfreIWgNKq1xMEsx4tu7B1w5j0FMvO29NmdggJ2rNEEOQlhCVdrGe8AleRXOu6kUE6QghFWCFHPsAZcEEdFg7j3gkijUfACAxNkgz+yH8UiSdCfFPLvARQEJUa9NMbbckZK4txeJUhOiBl+MeXaBi8JRXz8ErkGONQ5nKUZ8e89EVM4zERNvv65Vm0KAncsxQQ5CYMLlGPdMRElQhYNuqsMEKQgRlaDDnOuWgiRCQsxxJqIkCTURABxhFEbBoHAsXQqydKbEnMciitIRol2bMmy5tSRx7xMSpSYEDbYMcx6LKEpGffUQsgYN1jiWpRjx7b0ZRDk3FSlifx0K2LUGk+QgRCVUg7FvBpHkVDjnhhJMkoIQTQkSzLGxRxJERIGFjptBJEGoWQDASItkkFhnJ4eSJJ3JL8/VIKJ8hFDXogBTy8sklPtqEFFqQshgCzDP1SCibNSXD2HzS7Dm0SzFiG/vBbnKeRiiisnOgAA7l2CCHIS4hEow9gW5kpwK59xUgglSEOIpQYK5ZsEkSUQ0mHs5UhKFmggAEM9ypCRJZyrMc0WuKB8h2rWpwpY938rdwC9KTYgabBXmuSJXlI368iFsDSqscTRLMeJKheXFeZQGSdRXiZr1k4vorF9kQdAPg6g4KS5UEKml6upUhblOO1SK6gwMsHMVJshBiEsUFfaF2WdptmBe/qQ+gEd/evnm5U8u3+nN/9nsxZz/wRyzc/m2mTJbzJIp8zHph9Y1mH1JLyjcC5tqNEEKQrTFNdrlTy/fsJG8IEkiotGsquaOJAY1RQAQKlDBILGRDCVJutNnrkVKUTpCFGxTnS17vZW7cV+UmhAv+OrMtUgpSkZ98RCyBm3WOJalGHG3Zxlas/NzyxNWb8BlYRhHYRqtw237JEOuveuR4ttxkqHznL19rh8SzA8tHGXItVCRLASsi3uXf282ps5/P9DDshqjh73qqJH6jEMzBEuH6x/7WH/tm2d68w/7oTVpH3Dp1mO32DmHXAPBk65w+eY+55Br4nqW2PCcwyguBoXNwCHXQJFzDm/kseELB8fHo+NlJiunh985VNneocr1r2LvMA30r/C7JgJpEJPd9gJrgrvLxgQTFv1gxCIJXQcjso0FMxblYMRntet2F+7//sLFNpPvsU0Gk1Yb0laT7AzdDIdsBjDh0A9OXBqujd65NgQuhCM2giIiwI+P9upubdaatSO2tWCGgSsDIO6UOu6UOu6UOu6UOu6UUNwZsxHBHEU7jdEdc+6zDW35NMZnx6t4c9/9rh6zzaUkVtajUxdd3lhTcu2XOa3xRpy5748zE7b5YDolneT4rPbm7sQeY6YsS42p2PFBBsZZ3HpKe26Ba++ne045Nnq5KFG8zpcTBDkIE2loibyd8xwlnaRwJ+HVqY3iQJJiXR94KAhVqLMjRJBEZLXBdZ6jJAh12hPASLJB4WgHEQTpbLnBfZyjKB4hTLZRlNWl2XIzs3LvTRelJkQMuKqAB3QsikZ98xA072COmwezFCO+vcc5pvao+5zKqa7A8DrXboIchKCEajfJwxwlXaFwV2yq0AQpCPGWoND8hzlK8ojoNEfXriAGNVcAEEVioxhKUnQm0dxnOYriEaJhmxItX2b13C3RJKkJIYMt0dxnOYqiUV87BK1BojUOZilGfHs3rqf2joznVEF1BYbXuUQT5CAEJVSi8betC3IqnHNT/SVIQQimBP3l6tMQBJERXq5t64Ig1BwAYERpPMgdbR+CJN3JL8+2dUk+QqhrU38tz5pR7nODRKkJIYOvvzzb1iXZqC8fwtYgwBpHsxQjrgTYSRgmqUqKfhpWJz3mWf9UnWX9i9PsPDgPc5Wm2xBgic0Vz6UB1RUYXtcCTJKDEJVwAfaVOUz78me9p49tNJ2k/fk31Xferlp9F42+l29evrWaKJu/H9q76/clfaBwH2woziQpCJGWIM5cy5eSJELqzL5dShKEmiAAjEgVQWFfExhKonQmz9JBmNno7orSEcJgi+IsDRbpfPG7jfpQlJoQMtjizDWeY1Ey6puHkPmlWfNYlmLEt3cvezpQNlc8lzoOV3K7AsPrXJoJchBiEirNhHayS3pB4V7YVJwJUhAiLS7OnDvZJUlExJlDmgliUBMEABEWoVOZCZJ0psycO9lF6QhRsE1ltjwfMHWf9ihKTYgXbGXm3MkuSkZ98RCyBmXWOJalGHG3O9mtQvu5NPLCxetw297JzrV3PVJ823eyc/2QYH5oYSc710JFshCwLmLsZHfuYOdSrcdssR3sXAPB3YG4bHPvYOeauJ4dNtzBnsaOIDPkGri1HezapMM00b+U/pXqX9liJ6lOTp4d7GxMMFG1uoOdbSyYqWg72NOo3sG+cLHN5Htsk8Fk1Yak1SQ7QzfDIZsBTDT8Heza8GtD4NzBzkZQRAT48dFe3a3NWrN2xLYWzDBwRQDEnVKbU+q4U+q4U+q4U0JxZ8xGBHNUazvY2Ya2voN9FW/uu9/VY7a5lMTKenTqYssba0qu/bI72Fdx5r4/zkzY5oPplLiDXT8yE3uMmbIsNaZiO6YMjLOo9ZT03MLWsYM9jWmUKF7nywiCHIQJNLQ03s4OdkknKdxJeFVqoziQpCDMGhKqUGcLiCCJyCqDawe7JAh1uhPACKN0EFkX4oaSJJ2tM7i3sIviEeJkG1VZXZstj8BP3RcaiFITQgZcVsADOhZFo756CFrDSkPjYJZixLd3C3vm2MKeJlRXYHidizdBDkJQQsWb5BZ2SVco3BWbSjRBCkK8JUg0/xZ2SR4RoWYt9u5IYlBzBQARZdbl2KEkRmcazb2HXRSPEA7b1GjJMq0nbo0mSU2IGWyN5t7DLopGfe8QtAaN1jiYpRjx7d3Dnjn2sKeK6goMr3ONJshBCEqoRmPvYZfkVDjnpgJMkIIQTAkCzNWpIQgio7wce9glQag5AMDwXL0uSdKd/HLvYRflI4S6NvXX8iqi1H2tlCg1IWTw9Zd7D7soG/XlQ9gaBFjjaJZixLd3D3vm2sOeUl2B4XUuwAQ5CFEJF2ASe9gFfaBwH2wqzgQpCJGWIM6cC5iCJELqzLFRShCEmiAAjDQPc9edn5Ionckz9x52STpCGGxTnKXLdO6+IkmUmhAy2OLMvYddkoz65iFkDdKscSxLMeLbu4c9c+1h959GbnEFhte5NBPkIMQkVJpJ7WEX9ILCvbCpOBOkIERaXJy597ALkoiIM4c0E8SgJggAwnMbuyRJZ8rMvYddko4QBdtUZssLNVL37Sii1IR4wVZm7j3skmTUFw8ha1BmjWNZihF3u4fdGkafS/3HiifrcFvfw860dz1SfOv3sDP9kGB+aGMPO9NCRbIQsA7fw65u3sYe5nvVjvbcvn53wKVcj+Fye9qZBoL7BXEZ59nTzjRxPVtsuKc9Tuz16JBr3/a2tBd7h1mgf4X6V6R/xcutpbl3SzsXE8xb7W5p5xoLJi7ilvZ8taXdeYPHPbbJYO5qQ+Fqkp2hm+GQzQDmnQ22tOc714bAvaWdi6CICPDjo726W5u1Zu2IbS2YYOACAYg7pY47pY47pY47pY47JRR3xmxEMEW1t6Wda2j7W9rz1ZZ257t6zDaXkldZj05de3ljTcm1X3hLe75zzfXuLe1c88F0St3Snu9O7DFmyrLUmIrtoDIwzhrXU+Fz61zXlvaCRonidb6qIMhBmE9DK+UtbWkXdJLCnYQXqTaKA0kKwiQioQh1doQIkogsOji3tAuCUGc/AYx0UNgwhpIYna05ePazS+IRgmQbJVldmC1vKErd902JUhPiBVxTwAM6FkWjvncIWsOqQ+NglmLEt3c/e+7Yz54FVFdgeF0rN0kOQlBClZvkfnZJVyjcFRvqM0kKQrwl6DP/fnZJHhGVZt9TJYlBzRUIhBqo0C7TJEk6k2nuLe2ieISI2KJMy5a3FWXum6dEqQlhgy3T3FvaRdGorx6C5pdpzYNZihHf3i3tuWNLexZSXYHhdS7TBDkIQQmVaewt7ZKcCufcVIMJUhCCKUGDORo1JEFkxJdjS7skCDUHABhxNiisL8hQEqQ79eXe0S7KR4h0bcqv5ZVEmft6KVFqQsTgyy/3jnZRNuq7h7A16K/G0SzFiG/vjvbcsaM9i6iuwPA611+CHISohOsvgR3tkj5QuA821WaCFIRIS9BmrvVLSRIhcWbfNiUJQk0QAEYcBsrGMZTk6EybObezi9IRYmCbyixa5nL3fUmi1IR4wVZmzu3somTU1w4ha9BljWNZihHf3u3suWM7exZTXYHhda7LBDkIMQnVZULb2SW9oHAvbKrMBCkIkRZXZs7t7JIkIsrMocsEMagJAoCIMuvbMZTE6EyWOfeyi9IRQmCbsmx5s0bmviZFlJoQLNiyzLmXXZSM+tYhZA2yrHEsSzFi/b+/2FtsL/5zn+xqd097MfiBDfO5TNkxIxUlRZbcwOxuV3tis/d5rr3rMeOW7mpPw6tN7Xng3NPO9UKCeaGFPe1cCxXJQsC6+cdPbV1/eH2QUuU8NuCACwDuJsT1nHMVlGkguBcQl2nu7epcE9cTwobb1ZMoTQfW6YYh10KRDes3d1bY/XqXbTWYYxj7z6PItf+cbSyYYij7z20G3mMbCOYUkgZFn4FDttVgDqDvL7eZecQ2UxHN3OQRGLGtBKM9W5C7hn/MthgM/8St4M7X/z7b0Ja3gtuMO2YbR8lQbY57ybVYZqu3zcQJ20QwO5G2c9ssnLIsvLWz6YX+5SjuHOexuThRwM7n0wU5CJNJaHEoNZ8u6AWFewEvvWwUB5IUhCkyvP5yz6cLknQ5ny6IQZ3ZAyDiJIzjgWNOXRDlFsypS9IRwiCpnmmYU1+eKZq5z4cVpSYEDLaEd8+pS5JR3zyErGFOvXEsSzHixRag8zgKLk6y/uksSfpJHIf9E5XP+oXKw/j0tJhF+VK0dCrOIpc4K6jOwAA7F2eCHISoRBFnnyxn4p/Mv9S/vjAdqJUAy/ph5J5zF+RUOOem8kuQghBNcfnlbjQVJBGRX6amD20odyRRqIkAAImybBArhwQTROlOggX5II5tfHdF+Qjhrk0RtjxiJXOflyNKTQgbfBHmHNGxKBv17UPYGmRY42iWYsS3dyd2MYgdMiwPyc6AALuWYZIchLiEyjD2XmxJToVzbijDJCkI8ZQgwxxdCJIgIiosdOzFlgShZgEAI0mLeBDbmxokUTrTYJ7d2KJ8hFjXogbLl/t3c/dubFFqQsxgazDPbmxRNurbh7D5NVjzaJZixItDC0+CokiDsF+cnKu+/vmgn8/S0/7sIj5X0UkYpqfnD7rXYIlLg8VUZ2CAnWswQQ5CXEI12IdmdVKrsC+rltTPn96Uvdx0rexdCPuSoAoH3VSECVIQAipBhLnmwiRJRFRYMIitevKOJAk1EQAceZ4l2SC2z4VJsnSmwzLXcqQoHSHatanClttCcvcWH1FqQtBgqzDXeI5FyaivHkLWoMEax7IUI640WKrUyWl4lhq9pn82Ob/o52F20ldhHJ0nxXmY5csWx041mHJpMEV1BgbYuQYT5CBEJVyDPbp83SxCLi/wuPyJ/sLby1sWF7uHvrp85/INc+mHjXdfklfhvJtKMUEKQlQlSLGvYhvIC5IgQkrMtSopiULNBwBItSrpUmKCKJ0psTANnDuCRAEJYa9NMaaWCVy5xZgkNSFssMWYZ0jHonDU9w+Ba9BjjcNZihHf3os8ikHq0mPkXjkMsHM9JshBCEyoHpO8ykPSFQp3xaZSTZCCEHMJUs1/lYckj4hic6g1QQxqtkAg8sw6ATiU5OhOqjkv8hDFI8TDNoXasvE7dzfxi1ITggZfqDkv8hBFo754CFqDTGsczFKM+PbelFsMMpdMo/fSQYCdyzRBDkJYQmXadu7KlXSSwp20qYATpCDEYoKAcy57CpKISDfXXbmSINQcAmDkKh7EiY1kKEnSmXxzX5crikeIk23Kt2XDeO5u/xelJoQMtnxzX5crikZ99RC0BvnWOJilGLHRbz5Z1u6BhqF1PJ8rAjvd8thGtU637fMMufaux4pvxXmGztP29rluSDA3tHCgIddCRbIQsC7uXf69maCc/36gR2U1RFoBv/HUSYdmBJbHG+of+1h/7ZtnevMP+2G0V/0WL35Ti9/SgY35gMu8HtLFzkDkGrgu7gTPQOSauJ47NjwDMVZ5OihsFg65FoqcgXgjvQ1fODg+Hh0vE1w5PfzOYRHuHRaR/hXrX4n+pb5r4pIGMUlvL7DmvbtsTDCP0Q9NDIMwcZ2ayLYWTGSUUxOf1b7bXfj/+4Xzgtd7bJPBXNaG5tUkO0M3wyGbAUxE9FMVl4Zro3euDYEL4YiNoIgI8OOjvbpbm7Vm7YhtLZhj4JIBCDylDjylDjylDjylDjwlFHjGbEQwS9GOavQEnftsS1s+q/HZ8Srg3He/rMdscym5lfXsLKsxf7ApufbLnOV4I9Dc9weaCdt8MKGSznl8Vntzd2IPMlOWpbd2MSIM7FtYnysce8pcmChf12sRkhyEOTa0dt7OWoSkkxTuJLxutVEcSFIQJhYJlahrLUKSpNO1CEkQ6oQogJGF2SC2nmw5lCS5BWsRoniEONlGXVZXZ8uN04V7G7woNSFkwIUFPKBjUTTqq4eg+dcimgezFCO+vR2/oSPuPldEVF9gfJ2rN0EOQlRC1Ztkw6+kKxTuik01miAFIeASNJq/4VeSR0Sp2Rt+JTGoyQKByB0XYUpydKbS3A2/oniEeNimSlteal24LygXpSYEDbZKczf8iqJRXzwErUGlNQ5mKUZ8e8+L1MMf23zxXBFTfYHxda7SBDkIUQlVaezjIiU5Fc65qQQTpCBEU4IEczVsCILIaC/HcZGSINQkAGDERaIGytH/IYjSnQBzHxcpykeIdW0qsOXhNoX7oCJRakLM4Csw93GRomzUtw9ha5BgjaNZihFXEuwkDJNUJUU/Datt9HnWP1VnWf/iNDsPzsNcpelWJFhi88VzRUL1BcbXuQQT5CCEJVyCfWXOKrr8We/pgyJNq2l//k31nberVuBFI/Dlm5dvrWbL5u+H9kPH9iV9oHAfbCrPBCkIoZYgz5yrmIIkQvrMfqudJAg1QwAYOj6naWavOYeSLJ0JtHQQWk8rvytKR4iDbcqzZJnQE7c8k6QmxAy2PHON51iUjPrqIWQN4qxxLEsx4tt757AWZ8rmi+cKRfUFxte5OBPkIAQlVJwJXTks6QWFe2FTeSZIQQi1uDxzXjksSSIizxziTBCDmiEAiChPC2Xv2hhKonSmzZxXDovSEcJgm9pseQ5h4T5WUpSaEDDY2sx55bAoGfXNQ8gatFnjWJZixB3vdrdOhD5XpF66dJ1u67vdmfauh4pv+253phsSzA1t7HZnWqhIFgLWRR3udmcyr0d0ud3uTAPBfYS4qvPsdmeauJ47NtztnkRpOrBOTwy5Fm5vt3u2d1jk+lexdxgGgfkQLredpt797lxQMJO1vN+day2Yyoj73dPVfvfUvd+dazKYzdoQvZpkZ+hmOGQzgKlog/3u6c61IXDvd+ciKCIC/Phor+7WZq1ZO2JbC2YZuGYAQk+pQ0+pQ0+pQ09pQk+JhZ4xGxLMVC3ueOda2v6O93S14935uh6zzaXkV9bTU1dk3nBTcu0X3vGe7lxzvXvHO9d8MKVSd7ynuxN7mJmyLDWmYvurDIyz8vXU/ezq17Xj3XEUsQsT5et8tUGQgzDNhtbPW9rxLugkhTsJr11tFAeSFOsawUNBqEadvSKCJCKLEc4d74Ig1ElRAMNz+q4kSWerEZ4d75J4hDjZRmVW12fL8/YL9+UJotSEkAGXFvCAjkXRqK8eguYdzHHzYJZixLd4x3vo2vGeU32B8XWu3gQ5CFEJVW+iO94FXaFwV2yq0QQpCAGXoNEadrwL8ogoNceeK0EMarJAIFxXXElydKbSPDveJfEI8bBNlZYvE3vuVmmS1ISgwVZpnh3vkmjUFw9Ba1BpjYNZihHf4h3voWvHe0H1BcbXuUoT5CBEJVSl8Xe8C3IqnHNTCSZIQYimBAnmatoQBJHRXq4d74Ig1CQAYCRpEQ9iRw+IIEp3Asyz412SjxDr2lRgy4uNCvctVaLUhJjBV2CeHe+SbNS3D2FrkGCNo1mKEd/iHe+OttnnwmX3AsEZGGDXGkwUhBCYcBEmsOdd1AkKd8KGCk0UgxBuCRLNtZIpiiIk0uw7q0RJqHkC4EiKIgpix8VUojCd6TTnxndZPEI0bFGmmS7BKrMv/2ADP5QFJ4QOtlJzbn6XRaO+gAiaX6gh41nKQd/iDfChYwN8uFTwBGdggN1rNUEQQnRCtZrQFnhRNyjcDRurNUEMQsjF1ZpzE7woiohac2k1QQ5qqgAo4iSM44H1LRmKsnQm1Zz74GXxCMGwVakW1qndfduKLDghbrClmnMvvCwa9f1D0JqkWvN4lnLQ+n9/8V+f0ihOLfbq7Oy1F19+yeIIlhSzt5Zp4zycQZqvc7p2xrutpQisq83xVnOfZ5u7/ph5nAvKqF9qGfV51Rb2WEsls8X63cu/nT++fHfPbLl+NP9m/qWZ/frD/NPLN6u97zd/7M3VDz6qdgU8sjFrYRU9M2SD3wiabvLNYma1BzcMYrPvNjUfzDbcMDQfzNfCzBU4uWAJHQzf8WRojgzNkaE5MjRHhubI0By5aI74NIpOg2+A0jAjAzMyMCMDMzIwIwMzcsGM+DD428aP6dXGSwNVGqjSQJUGqjRQpQuqZEPd2FrXAEV71iaGZGJIJoZkYkgmhmTiIpnwSfBMQ9xop0GmBmRqQKYGZGpApgZk6gKZ8kCqB20BYnLRn/tSaZtnzESOLXaa20eRBc7hwIxlplFPKmXau55QBM6Y0Z98YqYkTMasOq6rk2M+s2fc+ePe5eu9+TfVd76okunj5fkzj81aVO/yp+YfnX9qP6Gm+qe/XC5YVZ/of7065UZ/zfxzT6q//WX1j389f7jclfdpLzIH2+gvX75r8+8+27/reU3u8Bq2iYpkImDe1ek1NkMP2IauF05iR86wLQR38uNzKO4zZ9g2rqfzDQ+diWLXmTNsC7d26EwYJEbrqsVpDyb3eU6a4eOBCY1+1EwcOU+a4VsLZjTaUTPanPqsmaWbbVbf41sN5rXNqqTVnFK8M/RgHPIxwPTBqImWp0AY268PhPPIGT6FIlLAz5Hx7O7KsJslD9dgMNPA03NA8ClN8CnB4DPmo4EpinbYjDvw3Odb2vphM1dB577nbT3mW0xJrazHZjXp6Q84JRtB9siZq2BTD4Dz0Bk+AZhdicWweXZWRt2seTnGVpI2j1R4dp711bnpCAgvin6enlS7aOIsL4rsND5f8DjL4R+dtLvKb4pMV1Gc0DBRPlvh7MGiFM82kOdFQdaVh298wKr6Q13jPpz/sWrL/ElPV9OPzfK+/rQ6a6Y+WuZj/d23qhrY1MpfVDX1z3r/v7/5b/bu6n1RLyjcC3hhacM4EMUgrNURyk53R6YgisgafzCIlA3ljigKdZkRAFHFIMysKENRlO5W+c3lvq51fklAQjxsoxpb1WRJvS7svo5IFpwQO+BCAh/VsSwc9RVE4JpW+ptHtJSDruTaRZ5mZ2cXs/75hQr7SZ6m/ZPzJOtfxNHpmQrSJJ2dPeherrm6ARTVFxhf93JNEIQQnlC55mgmqITZ8rwZ06FpFiUerxoytXz71fy/zz+ozgb8dXVG4G/m/4+Rb7FLvgl6ReFe2Vi+CWIQQnAr8k0QRUS+RfZ27juiJNTUAXCoIhw41ZsgSmfqzfSgZi71JglICI+tqjdV53r3hUWy4ITQwVZv7lEdy8JRX0EErkm9NY9oKQfd5b1FkVOPpR66MM3W6bbeU8K0dz1m/GtPic2/+2z/Jph/W+kpYZqoSCYC5sVNPSVMQ8GVPoI6dPaUMC0EF+xw0efrKWHaSFn4QixUgXPHDdPCLfaUZKanJK+Xdb23F/HxwITWck8J11owo1F7StKrnhL3BUZ8q8G81oYONjA7Qw/GIR8DTB+b9JSkO9cHwtNTwqVQRAr4OTKe3V0ZtmbwiG8wmGngYgIIPqUJPiUYfMZ8NDBFtdhTwrVUoKckveopcV9hxLeYklpZj82qQPMHnJKNIN1Tku5cHwBPTwmXAMyu5J6SdHdl1JqxU56xt3aRwr3Rwn81wA1MlK/7RQpBEMIsHFpVd7VIIegVhXsFLzRtGAeiGOvCwINBKEPdixSCKB0vUgiSUGdIAY44S+0kQ1GS7tYoktB1OL4sICE6tlGbrSq0rJ7Rdt9iJAtOiBxwWYGP6lgWjvoGInDeER0jI1rKQd/ehmD3iob/xgCLLzC+7sWbIAghPKHiTaohWNALCvfCxmJNEIMQclsRa4IoImLN0xAsiELNFQBInA1SK8lQlKQztebtB5YEJITDVtVaXud2921GsuCE0MFWa95+YEk46huIwDWpteYRLeWgq5O/9laL8TpUdHlqSWyj1Xqs8NAGWbRO21GHSWKve59n2wuuxKFyytZhAhz7NX/cq64grDpAlprrd/oHv1xMoi3uAa/OYq1ulXxsLghfNYeEy+aQ+R9trtlnuybBXNNKcwjTREUyETCv8cARpqHgkh1B6DmbQ5gWgitvuH7zNYcwbaSsYAEWprHjzrYh28LtNYeEQb00W/j7QrhkYBqi94Wo1N0WwjUWTEPUtpDiqi3EefPOPb7VYDJqQ8wamJ2hB+OQjwEmjk3aQoqd6wPhaQvhUigiBfwcGc/urgxbM3jENxjMMXBFAISdEgw7Yz4VmJdoHSHOkHOfb6hAQ0hx1RDifE+P+RZT0inrgVnVV/5QU7IRpBtCip3rA+BpCOESgGmV3BBS7K6MWjN2yjO2qpbC/Pzs5Dzqh8lJ2k8ic0VcNCv6SZpm6vQsybLsYsHjrF495Ty3gnU1hIS+a1UsmChf52sKkiCESTS0CP5Q16KfVxXp76sLeKtdDsv69vGiD6Qqkb+sdzi8+OrLP3z5pZ4Kgl6oAmthsy/qBIU7Aa8lr1ZNzA3Eiw6Y3vzn8y8u36ybYXr9ntJ1/Vc24gNRYsIUYgtFqSSJyOKDLl6tleEdUZT1hOxBgWtcFQyi2JoHhqIsnS0/hGk+SB3LD6KAhMjZRsVW121hfaNY6LkhThScEDvgYgMf1bEsHPUdROAalh+AES3loLvd0JrY6LRU81+rAl830tVyA9decIYHVVq3cbmB65oEc00byw1cExXJRMC8pr2oXEPBqaA2lB3TQnBah6TYXMsNXBsp8yOAhVGS228dHrIt3OJyQ7Sc9wtD73IDmwxMQ60uN7CNBdMQcbkhDFfLDaHzSrJ7fKvBZNSGeDUwO0MPxiEfA0wcGyw3aNuvD4R7uYFNoYgU8HNkPLu7MuzGcgPbYDDHwBUAEHZKMOyM+VRgXmptuYFtaPvLDatwc9/znh7zLaakU9YDs6qn/KGmZCMILzeswkw9AO7lBjYBmFapyw362VkZdWO5gWXsrV1uSJzLDRENE+XrfrlBEIQwaYYWwULLDYJOULgT8FoSWW7wLTYI8hImDNsoSQVJul5sEEShTnQCIJEWOlGa2FiGoiy3Y7FBEpAQN9uo11ZVW1RPTUeeyk0SnBA74FIDH9WxLBz1HUTgmhYbmke0lIOu9zqoByu11uFeBzX4gY1XS7fEzhvGSVzkcbzO29Hyg7JLzefZ9oIzPqjy+pf1i8qfXlbQWuxRtbn0q/kfzK5S/cWvbDT7bJoEo2llxYBpoiKZyDTvgG0eOIdDEWVWJfMC20JwPoYktpzrBEwbKRMbgIWRrjGt0nbItlBkneDmhl27Y+/yzQbTAX0RIApV5l4G4JoLpgPKMoDNwnt8C8EEQJKQ6HNwyDcbjPT0KX6bnUd8OxXRzk2eghHfTDDss/W06wkY800G8wBtXt4TBe7zTW15Zt5m3THfOkqyanPsS7bJMrPuNhsnfBvBTEWaV7eZOOWZuAj+YZKqi7AfZYkuzKLgpH96El/0T4uT8DQM84s8WyYwZznmqU/ZJVnoLMpSGihK2P18uiAIYV4Irereu163Lc8Auvyby5/0wqAfWd/ufVFIhUNuXEkJYhCmstqouARJpKbBrWXPHVEU6hQcAKILuDx1dXoJonQ2Cx4p5Sn2JAkJ4Y5UwzRNg6f1pKnnGH1RcELsYMt2z7COZemoLyFC1zQP3jykpRx0t033qY1OCyz/+ZPFOt3WZ72Z9oKTHqg+amvWm0mTYDStzHozTVQkEwHzot78ce+pZvkHLyXZXroT7IVqNzS/p+YP+Z7Sf4zt1zcesGnA2ZI2JBvTQnByhCTFnJPkTBsp8w6AhVE8KEKXxmKaKDJLfiMNWbvp63tVwszfTc8lA/NL2xPpXHPBDEOZSDf99NlVP73zWOZ7fKvBPNOGMDUwO0MPxiEfA0ww9Mn2q0bXbOf6QHj66bkUikgBP0fGs7srw25OynMNBtMMrO6BwFOCgWfMpwJTU5vz9lxTW563Nx312VVHvfNNPeZbTMmprEdmVSz5g03JRpCZ278ZaOoB8HTUcwnA1Eqa+Tcd9dnuyqibawAcY2/tGkDq7Kj3H7l7AxPl634FQBCEMCWGVrjMFQBBSIVD4lWlDeNAFIMwi9dGOSlI0vUKgCAKdfIRAImSQVxYZ92Goii3ZAVAkpAQ7tootFblVn1EfOg59F8UnBA74BqBMKxjWTrqS4jQNa0ANA9pKQdddcI/lb+deuvV2dlrL778ksURLLllzRVaahUeziBT65yutQC3tRQVdbUcYDX3eba564+Zx7mgVrIdwVOtB3xx+ZPLd6rNh+8+tUBgw9HSqXhmyGa6ERLdUJtFxMVcZRTsHWqDzAdzH30Smw/mT0rpD2loPphPM/Nzmfm5LDEfCv0hN3/KzZ8K86dC/ykKElc05fojofsDLy2NE46ME46ME46ME46ME46ME46ME46ME46ME46ME46ME46ME46ME46ME46ME46ME46ME45cTjjiO0HRnYBXp9oHI+ODkfHByPhgZHwwMj4YGR+MjA9Gxgcj44OR8cHI+GBkfDAyPhgZH4yMD0bGByOXD0Z8H+BvOz+nLObRtC9K44vS+KI0viiNL0rji9L4ojS+KI0vSuOL0viiNL4ojS9K44vS+KI0vihdvijZvrgx0dLgC9oLMTEOmBgHTIwDJsYBE+OAiXHAxDhgYhwwMQ6YGAdMjAMmxgET44CJccDEOGBiHDBxOWDCdwCeV4lTNZp/avinhn9q+KeGf2r4p4Z/avinhn9q+KeGf2r4p4Z/avinhn9q+KeGf+rin/L4q7fhwUpedLblLnZ3d0aOQyEiFRVhtqUtd+Z3R/MB115wUUhCbjzsXb6u/6x/+tH8c/2TD81ZflXzwpeXP6tuc/xjT3/4TP/NN+dfV70Kn1aHBf5x8S98aqaBlkcKVCcILM8ArM5XuOpzqP4F/aevq3/86/rvf1l9+oX+W8aKP1SnCZqDGBb/gcufGtNdeojr7PXML9gbwTVRkUxkmnfANg9chaLMTlmndF5gWwiuKJFmnVzNDlwbKQszgIVJHLru++ZaKNLrgO4Fucs3G8xW9EaGMFKhs5GBbS6YrSiNDDYL7/EtBPMTqXJEn4NDvtlgpKcXeDY7j/h2KqKdmzwFI76ZYNhnTyy6ZxXZJoN5gNZZ4IkC9/mmttxZYLPumG8dJVm1OfYl22SZrgGbjRO+jWCmIhWbNhOnPBMrG4uT0yII4r46TeJ+Upxk/fz0JOrnSZpGeaCS82y2oHBWiz86abcboKrAnDVjTANFCW11pQeMUlvaQJ4XBSEskKFF53tVr/tTVd2Ty7cXx8QvCsJ/qWq/v9G//nZ51t6nVT24PEn+G1Ojfjj/9fy9/vyj+cfzn88/mP+T/vi7+cc29+yLukfh7sFrsCsPfW7O2L9e/s4/qiv2+SfVafqf9ea/0P7RJbGu2l83Z/R9FAbmVH1Tblce+2J5gJ/+5kdBb/5xL1Lmi5/Z3HUg6i7CqiOhJnSgvCCKItSyYC1v74iSUBdLAY5I5YV9n9BQFKWzjoUwGsTWxcS7snyEcEyqsRr6FaJ4ubi9+IMN/FAWnBA52GWFc1DHsmzUFxBha+hWAAa0lIOu5OJFeqHOT2Yn/Tg6LfphOJv1T8Ig6p+HaRqenAWnp8Xyae9ULkZOuaio3sAIu5eLgiCE+ITLxXpp4LHWiY+0sNEyyMiap9YJet+fvXLyo5Pe4ckrJ3/91y/2tCB8aJY0zJ7KXnknDYM4CI57aRD8J/OrMAcXm8WKT6rVjD8slxn0z5tFije06Hpn8elSQtn8uC/qR4X7kaQrrass694r76ggCiPtsCgILt/KzYcwNHc4fbX34MFL8/+r8tpnZg3GfNEsB2mNvtCan+hPf69/LT79jv4PPOpV+1p/b/7w3vz90BpsDkS9SUgeBNnpXIoQJBFSnYF1Z8AdURRq1kNAwkGRJzaUoShKd7IzLGL3KogkISGwtyo8Va1TlEd4SoITYgdfeLqHdSxLR30JEbom6dk8pKUcdCU90yDLT+Mi6kfxyVk/uThR/VylJ/0kOivys2wWn1wkD7qXnrFTejo2aLm9gRF2Lz0FQQgRahPp+fD6hNzD3vjF2WuvnJjfXvrrk3pz00pJzp/0n56Ke79qXKnVUvWz3y+CIgiD4yAIwj+djAPzRa2YHi7abqrWGvPfrH5Wi9cd8yt33byxL+pihbu4fVU6/9BMey5vEq1mPs105/e+lwaR/v+xFqZLeX/5VrHQqk9Pgq5p+/ljS8nwe/1v6qGef335s8t3TU1g/vUkiqKr0mH1b9ucfyDqfEIiakPECpJ0LWIFUaj5EwBJkmKQRda+waEoS3cqNs6SQaJshHdlCQk5olUVm9WSx3PChig4IXjwVWxUBI4tl2NZOupbiNA1qdjmIS3loCsVexYVcRSFp/3zItY/m0RJP4+CoD8LT4viNAtT/eMPulexiVPFOnrN3d7ACLtXsYIghAiFqth/fqpZ+mFv/j+qGc9Hi+7t3vyjgzj+gRGXQbLUS/r71cpy1aX9tHy1eWNf1BsK9wYuOG0YB6IYhOhLkG7uZW9BFBHtFgyW9f5N7SaIQs0aAEgYZIPcfmLgUJSlM+2W6LGy6uy7snyEuNiqcivqNF94lJskOCF2sJWbc1DHsmzUNxBha9JtzQNaykEvZh8v8iC9OA/6F1Fw0U/O0qKfnxdF/2w2S4I0vjgJkmWU7VS3Oa+zi4kNoShh57pNEoQQn1Dd9su1nXQPe+bT+ePlTrrX5w8X04OLCa3fmMa/+cfzX8/f178+WE5E3hv3Vdib/9zmkH1RhyjcIZtKN0kMQvhtQ7pJoghJN7Mp5SbKHVEUauIAQNJkkNlV6FAUpTPllueD3LFyLMpHiIxtKrc4XCb6xR9s4Iey4ITQwVZuzkEdy7JRX0CErUG5AQNaykHXVw0vBYsRZB2ee2CdVNXKLLLTLk9vuHGxckenHkSuUw+49q6HkE5PPVgcUPClWResvvJIq7Cv5g9thPtswgQjpB01MP9Hs/Xj8h8u316sWptTE/7OzPpdvmmWO/9x/qEN4ntsCEWCAACiqzsaLIYesA0F96cSBJ1rGZVr4bpWkzyWgGvjeg7Y8FgCFef289mGbAtFjiW4kaZsVzDE5hyz2JxKFptzzOJ0eTB6HO25D0a/ywcF0w/9IIMkjJznGLCtBfMP5RyDZ43zVhcyLNxss/oe32owC7UhYg3MztCDccjHAFMN/ayD1Tnp2vbrA+GiOOJTKCIF/BwZz+6uDFszeMQ3GMw5cCUAhKHShKHShKHShKESDENjPiSYtminKLhD0H2+pS0fovDs+Cr83Pe8t8d8iynplvUArQotf+gp2QgyBy3cDDv1ALgIJnwCMM+SjmF41nh0d2XUmrFTnrHVI3MSz+JIqb46PUn7STHL+qenZ3k/yopZeBpGeXGyHBFnGeup67mlrOt6huXWSxgT5et+mUEQhDCZhlbD64cNoJWuIKXCKfFi8grUHJRg+oe/vNq2tmT/TH/1E7O/8PKt3vUe7Mt3zJeuTRLov/d9jf9yb/zDv3q1l3iOVJD0FWGWkVDPuhcoBFGEFiisReUdURLq9CjAEabhIClsKENRlM7WJ6LIfcCfKCAhprZR260qvHoLfuw5U0EUnBA64LIEH9WxLBz1FUTgmlYomke0lINe9JYk51l2Nov7p2Ge95NURX39t0/NUQzn4Wl6cp6rswfdSz6rstWSL6H6AuPrXvIJghDCEyr5bnaW1PvWrA0mi9UDc8Dy50YZ9vVvj/V3v1n+1GP9ja8XP2Xzzr6odxTuHYJUXDnI23JjOYnrN9VBW2/UG8l698Yq7D3Xs/nlQNQvhNjeiiwURBGShc6+FUEUalICQPJgkNn3Ug1FUTrThWk+SFyyUJKPEHdblYVJLSISjyyUBCeEDrYsdA7qWJaN+gIibE2qsHlASznoShXmp0F6oc6CfnIShPonIv230vOsn6uiCC7ys5mq11M6VYXWwlyrQkX1BcbXvSoUBCFEJ1QVfrS81GN1HKu5VuPryzcvf+KeG+x9p/6WOUzr/5w/mn+xUJVaHc3fm//iu0thOTl55S9nr722vPKj+b9UycsnWnK9UYkv89/8zHTp3DRguWdt+f3l3/5pdS/Il5fvLP6DRagSawmyLzpGCh8jXJvaMA5EMQj5gCAlzVTqZ4Oe/RiLF0SBRASldVXjjigHNZkBFJGyvidDUY7OpKTzNP67snyEYN2qlKxPWoo9h2eJghNCB1tKOgd1LMtGffsQtiYp2TygpRx0JSWz6CI6T4u8n56GST/Ji7hfJBezfpCe58n5rAjOtyIlE5svtJRMqb7A+LqXkoIghOiESsnfXJdpqEpMqrOVekvJePDcvcWfRj966cVXf/zyK6+92ntufzIcHfWOk8CiK/sreXlNOy4m69aUo0UqXv7t8oio6jRY2zjsi46DwsdhY7koiEGI+QS56GywFiSR0Yn2/pc7oiTUXAVwqCIahNYKfiiK0plYDOO4cMtFSUJCQG5VLqa1ukg9clESnBA62HLRM6xjWTrqS4jQNQnG5iEt5aDrPXPLXtuO98w5T1ONczuvRo2KoAjXeTvaNZc7d80x7V0PI23smqsO51wdR2C20b1T6adP67m8qkuumtr7m6rD7pFTSTGpEoyKtlPOZuL32CYqkolM8w7Y5q1H2c13vzXN5TENBXcTULSXexMc00ZKVz5iYZDb7Buy7RPZAndzMd2pk7hmg7mBvqEtClzWfp9vLZgaKBvabBbe41sIJgOSnkQfg0O+2WC0p29Ws9l5xLdTEe3c5CkY8c0EQz9bXHt6Pbkmg0mAtqXMHQTu8y1teUuZzbpjvnWURNXm0Jdsk2W2i9lsnPBtBPMUaUOYzcQpz8RKMcfhxXkSJP3gXBdqSarSflGEYV+dzk7Pzi6CMIqWj66zMvOUquzqzHkv77IxCAZFCTuftJcEIcwRoQXeh1dl2+XPepP+fHE/mrladjmH/uH8/fn/2w/Cq1suro4Lrm9mWBSD80eLH4myINiJrYFhX9Q/CvfPpnWYJAZhRqy9ek0SSGhOPVA2lDuiKNT5PAQkjO1LmUNRks7m1ItgUDhODxblI0RLUgXUMKOeBMvp18UfbOCHsuCE+MEW/c5BHcuyUd8/hK1hPh0Y0FIOulJzcZzlZ1mo+uHpWdhPggvVz8+Doh+qkyKMZkFyVpw/6F7NOa/NXTZeEryBEXav5gRBCPEJVXP/Teu4z6urch+Zfe1Gk/3BbNxy72h6VF0DYYPfF4VXODwu1a52+5trxb5enCJX61jLAQDv6z+aq2zNnq8XXvxPvfm/rHtpcbft4vqwOA/MP/ylzVkHos4iBHRcEF7+9PING8oLoigiUjAYBNZN8ndEUaipCAAxl4DZQIaiIJ0pwdA5A3dXFpAQaluVglGtHDxnuomCEyIHWwq6R3UsC0d9ARG4Ji3YPKKlHLQRgz6N124vRWKj09outtNVnSNhFqzTbbuTgmsvuHiGSrOWOym4VAlG1UYnBddERTIRMC9enSg8MNOZv+vHe4vfrU/4AdtwcKENl2iNc3ZMQ8HlNVyAeXosuDZSlq4AC1MdKazDPWRbKNJlcSP/2A4aTswZw4k5YzipD/dMYs/hnnf5jGCKabclg20tmGMoLRnPGuetzhhOnIf83ONbDWaaNpSpgdkZejAO+RhgaqG3bawO+9S2Xx8IF8URn0IRKeDnyHh2d2XYmsEjvsFg1oHlPRCBShOBShOBSjACjfl8YLJqrxeEbWnLvSDPjq8iz33PK3vMt5iSZFnPzqpu8kedko0g0y9yM+LUA+AimPAJwBRL6iZ51nh0d2XUmrFTnrG3diUicR0vnCQ0TJSv+3UIQZB1+eEbH7DYbXkdQhBe4fB4wbnVdQhBZxFmE/Ei17MOIYjS9TqEIAp1GhQAUYM0t2aOoSjJ7ViIkAQkxNo2yr1V0VcfR5Z4zpcTBSeEDrhSwUd1LAtHfQMRuKaFiOYRLeWgb2+LceI6dnh5XCbBFxhf91JQEIQQnlAp2H2DsaB/FO4fglr82OKUb665beGjXhD2vmPYL9+KA3Noiq5G6/NLen2/42y+OhD1FSHi42KxcUVEEEhEMnq6mAVRqAkLAEmKgSpczSuCKJ1pxiIYRNZphruyfISY3KpkrI8dSzznyImCEwIIWzI6B3Usy0Z9ARG2JsXYPKClHHSlGIuiOL3IZ6f98zxN+kmSZuYIkaB/poI0Dk9OL4KTswfdK0ZrpasVY0r1BcbXvWIUBCFEJ55inP/Soo7MvOE/LG5bMHOMy3m0xUFwtZy07k7YF3WGwp1BkIc2Byzk4eKsuyda+C2Os/vZ/A+X75rbvhey+h/n/31dSJYnPzz5d73vaNQgiL7bS6LLt0JlpOQ1JRlESzFp/mPGq099ZnHqgahTCWmgRR0pCCSkIx0nzEmSULMYwpENVGBFGYqidCYjk6gYRFadfFcWkBCpW9WR9WlkieeAOVFwQgBh60j3qI5l4aivIALXJCSbR7SUg67Pl6tf2I4PmFPOLW+Okxo0bhSnifswCcxcigp8ui06DJx90UyD1+NIG33Rixu1qg7pT83U1TeLk3v1N9406589/ckfzFWrjyoVZBZVP6v+pNVffXTv8i/pT78w68yv97RYMvNfj/UPflH9wOVPq6mwT/eq735TTZV9vryUwvy9R8uLz6p/rPovXLsvbfnfeLJcln3L/OTi2i+bf/fZ/k0w/7bSoc00UZFMZJp3wDYP7IhrUS0yDQVb2ygq0N2HzbSR0iIGWBgHmT0gDdkWivRhoycd3eWbDSYqemt1nCXu1mqutWCeorRW2yy8x7cQTEwkcYs+Bod8s8F4T2+bttl5xLdTEe3c5CkY8c0Egz9b6XtaDLgmg2mA1uHsDgL3+ZbmBEuZQ3/Mt46Sqtoc+pJtskz3ss3GCd9GME+R+pNtJk55JlYiRZ2fpeFF1E9UrD8kquifJidZ//TsND5JT1OVFMv85SwTPYUzu1R0nnanHKfFuEBRws6XFiRBCBNWaLH53qqCfHz5tv7z61WPsq7rnione9+fvXLyo5Pej05eOfnrv37xB09dX2juiVn04F5NiC++3fve99IgiIPgeK93UDmjd++FIOxNX3rxtRd/OPtT7YSXe//uldl/7o3vLK+6SU0fR/UhrJo5bA7eF3Wwwh2Ml3LzD5+u3Rsq94e1sw8Xzu4tFn+WvStVm/QXl68/ePCScW8Uafca16XPT4z3/lOhepdvFb215Qs9NMuRmj/pNy1cSLqXMO9IKEVdd+JIkoisWASD0LFkIYlCnS8FQOJ4kOWOmlYSpbMli1y5q19RQEIGIFV1DUsWqj7wTXlO8BMFJ4QOdiHjHtWxLBz1FUTgGpYsgBEt5aAriXoWFfrfCU/750V8pn82Svq5Tmj9WXhaFKdZmGaz5ePeqUR1HuG3vBOW4A2MsHuJKghCCFCoRP3np1YtHvbm/2P+aP6HSj0ZaTr/6CCOq51yQXK93/dxtRTRJHj2Rb2hcG/getKGcSCKQQi+BN32xfwzG8oLoihCwi1IbCh3RFGoWQMACaNBlFtRhqIonQm3JBhEjpOXRfkIYbFV3VYfzqY8x+2JghNCB1u3OQd1LMtGfQERtibZ1jygpRx0JdvSizxIL86D/kUUXPSTs7To5+dF0T+bzZIgjS9OgmQZZDuVbc57DlVC9QZG2L1sEwQhxCdUtv1yrVvkofuogz/25r+Z/3z+0fzj+a/n7+tfHyznGO+N+yrszX9uc8i+qEMU7pCNlZsgBiH8tqLcBFGklJtZxr3JckeUhZo5AJJkkAbWJDgUJelMueX5IHfNuEnyESJjq8qt3s2uPOcTiIITQgdbuTkHdSzLRn3/ELYm5dY8oKUc9KpHeCnFOu4RTp3izNEUHcZJopKbTdFd9Qg7No88zzZ4PYy00SN87exk/ceHVVdm3bL7mbVtuNoDtder/tKXl/9w+fb84eW7PfPdp/+9yzd7VQOymWd7w8yyfW3k2xuVovvk8p1etdPqSfWvP6oWLt+1eWuf7a0E81YbHb9cExXJRKZ5B2zzwKYvguhr6PjlGgq2euGSztPxy7WR0kaFWJgWzvvNuCZuueWXbTaYd+gtv9okZ8sv21ow7Wze8su2EMwzJKmKPgaHfLPBgN9Wyy/bTkW0c5OnYMQ3E4z+bN3uWSfnmgzmAVrLrzsI3Odb2knLL9s6Sq5qc+hLtsldtvyybQTzVAstvywTKyWVqiS6SE77Z+os6CfnF+f9k4sk66vT/CSKdZ2Yq+XD4az6PHUwu/Jzt/w6e5vtoChh9xPzgiCE6Se0drzejlofi1EePnc8GR+PXhjeO+g9d3/6XJwt23ILtRNn8/fn7/eivWj+vs0H+6I+ULgP8HJrvSv3M/3JJ3Xz88Il33v5hz/8y9lLvf/vvV4YBL2g2t7d1FXbO37uXi8LzI/O35u/H9ncdSDqLsLEXYvlnyCQyMy/q9NWkIM664hQ+EpJQZTOpv3DLBpkVsC7soCEwEsqpprm/fN6mjj3zPtLghPCB7t+cI/qWBaO+goicE0T/80jWspB394rKlJ3p23q7Dt2eQMj7FwZSoIQAhSqDNu9pEISXuHwBEm4xUsqJJ1FiOi4IHRfUiGJIiIF3ZdUSKJQUxEAEqpokASpjWUoytKdHPRcUyEKSIi2bcrBtN6mk3o2XomCE4IHXw56rqkQhaO+gwhcgxwERrSUg171gSQPVjKvwz6QzKn4HC3LkYqDKEmSdeCu+kAc96g9zzYYXJ9DFZvjrLgnRqxcvlNtm3p38YUvnzo0rjrhrZrIWhwXbL632NNv+jxMZ4iWMP9gA99ngycYeBstHVwTFclEpnkHbPPART1cwjl3znMtBNfwcGXm6eXg2khZHwMsjDNV2C/YGbJN3HIvB9tsMHfQeznSNHT2crCtBVPH5r0cbAvBXEHSm+hjcMg3G4z0bfVysO1URDs3eQpGfDPBsM8W3x7pzTUZzAO0Xg53ELjPt7STXg62dZRc1ebQl2yTu+zlYNsI5qkWejlYJhobL5LZaZGmJ/1T/Xs/DGen/Ty4OO0HgQpUmudhoZb5y1m5eWpZdvXm7OVIExooStj9jL0gCGEOCa3/VjPWixLv8eWb5vyLq1b+xUT15/oPb16+VR3Z/VX1o18vpq3rye1/mn9p6sRrWwh0+fjWYib888s3n/5S1RzRv15lzv/4nXt/Otm7qi37V8Xld/d689+b0tP8Vy9fN39Rf3wy/6Q+L/zyZ72wH+6py7f3njpVbv6kX82e/76+zWavl+zFoWvz4b7o0Cl86PDyEB69anDq22ueOtO9cWD/zcs/Oqk+/OXLP/xhb/LiD2e96Pu98dR4sufy5IGoJwnziXgl61mMEEQRWYxw9KVIclBnQQGKJM5tHENRjs5WITy1syQeIX+QasKmNYh652Lq2YoqCk6IGewyKEmcveJjWTrq64fQNS1CNA9pKQddKVw1K7JZkqv+2ewi7Cenp2m/OElmfRXMzlUUpRen58th71ThuntSHG3Zbm9ghN0rXEEQQoTCFe5NRVltUn24WNmo1dByBaMc7/f+dPinz/VK/R+evbq69ubvFvfiaFX0lencNf/EI/3HYC92nzQs6SmFe4ogKD98yh1LwfjCy6+cvtw7uLiY/eVrJ73xKy9fzF599cWXXzr5YS8P0qA36d178d/9+9d6+y+/dPbK7LVZb3w86ilzCHP1IVoeJnzlxPq0Z+PCP2oH5uBxw95+aElXE7IHrjjdayeCJDKCcxDENpQ7oijUpAeAxHkWDorM1f4iCHMbhKckHiGstyo862v1Us9FiaLghNDBFp6h8nW/SNJR30GErkl4Ng9pKQdtlKdPULbb7GKtgLWQzOx0y3sgb5zxsv1WF6bB4PIlKgS30OrCBE8w8FZaXZgmKpKJgHlx7/LvFw3TNkMP2IauR2DBphemheBiJ0mQOZtemDZSFhIBC+NEZYPQJbSYNop0vdxIR8MXDo6PR8fLhFROD7+jJUS+pz8U3zVxwdhvMtNeYE1Od/l4YLJpuTuGay2YbSjdMc8a5+0uHP/9pZttVt/jWw2mnDZEqoHZGXowDvkYYAKhd9AsbTdm71wfCBfFEZ9CESng58h4dndl2JrBI77BYK6BlT4QfEoTfEow+Iz5aGCSarEjh2tpyx05z46vgs59z9t6zLeYklxZj82qePIHnJKNINO1czPY1APgIpjwCcDsSurpedZ4dHdl1JqxU56xt3btI7fXf7pgdexNdmGifN2vfAiCEKbI0IJ3mysfgp5SuKfw8rOTlY9lU03rax+CziZMYLZRQguSdL32IYhCnXcFQGKVBoM8UzaYoSjMbVj7kMQjBPY2yspVcVmfGpJ6zoERBSeEDrgiQsd0LItGfQERtKaFj+bxLOWgb29PeW7fPKdVZ0H1BcbXveoUBCEEJ1x1Yj3J/1t0lAsOncKHjiCD0dHrvKNc0JOERIVrXE9HuSCKjMi1cdwR5aAmWIAiCVwd5YIct0HcSuIR8ker4rao</t>
  </si>
  <si>
    <t>xVDhEbeS4ISYISFuJdGo7x6C1iRum8ezlINenWmzHNTkQadn2hQ23OfCzHGET4Ub5Pk6bldtPqn9uNjn2QaDa66o/uTebLRo6lnKHnMsnxY+qx9u7vXh0icYfRu9PlwTFclEwLyrXp+BEZG/6TsmNrkGg+uwuJhrOryaayi4qkqQau7WH66NlNVJxEIz0VhYJ02HbBu31/qThcuF9yzwdv2wycDcQ+/6iUKXvvg+31ow+RC7frJg1fWTOQ+9u8e3GsxAbShYA7Mz9GAc8jHAVLJB14+2/fpAuLt+2BSKSAE/R8azuyvD1gwe8Q0Gsw1cBgBxpwTjzphPBaYmWsOPO+bc51vafsPPKt7c97yox3yLKSmV9cTUdVVDrCnZCMINP6s4Uw+Au+GHTQAmVmrDj352VkatGTvlGWusPZ+FUXp+cdGPo/PAVLKz/kkYRP3zME3Dk7Pg9LRYJjFn0eop47mFq6vhJwtpmChf50svkiCEqTO09F27kWg5S199rSprH12+qQvbh73v1N96Mv/k8v+cP5p/cWlu4/3ULHW8N//Fd6vbikxjSn1z0fdOXvnL3p1XTv5zdYfR6l4j+D9Yf+fz6jrg16vFAVNXV4fcf17ttuld/rT68pe2kdgXHQmFjwRe49owDkQxCFOSLVa+gkAyixn2oHVHlIQ6pYpwZGE2CCJXIS0I09maRpwkA3tH0l1ZQEJobqMmXFWG4XIWfPEHG/ihLDghhMDlDD6qY1k46kuIwDWsawAjWspBd7tbObRqXi0GIw+e/u463vbXMZgGg7NIqJjb1joGkz7B6FtZx2CaqEgmAuZF6DoG02BwZqlFNcc0FJwsoqg09zoG00bKpAtiYZYWg8w64EO2jVtcx4jr+cTIv47BJQOTT8vrGFxrweRDXceIrtYxIs86BtdqMAO1oVkNzM7Qg3HIxwBTySbrGNHO9YHwrGNwKRSRAn6OjGd3V4bdXMfgGgxmG1j4A3GnBOPOmE8FpqYW1zG4lgqsY0RX6xjOF/WYbzElpbKemFUd5Y81JRtBeh0j2rk+AJ51DC4BmFjJ6xjR7sqom+sYHGNv7TqGfpldCxkxjRMF7H4hQxCEMFuG1r7ousK3cSFDcCQUPhJ4kWvDOBDFIMxCtlj6CgJ1vJAhSEKdQ0U4iiQdpIWrkhaEuR0LGZKAhNDcRlG4Kg3jeto79pSHkuCEEALXM/iojmXhqC8hAte0kNE8oqUc9GqDxpLcSMION2iELnWYeHiDIljn7Wplw9GX8zzb4PUw0sbKxs2DWK8vY9Tnr5rli4fVnt/Pqj99vThIxfzltZ2nleSzge+zwRMMvJVFDaaJimQiYF7TQaxcQ8HppRYVHdNQcMaIotTcixlMGykzL4iFcTbIXQqMaeIW1zLUnv6Qmg+Z+ZDXU4yJf2mDCwpmH/rSRpLF7qUNrrVg9qEubSRXSxvOK4Hu8a0GU1AbKtbA7Aw9GId8DDChbLK0kexcHwjP0gaXQhEp4OfIeHZ3ZdjNpQ2uwWDugUsBIAyVJgyVJgyVJgyVYBga8yHBvEVb6XCHoPt8SwVWOpKrlQ7ne3vMt5iSb1kP0KrQ8oeeko0gvdKR7FwfAM9KB5cAzLPklY5kd2XUzZUOjrHG2tNZlp5mF0H/PI/CfhKFcf8kOFX98+S8OA3yPMwvljzOKtZT17MrWedKh6JxooDdr3QIghCm09BauD529Mnl2/XJV18sjmD6wbKT71+qkvdv9K+/1b9+UnUDmjJ4+dPfmOL5w/mv5+/1dQX88fzn8w/m/6Q//m7+sc1B+6IOUriD8IL06kyq5eLL9aq/nkqYf6J/fzz/rDf/hfbPH/SvL8xSzs/nH4VB7+ok1YV/H16+br75UdCbf9yLlOfgKUl3EWYpCWWxA+UFURSRJY5gYD04+44oCXV2FeAo0kFiTzBDUZTOFjjCdFCkNr67snyEgNxGZbiqD1U9G648NaIkOCFywEUNPKhjWTbqC4iwNS1vNA9oKQe96IxJokxlWdiPo7P81nTGhK7TVZe3ZBKcgQF2rxcFQQjhiaQXrxpVnOsj9SGqD80aizmAs1feicIwCoJjIyvj5ye91BxSX6iqPcZx7LzNZfuiLlO4ywgKcs1r3qWlh3u9789eOfnRSe/w5JWTv/7rF7W8NgqzN39fy8Y3KpFplOX3vpcGUe3P9PnJXu1Q/Wt5qD/u1ANRpxKyBa4z3QecSqKI6MxwkFvV2R1RFGqeA0AiFQ9UXthYhqIs3SlNraVdJ52KAhJieatSs77vNvNcYSwKTggefKnpHNWxLBz1HUTgmrRm84iWctCV1oyUmkWnM9Uvzk7Nof8q6ufJedRPijgJozw8y4vlFH23WjO2OUNrTd81WVZnYIDda01BEEJ8QrXmPxu9U805VruP/4eWkX+oRJOWSb35Rwdx/AOjfcK4txRGD6spSqsq2BeFVzg8rhp7+7NXZq+++FpvX5P2gmQ5iai9UM00Vq1L13Tdg5ds5Aei5ITojEs7zxSiIIqItAsGgUvaCaJQ0woAogYqtMbHoShJZ8IuyQaJdaTuyvIR4marui6rVYDn/l9RcELkYOs656COZdmo7x/C1iTrmge0lIOuZF16kQfpxXnQv4iCi35ylhb9/Lwo+mezWRKk8cVJkCxjbLeyzvoEaFnnu6zK6gwMsHtZJwhCCE+orPullitvVjfy1AfLmE/nj6vJqp9UO9mWVyuZKcTfmBXU+cfzX8/f178+WK5K3xv3Vdib/9zmkH1RhyjcIbjUs2EciGIQom8ruk0QRUq3mTbDmyx3RFmoiQMgiQaB/f7noShJZ8Itzwe5a0JOko8QGVsVbvU9jJnnXk1RcELoYAs356COZdmo7x/C1iTcmge0lIPu+Iw+12pu4cEze/7W8La/k41p8HrQ+PbtZGOCJxh4KzvZmCYqkomAeY072ZiGrgdg+Z1sTEPXlZnoTjamjZTOesDCKHas5Q7ZFm5vI1se7OkPofkQmQ+rs7IK/0Y2LiiYfFreyMa1Fkw+1I1sxdVGNudlhPf4VoMZqA3JamB2hh6MQz4GmE822chW7FwfCM9GNi6FIlLAz5Hx7O7KsDWDR3yDwdQD634gDJUmDJUmDJUmDJVgGBrzIcG01eJGNq6lAhvZiquNbM739phvMSXdsh6gVVnlDz0lG0F6I1uxc30APBvZuARgniVvZCt2V0atGTvlGXt7VxUi10a23HfFkoUTBex8VUEShDB3hpbC8qsKkg5RuEPw+tOGcSCKQZgaJFSnzlUFSZSuVxUkWdaTrocFrXODQaxyG8lQlOQ2rCqI8hEiYxslWl2o5cFyEjr3XAwrCk4IHXB1AQ/qWJaN+v4hbA2rCsCAlnLQt7jLN3LtKMtDqjMwwO6FmyAIITyhwq3dLl9JeIXDbyzSBDEIkbYVkSaIIiXSEhvKHVEUao6AQAplJRmKknSm0Twtu6J8hCDYqkarL/PLPdczioITIgdbo3ladkXZqO8fwtak0ZoHtJSDrjRaEkTnJxens36Y6h9LVHDeP50l5/1Ua8NkdhGfx8VSk3Wr0WKbM7RGi6jOwAC712iCIITwhGo0//71x5dv6z9fXUZxfTv7tVMAlhNtjp3pi2+Wd9IwiIPgePFpaHa1V1vbw9Dsa7c5dF/UoQp3KK77aGcC3DgS4L3qWhDzL1Q3dGqnFaH2WXC014srX5kP+eocgKWD93rmYKqn5PbVFrNeHPcqjV2Z5FXZB6LeJiQZXJ66DwuQRBGRp+7DAiRRqOkRAEniQZ6mNpShKEp3+lQZBW4DvCsLSMgArQrUqNYznlsZRcEJsYMvUJ2jOpaFo76CCFyTQm0e0VIO+hafYxq5NpXlMdUZGGD3ClUQhBCfSAq103NMJR2kcAcRFOdWzzGVdBch7OOS0TOjKYgiIhmd55hKklDTFcARpoM0d606C6J0phg955iK8hECcquCsb7VK/fc0yYKTogcbMHoOcdUlI36AiJsTXqxeUBLOeiO97K55igTL16yjrf1vWxcg9eDxrduLxsXPMHA29jLxjVRkUwEzItWe9kGRib/pm99mA7YBoMbCwjyrWFPG9dQcHMALs48e9q4NlKa7AELI5PBrF0zQ7aJW9zUZm5ny83tbLm5nS2vr0XK/bezsUHBLNTupja2tWAWIm5qy69uZ8s9t7OxrQZTURva1cDsDD0Yh3wMMLFssKktv7qdLW+4nY1NoYgU8HNkPLu7MmzN4BHfYDD3wAUAEIZKE4ZKE4ZKE4ZKMAyN+ZBg3mpvUxvb0vY3teVXt7O539tjvsWUfMt6gFb1lT/0lGwE4U1t+dXtbP6wM+ETgHmWuqktN7ez2UPOlGdsJXehPmrD46xmPeU8u6J1bmpTNE4UsPtVDUEQwiQaWhN3sKlN0CEKdwheiNowDkQxCHOEhPLUvbogiCK0uuDe1CbIQp3eBEjiQeRsmBYk6Wx5wbepTZKPEBnbKNFWhVp9q1buuSZNFJwQOuDqAh7UsSwb9f1D2JqWF5oHtJSDvsWb2mLnpraU6gwMsHvhJghCCE+ocGt5U5sgvMLhcZHm7DKGLrLYM+3N7wfO+ywk3UGI2K2IPUEUKbFnVUh3RFGouQYAyQdpZu2KGYqSdKb1fJvjJPkIwbRVrVffapV77ikTBSdEDrbW822Ok2Sjvn8IW5PWax7QUg76Fl+JGzs3x2VUZ2CA3Ws9QRBCeEK13m24ElfSZQp3GUEhvmd303Yuv5V0HyEv4IrSs59NEEVEUXr2swmiUDMaABIXhY7O1uA8FGXpTFP6Lr8VBSRE7VZFZX2nVu65JE0UnBA82KLSd/mtKBz1HUTgmlRl84iWctC3eENb7NzQllOdgQF2ryoFQQjxiaQqu93QJugghTuIpCG72dDmnIgU9Bgh8uOy0TMRKYgiIhvde9oESagZC+AIlRHA1uA7FGXpTjV6NrVJ8hGCcquisb7PK/dc0CYKTggdfNHo2dQmyUZ9AxG2Js3YPKClHLT+319UWmn5uhot+Oc+cdjyLjeXLCw8vEERrfN2tMstCpy73JgGr0cRmV1uT7Qm0SqkWjN9d/GFL83CcbV7rWcUydMrqtUut8emF3D1t7QO+spMLv7j/MOlPCTvlPtcmxLsRfOvIvMPuGaY9tmeTDBPtrJtjmmiIpkImHdt29x789/1ra/TAdvg9VC/+ba5r6ydJC+wLVwXf6L75Zg2Uvr3AQsjNcitUWjItnB72+UKcwdcYe6AK8wdcEV9+VLuvwOODQqmM/p2uTBVyr1fjmsumM+o++WuLoHLPZfAsa0Gk1obstjA7Aw9GId8DDCjbLJf7uoSuLzhEjg2hSJSwM+R8ezuyrA1g0d8g8GkA9cWQBwqTRwqTRwqTRwqwTg05kOCeYu2X84Tg+7zTRXYMHd1C5z7xT3mW0xJuKwnaFW7+WNPyUaQ3jB3dQucP+5M+ARgpiVvmDO3wNljzpRnbGVtcXJaBEHcV6dJ3E+Kk6yfn56Y5p00jfJAJefZbMHjLIw9UwXs4ti1Ya7w3axi4UQBO181kQQhTNCh5fVqReCb9eUTmTUTSfco3D14QdrZmonFXQei7iLMehLKYeeCiSSKyIKJY7lEkmM9zXs40No6zINB6ujblkS5DaslonyEYNxGWVgXh0V9T1nhuXhOFJwQN+CKBh7UsSwb9QVE2BpWS4ABLeWgb/EevcS1R68Iyc6AALvXioIghPCEasV29+hJwiscHleCNowDUQxCpG1FoQmiiCi0YBApG8odURRqjgBA0kGiYhvJUJSkM43m2VsnykcIgq1qtPqessJz8ZwoOCFysDWaZ2+dKBv1/UPYmjRa84CWctC3+ACsxLW3bnn8KcEZGGD3Gk0QhBCeUI0mfwCWpEMU7pCNdZsgBiH6tqLbBFGEdJvr/CtJFGreAEDiQZ5Zi9ShKElnus1z/pUoHyEwtqrb6tu7Cs99bKLghMjB1m2e869E2ajvH8LWpNuaB7SUg650WxieBWfRSdQ/OS3O+8l5fNIvilnSD4I0PAnO80SdLvVMt7otsTlD67aY6gwMsHvdJghCCE+obrva3X91OfBjI9GeakKud/r/aLHTv97W9ov5E/0zphm5+lyZ1vrqG+8ZsWfWLs03l9cNf7P4ochs/o/sjTX7or5TuO9wiec6HIF8C3C8ugXY5pkDUc8QYj9BNbrakyVJRERjOAhcK7KCKNSkBYBE2SANXSuygiidqcYwylPHzOxdWUJCYG5VN9a3eBWea9lEwQmxg60bPcM6lqWjvoQIXZNybB7SUg6644vZrGOqtWDiwQsztY639S1rXIPXw8a/blnjejLBPNnGljWuiYpkImBeDG5Z4xoM7h5oQxMyLQRb/0laz7VljWsjpYMesDDREcml4ZgWbnHLmrnhrTA3vBXmhreivlqp8N/wxgYF01nLW9bY5oL5jLhlrbi64q3wXPHGthpMam3oYAOzM/RgHPIxwIyywZa14uqKt6Lhijc2hSJSwM+R8ezuyrA1g0d8g8GkAxcTQBwqTRwqTRwqTRwqwTg05kOCeavFLWtsU9vfslZc3fHmfnGP+RZTEi7rCVqVav7YU7IRhLesFVd3vPnjzoRPAGZa6pa1wtzxZo85U56xxtqTNApOgviin12cmGWVMOyfXFzM+ok6jy5OZsGZujhd8DgLY8/MALs4dm5ZUzROFLD7pRJBEMKMHFpeb7BU8pE5d7r64erzXnknVEl2tPysXhTpueb/90VdpXBX4cXpJisgrlP8JJ1AmMhso+AVJOl6EUQQhTr/CoAkxSANrTt8hqIo3S2CxHkyWJLcrJwlCQkht43ib1UC1neNFZ7L40TBCbEDrlsIwzqWpaO+hAhd0yJI85CWctC3uO1ZObempVRnYIDda0JBEEKAQjVhB23Pgg5RuENw5WfDOBDFIMRfgnZztz0LooiIN0/bsyAKNW8AIKnOgC7tJkjSmXbztT1L8hECY6vKrb45rPBcBScKTogcbOXma3uWZKO+fwhbk25rHtBSDvoWHymgnNvVMqozMMDudZsgCCE8obqt5SMFBOEVDr+xRhPEIETaVjSaIIqQRnMeKSCIQs0RAEgYDlRhjXZDUZTORJrvTAFJPkIUbFWk1RdxFZ6r1UTBCaGDLdJ8ZwpIslFfQIStSaQ1D2gpB32LzwhVzr1pOdkZEGD3Ik0QhBCeUJHW+Rmhgu5RuHtwGbflM0IF3UWI+a3IRUEUEbnoWowV5KCmKoAijhItFm0oQ1GUzrSi74xQST5CMG5VK9YXcBWeG9VEwQlxg60VfWeESrJRX0CErUkrNg9oKQdtblTbW0ikLi9Ss46tVoGFBzMo4nXM7nalWdeEn2cbvB48/tfdlfbk8g1sVxrTkwnmyVZ2pTFNVCQTAfNuXKRm7WI9YBu8HuEFd6UxLVwXfKK70pg2UprkAQvjWA3yxGbikG3i1ralRUGwpz+E5kNkPtQ3GBX+m9TYoGA+o29Li7Lcsy2Nay6Y0Kjb0q5uUis8N6mxrQazWhty2MDsDD0Yh3wMMKVssi3t6ia1ouEmNTaFIlLAz5Hx7O7KsDWDR3yDwawD1xRAHCpNHCpNHCpNHCrBODTmQ4KJi7YtzROD7vNNFdiWdnWTmvvFPeZbTMm4rCdoVbP5Y0/JRpDelnZ1k5o/7kz4BGCmJW9LMzep2WPOlGessfa0OFcnSZz3o5Ow6CdpftE/VaZKTpP8/Dw8P4/UFlpZUse2tPpQN5gTBex6lUQUhDAxh9bXH64vjizm8R/N/7jsL259oUTUQwr3EF6UbnWhRNRdhAlPQknsWigRRRFZKAnts2N3REnWc72HBK2w8yAdBI6Na6Ist2CtRJaPEJLbKA6XJaIR99XU+vIPNvBDWXBC6IDrGnhQx7Js1DcQYfOvlSADWspBV4oxPjkr8lmc9tXZueonJ2dZvwjDtJ8X2Vl4dhaenqcnD7agGO2b1nRpS3UGBti9YhQEIYQnVDFudJBBrYH03zJ73N7Qeuqd+lyD8k4aJnkQHJvPtIh8uFjWqTfAVV99rzo1+kmlxz6t/tMPjSD7fPnlz+YPF/9WGgQ75ldoLTf2RX2ucJ+TNKh1ZWrvxlEJHxpP9ObvL1vPH1cq9HvfS4NI//94z7jm8q3qQ2HOS9h7aizmT/pXOtXmuANRxxFSCkGNOhZoREk6FqOCJNRUCHAkQTwIgtzGMhRl6U6M5kHh2DV5V5aQEO9blaNhrV7cV8fJghNiB1+Ouod1LEtHfQsRuiZB2jykpRx0JUjPoiKOovC0f17EZ/0kiZJ+rjVwfxaeFsVpFqbZbPm8dytIY5sztCCNqM7AALsXpIIghACFClJwN16QLCfh9Permbqqn6hJ8eyLekPh3sClog3jQBSDEHwJws09jSiIIqLcnNvzRFGoSQMAyWPHhMxQlKQz4ZbokbI2x9+V5SNExVZlW1TnePfNcbLghMjBlm3OQR3LslHfP4StSbQ1D2gpB32Lj75KHbvzoiCmOgMD7F60CYIQwhMq2sSPvhJ1iMIdsrFuE8QgRN9WdJsgipBucxx9JYpCzRsAiAoGceYSboIonQk399lXsnyEyNiqcIvrPO++uk0WnBA62MLNffaVLBv1BUTYmoRb84CWctAdX9xmFeNaiiUevDBL1/G2vUWObfB60Pjffosc25MJ5skWtsixTVQkEwHzblzcZl3iPmAbDG5WIAhC5wos00JwpwGu89xb5Ng2Uhr2AQuVCgfWsDlkW7jFHXLK7ItLzYfMfFhemKRJfDvk+KBgOmt3hxzfXDCf0XbIaXPqHXJLP9usvse3GkxqbahgA7Mz9GAc8jHAjMLfIWdsvz4Qzh1yfApFpICfI+PZ3ZVhawaP+AaDSQcuJYA4VJo4VJo4VJo4VIJxaMyHBPNWezvk+Ka2vkPuKv7c97y4x3yLKQmX9QStSjV/7CnZCLI75K7iTj0Azh1yfAIw0xJ3yJlnZ2XUmrFTnrG3d6Uic+6QUzROFLD7lQpBEMJ8HFped7BSIegQhTsEL0FtGAeiGITpRkJh6l6pEETpeqVCEIU6UQqA5NEgU1aUoSjKrVipkOQjRMY2arRVpabqiW33/Wqy4ITQAZcX8KCOZdmoLyDC1rRS0TygpRz0Le4Lzpwb1VKqMzDA7oWbIAghPKHCTbovWNAbCvfGxqpNEIMQeltRbYIoQqrN2RcsiEJNGgBIGGeDws4yFGXpTLb5OoMl+QhxsVXZltZZ3n25miw4IXawZZuvM1iSjfoGImxNsq15QEs56Ft8vkDm3M6VUZ2BAXYv2wRBCOEJlW3/a5wvIOhzhfscF4e35nwBQccRUgpBjjq7WwRJRNSo+3wBQRJqKgQ40jQa2BeLhqIonWlR//ECkoSEcN+qGs1q8eK+RU4WnBA62GrUf7yAJB31JUTomvRo85CWctC3+ITUzLlTzX9RisUZGGD3elQQhBCgUD26jRNSBT2kcA+R1OM2T0gVdBch8BM0o3sKUxClY9EoSELNVwiHuU3OeSiVIEt3qtFzQqokHyEkt6oZ81pguG+TkwUnhA6+ZvSckCrJRn0DEbYmxdg8oKUctLlNbnn98AO/Jnx1dvbaiy+/ZPEEQxK6lpQLD2ZQJOuYrq1yblspMq/eLWc19nm2sevPmMexoJTTQkSrFK3KbIZq2VU8M2RbeyPOuc3dLMwt9tCEwd6hTll7hyrO9w7TMHFFOC5OQsfBe5INw5FhODIMR4bhyMVwxGdQdAa8K1kjjAzCyCCMDMLIhTDiI+AvAT/OLnZDaJTSoJQGpXShlGyUG+3tDSi0p2li7J8Y+yfG/onL/gnffjzQE/vbtflTY/7UmD815k9d5k955leP0oMu85ariz30H2F+47rXjjKX3dzn2ebiry2au/5ntT5jNll/qmvkR71qieYTs8P68p3lFMM31cSDKaLfMj9Y9TE97lW/6axnA9zXgDrncSm7znnmUsVQ57woMjcrxtUHnf2ixPwpMbtKk0J/UOZTZfaXKvNpGpsP5tPUfJqZ72bmhzPzd3PzoTA/Uug/xUFsPpg/hZH5kJo0a98Jdsj3WxfJNdw7Ms46Ms46Ms46Ms46Ms46Ms46Ms46Ms46Ms46Ms46Ms46Ms46Ms46Ms46Ms46Ms46Ms46Ms46Ms46Ms46Ms46Ms46Ms46cjnriO8sRXcWKfaOjK9Gxlcj46uR8dXI+GpkfDUyvhoZX42Mr0bGVyPjq5Hx1cj4amR8NTK+GhlfjYyvRsZXI+OrkfHVyPhqZHw1Mr4aGV+NXL4a8X2Fx52N5YK5WVD7rDQ+K43PSuOz0visND4rjc9K47PS+Kw0PiuNz0rjs9L4rDQ+K43PSuOz0visND4rjc9K47PS+Kw0PiuNz0qXz0q2z8R1Sbg3MY6aGEdNjKMmxlET46iJcdTEOGpiHDUxjpoYR02MoybGURPjqIlx1MQ4amIcNTGOmhhHTYyjJsZRE+OoiXHUxDhq4nLUhO8oXDGwBFC4NzV+mho/TY2fpsZPU+OnqfHT1Phpavw0NX6aGj9NjZ+mxk9T46ep8dPU+Glq/DQ1fpoaP02Nn6bGT1Pjp6nx09T4aery05Tnp6eUlvmto5vnI/PRRqEFV+ilyJyjjRnLVFsue59n27suRTY8VOe39SLPYsffT82pOvNPzSLFk/k3WmG9O/+9EVWLs3U+qdpbnixWfC7fMgfpzD+vtg1+pn/gLbsye1S1KS202Z75kUUL+mfLVqPPzQE+ve+YlqP5H/SfV/+NPbOW9Mv5h9XfMatMj8xai1lFeU9b/fH8V/P3agMG363/Cwbmif6Pm36nqr19/pXN/fts968rGsGTeLgmKpKJgHmROYin1++FeZTupeH8q8H8m8FeLzZfHuivR4GOWpFafP3Bg5dsOAdsnPXp5c3P6TFP6WeDnv3ReIFt6Pq6k+RxPVwb13XThsf1xHkWDnLrxPyQbeP2DuwxpVAULi+QNonad0wPGw9Mj4xjenLnIT1sY8H0SDykJwxXh/SEzms37vGtBpPkZsV6vQIXhjtDD8YhHwNMNozauT4sQ9t+fSDch/SwKRSRAn6OjGd3V4bdLC65BoMZB17MBGJPaWJPCcaeMR8NzFHEo3lccec+39D2D+ZZxZz7npf1mG8xJbWynpp6gbgh3pRsBOGDeVaxph4A98E8bAIwtxLrdvPsrIy6WT9zjDXWnqnZeRHkRf90plQ/OZ3l/fz8NO4HF1GenkTnp6cnasHjLK1/dOLu+2OW184CO6Jhony2ItyDRSnEbSDPi4IQmoDQCv3/NuVvtavk0fJcHlNt6+L89UX/5eW79bagT6oS2WzkWXzubNdcbPbxtGvq4i5wNe/tizpQ4Q7EC1gbxoEoBqEnilC4OtspJVFE2ikD+27EO6Ik6xnaQ4IWwGGYhgOlHP2UkjDd9VNGg8xxkI8oHyGUtlHHraq5+mqh0HNXlCg4IXbAJQg8qGNZNuoriLA19FMCA1rKQVdCb3Yyi89Pi7CfFslZP4nN7vE4O+2rs9PoJEzzJMhmD7oXetY+Ri30YqovML7uhZ4gCCE6oULvN1XP5htG4D3Uas3sC//J5ZuX/3D5d5Ve+059fM83l+9qCaeF4Herc31CFZj9xzYX7Iu6QOEu2FiqCWIQwi1BqjWtMQgCiQg2R1l4R5SEmi0AjiRSxSBIXEsWgjCdCbbMMRt3VxaPEBFb1Wv1jUKh54ooUXBCAGHrNdeYjmXRqC8ggtYk15rHs5SDrra/7K10inmmO2xtiQY/sPFqSabsvGGc5Fmu8nXejppbInsV/zzb3vUYsmFzy/99+Ya56Kk6weXN5fmIdSuK+cObl2/NHxuhZaTVV+YMHi2tFp/29Ddfr64f+np5HnZ169NXRopVn3xaXS31TdXL8nk1D1cduGim4MxJO4sfr46YuXaq9pP6lJ7qK19e/t1gcXtUmO4p889/VR3C04vCnkfUMb2bYN5tpXeFaaIimcg074BtHrgySNCJrlN1uBaCC3wU4eduQmHaSFkpAyzMQ5Xba9kh20SRHpSbk6BOocY1G8xP9N6SPErdzSVca8H0RGkusVl4j28hmJBIghZ9DA75ZoORnt44YrPziG+nItq5yVMw4psJhn22unc9AWO+yWAeoDV6uIPAfb6lLXd62Kw75ltHyVVtDn3JNlmmi8Nm44RvI5inSH0aNhOnPBONjaeBKsIgn/XT9GzWT05U2i+yVPXPiiiZJWfBaX66fMmc1aGnXGZXiKGzRnQcIuYCRQm7n7YXBCFMUm1SZLo6NMQ6MgRdpnCX4WUZ5LXqRK2qsH64KKyXh2yZL+mSOQ48Z2VJeoQw4UeoBN3NHYIoMmsFNo47ohzUiUqEIo3DNLGhDEVROlwnUIUN764sHiEEk8qqpnWC+iDO0HO2qig4IWywKwnXmI5l0aivH4LWtE7QPJ6lHHSlEPM0j86y86x/GmdBP0lnF/3iLDntx0UcFBfFyUk8WxY3nSpE9ypCQfUGRti9QhQEIYQnVCHevFlz/ov5r7S+++38g361m/WDSuy9N/+46uiwQe+LQiscGtd4NowDUQxChG1FmAmiiAgz9z1MkijU5ACAREFcDFzXZ0qydCbOwsCzOiAJSIh/rcqzok7nhUeeSYITggdbnrlHdSwLR30HEbgmgdY8oqUc9GIKLz49CfMw6OtKTou5MMz7RTA77Z/NouJcneVxkC1HvVOBFrsEWuTYSeaRqxBh5wJNEoQQoFCBVl31Y6blTO/Gssnj8u1Fm4c5qL1SZfMP5+9b2wb3RXEVjrupNJPEIERXgjRr6LKVBBIRaOFgeaPwDYEmiUJNDgBIHMfWeYihKEh36kwNMmssuCvLR4h9bYqzKFym8shzyoUoOCF88MWZa1DHsmzU1w9ha9BmwICWctB1k22yADfKpMMmW7f6iu28URDkRZTCh8233GSbuM6b59oL9jSh4ukfL9+pzuj91KxtLtczH5uDe68abTfpk10sij65/OnaguGjatn0yfLeIct5wGtdtpGnoZbryQTzZBsNtVwTFclEwLyr8wguf1HPZn6yPLuvWrW12X/Ath9svSJoRlfHLddCsNOKJAJdHbdcGyldTICFRZg4rhMesk3ccsct22wwWdE7buOocHbcsq0Fc9XmHbdsC8HsRJK36GNwyDcbTAVtddyy7VREOzd5CkZ8M8Gwz9b67mlYtslgHqB13LqDwH2+pZ103LKto+SqNoe+ZJvcZcct20YwT7XQccsysZquD/OTNC3O+kqdFv3kJD7tF6ezs36exLOLWREHF/HZgsJZKnpqZ3a56Oy4XS6mwqAoYffT9YIg6/ncN0JgxXn7TkSTdKDCHUit4pZnv9t9aO2+vVbpPe3fyNeMK+kewswgoUh09nxIoggtKVgPJ7sjSkKd0kQ40iRVA6Ozb8IMRWG6W1WIBvaT5O7K8hFCNKnsalpVUPUktPKsKkiCE2IHu9JwDupYlo36CiJsTasKzQNaykFXEjI9OclPY/1jWRon/SS4KPon6kx/CKLwbBari6yugDuVkM6W3MjRoOz2BkbYvYQUBCHEJ1RC/ou5f8bcFTP/our3mH95+a65drDq9liIxXvPxvOvqj9G6vKtSPnWDwThFQ6Pyz8bxoEoBiHU4jLNLArZUF4QRRGRac4DcSVJqDkC4FBpZuMYinJ0ptCyeBC6FhAk+QgRsFWFVu+xiTx7pkTBCWGDrdCcgzqWZaO+fQhbk0JrHtBSDrpSaBeFUrP4LO6HKj/th6E5Nzc4L/pBoAKV5nlYqKVw6VShubtCHB3Kbm9ghN0rNEEQQnxCFZrtNNz1+bqPrp+H2/MehSvJr3D+jUWaIAYh2uIirbFJVxBIRKo5trdLclBTBUKh7MtgQ1GQ7pSau9NDEo8QCFsVavVem8ize0oUnBA6+ELNvWgviUZ9+RC0Jp3WPJ6lHPRiJu0iD9KL86B/EQUX/eQsLfr5eVH0z2azJEjji5MgWUbXTnVa4tJpsaNb2aNaIcLOdZokCCE8oTrt5uZ282nVCWw6cl+v5tZ+tphZ62lV9/NqZfXX8/f1rw/qqbZxX4W9+c9tDtkXdYjCHbKpcJPEIERfgnBzLoJKoohItmCwPAbuhmqTRKEmDgAkjLNoEBRWmKEoTGfKLc8HuUO6ifIRYmOb0i2ut+LEnr1VouCE4MGWbs5BHcuyUV9BhK1BuwEDWspBG/Hm02Tt7qVyq7HYzhfGSabi6AbftvdSce1dDxr/upeK68kE82Qbe6m4JiqSiYB5lr1U1SkEpknxp4tJThvBAZsAbKsnaETXbiquhevyT3I3FddGSoc6YKFvNxXXxC3vpmKbDaardndTsa0Fs9Xmu6nYFoL5iSRo0cfgkG82mAza2k3FtlMR7dzkKRjxzQTDPlvdu3dTsU0G80B7u6nYlnaym4ptHSVXtTn0JdvkLndTsW0E81QLu6lYJt7aCfzEvZsqVjRQlLD7CXxBEMIkFVpzdjCBL+gQhTsEr8tsGAeiGIQ5OEJx5p7AF0TpegJfEIU6ewiANEzgC8Lcigl8ST5CbCTVO00T+PWul9izjUkUnBA82BLfN4EvyUZ9BRG2pgn85gEt5aBv7074xL2NKc6o3sAIu9dugiCE+IRqt9u3E17SgQp3IK71mDvh1+fp/RvgJb1CiP6tSEdBFBHp6NwAL0lCTVsIh3cDvCRMZ8rRswFelI8QmVtVjvVunNizvUoUnBA72MrRswFelI36CiJsTcqxeUBLOej6WN3lhLR60OmxuspGq5VhbqfNwjCOwiBep+2oESS32/s82971ELJhI8iHWnt8bvaoP31plL03Q+uz9+a/WLZo1H0iV+0eN5o9vpg/Wnw78jRxML2QYF5opYmDaaIimQiYF/Uu/97Iw/nvBz2LmLx8u9qk9nUtJgc2nAM2Dri0R1B+zo4OpoXgSh5F0Lk7Opg2UlbJAAvzMMoHLqHGNFGko+NGPhu+cHB8PDpeZrRyevgdrUCKvcMoCcyH8LsmchgIk9/2AmuKu8tnBFMUvf1DBbm7/YNrLZijKO0fzxrn7S68//2lm21W3+NbDWaqNoSugdkZejAO+RhgqqG3iCxtN2bvXB8IF8URn0IRKeDnyHh2d2XYmsEjvsFgvoGrBSAClSYClSYClWAEGvP5wGxF6ztxR5/7fEtb7jt5dnwVee57XtljvsWULMt6dlZ1mD/qlGwEmd6UmxGnHgAXwYRPAKZYUufKs8ajuyuj1oyd8oy9tesgamA9AUDXuo4NuS5MlK/7VRBBEMJcG1os38JVEEEHKtyBeBFrwzgQxSBMPRKKV/eyhSBKx8sWgiTUOVOEI0ljHTmtkwpDUZguly0yV8OLJB8hlLZRza1quvpwithz2IgoOCF2wIUIPKhjWTbqK4iwNS1bNA9oKQd9e8/tVfbdos/pUpTqC4yvc6EnCUKITqjQa/fUXkl4hcNvKtIkMQiBFhdp7lN7JVFERJrz1F5JEmqGADiiJM4HyqHRJFk602iek3tF+QhRsE2NlgTLlL74gw38UBacEDrYGs1zcq8oG/UNRNgaNBowoKUc9O3dUKbsEVhrNMcJKx5fQHzdazRBEEJ0QjWa/HYySYco3CEb6zZBDELwxXWbe3JNEkVIt7m2k0miUNMGABJGYTGIUhvLUJSlM+Hm2U0mykcIja0Kt/r0sMRzHJwoOCF2sIWbZzeZKBv1DUTYmoRb84CWctDdHgdnjUNaikU+uixfp9t2DzDX3vWQ8e3uAeZ6IcG80EYPMNdERTIRMK+pB3h9s5ge1y/Nb59evlMtUn9R/XpY9Qqb4fv06SP5zPh/Xi1cfzF/7Ggf5noCbOciiERX+zDXQrAhC9d+nvZhro2UxibAQl/7MNfE7bUPJ7HpHE6WfXtJ5O0cZuOBia3dzmG2tWBmI3YOJ9Gqc3jhZpvV9/hWg/mtDTlsYHaGHoxDPgaYoDboHNa2Xx8Id+cwm0IRKeDnyHh2d2XYmsEjvsFgqoFrCiD4lCb4lGDwGfPRwBzVXtMw29L2m4ZXQee+52095ltMya2sx2ZVqPkDTslGEG4aXgWbegDcTcNsAjC7UpuG9bOzMmrN2CnP2Fu7TpG6moaTmIaJ8nW/TiEIQpiMQ6vrDtYpBB2icIfgVawN40AUgzDXSChB3esUgihdr1MIolBnSQEQ/zqFIMutWKeQ5COExjYKs1V5FtfT2rGnRJMEJ8QOuKaAB3Usy0Z9AxG2pnWK5gEt5aAr4TYLT+M4Ocv6Z+os1D+bRP2TRIX9i5MkKtRZdnKRLt/mToWbVZ9q4ZZQfYHxdS/cBEEI0QkVbjd3e92YXp8cHB8/tz/q/Zvnjr73Z/uj5ya95+7d642nx+NRedCzeWFf1AsK98LGak0QgxBxW1Frgigias1a4d0R5aAmCoDCu/ogiNKZUkvd99aI8hFiYatKLakTe+JRapLghLjBVmrOQR3LslFfQIStSak1D2gpB91tR0lmo9PaS3npinW6rXeUMO0FV9xQ6bTtjhKmFxLMC610lDBNVCQTAfPiVk6V4+KAa3UEledsC2FaCC65EcSbpy2EaSNl6QqwMIuzxGbgkG3gFptCUtMUkpkPeb04q/ydIVxGMEG13BnCtRbMUNTOEHXVGeK81OAe32owT7Uhaw3MztCDccjHABPNJp0hauf6QHg6Q7gUikgBP0fGs7srw9YMHvENBrMNXBsAEag0Eag0EagEI9CYzwfmqhbbQ7iWCrSHqKv2EOcre8y3mJJjWc/OquryR52SjSDdHqJ2rg+Apz2ESwCmWHJ7iNpdGbVm7JRnbKVtoRUJw+OscT1FPrfOdbaHpDRMlK/7VQZBEMLMGloqd9AeIugQhTsEL0ltGAeiGISJQ0Ip6l5wEEQRWXDwtIcIolCnPAGQMAwcDXJDUZTO1hx83SGSfITI2EZxtirR0nqKOvWUaZLghNAB1xXwoI5l2agvIMLWtObQPKClHPTtPSIuc3aHZGRfQHzd6zZBEEJ0QnVby0fECcIrHH5jjSaIQQi0uEbzHBEniCKk0WIbyR1REmqGADiiKIzswW4oitKZRPOdECfJRwiCrUq0+q66xHP5oCg4IXKwJZrvhDhJNuoLiLA1SbTmAS3loG/vdQ2Z84Q4760UNl9gfN1LNEEQQnRCJdrtu65B0oEKd+DGMk8QgxCscZnnmYoTRBGRec7rGiRJqFkG4YgjnTNdOk+QpTOd57mtQZSPEElb1Xl5LQs8t/CJghNCB1vneW5rEGWjvoEIW5POax7QUg662/Zfa0zVyq3w0eXBOt3W23+Z9q6HjG95+y/TCwnmhVbaf5kmKpKJgHlN7b/yB8oxPQH2chE0orNzmGkh2I1FkX7uzmGmjZSuJsBCT+cw08DtdQ4rcxG1qq+BTQp/0zAXD0xrLTcNc60F8xq1abi4ahp2Xgx1j281mN3aEMMGZmfowTjkY4DpaZOm4WLn+kB4moa5FIpIAT9HxrO7K8PWDB7xDQYTDVxRAMGnNMGnBIPPmI8GZqgW+4W5lgr0CxdX/cLOt/WYbzEls7Iem1WZ5g84JRtBul+42Lk+AJ5+YS4BmF3J/cLF7sqoNWOnPGMrRQv1qBgeZ1HsmRXgFsaufmEV0DBRvs4XNSRBCFNxaG0t3y8s6RCFOwSvYW0YB6IYhJlGQgHqXKSQRBFZpHD3C0uirKdcDwpa0Pr6hSVROluk8PQLi/IRImMbdVldnan6djvlua5QFJwQOuCSAh7UsSwb9QVE2BoWKYABLeWgb+9pcrmrX1h5bwCy+QLj6163CYIQohOq24ROk5P0gsK9sLFYE8QgRNxWxJogiohYc5wmJ8lBTRQAhXvpQRKkM53mOUtOlI8QCVvVafVldspzO6EoOCFqsHWa5yw5UTbq64ewNem05gEt5aC7bSaxTgxq5RV56cJ1um03k3DtBZfbUOG05WYSrhcSzAttNJNwTVQkEwHzmm4nXDtLrnf5t/p7X5lR0n/ra8/xclxCcO2OIPtcTSJcC8ElOIKaczeJcG2kLGUBFhZ5ZO+3G7It3GKXiLl0UCXmg1qu1ir/zYNsRjBptdsqwrYWzFrEVhF1dfOg8tw8yLYazF1tSF0DszP0YBzyMcDks0GriLq6eVA13DzIplBECvg5Mp7dXRm2ZvCIbzCYbuB6AYhApYlApYlAJRiBxnw+MFm11y/CtrT9fhF1df2g+5U95ltMSbKsZ2dVifmjTslGEO4XUVfXD/ojzoRPAKZYar+IMtcP2qPNlGdsJW6hNQrD46x7PYU/t/Z19ovENEyUr/t1B0EQwmwbWj530C8i6BCFOwQvU20YB6IYhMlEQi3qXoIQRBFZgvD0iwiiUKdBAZAwyQb2e2aHoiidrUP4+kUk+QiRsY3ibFWi1ZfVKc/tg6LghNAB1xXwoI5l2agvIMLWtA7RPKClHPTtPV+ucPaLJGRfQHzd6zZBEEJ0QnVbu+fLScIrHH5jjSaIQQi0uEZzny8niSKk0WIbyR1REmqGADiiIhnkiQ1lKIrSmUTznC8nykcIgq1KtPqWOuW5dlAUnBA52BLNc76cKBv1BUTYmiRa84CWctCVRFOh/vQ8iftxMQv7SZym/ZPivOhHp7P4PAmDM/3Zg+4lmjUAa4mmqL7A+LqXaIIghOiESjRLS++NhgYb6L4oqMJBN5ZjghiEoIrLMc+UmSCKiByzlmt3RDmouQCgCItUDVIbylAUpTMxFsXuvl1JPkK4a1WMqTp3e67NEwUnxA22GHMO6liWjfoCImxNYqx5QEs56G77du0CW+ur1IsXreNtvXGXae96zPiWN+4yvZBgXmilcZdpoiKZCJjX1Li7vlPtps5t/2A4rnPAJiyCaHT2/DItBNuocC3o6/ll2khpRwIs9PX8Mi3cYs+vuU5a1Ze5qtTf7svFA3Ndy+2+XGvBXEdt902v2n2d90Hd41sNZrw2FLKB2Rl6MA75GGDK2qTdN925PhCedl8uhSJSwM+R8ezuyrA1g0d8g8FMA5cZQPApTfApweAz5qOBKarFTl+upQKdvulVp6/zbT3mW0xJrazHZlW7+QNOyUaQ7vRNd64PgKfTl0sAZldyp2+6uzJqzdgpz9hK0kLdJYbHWSl7pgrY1bKz1TejcaKA3a9HCIIQJujQgruDVl9BhyjcIXhha8M4EMVYFwUeDEIJ6l63EEQRWbfwtPoKolBnTgEQb6uvIEpnSxe+Vl9JPkJkbKMwW5Vn9bV2ynNPoSg4IXTANQU8qGNZNuoLiLB5B3SMDGgpB317+0i0cHP1+nov87E5AwPsXrgJghDCEyrcNmgkEQRVOOjGgkwQgxBVWxFkgigigszVSCLIQU0GAIW3kUQQpTM15mskkeQjhLtW1Vh9+Zzy3CYoCk6IG2w15mskkWSjvoAIW5Maax7QUg6640YS18RY4cWL1/G23kjCtBdcVkPl0bYbSZheSDAvtNJIwjRRkUwEzGu6TpB/AhyTEFyjIyg/ZzcI00JwqQ0XdL5uEKaNlCUrwMIsSp1ajWnh9rpBUnNPYBqaD1G9Kuu/LJDNCGatlltCuNaCWYvaEnJ1WaDyXBbIthrMXW1oXQOzM/RgHPIxwOSzSUvI1WWBquGyQDaFIlLAz5Hx7O7KsDWDR3yDwXQDFwxABCpNBCpNBCrBCDTm84HJqsW+EK6lAn0hVzcGul/ZY77FlCTLenZWpZg/6pRsBOm+kKsbA/0RZ8InAFMsuS/E3BhojzZTnrGVuIWWIgyPs/D1VP7s4tfVF5IGNE4UsPPlBUkQwnwbWj/L94VIOkThDsHrVBvGgSgGYTqRUIw6lyEkUUSWIdx9IZIo6znXg4IWt6FWM4U10g9FUTpbifD0hYjyESJjG9VZXaOl9Q1zqefKQFFwQuiACwt4UMeybNQXEGFrWIkABrSUg769R8Bp4eboC0n99/LYnAEBdi/cBEEI4QkVbu2eAScJr3D4jUWaIAYh0uIizX0GnCSKkEiLbSR3REmoKQLgiMJsUDj2o0qidKbRPGfAifIRgmCrGq2+XS71XBcoCk6IHGyN5jkDTpSN+gIibE0arXlASznoW9y7G7oOgUsjqjMwwO41miAIITyhGo3fuysJqnDQjfWYIAYhquJ6zDNpJogiosccvbuSHNRkAFCEiYrtpedQFKUzNebp3RXlI4S7VtVYVCdvz912ouCEuMFWY57eXVE26guIsDWpseYBLeWgO+7ddc2BxV68ZB1v2727XHvB/idUHm25d5frhQTzQhu9u1wTFclEwLym3t1tHALHdQ7Yh0UQja62X66FYCcVrgU9bb9cGykdSYCFnrZfroVbbPs1dz6n9Y2raezt+GXjgbmu3Y5ftrVgriN2/KbxquM3dV7adI9vNZjx2lDIBmZn6ME45GOAKWuDjl9t+/WBcHf8sikUkQJ+joxnd1eGrRk84hsMZhq4zACCT2mCTwkGnzEfDUxR7TX7si1tv9l3FXTue97WY77FlNTKemxWtZs/4JRsBOFm31WwqQfA3ezLJgCzK7XZVz87K6PWjJ3yjK0kLdRfYniclbJnqoBdLTubfRMaJwrY/XqEIMi69PANEFhwd9DsK+gQhTsEL2xtGAeiGIT5R0IJ6l63EEQRWbfwNPsKolBnTgEQb7OvIEpnSxe+Zl9JPkJkbKMwW5Vn9d1zqecyQVFwQuiAawp4UMeybNQXEGFrWrpoHtBSDvoWN5JEzmZfRXUGBti9cBMEIYQnVLht0EgiCKpw0I0FmSAGIaq2IsgEUUQEmauRRJCDmgwACm8jiSBKZ2rM10giyUcId62qsfryudRzm6AoOCFusNWYr5FEko36AiJsTWqseUBLOeiOG0msE4BaX6UevDhwz1Zi1lJ0E9ZIwrQXXFZD5dG2G0mYXkgwL7TSSMI0UZFMBMxruE1w/on+wh/qI+BcjR9MGHA5jiDynI0fTAvBVTVcu/kaP5g2UlanAAvzMMoHic3EIdvELXZ+mOv/0voGrtR//R8bD0xOLXd+cK0FkxO18+Pq+r/Uc/0f22owRbUhaQ3MztCDccjHAHPMJp0fV9f/pQ3X/7EpFJECfo6MZ3dXhq0ZPOIbDKYauC4Agk9pgk8JBp8xHw3MUS12fnAtFej8uLr+z/22HvMtpuRW1mOzKrb8AadkI0h3flxd/+cPNhM+AZhdyZ0f5vo/e6CZ8oytNC202GB4nKWtp7Znl7fOzo+MxokCdr+AIAhCmFFDK+QOOj8EHaJwh+CVqA3jQBRjXRR4MAg1qHuhQRBFZKHB0/khiEKd6gRAwigsBpE11A9FWTpbbPC1fkjyEUJjG5XZqj6rr4tLPff/iYITYgdcVMCDOpZlo76BCJt3QMfIgJZy0JVyOw3zkzQtzvpKnRb95CQ+7Rens7N+nsSzi1kRBxfx2YMtKDdX64fv+h2rMzDA7pWbIAghPKHK7Wbrx/wzrdu+qfZQVrPkS3k2/6TaL2m2Wi4+/5dqR+bf6F9/q3/9ZPHj1RbLajumWe6Yf6j13Xv9Suz9fP7B/J/0x9/NP97rxYFLV+yLOlDhDtxY6QliEKJ1K0pPEEVE6YUD6wFrd0RJqGkG4UjS2HUswFAUpjOlF0aDzKX0JPkIobRVpVdfRZd67hYUBSfEDrbScw7qWJaN+goibE1Kr3lASznojttKEhue1m6FF0+t4229rYRpL7hmh0qvbbeVML2QYF5opa2EaaIimQiY13A+CdZWwoQB1/oIQs/ZVsK0EFyyo+g3d1sJ00bK0hdgYRZn1mA4ZBu4vaaSzNwimIX1uq7/AkE2HpiaWm4q4VoLpiZqU8nVBYKp5wJBttVggmpD0BqYnaEH45CPAWaYTZpKri4QTBsuEGRTKCIF/BwZz+6uDFszeMQ3GEw0cFUABJ/SBJ8SDD5jPhqYoVpsKuFaKtBUcnV3oPttPeZbTMmsrMdmVWr5A07JRpBuKrm6O9AfbCZ8AjC7kptKzN2B9kAz5RlbKVpoGcPwOAtbT2XPLm5dTSXLqQyYEwXsfGlCEoQwn4bWx/JNJZIOUbhD8DrUhnEgikGYLiRUoM6lBkkUkaUGd1OJJMp6zvWgoBVtGAapPQIORVE6W2nw9JSI8hEiYxuFWV2eZfVVc5nn7kBRcELogGsKeFDHsmzUFxBha1hpAAa0lIO+xT0liaunJPNd0mN1BgbYvXATBCGEJ1S43b6eEkkHKtyBGws9QQxCtG5F6AmiiAg9Z0+JJAk1zSAccZQ5TyqRZOlM6HlaSkT5CJG0VaFX31eXeS4gFAUnhA620PO0lIiyUd9AhK1J6DUPaCkH3XFLibLhaekWefHSdbxtt5Rw7QVX7FDlteWWEq4XEswLbbSUcE1UJBMB80gnlVjO43N0mXD5wMU/gvRzdZlwLQTX8CiKztllwrWRshYGWFjkkV11DtkWbrHNJDZtJslypTeLvG0mbDwwXbXbZsK2FkxXxDaTLFq1mWTOW/Pu8a0Gk1YbItfA7Aw9GId8DDDrbNBmom2/PhDuNhM2hSJSwM+R8ezuyrA1g0d8g8FMA1cKQPApTfApweAz5qOBKaq9NhO2pe23mayCzn3P23rMt5iSWlmPzar88gecko0g3GayCjb1ALjbTNgEYHaltpnoZ2dl1JqxU56xlaSFVjYMj7PY9VT77ILX2WYS0zhRwO5XKwRBCHNsaM3cQZuJoEMU7hC8NrVhHIhiEKYQCSWoe/VBEEVk9cHTZiKIQp38BEDCJBsk1kg/FEXpbPXB12YiyUeIjG0UZqvyLK4nqz0Xi4qCE0IHXFPAgzqWZaO+gAhb0+pD84CWctC3+NYa5WwzSajOwAC7F26CIITwhAo3/q01kqAKB91YkAliEKJqK4JMEEVEkFljwR1RDmoyACjCIlWD1IYyFEXpTI15bq0R5SOEu1bVWH3lXOa5Q1AUnBA32GrMc2uNKBv1BUTYmtRY84CWctAd94JYA5HWV8qLl63jbb0XhGkvuKyGyqNt94IwvZBgXmilF4RpoiKZCJjXcLzI5dtmxMx4kbtBmITgGh1B+Tm7QZgWgkttuKDzdYMwbaQsWQEWZlHq1GpMC7fYDZKabpCsXpBV/m4QLh6YsFruBuFaCyYsajeIuuoGcV59d49vNZi22pC5BmZn6ME45GOAeWeTbhC1c30gPN0gXApFpICfI+PZ3ZVhawaP+AaDmQauFYDgU5rgU4LBZ8xHA1NUi90gXEsFukHUVTeI82095ltMSa2sx2ZVgPkDTslGkO4GUTvXB8DTDcIlALMruRtE7a6MWjN2yjO2krTQAoThcZa7nnqfXfI6u0FSGicK2P2igiAIYZYNrZo76AYRdIjCHYJXpzaMA1EMwiQioQR1Lz4IoogsPni6QQRRqNOfAEio1UxR2FCGoiidrT/4ukEk+QiRsY3CbFWepfV0teeyUVFwQuiAawp4UMeybNQXEGFrWn9oHtBSDvoWd4Okzm6QjOoMDLB74SYIQghPqHDboBtEEFThoBsLMkEMQlRtRZAJoogIMlc3iCAHNRkAFGGi3CeDCKJ0psZ83SCSfIRw16oaq2+hyzzXCoqCE+IGW435ukEk2agvIMLWpMaaB7SUg9b/+4unX1ejsv7cJ7tabg/JBj+wEWvJVdiJIxXHYa7cpyZj9lKk1NMNImFgn9x7nm0wuNQGS6YbbR0Pr9o/rquny3fmX+2tK6onfa25Hum/8bY5pM38SE//Kw+rf+LT+ZPq/Db9pdd782/0nx/NP6/aF34yf1z9J6ppNP0Tf+zpD5+tTbuZLy/aUcxXvrz8u0FP//UnvSjomZaTZXPKp5fvmDPlqp/54+IHEvP9RxqoOjzO5v59tvsTzP2ttKYwTVQkE5nmHbDNA1f7CBrS2VfCtBBctMOloa+vhGkjZfELsLDIC+fBv0wLRfpKbs6COsUc12wwg9H7RfLMpVK+z7cWzF+UfhGbhff4FoIJiyR60cfgkG82GOjpvSA2O4/4diqinZs8BSO+mWDUZ1cAridgzDcZTAO03g13ELjPt7Tl3g2bdcd86yipqs2hL9kmy/Rl2Gyc8G0E8xSp88Jm4pRnYiX14iS4KIq4nwfJeT9R6Un/JDid9ePTKCiS0/M4u1g+HM760VNR82vI0FVF5o4TNV2kKGLnE/eSIISZrI2qUHDqXhJV4ah4OQXS9ua/1YXtouFfV8u9+ce6pq12bPTmv5t/FIW9w16keq4Z9ANRxxAm9QiFnHMxQBJFZDEgHMQ2kjuiJNTZSIAjUlno3HEgydLZekA+SB0VpCgeIYiSKqOG5YC8Plc69xwULgpOiBzsYsA1pmNZNOr7h6A1rAYA41nKQVcir7gI8/AiTvpFniX9ZHYS9U+DYNY/V8n52SzLL4KL5bvcrciLnCIvproDQ+xe5AmCEOITKvI+MnPyC7Gzvpm0Ejw/MBP682+qy2CqPanVGkC129F8R+0omxv2Rd2gcDfgAtCGcSCKQQi6BLnmmneXJBFSa9a57zuiJNRsgXAEeT4IHPP4kiydqbUodU74i/IRwmGrcq0+iCv3nKwmCk6IHGy55hzUsSwb9Q1E2Jr0WvOAlnLQiwv84tMT/dNBPw7TWT8Jw7xfBLPT/tksKs7VWR4H2XLQu9VrsVOvKao7MMTu9ZogCCFAoXrtQ9M/YS7iM20apqVCC7HLtxeizGx9Wui1D+fvW6cH9kVxFY67sS4TxCBEV4IuMwe8fDbo2U9leUEUSEae2TjuiHJQUwNAkcbWHDcU5ehMmIVqkFnjwF1ZPkLca1WYqTqPe86hEAUnhA62MHMO6liWjfr2IWxNwqx5QEs56EqY5WkenWXnWf80zoJ+ks4u+sVZctqPizgoLoqTk3i2XOjvVpglTmHm6DJ2uwND7F6YCYIQAhQqzG7uT5//Yv6r+cfz384/6M/fM79VFyO/N/+40mg26H1RaIVDbyzPBDEIMZYgz9yrnIIoIsIsGETKhnJHFIWaHQCQKMkGjuNGhqIs3emzwN0qKwpIiH+tCrR6m0zu2fckCk4IHnyB5hzVsSwc9R1E4JoUWvOIlnLQZuPT3kKWdLnfyXrzp1ZeuR2z2t8Vei7vwqylKKq13U7WJaHn2QavR4//vXY7Pbl8oxeFy01Nbex64g5Dgg1DG7ueuCYqkomAedcvZ7Y8ONW5yPP/Nv/FwPTmVWM2f2yWsvUDMP9SD8675g96pBcr2ou1bP39xU/05h/Ofzmw+eCA7YP1lCO3tYprIdhTj0tQz9Yqro2UfnXEwixxXeDMtVBka9WN9Gs7sjcv9g6jIjAfQvMhWp6fmeee8zPv8kHB9ErfjKX/o5lzNxbbXDC/UnZjPWu8tzq9d+Fnm9X3+FaDSbYNeW5gdoYejEM+Bpik6Du2VgdqatuvD4SL4ohPoYgU8HNkPLu7MmzN4BHfYDDpwDUOEIdKE4dKE4dKE4dKMA6N+ZBg3qLtBfPEoPt8U3OCqYj7x1fx577nxT3mW0xJuKwnaFVC+mNPyUaQ2TB2M+7UA+AimPAJwExL2k72rPHo7sqoNWOnPGMroQv1JxseZ6HumbFgF+uug3zzgsaJAna/UCIIQpgo3KjcR7eVCaIqHBWvV20YB6IYhBlOQsnpXh4RRBFZHnFvAhMkoc7MAhxFkBfOPWCCKJ0tjnj2gEniESJeG7XXqgIr6on0wlOFSYITAgdcNqBjOpZFo75+CFrTwkjzeJZy0Ld4D1juOp+3CKjOwAA712OSIITohOoxqR1gkm5QuBs21WqSGISQS9BqruUBSRIhqeZoMpYkoeYKhKOIBpFjtUESpTOp5tkAJspHiIZtarUiWOb2xR9s4Iey4ITAwdZqng1gomzUFxBhaxBrwICWctC3eANYbi+WtVhznF7gdgYG2L1YEwQhhCdUrG26/UsSV+G4G4syQQxCbCWIsobtX5JAMtrMxnFHlIOaGBAKdxuIJElnwsyzAUyUjxD5WhVm9cE7hecgJVFwQvBgCzPPBjBRNur7h7A1CbPmAS3loG/xBrB8kNicoYVZRHUGBti9MBMEIYQnVJi1s/1LElrh0BvLM0EMQoQlyDPn+qYkiogwc2//kkSh5gYAJIkHmQ1kKArSnTTz7P0SBSQEv1a1WVSn8sijzSTBCZGDr808e79E4agvIALXJM6aR7SUgzbqzCe6Wt7zVdjwtNyKfXj5ja1tW9/zxTV4PWr8656vjfZ8cYchwYahjT1fXBMVyUTAPHDP1ydme9f8i8s393rzX84/mn+4V+3mmn/I3wlmc8wB2zHr+UduIxjXQrChHhejno1gXBvXE92GG8HywDX/x7Rve9vAisRs/lLmQ2o+ZMvtF0Xs3QbGBgUzbsvbwNjmgimXuA2siFfbwArn6ZH3+FaDebcNpW5gdoYejEM+Bpi3NtgGpm2/PhDubWBsCkWkgJ8j49ndlWFrBo/4BoMpBy53gDhUmjhUmjhUmjhUgnFozIcEs1aL28DYpra/DWwVf+57XtxjvsWUdMt6glbVpD/2lGwE4W1gq7hTD4B7GxibAMy01G1g+tlZGbVm7JRnbCVzL/IgvTgP+hdRcNFPztKin58XRf9sNkuCNL44CZLlG+us3T2TF+z63bUNrEhonChg9wsmgiDrKsQ3QOAMwM0FE/OprtA+1bXzT3Q99nBRppuult78N/Of65Lu4/mv5+/rXx/8YFF93xv3la7Kf25zyL6oQxTuELzQtWEciGIQpkQJZal7MUUQRWgxxWi+myh3RFGoc7kASBiF9hnBoShJZ6speT7IXYspknyEwNhGibYq1JJ66j3xFGuS4ITIAVcX8KCOZdmo7x/C1rSW0jygpRz0Le5ALpzbxRTVGRhg97pNEIQQnlDdtnEHsiCuwnE3VmWCGITYSlBlTR3IgkAi2szVgSzIQU0MAIV7/UGQozNZ5us/luQjxL1WZVl9X0HhuYBCFJwQOtiyzNd/LMlGffsQtiZZ1jygpRz0Ld7FXzg3hqVUZ2CA3csyQRBCeEJlmdgufkE3KNwNG8s1QQxCzCXINWdvhyCJjE5z7uIXJKHmCoAjN9MRNpKhKElnWs23iV+SjxAMW9VqaZ3aU49WkwQnxA22VvNt4pdko75/CFuTVmse0FIO+hafgFk494plVGdggN1rNUEQQnhCtdomJ2BKoiocdWM9JohBiKsEPeZe1BREERJk1trtjigJNSEAHEkUhNZ5iKEoSWeCzH0ApigeIeC1qsfqm6QKz91gouCEuMHWY+4DMEXRqG8fgtYkx5rHs5SD7nZ3WGQdUy2wvEep5zc2v21/dxjT4PWY8a+7wzbbHcYchgQbhlZ2hzFNVCQTAfNibHeYxI1gXB+sJxrBjWBMC9d1p+hGMKaNlM50xEKVODvkmBZucStYsXcYB4H5EJoP9U08hf9GMDYomF7b3grGNRfMr9StYFc3ghWeG8HYVoNJtg1RbmB2hh6MQz4GmKQ22Qp2dSNY0XAjGJtCESng58h4dndl2JrBI77BYNKBKxsgDpUmDpUmDpUmDpVgHBrzIcG81eZWMK6pAlvBrm4Ec7+4x3yLKQmX9QStSkd/7CnZCNJbwa5uBPPHnQmfAMy05K1g5kYwe8yZ8ow11mJHuRgeZ6HumalgF+vOrWAFjRMF7H49RBCEMD2IlvstnZ0nCK1waLxytWEciGIQZjgJxad7ZUQQRWRlxHN2niAKdXIWAInzgbKSDEVJOlsa8R6eJwlIiH5t1GGraqy+Tarw3A4mCk4IHXAJgY/qWBaO+gYicE3LI80jWspB394NX5FjbeK5ePlkEJyBAXatzkRBCPEJVWcbbvgSxVU47oa6TBSDEFwJusy/4UsUSESd2duIRTmoiQGhcK4ziJJ0J82cW75k+QiRr0VlZiY3qzy+/IMN/FAWnBA8+MrMueVLlo36/iFsfmGGDGgpB317t3xpYWZtG9TCzHv/hs0ZGGD3wkwQhBCeUGEmtOVL1A0Kd8PGgk0QgxBzCYLN0cUhSiKj1BxbvkRJqLkC4UiLQeoSa4IonYk1954vWT5CNGxVrIV1bnffDyYLTggcbLHm3vMly0Z9ARG2JrHWPKClHPTt3fOlxVpic4YWaxHVGRhg92JNEIQQnlCxtsGeL1FUhaNuLMgEMQhxlSDIXCuboihCisxavN0RJaEmBIAjD1xXHw5FUTpTZM5NX7J4hIjXqiCL6vztvhRMFpwQONiCzLnpSxaN+vohaE16rHk8Sznojjd92bvI4iD24mXreNve9MU2eD1m/Oumr002fbGHIcGGoYVNX2wTFclEwDxw01dXV4KxHbOefcR2grEtBDvqKUrUtROMbeN6ottwJ5jKIqfEZFq4tZ1gcZCY/V/KfEjNh+VlPJrEtxOMDwrm3HZ3gvHNBZMubSeYNqfeCbb0s83qe3yrwczbhlI3MDtDD8YhHwPMXPydYMb26wPh3AnGp1BECvg5Mp7dXRm2ZvCIbzCYdOByB4hDpYlDpYlDpYlDJRiHxnxIMG+1txOMb2rrO8Gu4s99z4t7zLeYknBZT9CqnvTHnpKNILsT7Cru1APg3AnGJwAzLXEnmHl2VkatGTvlGVsJXegiCsPjrN490xfsCt6xE0xHKxonCtj9KokgyLoK8Q0QOAcgfimYqEMU7hC81LVhHIhiEKZECYWpey1FEEVkLcV5KZgoCnU2FwDJ1SC3dnUORUm6W0txXgomy0cIjG2UaKtCLakn392XgsmCEyIHXF3AgzqWZaO+fwhb02pK84CWctC3eI+Y4y5DrdsU1RkYYPe6TRCEEJ5Q3bbxHjFBXIXjbqzKBDEIsZWgypr2iAkCiWgzV9+xIAc1MQAUvhUIQZLOhJlvj5gkHyHytSrMVJ3H3deCyYITggdbmPn2iEmyUd8/hK1JmDUPaCkHfYv3iDnaDLUwS6nOwAC7F2aCIITwhAozsT1igm5QuBs2FmyCGISYSxBszv4OQRIZpebcIyZIQs0VAEcaFYPUJdYEUToTa749YpJ8hGjYqlhL69zuvhdMFpwQONhizbdHTJKN+gIibE1irXlASznoW7xHLHTuEcuozsAAuxdrgiCE8ISKtY32iAmiKhx1Y0EmiEGIqwRB5l7XFEQRUmTW4u2OKAk1IQAcUZGlieOqVlGWziSZZ5OYJB4h5LWqyLI6gbtvBpMFJ0QOtiLzbBKTRKO+fwhakyBrHs9SDlr/7y8q8qUSMb/9uU95tbxrzLVy6T1jPcjXebvaNRY5d40xDV4PIpK7xuafzR/Pv1ls5DEbwuaPzf6er6pdYu8uP2VuB5t/NH9v/gv+rjDzg8lesPzRHNkfxnR4gjm8lf1hTBMVyUTAvAjbHyZwKRjbB+s5RnArGNPCddEpuhWMaSOlMx2wME7DbGBd1BqyTdziXjBzK1hobgULw3r7hfdCMD4jmEQ528Cy2L0NjGsumEWp28Dyq21g7gvB+FaDqbQNLW5gdoYejEM+BpigNtkGlu9cHwjPNjAuhSJSwM+R8ezuyrA1g0d8g8GEAxc0QAgqTQgqTQgqwRA05vOB6Yq6A8wZfu7zTRXYAZZf7QBz3wXGt5iSZ1kPz6pY9Iedko0gvQMs37k+AJ4dYFwCMMmSd4Dluyuj1oyd8ow11p4GqtDfn/XT9GzWT05U2i+yVPXPiiiZJWfBaX66fGOdlbhnboJdjTt3gBU0ThSw+zUQQRDChOAm9fzTZXzVtLIsqf/FbA0zXceXf6t//eTpIk3Xb4sS78P5r+fv9attYj+ffzD/J/3xd/OP93px4Jq53xd1mcJdhpe7NowDUQzCjCihYnWvpQiiyKyl2DjuiHJQZ3IRiiTJlvtLbpa/gigdLqREroUUSTxC3GyjeFuVcEU98e6+RUwWnBA24LoDHdOxLBr19UPQmhZSmsezlIO+xfvDHIsWz8VhQHYGBNi5qpMEIUQnVNVtuj9MElfhuJsqMkkMQmglKLKG/WGSQF3qMkkOamIAKHzLEpIonekyzwYxUT5C6GtTmIX1nVOh5xIxUXBC9GALM88GMVE26guIsDUoM2BASznoSplhN8F2r8ysPYZamXkv6bA5AwPsXpkJghDCE6rMbp64NP/F/Ffzj+e/nX/Qn79nfqumzt6bf1yJNBv0vii0wqE31meCGIQIS9BnzhkzSRQRZRYMImVDuSOKQs0NAEgRJK7N+5Ik3Wkz5y3td2UBCdGvVXFW3zEVei4NEwUnhA6+OHOO6lgWjvoGInBN6qx5REs56I5vqXDprciHl9/A23q/MddgsEkK1Uv/+/Qbcx2eYA5vo9+Ya6IimQiYB/Ybd3YfBdcx65lGrgmZayHY1YXrTk8TMtdGSnMUYGGiwsC1nY1r4vaakMPY9B+bWylCtewADCNvEzKbEcysLTchs80FUyuxCTmMVk3IofNSrnt8q8H82oYiNzA7Qw/GIR8DzFobNCFr268PhLsJmU2hiBTwc2Q8u7sybM3gEd9gMOHAZQ0QgkoTgkoTgkowBI35fGC6arEJmW1q+03Iq9Bz3/POHvMtpuRZ1sOzKhj9YadkIwg3Ia9CTj0A7iZkNgGYZKlNyPrZWRm1ZuyUZ2ylb6Gjjw2Pszz3zE+wS3RXE3IY0zhRwO4XRQRBCNOCaJEvfw2FpEMU7hC8wrVhHIhiEGY9CfWoe8FEEEVowcR1DYUkCnW6FgBJs3SQWiP9UBSlsxUTzz0UonyEyNhGebYq0uJ6et1zaaAoOCF0wJUFPKhjWTbqC4iwNa2XNA9oKQd9i/uMY2efcUJ1BgbYvXATBCGEJ1S4bdxnLIircNyNZZkgBiG2EmRZU5+xIJCIOHP1GQtyUBMDQOFdeRBE6UyZ+fqMJfkIoa9VZVZfKBV6bggTBSdED7Yy8/UZS7JRX0CErUmZNQ9oKQd9i/f1x84+Y0V2BgTYvTITBCGEJ1SZ3YZ9/ZIuU7jLNlZ3ghiE+ExQd+5JN0GUTnWdIAc1rSAUeZDErhk3QZTOdJ17X78oHiFutirr6uuoQs/9YqLghLDBlnXuff2iaNTXD0FrUnXN41nKQXfcn5zY8LROS714xTre9vuTmQavx4x/7U9G+5OZDk8wh7fSn8w0UZFMBMyLsf5kifOQuT5YTymCrchMC8HeLoK49LQiM22ktEgBFsZhpOwBcMg2cYutyJnpQs7Nh6LuA0z9rchcRjCJtt2KzDUXzKLUVuT0qhXZeRfXPb7VYCptQ3obmJ2hB+OQjwEmqE1akdOd6wPhaUXmUigiBfwcGc/urgxbM3jENxhMOHD9AoSg0oSg0oSgEgxBYz4fmK7abEXmmirQipxetSI739ljvsWUPMt6eFa1oT/slGwE6VbkdOf6AHhakbkEYJIltyKnuyuj1oyd8ow11mK7hQ2PsxL3TEWwq3FnK3JG40QBu183EQQhzP+h9XxL57MIQiscGi9YbRgHohjr6d+DQag53SsfgigiKx+e81kEUaizrwBIljsuuhyKknS29uE9n0USkBD92ijBVoVYfZ1g6LkeUhScEDrg6gEf1bEsHPUNROC8IzpGRrSUg77F/caJs984pzoDA+xenQmCEOITqs427jcWxFU47sa6TBCDEFwJuqyp31gQSESdufpSBDmoiQGg8C4vCKJ0p808/caSfITQ16o0y+tE7rk3UBScED340szTbyzJRn0BEbYmZdY8oKUc9C3uN06c/cYF2RkQYPfKTBCEEJ5QZXYr+o0FXaZwl22s7gQxCPGZoO7cs26CKJ3qOkEOalpBKCIV2C+UHIqidKbrPP3GkniEuNmqrKvvnQo994iJghPCBlvWefqNJdGorx+C1qTqmsezlIPuuN9Y2fCeiyPvZRxFsI639X5jrsFgk9QmOut/zX5jrsMTzOFt9BtzTVQkEwHzwH7jzs5D5jpmPc/INSFzLQS7ugiK092EzLWR0hwFWJhESe46lYBr4vaakKNwT3+IzId42QEYBd4mZDYjmFlbbkJmmwumVmITchSsmpAj5+Vc9/hWg/m1DT1uYHaGHoxDPgaYtTZoQta2Xx8IdxMym0IRKeDnyHh2d2XYmsEjvsFgwoGLGiAElSYElSYElWAIGvP5wHTVYhMy29T2m5BXoee+55095ltMybOsh6cuGBvCTslGEG5CXoWcegDc</t>
  </si>
  <si>
    <t>TchsAjDJUpuQ9bOzMmrN2CnP2ErfQkfwGR5nee6Zn2CX6K4m5Mh7J9NNThSw88UUSRDCpCBa5MufhyzpEIU7BK9wbRgHohiEOU9CPepcKpFEEVkqcZ+HLIlCna4FQNI4G7hOZ5FE6W61xH0esigfITK2UZ6tirT6usHIc4GkKDghdMCVBTyoY1k26guIsDWslwADWspB3+L+ZEfznhZuEdUZGGD3wk0QhBCeUOG2aX+yJK7CcTeWZYIYhNhKkGUN/cmSQCLizNHHIslBTQwAhXflQRClM2Xm6U8W5SOEvlaVWVQncs+VgqLghOjBVmae/mRRNuoLiLA1KbPmAS3loG9xf7Jy9Scv7wenOAMC7F6ZCYIQwhOqzG5Df7KkyxTuso3VnSAGIT4T1J170k0QpVNdJ8hBTSsIRVoUyjXjJojSma5z9yeL4hHiZquyrr6vKvJcQCYKTggbbFnn7k8WRaO+fghak6prHs9SDlr/7y/+61NyxinbXp2dvfbiyy9ZHMFSba6ptMTHGdzow3Y1KrutpWixq15lq7nPs81df8w8zgUV1//U2un1xRLm5TvzRz0tpB7OPzGNwJfvLEXUN5W0Mkuab5nu4+rHH6/amW2AWkQlzwzZlDcipBtzswC57DVUe4dxbE49TQr9QZlPU9N/mJqvZbH5YL6Rm28U5htFYj7o7yZBYD7E5kNqPuifS8LIfFDmQ64/mFbGJErMB/M3YvM3YvM3YvM3YvM3EvM3EvM3EvM3lPkbyvwNZf5Gar5rbEky86fM/LXc/IgxKDEGJcYWFUTmg/mTsUCZc1yVaaFUkf5HVRy7Qj53lBL6KOHNKWZojszQHJmhOTJDc2SG5sgMzZEZmiMzNEdmaI7M0ByZoTkyQ3NkhubIDM2RGZojMzRHZmiOzNAcmaE5MkNzZIbmyAzNkRmaIzM0R2ZojszQHJmhOTJDc2SG5sgMzZEZmiMzNEdmaI7M0ByZoTkyQ3NkhubIDM2RGZojMzRHZmiOzNAcmaE5MkNzZIbmyAzNkRmaI9fQHPGHRtGHBu+60SMzMiMzMiMzMiMzMiMzMiMzMiMzMiMzMiMzMiMzMiMzMiMzMiMzMiMzMiMzMiMzMiMzMiMzMiMzMiMzMiMzMiMzMiMzMiMzMiMzMiMzMiMzMiMzMiMzMiMzMiMzMiMzMiMzMiMzMiMzMiMzMiMzMiMzMiMzMiMzMiMzMiMzMiMzMiMzMiMzMiMzMiMzco3MiD8yeATn64Rl/6LaK80IlWaESjNCpRmh0oxQaUaoNCNUmhEqzQiVZoRKM0KlGaHSjFBpRqg0I1SaESrNCJVmhEozQqUZodKMUGlGqDQjVJoRKs0IlWaESjNCpRmh0oxQaUaoNCNUmhEqzQiVZoRKM0KlGaHSjFBpRqg0I1SaESrNCJVmhEozQqUZodKMUOkaoZI9Qjea7RpGiBbSJmZYJmZYJmZYJmZYJmZYJmZYJmZYJmZYJmZYJmZYJmZYJmZYJmZYJmZYJmZYJmZYJmZYJmZYJmZYJmZYJmZYJmZYJmZYJmZYJmZYJmZYJmZYJmZYJmZYJmZYJmZYJmZYJmZYJmZYJmZYJmZYJmZYJmZYJmZYJmZYJmZYJmZYJmZYJmZYJmZYJmZYJq5hmfCHBdeVxCZCPSpTMypTMypTMypTMypTMypTMypTMypTMypTMypTMypTMypTMypTMypTMypTMypTMypTMypTMypTMypTMypTMypTMypTMypTMypTMypTMypTMypTMypTMypTMypTMypTMypTMypTMypTMypTMypTMypTMypTMypTMypTMypTMypTMypTMypTMypTMypT16hMeaPylH42g/Pnviqgze2KZur2BzYOXQakdo4wVoEek9j5dGHmMmsAY7HN3ufZ9q4L5A23K/622nNmJlJXx6n6Rf8GOxQf9+Z/MPO71Zzt4muXP9Xf1j+ynNj9wvxndRXylf6Rt82uyPqvflMZ+cbiU5tD99kOXdeyktsRmSYqkolM8w7Y5q1P7ghuCmRauD7VK7opkGkjZbMCYGFSWBe4hmz7RHYE3uxZdZ3UyjYbzEeMTX55Wrg3+XHNBfMRZZOfzcJ7fAvBDESan0Gfg0O+2WCcp09Y2Ow84tupiHZu8hSM+GaCQZ89m+8+3ZdtMpgFiHvt3FHgPt/Ulvfa2aw75ltHSVVtjn3JNllmH53NxgnfRjBTkYpcm4lTnonGxvM4KE7ii/N+EEaqn5zHUT8/T877F2Gen85OZ0ESLdODsx780Um7zTzVqTDOqtBx9KILFCW0VY4eMEr1aAN5XhSEsCqNlpVrfdaf69/e7elS72td1P3UfJx/Nn9iNs1VJ5dUp5z8tjf/ZRj0oiwILt+KgquTanQV+KiqNz8x/+iiaXtRVz6ZP1r8iPlLO7E1ZuyLuk7hrtu4OhPEWE/mHgxCFdfUsy0IJNLbEwwia011RxSF2l8AgMTBIHRVh4IknXX3FNkgs0673ZXlIwRSUnV0Y+Z6rb2nPoQ48pwqLQpOiB/sgsA5qGNZNur7h7B5B3SMDGgpB73o2p5l6Wl2EfTP8yjsJ/pf7Z8Ep6qvf744DfI8zC+Wwq5ToRe5hF7sOPHB7Q2MsHOhJwlCiE+w0FtOzD+5fLs+7uAL/aVH8z82NmsvftrTrG1z0L6ogxTuIFzOzd9bOGQlg68WMx735h8tD1n8YyVvH88/M/fZPTQLJfMvzFLLz+cfaVW80MBX/n14+br55kdBb/5xL1I9Vwf1gai7CGGfIBudzeCSKCKCMbQ3Ad4RJaHmK4SjiKJBZkMZiqJ0JhjDaBBbBfFdWT5CQG5TMMbBUl/EnpPyRMEJkYMtGJ2DOpZlo76ACFuDYAQGtJSDrgTjRZRmQX5y2s9msf7Z+DztFyd50g/DML4Iz0+KeHb+oHvBGDsFY0T1BkbYvWAUBCHEJ1Qwvmdp8XhsZM1n1ZeNVnyj9/3ZKyc/Oun96OSVk7/+6xdrJfnRSgNVn4cqzhbfeM+ct2Ukljm7etk08s1yZnAxm+iYGpT0ncJ9R9CSH66040N7u4zZAbl03+HCfSsfXL6V7hXVEeB7Lp+pKA/3eirMM/0xCArz5zB88OAlLd5NT9AbvX7PKNNKw3+16P6peoIW39X6Vg/PXm/P5u4DUXcTMgpBi7oaUSRJhKRoYBVwd0RRqKkQAFFRNlDWeaChKEqHWjQrBoWyEd6VJSRE+1bVaH1GQew5dEIUnBA72GrUHGLnOg9MFI76DiJwTXK0eURLOehKjp5FRRxF4Wn/vIjP+kkSJf1cp8D+LDwtitMsTPW/8aB7OZo45WhC9QZG2L0cFQQhBChUjv7zUw3JWlH9D62I/lCpKiND5x9pzVIdCRYk15ehlzsn+1fzcjZv7It6Q+HewAWmDeNAFIMQfAnCzT2JKIgiotwCxxVNd0RRqFkDANEWOVCGoiidKbdED5VVZN+V5SOExVZ1W1Jn+cSj2yTBCaGDrducgzqWZaO+gAhbk2xrHtBSDnpx/n5ynmVns7h/GuZ5P0lV1D+JZ6f9pDg5D0/Tk/NcnT3oXrYpp2wjNlKihN3LNkEQQnxCZdvNA/iXk4T2c/gX54KZhsHPzR61vv5NK7j5N8ufeqy/sTw9zOadfVHvKNw7G8s4QQxCLG5FxgmiCMk412n8kijULAKAZLFjdmooStKZikvzQeLYgybKR4iSraq4tE76qUfFSYITIgdbxTkHdSzLRn3/ELYmFdc8oKUcdJeXF0eedkBvc2Si1vm2fRoA1971oPGvpwFUIPtshyaYQ9s4DYBroiKZyDTvgG3eejiXOw2AayG4DxTXdp7TALg2UrZYAhYmrv0eXPu2fBoA22wwH7V8GgDbXDAfbX4aANtCMAORJCv6HBzyzQbjfFunAbDtVEQ7N3kKRnwzwaDP1u/u0wDYJoNZoMXTANim5gRTmWN/zLeOkqraHPuSbXKXpwGwbQQzVQunAbBMvLWz9Z4z4hJvB/RNUJSw89l6SRDCPBRaVnY8Wy/pHYV7Z9MCTBKDMOdGKNScs/WSKB3P1kuiUGcLAZA0dM7WS5Lchtl6UT5ClCSVPg2z9Um90Sfx7NwSBSdEDrba98zWi7JR3z+ErWG2HhjQUg56cZDveRQH6iTqB0V40U+SfNY/uTjL+mF+ehKHaZqcXiwLkE5VnHNuP/E2Dtu8gRF2r+IEQQjxCVVxQKvsQtX1wqA6pUkrvreqXUGP5l8PbC7YF3WBwl2AS7VraxYPe/uzV2avvvhaz7655kCUjxCJW9FwgihCGs7VOCuJQs0hAEgYuBtnJVE6E3GexllRPkKQbFXE1dtjEs+GJ1FwQuhgizhP46woG/UFRNiaRFzzgJZy0JWIS86T8CIIo358os77iZaM/ZMiv+jPwpOzrChydVJPeHcq4pzb75OE6g2MsHsRJwhCiE+oiLNtv394/VCih73xi7PXXjkxv7301yf1VN1qi/e1bU+9+fv1cZxXO/O/XwRFEAbHQRCEfzoZB+aL1YTdsmtkOcVX/WwcBDup/pWbfek2F++LuljhLiaIRM4ufe3IR5dvLy7fq47EWmyu//38US8MI1Uc7/We2oTvGo7UbPOPzYeiOkH1O+aw1V41y2r+JT3+79tvgjkQdTMh4RC0qqsxRJJERKq6d+dLolAzJQCSJOGgcOzOl0TpTKqGcZYMEmUjvCtLSEgGrYrVelNQ4tnlJQpOiB1ssZrHmXvKURKO+g4icE1qtXlESzno23u6aOTenZ9426Vt3sAIu1ergiCEAIWq1e5PF5V0kMIdRNCaWz1dVNJdhLhP0Izu+U1BFCHRaJW/d0RJqPkK4UjDwHW6qCRKd5rRfbqoKB8hILeqGOsNSIlnR5koOCFysBWj53RRUTbqC4iwNQnG5gEt5aBv771DkftcgITYUokSdi8YBUEI8QkWjLfo3iFJ1yncdbiUtGEciGIQAjVB4jXcOyQJJCL03PcOSaJQEw0AEiWOtsqhKElnQs9z75AoHyGQtir06mtqEs+9Q6LghPjBFnqee4dE2ajvH8LWJPSaB7SUg9b/+4unZIHRb3/uE3TtHiXgXKlWjubLIA3DLA7Sdd6OjhKIXUcJcO1dDyIbHyXwhVn1XKx2yh0jsJgF/LQXGbn2pf6HHXtCuF5JMK+0cR4A10RFMpFp3gHbvPUYLXceANdCcCcoLtg85wFwbaRssgQsTBOXEOMauOUDAdhmg1mFfiBApELneQBsa8Gksvl5AGwLwTRC0qHoY3DINxuM822dB8C2UxHt3OQpGPHNBIM+W5S7zwNgmwxmAdp5AO4gcJ9vaU6wlDn0x3zrKJmqzaEv2SZ3eRwA20YwT7VwHADLxErpXeRBenEe9C+i4KKfnKWFrvOKon82myVBGl+cBEn3Pcix+zgA5ejIdoGihJ1P0kuCEOaW0NLw5nEA9nMAFg0JvzFNCvOP57+ev69/fbBs/Lg37quwN/+5zSH7og5RuEM2LrkEMQhTZ4TSzNldIYkiNOnuOgFAEoU66QeAFGnk3D0midLZrHueOy5WuivLR4iMpGqnYdZd1ZuNlGf3mCg4IXSwBb5zUMeybNQXEGFrmHUHBrSUg17sHotjlYRF0g8vTmb9MJzpnw1mWT8IVKDSPA8LtRQ0nSo35xEAKqF6AyPsXrkJghDiE6rc3nt6Sh85oKlnrgc1M/n6Gz+r2imWX/5N1UzxyHShLr60Zxosnlz+w+Xfmc8uXzc/tNpatvyBX4bfMRuYwu/u9Y6fu9crgsC6Lr4v6laFuxXXf9dRUd9eW2Gpe10u39FfeVItj5h9ZtWOM/1Pf7rceLdYS9Ff+Nwsr1Rdws+99Nrs351cNQuvll5uDMm1LWjzT6qfMiK9Ho3qXtn3rQtTB6KDQkhJrahZQRQhNWt9U+6IklBzKcARFlEyUDaUoShKZ2I2UtEgsTZD35UFJGSLVtVsvRlJebaXiYITQgdbzbpHdSwLR30FEbgmOds8oqUcdLf3Tzg3jClHN/SSL1/n23rTCNNecLUP1Ze3rWmE6ZUE80orTSNMExXJRKZ5B2zzwPVDgpZzNo0wLQSXC3GJ5msaYdpIWYoDLIxcO/u59m27Z4RrNphUWu4Z4VoL5pQWeka4FoJZhKQ70cfgkG82GOZb6xnh2qmIdm7yFIz4ZoIxny3CPT0jXJPBJNBizwjX0m56RrjWURJVm0Nfsk3utGeEayOYp9roGeGYWMmo2UUeBhen/SKMwlVZd7LdlYfE0zPi2P3gAkUJu195EAQhzCWhlWF7Kw8/r2rMx6buWy0sUFcesiBWNrfui7pV4W7F67Zv48rD0X7ZC1UQ9f/Mv+AgOBaEWUNCkepecBBE6XjBQZCEOtsJcOSZHWQoCtLZckNs+iwKG+BdWUBCiiCVfU3LDfUOR+XZsioKTggc7ErHPapjWTjqC4jANS03NI9oKQd9e/ueE3f3TOpv8LZ4AyPsXMNKghACFKph5fueJR2icIfg6tOGcSCKQYi/bQg3SRQh4ebqe5ZEoSYOACSJB6mVZChK0pl087Q9i/IRAmObyi2tL8pKPTefiYITIgdbuXnankXZqO8fwtYg3IABLeWgu+0TcZ4Tl0Z2vjCOojjNs3W+bfeJcO0FV/hQJXXL+kS4Xkkwr7TRJ8I1UZFMZJp3wDYPXDMkKDlXnwjXQnCJEBdonj4Rro2U5TfEQhXHriZdrolbbhVhmw3mlXZbRdjWgmll81YRtoVgIiEpT/QxOOSbDUb6tlpF2HYqop2bPAUjvplg2GfLcHerCNtkMA+01yrCtrSTVhG2dZRc1ebQl2yTu2wVYdsI5qkWWkVYJlY1RH52EgXJWf/0tEj7SR4G/dM41H8Kw4voJLwIk7NlmHVWdZ6yll3ZOVtF0oQGihJ2P80uCEKYTUKLw2utIrqwqw7/fr0q7P64vHpvUdmZNoKyF6gs6P9ZGBwvvjh+5eXXZmev9b43O3v5laq7IOjZ3LIv6haFuwUvvXTZbHPG9Vr66pRz8z1Pg8YH819i20Gt4fRA1H2EqTpCaeie5BdEEZrkd3RnSJJQ5xgBjiTV6VrZUIaiKJ1N8nsqUkk8QlQmVVpNc/z11sHUsxlUFJwQOCSKC0k06uuHoDVN8TePZykHfXt7M5SnN8PRSO32BkbYvWgUBCGEJ1Q0dtCbIegQhTsEl4s2jANRDEL0bUW2CaIIyTZnb4YgCjVxACBRrJOg61A6SZbOhJuvO0OSjxAaW1Vu9RVxqefOP1FwQuxgKzdfd4YkG/UNRNiapFvzgJZy0N12Z6ROMeZtGw6Ddb6td2cw7QUX1VAtddu6M5heSTCvtNKdwTRRkUxkmnfANg9cpiNoOWd3BtNCcFUOl2i+7gymjZQVL8DCIrffGz1kG7jt3gyu2WBWabk3g2stmFRa6M3gWgimEZLuRB+DQ77ZYJxvrTeDa6ci2rnJUzDimwkGfbYI90yfck0Gs0CLvRlcS7vpzeBaR8lUbQ59yTa5094Mro1gnmqjN4NjYqWjoO2ShsJZ03mKWnZd5+zNyLz7Cm6CooSdT7NLghDmktDS8NtyjIekWxXuVrxw+zYe4zH/TP/sl7qu/6T6R82ILFpyoiAO+sd58Lz3eA/JMSLMJhKqV+dKhCSK0EqEo4FEkoQ6DQpwRMUgSW0kQ1GSzpYhfOd7iAIScgepHmxYh8jqTYWZZ5eoKDghcrBLIN/5HqJw1DcQgWtYiABGtJSDvr09JKm7hySLqN7ACLsXt4IghACFilv5HhJJhyjcIbgstWEciGIQ4m8ryk0QRUi5uXpIJFGoiQMACZNBZhWhQ1GSzqSbp4NElI8QGFtVbvUteJnnWkNRcELkYCs3TweJKBv1/UPYmoRb84CWctDddpBkTimWePnCdb5td5Bw7QWX/lAldcs6SLheSTCvtNFBwjVRkUxkmnfANg9cTCQoOVcHCddCcO0QF2ieDhKujZR1OcDCyHENDNe8LfePsM0Gc0q7/SNsa8GUsnn/CNtCMImQVCf6GBzyzQajfFv9I2w7FdHOTZ6CEd9MMOSzJbi7f4RtMpgD2usfYVvaSf8I2zpKnmpz6Eu2yV32j7BtBPNUC/0jLBMrFQVNxxsKZ0XnKWnZVZ27f8Sx88EFihJ2P8UuCEKYSUILw29N/4igWxXuVrxs+1b2j/yh+hceLVdUnu4fSYP+nSTwXw8jOUaEuURC7epehRBEEVqFcPWPCJJQJ0EBjtR1O4wkR2dLEN7uEUlAQuYgVYNNaxD1psfMs4tVFJwQN9gFkLd7RBKO+v4hcE2LEM0jWspB397ukczTPeLvAbd4AyPsXtoKghACFCptO+geEXSIwh2Ci1IbxoEoBiH+tqLbBFGEdJuze0QQhZo4AJDYATIUBelMufmaRyT5CHGxVeFWXwKXea71EwUnBA62cPM1j0iyUV8/hK1JtzUPaCkH3W3zSO5SYrm/qzla59t28wjXXnDdDxVSt6x5hOuVBPNKG80jXBMVyUSmeQds88CVRIKQczWPcC0EFw5xfeZpHuHaSFmUAyxcFts3ZBfXvC03j7DNBnNKu80jbGvBlLJ58wjbQjCJkFQn+hgc8s0Go3xbzSNsOxXRzk2eghHfTDDksyW4u3mEbTKYA9prHmFb2knzCNs6Sp5qc+hLtsldNo+wbQTzVAvNIywTKxUFzcYbCmdF5ylp2VWds3kkj2igKGHnM+ySIISZJLQw/LY0j0i6VeFuxcu2b2XzyO+rn3qjWk5ZtI2EgbkJKAqOvW0jkqNDmEUkVK3O5QdJFKHlB0fbiCQJdfoT4Ih0frCBDEVBOlt98PWNiAISkgapEGxYfsjrrY65Z++qKDghcLBrH1/fiCgc9QVE4BrWH4ARLeWgb2/fSO7uG8kTqjcwwu5VrSAIIUChqla+b0TSIQp3CK5HbRgHohiE+NuKcBNEERJurr4RSRRq4gBAwnCQ2ECGoiCdKTdP34goHyEutirc6gvqcs+Fg6LghMDBFm6evhFRNurrh7A16bbmAS3loLvtGymcSszfzxyv8229b4RpL7jkhwqp29Y3wvRKgnmllb4RpomKZCLTvAO2eeAiIkHIOftGmBaCa4a4PvP1jTBtpKzHIRYGzikzpoHb7hzhmg1mlZY7R7jWgkmlhc4RroVgGiHpTvQxOOSbDcb51jpHuHYqop2bPAUjvplg0GeLcE/nCNdkMAu02DnCtbSbzhGudZRM1ebQl2yTO+0c4doI5qk2Okc4JlY6CpqPNxTOms5T1LLrOnfniH/Hww1QlLD7OXZBEMJcEloafms6RwTdqnC34oXbt7JzZLNrayTHiDCbSKhe3csQgihCyxCu/hFBEuo0KMARD6LEBjIUBelsFcLbPyIJSEgdpHKwaRmi3u2Ye7avioITAge7AvL2j0jCUV9ABK5pHaJ5REs56NvbP1K4+0cKf/u3xRsYYefaVhKEEKBQbSvfPyLpEIU7BFelNowDUQxC/G1DuEmiCAk3V/+IJAo1cQAg4SC1rgUNRUE6U26e/hFRPkJcbFO4FfXldIXnukFRcELgYAs3T/+IKBv19UPYGnQbMKClHLT+318Y8uV0uZFjf+7TZ+32k4TWMdbCLLTjZmEYR2Go1nE7aifJXe0kXHvBdUBUV/1GC6dqMmo5WfXk8u1KRD3qmS+YySOz+ain1dR7818su0KeXJvaWvWaoC0jXPIEI2+jZYRroiKZCJinffn32r0P578fmDH4uB/an6cDtsngiiJBz7naSLgWgguIuEzztJFwbaQszgEWqiRIBoHjAhuujSKdJDcy1fCFg+Pj0fEyV5XTw+9obRHt6Q/xd02EMPabpLUXWPPWXT4emHfoHSdJlDs7TtjWgnmH0nHyrHHe7sLx31+62Wb1Pb7VYPZpQ70amJ2hB+OQjwGmEnpXytJ2Y/bO9YFwURzxKRSRAn6OjGd3V4atGTziGwzmGrgEAIJPaYJPCQafMR8NTFK0Lhd34LnPt7TlLpdnx1dB577nbT3mW0xJrqzHZlVX+QNOyUaQ6YS5GWzqAXARTPgEYHYl9ck8azy6uzJqzdgpz9iqVIhjlYQnqh9enMxWKxDZdjtmwsCu3XXtGtE4UcDuFxUEQQiTZ2jx23HDzC9ND4j++3+ry+WrH/I20RRBYO0F2Bd1tcJdjZey1719jRt1Pr+Jpp6k2Os9dzQ5uPNcVUzPfzf/7fzX+vdfzX8z/38s7TTzT6p/oBqZejR0aO3pf9J89XWzu+bxYstNNVvytf79XW9bjeSoESZZCdW8e3VGEEVodcbRViNJQp0dBjjCNNIJxR4XhqIwnS3QuPejiOIRUkwbFe6qzq2P8Sg8B7OIghNCB1ycoWM6lkWjvoAIWtPyTPN4lnLQt7etRgvgyOYMLYBjqjMwwO4FsCAIITqhAriDrhpBhyjcIbhMtWEciGIQgm8ruk0QRUi3ObtqBFGoeQMAyXUATANrCByKsnSm23yNNZJ8hNDYqnCL60Qfe4SbJDghdrCFm6+xRpKN+gYibE3KrXlASznobg9mCV2TkYkPr8jX8bbeSMO0dz1mfAsbaZjkCUbeSiMN00RFMhEwz9JIY03EB2yTwcVNgoRzNtIwLQTXKHFl5mukYdpIWesDLMxd5+Bx7dtiE40yTTRpvY6d+JtouHhgzmm5iYZrLZhzqE00yVUTjfOAtnt8q8HM04ZSNTA7Qw/GIR8DTCObNNEkO9cHwtNEw6VQRAr4OTKe3V0ZtmbwiG8wmGdguQ8En9IEnxIMPmM+GpigWmyi4Voq0ESTXDXRON/WY77FlMTKemxWNZQ/4JRsBOkmmmTn+gB4mmi4BGB2JTfRJLsro9aMnfKMvb1rCI4GeF23KhonCtj9GoIgCGGiDC18O1hDEHSIwh2CF5s2jANRDMI8IKEAda8hCKJ0vYYgiEKdwQRAdBRMbSBDUZBbsYAgyUeIi22UZaviTNXzzcpToEmCEwIHXFHAgzqWZaO+fghb0wJC84CWctC397TA0DHdqmVbSnUGBti9bBMEIYQnVLZ13PvMPixQ0q0Kdysu/m5FnzOpzfnGuYAbdTgLjhchWbWicgVRhFRubCO5I0pCzbIARzRQri4ZQZDORK6nu1kSj5BEWtW4aS2JUo/GlQQnhA22xvV0N0uiUV8+BK1J4jaPZykH3XGPjEu0Zl68Yh1v6z0yTHvBlUpUc26jR4ZJnmDkrfTIME1UJBMB8yw9MlY9ccA2GVy7JIg3Z48M00JwCRLXZL4eGaaNlKU8wMIoGKSuOUWmhVvskslNl0xRL1Rn/i4ZLh6YdVrukuFaC2YdapdMdtUlk3m6ZLhWg7mnDalqYHaGHoxDPgaYSDbpksl2rg+Ep0uGS6GIFPBzZDy7uzJszeAR32Aw08B6Hwg+pQk+JRh8xnw0MEW12CXDtVSgSya76pJxvq3HfIspqZX12KyqKH/AKdkI0l0y2c71AfB0yXAJwOxK7pLJdldGrRk75RlbSVpoacbwOGtWT9HOrludXTKO0/xdnChg98stgiCEmTK09O2gS0bQIQp3CF5u2jAORDEIE4GEEtS9fiCIsi4CPCh4rerpkhFEoc5hAiDxICgKG8lQlKSzFQRfm4wkHyEwtlGXraqz+p6awnPzkCg4IXLAJQU8qGNZNur7h7A1rSE0D2gpB32L22QiZ5tMQXUGBti9bhMEIYQnVLd9a9pkBN2qcLfi6u/b2iajqjaZYuM2GcHxIiSrVmSuIIqQzHW1yQiSULMswJEOwmWOvKlyBUk6U7mePhlJPEIWaVXkFrUmKjwiVxKcEDfYItfTJyOJRn37ELQmjds8nqUcdMd9MtaA+lyyHGs7XhQE63hb7pNh2wuuVaKis/s+GTZ5gpG30CfDNlGRTATMs/TJJDaTD9gmg6uXBPXm6JNhWwguQuKizN0nw7aRspiHWKh1o31SkW3h1vpkkiDc0x+ixVK1tt/XJ8PHA7NOq30yfGvBrEPrk9Hm1H0ySzfbrL7HtxrMPW1IVQOzM/RgHPIxwETC75Mxtl8fCGefDJ9CESng58h4dndl2JrBI77BYKaB9T4QfEoTfEow+Iz5aGCKaq1Phm9p630yV0HnvudtPeZbTEmtrMdmWUU1BZySjSDbJ3MVbOoBcPbJ8AnA7ErskzHPzsqoNWOnPGMrSQutzRgeZ83qKdrZdaujTyYJfFdPWThRwK7XW0RBCDNlaOkr3icj6hCFOwQvN20YB6IYhIlAQgnqWkAQRRFaQHD0yYiiUOcwAZBwoJSrpBUk6WwFwd0nI8tHCIxt1GWr6ixcTDkv/2ADP5QFJ0QOuKSAB3Usy0Z9/xA2/xoCMqClHPQt7pOJHX0yyfJ6DYIzMMDudZsgCCE8obrtW9InI+pWhbsVV3/f1j6ZMMiC/p/FwfFGfTKi40VIVq3IXEEUIZlr75MRJaFmWYBDF/lmMvAmyVCUpDOV6+yTkcUjZJFWRW5UayL3bZmy4IS4wRa5zj4ZWTTq24egNWnc5vEs5aA77pNJbHhatcZevHAdb+t9Mkx7wbVKVHRuo0+GSZ5g5K30yTBNVCQTAfMsfTLKZvIB22Rw9ZKg3px9MkwLwUVIXJT5+mSYNlIW8wALlT1qDNn2bbFLJjFdMqpeqI79XTJcPDDntNwlw7UWzDnULpn4qkvGeffiPb7VYOZpQ6gamJ2hB+OQjwGmkU26ZOKd6wPh6ZLhUigiBfwcGc/urgxbM3jENxjMM7DaB4JPaYJPCQafMR8NTFAtdslwLRXokomvumScb+sx32JKYmU9Nqsayh9wSjaCdJdMvHN9ADxdMlwCMLuSu2Ti3ZVRa8ZOecZWghZamTE8zorVU7Kzq1Znl0xC40QBu19tEQRZlx6+AQIL3w66ZAQdonCH4MWmDeNAFIMwDUgoQN3LB4IoQssHzi4ZQRTqDCYEkqVWkqEoSWfrB74uGUk+QmBsoy5bVWdJPeHsvhVXFpwQOeCSAh7UsSwb9f1D2JpWEJoHtJSDvsVdMomzS0ZRnYEBdq/bBEEI4QnVbd+aLhlBtyrcrbj6+7Z2yaggCvrH2YanyYiOFyFZtSJzBVGEZK51EuCOKAk1ywIc4UBZQYaiIJ2JXE+TjCQeIYm0qnFVLYncF4vKghPCBlvjeppkJNGoLx+C1iRxm8ezlIPuuElG2fC0aE29eNE63tabZJj2gkuVqObcRpMMkzzByFtpkmGaqEgmAuZZmmSsvaoHbJPBxUuCeHM2yTAtBNcgcU3ma5Jh2khZy0Ms1MOsbBYO2RZusU0mM20yeb1SnfrbZLh4YNZpuU2Gay2YdahtMulVm4zz+sV7fKvB3NOGVDUwO0MPxiEfA0wkm7TJpDvXB8LTJsOlUEQK+Dkynt1dGbZm8IhvMJhpYL0PBJ/SBJ8SDD5jPhqYolpsk+FaKtAmk161yTjf1mO+xZTUynpsVlWUP+CUbATpNpl05/oAeNpkuARgdiW3yaS7K6PWjJ3yjK0kLbQ0Y3icNaunaGfXrc42mYzGiQJ2v9wiCEKYKUNL3w7aZAQdonCH4OWmDeNAFGNdFHgwCCWoe/1AEEVo/cDZJiOIQp3DBEB0RZu6VhAESTpbQfC1yUjyEQJjG3XZqjrL6iln97W4suCEyAGXFPCgjmXZqO8fwuYd0DEyoKUc9C1uk1HONhnfDVRWZ2CA3es2QRBCeEJ127emTUbQrQp3K67+vq1tMnGQBP3jaOM2GcHxIiSrVmSuIIqQzHW1yQiSULMswBEPVGQNB0NRks5UrqdPRhKPkEVaFbl5rYncN4vKghPiBlvkevpkJNGobx+C1qRxm8ezlIPuuE/GOquqVWvhxYvX8bbeJ8O0F1yrREXnNvpkmOQJRt5KnwzTREUyETDP0icTumQe02Zw+ZIg35yNMkwLwVVIXJX5GmWYNlJW8wALs9x+udaQbeD2+mTCYE9/COul6sLfJ8PFA7NOy30yXGvBrEPtkymu+mSc1y/e41sN5p42pKqB2Rl6MA75GGAi2aRPpti5PhCePhkuhSJSwM+R8ezuyrA1g0d8g8FEA+t9IPiUJviUYPAZ89HADNVinwzXUoE+meKqT8b5th7zLaZkVtZjs6qi/AGnZCNI98kUO9cHwNMnwyUAsyu5T6bYXRm1ZuyUZ2ylaKG1GcPjrFk9RTu7bnX1yYQBjRMF7Hy9RRKEMFOGlr7yfTKSDlG4Q/By04ZxIIpBmAgkVKDOBQRJFKEFBFefjCTKes71oKAVrdn6YZ26G4qSdLaC4OmTEeUjBMY26rK6OguD5ZRz6LkWVxScEDngkgIe1LEsG/X9Q9ga1hCAAS3loG9xn0zq6pMJ/TdQWZyBAXav2wRBCOEJ1W3flj4ZSbcq3K24+rsVfTJ7jEaZMMiD/p+Fm966JDlghGzVis4VRBHSuY5GGUkSapoFOCLTKWMjGYqSdCZz3Y0yoniENNKqyq1vogw9V4uKghPiBlvluhtlRNGobx+C1iRym8ezlIPuuFEms+Fp2Rp58ZJ1vG03ynDtBRcrUdW5hUYZLnmCkbfRKMM1UZFMBMyzNcpYFcUB22Zw/ZIg31yNMlwLwWVIXJV5GmW4NlKW8wALYxUOcpuFQ7aFW+yUiU2nTLJcrA4jb6cMGw9MO+12yrCtBdMOsVMmjFadMqHzAsZ7fKvB5NOGVjUwO0MPxiEfA8wkG3TKaNuvD4S7U4ZNoYgU8HNkPLu7MmzN4BHfYDDTwIIfCD6lCT4lGHzGfDQwRbXXKcO2tP1OmVXQue95W4/5FlNSK+uxWZVR/oBTshGEO2VWwaYeAHenDJsAzK7UThn97KyMWjN2yjO2krTQ6ozhcRatnqqdXbg6O2ViGicK2P2KiyAIYaoMrX076JQRdIjCHYLXmzaMA1EMwkwgoQR1ryAIogitIDg7ZQRRqJOYAIiKBpl17m4oStLZEoKvU0aSjxAY26jLVtVZXM85e67GFQUnRA64pIAHdSzLRn3/ELamRYTmAS3loG9xp0zm7JRJqM7AALvXbYIghPCE6rZvTaeMoFsV7lZc/X17O2VUEPX/bMM2GcHRIqSqVkSuIIqQyLUuat0RJaHmWIAjDNRAJTaUoShKZyLX0ycjiUdIIq1q3PouytBzuagoOCFwsDWup09GEo36+iFoTRK3eTxLOeiO+2Ssy8datCovnlrH23qfDNNecKkS1Zzb6JNhkicYeSt9MkwTFclEwLwbfTKR/Xk6YJsMLl4S5JuzTYZpIbgGiasyX5sM00bKWh5gYRREgePorCHbxi02yqSmUSar16qVv1GGiwfmnZYbZbjWgnmH2iijrhplnJcw3uNbDWafNsSqgdkZejAO+RhgKtmkUUbtXB8IT6MMl0IRKeDnyHh2d2XYmsEjvsFgroEVPxB8ShN8SjD4jPloYJJqsVGGa6lAo4y6apRxvq3HfIspyZX12KzqKH/AKdkI0o0yauf6AHgaZbgEYHYlN8qo3ZVRa8ZOecZWohZanDE8zqrVU7azK1dno0xK40QBu19wEQQhzJWhxW8HjTKCDlG4Q/CC04ZxIIpBmAokFKHuNQRBFKE1BGejjCAKdRYTAImDeBBEiY1lKMrS2SqCr1VGko8QGtuozFb1WVpPO3uuxxUFJ8QOuKiAB3Usy0Z9AxG2pnWE5gEt5aAr5RbnZydRkJz1T0+LtJ/kYdA/jUP9pzC8iE7CizA5Sx5sQbm5WmUyqjMwwO6VmyAIITyhyu1aQ8eT+WdatS0aMZ7M/1g1ZrzbW8izRR9FoLLFiSOLL45fefm12dlrve/Nzl5+peqdCHo2t+yLukXhbsH12/WuHpdvri3gtNDb8uDBS57mlg/mv9zrzT+p/lbVamTai4ogiPd6IdLYEuh/3jY8B6LDQ8gtrehSQRQhXerqbREkoSZFgCMN0kGQuDYlC7J0Jks9zS2SeISw36oqrW+QDD1XgoqCEyIHW5V6mlsk0ajvH4LWJEqbx7OUg+64uaWw4WmZ6b8MKl3H23pzC9NecHkRVYnbaG5hkicYeSvNLUwTFclEwDxbc4u15+GAbTO44kgQcM7uFqaF4MIhrst83S1MGykLcIiFSThIlM3EIdvELTa3FHuHSRTU68u5v7mFiwfmnZabW7jWgnmH2tySXzW3OG9OvMe3Gsw+bYhVA7Mz9GAc8jHAVLJJc0u+c30gPM0tXApFpICfI+PZ3ZVhawaP+AaDqQZW/EDwKU3wKcHgM+ajgTmqxeYWrqUCzS35VXOL82095ltMya2sx2ZVR/kDTslGkG5uyXeuD4CnuYVLAGZXcnNLvrsyas3YKc/YStNCyymGx1m1esp2duXqbG4paJwoYPdLJIIghLkytPjtoLlF0CEKdwhecNowDkQxCFOBhBrUvYggiCK0iOBsbhFEoc5iAiCRDoP2SD8URelsEcHX2yLJR4iMbRRmq/KsqGedPVfaioITQgdcU8CDOpZlo76ACFvTMkLzgJZy0Lf4GJjC1dsSBVRnYICdCzdJEEJ4QoXbt+UYGEm3KtytuPxb74254YpPTSvK/DP95bV2GWgUqk+/1L++qP4z1RcfPHjpeq9N1Quz8Ktpstuw/0VyCAj5pw3pKokiJF0d/S+SJNTECXAk0SCxv+JDUZTOlKu7/UUUj5AZ2hSuUX0xZOS56VMUnBA42MLV3f4iikZ9/RC0Bt0KjGcpB91t+0tkHVOtRP1XPGXreNtuf+HaCy5AokJyC+0vXPIEI2+j/YVroiKZCJhnuQPJOoF0wDYZXJIkyDdX9wvXQnBlEVdlnu4Xro2UFTrAwkgNQmvcGLIt3F7zSxSZ5pd4uf4chd7mFzYemHXabX5hWwtmHWLzSxSuml8i522I9/hWg7mnDalqYHaGHoxDPgaYSDZoftG2Xx8Id/MLm0IRKeDnyHh2d2XYmsEjvsFgpoH1PhB8ShN8SjD4jPloYIpqr/mFbWn7zS+roHPf87Ye8y2mpFbWY7OqovwBp2QjCDe/rIJNPQDu5hc2AZhdqc0v+tlZGbVm7JRnbCVpofUWw+OsWT1FO7tudTW/RBGNEwXsfg1FEIQwU4aWvvLNL5IOUbhD8HLThnEgikGYCCSUoO4VBEEUoRUEV/OLJAp1DhMAiQdZmtlIhqIkna0geHpfRPkIgbGNumxVnUX1lLPnklpRcELkgEsKeFDHsmzU9w9ha1pDaB7QUg769va+aN1mnc/Uui2mOgMD7F63CYIQwhOq2741vS+CblW4W3H1dyuuQGLcgBQFadC/kwQbXoIkOV6EZNWKzBVEEZK5rkYZQRJqlgU4soGKrSRDUZLOVK6nT0YSj5BFWhW59bWQkeeeT1FwQtxgi1xPn8z/n71/7ZEkuc500b+S2J80kRUBv5lfBOgDuyZUiJ7KjOj0jAMQakHI6z7EnqEAiQc4ZwMCyKYoUqA2KQ3nIrR4Eal9mQ/7DJrdXWKxL8W/EPkXzi85bhHhHhWeZubvWmHLIhvD0bC6uy7d61nmvuxdZq+5SaJR3z4EbUjjDo9nLQcd2CdjW23MnHhlH+/oPhlmvOBeJSo6j+GTYZJnGLkXnwwzREUKEQgvfeyTsak8Zsjg7iVBvVl9MswIwU1IXJS5fDLMGCmbeUCEmYoq62diuDEe0SmjtFMmbzerM7dThosHzjuenTLcaMF5h+qUyXZOGet9iC/5UYOzjw+xqmFGMwfGGR8DnEoOccpko/2BcDhluBSKSAE/Rzqzp11gvYDn/IDBuQZW/EDxqXXxqcHis+CjgZOUR6cMN1IBp0y2c8pY39YLfsSUyZX12HR9lLvg1GwEaadMNtofAIdThksAzq5kp0x22gXVC3bJC3YtaqHdGc1j7VodbTu7c7U6ZRSNEwUMv+MiCEJYK0Ob3wBOGcGEKDwheMNpwpiKYhCWAglNqH0LQRBFaAvB6pQRRKGuYgIgeZFPLF8Em4myBNtFcHllJPkIpdFHZ9b1Z6pddnbcUysKTqgdcFMBD+pClo36BiJsQ/sIwwNay0GvlVuWpiqLr9Q4vr+66/YciiN7ZWKrVyanJgMDDK/cBEEI5QlVboG9Mj/R9o/mz//N6tVbv8npn9F3/JhS/Vw01QpPNa4Jn4R/5hnJQGO+cekgF43gqBGmMS8SWBBFSAIbX6UXoiTU+RfgiFOVTErrB2cEYYJJYIeRRhKPMMV4VcDtpZGJ4xZQUXBC6WArYIeRRhKN+gIiaEMCeHg8aznowEYam6QtnHhVH+/oRhpmvOBWJqpIj2GkYZJnGLkXIw0zREUKEQjPYKQxPv9Tdsjg5iZBwFmNNMwIwT1KXJe5jDTMGCl7fUCE5STPTAHO2AEe0UVTahdN1W5kF24XDRcPnHQ8u2i40YKTDtVFU+xcNNaLF1/yowanHh9KVcOMZg6MMz4GOI8c4qIpRvsD4XDRcCkUkQJ+jnRmT7vAegHP+QGDEw0s94HiU+viU4PFZ8FHA2cojy4abqQCLppi56Kxvq0X/IgpMyvrsemaKHfBqdkI0i6aYrQ/AA4XDZcAnF3JLpritAuqF+ySF+xa0UL7NprH2rI6enZ222p10bgvlXrEiQKG34sRBCEslKGdbwAXjWBCFJ4QvNs0YUxFMQjrgIQO1L6FIIjSFwEOFLxVdbhoBFGoS5gASFMFq9xEMhMlCbaB4PLQSPIRCqOPvqzrzsp2xdlxHa4oOKFywC0FPKgLWTbq+4ewDW0hDA9oLQf9hL83k1g9NBU1GRhgeN0mCEIoT6huC+yh4X9vRjCtCk8rrv6ehF+GZJdpvzeTRuOLMnrnQKeM4HgRJisvMlcQRUjm2pwygiTUWRbgSCaqMk4XM1GSYCrXYZORxCPMIl5Fbnv/ZOK4UFQUnFA32CLXYZORRKO+fQjakMYdHs9aDjqwTcZYUL+WpZELL476eMe2yXDjBfcqUdF5BJsMlzzDyH3YZLghKlKIQHgGm4zx+Z+yQwZ3LwnqzWaT4UYIbkLiosxhk+HGSNnMAyJMs0luOZjHjfB4Ppk0ftb8kGy3qtPI6ZNh44Gzjl+fDDtacNYh+mTSqPPJpNYbGl/yowbnHh9SVcOMZg6MMz4GOJEc4JNpYt8fCLtPhk2hiBTwc6Qze9oF1gt4zg8YnGlgvQ8Un1oXnxosPgs+GjhF+fPJsCP175Ppis57jrf1gh8xZWplPTZtFzVQcGo2grBPpis27QDYfTJsAnB2pfpkmmenC6oX7JIX7FrSQnszmsfaszqadnbfavPJpM77px5zooDB91skQQgrZWjrK++TkUyIwhOCt5smjKkoBmEhkNCCWjcQJFGENhBsPhlJFOoaJgCiJklk2UGQJAm2g+DwyYjyEQqjj76s687i7ZJz6rg5VxScUDnglgIe1IUsG/X9Q9gG9hCAAa3loJ+wTya1+WTShJoMDDC8bhMEIZQnVLd9VXwykmlVeFpx9fdV9cmotU+mOtQnIzlehMnKi8wVRBGSuRafjCQJdZYFOOJokkWZCWUmihJM5tqNMqJ4hGnEq8ptL6tMHbePioITCgdb5dqNMqJo1NcPQRsSucPjWctBBzbKGMtQI1tTJ17cxzu6UYYZL7hZiarOYxhlmOQZRu7FKMMMUZFCBMIzGGWMz/+UHTK4fUmQb1ajDDNCcBcSV2UuowwzRspuHhBhkk3SwhThjB3hEY0ymTbKqHavOnUbZbh44Kzj2SjDjRacdahGmXRnlLFe0fiSHzU49/iQqhpmNHNgnPExwInkEKNMOtofCIdRhkuhiBTwc6Qze9oF1gt4zg8YnGlgvQ8Un1oXnxosPgs+GjhFeTTKcCMVMMqkO6OM9W294EdMmVpZj03XRbkLTs1GkDbKpKP9AXAYZbgE4OxKNsqkp11QvWCXvGDXkhbanNE81p7V0bSz+1arUSajcaKA4TdcBEH60sM1QGDrG8AoI5gQhScEbzdNGFNRDMJCIKEFte8gCKII7SBYjTKCKNQ1TAAkneQqN5HMREmC7SC4jDKSfITC6KMv67qzrF1ydlycKwpOqBxwSwEP6kKWjfr+IWxDewjDA1rLQT9ho0xmNcooajIwwPC6TRCEUJ5Q3faVMcoIplXhacXV31fVKBNHRTT+ehpdHGiUERwvwmTlReYKogjJXOMiwAtREuosC3AUkzQ2Pl4zUZJgKtfhk5HEI8wiXkVue1Fl6rh5VBScUDfYItfhk5FEo759CNqQxh0ez1oOOrBPRpnwGtWaO/GSPt7RfTLMeMG9SlR0HsMnwyTPMHIvPhlmiIoUIhCewSdjfP6n7JDB3UuCerP6ZJgRgpuQuChz+WSYMVI284AIs0llHOYZO8Aj2mQKbZMp253q3G2T4eKBk45nmww3WnDSodpk8p1NxnoB40t+1ODU40OpapjRzIFxxscA55FDbDL5aH8gHDYZLoUiUsDPkc7saRdYL+A5P2BwooHlPlB8al18arD4LPho4Azl0SbDjVTAJpPvbDLWt/WCHzFlZmU9Nl0T5S44NRtB2iaTj/YHwGGT4RKAsyvZJpOfdkH1gl3ygl0rWmhrRvNYW1ZHz85uW602mYLGiQKG324RBCEslKGdbwCbjGBCFJ4QvNs0YUxFMfqiwIFB6EDt+weCKEL7B1abjCAKdQkTAiky41bITJQk2AaCyyYjyUcojD76sq47K9oVZ8fNuKLghMoBtxTwoC5k2ajvH8LmHNAFMqC1HPQTtskoq03GeQmVKRkYYHjdJghCKE+obvvK2GQE06rwtOLq76tqk1FREo0vioO/JyM4XoTJyovMFUQRkrk2m4wgCXWWBTjiSVYay8FMlCSYynXYZCTxCLOIV5Hb3kWZOi4XFQUn1A22yHXYZCTRqG8fgjakcYfHs5aDDmyTMa6qNqq1cuKlfbyj22SY8YJ7lajoPIZNhkmeYeRebDLMEBUpRCA8g02mMIU8ZYcM7l4S1JvVJsOMENyExEWZyybDjJGymYdE2AyzbVGRGeHxfDJZ9Kz5IW63qiu3T4aLB846nn0y3GjBWYfqk6l2PhnrDYwv+VGDc48PqaphRjMHxhkfA5xIDvHJVKP9gXD4ZLgUikgBP0c6s6ddYL2A5/yAwZkG1vtA8al18anB4rPgo4FTlEefDDdSAZ9MtfPJWN/WC37ElKmV9dh0XZS74NRsBGmfTDXaHwCHT4ZLAM6uZJ9MddoF1Qt2yQt2LWmhvRnNY+1ZHU07u2+1+WSyiMaJAgbfb5EEIayUoa2vvE9GMiEKTwjebpowpqIYhIVAQgtq3UCQRBHaQLD5ZCRR+nOuAwVuaSeFceVuJgoSbAPBYZMR5SPURR9tWducZdF2xTlzXIwrCk4oHHBHAQ/qQpaN+vohbANbCMCA1nLQT9gmk9tsMpn7DipDMjDA8LJNEIRQnlDZ9lWxyUimVeFpxcXfV9Umk0ZZNL5IDrXJSI4XYbLyonIFUYRUrsUmI0lCnWUBjnSiYuNqxkyUJJjKtdtkRPEIs4hXkdteRZk57hYVBSfUDbbItdtkRNGobx+CNqRxh8ezloMObJMx2gQa1Zo48bI+3rFtMtx4wa1KVHQewSbDJc8wch82GW6IihQiEJ7BJlOaQp6yQwY3LwnqzWaT4UYI7kHiosxhk+HGSNnLQyIsJ7nFJsON8Ig2mVTbZLLtTnWWOG0ybDxw1vFrk2FHC846RJtMlnQ2mcx6/+JLftTg3ONDqmqY0cyBccbHACeSA2wyTez7A2G3ybApFJECfo50Zk+7wHoBz/kBgzMNrPeB4lPr4lODxWfBRwOnKH82GXak/m0yXdF5z/G2XvAjpkytrMem66LcBadmIwjbZLpi0w6A3SbDJgBnV6pNpnl2uqB6wS55wa4lLbQ3o3msPaujaWf3rVabTErjRAHD77cIghBWytDWN4BNRjAhCk8I3m6aMKaiGISFQEILat9AEEQR2kCw2mQEUahrmABIMilsX0iVJAm2g+DyyUjyEQqjj76s687SdsnZcS+uKDihcsAtBTyoC1k26vuHsA3tIQwPaC0H/YR9MoXVJ5NRk4EBhtdtgiCE8oTqtq+MT0YwrQpPK67+vqo+mSTKo/GLLPr6gT4ZwfEiTFZeZK4gipDMNW53vBAloc6yAIeaqNLmkxEkCaZyHT4ZSTzCLOJV5LY3UWaOq0VFwQl1gy1yHT4ZSTTq24egDWnc4fGs5aAD+2SMPoFGtSonnurjHd0nw4wX3KtERecxfDJM8gwj9+KTYYaoSCEC4Rl8MrFRUUzZMYPblwT5ZjXKMCMEdyFxVeYyyjBjpOzmARGmVTSxfaWaG+IRnTK5dsoU7Wa1cjtluHjgvOPZKcONFpx3qE4ZtXPKWG9gfMmPGpx9fIhVDTOaOTDO+BjgVHKIU0aN9gfC4ZThUigiBfwc6cyedoH1Ap7zAwanGljxA8Wn1sWnBovPgo8GzlEenTLcSAWcMmrnlLG+rRf8iClzK+ux6food8Gp2QjSThk12h8Ah1OGSwDOrmSnjDrtguoFu+QFu9a00O6M5rF2rY62nd25Wp0yOY0TBQy/4yIIQlgrQ5vfAE4ZwYQoPCF4w2nCmIpiEJYCCT2ofQtBEEVoC8HqlBFEoa5iAiCqnKjciDITRQm2ieCyykjyESqjj8asa8/ydtXZcTeuKDihdMA9BTyoC1k26guIsA1tIwwPaC0H/YStMqXVKlNQk4EBhhdugiCE8oQKt6+MVUYwrQpPKy7/noRV5hnDKxOrKBkfapQRHC3CVOVF5QqiCKlcm1FGkIQ6xwIccVxM4sRmlRFkCaZyHVYZSTzCLOJV5La3UWaO60VFwQmVgy1yHVYZSTTq+4egDWnc4fGs5aADW2WMZahRre6LpfI+3tGtMsx4wc1KVHQewyrDJM8wci9WGWaIihQiEN4jq0xifp6m7JDB7UuCfrM6ZZgRgruQuCxzOWWYMVJ284AIkyhKJkVminHGjvGIVpnq2Vmmona3unRbZbh44Lzj2SrDjRacd6hWmXJnlbHewviSHzU4+/gQqxpmNHNgnPExwKnkEKtMOdofCIdVhkuhiBTwc6Qze9oF1gt4zg8YnGtgxQ8Un1oXnxosPgs+GjhJebTKcCMVsMqUO6uM9W294EdMmVxZj03XR7kLTs1GkLbKlKP9AXBYZbgE4OxKtsqUp11QvWCXvGDXohbandE81q7V0bazO1erVaaicaKA4XdcBEEIa2Vo8xvAKiOYEIUnBG84TRhTUQzCUiChCbVvIgiiCG0iWK0ygijUVUwAJI2iSRYbS+BMlCXYLoLLKyPJRyiNPjqzrj+r2mVnx/24ouCE2gE3FfCgLmTZqG8gwja0jzA8oLUc9Fq5peXNVRJlN+Pr6yofZ2Ucja/TuPm7OL5PruL7OLvJ3j+CcrN4ZVRETQYGGFy5SYIQyhOq3PYcHW9WnzSqbePEeLP67dqZ8eOTjTzbGCkiVUTjr8fRxeYnF3/x59+6u/nWyb+9u/nzv1ibJ6ITU1qei6ZF4WnB9du+rceWm70NHA/mlvff/6bD3fKz1U+enax+vf5Ta6+R9hdVUZQ+O4kRZ0vU/OtNwzMVHR7C3OJDl0qiCOlSi7lFkoQ6KQIceSNLy8RY32eiLMFkqd3cIopHKPs+Valq75BUjktBRcEJlYOtSu3mFlE06vuHoA2IUmA8aznosOaW1Dimjcx0XwdV9PGObW7hxgtuL6Iq8QjmFi55hpH7MLdwQ1SkEIHwTOYW4wswZccM7jgSBJzN3cKNENw4xHWZw93CjZGyAQdEmKSTxKgdZ+wIj+dtUYn2tqTb7WUVO70tbDxw2vHrbWFHC047RG+Lijtvi7JenfiSHzU4+fjQqhpmNHNgnPExwJnkAG9LE/v+QNi9LWwKRaSAnyOd2dMusF7Ac37A4EwDC36g+NS6+NRg8Vnw0cApyp+3hR2pf29LV3Tec7ytF/yIKVMr67Hp2ih3wanZCMLelq7YtANg97awCcDZleptaZ6dLqhesEtesGtJC+2maB5r0+ro2tmNq83bohIaJwoYfodEEISwVIb2vvLeFsmEKDwheL9pwpiKYhBWAgktqH0PQRBFaA/B5m2RRKEuYgIg6SQrjSQzUZJgWwgOZ4soH6Ew+ujLuu4sadecHVfaioITKgfcUsCDupBlo75/CNvQJsLwgNZy0GvddnOXFkV6m46vsqu7cZZF5fiquL4bl4kqsuubOCnLrU4Lq9tszpaUmgwMMLxuEwQhlCdUt+05W75cvVp9snrT6LUfPXx/49zof8dlz8vyZ0bTiykvz0XzovC84PJtKDVDDpT9b6qAzhND6qaiqSMUfi+SURBFSDLabCeCJNQZC+DIJ1VemUhmoiTBFKPDdCKJR6jIXgVjeyGjctywKQpOqBtswegwnUiiUd8+BG1ILw6PZy0HHdh0Ylu5y5x4ZR/v6KYTZrzgvh8q4I5hOmGSZxi5F9MJM0RFChEIz2Q6yU0xT9kxg1uBBPlmNZ0wIwR39HBV5jKdMGOk7IwhEUaFuXDM2BEe0XSitOkkb/d9M7fphIsHTjueTSfcaMFph2o6yXamE+s9hC/5UYOTjw+tqmFGMwfGGR8DnEkOMZ1ko/2BcJhOuBSKSAE/Rzqzp11gvYDn/IDBmQYW/EDxqXXxqcHis+CjgVOUR9MJN1IB00m2M51Y39YLfsSUqZX12HRtlLvg1GwEadNJNtofAIfphEsAzq5k00l22gXVC3bJC3YtaaGNDs1jbVodXTu7cbWaThSNEwUMv3khCEJYKkN73wCmE8GEKDwheL9pwpiKYhBWAgktqH0HQRBFaAfBajoRRKEuYgIgcT6JbHcPSaIE20NwuU4k+QiV0Udj1rVnql10dlwPKwpOKB1wTwEP6kKWjfoCImxDuwjDA1rLQT/du4ca4WZzneTUZGCA4YWbIAihPKHC7aty95BkWhWeVlz+9b/H8igVH2sTytrJ0vtECzQK63/8vPnfZ+v/zPon33//m/vfd1m7XzZ5jfMDnS+C+SdMPl50qyCKkG61OV8ESaizJsCRJpPYSDITJQmmWh3OF0k8wqzgVbS29ysqx4WZouCEusEWrQ7niyQa9e1D0IY06/B41nLQzf/707fKjpaif+LSpp6dMDZVWjhwY8fBQixaitp82wlj+Z70O+x4wc1IVFT+fPVrrU0e/qZbDWw0zJvtWuD3tLTZaI+d4WVritG65DdrQaN1yWfrL889/GCtiD7emmI+W2vOjxo99XrzobrNb3v29q+8WX3SyZoP2g/Y/W4d0gfbf2sjrd6cRM8S7bBo/r0PP3j4wJTS5+yUZlhKvVhsmCEqUohAeEnfYpPbLi3ihgzuexJkotVhw4wQ3L7E1Z/LYcOMkbINCESYRGpSGr/kP2OHeESLTaktNvriojzSP8TtfnfhNttwQcGZjW62SdI8s7ttuOGCUxvVbVPs3DbWqwxf8qMGJzgf+ljDjGYOjDM+BjipHOK2KUb7A+Fw23ApFJECfo50Zk+7wHoBz/kBg7MO3GQAdajWdajWdajWdagG69CCDwlOXDTfjaMGvccPVcB4U+yMN9YX94IfMWXGZT1BXRfnrj01G0HaeFOM9gfAYbzhEoAzLdl4U5x2QfWCXfKC1dHeJJXuqK/Ht1V6M86yJBuXSRSN7+Lrqrou4ry4205q1h7ZsWjA7pOtxhvXjU0GThQw/P6NIAhhpQ5ttf/rW91y02b/n003/Zt1H9y0uk0PNk3TP9PTRpTpHQP9869Wv17/6nrTYbz5Se3KMWXjuWg2FJ4NvAU1YUxFMQirkIS21L57IYgitHuRKBPKC1EU6gIqAKLiSWas8jNRkmDbF1kzUka+d2X5CFXRR3/WdWllu97tuGhWFJxQOeDWAh7UhSwb9f1D2IY2MIYHtJaD3rils9uiuLlLx9dxWY6zXCXjq/TuepxVV7fxdX51W6qb948g2mzbGxU1GRhgeNEmCEIoT6hoe+yW3lqgzaZp3BZiys5z0ewoPDsHizhBDEIp9iLiBFGERJzVOi2IQp1EAJA0mpSlsRzORFGCqbi8nGQ2F4okH6FMelVx7c2FynEVpSg4oXSwVZx1UBeybNQXEGEbUnHDA1rLQa9V3HV1q66ytBwnV3HV/N7yfnytrpJxmWfl7W18e5uo7Qp0WBWXmpLxtSyPqMnAAIOrOEkQQnlCVdwvtoaS9jsvv93Ya1+tfrtVcyerf1lbUP56bYXRa3RrN7AWa5vf/rvVm5PmX/OPqw/H6/Nwf7/62eo/NT/+8+pXpgw9F82QwjOEK7nVh5uMdHdN7lw4r09Wv3z4YJ2U327WJFefnKz+ocnPb/SHdLQV6O9Xv4yjk90a5Z5/+ZfRyepXJ4k6scmsqWi6CGXfh2KURBFRjJaTHi9ESajzFcCRVdkkji2KUZIlmGKM9RcJTXzvyvIRSrJPxZi31wrmjmsiRcEJpYOtGK2DupBlo76BCNuAYgQGtJaD3hy2i+6TW5Vdj6+ulRpn6XXW6Mw0Gl+p+/K+VHdFVB1FMWamZDSKMaYmAwMMrxgFQQjlCVWMHxq8y6+1rHnLrnzy7+7+4uo/XJ38h6u/uPpf/9dvbKVko4teNQJKa6D1P6soqja/8KFeJdQSSzuat27o321+UxJFD99LzO6b56K5U3jucC25TczZJjE28s114+tM6SR1SXj4Xv6sajL/hSkbU9FsEOo9QSrajMuSJEJKMTLuUL0QRaFOVABIkkSTpLJJRUGWYFKxypT1jJsoIKEYe9WKcSstHBc2ioITagdbK9pHdSELR30HEbghsTg8orUcdODvO9sWDBMHXhJXfbxjn2rjxtsvGr8/1bYTf8yUZlhKfZxq44aoSCEC4RlOtRnn+Ck7ZPB8gQ9xyIwQPBxAEn22U23cGCkeeyDCNJ1ExgI6Y0d4vENteaqPsmX6B/0F6bz9iGueOA+1sUHBic3zoTZ2uODMRjzUlifdobbcevvYS37U4PzmQxBrmNHMgXHGxwDnlAMOtTWx7w+E/VAbm0IRKeDnSGf2tAusF/CcHzA46cBdBVCHal2Hal2Hal2HarAOLfiQ4Lzl8VAbO9SSECqS/sWu/rzneHEv+BFTJlzWE9Q1be7aU7MRhA+1dXWnHQD7oTY2ATjTUg+1Nc9OF1Qv2CUvWB3tVZ5EV1F6Py7ur/QHDON4fHV/fzfO1G1yf3UX3aj76w2PtUV2rBGw22TbobY8pXGigOH3SQRBCEtzaKd9wD7JL/XnCde/eWPBqV/EKivOt//Ubgac2DYCnoumSuGpwttTbFtEJWV8sr6g6uN1Yj9aG26+1AcA9QLGB9stE3S3RDBJhBVPHw2xIEno3RJBFOpKLQCSqkmaGUdlJooSbLMkTstsUikT4buyhISS7KM57FrE9u7E3HEXpig4oXbAfQ1hWBeydNSXEKEb2i4ZHtJaDvoJu7FT25m6PKMmAwMMrxkFQQgFCtWMx3BjC2ZI4RnCpeKR3diC6SIUfoJotLuxBVGEVKOxXL0QJaHOVwBHUU2SwiYaBVHCiUaHGVuSj1CRvUrGrNUXjsspRcEJlYMvGR1mbEk26guIsA0JxuEBreWgn/BHGFLr8T1FTQYGGF4wCoIQyhMqGAN/hEEyOwrPDi4WTRhTUQxCKfYi4gRRRESc/SMMkijUSQQA0esnRpKZKEkwEef4BoMoH6FKehVx7W1nueP6OlFwQuVgizjHNxhE2ajvH8I2JOKGB7SWg37Cnz9NrSfqcmoyMMDwIk4QhFCeUBEn/PlTyWwoPBsHizZBDELp9SLaBFGERJvt86eSKNRJAwApJ8n244mPRZsgSTDR5vj8qSgfoSp6FW3tdV+54/o2UXBC5WCLNsfnT0XZqO8fwjYk2oYHtJaDDnyyzSbDXF/bT5Koj3f0k23MePs14/cn23aSjZnSDEupl5NtzBAVKUQgPMPJttQU8pQdcr/GC55sY0YInhDABZ/rZBszRorRHohQqUlRmSKcsSM84sk2fV1brq9rK/R1bUV7TVLuvq6NDQpObL5PtnHDBWc26sm23XVtueO6NnbU4PzmQw9rmNHMgXHGxwDnlENOtu2ua8sHrmtjUygiBfwc6cyedoH1Ap7zAwYnHbipAOpQretQretQretQDdahBR8SnLd8nmzjhipwsm13XZv9xb3gR0yZcFlPUNe0uWtPzUaQPtm2u67NXXcu+QTgTEs+2aavazPXnCUv2I0AitKkytNxHt1k46ZLvh+XVXE7LsvmF+Kb/Oq62pYla4vsWCNgt8nWk20ljRMFDL9fIQhCWJlDO+0DTrb9fPs7/rVpwD9+60uAcVTqvzngQ4CCKVR4CvG2FTzxFpfFSfPP/ayhR9wEs0JY+fTRGQuSiGyZOI64CaJQl2wBEFVNcvNJoZkoSrA9kybWcpLYrC6ShITa7KNL7HrF9o6x3HFpnCg4oXbADQ5hWBeydNSXEKEb2jcZHtJaDvoJH3HLrEfcKmoyMMDw4lEQhFCgUPF4jCNughlSeIZwbXjkI26C6SIUfoJotBttBFGEVKPtiJsgCXW+QjjSdFKajwvNRFnCqUbHGTdJPkJJ9qoZ2xvNcscVdaLghNLB14yOM26SbNQ3EGEbUozDA1rLQT/hM26Z7Yxb4bp9xZgMDDC4YpQEIZQnVDEGPuMmmR2FZwdXiyaMqSgGoRT7UHGSKCIqzn7GTRKFOokAIOUkzS0mG0mSYCLOccZNlI9QJX2KuKK9ZKxw3BonCk6oHGwR5zjjJspGff8QtgERBwxoLQf9hM+4ZbYzboXrVhRjMjDA8CJOEIRQnlARJ3zGTTIbCs/GwaJNEINQer2INkEUIdFmO+MmiUKdNACQOJ1UmeWQmyRKMNXmOOQmykcoi15VW3vbV+G4v00UnFA62KrNcchNlI36AiJsQ6pteEBrOejAh9yMNbXRYYkTL+7jHfuQGzfefs34/SG3nWZjpjTDUurjkBs3REUKEQjPcMgtM4U8ZYfcr/Fyh9y4EYKHBXDF5zjkxo2R4rkHIlST7QdqHgs5ZoDHO+NW6NvbCn17W6G2x0oK98VtbEZwSvN8vI0dLjinEY+3FbuL2wrHxW3sqMGZzYcS1jCjmQPjjI8BziYHHG8rdhe3FQMXt7EpFJECfo50Zk+7wHoBz/kBg9MN3E4AJajWJajWJagGS9CCzwdOVh5PtrFD9X+yrdjd2WZ/Zy/4EVNmWdbD03Vq7rJTsxGET7YVuzvb3CXnkk8ATrLUk22FvrPNXG6WvGDXPcNtGt3E6e34vmmEx1mUVeNKpXfjPCrLm7T55+v4dsNj7YsdCwPs3th2sq1IaZwoYPhdCkEQwnIc2l4fcLLtvzbdtjbtrk3Km59yHGZTcRwjx9ok86fw/OGNKnqsrcHXG0C7lD1Dz7RJpoSw0OmjERYkEdkisZ9pk0ShrtACIPkkyizmZEmSYDskcRRXE/PXqd+VJSQUZR+dYdcftld8FY5b20TBCaUDbmoIw7qQpaO+gwjd0C7J8JDWctBP+Eibsh1pKzJqMjDA8KpREIRQoFDVeIQjbZIZUniGcF143CNtkukiFH6CZrT7agRRhESjsVy9ECWhzlcIRzpRNs0oSBJOM9oPtInyEQqyV8XY3vFVOC5tEwUnFA6+YrQfaBNlo75/CNuQXhwe0FoO+gl7oZX1QJuiJgMDDK8XBUEI5QnVi9JeaMFsKDwbuDY0YUxFMQil14tmE0QR0WwOL7QgCnXSAEDiSRYbq99MlCSYaHNZoSX5CFXRq2hr7/QqHJe0iYITKgdbtLms0JJs1PcPYRsSbcMDWstBB7ZCG4V4I8NyJ17Sxzu6FZoZb79m/N4KvZNszJRmWEq9WKGZISpSiEB4Biu0MoU8ZYcMetMIytC6A8yMEHSX4YLPZYVmxkgxaQERlpPYdqaNGeARrdCFdkHrOz8KfedHGbVmxNzth+aCgvOabz80N1xwYqP6ofOdH9p6udhLftTg9OZDDmuY0cyBccbHAKeUQ/zQ+Wh/IBx+aC6FIlLAz5HO7GkXWC/gOT9gcM6BewqgDtW6DtW6DtW6DtVgHVrwIcFpy6cpmhuqgCk635mirS/uBT9iynzLeoK6ns1de2o2grQpOh/tD4DDFM0lAGdasik6P+2C6gW75AW7EUDI1501j7VDdiwRsLtkqynafa3JI04UMPx2hSAIYWEObbQPMEWLXfchmUKFpxDvWlFfdFSdPPx4sywxXqft84cPaPZowcz0RYojMz6aY0ESkV0Thz1aEIW6aguAlJNC2XZNBEmC7ZrErhs/RAkJ5dlHo9i1i0W7zO64IVIUnFA64B6HMKwLWTrqO4jQOYd0gQxpLQf9hO3RudUeXVKTgQGG14+CIIQCherHY9ijBTOk8Azh8vDI9mjBdBEKP0Ez2q02gihCotFmjxYkoc5XCEc1yVMjykwUJZxodPijJfkIFdmrZGxvFCscl8SJghMqB18yOvzRkmzUFxBhGxKMwwNay0E/4Qs/cqs/uqImAwMMLxgFQQjlCRWMoS/8EMyOwrODi0UTxlQUg1CKvYg4QRQREee48EMQhTqJACBNSTRbT2eiJMFEnOvCD0k+QpX0KuLaS74Kx61touCEysEWca4LPyTZqO8fwjYk4oYHtJaDfsKH3Czfw/1aVrpvPzEkAwMMLuIkQQjlCRVxwofcJLOh8GwcKtokMQil14dok0QREm22Q26SKNRJAwBJJlFmJJmJkgQTbY5DbqJ8hKroU7SV7aVepeOWNlFwQuVgizbHITdRNur7h7ANiDZgQGs56MCH3Ixj2sgw93UmaR/v2IfcuPH2a8bvD7ntJBszpRmWUh+H3LghKlKIQHiPDrkZzz5N2QH3K7zcETduhOBZAVzuOY64cWOkWO6RCAs1UZZDbtwQj3fIrUz00TZ96UeZbc+VlLHzfBubEZzSPJ9vY4cLzmnE821l3J1vK633ir3kRw3ObD6UsIYZzRwYZ3wMcDY54HxbE/v+QNjPt7EpFJECfo50Zk+7wHoBz/kBgxMO3E4AJajWJajWJagGS9CCzwdOVx6PtrFD9X+0rSs97zne2Qt+xJR5lvXwdJ2au+zUbATho21dyWkHwH60jU0ATrLUo23Ns9MF1Qt2yQtWR3uVJ9FVlN6Pi/ur+3F2E8fjq/v7u3GmbpP7q7voRt1fb3isfbFjYYDdG9uOtpUJjRMFDL9JIQhCWI5D2+sDjrb9svmNX65/88bDXL+IVVacb/+pPax1Yjuo9Vw0VQpPFd6TnvTPsP3D+v6ON6tXegvnTfO3Xz78TfMPZdNnPTtJseNqklkgLGP6aHQFSUT2P+zH1SRRqOuvCEhZTMrCWFpnoizBdkDitMwmlTIRvitLSCi6Pjq/rv9L2iVzx52PouCE4gE3LYRhXcjSUd9ChG5oF2R4SGs56Cd8YK2wHVgrU2oyMMDwqlAQhFCgUFV4hANrkhlSeIZwMXjcA2uS6SIUfoJqtNtmBFGEZKOxXL0QJaHOVwBHlsSTtDKyzERZwqlG+4k1UT5CSfaqGdsLw0rHHXCi4ITSwdeM9hNromzUNxBhG1KMwwNay0E/YbNzYTuxVmbUZGCA4RWjIAihPKGKUdrsLJgNhWcDV4cmjKkoBqH0elFtgigiqs1hdhZEoU4aAEiWTkrzkslMFCWYanO5nSX5CGXRq2prr+0qHfewiYITSgdbtbnczpJs1BcQYRtSbcMDWstBB3Y7G916jQ5TTrysj3d0tzMz3n7N+L3beafZmCnNsJR6cTszQ1SkEIHwHrmdY+NzOmVHDLrPCMrQugvMjBD0j+GCz2V3ZsZIsWEBEWZRZD60O2NHeES3c66Nzvpej1Lf61Hqez2q9nv6pXL7nrm04OTm2/fMDRec3ai+Z7XzPVsvEXvJjxqc43xoYg0zmjkwzvgY4LxyiO9ZjfYHwuF75lIoIgX8HOnMnnaB9QKe8wMGZx64sQCKUa2LUa2LUa2LUa2LUQ0WowWfFJzBfDqguaEKOKDVzgFtfXsv+BFTpl7WY9R1b+4CVLMRpB3QarQ/AA4HNJcAnG7JDmh12gXVC3bJC1ZHi/liNI+1V3YsFrD7ZasDOqdxooDhdy4EQQhLdGjLfVQHtGCqFJ4qvE/tG6B/2iTs+/p+jpON3+ejtdnlX1evmn/Q/hf9Oz5aW2Fer30vcZyo6uIt38vW</t>
  </si>
  <si>
    <t>Jp3rH1wmacFEEVY/fbTHgiQi+yYOk7QgCnXZFgDJknLS/M/EMhNlCbZx4jZJSxIS6rKPNrFrFvN2pd1xEaQoOKF4wB0OYVgXsnTUtxChG9o8GR7SWg56LRzvsiIu1G06TtWVGmdZpcZlWt6M75P7/P7+Ks7Tq+3zHlY4GmeURji6rzgxJAMDDC8cBUEIBQoVjmuBox3Q+iPMnQv440YRvnr4gf5x9UkjgB6+2/zl89VH2+83v21+eaOV4UfbjzzrQ2QbVfmLRjP993GUbG+BK6JolBr7/+eiGVN4xnD92MD98zienPST95Nxk4BfrwX3b1oL+VBCm3/Xz5s/GUfPTh7+Zr1F9sFJlDxz59iUx6loHgkzBEFe6l3BT5o8fmEC+mNRIBGVGU2S1ITyQhSFOr8BIHEyUeZPgM1EUYKJzCqfJJmJ711ZPkIF9yox21vGSsfFcaLghALClpjWQV3IslFfQIRtSGAOD2gtB70WmLdpVF2l97fjKE6a33ubJuPyNrsd38dleX13fRdlyVEEprECNwLTfSWKIRkYYHiBKQhCKE8yAvPZThCtRaNee9QLarDwdCtNwdQpPHVEpZk8UppfNwhNfYvKj/T673oxt72nWWdzXBXjtaTc6ss/bAQmS18KZo8wPXjUl4JAofWlIAp1egNA4nSSZcapeiaKEk5fFhPzlyzeleUjFHCv+rK9lKx03DInCk4oIHx9aRvUhSwb9QVE2Ib05fCA1nLQT/grD6X1gpKKmgwMMLy+FAQhlCdYXx7hKw+CGVJ4hggy8rhfeRBMF6HsE3Sj/bygIIqIYrR/5UGQhDpfARxVHlnOy89EUYIJRtdHHiT5CBXZq2BsL0ArHTfaiYITKgdbMLo+8iDJRn0BEbYhwTg8oLUc9FowJrdJGulfjKr4fpxl5d346v6mGMfl9VUa53l2fX8UwahMyfhaVrlvijEkAwMMLhglQQjlCRWMwEcetsIxXrseG6X48D29bqZPKk5MKXgumgKFpwBXhM/v/uLuL7/xrZOoaFcCLfcqT0XZCEXYh3yTRBGRb/bPPUiiUKcPACSOIrNlfCZKEky+Ob72IMpHqI8+5VvVXoVWOe62EwUnVA62fHN87UGUjfr+IWwD8g0Y0FoOOvDXHioTXiPI3LcUqD7esb/2wI23XzN+/7WHnY5jpjTDUurjaw/cEBUpRCC8tP+1h9z8oE7ZIfdrvNznHrgRgodlccHn+NwDN8b+bHLg5x5iVU5iYwWdsUM83vceKn27XaVvt6sy/YPSP+TbI9aV+547Ni04vXn+3gM7XHB+I37vodrdc1c57rljRw3Ocj5UsYYZzRwYZ3wMcGY54HsP1e6eu2rgnjs2hSJSwM+RzuxpF1gv4Dk/YHDqgVsLoBjVuhjVuhjVuhjVuhjVYDFa8EnBKczj9x7YoZaEUJExWOyK0HuOt/eCHzFl7mU9Rl3/5i5ANRtB+HsP1e7GO3fxueQTgNMt9XsPlb7xzlx4lrxg14oyuk9uVXY9vrpWapyl19n4Ok6j8ZW6L+9LdVdE1RE2MSw9aNMzJzROFDD8JoYgCGGRDm26D/jew/q6t7WPY/3PKoqqzS98qD3E2iai2+Vtq/27rat6+xUIU+6ei+ZO4bnDW9f+ByDM5Ktfd5nSSeqS0F2FN3n//W+aMjIVzQhh5dNHZyxIIrJlYv/SgyQKdckWAcmrSZKnJpaZKEuwTZMqUxaR+K4sIKEg++gPuy6xvTqtctyGJwpOqB1wa4OP6kIWjvoOInBD2ybDI1rLQT/h7zxUtu88VCk1GRhgeMEoCEKoT6hgpB3Dg4/bUb7zIJkxhWcMl4nH/86DVV8KppIwRxD05cBRPEkgEZlpP4oniUKd4gCQYlJltu0cQZJwItP+pQdRPkIN96ox28vWKsfteaLghPrB15j2Lz2IslHfP4RtSGIOD2gtB/2ET+JVti89VBk1GRhgeIkpCEIoT7DEDH8STzJDCs8QQVIe9SSeZLoIZZ8gG+1WbkEUEcFoPYknSUKdrwCOtKgmubIcxZNkCaYYHUfxRPkIJdmrYmwveqscN/eJghNKB1sxOo7iibJR30CEbUgxDg9oLQe9Vox5dlsUN3fp+Douy+b3qmR8ld5dj7Pq6ja+zq9uS3Xz/hEUY2ZKRqMYFTUZGGB4xSgIQihPqGL8SSNjvtuIvw866/hWKeqfbfTPxkP+nfW3rf6u+ZmPNktsbxrx9OXqzbj5y+vmV3+3/V2vm1/4cvO7TNl5LpodhWcHV4smjKkoBqEUe1FxgigiKi6axMqE8kIUhTqJACBJOikS27qfIEowFZeXk8y2tyzJRyiTXlWcaid9x61zouCE0sFWcdZBXciyUV9AhG1IxQ0PaC0HvVZx2F3N4VWcMiWjUXE5NRkYYHgVJwhCKE+oigM+qKBFXZTtb3a+Xp8HfDPeLWeZsvFcNBsKz8bBqk0Qg1B6vag2QRQh1Wb9jIIgCnXSAEB08ctKE8pMFCWYanN9R0GSj1AWvaq29p6gynH1kyg4oXSwVZvrOwqSbNQXEGEbUm3DA1rLQYf9joJZiTc6zH3tQN7HO/p3FJjx9mvG77+jsNNszJRmWEq9fEeBGaIihQiEZ/iOgnGncMoOuV/jBb+jwIwQPISKKz7XdxSYMVLOciIRKsukOGNHeMTPKJT6uwnVszMVRfqHuD20XLi/oMAFBSc2319Q4IYLzmzULygUuy8oWG8BesmPGpzffOhhDTOaOTDO+BjgnHLIFxSK0f5AOL6gwKVQRAr4OdKZPe0C6wU85wcMTjpwUwHUoVrXoVrXoVrXoRqsQws+JDhv+fx4AjdUgY8nFLuPJ1hf3At+xJQJl/UEdU2bu/bUbATpjycUo/0BcHw8gUsAzrTkjycUp11QvWCXvGB1tNj9yJrH2iI71gjYbbL14wkljRMFDL9hIQhCWJlDO+0DPp7wy+39atuPJ5zUL2KVFefbf2q/EKCPcX1hStVz0VQpPFV4e4p9K0ElZazvoPtsbejWh9i0f/lLvbmzPuu2/Y7Co08omJI0FU0SYcHTR0MsSCKyVeL4fIIgCnWlFgHJJ6n5S68zUZRgWyVxWmaTrQHgcWctSUgoyT6aw65FbO8kqxyXzImCE2oH3NcQhnUhS0d9CRG6oe2S4SGt5aCf7uE2vWNmSkajGStqMjDA8JpREIRQoFDNeIzDbYIZUniGcKl45MNtgukiFH6CaLQbbARRhFSjsVy9ECWhzlcAR5pPcqu/RhAlnGh0nG2T5CNUZK+Ssb2VrHJcMycKTqgcfMnoONsmyUZ9ARG2IcE4PKC1HPTTPdvWCMbUlIyvqch9aYshGRhgaMEoCkIoT6hgDHu2TTQ7Cs8OLhZNGFNRDEIp9iDiRFFERJz1bJsoCnUSAUCagmj+LvdMlCSYiLMfbZPlI1RJjyJOb+Wv5/zt35jAz2TBCZWDLeLsR9tk2ajvH8LmFnHIgNZy0E/3aFsj4jJTMhoR575OwJAMDDC8iBMEIZQnVMTJHm0TzYbCs3GwaBPEIJReL6JNEEVItFmOtomiUCcNACSdlLF55U2UJJhos59sk+UjVEWvoi1u53j7rWiy4ITKwRZt9pNtsmzU9w9hGxJtwwNay0EHPtlmNuypKHHiFX28I59sY8fbrxm/P9m2k2zMlGZYSj2cbGOHqEghAuEZTralppCn7JDBQwYEZWgx8rEjBE8I4ILPfrKNHSPFaA9EmKqJ2XfHDvBoB9tUlOrjbJn+QekftrdxqihxHWzjg4Lzmt+DbfxwwYmNdrCtCac92LbNsynql/yowenNhxzWMKOZA+OMjwFOKfyDbTr2/YGwHmzjUygiBfwc6cyedoH1Ap7zAwbnHLinAOpQretQretQretQDdahBR8SnLb8HWzjh+r9YNuu/rzneHEv+BFT5lvWE9T1bO7aU7MRZA+27epOOwDWg218AnCmJR5s089OF1Qv2CUv2I0AitKkytNxHt1k46ZJvh+XVXE7LsvmF+Kb/Oq62pYla4fsWCJgd8mWg21NtaJxooDhtysEQQgLc2ijfcDBtp9vf8e/Nv33x2/dDhxHpf4b9uXAoilUeArxrhU88BaXxUnzz/2sYSfcRLNCWPj00RgLkojsmFhPuImiUFdsAZC0bEqwcUFlJooSbMukibWcJDaniyQhoTb76BK7XjFt19jtl7fJghNqB9zgEIZ1IUtHfQkRuqFtk+EhreWgn/AJN8uRkUY8ZtRkYIDhxaMgCKFAoeIx/Ak30QwpPEO4NjzqCTfRdBEKP0E02n02gihCqtFYrl6IklDnK4CjzCd6kn9MMhMlCacZrQfcZPkIBdmrYsxaeWG/vE0WnFA4+IrResBNlo36/iFsQ3pxeEBrOegnfMAtth5wU9RkYIDh9aIgCKE8oXox9AE3wewoPDu4VjRhTEUxCKXYi4YTRBHRcI4DboIo1EkEAFGTtDSSzERJgok41wE3ST5ClfQq4lQ759vvbpMFJ1QOtohzHXCTZKO+fwjbkIgbHtBaDvoJH3CLrQfccmoyMMDwIk4QhFCeUBEnfcBNMBsKz8bBok0Qg1B6vYg2QRQh0WY94CaIQp00AJByUhVGkpkoSTDR5jrgJslHqIpeRVvezvH2q9tkwQmVgy3aXAfcJNmo7x/CNiTahge0loMOfMDNtvfq/vJ+2cc7+gE3Zrz9mvH7A247ycZMaYal1MsBN2aIihQiEJ7hgFtmCnnKDrlf4wUPuDEjBE8K4ILPdcCNGSPFcA9EqCZWIccM8IgH3Ep9rE3f3Bbrm9viuD1Y4ry5jQ8Kzmu+D7hxwwUnNuoBt2J3wM1+cxs/anB68yGHNcxo5sA442OAU8ohB9yK0f5AOA64cSkUkQJ+jnRmT7vAegHP+QGDcw7cUwB1qNZ1qNZ1qNZ1qAbr0IIPCU5bPg+4cUMVOOBW7A642W9u40dMmW9ZT1DXs7lrT81GkD7gVoz2B8BxwI1LAM605ANuxWkXVC/YJS/Ydfdwm0Y3cXo7vm9a4nEWZdW4UundOI/K8iZt/vk6vt3wWDtkxxIBu0u2HnAraZwoYPjtCkEQwsIc2mgfcMDtvzZ9t/burr3Km59ynGlrJqAYOt0mmD+F5w9vWU/Q420Nv94K2uXsGXy2TTAnhDVPHz2xIInIZonjbJsgCnWxFgDJJ7FKTSQzUZJgmyVxFFcTpUyE78oSEqqyj/6w6xLLdnXdfnmbLDihdMCtDWFYF7J01HcQoRvaMBke0loO+gkfbUusR9sqajIwwPCyURCEUKBQ2XiMo22CGVJ4hnBheOSjbYLpIhR+gma0O2wEUYREo+1omyAJdb5CONJJaQKZiYKEk4yOk22SfIR67FUwVq26sF/dJgtOqBt8weg42SbJRn39ELYhuTg8oLUc9BM+2ZbYTrbF7itQDMnAAIPLRUkQQnlC5WLgk22S2VF4dnCpaMKYimIQSrEPCSeJIiLh7CfbJFGokwgEUuaWdT9JkmAiznGyTZSPUCV9iri4vekrdlzdJgpOqBxsEec42SbKRn3/ELYBEQcMaC0H/YRPtiW2k22x+0oUQzIwwPAiThCEUJ5QESd8sk0yGwrPxsGiTRCDUHq9iDZBFCHRZjvZJolCnTQAkHjS9N8mkpkoSTDR5jjZJspHqIpeRVt701fsuLpNFJxQOdiizXGyTZSN+v4hbEOibXhAaznowCfbjN1jI8MSJ17Vxzv2yTZuvP2a8fuTbTvJxkxphqXUx8k2boiKFCIQnuFkmzKFPGWHDJ4yIChDm4uPGyF4RAAXfI6TbdwYKU57IMLSso44Ywd4vJNtsb66LdZXt8X66ra4vTIpdl/dxgYF5zXPJ9vY4YITG/FkW7y7ui12XN3Gjhqc3nzIYQ0zmjkwzvgY4JRywMm2eHd1WzxwdRubQhEp4OdIZ/a0C6wX8JwfMDjnwD0FUIdqXYdqXYdqXYdqsA4t+JDgtOXxZBs7VP8n2+Ld1W32F/eCHzFlvmU9QV3P5q49NRtB+GRbvLu6zV13LvkE4ExLPdkW66vbzDVnyQt2I4CQmzo0j7VDdiwRsLtk28m27YVCMCcKGH67QhCEsDCHNtoHnGwTu7pNMoUKTyHetaJn26Lq5OHHm2WJ8Tptnz98QDriJpkZwuKnj+ZYkERk18R+xE0ShbpqC4CUkyIxFuGZKEmwXZPYdXubKCGhPPtoFLt2sb3qK3bc3iYKTigdcI9DGNaFLB31HUTohnZOhoe0loN+wkfcUtsRN720QUsGBhhePwqCEAoUqh+PcMRNMkMKzxAuD497xE0yXYTCT9CMdquNIIqQaDSWqxeiJNT5CuGoJio3kcxEScJpRvsZN1E+QkH2qhjby75ix+1touCEwsFXjPYzbqJs1PcPYRvSi8MDWstBP+Ezbqn1jJuiJgMDDK8XBUEI5QnVi6HPuAlmR+HZwbWiCWMqikEoxV40nCCKiIZznHETRKFOIgBIUxITYzWciZIEE3GuM26SfIQq6VXEtZd9xY7b20TBCZWDLeJcZ9wk2ajvH8I2JOKGB7SWg37CZ9xS6xm3nJoMDDC8iBMEIZQnVMRJn3ETzIbCs3GwaBPEIJReL6JNEEVItFnPuAmiUCcNACSZRNYzboIkwUSb64ybJB+hKnoVbe1lX7Hj9jZRcELlYIs21xk3STbq+4ewDYm24QGt5aADn3GzyTDn1/fTqI939DNuzHj7NeP3Z9x2ko2Z0gxLqZczbswQFSlEILxHZ9yM8/uUHXC/wguecGNGCB4VwOWe64QbM0aK4x6JMCkmqbF+ztghHvGMm769Lda3tyX69rakvTUpdt/exgYF5zXfZ9y44YITG/WM2+72tthxexs7anB68yGHNcxo5sA442OAU8ohZ9x2t7fFA7e3sSkUkQJ+jnRmT7vAegHP+QGDsw7cUwB1qNZ1qNZ1qNZ1qAbr0IIPCU5cPs+4cUMVOOO2u73N/uJe8COmzLisJ6jr2dy1p2YjSJ9x293e5q47l3wCcKYln3HTt7eZa86SF6yO9ipPoqsovR8X91f34+wmjsdX9/d340zdJvdXd9GNur/e8Fg7ZMcSAbtLtp5xK2mcKGD47QpBEMLCHNpoH3DG7ZfNb/xy/Zs3Zub6Rayy4nz7T+2prRPbia3noqlSeKrw7rR/lu0f1nexvVm90ns5b5q//fLhb5p/KJuG69lJCh5bE0wCYT3TR8crSCKyEeI4tiaIQl2IRUDSfJKozMQyE2UJthUSp2U2qZSJ8F1ZQkLN9dH9dT1ge5FX7LibTRScUDzgxoUwrAtZOupbiNANbYcMD2ktB/2ED65l1oNrFTUZGGB4USgIQihQqCg8xsE1wQwpPEO4FjzywTXBdBEKP0E12v0zgihCstFYrl6IklDnK4AjjdQk326/P1aNgizhVKPj6JokH6Eke9WM7W1eseN6NlFwQunga0bH0TVJNuobiLANKcbhAa3loJ/w0bXMdnQtcV5zYkoGBhhcMUqCEMoTqhgDH12TzI7Cs4OrRRPGVBSDUIp9qDhJFBEVZz+6JolCnUQAkLiaxJHlo1WSKMFUnOPsmigfoUz6VHFJe51X4rifTRScUDrYKs5xdk2UjfoCImwDKg4Y0FoO+gmfXctsZ9cS570npmRggOFVnCAIoTyhKk747JpkNhSejYNVmyAGofR6UW2CKEKqzXZ2TRKFOmkAIGk8KVMjykwUJZhqcxxeE+UjlEWvqq29zytxXNAmCk4oHWzV5ji8JspGfQERtiHVNjygtRx04MNrxkLU6LDEiRf38Y59eI0bb79m/P7w2k6zMVOaYSn1cXiNG6IihQiE9+jwWmx8TqfsiMFzBARlaPPycSMEDwHggs9xeo0bI8VLD0SYqiZGy2cIuCEe7/Raom9oS/QNbYm+oS3J9Q/F9uhI4r6mjU0Lzm6ej7CxwwWnN+IRtmR3TVviuKaNHTU4yfkQxRpmNHNgnPExwInlgCNsye6atmTgmjY2hSJSwM+RzuxpF1gv4Dk/YHDqgTsLoBjVuhjVuhjVuhjVuhjVYDFa8EnBKczjOTZ2qP7PsSW7u9rsb+8FP2LK3Mt6jLr2zV2AajaC8Dm2ZHdXm7v4XPIJwOmWeo4t0Xe1mQvPkhesjhazN2sea7PsWC1gN8y2c2zbr4jCnChg+K0LQRDCGh3acx/zHJtkqhSeKrxR7Z9j+2mTsO/r69ZONrbtj9ae5X9dvWr+QduY9e/4aO1ofr22L8dxoqqLt+zL29Nuuf7BcdZNMlGE5U8f/bEgicjGif2smyQKdd0WAEkLNcltF25IsgTbOXGedRMlJNRlH21i1yy2N3oljkvaRMEJxQPucAjDupClo76FCN3Q7snwkNZy0GvheJcVcaFu03GqrtQ4yyo1LtPyZnyf3Of391dxnl5tn/ewwtE4ozTCMaMmAwMMLxwFQQgFChWOa4GjD7JpZ3J3mOvjRhG+eviB/nH1SSOAHr7b/OXz1UdbU/Pb7pc3Whl+tHU+628BbFTlLxrN9N/HUbK91LeIolFq7P+fi2ZM4RnD9WMD98/jZHLSS97Xxw3/r9d6+zftQUBt+P6RVuVrid1ehtz8C34+roomPc9OHv5mvTP2wR+eNMlyZtaUvalo9gjzAkFU6s3AT5rsfWEC+mNRIBFtGU3Md2e8EEWhzmoASFxMisS2lSOIEkxaVvlky/FYWEryEeq2V2HZXv2VOO5yEwUnFBC2sLQO6kKWjfoCImxDsnJ4QGs56Cf8CQVlPRCnqMnAAMPLSkEQQnmCZWX4TyhIZkjhGSLIyKN+QkEyXYSyT9CNdhu3IIqIYrR+QkGShDpfARxllkxUZWSZibIEU4yOTyiI8hFKslfF2N4zljgujhMFJ5QOtmJ0fEJBlI36BiJsQ4pxeEBrOegn/AkFZT18l1OTgQGGV4yCIITyhCrG0J9QEMyOwrODq0UTxlQUg1CKvag4QRQRFef4hIIgCnUSAUBUMslzm4oTRAmm4lyfUJDkI5RJryquvXgscdwkJwpOKB1sFef6hIIkG/UFRNiGVNzwgNZy0GsVd6+ym6sii8Z317dX46y4KsZX0bUaX2eqvE9u7qIqvX//CCrOWIEbFee+N8CQDAwwvIoTBCGUJ1TFgZ9QiPOtM3G9/veBCf25KLrC0XGJdvL87i/u/vIb3zqJinYn16I/p6JwhOrrRbgJoggJN+tXFARRqPMGAFIWk8Joa5yJkoTTbblla/1dWT5CYfSq24p2mndcfiYKTqgcfN1mG9SFLBv1/UPYhnTb8IDWctDN//vTZxu58icuXeb5Ywq5CbNRZKUDM47LPmawjykYG9932PH2a8f/AB9TeNNoO+hjCsyUZlhKvXxMgRmiIoUIhJc8+phCZop4yo64X+oFP6bAjBA8iYrrPtfHFJgxUg50AhGmk9Km55gBHvFTCvoO4FTfAdzMYc0PSXtwuXR/RYELCk5rjK8oVGVq/4oCN1xwXqN+RaHcfUXBes3OS37U4OzmQxVrmNHMgXHGxwBnlEO+olCO9gfC8RUFLoUiUsDPkc7saRdYL+A5P2BwzoFbC6AO1boO1boO1boO1WAdWvAhwWmL+AEFew16jx9qSQgVSf9iV3/ec7y4F/yIKfMt6wnqWjd37anZCNIfUChH+wPg+IAClwCcackfUChPu6B6wS55wW4EUKpu7u7L8f11rMZZepuOr7JSjaMkUlfXt/e30THsJ7n1AwoVjRMFDL9xIQhCWJ9D+2zGBxR0F/0/rf65+dVP1+fjPtL/3H5V4c32j/1rd+hr/fP1izyO4ii62PxjHkUj/b84dnxeQTCRCk8k3rr2P69g+obCsxP9lYWHDyYn//bf5k1cSZORHPqGgmA2CKufPtpiQRKRbZPYXLNeiJJQV20BjmySKFuXLUgSbNekeZsyu99FkpBQl310iF2f2N4TljgufhMFJ1QOuLkhDOtClo76DiJ0Qzsnw0Nay0E/4ZNuue0DCqnrBhVjMjDA4MJREoRQoFDheISTbpIZUniGcEV43JNukukiFH6CZLRabSRRhDSjsVy9ECWhzlcARzVJSuPKxEyUJJhmdJxzE+UjFGSfijFt7yRLHZfMiYITCgdbMTrOuYmyUd8/hG1ALwIDWstBP+FL5nLblxFS190txmRggOH1oiAIoTyhehF0SHMvmZPMhsKzgWtDE8ZUFINQer1oNkEUEc1mt0dLolAnDQikym2iTZAkmGhz3DEnykeoil5FW3slWeq4Y04UnFA52KLNccecKBv1/UPYhkTb8IDWctBP+OMEue3jBGlCTQYGGF60CYIQyhMq2gJ/nEAyOwrPzsEiThCDUIq9iDhBFCERZ/s4gSQKdRKBQFRp3HeeiZIEE3GObxOI8hGqpFcRl7RzvuN2NFFwQuVgizjHtwlE2ajvH8I2JOKGB7SWgw58UbBRmDeyLHXgJU1ienjHPtvGjbdfM35/tm0n2ZgpzbCU+jjbxg1RkUIEwnt8UXBminjKjhg8Z0AQhjYTHzdC8JAArvccZ9u4MVK89kCE2SSz6ThmgMc725bqG4JTfUNwqm8ITttLOdPUebaNDQpOa57PtrHDBec14tm2NO3OtqXWa3Ve8qMGZzcfaljDjGYOjDM+BjijHHC2rYl9fyDsZ9vYFIpIAT9HOrOnXWC9gOf8gME5B24pgDpU6zpU6zpU6zpUg3VowYcEpy2PZ9vYofo/29bVn/ccL+4FP2LKfMt6grqWzV17ajaC8Nm2ru60A2A/28YmAGda6tm25tnpguoFu+QF+3R3Lwrb2bY0o3GigOF3LwRB+irENUBgnx1690IwOwrPDt6PmjCmohiENUhCk2rfvRBECb17IYhCXT2FQKxfVpYkeRK7F5J8hCrpo1/rurb2Aq7UcaOaKDihcsCtBjyoC1k26vuHsA3tXgwPaC0H/YS/rFxYz5kpajIwwPAiThCEUJ5QEQf6hqEvK0uiKxz9YIUmiEGos14UmiCKkEKzmoQFUagzBADSVLzI2JfPREnCKbTc+g1lUT5CCfSq0NoLr1LHDWai4ITKwVdotkFdyLJR3z+EbUihDQ9oLQf9hL8EUFhPduXUZGCA4RWaIAihPKEK7RhfAhDMkMIzhAu5I38JQDBdhLLvRTAKoogIRvuXAARJqPMVwqENyZkJZSaKEkwwuj4FIMlHqMheBWN7t1bquCxNFJxQOdiC0fUpAEk26guIsA0JxuEBreWg14KxUrc3eXyfjDOVNj9kqmp0ZaMwr2+u06v8OldZtRVSYQWjsWw1gtF9A4khGRhgeMEoCEIoT6hgZHxztP286C/Xm7YfNBpKy6C3FNFGaOqPakZpFF08O5muk3Hy8o+j+GT5zW986xv//u7/0SThz0/+57+4+/+cLF6cdF8i3X58M47s3yKVTLDCE4zrzRPRj5FKpoMwKxD0pNXHLEgiJCctHyOVJKHOZgBHNimVzRYtSBJMTZYqsnj73pUFJNRrr3KyvfIrddzhJgpOKBxsOWkf1YUsHPUNROCG9OTwiNZy0PoSt796S39YBeNf3t186xt//k1DIlh60ba2WDo447jqc9pOutmjpajA3WE3Y7jvsMPtP2aO5IJa71/0GbbN4tb6NNvHWoX8bu2xe7M+a/bl2oqn/+7jRo90P/fww4fvrU+h6Z9odF7zyybURpqVfzhj8z6qlnbgw4rl9viMvhoqS/UPRfOD0vdDKX2aRpXND7n+x1yfsMn17yv03xX6F8qk+aHSN0pVzW9uxJn+Yf13la3QcvOR0fOB+5l1Es51Es51Es51Es51Es51Es51Es51Es51Es51Es51Es51Es51Es51Es51Es51Es51Es5tSTjnJ0HRk4BbopsczHUO5joHc52Duc7BXOdgrnMw1zmY6xzMdQ7mOgdznYO5zsFc52CuczDXOZjrHMxtOZjzc4BXAv58sz3Loe8panJR61zUOhe1zkWtc1HrXNQ6F7XORa1zUetc1DoXtc5FrXNR61zUOhe1LRc1OxeP3P0DuaC9EJc6AZc6AZc6AZc6AZc6AZc6AZc6AZc6AZc6AZc6AZc6AZc6AZc6AZc6AZc6AZc6AZe2BFzyE4DPucTzAQ3/UvMvNf9S8y81/1LzLzX/UvMvNf9S8y81/1LzLzX/UvMvNf9S8y81/9LGv+Txr9+GDb+ezIPdKJtaTxNULookso4iFixTh0ws+xzvsOPtT80HHrr/b40M+a72kOm/tm4y07H7V9vj7zvhoc/hf7f5Ha/1ipVedPpCL1o9/Hj7j82/Zv25yk/1pubGmNb80+ZIweYsvV7Y2juJsD1xbzrzvzmgoH/j5w9/O9H/tY8bLfSD1auTJDpxrFAxs9yf8CXP4TNDVKQQmeFN2eH1+07BQ/fMCMHTi5RFKPuhe2aMfb1x4KH7KjOXzxk7wOMdus+08s90c5C1dzimlfu8PZcRnNA45+1Vbj9vzw0XnNKo5+2r3Xl76y0sL/lRgxPbYQ1nty5XjWYOjDM+BjhzMPrE7txrNdofCMd5ey6FIlLAz5HO7GkX2OPGjBswON3AS5xACap1Cap1CarBErTg84GTFfWovbX8vMcPVeCofbU7am99Zy/4EVNmWdbD0y0eu8tOzUaQPmpfjfYHwHHUnksATrLEVlo/O11Qj1tfTrA62pvqOsqTPB/f3lbJOLuKynF1H12Pb8ub29u7sojz2+1DZe2K/8OVX0uH7jUtvXHmvOniMSbKZ+qfHViUHtoE8o4oCGGH8JDm+uFvmi74C/35uvVH5j56+PGztpFe//3W5/uPq39q/ver9SGuxfPYWKOfi+ZD4fnAe0wwJSernzcd/pfrlYD1gbZfrV5tlgNOVv+8+mUSn5y5rb2SiSHsqBK6W6u1VxJFyItRmkheiJL0p3AHCdos52llfO1moiDBrBj5pLQYMUTxCGXWR6vXNnxZeyNU5rjiSxScUDbgLgUd04UsGvXlQ9AGbBjAeNZy0GsNmNyo6zTKynF5e389zqo4GldX6nocXd80P1GqLC2u3w+vAY2rpI0GdF6cYcoFxhdeAwqCEIoTqgHXDlN9xktvfeidikbePHx/4+zQFt21wlv9YvVTq8YT5FU4L67xTBhTUQxCaSUoMr0R9cnkxLy19MeiQDK6zMTxQpSDOjEAFPYtDEmQYKosLifb78s8lmWSfITK51WWtXc+ZY5LvETBCbWDLcusg7qQZaO+fgjbkC4bHtBaDnqty8q8TG6K22J8nRbROMvv7sfVTXY9Tqs0qu6rq6v0LvT5fK3LLBbaLKHmAuMLr8sEQQjVCdVlj7+CufqH1X9e/Wr189XPxqsP9V/WS3EfbhfhTNDPRaEVDn2wOBPEIBRYgjizL5cJoojIMvunkyRRqFMDAJKkE2VGmYmihNNmkf3wkiggofx5FWftXU6Z43IuUXBC7eCLM+uoLmThqK8gAjekzoZHtJaDXh9eetbJEi26AvqGbetiqZM26dMG8g0n5i73HXa8oL0KlU//8eGH61PpH28/Gb4+n756hXuHOyuvPvJ0otYeXt+uYVMGn7MzmGEZ9OEJ5oaoSCEC4SVv383135osf7T9iNVWMrsOpp2sfr3+WtP6q1YPP56YUKdsVNDwRZCUNn8xN0LQsoUrRYe/mBsjxfkERNg05qb4Zuz4jmgv1ucMM30KMcu33r7MfZ0XmxGc9zpG2N/XSJvYai9mhwvOfF24yAjo7HX24sxxnRc7anD+86GfNcxo5sA442OAk1CHQff6ZbvrvLKB67zYFIpIAT9HOrOnXWC9gOf8gMHZBm5CgBJU6xJU6xJUgyVowecD5yqavdhRft7jh+rfXpztbvKyv7MX/Igpkyzr4enaO3fZqdkIwvbibHeTl7vkXPIJwEmWai/O9E1e5nKz5AWro71Rd7dVVFbj6zulxtn1nd74uE7H0X1S5lfJ7fX1ldrwWJtnx2oCt4G22oszGibKF34LQxCkrz9c4wP24Ot+TH/1bdePfdI04b/btF+652q/D/dr3UOvjbWbf7Z+eHhjvnV8ePjZSRrZFt+fiyZQ4QnE+1tTT9vL4fo7xOu1iI82axH608R7ne3b+dWnke2uZMH0EJZKCT2xfZtFEEVkmyWbKBPJC1ES6hIvwJEkUWVGmYmihNtlSSbKaCB/V5aPUKB9NIldq9heOZU57hATBSdUDri/gQd1IctGfQERtqE9luEBreWg1/IxK6P76ibLx1mp0nFW3MXjq5s0GqdZdFskd/dRlm7f5qDy0bYDo6i5wPjCy0dBEEJ1QuXjvzRK500jW96sPlv7kvUNDI3K+XLnSt7c8frXqzfrjZje/RT6dyRq1Pz/NIocHwmWzIrCs4JrQhPGVBSDUIFx7fbwA/N9b38siiKi3SKzee6FKAl16gA48tyEMRPFCKbbinRiPsLwriwfoTJ61W3tRVSZ42YxUXBC1WDrNuugLmTZqC8fwjak24YHtJaDXuu2/L6M8vvbaHyfRPfj7CavGo1XVeObu7ssytP7qyjb1tegus1YfBvdllNzgfGF122CIITqhOq2x85l/Y9rF46Wa99ZK7m/ay8R+yd9TdbqV6t/XP20+d/PtiuCLxdjFZ+s/t6UkOeiCVF4Qg6WbIIYhOKLSzbHcpsgipBk05u8j1FeiKJQpw0ApJkBcyPJTJQkmGwrS/t3ACT5CIXRq2xrr4PKHPd7iYITKgdbtlkHdSHLRn3/ELYh2TY8oLUctNZtLjnm18JsE2KFgy5J0z7d0S3MzHj7JeN/YAszM4MZlkEvFmZmiIoUIhDeQRbm9Ycb9F75DzZ74zYTMxMWtJURFKTVxMyMEDSG4cLQZWJmxkjxVwER2k3MzPiOaGLW96Rk+toUFbUOwsJtYuYygjOfbxMzN1xw7qOamIudidl6PdRLftTgDOhDMGuY0cyBccbHAKehQ0zMxWh/IBwmZi6FIlLAz5HO7GkXWC/gOT9gcLaBuw6gBNW6BNW6BNVgCVrw+cC5yqeJmRuqgIm52JmYre/sBT9iyiTLeni6hs5ddmo2grSJuRjtD4DDxMwlACdZsom5OO2C6gW75AX7ZHczrPcHZa5bkAyYKF/43QxBEMKiHdqFB9jNEEyIwhOCd6wmjKkoBmFNktCL2nczBFH6IsCBgjetjt0MQRTqaioA4trNECR5ErsZknyEwuijOetatLJd/C4dbZokOKFywH0FPKgLWTbq+4ewDe1mDA9oLQf9dM3D9s+3VNRcYHzhZZsgCKE6obItlHlYMCsKz8rB2k0Qg1CBce3mMA8LoghpN+O26QtREurUAXBYzcOCGMF0m8s8LMlHqIxedVvVTvOOKwhFwQlVg63bXOZhSTbqy4ewDem24QGt5aCf7jcDrJ4VFVFzgfEF122SIITqhOq2p/fNAMkEKjyBuMRjfjOgbyVxfypAMiuE2o8rRvtqnySKiGK0fipAkoQ6aQEcrk8FSKIEU42OTwWI8hHqsk/VqNo7r5TjDjNRcELlYKtGx6cCRNmoLyDCNqAagQGt5aDDepczE12jA11XgSRp1qc7tneZGy/o3EJl3FfYu8zNYIZl0Id3mRuiIoUIhJce4l2GPr/MRQW9ZAT9aHMucyME3WC4LHQ4l7kxUkxVQIRpUk0KyzIhN8TjmZdVon3Lqf4h2zoHVew0L7MZwanPs3mZHS44+RHNyyruzMvKennXS37U4BToQzFrmNHMgXHGxwDnoQPMy03s+wNhNy+zKRSRAn6OdGZPu8B6Ac/5AYMTDtx2ACWo1iWo1iWoBkvQgs8HTlcezcvsUP2bl7vS857jnb3gR0yZZ1kPT9fRuctOzUYQNi93JacdALt5mU0ATrJU83Lz7HRB9YJd8oJd61vIMaN5rP2zYwGB20PbzMsqoWGifOF3UwRBCKt2aBsub16WTIjCE4K3rCaMqSgGYVGS0I7atzMEUUS2M+zmZUkU6nIqAJJVkyzPTCgzUZRg+xkO97IoH6Ey+ujOuh6tvY1QOe6XFAUnlA64sYAHdSHLRn0BEbah/YzhAa3loDe67eqqvE6vq3GRp9k4i+6r8ZW6aX6IkvjmLlX3Rdv6BtVtxrXNRrel5FxAfOF1myAIoTqhus3pXt7Ksj9KV1+cbHzKD99LNjskJvjnovAKhz9YowliEAotrtHsJmVJFCGNlppIXoiSUGcIgKMqJ1Vi3L2fiaIEk2gOo7IoH6EIepVoaTujOy4zFAUnVA62RHMYlUXZqC8gwjYk0YYHtJaDfrpG5cxqVM6oucD4wks0QRBCdUIl2hM0KgsmUOEJPFjmCWIQijUu8xxLcYIoIjLP7iwWJKHOMgBHnJVpI/RMLDNRlmA6L04mhU3nSfIRKqlXnddeWqUct5CJghNKB1vnWQd1IctGfQMRtiGdNzygtRx0WGuxMtE1yk056VSf7ujWYma8/ZLxP7C1mJnBDMugF2sxM0RFChEI7yBrMfhZZC4s6PUiSEiruZgZIejWwpWhy1zMjJFiegIidJqLmSEe0Vyca19x0Zr6lNtXzMUD5z3fvmJuuODMR/UVq52v2Hq11kt+1OD850Mua5jRzIFxxscAJ6FDfMVqtD8QDl8xl0IRKeDnSGf2tAusF/CcHzA418A9B1B9al19arD6LPho4CTl01LMDVXAUqx2lmLr63rBj5gyu7Kem66Tc1ecmo0gbSlWo/0BcFiKuQTg/Eq2FKvTLqhesEtesGtVC9lYNI+1b3YsHHB7Z6ulOKdhonzh9z0EQQirdWj7HcBSLJgQhScEb1VNGFNRDMJiJKEJte9jCKKI7GM4LMWCKNRlVADEaSkWRAm2j+GyFEvyESqjj8asa8/a2wCV43pHUXBC6YB7CnhQF7Js1BcQYRvaxxge0FoO+un6VZTVUlxQc4HxhddtgiCE6oTqtifoVxFMoMITeLDOE8QgFGsvOk8QRUTn2f0qgiTUWQbgcPtVBFmC6TyXX0WSj1BJveq8opUFjvsJRcEJpYOt81x+FUk26huIsA3pvOEBreWgm//3p2/pAi3f/sSl5/z6V4ybqo2Sc13zESeP3DmB/CuWG9TeYccL7t+hQuznq8/W3939zkaEGe0jj/wMft0pW2H38UnS/Jv1MbOHH5tS9pydsgxLmRfDCjNERQoRCG93j7cp0Ck7UHADkKD/rGYTZoTgPh4u61xmE2aMlO0wIELrHdzc+I7oNNHXb+ft3beqdDtNuHjgDEV3miSFshtNuNGCUxTVaFLujCbW67Ne8qMGJyofOlfDjGYOjDM+Bjh5HGI0KUf7A+EwmnApFJECfo50Zk+7wHoBz/kBg/MM3CwAxafWxacGi8+CjwZOUDSjib3wvMePVMBnUu58Jta39YIfMWViZT02XQfmLjg1G0HaZ1KO9gfA4TPhEoCzK9lnUp52QfWCXfKCXe9XFFF6F91W4xtVXo+z/PZmfHVX3Y2r7Oo6u7tX9/HNlsfa3zoafm6Pa/WZVDRMlC/8foUgCGGVDW2TP3yrSb78xv/yv/y//uIb//7qZPULvQHx8Ncnq/+8+lj/7UmxaWYvvvbypIqi1MT+XJRd4ex4M2nCmIpiENYLCa2mfatBEEVkq8H+BRRBEupCJ8ARZ4WZZCZKEmyjoUrLSWGcst6VBSTUQB8dWNeHtTf7KcdVjaLghMoBNw+P1ltUZBHbC1k46huIwA1tNQyPaC0H/XStwLnNUpJH1FxgfMElmiQIoTyhEk3eCiyZEIUn5FDdJolBqL4+dJskipBuMzZ2L0RJqLMGwJFVZpCZKEgw2ebwAYvyEcqiT9WWtzfr5Y6rEkXBCXWDrdocPmBRNurrh7ANiDZgQGs56LDfMylMdI0Mix10SZr36Y7tB+HGC26zoSrqq+QH4aYsw1Lmww/CDVGRQgTCSwf8INxAwX06gtiz+UG4EYLbbbiGc/hBuDFStq2ACF0fH+GGeDxLSK5vNszT7a5s7r7UkI0HTlJ0S0gapVZLCDtacJYiWkLy3Z2GueNOQ3bU4FzlQ9pqmNHMgXHGxwDnjwMsIfnuTsN84E5DNoUiUsDPkc7saRdYL+A5P2BwqoH7A6D41Lr41GDxWfDRwDmKZgmxF573+JH6t4Tku9sM7W/rBT9iytzKemy6pstdcGo2grAlJN/dZuguNpd8AnB2pVpCcn2bobnQLHnBPtn9hsJmCckTGibKF36/QRCEsLCGdsoB9hsEE6LwhOBNpgljKopBWDcktKD2/QZBlMD7DYIk1AVPgCNNJpW1oxVEeRI7DpJ8hMLooy3rmrP27rvccZmhKDihcsAdBTyoC1k26guIsA3tOAwPaC0HvZZtd1leVLf3N+Ob/O5qnEV3d+Pqvrge35XqqlTX0U2WbZ/2oLLNZhNJqbnA+MLLNkEQQnVCZdvbTt7Vp/oqw5NGsX2uV8bbr3frXYkvGhH3t6tXa0HXyLdfPnyw/tbIb9cbG589fOfPtH576+Mkq09Wn69/6gv9XRNTpp6LZkrhmTpYzwliEKqyFz0niCKk51ITyQtREup0AnC4bj6URAmm54p4UigT37uyfISK6VXPtRfl5Y6bD0XBCZWDreesg7qQZaO+gAjbkJ4bHtBaDrr9wsi2hmqZFvALI8a61Ci2zEEbJ/bFTyxYihJ721FiWRh8hx1vv4Qc6Cj5F+3q2Ion7e/4WH+hbd9A0mis35ysfrL6cPVPJ/pDbifby1X0t+HerK/D2XpD9D07rzp/SLz1h6x+a0rAc3YCMiwBXvwhzBAVKUQgvKHvhXADBTftCGLO6g9hRgjuveEazeUPYcZI2cMCIkwro2luxo7viOYQpc0h+nqavNA/lO1Obea2iXBBwZmHbhNJVGa/o4YdLjj3UH0i2c4nYr0w7yU/anAG8iFgNcxo5sA442OA88ghPpFstD8QDp8Il0IRKeDnSGf2tAusF/CcHzA45cBdAFCHal2Hal2Hal2HarAOLfiQ4KxFc4w4atB7/FAFLCPZzjJifXEv+BFTplvWE9R1We7aU7MRpC0j2Wh/AByWES4BONOSLSPZaRdUL9glL9i1iLyuchWld2NVltU4uy7L8XVxnzf/GN1cXV3leXJ1t+Gx9rCOpp7bx1otI4qGifKF33sQBCGspKGtsOHi0E/Xmwa/aX760/Vewmer1ycPP1j3vR8/01eN/nz1H1e/XP3j6p9WH272HH6VGpeAn4smQ+HJwHtOE8ZUFIOwSEjoSO3bC4IoUtsLyoTyQhSFurwJgMRpOamMKDNRlGD7C8r2ubd3ZfkIVdFHe9Y1aapdjnZcJioKTigdcGcBD+pClo36AiJsQ/sLwwNay0FvbL7Jba5UEo/vb4vrcRZdZeMyKfNxFt+rKr6+zsr4/v3wms3mF8mpucD4wms2QRBCdUI12396+NHG5vHwd9rkoYXZb1afPvzdWozlo9z4vj4XpVQ45cFiTBCDUFFxMfbwA7P75o9FUUTEWGLbRBAEoc4EAEZRZUaQmShIMCEWT5RNh0niESqdVx3WXjCXO24MFAUnVA22DrON6UIWjfryIWhDMmx4PGs56I1t9/7qNkmv7sf319e34yxNkvFVfF2Mo5u0Km+S7C5Nt2MeVIYZF1kaGVZQc4HxhZdhgiCE4oTKsJ/sbgd8+OHq1UlnKnnrUyPrX1j9bvW5/smHH7Y3CG7cvZ9sLSRvVr/Vi2yr325+NU6eqVGcRNEoUebe67loqhSeqoO1nCAGoSrjWs5u9RAkEZFy8SRSJpQXoijU+QQAyeJ8UhpRZqIo4eRcqibKWPvflQUk1Eyvgq69SS53XA0oCk4oHXxBZx3VhSwc9RVE4IYk3fCI1nLQa0kXq6vbKM+SsSqidJzl99fjKi+uxmlyn1zfRVV+o7aJCSrpMlMuGknnvjrCkAuML7ykEwQhlCdc0r1qFJw+aPVBo8c+a+Xav9gO0T/Tdt/XWt2tPx/35VYL2sy/gslQeDIOFm2CGITKi4s2xwKcIIqIaovMd42+ECWhzhgAR5JadhVmoiThNFtcTRJlAnxXFpBQFL1qtrKd4R0X3omCEyoHX7NZR3UhC0d9AxG4Ic02PKK1HHTY7/VWJrpGhVUOuiQt+nRHP13FjLdfM766p6uYCciwBHg5XcUMUZFCBMIb/PouM9B+HRY8XcWMEPSp46LMdbqKGWO/4B94uirJo0mUmUKcsUM83gGrInrW/BDrH/R3eIvuU5iV+4AVFxScfHwfsOKGC04/1ANW1e6AlfXapZf8qMFJyIdo1TCjmQPjjI8BTiWHHLCqRvsD4ThgxaVQRAr4OdKZPe0C6wU85wcMzjqw8gfqUK3rUK3rUK3rUA3WoQUfEpy4fB6w4oYqcMCq2h2wsr64F/yIKTMu6wnqGit37anZCNIHrKrR/gA4DlhxCcCZlnzAqjrtguoFu+QFq6PFth80j7WNdfTx3FbWdsCqiGiYKF/wLQVJEMLqGdoNH9MlIpkqhacKb0pNGFNRDMKyoYeWVZJEZL/B7hKRROnPxQ4UuAMu0qYDtmw5SLKE23Jw2EREAQlF00f31vZwRXuhXOG4IVAUnFA74MYDH9WFLBz1HUTgBrYcgBGt5aDXmk6p+OZaZbfjq+z+fpzdZTfj6/KmHKu7u+ru6iopy1ajBtV0xrrVaDr3dRKGXGB84TWdIAihPKGa7l+0KFt9vpFsH22uCFwbQNbmj/UxrDgaxWrUaLTVFybk56LICkc+WJsJYhDqK67N7GYQSRQRcZZMEmNheCGKQp0YABBVFJOkNPbnM1GWYOKsjKxn40X5CMXPqzaL25nccdmdKDihdrC1mXVQF7Js1DcQYRuSZsMDWstBP93vGVW2Q1lFQs0FxhdemgmCEKoTKs1kv2ckmQyFJ+Ng0SaIQSi8uGizf89IEkVEtNm/ZySJQp0yAJAqnkR6u/sxykwUJZhmc3zPSJSPUBW9arb2uqTCcf+VKDihdLA1m+N7RqJs1BcQYRvSbMMDWstBP91rSyvbqasipeYC4wuv2QRBCNUJ1Wzy15ZKJkThCTlYtwliEIqvF90miCKk27Qr7jHKC1EU6rQBgKRVMwPmJpSZKEow3ea4t1SUj1AZveq29lqkwnHPlSg4oXSwdZvj3lJRNuoLiLAN6bbhAa3loNt7rrbgWo4FvOcqNo5xI80yB26clH3cQEexLG67d9jx9mvIgUex/uvqo4cfrIXUeiXsdw/fbv7h16s3awPax5tTWW/Wu5jra0Uffrx1nv1k9R8bnfUfDQevuuNaHzX/js/W15a+MqXgOTsFGZYCH4exuCEqUohAeLvDWJOT1S9WPx9npoCn7ID7FVruUBY3QtDbjus1x6EsbowUizgQYRFPKuM4z9gRHvFMlr70qtCXXhXF9hhE4b7vis0IzkD041hxUtmPY7HDBacg4nGsYnffVeG474odNTgR+RCyGmY0c2Cc8TEyIgb9WESxu++qGLjvik2hiBTwc6Qze9oF1gt4zg8YnG/gbgAoQbUuQbUuQTVYghZ8PnC2op3EcpSf9/ih+j+JVeyuurK/sxf8iCnTLOvh6Rotd9mp2QjCJ7GK3VVX7pJzyScAJ1nqSaxCX3VlLjdLXrDrluEuyovrSI2vbqPbcaZKNa6u767H17f311VeRml0s52FrW2so69nt7LWo1iKxokCht9nEAQhrKah3fAvdNv78Nf6g23byxK2B6tePXx/s7ugf05Fo+b/R8+ySP9TavXvCrIrnB3vMU0YU1EMwrogofP8XTNgnzRtsnFc/lgUSGRjwVgkXohyUBc1AQoV52Yr3EyUJNimQlZNth+7etzISvIRyqCPXqzryNq7kArH5Vai4ITiAbcR8KAuZNmo7x/CNrSpMDygtRz0WqXdJPfxbXwTjeObm2ScXd9m4/Ku+aN39/FdXmV5WibX7x9BpRlXMhuVllOTgQGGV2mCIITyxFdpesthvXehvwb3+cOPH3708Lf6IDxFrQnmQOE5OFitCWIQCq5HtSYIFFStCXJQZwuAorJcJjMTBQkm1tJqUhj53pXlI1RDr2KtvTGpcNyAJQpOqB1ssWYd1IUsG/X1Q9iGxNrwgNZy0Jv7Eq6q2+Qmj8dlkt6PsyRV4+u4Ksd3VRHFt9e3hcru3j+CWDM+AY1YK6jJwADDizVBEEJ5gsXa5ptF2hLyoZZpD999+OuT1f/eKLXfrq9S2HhNPt2adPWXih6+pz9apH+cKIsseC6aBYVn4WC5JohBKLkEuWa1dQiSyOg08+L7C1ES6lQBcBTVJE4zE8pMFCWYVnMcjJfEI9RCr1KtvQmpcNxtJQpOqBtsqeY4Fy+JRn39ELQhpTY8nrUcdNhbEmLbdqbrEogkfYR3dG8uM17QEoVKp6N6c5kpyLAUePHmMkNUpBCB8BLUm8sMGPRK+RBxzAhBtxNFnNm9ucwYKaYhIMIinZSFKcIZO8IjenOrZ2eq1JcmlHFrjCvd3lwuIzgD+fbmcsMFpyCqN7fceXOtlye95EcNTkQ+dKuGGc0cGGd8DHAyOcSbW472B8LhzeVSKCIF/BzpzJ52gfUCnvMDBucbWPwDJajWJajWJagGS9CCzwfOVj69udxQBby55c6ba31nL/gRU6ZZ1sPTNVbuslOzEaS9ueVofwAc3lwuATjJkr255WkXVC/YJS/Yp7uRYFkebJrZisaJAobfSBAEISyeod2w1EaCYBYUngW82zRhTEUxCAuCPnpQQZLAGwmCJNSVTICjbCqfsrW0gihPYSNBEo9QC300ZF1bVrULz45b7ETBCXUD7iXQMV3IolFfPwRtaCNheDxrOegnfIoqtvlzS/dFEIZkYIDBlZokCKE6wUrN5ykqSXaFsx+qzyQxCHWWoM8GfLmSQDIyzcTxQpSDOksAFEmeTYwN+EyUJJhGc5yiEuUjlEGfIq1sLzQqHVdUiYITigdbpDlOUYmyUd8/hG1ApQEDWstBP+FTVLHNmFu674QwJAMDDK/SBEEI5Ymv0jycopLMgcJzcLBaE8QgFFyPak0QKKhaE+SgzhYIRRpNlIlkJkoSTK05jlGJ8hHKoVe11t5xVDourRIFJxQPtlpzHKMSZaO+fwjbkFobHtBaDlp/SPfZRqSE/IBuMvkzE2ijxFIzaBJFZZWUSR80mE03McX7Djte0B2FCilfNt1ka9NtfgNs0+WmIMNS4MOmyw1RkUJkhjdlhweapAgSzrYhyo0QtDkRNJndlMuNkeIWQiJMU3OxmLEjFDHlortY7/LDBicRhs82Kwqrz5YdLjiHUHy2pghf8iMEZw2S3kSfgzN+2GClp3toTXGe8+NUxDgPeQrm/DDBss8W3/b9bHbI4DxAtLvaq8B7/FA9211N0V3wo6NMVj7HvmaHLGNlNcV4yY8RnKlIZlVTiEteiGu5DC2/awprE+foZvmNXGxt5RSNFEUMv6guCEJYRUJ7Qb/WB0F2hbMf3GEJYhDWwwid2NBiuiBQ0MV0QQ7qYh5AUancxDET5Qi2lK6ySWwzPkjyEYogqbUZWkpvvzZaOj4fKwpOKB1sNW8d1IUsG/XtQ9iGltKHB7SWg37CxodkYl9wt3z2w54ODDG8ShMEIRQovkrzYX0QzIHCc3CwWhPEIJRcj2pNECioWhPkoM4XCEWZmDhmohzB1FqWTtLUxPeuLB+hGHpVa+1HrErHR8lEwQmlg63WrIO6kGWjvn0I25BaGx7QWg56rdaS5Frd3Wc34yjP1TiO78pxGd1W4yhSkcrLMq7UVsOEVWupVa1ZzlbZ04EhhldrgiCEAoWqtX9avdaLaCerTxpF9ruH72hXRfM//UGzz9aGiuYX9crazlERJ8/U6ovVF83PGCfT56IpUHgKDhZrghiEiksQa1aTgyCJjEqznfqWJKHOFAhHlk+UTaoJogSTamlT060mVUlAQin0qtXac8Kl49y3KDihcrC1mn1UF7Jw1FcQgRsSa8MjWstBB/6ErHFMv6Yq95Gpqo93bG8qN95+0fgKe1O5KciwFPjwpnJDVKQQgfDStz8h+19X/21sFBdTdsCgbcmDkONGCLqUKALN6lblxkgxAAERlpMoMwU4YwcoYlZ9NDuZviBbxc+aHxL9Q6p/yLbfcKwixzcc3+WDgrOQZ3srO1xwGqLYW/9IZ6/7jGxlPW78kh81OBn5UK8aZjRzYJzxMcAJhW6B7b7p2MS+PxA2inM+hSJSwM+RzuxpF1gv4Dk/YHDOgVsAoA7Vug7Vug7Vug7VYB1a8CHBacujuZYdqmdz7R8tdvXnPceLe8GPmDLfsp6gtsMaqD01G0HGgPu47rQDYCO45BOAMy3JnvtHOqOnXVC9YJe8YJ/upkJq+5Zs5T5a+ogTBQy+pSAJQlhHQ9tiiS0FyRQoPAV4z2nCmIpiEBYGfXSigiRhtxQkSajrmQhHMWn+EyaUmShKuC2FqJpkxqnrXVlAQin00ZR1rVn7mYTK8d0LUXBC5YD7CXxUF7Jw1FcQgRvYUgBGtJaDfsJnqiznxxupllCTgQGGl2qCIIT6hEo1ryeqJNkVzn6wRhPEIFRagkYb8OhKAslINRPHC1EO6iwBUKTGWjcTxQgm0hxfkhXlI9RArxotaWf0xKHRJMEJlYOt0RxfkhVlo758CNuQRBse0FoO+gkfqEptX5KtUmoyMMDwEk0QhFCe+BLNw3EqyRwoPAcHSzVBDELB9SjVBIGCSjVBDupsAVDkk8zEMRPlCKbVHN+RFeUjFEOvWi1tp/bUodUkwQmlg63VHN+RFWWjvn0I25BWGx7QWg56rdWUim+uVXY7vsru78fZXXYzvi5vyrG6u6vurq6Ssmx3csNqNWPZarRaRk0GBhheqwmCEMoTqtX+ZfWJ3ug8WXt+P1ovpb1efab3P/VS2lq8xdEoVqP1fqcJ+bkossKRD5ZmghiE+opLs4cfPHxgQvljUZSgokyQgzotABTWj81KcgQTZaX9q7SifISq51WUZe0cnjlEmSQ4oWiwRZl1UBeybNS3D2EbEmXDA1rLQQc+NpWZ8BqZpVx4WdTHO/qxKWa8/ZrxVT42xUxBhqXAy7EpZoiKFCIQXvLo2NSzk83fGN+HKTty0MuOazm7a40ZIWhEJ0g0x/kpZowUPzcQYRJlk9imwJghHvEEVa7PTRX6h1L/ULUnF5T7BBUXFJyQfJ+g4oYLzkjUE1Rqd4LK+t3Cl/yowXnJh47VMKOZA+OMjwHOLYecoFKj/YFwnKDiUigiBfwc6cyedoH1Ap7zAwZnHbgZAOpQretQretQretQDdahBR8SnLh8nqDihipwgkrtTlBZX9wLfsSUGZf1BHXNlrv21GwE6RNUarQ/AI4TVFwCcKYln6BSp11QvWCXvGDX0UIWXs1jbW0dvT27vbWeoMppnChg+H0EQRDCihraIYucoBJMgcJTgLefJoypKAZhidBHLypIIrOtYD1BJUhCXdoEOLKsmkR5ZmKZibIE21xwHqGSBCTUQh9dWdeb5e1idO7ozyTBCaUDbijwUV3IwlHfQQRuaHtheERrOegnfIQqsx6hsnxP2J4MDDC8VhMEIdQnVKv5PUIlyK5w9oNFmiAGodISRNqQL1cQSEarmTheiHJQZwmEIkpsMk0QJJhMcx2ikuQjVEGvKq39LH7luOdAFJxQO9gqzXWISpKN+vohbEMibXhAaznoJ3yIKrMeoiqpycAAw4s0QRBCeeKLNB+HqARzoPAcHCzWBDEIBdejWBMECirWBDmoswVAoQ0jtu8SCZIEU2uuY1SSfIRy6FWtle3kXjrUmiQ4oXiw1ZrrGJUkG/X9Q9iG1NrwgNZy0E/4GFVmPUZVUZOBAYZXa4IghPKEqjUvx6gEkRWOfLA4E8Qg1FdcnDmOUQmiBJVlghzUaQGgKMuJMoHMREGCqTLXOSpJPkLZ86rK2tuKKsf9U6LghKrBVmWuc1SSbNTXD2EbUmXDA1rLQQc+R2UsRF/LI+cHybO4j3fkc1TsePs146t7joqdggxLgYdzVOwQFSlEILxH56iMj9WUHXC/Iosdn2JHCLrQCdLMenyKHSPFzA1EqJTltr0ZO8KjnZ7Ko/hZ80Oif0j1D9t7XxoS1+kpPig4Dfk9PcUPF5yHaKenmnDa01PbPJuifsmPGpyNfKhXDTOaOTDO+BjgjMI/PaVj3x8I6+kpPoUiUsDPkc7saRdYL+A5P2Bw0oFbAKAO1boO1boO1boO1WAdWvAhwXnL3+kpfqjeT0/t6s97jhf3gh8xZcJlPUHbFmuo9tRsBNnTU7u60w6A9fQUnwCcaYmnp/Sz0wXVC3bJC3Ydrbq5rsr0dnx3c5eOs+q2Gl/fX12Pk1Ldqdv8qshvt2+staF1dPTsptZyeqqpVjROFDD09oEoCGEdDe2Lf9E0s691w3Wy+lA3tA/fffjrk9X/3jRgv129ahrbTYv86Z9tGuBERdHD9+JE/1hNlMVV8Fw0CQpPAt52mjCmohiEpUEfzaggicx+guX8lCgJdUkT4UiaylfmJpaZKEuwTQXrnoIsHqEW+ujKut5se13R9m9M4Gey4ITCATcU6JguZNGo7x+C5t5SQMazloN+wmenlOXsVNNSUpOBAYZXaoIghOoEKzWPZ6dE2RXOfrBAE8Qg1FmCQHPbcUWBZHSaieOFKAd1lgAoksJY7GaiHMEUmv3olCwfoQh6lWhJO6Xb75+SBSeUDrZEsx+dkmWjvn0I25BGGx7QWg76CR+dUpajU3mUUpOBAYbXaIIghPLE12iHH50SzYHCc3CwVhPEIBRcj1pNECioVhPkoM4WAIWyHEGYiYIEE2v2k1OyfIRq6FWspe3cbr+AShacUDvYYs1+ckqWjfr6IWxDYm14QGs56Cd8ckpZTk7lUUZNBgYYXqwJghDKEyrWPJycEkVWOPLB2kwQg1BfcW1mPTklihJUlQlyUKcFgCJRlpNToiDBVJn95JQsH6HseVVlWTuJ22+gkgUnVA22KrOfnJJlo75+CNuQKhse0FoOOvDJKaPbotFZyomX9PGOfnKKGW+/ZnyVT04xU5BhKfBycooZoiKFCIS3d3LqF6ufW09OMQMGTey4hrOb1ZgRgg50gjRznJxixkgxcgMRJukkq0wRztgRHvHkVK7PSxX6h7I9rOC8corPCM5Avg9NccMFpyDqoSm1OzRlv3KKHzU4EfkQrhpmNHNgnPExwMnkkENTarQ/EI5DU1wKRaSAnyOd2dMusF7Ac37A4HwDq3+gBNW6BNW6BNVgCVrw+cDZyud5KW6oAuel1O68lP22KX7ElGmW9fB0jZW77NRsBOnzUmq0PwCO81JcAnCSJZ+XUqddUL1gl7xg19FCtx1oHmsb6+jj2a2s9bxUTuNEAcNvGgiCEFbP0G5Y4LYp0RQoPAV4q2nCmIpiEJYDfTSggiQyewjW01KCJNRlTIBDxZO8MH8XVxQl2D6C47IpWUBCKfTRj3VdWd6uO9svm5IFJ1QOuJXAR3UhC0d9BRG4oZ2E4RGt5aCf8IGp3HpgqqAmAwMML9UEQQj1CZVqfg9MCbIrnP1gjSaIQai0BI02ZMIVBJKRaiaOF6Ic1FkCoCgtV+vNREGCyTTXiSlJPkIV9KrSinZOt182JQtOqB1sleY6MSXJRn39ELYhkTY8oLUc9BM+MZVbT0y573IwJAMDDC/SBEEI5Ykv0nycmBLMgcJzcLBYE8QgFFyPYk0QKKhYE+SgzhYARRZbvbmCIMHEmuvElCQfoRp6FWtlO7fb75qSBSfUDrZYc52YkmSjvn4I25BYGx7QWg46sDe3MOE18qty4qV9vKN7c5nxgpYoVD0d1ZvLTEGGpcCLN5cZoiKFCISXot5cZsCgV4qg5Kxbo8wIQbcTQZo5vLnMGCmmISDCZFJkpgBn7ACPZ82No2fND/pmg1jfbBCnrTmucvtzuaDgLOTbn8sNF5yGqP7caufPtV549JIfNTgZ+RCvGmY0c2Cc8THACeUQf2412h8Ihz+XS6GIFPBzpDN72gXWC3jODxicc+AOAKhDta5Dta5Dta5DNViHFnxIcNryadLlhipg0q12Jl3ri3vBj5gy37KeoK7Dcteemo0gbdKtRvsD4DDpcgnAmZZs0q1Ou6B6wS55wa6jhVwimsfazzoaenZPazPpxu7LGx5xooDBNxUkQQjLaGhbLGHSlUyBwlOA95wmjKkoBmFd0EMnKkkis5lgM+lKkvTnWAcJ2tfmkyixeHQlScLtJzg8uqKAhErooydrO7M42q4/x44r50TBCYUDbifwUV3IwlHfQARuYEcBGNFaDvoJe3QLm0c3jqnJwADDKzVBEEJ9QpWaV4+uJLvC2Q+WaIIYhEpLkGgDtg9JIBmlZuJ4IcpBnSUQityEMRPFCCbSHA5dUT5CDfSq0dprimLHtVOi4ITKwdZoDoeuKBv15UPYhiTa8IDWctBP2KFb2By6cUJNBgYYXqIJghDKE1+ieXDoSuZA4Tk4WKoJYhAKrkepJggUVKoJclBnC4AimdgW1AQ5gmk1h0FXlI9QDL1qtfa6othx/5QoOKF0sLWaw6ArykZ9+xC2Ia02PKC1HPQTvtKgsF1pEKfUZGCA4bWaIAihPKFazceVBpLICkc+WJoJYhDqKy7N7FcaSKIEFWWCHNRpAaGY2BbQBDmCiTLHjQaifISq51WUtdcSxY57pkTBCUWDLcocNxqIslHfPoRtSJQND2gtB938vz/d7HO+71Zdf3l3861v/Pk3DYlgiS6b3socnHEa9Tltx6fs0VKk1O4ElTHcd9jh9h8zR3JBwfTTRht9uTmZc7L6/OFHG7H0TAuoj1Zfrl6tT0799tnJw7dXrx5+0PxP701+ZqJqhFP2hzM22qO6aGc7rCxuz3MofYqjsNVBLkRGh8BdsTrycx35uS3yc37kih457oZtAp/rwOe2wOf8wPF3gl95t957pR33ZoCaDfDIQj0AQHteLnXUl7aoL/lR43We6Jxugl7qoJe2oJe8oN8q9zr2P3FNWj7P/GZWc7RyUiTW1GPBMies5n/GeN9hx9sv7Ace+f2XdVevJ6c37bHfbt7anAB+s+76P14f/H2z+tf1Sd4vH3748L3uuK/+hfVM9nnz516ZcJ+zcftTgODxXm6IihQiEN7qF00+N8OyHZLXJ6svjNJCj8H/tPpZoyr0Me3vrD7TymL1a/2z6+Pa2pL+4cnq/2j+2BfN/716+LaJfcpmB09teVm2YIYInrkiLEfYjwpzY6QcXQIiNH4VYcaO7ojnhPPtgbzYfXEPmwycqugHg5NMldaDwexwwcmKeDA43l3cEzsu7mFHDU5ZhzUi3cqMvkHDjnHGxwCnIkYr0h7Qi3cX98QDF/ewKRSRAn6OdGZPu8AedyTcgMEpBl7kAgpPDRaeBZ8KnJVoJ4EdRec9fqj+TwLHu+t67G/qBT9iynTKemS6VUN3sanZCMIngePddT3uQnPJJwCnVmI/q5+dLqjHrSwnWB3t1c3N9U15VYzvsizRZ1GqcRnd3RzzJHA2sZzwa3rdnIaJ8pn6YQcWpSc2gbwjCkLYGUKb5X/Sbdd68bZpzF6vftP8r2nKNgdLnM2y/uWfrpd7P2qa5M9PShU9fC+Jo2h9SHg6y6Nnm69rNf1b87s/Xjfkr1evTtZ2yY/W/8JXphQ+F02hwlNI6G43WXQ1rp9qG+iJdhk8fK8h/1S3wJvviG2+RKb736F8/4HO6r85efyfOPmDZpps0h8nKlqvzOth+Vy32M2/4mRzXmj9n/myyb/+rc1v+nj15WTz32v+DV+cJEkU/b+b0dv8+eZ3P3z34fv6m2gPf6e/fNZ6WT9qyup6xf/Xzf8+1Z28aQinokNI2Cb00qQLogT1FghyUHc3AQpbwy9IEcxZEOdFHE1Sm7lAEpEwhfhoXrsWtr0TJ3bcciQKTqgacN9FGdeFLB71DUTwhvwFw2Nay0Frf8GzjbYLuFOTmCgb9eq6KCBOH7kogu3UGON9hx0vuOyFik8fOzXrf4X+dusrE+pzNmqGoXrZpWGGqEghAuGRd2l+1SjN7+nho+/OMJnBpTMvwo8ZIrgORhB0jt0ZZoyU5SQgwtwY3owd3hG3Z9pLzePCvT3DJQPnJ8b2TFSm9u0ZbrjgDEXdnil22zPW+3de8qMG5ykfClfDjGYOjDM+BjgHHbI9U4z2B8KxPcOlUEQK+DnSmT3tAnu8PcMNGJxj4DYBKDw1WHgWfCpwWiJuz9iLznv8UAW2Z4rd9oz1Tb3gR0yZT1mPTNd0uYtNzUaQ3p4pRvsD4Nie4RKAUyt5e6Y47YJ6vD3DCVZHe5/cZnGepuO7tKyeyvaMxdrXNLiuy1UMmChf+O0ZQRDC2hraIXvbnslLvT9QedmeEUyhwlNIaGvf2p7pdaw6Z59u/qL3Uj5a76l8dyiz01mdRyfrbZwvt7/8+cPfbX7x2cnJH7y1r1JEOu9lFP0/m5/+pEnsr9f/ntfNv1v/9lcn62z/ZtMqP/xwO05FGemNlt/or4g0v/fb3ej8//76v2QnD9/du7Tmy+bf+OOT7Y7Numv/P5p/2V9vjmY8O3n4wea/2J1yfbX+Fz/87fo3fLZ63US8/i/pRr951r5z8vDB+jDH91afbP/LOtIv9JU3Tfvf/DferL6YmB6NqeijQVjA9dL9C6IE3fYR5KAuOgMU1pUEQYynsu8jiUiYm3x0xV1v3N7cFjuu4hMFJ5QNuKGjjOtCFo/6CiJ4Q/s+w2Nay0FvzpW+Jbes8tjrwdLUhNno4sqJmfUxbRs/fo+VGoN9hx1s/xk7/FDpL946XfPaFGyjMit9VpQZceCzoom++yutbOWNC5HRIfDGfHNWtIn83Bb5OT9yRY8cb8jXZ0WbwOe2wOf8wPFHnV9NN+t9ib6nyQJQswGkz4o2UV/aor7kR42XbuLizfqsaBP00hb0khf0+mF5P+T8Y1uZSVwfqY9TZc05HC1rBrKdEeWGi7+Y6Bz0f+mOe2M92DXi2lb5QdOGr42T68b+43Vjvl4y2Hwtav9saPMbTKDPG9Bm/uLShp6/9LWVSaEnsfVMluofcst0xmYKMZ3FzXTWgJxrkHMNcm4DOeeDKDoIqWLNNcdcc8w1x1xzzG0ccz4H/k4dPNnp+wgbnlrz1JqntvHUbB7xuS9u5r4G4lJDXGqISxvEJR8Cn0VYU2HcTIUNw1IzLDXD0saw5DG8NTMG/IpCuv7xz0wczRSZmDmayb1qQCrrWGDhMudH21mYd9jxgq4HdIL8jw8/3G4FfLleB+92CN6e/z7SC8br9W59HuDjbnH71WZFvPldv9UL5Z/o5em1jWzj9Fv/tHl63Rj71vPvf1n9g/N3baJ4+NvJidI+tS9M6XzOTmd/vhJ0AHJDVKQQmeFN2eGBRgp8ud561R03QtAUQViFt3v1uDFSvAVAhGkeVZPKFOKMHaKIX68fuP1zjOywwQmJbsZThS3af8ePFpyPKF48U4Qv+RGCMxCpZ0EfgzN+2GClp7clpjjP+XEqYpyHPAVzfphg2Wdvt9g/4ckOGZwHaOY4exF4jx+pZ2+cKboLfnSUucrn0NfskGV8b6YYL/kxgvMUqSM0hbjkhbhuPhKVXWfXd+OrG5WOs6ukGl/dJum4KpLru0Jd3yTZ9YbC2g7+hyuffrZti2VtCjMaKEpoahwdYJTm0QTyjigIwTWAdpX/TX84dn08/VV7yOjtO8g/evjxn21bwF+vDUra27T5539ZX0z+183//mbtiXqz7Uk3/qdNx/iL1T+uPhyvfrn61ervVz9b/afmx39e/erZSRo1/6lPTv7gndmZcbHjuWgaFZ5GvFXbZFKbsqyZPFn9UhsA18a2dUuuV69/vfabdb9jl+Uk0havT95//5vMf/X6Ciw9Rj/Yjkn7bzQkfCqacILpg9B8WlD+WBRFxCuWTZSJ5IUoCdWqAnDETcANixFmJgoTzjOWTJTlGk9RPkLpJ7VzA4axJNuaizZ/YwI/kwUn1A52B2Md1IUsG/UVRNgG3GLAgNZy0GtpWuZlclPcFuPrtIjGWX53P65usutxWqVRdV9dXaV3264qqDRNrNI0p2YDIwwvTQVBCPUJlaY/6W1SNKrnH1b/uZGSP1/9bLz6UP9lrSs/XP1qfVGUCfq5KLTCoXEhacKYimIQSqwXeSaIIiLP</t>
  </si>
  <si>
    <t>oon5a4AvRFGokwMAorJ4kpVGlpkoSzh5Fjm2JSQBCfXPqz5rP/qTOD7kJApOKB58fWYd1YUsHPUdROCGBNrwiNZy0Gs7/7NuSghsGUlMtI0Acx/qta/TYsFShNXbhpHcahhhxgtu16H66RfrE5GfbN0hWwVl8VD+slFR/7DzerzlJ9n83H9pf9Xp7GByZxi3F2cHM0RFChEILz15+N82X3GanJjW93qm1v464R+sD8P+Tq+w/mrcTOrP2r8ru7+Lt3+XTNLu77Lu7/Lu73Z/Iul+bvdnVfd3xaM/0fy+aPe37b8x6/501v2XVfdzqvuvlN3PlRNznZuyhwvc8iSoWavThRkhuMOJi1SX04UZI2X3EIgwKcpqkho/3DBjxyhidXk0RZs+TZWU2qVdbT8Tk7i/T8XGAydcuiWmqByWGG604IxLscT8kU5e93mqxPF5KnbU4LzrQ7drmNHMgXHGxwCnUbptpvtqTLL7PFUy8HkqNoUiUsDPkc7saRdYL+A5P2BwroGbH6D41Lr41GDxWfDRwEmKZsOxF573+JF6tuH80WJXdN5zvK0X/IgpkyvrsekaSnfBqdkIMladx8WmHQD7J6rYBODsSjLy/JHO6GkXVC/YJS9YHe2NurutorIaX98pNc6u78pxeXudjqP7pMyvktvr6yu14bG26471C27Lbj0I6f7igGGJAuMLv2siCEJYNUS7/mMaekwJfC6aQIUnEO/NTRhTUQzCIiqhZ7XvwAiiiOzA2A0ygiTUxV+AI06U0kslRpqZKE24LZhkUth2YCT5CLXURyfX9XPt53cSxyeVRMEJxQNuQuBBXciyUd9BhG1oA2Z4QGs56KfrkLHcXtEovYqaC4wvvNITBCFUJ1TpefLHCEIrHPpgdSaIQSiwXtSZIIqIOnP4YwRRqFMDAJLF5SSLchPLTJQlnDhz+WMkAQn1z6s6q9rJvHKoM0lwQvHgqzOXP0YSjvoOInBD8mx4RGs5aK3PXLLLrx8mNdF9LU9dH4JJMvgrl6H8MNx4wX05VC8F98NwuTOM24cfhhuiIoUIhJf83g8D+GG4wwXuURLUq80Pw40Q3GrERanDD8ONkbJlB0SYarm5/TDzI7XJjfF4fphUf7UwTbZb0mnk9MOw8cAJ168fhh0tOOMS/TBp1PlhNmk2Rf2SHzU47/rQ6RpmNHNgnPExwGn0AD9ME/v+QNj9MGwKRaSAnyOd2dMusF7Ac37A4FwDNztA8al18anB4rPgo4GTlD8/DDtS/36Yrui853hbL/gRUyZX1mPTNpADBadmIwj7Ybpi0w6A3Q/DJgBnV6ofpnl2uqB6wS55wT7ZXRLrh8HTmIaJ8gXfJZEEIawSol2/n10SSWiFQ+P9tAljKopBWOgk9JnWXRJJlMC7JJIo1BVaAERpM4DZ3TgTZXkSuySigIT656P76nqweLumvvkbE/iZLDiheMCNAz6qC1k46juIwA3skgAjWstBP127cmozsaQJNRcYX3h5JghCKE+oPHt6dmXJBCo8gQdLPUEMQrX2IvUEUUSkntWuLElCnWUAjlilZTwpjR3tTBQmnNSzu5VF+Qil1KvSS1pdkDiUniQ4oXbwlZ7drSzKRn0FEbYhoTc8oLUctP5czLPNfBDwMzGZibKRcKmDMs6iPmUwW4zRUPgOO15wew5VYD5tMVp06TvcH76rf1L/tRFmn61ebX45cVhlmLnIsFx4scowQ1SkEIHwqFaZR9+BXo/up5u/fLb+ZPR3mr9+938YEw1zIMGNTYLitZpomBGC+5O4kHWZaJgxUvb5gAjdJhpmjEc00WTaRKPafezUbaLh4oHTM91Eo7LcbqLhRgvOz1QTTboz0aQOEw03anCW9iHuNcxo5sA442OAE+whJpp0tD8QDhMNl0IRKeDnSGf2tAusF/CcHzA418AdElB8al18arD4LPho4CRFM9HYC897/EgFTDTpzkRjfVsv+BFTJlfWY9O1ne6CU7MRpE006Wh/ABwmGi4BOLuSTTTpaRdUL9glL9h1Mwl9uF/zWJt7xyoHt8G3mmgyGibKF36XRhCkrzxc4wOuERxzl8Z1S5RkGhWeRrx3N2FMRTEI662EztW+VyOIIrJXE0+MzeMLURLqQjHAkcdK23IyE8xMFOZJ7NVI8hEKqo92rmvq2qt6UsfdS6LghNoBdyLwoC5k2aivIMI2tFczPKC1HPRa7l1f39xd3afVWGXZzTgryvvxVR6pcRZfl7fx9dVtqrZvc1C5Z1wHbeSeouYC4wsv9wRBCNUJlXuPPdP6HxvBt9kS+k6j4D5/+LvmN/xw9duT1T81ek1rt39c/bT538/+rFN+P2vt1fr3/PfmH3558nKh4pPV35uy9Fw0SwrP0sFqThCDUJG9qDlBFBE15zBZC6JQ5xIAxG2yFmQJpubKclLa1JwkH6FeelVzqp38lUPNSYITagdbzVkHdSHLRn0DEbYhNTc8oLUcdNgP0SgTXaPPcgddkqk+3dEdN8x4wb08VF49DccNMxcZlgsvjhtmiIoUIhAe9bKm3ztueoqYOZDgLihB6VodN8wIwc1MXMC6HDfMGCmbgkCEzmucuDEe0XFTaMdN2W56527HDRcPnJ49O2640YLzM9Vxk+8cN9a7LV/yowZnaR+iXsOMZg6MMz4GOMEe4rjJR/sD4XDccCkUkQJ+jnRmT7vAegHP+QGDcw3cGQHFp9bFpwaLz4KPBk5SHh033EgFHDf5znFjfVsv+BFTJlfWY9O1m+6CU7MRpB03+Wh/AByOGy4BOLuSHTf5aRdUL9glL9gnuwWjrI4b121VBkyUL/wWjCAIYUkRXSM41haMYJYUniW8NTdhTEUx+kLBgUFoTO1bMIIoobdgBFGoC8AAiPM2AEmWJ7EFI8lHqJc+urWuZyvaFXvH9bui4ITaATca8KAuZNmobyDC5hzQBTKgtRz00/VPK6uhpqTmAuMLr+YEQQjVCVVzT9Y/LZhGhafxYLkniEEo2V7kniCKiNyz+6cFSahzDcChoiSalLlN7gnCBJN7Lv+0JB+hoHqVe+1FjqnjZk5RcELtYMs9l39ako36CiJsQ3JveEBrOWj9rZu/ekvoWPXcX97dfOsbf/5NQyJYcs4m5SoHZ5zFfU6b98YeLUWl7ew3xnDfYYfbf8wcyQW12P/V6KjvbNbVHn64enWi7RiN7Hrz8MHDD7eCyuLF6dk8TKCNpKr+cMamfVQq7biHVcrN3ncWPWt+yJsfVKJ/KJsfcv0FikL/QqF/odS/UOpfqPT9LpX+1ap4dlZEkf4h1T/k+oeq+SFO9A9K/9D8iSKJ9Q+Z/kH/iVT/iVT/iVT/iVT/iUz/iUz/iUz/CaX/hNJ/Quk/kes/kes/kes/kes/Ueg/Ueg/Ueg/Ueo/Ueo/Ueo/Uek/Uek/Uek/UTV/ooystZ87Shl9lPCNEz0053pozvXQnOuhOddDc66H5lwPzbkemnM9NOd6aM710JzroTnXQ3Ouh+ZcD825HppzPTTnemjO9dCc66E510NzrofmXA/NuR6acz0053pozvXQnOuhOddDc66H5lwPzbkemnM9NOd6aM710JzroTnXQ3Ouh+ZcD825HppzPTTnemjO9dCc66E510NzrofmXA/NuW1ozvlDo+hDg+8INSMz1yMz1yMz1yMz1yMz1yMz1yMz1yMz1yMz1yMz1yMz1yMz1yMz1yMz1yMz1yMz1yMz1yMz1yMz1yMz1yMz1yMz1yMz1yMz1yMz1yMz1yMz1yMz1yMz1yMz1yMz1yMz1yMz1yMz1yMz1yMz1yMz1yMz1yMz1yMz1yMz1yMz1yMz1yMz1yMz1yMz1yMzt43MnD8yeCXn64XNrnozQrUeoVqPUK1HqNYjVOsRqvUI1XqEaj1CtR6hWo9QrUeo1iNU6xGq9QjVeoRqPUK1HqFaj1CtR6jWI1TrEar1CNV6hGo9QrUeoVqPUK1HqNYjVOsRqvUI1XqEaj1CtR6hWo9QrUeo1iNU6xGq9QjVeoRqPUK1HqFaj1CtR6jWI1TrEaptI1SzR+jRRvDACNFK2qUelks9LJd6WC71sFzqYbnUw3Kph+VSD8ulHpZLPSyXelgu9bBc6mG51MNyqYflUg/LpR6WSz0sl3pYLvWwXOphudTDcqmH5VIPy6Uelks9LJd6WC71sFzqYbnUw3Kph+VSD8ulHpZLPSyXelgu9bBc6mG51MNyqYflUg/LpR6WSz0sl3pYLvWwXOphudTDcmkblkv+sOD6krjB3YzKUo/KUo/KUo/KUo/KUo/KUo/KUo/KUo/KUo/KUo/KUo/KUo/KUo/KUo/KUo/KUo/KUo/KUo/KUo/KUo/KUo/KUo/KUo/KUo/KUo/KUo/KUo/KUo/KUo/KUo/KUo/KUo/KUo/KUo/KUo/KUo/KUo/KUo/KUo/KUo/KUo/KUo/KUo/KUo/KUo/KUo/K0jYqS96orOvZ+534D/bpy6T58c9MHF/LM8u33KM8K5XOFdgOeLXi63iNvoJ32PGCJj+0Gfj5zo5tM+G/0hvsjxze32l+rvmTr1afrtdvv900Ffq3rvfkm9/R/JE3q096e/hvtv8m439is9z78UnS/Lub/8ybhx+bEvecnbi+ZhX07XNDVKQQmeFN2eGBDkHCKrDNjc6NEDT6URZ3rW50bowUwxwQYZJH5tM+M3aEIl70xy4J2wUz7LDBmYfuMU+K0uoxZ0cLTjwUj7kpwpf8CMGphrQQgz4GZ/ywwUJPX5kwxXnOj1MR4zzkKZjzwwSrPnv93n4nETtkcBqg+b3tReA9fqSe/d6m6C740VGmKp9DX7NDlvFym2K85McIzlOkZtYU4pIX4lpI3d2XcXR/Pa7iJB7H8V01LqO7q3EUqUg1rXBcqaFdoP9w5dfVs+6lrN1fSgNFCU0dogOM0iWaQN4RBSFsQ6Pt44dvN48fr491Nz3duPnL6+Znf7e1ar9ufqFz7LxeN4T6F/5O/9j+9N+vG9HXuvPbGIKenay+aLrAHz38rf6npk1sftNP1yai3W/4SfwHqw9XP43/zbOTi6+9PCmi7ecGHjeNgmlVeFrxzq3fmH/Rka+b6MFUr3/X7t+w/sdPm+68SeLHDz9c264+W//vo4fvN39UN+FNU777o7rb/3Rtxfps9frka9/81t3/fHWy+uXDB2sLVtfrn/xBf5D+zcnD36z7+w90H6+D0gb9hx9s/l3bYcr0AW49cKbRmoqOFsGSQGhkrXYmSRQRO1M0SU0kL0RJqF4KgKOw34ogSRLMy5Rqm3NlAnxXFpAwi5A6wwEzU5ZuvS+Z4yv/ouCEysFuhuyjupCFo76BCNyAmwkY0VoOei1z8/syyu9vo/F9Et2Ps5u8+b23VTW+ubvLojy9v4qybZENKnMTq8xV1GxghOFlriAIoUChMtfHYcSXi7Hj3KFkQhSeEFygmjCmohiE+utFuQmiCCk327lDSRTqxAGApNUkMs6BM1GSYNLNcepQlI9QGL0qt/Y7gZnjw4+i4ITKwVZujlOHomzU9w9hGxJuwwNay0GH/PBj4pBillOVSRSVVRqlfb6j+02Y8YKbgKiS+gr6TZiJy7DEefGbMENUpBCZ4U3Z4YE7jwSxZ/WbMCMENxpxDefymzBjpGziARFu6/pjZcYM79hmE27Y4LTj2WzCjRacdTyYTbgRgvMMSZiij8EZP2ywynszm3DjVMQ4D3kK5vwwwZLPVukOswk3ZHAO8Gg24UYaxmzCjY4yT/kc+podclCzCTdGcJ7yYTbhhPhkV+FdRw0sRyZsoChh+FV4QRDCYhPaOwZYhRdMiMITcnDDJYhBWEsjNGb2VXhBlP7M7UDBOzjHKrwgCnUVEADJJ4URZCYK8iQW4SX5CHWR1OsMLcJX7Zpt5ViElwQnFA62vHctwkuyUV8/hG1oEX54QGs56LVuK6vktrovb8f391f6996V47K4TcZJmuRX+U2Vlfouz+C6zbpkryxuaHs2MMLguk0ShFCfUN22ZxL+cvVqffPTtx9+9PD9jfW3b/Nd/MWff+vu5lsn//bu5s//YqvbtG+0iqLUlJDnoglReEJw3bafkzdNRr7cunDfrH67duX+2GG6Xf1s9ZNnO5/tePvVxLXubRO1Mdgai+FUNF+EOu9DIEqiCAlE40P8QpSEOkEBHHFqvhVvJgoSTB8mST7JCxPgu7KAhALsUyCqeKsnNn9jAj+TBScUDrZAtI/qQhaO+gIicAMKERjRWg46rE0jtWq+1MmX9fmObdPgxgtun6GS7atn0+AmLsMS58OmwQ1RkUJkhjdlhwfu2RHEns2mwY0Q3KLDNZzDpsGNkbL9hUQYF9nEONHN2CEe2arBDhucevxaNdjRgjPP4VYNdoTgXENSp+hjcMYPG6z0vqwa7DgVMc5DnoI5P0yw7LOlut2qwQ4ZnAf8WTXYkQaxarCjo8xVPoe+Zocc0qrBjhGcpzxYNVghrrUetD2gKayNn6PzZTd/VquGUjRQlDD8kr8gCGHFCe0f5a0akglReEIObroEMQgLaoTmzL4SL4gitBJvs2pIolBXAgGQuMgnSWRkmYmyBFuNd7g1RPkIpZHU7gwtxrcn7JTjyKQoOKF2sBW+w60hykZ9AxG2obX44QGt5aCfrlsjdbg1Cmo2MMLw0k0QhFCfUOkWwK0hmBCFJwSXbp7dGutf+WL99ba3PpG2+TJanLuNG4KpI5R8L3JREEVILhqf5xeiJNS5CuBIVTLJjNuPM1GUYGLRad2QBCRUY69qsb0FWjmu9RYFJ5QOtlp0Wjck4aivIAI3JBeHR7SWgw5r3cisAtBtXrZ/XxkLlyLsMOsGM15wOw3Vb19B6wYzcRmWOC/WDWaIihQiM7wpOzxwD48g96zWDWaE4JYdruJc1g1mjJTtMCTCpDCXmBk7wmM7N7hhgzOPZ+cGN1pw4vHg3OBGCE41JHGKPgZn/LDBQu/NucGNUxHjPOQpmPPDBKs+W6k7nBvckMFpwKNzgxtpGOcGNzrKVOVz6Gt2yEGdG9wYwXnKh3ODE+Ja6kFbBZrC2vc5Gl9272d1buTugwn870c+C7z8LwlCWHBC20d554ZkQhSekEN7LkkMwnoaoTezLsVLoggtxducG5Io1IVAACSuJlFuRJmJogRbi3cYN0T5CJWR1O0MLMXn7Zm73HGKUhScUDrYAt9h3BBlo76ACNvASjwwoLUc9NM1bmR240aeUrOBEYZXboIghPqEKjd544ZkQhSeEFy5eTVuDF9nZzFtSKaNUO69KEVBFCGlaDFtSJJQ5ymAIy0nsZFkJkoSTCe6PBuigIRC7FUotpef5Y7r7ETBCZWDLRRdng1ROOobiMANKcXhEa3loMN6NpRV+yknX97nO7Zngxtvv2r8D+fZ4CYuwxLnw7PBDVGRQmSGN2WHB+7eEdSezbPBjRDcrMNFnMOzwY2RshEGRJhXE2MSZ+wAj2zZYIcNTjx+LRvsaMF553DLBjtCcKYhaVP0MTjjhw3WeV+WDXacihjnIU/BnB8mWPTZQt1u2WCHDM4C/iwb7EiDWDbY0VFmKp9DX7NDDmnZYMcIzlMeLBusENdKD9ok0BTWts/R97JbP7tlw30g4REoShh+4V8QhLDehHaPASwbgglReEIObrkEMQjLaYTWzL4QL4gitBBvtWwIolDXAQGQOJqkpYlkJkoSbCXe5diQ5CMURlKzM7QQ3x61yx2HJ0XBCZWDre9djg1JNur7h7ANrcMPD2gtB/10HRvK4dhwm4oN2cAIwws3QRBCfUKFWwDHhmBCFJ4QXLh5dWzofDY//93Vr9ebHufP65P6JInSaHxRRu+4PRuCiSMUfC9SURBFSCoan+YXoiTUmQrgSKJJkZtIZqIkwZSi07MhCUgoxV6lYnvlWu64Q08UnFA52FLR6dmQhKO+gQjckFYcHtFaDjqsZyO3qb/C7V4u+nzH9mxw4wV30lDx9tXzbHATl2GJ8+HZ4IaoSCEyw5uywwO37whqz+bZ4EYI7tbhIs7h2eDGSNkJAyLMy4llHY8b4JE9G+ywwYnHr2eDHS047xzu2WBHCM40JG2KPgZn/LDBOu/Ls8GOUxHjPOQpmPPDBIs+W6jbPRvskMFZwJ9ngx1pEM8GOzrKTOVz6Gt2yCE9G+wYwXnKg2eDFeJa6UHbBJrC2vY5+l5262f1bBQpDRQlDL70LwlCWG9Cu0d5z4ZkQhSekINbLkEMwnIaoTWzLsRLoggtxNs8G5Io1HVAAER7NowN80yUJNhKvMOzIcpHKIykZmdgIb5oj9oVjsOTouCEysHW9w7Phigb9f1D2AbW4YEBreWgn65nI7d7NgpFzQZGGF64CYIQ6hMq3OQ9G5IJUXhCcOHm17Pxm/WnNV5tpa9OVevbyKPxiyz6utO3IZk8QtH3IhcFUYTkovGJfiFKQp2tAI4kmuSZiWQmShJMLbp8G6KAhHLsVS62l68Vjtv0RMEJlYMtF12+DVE46huIwA3pxeERreWgw/o2CqsCdHuYyz7f0X0bzHjB3TRUwH0FfRvMxGVY4rz4NpghKlKIzPCm7PDALTyC2rP6NpgRgjt2uIhz+TaYMVJ2w4AIlXGSm7HDO7Zrgxs2OO14dm1wowVnHQ+uDW6E4DxDUqboY3DGDxus8t5cG9w4FTHOQ56COT9MsOSzZbrDtcENGZwDPLo2uJGGcW1wo6PMUz6HvmaHHNS1wY0RnKd8uDY4Ia51HrRRoCmsTZ+j62U3fnbXhvtIwiNQlDD84r8gCGG1Ce0dA7g2BBOi8IQc3HAJYhAW0wiNmX0ZXhClP3M7UPAOzuHaEEShrgICIOVEGUFmoiDBluFdpg1JPkJdJPU6Q6vw7Vm7wnF6UhScUDjY8t5l2pBko75+CNvQIvzwgNZy0E/XtFHYTRul21ZsyAZGGFy3SYIQ6hOq2+RNG5IJUXhCcN3m17Txr+uf/2Ctezd2jTgqovHXk+jCadeQTBuh3PvQiZIoQjrRYteQJKHOUwBHbL0uXRIkmEx0uTVEAQl12KdOLNsb10rHFXqi4ITCwdaJLreGKBz1BUTgBoQiMKK1HHRYt0ZplX6pk6/q8x3brcGNF9xFQ5XbV8+twU1chiXOh1uDG6IihcgMb8oOD9y6I4g9m1uDGyG4U4drOIdbgxsjZRcMiDBRE2UKcMYO8Mh+DXbY4MTj16/Bjhacdw73a7AjBGcakjZFH4Mzfthgnffl12DHqYhxHvIUzPlhgkWfLdTtfg12yOAs4M+vwY40iF+DHR1lpvI59DU75JB+DXaM4Dzlwa/BCnGt9KA9Ak1hbfscfS+79bP6NUpFA0UJw6/7C4IQ1pvQ7lHeryGZEIUn5OCWSxCDsJxGaM3s6/CCKELr8Da/hiQKdR0QAEknZWIkmYmSBFuJdxg2RPkIhZHU7AwtxLeH7ErHsUlRcELlYOt7h2FDlI36/iFsQ+vwwwNay0E/XcNG6TBsFNRsYIThhZsgCKE+ocItgGFDMCEKTwgu3PwaNt7of1nzb9DGjY/fsm2sv7Lx9XTItiGYPELR9yIXBVGE5KLxiX4hSkKdrQCOYrK9GPWxWBQECSYWnbYNSUBCNfaqFttr10rHPXqi4ITCwVaLTtuGJBz1BUTghuTi8IjWctDN//vTt8SFFkt/4pKFfm0clYm2kYOlmbaI4zSJM9WnDWTiaP5nivcddrzg1hqq5v6pkRraXdFaOd40Mk6vub06WauQX2vvxsMPG9nSSI5/2Bot3jwyfuz5O2A3BjMDGZYBL24MZoiKFCIQXpPL/61J8kerf52crH6x+tU4nmSmkKfskMHNOoKuszo0mBGCe3O4XHM5NJgxUva9gAijybbnfyzEmAGKODQezVazP55eXMwvtvNVvTz7g0ZgVM/O8ir6N7o86Pj1xPUsMs5d7/LxwLmH7uTI8szu5OBGC04+FCfHH+nknW4S/++2aTZF/ZIfNTgF+ZCwGmY0c2Cc8THAeYTu9tjGrsMe7Q+EjeKcT6GIFPBzpDN72gXWC3jODxicaOA+ACg+tS4+NVh8Fnw0cIaiuUfshec9fqSe3SN/tNgVnfccb+sFP2LKzMp6bLreyl1wajaCjMPkcbFpB8BGcMknAGdXkv/kj3RGT7ugesEuecFuHpmr++L+Lh2XWZaOM5WX46sijsaJipPs/rbIbm7DO1Eqs6m/6V8tp3FtmChf+O0MQRDCAhraAO8t3X/cNLCf6qMF4+Yvr5uf/d3WjPK6+YUvm//TK/mb/vbD1U/jkyIy+wOei2ZB4VnAO8zVTxu4jRlnvY0DpeLthYBnJ187v5y++NrJ2qjzz6ufr/6x+et/Xv3T6v9+tt3BUOv73St9v3vS/NnV5/rP6uMgr9ebJa+3Gx+vH3682eIwvipT0dwSVioJrbB9i0MQJfAWhyAJdYUV4khsXzCRJAm2x+E4JCGJRyjQPtrDrklsv3dROj5gIgpOqBtwZ4OO6UIWjfr2IWhD+xvD41nLQT9dH3Nl3k34WtPaUnOB8QVXj5IghOKEqkd5F7NkQhSeEFxImjCmohiE2utDs0miCGk2m4tZEoU6bWAgiXGVYCZKEky0OVzMonyEwuhTtVXRdpbf/I0J/EwWnFA52KrN4WIWZaO+fwjbgGwDBrSWgw77NZHYOKaNErN8LGWNl6i0j3dsHwo3XnATEBVSR/ShcDOQYRnw4UPhhqhIIQLhGXwoxgl5yg4Z3B4kCDmbD4UbIbjLh+szhw+FGyNltwyKUJnim7HjO54NpUq0DSXd7gRXsdOGwsYD5x6/NhR2tODcQ7ShVHFnQ6msXxd7yY8anIF8KFYNM5o5MM74GOA0coANpYl9fyDsNhQ2hSJSwM+RzuxpF1gv4Dk/YHCegWU/UHxqXXxqsPgs+GjgBOXPhsKO1L8NpSs67zne1gt+xJSJlfXYdL2Uu+DUbARhG0pXbNoBsNtQ2ATg7Eq1oTTPThdUL9glL9gnu5EQRzYfSpXQOFHA8DsJgiCEBTO0AQ6wkyCYEIUnBG82TRhTUQzCeiChAbXvJAiihN5JEEShrmRCIInteyiSJE9iJ0GSj1AYffRlXXeWtAvPiaNDkwQnVA64pYAHdSHLRn3/ELahnYThAa3loJ+ufbjRbTYHSEpNBgYYXrcJghDKE6rbhPzDkllQeBZwsRbCP7z+AsqLLPr6Yf5hydwS5gEvClIQRUhBpiaSF6Ik1AkM4siMb+5MFCSYfrTbh0XxCPXZq3xMW7WROuSjJDihbLDlo90+LIpGffkQtCH1ODyetRx0YB+KbR0vc+Jlfbyj+1CY8YK7gKicO6YPhZmBDMuAFx8KM0RFChEIz+BDsYk9Zsjg/iBBxFl9KMwIwW0+XJu5fCjMGCnbZUiEaTVJjGmcsUM8ohVFaStK3u4GZ24rChcPnH48W1G40YLTD9WKku2sKJnDisKNGpyEfGhWDTOaOTDO+BjgTHKIFSUb7Q+Ew4rCpVBECvg50pk97QLrBTznBwxONbDwB4pPrYtPDRafBR8NnKM8WlG4kQpYUbKdFcX6tl7wI6bMrazHpmun3AWnZiNIW1Gy0f4AOKwoXAJwdiVbUbLTLqhesEtesGtNC21/aB5r8+ro3tkNrNWKomicKGD4LQ1BEMKSGdoDB7CiCCZE4QnB+00TxlQUg7AiSOhB7RsJgihCGwlWK4ogCnUxEwBJoklZGjdFZqIowfYSXF4UST5CZfTRmHXtWXuVS+W4m0cUnFA64J4CHtSFLBv1BUTYhnYThge0loN+wl6U2OpFyanJwADDCzdBEEJ5QoWblBdFMAsKzwKu1mS9KO3lRc9OVr9eX+HTyOADDSmCCSZMBl50pCCKkI60GVIESaizGMCRxZMiz00oM1GUYDLSYUmRxCOUaa8qMm9FR+5QkZLghMLBVpEOS4okGvX1Q9CGROTweNZy0IEtKTZZWDjx7J+dxqKlyD3MksKMF9wNRFXdMS0pzAxkWAa8WFKYISpSiEB4jywpiVlZTNkhg/uEBBlntaQwI+wrNFFLCjNGyrYZEmGWTiqb7mKGeERLSqktKVW7K1y4LSlcPHD68WxJ4UYLTj9US0qxs6RYL/F7yY8anIR8aFYNM5o5MM74GOBMcoglpRjtD4TDksKlUEQK+DnSmT3tAusFPOcHDE41sPAHik+ti08NFp8FHw2cozxaUriRClhSip0lxfq2XvAjpsytrMema6fcBadmI0hbUorR/gA4LClcAnB2JVtSitMuqF6wS16wa00L7YJoHmvz6uje2Q2s1ZLiuozIwIkCht/ZEAQhLJmhPXAAS4pgQhSeELzfNGFMRTEIK4KEHtS+lSCI0hcBDhS8WXVYUgRRqIuZAEgST5TZfDgTRQm2l+CypEjyESqjj8asa8/KdvHZcY+qKDihdMA9BTyoC1k26guIsA3tJgwPaC0HvRZuUXp3k98V8fg2ubkdZ2WVjStVNn93c5fHcaQKdb9NTFjhZtt7qKjJwADDCzdBEEJ5QoXbniXl00ak/Xh/N6L52V8+fND8pjer3zY/+Wr1mbZPfLj6abRVbdptUUSpse94LpoNhWcDV237CfmyAf6kyca3H3708P21C2XAd1JEWfbsJEa8JsZSOBXNGKHKexGIgihCAtHmNREkoU5PAEeWTmLzdb0zUZRg+tDhNZHEI9Rfr/KwvW2vctyeKApOKBxseejwmkiiUV8/BG1IHQ6PZy0HHdhrYqyoXyu2Y23Dy/t4R/aasOMFt/lQuXY8rwk7AxmWAQ9eE3aIihQiEJ7Ba5KZQp6yQwY3AAkyzuI1YUcI7uPh6szuNWHH2C/+B3pNknJSGevdjB3h0awmRRQ/a35INru9TfwuqwkfD5x9vFpN+NGCsw/NatKE01pNtmk2Rf2SHzU4B/mQrBpmNHNgnPExwImEbzXRse8PhNVqwqdQRAr4OdKZPe0C6wU85wcMzjSw7geKT62LTw0WnwUfDZyivFlN+JF6t5rsis57jrf1gh8xZWplPTbbbmqo4NRsBFmrya7YtANgtZrwCcDZlWg10c9OF1Qv2CUv2LWkhXY3NI+1d3U07+z+1WI1aUoUjRMFDL1jIQpCWDFDW2Bxq4loQhSeELzdNGFMRTEIC4KEFtS2kyCKIrSTYLGaiKJQ1zIBkGySZiaQmShIsI0Eu9FElo9QF320ZV1zFm9Wnrd/YwI/kwUnFA64o4AHdSHLRn39EDb3VgIyoLUc9BM2mlgW8hvZllCTgQGGl22CIITyhMo2WaOJaDYUng1cs7GNJiern61+0t64E0dFNP56Gl2gppMTU/qmoukjlHwvWlEQRUgrml0noiTUuQrgKCd5UZlIZqIkwbSi1XQii0eoxV6lYtIqC/uVjbLghLrBlopW04ksGvXtQ9CGlOLweNZy0IFNJ5kJr9F+qROv6OMd3XTCjBfc8EOl2zFNJ8wMZFgGvJhOmCEqUohAeAbTSW4KecoOGdwKJKg4q+mEGSG4o4eLM5fphBkjZWcMiDApJ8aeaMYO8Iiek0x7TlS77Zu6PSdcPHDy8ew54UYLTj5Uz0m685xYL+F7yY8anIJ8KFYNM5o5MM74GOA8cojnJB3tD4TDc8KlUEQK+DnSmT3tAusFPOcHDE40sOwHik+ti08NFp8FHw2coTx6TriRCnhO0p3nxPq2XvAjpsysrMema6bcBadmI0h7TtLR/gA4PCdcAnB2JXtO0tMuqF6wS16wa0ULbXRoHmvr6ujd2e2r1XOS0ThRwPCbF4IgfenhGiCwAw7gORFMiMITgnebJoypKAZhPZDQgdr3EQRRhPYRrJ4TQRTqUiYAkk3SyEgyEyUJtpHgMp1I8hEKo4++rOvOsnbl2X4nqiw4oXLALQU8qAtZNur7h7ANbSUMD2gtB/2ETSeZ1XSiqMnAAMPrNkEQQnlCdZu06UQwGwrPBi7a2KaT1m+ioiQaNx36O6jfxJS4qWjiCMXei0wURBGSicYm+oUoCXWWAjjKSW7skmeiIMFEosNtIolHKMJeNaJqJYX9UkZZcELZYGtEh9tEEo368iFoQxJxeDxrOejAbhNlwmtEX+7EK/t4R3ebMOMFt/pQzXZMtwkzAxmWAS9uE2aIihQiEJ7BbWL84tiUHTK4CUgQcVa3CTNCcC8P12YutwkzRsqeGBBhUk0yYxZn7AiPaDcptN2kbHd8c7fdhIsHzj6e7SbcaMHZh2o3yXd2E+sFey/5UYNzkA/JqmFGMwfGGR8DnEgOsZvko/2BcNhNuBSKSAE/Rzqzp11gvYDn/IDBmQbW/UDxqXXxqcHis+CjgVOUR7sJN1IBu0m+s5tY39YLfsSUqZX12HTdlLvg1GwEabtJPtofAIfdhEsAzq5ku0l+2gXVC3bJC3YtaaEtDs1j7V0dzTu7f7XaTQoaJwoYfttCEISwYoa2wAHsJoIJUXhC8HbThDEVxeiLAgcGoQW17yMIogjtI1jtJoIo1LVMACSbZOavFM9ESYLtJLjsJpJ8hMLooy/rurOiXXq233cqC06oHHBLAQ/qQpaN+v4hbM4BXSADWstBP2G7ibLaTdw3CxmSgQGG122CIITyhOo2abuJYDYUng1ctLHtJnvfOMnWnpPqYM+JYPYIFd+LVhREEdKKNs+JIAl1qgI4mkk3Ma4JzERJgklFh+lEEo9Qir0qxbIVFvZrF2XBCXWDrRQdphNJNOrbh6ANCcXh8azloAObToxlqJF+lROv6uMd3XTCjBfc8EOV2zFNJ8wMZFgGvJhOmCEqUohAeI9MJ7H5uZqyQwa3Agkqzmo6YUYI7ujh4sxlOmHGSNkZAyJM43xi/bQcM8TjuU7i6FnzQ9xu/FZu1wkXD5x+PLtOuNGC0w/VdVLtXCfWq/Ze8qMGJyEfmlXDjGYOjDM+BjiTHOI6qUb7A+FwnXApFJECfo50Zk+7wHoBz/kBg1MNLPyB4lPr4lODxWfBRwPnKI+uE26kAq6Tauc6sb6tF/yIKXMr67Hp2il3wanZCNKuk2q0PwAO1wmXAJxdya6T6rQLqhfskhfsWtNCOx2ax9q8Orp3dgNrc53EEY0TBQy+eyEJQlgyQ3tgedeJZEIUnhC83zRhTEUxCCuChB7UupMgiSK0k2BznUii9OdcBwra02bFRMWWnlYSJdhegsN2IspHqIw+GrO2PYuj7eJz7Lj7VBScUDrgngIe1IUsG/UFRNgGdhOAAa3loP9qg311X9zfpeMyy9JxpvJyfNX8J8eJipPs/rbIbm6PItwstpPYfc+QIRkYYHjhJghCKE+ocNtzWXzcqLdPG9n2Ztz85XXzs7/bqrfXzS982fyfNl5s9iY+XP00Piki84T6XDQLCs8CrtYaJfrRVr1qSCwVb2/iPHN9AGXjzcmyZ++//83mt+t/UyOExw8/WL3Sez5NjUDMKcaeZyqaa8K84EVSCqIISUqLOUWShDqhARyVmlisYzNRlGCK0u5OEcUjVGyvgrK92i923NUoCk4oHGxBaXeniKJRXz8EbUhPDo9nLQcd2J1iLEONQkxceHnUxzu2O4UbL7gxiAq8I7pTuBnIsAz4cKdwQ1SkEIHwDJ9Esck9ZsjgliFBxtncKdwIwZ0/XJ053CncGCk7aECEKs8myuIK5oZ4RHdKqt0p2XaDOE6c7hQ2Hjj9+HWnsKMFpx+iOyVOOndKbL2T7yU/anAS8qFZNcxo5sA442OAM8kB7pQm9v2BsLtT2BSKSAE/Rzqzp11gvYDn/IDBqQYW/kDxqXXxqcHis+CjgXOUP3cKO1L/7pSu6LzneFsv+BFT5lbWY9O1U+6CU7MRhN0pXbFpB8DuTmETgLMr1Z3SPDtdUL1gl7xg15oW2hDRPNbm1dG9sxtYqzslpXGigOE3OQRBCEtmaA8cwJ0imBCFJwTvN00YU1EMwoogoQe1byUIoghtJVjdKYIo1MVMAKTMJnmZmVBmoijB9hJc7hRJPkJl9NGYde1Z2i4+O25JFQUnlA64p4AHdSHLRn0BEbah3YThAa3loJ/wR1EKqzsloyYDAwwv3ARBCOUJFW7CH0WRzIbCs4GrtkM/iqLTUUX6+tZDvoYimTZCqfeiEgVRhFRiaiJ5IUpCnaMAjjivJmlu/Or/TJQlmEp0OE4k8QhV2KtIbO/1ix0XNYqCEyoHWyQ6HCeSaNT3D0Eb0ojD41nLQQd2nBjLUKP6lBMv7uMd3XHCjBfc7ENF2zEdJ8wMZFgGvDhOmCEqUohAeAbHiTKFPGWHDG4DEnSc1XHCjBDczcPlmctxwoyRsisGRJjaHHYzdoRHNJzk2nBStHu+ym044eKBs49nwwk3WnD2oRpO1M5wYr2W7yU/anAO8iFZNcxo5sA442OAE8khhhM12h8Ih+GES6GIFPBzpDN72gXWC3jODxicaWDdDxSfWhefGiw+Cz4aOEV5NJxwIxUwnKid4cT6tl7wI6ZMrazHpuum3AWnZiNIG07UaH8AHIYTLgE4u5INJ+q0C6oX7JIXrI72OruOkji6GpdX99m4eY3y8XV8VY3vb67ymzjNouLqasNj7V0dzTu7f7UaTnIaJwoYft9CEISwYoa2wI8NJ9v9CIvxZHOa9JPmH76r++N11/vJ6k3TCK/3NvSf+EwfRtV/brNAb0rTc9E0KTxNeBNqwpiKYhCWCQmNqX2DQRBFaIPBakMRRKGucAIgmf1765IkwfYXSscGgyQfoVz66Na6ni1vF6Qdl6eKghMqB9xowIO6kGWjvn8I29AOw/CA1nLQT9iFUlpdKAU1GRhgeDUnCEIoT6iak3ahCGZD4dnARduhLpTN1TxJlEbji7J/Nc/773+TakcRzB+h5ntRi4IoQmrRZkcRJKFOVgBHNcmVsYeeiZIEE4sOrSiJRyjGXrVie+tf7LjGURScUDfYWtEhFSXRqG8fgjYkFYfHs5aDDmxGqUx4jfhz3j2UJ328o5tRmPGCG4GodjumGYWZgQzLgBczCjNERQoRCM9gRjGq5Sk7ZHCLkKDirGYUZoTgTh8uzlxmFGaMlB0zIMK0nBRGATljR3hEM0r17KxIonY/uHSbUbh44Ozj2YzCjRacfahmlHJnRrFe1/eSHzU4B/mQrBpmNHNgnPExwInkEDNKOdofCIcZhUuhiBTwc6Qze9oF1gt4zg8YnGlg3Q8Un1oXnxosPgs+GjhFeTSjcCMVMKOUOzOK9W294EdMmVpZj03XTbkLTs1GkDajlKP9AXCYUbgE4OxKNqOUp11QvWCXvGDXkhY6cKt5rL2ro3ln969WM0pF40QBw29fCIIQVszQFjjA108EE6LwhODtpgljKopBWBAktKD2jQRBFKGNBKvtRBCFupYJgKhJadtIEAQJtpHg+vaJJB+hLvpoy7rmrGpXnh2Xp4qCEwoH3FHAg7qQZaO+fgjb0FbC8IDWctBP2HVS2VwnSURNBgYYXLZJghDKEyrbhF0nktlQeDZwzcZ2nbSGE7U2nFR9wwn16yeSiSMUex8qURJFSCVa7CaSJNRZCuCI40luu8BREiWYTLT7TUTxCGXYp0pM2uv+Esf9jaLghMLBVol2v4koGvX1Q9AGRCIwnrUcdFi/SWIc00b2xU68tI93bL8JN15wrw9VbUf0m3AzkGEZ8OE34YaoSCEC4Rn8JsbV+Sk7ZHAXkCDjbH4TboTgZh6uzhx+E26M/eLvwW+SmSKcsSM8nt8kSbTfJN1u+Sax02/CxgNnH79+E3a04OxD9Jskcec3SawX8L3kRw3OQT4kq4YZzRwYZ3wMcCI5wG/SxL4/EHa/CZtCESng50hn9rQLrBfwnB8wONPAuh8oPrUuPjVYfBZ8NHCK8uc3YUfq32/SFZ33HG/rBT9iytTKemy6bspdcGo2grDfpCs27QDY/SZsAnB2pfpNmmenC6oX7JIX7FrSQpscmsfauzqad3b/avObJAmNEwUMv3EhCEJYMUNbYHm/iWRCFJ4QvN00YUxFMQgLgoQW1L6TIIgitJNg85tIolDXMgEQ7TexGE4kSYLtJDgMJ6J8hMLooy/rurOkXXp23IcqCk6oHHBLAQ/qQpaN+v4hbEN7CcMDWstBP13DSaPbbIaTlJoMDDC8bhMEIZQnVLdJG04Es6HwbOCijW046X3mJI/GL7Lo67Dr5P1vmhI4FU0goeh7kYuCKEJy0WY8ESShzlYAhzaeJMa6OxNFCSYXHcYTSTxCOfaqFtub/BLH1Yyi4ITCwVaLDuOJJBr19UPQhsTi8HjWctCBjSe2ZbvMiZf18Y5uPGHGC276oertmMYTZgYyLANejCfMEBUpRCA8g/EkthmNmTGD+4EEHWd1njAjBLf1cHnmcp4wY6RsjwERpulEKVOEM3aER3SeKO08ydvN38ztPOHigdOPZ+cJN1pw+qE6T7Kd88R6Ed9LftTgJORDs2qY0cyBccbHAGeSQ5wn2Wh/IBzOEy6FIlLAz5HO7GkXWC/gOT9gcKaBhT9QfGpdfGqw+Cz4aOAU5dF5wo1UwHmS7Zwn1rf1gh8xZWplPTZdO+UuODUbQdp5ko32B8DhPOESgLMr2XmSnXZB9YJd8oJdS1pot0PzWJtXR/fObmCtzhNF40QBw+9gCIIQlszQHjiA80QwIQpPCN5vmjCmohiEFUFCC2rfShBEEdpKsDpPBFGoi5kAiJpEqXFXZCZKEmwrweU8keQjFEYffVnXnal27dlxMaooOKFywC0FPKgLWTbq+4ewDW0mDA9oLQf9hJ0nsdV5klOTgQGG122CIITyhOo2aeeJYDYUng1ctLGdJ63pJI2yaHyRHPypE8HEEYq9F5koiCIkE22OE0ES6iwFcMTRJMqVCWUmihJMJjocJ5J4hDLsVSW2t/YljmsYRcEJhYOtEh2OE0k06uuHoA2JxOHxrOWgAztObLKvcOKpPt7RHSfMeMHNPlS1HdNxwsxAhmXAi+OEGaIihQiEZ3Kc5KaYp+yYwX1Ago6zOk6YEYLbebg8czlOmDFStsWQCFWUTVLb0TBmjEf0nJTac1K1276F23PCxQMnIM+eE2604ARE9ZwUO8+J9b69l/yowWnIh2rVMKOZA+OMjwHOJYd4TorR/kA4PCdcCkWkgJ8jndnTLrBewHN+wOBcA0t/oPjUuvjUYPFZ8NHAScqj54QbqYDnpNh5Tqxv6wU/YsrkynpsuobKXXBqNoK056QY7Q+Aw3PCJQBnV7LnpDjtguoFu+QFuxa10D6H5rG2r47+nd3CWj0n7luEHnGigOH3LgRBCItmaBccwHMimBCFJwTvOE0YU1EMwpogoQm1byYIovRFgAMF71YdnhNBFOpyJgCSJGqSZ8ZSPxNlCbad4HKdSPIRSqOPzqzrz8p2/dlxA6ooOKF2wE0FPKgLWTbqG4iwDW0oDA9oLQf9hF0nidV1UlGTgQGGV26CIITyhCo3adeJYDYUng1ctjWS9KOtjNUmk9UXTS5+9PC3+h8evqN/4mPtI1lbUb6z/n2/1Una/MKbJoFfrt6Mm7+8blL6u632fd38wpfN/+nftf7Hz5v/fbb+z2x+cn87aP3ZlIurf99kNc4PtK4IZp8wY3hRm4IoQmrTZl0RJKFOdQBHpuJJUhlZZqIswcSmw7siiUco5l61Znv3X+K4zFEUnFA52FrT4V2RRKO+fwjakNQcHs9aDjqwd8VYhr5WpJETL+/jHdu7wo0X3DREtd8RvSvcDGRYBnx4V7ghKlKIQHiPvCuZefl7yg4Z3E4k6DibdYUbIbgriMszh3WFG2O/+B9oXUmSapIZ72OasUM8nnMljZ81PyTbzeM0cjpX2Hjg9OPXucKOFpx+iM6VNOqcK6n15r6X/KjBSciHZtUwo5kD44yPAc4kBzhXmtj3B8LuXGFTKCIF/BzpzJ52gfUCnvMDBqcaWPgDxafWxacGi8+CjwbOUf6cK+xI/TtXuqLznuNtveBHTJlbWY9N204NFJyajSDsXOmKTTsAducKmwCcXanOlebZ6YLqBbvkBbvWtNBeieaxNq+O7p3dwNqcK6n7PqJHnChg8P0PSRDCkhnaA8s7VyQTovCE4P2mCWMqikFYEST0oNa9BEkUob0Em3NFEoW6mAmApNkks315XRIl2F6Cw7giykeojD4as649i7eLz6njKlVRcELpgHsKeFAXsmzUFxBhG9hNAAa0loP+qw321X1xf5eOyyxLx5nKy/FVEUfjRMVJdn9bZDe3RxFuFuNKmlCTgQGGF26CIITyhAq3PeMK5L3Y7E18uPpprK0VypSF56JZUHgWcLXWN6xAqdjbxLFf4fNs7e6poijd2Exs2w6COSPUdy/SUBBFSBpabCaSJNSJCeDImzk2y0woM1GUYMrQ7jIRxSNUXq/CsL3wL3Xc4CgKTigcbGFod5mIolFfPwRtSBcOj2ctBx3YZWIsQ43SS514RR/v6C4TZrzgBh8q1I7pMmFmIMMy4MVlwgxRkUIEwjO4TIzKYsoOGdz6I8g4q8uEGSG4g4erM5fLhBkjZScMiTCflDaTCTPCI5pMMm0yUe0+b+o2mXDxwNnHs8mEGy04+1BNJunOZGK9pe8lP2pwDvIhWTXMaObAOONjgBPJISaTdLQ/EA6TCZdCESng50hn9rQLrBfwnB8wONPAuh8oPrUuPjVYfBZ8NHCK8mgy4UYqYDJJdyYT69t6wY+YMrWyHpuum3IXnJqNIG0ySUf7A+AwmXAJwNmVbDJJT7ugesEuecGuJS20r6F5rL2ro3ln969Wk0lG40QBw+9VCIL0pYdrgMAWOIDJRDAhCk8I3m6aMKaiGIQFQUILat9JEEQR2kmwmkwEUahrmQBIMlGpzWMiSBJsJ8HlMZHkIxRGH31Z151l7dKz49JUUXBC5YBbCnhQF7Js1PcPYRvaSxge0FoO+gl7TDKrx0RRk4EBhtdtgiCE8oTqNimPiWAWFJ4FXKzJe0w23zpxeUwEc0ao716UoSCKkDI09s0vREmoExPAoSZRnplIZqIkwYShw2IiiUcovF51YXuzX+q4qlEUnFA32LrQYTGRRKO+fQjakCwcHs9aDjqwxUSZ8Bqhlzvxyj7e0S0mzHjB7T1Upx3TYsLMQIZlwIvFhBmiIoUIhPfIYqKsHzJhhgxu/BFUnNViwowQ3L/DxZnLYsKMkbIPhkQYFRZP3Ywd4hE9JoX2mJTtNm/u9phw8cDpx7PHhBstOP1QPSb5zmNivZfvJT9qcBLyoVk1zGjmwDjjY4AzySEek3y0PxAOjwmXQhEp4OdIZ/a0C6wX8JwfMDjVwMIfKD61Lj41WHwWfDRwjvLoMeFGKuAxyXceE+vbesGPmDK3sh6brp1yF5yajSDtMclH+wPg8JhwCcDZlewxyU+7oHrBLnnBrjUttK+heazNq6N7ZzewVo9JQeNEAcPvVQiCEJbM0B44gMdEMCEKTwjeb5owpqIYfVHgwCD0oPadBEEUoZ0Eq8dEEIW6mAmAxPkkKo2VfiaKEmwvwWUykeQjVEYfjVnXnhXt4rPjllRRcELpgHsKeFAXsmzUFxBhcw7oAhnQWg76Cd/Ao6wmE/d1RIZkYIDhhZsgCKE8ocJN+AYeyWwoPBu4atvfl/myAdaX7Xz74UcP31/7SqxWkre/VvL2rTnvv/9N4r05kjkj1HkvElEQRUgi2swmgiTUCQrgSJNJXNhsyIIowRSiw20iiUeowF4FYnujX+q4olEUnFA42ALR4TaRRKO+fgjakD4cHs9aDjqw28TYqDaKr3LiVX28o7tNmPGCG32oYDum24SZgQzLgBe3CTNERQoRCM/gNjE+V1N2yOAWIEHGWd0mzAjBnTxcnbncJswYKTtiQITpJLOpLmaAx/OaZNGz5oe43e6t3F4TLh44+Xj2mnCjBScfqtek2nlNrPfoveRHDU5BPhSrhhnNHBhnfAxwHjnEa1KN9gfC4TXhUigiBfwc6cyedoH1Ap7zAwYnGlj2A8Wn1sWnBovPgo8GzlAevSbcSAW8JtXOa2J9Wy/4EVNmVtZj0zVT7oJTsxGkvSbVaH8AHF4TLgE4u5K9JtVpF1Qv2CUv2LWihbY3NI+1dXX07uz21eY1ySIaJwoYfMtCEoSwYIZ2wPJeE8mEKDwheLdpwpiKYhDWAwkdqHUjQRJFaCPB5jWRROnPuQ4UtKONJio27onMREmCbSQ4rCaifITC6KMva7uzLNquPGeOa01FwQmVA24p4EFdyLJR3z+EbWArARjQWg76CVtNcpvVJHNfIGRIBgYYXrcJghDKE6rbhK0mktlQeDZw0bafkDerT7TdZO0UaRKgf9JlNzlZ/Wz1k/7XSyyGEsnMEKq5Fx0oiCKkAy2GEkkS6jQEcMSTyLyROxMlCSYD7X4SUTxCmfWqAtuL9jLHzYmi4IS6wVaBdj+JKBr17UPQhkTg8HjWctCB/STG+b+RdYkLr4j6eMf2k3DjBTfzUFV2RD8JNwMZlgEffhJuiIoUIhDeIz9Jaft6CTdkcJuPoOJsfhJuhOBuHS7OHH4SboyUXS8gwiqZqMwU4Ywd4RENJak2lGTbPd0scRpK2Hjg7OPXUMKOFpx9iIaSLOkMJZn1yryX/KjBOciHZNUwo5kD44yPAU4kBxhKmtj3B8JuKGFTKCIF/BzpzJ52gfUCnvMDBmcaWPcDxafWxacGi8+CjwZOUf4MJexI/RtKuqLznuNtveBHTJlaWY9N1025C07NRhA2lHTFph0Au6GETQDOrlRDSfPsdEH1gl3ygl1LWmgTQ/NYe1dH887uX62GkpTGiQKG35gQBCGsmKEtcABDiWBCFJ4QvN00YUxFMQgLgoQW1L6RIIgitJFgNZQIolDXMgGQOJ2UpbECzkRRgm0luBwlknyEyuijMevas7Rde3bcYSoKTigdcE8BD+pClo36AiJsQ5sJwwNay0E/YUdJYXWUZNRkYIDhhZsgCKE8ocJN2lEimA2FZwNXbaufG00k2F04b3/AZGMmef+bprxMRfNCqOVeZKAgipAMTE0kL0RJqJMQwNEU0yI3ltOZKEowFegwlEjiEaqsVxHY3qqXOa5JFAUnFA62CHQYSiTRqK8fgjakAYfHs5aDDmwoKU14japTTry4j3d0QwkzXnAzDxVlxzSUMDOQYRnwYihhhqhIIQLhGQwlxudqyg4Z3OYjyDiroYQZIbhbh6szl6GEGSNl1wuIMC8mej55HOGMHeERDSW5NpQU7Z6uchtKuHjg7OPZUMKNFpx9qIYStTOUWC/Ie8mPGpyDfEhWDTOaOTDO+BjgRHKIoUSN9gfCYSjhUigiBfwc6cyedoH1Ap7zAwZnGlj3A8Wn1sWnBovPgo8GTlEeDSXcSAUMJWpnKLG+rRf8iClTK+ux6bopd8Gp2QjShhI12h8Ah6GESwDOrmRDiTrtguoFu+QFu5a00B6G5rH2ro7mnd2/Wg0lOY0TBQy/LyEIQlgxQ1vgAIYSwYQoPCF4u2nCmIpiEBYECS2ofSdBEEVoJ8FqKBFEoa5lAiBxNIkKW08riBJsK8FlKJHkI1RGH41Z157l7dqz48JSUXBC6YB7CnhQF7Js1BcQYRvaTBge0FoO+gkbSixLro1wK6jJwADDCzdBEEJ5QoWbtKFEMBsKzwau2jwYSoa/TiKYFEIh96IBBVGENKDNTSJIQp2BAI5Ei1njSzcTRQkmAR1uEkk8Qon1qgDb6/Myx32IouCEwsFWgA43iSQa9fVD0IYE4PB41nLQgd0kxk60kXTO23yKpI93dDcJM15wJw9VZMd0kzAzkGEZ8OImYYaoSCEC4aV9N0ls/TwJM2Rwj48g46xuEmaE4FYdrs5cbhJmjJQtLyDCVBWT3Gifm7FDPKKdpHp2Vqio3dEt3XYSLh44/Xi2k3CjBacfqp2k3NlJrDfgveRHDU5CPjSrhhnNHBhnfAxwJjnETlKO9gfCYSfhUigiBfwc6cyedoH1Ap7zAwanGlj4A8Wn1sWnBovPgo8GzlEe7STcSAXsJOXOTmJ9Wy/4EVPmVtZj07VT7oJTsxGk7STlaH8AHHYSLgE4u5LtJOVpF1Qv2CUv2LWmhXYwNI+1eXV07+wG1monqWicKGD4XQlBEMKSGdoDB7CTCCZE4QnB+00TxlQUg7AiSOhB7VsJgihCWwlWO4kgCnUxEwBR6SRXxqWBmShKsL0El51Eko9QGX00Zl17VrWLz447SUXBCaUD7ingQV3IslFfQIRtaDdheEBrOei/2mBf3Rf3d+m4zLJ0nKm8HF8VcTROVJxk97dFdnN7FOFmsZOoiJoMDDC4cJMEIZQnVLjt2Uk+btTbp41sezNu/vK6+dnfbdXb6+YXvmz+TzsrNnsTH65+GmvjhDJl4bloFhSeBVytNUr0o616XdtHoFS8vYnzbMhlsv1sya9Xrxop3MjgpjA0/4LV5/pfoC06r9cOltfrPaNGOT/8eGNJsexRSCaYMBn40JGSKEI60mJJkSShzmIARxwVkzTKTCwzUZZgOtLuSRHFI9RpnzJStffsKcfFiaLghMrBlpF2T4ooGvX9Q9AGVCQwnrUcdFhPSmoc00YXOm8EKtI+3rE9Kdx4we1AVNYd0ZPCzUCGZcCHJ4UboiKFCIRn8KQYn6spO2Rwo5Cg42yeFG6E4H4fLs8cnhRujJR9MyBCVRSTSplCnLFDPJ4nRSXak5Jut4VV7PSksPHA6cevJ4UdLTj9ED0pKu48Kcp6i95LftTgJORDs2qY0cyBccbHAGeSAzwpTez7A2H3pLApFJECfo50Zk+7wHoBz/kBg1MNLPyB4lPr4lODxWfBRwPnKH+eFHak/j0pXdF5z/G2XvAjpsytrMema6fcBadmIwh7Urpi0w6A3ZPCJgBnV6onpXl2uqB6wS55wa41LbQNonmszauje2c3sDZPynanFuZEAcNvbQiCEJbM0B5Y3pMimRCFJwTvN00YU1EMwoogoQe17yUIogjtJdg8KZIo1MVMAKTMJ3ll3BeZiaIE20tweFJE+QiV0Udj1rVnSbv47LjWVBScUDrgngIe1IUsG/UFRNiGdhOGB7SWg366npRGuNk8KSk1GRhgeOEmCEIoT6hwk/KkCGZB4VnA1Zq8J6WIsuzZ++9/s/nt+t/UCOHxww+0QWX12YH2FMFcE+YFL5JSEEVIUtrsKYIk1AkN4IiLdJKWxpd5JsoSTFI67CmSeISS7VVRtpf2KcctjKLghMrBVpQOe4okGvX9Q9CGBOXweNZy0IHtKba1vcyJl/Xxjm5PYcYL7gyiCu+Y9hRmBjIsA17sKcwQFSlEIDyDPSUzhTxlhwzuGRJ0nNWewowQ3PrD5ZnLnsKMkbKFBkQYTQrbQh4zwCOaU5Q2p+Tt/nDmNqdw8cDJx7M5hRstOPlQzSnZzpxivZHvJT9qcAryoVg1zGjmwDjjY4DzyCHmlGy0PxAOcwqXQhEp4OdIZ/a0C6wX8JwfMDjRwLIfKD61Lj41WHwWfDRwhvJoTuFGKmBOyXbmFOvbesGPmDKzsh6brplyF5yajSBtTslG+wPgMKdwCcDZlWxOyU67oHrBLnnBrhUttB+ieaytq6N3Z7evVnOKonGigOH3OARBCAtmaAccwJwimBCFJwTvNk0YU1EMwnogoQO17yQIogjtJFjNKYIo1KVMDMRY/2aiIMH2EVzWFEk+Ql300ZZ1zZlqF54dF6SKghMKB9xRwIO6kGWjvn4I29BOwvCA1nLQT9iaYjkO2Mi2nJoMDDC8bBMEIZQnVLZJWVMEs6DwLOBaTdaacv68PqlPVJRG44sqeudAK4pgbgnzgBcBKYgiJCBtVhRBEuoEBnEkel58TDITJQkmIB1GFEk8QoH2qh/by/6U4/ZGUXBC3WDrR4cRRRKN+vYhaEPycXg8aznowEYUmyAsnHiqj3d0IwozXnAXENVzxzSiMDOQYRnwYkRhhqhIIQLhGYwoxg+dT9khg/uDBBVnNaIwI+wLNFEjCjNGynYZFKEyxTdjx3dEH0qpfShVuxVcuH0oXDxw7vHsQ+FGC849VB9KsfOhWO/ye8mPGpyBfAhWDTOaOTDO+BjgNHKID6UY7Q+Ew4fCpVBECvg50pk97QLrBTznBwzOM7DqB4pPrYtPDRafBR8NnKA8+lC4kQr4UIqdD8X6tl7wI6ZMrKzHpuul3AWnZiNI+1CK0f4AOHwoXAJwdiX7UIrTLqhesEtesGtBC21+aB5r5+po3dndq9WH4r6g6BEnChh+Q0MQhLBehjbAAXwogglReELwZtOEMRXFICwHEhpQ+zaCIEpfBDhQ8E7V4UMRRKGuZEIgSWIkmYmSBNtHcBlRJPkIhdFHX9Z1Z2W78Oy4WlUUnFA54JYCHtSFLBv1/UPYhnYShge0loN+wkaUxGpEqajJwADD6zZBEEJ5QnWblBFFMAsKzwIu1kIYUZIoj8YvsujrBxpRBHNLmAe8KEhBFCEFaTOiCJJQJzCIIzO+uTNRkGD60eFDkcQj1Gev8rG9JVA5rn0UBSeUDbZ8dPhQJNGoLx+CNqQeh8ezloMO7EMx1tOvFXnkxMv7eMf2oXDjBXcBUTl3RB8KNwMZlgEfPhRuiIoUIhDeIx+KZT17yg4Z3B8kiDibD4UbYV+fSfpQuDFStsuACItqkuemCGfsCI/nRMnjZ80PyXYzOI+cThQ2Hjj7+HWisKMFZx+iEyWPOidKbr3B7yU/anAO8iFZNcxo5sA442OAE8kBTpQm9v2BsDtR2BSKSAE/Rzqzp11gvYDn/IDBmQbW/UDxqXXxqcHis+CjgVOUPycKO1L/TpSu6LzneFsv+BFTplbWY9N2UwMFp2YjCDtRumLTDoDdicImAGdXqhOleXa6oHrBLnnBriUttPuheay9q6N5Z/evNidK7r6W6BEnChh8R0MShLBihrbA8k4UyYQoPCF4u2nCmIpiEBYECS2odR9BEkVoH8HmRJFEoa5lAiBxPKmyyoQyE0UJtpXgsKKI8hEqo4/GrGvP4u3ac+64UVUUnFA64J4CHtSFLBv1BUTYBjYTgAGt5aDXwi1K727yuyIe3yY3t+OsrLJxpcrm727u8jiOVKHut4kJK9wsVpQ8oSYDAwwv3ARBCOUJFW57VpRPG5H24/3NiOZnf/nwQfOb3qx+2/zkq9Vn2jvx4eqn0Va1bW6iSQtTNp6LZkPh2cBV235CvmyAP2my8e2HHz18f+0+sfpNTlY/W/1kczFPFUXps5MYcZsY6+FUNG2EUu9FJQqiCKlEi9tEkoQ6RwEcSTopK+NB65koSjCRaPebiOIRirBXjdjeAJg7rnQUBScUDrZGtPtNRNGorx+CNiQRh8ezloMO7DfJTHiN6EudeEUf7+h+E2a84F4fqtmO6TdhZiDDMuDFb8IMUZFCBMIz+E2MymLKDhncBSTIOKvfhBkhuJmHqzOX34QZI2VTDIiwjCaFbW2OGeER/SaZ9puodss3dftNuHjg7OPZb8KNFpx9qH6TdOc3sV7J95IfNTgH+ZCsGmY0c2Cc8THAieQQv0k62h8Ih9+ES6GIFPBzpDN72gXWC3jODxicaWDdDxSfWhefGiw+Cz4aOEV59JtwIxXwm6Q7v4n1bb3gR0yZWlmPTddNuQtOzUaQ9puko/0BcPhNuATg7Er2m6SnXVC9YJe8YNeSFtri0DzW3tXRvLP7V6vfJKNxooDhty0EQfrSwzVAYAscwG8imBCFJwRvN00YU1EMwoIgoQW17yQIogjtJFj9JoIo1LVMACROJrHtE+qSKMG2Elx+E0k+QmX00Zh17VnWrj07LkkVBSeUDringAd1IctGfQERtqHNhOEBreWgn7DfJLP6TRQ1GRhgeOEmCEIoT6hwk/abCGZD4dnAVRvbb/Jsm4ksO9BqIpgxQpX3IhAFUYQEorF9fiFKQp2eAI6kKbPmN3ImihJMHzqsJpJ4hPrrVR62N/rljisaRcEJhYMtDx1WE0k06uuHoA2pw+HxrOWgA1tNlAmv0Xu5E6/s4x3dasKMF9zmQ+XaMa0mzAxkWAa8WE2YISpSiEB4BqtJZgp5yg4Z3AAkyDir1YQZIbiPh6szl9WEGSNlPwyIMMknlTGLM3aER7SaFNpqUra7vbnbasLFA2cfz1YTbrTg7EO1muQ7q4n10r2X/KjBOciHZNUwo5kD44yPAU4kh1hN8tH+QDisJlwKRaSAnyOd2dMusF7Ac37A4EwD636g+NS6+NRg8Vnw0cApyqPVhBupgNUk31lNrG/rBT9iytTKemy6bspdcGo2grTVJB/tD4DDasIlAGdXstUkP+2C6gW75AW7lrTQ7obmsfaujuad3b9arSYFjRMFDL9jIQhCWDFDW+AAVhPBhCg8IXi7acKYimL0RYEDg9CC2ncSBFGEdhKsVhNBFOpaJgDSaJnUdmhVkCTYToLLaSLJRyiMPvqyrjsr2qVnxzWoouCEygG3FPCgLmTZqO8fwuYc0AUyoLUc9BN2miir08R945AhGRhgeN0mCEIoT6huk3aaCGZD4dnARRvbabL9ssnmOp04KqLx19PoYt918v7736T6TgTzR6j5XtSiIIqQWrT5TgRJqJMVwFFOosK4KjATJQkmFh22E0k8QjH2qhXb+/tyx4WMouCEusHWig7biSQa9e1D0Iak4vB41nLQgW0nxjLUiL/KiVf18Y5uO2HGC275odrtmLYTZgYyLANebCfMEBUpRCA8g+1EmUKeskMGNwMJKs5qO2FGCO7p4eLMZTthxkjZGwMiTEqLzW7GjvB4tpMietb8ELc7v5XbdsLFA2cfz7YTbrTg7EO1nVQ724n1jr2X/KjBOciHZNUwo5kD44yPAU4kh9hOqtH+QDhsJ1wKRaSAnyOd2dMusF7Ac37A4EwD636g+NS6+NRg8Vnw0cApyqPthBupgO2k2tlOrG/rBT9iytTKemy6bspdcGo2grTtpBrtD4DDdsIlAGdXsu2kOu2C6gW75AW7lrTQVofmsfaujuad3b/abCdFRONEAYNvX0iCEFbM0BZY3nYimRCFJwRvN00YU1EMwoIgoQW1biRIoghtJNhsJ5Io/TnXgYK2tNkkUcY9kZkoSbCdBIftRJSPUBh99GVtd1ZE26XnwnHnqSg4oXLALQU8qAtZNur7h7AN7CUAA1rLQT9h20lus50U7tuFDMnAAMPrNkEQQnlCdZuw7UQyGwrPBi7a/NhOkiiNxhdl9M5hHzuRzB6h4nvRioIoQlrRYjqRJKFOVQBHOVGRMpHMREmCSUW76UQUj1CKvSrF9qa+wnH1oig4oW6wlaLddCKKRn37ELQhoTg8nrUcdGDTiVEjNNIvceGVUR/v2KYTbrzghh+q3I5oOuFmIMMy4MN0wg1RkUIEwjOYTozmqyk7ZHArkKDibKYTboTgjh4uzhymE26MlJ0xIMIkn0S2FTpmhEc0naTadJJt932LxGk6YeOBs49f0wk7WnD2IZpOiqQznRTWi/Ze8qMG5yAfklXDjGYOjDM+BjiRHGA6aWLfHwi76YRNoYgU8HOkM3vaBdYLeM4PGJxpYN0PFJ9aF58aLD4LPho4RfkznbAj9W866YrOe4639YIfMWVqZT02XTflLjg1G0HYdNIVm3YA7KYTNgE4u1JNJ82z0wXVC3bJC3YtaaGNDs1j7V0dzTu7f7WaTlIaJwoYfvNCEISwYoa2wAFMJ4IJUXhC8HbThDEVxSAsCBJaUPtGgiCK0EaC1XQiiEJdywRA0kll3UkQJAm2k+AynUjyEQqjj76s687SdunZcfGpKDihcsAtBTyoC1k26vuHsA3tJQwPaC0H/YRNJ4XVdJJRk4EBhtdtgiCE8oTqNmnTiWA2FJ4NXLSxTSet30RFSTS+KA72mwgmjlDsvchEQRQhmWjcLnghSkKdpQCOoplvKxPJTJQkmEp0+E0k8QhV2KtIbG/qKxxXL4qCE+oGWyQ6/CaSaNS3D0Eb0ojD41nLQQf2mxg/zNmoPuXEi/t4R/ebMOMF9/pQ0XZMvwkzAxmWAS9+E2aIihQiEJ7Bb2KUyVN2yOAuIEHFWf0mzAjBzTxcnLn8JswYKZtiQIRpNilssosZ4RH9Jrn2mxTtlq9y+024eODs49lvwo0WnH2ofhO185tYb9t7yY8anIN8SFYNM5o5MM74GOBEcojfRI32B8LhN+FSKCIF/BzpzJ52gfUCnvMDBmcaWPcDxafWxacGi8+CjwZOUR79JtxIBfwmauc3sb6tF/yIKVMr67Hpuil3wanZCNJ+EzXaHwCH34RLAM6uZL+JOu2C6gW75AW7lrTQHofmsfaujuad3b9a/SY5jRMFDL9vIQhCWDFDW+AAfhPBhCg8IXi7acKYimIQFgQJLah9I0EQRWgjweo3EUShrmUCIGqSxLaWVpAk2E6Cy28iyUcojD76sq47y9ulZ8ftp6LghMoBtxTwoC5k2ajvH8I2tJcwPKC1HPTGb3Jzk0R3t2p8d1PdjLPyNhmXV7fF+CZL8+tM3Sd3ajvoYXWbzW9SUJOBAYbXbYIghPKE6rY9e8UXqzcPP3r4W22sePiOdp58rO0Sa8fFd9bK7rf69zW/sLOaVFGU6T/40Ub5reXdZu/iH1b/X63xxqsPVz9vBN/PV/9sSthz0YQpPGG4rvNgSdGfQKkOtqQIJo4wH3hRkoIoQkrSZkkRJKFOZABHHE0ys1dsJooSTEk6PCmSeIRK7VVItnf6FY5LGkXBCYWDLSQdnhRJNOrrh6AN6cjh8azloAN7UowNbaMMnfcKlUkf7+ieFGa84H4gKuyO6UlhZiDDMuDFk8IMUZFCBMIzeFKM3qwpO+R+RRb0pDAjBDf8cHXm8qQwY6RsnAERqnJSGBXkjB3hET0p1bOzoozabeHS7Unh4oGzj2dPCjdacPahelLKnSfFehXfS37U4BzkQ7JqmNHMgXHGxwAnkkM8KeVofyAcnhQuhSJSwM+RzuxpF1gv4Dk/YHCmgXU/UHxqXXxqsPgs+GjgFOXRk8KNVMCTUu48Kda39YIfMWVqZT02XTflLjg1G0Hak1KO9gfA4UnhEoCzK9mTUp52QfWCXfKCXUtaaB9E81h7V0fzzu5frZ6UisaJAobf2xAEIayYoS1wAE+KYEIUnhC83TRhTEUxCAuChBbUvpMgiCK0k2D1pAiiUNcyAZByUhrr30wUJNhGgsuSIslHqIs+2rKuOavalWfHzaii4ITCAXcU8KAuZNmorx/CNrSVMDygtRz0E/4ESmWzpGyfDEIyMMDgsk0ShFCeUNkm/AkUyWwoPBu4ZmP7TXr37uTR+EUWff0w04lk9ggV34dUlEQRkooW04kkCXWqAjjiYpLb7MuSKMG0ot10IopHqMU+pWLZ3uhXOq5oFAUnFA62VLSbTkTRqK8fgjagFIHxrOWgw5pOMuOYNtrPea9Qmfbxjm064cYLbvih0u2IphNuBjIsAz5MJ9wQFSlEIDyD6SS26T1mzOBeIEHH2Vwn3AjBLT1cnjlcJ9wY+9X/QNdJGk0KyxodN8LjuU6aOab5Id1u/Jax03XCxgOnH7+uE3a04PRDdJ2Ucec6Ka138b3kRw1OQj40q4YZzRwYZ3wMcCY5wHXSxL4/EHbXCZtCESng50hn9rQLrBfwnB8wONPAwh8oPrUuPjVYfBZ8NHCK8uc6YUfq33XSFZ33HG/rBT9iytTKemy6dspdcGo2grDrpCs27QDYXSdsAnB2pbpOmmenC6oX7JIX7FrSQlsdmsfavDq6d3YDa3OdlAmNEwUMv30hCEJYMkN7YHnXiWRCFJ4QvN80YUxFMQgrgoQW1L6VIIgitJVgc51IolAXMwGQbJJHxo2+mShJsK0Eh+1ElI9QGH30ZV13lrRrz467UUXBCZUDbingQV3IslHfP4RtaDNheEBrOeinaztpdJvNdpJSk4EBhtdtgiCE8oTqNmnbiWA2FJ4NXLSxbSet4ySNsmh8kRz6mRPJxBGKvReZKIgiJBNtjhNBEuosBXBUkyQ2ksxESYKpRIfhRBKPUIW9isT2Nr/ScT2jKDihbrBFosNwIolGffsQtCGNODyetRx0YMOJbbUuc+JlfbyjG06Y8YJ7fahoO6bhhJmBDMuAF8MJM0RFChEIz2Q4yU0xT9kxg9uABBlnNZwwIwR383B1</t>
  </si>
  <si>
    <t>5jKcMGOk7IohESZlU/hs63PMGI9oOVHacpK3u76Z23LCxQMnIM+WE2604AREtZxkO8uJ9Tq+l/yowWnIh2rVMKOZA+OMjwHOJYdYTrLR/kA4LCdcCkWkgJ8jndnTLrBewHN+wOBcA0t/oPjUuvjUYPFZ8NHAScqj5YQbqYDlJNtZTqxv6wU/YsrkynpsuobKXXBqNoK05SQb7Q+Aw3LCJQBnV7LlJDvtguoFu+QFuxa10DaH5rG2r47+nd3CWi0nisaJAobfuhAEISyaoV1wAMuJYEIUnhC84zRhTEUxCGuChCbUvpcgiCK0l2C1nAiiUJczAZC4Spqe1rh8MRNlCbad4DKdSPIRSqOPzqzrz1S7/uy4IFUUnFA74KYCHtSFLBv1DUTYhjYUhge0loP+qw321X1xf5eOyyxLx5nKy/FVEUfjRMVJdn9bZDe3R1FuNtNJTk0GBhheuQmCEMoTqtz2PBYfN/Lt00a3vRk3f3nd/OzvtvLtdfMLXzb/p20Xm+2JD1c/jU+KyDyjPhfNgsKzcLBcE8QglFwvck0QRUiu2awfgiTUuQLgSMtskirbqVdBlmBqzWH+kMQjVEOvYq29Wq903JUoCk6oHGyx5jB/SKJR3z8EbUirDY9nLQcd2PxhU1+FE0/18Y5u/mDGC+66oeLpmOYPZgYyLANezB/MEBUpRCC8R+aPzLx+PGWHDO7HEXSc1fvBjLAv0US9H8wYKdtTQITlpDQmccYO8IjGj1IbP6p277VwGz+4eODk49n4wY0WnHyoxo9iZ/yw3nn3kh81OAX5UKwaZjRzYJzxMcB55BDjRzHaHwiH8YNLoYgU8HOkM3vaBdYLeM4PGJxoYNkPFJ9aF58aLD4LPho4Q3k0fnAjFTB+FDvjh/VtveBHTJlZWY9N10y5C07NRpA2fhSj/QFwGD+4BODsSjZ+FKddUL1gl7xg14oW2mrQPNbW1dG7s9tXq/HDfZPPI04UMPz2gSAIYcEM7YADGD8EE6LwhODdpgljKopBWA8kdKD2nQRBlL4IcKDgrarD+CGIQl3KBECaKpgYN0VmoiTBNhJctg9JPkJh9NGXdd1Z2a48O+4gFQUnVA64pYAHdSHLRn3/ELahrYThAa3loJ+w7SOx2j4qajIwwPC6TRCEUJ5Q3SZl+xDMgsKzgIu1Roh+tBWvGhJLxd4Ojv3ym2frD7JUUZRuPi9i23MQzBmhvntRhoIoQsrQ5jERJKFOTABHMsmz3EQyEyUJJgwdDhNJPELh9aoL25vySsfVh6LghLrB1oUOh4kkGvXtQ9CGZOHweNZy0IEdJsaC+rWiipx4eR/v2A4Tbrzg9h6q047oMOFmIMMy4MNhwg1RkUIEwjM4TIzvwZQdMrjxR1BxNocJN8K+QJN0mHBjpOyDAREm2WTbzT+SXdwIj2cxqeJnzQ/Jdpe3ipwWEzYeOPv4tZiwowVnH6LFpIo6i0llveHuJT9qcA7yIVk1zGjmwDjjY4ATyQEWkyb2/YGwW0zYFIpIAT9HOrOnXWC9gOf8gMGZBtb9QPGpdfGpweKz4KOBU5Q/iwk7Uv8Wk67ovOd4Wy/4EVOmVtZj03ZTAwWnZiMIW0y6YtMOgN1iwiYAZ1eqxaR5drqgesEuecGuJS20raF5rL2ro3ln9682i0nlvrbnEScKGHyrQhKEsGKGtsDyFhPJhCg8IXi7acKYimIQFgQJLah1I0ESRWgjwWYxkUShrmUCIOmkSC2nJiRJgu0kOCwmonyEwuijL+u6s3i79Fw5LhwVBSdUDrilgAd1IctGff8QtoG9BGBAaznoJ2wxsazkN7otoSYDAwyv2wRBCOUJ1W1CFhPJLCg8C7hY61tMvli9efjRw9/qf3j4zsZz8nmjYfXdNt9Z/77f6pSxzCjPtlcAxbnTcSKZQkK59yIUBVGEhKLFcSJJQp2nAI5ikuWZiWQmShJMJ9odJ6J4hDrsVSa2l+RVjlsPRcEJdYMtE+2OE1E06tuHoA2pxOHxrOWgAztOjGWo0X2pE6/o4x3dccKMF9ztQ2XbMR0nzAxkWAa8OE6YISpSiEB4jxwnyvZNE27I4D4gQcVZHSfMCMHtPFycuRwnzBgp22JAhEk52X429LHsYkZ4RMdJph0nqt30Td2OEy4eOPt4dpxwowVnH6rjJN05TqxX3L3kRw3OQT4kq4YZzRwYZ3wMcCI5xHGSjvYHwuE44VIoIgX8HOnMnnaB9QKe8wMGZxpY9wPFp9bFpwaLz4KPBk5RHh0n3EgFHCfpznFifVsv+BFTplbWY9N1U+6CU7MRpB0n6Wh/AByOEy4BOLuSHSfpaRdUL9glL9i1pIV2OTSPtXd1NO/s/tXqOMlonChg+J0LQZC+9HANENgCB3CcCCZE4QnB200TxlQUg7AgSGhB7RsJgihCGwlWx4kgCnUtEwDJJmliO0QhSBJsJ8HlOJHkIxRGH31Z151l7dKz475RUXBC5YBbCnhQF7Js1PcPYRvaSxge0FoOeq3bovTuJr8r4vFtcnM7zsoqG1eqbP7u5i6P40gV6n6bmLC6zeY4UdRkYIDhdZsgCKE8obptz3HyaaPRfry/F9H87C8fPmh+05vVb5uffLX67OE7a59EtBVtG/dEWpiy8Vw0GwrPBi7a9hPyZQOsTSbffvjRw/fX1hHrp0ve/nJJI2I/0waVh+/oZL1ee1Rer7eCGkX88OON0cRYCqeiGSNUeS/6UBBFSB8au+cXoiTU6QngKCe5UiaSmShJMHnoMJpI4hHKr1d12F6MVzluOhQFJ9QNtjp0GE0k0ahvH4I2JA6Hx7OWgw5sNDGWoUbu5U68so93dKMJM15wkw9Va8c0mjAzkGEZ8GI0YYaoSCEC4RmMJsbnasoOGdz+I6g4q9GEGSG4i4eLM5fRhBkjZTcMiLCpI8YkztgBHtFnUmifSdlu9eZunwkXD5x8PPtMuNGCkw/VZ5LvfCbW2/Re8qMGpyAfilXDjGYOjDM+BjiPHOIzyUf7A+HwmXApFJECfo50Zk+7wHoBz/kBgxMNLPuB4lPr4lODxWfBRwNnKI8+E26kAj6TfOczsb6tF/yIKTMr67Hpmil3wanZCNI+k3y0PwAOnwmXAJxdyT6T/LQLqhfskhfsWtFCexuax9q6Onp3dvtq9ZkUNE4UMPx+hSAIYcEM7YAD+EwEE6LwhODdpgljKorRFwUODEIHat9HEEQR2kew+kwEUahLmRBIltt8JoIkwTYSXD4TST5CYfTRl3XdWdGuPDuuNxUFJ1QOuKWAB3Uhy0Z9/xA254AukAGt5aCfsM/EsuDa6Db3TUKGZGCA4XWbIAihPKG6TdpnIpgNhWcDF237CXmz+kR7TXofM7Ffk7P62eon/Q+X2PwkgpkhVHMvOlAQRUgH2vwkgiTUaQjiqFJjvz8TJQkmAx1+Ekk8Qpn1qgLbG/cqxxWKouCEusFWgQ4/iSQa9e1D0IZE4PB41nLQgf0kxjLUyLrKiVf18Y7uJ2HGC27moarsmH4SZgYyLANe/CTMEBUpRCC8R36S0vrhEmbI4DYfQcVZ/STMCMHdOlycufwkzBgpu15AhGU6MbY7M3aAR/OTlFH0rPkhbrd0K7efhIsHTj6e/STcaMHJh+onqXZ+EuvdeS/5UYNTkA/FqmFGMwfGGR8DnEcO8ZNUo/2BcPhJuBSKSAE/Rzqzp11gvYDn/IDBiQaW/UDxqXXxqcHis+CjgTOURz8JN1IBP0m185NY39YLfsSUmZX12HTNlLvg1GwEaT9JNdofAIefhEsAzq5kP0l12gXVC3bJC3ataKE9DM1jbV0dvTu7fbX4ScrtOw5zooCh9yVEQQgLZmgHLO4nEU2IwhOCd5smjKkoBmE9kNCB2vYRRFGE9hEsfhJRlP6c60BBO9o4mSjLyVRRlGA7CXZDiSwfoTL6aMy27ZkW1uul5+3fmMDPZMEJpQPuKeBBXciyUV9AhM29l4AMaC0H/YQNJbnFUNK0ldRkYIDhhZsgCKE8ocJN1lAimg2FZwNXbaufGz0ke5s10MdL7F4S0aQQCrkXDSiIIqQBzV4SURLqDARwJGoSG3vgmShJMAVo9ZLI4hEqrFcBGLd6wX5Xoiw4oW6wBaDVSyKLRn37ELQh/Tc8nrUcdGAviXHqbxRd4sKroj7ekb0k7HjBjTxUkB3PS8LOQIZlwIOXhB2iIoUIhGfwkhifqyk7ZHCLj6DiLF4SdoTgTh0uzuxeEnaMlB0vIEKVTcxbLDN2hEc0k6TaTJJt9nOb+F1mEj4eOPt4NZPwowVnH5qZpAmnNZNs02yK+iU/anAO8iFZNcxo5sA442OAEwnfTKJj3x8Iq5mET6GIFPBzpDN72gXWC3jODxicaWDdDxSfWhefGiw+Cz4aOEV5M5PwI/VuJtkVnfccb+sFP2LK1Mp6bLpuyl1wajaCrJlkV2zaAbCaSfgE4OxKNJPoZ6cLqhfskhfsWtJC+xeax9q7Opp3dv9qNZOkNE4UMPyehCAIYcUMbYEDmEkEE6LwhODtpgljKopBWBAktKD2jQRBFKGNBKuZRBCFupYJgJSTJLO1tIIkwXYSXF4SST5CYfTRl3XdWdouPduvKZUFJ1QOuKWAB3Uhy0Z9/xC2ob2E4QGt5aCfsJeksHpJMmoyMMDwuk0QhFCeUN0m7SURzIbCs4GLNg9ekqHvkogmhVDIvUhAQRQhCZiaSF6IklBnIIAjzidZZXzpZqIowSSgw0wiiUcosV4VYNYKBvs1iLLghMLBVoAOM4kkGvX1Q9CGBODweNZy0M3/+9ONCszed0u8v7y7+dY3/vybhkwwFF5mwmyknXJgxlnex7SZSuyxUlRb6ysxBvsOO9j+M+ZILKjMftrIjy83doW3JdnWW/LwvZO1U+RLLVTWa2+fPfzN6vXqtyasRoepP5yx2R4VRTvcYTVxu8Wd6y3usvkh1l9OiBP9Q6Z/0L8Q619I9C8k+hcS/QuJ/oVM/5zS2+O5an4oClsV5WYho2cB33/Q6Oca/Vyjn2v0c41+rtHPNfq5Rj/X6Oca/Vyjn2v0c41+rtHPNfq5Df2cj67o6PjGRUM+1+RzTT7X5HNNPtfkc00+1+RzTT7X5HNNPtfkc00+1+RzTT63kc/55Ph7zZ86tpurud5cLZsfYn1mv8lArTNQ6wzUOgO1zkCtM1DrDNQ6A7XOQK0zUOsM1LYM1OwMPNpvG8gA7ZG/1NiXGvtSY19q7EuNfamxLzX2pca+1NiXGvtSY19q7EuNfamxL23Yl3xsfKYk7tM11EtNvdTUS0291NRLTb3U1EtNvdTUS0291NRLTb3U1EtNvdTUSxv1kke9ft431Hrq/ROXbvBnR82sO3m5k8F+9wMWKkszND8a16/eYUfbn1oPdKL2RcPq0/UG3HdWX64/tPqmv7izXsLRV/Q2P//RyervH769+mKjKPS/aPXJsxO9s9f88ucPf/fwY/0HTfjP2fj9OVXShsoMUZFCBMJ7ZEM1rkhM2QGD1iDC8o/VhMqMEHT44Ks6LhMqM8b+xH+gCTVL///t/WuvLMd15w1+lQ2/krl3buQlIi890AuKTXG2LIpHO0lWVfoYQmZVVjfRMmlQ9PTMMzCgi2V7YHdLttSAIbktWe5uPMDzYmhZtCiSooB+PS/2+UYTkXU551RlRvxjVa2MSonqdnFfqvZZvxUrIv4rVmREcpsPrdcQTfS4CzXb7QEz3o5HJwPnG/cNqHmSDW9ApVoLTjmuG1DTpxtQh2/Ho1sNTj2npXT7Ba70hTsDxqt0DHAKIeRk+z1h6QvPN4RhAyqVQjpSwHGkPXu9N+w4MaIaDM4y8FohMO6U4LjziE4Fzkxue0+Hx5yv0i1l2HuaPt17OnwxHt1ilxmVFDH7xVfzWFOSEbj3nqYvPN8Ahr2nVAJwYnXMaXXs7I06zkYpxmpr2zBJ5TJqgnSd1kEUteugCEWsNz3UYpm0aRIvNzyDieof1+fcw6ATwKF0NXODROn6UloDlEta2wfyBVYQh+oamvH+5CDJ/dVzi+UPH12p5PWXOs/6u4d/0s9SfqpfPnryzSd/vSnwH6fJv9Lv+LDbAPDBwyfdD7o0+f/+zjv/KXjtbZUlq7/8L/rtV6+/evWofXetKN7evCeKw/DJd9MwvFKf/KTPwS+xOljiDsYT1of/rhzxr8qp33zyX5/85WY/xEFBYvfDj5XjVGp79cbbb/3Ju+8sbx4/flv96ptPvq1S3X/u9gP/plta+Gh7j8vDz/SPdPP8JEiVY3/wf9tstfhUuW/zXKz68PfUN+rvqz/xU5U1/1J998GTb+7/tSd//e+eul29aMffXD35i65Fv7093cO2I4OxSQ6FkqFJzpGSM5KwbMjoHU5fYeVwrQcDFMb0nhHlErZjcOI5TBjnyFP32Wq2K98P3xbIC+4wasApFtqmj3jRXLsfgmZsz0dIe5Z80OOd7SEGt9ca78ApokM2z8UUorXgihYqLb0VU4j4AsM/SzGFaKJ0MhEw76iY0puDvkw2GFzmOodyI1oILlk5KDJDMYVoo8vSD2KhiOP+DVx3ZBM9FlOK3aJmbi6mUMnA+ebMxRSqteCU41pMyZ8WUwbvivsy3Wpw6jmHSNUwL9wZMF6lY4BTyCnFlPyF5xvCUEyhUkhHCjiOtGev94YdF1OoBoOzDKz0gXGnBMedR3QqcGY6YzGFailDMSV/WkwZ7Kj3dItdZlRSxOxTJ/NYU5IRuIsp+QvPN4ChmEIlACdW52JKfr036riYQjFWW5svoyRJRBSkeZoFom2SoG7bVbBK0pVYi3oZr7ctMpioGjJ1WrI6WEwp3CBRuvGLKYwgDmtjaMb7XDGlO8BSn2z55DtdMeTDJ3/Z/eIjlcF+oHPf9/WDknoRfnta5d/q79SnPvz//cXVF9995xvvbX7+8vKdP/mP77x9Vb7z9XeuvlCv119vrw6qJU++K4wVE0YvStyLeFaKVqU+Uf/5tXLsN3fHo+wWFn6+e6MureiK074R9Gc3h6385uE32o2/t/PvF99Z/uk39A9uDmoo3w8iefPU2ZsCia5gda31q01lpLcnvszqeoc1znPk14wkPJWR/tHxFVYS18VZhEOm4jYVfSx3rCyjFUdSkRXD9RFOQoc54Byp5z4BLXbr6cP3k/KCO4wdcNbk0KyPeOlceyFCZyuR2Ju05IMes0SS9LG9mEehkS0+ZPNbIqFaC65ToYLRV4mEii8w/HOUSKgmSicTAfOOSiS9+xReJhsMLl6dQcJRLQQXolyk2WCJhGqjy4IOYGEiboXss/CObKG/Ckm0vb9aPyxpqpCQycDp5rwVErK14IzjWCGJwn2FJBq8Ae/LdKvBmeccMlXDvHBnwHiVjgHOICdUSJTtzzfEcIWETCEdKeA40p693ht2VCEhGwxOMrDWB8adEhx3HtGpwInpfBUSsqXnr5Dsx5uvGjrqPd1ilwmVFDG7zMky1pRkBOYKyX6c2TXAcIWETABOrK4VEhU7e6OOKiQkYzdTVFZHebEM6uUqDEQThkEdqW+LPIzzNM+SptiO/oN5qiFRp+WqQxWSyHgR2TEkSjd6hYQTxGF1DE147Qv7RzntQXXkV31+eInVDxL3A55W9rlCH5b5LfXtB8oh26PeP+m+eV955+PnKkhHjnvx6037ja6g8frLr7zx5RfvN6WM9PmqxbP/QlcY+an+3fdT7eMifEFlt7F47krXgzJH75jxMqv3HZYqz5EjM5KMW+bgJHFdYAU4lOrKC9mHcseKMlqVI8vy2/5dCV/iBXQYxs+RPe5zyN2FoJHhgldWcIeRA0588FZ9xAvn2gUROEuNA2jRkg96zBqH6GNTqjE2siWHbJ5rHERrwZUmVPJ5q3EQ8QWGf5YaB9FE6WQiYF7P1a4DG1qoJoMLUOdQcEQLwcUkF2U2XOUg2uiyKANYmCe3Aw/dUg30WORIdouN5ktdyWTgfHPmIgfVWnDKcS1yPL3UNTJc6kq2Gpx6ziFTNcwLdwaMV+kY4BRySpHj6aWukeVSVzKFdKSA40h79npv2HGRg2owOMfAWh8Yd0pw3HlEpwLnpTMWOaiWMhQ5nt7nOtxR7+kWu8ynpIjZp07msaYkI3AXOZ7e52oeZ16nE4ATq3ORQ9/n2j/GvEEztlOJSxElURgFYVzUgZC5UGlrmwVpUa/CaL1q6nrbYQcTVUOmTktWB4sciRskSjd+kYMRxGF1DM147UWOHzz89OHv9ZVXD//fh589/OP2LrCni+3b5zv02n20ebxj+OkOTudI3Dl4stmH8TIrhsNC4DkSUEaSkUsIjCSu65cARxHfhkP5LCPJaBWEPA5v86IP8Eu8gA5j5DlSs32CtrsGNDLc68oK7jBwwFkF3qqPeOFceyACZ6sg2Fu05IMes4Ig+9iUJBNGNnHI5rmCQLQWXMZB9ZS3CgIRX2D4Z6kgEE2UTiYC5vVUEHqD6mWyyeDqzjkEHNFCcKXGRZgNVxCINrqseAAWSnFb9M5dd2QLPZYQ5G4pT5hLCFQycMI5cwmBai0457iWEMTTEsLg5Z5fplsNzj3n0Kka5oU7A8ardAxwDjmlhCBeeL4hDCUEKoV0pIDjSHv2em/YcQmBajA4ycBiHxh3SnDceUSnAiemM5YQqJYylBDE0xLCYEe9p1vsMqGSImafO5nHmpKMwF1CEC883wCGEgKVAJxYnUsI4npv1HEJgWJsp72jZV2n6TJos6gNRLJeBbVooyBrk3gVNutWLuWGZzBTNaTqtGx1sIQg3SBRuvFLCIwgDstjaMrrXkLQM0j3fMA3N48O6O+jMHxB/5+xfMDoGIk7Bs80+zBeZsVwWAU8R/bJSDJy+YCRxHXxEuBIw1vRvxB7x4oyXv0gKm6TpA/wS7yADgPkOfKyfXYmd6vN0pChcYI7jBxwSoG36iNeONcuiMDZ6gf2Fi35oMesH6R9bEqPpUY2ecjmuX5AtBZcw0HFlLf6ARFfYPhnqR8QTZROJgLmxeCt3lSDwYWdc+g3ooXgIo2LLhuuHhBtdFnsACxM8vw2kX0m3pFN9Fg+2N2uG5lv9SaTgfPNmcsHVGvBKce1fPD0Vu/IcKs32Wpw6jmHTNUwL9wZMF6lY4BTyCnlg6e3ekeWW73JFNKRAo4j7dnrvWHH5QOqweAsA2t9YNwpwXHnEZ0KnJnOWD6gWspQPnh6q/dwR72nW+wyo5IiZp86mceakozAXT54equ3eZx5nU4ATqzO5QN9q3f/GPMGzVhtLXZrouYZTFQNmTotWR0sH2RukCjd+OUDRhCH1TE047WXDy7tVm9OB0vcwXjCesKt3ldTuNObs0EOZZKhQc6RkDOS8BRU+jheYeVwXcsFKIzJPSPKaOWU4Tu9WfEcpotzZKn7XHV3B3RkuNObFdxh1IATLLRNH/GiuXY/BM3Yno+Q9iz5oMcspfQ+Eqa0qfkmuPSQzXMphWgtuJ6FCktvpRQivsDwz1JKIZoonUwEzDsqpfRmoC+TDQYXuc6h3IgWggtWDorMUEoh2uiy8INYqOT+bdirHO/INnqspewu143Ml3qTycAJ58y1FKq14JzjWkt5eql3ZLjUm2w1OPecQ6VqmBfuDBiv0jHAOeSUWsrTS70jy6XeZArpSAHHkfbs9d6w41oK1WBwmoGlPjDulOC484hOBU5NZ6ylUC1lqKU8vdR7uKPe0y12mVJJEbPPncxjTUlG4K6lPL3U2zzOvE4nACdW51qKvtS7f4x5g2astha7XlHzDGaqhlSdlq0O1lIKN0iUbvxaCiOIw+IYmvJe6KXenF6UuBfxtBQtSl3+pd6crndY5DxHgs1IwlMaGXzWhJHEdXUW4Uhina4P5euMMKOVR4y3erMSOkwC58g99xno7groyHCrNyu4w+ABp00OzfqIl861GyJ0tiKJvUlLPugxiyS9yvrFPA6NbNkhm98iCdVacKEKVYy+iiRUfIHhn6NIQjVROpkImHdUJOmtEr5MNhhcvTqDhqNaCK5EuWizwSIJ1UaXFR3EwjS5Fb3VsDuyif5qJPHuet3YfK03mQycb85bIyFbC045jjWS+Om13rHhWm+y1eDUcw6dqmFeuDNgvErHAKeQE2ok8dNrvWPLtd5kCulIAceR9uz13rCjGgnZYHCWgcU+MO6U4LjziE4Fzkznq5GQLT1/jSR+eq33cEe9p1vsMqOSImaXOlnGmpKMwFwjiZ9e620eZ16nE4ATq2uNJNbXevePMW/QjN1MUcj1jJpnMFE1ZOq0ZHWoRhJHbpAo3eg1Ek4Qh+UxNOO1L+0Tr/Xm9IPE/YDnlb9V13pzet9hrfIcSTIjybiFDk4S1xVWhCMrbvNwKOdmZBmtzmG615sV0GEcP0f6uE8id7dAx4Z7vVnBHYYOOPPBW/URL5xrH0TgLFUOoEVLPugxqxxFH5uSjbGRLT9k81zlIFoLLjWhms9blYOILzD8s1Q5iCZKJxMB846qHIP3elNNBlegziHhiBaCq0ku0my4zkG00WVVBrCwiG+l6LPwjmyhxzLH7oLd2HyxN5kMnHDOXOagWgvOOa5ljqcXe8eGi73JVoNzzzl0qoZ54c6A8SodA5xDTilzPL3YO7Zc7E2mkI4UcBxpz17vDTsuc1ANBicZWOwD404JjjuP6FTgxHTGMgfVUoYyx9OLvYc76j3dYpcJlRQx+9zJPNaUZATuMsfTi73N48zrdAJwYnUuc+iLvfvHmDdoxnYyEbpDUvMMZqqGVJ2WrQ6WORI3SJRu/DIHI4jD8hia8trLHOe82JvTORJ3Dp5t9mG8zIrhsBJ4jgyUkWTkIgIjiesCJsIRRreZXiw8ZrljZRmtiJAbrvZmBXQYJc+RnO1TtN1F0LHham9WcIehA84r8FZ9xAvn2gcROFsRwd6iJR/0mEWEqDe9UqpMGOGKQzjPVQSiteBKDiqpvFURiPgCwz9LFYFoonQyETCvp4rQG1Qvk00GF3jOoeGIFoKLNS7abLiKQLTRZdEDsDDNbqPeyeuObKHHKsLujt3YfLc3mQyccc5cRaBaC845rlWEp3d7x4a7vclWg3PPOYSqhnnhzoDxKh0DnENOqSI8vds7ttztTaaQjhRwHGnPXu8NO64iUA0GJxlY7QPjTgmOO4/oVODEdMYqAtVShirC07u9hzvqPd1ilwmVFDH75Mk81pRkBO4qwtO7vc3jzOt0AnBida4i6Lu9+8eYN2jGdtobuklS8wymqoZcnZiuDpYRpBslijd+GYERxGGBDM153csI1Mu9OR0jccfgqWYfxsusGA7rgOdIPxlJRi4hMJK4Ll8CHFlyW4RD2SwjyngVBMPl3qyADgPkORKzfXq2uwo6NlzuzQruMHLAOQXeqo944Vy7IAJnqyDYW7Tkg1b/+6ObzXT/hyZ5dtZKwpAwSw2QkfBVSeiNwy+QrQVXc1BVRaokbI6c/MHDjx5+fPXw86tI33L28cPmurPupi31hk8ePugO9dRXdX3w8Mnmx58++fOuyPC97qKuPse8RHaMwBxzlhoD0UTpZCJgXnJYY1ABd7P7qjfwXiYbDy4EnUPuES0EF3VcZNxwtYFoo8viCGBhkvVf1HNHNtBjsSG7US+5finUSxLql0i/xPol0S9Cv0j9kuoX/YlEfyLZnUAfm28RJ3sFnNDcCxVRVAydDPkHdHPBOc21UvH0GvHYcI042WpwbjuHINYwL9wZMF6lY4Az0SmViqfXiMeWa8TJFNKRAo4j7dnrvWHHlQqqweAEBWcVwKBV6kGr1INWqQetUg9apR60Sj1olXrQKvWgVepBq9SDVqkHrVIPWiU4aD2iewScEN2qHIYB66t0UxnKHE/vIB/u5fd0i11mclK47TM880BVkhG4yxxP7yA3D1Kv0wnAadm5zKHvIO8foN6gGdtlKEm+DpMmD8JYyEBkIg3qddIEhVgVIsnSsEmaDc9gHm1YUCDm0oNljsyNEsUbv8zBCOKwiocm5P/nk+9s7mTY3zD+866CofPrT7qSRnIjX+hfA3mJFVbisHgG24fxMivGoUwwYOC57JO/evLtPpQvsqLw1C5kH8grrCCu66YAhkzlbS/JHSvJaJWL8LboxfsSL57DiHeONG2frO3uXY4N92izgjsMG3CGgbbpI140196HoBnb8xHSniUfdKfGinpdZ/VqGcRpKALRrPMgj+IkSOJCxCIVMs+2OmVMNda7JKrUmOmutl5XYHjjqzFGEIexyVmN7ZVX3NtDX2IFkzjYycqLEcNhCD2L8mJEYVFeyVCtgRHEdewHMJRVvdnJHSvIiMIrHjq3khPPYXA7q/DKdxO14ZJoVnCHUeME4dXfpo940Vw7H4JmE1729iz5oDdnhjRFKsOkDWSeF+q9eR402TpV34bLWm86iev28ejCq7daroRX4eoKDG984cUI4jA2wcKruxX2o4ePHz54+Pnm8tFfaAn28Ev14190l8V+9PDh1ZO/6i44/fnNlfrEPz783cM/dTuAf9TJtYef9W8Ce4nVGRJ3xslijRHDYdjFxZpqs3/tQ/kiKwqLWAtvE9mH8goriuuMAYBEyW3Uv+xwx4oymmCTcvBCVVY+h1HxrIptd/tmbLhQlRXcYeggK7bBRn3Ey+baARE2m2SzN2jJB72pXKbLpaibIpBJmAZCNGHQhPEqyJJlHYvVUsi0eTy6ZBN9rngxT0x39vQvG0J4o0s2ThCHwQmVbP+sdNnH22vov90d3fY3z+36VT/61UaXPfPc1pO/fPpsVhq+EPfuZnyJ1RUSd8Wpgo0Tw2HUxQXb8OoaJwqXYOsjeYWVxHW6ADh0rjqwvsZJMp5cu00H1BornsOAeE61loTbyT0xXDDKCu4wbtDV2kCbPuJFc+19CJpFrAHtWfJBd2JtlRTpMhFJIMJ2GYgkbIMmlVGwXOdtXkfhOs7E49HFmuxzhRJrpgtyel2B4Y0v1hhBHMYmVKz9k5JfHyjBZpZrV90DYb9WP/pOd1Tcz7tHun6uBRtZyTH6SeJ+OlnJMWI4jMhnUXKMKCxKLrnt3Zn7CiuJ61wCcESJvNVlkWOUO1aU0aRcJG+LIS3HyecwXp5Vy+1uhEsMd/yxgjuMHGQtN9ioj3jZXDsgwmYTc/YGLfmgOzEX56taJukyCLM0CkQU1kGTyzbI83W4ysO6bXeOGVPM9Y6/SszFrq7A8MYXc4wgDoMTKuZ+8syj9X+zEWa/fni/E3PvK8328ZPvPfmvT/4/+qJk/btMviDCF8IbEXZ72oZOQeL0gcR9cLJQY8RwGG5xodadwvCvt1f97fJFViAWuTa88MZI4jpbABymhTdGktHUmihuQ9HH9yVePocB8axqLd5N7oY771jBHYYPslobbNRHvGyu/Q9hs6k1e4OWfNCbpbdWiDzSVzaHyToQ8boJmiJMgnUdrcJcyDYR9ePR1VrvSoxSa4mrKzC88dUaI4jD4HSCWjMtowFKjZFf4vwnKzVGDIeh9oxKjRGIRamJ/qHiFVYS15kC4Iiy4UsYOFFGk2ppelsMPITAyucwGp5Vqu1uSUoM916xgjuMH2SpNtioj3jZXDsgwmaTavYGLfmgO6kWtk3WLNdxUC+jPBDNSim6NkmDZLlsxHIl8zzcRvuYUq23/ZVUE66uwPDGl2qMIA6DEyzVnh6IeXSApfr2yfcePtHHXtpFXJ83XmL1hsS9cbJwY8RwGHhx4WaohTKiMEm23gLiK6wkrjMGwBHJ/HZr8rFkY0QZTbLJW9G7ePglXjyHQfGsik3sJnjDVVCs4A4DB1mxDbXpI1401+6HoNkEm709Sz7ozdpak2VpEeZBnbWrQLTrNqijNgwisQxXSVOv1tH68eiCrTfLVIJNuroCwxtfsDGCOIxNqGD7sT5xXJ+IffXww4cPn3z3ybeffEdfcPrkWw//8vC++uoXnVaThttfOIklTnyyKGPEcBhbcVFmXU1jBGKRZtFtKPtQXmFFcZ0cAJCkuJV5L8odK8po2kwMP3LAiecw/p1Vm+1uDEkMd8CwgjuMH2RtNtSmj3jRXLsfgmbTZvb2LPmgO23WrpM0XaVNEEVax0XpUim6pez2trXqZ213h/3Y2mzoyvkkdfUFxje+OGMEcRicCOLsfX0DvRJo33zynW5r2vtPvnf1OX3YrT7q9jdPvqeU2kcP7/++XawxekDiHjhZrDFiOAy2ZxRrjEBMYq3/YL9XWFFcZwsARGS3UT/KHSvKaGItvs2HxBonnsN4eFaxlu4md8NNJazgDuMHWawNtekjXjTX7oeg2cSavT1LPuhOrKXrPEzXqzBYx+E6EMu0CPJVUQTLthVhmqzrUGyH2FHFWu9KqhJrzocAY3zjizVGEIfBCRVrP+jOvf11V9HcHMDWraR9uLmOQCm19/X2tU2Z80pJu+8//NPDzx7+/uEf1P/9969t7gn88qNARlcP3+9zyEusDpG4Q07WbowYDmOvg3YbPISNE4VFtQ1c0v4KK4nrrAFwJLdZ7xaBO1aQ0SRbng9rNk4+h2HxrJptd7h9YrisgBXcYdwga7bBRn3Ey+ba/RA2m2izN2jJB71dYatXcVKvg3XTrJSsi+OgjposCJdJkS9j0SbJttFHFW29m0+UaHM+QBjjG1+0MYI4jE6waFP67Df63qjujI4Prp5868m3u4M79kd8dILtA32r88f6h0/+eivV9GOiStL968On+jN6U5s+X1dJu+63UazvnIrD8IVY9h+7+BKrqyTuqpPlHCOGw7DsIOeGrlHmJGFRc4aCKSOK63wCgBgLpowoowk6fXKJTPoAv8QL6DBmnlXR7U7NTwy3ILCCOwwdZEU33KqPeOFcuyACZ5N09hYt+aA3G9qiVRStZBE0cq0P4F2GQV4ILQTDKA3DuFl7WYfrDQAl6QpXX2B840s6RhCH4QmVdN/vSqEfPPlm0N2G8OHDr7uiaPqCGNJhjHwS5ztZhzFiOAymuA4zPFTAiMIixMLbTPahvMKK4joLACBxfhv3o9yxoowmxAzFUE48h3HurDJsdxJ+YrjagBXcYeQgyzBDMZQTzbX7IWg2EWZvz5IPWqswk7gauEueJqwGFsqE6STgJAwP4fYX32O2uqil9DZRpkptbP+BTV8gW3s4XAx5FpRE//Dw6WYf2cO/XXUbkbaPaOqDavUK1tUzj2LqwuVmgevDh19ePfzg4UcPP756+PlVpDeb6TvVf3W1e7bzw4dP9Aa17v8+VK+fHD3y+ZOHn/Q55iWyYwTmmK2W+tpb30Dirs/Ef082UTqZCJiXXD35L5vGu9Ue/Vkgb6Ob3Ve93eRlsvGHw/WA8bjIG1xso1p4qN8GLMS1W3Qb9q/QvkK28XBmGLARFWVJdFsMVDupFh7prQETnbTW0eR198WX7+9fu99OX+Ubr37u1VxEN+ol1i+JfhH6ReqXVL9k+iXXL4V6kaF+0Z+QarZTo5Im1jPfTdg7+X2J7hBwMts7pPzjdx+93Te6HMVXVBQDVy/9Ad1ccD7bm4s0l/be9aat/mDr5z6rv0y3GpzXziGBNcwLdwaMV+kY4Cy0xxiMlQHbtdkvPN8QQxRfoVNIRwo4jrRnr/eGHRj8Gt1gcHKC8whgvCr1eFXq8arU41Wpx6tSj1elHq9KPV6Verwq9XhV6vGq1ONVCY5Xj+jOAOfBPznXWPVVuqm5g6lIMz16Ok591dDB7+kWu0zgpEjbJXSWMaokI8TgBP/eiePTrgGGCF6nE4Az8ntOY5P26PXeqANj36AZe6m1ibh/s59Kok0nsPdQonijlyY4QRyW7NA83Lk0wckncT48V+3DeJkVw2GBEc9ah0sTnCgjlyY4UVzXRgGQOFFZcO9xb3esKBdQmmDFcxjnzpGX7bOz3VUhwnD3Cyu4w8gBpxRomz7iRXPtfgiapTQBtGfJB32xz2nF/Su0SoPFrq7A8MbXYIwgDmMTqsH4H9PidIjEHXKyaGPEcBh6cdE2/JgWJwqTaBt4TIuTxHXSADiS22iwcsFIMppkMzynxcrnMC6eVbPtLgwRhhtgWMEdBg6yZjM8p8XK5tr/EDabaLM3aMkHfbEnIcX9+zmUaEtcXYHhjS/aGEEcBidUtDEchMTpAYl74GSVxojhMNg6qDTLQUicQCxabfggJE4U18kCAEmK2yLtHfjuWFFGU2uGBTZOPIfx8KxibXdliDDcAcMK7jB+kMWaYYGNE821+yFoNq1mb8+SD/piTxSPb0WfK5RWE66uwPDG12qMIA5jE0GrUU8U5ySWOPHJ2owRw2FsPaM2YwRi0mZDD8hzorhODgBIktzKtOhDuWNFGU2bDZ8ozornMP6dVZvtbgcRhtteWMEdxg+yNhs+UZwVzbX7IWg2bWZvz5IPutNmUV2s4mUaBUqvrQMRJzJooiIP2iILo1WzyqRoH4+uzXpHX6XNpKsrMLzxtRkjiMPYhGqzn2wOMdLa7EdKib3/5DtP/vzq4X8oWfarbv3sXx4+Va+/2JY59dFFT76rTzHSr7dyQBe8xOoFiXvhZL3GiOEw3jrotcGHqxhJxhZqjCiuMwUAYhRqjCijCbVw4PmAL/HiOQyGZxVqu6tChOHqF1Zwh4GDLNSG2vQRL5pr90PQbELN3p4lH/TF3qMc36Z9rlBCLXV1BYY3vlBjBHEYm3ChxnqPMqc3JO6NkwUbI4bDuIsLNsNzBYwoLIpt8B5lThLXGQPgiBJFkok+ljtWltEUmxy8SJkVz2FUPKti290XIgz3v7CCO4wcZMU21KaPeNFc+x+CZlNs9vYs+aA7xRbnq1om6TIIMyXxRBTWQZNL9YF8Ha7ysG7bnWPGVGy9U7tSbJmrKzC88RUbI4jD2AQrtmdE2t9sdNmvH97vtNv7+qzwJ9/rtqt9uNFmmXxBhC+ENyLU3yWDC2uMPpC4D07WaYwYDqMtrtOshVBGIBa1FvbvaH2FlcR1tgA4iltZ9E58d6wko2k1UdyGvVr0S7x8DgPiWcXa7p4QYbj4hRXcYfggi7XBRn3Ey+ba/xA2m1qzN2jJB73ZpNYKkUdhGNRhtxa3boKmCJNgXUerMBeyTUT9eHS11vvgulJrpgPTe12B4Y2v1hhBHAanE9SaaRUNUGqM/BLnP1mpMWI4DLVnVGqMQCxKTfQndq+wkrjOFABHJMPbWA5VQhlZRtNqaXpb9A7rX+LlcxgOz6rVdheACMOVLqzgDgMIWasNNuojXjbXHoiw2bSavUFLPuiNVkuKdJmIJBBhu+weOQiaVEbBcp23eR2F625lfmyt1jtoKa1WOLsCwhtfqzGCOAxOqFb7JzXDf/DwC31c2tNr+Z6riqof/eqqq5j+Wv3oO90Ffj/vDibXt/rRq6SMfpK4n07WdIwYDkMyrukMVVJGFBY1l/RvrHiFlcR1LgE4okjehkVvxfeOlWU0NacAi6GNbZx8DgPmWdXc7iYRYbgZhhXcYeggq7nBRn3Ey+baAxE2m5qzN2jJB92puawpUhkmbSDzXJ/VludBk61T9W24rOs6TeO6fTy6mot6A+DFXDoe9YvyjS7nOEEcRidUzv2fSom9351/+8H2ALaHX3QC7Zfqx7/Q6k5fpHz15K/Ub5WMu7lSn/jHh79TMvDvH3788KONmPtZ0lvPeonVGRJ3xqmajRPDYeDFNdvw4WucKCyaLbxNZB/KK6worlMGAKIvJx1YgOMkGU2ySTn4LAIrn8OgeE7JJsPtDC8Nd5qwgjuMHGTJNtioj3jZXPsfwmaRbECDlnzQnWQr6nWd1atlEKehUO9d50EexUmQxIWIRSpknm21zKiSrXeLh5JszscHY3zjSzZGEIfRCZZsek3tyXceftOJr+RGvtB/5NVLrGASBztZfjFiOAyiuPwaXjLjRGGRX0nv6P8KK4jr4A9gFLLoP8T3jpVkNPEV3sYDxU9WPIfR7azaa3e6vTTcVsAK7jBskLXXUJs+4kVz7X0Imk162duz5IPupJdI8nWYNHkQxkIGIhNpUK+TJijEqhBJloZN0jweX3r1rvEr6RW7+gLjG196MYI4DE7O0ksfcfupfunuKehuYv5kL8f6BfNLrLAShz1ZjjFiOIyrZ5FjjCgsckxfE3oM8goriOuEAGCIrLiVvSh3rCgj6rGiF+9LvHgOQ95Z9dju4HppuImAFdxh3DhBj/W36SNeNNfuh6DZ9Ji9PUs+aC3ITDpr4OZRmsbqLVwpgZUY4aJDuP01qZitLsIpvU2UqVIb2//Y2BfI1h4OF0OeBdXRPygV1J01+/BvV91O8O2ZGXof2MO/Kr30zK4vXWnsjjV7+PDhl1cPP3j40cOPrx5+fhVpUaXl1K+udodtfPjwiT7Etvu/D9XrJ0dncPzk4Sd9jnmJ7BiBOWarpL721jeQuOsz8d+TTZROJgLmxVdP/sum8W61R38WqIC72X3VG3gvk40/HK4HjMcl3uDZa1QLD9XbgIUOyu027K+kvEK28XBmMF3JDFioUuLbpHeD3B3ZxCPBZbjWHhZbR7PX8U3xSm6IG/Ui9UuqXzL9kuuXQr2koX6J9EusXxL9IraXxMvuSPeBS+K/RPcFOJHtfXGOi+L/gG4uOJftzUVaSntve1n8H2z93Gf1l+lWg3PaOeSvhnnhzoDxKh0DnIH2GO6Xxivbn2+IIYqv0CmkIwUcR9qz13vDDgx+jW4wODHBOQQwVJV6qCr1UFXqoarUQ1Wph6pSD1WlHqpKPVSVeqgq9VBVgkPVI7ofwOnvT841TH2VbmruYCrSQo+eDlFfNfTte7rFLvM2Kcj2eZx5eCrJCDE4rb934tC0a4AhgtfpBOBk/J7TsKQ9er036sDYN2jGamuxe5c1z2DWbFg2IGbO/QVVlTsLN0oUb/ziBCPIoUwxNQ+Yfn+/u2zvgyffDLr9vB8+/LqrSKQviN4h9yVWPonz4SlqH8bLrBgO64p4smqoRzCisNQjwttM9qG8woriuiQKgES5uM16nzy8Y0UZrSIxfN0eK57DOHeOlGyfmO2uAJGGK11YwR1GDjibQNv0ES+aa/dD0GwVCXt7lnzQ26uR61Wc1Otg3TSrQCRxHNRRkwXhMinyZSzaJNm2+ZgarHfZU2kw6eoKDG98DcYI4jA2oRrsB0p2/UbvDemedf/g6sm3nny7ewB+/6h896z7B7oU0l3+8uSvt9e76FMpH97XZRL9GV0A0Q9ePfxq89so1vtK4jB8QV8D0+eql1hdJXFXnSznGDEcBmVczg3XHhhJWNTc8L0vnCiu0wkAEsv8Ns16d0/esbKMJueiRN72LzN8iRfQYdA8q6DbXRUiDVe/sII7jB1kQTfcqo944Vz7IAJnk3T2Fi35oLeSDrlteWxJ19v+StKl7q5A8MaXdIwgDqMTKumeuUH5fSXlPlGq7ZtPvtMdH/7+k+9dfU5vWNF7gH/z5HvdAtz7v2+9UZnTAxL3wMlKjRHDYbR1UGqW4yk5gZgEW/+jf6+worhOFgBIEmYDuyvvWFFG02uG5TdOPIfx8KxqbXdNiDRc+8IK7jB+kNWaYfmNE821+yFoNq1mb8+SD3pTAoVuXx5bq4k+Vyitlrm6AsMbX6sxgjiMTQSt9kOl07775NtPvqNE2b8qifYvD++rr35h12aMxBInPlmbMWI4jK1n1GaMQEzabHAxjRHFdXIAQMyLaYwso4kzcZsOiTNOPIcB8KzibHcriDRc88IK7jCAkMXZUJs+4kVz7X8Imk2c2duz5IO+2FuUk9ve4VeJM/Mh6j2uwPDGF2eMIA5jEyrOmG9R5vSGxL1xsnBjxHAYd3HhZtjNxojCItkGb1HmJHGdMQCOKEzEbdZ/eMgdK8xokk0OXqPMiucwLJ5Vsu0uB5GG215YwR2GDrJkG2rTR7xorh0QQbNJNnt7lnzQF3uN8sD9DEqyFa6uwPDGl2yMIA5jEyzZOK5R5vSBxH1wslBjxHAYbXGhZl1hYwRikWuD1yhzkrjOFgBHltyqPLsP5Y4VZTSxZrhHmZXPYUQ8q1rbXf4hDbe5sII7jB9ktWa4R5mVzbUDImw2uWZv0JIP+mLvUU76L0d9MU/Np6T3LTZCeKPLNU4Qh8HpBLl22j3KnPwS5z9VqnFiOAy155NqnEAsUm3wHmVOEteZAuCIIpnd5kNX73HCjCbWDBcps/I5jIfnFGvp7tqP1HCPCyu4wwhCFmuGi5RZ2Vy7IMJmEWtAg5Z80Bd7kXJy29v+SqyZz1XvcwWEN75YYwRxGJxQsebtImVOP0ncTyeLOkYMhyEZF3XDhVJOFBY5N3iRMieJ61wCcOR5qtRcL8sdK8toas5wkTIrn8OAeVY1t7tJJDXcDMMK7jB0kNWc4SJlVjbXHoiw2dScvUFLPujN1TDpcinqpghkEqaBEE0YNGG8CrJkWcditRQybR6PruaKPlcoNRe7ugLDG1/NMYI4DE6omvtnpdI+tmg5smBjdIXEXXGyYGPEcBh1zyLYGFFYBNtgqZSTxHW6ADhMpVJOlNH0mhx8FIEVz2FEPKtc2100khoujmEFdxg4yHJtqE0f8aK5dj8EzabW7O1Z8kFf7B3KyW3UGwBKriWuvsD4xpdrjCAOgxMq1/A7lDnBJA52svhixHAYQ88ivhhRWMTX0B3KnCCugz+AkSVF2F9EuGNFGU17DV+izIrnMLydVXslu7nacH8JK7jDuEHWXsOXKLOiuXY/BM2mveztWfJBX+wlykp79T5UorSXcPUFxje+9mIEcRicnLUX6RJlTliJw56sxxgxHMbVs+gxRhQWPTZ0iTIniOuEAGAkaSH7DyC6Y0UZUY8NXaLMiucw5J1Vj+2OuE8NVxawgjuMGyfosaFLlFnRXLsfgmbTY/b2LPmgR71EuXcQUgJLGuHiQzi/lyhTrT0cLn7rLlGmOkZgjjnHJcpUE6WTiYB5R5coy/0lyrL/cImXycYfDtd8lyhTLTxUb5yXKFNtPJwZTrxEOYrC23RoQxnRRH+XKKf66uRUX52c6quTU311cqavTs701cmZvjo501cnZ/qy5Uxftpyl25tJ0+5U98FLlMm+ACeyM1+iTDYXnMscL1FO5f4S5XTw9Pwv060G57RzyF8N88KdAeNVOgY4A51wibKy/fmGGKL4Cp1COlLAcaQ9e7037MDg1+gGgxMTnEMAQ1Wph6pSD1WlHqpKPVSVeqgq9VBV6qGq1ENVqYeqUg9VJThUPaL7AZz+zniJMtnU3MFUpIUePR2ivmro2/d0i13mbVKQ7fM48/BUkhGYL1HeD027BhgieJ1OAE7G7zkNS9qj13ujDox9g2astha77E/zDGbNhmUDYuY8dInyVkPClCje+MUJRhCHlTo0/Xa+RJmTT+J8eIrah/EyK4bDuiKerBrqEYwoLPWI4UuUOVFcl0QBkDy+LYZuceFEGa0iMXyLCyuewzh3jpRsn5jtbv1IDbe4sII7jBxwNoG26SNeNNfuh6DZKhL29iz5oC/2xr2BU3+VBstcXYHhja/BGEEcxiZUgzHcuMfpAYl74GSVxojhMNbiKs16kBEjEItWG75xjxPFdbJAQJL8NulnuWNluQSxxonnMCCeVaztbgFJDbe6sII7DCAcYo0TzbX/IWg2sWZvz5IP+mKv3BND1yOn5tPSe1yB4Y0v1hhBHMYmglijXrnHSSxx4pPFGSOGw9h6RnHGCMQkzoau3ONEcZ0cEJAovY2K3pHujpVlNHE2fOUeK57DAHhWcba77yM13N/CCu4wgJDF2fCVe6xorv0PQbOJM3t7lnzQnTiL6mIVL9MoUIJNn0eZyKCJijxoiyyMVs0qk6J9PLo4E32uUOKscHUFhje+OGMEcRibUHH2E13C3IizH+mbW55858mfXz38D6XLftWtoP3Lw6fq9Rdf2+wijmUYPvluFG9eb+WAMHiJ1QsS98LJgo0Rw2G8dRBsgxt0GUnGVmqMKK4zBQJiVGqMLKMptXBgt9mXePEcRsOzKrXdVR+p4e4WVnCHkYOs1Iba9BEvmmv/Q9BsSs3eniUf9MVejiyGLkfOzAej97gCwxtdqXGCOIxNuFJjvRyZ0xsS98apio0Tw2HcxRXb8C41ThQWyTZ4OTInieuMgXCk4jbLelnuWFlGU2xy8G5kVjyHUfGcii3b3feRGS5wYQV3GDnIim2oTR/xorn2PwTNotiA9iz5oC/2bmQxdDdyZj78vMcVGN74io0RxGFsghUbx93InD6QuA9O1mmMGA6jLa7TbKVQTiAWtTZ44DcnietsAXAkyW3Uf3PZHSvKaGLNcDcyK5/DiHhWtba7zyMzXNDCCu4wfpDVmuFuZFY21w6IsNnkmr1BSz7oi70beeDC0xfzbebp4AoMb3y5xgjiMDidINdOuxuZk1/i/CdLNUYMh6H2jFKNEYhFqg3ejcxJ4jpTABwyDm+jcGhhjZFlNK1muBqZlc9hODyrVtvd5pEZbmdhBXcYQMhazXA1Miubaw9E2Gxazd6gJR/0xV6NLIauRs4SZ1dAeONrNUYQh8EJ1Wrerkbm9JPE/XSypmPEcBiScU1nKJMyorCoucGrkTlJXOcShKPIb5Osl+WOlWU0NWe4GpmVz2HAPKua290Pkhnue2EFdxg6yGrOcDUyK5trD0TYbGrO3qAlH/TFXo0shq5G1ma7uQLDG1/NMYI4DE6omuO8GpnTFRJ3xcmCjRHDYdQ9i2BjRGERbMOVUkYS1+kC4DBWShlRRtNrw1cjs+I5jIhnlWu760Myw3UwrOAOAwdZrg1fjcyK5tr9EDSbWrO3Z8kHfbFXI4vBq5G3Z2I6+ALjG1+uMYI4DE6oXMOvRuYEkzjYyeKLEcNhDD2L+GJEYRFfQ1cjc4K4Dv4IRhIVQ1cjc6KMpr2Gr0ZmxXMY3s6qveRurjbcSsIK7jBukLXX8NXIrGiu3Q9Bs2kve3uWfNAXezWyGLwaebvu7+ALjG987cUI4jA4OWsv0tXInLAShz1ZjzFiOIyrZ9FjjCgsemzoamROENcJAcFIZdFfBrhjRRlRjw1djcyK5zDknVWP7Q6uzwwXEbCCO4wbJ+ixoauRWdFcux+CZtNj9vYs+aDV//7oGSGiZdYfmnTXWa9K7m1hJbhMB/lG8uge6FGuSo77L6f6Atnaw+HjxKuS//vD+w+/6E6Z/Xl3FfLDL/XLJ44XKG+uR77SG8e06NIlyit9MFpXmPzgKrmJ1d+8uer+jY+f/Ncnf9ldQvDwoXqz/usfP/kb9e/q3Wfvb65WvtIf1H/p4edX+u9uTFBWPflWV/78VZ9PXyL7VGA+Pccty1QTpZOJgHnJ/pblPkNfJht6OMrz3ahMtfBQ9HHeqEy18XBCOfFG5TjUF172jkR3ZBtZrlRGT9n6Et1scG4i3H4cR4OXH5OtBWcnx8uPs2x/+XE2eDb+l+lWg7OUk8BFQ+NVutngRHDCZcdZ9sLzjh9y/lfoFNKRAo4b7dnrvWEHBr9GNxicM07ICoaO6iObDE4ijvcSDw4gX6Vbev5rifeDx1cNg8c93WKXye+c4VCSTWa+hng/aOwcPuT01+kE4Kz4ntOAoT16vTfqwNg3aMbqzPMZRTyYcn6jXb731jtv9zAQsk7ZB6BSTtPx5JGMB70N20rJOnuN/QLZ2MPuaHAsmHT+cLskr3endomiXpv/6OHDPrtVVpf/uzuy8UdKZNh6JzFyHOpvvPo5NT8WN68WYTi0vEaFONQlAAQ+ymjLv6It/8qQ5V+hWy7dLcdHF2X4a9rw14YMf41uOB718DzUC1BqgHIIoCQDHE1JFgC3eHldW/36kNWv063GR3HHmUgZ/YY2+o0ho9+gGe1nFVQO3XmfFUYGMeh4zFTSdGRYBCVaC6aX6Hz0z92y4vvd6uZ2GfSThw8e/k19+an6Sl/68G09WT357tXDL7qZSz8jqy9O3f9wP6Hpb3cTmvprfdwvkbkP5wHOhUqiidLJRMA8fazztn22bfPhwQL1zvv6eeZX63ffeufq/q13vv7WTbcB4OFfVWO8v1m61jd4/OTq4R/1/9PXdfzew88efnj18A8P33/46cPfq59t/vPw44e/17/tc8zLZMeASS6+MGoomRNNBJPa86yMEm10SQ4BC7dXdR8vihLNY1kUPZrN7r748v39a/fbYuBGeubhjXqJ9EusXxL9IvSL1C+pfsn0S65flE7NC/2JQn+i0J8o9CcK/YlCf6LQnyj0Jwr9iaL4fb13Rnumy0D7J9Ev0R0HTpbuy7KJ+reH12Wp5oITpuu6bPF0XXbwsoUv060GJ87TUqH9loPihTsDxqt0DHAeJCRD+yWX4oXnG8KwTkulkI4UcBxpz17vDTvOiagGg1MYvE4LjGulHtdKPa6Velwr9bhW6nGt1ONaqce1Uo9rpR7XSj2ulXpcK/W4VupxrdTjWqnHtVKPa6Ue10o9rpV6XCvBce0R3WngpOq2UmwY075KN5Vhqbh4ulQ8OBDc0y12UQOkiNxvtzGPZSUZgXvpuHjh+QYwLB1TCcCZ2zFh17GzN+o4V6cYq60NZbwMRZ4FMhGF3nAeB3WargKZrWWYherT6bYbDKbxf1yfcxO51K99kC/muemE/h5IlK4v4TdAuST9fSBfYAVx2E+Jrgf8Q1/yr1eqd5nmh8/mmdubHx+9+87b771zlYbh5nuVRX7Y5a0/17d7dyc3/IXOXv9FH9/Q7X/avu+HQZxe7c68736mUt6fdv/9Xyod/XH3lU5Mf/C1uPv6fz78dPe2//bws6+9+tp9992P1I/1TqmrpPv2hw8/2vwDV7FKwq6efPeq2PxncyZr93txm9wW4ZX6Q3/38D/7mu4l1qaTeNM5rBf8MBC3V3HU3cCpyG+vHn6gcvp/evjZlchkEIdRqq9Z/7urSKf7v1Hv1O9Tb7rqzrf9W70e8Ivk6uGfOi/9c7fc8Isn33nyV1d6M9qzQaEC4kMVGaqNuwcOPtIb4nQrXn1us69N/fTbu7Wg37/StnRm6X/41/rDn3SBoTfI5eqn+m73m6snf6Xi5JvdSR/vb/a9fdztp9PfFtt3XalY+LUK0O7T2zLKr/Rv3le2fEt99ufa9Cd/3q1ofbCxqAsMbfOT73bLXB93KyMfdpvrupPfPnz4pYpUvc1ud8LI937/6lo744cP/yPd/Lv6Xi3VBZQzvnvVhfan3Ud/rZzVdYxvd3/2g2cWyR4+vbnSyzDvd6s1m3/8wyd/2W3u+0jf63DVnV/ykX7L5u9dBVfdpsR/Uz/eOPp7mz7zy25v4vZP69754eYHHyk3//Vu66B6883Vw8+6Lrb5Nz5V5E//xe6vfbS1+1+65aQN1Kfbe1w/7fYp6ksoPu4+prcj6n/KgH7VffgD9faDXymSf1b/+q4BP9jtbfz5dr9kNzZ0EfPku6rlv7MNrt90uya7aNJYKrr+Zvt3N0Gl33R7tSui6YNgfq6Xtn6uRxW9OXP73l9t/twzuyz3Nnyo4qGzufvNBwrzw+5f6QLgl93i2r91hwJ+a/Pj32zPBtTnCX6wdfP23+vep6NP/+aXXX/48876v9gG1+aDys7v7v7i5tzBp6Gt/uLvK56/23azzfmDehlVm/rLZwbdm+eb7sOuax42VbdlVL2hG07/pXPfJjpUeKp//XtXXQ/5ePvezYpvB7CB/E3XLPpXv7rtGxBfZh0QHbbIn2OdkBOF59GaPo5XWDkOMwwDB7rmOLAPk5NixIdqhvZrsuI5iMBzrG3tVrjy3T1bueHeNFZwhxEDXpZB2/QRL5prz0PQjO35CGnPkg96k5/miWibVgQiKVaBiJZxkMdtGKybNEnyVRYWydYxI+anvTvwVX4aOXsCohs/P2UEcRiaxslPo23eqRVbp6euHv72yd905eyPdPb473d56cM/BsU+MdXSefPzHzz8JFC//Nvg0f1r6q8FKn63f1Inmi+oXOaFTYp5tc8x897x4yVWv0vc707JZaQ7xS6/jCSWX0Y30pBh/oP6C/99IGtU/8JQ1lhAWWMUSl9p4+PHb5+UOboljvrf0NDPJYTqT+l/vesmOkn/t+4xtasn/0V/VCfum8WZLuFQb/tYWdg9nLbZ1dFdHa13crzfpZrbzOc3Xcf7VF9MeLXJQnUSssu21De/6LKL97c50P/+vzYfVn9UGdr5+Fudz/7lYXv4+v/+uC/r1TzPZ7xdntKX8/4OZLw3G/LfdIH+/vZaSNW039k2o/LNdrXt0228TTUWPsvt/eX2jPORg1I/S27PiDJqbs/I4ZphUCnuWCkuIbfnxHMQ0GfN7XeXMuaGWzZZwR1GDI7cnhPNtechaLbc3t6eJR90l9sneREtcymCIkqbQIgsVV+tlkEmElkvm2hdrNrHY+f2SZ8nVG4fu3oCoxs/t2cEcRiaxsnt4drzLj//QZB3h21skr/D5D4MwjRLnib3unycPVtFfjbFv+rz/0us/pe4/51yfEkvIO+S+5+oTOjvnxZ9byZX872ypO4quTcm790tYr/p8tdduvar7ZUV39b2doJcJyPv73G6xGJzzcUvtCe3h8XotPKX3RrUB93iyCaH3SVDG2ue/PUuF/tA/VO7RObUWnLwu5BZ/9blm33j0Mus45CDUjtLbseIMmpux8jhqjARil6lfMeKcQnJHSeeg4I6a3K3u8U1N1zLywruMGRwJHecaK5dD0GzJXf29iz5oDfJXb1cLotVEyyXusibxmFQR3EWyKyQolWJYN5s854RkzvR5wmV3CXOnoDoxk/uGEEchqZxkrtd4bbbreuQ4+3KuEPlW5k/n+HlQxleXxu8xNoGEm8DpwQvSs5cwt3Whz7RYv/J32gVvKtXfLjRs1qd/6VWszfP1UJU45vrvrdX06v72lLHG3PZ99kU7ROdV21qf11e1503Gjz53sMvn/y18qfy1Wel088SvH/XJXiM45CDWjtLgseIMmqCx8jhqjIBil61dMdKcQn5HSeeg4g6a363u9c5N1zUzQruMGJw5HecaK49D0Gz5Xf29iz5oLe3DzVpFrZxkBV5HoisiIMmTZeBXLerOK2XMk3k47HzO9nnCZXfCVdPYHTj53eMIA5D0zj5XUjK744rdnnxzHbcrGc7bjaUyTF6W+Ledsrkss89fPz7eLnu48Fy3XO1o02bdSldp747qbzR2B8/VbXPyljdOh/qbYWbWpeW99/sMqydbt8mg0++q3++U9c6V/nOLpvoMojt/Qo6pesaXn1e71b83m9zKfHm6v7FL2v7Ev305t8d1w2vzls4fO4f/6xy+FliaUksGYdFB5l4lsSSEWXUxJKRw1XeUinuWCkuIbHkxHNQb2dNLHdX0OeDV9C/ygvuMGJwJJacaK49D0GzJZb29iz5oDeJZREmYa3eu8oLlYQmbRTkcVMHqzhq27RYLWXePB47sew9FlMlltLZExDd+IklI4jD0DROYkkrHB4XCtMYKhQOppeMPpe4z53SS/2053MZprVc+DFSLvzsic/Pnvj8rGz52ROfD5fxxKfey33eTHpCz3wyzkoOWv0s2T0jyqjZPSOHa45BpbhjpbiE7J4Tz0FCnzW7l7tsUBqye05whxGDI7vnRHPteQiaLbu3t2fJB73J7puwlm20Dpbxeh0I9b+gSBoRCNkUcr1sozbfZvMjZve99/Gp7D519gREN352zwjiMDRNLLtPTsvuGX0ucZ+7ZvcxntkfbwTuz+tvutKvUs+bfb/djuBdi24Sf52DHKX+6tdPc/+HqWX+thqvZcsvpej72VrB5a0V3Hy2WMAcDN4XC0YqujNOJw4i+yxpOSPKqGk5I4drcgBQ9Jaw7lgpLiEt58Rz0L5nTcvTXRqXGtJyTnCHEYMjLedEc+15CJotLbe3Z8kHvbk9PoqarBFJUNdtqFJ4lQEVrWwDUa/qcJVkjczk47HT8rzPEyotz1w9gdGNn5YzgjgMTeOk5efazV2ElsOVBxNyRm9L3NtOCXmO7+Q2Hrx0o6/6fdpuXaKslai+EHiTzGwS3g+7Lb/Hd/TcHCXgU99jvd9iTUy2P9th7SOt/V1J9hiHKgfpdpZkjxFl1GSPkcNVcgIUSR/FHSvFJSR7nHgOiuqsyV62Sw4yQ7LHCe4wYnAke5xorj0PQbMle/b2LPmgu2QvjdvVUoo6WBVxEYj1SiWGdZIGiWyiVZjEbRJvHTNislf0eUIle7mrJzC68ZM9RhCHoWmcZI9Wg9VHM5mO3+2qss/crWM8frevFV5ibQWJt4JTEhidtyaLH830tP56nP9NvgB7c/4K7LP5GvtBTZ/le79F+R7jqOSg3s6S7zGijJrvMXK4qk6EYugsXkaMS0j4OPEcVNVZE758lyDkhoSPE9xhyOBI+DjRXLsegmZL+OztWfJBbxK+NEzjUMogWa5WgVjJIsjlOtIfWEXL5aoI6/Efqe0fslTGVzi7AsIbP+NjBHEYm8bN+LQ+6oSn4RbVKNmJzG/ttGG3dUwf7TNwqep9EIapfKbyl7pcq8rYEBJvCLek76RLVY+SvuNyn1atP1KZ+Q8+y/LcsrxRSn+siaB+vPGzVPBCU0HGscpB150lFWREGTUVZORw1aMAheyjuGOluIRMkBPPQW2dNRMsdplDYcgEOcEdRgyOTJATzbXnIWi2TNDeniUf9CYTrKO2TfJ10BTLMBB11gR5q76ts3xV5PFqJWvxePRMsHfgfTEvQmdXQHijZ4KcIA5jE2sm+JV3mre+3qpk4pni309UEtgpdq2bNz/Uwur9TuQdZnpfee0L+sNBGJp2eEamuzU5/SxxPzslevubVwpsh2dxfIzSD/W5IuCWziIcPE0pg5K93cZPaq7HmOrtT80Nuv/3xPZA5JOnj0OevPvSNQc7pRjXXTX6WQ52hhxsOsfycA5tDirvHHkhJ8qYeSEnh6s6pVLcsVJcQF7Iiuegvc6ZFxbhNo/YfNEH/iovuMOIwZAXsqK59jwEzZIXAu1Z8kF3eaHSfqs0L9pAhOskEEulw/NVLIOoXhd5Gq3SpYfbXKK4zxUqL4xcXYHhjZ8XMoI4jE3j5IVRaMoLu02fQ1lhFJ6UFTJ6WeJedssKnz1k97PM0JwZ2k/Z/d3JDT+rzv3OZYaMw5uDzjtLZsiIMmpmyMjhqk+pFHesFJeQGXLiOaivs2aG0S6TiAyZISe4w4jBkRlyorn2PATNlhna27Pkg+4yw7xu6ixLZdAsmzwQos2CRubLYN2EYilXcV6Hq8ejZ4a9zzerzDB2dQWGN35myAjiMDaxZoZnPxomz59JEV0u+uT0tsS97ZQhpue56HO/Q/STTk3vzl59/7f67BfzntCfH+8JPe+WUNKOULeU03lP6Gc5p/+cs29wepl1cHJQa2fJ7xhRRs3vGDlcVSZAIfoo7lgpLiG/48Rz0FBnze/iXT4QG/I7TnCHEYMjv+NEc+15CJotv7O3Z8kH3eV3RVKIZaOv7MiXWSDaOAyKVS6COJeykGFbZ2n+ePT8rnfIUvld4uoKDG/8/I4RxGFsGie/O+k0GKW7+h8JVPnNMyVBwlkwnG0g8TZwyvqi+NTbNz87D2aoRHj2JwWfTdk+Ow/ms5QPT/kYRyYHAXeWlI8RZdSUj5HDVXgCFL366Y6V4hJSPk48B1l11pQv2aUIiSHl4wR3GDE4Uj5ONNeeh6DZUj57e5Z80F3KV6erRDZ1GgjZlf/qIqjzfB2k4TJdpq0sarFt8zFTPtnnCpXyCVdXYHjjp3yMIA5j07gpH3IcTDG8+3Of6iW2Wx+Gd38yul3ibnfL8qKzZ3mfHQBztrTOsdr3nDlwue+zzO93M/NjHK0cdNxZMj9GlFEzP0YOV/0JUPTujLpjpbiEzI8Tz0FdnTXzE7tMQRgyP05whxGDI/PjRHPteQiaLfOzt2fJB91lfo1s4rqQ6pdFuA5EXa+CfLUUQdskss3zJlzugn3MzC/tc4XK/KSrKzC88TM/RhCHsWmczG+3mdNa5dtlgEGcPvz4pvsi232RP/y4S1x+/PDfHv6u++p/qcxi87Ofqq9+8LW4+/p/Pvy0+zMPP1Fv/NnXXn3tvvvuR+rHXVqRdN/qHHHzr+1LhcWzpcJ9ElmE2yJlXzu+xNqOEm9Hp1RSHG8TVci/B2ST+62iTx8n3GeTH26fjeqk/bORoqJEK2Ito/Wd4R9tkwOV5m00eZcZHd8v2PPM4aVvMj1pj+mV9flDfcn6w7meQLwZNUP87Hiac+WIE3oIkXFodFChZ8lbGVFGzVsZOVzVM5XijpXiEvJWTjwHbXjWvFXu8hxpyFs5wR1GDI68lRPNtechaLa81d6eJR/0Jm/N07ptZRJESaPeG7Z1UIs6CWQoZJwmSR6224xuzLw163OFyltTZ1dAeOPnrYwgDmPTqHnrtpYIFC5/YC1chkEoimcvrXArXDJ6X+Led8o2k9vnKpeuB9cAVctLPLiGnkTaq5cnXlNvSzPPmGSOmWJ+VoQcMcHU+fy4Kebj/hnpZdYx0UE0niXNZEQZNc1k5HAVu1SKO1aKS0gzOfEcpNxZ08x0l5akhjSTE9xhxOBIMznRXHsegmZLM+3tWfJBd2nmMsuydRqJYJXncSCyeBnUcrUMUilXMi7EahVvHTNmmpn3uUKlmZmrKzC88dNMRhCHsWnUNNNeHn2aZg4/BKkPvcni0x6CZHS+xJ3vlGXK8xx98xOVJ/z9b/M5N10h7mG4CvnZSTef5Z1+8s6+sehl1rHIQaudJbtjRBk1u2PkcNWYAIXoo7hjpbiE7I4Tz0FBnTW7y3bZQGbI7jjBHUYMjuyOE8215yFotuzO3p4lH/Qmu1susyhJ2yAXURiISOSBrkAGbZzEMmqjSKw8FBGLPleo7C53dgWEN352xwjiMDaNm925nXRznNQVkaVqOHiSKaO3Je5tp3QuP2M6d6OfaXzadu+DJcTf4iTw1AqiW8L33D/9Wcb3WcZnyfgYhysH/XaWjI8RZdSMj5HDVXdSKe5YKS4h4+PEc1BVZ8348l2GkBsyPk5whxGDI+PjRHPteQiaLeOzt2fJB91lfOu1aLJVtArSOlkHYh1FQV0UyyDOmiZc581atsvHY2d8cW/7q4yvcHUFhjd+xscI4jA2jZPx0c82jZK+7C8K7oMwzJJt/qdLebvKXupY2WNsBok3g1MqGKnu4Xb0zW/sR9/8g/r8f1f6W29M++XD5kTT7qzTXUN3b9Cy/cnRM4rq1/vTcY5SQ8fDcXQ5buzs0H414tnPx1H/pHXb6XNPN2rL9F97LtFTBmibux6pnyT9Nw2sWui/6I/qp0s3Hazbsqje9rHi+kvdwfQOxu2Jtt09Jl0Kuc1oNrnop5riapNd6jxwl0XpDLdLBt/f5jb/+//afFj9UWVo1zLf6oD/pfO2aoz//bGCPe3wHtdcVgcRPZu9Maaz+m9zJbQ3G/zfdP1kF0q6SygbN+2pXLQdOj/dhuv5g0ITjhEWR+m7/ofHTeCf/ovMKTzjNOMgyM+SwjOijJrCM3K4JhIAheijuGOluIQUnhPPQSafNYUvdilfYUjhOcEdRgyOFJ4TzbXnIWi2FN7eniUftM7hTan5f37n3f/UA09Ky+M+theLbUP3syVhcsj29p9+/et9+faAqS65dqpSPW2psvW2d9z/Atnaw9FiyLFgQv3PnYJ4/2HzjI+WrV3OdJRjb1TZNtnonrDc//Dnu/RIf7tLxdRf6+N+icwtMO5tBvu1t76BRFWfif+ebKJ0MhEw7+EnW4X3/q5tPrzq9OSvu5/921Pvawn4zMLHTVffU/JVr2NoCf6pLrX+5Eql5ur/bQ4V+tnDD3Xe+f3ujKZ/vNr85+HHD38/+EQX2TGHA/2AY84gC8kmHkq+ARMd5J6aeHpnnlfINh5OKgM2olJOyj7z7sjmHem0AfucNNrRpHf3xZfv71+730575Ruvfu7VIoxu1EusXxL9IvSL1C+pfsn0S65fCvUShfpFfyLSn4j0JyL9iUh/ItKfiLLf16midoWeSm/C3tn0S3RPgbPj3lPlH7/76O2+Ae3oQFH1bw8onj+gmwvOkHtzkXbU3rveNOIfbP3cZ/WX6VaDM+U5NLWGeeHOgPEqHQOc+PYYg7EyYLs2+4XnG2KI4it0CulIAceR9uz13rADg1+jGwzO</t>
  </si>
  <si>
    <t>WXBiAgxkpR7ISj2QlXogK/VAVuqBrNQDWakHslIPZKUeyEo9kJV6ICv1QFbqgazUA1mpB7JSD2QlOJA9onsJnDb/5FyD2FfppuYOpiLt9+jpAPZVQ8+/p1vsMt+TQnCbOtoGr5KMEIOS4L0TB65dAwwRvE4nAKfq95wGLe3R671RB8a+QTNWWxvKeBmKPAtkIopANOs4qNN0FchsLcMsVJ8e/X7QgQRYpeuRGyRKN3YJnRXEYW0QzfhPK6HDj8Q+c2LwpuShctjd8b8/7f576inB3T9w0iHBrE0n8aZzWBFQ/kzOUXD/0YM++EUXzD548m39cKku9P1ld+vlT7qC8V/o+tST7zwtfH/07Ce2b9M15a6urMuZPW+7PeN1NTcXuF3bUI6nVOPH2cDtUPD+bPv2GNXfUbZvs451DpWcsyzyMaKMWPtl5XCtQAEUSR/FHSuF/9ovL56DvjvHOtV+tSra1Aq3X/SBv8oL7jBiwEssaJs+4kVz7XkImrn2i7RnyQfdpZ5RW4dR1jRBkurrbcJ8GeRxmwTNql3LNExltlsMGDH1HKoUx66ewOjGTz0ZQRyGJtbU8yvvNG99vVWJRPT0gd2fXD38bSfWtWje/HDocN+vvPYF/dEg3KWu3WO62cFjutEmV+zz8kusXpa4l52yxEi+0LM3WydQv9hmbSq5e9jurN4kLzoV+tdORX7aCdK9xh68ulSXjbt08uW7JNQ55cddWrGR2t/b7MfsFgh0uVrJ1u/dHKUom9bXW4A3e0uf2Yrw4dUuk1CWbv/qVjCfL6u8vKTyxrjJu/N0QEkubz7LLr1kl31jysusY4qDtjpLNsaIMmo2xsjhqgmpFHesFJeQjXHiOUies2Zj8U69x4ZsjBPcYcTgyMY40Vx7HoJmy8bs7VnyQXfZWJzJlazjNFgt83Ug0jYPGpnWQSyaPIplVifxNlEZMRvrXT9S2Vji6gmMbvxsjBHEYWhizcaOCoHg3SvbCmBPgvb09pXUco7S0O0rrI6XuOOdErQ4fuG8ydlhre8gOft+p+03RdvnVPZNlwg8l7g9fYr2tzC/Mhbt6OnV5WVX+qHC3938inFIcFBLZ8mvGFFGza8YOVxVHkDRu3Z8x0pxCfkVJ56DiDlrfpXs9HhiyK84wR1GDI78ihPNtechaLb8yt6eJR90l18leREtcymCIkqbQIgsVV+tlkEmElkvm2hdrNrHY+dXos8TKr8Srp7A6MbPrxhBHIamcfMr60bLp2lWvq2CDSRY6f6gItvtI0NpFqP/Je5/tzRLMOyW/I3OXFRysktN9K7Jg7dsfqF1qt7o9f5vdcXqs22Qv82JFGOnd5BFZ0mkGFFGTaQYOVzlHEAxlEgxUlxCIsWJ56BWzppIiZ3wFoZEihPcYcTgSKQ40Vx7HoJmS6Ts7VnyQXeJlIjSuMhDEaS5fm+tVFkdrpOgkG2dLKMkqfPxC1WyzxMqkZKunsDoxk+kGEEchibWRArcNjhclzrHxkFGP0vcz04JU5S6nel6uCfw2aTpaYO9320G7J6B0bv5PtpKWp04/fSh/6TXzz05OuD19y8gjdKnYPpIpG4+y6SmnkkxjgYOuugsmRQjyqiZFCOHq54DKHo30NyxUlxCJsWJ5yBXzppJyZ3yloZMihPcYcTgyKQ40Vx7HoJmy6Ts7VnyQW8yqaRJs7CNg6zI80BkRRw0aboM5LpdxWm9lGkiH4+dSaV9nlCZVOrsCYhu/EyKEcRhaGLNpM5+YWJeGBIqw4WJrN6WuLed8qkk0fv8RJdMpSfu84u3VSqh/9bAPr9/UpL0O136ocT0L7rs9pNOhn+na3mVAaU6hRJ9KVQUD+RQn24OEVUW/bpLeD49Tqsu905FY1LVOY2WW3UJjj7f4aPtdSRPz2r94OpKA3Yf/c0m+dGJivp3vn/00/evtj7WPedq26O07d0TcL3v1/74tQL9dtdjhz++TZaey9W+2d2zsE349M/2dzMctrR643997g8++c6NQ653YzDsdrM6oL/7xSbGNu21u1xSRd9vup//a5fr6cZ7/3c5c2Qc9xx04FkyR0aUUTNHRg5X/UqluGOluITMkRPPQZ6dNXNMd5lGasgcOcEdRgyOzJETzbXnIWi2zNHeniUfdJc5yihqskYkQV23YSCSMAqKVrYq31zV4SrJGpnJx2NnjlmfJ1TmmLl6AqMbP3NkBHEYmqaVORbPluL6HhEbzBwZvS1xb7tljmKfOcYKmJw5oillHPcnlNss4XsPv9jmEL2VOW0iX1p5M8m88kIeJLs5LtlhyR5vqqfe/eSvnx4c+rub3TGOTQ5a7SzZHSPKqNkdI4erxgQohnZYMlJcQnbHiecgoc6a3WW7bCAzZHec4A4jBkd2x4nm2vMQNFt2Z2/Pkg96k90VSbFSfykQbSw2782TOgmaLKyXSZ4UbS4fj53d5X2eUNld7uwJiG787I4RxGFoGie7i0jZ3Q8f/lEfDDL4xFoUhJF8plKoH1XLh55Y62uFl1hbQeKt4JT1xeF454KUadjp7r6L3/X5/7/WFaYL2HPJmMTdv/hlTbHzxoVkbJ/tsqRnU4x93kEbnSWbYkQZNZti5HDVdADFUDbFSHEJ2RQnnoNkOWs2le/Ud27IpjjBHUYMjmyKE8215yFotmzK3p4lH3SXTaV11LZJvg6aYhnqHZlNkLfq2zrLV0Uer1ayFo/HzqaKPk+obKpw9QRGN342xQjiMDSxZlP759WeSafcn1fTWVNoKpJFxgM+GP0scT875UuRHC9f+uyQ+3PlXTefHXL/u5CLMY4nDsrqLLkYI8qouRgjh6siBChkH8UdK8Ul5GKceA6C56y5WLHT7oUhF+MEdxgxOHIxTjTXnoeg2XIxe3uWfNBdLpaF4SrNizYQ+pk4sdR52yqWQVSvizyNVunSwxNvUW/7v1hsf+7gCgxv9GSME8RhbBonGTvnnWNOqRinlyXuZbdULMWPDTGdtfjZsSFuydRnx4b8NidRnCOBgyQ6RxLFiTJmEsXJ4SrlAArZR3HHSnEBSRQrnoNQOWcSFYVb0b35og/8VV5whxGDIYliRXPteQiaJYkC2rPkg94kUY3M2rDNgzCVcSBy9dI0URskrWj1r9TXq8ejJ1G9A69KopyvsMbwxk+iGEEcxqZLSKJcT2B0S6MY/SxxP7ulUdm4Fa0fP7y/Fcrvdzv+NlsAP7iApImv/vTZJWDjp07K5T9SydMPtw+L/by7QOEXV7pFf/7kr3ffjZ1dMQ4QDlrpLNkVI8qo2RUjh6vGQyhkH8YdK8YlpFeceA4S5qzpVbST45EhveIEdxgyONIrTjTXroeg2dIre3uWfNBdepXXTZ1lqQyaZZMHQrRZ0Mh8GaybUCzlKs7rcPV49PSqd4uzSq9iV1dgeOOnV4wgDmMTa3p19sM18px4LCOntyXubackKwm3x9w/ezJjf70q3h5z/9ypi0/rVf8EH7h4dZRHneFkjMvLrYx7+0hZlfGkxU3W+vDcQYuu5yzqLKn3E95OWnRI8minb3x20GJfNsg4kjlIu7Nkg4woo2aDjByukpRKccdKcQnJICeeg+A6azIY75KH2JAMcoI7jBgcySAnmmvPQ9BsyaC9PUs+6C4ZbGQT14VcB2kRrgNR16sgXy1F0DaJbPO8CZe7YB8zGUz6XKGSwcTVFRje+MkgI4jD2DRuMmjNAnencARx+vDjm+6LbPdF/vBj/Vv1R/7bw991X/0vlWVsfvZT9dUPvhZ3X//Ph592f0alnv/t4Wdfe/W1++67H6kfdylG0n2r08fNv7Y/x6N49hyPfX5ZhNsktq8dX2JtR4m3o1OaGccv9FyndmI97/DKtYN63ve7EtOm+Z9T7jddPerh2afX9jW+q8+KfHA6+lmR76JyNsZhwUGBnSVnY0QZNWdj5HBVjgBF72r4HSvFJeRsnHgOuuisOVuy0/iJIWfjBHcYMThyNk40156HoNlyNnt7lnzQm5wtT+u2lUkQJY16b9jWQS3qJJChkHGaJHnYbrOZMXM20ecKlbMJZ1dAeOPnbIwgDmPTqDnb5iTDTqVu5NrVw98++Zsn31N/8SOdTP37/cGJP9gfnNiza3JXzxOFNOyaFMZdk4zel7j3nTKtKNtkWiMmWp9tnPwspxojp7rMjZOMY4SDiDpL2sWIMmraxcjhKv4Ail4Nc8dKcQlpFyeeg7Q5a9oldjJdGNIuTnCHEYMj7eJEc+15CJot7bK3Z8kH3aVdy0wshViJYBmpD6jfR0ERRVmwbpeJTMNGLpttm4+Zdsk+V6i0S7q6AsMbP+1iBHEYm0ZNu6B8K3/uOTWloL6lfvf4yXcGcy9h2UtZDOZejE0g8SZwy72SniKX4fCPw7xKefZv99spu5LgP+tm0Qcm6lxHJ21KQn/YtfTPO927OffjU63HHz660fsuv6MSqg+0Hn6wnQFye7wPc/Jpmfk8xd1uv+0+yo+6A1TU11229LH+PlBh/8vuNi69yfK01OlS0ibOUpQO5k1O+jdXXerbrSC8360nbN77q82fu9KF2G0c7Wz4UEVDZ3P3mw90aHf/Stf8v+w2uv6bjhH9l/SPN/GhK/m/2Ge323+ve59uCP2bX+qwVVGnrf+LbWhtPqjs/O7uL6pf/+rZyFZ/8feHcjzGschBsZ0lx2NEGTXHY+RwVZoAheijuGOluIQcjxPPQUedNceTu5xAGnI8TnCHEYMjx+NEc+15CJotx7O3Z8kHvc3xsmydRiJY5XkciCxeBrVcLYNUypWMC7FaxVvHjJnjpX2uUDle6u4KBG/8HI8RxGFsGjfHs26HPEz1BhK7NIufJnZ6C2PmdiMZp/Ml7nyn7C6WeGY3fKzj91WDfdLlVV1LdLJ7UwzaZk8fddW0D7uM6du/1TW08z8gd3HVs9+JJLCvi7/M2sUdJNBZkiZGlFGTJkYOV+lGpbhjpbiEpIkTz0GYnDVpSnciOzUkTZzgDiMGR9LEieba8xA0W9Jkb8+SD7pLmtZ1tMzjcB3kjX7eTGVUQdHIdVA3RRHKNMnTUDwePWnK+lyhkibnm60xvPGTJkYQh7Fp3KQJLIztNyICZbGEXBZjbACJN4Bb4hSdJXEaepzr2YrWb12OZEyRgt+WTYa/y2kSY4d2ED1nSZMYUUZNkxg5XMUaQDH02BYjxSWkSZx4DlLkrGlStpPVmSFN4gR3GDE40iRONNeeh6DZ0iR7e5Z80Op/f/Rn3f80vu3hrG+0y/feeuftHm845EK9Q5FKf0xXUUdSHiK+/adf/3pfajNso0tm03/q4xfIVh4GlsGTYNryw61m+7jTRxvNuLvXSWuPTvh8+8lfb2oC+ni17k2/3mU3zx6p9tda1W6E6E6hfNLHr1KL/N/dkZ1wNGQOe+G0EbN849XPqUGwGBodqfYLd/vLP3730dt9HaPX6K8MGf0VutHS3ehuKkZtfm3I5tfoNuPdhT4Ma9vLIdtLsu3xoeyx2O4WIK8PGfw63WB8lH/POTjeGLL3DZq9XXQ8HmOWuh26VqUwmp0Ouhm20m2e6rfzC2Q78a53KTPV1ee6LHy3IVQvObyvvv9Ef7o39tQ0VuhpjOihkaexOByaxqj2jzCNDRj9FbrR0t1op5HqtSGbX6PbjPelU6exAdtLsu3c09iAwa/TDcanAco0NmDvGzR7u4F2Gx3s89jQTBab7kqLZDboadhO15nstij6TP0C2VS8A6KT2U+6RfO/7FZ8n528+ux+Sdmt5hmq8WPPM9HAPEO2f4x5pt/or9CNlu5GOw0lrw3Z/BrdZjzMT55n+m0vybazzzP9Br9ONxgfpknzTL+9b9DsfTaitd1/aJpv/vM77/6nHgrXyWZwujHdHRPJYtDhmJmEueY2kkPZE9XYwyF7yKfgbPPP2+2/nz78arslWz8919V2N/Xr3Y0XXcbU1SS7PKi7BOOjrhT7bZVQ6Rr07hnR3gfkdCXzF111Vc9tv9YHpTwzu13tC9r64dK/CtTnP+pq4p97+Jfu5oZv3V51leNPuvL5p9uq7abEq6168rfddoj3dTV0b+k+FVQ//fPOyC493Jm7KY3f/v6uDr/f+fxsLfVbz1h5o5/z21apt8XlLj/U1eb944GfdBs8ul0dXS342WdkP9n4S5eo+4LiJXJQHM6DgxHc7Zf42lvfQHpbn4n/nmyidDIRMO/hHzcxcvPsPhr9/3Xc/pvK6HcPXn76NNH/zXbbwr9uy+G/0CX6gZI4FfSweDUAipe6Hz7pLRV8kWzhYRV7wEKHCvZt2F9Me4Vs46HgGLARrU5HichvU9ln4x3ZxqP684CRTLVnstngtLw3e1ARHdqa5eI27k2w/oBuLTg7763tsfNICWnnXW/qo9qyobLol+lWg9O0U1qFhsardLPBiYSQTW28rTvbC887fsj5X6FTSEcKOG60Z6/3hh2nV1SDwTmDYbMD2WRwEvmTMw0gX6VbmjtYigTBo6eDx1cNg8c93WKXye+c4VCSTT5Ksk0mnzBo7Bw+5PTX6QTgrOiYcutY2Rt1nHJTjH12Q81/fGu1at9+SWWmj7rEVBOkzTJumjoMWrGWgcj1Fp08Wwe1SMI6kSJarerNO/eJeiwP4Nuvt/tYep5/8y/Cc1bvIsSiuFkUUd7bgov+oq0mP/QGito17+EQCxHikaqxquKmGsKqmLAOh2EICw9fRfXii8XNiy8Ocb34IgPYM2nUcIgOr4qdJUSj/nLMwlSMCQ17IA7jDzLfMf4GbK6oNh8GF2SzY3AN2KwijmD0Mwtk/gKnf311EZmWV0ND2XGUyOk3uiIbPUro9ButY4pgdae8fMdOv6pZGG9FDw2lhFFip9/oimz0KLHTb7QOKoLVzyxw+oud5GYRh0pZpZF6yUOpXrIBjWW8WDGUud94Sm4qDVJpkEqDVEMgFRlklBhLlHDSJC++qFGUVFIs6nUARgclgeYixi1xo+a3WL0MbMZcGK+FCQ1p2SgRJ24qbX41ZH5FNn+UOBM3es6L9esAgA5GAsFFxJYayKJcjW0qvGIVZyK8WagpfJGq71P180z9rFA/K9KByBMm8DT0G3lqcFNwlYKrFFyl4CoFVym4SsFVCq5ScNUAXEWGGyUu9Win6NQgqGMz1mGqAF98URGqIVH/LNW/zfQvCv2LAUwd4gTOZ7IBHcTPbU2IwbLChh6u3gysYD2Ktrf/RLeD1x2/aTzeL1TuGmpLsNbwDAoepdtlN8D+Gdl+4Ww/bvk9YPmcbLl0sZw+Dm5QSgBlQUY5HO3sKK5B9Dpgf0W2H6xHUEYz5dTrnWHHIxPFYG3xai1WeRbVQR7JNhBhmgb5chkFbZIU62SdLIt1+/hg6j0ctP64Hnx69DwD12742hywoxrPOIClbq5AfdDb1azop3e31BquCzbkzW2HzbKt10kRSCGWgcjydVCnoQxE1OSrqKlXiQwvJkQyKERMjxn3+gvzga8QyYAQ4ULWMeJT0uRW9jfNT+AZ5OkYksZu/4xsP6+ksVs+J1t+2Ins8+gJQVQCKAsyyhiSxm5/RbafVdLk1zvDjiUNxeDJzVcFNF+ZqlA9rkB94Gu+KqzhumBD7kJEROsszJoiyKI2U+8IoyBP13GQ1eu4WKVyLS9H9cYhEiLmxyb6/IX5wFOIxKE9RNiQJ5cYbbd/2ULEuM2nz1+YD3yFSASECBdyt/3pZr+J3ffCXhxbffFmbCzrpOLQF2OqYMD+Gdl+4Ww/bvk9YPmcbPlhp7JLrxOCqARQFmSUEVQwYH9Ftp9TBcfx9c6wIxVMMlhb3LaxbNdtETQyyoIoavMgD1sZhKEMZZrnUSG3Y9QFzF8JNH8Za4fHrkB94Gv+SqzhumBD3s1fu6dw9BjvYwLrb2jZTx3LWBSZODoFcNSZyl49mJHt552p7JbPyZYfdh/78HiuaFmQbR5jSrL7vCLbzzcl9dmppiKKodrSvFjFaShilZlrTb2Ol0GRhWEQhXFRF2sZxvJoe4e3qQgqIMQDq+lDrkB94GsqAgoIbMibNbuVms/WdRY0rRCBSJIoqGXeBoXMo6RpijbOL0etQGt28cAC1rC/MB/4ChFgzY4NeRMi6zxuG/W2RizjQETFMmjqZB2EcSRzpYhkI4tLCZEEWpBJBlYnDP6CfOApRBJgQYYNebOsW4dFkYZRUNQrGaj3h0Hepk3QrpOVjOsoSpvVxYQIlPMkAwnAsL8wH/gKESDnYUPePNAlZd1Ey1SHk3qvWK2DPMrqQKqEaiWKVZTl+cWEiIRCRLr6C/OBrxCxS+YFG/LkikMJJFcTZ+2G+cBXiABylQ15ciXmBJKribt2g3zgK0QAucqG7GlLVG+7CqPgKoYfTRphLU3YBeOMbL9wth+3/B6wfE62/LC32Nd1zhUtC7LNI6ylAT6vyPaPvZZGMnRqM4+AUhxh1PvHrkB94GnmEUCKw4Y8Of0qoBRHSFd/YT7wFSJAisOGPLksWEApjjDq/T5/YT7wFSJAisOGPLm1NAGlOMKo93u7FOQDXyECpDhsyJNbkZfQirx0lGWoDzyFiLRL5gUb8uTqehKSq9Jdu0E+8BUigFxlQ57c7gAJyVUpXf2F+cBXiABylQ3Z01ra53cNbn/69k2Z9rNvN5nHh+xjLrEB9s/I9gtn+3HL7wHL52TLDzuRfbnnhCAqAZQFGWWElTfA/opsP9/K2+eVU693hh2twJEMntoKnIRyZzmQSA65AvWBr/kKyJ3ZkCe3AidzKETMD+P2+Avzga8QsT8wvWBDnl7uDC2vyIG1BkOXgnzgK0SA5RU25C5E6igSqRRFkEbdal2u0im5zIJ1k63CVZTLNL2YEEmhh5RT8xO7Pf7CfOApRFLgIWU25Mnlzim0Apean9jt8RfmA18hAqzAsSF7zp1T+/OYb6axkd3ro16A/TOy/cLZftzye8DyOdnyw05kT9hOCKISQFmQUUbInQH7K7L9nLlzGl/vDDvKnUkGTy13TqFyQGp6QrfHFagPfM1XQDmADXlyuXMqoBARrv7CfOArRAQQIlzIk8udU6hitL0T1MFfmA98hQhQMWJDnl7uDB1rm5rXq3v8hfnAV4jYawoLNuTp5c7QOn5qXtSmP6LtKUSAdXw2ZN+5s32B+s3UvEDt9UAvwP4Z2X7hbD9u+T1g+Zxs+WEnsidsJwRRCaAsyChj5M52+yuy/ay5c369M+w4d6YYPLncGaoY6bnYxRWoD3zNV0DFiA15crlzBlWMMnP5pMdfmA88hUgGVIzYkCeXO2dQxSgzl0/6uhTkA18hAlSM2JAnlztnMRQi5vXqHn9hPvAVIvaawoINeXK5cwat42fmRe0ef2E+8BUiwDo+G7L63x+pD4vHF3SmaCb7YbeHPXhNljP7cumMbL9wth+3/B6wfE62/LDX2DO0c0XLgmzzCFkx4POKbD9fVtxn54svkgyd3AwErd5mA0uZQ65AfeBrBgJWb9mQJ/fsYQYtmGQDqwfD/sJ84CtEgAUTNuTJZcM5lA3n5gM26amhnxDJgWyYDXly5yDkUKqTmw/Y7FtggnzgK0SAVIcNeXKnqeTQfpRcuvoL84GvELFL5gUb8uRW5nNIrubO2g3zga8QAeQqG/Lk6ns5JFdzd+0G+cBXiABylQ3Z836Uwl64erMwF67kIfuYS2yA/TOy/cLZftzye8DyOdnyw05kX+45IYhKAGVBRhlh5Q2wvyLbz7fy9nnl1OudYUcrcCSDpzZfFVDuXJjLqkeuQH3gab4qgNyZDXlyqreAKsmFuaza4y/MB75CBKgksyFPbgWugJZXCnNZta9LQT7wFSLA8gob8uT2oxTQE2GFcPUX5gNfIQI8EcaGPLlqYAGtwBXS1V+YD3yFCLACx4bsO3e2P+r0ZpEa2dND9lFzZ7v9M7L9wtl+3PJ7wPI52fLDTmRP2E4IohJAWZBRxsid7fZXZPtZc+f0emfYce5MMXhyuTNUDijMD+IduQL1ga/5CigHsCFPL3eGzhAszE8+9fgL84GvELE/nbZgQ55e7gxVjIrC1V+YD3yFCFAxYkOeXO4chdAjYeptrh7DvOApSBSPPUr4oCeXP6shEQsT89J2j8cwL3gLE2A5nw9aP9PRhcrRltlDV3yjXb731jtvM3iifOPVzynE5Ea9pPqlUC9RpF/0z6JsyCmmFewwxW81hNDw1EjzVJqn0jyV5qk0T6V5qiGeis5zmCdBPHCqpHFefFHz6Ne0ey30q0LSr93PB6D0eylUGms7MunA9PG40ef345J9pVyNSqal8jALB9tuhIUehGBGJxDOBLjt94jtc7rt0sV2+gi3H+vtMAs6zAjLPQhBRSfgXPBRVl3vTesZpig2a6PTXM2ky1UWyJXWY9G6UJld3aV3SZYXRdYkq8cXo7GgOpZ6m5szUC9401hAJYsPuguTdZ5my+W6DVZrGQUiT9OgXgkl25O4WcowFWm7vJwwgWpZ6m2uHsO84C1MgGoWH7TncpaSdlZ61eTmpfHskH5cnWMnmNEJmHWO3fY53fbDzmSfWE8IpRKBWdBhRtE5doKKTsCrc9LrvWk9Oodi8/QmMKi4pd7m5gzUC94mMKC8xQc9QTkMFbjU21w9hnnBW5gAJS4+6G7J8WZzjowC1/x+13fs1RwVAqZyTpjFh94YV/fYCWZ0AmbdY7d9Trf9sHPZJ9oTQqlEYBZ0mFF0j52gohPw6p7iem9aj+6h2KyNTqJ8taxXcRCJOg1ErMuycVsEIk0z2SxFlmXrx5cyoUVYqTUyVR17nIF6wdeEFiGlVjZo34l7ZK8gqiY3VxCHi0tjTGAAwYxOwDuBAbbP6bYfdib7iHlCKJUIzIIOM8YEBhBUdALWCSyKrvemHU9gJJunN4HF2ARmKir3OAP1grcJDHhgjw96l5FtwXXh3UdGNtDUop86SkRS5InXqySVcdZ2m9EJmCcuu+1zuu2Hncg+Up4rZBZ0o0eZoOxur+gEfBNUn6F6WqJYqk2NEr2PcR0FcSbUiBSH9Wa7a1PUURNF+TrPjvak+ZuWoLu81NvcnIF6wdu0ZK+CLPigvedV9tV01eTm1fRisKeOMj3ZCWZ0AubpyW77nG77YWeyj5MnhFKJwCzoMKNMW3aCik7AN23pvCq73pvWM4FRbJ7eBIZVuiJz0efIGagXvE1gSKWLDXq/uT45jINDV0A7tkme2Gyuj8ObhYLRL5l6EXpfvdBfSaleUr3XPtXfZvp9mX5fJvSL3omf669y/VWhvyrUV3EohnxpXmbHz/mCPIIPY5s9+coNlXZDpd1QaTdU2g2VdkOl3VBpN1TaDZV2Q6XdUGk3VNoNlXZDpd1QaTdUQ26o6G4YZSu/coN6VX7Qr5l+Fd0mftF9rXyhXtNuc3/a/STr3p9171cO0a/dAwB593XefV10Xxf66yG36MGW4pdusH18gUsT8fAJ1UWUeV6aiO0LoTM6Aa/2A2yf022XLraTR97+8ZFs9BgaD3B7RSfg03gDgw3J0s7Uom6KMEwC2YgkEEWdBXlTx0Eu0jTOQylWWfv4UpRdDJ1eFsXDR6X3OgP1gi9lF9sfRFnwQW92RKZruarbOkjipgiiqG2DOgrjYBWlaVQvw6YpjoSfvzDBtvTrpnTzGOYFb2GCbOlng97siAyzvEmKOIiTehmIdS2DXKa1ShuWRb7M2qRei8sJE2zjbDyQNA97DPOCtzCxr24s+KC7MFnGRRLHUROsikS9V8QiyOMwDNqoKYomU1K8vaDRBDr2Q73N1WOYF7yFiX133IIPejOarPMwXa/CYB2H60As0yLIV0URLNtWhGmyrkORXUyYJNiRDomjUEO94CtMEruOXvBB76r521b3lTLvyyiJfW+DCgHT3gY1ih56Y9RUGiCY0QmEMwFu+z1i+5xu+2Hnsud0J4RSicAs6DBjpNgAQUUn4EuxP6/9er037TjZJtncrezVSZvEUqqMS+9RKtosaJplHsRZoea/KM6L+mLOTIwSLNlOzIcJ9OzUwrzgbUJDkm026I3uUZl3tmyToInyPBCpjAP16Uan6KuoSetVLi/n8cMEO2YhEa4ew7zgLUzsW5sWfNCbE88aJZHkMgxEHUbqHbH6VLrKVNpVFOE6X7YykpcTJtiaTCJdPYZ5wVuYIGsybNBdmGTxOl6lRR6kTSQCkRdJUIh1G4TpKhertghXlxQm2OazJHX1GOYFb2GCbD5jg95lUdsbPn1lUQNNPbBjQQHHRVhEh9TjZkv2PRczOoFwJsBtv0dsn9NtP+xEdnl+rpBZ0I0eJSuyu72iE/BlRX2G6lyIYqk2VSTReiVCEYQrNSwppZMGRRFFSh+3zXK5DqM4vpgbhyOBPWsqBh67HHIG6gVf05JAnjVlg95sJ0uyfJlFMoiapVI64VoG+SosgkjWRRS3oVgWq8sJkxgLk4H1g2GPYV7wFib2hZ4FH7TvrfPCvmCgmty0YBB5PjMVIJjRCXhVDGD7nG77YWeyT6cnhFKJwCzoMGOoG4CgohPwqZvPa79e70071jkkm6c3gWGLeUK4OQP1grcJDFnMY4OeoBzGFvOEdPUY5gVvYYIs5rFBd2FSFEWzztsmWOWpCIRIM72iEwb6aLokqpt1WF9OaUBgi3nCtK7V6zHMC97CBFnMY4PeLeZF20riZa3miYHlAgUdJ6nwu5on7EszMzqBcCbAbb9HbJ/TbT/sRXbhda6QWdCNHkXv2t1e0Qn49G6foVrlUizt5iW5WqbROg6ETNSLkEXQiDoLmmWT1GmjL3HaDjsXMC9JbDVPDixsDTkD9YKveUkiq3ls0NPb+Cux1Tw5sLA17DHMC97CBFnNY4Oe3sZfieXMUrh6DPOCtzBBcmY26L3KvciHZeWAuI8SNTwKz6u90p6ezOgEwpkAt/0esX1Ot/2wF9nl1rlCZkE3egyVC7i9ohOMrnJJlmpTMyVm4rVoVM6t916t1qugXosskE1ex4kaufLLua04ktgxKHJQ8vc7A/WCt3nJnpEt+KCnt+SfYslQOpgXDHkM84KvMEmRZIgNei9fttPlZcmXdEDcxzIJYyHEIfao8iW1pyczOgGvfAFsn9NtP+xF9nn0XCGzoBs9hnwB3F7RCUaXLyRLtalr0TZFmtZB026e5G+CPFw3QRjKUKZ5HhXychbpUiytToWbM1AveJuXkLSaDboLE9kWWStyqXLutZrDmiYNilq0gQzblYzjdN2s0ssJE6zGmA5I/mGPYV7wFib2jGzBB+17y11qP8JCNXnWT7+tsPotNQIEMzoBs4qx2z6n237YmezT6QmhVCIwCzrMKOrGTlDRCfjUzee1X6/3pvXoHIrN05vAsGWa1Hhw67EzUC94m8CQZRo26AnKYewUorRw9RjmBW9hgpxCxAa9X6bZDhd6XvWxTLMXPpl91epN9SaDO8Lc7/kyAMGMTsArfADb53TbD3uXfaY9IZRKBGZBhxlD+AAEFZ2AVfhk4fXetGPhQ7JZG71qozhdrddBEq/CSz+lM8MOTMtMd8H1OAP1gq8ZLUMOTGOD9p25Z/alWNXkAwuc2/k8Huyzo0xgdoIZnYB5ArPbPqfbftiZ7CPmCaFUIjALOswoE5idoKIT8E5g+oC0rWk9ExjF5ulNYNgBaZn5ycEjZ6Be8DaB2R/xXPBB71OyYkPuq3L+dEazF2xUDAiDO8LC74ZAgGBGJ2Ce0ey2z+m2H/Yu+xB6QiiVCMyCDjPKjGYnqOgEvDOauN6b1jOjUWzWRjdtljbZOgxWeRwFIo6SoA4bGazEqmiUko/y9XYL8yXMaNhzvZl0cwbqBW8zGvJcLxv0RviIOJNZFqnZb5lfvPDBau5Z6uoxzAvewgSpubNB/9kGW7Zx08qgWDa6vCH1bS2rOBBFIqI4j5Z5cTmnBGTY/RqZqczX6zHMC97CxF6PXfBBT+/5qQwrgGamWmCvxzAveAsTpADKBu19HdBe11NNbq7r+b1zECCY0QmEMwFu+z1i+5xu+2Fnssv0E0KpRGAWdJhRsiY7QUUn4M2aiuu9aT1ZE8XmyU1gOfYETW6q6vU4A/WCrwkst5dfF3zQ05PDOVbvzE2lv16PYV7wFiZIvZMNenO2Whiv6nXTBpG+T0HIcBU0rVgFqQpP0a6TVVJczhpMHmNhYi6x9HgM84K3MLHXwhZ80NNbqsux4lNursP0eAzzgrcwQYpPbNC+s6bcvryumlwY6f0+vQkQzOgEwpkAt/0esX1Ot/2wM9ll+gmhVCIwCzrMGFkTQFDRCVizplzXmramHWdNJJunlzVhtaZcujkD9YK3CQypNbFBTzBrwmpNuans0usxzAvewgSpNbFBT68kmWO1ptxUdun1GOYFb2GC1JrYoCeYNWG1ptz83FmPxzAveAsTpNbEBr3bshd7PpH6aRplX29XMWBauw6L+NAd46ZRdoIZnUA4E+C23yO2z+m2H/Yuu24/IZRKBGZBhxkljbITVHQC3jRKF5+2pvWkURSbO6OLuinCMAlkIxJ9824W5E2tlVKaxnkoxSprH1/KjFZgxafC+EjZsTNQL/ia0Qqk+MQGPb00qsCKT4XxubNej0Fe8BYmSPGJDXp6izIFVnwqTHWYXo9hXvAWJkjxiQ26C5MoWobLWA01agBaBWKV1EFRtCIIQ5VxhatcyCa+nDDBik+FqQ7T6zHMC97CBCk+sUH7Lj4V9vV21eTCQK+fLxgSimNkTQDBjE4gnAlw2+8R2+d02w87k12mnxBKJQKzoMOMkTUBBBWdgDVrKnTxaWvacdZEslkbXadxWIfJOsjWtZ7soiio1+s2EHIVr+s2XMp18/hiJjCs+FRIN2egXvA2gSHFJzboCcphrPhUmOswPR7DvOAtTJDiExv0BJNrrPhUmOswPR7DvOAtTJDiExv0BJfqsOJTYa7D9HkM8oK3MEGKT2zQuvikwR97rjkV9mV21fTmJWu/DzwBBDM6gXAmwG2/R2yf020/7FR2uX5CKJUIzIIOM0r2ZCeo6AS82ZOuOW1N68meKDZro5tiJWuR5EFcR0Ug0nwdNFKPZqnIV6totYrlxeidOIRqTuptbs5AveBpIlM81qhd8EF3YZLUyyJvkzSQy5UMRL3MgiKK0iAvsmW0XEbNKq0vJ0ygmpN6m6vHMC94CxOg5sQH3YUJdtfqpYQJVHNSb3P1GOYFb2EC1Jz4oCe3FhOHUM1Jvc3VY5gXvIUJUHPig/Zcc4pD+zK7anJhoNeHFQ0JxRGyJoRgRicQzgS47feI7XO67YedyS7TTwilEoFZ0GFGyJoQgopOwJk1Kauu96YdZU00m6c3gUE1J/U2N2egXvA2gQE1Jz7oCcphqOak3ubqMcwL3sIEqDnxQU8wuYZqTuptrh7DvOAtTICaEx/0BJfqoJqTepurxzAveAsToObEB9098LSpTx4GwqEvvtEu33vrnbcZXFG+8ernFnEU3iySWNwsZJLfLNJIDPnCvHCNP+kPAeHaV1NUmqLSFJWmqIYoKjrFofiFKGD9qyGUzFUUL76oMV58UXO8+OIQiJbEFBKNcvSs5egRF92oFxVxcRyrl6R7UbEXC/2VkPqlUC9SfytT/aK/TRP9or9N9beZ/m2m35zpz+b6pdBvKdRXSZjoF/1VFOuXVAd5OBDakXlFHt9HCHnOObSjm0q7q9LuqrS7Ku2uSrur0u6qtLsq7a5Ku6vS7qq0uyrtrkq7q9LuqrS7Ku2uSrur0u6qtLsq7a5Ku6vS7qq0u6ohd1V0d43Th6Ib/ar7kHaYek02r7o/aZ/pV9m9FvpVdj9RftOv3U+U5/Rr95O0+0nWvSfrPpV1fyfvXovunYX+WrtQv3ZfR3H3mna9ud+NXW8n+PGZHuz7KVnlausc+qZ6k5EyG4yWMdbeAIIZnUA4E+C23yO2z+m2Sxfb6TPCTo4BMAs6zBhrbwBBRSdgXXuLouu9aT3DFMXmblFFtqsizIugaaVKmZo2D/JVkwThOs7TOl41Tb2NsgtIgyKsxhiZy21HzkC94CsNipAaIxt0FyZt3SarpoiCtBDLQCR6ASbJGpVoNyqJSnMRXs4OzTjCaoyRudzW4zHMC97CBKkxskHvjwfZgGth4EP3DDS17KeOEpFnufR6l7IyztpuMzoBs76x2z6n237YiewT6rlCZkE3ehQdY3d7RSfg0zF9hmr1QrG0W8QNZRGFeRuk6bINRC3ToMhSGSyLWLRiGTZ5czmVwwhb648Glr2HnIF6wdu0hKz1s0F3YZKnebzMVlnQJFkYiLRdB8VSNEFSJGGxLuo6aS9nrT8qsDAZWFoc9hjmBW9hYt9MvuCD3owmSVNHeRQGSZSqkIqiPCjCtgmWbVys5DJPwiy9mDCJsW258UBiaOhYkBd8hUlsz+AXfNA7kbsVVbrxL0fkxgPSPg5VkhenXk8MV8ZZ221GJxDOBLjt94jtc7rth53IrrbOFTILutFjiFzA7RWdYHSRS7K0m5aivE7TYhlI2RRK6SRNUDTtMshF0q5bNY+tk+Xji5mWsO1xOupdnIF6wdu0ZE/IFnzQm12UdZ2raawIsjQRgQjXRVDLpXoJ42jZJnKdRfJywgTLheKBtGDYY5gXvIUJkguxQXdhsi6kbJNlEkQyb/Sh0HmQh6siCEMZyjTPo0IebXfxFyZYLhQPpAXDHsO84C1MkFyIDXp6e7ITLBdKBtICQ8eCvOArTBIkF2KD9vRQ0UDTDogrlfFlUm/WGpKBY+Q+iV3IzugEwpkAt/0esX1Ot/2w09hF+LlCZkE3eozcB3B7RScYPfchWTq9aQjLfRLp5gzUC96mIST3YYOeXoqcYLlPMlwSGfAY5gVvYYLkPmzQu5XbbZ1H8/tYuf38PgjsjzaoEDA+2hB6PUgKIZjRCZhVjd32Od32w85ln15PCKUSgVnQYUZRO3aCik7Ap3Y+r/16vTetR/dQbJ7ehIat0iQDCxZDzkC94G1CQ1Zp2KCnt+YrsPPGhOmJi16PYV7wFSYCOW+MDXp6WZTAFvOEacd7v8cgL3gLE2Qxjw3a02LeXg4L+xZ31eSxiT7zu4sXIJjRCYQzAW77PWL7nG77YWey668TQqlEYBZ0mDHkMEBQ0QlY5bCIr/emHcthks3Tm8Cwx0+E6UmMHmegXvA2gdmXrBd80JunlKImScQyC5ZyGan3ijiohYyCdS3iQi6zep2GlxMmAgsT4eoxzAvewsR+/NmCD9q7zrGvlasml0b64pB+XJ1jJ5jRCZh1jt32Od32w85kn1hPCKUSgVnQYUbROXaCik7Aq3Pk9d60Hp1DsXl6Ogc74k6kbs5AveBtAkOOuGODnuCyH1buFAOVP4PHIC94CxOk3MkGPb0igsCOuBPm0956PIZ5wVuY2EtfCz5o73LYXkJRTW4soeThIf24cthOMKMTCGcC3PZ7xPY53fbDzmTXXyeEUonALOgwo8hhO0FFJ+CVw8X13rQeOUyxeXJyWGLlTWms9B07A/WCrwlMIuVNNujpLftJrLwpjZW+Po9hXvAWJkh5kw3at86R9oqOanJjdSSPDulH1TkAwYxOwKtzANvndNsPO5N9Yj0hlEoEZkGHGUPnAAQVnYBV50hd3pRD5U2SzdPTOVh5UxorfcfOQL3gbQJDypts0NNb9pNYeVMKZ49BXvAWJkh5kw26CxMZqW9XIgmSolWaKEnToC5WRRA3bbISUbhU311OmGDPTEnp6jHMC97CxF76WvBBe5fD9hKKanJjCSWPD+nHlcN2ghmdQDgT4LbfI7bP6bYfdia7/johlEoEZkGHGUUO2wkqOgGvHE6v96b1yGGKzdOTw1h5UxorfcfOQL3gbQJDypts0BPUOVh5UxorfX0ew7zgLUyQ8iYbtHedY6/oqCY3V0f8PuQLEMzoBMw6x277nG77YWeyT6wnhFKJwCzoMKPoHDtBRSfg1Tm6vLk1rUfnUGyenM5JsfJmaq700Z9Q6+tzVvjT+12KlDfZoKe37Jdi5c3UXOmjP+/qK0yQ8iYb9PTkcBpjYWKuqPR4DPOCtzCxl74WfNC+5XBqL6GoJjeXUPye5AcQzOgEwpkAt/0esX1Ot/2wM9n11wmhVCIwCzrMGHIYIKjoBKxyOE2u96Ydy2GSzdOTw1h5MxVuzkC94G0CQ8qbbNAT1DlYeTOVrh7DvOAtTJDyJhu0d51jr+ioJjdVR5LQs86xE8zoBMw6x277nG77YWeyT6wnhFKJwCzoMKPoHDtBRSfg1Tm6vLk1rUfnUGyens7BypupqdLX4wzUC94mMKS8yQY9vac3U6y8mZoqfb0ew7zgLUyQ8iYbtHedY6/oqCY3VUeSUB7Sj6tz7AQzOgGzzrHbPqfbftiZ7BPrCaFUIjALOswoOsdOUNEJeHWOLm9uTevRORSbJ6dzMqy8mZkqfT3OQL3gawLLkPImG/T0dE6GlTczU6Wv12OYF7yFCVLeZIP2rXMye9VONbmpapeE6SH9qDoHIJjRCXh1DmD7nG77YWeyT6wnhFKJwCzoMGPoHICgohOw6pxMP725Ne1Y55Bsnp7OwZ7ezExFvB5noF7wNoHZq60LPujp1a0yrLyZCVePYV7wFiZIeZMN2rvOsVftVJNLI312SD+uzrETzOgEzDrHbvucbvthZ7JPrCeEUonALOgwo+gcO0FFJ+DVOfpw2q1pPTqHYvP0dA52OG2WujkD9YK3CcxebV3wQU9Q52Dlzcxc6evxGOYFb2GClDfZoP9sexdntD2VLXrs5zLOgbYeWO+OZZJEufRbsMrsVYYZnYBZ4Nhtn9NtP+xF9hn1XCGzoBs9ipCxu72iE/AJmT5DtXyhWNrJl0Q/P1MkQR6KVSBkWgd12LRB0sRhIZpVkq2Lx5cyL+VYnSEfWHIfcgbqBV/zUo7UGdiguzAp1lEerRMRFHkmAtHWcdCEYRuspFgt2yxfh+vLOUw0x1bz8oGFrWGPYV7wFibIah4b9KZqmTS1encYJFHaBiKK8qAI20Yp4rhYyWWu9FF6OWGC7ULPpavHMC94CxN7Cr/gg+7CJE/zeJmtsqBJsjAQabsOiqVolEBOwmJd1HXS5pcTJlgylA/kBcMew7zgLUyQZIgNWidDGvyxnxxov/ib27cyqqY332fut8gNEMzoBMKZALf9HrF9Trf9sFPZRfoJoVQiMAs6zBg5E0BQ0Qn4cqbPa79e7007zp5INk8veyqwiWwglRxyBuoFbxOZPdNf8EFPL3sqsD2fhfF0lz6PYV7wFSYFsueTDXp62VOBrcUUxtNd+jyGecFbmCBrMWzQ08ueihgLE9M2s16PYV7wFib2/YALPmjfW2YK+0qUanLziRh+K0oAwYxOIJwJcNvvEdvndNsPO5Ndpp8QSiUCs6DDjJE1AQQVnYA1ayr0kTbF0JE2JJu7rAnaN3EpExi257MQbs5AveBtAkP2fLJBT1AOY8WEQrp6DPOCtzBBigls0BNMrrENeEXq6jHMC97CBNmAxwY9vaW6Aqs5Faa9aP3jL+QFb2GC1JzYoL1nTfblddXk5lsB/NaaAIIZnUA4E+C23yO2z+m2H3Ymu0w/IZRKBGZBhxkla7ITVHQC3qxJ15qKoVoTyebpLfthtabCWHY5dgbqBW8TGFJrYoOeXNaUhFCtSb3N1WOYFzyFieKxhwkf9OSypiSEak3qba4ew7zgLUyAWhMf9OSypiSEak3qba4ew7zgLUyAWhMftOesKQnty+uqyc1L1V4fz0YIZnQC4UyA236P2D6n237Ymewy/YRQKhGYBR1mhKwJIajoBJxZk7Lqem/aUdZEs3lqtSZ96ik0gQk3Z6Be8DaBAbUmPugJZk1QrUm9zdVjmBe8hQlQa+KDnmDWBNWa1NtcPYZ5wVuYALUmPugJZk1QrUm9zdVjmBe8hQlQa+KD3h/2sG12/R+fDzoloX29XcWA+TmJ/NAd46ZRdoIZnUA4E+C23yO2z+m2H/Yuu24/IZRKBGZBhxkljbITVHQC3jQqv96b1pNGUWzu9HEoC/X7NkjTpRJJtUyDIktlsCxi0Ypl2OTNBaVRUPFJvc3NGagXvM1oQPGJD3p6aVSEFZ8i8zM/fR6DvOArTCKk+MQGPblSdhJhxafI/MxPj8cwL3gLE6T4xAbtu6oQ2WsqqsnNNRW/chggmNEJhDMBbvs9YvucbvthZ7LrrxNCqURgFnSYMeQwQFDRCVjlcBRf7007lsMkmydXVYig47DU29ycgXrB2wRmr4Ut+KAnKIex4lMkXD2GecFbmCDFJzbo6SXXEVZ8iqSzxyAveAsTpPjEBu1dDttrKqrJUyN9cUg/rhy2E8zoBMKZALf9HrF9Trf9sDPZ9dcJoVQiMAs6zChy2E5Q0Ql45XB6vTetRw5TbJ7eeg5W74zMpb8jZ6Be8DaBIfVONugJymHo7m71NlePYV7wFib20teCD3qCchirNUXGskuvxyAveAsTpNbEBu1bDsf2Esqb6k0m+iI8pB9VDgMEMzqBcCbAbb9HbJ/TbT/sTHb9dUIolQjMgg4zhhwGCCo6AascjsPrvWnHcphk8+RWh2OsvBkbK33HzkC94GsCi5HyJhv09ORwHGNhYqyo9HkM84K3MLGXvhZ80NOTwzFWa4qNZZdej0Fe8BYmSK2JDbrbTNyhH8bBoSu+0S7fe+udtxk8Ub7x6ucUorxZJEmmXkShXqT+No30i/5ZlugX/Ytc/6LQvyiEflG/FWGoXxL9kuoX9T4RxfpF6pdcvai5Sr0I/aI/kehPJPoTif5Eoj8h9CeE/oTQn5D6E1J/QupPpPq32haR6a8y/bFcv0UbJLRBQtsiw1i/6K+0BTLSX8X6q1j9UZkkQy0sTC0c4suWUDvhUk03TqUbp9KNU+nGqXTjVLpxKt04lW6cSjdOpRun0o1T6capdONUunEq3TiVbpxKN06lG6fSjVPpxql041S6cSrdOJVunEo3TqUbp9KNU+nGqXTjVLpxKt04lW6cSjdOpRun0o1T6capdONUunEq3TiVbpxKN06lG6fSjVPpxql041S6cSrdONVQ41T0xjmUoFDjwCpUt40Wm/JGvarWUa+qedSr7H6iGki/dj9XTaRfu9/m3W+L7reqmfSrfo9uKP2adK9p96rfrxtLv8ruNdevcdS9iu61+2zSfTbpPpt0n026z4rus6L7rOg+K7vPyu6zsvts2r2ns1M3n37t/kLevbOzVnTWis5O3Yj6tfu6s023o3qNu69j/a8MNaX2FqUtnxkhL+puzSQeWHePEhmqhksGI3OUlQJ7tWNGJxDOBLjt94jtc7rt0sV28sw6MNNQjR5lRcDu9opOwLciMDTYUCzVpq6SsKiT9SoIo1gGYpXEKhkUq2Ad5XnTNm0odj34EpQ7Vu+IB5b+h5yBesGbckfqHWzQmwSvzdImW4fBKo+jQM3LiX5kUAbq/UUT5nmUr6OLCZMEe2giGVg7G/YY5gVfYZLYFzkXfNBdmKzjNAvzugmyNtHXiK9UMljnIoiU5llHq7pI2tXlhAm2XJQMrJwMewzzgrcwQZaL2KC7MFnGRRLHUROsimQZKO0ugjwOw6CNmqJosihVf+NywgTbc5oIV49hXvAWJsieUzboTY1CrLJs2SZBo2akQKQyDuqkbQJR1KuoSetVLpeXEybYSRaJo1BDveAtTOw6esEH7anIPtC0RgUmvF4WpIyzttOMTiCcCXDb7xHb53TbDzuNPVc7V8gs6EaPkSIDbq/oBKOnyCRLJzcNCSz3EcY04NgZqBd8TUMCyX3YoDfLtqs4CWUdB2ERrZWyydugXi+zIMqbOonSVDTry9lgLLDcRxjTgD6PYV7wFiZI7sMG3YWJWIloHUZxkNRypfIkEQZ1ka+VAK6XWVHkso4up1QusNxHCFePYV7wFiZI7sMGPb0FN4HlPsKYBvR5DPOCtzBBch826Okt3wts+V44CjXUC97CxK6jF3zQu1P8tmFwWVVlOaDIwjSKsuT4duFRU2Zp15QzOoFwJsBtv0dsn9NtP+xE9tztXCGzoBs9RsoMuL2iE4yeMpMs7VJmaIvxhUxLEsuF5EBaMOQM1Au+piWJ5EJs0JtcKEmkiAoRROu6DaKoVe8N2ywIQxnKVCmdQsaXEyZYLiSFq8cwL3gLEyQXYoO+qAV+OSDlt5R+z1KT9mRkRidgVit22+d02w87jX3aPFfILOhGj6JW7G6v6ATjqxWKpdrUrF3nUbhugiJSCfduLKovdBrCkmg5kE8OOQP1grdpCEmi2aCnJ2pTrA6UmhU+/Ww5T2GS2hOwBR/0RamVdLCMEcdJ6vk+udSefMzoBLxqBbB9Trf9sNPYp81zhcyCbvQYagVwe0UnGF2tkCztFnLzZR2HYhk0TZEGQj+h2yRRqp/QXcd1tI7Echv/lzANYUlzKtycgXrB2zSEJM1s0BNUK1gBMR1Q+MMew7zgLUzsCdiCD/qy1IpRukfhIeW4asWefMzoBMxqxW77nG77YaexT5vnCpkF3ehR1Ird7RWdYHy1QrF0cmsrGZY0Z8b88dgZqBd8TUMZkjSzQU9PrWRYwTAbUPjDHsO84C1M7AnYgg/6otRKJoyU0SHlqGolsycfMzoBr1oBbJ/TbT/sNPZp81whs6AbPYZaAdxe0QlGVyskS6enVrCkORvIH4ecgXrB2zSEJM1s0BNUK1jBMDMr/B6PYV7wFib2BGzBB31RaiU3S/f4kHJUtZLbk48ZnYBXrQC2z+m2H3Ya+7R5rpBZ0I0eQ60Abq/oBKOrFZKlk1MrOZY05+b88cgZqBd8TUM5kjSzQU9PreRYwTAXrh7DvOAtTOwJ2IIP+rLUilm6+z1pMrcnHzM6AbNasds+p9t+2Gns0+a5QmZBN3oUtWJ3e0UnGF+tUCydnlrBkubcnD/2HGyEecHbNIQkzWzQ01MrBVYwLMwKv+/8K8gLvsKksCdgCz7o3RPN29NUfD3R/Pl9ENivaVEhYLymJfJ7OBhAMKMT8KoawPY53fbDzmWfXk8IpRKBWdBhxlA7AEFFJ+BTO5/Xfr3em3ase0g2a6M3TzrWchIPuRbYKk0xsGAx5AzUC94mNGSVhg16groHu0KpMN4m1OcxzAvewgS5QokN2tMqzVOdY1+jUk0uTPSF32ekAYIZnYBZ59htn9NtP+xM9on1hFAqEZgFHWYUnWMnqOgEvDpHXO9N69E5FJunN4FJbAKTbs5AveBtApPWqF3wQU9vGbDAtlgVA2uiwx7DvOAtTOxL1gs+aO86J7PSqybPjPTDN/WNonPsBDM6AbPOsds+p9t+2JnsE+sJoVQiMAs6zCg6x05Q0Ql4dU52vTetR+dQbJ6ezsHqWMVASWfIGagXvE1gSB2LDXqCOqfAwqRw9RjmBW9hUiBhwgXtWeeI0F7Fe1O9yUAfh0fPc42pcxCCGZ2AVecgts/pth92JvvEekIolQjMgg4zgs5BCCo6AafOUVZd70070jk0m6emc0QYIROYepubM1AveJrAFI81ahd80JPTOSKEypvqba4ew7zgLUyA8iYftHedY6/aqSY3Ve3i0OsT3QjBjE7ArHPsts/pth92JvvEekIolQjMgg4zis6xE1R0Al6dk1zvTevRORSbp6dzoMdj1NvcnIF6wdsEZq+2LvigJ6hzoPKmepurxzAveAsToLzJB+1d59irdqrJUyN9fEg/rs6xE8zoBMw6x277nG77YWeyT6wnhFKJwCzoMKPoHDtBRSfg1Tnp9d60Hp1DsXl6OifDJjBTEa/HGagXvE1g9mrrgg96gjoHKm+qt7l6DPOCtzABypt80N51jr1qp5rcVLWLQ69PkSMEMzoBs86x2z6n237YmewT6wmhVCIwCzrMKDrHTlDRCXh1TnG9N61H51BsnpzOiaAHiNXb3JyBesHXBBbZq60LPujp6ZwIK29G5kof/cl8X2GClDfZoH3rnMhetVNNbq7aiUP6UXUOQDCjE/DqHMD2Od32w85kn1hPCKUSgVnQYcbQOQBBRSdg1TlRfL037VjnkGyens6BHhhWb3NzBuoFbxOYvdq64IOeoM7BypuRcPUY5gVvYYKUN9mgvesce9VONbk00ns9PwchmNEJmHWO3fY53fbDzmSfWE8IpRKBWdBhRtE5doKKTsCrc+T13rQenUOxeXo6B3pgWL3NzRmoF7xNYPZq64IPugsT7G7MSwkTrLwZmSt9PR7DvOAtTJDyJhu0d51jr9qpJjdX7dJD+nF1jp1gRidg1jl22+d02w87k31iPSGUSgRmQYcZRefYCSo6Aa/Oya/3pvXoHIrN09M50APD6m1uzkC94G0Cs1dbF3zQ01vPibHyZmyu9PV4DPOCrzCJkfImG7RvnRPbq3aqyc1Vu6NbzUfVOQDBjE7Aq3MA2+d02w87k31iPSGUSgRmQYcZQ+cABBWdgFXnxNH13rRjnUOyeXI6J46xCcxcxDtyBuoFbxOYvdq64IOeoM7BypuxudLX4zHMC97CBClvskF71zn2qp1qcmGk93oeMkIwoxMw6xy77XO67YedyT6xnhBKJQKzoMOMonPsBBWdgFfniOu9aT06h2Lz9HQO9sCw7hcuzkC94G0Cs1dbF3zQXZhgd0RcSphg5U094rh5DPOCtzBBypts0N51jr1qp5rcXLXzeh4yQjCjEzDrHLvtc7rth53JPrGeEEolArOgw4yic+wEFZ2AV+dk13vTenQOxebp6RzsgeHYXMSjHw3c1+es8Gfod/Zq64IPeoLrOVh5MzZX+uhHA/sKE6S8yQbtW+ck9qrdm+pNJvooPKQfVecABDM6Aa/OAWyf020/7Ez2ifWEUCoRmAUdZgydAxBUdAJWnZPo85CTofOQSTZPTuck2APDibGId+wM1Au+JrDEXm1d8EFPT+ckWHkzMVb6+jyGecFbmCDlTTZo7zrHXrVTTW6s2kV+z0MGCGZ0AmadY7d9Trf9sDPZJ9YTQqlEYBZ0mFF0jp2gohPw6hx9HnIydB4yyebp6RzsgeFEuDkD9YK3CcxebV3wQU9Q52DlzUS6egzzgrcwQcqbbNDedY69aqeaPDXSx4f04+ocO8GMTsCsc+y2z+m2H3Ym+8R6QiiVCMyCDjOKzrETVHQCXp2jz0Pemtajcyg2T0/nYA8MJ8Yi3rEzUC94m8Ds1dYFH/QEdQ5W3kyMlb4+j2Fe8BYmSHmTDdq7zrFX7VSTG6t2kd/zkAGCGZ2AWefYbZ/TbT/sTPaJ9YRQKhGYBR1mFJ1jJ6joBLw6R5+HvDWtR+dQbJ6czhHYA8PCXMSjHw3c1+es8Kf3O2Gvti74oKencwRW3hTmSh/9aGBfYYKUN9mgfescYa/aqSY3V+38nocMEMzoBLw6B7B9Trf9sDPZJ9YTQqlEYBZ0mDF0DkBQ0QlYdY7Q5yFvTTvWOSSbp6dzsAeGhbmIRz8auK/PWeHP0O/s1dYFH/QEdQ5W3hTC1WOYF7yFCVLeZIP2rnPsVTvV5NJI7/c8ZIBgRidg1jl22+d02w87k31iPSGUSgRmQYcZRefYCSo6Aa/O0echb03r0TkUm6enc7AHhkXq5gzUC94mMHu1dcEHPUGdg5U3hbnS1+MxzAvewgQpb7JBe9c59qqdanJz1c7vecgAwYxOwKxz7LbP6bYfdib7xHpCKJUIzIIOM4rOsRNUdAJenaPPQxZD5yGTbJ6ezsEeGBbmIh79aOC+PmeFP0O/s1dbF3zQXZhgh/9fSJhIrLwpzZW+Ho9hXvAVJhIpb7JB+9Y50l61U01urtr5PQ8ZIJjRCXh1DmD7nG77YWeyT6wnhFKJwCzoMGPoHICgohOw6hypz0OWQ+chk2yenM6RMTaBmYt49KOB+/qcFf4M/c5ebV3wQXdhsmyTLEtWSVCLug2ECPOgzpo2yGOZiWYZxSqvv5wwwcqb0lzp6/EY5gVvYYKUN9mgvesce9VONbkw0vs9DxkgmNEJmHWO3fY53fbDzmSfWE8IpRKBWdBhRtE5doKKTsCrc/R5yFvTenQOxebp6RzsgWEp3ZyBesHbBGavti74oKdXt5JYeVOmrh7DvOAtTJDyJhu0+t8fafJiA65V7x961T32Kp4KAVMVL/K9vmMnmNEJmHWP3fY53fbDzmWfaE8IpRKBWdBhRtE9doKKTsCre/T5yFvTenQPxeYucY8LPd41wapIlip7i4VK3MIwaKOmKJosSrN228cvYULDHiCWpqJejzNQL3ib0OzV1wUf9EYei1WWqUw/aKI8D0Qq46BO2iYQRb2KmrRe5XJ5OWGClTulqfLX6zHMC97CBCl3skF3YdIUK1mLJA/iOirUe/N10Mg6DvJU5KtVtFrFOkwvJExSrNyZmip/vR7DvOArTFKk3MkGvcmiwnW8kqIJ6kbKQCSNUMGVhEEt1/k6l20WFhcUJtjTnKmpwtLrMcwL3sLEXgpb8EH7Xi1O7SUV1eTmkorfW2UAghmdQDgT4LbfI7bP6bYfdia7TD8hlEoEZkGHGSNrAggqOgFr1pTqpzm3ph1nTSSbtdF1God1mKyDbF3rJcMoCur1ug2EXMXrug2Xct08vpgJDCt3pubKX8/NGZgXvE1gSLmTDXqCchh7mjMVrh7DvOAtTOylsAUf9PSS6xSrPaXS1WOYF7yFCVJ7YoOe3lJditWeUnMZpsdjmBe8hQlSe2KD9p412ZfXVZOblqrjODykHzdrshPM6ATCmQC3/R6xfU63/bAz2WX6CaFUIjALOswoWZOdoKIT8GZNutaUDtWaSDZro6MwTOIiTYI0XIpADWLrIC+yVZDn6hfRMq2bYtswlzCBYbWm1PgA2bEzUC94m8CQWhMb9ASzJqzWlJrKLr0ew7zgLUyQWhMb9PSypgyrNWXGp8z6PIZ5wVeYZEitiQ16ellThtWaMuPTPH0ew7zgLUyQWhMbtO+sKbMvr6smNy5Vx35vvAMIZnQC4UyA236P2D6n237Ymewy/YRQKhGYBR1mjKwJIKjoBKxZU6ZrTdlQrYlkszZarJJwGSWrYK2GrECEoggKmbRKSef5MlHfN9Hq8cVMYFitKTOWXY6dgXrB2wSG1JrYoKeXNWVYrSkTrh7DvOAtTJBaExv0BOUwVmvKpKvHMC94CxOk1sQG7V0O20soqslTI318SD+uHLYTzOgEwpkAt/0esX1Ot/2wM9n11wmhVCIwCzrMKHLYTlDRCXjlsL4YcWtajxym2Dy5IkKGnRyamSsqR85AveBtArOXvhZ80BOUw1itKTOXXXo8hnnBW5ggtSY26AkWEbBaU2Yuu/R4DPOCtzBBak1s0NPLmnKs1pSbyy49HsO84CtMcqTWxAbtO2vK7SUU1eTmEorfa1YBghmdQDgT4LbfI7bP6bYfdia7TD8hlEoEZkGHGSNrAggqOgFr1pTrYxzzoWMcSTZro7GnFi5lAouxCcxcUem5ShLzgrcJzF76WvBBTy9ryrFaU24uu/R4DPOCtzBBak1s0BOUw1itKReuHsO84C1MkFoTG7R3OWwvoagml0Z6v7fxAgQzOoFwJsBtv0dsn9NtP+xMdv11QiiVCMyCDjOKHLYTVHQCXjmsb6nbmtYjhyk2T08OY4/S5ambM1AveJvA7KWvBR90FyatyKJMrpIgkbVUk10hgzzJl8E6XqfrdR2lSX1BOgerNeXmskuPxzAveAsTpNbEBt2FySoJizpZr4IwitV7V4lSzSuxCtZRnjdt04YivqAwwWpNubns0uMxzAvewgSpNbFBTzC5xmpNubns0uMxzAvewgSpNbFBd2ESr+Ik1L8Mi0hNUCJv1QS1zIIob+okSlPRrC8nTAqs1lSYyy49HsO84CtMCqTWxAbtO7ku7MvrqsnNS9V+r4AHCGZ0AuFMgNt+j9g+p9t+2Jns2dwJoVQiMAs6zBjJNUBQ0QlYk+tC15qKoVoTyWZtNHbE46VMYFitqTCXXfquuYa84G0CQ2pNbNDTS64LrNZUmMsuPR7DvOAtTJBaExv09LKmAqs1FcLVY5gXvIUJUmtig57eRs4Ce66pkK4ew7zgLUzsdYgFH/T0KtcFtvBfmNfAezyGecFbmCAL/2zQ3pNr+3q2anLzevbRbeTjJtd2ghmdQDgT4LbfI7bP6bYfdiZ7NndCKJUIzIIOM0pybSeo6AS8ybU+Q29rWk9yTbF5cpXrAqs1Feayy5EzUC94m8CQWhMb9ASzJqzWVJjLLj0ew7zgLUyQWhMb9OSyJhlCtSb1NlePYV7wFCaKxx4mfNCTy5pkCJ2hp97m6jHMC97CxF6HWPBBe86aZGhfz1ZNbl7P9nrLLUIwoxMIZwLc9nvE9jnd9sPOZJfpJ4RSicAs6DAjZE0IQUUn4MyalFXXe9OOsiaazdpo7OSIS5nAoFqTepubM1AveJvAgFoTH/TksiYZQrUm9TZXj2Fe8BYmQK2JD3qCWRNUa1Jvc/UY5gVvYQLUmvigJ5g1QbUm9TZXj2Fe8BYmQK2JD9p71mRfXldNbl6qzg/px82a7AQzOoFwJsBtv0dsn9NtP+xMdpl+QiiVCMyCDjNK1mQnqOgEvFlTdr03rSdrotisjcaOn76UCQyqNam3uTkD9YK3CQyoNfFBTzBrgmpN6m2uHsO84C1MgFoTH/T0sqYIqzVF5rJLj8cwL/gKkwipNbFBTy9rirBaU2Quu/R4DPOCtzBBak1s0L6zpsi+vK6a3LxUfXTH76hZE0AwoxMIZwLc9nvE9jnd9sPOZJfpJ4RSicAs6DBjZE0AQUUnYM2aIl1rioZqTSSbJ1drirBaU2Quu/TcWI55wdsEhtSa2KCnlzVFWK0pEq4ew7zgLUyQWhMb9ASzJqzWFElXj2Fe8BYmSK2JDXqCWRNWa4pSV49hXvAWJkitiQ3ae9ZkX15XTW5cqk7CQ/pxsyY7wYxOIJwJcNvvEdvndNsPO5Ndpp8QSiUCs6DDjJI12QkqOgFv1qRrTdFQrYlkszYae7jlUiYwrNYUGcsux85AveBtAkNqTWzQE8yasFpTZCy79HkM84K3MEFqTWzQ08uaYqzWFBvLLn0ew7zgK0xipNbEBj29rCnGak2xsezS5zHMC97CBKk1sUH7zppi+/K6anLjUnVydBX0qFkTQDCjEwhnAtz2e8T2Od32w85kl+knhFKJwCzoMGNkTQBBRSdgzZpiXWuKh2pNJJsnlzXFWK0pNpZdjp2BesHbBIbUmtigJ3fUooyxWpMe+t08hnnBW5ggtSY26Okl1zFWa9JN6eYxzAvewgSpNbFBTzC5xmpNsbHs0ucxzAvewgSpNbFBd2GylmJZZ0KlVM2qDkRWZ0EdNjJohMzX8bINi2R9OWECXZ4jY/Pydo/HMC94CxN7HWLBB63+90caXH3mD41hYM/qTvCCanz7urZqetO6dhT5fQwOIJjRCYQzAW77PWL7nG77YaeyZ3UnhFKJwCzoMKMk2XaCik7Am2Tn13vTepJsis3a6ChM5LJd58G6ifSh9kpM1yKXQRiHsm5W61V4SXoHqznFpvJLjzNQL3ibyJCaExv09LKnBKs5JabyS6/HMC/4CpMEqTmxQU+v5pRgNafEVH7p9RjmBW9hgtSc2KCnl2QnMRYmpmXuXo9hXvAWJvZ6xIIP2ndpMrGva6smN69rx4f0o2ZNAMGMTiCcCXDb7xHb53TbDzuTXaafEEolArOgw4yRNQEEFZ2ANWtKkuu9acdZE8nm6U1gWM0pEW7OQL3gbQJDak5s0NNbJU6wmlMiXT2GecFbmCA1JzboCSbXWM0pSV09hnnBW5ggNSc26C5MCrlaptE6DoTS3SrDkoWKJhVXzbJJ6rRJZXen5aWECVZzSszllx6PYV7wFiZIzYkNWteculA5WmQ5dMU32uV7b73zNoMnyjde/ZxCLG4WUiT6JVMvMtIvUr/k6iXV36ZCv+j3ZfqrTP8ij9VLEeoX9eY0DPVL91Ux5Evzwjd+fgTkEVw7azdU2g2VdkOl3VBpN1TaDZV2Q6XdUGk3VNoNlXZDpd1QaTdU2g2VdkOl3VBpN1RDbqjobjhU35AbYAGuvaB1dnGjXpUf9GumX5Un9KvsXnP9mnY/Ud7Qr937s+7rrPut8oh6VS7Rr/pT2in6dfN1v1v0v0zxS1cX2Xacx57Lt4l97V+Nosa1//hoh/i4CxF2ghmdQDgT4LbfI7bP6bZLF9vpI/J+brLDLOgwoyxE2AkqOgHvQkRxvTetZ5ii2NwVXIomTOM0DVarQgmDOsyDYh02wSpfKivzLEpXxeNL0YQCq8sJY4nq2BmoF3xpQoHU5diguzCJl7JJQpEH+WqtlyqiMChq2QRhs1Q/yNXUnDWXEyZYXU4YS1R9HsO84C1MkLocG3QXJnmax8tspfKKJAtVNtqug2IpmiApkrBYF3WdtJezECGwupwwlqj6PIZ5wVuYIHU5Nuguw7zZ6OL/90Yle5XHwl6aUCFgWuaP4vjQG6PKY4BgRicQzgS47feI7XO67Yedy67HTgilEoFZ0GHGkMcAQUUnYJXHQtfpxFCdjmRzJ49luyrCvAiaVspANK2eBpskCNdxntbxqmnqbZRdwoSG1emEcHMG6gVvExpSp2OD7sJE5OFazXZpIHKZBCJro6BeJmGQiHCVxe06FHrb3KWECVanE9LVY5gXvIUJUqdjg95U/dd5mK5XYbCOQ/1UalqokCqKYNm2IkyTdR2K7HLCBKvTCVPJqtdjmBe8hQlSp2OD9r1tTdjLT6rJzeWn5JB+XDlsJ5jRCYQzAW77PWL7nG77YWey668TQqlEYBZ0mFHksJ2gohPwymF9DuHWtB45TLF5ehMYdg6hMB/Jd+QM1AveJjD7I2oLPugJymHsmTBhqrD0egzzgrcwsZfCFnzQ00uuJVZ7kuYj+Xo8hnnBV5hIpPbEBu1bDkt7SUU1ufl4PXFIP6ocBghmdALhTIDbfo/YPqfbftiZ7PrrhFAqEZgFHWYMOQwQVHQCVjkso+u9acdymGTz5OSwxMqd0lT563EG6gVvExhS7mSD3oRJXedN0hRBliYiEEogBbVcqpcwjpZtItdZJC8nTLBzCKX5yac+j0Fe8BYm9tLXgg96gnIYqzVJ4eoxzAvewgSpNbFBe5fD9hKKanJppJeH9OPKYTvBjE4gnAlw2+8R2+d02w87k11/nRBKJQKzoMOMIoftBBWdgFcOy+u9aT1ymGLz9OQwVt6UqZszUC94m8CQ8iYb9AR1DvYYojRXVHo8hnnBW5jYS18LPujdJtGtIvC+SVTaSyoqBIxPisWelwHtBDM6AbPusds+p9t+2LnsE+0JoVQiMAs6zCi6x05Q0Ql4dY8+AlMOHYFJsrmb0LIwacOVmu1k3gQiXS2Dui3aoBB1I9q1XEfL7dOglzChYeVOaar89TgD9YK3CQ0pd7JBT08ep1i5MzU/dUZfOPUUJilS7mSD9r2+k9orPKrJzdWS9JB+VJ0DEMzoBLw6B7B9Trf9sDPZJ9YTQqlEYBZ0mDF0DkBQ0QlYdU6qy53pULmTZPP0JjCs3JmaK39HzkC94G0CQ8qdbNBdmLQizYrVehks07YORNgqObTOmqDNZZ3LJlwKcXS8kL8wwcqdqbny1+MxzAvewgQpd7JB79Z3tqOF9/Wd1F7VUyEgDN6IYs+6x04woxMw6x677XO67Yedyz7RnhBKJQKzoMOMonvsBBWdgFf3iOu9aT26h2JzN0w1RSpVnh/IPC8C0eR50GTrVH0bLuu6TtO4bh9fzISGPd2ZSjdnoF7wNqHZq7ELPuiNPI5XqZRxFKxXasoTYa0vMMjTQERrWURNI/JofTlhgpU/09TVY5gXvIUJUv5kg97I43W9ipN6HaybZhUIpaSCOmqyIFwmRb6MRZsk6eWECVb+TE2VwF6PYV7wFiZI+ZMNenN+pKxXYSriQGZhEoh03QRFmtVBEq/jpg2LdKlXqy8lTLBH7VJzhaXHY5gXvIWJvRS24IP2vlpsL6moJjeVVOIkO6QfN2uyE8zoBMKZALf9HrF9Trf9sDPZZfoJoVQiMAs6zChZk52gohPwZk36ZNGtaT1ZE8XmyemcDCt3ZuYHHY+cgXrB1wSWIeVONuguTKSMlo0Uq6AW63UgWrEMmnyZ</t>
  </si>
  <si>
    <t>B7Jti7au4zyPL2fzRIadLJqZKyw9HsO84C1M7KWwBR/09NZgMqz2lJnLMD0ew7zgLUyQ2hMb9PRKlBlWe8rMZZgej2Fe8BYmSO2JDXpXe9omz95rT5l9uV2FgDB4I4qHbxQfI4sCCGZ0AuFMgNt+j9g+p9t+2Lnssv2EUCoRmAUdZowsCiCo6ASsWVSma09b046zKJLN2mjRhmnWhDKoV6GS0jKXQdG0TdCs1mpazMMkXG4HrEuY0LDaUybdnIF6wduEhtSe2KA3W9DjdbSKlmEQLZex0kgrEeSt+mi7jtq0EGmSx83lhAlWe8pSV49hXvAWJkjtiQ16U1Soi1W8TKMgjxOlkeJEBk1U5EFbZGG0alaZFO3lhAlWe8rMZZgej2Fe8BYmSO2JDdp3USGzl1RUk5tPL/Qsh+0EMzqBcCbAbb9HbJ/TbT/sTHb9dUIolQjMgg4zihy2E1R0Al45rB+1y4YetSPZPL0JDHvULjNXWOhjeV+fs8Kfod/ZS2ELPujpZU05VnvKzWUYegLhKUxypPbEBj29rCnHak+5uQxDTyB8hQlSe2KD1qvFGvyxn1XigSYeWBuPwzAv4jw+pB1V/ub21f0ZnUA4E+C23yO2z+m2H3Yeu946V8gs6EaPIXMBt1d0Aj6Z22eovmqcYun0VAu21ptLN2egXvA2HSFrvWzQE1Qt2CJePrCeNewxzAvewgRZxGOD7sIkjhvZrsUyCNNUBlGkz9rSJ5WEoQxlmudRIS9oNMFS5Xwgaxz2GOYFb2GCpMps0L7Xegt7BvimelM//VbaF4f0o4pdgGBGJxDOBLjt94jtc7rth53JrrpOCKUSgVnQYcYQwQBBRSfgE8Gf13693pt2LIdJNk9uAiuw1ZnCvFBx5AzUC74msAJZnWGDnl7WVMRYmMSuHsO84C1MkJ3BbNDTy5oKbGdwYd4k2+MxzAvewsS+ELTgg57e4ygFdglHIVw9hnnBW5jYd4ku+KC9Z032FSjV5NJEL8JD+nGzJjvBjE4gnAlw2+8R2+d02w87k12mnxBKJQKzoMOMkjXZCSo6AW/WpC/h2JrWkzVRbJ5e1oTtBC5SN2egXvA2gSE7gdmgJ5g1YUWEwrQpttdjmBe8hQlSRGCDnmDWhJ1CUxg3H/Z5DPOCtzCx7xJd8EFPMGvCak3FQNll2GOYF7yFCVJrYoP2nDWloX15/U31JiN9dEg/ZtaEEMzoBMKZALf9HrF9Trf9sDPZZfoJoVQiMAs6zAhZE0JQ0Qk4syZl1fXetKOsiWbzJoaWTZEnq6BdtkkgCqWam3XdBHEuW7lK6yxdbbH8T2BpCNWa1NvcnIF6wdMEpnisUbvgg55c1pSGUK1Jvc3VY5gXvIUJUGvig55c1pSGUK1Jvc3VY5gXvIUJUGvig55c1pSGUK1Jvc3VY5gXvIUJUGvig/aeNdmX11WTSyN9fEg/btZkJ5jRCYQzAW77PWL7nG77YWeyy/QTQqlEYBZ0mFGyJjtBRSfgzZrk9d60nqyJYvPUak1pCNWa1NvcnIF6wdsEBtSa+KAnmDVBtSb1NlePYV7wFiZArYkPeoJZE1RrUm9z9RjmBW9hAtSa+KC9y2F7CUU1ubmEkhzSjyuH7QQzOoFwJsBtv0dsn9NtP+xMdv11QiiVCMyCDjOKHLYTVHQCXjlcXO9N65HDFJsnJ4cj6NQZ9TY3Z6Be8DWBRfbS14IPenpyOMJqTZG57NLjMcwL3sIEqTWxQU9PDkdYrSmKXT2GecFbmCC1Jjbo6RURIqzWFJnLLj0ew7zgLUyQWhMbtD7DajPxHMbBoSu+0S7fe+udtxk8Ub7x6ucUorxRL9mQA4TBAVFytPdsUO1CGLjg1bZX2vZqyPaKbvuhzoVsh6WuNl0pWmW7fu03Xv+GYn1n/sZ635doKEBrB1OjijRSxoNtNEZiDhDM6ATCmQC3/R6xfU63XbrYTh+h9mO1HWZBhxkjMQcIKjoBa2Ie6TrV1rSeYYpisza6Xi6bZV5nQStErLOzQmVn7fJCE3OsThWZSjY9zkC94E0jIXUqNmjP53w+ncjsZRjV9KYyTJT4XWEGCGZ0AuaJzG77nG77Yaeyj5wnhFKJwCzoMKNMZHaCik7AO5Fl13vTeiYyis3a6HW8ElGaJEGb5MXFT2RYiTQy3o9+7AzUC94mMqREyga9SfY1e3IYCIe+gFJNkis22X4cqmw/KYY8YKqyRIkY7LejZPvK9mrI9opu+yjZvrJdvQ4Yr0cfivXa/KN1xNEjKlIRFWc6rLrYSvRLOhBgsamIEyXSc4BFKsAUSqVRKo1SDaFUdJRx4i3S8aZYdNRtYi/pXvtxuggl8DwTgb7Wm/pw3kzjgfV91ZUKheP1hFJlnHU2mtEJhDMBbvs9Yvucbrt0sZ08cg2MTVSjx5DdgNsrOgGf7B4abCiWdgIqlqIRTRvUS5kEoo6LoF7FSVBkcdNmslnGonl8KWI7xh7P0T3WxRmoF3yJ7Rh5PIcNuguTPM3jZbbKgibJwkCk7ToolqIJkiIJi3VR10mbX06YYIuL8cA627DHMC94CxNkcZEN+s+2V85vB29f6mW/yBjb11VUCJjXKDyrGjvBjE7ArGrsts/pth92Lvv0ekIolQjMgg4zitqxE1R0Aj6183nt1+u9aT26h2KzNnop21UR5kXQtFIGahbMg3zVJEG4jvO0jldNU2+j7BImNGyRMTavt/UdGgx5wduEhiwyskFPUPdAZ36pt7l6DPOCtzCx79Ff8EH7flwnse/1flO9yUAfi+G13DF0DkAwoxPw6hzA9jnd9sPOZJ9YTwilEoFZ0GHG0DkAQUUnYNU5iT7zKxk684tk8+QmsAR7DiMxP5Jw5AzUC74msAR5DoMNenpyOImxMBlYEx32GOYFb2FiX7Je8EFvN4/pUdzruk5if8xANb3pMYPI780QCMGMTsCsd+y2z+m2H3Yq+wR7QiiVCMyCDjOK3rETVHQCXr2TXO9N69E7FJsnV89KsHpWItycgXrB20SG1LPYoLswaZplW6+TIpBCLAOR5eugTkM1/UVNvoqaepXI8HLCBLqFXL3N1WOYF7yFif0RjwUftPd1HXs1TzV5aqCPxfCeqVF0jp1gRidg1jl22+d02w87k31iPSGUSgRmQYcZRefYCSo6Aa/OSa/3pvXoHIrN05vAsOPmElMxr8cZqBe8TWD2quuCD3qCchgrcybmk9d6PIZ5wVuYIGVONuj9wQnxYRwcugLaV03yxGbju9Db3UWqXmSsX3L1kgr1kulfZPoXuf5Frn9R6F3yhf5tkd0ssjDUL4l+SfVLoV6iWL9I/aI+kel99Vks9Iv+hN5cn+nN9VmiP5HoTwj9CaE/IfQnpP6E1J+Q+hOp/kSqP5HqT6T6E5n+RKY/kelP5PoTuf5Erj9R6E8U+hOF/kShPpGHgy1srFA6XKYCtRM+B2+28gu9gV81TqUbp9KNU+nGqXTjVLpxKt04lW6cSjdOpRun0o1T6capdONUunEq3TiVbpxKN06lG6fSjVPpxql041S6cSrdOJVunEo3TqUbp9KNU+nGqXTjVLpxKt04lW6cSjdOpRun0o1T6capdONUunEq3TiVbpxKN06lG6fSjVPpxql041RDjVPRG2eUhxNE90CCah31qppHv+b6VTWQes2632bdb/Put3n326J7pKHo3lPoBxt0Q+nXpHtNu9dCv0Zx9yq7V/3ZrHscQjeYfu0+2z0UkXUPRehG06/dZ0X3WdF9VnSfld1nZfdZ2X027T6bdp9Nu8+m3Wez7rNZ99ms+2zefTbvPpt3ny26zxbdZ4vus4X+7FBTdg8NEdpSN+ZFPpghBupCYSpyqX03FJljpIDCXtma0QmEMwFu+z1i+5xuu3SxnTyz9s80ZKPHSPUAt1d0Ar5Ub2CwIVmqTc3adR6F6yYoojjaPwpbX+ZT0AI78kwMrOoPOQP1gi/lLuzllwUfdBcm6ToP0/UqDNZxuA7EMlXvXRVFsGxbEabJug5Fdjlhgi1kC+nqMcwL3sIEWchmg/a0kD3QtAOrHXEY5kUS+j3VRdjXa2Z0Ama1Yrd9Trf9sNPYp81zhcyCbvQoasXu9opOML5aoVg6vWkI2ycvBvLEIWegXvA2DSH75NmgN7tRi3hVrPNVsF7X+r16r1m2ioM4idM6XRYiT8TFhInEdqPKAYU/7DHMC77CRNoTsAUf9EWpFTkg3beUfh+bkPbkY0Yn4FUrgO1zuu2HncY+bZ4rZBZ0o8dQK4DbKzrB6GqFZOnk1IrEkmYp3ZyBesHbNIQkzWzQE1Qr2B4LaVb4fY+RQF7wFib2BGzBB31ZasUs3f1WgqQ9+ZjRCZjVit32Od32w05jnzbPFTILutGjqBW72ys6wfhqhWLp5NRKiiXNqTl/pK929/UoKzy5V+2noRRJmtmgp6dWUqxgmJoVfo/HMC94CxN7Arbgg74otZJKI2V6SDmqWkntyceMTsCrVgDb53TbDzuNfdo8V8gs6EaPoVYAt1d0gtHVCsnS6akVLGlOzfnjkTNQL3ibhpCkmQ16gmoFKximZoXf4zHMC97CxJ6ALfigL0qtZGbpnh1SjqpWMnvyMaMT8KoVwPY53fbDTmOfNs8VMgu60WOoFcDtFZ1gdLVCsnRyaiXDkubMnD8eOQP1gq9pKEOSZjbo6amVDCsYZtLVY5gXvIWJPQFb8EFflloxS/f8kHJctWJPPmZ0Ama1Yrd9Trf9sNPYp81zhcyCbvQoasXu9opOML5aoVg6PbWCJc2ZOX88cgbqBW/TEJI0s0FPT63kWMEwNyv8Ho9hXvAVJrk9AVvwQV+UWsnN0t3vJSy5PfmY0Ql41Qpg+5xu+2GnsU+b5wqZBd3oMdQK4PaKTjC6WiFZOjm1kmNJcy7dnIF6wds0hCTNbNATVCtYwTA3K/y+20YgL3gLE3sCtuCD/rPt1XLb+V43vo/zVz6/DwL7gV0qBIz3Enk+mhMgmNEJmFWN3fY53fbDzmWfXk8IpRKBWdBhRlE7doKKTsCndj6v/Xq9N61H91Bs1kZHRb3O1m0S5EIkgZBpHtRZFAaxjGKxXmViubog3YOt0uQDCxZDzkC94G1CQ1Zp2KCnJ4+LEAqTwnjnfZ/HMC/4CpPCfp/Ugg/a0yrNXucU9jUq1eTGe4mk3xNdAIIZnYBX5wC2z+m2H3Ym+8R6QiiVCMyCDjOGzgEIKjoBq84pouu9acc6h2Tz9CawGJvAYjdnoF7wNoEhd4axQU9PDhfYFqvCdD1Rr8cwL3gLE/uS9YIP2rvOsd9HpJpcGOn9ngUDEMzoBMw6x277nG77YWeyT6wnhFKJwCzoMKPoHDtBRSfg1Tniem9aj86h2Dw9nYPVsQrp5gzUC94mMKSOxQY9QZ2TYmGSunoM84K3MLHfI7Xgg/auc+xVPNXkA1W8Lb3fuhVAMKMTMOscu+1zuu2Hnck+sZ4QSiUCs6DDjKJz7AQVnYBX52TXe9N6dA7F5unpHOyusMJ4bdaxM1AveJvA7NXWBR90FyZh0i7TNouCVbxcBSIvRFDIfKW3b6RRFMpMrovLCROsvFmYKn29HsO84C1MkPImG7RnnZOF9qrdm+pNRnqv588gBDM6AavOQWyf020/7Ez2ifWEUCoRmAUdZgSdgxBUdAJOnaOsut6bdqRzaDZPTedkIfR4jHqbmzNQL3iawBSPNWoXfNCT0zlZCJU31dtcPYZ5wVuYAOVNPmjvOsdetVNNbq7aeT25BiGY0QmYdY7d9jnd9sPOZJ9YTwilEoFZ0GFG0Tl2gopOwKtzkuu9aT06h2Lz9HSOwCYw4eYM1AveJjB7tXXBBz1BnQOVN9XbXD2GecFbmADlTT5o7zrHXrVTTZ4a6b2eeYMQzOgEzDrHbvucbvthZ7JPrCeEUonALOgwo+gcO0FFJ+DVOen13rQenUOxeXo6B3qAWL3NzRmoF7xNYPZq64IPeoI6Bypvqre5egzzgrcwAcqbfNDedY69aqeavDDSez0tByGY0QmYdY7d9jnd9sPOZJ9YTwilEoFZ0GFG0Tl2gopOwKtziuu9aT06h2Lz5HROBD0wrN7m5gzUC74msMhebV3wQU9uH7IixsLEXOnr8RjmBW9hgpQ32aB965zIXrVTTW6s2qXhIf2oOgcgmNEJeHUOYPucbvthZ7JPrCeEUonALOgwY+gcgKCiE7DqnCi+3pt2rHNINk9P50APDKu3uTkD9YK3CcxebV3wQU9vPSfCypuRcPUY5gVvYYKUN9mgvesce9VONbk00keH9OPqHDvBjE7ArHPsts/pth92JvvEekIolQjMgg4zis6xE1R0Al6dI6/3pvXoHIrN2uhGNGEchXWQ12sRiFSkQRPVRbBe1ukySkSY1fXji5nAoAeG1dvcnIF6wdsEZq+2LvigJ6hzsPJmZKz09XkM84K3MEHKm2zQ3nWOvWqnmtxYtUvjQ/pxdY6dYEYnYNY5dtvndNsPO5N9Yj0hlEoEZkGHGUXn2AkqOgGvzsmv96b16ByKzdNbz4EeGFZvc3MG6gVvE5i92rrgg56ezomx8mZsrPT1eQzzgq8wiZHyJhu0b50T26t2qsmNVbvU63nICMGMTsCrcwDb53TbDzuTfWI9IZRKBGZBhxlD5wAEFZ2AVefE0fXetGOdQ7J5cjonjrEJzFzEox8N3NfnrPBn6Hf2auuCD3qCOgcrb8bmSl+PxzAveAsTpLzJBu1d59irdqrJhZHe63nICMGMTsCsc+y2z+m2H3Ym+8R6QiiVCMyCDjOKzrETVHQCXp0jrvem9egcis3T0znYA8O6X7g4A/WCtwnMXm1d8EFPUOdg5U094rh5DPOCtzBBypts0N51jr1qp5rcXLXzeh4yQjCjEzDrHLvtc7rth53JPrGeEEolArOgw4yic+wEFZ2AV+dk13vTenQOxebp6RzsgeHYXMSjHw3c1+es8Gfod/Zq64IPeoI6BytvxoWrxzAveAsTpLzJBu1b5yT2qt2b6k1Ger/nIQMEMzoBr84BbJ/TbT/sTPaJ9YRQKhGYBR1mDJ0DEFR0Aladk+jzkJOh85BJNk9O5yTYA8OJuYhHPxq4r89Z4c/Q7+zV1gUf9PSeK0+w8mZirvT1eAzzgrcwQcqbbNDedY69aqea3Fy183seMkAwoxMw6xy77XO67YedyT6xnhBKJQKzoMOMonPsBBWdgFfn6POQk6HzkEk2T0/nYA8MJ8LNGagXvE1g9mrrgg96gjoHK28m0tVjmBe8hQlS3mSD9q5z7FU71eSpkd7vecgAwYxOwKxz7LbP6bYfdib7xHpCKJUIzIIOM4rOsRNUdAJenaPPQ96a1qNzKDZPT+dgDwwn5iIe/Wjgvj5nhT9Dv7NXWxd80NOrWyVYeTMxV/roRwP7ChOkvMkG7V3n2Kt2qskLI73f85ABghmdgFnn2G2f020/7Ez2ifWEUCoRmAUdZhSdYyeo6AS8Okefh7w1rUfnUGyenM4R2APDwlzEox8N3NfnrPCn9zthr7Yu+KCnp3MEVt4U5kpfj8cwL3gLE6S8yQbtW+cIe9VONbmxapeFh/Sj6hyAYEYn4NU5gO1zuu2Hnck+sZ4QSiUCs6DDjKFzAIKKTsCqc4Q+D3lr2rHOIdk8PZ2DPTAsjEW8Y2egXvA2gdmrrQs+6AnqHKy8KYSrxzAveAsTpLzJBu1d59irdqrJpZHe73nIAMGMTsCsc+y2z+m2H3Ym+8R6QiiVCMyCDjOKzrETVHQCXp2jz0Pemtajcyg2T0/nYA8Mi9TNGagXvE1g9mrrgg96gjoHK28KY6Wvz2OYF7yFCVLeZIP2rnPsVTvV5MaqXRYf0o+rc+wEMzoBs86x2z6n237YmewT6wmhVCIwCzrMKDrHTlDRCXh1jj4PWQydh0yyeXo6B3tgWBRuzkC94G0Cs1dbF3zQ09uHLLHypjRW+vo8hnnBV5hIpLzJBu1b50h71U41ubFql/k9DxkgmNEJeHUOYPucbvthZ7JPrCeEUonALOgwY+gcgKCiE7DqHKnPQ5ZD5yGTbJ6czpExNoGZi3j0o4H7+pwV/gz9zl5tXfBBT1DnYOVNaa709XgM84K3MEHKm2zQ3nWOvWqnmlwY6f2ehwwQzOgEzDrHbvucbvthZ7JPrCeEUonALOgwo+gcO0FFJ+DVOfo85K1pPTqHYvP0dA72wLCUbs5AveBtArNXWxd80BPUOVh5U6auHsO84C1MkPImG7R3nWOv2qkmN1ft/J6HDBDM6ATMOsdu+5xu+2Fnsk+sJ4RSicAs6DCj6Bw7QUUn4NU5+jzkrWk9Oodi8/R0DvbAsDQX8ehHA/f1OSv8Gfqdvdq64IOeoM7BypvSXOnr8RjmBW9hgpQ32aB965zUXrV7U73JSO/3PGSAYEYn4NU5gO1zuu2Hnck+sZ4QSiUCs6DDjKFzAIKKTsCqc1J9HnI6dB4yyebJ6ZwUe2A4NRfx6EcD9/U5K/wZ+p292rrgg57ePuQUK2+m5kpfj8cwL3gLE6S8yQbtXefYq3aqyc1VO7/nIQMEMzoBs86x2z6n237YmewT6wmhVCIwCzrMKDrHTlDRCXh1jj4POR06D5lk8/R0DvbAcCrcnIF6wdsEZq+2LvigJ6hzsPJmKl09hnnBW5gg5U02aO86x161U02eGun9nocMEMzoBMw6x277nG77YWeyT6wnhFKJwCzoMKPoHDtBRSfg1Tn6POStaT06h2Lz9HQO9sBwai7i0Y8G7utzVvgz9Dt7tXXBBz1BnYOVN1NzpY9+NLCvMEHKm2zQ3nWOvWqnmrww0vs9DxkgmNEJmHWO3fY53fbDzmSfWE8IpRKBWdBhRtE5doKKTsCrc/R5yFvTenQOxebJ6ZwMe2A4Mxfx6EcD9/U5K/zp/S6zV1sXfNDT0zkZVt7MzJU++tHAvsIEKW+yQfvWOZm9aqea3Fi1y8ND+lF1DkAwoxPw6hzA9jnd9sPOZJ9YTwilEoFZ0GHG0DkAQUUnYNU5mT4PeWvasc4h2Tw9nYM9MJwZi3jHzkC94G0Cs1dbF3zQE9Q5WHkzE64ew7zgLUyQ8iYbtHedY6/aqSaXRnq/5yEDBDM6AbPOsds+p9t+2JnsE+sJoVQiMAs6zCg6x05Q0Ql4dY4+D3lrWo/Oodg8PZ2DPTCcpW7OQL3gbQKzV1sXfNAbnbNcxmG7kkG7LJZqslvFQV6vsmApkrQRch23Mr2cMMHKm5mx0tfnMcwL3sIEKW+yQXvXOfaqnWpyY9Uujw/px9U5doIZnYBZ59htn9NtP+xM9on1hFAqEZgFHWYUnWMnqOgEvDpHn4ecDZ2HTLJ5ejoHe2A4K9ycgXrB2wRmr7Yu+KCnt56TY+XN3Fjp6/MY5gVfYZIj5U02aN86J7dX7VSTG6t2ud/zkAGCGZ2AV+cAts/pth92JvvEekIolQjMgg4zhs4BCCo6AavOyfV5yPnQecgkmyenc/IYm8DMRTz60cB9fc4Kf4Z+Z6+2LvigJ6hzsPJmbq709XgM84K3MEHKm2zQ3nWOvWqnmlwY6f2ehwwQzOgEzDrHbvucbvthZ7JPrCeEUonALOgwo+gcO0FFJ+DVOfo85K1pPTqHYvP0dA72wHAu3ZyBesHbBGavti74oKd3TmCOlTfz1NVjmBe8hQlS3mSD9q5z7FU71eTmqp3f85ABghmdgFnn2G2f020/7Ez2ifWEUCoRmAUdZhSdYyeo6AS8Okefh7w1rUfnUGyens7BHhjOzUU8+tHAfX3OCn+Gfmevti74oCeoc7DyZl64egzzgrcwQcqbbNC+dU5hr9q9qd5kpPd7HjJAMKMT8OocwPY53fbDzmSfWE8IpRKBWdBhxtA5AEFFJ2DVOYU+D7kYOg+ZZPPkdE6BPTBcmIt49KOB+/qcFf4M/c5ebV3wQU9P5xRYebMwV/p6PIZ5wVuYIOVNNmjvOsdetVNNbq7a+T0PGSCY0QmYdY7d9jnd9sPOZJ9YTwilEoFZ0GFG0Tl2gopOwKtz9HnIxdB5yCSbp6dzsAeGC+HmDNQL3iYwe7V1wQc9vf05BVbeLKSrxzAveAsTpLzJBu1d59irdqrJUyO93/OQAYIZnYBZ59htn9NtP+xM9on1hFAqEZgFHWYUnWMnqOgEvDpHn4e8Na1H51Bsnp7OwR4YLsxFPPrRwH19zgp/hn5nr7Yu+KAnqHOw8mZhrvTRjwb2FSZIeZMN2rvOsVftVJMXRnq/5yEDBDM6AbPOsds+p9t+2JnsE+sJoVQiMAs6zCg6x05Q0Ql4dY4+D3lrWo/Oodg8NZ2Th9ADw+ptbs5AveBpAlM81qhd8EFPTufkIVTeVG9z9RjmBW9hApQ3+aA965w8tFftVJMbq3ZFeEg/ps5BCGZ0Aladg9g+p9t+2JnsE+sJoVQiMAs6zAg6ByGo6AScOkdZdb037Ujn0Gyens6BHhhWb3NzBuoFbxOYvdq64IOeoM6Bypvqba4ew7zgLUyA8iYftPrfH21iRRwGwqEvvtEu33vrnbcZXFG+8ernFGN6o15y9RKF+iXWL0K/6F9E+hex/kWsfxHrX8T6F0L/TCbqJZXqJcuGXCgNLowEvgMV8gM+yWn4SsNXGr7S8JWGrzR8peErDV9p+ErDVxq+0vCVhq80fKXhqyH4ig5/ODlC8PD8qNn1NJje6Ndcvyp8/Rp3r6J77X4bdb+Nu9/G3W/j7rdx91vR/Vw5Qr0qT6jXAVfof4fiC+2MaNsx1H/+0GtuYC9vqWHSVCqKhNdaL0IwoxMIZwLc9nvE9jndduliO33E3U8+dpgFHWaU3MBOUNEJeHOD9HpvWs8wRbFZG92GSSqXUROk67QOoqhdB0UoYq0Sa7FM2jSJl48vRvRBtV71NjdnoF7wJvqAWi8ftPfFLXsJUzW5sYRZeL0EAyGY0QmYJzC77XO67YedyT5inhBKJQKzoMOMMoHZCSo6Ae8Ell/vTeuZwCg2a6PzZZQkiYiCNE+zQLRNEtRtuwpWSboSa1Ev43X4+GImMOjpafU2N2egXvA2gdlLzws+aN8TWGQvYb6p3mSkjwf77BgTGEAwoxPwTmCA7XO67YedyT5inhBKJQKzoMOMMYEBBBWdgHUCi8LrvWnHExjJ5m6hKMnqKC+WQb1chYFowjCoI/VtkYdxnuZZ0hTbHnIBE1iEbS+IjJX2Y2egXvA1gUXI9gI2aO8TmL2iqprcXJ30emw9QjCjEzBPYHbb53TbDzuTfcQ8IZRKBGZBhxllArMTVHQC3glMby+IhrYXkGzWRmdLESVRGAVhXNSBkLlQ41mbBWlRr8JovWrq+nK2F0TY9oLIXGnvOZob84K3CQzZXsAG7X0Cs1fNVZMLI73X88gRghmdgHkCs9s+p9t+2JnsI+YJoVQiMAs6zCgTmJ2gohPwTmDiem9azwRGsVkbLaNlXafpMmizqA1Esl4FtWijIGuTeBU261Yut1F2CRMY9MC+epubM1AveJvAgAf2+aC9T2D2urVq8tRI7/WgaYRgRidgnsDsts/pth92JvuIeUIolQjMgg4zygRmJ6joBLwTmN7EsTWtZwKj2KyNxir5lzKBYZs4ItN+hh5noF7wNoEhmzjYoL1PYPa6tWpycw3Y6wnCCMGMTsA8gdltn9NtP+xM9hHzhFAqEZgFHWaUCcxOUNEJeCcwvYkjGtrEQbJZG41V8i9lAsM2cUSFmzNQL3ibwJBNHGzQview2F63flO9yUjv9WhYhGBGJ+CdwADb53TbDzuTfcQ8IZRKBGZBhxljAgMIKjoB6wQW600c8dAmDpLN2miskn8hE1iMbeKIzfsZeo6/xLzgawKLkU0cbNDeJzB73Vo1ubkG7Pc5MIBgRidgnsDsts/pth92JvuIeUIolQjMgg4zygRmJ6joBLwTmN7EEQ9t4iDZrI3GKvmXMoFhmzhi836GnkeiMC94m8CQTRxs0N4nMHvdWjW5MNJ7PcwRIZjRCZgnMLvtc7rth53JPmKeEEolArOgw4wygdkJKjoB7wSmN3FsTeuZwCg2a6OxSv6lTGDYJg7dL1ycgXrB2wSGbOJgg9an16gP65He64kcsb1+rZo+NXghEp4nMjvBjE7APJHZbZ/TbT/sVPaR84RQKhGYBR1mlInMTlDRCXgnMr2ZY2taz0RGsVkbLZJ8HSZNruS4kIHIRBrU66QJCrEqRJKlYZM0jy9mIsM2c8SmfQ09zkC94G0iQzZzsEF3YVLU6zqrV8sgTkMRiGadB3kUJ0ESFyIWqUrjsvhywgS6fUG9zdVjmBe8hYm90L/gg96s6zRFKsOkDWSeF+q9eR402TpV34ZKNCnVFNft5YQJVlmPTUXmXo9hXvAWJkhlnQ16M+mky6WomyKQSZgGQjRh0ITxKsiSZR2L1VLI9HImnQQ7Cj8xFfP6x1/IC77CJLFXXRd80F2YrJIiXSb6Ct+wXapMK2yDJpVRsFznbV5H4TrOxOWECVbmTEwVv16PYV7wFiZImZMNuguTOF/VMlEJeZilUSCisA6aXLZBruTNKg/rttX7hC4lTGIsTEyVlV6PYV7wFib2EtiCD3ozmrRC5JGul4fJOhDxugmaIkyCdR2twlzINhH15YQJVnNKTOWX/o4FecFbmCA1JzbozbnkbZM1y3Uc1MsoVzpmpaKpTdIgWS4bsVwpdRMmlxMm2LnkiXD1GOYFb2Fir0cs+KA3o0mTZWkR5kGdtatAtOs2qKM2DCKxDFdJU6/W0fpywgQrACTS1WOYF7yFCVIAYIPePCu1TtJ0lTZBFOmQilK9cWspO0XTqp+1eXxBo0mKhYnjWiPqBW9hYl8UXvBBd2GCXZxxKWGCrcImzguSmBe8hQmyCssGvR1N6lWc1Otg3TRq5EliNVVFTRaEy6TIl7FoEx2mlxIm2Cps4rwgiXnBW5ggq7Bs0BttEq2iaCWLoJFrvRS3DIO8EDq4wigNw7hZX9Jogq3CJs4LkpgXvIUJsgrLBu17d52wLy6+qd5koE/C8JB+1E0JAMGMTiCcCXDb7xHb53TbDzuTvQp+QiiVCMyCDpM6w7iG0usIQUUnYN2UIPTzTWLo+SaSzZObwAS28C9Ma+A9zkC94GsCE8jCPxv09LImgS38C9MaeK/HMC94CxNk4Z8NenprMAJb+BemNfBej2Fe8BYmyMI/G/T0VnQFtvAvhKvHMC94CxNk4Z8NevPsdV2s4mUaBSp0dC0pkUETFXnQFlkYrZpVJkV7OWGCLfwL6eoxzAvewgRZ+GeDnl4ZUWAL/8K0Bt7rMcwL3sIEWfhng57e3hWBLfwL0xp4r8cwL3gLE2Thnw16entXBLbwL0xr4P3TNOQFb2GCLPyzQU9vw6TAFv6FaQ2832OQF7yFCbLwzwY9vV36Ett+LR3XGlEv+AoTaV8UXvBBT++ZH4mtwkrnBUnMC97CBFmFZYOe3hOEEluFlc4LkpgXvIUJsgrLBu272izti4uqyc2Li37v9AYIZnQC4UyA236P2D6n237YmezlzRNCqURgFnSY1BnGNZReRwgqOgFrtVkm13vTjqvNJJsnV22W2MK/FG7OQL3gbQJDFv7ZoKe3+VJiC/9SunoM84K3MEEW/tmgp1dtltjCvzSvgfd6DPGCtzBBFv7ZoKdXbZbYwr80r4H3jb+QF7yFCbLwzwY9vTKixBb+pXkNvMdjmBe8hQmy8M8GPb0yosQW/qV5DbzHY5gXvIUJsvDPBj29MmKKLfyn5jXwvvEX8oKvMEmRhX826OmVEVNs4T81r4H3eQzygrcwQRb+2aCnd4pTii38p+Y18B6PYV7wFibIwj8b9PTKiCm2/Tp1XGtEveAtTOyLwgs+6OmVEVNsFTYVrh7DvOAtTJBVWDZo32XE1L64qJpcGunjQ/pRy4gAwYxOIJwJcNvvEdvndNsPO5O9bnVCKJUIzIIOkzrDuIbS6whBRSdgLSOm8npv2nEZkWTz5MqIKbbwn5rXwI+cgXrB2wSGLPyzQU+vPpRiC/+peQ28x2OYF7yFCbLwzwY9vfpQii38p+Y18L6OBXnBW5ggC/9s0NN7GjHFFv5T8xp4j8cwL3gLE2Thnw16emXEDFv4z8xr4D0ew7zgK0wyZOGfDXp6ZcQMW/jPzGvgPR7DvOAtTJCFfzbo6ZURM2zhPzOvgfd4DPOCtzBBFv7ZoKdXRsywhf/MvAbe5zHIC97CBFn4Z4OeXhkxwxb+NZ2bxzAveAsTZOGfDXp6ZcQM236dSVePYV7wFib2ReEFH/T0yogZtgqbOS9IYl7wFibIKiwbtPrfH3XkG3CllL1c0DvQ1KZFxUj6fQoxsy+LzugEwpkAt/0esX1Ot/2wE9nrVecKmQXd6NTZaNeQeR1xe0UnYC0TZtn13rTjMiHJZj3yaMO34fJ0yDmMn2+0y/feeuft84fQ58s3Xv2cYituFkUYDg29xtPpZQxHFISBB5W2vdK2V0O2V3TbD2MJsh0OJ226jpri5sUXh4zXv6dYfwGT2X6PTGZf61aTnGmtO5JisI1GmeTsBDM6AfMkZ7d9TrdduthOH6H2KtEOs6DDjDL52QkqOgHv5Fdc703rGaYoNnd1KBkvQ5FnKuEXeqOELkuk6SqQ2VqGWag+rculF5Kd5VgdKjfegXvsDNQLvrKzHKlDsUFvwiRPRNu0KtdPilUgomUc5HEbBusmTZJ8lYWFvhnlUsIEq0Plxjtwez0GecFbmCB1KDboLkySvIiWuRRBEaVNIESWqq9WyyATiayXTbQuVu3lhAlWh8pNJZlej2Fe8BYmSB2KDXoTJvVyuSxWTbBc6pEnjcOgjmI1EGWFFK0Kqby5nJXjHKtD5aaSTL/HIC94CxOkDsUGvV05btIsbOMgK/I8EFkRB02aLgO5bldxWi9lmsjLCROsDpULV49hXvAWJkgdig16EyZFmIS1eu8qL1RIJa3egNXUwSqO2jYtVkuZX06BIcfqULl09hjkBW9hgtSh2KA3YdKEtWyjdbCM12s1QQk1VSWNkjWyKeR62Uat1kaXEiZYHSo3lWT6PQZ5wVuYIHUoNujNSnAUNVkjkqCulcgVSRgFRSvbQNSrOlwlWSMzeTlhgj0NkJuXxns8hnnBW5jYaxgLPuguTNK4VaOLUENNEauRZ71SIVXrTZyyiVZhErdJfEEJMfY0QG5e6+7xGOYFb2GCPA3ABr0JkzRUElfKIFmuVPKsn0jK5TrSH1hFy+WqCOsL0ibY0wC541oj6gVvYWJfFF7wQW/CpFZ6JcnXQVMs1chTZ02Qt+rbOstXRR6vVrIWFxMmBbYKWzgvSGJe8BUmBbIKywbdhUkWhqs0L9SMFK6T7lnGIF/FMojqdZGn0SpdXlBCXGCrsIXzgiTmBW9hgqzCskF3YZLXTZ1lqQyaZaOSZ9FmQSPzZbBuQrGUqzhXauZywgRbhS2cFyQxL3gLE2QVlg16s383KcSy0SlzvswC0cZhUKxyEcS5lIUM2zq7oNJfga3CFs4LkpgXvIUJsgrLBt2FSZ2ulLKtU5UtdyNPXQR1riaoNFymy7SVRa0v5LuUMMFWYQvh6jHMC97CBFmFZYPuwqSRTVwXUv2y0Pc/1/VKTVBLEbRNIts8b8JldDkPtBbYKmwhXT2GecFbmCCrsGzQmzDJ07ptZRJESbPWDyPVQS3qJJChkLEuKIft5ZT+CmwVtnBekMS84C1MkFVYNuguTJZZlq3TSASrPI8DkcXLoJarZZBKuZJxIVarC1peK7BV2MJ5QRLzgrcwQVZh2aA3YbJcZlGStkEuIpU8RyIP9FAUtHESy6iNIrG6oNEEW4UtnBckMS94CxNkFZYNuguT9Vo02SpaBWmtn5FeR1FQF8UyiLOmCdd5s5bt8nLCBFuFLZwXJDEveAsTZBWWDVrHibH57dvCT6B/VIT2xcU31ZsM9EmYHNKPuUsfIZjRCYQzAW77PWL7nG77YWeybws/IZRKBGZBh0mdYVxD6XWEoKITcO7SV1Zd7007MLl7zIhgszYa26p9GRNYEUIL/+ptbs5AveBpAlM81qhd8EF3YRK1dRipiS1IUr1oE+ZLvVU7CZpVu5ZpmMosDi8nTKCFf/U2V49hXvAWJsDCPx/05tHETGVSdZwGq2WuNFHaKuks0zqIRZNHsczqZBcVlxAm0MJ/EZpPxOnxGOYFb2ECLPzzQU/uYY4ihBb+1dtcPYZ5wVuYAAv/fNCbfbVRGhd5KII01++tMxnUukZdyLZOllGS1PkFjSbQwr96m6vHMC94CxNg4Z8PenIPcxQhtPCv3ubsMcgL3sIEWPjng57c9usihBb+1dtcPYZ5wVuYAAv/fNCbMCmSYqX+kt67IDbvzZNayd0srJdJnhRtfkFhAi38q7c5ewzygrcwARb++aAnt6+2CKGFf/U2V49hXvAWJsDCPx/05PbVFhG0/Vq9zdVjmBd8hUlkXxRe8EFvwkTNQG2oUuYwlXEgcvXSNFEbJK1o9a/U16vLCRNsFTZyXpDEvOAtTJBVWDboyW2/LiJsFTZyXpDEvOAtTJBVWDboyW2YLCJsFTZyXpDEvOAtTJBVWDboyW2YLCJsFTYSzh6DvOAtTJBVWDbo7YZJsRRiJYJlpD6gfq+S5yjKgnWrBEwaNnLZpJcTJtgqbCRdPYZ5wVuYIKuwbNCT21dbRNgqbOS8IIl5wVuYIKuwbNCbDZN1tMxjNTfljdYxKoaColHzVd0URSjTJE91TelSwgRbhY2cFyQxL3gLE2QVlg36z7qTs/9su+/kSIEc+gM6u5nkju747CIqhhxg3lgsDx0w6snZQ2ZXdLMPd7dBZsMb3DaHZg+ZrX9DsbsLId8RFA+cvV5EpqXHSKZ+I2jA7Ipu9igRNGB2F1sEu7XhxZFwGT2EooEQis2nQmSeQ6jf7Ipu9jgh1G92F1wEu7tBaBsxvg7t7+N5U4EacYrBZhhj239sX2+d0QmEMwFu+z1i+5xuu3SxnTz0DAw4VKMPBxy70a4h8zri9opOwLq9P46u96b1jDsUm/c6+s9+7+aZv/l7/+73vhipnzz3xzYfuXnmr+x+8o33/l9fb7+hyH9v/c7b7+n/Lt/5+jvv6i/qd/9Do//aF+MvSpFnKl/5vbfrP9b/wOtv/XH7jauvtP/56v6dP67fVv/aN976P9Qvovjm9/707VX77tffelu/7+131H/Ux+qvv/Uf3tZxqf/sf3zn3bf+D/Vv1V9X7/h6u35Pffz/0b773lvL7idL9bb2XfWz//xu/Sevt/9P9Zn33v3TVv2VRiG273a2Nu+89947f7z5Sv+w1BS7f/CmByHs/qeyj5vfW71V/4d33tb/FuXTncGkT7771n/4j8SPvvfOn1A+qD65fuvrHaj+r45P9YZvvPN11fw6FlYvDX5WB0b97nvHb9jFgg6GP/3jpn33i++8q8JsE0D6q5feWel/5ZX27fZd5WT1vj959533NvO4ftfX31n+p1aF3+7HrbZl06nUD996+z+qkew9bfz/H7AmCHc=</t>
  </si>
  <si>
    <t>object_element_guid</t>
  </si>
  <si>
    <t>id</t>
  </si>
  <si>
    <t>zeroParent_id</t>
  </si>
  <si>
    <t>material_guid</t>
  </si>
  <si>
    <t>work_guid</t>
  </si>
  <si>
    <t>hwd_guid</t>
  </si>
  <si>
    <t>cost_item_guid</t>
  </si>
  <si>
    <t>Номер п/п</t>
  </si>
  <si>
    <t>Код узла ИСР</t>
  </si>
  <si>
    <t>Наименование затрат</t>
  </si>
  <si>
    <t>Комментарий по ИСР</t>
  </si>
  <si>
    <t>Комментарий подрядчика</t>
  </si>
  <si>
    <t>Ед. изм.</t>
  </si>
  <si>
    <t>Коэф.расхода</t>
  </si>
  <si>
    <t>Кол-во БО</t>
  </si>
  <si>
    <t>Общее кол-во</t>
  </si>
  <si>
    <t>Цена, руб. с НДС</t>
  </si>
  <si>
    <t>Материалы/
оборудование</t>
  </si>
  <si>
    <t>СМР, ПНР</t>
  </si>
  <si>
    <t>Стоимость, руб с НДС</t>
  </si>
  <si>
    <t>Общая стоимость,
руб. с НДС</t>
  </si>
  <si>
    <t>1. Встроенное и Встроенно-пристроенное СКБ</t>
  </si>
  <si>
    <t>6bc2bba0-e4f5-480f-887f-a430a3541dda</t>
  </si>
  <si>
    <t>1.1</t>
  </si>
  <si>
    <t>6</t>
  </si>
  <si>
    <t>Затраты на строительство</t>
  </si>
  <si>
    <t>1.1.1</t>
  </si>
  <si>
    <t>6.3</t>
  </si>
  <si>
    <t>Отделка, столярные работы, мебель и оборудование</t>
  </si>
  <si>
    <t>1.1.1.1</t>
  </si>
  <si>
    <t>6.3.1</t>
  </si>
  <si>
    <t>Отделка нежилых помещений</t>
  </si>
  <si>
    <t>1.1.1.1.1</t>
  </si>
  <si>
    <t>6.3.1.5</t>
  </si>
  <si>
    <t>Отделка СКБ</t>
  </si>
  <si>
    <t>1.1.1.1.1.1</t>
  </si>
  <si>
    <t>6.3.1.5.1</t>
  </si>
  <si>
    <t>Полы</t>
  </si>
  <si>
    <t>1.1.1.1.1.1.1</t>
  </si>
  <si>
    <t>6.3.1.5.1.1</t>
  </si>
  <si>
    <t xml:space="preserve">Подготовка полов под финишное покрытие </t>
  </si>
  <si>
    <t>1.1.1.1.1.1.1.1</t>
  </si>
  <si>
    <t>6.3.1.5.1.1.3.1</t>
  </si>
  <si>
    <t xml:space="preserve">Устройство наливных полов с огрунтовкой поверхности и проклейкой демпферной лентой / толщ. до 10 мм </t>
  </si>
  <si>
    <t>Вне зависимости от способа выполнения работ механизировано или вручную.</t>
  </si>
  <si>
    <t>2 этаж</t>
  </si>
  <si>
    <t>м2</t>
  </si>
  <si>
    <t>b30e711e-fd2e-4402-9c1c-fd9dc1b88c63</t>
  </si>
  <si>
    <t>406d96a2-5db4-4f45-9273-4d1b12717a82</t>
  </si>
  <si>
    <t>8a7cac49-151b-40fd-a08b-5e72f8ff4034</t>
  </si>
  <si>
    <t>1.1.1.1.1.1.1.1.1</t>
  </si>
  <si>
    <t>Наливной пол_ / Унифицированный по ПИК-СТАНДАРТ</t>
  </si>
  <si>
    <t>кг</t>
  </si>
  <si>
    <t>271132062.843695</t>
  </si>
  <si>
    <t>16194152.843695</t>
  </si>
  <si>
    <t>df4d871a-815e-4066-8cc1-e339f3f3c9fe</t>
  </si>
  <si>
    <t>1.1.1.1.1.1.1.1.2</t>
  </si>
  <si>
    <t>Грунтовка универсальный ЛАСТИМИН_ / УНКОНТ ЛЮКС LP51 А</t>
  </si>
  <si>
    <t>271132062.1139608</t>
  </si>
  <si>
    <t>16194152.1139608</t>
  </si>
  <si>
    <t>bbceaf39-544c-478f-a605-41b8d1bad350</t>
  </si>
  <si>
    <t>1.1.1.1.1.1.1.2</t>
  </si>
  <si>
    <t>Устройство наливных полов с огрунтовкой поверхности и проклейкой демпферной лентой / толщ. до 10 мм</t>
  </si>
  <si>
    <t>3 этаж</t>
  </si>
  <si>
    <t>1.1.1.1.1.1.1.2.1</t>
  </si>
  <si>
    <t>271132160.1139608</t>
  </si>
  <si>
    <t>19810509.1139608</t>
  </si>
  <si>
    <t>1.1.1.1.1.1.1.2.2</t>
  </si>
  <si>
    <t>Лента кромочная демпферная_/8*100мм/20м</t>
  </si>
  <si>
    <t>пог. м</t>
  </si>
  <si>
    <t>271132160.55045</t>
  </si>
  <si>
    <t>19810509.55045</t>
  </si>
  <si>
    <t>41f707b9-71e7-4101-86f2-7af29d65f5fe</t>
  </si>
  <si>
    <t>1.1.1.1.1.1.1.2.3</t>
  </si>
  <si>
    <t>271132160.843695</t>
  </si>
  <si>
    <t>19810509.843695</t>
  </si>
  <si>
    <t>1.1.1.1.1.1.1.3</t>
  </si>
  <si>
    <t>6.3.1.5.1.1.7.1</t>
  </si>
  <si>
    <t xml:space="preserve">Замоноличивание мест прохождения стояков труб </t>
  </si>
  <si>
    <t>Замоноличивание проходок инж. сетей в перекрытиях 2-3 этаж, 3 этаж-кровля.</t>
  </si>
  <si>
    <t>м3</t>
  </si>
  <si>
    <t>c6b72d85-3f72-4415-9bd5-121dffd3d013</t>
  </si>
  <si>
    <t>dc62b021-05c5-449f-ae46-459af710dd98</t>
  </si>
  <si>
    <t>1.1.1.1.1.1.1.3.1</t>
  </si>
  <si>
    <t>Смесь цементно-песчаная М200</t>
  </si>
  <si>
    <t>271132064.19141</t>
  </si>
  <si>
    <t>19810929.19141</t>
  </si>
  <si>
    <t>ee25efe9-b517-11e8-80e5-005056881952</t>
  </si>
  <si>
    <t>1.1.1.1.1.1.1.4</t>
  </si>
  <si>
    <t>6.3.1.5.1.1.11.3</t>
  </si>
  <si>
    <t>Устройство стяжки СКБ / армированная сеткой от 41 мм до 60мм</t>
  </si>
  <si>
    <t>2 этаж. Стяжка полусухая армированная, толщиной 50 мм.
Тип: П18, П-18.1</t>
  </si>
  <si>
    <t>ab62b66c-87c5-4996-bbcc-d9044c8dc3c3</t>
  </si>
  <si>
    <t>52f6b76b-892a-4180-890e-fe6cef6a41a6</t>
  </si>
  <si>
    <t>1.1.1.1.1.1.1.4._</t>
  </si>
  <si>
    <t>Толщина стяжки 50 мм</t>
  </si>
  <si>
    <t>1.1.1.1.1.1.1.4.1</t>
  </si>
  <si>
    <t>Фиксатор арматуры Звездочка_/15/4-16</t>
  </si>
  <si>
    <t>шт</t>
  </si>
  <si>
    <t>271132066.55160</t>
  </si>
  <si>
    <t>17497283.55160</t>
  </si>
  <si>
    <t>89d26042-545e-4f2c-9700-1029a9f50251</t>
  </si>
  <si>
    <t>1.1.1.1.1.1.1.4.1._</t>
  </si>
  <si>
    <t>225249743.55160</t>
  </si>
  <si>
    <t>1.1.1.1.1.1.1.4.2</t>
  </si>
  <si>
    <t>Фиброволокно_/7-12мм</t>
  </si>
  <si>
    <t>271132066.55232</t>
  </si>
  <si>
    <t>17497283.55232</t>
  </si>
  <si>
    <t>bd320fa7-be44-4331-a58e-95813bb9e282</t>
  </si>
  <si>
    <t>1.1.1.1.1.1.1.4.2._</t>
  </si>
  <si>
    <t>225249743.55232</t>
  </si>
  <si>
    <t>1.1.1.1.1.1.1.4.3</t>
  </si>
  <si>
    <t>Сетка эл/св_/100*100*5</t>
  </si>
  <si>
    <t>271132066.55156</t>
  </si>
  <si>
    <t>17497283.55156</t>
  </si>
  <si>
    <t>bf82eb44-b4c2-419c-ba3f-021582715b59</t>
  </si>
  <si>
    <t>1.1.1.1.1.1.1.4.3._</t>
  </si>
  <si>
    <t>225249743.55156</t>
  </si>
  <si>
    <t>1.1.1.1.1.1.1.4.4</t>
  </si>
  <si>
    <t>Портландцемент_/М500</t>
  </si>
  <si>
    <t>271132066.54610</t>
  </si>
  <si>
    <t>17497283.54610</t>
  </si>
  <si>
    <t>4a099601-9ad5-4c20-8e6b-ef3d52a116bd</t>
  </si>
  <si>
    <t>1.1.1.1.1.1.1.4.4._</t>
  </si>
  <si>
    <t>225249743.54610</t>
  </si>
  <si>
    <t>1.1.1.1.1.1.1.4.5</t>
  </si>
  <si>
    <t>Песок_ / речной / мытый</t>
  </si>
  <si>
    <t>271132066.57723</t>
  </si>
  <si>
    <t>17497283.57723</t>
  </si>
  <si>
    <t>655ab1c6-b4c5-44df-817a-5132d49d1788</t>
  </si>
  <si>
    <t>1.1.1.1.1.1.1.4.5._</t>
  </si>
  <si>
    <t>225249743.57723</t>
  </si>
  <si>
    <t>1.1.1.1.1.1.1.4.6</t>
  </si>
  <si>
    <t>271132066.55045</t>
  </si>
  <si>
    <t>17497283.55045</t>
  </si>
  <si>
    <t>1.1.1.1.1.1.1.4.6._</t>
  </si>
  <si>
    <t>225249743.55045</t>
  </si>
  <si>
    <t>1.1.1.1.1.1.1.4.7</t>
  </si>
  <si>
    <t>271132066.1139608</t>
  </si>
  <si>
    <t>17497283.1139608</t>
  </si>
  <si>
    <t>1.1.1.1.1.1.1.4.7._</t>
  </si>
  <si>
    <t>225249743.1139608</t>
  </si>
  <si>
    <t>1.1.1.1.1.1.1.5</t>
  </si>
  <si>
    <t>2 этаж. Стяжка полусухая армированная, толщиной 60 мм</t>
  </si>
  <si>
    <t>1.1.1.1.1.1.1.5._</t>
  </si>
  <si>
    <t>Толщина стяжки 60 мм</t>
  </si>
  <si>
    <t>1.1.1.1.1.1.1.5.1</t>
  </si>
  <si>
    <t>271132161.1139608</t>
  </si>
  <si>
    <t>17497284.1139608</t>
  </si>
  <si>
    <t>1.1.1.1.1.1.1.5.1._</t>
  </si>
  <si>
    <t>225249798.1139608</t>
  </si>
  <si>
    <t>1.1.1.1.1.1.1.5.2</t>
  </si>
  <si>
    <t>271132161.55045</t>
  </si>
  <si>
    <t>17497284.55045</t>
  </si>
  <si>
    <t>1.1.1.1.1.1.1.5.2._</t>
  </si>
  <si>
    <t>225249798.55045</t>
  </si>
  <si>
    <t>1.1.1.1.1.1.1.5.3</t>
  </si>
  <si>
    <t>271132161.57723</t>
  </si>
  <si>
    <t>17497284.57723</t>
  </si>
  <si>
    <t>1.1.1.1.1.1.1.5.3._</t>
  </si>
  <si>
    <t>225249798.57723</t>
  </si>
  <si>
    <t>1.1.1.1.1.1.1.5.4</t>
  </si>
  <si>
    <t>271132161.54610</t>
  </si>
  <si>
    <t>17497284.54610</t>
  </si>
  <si>
    <t>1.1.1.1.1.1.1.5.4._</t>
  </si>
  <si>
    <t>225249798.54610</t>
  </si>
  <si>
    <t>1.1.1.1.1.1.1.5.5</t>
  </si>
  <si>
    <t>271132161.55156</t>
  </si>
  <si>
    <t>17497284.55156</t>
  </si>
  <si>
    <t>1.1.1.1.1.1.1.5.5._</t>
  </si>
  <si>
    <t>225249798.55156</t>
  </si>
  <si>
    <t>1.1.1.1.1.1.1.5.6</t>
  </si>
  <si>
    <t>271132161.55232</t>
  </si>
  <si>
    <t>17497284.55232</t>
  </si>
  <si>
    <t>1.1.1.1.1.1.1.5.6._</t>
  </si>
  <si>
    <t>225249798.55232</t>
  </si>
  <si>
    <t>1.1.1.1.1.1.1.5.7</t>
  </si>
  <si>
    <t>271132161.55160</t>
  </si>
  <si>
    <t>17497284.55160</t>
  </si>
  <si>
    <t>1.1.1.1.1.1.1.5.7._</t>
  </si>
  <si>
    <t>225249798.55160</t>
  </si>
  <si>
    <t>1.1.1.1.1.1.1.6</t>
  </si>
  <si>
    <t>Устройство стяжки СКБ / армированная сеткой от 41 мм до 60 мм</t>
  </si>
  <si>
    <t>3 этаж. Стяжка толщиной 60 мм. Тип: П-14</t>
  </si>
  <si>
    <t>1.1.1.1.1.1.1.6.1</t>
  </si>
  <si>
    <t>271132162.1139608</t>
  </si>
  <si>
    <t>19810928.1139608</t>
  </si>
  <si>
    <t>1.1.1.1.1.1.1.6.2</t>
  </si>
  <si>
    <t>271132162.55045</t>
  </si>
  <si>
    <t>19810928.55045</t>
  </si>
  <si>
    <t>1.1.1.1.1.1.1.6.3</t>
  </si>
  <si>
    <t>271132162.55156</t>
  </si>
  <si>
    <t>19810928.55156</t>
  </si>
  <si>
    <t>1.1.1.1.1.1.1.6.4</t>
  </si>
  <si>
    <t>Смесь цементно-песчаная сухая_/М150</t>
  </si>
  <si>
    <t>271132162.54611</t>
  </si>
  <si>
    <t>19810928.54611</t>
  </si>
  <si>
    <t>a1146549-61c5-4487-b5c7-fb7d0d185669</t>
  </si>
  <si>
    <t>1.1.1.1.1.1.1.6.5</t>
  </si>
  <si>
    <t>271132162.55160</t>
  </si>
  <si>
    <t>19810928.55160</t>
  </si>
  <si>
    <t>1.1.1.1.1.1.1.7</t>
  </si>
  <si>
    <t>2 этаж. Стяжка толщиной 60 мм. П-14</t>
  </si>
  <si>
    <t>1.1.1.1.1.1.1.7.1</t>
  </si>
  <si>
    <t>271132163.1139608</t>
  </si>
  <si>
    <t>20229446.1139608</t>
  </si>
  <si>
    <t>1.1.1.1.1.1.1.7.2</t>
  </si>
  <si>
    <t>271132163.55045</t>
  </si>
  <si>
    <t>20229446.55045</t>
  </si>
  <si>
    <t>1.1.1.1.1.1.1.7.3</t>
  </si>
  <si>
    <t>271132163.55156</t>
  </si>
  <si>
    <t>20229446.55156</t>
  </si>
  <si>
    <t>1.1.1.1.1.1.1.7.4</t>
  </si>
  <si>
    <t>271132163.54611</t>
  </si>
  <si>
    <t>20229446.54611</t>
  </si>
  <si>
    <t>1.1.1.1.1.1.1.7.5</t>
  </si>
  <si>
    <t>271132163.55160</t>
  </si>
  <si>
    <t>20229446.55160</t>
  </si>
  <si>
    <t>1.1.1.1.1.1.1.8</t>
  </si>
  <si>
    <t>2 этаж. Стяжка толщиной 50 мм. Тип: П18, П-18.1</t>
  </si>
  <si>
    <t>1.1.1.1.1.1.1.8.1</t>
  </si>
  <si>
    <t>271132164.1139608</t>
  </si>
  <si>
    <t>20229516.1139608</t>
  </si>
  <si>
    <t>1.1.1.1.1.1.1.8.2</t>
  </si>
  <si>
    <t>271132164.55045</t>
  </si>
  <si>
    <t>20229516.55045</t>
  </si>
  <si>
    <t>1.1.1.1.1.1.1.8.3</t>
  </si>
  <si>
    <t>271132164.55156</t>
  </si>
  <si>
    <t>20229516.55156</t>
  </si>
  <si>
    <t>1.1.1.1.1.1.1.8.4</t>
  </si>
  <si>
    <t>271132164.54611</t>
  </si>
  <si>
    <t>20229516.54611</t>
  </si>
  <si>
    <t>1.1.1.1.1.1.1.8.5</t>
  </si>
  <si>
    <t>271132164.55160</t>
  </si>
  <si>
    <t>20229516.55160</t>
  </si>
  <si>
    <t>1.1.1.1.1.1.1.9</t>
  </si>
  <si>
    <t>6.3.1.5.1.1.11.4</t>
  </si>
  <si>
    <t>Устройство стяжки СКБ / армированная сеткой от 61мм до 80мм</t>
  </si>
  <si>
    <t>2 этаж. Стяжка полусухая армированная, толщиной 65 мм</t>
  </si>
  <si>
    <t>69309f48-e9fb-4ccc-8a31-9b4745ed871a</t>
  </si>
  <si>
    <t>23adf7dc-e836-4d8a-ab74-26a79242b402</t>
  </si>
  <si>
    <t>1.1.1.1.1.1.1.9._</t>
  </si>
  <si>
    <t>Толщина стяжки 65 мм</t>
  </si>
  <si>
    <t>1.1.1.1.1.1.1.9.1</t>
  </si>
  <si>
    <t>271132067.55160</t>
  </si>
  <si>
    <t>17497285.55160</t>
  </si>
  <si>
    <t>1.1.1.1.1.1.1.9.1._</t>
  </si>
  <si>
    <t>225249744.55160</t>
  </si>
  <si>
    <t>1.1.1.1.1.1.1.9.2</t>
  </si>
  <si>
    <t>271132067.55232</t>
  </si>
  <si>
    <t>17497285.55232</t>
  </si>
  <si>
    <t>1.1.1.1.1.1.1.9.2._</t>
  </si>
  <si>
    <t>225249744.55232</t>
  </si>
  <si>
    <t>1.1.1.1.1.1.1.9.3</t>
  </si>
  <si>
    <t>271132067.55156</t>
  </si>
  <si>
    <t>17497285.55156</t>
  </si>
  <si>
    <t>1.1.1.1.1.1.1.9.3._</t>
  </si>
  <si>
    <t>225249744.55156</t>
  </si>
  <si>
    <t>1.1.1.1.1.1.1.9.4</t>
  </si>
  <si>
    <t>271132067.54610</t>
  </si>
  <si>
    <t>17497285.54610</t>
  </si>
  <si>
    <t>1.1.1.1.1.1.1.9.4._</t>
  </si>
  <si>
    <t>225249744.54610</t>
  </si>
  <si>
    <t>1.1.1.1.1.1.1.9.5</t>
  </si>
  <si>
    <t>271132067.57723</t>
  </si>
  <si>
    <t>17497285.57723</t>
  </si>
  <si>
    <t>1.1.1.1.1.1.1.9.5._</t>
  </si>
  <si>
    <t>225249744.57723</t>
  </si>
  <si>
    <t>1.1.1.1.1.1.1.9.6</t>
  </si>
  <si>
    <t>271132067.55045</t>
  </si>
  <si>
    <t>17497285.55045</t>
  </si>
  <si>
    <t>1.1.1.1.1.1.1.9.6._</t>
  </si>
  <si>
    <t>225249744.55045</t>
  </si>
  <si>
    <t>1.1.1.1.1.1.1.9.7</t>
  </si>
  <si>
    <t>271132067.1139608</t>
  </si>
  <si>
    <t>17497285.1139608</t>
  </si>
  <si>
    <t>1.1.1.1.1.1.1.9.7._</t>
  </si>
  <si>
    <t>225249744.1139608</t>
  </si>
  <si>
    <t>1.1.1.1.1.1.1.10</t>
  </si>
  <si>
    <t>Устройство стяжки СКБ / армированная сеткой от 61мм до 80 мм</t>
  </si>
  <si>
    <t>3 этаж. Стяжка толщиной 65 мм. Тип: П-12, П-13, П-15, П-16.</t>
  </si>
  <si>
    <t>1.1.1.1.1.1.1.10.1</t>
  </si>
  <si>
    <t>271132165.1139608</t>
  </si>
  <si>
    <t>19811234.1139608</t>
  </si>
  <si>
    <t>1.1.1.1.1.1.1.10.2</t>
  </si>
  <si>
    <t>271132165.55045</t>
  </si>
  <si>
    <t>19811234.55045</t>
  </si>
  <si>
    <t>1.1.1.1.1.1.1.10.3</t>
  </si>
  <si>
    <t>271132165.55156</t>
  </si>
  <si>
    <t>19811234.55156</t>
  </si>
  <si>
    <t>1.1.1.1.1.1.1.10.4</t>
  </si>
  <si>
    <t>271132165.54611</t>
  </si>
  <si>
    <t>19811234.54611</t>
  </si>
  <si>
    <t>1.1.1.1.1.1.1.10.5</t>
  </si>
  <si>
    <t>271132165.55160</t>
  </si>
  <si>
    <t>19811234.55160</t>
  </si>
  <si>
    <t>1.1.1.1.1.1.1.11</t>
  </si>
  <si>
    <t>2 этаж. Стяжка толщиной 65 мм. Тип: П-12, П-13, П-15, П-16.</t>
  </si>
  <si>
    <t>1.1.1.1.1.1.1.11.1</t>
  </si>
  <si>
    <t>271132166.1139608</t>
  </si>
  <si>
    <t>20229448.1139608</t>
  </si>
  <si>
    <t>1.1.1.1.1.1.1.11.2</t>
  </si>
  <si>
    <t>271132166.55045</t>
  </si>
  <si>
    <t>20229448.55045</t>
  </si>
  <si>
    <t>1.1.1.1.1.1.1.11.3</t>
  </si>
  <si>
    <t>271132166.55156</t>
  </si>
  <si>
    <t>20229448.55156</t>
  </si>
  <si>
    <t>1.1.1.1.1.1.1.11.4</t>
  </si>
  <si>
    <t>271132166.54611</t>
  </si>
  <si>
    <t>20229448.54611</t>
  </si>
  <si>
    <t>1.1.1.1.1.1.1.11.5</t>
  </si>
  <si>
    <t>271132166.55160</t>
  </si>
  <si>
    <t>20229448.55160</t>
  </si>
  <si>
    <t>1.1.1.1.1.1.2</t>
  </si>
  <si>
    <t>6.3.1.5.1.2</t>
  </si>
  <si>
    <t>Гидроизоляция, тепло-звукоизоляция, утепление</t>
  </si>
  <si>
    <t>1.1.1.1.1.1.2.1</t>
  </si>
  <si>
    <t>6.3.1.5.1.2.1.2</t>
  </si>
  <si>
    <t>Устройство обмазочной гидроизоляции с проклеиванием швов армированной лентой из стекловолокна / в 2 слоя</t>
  </si>
  <si>
    <t>405b7847-8cb0-4821-ac01-f56e7770b070</t>
  </si>
  <si>
    <t>8a135a98-3599-429e-b287-6354f720abc7</t>
  </si>
  <si>
    <t>1.1.1.1.1.1.2.1.1</t>
  </si>
  <si>
    <t>Праймер битумный_ / Технониколь №01</t>
  </si>
  <si>
    <t>271132070.55059</t>
  </si>
  <si>
    <t>16194157.55059</t>
  </si>
  <si>
    <t>68251cd7-5dc5-41f9-86a1-86f378997b3d</t>
  </si>
  <si>
    <t>1.1.1.1.1.1.2.1.2</t>
  </si>
  <si>
    <t>Гидроизоляционная мастика_/ТЕХНОНИКОЛЬ №31</t>
  </si>
  <si>
    <t>271132070.55060</t>
  </si>
  <si>
    <t>16194157.55060</t>
  </si>
  <si>
    <t>f867ccfe-df51-4866-ad47-f32bc50646ec</t>
  </si>
  <si>
    <t>1.1.1.1.1.1.2.2</t>
  </si>
  <si>
    <t>1.1.1.1.1.1.2.2.1</t>
  </si>
  <si>
    <t>271132167.55060</t>
  </si>
  <si>
    <t>19811382.55060</t>
  </si>
  <si>
    <t>1.1.1.1.1.1.2.2.2</t>
  </si>
  <si>
    <t>271132167.55059</t>
  </si>
  <si>
    <t>19811382.55059</t>
  </si>
  <si>
    <t>1.1.1.1.1.1.2.3</t>
  </si>
  <si>
    <t>6.3.1.5.1.2.4.5</t>
  </si>
  <si>
    <t>Устройство тепло-звукоизоляции полов / Рулонный материал / в 1 слой</t>
  </si>
  <si>
    <t>9e39c19a-3e5a-48a9-81d4-c19cd118ebe6</t>
  </si>
  <si>
    <t>df4f9fc0-265b-42df-a3b8-2eeb21d35d10</t>
  </si>
  <si>
    <t>1.1.1.1.1.1.2.3.1</t>
  </si>
  <si>
    <t>Подложка из полистирола / isolon 500 1502</t>
  </si>
  <si>
    <t>Техноэласт Акустик - 5мм</t>
  </si>
  <si>
    <t>271132072.2462658</t>
  </si>
  <si>
    <t>16676511.2462658</t>
  </si>
  <si>
    <t>318dcad2-14a6-429c-b2e9-46675bc4777f</t>
  </si>
  <si>
    <t>1.1.1.1.1.1.2.4</t>
  </si>
  <si>
    <t>1.1.1.1.1.1.2.4.1</t>
  </si>
  <si>
    <t>Техноэласт Акустик 5мм</t>
  </si>
  <si>
    <t>271132168.2462658</t>
  </si>
  <si>
    <t>19811550.2462658</t>
  </si>
  <si>
    <t>1.1.1.1.1.1.2.5</t>
  </si>
  <si>
    <t>6.3.1.5.1.2.5.1</t>
  </si>
  <si>
    <t>Утепление полов керамзитом</t>
  </si>
  <si>
    <t>d1874649-5209-4eb5-a757-57b5fb147650</t>
  </si>
  <si>
    <t>62097f98-2dd6-4f79-887b-f40e5ac30e13</t>
  </si>
  <si>
    <t>1.1.1.1.1.1.2.5._</t>
  </si>
  <si>
    <t>1.1.1.1.1.1.2.5.1</t>
  </si>
  <si>
    <t>Керамзит_ / фр 10-20</t>
  </si>
  <si>
    <t>271132074.54646</t>
  </si>
  <si>
    <t>16675472.54646</t>
  </si>
  <si>
    <t>131465f1-2749-420a-ba3f-b9a1b118f872</t>
  </si>
  <si>
    <t>1.1.1.1.1.1.2.5.1._</t>
  </si>
  <si>
    <t>213439833.54646</t>
  </si>
  <si>
    <t>1.1.1.1.1.1.2.6</t>
  </si>
  <si>
    <t>2 и 3 этаж
47,6*0,15+16*0,615+18,5*0,375</t>
  </si>
  <si>
    <t>1.1.1.1.1.1.2.6.1</t>
  </si>
  <si>
    <t>271132169.54646</t>
  </si>
  <si>
    <t>19811691.54646</t>
  </si>
  <si>
    <t>1.1.1.1.1.1.3</t>
  </si>
  <si>
    <t>6.3.1.5.1.3</t>
  </si>
  <si>
    <t>Устройство покрытия полов</t>
  </si>
  <si>
    <t>1.1.1.1.1.1.3.1</t>
  </si>
  <si>
    <t>6.3.1.5.1.3.1.1</t>
  </si>
  <si>
    <t>Устройство покрытия пола с предварительной огрунтовкой поверхности / из керамогранитной плитки с затиркой швов</t>
  </si>
  <si>
    <t>2 этаж. Тип: КР-1, КР-6</t>
  </si>
  <si>
    <t>ba238fec-d7fc-420d-944a-4b6d4b8cbc4b</t>
  </si>
  <si>
    <t>f56b84ba-3593-441c-a94c-fbcf59225a06</t>
  </si>
  <si>
    <t>1.1.1.1.1.1.3.1._</t>
  </si>
  <si>
    <t>1.1.1.1.1.1.3.1.1</t>
  </si>
  <si>
    <t>Клей плиточный/ Унифицированный по ПИК-СТАНДАРТ</t>
  </si>
  <si>
    <t>Клей для плитки Стройбриг Базакс АС10 серый класс С0 Т 25 кг</t>
  </si>
  <si>
    <t>271132077.54632</t>
  </si>
  <si>
    <t>16194165.54632</t>
  </si>
  <si>
    <t>29ab9003-5b43-49a7-8ba2-846628054d7e</t>
  </si>
  <si>
    <t>1.1.1.1.1.1.3.1.1._</t>
  </si>
  <si>
    <t>225291733.54632</t>
  </si>
  <si>
    <t>1.1.1.1.1.1.3.1.2</t>
  </si>
  <si>
    <t>Керамический гранит Kerama Marazzi Дайсен SG610300R 600x600x9мм обрезной светлый серый</t>
  </si>
  <si>
    <t>Керамогранит Kerama Marazzi SG502120R 200х800х11 мм,
Фрегат медовый бежевый (не ниже КМ1)</t>
  </si>
  <si>
    <t>271132077.1747271</t>
  </si>
  <si>
    <t>16194165.1747271</t>
  </si>
  <si>
    <t>f6f5daea-32b9-11ee-a102-d1661ac0bb93</t>
  </si>
  <si>
    <t>1.1.1.1.1.1.3.1.2._</t>
  </si>
  <si>
    <t>225291733.1747271</t>
  </si>
  <si>
    <t>1.1.1.1.1.1.3.1.3</t>
  </si>
  <si>
    <t>Керамическая плитка Pietra Pienza_ / светло-серый Матовый / K909010R0001VTP0/напольная / 600*600*8мм</t>
  </si>
  <si>
    <t>Керамогранит Kerama Marazzi Про Матрикс DD602020R и Джиминьяно DD642220R, 600х600х9мм.</t>
  </si>
  <si>
    <t>271132077.54681</t>
  </si>
  <si>
    <t>16194165.54681</t>
  </si>
  <si>
    <t>6078b392-23ac-4fa5-856a-42c98c7e3af4</t>
  </si>
  <si>
    <t>1.1.1.1.1.1.3.1.3._</t>
  </si>
  <si>
    <t>Керамогранит Kerama Marazzi Про матрикс DD602020R
600x600х9 мм, серый светлый и Kerama Marazzi Джиминьяно DD642220R 600x600х9 мм,</t>
  </si>
  <si>
    <t>225291733.54681</t>
  </si>
  <si>
    <t>1.1.1.1.1.1.3.1.4</t>
  </si>
  <si>
    <t>Затирка Цезерит СE33_/04 серебристо-серый</t>
  </si>
  <si>
    <t>271132077.54637</t>
  </si>
  <si>
    <t>16194165.54637</t>
  </si>
  <si>
    <t>c293221b-d93c-4424-8200-e1b99b7167e3</t>
  </si>
  <si>
    <t>1.1.1.1.1.1.3.1.4._</t>
  </si>
  <si>
    <t>225291733.54637</t>
  </si>
  <si>
    <t>1.1.1.1.1.1.3.1.5</t>
  </si>
  <si>
    <t>Грунтовка универсальный ЛАСТИМИН_ / LP-51 А</t>
  </si>
  <si>
    <t>271132077.54634</t>
  </si>
  <si>
    <t>16194165.54634</t>
  </si>
  <si>
    <t>6f806fd0-f20f-4c69-8d99-cee4063fa047</t>
  </si>
  <si>
    <t>1.1.1.1.1.1.3.1.5._</t>
  </si>
  <si>
    <t>225291733.54634</t>
  </si>
  <si>
    <t>1.1.1.1.1.1.3.2</t>
  </si>
  <si>
    <t>6.3.1.5.1.3.2.1</t>
  </si>
  <si>
    <t>Устройство покрытия пола из линолеума</t>
  </si>
  <si>
    <t>Включая защиту ДВП</t>
  </si>
  <si>
    <t>51b31787-2db2-4031-aade-329f900ef9b7</t>
  </si>
  <si>
    <t>b58ad002-5dea-4a06-b953-f640911ed5b2</t>
  </si>
  <si>
    <t>1.1.1.1.1.1.3.2.1</t>
  </si>
  <si>
    <t>Клей для линолеума</t>
  </si>
  <si>
    <t>Клей акриловый для гибких напольных покрытий Kesto Plus 4 кг</t>
  </si>
  <si>
    <t>271132078.702694</t>
  </si>
  <si>
    <t>16195443.702694</t>
  </si>
  <si>
    <t>1a3e3255-5ba6-49e7-bbc8-279e1b1289a0</t>
  </si>
  <si>
    <t>1.1.1.1.1.1.3.2.2</t>
  </si>
  <si>
    <t>Грунтовка _ / универсальная водно-дисперсионная</t>
  </si>
  <si>
    <t xml:space="preserve">Грунт универсальный Стройбриг Ластимин LP51 A </t>
  </si>
  <si>
    <t>271132078.737422</t>
  </si>
  <si>
    <t>16195443.737422</t>
  </si>
  <si>
    <t>64d77ce3-b188-4652-a3eb-49ad1b6ad85c</t>
  </si>
  <si>
    <t>1.1.1.1.1.1.3.2.3</t>
  </si>
  <si>
    <t>Сварочный шнур для линолеума (для объектов СКБ)_ / Tarkett / Сварочный шнур для спортивного линолеума серого для школы / 91542</t>
  </si>
  <si>
    <t>271132078.765920</t>
  </si>
  <si>
    <t>16195443.765920</t>
  </si>
  <si>
    <t>8b06f5c0-4a01-4923-b6d7-85990f8ce515</t>
  </si>
  <si>
    <t>1.1.1.1.1.1.3.2.4</t>
  </si>
  <si>
    <t>Линолеум (для объектов СКБ)_ / 4 мм  / TEAL / Omnisports ACTION R40 / Tarkett / - / Спортивный линолеум для школы цветной</t>
  </si>
  <si>
    <t>271132078.1757614</t>
  </si>
  <si>
    <t>16195443.1757614</t>
  </si>
  <si>
    <t>72f2d698-6b14-4893-94fe-06d84de90d15</t>
  </si>
  <si>
    <t>1.1.1.1.1.1.3.3</t>
  </si>
  <si>
    <t>6.3.1.5.1.3.8.1</t>
  </si>
  <si>
    <t>Установка стыковочных профилей</t>
  </si>
  <si>
    <t>2 этаж. ПР-4</t>
  </si>
  <si>
    <t>76703cd4-c8ff-4e22-abbd-2d5e394281cf</t>
  </si>
  <si>
    <t>d8cca10c-4815-473b-a7ff-575551ece3f3</t>
  </si>
  <si>
    <t>1.1.1.1.1.1.3.3._</t>
  </si>
  <si>
    <t>1.1.1.1.1.1.3.3.1</t>
  </si>
  <si>
    <t>Профиль T-образный ПМЮ-01_ / серебро матовое / 2700*30</t>
  </si>
  <si>
    <t>271132080.54698</t>
  </si>
  <si>
    <t>16296644.54698</t>
  </si>
  <si>
    <t>431fd404-0d93-4656-9911-5bebccf01228</t>
  </si>
  <si>
    <t>1.1.1.1.1.1.3.3.1._</t>
  </si>
  <si>
    <t>207829091.54698</t>
  </si>
  <si>
    <t>1.1.1.1.1.1.3.3.2</t>
  </si>
  <si>
    <t>Жидкие гвозди универсальные_/</t>
  </si>
  <si>
    <t>Клей монтажный акриловый Момент Fix Универсал белый 380 мл</t>
  </si>
  <si>
    <t>271132080.54854</t>
  </si>
  <si>
    <t>16296644.54854</t>
  </si>
  <si>
    <t>3378c715-1bc1-40f5-8d09-15a912e04c9d</t>
  </si>
  <si>
    <t>1.1.1.1.1.1.3.3.2._</t>
  </si>
  <si>
    <t>207829091.54854</t>
  </si>
  <si>
    <t>1.1.1.1.1.1.3.4</t>
  </si>
  <si>
    <t>3 этаж. ПР-3, ПР-4</t>
  </si>
  <si>
    <t>1.1.1.1.1.1.3.4.1</t>
  </si>
  <si>
    <t>271132170.54854</t>
  </si>
  <si>
    <t>19812816.54854</t>
  </si>
  <si>
    <t>1.1.1.1.1.1.3.4.2</t>
  </si>
  <si>
    <t>Т-образный профиль ПМЮ 01 (2700х30мм), цвет - серебро матовое</t>
  </si>
  <si>
    <t>271132170.54698</t>
  </si>
  <si>
    <t>19812816.54698</t>
  </si>
  <si>
    <t>1.1.1.1.1.1.3.4.3</t>
  </si>
  <si>
    <t>Профиль Г-образный алюминиевый / ПМЮ-017</t>
  </si>
  <si>
    <t>Г-образный противоскользящий ПВХ профиль Salag (132002) 42х15мм, цвет - 02 серый/серый</t>
  </si>
  <si>
    <t>271132170.1746203</t>
  </si>
  <si>
    <t>19812816.1746203</t>
  </si>
  <si>
    <t>999bf8eb-d864-4467-94f0-c50631abf0ac</t>
  </si>
  <si>
    <t>1.1.1.1.1.1.3.5</t>
  </si>
  <si>
    <t>6.3.1.5.1.3.10.1</t>
  </si>
  <si>
    <t>Устройство плинтуса из керамогранитной плитки с затиркой швов, с предварительной огрунтовкой поверхности</t>
  </si>
  <si>
    <t>2 этаж. ПЛ-1</t>
  </si>
  <si>
    <t>7c078883-0b0a-4435-9703-ce38f86f609d</t>
  </si>
  <si>
    <t>b85c85d4-a58d-4d1f-9fee-8d36cd9ba4e9</t>
  </si>
  <si>
    <t>1.1.1.1.1.1.3.5._</t>
  </si>
  <si>
    <t>1.1.1.1.1.1.3.5.1</t>
  </si>
  <si>
    <t>Керамический гранит Kerama marazzi_ / Светлый серый /  DD600300R, Estima LF01 UnitileVento grey PG  / 600х600х10мм</t>
  </si>
  <si>
    <t>Плинтус из керамогранита Kerama Marazzi Про матрикс
DD602200R/6BT 600x95х9 мм, цвет светло-серый</t>
  </si>
  <si>
    <t>271132082.1275875</t>
  </si>
  <si>
    <t>16293721.1275875</t>
  </si>
  <si>
    <t>95dc61f2-4532-4459-b4a7-bcb3a6b65492</t>
  </si>
  <si>
    <t>1.1.1.1.1.1.3.5.1._</t>
  </si>
  <si>
    <t>Плинтус из керамогранита Kerama Marazzi Про матрикс
DD602200R/6BT 600x95 х9 мм, цвет светло-серый</t>
  </si>
  <si>
    <t>213223641.1275875</t>
  </si>
  <si>
    <t>1.1.1.1.1.1.3.5.2</t>
  </si>
  <si>
    <t>271132082.54637</t>
  </si>
  <si>
    <t>16293721.54637</t>
  </si>
  <si>
    <t>1.1.1.1.1.1.3.5.2._</t>
  </si>
  <si>
    <t>213223641.54637</t>
  </si>
  <si>
    <t>1.1.1.1.1.1.3.5.3</t>
  </si>
  <si>
    <t>271132082.54634</t>
  </si>
  <si>
    <t>16293721.54634</t>
  </si>
  <si>
    <t>1.1.1.1.1.1.3.5.3._</t>
  </si>
  <si>
    <t>213223641.54634</t>
  </si>
  <si>
    <t>1.1.1.1.1.1.3.6</t>
  </si>
  <si>
    <t>6.3.1.5.1.3.11.1</t>
  </si>
  <si>
    <t>Установка напольного плинтуса ПВХ, включая установку розетт на трубы отопления</t>
  </si>
  <si>
    <t>2 этаж. ПЛ-2</t>
  </si>
  <si>
    <t>a6ed7b54-c77d-4d10-9d5c-b7da0ffb75ae</t>
  </si>
  <si>
    <t>731f9601-2164-4cd3-bfb7-8a3e805eb858</t>
  </si>
  <si>
    <t>1.1.1.1.1.1.3.6._</t>
  </si>
  <si>
    <t>1.1.1.1.1.1.3.6.1</t>
  </si>
  <si>
    <t>Плинтус  ПВХ SMARTPROFILE AQUA37  / 95*37ММ 2,2М</t>
  </si>
  <si>
    <t>Плинтус гибкий ПВХ Dollken WL 100 0146, цвет светло-серый RAL 7046, КМ2</t>
  </si>
  <si>
    <t>271132084.1572559</t>
  </si>
  <si>
    <t>16293719.1572559</t>
  </si>
  <si>
    <t>76542f4b-c5c0-4dfd-af47-5b8a23f80859</t>
  </si>
  <si>
    <t>1.1.1.1.1.1.3.6.1._</t>
  </si>
  <si>
    <t>213445470.1572559</t>
  </si>
  <si>
    <t>1.1.1.1.1.1.3.6.2</t>
  </si>
  <si>
    <t>271132084.54854</t>
  </si>
  <si>
    <t>16293719.54854</t>
  </si>
  <si>
    <t>1.1.1.1.1.1.3.6.2._</t>
  </si>
  <si>
    <t>213445470.54854</t>
  </si>
  <si>
    <t>1.1.1.1.1.1.3.7</t>
  </si>
  <si>
    <t>6.3.1.5.1.3.14.1</t>
  </si>
  <si>
    <t>Устройство покрытия пола из кварцвинила / на клею</t>
  </si>
  <si>
    <t>d2a8c4cc-9752-499d-bcd0-96d63d6d3e47</t>
  </si>
  <si>
    <t>0f62f3eb-5d66-4427-b2d6-a309be9c6e5c</t>
  </si>
  <si>
    <t>1.1.1.1.1.1.3.7._</t>
  </si>
  <si>
    <t>1.1.1.1.1.1.3.7.1</t>
  </si>
  <si>
    <t>Клей полиуретановый двухкомпонентный Для напольных модульных ПВХ-покрытий(LVT,кварц-винил), жизнеспособность 1-1,5ч, Светло-бежевый, 4,31кг</t>
  </si>
  <si>
    <t>Клей полиуретановый для ПВХ плитки двухкомпонентный Homa Homakoll Tile 2K PU 4,3 кг</t>
  </si>
  <si>
    <t>271132086.1579985</t>
  </si>
  <si>
    <t>16296636.1579985</t>
  </si>
  <si>
    <t>f4eb966a-beb9-11eb-80fb-005056881952</t>
  </si>
  <si>
    <t>1.1.1.1.1.1.3.7.1._</t>
  </si>
  <si>
    <t>225302444.1579985</t>
  </si>
  <si>
    <t>1.1.1.1.1.1.3.7.2</t>
  </si>
  <si>
    <t>Кварц-виниловая плитка / SPC VIVA Series с защитным слоем 0,3мм</t>
  </si>
  <si>
    <t>Плитка ПВХ Forbo Effekta Professional 8060 T Light Concrete PRO 500х500х2 мм, защитый слой 0,8 мм, цвет светло-серый, КМ2</t>
  </si>
  <si>
    <t>271132086.1745760</t>
  </si>
  <si>
    <t>16296636.1745760</t>
  </si>
  <si>
    <t>5e97e485-cef1-4bb6-9a4e-50ed5226fbd6</t>
  </si>
  <si>
    <t>1.1.1.1.1.1.3.7.2._</t>
  </si>
  <si>
    <t>225302444.1745760</t>
  </si>
  <si>
    <t>1.1.1.1.1.1.3.8</t>
  </si>
  <si>
    <t>1.1.1.1.1.1.3.8.1</t>
  </si>
  <si>
    <t>Плитка ПВХ Forbo Effekta Professional 8060 T Light Concrete PRO 500х500х2 мм, защитный слой 0,8 мм, цвет светло-серый, КМ2</t>
  </si>
  <si>
    <t>271132171.1745760</t>
  </si>
  <si>
    <t>19813231.1745760</t>
  </si>
  <si>
    <t>1.1.1.1.1.1.3.8.2</t>
  </si>
  <si>
    <t>271132171.1579985</t>
  </si>
  <si>
    <t>19813231.1579985</t>
  </si>
  <si>
    <t>1.1.1.1.1.1.3.9</t>
  </si>
  <si>
    <t>6.3.1.5.1.3.16.4</t>
  </si>
  <si>
    <t>Установка напольного плинтуса / полимерного на клею</t>
  </si>
  <si>
    <t>3 этаж. ПЛ-2</t>
  </si>
  <si>
    <t>c9eb628d-6a9a-4823-a035-3a8c813e3e45</t>
  </si>
  <si>
    <t>1e8e5096-f9d4-45e8-8fba-752768fac6e1</t>
  </si>
  <si>
    <t>1.1.1.1.1.1.3.9.1</t>
  </si>
  <si>
    <t>Плинтус для линолеума (для объектов СКБ) 100 мм WL 100 Dark Gray 0146 Dollken Плинтус для линолеума для детского сада и школ</t>
  </si>
  <si>
    <t>271132088.1747273</t>
  </si>
  <si>
    <t>19813576.1747273</t>
  </si>
  <si>
    <t>de126dff-32d0-11ee-a102-d1661ac0bb93</t>
  </si>
  <si>
    <t>1.1.1.1.1.1.3.10</t>
  </si>
  <si>
    <t>1.1.1.1.1.1.3.10.1</t>
  </si>
  <si>
    <t>271132172.1747273</t>
  </si>
  <si>
    <t>19971569.1747273</t>
  </si>
  <si>
    <t>1.1.1.1.1.1.3.11</t>
  </si>
  <si>
    <t>6.3.1.5.1.3.19.1</t>
  </si>
  <si>
    <t>Устройство плинтуса из керамогранитной плитки СКБ</t>
  </si>
  <si>
    <t>6c81bc23-a5ef-49af-8f1d-c7658256e887</t>
  </si>
  <si>
    <t>934f3c07-302a-412c-a8b5-2116f1199093</t>
  </si>
  <si>
    <t>1.1.1.1.1.1.3.11.1</t>
  </si>
  <si>
    <t>Плиточный клей_ / Унифицированный по ПИК-СТАНДАРТ</t>
  </si>
  <si>
    <t>271132090.1570753</t>
  </si>
  <si>
    <t>19813577.1570753</t>
  </si>
  <si>
    <t>be76b7f0-d821-4213-a0b5-d4d9b08818f1</t>
  </si>
  <si>
    <t>1.1.1.1.1.1.3.11.2</t>
  </si>
  <si>
    <t>Плинтус керамогранитный Дайсен SG211200R/3BT 600х95мм светло-серый</t>
  </si>
  <si>
    <t>Плинтус из керамогранита, Kerama Marazzi Про Матрикс DD602200R/6BT, 600х95х9мм, светло-серый</t>
  </si>
  <si>
    <t>271132090.1747282</t>
  </si>
  <si>
    <t>19813577.1747282</t>
  </si>
  <si>
    <t>d4275771-32c8-11ee-a102-d1661ac0bb93</t>
  </si>
  <si>
    <t>1.1.1.1.1.1.3.11.3</t>
  </si>
  <si>
    <t>Затирка Цезерит СE33_/13 атрацит</t>
  </si>
  <si>
    <t xml:space="preserve"> Ceresit CE33 04 серебристо-серый
</t>
  </si>
  <si>
    <t>271132090.54635</t>
  </si>
  <si>
    <t>19813577.54635</t>
  </si>
  <si>
    <t>255e2be5-9cb1-4b52-84d2-49341281c898</t>
  </si>
  <si>
    <t>1.1.1.1.1.1.3.11.4</t>
  </si>
  <si>
    <t>271132090.54634</t>
  </si>
  <si>
    <t>19813577.54634</t>
  </si>
  <si>
    <t>1.1.1.1.1.1.3.12</t>
  </si>
  <si>
    <t>1.1.1.1.1.1.3.12.1</t>
  </si>
  <si>
    <t>271132173.54634</t>
  </si>
  <si>
    <t>19820657.54634</t>
  </si>
  <si>
    <t>1.1.1.1.1.1.3.12.2</t>
  </si>
  <si>
    <t>271132173.54635</t>
  </si>
  <si>
    <t>19820657.54635</t>
  </si>
  <si>
    <t>1.1.1.1.1.1.3.12.3</t>
  </si>
  <si>
    <t>Плинтус из керамического гранита Дайсен_ / светло-серый / SG610300R / 100х600х11мм</t>
  </si>
  <si>
    <t>Плинтус из керамогранита Kerama Marazzi Коллиано SG913000N, 300х100х8мм, серый, затирка Ceresit CE 33 13 антрацит</t>
  </si>
  <si>
    <t>271132173.54668</t>
  </si>
  <si>
    <t>19820657.54668</t>
  </si>
  <si>
    <t>402dafbe-1652-450d-be4d-61804ef3d391</t>
  </si>
  <si>
    <t>1.1.1.1.1.1.3.12.4</t>
  </si>
  <si>
    <t>271132173.1570753</t>
  </si>
  <si>
    <t>19820657.1570753</t>
  </si>
  <si>
    <t>1.1.1.1.1.1.3.13</t>
  </si>
  <si>
    <t>1.1.1.1.1.1.3.13.1</t>
  </si>
  <si>
    <t>271132174.54634</t>
  </si>
  <si>
    <t>19972701.54634</t>
  </si>
  <si>
    <t>1.1.1.1.1.1.3.13.2</t>
  </si>
  <si>
    <t xml:space="preserve">затирка Ceresit CE33 04 серебристо-серый, КМ0
</t>
  </si>
  <si>
    <t>271132174.54635</t>
  </si>
  <si>
    <t>19972701.54635</t>
  </si>
  <si>
    <t>1.1.1.1.1.1.3.13.3</t>
  </si>
  <si>
    <t>Керамогранит, Kerama Marazzi Про Матрикс DD602200R/6BT, 600х95х9мм, светло-серый</t>
  </si>
  <si>
    <t>271132174.1747282</t>
  </si>
  <si>
    <t>19972701.1747282</t>
  </si>
  <si>
    <t>1.1.1.1.1.1.3.13.4</t>
  </si>
  <si>
    <t xml:space="preserve">Клей для плитки Стройбриг Базакс АС10 серый класс С0 Т 25 кг
</t>
  </si>
  <si>
    <t>271132174.1570753</t>
  </si>
  <si>
    <t>19972701.1570753</t>
  </si>
  <si>
    <t>1.1.1.1.1.1.3.14</t>
  </si>
  <si>
    <t>6.3.1.5.1.3.20.1</t>
  </si>
  <si>
    <t>Устройство покрытия пола СКБ с затиркой и укрытием ДВП / из керамогранитной плитки до 0,2м2/шт</t>
  </si>
  <si>
    <t>2 этаж. КР-4</t>
  </si>
  <si>
    <t>081b575c-aa66-4b70-9cd0-d5d89da79337</t>
  </si>
  <si>
    <t>65901f49-c07c-422e-a40b-cfafb585dc26</t>
  </si>
  <si>
    <t>1.1.1.1.1.1.3.14.1</t>
  </si>
  <si>
    <t>271132092.54632</t>
  </si>
  <si>
    <t>19973764.54632</t>
  </si>
  <si>
    <t>1.1.1.1.1.1.3.14.2</t>
  </si>
  <si>
    <t>271132092.54635</t>
  </si>
  <si>
    <t>19973764.54635</t>
  </si>
  <si>
    <t>1.1.1.1.1.1.3.14.3</t>
  </si>
  <si>
    <t>271132092.54634</t>
  </si>
  <si>
    <t>19973764.54634</t>
  </si>
  <si>
    <t>1.1.1.1.1.1.3.14.4</t>
  </si>
  <si>
    <t>Керамический гранит Kerama marazzi_ / Бордо / 5188/ Калейдоскоп / 200х200</t>
  </si>
  <si>
    <t>Керамогранит Kerama Marazzi Коллиано SG913000N, 300х300х8мм</t>
  </si>
  <si>
    <t>271132092.763283</t>
  </si>
  <si>
    <t>19973764.763283</t>
  </si>
  <si>
    <t>11c0c2a2-ab9d-4d3a-99e4-0061a0d845b2</t>
  </si>
  <si>
    <t>1.1.1.1.1.1.3.15</t>
  </si>
  <si>
    <t>3 этаж. КР-4</t>
  </si>
  <si>
    <t>1.1.1.1.1.1.3.15.1</t>
  </si>
  <si>
    <t>Керамический гранит Kerama marazzi_ / Синий /  SG1547N /  200х200 мм</t>
  </si>
  <si>
    <t xml:space="preserve"> Kerama Marazzi Коллиано SG913000N, 300х300х8мм
</t>
  </si>
  <si>
    <t>271132175.1570533</t>
  </si>
  <si>
    <t>19987963.1570533</t>
  </si>
  <si>
    <t>a620a03f-7faf-4c11-affe-45d2fae0c5fb</t>
  </si>
  <si>
    <t>1.1.1.1.1.1.3.15.2</t>
  </si>
  <si>
    <t>271132175.54634</t>
  </si>
  <si>
    <t>19987963.54634</t>
  </si>
  <si>
    <t>1.1.1.1.1.1.3.15.3</t>
  </si>
  <si>
    <t>271132175.54635</t>
  </si>
  <si>
    <t>19987963.54635</t>
  </si>
  <si>
    <t>1.1.1.1.1.1.3.15.4</t>
  </si>
  <si>
    <t>271132175.54632</t>
  </si>
  <si>
    <t>19987963.54632</t>
  </si>
  <si>
    <t>1.1.1.1.1.1.3.16</t>
  </si>
  <si>
    <t>6.3.1.5.1.3.20.2</t>
  </si>
  <si>
    <t>Устройство покрытия пола СКБ с затиркой и укрытием ДВП / из керамогранитной плитки от 0,2м2/шт</t>
  </si>
  <si>
    <t>2 этаж. КР-1</t>
  </si>
  <si>
    <t>69ce9bf3-5e4c-42a6-9cb7-1bf6547475ea</t>
  </si>
  <si>
    <t>abd27be4-9992-44fb-b098-3b2370fa29b6</t>
  </si>
  <si>
    <t>1.1.1.1.1.1.3.16.1</t>
  </si>
  <si>
    <t>Плиточный клей_ /  Унифицированный по ПИК-СТАНДАРТ</t>
  </si>
  <si>
    <t>271132093.739258</t>
  </si>
  <si>
    <t>19973763.739258</t>
  </si>
  <si>
    <t>b9d5a438-2a19-468f-b5a2-8648dd1dd258</t>
  </si>
  <si>
    <t>1.1.1.1.1.1.3.16.2</t>
  </si>
  <si>
    <t>Керамический гранит Kerama marazzi_ / Серый светлый / SG614800R/Напольный/Королевская дорога / 600*600*11</t>
  </si>
  <si>
    <t>Керамогранит, Kerama Marazzi Про Матрикс DD602020R, 600х600х9мм, светло-серый</t>
  </si>
  <si>
    <t>271132093.720769</t>
  </si>
  <si>
    <t>19973763.720769</t>
  </si>
  <si>
    <t>3ac98e36-5cd5-4ac7-9116-897c1cc1bd6a</t>
  </si>
  <si>
    <t>1.1.1.1.1.1.3.16.3</t>
  </si>
  <si>
    <t>271132093.54637</t>
  </si>
  <si>
    <t>19973763.54637</t>
  </si>
  <si>
    <t>1.1.1.1.1.1.3.16.4</t>
  </si>
  <si>
    <t>271132093.54634</t>
  </si>
  <si>
    <t>19973763.54634</t>
  </si>
  <si>
    <t>1.1.1.1.1.1.3.17</t>
  </si>
  <si>
    <t>3 этаж. КР-1</t>
  </si>
  <si>
    <t>1.1.1.1.1.1.3.17.1</t>
  </si>
  <si>
    <t>271132176.54634</t>
  </si>
  <si>
    <t>19973766.54634</t>
  </si>
  <si>
    <t>1.1.1.1.1.1.3.17.2</t>
  </si>
  <si>
    <t>271132176.54637</t>
  </si>
  <si>
    <t>19973766.54637</t>
  </si>
  <si>
    <t>1.1.1.1.1.1.3.17.3</t>
  </si>
  <si>
    <t>271132176.720769</t>
  </si>
  <si>
    <t>19973766.720769</t>
  </si>
  <si>
    <t>1.1.1.1.1.1.3.17.4</t>
  </si>
  <si>
    <t>271132176.739258</t>
  </si>
  <si>
    <t>19973766.739258</t>
  </si>
  <si>
    <t>1.1.1.1.1.2</t>
  </si>
  <si>
    <t>6.3.1.5.2</t>
  </si>
  <si>
    <t>Стены</t>
  </si>
  <si>
    <t>1.1.1.1.1.2.1</t>
  </si>
  <si>
    <t>6.3.1.5.2.1</t>
  </si>
  <si>
    <t>Черновые работы по поверхности стен</t>
  </si>
  <si>
    <t>1.1.1.1.1.2.1.1</t>
  </si>
  <si>
    <t>6.3.1.5.2.1.1.1</t>
  </si>
  <si>
    <t>Оклейка швов сопряжения бетонных и других поверхностей стен, перегородок (газобетон, ПГП, панели АКОТЕК и др.) стеклохолстом</t>
  </si>
  <si>
    <t xml:space="preserve">2эт - 1826,61м.п., 3эт. - 2045,25м.п.
</t>
  </si>
  <si>
    <t>376b0b05-e1f7-4eb4-858c-54cfc94012c5</t>
  </si>
  <si>
    <t>7942ddbf-4120-45ca-9456-f48a3ec42d9b</t>
  </si>
  <si>
    <t>1.1.1.1.1.2.1.1.1</t>
  </si>
  <si>
    <t>Шпатлевка гипсовая_ / белая / Унифицированная по ПИК-СТАНДАРТ, 30кг</t>
  </si>
  <si>
    <t>271132097.54622</t>
  </si>
  <si>
    <t>19813870.54622</t>
  </si>
  <si>
    <t>c5ed9089-be55-4be8-8db3-0f286a2dbba5</t>
  </si>
  <si>
    <t>1.1.1.1.1.2.1.1.2</t>
  </si>
  <si>
    <t>Лента армирующая ( серпянка)_/150мм</t>
  </si>
  <si>
    <t>271132097.55040</t>
  </si>
  <si>
    <t>19813870.55040</t>
  </si>
  <si>
    <t>eae3db91-694c-4324-837b-5cb2a168407e</t>
  </si>
  <si>
    <t>1.1.1.1.1.2.1.2</t>
  </si>
  <si>
    <t>6.3.1.5.2.1.2.3</t>
  </si>
  <si>
    <t>Штукатурка стен сухими смесями с установкой маяков с предварительной огрунтовкой / толщ. от 16,5 мм до 21 мм</t>
  </si>
  <si>
    <t>c5aa8ee2-e574-43a3-844b-653c022bb54c</t>
  </si>
  <si>
    <t>a4be7dcf-ce5e-4104-94f3-5ba02bfd9c0c</t>
  </si>
  <si>
    <t>1.1.1.1.1.2.1.2._</t>
  </si>
  <si>
    <t>1.1.1.1.1.2.1.2.1</t>
  </si>
  <si>
    <t>Штукатурка гипсовая_ / Унифицированная по ПИК-СТАНДАРТ, 30кг</t>
  </si>
  <si>
    <t>Штукатурка гипсовая Старатели Старт 30 кг</t>
  </si>
  <si>
    <t>271132099.54616</t>
  </si>
  <si>
    <t>16677750.54616</t>
  </si>
  <si>
    <t>b059108e-66ce-4a56-9765-c924e4c0b8b7</t>
  </si>
  <si>
    <t>1.1.1.1.1.2.1.2.1._</t>
  </si>
  <si>
    <t>213487858.54616</t>
  </si>
  <si>
    <t>1.1.1.1.1.2.1.2.2</t>
  </si>
  <si>
    <t>Грунтовка БЕТОН-КОНТАКТ_/</t>
  </si>
  <si>
    <t>271132099.54633</t>
  </si>
  <si>
    <t>16677750.54633</t>
  </si>
  <si>
    <t>8682c7d7-b370-46ef-9c4b-39309f9aa3e8</t>
  </si>
  <si>
    <t>1.1.1.1.1.2.1.2.2._</t>
  </si>
  <si>
    <t>213487858.54633</t>
  </si>
  <si>
    <t>1.1.1.1.1.2.1.2.3</t>
  </si>
  <si>
    <t>Профиль маячковый_/ПМ6</t>
  </si>
  <si>
    <t>271132099.55029</t>
  </si>
  <si>
    <t>16677750.55029</t>
  </si>
  <si>
    <t>b3ba1810-316e-4118-90eb-ce29d5c83076</t>
  </si>
  <si>
    <t>1.1.1.1.1.2.1.2.3._</t>
  </si>
  <si>
    <t>213487858.55029</t>
  </si>
  <si>
    <t>1.1.1.1.1.2.1.3</t>
  </si>
  <si>
    <t>6.3.1.5.2.1.4.2</t>
  </si>
  <si>
    <t>Выравнивание стен с предварительной огрунтовкой / по оштукатуренной поверхности / толщ. 2 мм</t>
  </si>
  <si>
    <t>2 этаж. Шпатлёвка базовая</t>
  </si>
  <si>
    <t>110a99a0-6a0d-45b9-b62a-cc3e037ec5cf</t>
  </si>
  <si>
    <t>d4ebd7f1-3692-4517-9566-1d8cb406007d</t>
  </si>
  <si>
    <t>1.1.1.1.1.2.1.3._</t>
  </si>
  <si>
    <t>Шпатлёвка базовая</t>
  </si>
  <si>
    <t>1.1.1.1.1.2.1.3.1</t>
  </si>
  <si>
    <t>Шпаклевка гипсовая Старатели базовая белая 20 кг</t>
  </si>
  <si>
    <t>271132101.54621</t>
  </si>
  <si>
    <t>16211417.54621</t>
  </si>
  <si>
    <t>b18a669c-55b9-4a3b-9bec-843efe930f3c</t>
  </si>
  <si>
    <t>1.1.1.1.1.2.1.3.1._</t>
  </si>
  <si>
    <t>220089264.54621</t>
  </si>
  <si>
    <t>1.1.1.1.1.2.1.3.2</t>
  </si>
  <si>
    <t>Уголок малярный_ / L=3м /25х25 мм</t>
  </si>
  <si>
    <t>271132101.18405</t>
  </si>
  <si>
    <t>16211417.18405</t>
  </si>
  <si>
    <t>6aa8b3b9-7634-40f9-a5c9-a021ce35f715</t>
  </si>
  <si>
    <t>1.1.1.1.1.2.1.3.2._</t>
  </si>
  <si>
    <t>220089264.18405</t>
  </si>
  <si>
    <t>1.1.1.1.1.2.1.3.3</t>
  </si>
  <si>
    <t>Лента армированная Серпянка 150мм</t>
  </si>
  <si>
    <t>271132101.7431</t>
  </si>
  <si>
    <t>16211417.7431</t>
  </si>
  <si>
    <t>f955e3c3-158b-11e8-80d9-005056881952</t>
  </si>
  <si>
    <t>1.1.1.1.1.2.1.3.3._</t>
  </si>
  <si>
    <t>220089264.7431</t>
  </si>
  <si>
    <t>1.1.1.1.1.2.1.3.4</t>
  </si>
  <si>
    <t>271132101.54634</t>
  </si>
  <si>
    <t>16211417.54634</t>
  </si>
  <si>
    <t>1.1.1.1.1.2.1.3.4._</t>
  </si>
  <si>
    <t>220089264.54634</t>
  </si>
  <si>
    <t>1.1.1.1.1.2.1.4</t>
  </si>
  <si>
    <t>2 этаж. Шпатлёвка финишная</t>
  </si>
  <si>
    <t>1.1.1.1.1.2.1.4._</t>
  </si>
  <si>
    <t>Шпатлёвка финишная</t>
  </si>
  <si>
    <t>1.1.1.1.1.2.1.4.1</t>
  </si>
  <si>
    <t>271132177.54634</t>
  </si>
  <si>
    <t>16211418.54634</t>
  </si>
  <si>
    <t>1.1.1.1.1.2.1.4.1._</t>
  </si>
  <si>
    <t>213475324.54634</t>
  </si>
  <si>
    <t>1.1.1.1.1.2.1.4.2</t>
  </si>
  <si>
    <t>Шпаклевка гипсовая Старатели финишная 20 кг</t>
  </si>
  <si>
    <t>271132177.54621</t>
  </si>
  <si>
    <t>16211418.54621</t>
  </si>
  <si>
    <t>1.1.1.1.1.2.1.4.2._</t>
  </si>
  <si>
    <t>213475324.54621</t>
  </si>
  <si>
    <t>1.1.1.1.1.2.1.5</t>
  </si>
  <si>
    <t>6.3.1.5.2.1.8.5</t>
  </si>
  <si>
    <t>Подготовка поверхности СКБ / стен / по штукатурке / 2мм</t>
  </si>
  <si>
    <t>2 этаж. Шпаклевка черновая.</t>
  </si>
  <si>
    <t>2d82ee91-3b80-41a0-9d47-bde670b317cb</t>
  </si>
  <si>
    <t>235f7698-b192-4ccd-97e9-3a61b0165ad1</t>
  </si>
  <si>
    <t>1.1.1.1.1.2.1.5.1</t>
  </si>
  <si>
    <t>271132103.54621</t>
  </si>
  <si>
    <t>19976869.54621</t>
  </si>
  <si>
    <t>1.1.1.1.1.2.1.5.2</t>
  </si>
  <si>
    <t>271132103.18405</t>
  </si>
  <si>
    <t>19976869.18405</t>
  </si>
  <si>
    <t>1.1.1.1.1.2.1.5.3</t>
  </si>
  <si>
    <t>271132103.54634</t>
  </si>
  <si>
    <t>19976869.54634</t>
  </si>
  <si>
    <t>1.1.1.1.1.2.1.6</t>
  </si>
  <si>
    <t>2 этаж. Шпаклевка финишная для высококачественной отделки.</t>
  </si>
  <si>
    <t>1.1.1.1.1.2.1.6.1</t>
  </si>
  <si>
    <t>271132178.54634</t>
  </si>
  <si>
    <t>19976870.54634</t>
  </si>
  <si>
    <t>1.1.1.1.1.2.1.6.2</t>
  </si>
  <si>
    <t xml:space="preserve">Шпатлевка финишная TERRACO HANDYCOAT ALL PURPOSE </t>
  </si>
  <si>
    <t>271132178.1276350</t>
  </si>
  <si>
    <t>19976870.1276350</t>
  </si>
  <si>
    <t>e1b334c7-c5c1-4c42-a451-fa4295c7af60</t>
  </si>
  <si>
    <t>1.1.1.1.1.2.1.7</t>
  </si>
  <si>
    <t>3 этаж. Шпаклевка черновая.</t>
  </si>
  <si>
    <t>1.1.1.1.1.2.1.7.1</t>
  </si>
  <si>
    <t>271132179.54634</t>
  </si>
  <si>
    <t>19976875.54634</t>
  </si>
  <si>
    <t>1.1.1.1.1.2.1.7.2</t>
  </si>
  <si>
    <t>271132179.18405</t>
  </si>
  <si>
    <t>19976875.18405</t>
  </si>
  <si>
    <t>1.1.1.1.1.2.1.7.3</t>
  </si>
  <si>
    <t>271132179.54621</t>
  </si>
  <si>
    <t>19976875.54621</t>
  </si>
  <si>
    <t>1.1.1.1.1.2.1.8</t>
  </si>
  <si>
    <t>3 этаж. Шпаклевка финишная для высококачественной отделки.</t>
  </si>
  <si>
    <t>1.1.1.1.1.2.1.8.1</t>
  </si>
  <si>
    <t>271132180.54634</t>
  </si>
  <si>
    <t>19976876.54634</t>
  </si>
  <si>
    <t>1.1.1.1.1.2.1.8.2</t>
  </si>
  <si>
    <t>271132180.1276350</t>
  </si>
  <si>
    <t>19976876.1276350</t>
  </si>
  <si>
    <t>1.1.1.1.1.2.1.9</t>
  </si>
  <si>
    <t>2 этаж. Шпаклевка черновая цементная.</t>
  </si>
  <si>
    <t>1.1.1.1.1.2.1.9.1</t>
  </si>
  <si>
    <t>271132181.54634</t>
  </si>
  <si>
    <t>19976868.54634</t>
  </si>
  <si>
    <t>1.1.1.1.1.2.1.9.2</t>
  </si>
  <si>
    <t>271132181.18405</t>
  </si>
  <si>
    <t>19976868.18405</t>
  </si>
  <si>
    <t>1.1.1.1.1.2.1.9.3</t>
  </si>
  <si>
    <t>Шпатлевка цементная</t>
  </si>
  <si>
    <t>271132181.1272014</t>
  </si>
  <si>
    <t>19976868.1272014</t>
  </si>
  <si>
    <t>515f7d43-39e1-4366-a9d9-2be3d410ca9d</t>
  </si>
  <si>
    <t>1.1.1.1.1.2.1.10</t>
  </si>
  <si>
    <t>2 этаж. Шпаклевка финишная цементная для высококачественной отделки.</t>
  </si>
  <si>
    <t>1.1.1.1.1.2.1.10.1</t>
  </si>
  <si>
    <t>271132182.54634</t>
  </si>
  <si>
    <t>19976871.54634</t>
  </si>
  <si>
    <t>1.1.1.1.1.2.1.10.2</t>
  </si>
  <si>
    <t>271132182.1272014</t>
  </si>
  <si>
    <t>19976871.1272014</t>
  </si>
  <si>
    <t>1.1.1.1.1.2.1.11</t>
  </si>
  <si>
    <t>3 этаж. Шпаклевка черновая цементная.</t>
  </si>
  <si>
    <t>1.1.1.1.1.2.1.11.1</t>
  </si>
  <si>
    <t>271132183.54634</t>
  </si>
  <si>
    <t>19976874.54634</t>
  </si>
  <si>
    <t>1.1.1.1.1.2.1.11.2</t>
  </si>
  <si>
    <t>271132183.18405</t>
  </si>
  <si>
    <t>19976874.18405</t>
  </si>
  <si>
    <t>1.1.1.1.1.2.1.11.3</t>
  </si>
  <si>
    <t>271132183.1272014</t>
  </si>
  <si>
    <t>19976874.1272014</t>
  </si>
  <si>
    <t>1.1.1.1.1.2.1.12</t>
  </si>
  <si>
    <t>3 этаж. Шпаклевка финишная цементная для высококачественной отделки.</t>
  </si>
  <si>
    <t>1.1.1.1.1.2.1.12.1</t>
  </si>
  <si>
    <t>271132184.54634</t>
  </si>
  <si>
    <t>19976877.54634</t>
  </si>
  <si>
    <t>1.1.1.1.1.2.1.12.2</t>
  </si>
  <si>
    <t>271132184.1272014</t>
  </si>
  <si>
    <t>19976877.1272014</t>
  </si>
  <si>
    <t>1.1.1.1.1.2.1.13</t>
  </si>
  <si>
    <t>2 этаж. Шпаклевка базовая.</t>
  </si>
  <si>
    <t>1.1.1.1.1.2.1.13.1</t>
  </si>
  <si>
    <t>271132304.54634</t>
  </si>
  <si>
    <t>20421042.54634</t>
  </si>
  <si>
    <t>1.1.1.1.1.2.1.13.2</t>
  </si>
  <si>
    <t>271132304.54621</t>
  </si>
  <si>
    <t>20421042.54621</t>
  </si>
  <si>
    <t>1.1.1.1.1.2.1.14</t>
  </si>
  <si>
    <t>3 этаж. Шпаклевка базовая.</t>
  </si>
  <si>
    <t>1.1.1.1.1.2.1.14.1</t>
  </si>
  <si>
    <t>271132305.54634</t>
  </si>
  <si>
    <t>20421047.54634</t>
  </si>
  <si>
    <t>1.1.1.1.1.2.1.14.2</t>
  </si>
  <si>
    <t>271132305.54621</t>
  </si>
  <si>
    <t>20421047.54621</t>
  </si>
  <si>
    <t>1.1.1.1.1.2.1.15</t>
  </si>
  <si>
    <t>2 этаж. Шпаклевка базовая цементная.</t>
  </si>
  <si>
    <t>1.1.1.1.1.2.1.15.1</t>
  </si>
  <si>
    <t>271132306.54634</t>
  </si>
  <si>
    <t>20421041.54634</t>
  </si>
  <si>
    <t>1.1.1.1.1.2.1.15.2</t>
  </si>
  <si>
    <t>271132306.1272014</t>
  </si>
  <si>
    <t>20421041.1272014</t>
  </si>
  <si>
    <t>1.1.1.1.1.2.1.16</t>
  </si>
  <si>
    <t>1.1.1.1.1.2.1.16.1</t>
  </si>
  <si>
    <t>271132307.54634</t>
  </si>
  <si>
    <t>20421051.54634</t>
  </si>
  <si>
    <t>1.1.1.1.1.2.1.16.2</t>
  </si>
  <si>
    <t>271132307.1272014</t>
  </si>
  <si>
    <t>20421051.1272014</t>
  </si>
  <si>
    <t>1.1.1.1.1.2.1.17</t>
  </si>
  <si>
    <t>6.3.1.5.2.1.10.1</t>
  </si>
  <si>
    <t>Штукатурка стен цементным, цементно-песчаным раствором с предварительной огрунтовкой / толщ. до 20 мм / высотой до 4 метров</t>
  </si>
  <si>
    <t>e388f40d-4345-407c-81b7-1708677a4264</t>
  </si>
  <si>
    <t>717f7355-64c8-4161-814c-7a062cbe592c</t>
  </si>
  <si>
    <t>1.1.1.1.1.2.1.17._</t>
  </si>
  <si>
    <t>1.1.1.1.1.2.1.17.1</t>
  </si>
  <si>
    <t>Штукатурка цементная</t>
  </si>
  <si>
    <t>Штукатурка цементная Основит Техно РС21 M 25 кг</t>
  </si>
  <si>
    <t>271132105.726518</t>
  </si>
  <si>
    <t>16678913.726518</t>
  </si>
  <si>
    <t>6340f993-804d-456a-a0be-3b2094bd37f9</t>
  </si>
  <si>
    <t>1.1.1.1.1.2.1.17.1._</t>
  </si>
  <si>
    <t>225331855.726518</t>
  </si>
  <si>
    <t>1.1.1.1.1.2.1.17.2</t>
  </si>
  <si>
    <t>Сетка штукатурная_/пластиковая/5*5</t>
  </si>
  <si>
    <t>271132105.55050</t>
  </si>
  <si>
    <t>16678913.55050</t>
  </si>
  <si>
    <t>9f181f34-9874-4ea2-b00e-d54dce78f0f0</t>
  </si>
  <si>
    <t>1.1.1.1.1.2.1.17.2._</t>
  </si>
  <si>
    <t>225331855.55050</t>
  </si>
  <si>
    <t>1.1.1.1.1.2.1.17.3</t>
  </si>
  <si>
    <t>271132105.55029</t>
  </si>
  <si>
    <t>16678913.55029</t>
  </si>
  <si>
    <t>1.1.1.1.1.2.1.17.3._</t>
  </si>
  <si>
    <t>225331855.55029</t>
  </si>
  <si>
    <t>1.1.1.1.1.2.1.17.4</t>
  </si>
  <si>
    <t>271132105.54633</t>
  </si>
  <si>
    <t>16678913.54633</t>
  </si>
  <si>
    <t>1.1.1.1.1.2.1.17.4._</t>
  </si>
  <si>
    <t>225331855.54633</t>
  </si>
  <si>
    <t>1.1.1.1.1.2.1.18</t>
  </si>
  <si>
    <t>6.3.1.5.2.1.10.2</t>
  </si>
  <si>
    <t>Штукатурка стен цементным, цементно-песчаным раствором с предварительной огрунтовкой / толщ. от 21 до 40 мм / высотой до 4 метров</t>
  </si>
  <si>
    <t>2 этаж. Штукатурка по ЖБ. Толщина слоя согласованна с ПГ.</t>
  </si>
  <si>
    <t>e4f57127-f115-40dc-b6d0-d9a56d151517</t>
  </si>
  <si>
    <t>acc164cf-7b33-4903-b102-0aeda99aeeb4</t>
  </si>
  <si>
    <t>1.1.1.1.1.2.1.18.1</t>
  </si>
  <si>
    <t>271132106.726518</t>
  </si>
  <si>
    <t>16211497.726518</t>
  </si>
  <si>
    <t>1.1.1.1.1.2.1.18.2</t>
  </si>
  <si>
    <t>271132106.55050</t>
  </si>
  <si>
    <t>16211497.55050</t>
  </si>
  <si>
    <t>1.1.1.1.1.2.1.18.3</t>
  </si>
  <si>
    <t>271132106.55029</t>
  </si>
  <si>
    <t>16211497.55029</t>
  </si>
  <si>
    <t>1.1.1.1.1.2.1.18.4</t>
  </si>
  <si>
    <t>271132106.54633</t>
  </si>
  <si>
    <t>16211497.54633</t>
  </si>
  <si>
    <t>1.1.1.1.1.2.1.19</t>
  </si>
  <si>
    <t>2 этаж. Штукатурка по блоку, ГСП, ПГП. Толщина слоя согласованна с ПГ</t>
  </si>
  <si>
    <t>1.1.1.1.1.2.1.19.1</t>
  </si>
  <si>
    <t>271132185.54634</t>
  </si>
  <si>
    <t>19976809.54634</t>
  </si>
  <si>
    <t>1.1.1.1.1.2.1.19.2</t>
  </si>
  <si>
    <t>271132185.55029</t>
  </si>
  <si>
    <t>19976809.55029</t>
  </si>
  <si>
    <t>1.1.1.1.1.2.1.19.3</t>
  </si>
  <si>
    <t>271132185.55050</t>
  </si>
  <si>
    <t>19976809.55050</t>
  </si>
  <si>
    <t>1.1.1.1.1.2.1.19.4</t>
  </si>
  <si>
    <t>271132185.726518</t>
  </si>
  <si>
    <t>19976809.726518</t>
  </si>
  <si>
    <t>1.1.1.1.1.2.1.20</t>
  </si>
  <si>
    <t>3 этаж. Штукатурка по ЖБ. Толщина слоя согласованна с ПГ.</t>
  </si>
  <si>
    <t>1.1.1.1.1.2.1.20.1</t>
  </si>
  <si>
    <t>271132186.54633</t>
  </si>
  <si>
    <t>19976810.54633</t>
  </si>
  <si>
    <t>1.1.1.1.1.2.1.20.2</t>
  </si>
  <si>
    <t>271132186.55029</t>
  </si>
  <si>
    <t>19976810.55029</t>
  </si>
  <si>
    <t>1.1.1.1.1.2.1.20.3</t>
  </si>
  <si>
    <t>271132186.55050</t>
  </si>
  <si>
    <t>19976810.55050</t>
  </si>
  <si>
    <t>1.1.1.1.1.2.1.20.4</t>
  </si>
  <si>
    <t>271132186.726518</t>
  </si>
  <si>
    <t>19976810.726518</t>
  </si>
  <si>
    <t>1.1.1.1.1.2.1.21</t>
  </si>
  <si>
    <t>3 этаж. Штукатурка по блоку, ГСП, ПГП. Толщина слоя согласованна с ПГ</t>
  </si>
  <si>
    <t>1.1.1.1.1.2.1.21.1</t>
  </si>
  <si>
    <t>271132187.54634</t>
  </si>
  <si>
    <t>19976811.54634</t>
  </si>
  <si>
    <t>1.1.1.1.1.2.1.21.2</t>
  </si>
  <si>
    <t>271132187.55029</t>
  </si>
  <si>
    <t>19976811.55029</t>
  </si>
  <si>
    <t>1.1.1.1.1.2.1.21.3</t>
  </si>
  <si>
    <t>271132187.55050</t>
  </si>
  <si>
    <t>19976811.55050</t>
  </si>
  <si>
    <t>1.1.1.1.1.2.1.21.4</t>
  </si>
  <si>
    <t>271132187.726518</t>
  </si>
  <si>
    <t>19976811.726518</t>
  </si>
  <si>
    <t>1.1.1.1.1.2.1.22</t>
  </si>
  <si>
    <t>6.3.1.5.2.1.12.2</t>
  </si>
  <si>
    <t>Штукатурка стен гипсовыми смесями с предварительной огрунтовкой СКБ / толщ. от 21 до 40 мм / высотой от 4,01 до 8 метров</t>
  </si>
  <si>
    <t>e97400ea-ba91-4266-8e4d-399c9b83bcf7</t>
  </si>
  <si>
    <t>635cc207-b262-46f6-8a6a-9126054e7be7</t>
  </si>
  <si>
    <t>1.1.1.1.1.2.1.22.1</t>
  </si>
  <si>
    <t>271132108.54616</t>
  </si>
  <si>
    <t>19976797.54616</t>
  </si>
  <si>
    <t>1.1.1.1.1.2.1.22.2</t>
  </si>
  <si>
    <t>271132108.55029</t>
  </si>
  <si>
    <t>19976797.55029</t>
  </si>
  <si>
    <t>1.1.1.1.1.2.1.22.3</t>
  </si>
  <si>
    <t>271132108.54633</t>
  </si>
  <si>
    <t>19976797.54633</t>
  </si>
  <si>
    <t>1.1.1.1.1.2.1.23</t>
  </si>
  <si>
    <t>1.1.1.1.1.2.1.23.1</t>
  </si>
  <si>
    <t>271132188.54634</t>
  </si>
  <si>
    <t>19976798.54634</t>
  </si>
  <si>
    <t>1.1.1.1.1.2.1.23.2</t>
  </si>
  <si>
    <t>271132188.55029</t>
  </si>
  <si>
    <t>19976798.55029</t>
  </si>
  <si>
    <t>1.1.1.1.1.2.1.23.3</t>
  </si>
  <si>
    <t>271132188.54616</t>
  </si>
  <si>
    <t>19976798.54616</t>
  </si>
  <si>
    <t>1.1.1.1.1.2.1.24</t>
  </si>
  <si>
    <t>1.1.1.1.1.2.1.24.1</t>
  </si>
  <si>
    <t>271132189.54633</t>
  </si>
  <si>
    <t>19976799.54633</t>
  </si>
  <si>
    <t>1.1.1.1.1.2.1.24.2</t>
  </si>
  <si>
    <t>271132189.55029</t>
  </si>
  <si>
    <t>19976799.55029</t>
  </si>
  <si>
    <t>1.1.1.1.1.2.1.24.3</t>
  </si>
  <si>
    <t>271132189.54616</t>
  </si>
  <si>
    <t>19976799.54616</t>
  </si>
  <si>
    <t>1.1.1.1.1.2.1.25</t>
  </si>
  <si>
    <t>1.1.1.1.1.2.1.25.1</t>
  </si>
  <si>
    <t>271132190.54634</t>
  </si>
  <si>
    <t>19976800.54634</t>
  </si>
  <si>
    <t>1.1.1.1.1.2.1.25.2</t>
  </si>
  <si>
    <t>271132190.55029</t>
  </si>
  <si>
    <t>19976800.55029</t>
  </si>
  <si>
    <t>1.1.1.1.1.2.1.25.3</t>
  </si>
  <si>
    <t>271132190.54616</t>
  </si>
  <si>
    <t>19976800.54616</t>
  </si>
  <si>
    <t>1.1.1.1.1.2.2</t>
  </si>
  <si>
    <t>6.3.1.5.2.2</t>
  </si>
  <si>
    <t>Чистовые работы по поверхности стен</t>
  </si>
  <si>
    <t>1.1.1.1.1.2.2.1</t>
  </si>
  <si>
    <t>6.3.1.5.2.2.2.1</t>
  </si>
  <si>
    <t>Облицовка поверхности стен с предварительной огрунтовкой и затиркой швов / керамической плиткой</t>
  </si>
  <si>
    <t>f7aae9ad-9ef7-46b1-ad33-1414658c2aa3</t>
  </si>
  <si>
    <t>e7683a8f-89f8-42b7-bab7-4698ac09e748</t>
  </si>
  <si>
    <t>1.1.1.1.1.2.2.1._</t>
  </si>
  <si>
    <t>1.1.1.1.1.2.2.1.1</t>
  </si>
  <si>
    <t>Профиль для внешнего угла, ПО Г10 2700х20мм / серебро матовое / 2700*30</t>
  </si>
  <si>
    <t>271132111.1275312</t>
  </si>
  <si>
    <t>16211621.1275312</t>
  </si>
  <si>
    <t>d309a3fd-0125-4d32-8d4d-f188bebe0423</t>
  </si>
  <si>
    <t>1.1.1.1.1.2.2.1.1._</t>
  </si>
  <si>
    <t>213504123.1275312</t>
  </si>
  <si>
    <t>1.1.1.1.1.2.2.1.2</t>
  </si>
  <si>
    <t>271132111.1570753</t>
  </si>
  <si>
    <t>16211621.1570753</t>
  </si>
  <si>
    <t>1.1.1.1.1.2.2.1.2._</t>
  </si>
  <si>
    <t>213504123.1570753</t>
  </si>
  <si>
    <t>1.1.1.1.1.2.2.1.3</t>
  </si>
  <si>
    <t>Керамический гранит Kerama marazzi_ / Серый / 1537/ Калейдоскоп / 200х200</t>
  </si>
  <si>
    <t>Плитка керамическая Kerama Marazzi 200х200х6,9 мм, Калейдоскоп 5281, 5187, 5009, 5111
цвет - аквамарин светлый, ,</t>
  </si>
  <si>
    <t>271132111.758691</t>
  </si>
  <si>
    <t>16211621.758691</t>
  </si>
  <si>
    <t>f26708ab-7e31-43d6-9a84-1113f1da93ed</t>
  </si>
  <si>
    <t>1.1.1.1.1.2.2.1.3._</t>
  </si>
  <si>
    <t>213504123.758691</t>
  </si>
  <si>
    <t>1.1.1.1.1.2.2.1.4</t>
  </si>
  <si>
    <t>271132111.54637</t>
  </si>
  <si>
    <t>16211621.54637</t>
  </si>
  <si>
    <t>1.1.1.1.1.2.2.1.4._</t>
  </si>
  <si>
    <t>213504123.54637</t>
  </si>
  <si>
    <t>1.1.1.1.1.2.2.1.5</t>
  </si>
  <si>
    <t>271132111.737422</t>
  </si>
  <si>
    <t>16211621.737422</t>
  </si>
  <si>
    <t>1.1.1.1.1.2.2.1.5._</t>
  </si>
  <si>
    <t>213504123.737422</t>
  </si>
  <si>
    <t>1.1.1.1.1.2.2.2</t>
  </si>
  <si>
    <t>1.1.1.1.1.2.2.2._</t>
  </si>
  <si>
    <t>1.1.1.1.1.2.2.2.1</t>
  </si>
  <si>
    <t>271132191.737422</t>
  </si>
  <si>
    <t>16211622.737422</t>
  </si>
  <si>
    <t>1.1.1.1.1.2.2.2.1._</t>
  </si>
  <si>
    <t>213504145.737422</t>
  </si>
  <si>
    <t>1.1.1.1.1.2.2.2.2</t>
  </si>
  <si>
    <t>Затирка Цезерит СE33_ /  10 манхетен.</t>
  </si>
  <si>
    <t>затирка Ceresit 07</t>
  </si>
  <si>
    <t>271132191.847323</t>
  </si>
  <si>
    <t>16211622.847323</t>
  </si>
  <si>
    <t>2d2305a2-091f-448e-afc7-18ba31664bf8</t>
  </si>
  <si>
    <t>1.1.1.1.1.2.2.2.2._</t>
  </si>
  <si>
    <t>213504145.847323</t>
  </si>
  <si>
    <t>1.1.1.1.1.2.2.2.3</t>
  </si>
  <si>
    <t>Керамическая плитка Pietra Pienza_ / светло-серый Матовый / K909010R0001VTP0/настенная / 300*600*8мм</t>
  </si>
  <si>
    <t>Плитка керамическая Kerama Marazzi Мечты о Париже 11259R, цвет - светло-серый 600х300х9мм (не ниже КМ3)</t>
  </si>
  <si>
    <t>271132191.720742</t>
  </si>
  <si>
    <t>16211622.720742</t>
  </si>
  <si>
    <t>4d41f012-3a5d-4340-a98f-e1ac79985a17</t>
  </si>
  <si>
    <t>1.1.1.1.1.2.2.2.3._</t>
  </si>
  <si>
    <t>213504145.720742</t>
  </si>
  <si>
    <t>1.1.1.1.1.2.2.2.4</t>
  </si>
  <si>
    <t>271132191.1570753</t>
  </si>
  <si>
    <t>16211622.1570753</t>
  </si>
  <si>
    <t>1.1.1.1.1.2.2.2.4._</t>
  </si>
  <si>
    <t>213504145.1570753</t>
  </si>
  <si>
    <t>1.1.1.1.1.2.2.2.5</t>
  </si>
  <si>
    <t>271132191.1275312</t>
  </si>
  <si>
    <t>16211622.1275312</t>
  </si>
  <si>
    <t>1.1.1.1.1.2.2.2.5._</t>
  </si>
  <si>
    <t>213504145.1275312</t>
  </si>
  <si>
    <t>1.1.1.1.1.2.2.3</t>
  </si>
  <si>
    <t>6.3.1.5.2.2.3.1</t>
  </si>
  <si>
    <t>Окраска поверхности стен с предварительной огрунтовкой / в 2 слоя</t>
  </si>
  <si>
    <t>4e3bc906-0db6-44b9-a51f-3faacce2570c</t>
  </si>
  <si>
    <t>06e17c10-70e2-43fc-bd7c-7ca0ad9465c8</t>
  </si>
  <si>
    <t>1.1.1.1.1.2.2.3._</t>
  </si>
  <si>
    <t>1.1.1.1.1.2.2.3.1</t>
  </si>
  <si>
    <t>271132113.54634</t>
  </si>
  <si>
    <t>16211512.54634</t>
  </si>
  <si>
    <t>1.1.1.1.1.2.2.3.1._</t>
  </si>
  <si>
    <t>206117306.54634</t>
  </si>
  <si>
    <t>1.1.1.1.1.2.2.3.2</t>
  </si>
  <si>
    <t>Краска водно-дисперсионная интерьерная Латексная, моющаяся Матовая, Г1(КМ1), RAL 9003</t>
  </si>
  <si>
    <t>Матовая водно-дисперсионная краска для высококачественной отделки Antega Строитель моющаяся, цвет - белый RAL 9003, КМ1</t>
  </si>
  <si>
    <t>271132113.44160</t>
  </si>
  <si>
    <t>16211512.44160</t>
  </si>
  <si>
    <t>43354194-1fae-11e9-80e7-005056881952</t>
  </si>
  <si>
    <t>1.1.1.1.1.2.2.3.2._</t>
  </si>
  <si>
    <t>206117306.44160</t>
  </si>
  <si>
    <t>1.1.1.1.1.2.2.4</t>
  </si>
  <si>
    <t>1.1.1.1.1.2.2.4._</t>
  </si>
  <si>
    <t>1.1.1.1.1.2.2.4.1</t>
  </si>
  <si>
    <t>Краска водно-дисперсионная интерьерная Акриловая, моющаяся Матовая, Г1(КМ1), RAL 7035</t>
  </si>
  <si>
    <t>Матовая водно-дисперсионная краска для высококачественной отделки Antega Строитель моющаяся, цвет - NCS 1502-Y, КМ1</t>
  </si>
  <si>
    <t>271132192.391225</t>
  </si>
  <si>
    <t>16211513.391225</t>
  </si>
  <si>
    <t>7ef810fb-9121-11e9-80ea-005056881952</t>
  </si>
  <si>
    <t>1.1.1.1.1.2.2.4.1._</t>
  </si>
  <si>
    <t>206117308.391225</t>
  </si>
  <si>
    <t>1.1.1.1.1.2.2.4.2</t>
  </si>
  <si>
    <t>271132192.54634</t>
  </si>
  <si>
    <t>16211513.54634</t>
  </si>
  <si>
    <t>1.1.1.1.1.2.2.4.2._</t>
  </si>
  <si>
    <t>206117308.54634</t>
  </si>
  <si>
    <t>1.1.1.1.1.2.2.5</t>
  </si>
  <si>
    <t>1.1.1.1.1.2.2.5._</t>
  </si>
  <si>
    <t>1.1.1.1.1.2.2.5.1</t>
  </si>
  <si>
    <t xml:space="preserve">Краска огнестойкая  / NCS S 0570-Y10R / Protect Decor КМ0 </t>
  </si>
  <si>
    <t>Огнестойкая краска матовая Antega Строитель НГ, цвет - белый RAL 9003, КМ0</t>
  </si>
  <si>
    <t>271132193.847327</t>
  </si>
  <si>
    <t>16211514.847327</t>
  </si>
  <si>
    <t>38ca204c-bb96-4810-b316-411f2a1f14c4</t>
  </si>
  <si>
    <t>1.1.1.1.1.2.2.5.1._</t>
  </si>
  <si>
    <t>213223687.847327</t>
  </si>
  <si>
    <t>1.1.1.1.1.2.2.5.2</t>
  </si>
  <si>
    <t>271132193.54634</t>
  </si>
  <si>
    <t>16211514.54634</t>
  </si>
  <si>
    <t>1.1.1.1.1.2.2.5.2._</t>
  </si>
  <si>
    <t>213223687.54634</t>
  </si>
  <si>
    <t>1.1.1.1.1.2.2.6</t>
  </si>
  <si>
    <t>1.1.1.1.1.2.2.6._</t>
  </si>
  <si>
    <t>1.1.1.1.1.2.2.6.1</t>
  </si>
  <si>
    <t>Матовая водно-дисперсионная краска для высококачественной отделки Antega Строитель моющаяся, цвет - голубой RAL NCS S 2030-R80B, КМ1</t>
  </si>
  <si>
    <t>271132194.391225</t>
  </si>
  <si>
    <t>16211515.391225</t>
  </si>
  <si>
    <t>1.1.1.1.1.2.2.6.1._</t>
  </si>
  <si>
    <t>206117310.391225</t>
  </si>
  <si>
    <t>1.1.1.1.1.2.2.6.2</t>
  </si>
  <si>
    <t>271132194.54634</t>
  </si>
  <si>
    <t>16211515.54634</t>
  </si>
  <si>
    <t>1.1.1.1.1.2.2.6.2._</t>
  </si>
  <si>
    <t>206117310.54634</t>
  </si>
  <si>
    <t>1.1.1.1.1.2.2.7</t>
  </si>
  <si>
    <t>1.1.1.1.1.2.2.7._</t>
  </si>
  <si>
    <t>1.1.1.1.1.2.2.7.1</t>
  </si>
  <si>
    <t>Матовая водно-дисперсионная краска для высококачественной отделки Antega Строитель моющаяся, цвет - зеленый RAL NCS S 2060-G40Y, КМ1</t>
  </si>
  <si>
    <t>271132195.391225</t>
  </si>
  <si>
    <t>16211516.391225</t>
  </si>
  <si>
    <t>1.1.1.1.1.2.2.7.1._</t>
  </si>
  <si>
    <t>206117311.391225</t>
  </si>
  <si>
    <t>1.1.1.1.1.2.2.7.2</t>
  </si>
  <si>
    <t>271132195.54634</t>
  </si>
  <si>
    <t>16211516.54634</t>
  </si>
  <si>
    <t>1.1.1.1.1.2.2.7.2._</t>
  </si>
  <si>
    <t>206117311.54634</t>
  </si>
  <si>
    <t>1.1.1.1.1.2.2.8</t>
  </si>
  <si>
    <t>1.1.1.1.1.2.2.8._</t>
  </si>
  <si>
    <t>1.1.1.1.1.2.2.8.1</t>
  </si>
  <si>
    <t>Матовая водно-дисперсионная краска для высококачественной отделки Antega Строитель моющаяся, цвет - желтый NCS S 1070-Y20R, КМ1</t>
  </si>
  <si>
    <t>271132196.391225</t>
  </si>
  <si>
    <t>16211517.391225</t>
  </si>
  <si>
    <t>1.1.1.1.1.2.2.8.1._</t>
  </si>
  <si>
    <t>206117312.391225</t>
  </si>
  <si>
    <t>1.1.1.1.1.2.2.8.2</t>
  </si>
  <si>
    <t>271132196.54634</t>
  </si>
  <si>
    <t>16211517.54634</t>
  </si>
  <si>
    <t>1.1.1.1.1.2.2.8.2._</t>
  </si>
  <si>
    <t>206117312.54634</t>
  </si>
  <si>
    <t>1.1.1.1.1.2.2.9</t>
  </si>
  <si>
    <t>1.1.1.1.1.2.2.9._</t>
  </si>
  <si>
    <t>1.1.1.1.1.2.2.9.1</t>
  </si>
  <si>
    <t>271132197.391225</t>
  </si>
  <si>
    <t>16211518.391225</t>
  </si>
  <si>
    <t>1.1.1.1.1.2.2.9.1._</t>
  </si>
  <si>
    <t>206117313.391225</t>
  </si>
  <si>
    <t>1.1.1.1.1.2.2.9.2</t>
  </si>
  <si>
    <t>271132197.54634</t>
  </si>
  <si>
    <t>16211518.54634</t>
  </si>
  <si>
    <t>1.1.1.1.1.2.2.9.2._</t>
  </si>
  <si>
    <t>206117313.54634</t>
  </si>
  <si>
    <t>1.1.1.1.1.2.2.10</t>
  </si>
  <si>
    <t>6.3.1.5.2.2.8.1</t>
  </si>
  <si>
    <t>Лакокрасочные работы СКБ / окраска стен / в 2 слоя</t>
  </si>
  <si>
    <t>2 этаж. СТ-1.1</t>
  </si>
  <si>
    <t>4c24ca93-b856-4913-a3fe-bc768660074c</t>
  </si>
  <si>
    <t>923030ab-0b8a-4717-9906-e76b6d6d03d6</t>
  </si>
  <si>
    <t>1.1.1.1.1.2.2.10.1</t>
  </si>
  <si>
    <t>Краска водно-дисперсионная интерьерная Акриловая, моющаяся Глянцевая, матовая, Г1(КМ1), RAL 9003</t>
  </si>
  <si>
    <t>Краска матовая водно-дисперсионная для высококачественной отделки стен, ANTEGA СТРОИТЕЛЬ моющаяся, белая, RAL 9003, 2 класс истирания, КМ1</t>
  </si>
  <si>
    <t>271132115.44169</t>
  </si>
  <si>
    <t>19990349.44169</t>
  </si>
  <si>
    <t>433541a5-1fae-11e9-80e7-005056881952</t>
  </si>
  <si>
    <t>1.1.1.1.1.2.2.10.2</t>
  </si>
  <si>
    <t>271132115.54634</t>
  </si>
  <si>
    <t>19990349.54634</t>
  </si>
  <si>
    <t>1.1.1.1.1.2.2.11</t>
  </si>
  <si>
    <t>2 этаж. СТ-1.2</t>
  </si>
  <si>
    <t>1.1.1.1.1.2.2.11.1</t>
  </si>
  <si>
    <t>271132198.54634</t>
  </si>
  <si>
    <t>19990351.54634</t>
  </si>
  <si>
    <t>1.1.1.1.1.2.2.11.2</t>
  </si>
  <si>
    <t>Краска матовая водно-дисперсионная для высококачественной отделки стен ANTEGA СТРОИТЕЛЬ моющаяся, NCS S 2030-R80B, 2 класс истирания, КМ1</t>
  </si>
  <si>
    <t>271132198.391225</t>
  </si>
  <si>
    <t>19990351.391225</t>
  </si>
  <si>
    <t>1.1.1.1.1.2.2.12</t>
  </si>
  <si>
    <t>2 этаж. СТ-1.3</t>
  </si>
  <si>
    <t>1.1.1.1.1.2.2.12.1</t>
  </si>
  <si>
    <t>271132199.54634</t>
  </si>
  <si>
    <t>19990352.54634</t>
  </si>
  <si>
    <t>1.1.1.1.1.2.2.12.2</t>
  </si>
  <si>
    <t>Краска матовая водно-дисперсионная для высококачественной отделки стен ANTEGA СТРОИТЕЛЬ моющаяся, NCS S 5030-R90B, 2 класс истирания, КМ1</t>
  </si>
  <si>
    <t>271132199.391225</t>
  </si>
  <si>
    <t>19990352.391225</t>
  </si>
  <si>
    <t>1.1.1.1.1.2.2.13</t>
  </si>
  <si>
    <t>2 этаж. СТ-1.4</t>
  </si>
  <si>
    <t>1.1.1.1.1.2.2.13.1</t>
  </si>
  <si>
    <t>271132200.54634</t>
  </si>
  <si>
    <t>19990353.54634</t>
  </si>
  <si>
    <t>1.1.1.1.1.2.2.13.2</t>
  </si>
  <si>
    <t>Краска матовая водно-дисперсионная для высококачественной отделки стен ANTEGA СТРОИТЕЛЬ моющаяся, NCS S 1070-Y30R, 2 класс истирания, КМ1</t>
  </si>
  <si>
    <t>271132200.391225</t>
  </si>
  <si>
    <t>19990353.391225</t>
  </si>
  <si>
    <t>1.1.1.1.1.2.2.14</t>
  </si>
  <si>
    <t>2 этаж. СТ-1.5</t>
  </si>
  <si>
    <t>1.1.1.1.1.2.2.14.1</t>
  </si>
  <si>
    <t>271132201.54634</t>
  </si>
  <si>
    <t>19990354.54634</t>
  </si>
  <si>
    <t>1.1.1.1.1.2.2.14.2</t>
  </si>
  <si>
    <t>Краска матовая водно-дисперсионная для высококачественной отделки стен ANTEGA СТРОИТЕЛЬ моющаяся, NCS S 5020-R70B, 2 класс истирания, КМ1</t>
  </si>
  <si>
    <t>271132201.391225</t>
  </si>
  <si>
    <t>19990354.391225</t>
  </si>
  <si>
    <t>1.1.1.1.1.2.2.15</t>
  </si>
  <si>
    <t>2 этаж. СТ-1.7</t>
  </si>
  <si>
    <t>1.1.1.1.1.2.2.15.1</t>
  </si>
  <si>
    <t>271132202.54634</t>
  </si>
  <si>
    <t>19990355.54634</t>
  </si>
  <si>
    <t>1.1.1.1.1.2.2.15.2</t>
  </si>
  <si>
    <t>Краска матовая водно-дисперсионная для высококачественной отделки стен ANTEGA СТРОИТЕЛЬ моющаяся, NCS S 3040-R20B, 2 класс истирания, КМ1</t>
  </si>
  <si>
    <t>271132202.391225</t>
  </si>
  <si>
    <t>19990355.391225</t>
  </si>
  <si>
    <t>1.1.1.1.1.2.2.16</t>
  </si>
  <si>
    <t>2 этаж. СТ-1.11</t>
  </si>
  <si>
    <t>1.1.1.1.1.2.2.16.1</t>
  </si>
  <si>
    <t>271132203.54634</t>
  </si>
  <si>
    <t>19990350.54634</t>
  </si>
  <si>
    <t>1.1.1.1.1.2.2.16.2</t>
  </si>
  <si>
    <t>Краска матовая водно-дисперсионная для высококачественной отделки стен, ANTEGA СТРОИТЕЛЬ моющаяся, NCS S 1080-Y10R, 2 класс истирания, КМ1</t>
  </si>
  <si>
    <t>271132203.391225</t>
  </si>
  <si>
    <t>19990350.391225</t>
  </si>
  <si>
    <t>1.1.1.1.1.2.2.17</t>
  </si>
  <si>
    <t>2 этаж. СТ-1.13</t>
  </si>
  <si>
    <t>1.1.1.1.1.2.2.17.1</t>
  </si>
  <si>
    <t>271132204.54634</t>
  </si>
  <si>
    <t>19990914.54634</t>
  </si>
  <si>
    <t>1.1.1.1.1.2.2.17.2</t>
  </si>
  <si>
    <t>Краска матовая водно-дисперсионная для высококачественной отделки стен, ANTEGA СТРОИТЕЛЬ моющаяся, NCS S 1502-Y, 2 класс истирания, КМ1</t>
  </si>
  <si>
    <t>271132204.391225</t>
  </si>
  <si>
    <t>19990914.391225</t>
  </si>
  <si>
    <t>1.1.1.1.1.2.2.18</t>
  </si>
  <si>
    <t>2 этаж. СТ-2.1</t>
  </si>
  <si>
    <t>1.1.1.1.1.2.2.18.1</t>
  </si>
  <si>
    <t>271132205.54634</t>
  </si>
  <si>
    <t>19990916.54634</t>
  </si>
  <si>
    <t>1.1.1.1.1.2.2.18.2</t>
  </si>
  <si>
    <t xml:space="preserve">Матовая огнестойкая краска для высококачественной отделки стен
ANTEGA СТРОИТЕЛЬ НГ, белая, RAL 9003, 1 класс истирания, КМ0
</t>
  </si>
  <si>
    <t>271132205.847327</t>
  </si>
  <si>
    <t>19990916.847327</t>
  </si>
  <si>
    <t>1.1.1.1.1.2.2.19</t>
  </si>
  <si>
    <t>2 этаж. СТ-2.16</t>
  </si>
  <si>
    <t>1.1.1.1.1.2.2.19.1</t>
  </si>
  <si>
    <t>271132206.54634</t>
  </si>
  <si>
    <t>19990917.54634</t>
  </si>
  <si>
    <t>1.1.1.1.1.2.2.19.2</t>
  </si>
  <si>
    <t xml:space="preserve">Матовая моющаяся влагостойкая водно-дисперсионная силикатная
краска НГ, RAL 7016, 1 класс истирания, КМ0
</t>
  </si>
  <si>
    <t>271132206.391225</t>
  </si>
  <si>
    <t>19990917.391225</t>
  </si>
  <si>
    <t>1.1.1.1.1.2.2.20</t>
  </si>
  <si>
    <t>2 этаж. СТ-1.8</t>
  </si>
  <si>
    <t>1.1.1.1.1.2.2.20.1</t>
  </si>
  <si>
    <t>271132207.54634</t>
  </si>
  <si>
    <t>19990915.54634</t>
  </si>
  <si>
    <t>1.1.1.1.1.2.2.20.2</t>
  </si>
  <si>
    <t>Краска матовая водно-дисперсионная для высококачественной отделки стен ANTEGA СТРОИТЕЛЬ моющаяся, NCS S 2060-G40Y, 2 класс истирания, КМ1</t>
  </si>
  <si>
    <t>271132207.391225</t>
  </si>
  <si>
    <t>19990915.391225</t>
  </si>
  <si>
    <t>1.1.1.1.1.2.2.21</t>
  </si>
  <si>
    <t>3 этаж. СТ-1.1</t>
  </si>
  <si>
    <t>1.1.1.1.1.2.2.21.1</t>
  </si>
  <si>
    <t>271132208.54634</t>
  </si>
  <si>
    <t>19991512.54634</t>
  </si>
  <si>
    <t>1.1.1.1.1.2.2.21.2</t>
  </si>
  <si>
    <t>271132208.44169</t>
  </si>
  <si>
    <t>19991512.44169</t>
  </si>
  <si>
    <t>1.1.1.1.1.2.2.22</t>
  </si>
  <si>
    <t>3 этаж. СТ-1.2</t>
  </si>
  <si>
    <t>1.1.1.1.1.2.2.22.1</t>
  </si>
  <si>
    <t>271132209.54634</t>
  </si>
  <si>
    <t>19991513.54634</t>
  </si>
  <si>
    <t>1.1.1.1.1.2.2.22.2</t>
  </si>
  <si>
    <t>271132209.391225</t>
  </si>
  <si>
    <t>19991513.391225</t>
  </si>
  <si>
    <t>1.1.1.1.1.2.2.23</t>
  </si>
  <si>
    <t>3 этаж. СТ-1.3</t>
  </si>
  <si>
    <t>1.1.1.1.1.2.2.23.1</t>
  </si>
  <si>
    <t>271132210.54634</t>
  </si>
  <si>
    <t>19991514.54634</t>
  </si>
  <si>
    <t>1.1.1.1.1.2.2.23.2</t>
  </si>
  <si>
    <t>271132210.391225</t>
  </si>
  <si>
    <t>19991514.391225</t>
  </si>
  <si>
    <t>1.1.1.1.1.2.2.24</t>
  </si>
  <si>
    <t>3 этаж. СТ-1.4</t>
  </si>
  <si>
    <t>1.1.1.1.1.2.2.24.1</t>
  </si>
  <si>
    <t>271132211.54634</t>
  </si>
  <si>
    <t>19991515.54634</t>
  </si>
  <si>
    <t>1.1.1.1.1.2.2.24.2</t>
  </si>
  <si>
    <t>271132211.391225</t>
  </si>
  <si>
    <t>19991515.391225</t>
  </si>
  <si>
    <t>1.1.1.1.1.2.2.25</t>
  </si>
  <si>
    <t>3 этаж. СТ-1.5</t>
  </si>
  <si>
    <t>1.1.1.1.1.2.2.25.1</t>
  </si>
  <si>
    <t>271132212.54634</t>
  </si>
  <si>
    <t>19992002.54634</t>
  </si>
  <si>
    <t>1.1.1.1.1.2.2.25.2</t>
  </si>
  <si>
    <t>271132212.391225</t>
  </si>
  <si>
    <t>19992002.391225</t>
  </si>
  <si>
    <t>1.1.1.1.1.2.2.26</t>
  </si>
  <si>
    <t>3 этаж. СТ-1.7</t>
  </si>
  <si>
    <t>1.1.1.1.1.2.2.26.1</t>
  </si>
  <si>
    <t>271132213.54634</t>
  </si>
  <si>
    <t>19992003.54634</t>
  </si>
  <si>
    <t>1.1.1.1.1.2.2.26.2</t>
  </si>
  <si>
    <t>271132213.391225</t>
  </si>
  <si>
    <t>19992003.391225</t>
  </si>
  <si>
    <t>1.1.1.1.1.2.2.27</t>
  </si>
  <si>
    <t>3 этаж. СТ-1.8</t>
  </si>
  <si>
    <t>1.1.1.1.1.2.2.27.1</t>
  </si>
  <si>
    <t>271132214.54634</t>
  </si>
  <si>
    <t>19992004.54634</t>
  </si>
  <si>
    <t>1.1.1.1.1.2.2.27.2</t>
  </si>
  <si>
    <t>271132214.391225</t>
  </si>
  <si>
    <t>19992004.391225</t>
  </si>
  <si>
    <t>1.1.1.1.1.2.2.28</t>
  </si>
  <si>
    <t>3 этаж. СТ-1.13</t>
  </si>
  <si>
    <t>1.1.1.1.1.2.2.28.1</t>
  </si>
  <si>
    <t>271132215.54634</t>
  </si>
  <si>
    <t>19992001.54634</t>
  </si>
  <si>
    <t>1.1.1.1.1.2.2.28.2</t>
  </si>
  <si>
    <t>271132215.391225</t>
  </si>
  <si>
    <t>19992001.391225</t>
  </si>
  <si>
    <t>1.1.1.1.1.2.2.29</t>
  </si>
  <si>
    <t>3 этаж. СТ-2.1</t>
  </si>
  <si>
    <t>1.1.1.1.1.2.2.29.1</t>
  </si>
  <si>
    <t>271132216.54634</t>
  </si>
  <si>
    <t>19992005.54634</t>
  </si>
  <si>
    <t>1.1.1.1.1.2.2.29.2</t>
  </si>
  <si>
    <t>271132216.847327</t>
  </si>
  <si>
    <t>19992005.847327</t>
  </si>
  <si>
    <t>1.1.1.1.1.2.2.30</t>
  </si>
  <si>
    <t>3 этаж. СТ-2.10</t>
  </si>
  <si>
    <t>1.1.1.1.1.2.2.30.1</t>
  </si>
  <si>
    <t>271132217.54634</t>
  </si>
  <si>
    <t>19992006.54634</t>
  </si>
  <si>
    <t>1.1.1.1.1.2.2.30.2</t>
  </si>
  <si>
    <t>Краска негорючая моющаяся Protect Decor_ / NCS S 0570-Y10R</t>
  </si>
  <si>
    <t>Краска негорючая ANTEGA СТРОИТЕЛЬ НГ, NCS S 1502-Y, 1 класс истирания, КМ0</t>
  </si>
  <si>
    <t>271132217.763411</t>
  </si>
  <si>
    <t>19992006.763411</t>
  </si>
  <si>
    <t>ce3773d3-a4ae-4408-a7be-82574bc12881</t>
  </si>
  <si>
    <t>1.1.1.1.1.2.2.31</t>
  </si>
  <si>
    <t>3 этаж. СТ-2.16</t>
  </si>
  <si>
    <t>1.1.1.1.1.2.2.31.1</t>
  </si>
  <si>
    <t>271132218.54634</t>
  </si>
  <si>
    <t>19992007.54634</t>
  </si>
  <si>
    <t>1.1.1.1.1.2.2.31.2</t>
  </si>
  <si>
    <t>Матовая моющаяся влагостойкая водно-дисперсионная силикатная
краска НГ, RAL 7016, 1 класс истирания, КМ0</t>
  </si>
  <si>
    <t>271132218.391225</t>
  </si>
  <si>
    <t>19992007.391225</t>
  </si>
  <si>
    <t>1.1.1.1.1.2.2.32</t>
  </si>
  <si>
    <t>6.3.1.5.2.2.9.1</t>
  </si>
  <si>
    <t>Облицовка поверхности стен СКБ с затиркой швов / керамической, керамогранитной плиткой до 0,2м2/шт</t>
  </si>
  <si>
    <t>2 этаж. СТ-6.1</t>
  </si>
  <si>
    <t>8d513ad3-1fbc-4730-be59-389995ce51d8</t>
  </si>
  <si>
    <t>a0ecae9b-7c0c-412d-a794-953bf76fc42d</t>
  </si>
  <si>
    <t>1.1.1.1.1.2.2.32.1</t>
  </si>
  <si>
    <t>271132117.54637</t>
  </si>
  <si>
    <t>19977048.54637</t>
  </si>
  <si>
    <t>1.1.1.1.1.2.2.32.2</t>
  </si>
  <si>
    <t>271132117.737422</t>
  </si>
  <si>
    <t>19977048.737422</t>
  </si>
  <si>
    <t>1.1.1.1.1.2.2.32.3</t>
  </si>
  <si>
    <t>271132117.739258</t>
  </si>
  <si>
    <t>19977048.739258</t>
  </si>
  <si>
    <t>1.1.1.1.1.2.2.32.4</t>
  </si>
  <si>
    <t>Керамический гранит Kerama marazzi_ / Белый / 5009/ Калейдоскоп / 200х200</t>
  </si>
  <si>
    <t>Kerama Marazzi Калейдоскоп белый 5009 200х200х6,9мм</t>
  </si>
  <si>
    <t>271132117.758609</t>
  </si>
  <si>
    <t>19977048.758609</t>
  </si>
  <si>
    <t>70f2d54b-ab55-43b4-b130-a5f8f85e7098</t>
  </si>
  <si>
    <t>1.1.1.1.1.2.2.33</t>
  </si>
  <si>
    <t>2 этаж. СТ-6.2</t>
  </si>
  <si>
    <t>1.1.1.1.1.2.2.33.1</t>
  </si>
  <si>
    <t>Kerama Marazzi Калейдоскоп 5281 аквамарин-светлый 200х200х6,9мм</t>
  </si>
  <si>
    <t>271132219.1570533</t>
  </si>
  <si>
    <t>19977049.1570533</t>
  </si>
  <si>
    <t>1.1.1.1.1.2.2.33.2</t>
  </si>
  <si>
    <t>271132219.739258</t>
  </si>
  <si>
    <t>19977049.739258</t>
  </si>
  <si>
    <t>1.1.1.1.1.2.2.33.3</t>
  </si>
  <si>
    <t>271132219.737422</t>
  </si>
  <si>
    <t>19977049.737422</t>
  </si>
  <si>
    <t>1.1.1.1.1.2.2.33.4</t>
  </si>
  <si>
    <t>271132219.54637</t>
  </si>
  <si>
    <t>19977049.54637</t>
  </si>
  <si>
    <t>1.1.1.1.1.2.2.34</t>
  </si>
  <si>
    <t>2 этаж. СТ-6.3</t>
  </si>
  <si>
    <t>1.1.1.1.1.2.2.34.1</t>
  </si>
  <si>
    <t>Керамический гранит Kerama marazzi_ / Оранжевый / 5108/Калейдоскоп / 200х200</t>
  </si>
  <si>
    <t>Kerama Marazzi Калейдоскоп 5187 оранжевый 200х200х6,9мм</t>
  </si>
  <si>
    <t>271132220.1058901</t>
  </si>
  <si>
    <t>19977050.1058901</t>
  </si>
  <si>
    <t>10032963-60c4-424f-897d-880031c6ab96</t>
  </si>
  <si>
    <t>1.1.1.1.1.2.2.34.2</t>
  </si>
  <si>
    <t>271132220.739258</t>
  </si>
  <si>
    <t>19977050.739258</t>
  </si>
  <si>
    <t>1.1.1.1.1.2.2.34.3</t>
  </si>
  <si>
    <t>271132220.737422</t>
  </si>
  <si>
    <t>19977050.737422</t>
  </si>
  <si>
    <t>1.1.1.1.1.2.2.34.4</t>
  </si>
  <si>
    <t>271132220.54637</t>
  </si>
  <si>
    <t>19977050.54637</t>
  </si>
  <si>
    <t>1.1.1.1.1.2.2.35</t>
  </si>
  <si>
    <t>2 этаж. СТ-6.4</t>
  </si>
  <si>
    <t>1.1.1.1.1.2.2.35.1</t>
  </si>
  <si>
    <t>Керамический гранит Kerama marazzi_ / Зеленый/ Калейдоскоп / 5111 / 200х200</t>
  </si>
  <si>
    <t>Kerama Marazzi Калейдоскоп 5111 зеленый, 200х200х6,9мм</t>
  </si>
  <si>
    <t>271132221.758612</t>
  </si>
  <si>
    <t>19977051.758612</t>
  </si>
  <si>
    <t>4d30c13d-fb71-4049-953e-6088c3404b1d</t>
  </si>
  <si>
    <t>1.1.1.1.1.2.2.35.2</t>
  </si>
  <si>
    <t>271132221.739258</t>
  </si>
  <si>
    <t>19977051.739258</t>
  </si>
  <si>
    <t>1.1.1.1.1.2.2.35.3</t>
  </si>
  <si>
    <t>271132221.54637</t>
  </si>
  <si>
    <t>19977051.54637</t>
  </si>
  <si>
    <t>1.1.1.1.1.2.2.36</t>
  </si>
  <si>
    <t>2 этаж. СТ-6.5</t>
  </si>
  <si>
    <t>1.1.1.1.1.2.2.36.1</t>
  </si>
  <si>
    <t>Kerama Marazzi Калейдоскоп 5109 ярко-желтый, 200х200х6,9мм</t>
  </si>
  <si>
    <t>271132222.1058901</t>
  </si>
  <si>
    <t>19977052.1058901</t>
  </si>
  <si>
    <t>1.1.1.1.1.2.2.36.2</t>
  </si>
  <si>
    <t>271132222.739258</t>
  </si>
  <si>
    <t>19977052.739258</t>
  </si>
  <si>
    <t>1.1.1.1.1.2.2.36.3</t>
  </si>
  <si>
    <t>271132222.737422</t>
  </si>
  <si>
    <t>19977052.737422</t>
  </si>
  <si>
    <t>1.1.1.1.1.2.2.36.4</t>
  </si>
  <si>
    <t>271132222.54637</t>
  </si>
  <si>
    <t>19977052.54637</t>
  </si>
  <si>
    <t>1.1.1.1.1.2.2.37</t>
  </si>
  <si>
    <t>2 этаж. СТ-8</t>
  </si>
  <si>
    <t>1.1.1.1.1.2.2.37.1</t>
  </si>
  <si>
    <t xml:space="preserve"> Kerama Marazzi Белое солнце 8000, 300х200х6,9мм</t>
  </si>
  <si>
    <t>271132223.1570533</t>
  </si>
  <si>
    <t>19977069.1570533</t>
  </si>
  <si>
    <t>1.1.1.1.1.2.2.37.2</t>
  </si>
  <si>
    <t>271132223.739258</t>
  </si>
  <si>
    <t>19977069.739258</t>
  </si>
  <si>
    <t>1.1.1.1.1.2.2.37.3</t>
  </si>
  <si>
    <t>271132223.54637</t>
  </si>
  <si>
    <t>19977069.54637</t>
  </si>
  <si>
    <t>1.1.1.1.1.2.2.38</t>
  </si>
  <si>
    <t>2 этаж. СТ-11</t>
  </si>
  <si>
    <t>1.1.1.1.1.2.2.38.1</t>
  </si>
  <si>
    <t>Kerama Marazzi Мечты о Париже Про Матрикс 11259R серый, 300х600х9мм</t>
  </si>
  <si>
    <t>271132224.1570533</t>
  </si>
  <si>
    <t>19977067.1570533</t>
  </si>
  <si>
    <t>1.1.1.1.1.2.2.38.2</t>
  </si>
  <si>
    <t>Профиль для внешнего угла / серебро матовое / ПМЮ-02 / 2700*30</t>
  </si>
  <si>
    <t>ПР-1. Профиль Г-образный для внешнего угла ПО Г10, цвет 02, серебро матовое</t>
  </si>
  <si>
    <t>271132224.1275311</t>
  </si>
  <si>
    <t>19977067.1275311</t>
  </si>
  <si>
    <t>e47175d3-35a5-4495-838c-f2f6ffa163a3</t>
  </si>
  <si>
    <t>1.1.1.1.1.2.2.38.3</t>
  </si>
  <si>
    <t>ПР-2. Профиль Y-образный алюминиевый ПО-97-02, цвет: 02 серебро матовое</t>
  </si>
  <si>
    <t>271132224.1275312</t>
  </si>
  <si>
    <t>19977067.1275312</t>
  </si>
  <si>
    <t>1.1.1.1.1.2.2.38.4</t>
  </si>
  <si>
    <t>271132224.739258</t>
  </si>
  <si>
    <t>19977067.739258</t>
  </si>
  <si>
    <t>1.1.1.1.1.2.2.38.5</t>
  </si>
  <si>
    <t>Ceresit 07 серая</t>
  </si>
  <si>
    <t>271132224.847323</t>
  </si>
  <si>
    <t>19977067.847323</t>
  </si>
  <si>
    <t>1.1.1.1.1.2.2.39</t>
  </si>
  <si>
    <t>3 этаж. СТ-6.1</t>
  </si>
  <si>
    <t>1.1.1.1.1.2.2.39.1</t>
  </si>
  <si>
    <t xml:space="preserve">Kerama Marazzi Калейдоскоп белый 5009 200х200х6,9мм.
</t>
  </si>
  <si>
    <t>271132225.758609</t>
  </si>
  <si>
    <t>19988233.758609</t>
  </si>
  <si>
    <t>1.1.1.1.1.2.2.39.2</t>
  </si>
  <si>
    <t xml:space="preserve">ПР-1. Профиль Г-образный для внешнего угла ПО Г10, цвет 02, серебро матовое
</t>
  </si>
  <si>
    <t>271132225.1275311</t>
  </si>
  <si>
    <t>19988233.1275311</t>
  </si>
  <si>
    <t>1.1.1.1.1.2.2.39.3</t>
  </si>
  <si>
    <t>271132225.739258</t>
  </si>
  <si>
    <t>19988233.739258</t>
  </si>
  <si>
    <t>1.1.1.1.1.2.2.39.4</t>
  </si>
  <si>
    <t>271132225.737422</t>
  </si>
  <si>
    <t>19988233.737422</t>
  </si>
  <si>
    <t>1.1.1.1.1.2.2.39.5</t>
  </si>
  <si>
    <t>271132225.54637</t>
  </si>
  <si>
    <t>19988233.54637</t>
  </si>
  <si>
    <t>1.1.1.1.1.2.2.40</t>
  </si>
  <si>
    <t>3 этаж. СТ-6.2</t>
  </si>
  <si>
    <t>1.1.1.1.1.2.2.40.1</t>
  </si>
  <si>
    <t>271132226.1570533</t>
  </si>
  <si>
    <t>19988234.1570533</t>
  </si>
  <si>
    <t>1.1.1.1.1.2.2.40.2</t>
  </si>
  <si>
    <t>271132226.739258</t>
  </si>
  <si>
    <t>19988234.739258</t>
  </si>
  <si>
    <t>1.1.1.1.1.2.2.40.3</t>
  </si>
  <si>
    <t>271132226.737422</t>
  </si>
  <si>
    <t>19988234.737422</t>
  </si>
  <si>
    <t>1.1.1.1.1.2.2.40.4</t>
  </si>
  <si>
    <t>271132226.54637</t>
  </si>
  <si>
    <t>19988234.54637</t>
  </si>
  <si>
    <t>1.1.1.1.1.2.2.41</t>
  </si>
  <si>
    <t>3 этаж. СТ-6.3</t>
  </si>
  <si>
    <t>1.1.1.1.1.2.2.41.1</t>
  </si>
  <si>
    <t>271132227.1058901</t>
  </si>
  <si>
    <t>19989017.1058901</t>
  </si>
  <si>
    <t>1.1.1.1.1.2.2.41.2</t>
  </si>
  <si>
    <t>271132227.739258</t>
  </si>
  <si>
    <t>19989017.739258</t>
  </si>
  <si>
    <t>1.1.1.1.1.2.2.41.3</t>
  </si>
  <si>
    <t>271132227.737422</t>
  </si>
  <si>
    <t>19989017.737422</t>
  </si>
  <si>
    <t>1.1.1.1.1.2.2.41.4</t>
  </si>
  <si>
    <t>271132227.54637</t>
  </si>
  <si>
    <t>19989017.54637</t>
  </si>
  <si>
    <t>1.1.1.1.1.2.2.42</t>
  </si>
  <si>
    <t>3 этаж. СТ-6.4</t>
  </si>
  <si>
    <t>1.1.1.1.1.2.2.42.1</t>
  </si>
  <si>
    <t xml:space="preserve"> Kerama Marazzi Калейдоскоп 5111 зеленый, 200х200х6,9мм</t>
  </si>
  <si>
    <t>271132228.758612</t>
  </si>
  <si>
    <t>19989018.758612</t>
  </si>
  <si>
    <t>1.1.1.1.1.2.2.42.2</t>
  </si>
  <si>
    <t>271132228.739258</t>
  </si>
  <si>
    <t>19989018.739258</t>
  </si>
  <si>
    <t>1.1.1.1.1.2.2.42.3</t>
  </si>
  <si>
    <t>271132228.737422</t>
  </si>
  <si>
    <t>19989018.737422</t>
  </si>
  <si>
    <t>1.1.1.1.1.2.2.42.4</t>
  </si>
  <si>
    <t>271132228.54637</t>
  </si>
  <si>
    <t>19989018.54637</t>
  </si>
  <si>
    <t>1.1.1.1.1.2.2.43</t>
  </si>
  <si>
    <t>3 этаж. СТ-6.5</t>
  </si>
  <si>
    <t>1.1.1.1.1.2.2.43.1</t>
  </si>
  <si>
    <t>271132229.1058901</t>
  </si>
  <si>
    <t>19989019.1058901</t>
  </si>
  <si>
    <t>1.1.1.1.1.2.2.43.2</t>
  </si>
  <si>
    <t>271132229.739258</t>
  </si>
  <si>
    <t>19989019.739258</t>
  </si>
  <si>
    <t>1.1.1.1.1.2.2.43.3</t>
  </si>
  <si>
    <t>271132229.737422</t>
  </si>
  <si>
    <t>19989019.737422</t>
  </si>
  <si>
    <t>1.1.1.1.1.2.2.43.4</t>
  </si>
  <si>
    <t>271132229.54637</t>
  </si>
  <si>
    <t>19989019.54637</t>
  </si>
  <si>
    <t>1.1.1.1.1.2.2.44</t>
  </si>
  <si>
    <t>3 этаж. СТ-8</t>
  </si>
  <si>
    <t>1.1.1.1.1.2.2.44.1</t>
  </si>
  <si>
    <t>Kerama Marazzi Белое солнце 8000, 300х200х6,9мм</t>
  </si>
  <si>
    <t>271132230.1570533</t>
  </si>
  <si>
    <t>19989020.1570533</t>
  </si>
  <si>
    <t>1.1.1.1.1.2.2.44.2</t>
  </si>
  <si>
    <t>271132230.739258</t>
  </si>
  <si>
    <t>19989020.739258</t>
  </si>
  <si>
    <t>1.1.1.1.1.2.2.44.3</t>
  </si>
  <si>
    <t>271132230.737422</t>
  </si>
  <si>
    <t>19989020.737422</t>
  </si>
  <si>
    <t>1.1.1.1.1.2.2.44.4</t>
  </si>
  <si>
    <t>271132230.54637</t>
  </si>
  <si>
    <t>19989020.54637</t>
  </si>
  <si>
    <t>1.1.1.1.1.2.2.45</t>
  </si>
  <si>
    <t>3 этаж. СТ-11</t>
  </si>
  <si>
    <t>1.1.1.1.1.2.2.45.1</t>
  </si>
  <si>
    <t>271132231.1570533</t>
  </si>
  <si>
    <t>19989016.1570533</t>
  </si>
  <si>
    <t>1.1.1.1.1.2.2.45.2</t>
  </si>
  <si>
    <t>271132231.1275311</t>
  </si>
  <si>
    <t>19989016.1275311</t>
  </si>
  <si>
    <t>1.1.1.1.1.2.2.45.3</t>
  </si>
  <si>
    <t>271132231.739258</t>
  </si>
  <si>
    <t>19989016.739258</t>
  </si>
  <si>
    <t>1.1.1.1.1.2.2.45.4</t>
  </si>
  <si>
    <t>271132231.737422</t>
  </si>
  <si>
    <t>19989016.737422</t>
  </si>
  <si>
    <t>1.1.1.1.1.2.2.45.5</t>
  </si>
  <si>
    <t>Затирка Цезерит СE33_/16 графит</t>
  </si>
  <si>
    <t xml:space="preserve"> Ceresit 07 серая</t>
  </si>
  <si>
    <t>271132231.54636</t>
  </si>
  <si>
    <t>19989016.54636</t>
  </si>
  <si>
    <t>f54ca740-ebda-47a7-a0b5-b458f2ce093f</t>
  </si>
  <si>
    <t>1.1.1.1.1.2.2.46</t>
  </si>
  <si>
    <t>6.3.1.5.2.2.9.2</t>
  </si>
  <si>
    <t>Облицовка поверхности стен СКБ с затиркой швов / керамической, керамогранитной плиткой от 0,2м2/шт</t>
  </si>
  <si>
    <t>2 этаж. СТ-14</t>
  </si>
  <si>
    <t>9000ff2e-4eba-41cc-a074-c46fe92c125a</t>
  </si>
  <si>
    <t>543139c7-05c6-47e9-8a5c-0d2e4272c803</t>
  </si>
  <si>
    <t>1.1.1.1.1.2.2.46.1</t>
  </si>
  <si>
    <t>Керамический гранит Kerama marazzi "Радуга"_ / оранжевый / SG610100R / 600*600*11мм</t>
  </si>
  <si>
    <t>Kerama Marazzi Про Матрикс, арт. DD602020R 600х600х9мм</t>
  </si>
  <si>
    <t>271132118.54685</t>
  </si>
  <si>
    <t>19977068.54685</t>
  </si>
  <si>
    <t>1035cef8-fb15-43d3-a485-0205abdfd05c</t>
  </si>
  <si>
    <t>1.1.1.1.1.2.2.46.2</t>
  </si>
  <si>
    <t>271132118.739258</t>
  </si>
  <si>
    <t>19977068.739258</t>
  </si>
  <si>
    <t>1.1.1.1.1.2.2.46.3</t>
  </si>
  <si>
    <t>271132118.54637</t>
  </si>
  <si>
    <t>19977068.54637</t>
  </si>
  <si>
    <t>1.1.1.1.1.2.2.46.4</t>
  </si>
  <si>
    <t>271132118.737422</t>
  </si>
  <si>
    <t>19977068.737422</t>
  </si>
  <si>
    <t>1.1.1.1.1.2.2.47</t>
  </si>
  <si>
    <t>3 этаж. СТ-14</t>
  </si>
  <si>
    <t>1.1.1.1.1.2.2.47.1</t>
  </si>
  <si>
    <t>271132232.737422</t>
  </si>
  <si>
    <t>19989082.737422</t>
  </si>
  <si>
    <t>1.1.1.1.1.2.2.47.2</t>
  </si>
  <si>
    <t>271132232.54636</t>
  </si>
  <si>
    <t>19989082.54636</t>
  </si>
  <si>
    <t>1.1.1.1.1.2.2.47.3</t>
  </si>
  <si>
    <t>271132232.739258</t>
  </si>
  <si>
    <t>19989082.739258</t>
  </si>
  <si>
    <t>1.1.1.1.1.2.2.47.4</t>
  </si>
  <si>
    <t xml:space="preserve"> Kerama Marazzi Про Матрикс, арт. DD602020R 600х600х9мм</t>
  </si>
  <si>
    <t>271132232.1275875</t>
  </si>
  <si>
    <t>19989082.1275875</t>
  </si>
  <si>
    <t>1.1.1.1.1.2.3</t>
  </si>
  <si>
    <t>6.3.1.5.2.3</t>
  </si>
  <si>
    <t>Устройство подоконников, оконных откосов</t>
  </si>
  <si>
    <t>1.1.1.1.1.2.3.1</t>
  </si>
  <si>
    <t>6.3.1.5.2.3.1.2</t>
  </si>
  <si>
    <t>Штукатурка поверхностей откосов сухими смесями с предварительной огрунтовкой поверхности / толщ. свыше 20 мм</t>
  </si>
  <si>
    <t>48850735-d48e-4f91-9491-54524f0a59a1</t>
  </si>
  <si>
    <t>30117393-41c8-442e-9221-b04847a4affb</t>
  </si>
  <si>
    <t>1.1.1.1.1.2.3.1.1</t>
  </si>
  <si>
    <t>Штукатурка цементная, сухая, ТАНИЛИТ_/PC10</t>
  </si>
  <si>
    <t>271132120.54613</t>
  </si>
  <si>
    <t>16225738.54613</t>
  </si>
  <si>
    <t>c9b06266-dd92-4a08-9f0b-d8cdde8716d9</t>
  </si>
  <si>
    <t>1.1.1.1.1.2.3.1.2</t>
  </si>
  <si>
    <t>Профиль маячковый_/ПМ10</t>
  </si>
  <si>
    <t>271132120.55030</t>
  </si>
  <si>
    <t>16225738.55030</t>
  </si>
  <si>
    <t>2c5b3048-8dfb-4910-9a5b-0bcdfb85437b</t>
  </si>
  <si>
    <t>1.1.1.1.1.2.3.1.3</t>
  </si>
  <si>
    <t>271132120.54633</t>
  </si>
  <si>
    <t>16225738.54633</t>
  </si>
  <si>
    <t>1.1.1.1.1.2.3.2</t>
  </si>
  <si>
    <t>6.3.1.5.2.3.2.1</t>
  </si>
  <si>
    <t>Выравнивание поверхностей откосов толщ. до 5 мм с предварительной огрунтовкой поверхности</t>
  </si>
  <si>
    <t>2 этаж. Шпаклевка оконных откосов базовая.</t>
  </si>
  <si>
    <t>1bd78791-ea55-4aed-83db-0bd34db05925</t>
  </si>
  <si>
    <t>f9b8ac25-8b08-4829-b5d2-9adcab5c69cb</t>
  </si>
  <si>
    <t>1.1.1.1.1.2.3.2.1</t>
  </si>
  <si>
    <t>271132122.54622</t>
  </si>
  <si>
    <t>16225746.54622</t>
  </si>
  <si>
    <t>1.1.1.1.1.2.3.2.2</t>
  </si>
  <si>
    <t>Уголок малярный_/перфорированный/25*25*3000мм</t>
  </si>
  <si>
    <t>271132122.55026</t>
  </si>
  <si>
    <t>16225746.55026</t>
  </si>
  <si>
    <t>480f9c46-4853-47e1-ac30-340d72ef0430</t>
  </si>
  <si>
    <t>1.1.1.1.1.2.3.2.3</t>
  </si>
  <si>
    <t>271132122.54634</t>
  </si>
  <si>
    <t>16225746.54634</t>
  </si>
  <si>
    <t>1.1.1.1.1.2.3.3</t>
  </si>
  <si>
    <t>2 этаж. Шпаклевка оконных откосов финишная.</t>
  </si>
  <si>
    <t>1.1.1.1.1.2.3.3.1</t>
  </si>
  <si>
    <t>271132233.54634</t>
  </si>
  <si>
    <t>16225747.54634</t>
  </si>
  <si>
    <t>1.1.1.1.1.2.3.3.2</t>
  </si>
  <si>
    <t>271132233.55026</t>
  </si>
  <si>
    <t>16225747.55026</t>
  </si>
  <si>
    <t>1.1.1.1.1.2.3.3.3</t>
  </si>
  <si>
    <t>271132233.54622</t>
  </si>
  <si>
    <t>16225747.54622</t>
  </si>
  <si>
    <t>1.1.1.1.1.2.3.4</t>
  </si>
  <si>
    <t>3 этаж. Шпаклевка оконных откосов базовая.</t>
  </si>
  <si>
    <t>1.1.1.1.1.2.3.4.1</t>
  </si>
  <si>
    <t>271132234.54634</t>
  </si>
  <si>
    <t>19821008.54634</t>
  </si>
  <si>
    <t>1.1.1.1.1.2.3.4.2</t>
  </si>
  <si>
    <t>271132234.18405</t>
  </si>
  <si>
    <t>19821008.18405</t>
  </si>
  <si>
    <t>1.1.1.1.1.2.3.4.3</t>
  </si>
  <si>
    <t>271132234.54622</t>
  </si>
  <si>
    <t>19821008.54622</t>
  </si>
  <si>
    <t>1.1.1.1.1.2.3.5</t>
  </si>
  <si>
    <t>3 этаж. Шпаклевка оконных откосов финишная.</t>
  </si>
  <si>
    <t>1.1.1.1.1.2.3.5.1</t>
  </si>
  <si>
    <t>271132235.54634</t>
  </si>
  <si>
    <t>19821009.54634</t>
  </si>
  <si>
    <t>1.1.1.1.1.2.3.5.2</t>
  </si>
  <si>
    <t>271132235.54622</t>
  </si>
  <si>
    <t>19821009.54622</t>
  </si>
  <si>
    <t>1.1.1.1.1.2.3.6</t>
  </si>
  <si>
    <t>6.3.1.5.2.3.3.1</t>
  </si>
  <si>
    <t>Окраска поверхности откосов с предварительной огрунтовкой поверхности / в 2 слоя</t>
  </si>
  <si>
    <t>a655afc0-8bbc-486f-8672-9267401735db</t>
  </si>
  <si>
    <t>da736aa2-72e0-488c-9852-5241239c0b93</t>
  </si>
  <si>
    <t>1.1.1.1.1.2.3.6.1</t>
  </si>
  <si>
    <t>Краска Tikkurila Проф Евро 7 / RAL 9003</t>
  </si>
  <si>
    <t>271132124.1527563</t>
  </si>
  <si>
    <t>16226151.1527563</t>
  </si>
  <si>
    <t>c703e0d9-c58b-46dc-ae9e-94ab4ef5f1c1</t>
  </si>
  <si>
    <t>1.1.1.1.1.2.3.6.2</t>
  </si>
  <si>
    <t>271132124.54634</t>
  </si>
  <si>
    <t>16226151.54634</t>
  </si>
  <si>
    <t>1.1.1.1.1.2.3.7</t>
  </si>
  <si>
    <t>1.1.1.1.1.2.3.7.1</t>
  </si>
  <si>
    <t>271132236.54634</t>
  </si>
  <si>
    <t>19821007.54634</t>
  </si>
  <si>
    <t>1.1.1.1.1.2.3.7.2</t>
  </si>
  <si>
    <t>Краска для влажных помещений Стройтекс_/белая гл/мат</t>
  </si>
  <si>
    <t>271132236.54741</t>
  </si>
  <si>
    <t>19821007.54741</t>
  </si>
  <si>
    <t>e4679dfc-c6ea-40ee-9f7b-e85a85b0c443</t>
  </si>
  <si>
    <t>1.1.1.1.1.2.3.8</t>
  </si>
  <si>
    <t>6.3.1.5.2.3.7.1</t>
  </si>
  <si>
    <t>Устройство откосов из ГКЛ на клеевом составе / в 1 слой</t>
  </si>
  <si>
    <t>bf0191ab-6901-4bea-8db7-e681d576a152</t>
  </si>
  <si>
    <t>a8f95757-9dd2-41ed-b9a6-bc0729c8286a</t>
  </si>
  <si>
    <t>1.1.1.1.1.2.3.8.1</t>
  </si>
  <si>
    <t>Шпаклевка д/заделки швов, ШОВСИЛК_/Т33</t>
  </si>
  <si>
    <t>271132126.54624</t>
  </si>
  <si>
    <t>16226149.54624</t>
  </si>
  <si>
    <t>7b96503e-5889-4b88-b7f6-580caaa662ae</t>
  </si>
  <si>
    <t>1.1.1.1.1.2.3.8.2</t>
  </si>
  <si>
    <t>Дюбель гвоздь_/6*60</t>
  </si>
  <si>
    <t>271132126.54837</t>
  </si>
  <si>
    <t>16226149.54837</t>
  </si>
  <si>
    <t>62d65521-fd7b-40a4-8286-41f591bb481f</t>
  </si>
  <si>
    <t>1.1.1.1.1.2.3.8.3</t>
  </si>
  <si>
    <t>Гипсовые строительные плиты_ / влагостойкий / 12,5*1200*2500</t>
  </si>
  <si>
    <t>271132126.54553</t>
  </si>
  <si>
    <t>16226149.54553</t>
  </si>
  <si>
    <t>efad23af-fbbd-4322-a1b7-0c398c24e336</t>
  </si>
  <si>
    <t>1.1.1.1.1.2.3.8.4</t>
  </si>
  <si>
    <t>Герметик_ / Универсальный, силиконовый</t>
  </si>
  <si>
    <t>271132126.54852</t>
  </si>
  <si>
    <t>16226149.54852</t>
  </si>
  <si>
    <t>15ad0642-5703-46fb-967a-32f2be096c59</t>
  </si>
  <si>
    <t>1.1.1.1.1.2.3.9</t>
  </si>
  <si>
    <t>1.1.1.1.1.2.3.9.1</t>
  </si>
  <si>
    <t>271132237.54553</t>
  </si>
  <si>
    <t>19822307.54553</t>
  </si>
  <si>
    <t>1.1.1.1.1.2.3.9.2</t>
  </si>
  <si>
    <t>Угол пластиковый_/10*15*2,5м</t>
  </si>
  <si>
    <t>271132237.55028</t>
  </si>
  <si>
    <t>19822307.55028</t>
  </si>
  <si>
    <t>551cb54d-a4ff-4e4c-b8c8-5ee9eaa28821</t>
  </si>
  <si>
    <t>1.1.1.1.1.2.3.9.3</t>
  </si>
  <si>
    <t>271132237.54624</t>
  </si>
  <si>
    <t>19822307.54624</t>
  </si>
  <si>
    <t>1.1.1.1.1.2.3.9.4</t>
  </si>
  <si>
    <t>271132237.54634</t>
  </si>
  <si>
    <t>19822307.54634</t>
  </si>
  <si>
    <t>1.1.1.1.1.2.3.10</t>
  </si>
  <si>
    <t>6.3.1.5.2.3.9.1</t>
  </si>
  <si>
    <t>Зашивка приборов отопления / ГВЛВ / в 1 слой на каркасе</t>
  </si>
  <si>
    <t>3 этаж. ПО-4</t>
  </si>
  <si>
    <t>b7675009-5c31-40f5-bb35-e4c17c31972a</t>
  </si>
  <si>
    <t>d39ac62b-c48c-41cf-b101-941ac02c6231</t>
  </si>
  <si>
    <t>1.1.1.1.1.2.3.10.1</t>
  </si>
  <si>
    <t>Профиль_/стоечный/50*50*0,40/3м</t>
  </si>
  <si>
    <t>271132128.54564</t>
  </si>
  <si>
    <t>20181624.54564</t>
  </si>
  <si>
    <t>4e067b05-ad0d-4585-9beb-bdfb968030c2</t>
  </si>
  <si>
    <t>1.1.1.1.1.2.3.10.2</t>
  </si>
  <si>
    <t>Профиль_/направляющий/50*50*0,40/3м</t>
  </si>
  <si>
    <t>271132128.54566</t>
  </si>
  <si>
    <t>20181624.54566</t>
  </si>
  <si>
    <t>c2f1d1c0-1cc2-4bd4-8e05-ef1e6946382b</t>
  </si>
  <si>
    <t>1.1.1.1.1.2.3.10.3</t>
  </si>
  <si>
    <t>Плита Кнауф Файерборд_ / 2500х1200х12.5 м</t>
  </si>
  <si>
    <t>271132128.1523192</t>
  </si>
  <si>
    <t>20181624.1523192</t>
  </si>
  <si>
    <t>1a9d2c61-823f-4235-b198-e9701dbd754e</t>
  </si>
  <si>
    <t>1.1.1.1.1.2.3.11</t>
  </si>
  <si>
    <t>2 этаж. ПО-4</t>
  </si>
  <si>
    <t>1.1.1.1.1.2.3.11.1</t>
  </si>
  <si>
    <t>271132238.1523192</t>
  </si>
  <si>
    <t>20181618.1523192</t>
  </si>
  <si>
    <t>1.1.1.1.1.2.3.11.2</t>
  </si>
  <si>
    <t>271132238.54564</t>
  </si>
  <si>
    <t>20181618.54564</t>
  </si>
  <si>
    <t>1.1.1.1.1.2.3.11.3</t>
  </si>
  <si>
    <t>271132238.54566</t>
  </si>
  <si>
    <t>20181618.54566</t>
  </si>
  <si>
    <t>1.1.1.1.1.2.3.12</t>
  </si>
  <si>
    <t>6.3.1.5.2.3.9.2</t>
  </si>
  <si>
    <t>Зашивка приборов отопления / ГВЛВ / в 2 слоя на каркасе</t>
  </si>
  <si>
    <t>663ba77e-b098-40f4-94fa-887123ae612f</t>
  </si>
  <si>
    <t>0382bb4a-a04e-4008-974d-d8ed2569c155</t>
  </si>
  <si>
    <t>1.1.1.1.1.2.3.12._</t>
  </si>
  <si>
    <t>1.1.1.1.1.2.3.12.1</t>
  </si>
  <si>
    <t>271132129.54564</t>
  </si>
  <si>
    <t>16230161.54564</t>
  </si>
  <si>
    <t>1.1.1.1.1.2.3.12.1._</t>
  </si>
  <si>
    <t>220089282.54564</t>
  </si>
  <si>
    <t>1.1.1.1.1.2.3.12.2</t>
  </si>
  <si>
    <t>271132129.54566</t>
  </si>
  <si>
    <t>16230161.54566</t>
  </si>
  <si>
    <t>1.1.1.1.1.2.3.12.2._</t>
  </si>
  <si>
    <t>220089282.54566</t>
  </si>
  <si>
    <t>1.1.1.1.1.2.3.12.3</t>
  </si>
  <si>
    <t>Лист гипсоволокнистый ГВЛВ 12,5мм Г1</t>
  </si>
  <si>
    <t>271132129.7352</t>
  </si>
  <si>
    <t>16230161.7352</t>
  </si>
  <si>
    <t>22b5ef4c-0665-11e8-80d9-005056881952</t>
  </si>
  <si>
    <t>1.1.1.1.1.2.3.12.3._</t>
  </si>
  <si>
    <t>220089282.7352</t>
  </si>
  <si>
    <t>1.1.1.1.1.2.3.13</t>
  </si>
  <si>
    <t>3 этаж. ЗШ-1</t>
  </si>
  <si>
    <t>1.1.1.1.1.2.3.13.1</t>
  </si>
  <si>
    <t>271132239.7352</t>
  </si>
  <si>
    <t>19822309.7352</t>
  </si>
  <si>
    <t>1.1.1.1.1.2.3.13.2</t>
  </si>
  <si>
    <t>271132239.54564</t>
  </si>
  <si>
    <t>19822309.54564</t>
  </si>
  <si>
    <t>1.1.1.1.1.2.3.13.3</t>
  </si>
  <si>
    <t>271132239.54566</t>
  </si>
  <si>
    <t>19822309.54566</t>
  </si>
  <si>
    <t>1.1.1.1.1.2.3.13.4</t>
  </si>
  <si>
    <t>271132239.55028</t>
  </si>
  <si>
    <t>19822309.55028</t>
  </si>
  <si>
    <t>1.1.1.1.1.2.3.14</t>
  </si>
  <si>
    <t>2 этаж. ЗШ-1,  ЗШ-4</t>
  </si>
  <si>
    <t>1.1.1.1.1.2.3.14.1</t>
  </si>
  <si>
    <t>271132240.7352</t>
  </si>
  <si>
    <t>19822308.7352</t>
  </si>
  <si>
    <t>1.1.1.1.1.2.3.14.2</t>
  </si>
  <si>
    <t>271132240.54564</t>
  </si>
  <si>
    <t>19822308.54564</t>
  </si>
  <si>
    <t>1.1.1.1.1.2.3.14.3</t>
  </si>
  <si>
    <t>271132240.54566</t>
  </si>
  <si>
    <t>19822308.54566</t>
  </si>
  <si>
    <t>1.1.1.1.1.2.3.14.4</t>
  </si>
  <si>
    <t>271132240.55028</t>
  </si>
  <si>
    <t>19822308.55028</t>
  </si>
  <si>
    <t>1.1.1.1.1.2.3.15</t>
  </si>
  <si>
    <t>2 этаж. ЗШ-2</t>
  </si>
  <si>
    <t>1.1.1.1.1.2.3.15.1</t>
  </si>
  <si>
    <t>Плита Кнауф Файерборд_ / 2500х1200х9.5 м</t>
  </si>
  <si>
    <t>271132241.1523283</t>
  </si>
  <si>
    <t>19993569.1523283</t>
  </si>
  <si>
    <t>25cb983d-ece3-49d9-bfab-285e5d6a76d7</t>
  </si>
  <si>
    <t>1.1.1.1.1.2.3.15.2</t>
  </si>
  <si>
    <t>271132241.54564</t>
  </si>
  <si>
    <t>19993569.54564</t>
  </si>
  <si>
    <t>1.1.1.1.1.2.3.15.3</t>
  </si>
  <si>
    <t>271132241.54566</t>
  </si>
  <si>
    <t>19993569.54566</t>
  </si>
  <si>
    <t>1.1.1.1.1.2.3.15.4</t>
  </si>
  <si>
    <t>271132241.55028</t>
  </si>
  <si>
    <t>19993569.55028</t>
  </si>
  <si>
    <t>1.1.1.1.1.2.3.16</t>
  </si>
  <si>
    <t>2 этаж. ПО-2</t>
  </si>
  <si>
    <t>1.1.1.1.1.2.3.16.1</t>
  </si>
  <si>
    <t>271132242.7352</t>
  </si>
  <si>
    <t>19995862.7352</t>
  </si>
  <si>
    <t>1.1.1.1.1.2.3.16.2</t>
  </si>
  <si>
    <t>271132242.54564</t>
  </si>
  <si>
    <t>19995862.54564</t>
  </si>
  <si>
    <t>1.1.1.1.1.2.3.16.3</t>
  </si>
  <si>
    <t>271132242.54566</t>
  </si>
  <si>
    <t>19995862.54566</t>
  </si>
  <si>
    <t>1.1.1.1.1.2.3.17</t>
  </si>
  <si>
    <t>3 этаж. ПО-2</t>
  </si>
  <si>
    <t>1.1.1.1.1.2.3.17.1</t>
  </si>
  <si>
    <t>271132243.7352</t>
  </si>
  <si>
    <t>19995863.7352</t>
  </si>
  <si>
    <t>1.1.1.1.1.2.3.17.2</t>
  </si>
  <si>
    <t>271132243.54564</t>
  </si>
  <si>
    <t>19995863.54564</t>
  </si>
  <si>
    <t>1.1.1.1.1.2.3.17.3</t>
  </si>
  <si>
    <t>271132243.54566</t>
  </si>
  <si>
    <t>19995863.54566</t>
  </si>
  <si>
    <t>1.1.1.1.1.2.3.17.4</t>
  </si>
  <si>
    <t>271132243.55028</t>
  </si>
  <si>
    <t>19995863.55028</t>
  </si>
  <si>
    <t>1.1.1.1.1.2.4</t>
  </si>
  <si>
    <t>6.3.1.5.2.4</t>
  </si>
  <si>
    <t>Монтаж люков, панелей, решеток</t>
  </si>
  <si>
    <t>1.1.1.1.1.2.4.1</t>
  </si>
  <si>
    <t>6.3.1.5.2.4.2.1</t>
  </si>
  <si>
    <t>Установка люков противопожарных / в потолке</t>
  </si>
  <si>
    <t>Поставка и монтаж люков "Небоскреб" от ГК Хаммер</t>
  </si>
  <si>
    <t>14838fe6-ed64-403b-bef9-47ab2370e6a2</t>
  </si>
  <si>
    <t>65f52617-9a3b-493d-92c8-86789a080f12</t>
  </si>
  <si>
    <t>1.1.1.1.1.2.4.1.1</t>
  </si>
  <si>
    <t>Люк ревизионный противопожарный Металл 850х2100мм EI60, открывание Правое</t>
  </si>
  <si>
    <t>Люк "Небоскреб" для выхода на кровлю противопожарный (EI60) Небоскреб (2450х1250, петли по стороне 2450, вн.проем 2200x1000, поручень справа), лебедка</t>
  </si>
  <si>
    <t>271132132.757696</t>
  </si>
  <si>
    <t>19996218.757696</t>
  </si>
  <si>
    <t>accbc8a7-e442-11e9-80ec-005056881952</t>
  </si>
  <si>
    <t>1.1.1.1.1.2.4.2</t>
  </si>
  <si>
    <t>6.3.1.5.2.4.2.2</t>
  </si>
  <si>
    <t>Установка люков противопожарных / в стене</t>
  </si>
  <si>
    <t>Поставка и монтаж люков "Техно" от ГК Хаммер</t>
  </si>
  <si>
    <t>5a0dccfe-b755-49b8-bd73-b49ccc865b87</t>
  </si>
  <si>
    <t>4fe442a6-61c6-4429-8158-4627027df66d</t>
  </si>
  <si>
    <t>1.1.1.1.1.2.4.2.1</t>
  </si>
  <si>
    <t>Люк ревизионный противопожарный Металл 680х1900мм EI60, открывание Правое</t>
  </si>
  <si>
    <t>Люк "Техно" под покраску противопожарный EIS60 однопольный,  (проем 700х1800h (габаритные размеры 680х1780), запирание №4 утопленная ручка Хефеле, шариковые защелки,  замок с трехгранным ключом.</t>
  </si>
  <si>
    <t>271132133.757064</t>
  </si>
  <si>
    <t>19996219.757064</t>
  </si>
  <si>
    <t>f2d41633-e389-11e9-80ec-005056881952</t>
  </si>
  <si>
    <t>1.1.1.1.1.3</t>
  </si>
  <si>
    <t>6.3.1.5.3</t>
  </si>
  <si>
    <t>Потолки</t>
  </si>
  <si>
    <t>1.1.1.1.1.3.1</t>
  </si>
  <si>
    <t>6.3.1.5.3.1</t>
  </si>
  <si>
    <t>Черновые работы по поверхности потолков</t>
  </si>
  <si>
    <t>1.1.1.1.1.3.1.1</t>
  </si>
  <si>
    <t>6.3.1.5.3.1.1.1</t>
  </si>
  <si>
    <t>Выравнивание потолка с предварительной огрунтовкой поверхности / по ЖБ поверхности / толщ. 5 мм</t>
  </si>
  <si>
    <t>a708b664-5128-4306-a9f8-65f4a48c89df</t>
  </si>
  <si>
    <t>bcf92e37-44ee-49c2-9267-a83aebb31adb</t>
  </si>
  <si>
    <t>1.1.1.1.1.3.1.1._</t>
  </si>
  <si>
    <t>1.1.1.1.1.3.1.1.1</t>
  </si>
  <si>
    <t>Шпатлевка гипсовая_ / белая / Унифицированная по ПИК-СТАНДАРТ, 30кг (BIM)</t>
  </si>
  <si>
    <t>Шпаклевка гипсовая Старатели базовая белая 20 кг
Шпаклевка гипсовая Старатели финишная 20 кг</t>
  </si>
  <si>
    <t>271132137.1570750</t>
  </si>
  <si>
    <t>16230872.1570750</t>
  </si>
  <si>
    <t>3254b4be-ac53-4a29-ad23-972be75bc24b</t>
  </si>
  <si>
    <t>1.1.1.1.1.3.1.1.1._</t>
  </si>
  <si>
    <t>213493219.1570750</t>
  </si>
  <si>
    <t>1.1.1.1.1.3.1.1.2</t>
  </si>
  <si>
    <t>271132137.54633</t>
  </si>
  <si>
    <t>16230872.54633</t>
  </si>
  <si>
    <t>1.1.1.1.1.3.1.1.2._</t>
  </si>
  <si>
    <t>213493219.54633</t>
  </si>
  <si>
    <t>1.1.1.1.1.3.1.2</t>
  </si>
  <si>
    <t>6.3.1.5.3.1.6.1</t>
  </si>
  <si>
    <t>Подготовка поверхности СКБ / потолка / ЖБ / 5 мм</t>
  </si>
  <si>
    <t>3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</si>
  <si>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d8ade7bb-05e7-4786-90a0-891f405ecdf1</t>
  </si>
  <si>
    <t>d89f0cdd-97a2-4d68-95d2-a137bc57c6ad</t>
  </si>
  <si>
    <t>1.1.1.1.1.3.1.2.1</t>
  </si>
  <si>
    <t>271132139.54622</t>
  </si>
  <si>
    <t>16680701.54622</t>
  </si>
  <si>
    <t>1.1.1.1.1.3.1.2.2</t>
  </si>
  <si>
    <t>271132139.54633</t>
  </si>
  <si>
    <t>16680701.54633</t>
  </si>
  <si>
    <t>1.1.1.1.1.3.1.3</t>
  </si>
  <si>
    <t>2 этаж. Шпаклевка потолков базовая (тип ПТ-1.4, ПТ-1.8, ПТ-1.1, ПТ-2.3, ПТ-2.4, ПТ-2.6, ПТ-2.8, ПТ-1.2, ПТ-2.1, ПТ-2.5, ПТ-2.7, ПТ-2.8, ПТ-2.10, ПТ-2.16, ПТ-4.1, ПТ-4.3, ПТ-5.1, ПТ-5.2, ПТ-8.1, ПТ-8.2)</t>
  </si>
  <si>
    <t>1.1.1.1.1.3.1.3.1</t>
  </si>
  <si>
    <t>271132244.54633</t>
  </si>
  <si>
    <t>19997129.54633</t>
  </si>
  <si>
    <t>1.1.1.1.1.3.1.3.2</t>
  </si>
  <si>
    <t>271132244.54622</t>
  </si>
  <si>
    <t>19997129.54622</t>
  </si>
  <si>
    <t>1.1.1.1.1.3.1.4</t>
  </si>
  <si>
    <t>6.3.1.5.3.1.6.6</t>
  </si>
  <si>
    <t>Подготовка поверхности СКБ / потолка / по штукатурке / 2мм</t>
  </si>
  <si>
    <t>2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</si>
  <si>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42d08cea-07ba-4dbe-a8b0-b5e7c8673109</t>
  </si>
  <si>
    <t>7a2a024b-7aa6-4bee-9d60-f94b39f3d674</t>
  </si>
  <si>
    <t>1.1.1.1.1.3.1.4.1</t>
  </si>
  <si>
    <t>271132140.1570750</t>
  </si>
  <si>
    <t>19997514.1570750</t>
  </si>
  <si>
    <t>1.1.1.1.1.3.1.4.2</t>
  </si>
  <si>
    <t>271132140.1139608</t>
  </si>
  <si>
    <t>19997514.1139608</t>
  </si>
  <si>
    <t>1.1.1.1.1.3.1.5</t>
  </si>
  <si>
    <t>3 этаж. Шпаклевка потолков финишная под покраску (тип ПТ-1.4, ПТ-1.8, ПТ-1.1, ПТ-2.3, ПТ-2.4, ПТ-2.6, ПТ-2.8, ПТ-1.2, ПТ-2.1, ПТ-2.5, ПТ-2.7, ПТ-2.8, ПТ-2.10, ПТ-2.16, ПТ-4.1, ПТ-4.3, ПТ-5.1, ПТ-5.2, ПТ-8.1, ПТ-8.2)</t>
  </si>
  <si>
    <t>1.1.1.1.1.3.1.5.1</t>
  </si>
  <si>
    <t>271132245.1139608</t>
  </si>
  <si>
    <t>19997515.1139608</t>
  </si>
  <si>
    <t>1.1.1.1.1.3.1.5.2</t>
  </si>
  <si>
    <t>271132245.1570750</t>
  </si>
  <si>
    <t>19997515.1570750</t>
  </si>
  <si>
    <t>1.1.1.1.1.3.2</t>
  </si>
  <si>
    <t>6.3.1.5.3.2</t>
  </si>
  <si>
    <t>Чистовые работы по поверхности потолков</t>
  </si>
  <si>
    <t>1.1.1.1.1.3.2.1</t>
  </si>
  <si>
    <t>6.3.1.5.3.2.1.1</t>
  </si>
  <si>
    <t>Окраска поверхностей потолков с предварительной огрунтовкой поверхностей / в 2 слоя</t>
  </si>
  <si>
    <t>478a6ca3-0d25-4222-a9b0-4491b9343f07</t>
  </si>
  <si>
    <t>e8137cae-2b7d-4e33-9b8f-0ac63510ca78</t>
  </si>
  <si>
    <t>1.1.1.1.1.3.2.1._</t>
  </si>
  <si>
    <t>1.1.1.1.1.3.2.1.1</t>
  </si>
  <si>
    <t>Окраска матовой водно-дисперсионной краской для высококачественной отделки Antega Строитель (моющаяся) цвет серый шелк RAL 7044, КМ1</t>
  </si>
  <si>
    <t>271132143.391225</t>
  </si>
  <si>
    <t>16231516.391225</t>
  </si>
  <si>
    <t>1.1.1.1.1.3.2.1.1._</t>
  </si>
  <si>
    <t>206485775.391225</t>
  </si>
  <si>
    <t>1.1.1.1.1.3.2.1.2</t>
  </si>
  <si>
    <t>271132143.54634</t>
  </si>
  <si>
    <t>16231516.54634</t>
  </si>
  <si>
    <t>1.1.1.1.1.3.2.1.2._</t>
  </si>
  <si>
    <t>206485775.54634</t>
  </si>
  <si>
    <t>1.1.1.1.1.3.2.2</t>
  </si>
  <si>
    <t>1.1.1.1.1.3.2.2._</t>
  </si>
  <si>
    <t>1.1.1.1.1.3.2.2.1</t>
  </si>
  <si>
    <t>271132246.54634</t>
  </si>
  <si>
    <t>16231523.54634</t>
  </si>
  <si>
    <t>1.1.1.1.1.3.2.2.1._</t>
  </si>
  <si>
    <t>220089303.54634</t>
  </si>
  <si>
    <t>1.1.1.1.1.3.2.2.2</t>
  </si>
  <si>
    <t>Краска негорючая моющаяся Protect Decor_ / RAL 9003</t>
  </si>
  <si>
    <t>Краска огнестойкая Antega Строитель НГ, цвет - белый RAL 9003, КМ0</t>
  </si>
  <si>
    <t>271132246.758336</t>
  </si>
  <si>
    <t>16231523.758336</t>
  </si>
  <si>
    <t>892d9f8d-ffaf-4ce8-87d2-2326a6c94834</t>
  </si>
  <si>
    <t>1.1.1.1.1.3.2.2.2._</t>
  </si>
  <si>
    <t>220089303.758336</t>
  </si>
  <si>
    <t>1.1.1.1.1.3.2.3</t>
  </si>
  <si>
    <t>1.1.1.1.1.3.2.3._</t>
  </si>
  <si>
    <t>1.1.1.1.1.3.2.3.1</t>
  </si>
  <si>
    <t>271132247.54634</t>
  </si>
  <si>
    <t>16231517.54634</t>
  </si>
  <si>
    <t>1.1.1.1.1.3.2.3.1._</t>
  </si>
  <si>
    <t>220089304.54634</t>
  </si>
  <si>
    <t>1.1.1.1.1.3.2.3.2</t>
  </si>
  <si>
    <t>Краска огнестойкая Antega Строитель НГ, цвет - темно-серый RAL 7016, КМ0</t>
  </si>
  <si>
    <t>271132247.758336</t>
  </si>
  <si>
    <t>16231517.758336</t>
  </si>
  <si>
    <t>1.1.1.1.1.3.2.3.2._</t>
  </si>
  <si>
    <t>220089304.758336</t>
  </si>
  <si>
    <t>1.1.1.1.1.3.2.4</t>
  </si>
  <si>
    <t>1.1.1.1.1.3.2.4._</t>
  </si>
  <si>
    <t>1.1.1.1.1.3.2.4.1</t>
  </si>
  <si>
    <t>271132248.54634</t>
  </si>
  <si>
    <t>16231518.54634</t>
  </si>
  <si>
    <t>1.1.1.1.1.3.2.4.1._</t>
  </si>
  <si>
    <t>220089305.54634</t>
  </si>
  <si>
    <t>1.1.1.1.1.3.2.4.2</t>
  </si>
  <si>
    <t>Краска огнестойкая Antega Строитель НГ, цвет серый шелк RAL 7044, КМ0</t>
  </si>
  <si>
    <t>271132248.758336</t>
  </si>
  <si>
    <t>16231518.758336</t>
  </si>
  <si>
    <t>1.1.1.1.1.3.2.4.2._</t>
  </si>
  <si>
    <t>220089305.758336</t>
  </si>
  <si>
    <t>1.1.1.1.1.3.2.5</t>
  </si>
  <si>
    <t>1.1.1.1.1.3.2.5._</t>
  </si>
  <si>
    <t>1.1.1.1.1.3.2.5.1</t>
  </si>
  <si>
    <t>271132249.54634</t>
  </si>
  <si>
    <t>16231519.54634</t>
  </si>
  <si>
    <t>1.1.1.1.1.3.2.5.1._</t>
  </si>
  <si>
    <t>220089306.54634</t>
  </si>
  <si>
    <t>1.1.1.1.1.3.2.5.2</t>
  </si>
  <si>
    <t>Краска огнестойкая Antega Строитель НГ, цвет голубой NCS S 2030-R80B, КМ0</t>
  </si>
  <si>
    <t>271132249.758336</t>
  </si>
  <si>
    <t>16231519.758336</t>
  </si>
  <si>
    <t>1.1.1.1.1.3.2.5.2._</t>
  </si>
  <si>
    <t>220089306.758336</t>
  </si>
  <si>
    <t>1.1.1.1.1.3.2.6</t>
  </si>
  <si>
    <t>1.1.1.1.1.3.2.6._</t>
  </si>
  <si>
    <t>1.1.1.1.1.3.2.6.1</t>
  </si>
  <si>
    <t>271132250.54634</t>
  </si>
  <si>
    <t>16231520.54634</t>
  </si>
  <si>
    <t>1.1.1.1.1.3.2.6.1._</t>
  </si>
  <si>
    <t>220089307.54634</t>
  </si>
  <si>
    <t>1.1.1.1.1.3.2.6.2</t>
  </si>
  <si>
    <t>Краска огнестойкая Antega Строитель НГ, цвет зеленый RAL NCS S 2060-G40Y, КМ0</t>
  </si>
  <si>
    <t>271132250.758336</t>
  </si>
  <si>
    <t>16231520.758336</t>
  </si>
  <si>
    <t>1.1.1.1.1.3.2.6.2._</t>
  </si>
  <si>
    <t>220089307.758336</t>
  </si>
  <si>
    <t>1.1.1.1.1.3.2.7</t>
  </si>
  <si>
    <t>1.1.1.1.1.3.2.7._</t>
  </si>
  <si>
    <t>1.1.1.1.1.3.2.7.1</t>
  </si>
  <si>
    <t>271132251.54634</t>
  </si>
  <si>
    <t>16231521.54634</t>
  </si>
  <si>
    <t>1.1.1.1.1.3.2.7.1._</t>
  </si>
  <si>
    <t>220089308.54634</t>
  </si>
  <si>
    <t>1.1.1.1.1.3.2.7.2</t>
  </si>
  <si>
    <t>Краска огнестойкая Antega Строитель НГ, цвет желтый NCS S 1070-Y20R, КМ0</t>
  </si>
  <si>
    <t>271132251.758336</t>
  </si>
  <si>
    <t>16231521.758336</t>
  </si>
  <si>
    <t>1.1.1.1.1.3.2.7.2._</t>
  </si>
  <si>
    <t>220089308.758336</t>
  </si>
  <si>
    <t>1.1.1.1.1.3.2.8</t>
  </si>
  <si>
    <t>1.1.1.1.1.3.2.8._</t>
  </si>
  <si>
    <t>1.1.1.1.1.3.2.8.1</t>
  </si>
  <si>
    <t>271132252.54634</t>
  </si>
  <si>
    <t>16231522.54634</t>
  </si>
  <si>
    <t>1.1.1.1.1.3.2.8.1._</t>
  </si>
  <si>
    <t>220089309.54634</t>
  </si>
  <si>
    <t>1.1.1.1.1.3.2.8.2</t>
  </si>
  <si>
    <t>Краска огнестойкая Antega Строитель НГ, цвет оранжевый NCS S 2060-Y30R, КМ0</t>
  </si>
  <si>
    <t>271132252.758336</t>
  </si>
  <si>
    <t>16231522.758336</t>
  </si>
  <si>
    <t>1.1.1.1.1.3.2.8.2._</t>
  </si>
  <si>
    <t>220089309.758336</t>
  </si>
  <si>
    <t>1.1.1.1.1.3.2.9</t>
  </si>
  <si>
    <t>6.3.1.5.3.2.3.2</t>
  </si>
  <si>
    <t>Лакокрасочные работы СКБ / окраска потолков / в 2 слоя</t>
  </si>
  <si>
    <t>2 этаж. ПТ-1.4</t>
  </si>
  <si>
    <t>55dcd11a-c570-4894-be4e-3c3874402761</t>
  </si>
  <si>
    <t>3997b616-bcf5-4c13-ae76-75afa96c846f</t>
  </si>
  <si>
    <t>1.1.1.1.1.3.2.9.1</t>
  </si>
  <si>
    <t>Краска водно-дисперсионная / КМ1 7015</t>
  </si>
  <si>
    <t>Матовая водно-дисперсионная краска, ANTEGA СТРОИТЕЛЬ, NCS S 5030-R90B, 2 класс истирания, КМ1</t>
  </si>
  <si>
    <t>271132145.1506602</t>
  </si>
  <si>
    <t>19999841.1506602</t>
  </si>
  <si>
    <t>19af7fe3-8443-4568-a710-25124fd74cd7</t>
  </si>
  <si>
    <t>1.1.1.1.1.3.2.9.2</t>
  </si>
  <si>
    <t>271132145.54634</t>
  </si>
  <si>
    <t>19999841.54634</t>
  </si>
  <si>
    <t>1.1.1.1.1.3.2.10</t>
  </si>
  <si>
    <t>2 этаж. ПТ-1.8</t>
  </si>
  <si>
    <t>1.1.1.1.1.3.2.10.1</t>
  </si>
  <si>
    <t>271132253.54634</t>
  </si>
  <si>
    <t>19999842.54634</t>
  </si>
  <si>
    <t>1.1.1.1.1.3.2.10.2</t>
  </si>
  <si>
    <t>Матовая водно-дисперсионная краска, ANTEGA СТРОИТЕЛЬ, NCS S 2060-G40Y, 2 класс истирания, КМ1</t>
  </si>
  <si>
    <t>271132253.1506602</t>
  </si>
  <si>
    <t>19999842.1506602</t>
  </si>
  <si>
    <t>1.1.1.1.1.3.2.11</t>
  </si>
  <si>
    <t>2 этаж. ПТ-1.1</t>
  </si>
  <si>
    <t>1.1.1.1.1.3.2.11.1</t>
  </si>
  <si>
    <t>271132254.54634</t>
  </si>
  <si>
    <t>19999840.54634</t>
  </si>
  <si>
    <t>1.1.1.1.1.3.2.11.2</t>
  </si>
  <si>
    <t>Матовая водно-дисперсионная краска, ANTEGA СТРОИТЕЛЬ, RAL 9003, белый, 2 класс истирания, КМ1</t>
  </si>
  <si>
    <t>271132254.1506602</t>
  </si>
  <si>
    <t>19999840.1506602</t>
  </si>
  <si>
    <t>1.1.1.1.1.3.2.12</t>
  </si>
  <si>
    <t>2 этаж. ПТ-2.3</t>
  </si>
  <si>
    <t>1.1.1.1.1.3.2.12.1</t>
  </si>
  <si>
    <t>271132255.54634</t>
  </si>
  <si>
    <t>19999843.54634</t>
  </si>
  <si>
    <t>1.1.1.1.1.3.2.12.2</t>
  </si>
  <si>
    <t>Краска для потолка Стройтекс КМ0_ / RAL 7037</t>
  </si>
  <si>
    <t>Краска негорючая ANTEGA СТРОИТЕЛЬ, RAL 7044, 1 класс истирания, КМ0</t>
  </si>
  <si>
    <t>271132255.1270453</t>
  </si>
  <si>
    <t>19999843.1270453</t>
  </si>
  <si>
    <t>03ec6e71-d2cd-4894-958d-4ce6110575f9</t>
  </si>
  <si>
    <t>1.1.1.1.1.3.2.13</t>
  </si>
  <si>
    <t>2 этаж. ПТ-2.4</t>
  </si>
  <si>
    <t>1.1.1.1.1.3.2.13.1</t>
  </si>
  <si>
    <t>271132256.54634</t>
  </si>
  <si>
    <t>19999844.54634</t>
  </si>
  <si>
    <t>1.1.1.1.1.3.2.13.2</t>
  </si>
  <si>
    <t xml:space="preserve">Краска негорючая ANTEGA СТРОИТЕЛЬ НГ, NCS S 1070-Y30R, 1 класс истирания, КМ0 </t>
  </si>
  <si>
    <t>271132256.1270453</t>
  </si>
  <si>
    <t>19999844.1270453</t>
  </si>
  <si>
    <t>1.1.1.1.1.3.2.14</t>
  </si>
  <si>
    <t>2 этаж. ПТ-2.6</t>
  </si>
  <si>
    <t>1.1.1.1.1.3.2.14.1</t>
  </si>
  <si>
    <t>271132257.54634</t>
  </si>
  <si>
    <t>19999845.54634</t>
  </si>
  <si>
    <t>1.1.1.1.1.3.2.14.2</t>
  </si>
  <si>
    <t>Краска негорючая ANTEGA СТРОИТЕЛЬ, NCS S 5020-R70B, 1 класс истирания, КМ0</t>
  </si>
  <si>
    <t>271132257.1270453</t>
  </si>
  <si>
    <t>19999845.1270453</t>
  </si>
  <si>
    <t>1.1.1.1.1.3.2.15</t>
  </si>
  <si>
    <t>2 этаж. ПТ-2.8</t>
  </si>
  <si>
    <t>1.1.1.1.1.3.2.15.1</t>
  </si>
  <si>
    <t>271132258.54634</t>
  </si>
  <si>
    <t>19999846.54634</t>
  </si>
  <si>
    <t>1.1.1.1.1.3.2.15.2</t>
  </si>
  <si>
    <t>Краска негорючая ANTEGA СТРОИТЕЛЬ НГ, NCS S 4020-R90B, 1 класс истирания, КМ0</t>
  </si>
  <si>
    <t>271132258.1270453</t>
  </si>
  <si>
    <t>19999846.1270453</t>
  </si>
  <si>
    <t>1.1.1.1.1.3.2.16</t>
  </si>
  <si>
    <t>2 этаж. ПТ-1.2</t>
  </si>
  <si>
    <t>1.1.1.1.1.3.2.16.1</t>
  </si>
  <si>
    <t>271132259.54634</t>
  </si>
  <si>
    <t>20002013.54634</t>
  </si>
  <si>
    <t>1.1.1.1.1.3.2.16.2</t>
  </si>
  <si>
    <t>Матовая водно-дисперсионная краска, ANTEGA СТРОИТЕЛЬ, RAL 7044,
серый-шелк, 2 класс истирания, КМ1</t>
  </si>
  <si>
    <t>271132259.1506602</t>
  </si>
  <si>
    <t>20002013.1506602</t>
  </si>
  <si>
    <t>1.1.1.1.1.3.2.17</t>
  </si>
  <si>
    <t>2 этаж. ПТ-2.1</t>
  </si>
  <si>
    <t>1.1.1.1.1.3.2.17.1</t>
  </si>
  <si>
    <t>271132260.54634</t>
  </si>
  <si>
    <t>20002014.54634</t>
  </si>
  <si>
    <t>1.1.1.1.1.3.2.17.2</t>
  </si>
  <si>
    <t>Краска негорючая ANTEGA СТРОИТЕЛЬ НГ, RAL 9003, 1 класс истирания, КМ0</t>
  </si>
  <si>
    <t>271132260.1270453</t>
  </si>
  <si>
    <t>20002014.1270453</t>
  </si>
  <si>
    <t>1.1.1.1.1.3.2.18</t>
  </si>
  <si>
    <t>2 этаж. ПТ-2.5</t>
  </si>
  <si>
    <t>1.1.1.1.1.3.2.18.1</t>
  </si>
  <si>
    <t>Грунтовка _ /  универсальная глубокого проникновения</t>
  </si>
  <si>
    <t>271132261.1751832</t>
  </si>
  <si>
    <t>20002017.1751832</t>
  </si>
  <si>
    <t>b4b0210a-8af4-4646-b1a9-fca6c13407aa</t>
  </si>
  <si>
    <t>1.1.1.1.1.3.2.18.2</t>
  </si>
  <si>
    <t>Краска негорючая ANTEGA СТРОИТЕЛЬ НГ, NCS S 2030-R80B, 1 класс
истирания, КМ0</t>
  </si>
  <si>
    <t>271132261.1270453</t>
  </si>
  <si>
    <t>20002017.1270453</t>
  </si>
  <si>
    <t>1.1.1.1.1.3.2.19</t>
  </si>
  <si>
    <t>2 этаж. ПТ-2.7</t>
  </si>
  <si>
    <t>1.1.1.1.1.3.2.19.1</t>
  </si>
  <si>
    <t>271132262.54634</t>
  </si>
  <si>
    <t>20002018.54634</t>
  </si>
  <si>
    <t>1.1.1.1.1.3.2.19.2</t>
  </si>
  <si>
    <t>Краска негорючая ANTEGA СТРОИТЕЛЬ, NCS S 5030-R90B, 1 класс истирания, КМ0</t>
  </si>
  <si>
    <t>271132262.1270453</t>
  </si>
  <si>
    <t>20002018.1270453</t>
  </si>
  <si>
    <t>1.1.1.1.1.3.2.20</t>
  </si>
  <si>
    <t>1.1.1.1.1.3.2.20.1</t>
  </si>
  <si>
    <t>271132263.54634</t>
  </si>
  <si>
    <t>20002019.54634</t>
  </si>
  <si>
    <t>1.1.1.1.1.3.2.20.2</t>
  </si>
  <si>
    <t xml:space="preserve">Краска негорючая ANTEGA СТРОИТЕЛЬ НГ, NCS S 2060-G40Y, 1 класс истирания, КМ0
</t>
  </si>
  <si>
    <t>271132263.1270453</t>
  </si>
  <si>
    <t>20002019.1270453</t>
  </si>
  <si>
    <t>1.1.1.1.1.3.2.21</t>
  </si>
  <si>
    <t>2 этаж. ПТ-2.10</t>
  </si>
  <si>
    <t>1.1.1.1.1.3.2.21.1</t>
  </si>
  <si>
    <t>271132264.54634</t>
  </si>
  <si>
    <t>20002015.54634</t>
  </si>
  <si>
    <t>1.1.1.1.1.3.2.21.2</t>
  </si>
  <si>
    <t>Краска негорючая ANTEGA СТРОИТЕЛЬ, NCS S 3040-R20B, 1 класс истирания, КМ0</t>
  </si>
  <si>
    <t>271132264.1270453</t>
  </si>
  <si>
    <t>20002015.1270453</t>
  </si>
  <si>
    <t>1.1.1.1.1.3.2.22</t>
  </si>
  <si>
    <t>2 этаж. ПТ-2.16</t>
  </si>
  <si>
    <t>1.1.1.1.1.3.2.22.1</t>
  </si>
  <si>
    <t>271132265.54634</t>
  </si>
  <si>
    <t>20002016.54634</t>
  </si>
  <si>
    <t>1.1.1.1.1.3.2.22.2</t>
  </si>
  <si>
    <t>Матовая моющаяся влагостойкая водно-дисперсионная силикатная краска НГ, Ral 7016, 1 класс истирания, КМ0</t>
  </si>
  <si>
    <t>271132265.1270453</t>
  </si>
  <si>
    <t>20002016.1270453</t>
  </si>
  <si>
    <t>1.1.1.1.1.3.2.23</t>
  </si>
  <si>
    <t>2 этаж. ПТ-4.1</t>
  </si>
  <si>
    <t>1.1.1.1.1.3.2.23.1</t>
  </si>
  <si>
    <t>271132266.54634</t>
  </si>
  <si>
    <t>20002020.54634</t>
  </si>
  <si>
    <t>1.1.1.1.1.3.2.23.2</t>
  </si>
  <si>
    <t>Матовая водно-дисперсионная краска ANTEGA СТРОИТЕЛЬ , RAL 9003, КМ1</t>
  </si>
  <si>
    <t>271132266.1506602</t>
  </si>
  <si>
    <t>20002020.1506602</t>
  </si>
  <si>
    <t>1.1.1.1.1.3.2.24</t>
  </si>
  <si>
    <t>2 этаж. ПТ-4.3</t>
  </si>
  <si>
    <t>1.1.1.1.1.3.2.24.1</t>
  </si>
  <si>
    <t>271132267.54634</t>
  </si>
  <si>
    <t>20002021.54634</t>
  </si>
  <si>
    <t>1.1.1.1.1.3.2.24.2</t>
  </si>
  <si>
    <t>Матовая водно-дисперсионная краска ANTEGA СТРОИТЕЛЬ , RAL 7016, КМ1</t>
  </si>
  <si>
    <t>271132267.1506602</t>
  </si>
  <si>
    <t>20002021.1506602</t>
  </si>
  <si>
    <t>1.1.1.1.1.3.2.25</t>
  </si>
  <si>
    <t>2 этаж. ПТ-5.1</t>
  </si>
  <si>
    <t>1.1.1.1.1.3.2.25.1</t>
  </si>
  <si>
    <t>271132268.54634</t>
  </si>
  <si>
    <t>20002022.54634</t>
  </si>
  <si>
    <t>1.1.1.1.1.3.2.25.2</t>
  </si>
  <si>
    <t>краска негорючая ANTEGA СТРОИТЕЛЬ, RAL 9003, 1 класс
истирания, КМ0</t>
  </si>
  <si>
    <t>271132268.1270453</t>
  </si>
  <si>
    <t>20002022.1270453</t>
  </si>
  <si>
    <t>1.1.1.1.1.3.2.26</t>
  </si>
  <si>
    <t>2 этаж. ПТ-5.2</t>
  </si>
  <si>
    <t>1.1.1.1.1.3.2.26.1</t>
  </si>
  <si>
    <t>271132269.54634</t>
  </si>
  <si>
    <t>20002023.54634</t>
  </si>
  <si>
    <t>1.1.1.1.1.3.2.26.2</t>
  </si>
  <si>
    <t>Краска огнестойкая ANTEGA СТРОИТЕЛЬ НГ, RAL 7016, КМ0</t>
  </si>
  <si>
    <t>271132269.1270453</t>
  </si>
  <si>
    <t>20002023.1270453</t>
  </si>
  <si>
    <t>1.1.1.1.1.3.2.27</t>
  </si>
  <si>
    <t>2 этаж. ПТ-8.1</t>
  </si>
  <si>
    <t>1.1.1.1.1.3.2.27.1</t>
  </si>
  <si>
    <t>271132270.54634</t>
  </si>
  <si>
    <t>20002024.54634</t>
  </si>
  <si>
    <t>1.1.1.1.1.3.2.27.2</t>
  </si>
  <si>
    <t xml:space="preserve">Огнестойкая краска ANTEGA СТРОИТЕЛЬ, RAL 9003, КМ0
</t>
  </si>
  <si>
    <t>271132270.1270453</t>
  </si>
  <si>
    <t>20002024.1270453</t>
  </si>
  <si>
    <t>1.1.1.1.1.3.2.28</t>
  </si>
  <si>
    <t>2 этаж. ПТ-8.2</t>
  </si>
  <si>
    <t>1.1.1.1.1.3.2.28.1</t>
  </si>
  <si>
    <t>271132271.54634</t>
  </si>
  <si>
    <t>20002025.54634</t>
  </si>
  <si>
    <t>1.1.1.1.1.3.2.28.2</t>
  </si>
  <si>
    <t>Огнестойкая краска ANTEGA СТРОИТЕЛЬ, RAL 7016, КМ0</t>
  </si>
  <si>
    <t>271132271.1270453</t>
  </si>
  <si>
    <t>20002025.1270453</t>
  </si>
  <si>
    <t>1.1.1.1.1.3.2.29</t>
  </si>
  <si>
    <t>3 этаж. ПТ-1.1</t>
  </si>
  <si>
    <t>1.1.1.1.1.3.2.29.1</t>
  </si>
  <si>
    <t>271132272.54634</t>
  </si>
  <si>
    <t>20002274.54634</t>
  </si>
  <si>
    <t>1.1.1.1.1.3.2.29.2</t>
  </si>
  <si>
    <t>271132272.1506602</t>
  </si>
  <si>
    <t>20002274.1506602</t>
  </si>
  <si>
    <t>1.1.1.1.1.3.2.30</t>
  </si>
  <si>
    <t>3 этаж. ПТ-1.2</t>
  </si>
  <si>
    <t>1.1.1.1.1.3.2.30.1</t>
  </si>
  <si>
    <t>271132273.54634</t>
  </si>
  <si>
    <t>20002275.54634</t>
  </si>
  <si>
    <t>1.1.1.1.1.3.2.30.2</t>
  </si>
  <si>
    <t>271132273.1506602</t>
  </si>
  <si>
    <t>20002275.1506602</t>
  </si>
  <si>
    <t>1.1.1.1.1.3.2.31</t>
  </si>
  <si>
    <t>3 этаж. ПТ-1.4</t>
  </si>
  <si>
    <t>1.1.1.1.1.3.2.31.1</t>
  </si>
  <si>
    <t>271132274.54634</t>
  </si>
  <si>
    <t>20002276.54634</t>
  </si>
  <si>
    <t>1.1.1.1.1.3.2.31.2</t>
  </si>
  <si>
    <t>271132274.1506602</t>
  </si>
  <si>
    <t>20002276.1506602</t>
  </si>
  <si>
    <t>1.1.1.1.1.3.2.32</t>
  </si>
  <si>
    <t>3 этаж. ПТ-1.8</t>
  </si>
  <si>
    <t>1.1.1.1.1.3.2.32.1</t>
  </si>
  <si>
    <t>271132275.54634</t>
  </si>
  <si>
    <t>20002277.54634</t>
  </si>
  <si>
    <t>1.1.1.1.1.3.2.32.2</t>
  </si>
  <si>
    <t>271132275.1506602</t>
  </si>
  <si>
    <t>20002277.1506602</t>
  </si>
  <si>
    <t>1.1.1.1.1.3.2.33</t>
  </si>
  <si>
    <t>3 этаж. ПТ-2.1</t>
  </si>
  <si>
    <t>1.1.1.1.1.3.2.33.1</t>
  </si>
  <si>
    <t>271132276.54634</t>
  </si>
  <si>
    <t>20002410.54634</t>
  </si>
  <si>
    <t>1.1.1.1.1.3.2.33.2</t>
  </si>
  <si>
    <t>271132276.1270453</t>
  </si>
  <si>
    <t>20002410.1270453</t>
  </si>
  <si>
    <t>1.1.1.1.1.3.2.34</t>
  </si>
  <si>
    <t>3 этаж. ПТ-2.3</t>
  </si>
  <si>
    <t>1.1.1.1.1.3.2.34.1</t>
  </si>
  <si>
    <t>271132277.54634</t>
  </si>
  <si>
    <t>20002411.54634</t>
  </si>
  <si>
    <t>1.1.1.1.1.3.2.34.2</t>
  </si>
  <si>
    <t>271132277.1270453</t>
  </si>
  <si>
    <t>20002411.1270453</t>
  </si>
  <si>
    <t>1.1.1.1.1.3.2.35</t>
  </si>
  <si>
    <t>3 этаж. ПТ-2.4</t>
  </si>
  <si>
    <t>1.1.1.1.1.3.2.35.1</t>
  </si>
  <si>
    <t>271132278.54634</t>
  </si>
  <si>
    <t>20002412.54634</t>
  </si>
  <si>
    <t>1.1.1.1.1.3.2.35.2</t>
  </si>
  <si>
    <t>Краска негорючая ANTEGA СТРОИТЕЛЬ НГ, NCS S 1070-Y30R, 1 класс
истирания, КМ0</t>
  </si>
  <si>
    <t>271132278.1270453</t>
  </si>
  <si>
    <t>20002412.1270453</t>
  </si>
  <si>
    <t>1.1.1.1.1.3.2.36</t>
  </si>
  <si>
    <t>3 этаж. ПТ-2.5</t>
  </si>
  <si>
    <t>1.1.1.1.1.3.2.36.1</t>
  </si>
  <si>
    <t>271132279.54634</t>
  </si>
  <si>
    <t>20003313.54634</t>
  </si>
  <si>
    <t>1.1.1.1.1.3.2.36.2</t>
  </si>
  <si>
    <t>Краска негорючая ANTEGA СТРОИТЕЛЬ НГ, NCS S 2030-R80B, 1 класс истирания, КМ0</t>
  </si>
  <si>
    <t>271132279.1270453</t>
  </si>
  <si>
    <t>20003313.1270453</t>
  </si>
  <si>
    <t>1.1.1.1.1.3.2.37</t>
  </si>
  <si>
    <t>3 этаж. ПТ-2.6</t>
  </si>
  <si>
    <t>1.1.1.1.1.3.2.37.1</t>
  </si>
  <si>
    <t>271132280.54634</t>
  </si>
  <si>
    <t>20003314.54634</t>
  </si>
  <si>
    <t>1.1.1.1.1.3.2.37.2</t>
  </si>
  <si>
    <t>271132280.1270453</t>
  </si>
  <si>
    <t>20003314.1270453</t>
  </si>
  <si>
    <t>1.1.1.1.1.3.2.38</t>
  </si>
  <si>
    <t>3 этаж. ПТ-2.7</t>
  </si>
  <si>
    <t>1.1.1.1.1.3.2.38.1</t>
  </si>
  <si>
    <t>271132281.54634</t>
  </si>
  <si>
    <t>20003315.54634</t>
  </si>
  <si>
    <t>1.1.1.1.1.3.2.38.2</t>
  </si>
  <si>
    <t>Краска моющаяся влагостойкая  / RAL 9004 матовый / БЭСТ-КОЛОР</t>
  </si>
  <si>
    <t>271132281.1139607</t>
  </si>
  <si>
    <t>20003315.1139607</t>
  </si>
  <si>
    <t>0cc20ed5-ec9c-48d2-8ad7-c436b45f2e56</t>
  </si>
  <si>
    <t>1.1.1.1.1.3.2.39</t>
  </si>
  <si>
    <t>3 этаж. ПТ-2.8</t>
  </si>
  <si>
    <t>1.1.1.1.1.3.2.39.1</t>
  </si>
  <si>
    <t>271132282.54634</t>
  </si>
  <si>
    <t>20003316.54634</t>
  </si>
  <si>
    <t>1.1.1.1.1.3.2.39.2</t>
  </si>
  <si>
    <t>Краска негорючая ANTEGA СТРОИТЕЛЬ НГ, NCS S 2060-G40Y, 1 класс истирания, КМ0</t>
  </si>
  <si>
    <t>271132282.1270453</t>
  </si>
  <si>
    <t>20003316.1270453</t>
  </si>
  <si>
    <t>1.1.1.1.1.3.2.40</t>
  </si>
  <si>
    <t>3 этаж. ПТ-2.10</t>
  </si>
  <si>
    <t>1.1.1.1.1.3.2.40.1</t>
  </si>
  <si>
    <t>271132283.54634</t>
  </si>
  <si>
    <t>20003311.54634</t>
  </si>
  <si>
    <t>1.1.1.1.1.3.2.40.2</t>
  </si>
  <si>
    <t>271132283.1270453</t>
  </si>
  <si>
    <t>20003311.1270453</t>
  </si>
  <si>
    <t>1.1.1.1.1.3.2.41</t>
  </si>
  <si>
    <t>3 этаж. ПТ-2.16</t>
  </si>
  <si>
    <t>1.1.1.1.1.3.2.41.1</t>
  </si>
  <si>
    <t>271132284.54634</t>
  </si>
  <si>
    <t>20003312.54634</t>
  </si>
  <si>
    <t>1.1.1.1.1.3.2.41.2</t>
  </si>
  <si>
    <t>271132284.1506602</t>
  </si>
  <si>
    <t>20003312.1506602</t>
  </si>
  <si>
    <t>1.1.1.1.1.3.2.42</t>
  </si>
  <si>
    <t>3 этаж. ПТ-4.1</t>
  </si>
  <si>
    <t>1.1.1.1.1.3.2.42.1</t>
  </si>
  <si>
    <t>271132285.54634</t>
  </si>
  <si>
    <t>20003317.54634</t>
  </si>
  <si>
    <t>1.1.1.1.1.3.2.42.2</t>
  </si>
  <si>
    <t>271132285.1506602</t>
  </si>
  <si>
    <t>20003317.1506602</t>
  </si>
  <si>
    <t>1.1.1.1.1.3.2.43</t>
  </si>
  <si>
    <t>3 этаж. ПТ-4.3</t>
  </si>
  <si>
    <t>1.1.1.1.1.3.2.43.1</t>
  </si>
  <si>
    <t>271132286.54634</t>
  </si>
  <si>
    <t>20003318.54634</t>
  </si>
  <si>
    <t>1.1.1.1.1.3.2.43.2</t>
  </si>
  <si>
    <t>Матовая моющаяся влагостойкая водно-дисперсионная краска, RAL 7016, КМ1</t>
  </si>
  <si>
    <t>271132286.1506602</t>
  </si>
  <si>
    <t>20003318.1506602</t>
  </si>
  <si>
    <t>1.1.1.1.1.3.2.44</t>
  </si>
  <si>
    <t>3 этаж. ПТ-5.1</t>
  </si>
  <si>
    <t>1.1.1.1.1.3.2.44.1</t>
  </si>
  <si>
    <t>271132287.54634</t>
  </si>
  <si>
    <t>20003319.54634</t>
  </si>
  <si>
    <t>1.1.1.1.1.3.2.44.2</t>
  </si>
  <si>
    <t>Краска негорючая ANTEGA СТРОИТЕЛЬ, RAL 9003, 1 класс истирания, КМ0</t>
  </si>
  <si>
    <t>271132287.1270453</t>
  </si>
  <si>
    <t>20003319.1270453</t>
  </si>
  <si>
    <t>1.1.1.1.1.3.2.45</t>
  </si>
  <si>
    <t>3 этаж. ПТ-5.2</t>
  </si>
  <si>
    <t>1.1.1.1.1.3.2.45.1</t>
  </si>
  <si>
    <t>271132288.54634</t>
  </si>
  <si>
    <t>20003320.54634</t>
  </si>
  <si>
    <t>1.1.1.1.1.3.2.45.2</t>
  </si>
  <si>
    <t>271132288.1270453</t>
  </si>
  <si>
    <t>20003320.1270453</t>
  </si>
  <si>
    <t>1.1.1.1.1.3.2.46</t>
  </si>
  <si>
    <t>3 этаж. ПТ-8.1</t>
  </si>
  <si>
    <t>1.1.1.1.1.3.2.46.1</t>
  </si>
  <si>
    <t>271132289.54634</t>
  </si>
  <si>
    <t>20003502.54634</t>
  </si>
  <si>
    <t>1.1.1.1.1.3.2.46.2</t>
  </si>
  <si>
    <t>Огнестойкая краска ANTEGA СТРОИТЕЛЬ, RAL 9003, КМ0</t>
  </si>
  <si>
    <t>271132289.1270453</t>
  </si>
  <si>
    <t>20003502.1270453</t>
  </si>
  <si>
    <t>1.1.1.1.1.3.2.47</t>
  </si>
  <si>
    <t>3 этаж. ПТ-8.2</t>
  </si>
  <si>
    <t>1.1.1.1.1.3.2.47.1</t>
  </si>
  <si>
    <t>271132290.54634</t>
  </si>
  <si>
    <t>20003503.54634</t>
  </si>
  <si>
    <t>1.1.1.1.1.3.2.47.2</t>
  </si>
  <si>
    <t>271132290.1270453</t>
  </si>
  <si>
    <t>20003503.1270453</t>
  </si>
  <si>
    <t>1.1.1.1.1.4</t>
  </si>
  <si>
    <t>6.3.1.5.4</t>
  </si>
  <si>
    <t>Монтаж потолочных конструкций</t>
  </si>
  <si>
    <t>1.1.1.1.1.4.1</t>
  </si>
  <si>
    <t>6.3.1.5.4.1.2</t>
  </si>
  <si>
    <t>Монтаж подвесного потолка / типа Армстронг, Грильято</t>
  </si>
  <si>
    <t>3 этаж. ПТ-3</t>
  </si>
  <si>
    <t>2666ca34-b663-41c7-b8b7-caa2f71855b8</t>
  </si>
  <si>
    <t>fd6369e7-760a-4bf3-8c56-a6af236cf5cf</t>
  </si>
  <si>
    <t>1.1.1.1.1.4.1.1</t>
  </si>
  <si>
    <t>Подвесной потолок из ПВС со скрытой подвесной системой / Hook-On Албес TM Perfaten / 1200х600 мм</t>
  </si>
  <si>
    <t>Негорючая потолочная плита Uniproc,
арт. Унипрок НГ, Тип ПП-6АГ; кромка прямая. Размер плиты: 1200х600х6мм, цвет RAL 9016, КМ0</t>
  </si>
  <si>
    <t>271132148.2645788</t>
  </si>
  <si>
    <t>16233248.2645788</t>
  </si>
  <si>
    <t>e0365c1b-6f6a-11ef-9042-8d9a4c3e632c</t>
  </si>
  <si>
    <t>1.1.1.1.1.4.2</t>
  </si>
  <si>
    <t>3 этаж. ПТ-6</t>
  </si>
  <si>
    <t>1.1.1.1.1.4.2.1</t>
  </si>
  <si>
    <t>Подвесные акустические панели / Белый Frost / Ecophon Solo Baffle  / 1200х600х40 мм</t>
  </si>
  <si>
    <t>Подвесной потолок из минирального волокна Акустик Групп "Ecophon Focus", кромка А-15, 1200х600мм, белый, КМ1</t>
  </si>
  <si>
    <t>271132291.771980</t>
  </si>
  <si>
    <t>16236255.771980</t>
  </si>
  <si>
    <t>8c133341-6867-4eb3-aeed-d36d4f4ac2f0</t>
  </si>
  <si>
    <t>1.1.1.1.1.4.3</t>
  </si>
  <si>
    <t>3 этаж. ПТ-7</t>
  </si>
  <si>
    <t>1.1.1.1.1.4.3.1</t>
  </si>
  <si>
    <t>Подвесной потолок Армстронг / Белый</t>
  </si>
  <si>
    <t>Подвесной кассетный металлический потолок Albes "TEGULAR", 600х600мм, кассета АР600А6/90*Т-24, RAL 9003, белый, КМ0</t>
  </si>
  <si>
    <t>271132292.1353009</t>
  </si>
  <si>
    <t>16236256.1353009</t>
  </si>
  <si>
    <t>137a189c-acd0-4b00-a19c-980286873b94</t>
  </si>
  <si>
    <t>1.1.1.1.1.4.4</t>
  </si>
  <si>
    <t>1.1.1.1.1.4.4.1</t>
  </si>
  <si>
    <t>Подвесной потолок ГРИЛЬЯТО_ / белый / 100х100х40мм</t>
  </si>
  <si>
    <t>271132293.1196508</t>
  </si>
  <si>
    <t>16238731.1196508</t>
  </si>
  <si>
    <t>7c413101-029a-4584-ace7-69ad01fdbaa7</t>
  </si>
  <si>
    <t>1.1.1.1.1.4.5</t>
  </si>
  <si>
    <t>1.1.1.1.1.4.5.1</t>
  </si>
  <si>
    <t>Подвесной потолок ГРИЛЬЯТО_/черный/100*100*40мм</t>
  </si>
  <si>
    <t>271132294.54694</t>
  </si>
  <si>
    <t>19825204.54694</t>
  </si>
  <si>
    <t>51caa66c-e71e-43fd-a4e1-7e32d0bfe5c5</t>
  </si>
  <si>
    <t>1.1.1.1.1.4.6</t>
  </si>
  <si>
    <t>2 этаж. ПТ-3</t>
  </si>
  <si>
    <t>1.1.1.1.1.4.6.1</t>
  </si>
  <si>
    <t>Негорючая потолочная плита Uniproc, арт. Унипрок НГ, Тип ПП-6АГ; кромка прямая. Размер плиты: 1200х600х6мм, цвет RAL 9016, КМ0</t>
  </si>
  <si>
    <t>271132295.2645788</t>
  </si>
  <si>
    <t>20004793.2645788</t>
  </si>
  <si>
    <t>1.1.1.1.1.4.7</t>
  </si>
  <si>
    <t>2 этаж. ПТ-6</t>
  </si>
  <si>
    <t>1.1.1.1.1.4.7.1</t>
  </si>
  <si>
    <t>271132296.771980</t>
  </si>
  <si>
    <t>20004794.771980</t>
  </si>
  <si>
    <t>1.1.1.1.1.4.8</t>
  </si>
  <si>
    <t>2 этаж. ПТ-7</t>
  </si>
  <si>
    <t>1.1.1.1.1.4.8.1</t>
  </si>
  <si>
    <t>271132297.1353009</t>
  </si>
  <si>
    <t>20004795.1353009</t>
  </si>
  <si>
    <t>1.1.1.1.1.4.9</t>
  </si>
  <si>
    <t>1.1.1.1.1.4.9.1</t>
  </si>
  <si>
    <t>271132298.1196508</t>
  </si>
  <si>
    <t>20004796.1196508</t>
  </si>
  <si>
    <t>1.1.1.1.1.4.10</t>
  </si>
  <si>
    <t>1.1.1.1.1.4.10.1</t>
  </si>
  <si>
    <t>271132299.54694</t>
  </si>
  <si>
    <t>20004797.54694</t>
  </si>
  <si>
    <t>1.1.1.1.1.4.11</t>
  </si>
  <si>
    <t>6.3.1.5.4.1.3</t>
  </si>
  <si>
    <t>Монтаж подвесного потолка / из ГКЛ в 1 слой с применением профиля ПП</t>
  </si>
  <si>
    <t>3 этаж. ПТ-4.1, ПТ-4.3</t>
  </si>
  <si>
    <t>cbcd1c2c-ee79-4648-854d-2a582e134737</t>
  </si>
  <si>
    <t>0db681c2-d2d6-4186-b6bc-5ab4ce20f1e7</t>
  </si>
  <si>
    <t>1.1.1.1.1.4.11.1</t>
  </si>
  <si>
    <t>Шуруп со сверлом_/3,5*11</t>
  </si>
  <si>
    <t>271132149.54821</t>
  </si>
  <si>
    <t>19825683.54821</t>
  </si>
  <si>
    <t>438f03b8-0245-4746-af3b-94d943760b3b</t>
  </si>
  <si>
    <t>1.1.1.1.1.4.11.2</t>
  </si>
  <si>
    <t>Шуруп_/3,5*25</t>
  </si>
  <si>
    <t>271132149.54822</t>
  </si>
  <si>
    <t>19825683.54822</t>
  </si>
  <si>
    <t>9afa7adc-2604-4bf8-8123-329424645872</t>
  </si>
  <si>
    <t>1.1.1.1.1.4.11.3</t>
  </si>
  <si>
    <t>271132149.54624</t>
  </si>
  <si>
    <t>19825683.54624</t>
  </si>
  <si>
    <t>1.1.1.1.1.4.11.4</t>
  </si>
  <si>
    <t>Удлинитель профилей_/потолочный/60*27</t>
  </si>
  <si>
    <t>271132149.54575</t>
  </si>
  <si>
    <t>19825683.54575</t>
  </si>
  <si>
    <t>46cc4ab9-5306-44b0-b02d-73ca24dc456b</t>
  </si>
  <si>
    <t>1.1.1.1.1.4.11.5</t>
  </si>
  <si>
    <t>Соединитель профилей одноуровневый_/потолочный/60*27</t>
  </si>
  <si>
    <t>271132149.54576</t>
  </si>
  <si>
    <t>19825683.54576</t>
  </si>
  <si>
    <t>d396c343-40ec-430e-b651-cf8e8a10f274</t>
  </si>
  <si>
    <t>1.1.1.1.1.4.11.6</t>
  </si>
  <si>
    <t>Профиль_/направляющий/75*40*0,40/3м</t>
  </si>
  <si>
    <t>271132149.54562</t>
  </si>
  <si>
    <t>19825683.54562</t>
  </si>
  <si>
    <t>28da536c-0761-410a-b85e-88f0d80aee19</t>
  </si>
  <si>
    <t>1.1.1.1.1.4.11.7</t>
  </si>
  <si>
    <t>Профиль_/потолочный/60*27*0,40/3м</t>
  </si>
  <si>
    <t>271132149.54568</t>
  </si>
  <si>
    <t>19825683.54568</t>
  </si>
  <si>
    <t>de448100-a03f-42fb-b903-fa1d0845e34a</t>
  </si>
  <si>
    <t>1.1.1.1.1.4.11.8</t>
  </si>
  <si>
    <t>Подвес профиля прямой_/потолочный/60*27</t>
  </si>
  <si>
    <t>271132149.54573</t>
  </si>
  <si>
    <t>19825683.54573</t>
  </si>
  <si>
    <t>0eb7bcf2-ac18-4bde-8e36-3ccb4cd58803</t>
  </si>
  <si>
    <t>1.1.1.1.1.4.11.9</t>
  </si>
  <si>
    <t>Лента Дихтунгсбанд_/50мм</t>
  </si>
  <si>
    <t>271132149.55042</t>
  </si>
  <si>
    <t>19825683.55042</t>
  </si>
  <si>
    <t>db776908-a7ed-4efe-a1e0-14c0d3badf1f</t>
  </si>
  <si>
    <t>1.1.1.1.1.4.11.10</t>
  </si>
  <si>
    <t>Лента армирующая ( серпянка)_/50мм</t>
  </si>
  <si>
    <t>271132149.55038</t>
  </si>
  <si>
    <t>19825683.55038</t>
  </si>
  <si>
    <t>ef366d6b-1118-416c-acc5-430ee111e823</t>
  </si>
  <si>
    <t>1.1.1.1.1.4.11.11</t>
  </si>
  <si>
    <t>271132149.54634</t>
  </si>
  <si>
    <t>19825683.54634</t>
  </si>
  <si>
    <t>1.1.1.1.1.4.11.12</t>
  </si>
  <si>
    <t>271132149.54553</t>
  </si>
  <si>
    <t>19825683.54553</t>
  </si>
  <si>
    <t>1.1.1.1.1.4.11.13</t>
  </si>
  <si>
    <t>Анкер-клин_/6*40</t>
  </si>
  <si>
    <t>271132149.54828</t>
  </si>
  <si>
    <t>19825683.54828</t>
  </si>
  <si>
    <t>d1d11d59-b5f9-4bc0-894f-4c016002bf47</t>
  </si>
  <si>
    <t>1.1.1.1.1.4.12</t>
  </si>
  <si>
    <t>3 этаж. ПТ-5.1, ПТ-5.2</t>
  </si>
  <si>
    <t>1.1.1.1.1.4.12.1</t>
  </si>
  <si>
    <t>271132300.54828</t>
  </si>
  <si>
    <t>19825684.54828</t>
  </si>
  <si>
    <t>1.1.1.1.1.4.12.2</t>
  </si>
  <si>
    <t>271132300.54634</t>
  </si>
  <si>
    <t>19825684.54634</t>
  </si>
  <si>
    <t>1.1.1.1.1.4.12.3</t>
  </si>
  <si>
    <t>271132300.55038</t>
  </si>
  <si>
    <t>19825684.55038</t>
  </si>
  <si>
    <t>1.1.1.1.1.4.12.4</t>
  </si>
  <si>
    <t>271132300.55042</t>
  </si>
  <si>
    <t>19825684.55042</t>
  </si>
  <si>
    <t>1.1.1.1.1.4.12.5</t>
  </si>
  <si>
    <t>271132300.1523192</t>
  </si>
  <si>
    <t>19825684.1523192</t>
  </si>
  <si>
    <t>1.1.1.1.1.4.12.6</t>
  </si>
  <si>
    <t>271132300.54573</t>
  </si>
  <si>
    <t>19825684.54573</t>
  </si>
  <si>
    <t>1.1.1.1.1.4.12.7</t>
  </si>
  <si>
    <t>271132300.54562</t>
  </si>
  <si>
    <t>19825684.54562</t>
  </si>
  <si>
    <t>1.1.1.1.1.4.12.8</t>
  </si>
  <si>
    <t>271132300.54568</t>
  </si>
  <si>
    <t>19825684.54568</t>
  </si>
  <si>
    <t>1.1.1.1.1.4.12.9</t>
  </si>
  <si>
    <t>271132300.54576</t>
  </si>
  <si>
    <t>19825684.54576</t>
  </si>
  <si>
    <t>1.1.1.1.1.4.12.10</t>
  </si>
  <si>
    <t>271132300.54624</t>
  </si>
  <si>
    <t>19825684.54624</t>
  </si>
  <si>
    <t>1.1.1.1.1.4.12.11</t>
  </si>
  <si>
    <t>271132300.54822</t>
  </si>
  <si>
    <t>19825684.54822</t>
  </si>
  <si>
    <t>1.1.1.1.1.4.12.12</t>
  </si>
  <si>
    <t>271132300.54821</t>
  </si>
  <si>
    <t>19825684.54821</t>
  </si>
  <si>
    <t>1.1.1.1.1.4.13</t>
  </si>
  <si>
    <t>2 этаж. ПТ-4.1, ПТ-4.3</t>
  </si>
  <si>
    <t>1.1.1.1.1.4.13.1</t>
  </si>
  <si>
    <t>271132301.54828</t>
  </si>
  <si>
    <t>20004302.54828</t>
  </si>
  <si>
    <t>1.1.1.1.1.4.13.2</t>
  </si>
  <si>
    <t>271132301.54553</t>
  </si>
  <si>
    <t>20004302.54553</t>
  </si>
  <si>
    <t>1.1.1.1.1.4.13.3</t>
  </si>
  <si>
    <t>271132301.55038</t>
  </si>
  <si>
    <t>20004302.55038</t>
  </si>
  <si>
    <t>1.1.1.1.1.4.13.4</t>
  </si>
  <si>
    <t>271132301.55042</t>
  </si>
  <si>
    <t>20004302.55042</t>
  </si>
  <si>
    <t>1.1.1.1.1.4.13.5</t>
  </si>
  <si>
    <t>271132301.54573</t>
  </si>
  <si>
    <t>20004302.54573</t>
  </si>
  <si>
    <t>1.1.1.1.1.4.13.6</t>
  </si>
  <si>
    <t>271132301.54562</t>
  </si>
  <si>
    <t>20004302.54562</t>
  </si>
  <si>
    <t>1.1.1.1.1.4.13.7</t>
  </si>
  <si>
    <t>271132301.54568</t>
  </si>
  <si>
    <t>20004302.54568</t>
  </si>
  <si>
    <t>1.1.1.1.1.4.13.8</t>
  </si>
  <si>
    <t>271132301.54576</t>
  </si>
  <si>
    <t>20004302.54576</t>
  </si>
  <si>
    <t>1.1.1.1.1.4.13.9</t>
  </si>
  <si>
    <t>271132301.54575</t>
  </si>
  <si>
    <t>20004302.54575</t>
  </si>
  <si>
    <t>1.1.1.1.1.4.13.10</t>
  </si>
  <si>
    <t>271132301.54822</t>
  </si>
  <si>
    <t>20004302.54822</t>
  </si>
  <si>
    <t>1.1.1.1.1.4.13.11</t>
  </si>
  <si>
    <t>271132301.54821</t>
  </si>
  <si>
    <t>20004302.54821</t>
  </si>
  <si>
    <t>1.1.1.1.1.4.14</t>
  </si>
  <si>
    <t>2 этаж. ПТ-5.1, ПТ-5.2</t>
  </si>
  <si>
    <t>1.1.1.1.1.4.14.1</t>
  </si>
  <si>
    <t>271132302.54828</t>
  </si>
  <si>
    <t>20004305.54828</t>
  </si>
  <si>
    <t>1.1.1.1.1.4.14.2</t>
  </si>
  <si>
    <t>271132302.55038</t>
  </si>
  <si>
    <t>20004305.55038</t>
  </si>
  <si>
    <t>1.1.1.1.1.4.14.3</t>
  </si>
  <si>
    <t>271132302.55042</t>
  </si>
  <si>
    <t>20004305.55042</t>
  </si>
  <si>
    <t>1.1.1.1.1.4.14.4</t>
  </si>
  <si>
    <t>271132302.1523192</t>
  </si>
  <si>
    <t>20004305.1523192</t>
  </si>
  <si>
    <t>1.1.1.1.1.4.14.5</t>
  </si>
  <si>
    <t>271132302.54573</t>
  </si>
  <si>
    <t>20004305.54573</t>
  </si>
  <si>
    <t>1.1.1.1.1.4.14.6</t>
  </si>
  <si>
    <t>271132302.54562</t>
  </si>
  <si>
    <t>20004305.54562</t>
  </si>
  <si>
    <t>1.1.1.1.1.4.14.7</t>
  </si>
  <si>
    <t>271132302.54568</t>
  </si>
  <si>
    <t>20004305.54568</t>
  </si>
  <si>
    <t>1.1.1.1.1.4.14.8</t>
  </si>
  <si>
    <t>271132302.54576</t>
  </si>
  <si>
    <t>20004305.54576</t>
  </si>
  <si>
    <t>1.1.1.1.1.4.14.9</t>
  </si>
  <si>
    <t>271132302.54575</t>
  </si>
  <si>
    <t>20004305.54575</t>
  </si>
  <si>
    <t>1.1.1.1.1.4.14.10</t>
  </si>
  <si>
    <t>271132302.54822</t>
  </si>
  <si>
    <t>20004305.54822</t>
  </si>
  <si>
    <t>1.1.1.1.1.4.14.11</t>
  </si>
  <si>
    <t>271132302.54821</t>
  </si>
  <si>
    <t>20004305.54821</t>
  </si>
  <si>
    <t>1.1.1.1.1.4.15</t>
  </si>
  <si>
    <t>6.3.1.5.4.2.1</t>
  </si>
  <si>
    <t>Надбавка за монтаж подвесного потолка при высоте более 3,2 м, включая использование лесов и подмостей</t>
  </si>
  <si>
    <t>11bf38a8-1e54-4d46-8d49-39254e318eaa</t>
  </si>
  <si>
    <t>9ed057e5-7f60-48cb-ae6a-bf5b2768c125</t>
  </si>
  <si>
    <t>1.1.1.1.1.5</t>
  </si>
  <si>
    <t>6.3.1.5.5</t>
  </si>
  <si>
    <t>Дверные блоки</t>
  </si>
  <si>
    <t>1.1.1.1.1.5.1</t>
  </si>
  <si>
    <t>6.3.1.5.5.2.1</t>
  </si>
  <si>
    <t>Установка межкомнатных деревянных дверных блоков</t>
  </si>
  <si>
    <t>Поставка и монтаж дверей Mario Rioli, согласно КП ООО "ТД МАРИО РИОЛИ"</t>
  </si>
  <si>
    <t>00b2cf2b-be65-42e5-9c89-454d422a52a0</t>
  </si>
  <si>
    <t>ec2a525b-0115-40ed-9ca2-f04deef9235e</t>
  </si>
  <si>
    <t>1.1.1.1.1.5.1.1</t>
  </si>
  <si>
    <t>Межкомнатные двери Mario Rioli_ / Pronto 600 / Лиственница белая  / Д-26 прав /ПР/ЦИЛ/РИГ_2/ХР /ПЕТ_MOR/КР по 3/ДК /  2000 х 900 х 40/ДК 4.3.90 ПВХ</t>
  </si>
  <si>
    <t>Д-4. 2100х1000. ГОСТ 475-2016 ДВ 1 Рп 21х10 Г ПрБ Мд3 С/У и душ в комнате инструктора (спортблок) 1000 2100 1 не менее 800 мм, ширина полотна 900 мм Инженерный массив/фанера (по технологии производителя) + МДФ6 мм с двух сторон Светлое дерево,  сантехнический фиксатор - Нажимная без задержки закрывания ,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</si>
  <si>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271132154.1272001</t>
  </si>
  <si>
    <t>19830251.1272001</t>
  </si>
  <si>
    <t>052c0487-5349-4bf2-a66d-57f507013268</t>
  </si>
  <si>
    <t>1.1.1.1.1.5.1.2</t>
  </si>
  <si>
    <t>Межкомнатные двери Mario Rioli_ / Pronto 601 / декор Бьянко 3D / ДО-9 правая/ ГП-ДБ-PRO601-0131 / 2000*800*40/ ДК 4.3.80</t>
  </si>
  <si>
    <t>Д-11.1. 2100х1150. ГОСТ 475-2016 ДВ 1 Рп 21х11,5 Г ПрБ Мд3 С/У МГН (спортблок) 1150 2100 1 не менее 900 мм, ширина полотна 1050 мм Инженерный массив/фанера (по технологии производителя) + МДФ
6 мм с двух сторон Светлое дерево,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</si>
  <si>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271132154.55077</t>
  </si>
  <si>
    <t>19830251.55077</t>
  </si>
  <si>
    <t>0834ebe4-439d-41c2-82e0-fb6338d70939</t>
  </si>
  <si>
    <t>1.1.1.1.1.5.1.3</t>
  </si>
  <si>
    <t xml:space="preserve">Межкомнатные двери Mario Rioli_ / Pronto 600 / Лиственница белая / ДГ-8 лев/ ГП-ДБ-PRO600-0673 / 2000 х 700 х 40/ ДК 4.3.80 </t>
  </si>
  <si>
    <t>Д-5. 2100х1000. ГОСТ 475-2016 ДВ 1 Рп 21х10 Г Пр Мд3 ПУИ 1000 2100, не менее 800 мм, ширина полотна 900 мм Инженерный массив/фанера (по технологии производителя) + МДФ 6 мм с двух сторон
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</si>
  <si>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271132154.55095</t>
  </si>
  <si>
    <t>19830251.55095</t>
  </si>
  <si>
    <t>3891c854-916b-4476-91dc-7435acb1f9de</t>
  </si>
  <si>
    <t>1.1.1.1.1.5.1.4</t>
  </si>
  <si>
    <t>Межкомнатные двери Mario Rioli_ / Pronto 601 / ПВХ Лиственница белая / ДО-9 пр/ ГП-ДБ-PRO601-0158 / 2000 х 800 х 40/ ДК 4.3.80</t>
  </si>
  <si>
    <t>Д-13. 2100х1150. ГОСТ 475-2016 ДВ 1 Рп 21х11,5 Г ПрБ Мд3 С/У для мальчиков и девочек, душевые (спортблок) 1150 2100.  не менее 900 мм, ширина полотна 1050 мм Инженерный массив/фанера (по технологии производителя) + МДФ 6 мм с двух сторон, Светлое дерево, без замка, защелка-язычок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</si>
  <si>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271132154.55098</t>
  </si>
  <si>
    <t>19830251.55098</t>
  </si>
  <si>
    <t>3accc9db-cc49-4620-a127-57954ed708b2</t>
  </si>
  <si>
    <t>1.1.1.1.1.5.1.5</t>
  </si>
  <si>
    <t>Межкомнатные двери Mario Rioli_ / Pronto 600 / ПВХ Лиственница белая / ГП-ДБ-PRO600-0689 / 2000*700*40/ ДК 4.3.70</t>
  </si>
  <si>
    <t>Д-7(л). 2100х1000. ГОСТ 475-2016 ДВ 1 Рл 21х10 Г Пр Мд3 Помещение для приготовления дезинфицирующих растворов и хранения уборочного инвентаря 1000 2100, не менее 800 мм, ширина полотна 900 мм Инженерный массив/фанера (по технологии производителя) + МДФ 6 мм с двух сторон, RAL 9003 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</si>
  <si>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271132154.707364</t>
  </si>
  <si>
    <t>19830251.707364</t>
  </si>
  <si>
    <t>43b670e2-7988-4792-b66c-5fed26ac5635</t>
  </si>
  <si>
    <t>1.1.1.1.1.5.1.6</t>
  </si>
  <si>
    <t>Межкомнатные двери Mario Rioli_ / Pronto 601 / ПВХ Лиственница белая / ГП-ДБ-PRO601-0162 / 2000 х 800 х 40/ ДК 4.3.70</t>
  </si>
  <si>
    <t>Д-11.1(л). 2100х1150. ГОСТ 475-2016 ДВ 1 Рл 21х11,5 Г ПрБ Мд3 С/У МГН (спортблок) 1150 2100 1 не менее 900 мм, ширина полотна 1050 мм Инженерный массив/фанера (по технологии производителя) + МДФ
6 мм с двух сторон Светлое дерево,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
влажной дезинфекции поверхностей полотен). В душевых низ двери, коробки и наличников обрабатывается силиконовой пропиткой.</t>
  </si>
  <si>
    <t>271132154.707365</t>
  </si>
  <si>
    <t>19830251.707365</t>
  </si>
  <si>
    <t>49030ae2-d899-43e1-82ba-d21ee69dc58b</t>
  </si>
  <si>
    <t>1.1.1.1.1.5.1.7</t>
  </si>
  <si>
    <t>Межкомнатные двери Mario Rioli_ / Pronto 601 / ПВХ Лиственница белая / ГП-ДБ-PRO601-0163 / 2000 х 800 х 40/ ДК 4.3.70</t>
  </si>
  <si>
    <t>Д-11.2. 2100х1150. ГОСТ 475-2016 ДВ 1 Рп 21х11,5 Г Пр Мд3 С/У МГН, раздевальные МГН в спортблоке 1150 2100 не менее 900 мм, ширина полотна 1050 мм Инженерный массив/фанера (по технологии производителя) + МДФ 6 мм с двух сторон Светлое дерево, Выпадающий противопожарный сантехнический фиксатор с открыванием снаружи в экстренных случаях для оказания помощи и знаком индикации «занято/свободно» - Нажимная с задержкой закрывания Телескопическая коробка с добором, наличники с двух сторон, С обеих сторон - Уплотнение в притворах, укомплектовать стопором, запирающим устройством с открыванием снаружи в экстренных случаях для оказания помощи и знаком индикации «занято/свободно». Дверь во влагостойком исполнении (обеспечить возможность проведения влажной дезинфекции поверхностей полотен).</t>
  </si>
  <si>
    <t>271132154.707366</t>
  </si>
  <si>
    <t>19830251.707366</t>
  </si>
  <si>
    <t>4b0a5e1f-c2ff-4444-93b4-45b95fce1e81</t>
  </si>
  <si>
    <t>1.1.1.1.1.5.1.8</t>
  </si>
  <si>
    <t>Межкомнатные двери Mario Rioli_ / Pronto 600 / ПВХ Лиственница белая / ГП-ДБ-PRO600-0690 / 2000*800*40/ ДК 4.3.70</t>
  </si>
  <si>
    <t>Д-8. 2100х1000. ГОСТ 475-2016 ДВ 1 Рп 21х10 Г Пр Мд3 ПУИ, Комната персонала (пищеблок) 1000 2100, не менее 800 мм, ширина полотна 900 мм Инженерный массив/фанера (по технологии производителя) + МДФ 6 мм с двух сторон RAL 9003,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</si>
  <si>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271132154.707355</t>
  </si>
  <si>
    <t>19830251.707355</t>
  </si>
  <si>
    <t>511b7b43-aae0-4301-9e5e-4ada0d37b575</t>
  </si>
  <si>
    <t>1.1.1.1.1.5.1.9</t>
  </si>
  <si>
    <t>Межкомнатные двери Mario Rioli_ / Pronto 601 / ПВХ Лиственница белая / ДО-8 лев/ ГП-ДБ-PRO601-0161 / 2000 х 700 х 40/ ДК 4.3.80</t>
  </si>
  <si>
    <t>Д-12. 2100х1150. ГОСТ 475-2016 ДВ 1 Рп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</si>
  <si>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271132154.55101</t>
  </si>
  <si>
    <t>19830251.55101</t>
  </si>
  <si>
    <t>62edc54a-d929-4fd4-9a36-35b1d032e329</t>
  </si>
  <si>
    <t>1.1.1.1.1.5.1.10</t>
  </si>
  <si>
    <t>Межкомнатные двери Mario Rioli_ / Pronto 601 / декор Бьянко 3D / ДО-13 двустворчатая/ ГП-ДБ-PRO601-R-0065 / 2000*600*40/ ДК 4.3.80</t>
  </si>
  <si>
    <t>Д-11. 2100х1150. ГОСТ 475-2016 ДВ 1 Рп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цилиндр ключ - завертка со стороны помещения - Нажимная с задержкой закрывания - Телескопическая коробка с
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</si>
  <si>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271132154.55078</t>
  </si>
  <si>
    <t>19830251.55078</t>
  </si>
  <si>
    <t>66062055-3cdd-4d59-85f1-9a3d1ccd90ab</t>
  </si>
  <si>
    <t>1.1.1.1.1.5.1.11</t>
  </si>
  <si>
    <t xml:space="preserve">Межкомнатные двери Mario Rioli_ / Nobile 1101 / ПП Белый / правая/ ГП-ДБ-NOB1101-000 / 2000*800*40/ ДК 1.3.80 </t>
  </si>
  <si>
    <t>Д-3. 2100х900. ГОСТ 475-2016 ДВ 1 Рп 21х9 Г ПрБ Мд3 Душ персонала (пищеблок) 900 2100 1 не менее 700 мм, ширина полотна 800 мм Инженерный массив/фанера (потехнологии производителя) + МДФ 6 мм с двух сторон, RAL 9003 - - - сантехнический фисатор - Нажимная без задержки закрывания -Телескопическая коробка с добором, наличники с двух сторон
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</si>
  <si>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271132154.710725</t>
  </si>
  <si>
    <t>19830251.710725</t>
  </si>
  <si>
    <t>6a1ee38f-b9c0-4a7b-8e8f-a78d982dd5a4</t>
  </si>
  <si>
    <t>1.1.1.1.1.5.1.12</t>
  </si>
  <si>
    <t xml:space="preserve">Межкомнатные двери Mario Rioli_ / Nobile 1110 / ПП Белый / левая/ ГП-ДБ-NOB1110-000 / 2000*800*40/ ДК 1.3.80 </t>
  </si>
  <si>
    <t>Д-3(л). 2100х900. ГОСТ 475-2016 ДВ 1 Рп 21х9 Г ПрБ Мд3 Душ персонала (пищеблок) 900 2100 1 не менее 700 мм, ширина полотна 800 мм Инженерный массив/фанера (потехнологии производителя) + МДФ
6 мм с двух сторон, RAL 9003 - - - сантехнический фисатор - Нажимная без задержки закрывания -Телескопическая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</si>
  <si>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271132154.710730</t>
  </si>
  <si>
    <t>19830251.710730</t>
  </si>
  <si>
    <t>700d689e-40f3-4c01-8d25-1af9861d6c35</t>
  </si>
  <si>
    <t>1.1.1.1.1.5.1.13</t>
  </si>
  <si>
    <t>Межкомнатные двери Mario Rioli_ / Pronto 600 / ПВХ Лиственница белая / ГП-ДБ-PRO600-0688 / 2000*700*40/ ДК 4.3.70</t>
  </si>
  <si>
    <t>Д-6(л). 2100х1000. ГОСТ 475-2016 ДВ 1 Рл 21х10 Г Пр Мд3 С/У медблока 1000 2100, не менее 800 мм, ширина полотна 900 мм Инженерный массив/фанера (по технологии производителя) + МДФ 6 мм с двух сторон 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</si>
  <si>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271132154.707363</t>
  </si>
  <si>
    <t>19830251.707363</t>
  </si>
  <si>
    <t>8aba7765-bcb8-44e7-b58c-fb04c5d28a0d</t>
  </si>
  <si>
    <t>1.1.1.1.1.5.1.14</t>
  </si>
  <si>
    <t>Межкомнатные двери Mario Rioli_ / Pronto 601 / ПВХ Лиственница белая / ДО-8 пр/ ГП-ДБ-PRO601-0160 / 2000 х 700 х 40/ ДК 4.3.80</t>
  </si>
  <si>
    <t>Д-12(л). 2100х1150. ГОСТ 475-2016 ДВ 1 Рл 21х11,5 Г Пр Мд3 С/У для мальчиков и девочек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без замка, защелка-язычок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</si>
  <si>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271132154.55100</t>
  </si>
  <si>
    <t>19830251.55100</t>
  </si>
  <si>
    <t>9394cbe1-88c7-4e20-9d84-2855950ea768</t>
  </si>
  <si>
    <t>1.1.1.1.1.5.1.15</t>
  </si>
  <si>
    <t xml:space="preserve">Межкомнатные двери Mario Rioli_ / Pronto 601 / декор Бьянко 3D / ДО-9 левая/ ГП-ДБ-PRO601-0130 / 2000*800*40/ ДК 4.3.80 </t>
  </si>
  <si>
    <t>Д-11(л). 2100х1150. ГОСТ 475-2016 ДВ 1 Рл 21х11,5 Г Пр Мд3 С/У персонала и КЛГ 1150 2100, не менее 900 мм, ширина полотна 1050 мм Инженерный массив/фанера (по технологии производителя) + МДФ 6 мм с двух сторон,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</si>
  <si>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271132154.55076</t>
  </si>
  <si>
    <t>19830251.55076</t>
  </si>
  <si>
    <t>a6d35ba6-45f3-4ca9-a88f-60c6c6e59a46</t>
  </si>
  <si>
    <t>1.1.1.1.1.5.1.16</t>
  </si>
  <si>
    <t>Межкомнатные двери Mario Rioli_ / Pronto 600 / Лиственница белая  / Д-26Л, Д-27Л, Д-28Л/ЛЕВ/ЦИЛ/РИГ_2/ХР /ПЕТ_MOR/КР по 3/ДК  /  2000 х 900 х 40/ДК 4.3.90 ПВХ</t>
  </si>
  <si>
    <t>Д-4(л). 2100х1000. "ГОСТ 475-2016 ДВ 1 Рл 21х10 Г ПрБ Мд3 С/У и душ в комнате инструктора (спортблок) 1000 2100 1 не менее 800 мм, ширина полотна 900 мм Инженерный массив/фанера (по технологии производителя) + МДФ6 мм с двух сторон Светлое дерево,  сантехнический фиксатор - Нажимная без задержки закрывания , Телескопическая коробка с добором, наличники с двух сторон
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 коробки и наличников обрабатывается силиконовой пропиткой.</t>
  </si>
  <si>
    <t>271132154.1271999</t>
  </si>
  <si>
    <t>19830251.1271999</t>
  </si>
  <si>
    <t>b5b2a95f-690f-4aad-8dc4-eb35e88b0c13</t>
  </si>
  <si>
    <t>1.1.1.1.1.5.1.17</t>
  </si>
  <si>
    <t xml:space="preserve">Межкомнатные двери Mario Rioli_ / Pronto 600 / 4.3.80 декор Бьянко 3D / ДГ-9 левая/ ГП-ДБ-PRO600-0495 / 2000*800*40/ ДК 4.3.80 </t>
  </si>
  <si>
    <t>Д-3.1(л). 2100х900. ГОСТ 475-2016 ДВ 1 Рп 21х9 Г Пр Мд3 С/У персонала (пищеблок) 900 2100 1 не менее 700 мм, ширина полотна 800 мм Инженерный массив/фанера (по технологии производителя) + МДФ 6 мм с двух сторон, RAL 9003, Выпадающий противопожарный сантехнический фисатор - Нажимная без задержки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 В душевых низ двери,
коробки и наличников обрабатывается силиконовой пропиткой."</t>
  </si>
  <si>
    <t>271132154.55074</t>
  </si>
  <si>
    <t>19830251.55074</t>
  </si>
  <si>
    <t>b86aee53-13bf-40ea-a4a3-5045263380e2</t>
  </si>
  <si>
    <t>1.1.1.1.1.5.1.18</t>
  </si>
  <si>
    <t>Межкомнатные двери Mario Rioli_ / Pronto 600 / Лиственница белая / ДГ-8 пр/ ГП-ДБ-PRO600-0672 / 2000 х 700 х 40/ ДК 4.3.80</t>
  </si>
  <si>
    <t>Д-5(л). 2100х1000. ГОСТ 475-2016 ДВ 1 Рл 21х10 Г Пр Мд3 ПУИ 1000 2100, не менее 800 мм, ширина полотна 900 мм Инженерный массив/фанера (по технологии производителя) + МДФ 6 мм с двух сторон
Светлое дерево, выпадающийпротивопожарный цилиндр ключ - завертка состороны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</si>
  <si>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271132154.55094</t>
  </si>
  <si>
    <t>19830251.55094</t>
  </si>
  <si>
    <t>c777f614-d882-472c-a5dc-655d5294dd29</t>
  </si>
  <si>
    <t>1.1.1.1.1.5.1.19</t>
  </si>
  <si>
    <t>Межкомнатные двери Mario Rioli_ / Pronto 600 / ПВХ Лиственница белая / ГП-ДБ-PRO600-0691 / 2000*800*40/ ДК 4.3.70</t>
  </si>
  <si>
    <t>Д-8(л). 2100х1000. ГОСТ 475-2016 ДВ 1 Рл 21х10 Г Пр Мд3 ПУИ, Комната персонала (пищеблок) 1000 2100, не менее 800 мм, ширина полотна 900 мм Инженерный массив/фанера (по технологии производителя) + МДФ 6 мм с двух сторон RAL 9003, Выпадающий противопожарный цилиндр ключ - завертка со стороны помещения - Нажимная без задержки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</si>
  <si>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271132154.707356</t>
  </si>
  <si>
    <t>19830251.707356</t>
  </si>
  <si>
    <t>ccc7136e-8410-4148-b2a9-e23251e114d2</t>
  </si>
  <si>
    <t>1.1.1.1.1.5.1.20</t>
  </si>
  <si>
    <t>Межкомнатные двери Mario Rioli_ / Pronto 601 / ПВХ Лиственница белая / ДО-13/ ГП-ДБ-PRO601-R-0073 / 2 х 2000 х 600 х 40/ ДК 4.3.80</t>
  </si>
  <si>
    <t>Д-11.2(л). 2100х1150. ГОСТ 475-2016 ДВ 1 Рп 21х11,5 Г Пр Мд3 С/У МГН, раздевальные МГН в спортблоке 1150 2100 не менее 900 мм, ширина полотна 1050 мм
Инженерный массив/фанера (по технологии производителя) + МДФ
6 мм с двух сторон Светлое дерево, Выпадающий противопожарный
сантехнический фиксатор с открыванием снаружи в экстренных случаях для оказания помощи и знаком индикации «занято/свободно»
- Нажимная с задержкой закрывания Телескопическая коробка с
добором, наличники с двух сторон, С обеих сторон -
Уплотнение в притворах, укомплектовать стопором, запирающим
устройством с открыванием снаружи в экстренных случаях для
оказания помощи и знаком индикации «занято/свободно». Дверь во
влагостойком исполнении (обеспечить возможность проведения
влажной дезинфекции поверхностей полотен).</t>
  </si>
  <si>
    <t>271132154.55102</t>
  </si>
  <si>
    <t>19830251.55102</t>
  </si>
  <si>
    <t>ff4b7d1d-6a3f-4f11-a99c-27bb0f8bf5ec</t>
  </si>
  <si>
    <t>1.1.1.1.1.5.2</t>
  </si>
  <si>
    <t>1.1.1.1.1.5.2.1</t>
  </si>
  <si>
    <t>Д-23. 2100х1150. ГОСТ 475-2016 ДВ 1 Рп 21х11,5 Г Пр Мд3 Кабинет врача, Процедурный кабинет, Прививочный кабинет. 1150 2100, не менее 900 мм, ширина полотна 1050 мм,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</si>
  <si>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271132303.1272001</t>
  </si>
  <si>
    <t>19830252.1272001</t>
  </si>
  <si>
    <t>1.1.1.1.1.5.2.2</t>
  </si>
  <si>
    <t xml:space="preserve">Межкомнатные двери Mario Rioli_ / Nobile 1110 / ПП Белый / левая/ ГП-ДБ-NOB1110-000 / 2000*700*40/ ДК 1.3.90 </t>
  </si>
  <si>
    <t>Д-15*(л). 2100х1150. Индивидуальное изготовление ДВ 1 Рл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</si>
  <si>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271132303.710724</t>
  </si>
  <si>
    <t>19830252.710724</t>
  </si>
  <si>
    <t>1ea017bb-36a6-408c-82e3-bdef56065720</t>
  </si>
  <si>
    <t>1.1.1.1.1.5.2.3</t>
  </si>
  <si>
    <t xml:space="preserve">Межкомнатные двери Mario Rioli_ / Pronto 600 / декор Бьянко 3D / ДГ-9 правая/ ГП-ДБ-PRO600-0496 / 2000*800*40/ ДК 4.3.80 </t>
  </si>
  <si>
    <t>Д-22*. 2100х1150. Индивидуальное изготовление ДВ 1 Рп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- Уплотнение в притворах, укомплектовать стопором.</t>
  </si>
  <si>
    <t>271132303.55075</t>
  </si>
  <si>
    <t>19830252.55075</t>
  </si>
  <si>
    <t>275d5a26-dc8f-46e8-b56a-24b81257a322</t>
  </si>
  <si>
    <t>1.1.1.1.1.5.2.4</t>
  </si>
  <si>
    <t>Д-24. 2100х1150. ГОСТ 475-2016 ДВ 1 Рп 21х11,5 Г Пр Мд3 Кабинет психолога, Кабинет логопеда 1150 2100, не менее 900 мм, ширина полотна 1050 мм Инженерный массив/фанера (по технологии производителя) + МДФ 6 мм с двух сторон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</si>
  <si>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271132303.55095</t>
  </si>
  <si>
    <t>19830252.55095</t>
  </si>
  <si>
    <t>1.1.1.1.1.5.2.5</t>
  </si>
  <si>
    <t xml:space="preserve">Межкомнатные двери Mario Rioli_ / Nobile 1110 / ПП Белый / правая/ ГП-ДБ-NOB1110-000 / 2000*700*40/ ДК 1.3.90 </t>
  </si>
  <si>
    <t>Д-16(л). 2100х1150. ГОСТ 475-2016 ДВ 1 Рл 21х11,5 Г Пр Мд3 Комната инструктора, Раздевальные (спортблок) 1150 2100, не менее 900 мм, ширина полотна 1050 мм Инженерный массив/фанера (по
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</si>
  <si>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271132303.710723</t>
  </si>
  <si>
    <t>19830252.710723</t>
  </si>
  <si>
    <t>41629804-686b-4a75-a0f3-95ea3c133a82</t>
  </si>
  <si>
    <t>1.1.1.1.1.5.2.6</t>
  </si>
  <si>
    <t>Д-33*. 2400х1650. Индивидуальное изготовление ДВ 2 Рп 24х16,5 Г ПО Мд3 EI30 Студия драмкружка 1650 2400, не менее 1200 мм, ширина основного полотна 1000 мм Инженерный массив/фанера (по технологии производителя) + МДФ 6 мм с двух сторон Светлое дерево, EI30 , Выпадающий противопожарный замок в составе  антипаники, Антипаника на обе створки Антипаника изнутри на обе створки, нажимная ручка снаружи на основную створку, с задержкой закрывания, на обе створки. Координатор без шпингалета Телескопическая коробка с добором, наличники с двух сторон С обеих сторон - Уплотнение в притворах, укомплектовать стопором.</t>
  </si>
  <si>
    <t>271132303.707364</t>
  </si>
  <si>
    <t>19830252.707364</t>
  </si>
  <si>
    <t>1.1.1.1.1.5.2.7</t>
  </si>
  <si>
    <t>Д-34*. 2400х2200. Индивидуальное изготовление изготовление ДВ 2 Рп 24х22 Г ПО Мд3 EI30 Снарядная (спортблок) 2200 2400, не менее 1200 мм, ширина основного полотна 1000 мм, Инженерный массив/фанера (по технологии производителя) + МДФ 6 мм с двух сторон Светлое дерево, EI30 - Выпадающий противопожарный цилиндр ключ - завертка со стороны помещения, Нажимная на основную створку,  задержкой закрывания, на обе створки. Координатор обычный Телескопическая коробка с добором, наличники с двух сторон С обеих сторон - Уплотнение в притворах, укомплектовать стопором.</t>
  </si>
  <si>
    <t>271132303.707355</t>
  </si>
  <si>
    <t>19830252.707355</t>
  </si>
  <si>
    <t>1.1.1.1.1.5.2.8</t>
  </si>
  <si>
    <t>Межкомнатные двери Mario Rioli_ / Pronto 601 / ПВХ Лиственница белая / ДО-9 лев/ ГП-ДБ-PRO601-0159 / 2000 х 800 х 40/ ДК 4.3.80</t>
  </si>
  <si>
    <t>Д-20*. 2100х1150. Индивидуальное изготовление ДВ 1 Рп 21х11,5 Г ПО Мд3 EIS60 Технический центр 1150 2100, не менее 900 мм, ширина полотна 1050 мм Инженерный массив/фанера (по технологии производителя) + МДФ 6 мм с двух сторон RAL 9003 EIS60 -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</si>
  <si>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271132303.55099</t>
  </si>
  <si>
    <t>19830252.55099</t>
  </si>
  <si>
    <t>5939d113-4e24-4301-83a3-b70ac3839e85</t>
  </si>
  <si>
    <t>1.1.1.1.1.5.2.9</t>
  </si>
  <si>
    <t>Д-15*. 2100х1150. Индивидуальное изготовление ДВ 1 Рп 21х11,5 Г ПО Мд3 EI30 Кладовая инвентаря, помещение для установки оборудования 1150 2100, не менее 900 мм, ширина полотна 1050 мм Инженерный массив/фанера (по технологии производителя) + МДФ 6 мм с двух сторон, Светлое дерево,EI30 - Выпадающий противопожарный,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</si>
  <si>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271132303.710725</t>
  </si>
  <si>
    <t>19830252.710725</t>
  </si>
  <si>
    <t>1.1.1.1.1.5.2.10</t>
  </si>
  <si>
    <t>Д-16. 2100х1150. ГОСТ 475-2016 ДВ 1 Рп 21х11,5 Г Пр Мд3 Комната инструктора, Раздевальные (спортблок) 1150 2100, не менее 900 мм, ширина полотна 1050 мм Инженерный массив/фанера (по
технологии производителя) + МДФ 6 мм с двух сторон Светлое дерево,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</si>
  <si>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271132303.710730</t>
  </si>
  <si>
    <t>19830252.710730</t>
  </si>
  <si>
    <t>1.1.1.1.1.5.2.11</t>
  </si>
  <si>
    <t xml:space="preserve">Межкомнатные двери Mario Rioli_ / Nobile 1110 / ПП Белый / правая/ ГП-ДБ-NOB1110-000 / 2000*800*40/ ДК 1.3.80 </t>
  </si>
  <si>
    <t>Д-17*. 2100х1150. Индивидуальное изготовление ДВ 1 Рп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СКУД на вход и выход Уплотнение в притворах, укомплектовать стопором.</t>
  </si>
  <si>
    <t>271132303.710729</t>
  </si>
  <si>
    <t>19830252.710729</t>
  </si>
  <si>
    <t>7b57e0e8-0652-4852-bb1e-3e4eb57eb1ed</t>
  </si>
  <si>
    <t>1.1.1.1.1.5.2.12</t>
  </si>
  <si>
    <t>Д-30(л). 2400х1650. ГОСТ 475-2016 ДВ 2 Рл 24х16,5 Г Пр Мд3 Студия драмкружка 1650 2400  не менее 1200 мм, ширина основного полотна 1000 мм Инженерный массив/фанера (по технологии производителя) + МДФ 6 мм с двух сторон, Светлое дерево Выпадающий противопожарный замок в составе антипаники Антипаника на обе створки
Антипаника изнутри на обе створки, нажимная ручка снаружи на основную створку с задержкой закрывания, на обе створки. Координатор без шпингалета Телескопическая коробка с добором, наличники с двух сторон С обеих сторон - Уплотнение в притворах, укомплектовать стопором.</t>
  </si>
  <si>
    <t>271132303.707363</t>
  </si>
  <si>
    <t>19830252.707363</t>
  </si>
  <si>
    <t>1.1.1.1.1.5.2.13</t>
  </si>
  <si>
    <t>Д-22*(л). 2100х1150. Индивидуальное изготовление ДВ 1 Рл 21х11,5 Г ПО Мд3 EI30 Артистическая, кладовая 1150 2100 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- Уплотнение в притворах, укомплектовать стопором.</t>
  </si>
  <si>
    <t>271132303.1271999</t>
  </si>
  <si>
    <t>19830252.1271999</t>
  </si>
  <si>
    <t>1.1.1.1.1.5.2.14</t>
  </si>
  <si>
    <t>Д-17*(л).2100х1150. Индивидуальное изготовление ДВ 1 Рл 21х11,5 Г ПО Мд3 EI30 Лаборантские 1150 2100, не менее 900 мм, ширина полотна 1050 мм Инженерный массив/фанера (по технологии производителя) + МДФ 6 мм с двух сторон Светлое дерево EI30 - Выпадающий противопожарный цилиндр ключ - завертка со стороны помещения - Нажимная с задержкой закрывания -
Телескопическая коробка с добором, наличники с двух сторон С обеих сторон СКУД на вход и выход Уплотнение в притворах, укомплектовать стопором.</t>
  </si>
  <si>
    <t>271132303.55074</t>
  </si>
  <si>
    <t>19830252.55074</t>
  </si>
  <si>
    <t>1.1.1.1.1.5.2.15</t>
  </si>
  <si>
    <t xml:space="preserve">Межкомнатные двери Mario Rioli_ / Pronto 600 / декор Бьянко 3D / ДГ-8 правая, с\у/ ГП-ДБ-PRO600-0494 / 2000*700*40/ ДК 4.3.90 </t>
  </si>
  <si>
    <t>Д-13(л). 2100х1150. ГОСТ 475-2016 ДВ 1 Рл 21х11,5 Г ПрБ Мд3 С/У для мальчиков и девочек, душевые (спортблок) 1150 2100.  не менее 900 мм, ширина полотна 1050 мм Инженерный массив/фанера (по технологии производителя) + МДФ 6 мм с двух сторон, Светлое дерево, без замка, защелка-язычок - Нажимная с задержкой закрывания Телескопическая коробка с добором, наличники с двух сторон С обеих сторон - Уплотнение в притворах, укомплектовать стопором. Дверь во влагостойком исполнении (обеспечить возможность проведения влажной дезинфекции поверхностей полотен).</t>
  </si>
  <si>
    <t>271132303.55073</t>
  </si>
  <si>
    <t>19830252.55073</t>
  </si>
  <si>
    <t>c74c44d4-c153-4521-9117-fec3560b5cb6</t>
  </si>
  <si>
    <t>1.1.1.1.1.5.2.16</t>
  </si>
  <si>
    <t>Д-25. 2100х1150. ГОСТ 475-2016 ДВ 1 Рп 21х11,5 Г Пр Мд3 Административный кабинет 1150 2100, не менее 900 мм, ширина полотна 1050 мм Инженерный массив/фанера (по технологии производителя) + МДФ 6 мм с двух сторон, Светлое дерево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</si>
  <si>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271132303.55094</t>
  </si>
  <si>
    <t>19830252.55094</t>
  </si>
  <si>
    <t>1.1.1.1.1.5.2.17</t>
  </si>
  <si>
    <t xml:space="preserve">Межкомнатные двери Mario Rioli_ / Pronto 600 / декор Бьянко 3D / ДГ-8 левая, с\у/ ГП-ДБ-PRO600-0493 / 2000*700*40/ ДК 4.3.90 </t>
  </si>
  <si>
    <t>Д-21. 2100х1150. ГОСТ 475-2016 ДВ 1 Рп 21х11,5 Г Пр Мд3 Артистическая 1150 2100. не менее 900 мм, ширина полотна 1050 мм Инженерный массив/фанера (по технологии производителя) + МДФ 6 мм с двух сторон Светлое дерево - - Выпадающий противопожарный цилиндр ключ - завертка со стороны помещения - Нажимная с задержкой закрывания - Телескопическая коробка с добором, наличники с двух сторон С обеих сторон - Уплотнение в притворах, укомплектовать стопором.</t>
  </si>
  <si>
    <t>271132303.55072</t>
  </si>
  <si>
    <t>19830252.55072</t>
  </si>
  <si>
    <t>fa1c820f-8bb8-40b5-9b5f-ab9905638604</t>
  </si>
  <si>
    <t>1.2</t>
  </si>
  <si>
    <t>12</t>
  </si>
  <si>
    <t>Дополнительные работы, неучтенные основным проектом</t>
  </si>
  <si>
    <t>1.2.1</t>
  </si>
  <si>
    <t>12.1</t>
  </si>
  <si>
    <t>Дополнительные работы, неучтенные основным проектом (невозмещаемые)</t>
  </si>
  <si>
    <t>1.2.1.1</t>
  </si>
  <si>
    <t>12.1.99</t>
  </si>
  <si>
    <t>Прочие работы</t>
  </si>
  <si>
    <t>1.2.1.1.1</t>
  </si>
  <si>
    <t>12.1.99.15.1</t>
  </si>
  <si>
    <t>Устройство временного теплового контура для проведения отделочных работ /фальш-окна (брус. армированная плёнка, утеплитель, фурнитура и пр.) полный комплекс работ, включая стоимость материалов и демонтаж</t>
  </si>
  <si>
    <t>Окна, двери и межсекционные перегородки.</t>
  </si>
  <si>
    <t>b308570b-231e-4cd7-babb-dabdc5609dc4</t>
  </si>
  <si>
    <t>455bfec5-05dc-422c-8ea8-59967bf9d0d3</t>
  </si>
  <si>
    <t>43208d3c-f276-4d19-80eb-e1ae8df17cbf</t>
  </si>
  <si>
    <t>Общая стоимость работ, руб. с НДС</t>
  </si>
  <si>
    <t>eF7s/WuTHMeR5wt/lbIxWzOpu6tO3iIvNDsvgGYTUxC6q9BZNcdmhTFZX6pnaSOSOiRnL7O2ZrwMRc1SO6RGox0ZRYoitbcXx9bAC0SIIMGvkPUVnk/yhGdVVqMLEZHuXulRzdmRrBtAdwP0n3um+z8iPCL+45+8+h9+MvuTZ/7khZOf/Mnen/zbkx//9WxSf+XFv/7xj/f+ZPbvz2Y/XnzhT15pfkD//j/e+5Ozl1544aUX7/3JMz/Uf4B/Rf/28qt79y7/sXvLf+3e5T9X/+wrlz9W/7n6ffVVdb/6sro/f2P+8171Tf2Hz/Tnb6qH1YNe9Xj+WvX58o/wUz/Vvz7sfQ9+sFd9Wj2qv/WV9Se/X//3zl566eXz5188eXXxH70R1l+dvfLq8y/orx2/9O+G508Y/OKrz7/6H2799fPN1/7T3lXaFy+e/0se7X+8d0//S3/1kx/pf/ve6i/p3z3/yo8u9O/rL7768l/P6i/+u+df/Tc/+rcnr1796k9efv5s9qPaHPg6fDpLztTJ7CTsn6qz834YzvJ+HsxUPwhUoNI8DwsVwc/Vf7+hbmxQYRIkWXj1e/929vIrz7/0YvMzaR6lKk33GvMvXnr5hacYLp7/8Y9/9PIMnobZi+ez8x/Vlr6ysv4/mULx7Cah0A8wLw4mS57bxJJXnv9L5gtgMuVgE1M2ehs/qX5V/ffqw+rX1fvVb/vwqfpA//9X1e+q/6k/f1x/5Ve96iP9hV9V/1j9Rv/xv+rfwd/4lX4rP9E/8JH5nYuemUbbwvp80NMUj+ev60yhc8ter/qH6rHOHY/1nx/XOeTr+nuPdR6Z/2ywB4D6ezqhPK4+a76jv/pZ9WjQy0L9SP9fodJ//ljj/69etNfLVdCrvq4ezF+fv2Gkj5+Zxtui/3j+hrb/obbvMdg3//leb/5mk3Z1utSpdP6uhutV32riB9UXtWf+oH8HqfRhzf1V9Wj+9/O39c8/mL8BP6u98qD6tP578FvI3A/03/p0/pb+/AX81+bvwJcXmf21+vM7vUXa/kx/69va8d8s/yP6B5svPNZJ/HGvdvnX+ouP9E98pf8L93vwj+iM/3j+hrb/9Z5+5v6x+tjo7OSZabItZ3+0dOED7bCfL10LXr8agYWrH9eV6jNwWP0jn12h1K/TR/oJ06+a8YW6rZ4ZqW1R/pM2sgnYQ235g94zEJC12t3EcPGFhyaKsXrm+HpR/FpzfGgytVTPTLdm6oe1Kx/MX9NPDqQf/dn05KtnbmTbMvF9eI4hs3wJGRUc+XH1O5OVN9UzN7dmJTyk8CI+qFPNEw/rE4nKZPS+emZ/a0a/X0e/Nlo/pve1lQ+rP9Yp0+HmZ9Uzz15Di3Wue23+rv78tv6SLkIm0w/UMwdbM/1X1RdaLkBm/npgMu459cxzWzNO+3X+X+Z/O6gf1NeXxdbow1vqmVvbNLN61IfS1qt+Uf3WZN+fqmf+dGv2/VYLlb/TD+eySC1MNVk5VM8Mt2bl/6izlJar+o15s/p04JY9t9NnfpBuy9QPIG9CfdIvzn0tfd6BInXv3osgCWFkru3/4sl8awTYmqM/1vb/rlb9H5pz6Q+2ZhrtGbiTPnNna6aaxhm10W6bD9Nnjr7Tz+3h9jze9twebc20RYY1j372tINRj/MofWa0NQLamzdOn7n7nX6Kx1tzdOtTfHdrptGegeP0meOtmcrMvmX6zOQ7/dyW2/N423M72ZppnWTfafrMdBOCV1969eTHTwHc+5MXT16YLf5ZPsTV2UAMzbNZsclzboP5ySs/eXkC3zvU/+TLz5/8+OD//evnf/KC/tcMiBdriP93OT383mFunN87FLa3fOHl8YsvY408Mht5JGzkGJaQMDaCt3ZX1qzLCBkrX90o7KXZo6WgrbSQT8wGTgQNRIcbvLQ7sYR7KmPhv3n+/Hz24mbv+p+bffrn4hbTQv+vzWb+a3Ez0Q8AeGz3X1segBs3NjN0o9L7fi1XHlUP53+7mOCsGxEeX66zPVzMOdXzotVX+nPzdf2lv627GL5e/KX5u0a4rMh0XS42qcwbAb5nsupmVuTbMujDpb/fXkzk31/oxfnr+kuvXapHszf3t2j3F9X93vf+1fd79XrON7CwarLw2e1ZaDLnT7U58Phty6bqF5bHr9iWQb8EEVo/Z99cXd59WP/hzepbWFyEL371hGpdLnnDetln9YIxrJc8WiyHz//e8qhujREe1dbHdFvWWR7TAh7TbdlU/YPxMc2DYFsGWR/T+uGrR1iQOZeP6qfLvrpl/8v8zfnf96C7rn6AoXTph7T3vcVjvujaazLwwycz8H2jjtjfohv0k/y9hq419W7PTuMzrc15Zro9m6pfWp7prbWrfVwX+K96kGqvdhSBoGoebuibeANaa96ov/dFPeFkXDPd3yJL3T02sDyG27LK8hiG8Bhuy6bqHy2P4dbaC3/5ZF6s/qh/faf6I0xaLZ5O1YPCbmkr2aLZiKK+PessT14ET962bDqwPHjxluypfv30kLEHLRff1r2uD+oWh28WNRlaM/9z3UsJqVCXQP2M6pLdxL/XfOH7dbvn40V/on6E31nKVEilX2qx+mj+87qhB9TC10/9lyyDrC26yMYJqwzQOdP2/G/LcMvzH8Pzvy2bqv9qeQGSbRn0D/rh/kI/o0+uBtRNw4shP6wLPGg6kb8yNB5rEauf8Tf1X32iM63O31/XL838qS0l+ge+Nrey7m/RD5+BH57wQr+W5IY+R8tTvi3DLU95Ak/5tmyq/snylKttGWQeutWtf9/W0ne5eQomET6vf+4xNAp/1lsKYJhmXOybqlue685/V/vl/hZZMTl5W8ZZnlYFT+u2bKp+bXlatzYBvjYd+3H1O3MD6P4WbaynXuvMD03K9xETAdsy1fLMpfDMbcum6n3LM7e1NYnfar36zvyNJyogiILXezp1vg8NGr/Wv1hmq+pZAZjg+jv9pbeajTkLoaxTaf+JvVJ1lv1Xi6xa/xMt+0z3t+iRJ/Q+PNu9pyQCfPVfmSSRUcI/uz0UyxuQwRuwLZuq31jegK0tizzxBjz1cDZiAbqqtLaFp7x+GuD5fnLDGfyNZkj3qFYOi70xUT/u1cJikTavvg/LUVX9CEFDveqtNgs+gKcL/mtPDj7hvwkm1S/bl2tyRH/T9iZtzbNrb9K6zfXXaudY3pttGW55b3J4b7ZlU/WB5b3Z2jrN/6wF9GLh7VJdP7FOd18/ysvSUO90rben1ikV4v/03zUNQBcL/F/o1+JdY8ZlzlVvzWlP7JmBp9+9hebZ7RlqeQUKeAW2ZZN5c+nNPNzass4/LqbzFqXj8+Wy9WuXxQOxjXd/i+Z/oTMvPIVayS9z8efmx3BrJpofwxAW87Zmk3lMph/DrS3r/HbR8+1UIi4d8viJv/+9Wnno7KtztNb231/ulf2ifobr6T2YCH5z/lY9vfdo0YS+POjhj716/PB2nYmXaR1eAzApCsIEHjL9q1r+mi5NsuiW7fmztqp/Oci9FCptX9S+XXRUa48+qL5cNlUbAZ/dHiDEoH/v3osQg+WvWd/yqsGC5dYMrT6yvGrbWseqPtYP/R/hNcOl9m3ZqZ/I1+vVGss85bPbM83ynMHy5NZsspy2kIfxtgz6ZS1iawm7OA6lXhjXafhhrTXq4eD8NTh1478Nql8Pqt8OnjgHZiGn53+/txDDjwZ7vVn/hZPnf2x5SrdFaXkUYKVuazaZt8DoRyHZlkFwIsCTLc9w1FI9C/fT6nE38d8WmiX+sIa1NZuqTyzxV9syCM5Fqtcj60OkmgOCeosTw5bj38tB7+JRsQR6WwyWQMPyD9Wmv6j/pfPZ+OTVf6O/pi1MT8+i09OToD9LLlQ/yYOLfp5nF/2TJA5OYpWE5+cni598+aV/t/hNsfhlxTb78Wy1F+VJOPSOu1C/fv+wHP09bmY1IE4PDV/vP9HjvPbjcEycsU37Rv7MED/1hHXKf9J/ETIt0hkd7Ngr9g6zIjJv2xPiS+h8tD0/R8XekQ3qSAhK0aHQO4SAaVTsjWxMIyEm/Fu54f7BYq+0sZUybFFAY6M9gJNib2IDmggBhTQg0sM3LfamNp6pAA8Apfeuloh1vldmZ68+b6h/ukT89QunM1Osni4SoYnohnk+NcrCMI4CpdaxFqVZhwBtIdTLH/2kLpitRhq3Bd5kmrj+RjuciKuz0IWzfijmqo4+XKhdrXwXR0Ia59T3i2eGTJqnKqUdp4NKGQbmKsk1fr0MIoynZaEji8VHXIsV3WJSmhlZDB5xDcY/7hsWMIvhJdPwp6pTi+G052JisXbCtRafmhmlx2LslGMsWLvMGcJ1xVJZLGskjdWp1cVoI0mlZRCbrLzJtRL/umGry2913agPIIZ5073m8JRH83d1ffmm7oV+sk1qrz64up7pfwTLKA9XKymY03f2w+CZIRfdcykKzaWIbb2HWmQ2+YhtsqKbTEo8I4vFI7bF+Ndj02pktrzkWi5djszmTtjm4lM6px6ZrZ2yrK2fi3t+CpKtJJnXEhu7M6uX0WYSS5LZzptcO/FvHasoLW4L+IMuKo8WDYLfVovjzZsNa3800eyHoa41TCLPtcYyOci23kOtsUz9sU1WdJNJSWVksXjEthj/1G9aayzTdlzLpWuNZVKObS4+W3NqjWXKjWUtmLt8kD3UGlu1MXcUNJbnVj+jDSVXm4EyWXqTayn+zWPWG+uS1H4Y6aLCNNtzUYn3DsM02TtUUbB3mGawCqVshYZL5KHQxHtHgHEEGEeAcWTDOGJjKDoGKcuMNMUIKEZAMQKKkY1ixKbAvxabFqR4rwSaEmhKoCltNCWXRrpIxXsTQJgAwgQQJjaECRsBn/o5hSvemwLBFAimQDC1EUxZBH4HTvZyZu6KamwvrN5Hm8ooZ7YBFNNW/JuLLWgf1XN475is3A9jXcOYlnquYbp8ZfneYRFb6haXwkPd0iVLm35kMf2Ibbqim05KLCNt+UhbPrJYPmJbjn/KN61PujRpgtJCUHIJpGuSLkfa7InF7AnbbHzW5tQhXYK01VOL1VOW1f5rj636JC7r08Dqc7SxrOpjqz9Ma/FvJqX+fAFbRZZHkXy13KFTwWWhny23GPfqQ49hT+PPmmZA+PpX89dgc3Ld9GnC3A8TXcCYqJ4LmNKDMF3Aokh/6GIW618TPRxLUhiX6Q/9vVT/PrMNzLiUHgqc0gMzXeA02pFGO9JoRxrtSKPpsZr+0N/TaEcWtCM2mqKjkTLaSJONNNlIk4002UiTjTTZSJPp8Zv+0N/TZCML2YhNhn8NNy2QSg/gdIHUhKUmLDVhqQlLTajHdPpDf08TlhbCkksoXUCVHtTpAqqxJhprorEmGmuisfQ4T3/o72msiQVrwsbClyZOgVV6oKcLrKaaaqqppppqqqmm0mM//aG/p6mmFqopiwqwlpkS4H7oKsT/7qWX/8qAyqvCtjqsnBCRNTQ4W5lF2L6SxjR3vTjZXIuswr9f9Qn+sekPXB1oA+eDXS6nLcoynIHzuPq8bub4ZlW5Hzd3sX5W73t968ltrg+bI3C+qnfe/rH58S/qgwy+1QUe9nN9s/jio+VWDfjD4kyERavJ3w3q08h6YX0t+teWos906XoltD4BL0AK/dHzr2Ae2eofqm+W1wDXp2C/Xq1uG1qcBPhGb3HGsP4M/TGma8zhpqInTlOBBc23qub0wCcvI3gMtz08gn/3s+Um5W/ghO2ByU3Pct2kSG5CuCjqzf9LvYPrDyY7D7h2pjg7X5idvPLXL6Nekq8jk4HPcQ3McAbO/v1PZi++YjLwxTUDw0GwPMR7zcRbXBNznIn/9qUf/zUqz5iM+1OucesiyGJcXUgR3kuiNB4YIzzkWhiuqxiLiSA/61LPEmrD5w6Oj0fH3zseTY+e/d5iNKFHCmH2fUid2vi9XvT9PXPn5m02GrK2r9CsCm09DnGeD8yP8Q/YxiKL+8pYjNu163YXLv/BwsUmk++wTUYW+M2Gngv7NcnO0M5wyGZAVlTGwHJhuDZ650oIbAhHbARFREA/Ptqru41ZT40LudYia95POsw1pc41JSrXjNlYyEr5k47yzF22och6+RPsQzJe5Zi79vfzmG0upYKyHpeF7WN3fim59j81SeCyn59b7rpzy4RtPrKEEmcC9CMzMeeVKctSMPX8IjnPs/Ckn4dq1k+CNO3nZ2dhfxbHxUV8EZ8VF7MFjHXs/8Ly+TEAcsf/thmAlEaJxTPNEjioKDMFJo6bkhzr6sIVHeQUwoeXswWXEwGPfrQYv1e/rweyf1sfzPHkkHV5dEt9jFZ9nm6/+rj6pHqvPhvqvep35hMn9iV9o/C+wQ9yTRQHkhTrUsBBQRgCf2U+BO85SZL16u8goYyVUxPILUmQdXXgANlwRC0Isa4ZHBDYkXeaR2FoG3oLojw1PHewkIbo64DFIM1MdLdF6Qg5votRZDOWTEEoab2X2seTktSEvIceBmHjORYlo755GDJnLMftsSzFiGvdeXp6Nju5iIu+SpKzfpLlF/2TNFD9JDzNz8PTk/NYLd9hr7rTmKpuhOZT4x2uwOF5152CHISchNWdv1xbhLoPNyt8UwvRxeGrV84I/I0WlSAwf119oD8+vJSnH1bvV7/Vnz+Bn/nf+g8f9+6MVdgz30u9L+kkhXfSpgJUkIKQiLsQoIIkIgI0GERKmVBuSaL4k6CCENRCiIhGGOTZIAyNY4KhJIs3DZrng9w423lbFI+Q8LsUodlSuGR2ESpJTch9bBFqDehYFI368mHQWlRoazBLMWKQoS512W1Hk0VXmg91W8CF+M5iXx1NTHORC55YWfjd7GgyeXSf69EE59F/Ng1NTDcpkpsQLopbGpqYdiIXdwli2tbQxDQQuUyL18iOhiamicgF2g21L9M4ynIswntxlgS2WVWmhdtraCr2DmF3ehQuGw1yZ1MTFw9Z3ulNTUkQWJuauMYi6zuxqSlfNTXl9qYmrsnIGt/FSECT7AztDIdsBmRV3aCpKd+5EgJ7UxMXQRER0I+P9upuY9aatSO2tci6hx5IIfJNqfNNCUcWoPLNmI2GrJi0xiZ7rrnLNhRZNwmNTfmqscn6jh6zzaVUUtYj0wxNnTmm5Nov3NiU71xxvb2xiWs+soxSG5vy3Yk5t0xZll7bBabI1thU0CixeN4XmAQ5CPON2JmELS0wCTpJ4Z2EH/WaKA4kKQiTrIQxsXWBSZDE9wKTIIq/BSZBCOocNyIahYoHmTLm9aEkynVYX5LEI+T7LkaVzdiyWC5JFPbxpSQ1IfWhh0XogI5F0ajvHgatZX2pNZilGHEtQpPwIguy06KfhbNM/0QQ9vP0IupnJxdRcZ6qC7WF7vrIshoVBVRX4PB8i1BJDkJSworQ3zSXF/bg1Jvqcb3m8jYsaM3ffXrJSX/xR6A7850wCJobzKPAsr4k6QqFd8WGUlOSgpBvCVIT1sQ+H/TMUXlOkkdEcBrFzS1JDG9iUxKCWvAwkcjNlXsoyeFNaYbBIDErTVE8QlLvUGlGwUKcLH41UR+KUhMyH1tpWgM6FkWjvngYNLfSbA9mKUZ8ffdxRuabr25EIdUVODzvSlOQg5CUsErT6z5OSd8ovG82lZ6CFIQETJCetllOSRIZ0WnZxykJ4k92CkJQqx8iFqrIE9sRSpIo3pRnMTDPqN8WpSPk+C6FZ7jUKqFdeEpSE/IeW3ja4jkWJaO+eRiyFt3ZGstSjFj/7y+eyP6ezwi1KMvIARukyTqsp476zNJRzzUX2W2HFYb/pIXe11rwfVO3cj+cv12LxOUlrosu7tehnbtuip+/pX/qD/XE5LLhu74udv5u3SX/WQ968+dvVp/2TMT7XOIER0zreDdZ+CzXQkWyEGFdW1guowGX7n7Vq89R/8MAmvQf1FfCa9VeH7MOM8cPLo9Un787f6sX9S972fd6l7/vLyehP4Prf43d+AdcByG7/Qha92tjEniOayCyZ48iYW1d7lwTkd16G4pTpnGU3jyE96JBbuwJG3Lt21qPexQvek2jyNXbzsZCFlp6b7tKtO63dbezzUXWWlp3exQ13e0LJ5tMvsM2GVlvuxDpmmRnaGc4ZDMgKyi/u10bfiUE1u52NoIiIqAfH+3V3casNWtHbGuR9Q49xkFkmhKVacZsJGSFpHW1u7LMXbapyEqJ72tfZZi79rfzmG0upXayHpZmwOjMLiXXftm+9lVmuevOLBO2+cgSSuxr14/MxJxVpixLwdTZLFKzi1nRP1Vh1g/DWd7Pg5nqB4EKVJrnYaGWBdY6EHdMS3AH45a+9iimUWLxTEN2BxVl2G7iuCnJQZgExI7nP14O2X/em/+07h9adBjpcWS/Hg6+roeS95sOow8ic+rdl4RWeGj8gNlEcSBJQZjJJIxqrSs4giQyKziZbfQrSOJvCUcQgjqRjAhGkhfG9bShJIe39ZtskBgr0G1ROkLq7mJo2AwQ4+Wcf2wfJEpSE7IeemyDjedYlIz62mHIWtZvWmNZihE36zfN/BE8zR4XcBIT7Y0ocdKm67SeFnBCy4LTTa69yBklrOIznYlUf+nd6g9aUDzsaU34fvWLZavPff2TX19t8qm14HLlYHnaEZzgk4SL69jqk4zSwHqQEdcNCc4NXSzrMC1UJAsR1l1eijbQUVmFqLkbd/6mjtubcGoSiHNLpPZWh0zViz4QLrU4Zmpw796L1Sf6q98+06s+gm3g1Uf9MDePzw64TkFObRFEr+XAIq6ByIkqgpa1L+UwTUROUG0oUpnGUaajEN6z9KwzjdveOo7aO4xS/ZHpD7jSudg7jAP9sTxLJEqc6ztcXGQdpq/v5EpZV3e4xiILMXF1J1mt7iT21R2uycha3IWE1yQ7QzvDIZshITLQ52CTnSshsK/ucBEUEQH9+Giv7jZmrVk7YluLLIHoERAi/5Q6/5Q6/5Q6/5QR3N1d7JU6/5So/DNmoyKLKW3Vx5577rINRZZUwppPslrzsb6zx2xzKUWW9Qg1g0xnzim59guv+SQ7V1xvX/Phmo8sq9Q1n2R3Ys41U5altVQszqM0SKK+SqAh8yI66xdZEPTDICpOigsVRGoJYx27O6YyuON325qPolFi8UyjfAcVZaRv4rgpyUGYOMTOAPw3Peb7Co4sqpsxX2uGjvqPejT52vydXvVPcKxR9SUM5edvw4iz3kiuy67+nPTNJ+TvS3pB4b2AH16bKA4kKQjTofjx8Pxn8zdMJM9JkogsAhlb+G5JYvhbARKEoE5FIyJhGYQLQnhb/okGyrJvXJKOkMW7GDs2I0i1XDKwX+stSk3Id+jBDzaeY1Ey6juHIWtZ/mmNZSlGvDgl81z/IxcnWf90liT9JI7D/onKZ/1C5WF8elrMonypubwqS+Nk8I0opboCh+ddWQpyEHISRVl+ulyBWNyp8RWsOdTqMeuHkX1RSJBT4Tk31Y6CFIRciteO9gYiQRIR7QinXRsHmbckUfzpR0EIai3DRMMEMZSE8Kcfg3wQGxf4b4vyEbJ1lwpyeflrZL/IV5SakPX4CtIa0bEoG/W9w7C1aMjWaJZixAsNeZFHs1P9Y6fJWdRPwuKsf3oSX/SDKFS5/m+oU7X0ilcNaQz+jch9n5zJFSg87xpSkIOQlbAa8uNlY9H93vy/VI9AOc5frz5bTEAGAZxluaNMnPuSnArPuamGFKQgZFOChrT14wiCiEjI0LxKcUsSxJ+AFISgFjJELCwCUhDCm4AMYTXb0oEuyUdI1V0KyOW9rZH9El5RakLKYwtIe0THomzU9w7D1iIgW6NZihEvTkk/CYoiDcJ+cXKu+vrng34+S0/7s4v4XEUnYZient/zLyATkytuRK4LiYyuwOF5F5CCHISshBWQH8GitpaQj+om6C+e3NdYq8jqA2XbxigIqvCgmypIQQpCOiUoSOsspCCJiIQMBrFRDN+SJPGnIQUhqLUMEwwTxFASwpuGzKyL2JJ0hFzdpYLMl5rDfo2rKDUh5bEVpC2eY1Ey6juHIWvRj62xLMWIa/2YKnVyGp6loDX1zybnF/08zE76Sv/j50lxHmb5Mp161Y/K5IobUUF1BQ7Pu34U5CDkJLx+fDB/HZaul8edw5GI9S07sHdusSvyazgeEQ47N/HuS/IqPO+mMlKQgpBTCTLSdsajIIiQirSuZQui+JORghDUkoaJhgliKAnhTUaGqfWW8NuigISs3aWSXN7xF9kvbBSlJmQ9tpJ0hHQsCkd98zBwLWKyNZylGPH1vbIxMd+FcSMOqK7A4fkWk5IchLSEFZOSVzZKukLhXbGhzpSkIGRcgs50X9koySMiN81SUxLDm9SUhKAWPEQkzFJTEsKf1LTe1yiKR8joHQrNeHnFX2y/r1GUmpD2+ELTel+jKBr1rcOguWVmezBLMeJF0yTqFnHvMjMzueJGHFJdgcPzLjMFOQhJCSszf1lfpPNNfdTXZ4vmyTfry18+A2UJe72rR/OfNxc0/qZ6r76Y8dfVB/rjw8trHT+s3q9+qz9/Aj/zv/UfPu7dGauwV71nctK+pJMU3kmbClBBCkImJghQ23q5JImI9AzM2/duSYL4E5+CENQyiImFCWIoCeFNfOb5wHwX+m1RPEKe71J8Lu/5i+13NopSE1IeW3xaAzoWRaO+dRi0FvHZGsxSjBjUp0tUdnvGrzLB3Vi2U5nhwjRch9v2Gb9ce9dTxXf8jF+uGxKcGzo445droSJZiLBO6IzfdHHGr4n9gMu+ntnFjvLlGog8fRCvT+1H+XJNXFefIkf5co1br28iR/lyjdvaUb5xvHcYJ/pD6Y9Uf2T6I9cfxeIozdh5VSMbF1luOz3Kl20sst7SjvKNVxc1xvaLGtkmI0tuF8pck+wM7QyHbAZkveQf5RuvLmqM3Rc1shEUEQH9+Giv7jZmrVk7YluLLIHogQ0i/5Q6/5Q6/5Q6/5Q6/5Q6/5Q6/5So/DNmoyKLaWdH+bINRZZU/FG+q7xz1/7OHrPNpRRZ1iPUDB2dOafk2i97lO8q39x155sJ23xkWSUe5asfmYk510xZll7bdR9lOco3jmmUWDzv6z6CHIT5QOxAf0vrPoJOUngn4QfZJooDSQrCJChhuGxd9xEk8bvuIwjib91HEII6A42JhQliKAlxHdZ9JPEIeb6L0WUzxlzeDxjb73oUpSakPPTwCB3QsSga9a3DoLWs+7QGsxQjvr697cpy2m+cUF2Bw/MuPgU5CEkJKz5Fe9sFXaHwrthUYgpSEPItQWK29LYL8ogITUtvuyCGP5kpCEEteIhIWGSmIIQ3menobZfEI2T0LmVmslQm9psJRakJaY8tMx297ZJo1LcOg9YiM1uDWYoRX9/zOJTlQOBYUV2Bw/MuMwU5CEkJKzM3Po9DklfheTfVkoIUhKRK0JKW8zgkQUREpP08DkkUf0JSEIJa0jDRMEEMJSH8CUnHeRyigISs3aWUXF5pFduvJxOlJmQ9vpR0nMchCkd98zBwLWKyNZylGPH1PRxYWQ4HjlOqK3B43sWkIAchLeHFJPdwYElQhQfdVEUKUhDyKUFFWhe9BUmEZKTlcGBJEn8qUhCCWsswwTBBDCUhvKlI6+HAonSEXN2lhFzeaBXb7ycTpSakPLaEtB4OLEpGfecwZC36sTWWpRjx9b2dTNl2Rrru2TC6AofnXT8KchByElY/sm8nk+RUeM5N5aMgBSGXEuSjbYuhIIiIegwtt5NJgvgTj4IQ1EKGiIVFPApCeBOPjtvJRPkIqbpL+bi8zyq2304mSk1IeWz56LidTJSN+t5h2FoEZGs0SzHihYBEXYXrXUCmJlfciHOyK1B43gWkIAchK2EF5H+rHlafLg9weFw9gnVtWMquFWTWDyP7mRqCnArPuamAFKQgZFOCgLTOPwqSiChIxzK2IIo/DSkIQa1lmGiYIIaSEN40ZBTkg9jY+3FblI+QrbvUkMs7rWL7/WSi1ISsx9aQ9oiORdmo7x2GrUVDtkazFCOuNWRenEdpkER9lahZP7mIzvpFFgT9MIiKk+JCBZFaakavGtJy2m9BdQUOz7uGFOQgZCWKhvwKNnfDvu/5a825YPqP8zfnr83f6VX/BBvAqy/hnLb52zBduZihVPA56YfGEcG+pBcU3gubKkxBCkKuxSvM+c/mb5hInpMkEVGYuQnjliSGP3UpCEGtcohIWNSlIIQ/dWld3pakI2TxLrXl8oqr2H5jmSg1Id/xtaV1eVuSjPrOYchalGVrLEsxYr9H+ZrnG5c7qmxw0Trcto/y5dq7nim+G0f5Wk+L3ef6IcH5oYOzfLkWKpKFCOti21m+tuN59Y99or/27TO96qM+nOb4NN0Bl249d4ud1ss1EHnAIF5+2k/r5Zq4Li9FTuvlGrdewjY8rTeKi0FhMnDINXBrJ/Ym4d5hEumPWH8k+kMtTspM6iucbCf1sjGR1ZR+Um+RhLaTetnGIssp7aTeJGhO6k2st2TdYZuMrKhd6G5NsjO0MxyyGZDVkH9Srzb8SghsCEdsBEVEQD8+2qu7jVlr1o7Y1iLLH3rYgsg7pc47pc47pc47pc47JSrvjNmIyAJKO6HXnnPusg1FllH8Cb2rfHPX/q4es82lFFbWo7McEbpzTcm1X/aE3lWeuevOMxO2+chySjyhVz8yE3OOmbIsBVNxB6oBjHXk7Zh34I6+LSf0JiGNEovne61GkoMwy4cdv2/nhF5JJym8k/BDZxPFgSQFYWqTMES2NQtJkogs5dhO6JUE8baYIwlBnVhGxCLJBoVxaW0oCeJtQcd+Sq8oHiHXdzGybMaXywv9EvvtjKLUhLSHHhqhAzoWRaO+eRg095JOezBLMeLre0pvajmlN4morsDheRegghyEpIQVoJKn9Eq6QuFdsanMFKQg5FuCzHSf0ivJIyI2jQPWW5IY/qSmIAS14CEiUSQmiqEkhTedaT+mVxSPkNK71JnRUprYbx0UpSbkPbbOtB/TK4pGfe0waC06szWYpRjx9T0ZI7Uc05vEVFfg8LzrTEEOQlLC6kz2yRiSnArPuamIFKQgJFOCiLS18wiCyKhHy8kYkiD+9KMgBLWQIWIRpfEgt3QRCZL405D24zFE+Qj5uksRubyFKrFfKSZKTch7fBFpPx5DlI368mHYWlRkazRLMeJaRZ6EYZKqpOinYX2Wb571T9VZ1r84zc6D8zBXaboNFZmYXHEjSaiuwOF5V5GCHISshFeRX8N1D/Of9548mhe6pvvVt/V33q7b2hdN7fM352+tpiyrD0LzTpJ9SR8ovA82VZiCFIRMS1CY1tVwQRIhiWne2igJ4k9iCkJQqxwiFpEqgsK8xDSURPGmMdNBaNxtf1uUjpDLu1SYywuoEvttYqLUhLzHVpi2eI5FyahvHoasRV+2xrIUI76+R2eklvN7E0V1BQ7Pu74U5CDkJKy+FDo6Q9ILCu+FTRWmIAUh0+IVpvXoDEkSEYVp0ZeCGP70pSAEtcohIhEWoVVeCpJ4k5fW8zNE6QipvEt5ubySKrHfMCZKTUh6bHlpPT9DlIz64mHIWuRlayxLMWK/52eYz1pLUidcvA639fMzmPauZ4rv/PkZTD8kOD90cX4G00JFshBhXcQ4P8N+bgaTCrlxGC9SrQvtTAOR237x2tNxbgbTROSG3w11JdO49dK14bkZaWzJgEOugds7NyPbO0xy/VHsHapAf4TL/eup89wMLiayinZ7bgbXWGQZJZ6bka7OzbBeenWHbTKyknahtzXJztDOcMhmQFbBDc7NSHeuhMB+bgYXQRER0I+P9upuY9aatSO2tcjyhx6uIPJOqfNOqfNOqfNOqfNOico7YzYisoB2d24G11BkGSWcm5Guzs2wvqvHbHMphZX16DQjQWeuKbn2C5+bke5ccb393Ayu+chySj03I92dmHPMlGUpmIrb4ggw1hG3Y76BO+q2nZvhvjLoKUosnveFGkEOwuwedty+pXMzBJ2k8E7CD5lNFAeSFOv6wEFBGCJbO4UESUTWcaznZgiC+FvJEYSgTigjYhFG6SAylq6hJIm3lRzHwRmSeIRk38XQshlgLi/3S+xXNYpSE/IeemyEDuhYFI366mHQnMEctwezFCO+vgdnZLaDM9wXDhlcgcPzrkAFOQhJCatARQ/OEHSFwrtiU50pSEHItwSd2XJwhiCPiNq0bHwUxPCnNQUhqAUPEYkoM67aDyUxvAlNx8kZkniEnN6l0FzeAJjY73MUpSYkPrbQdJycIYlGfe8waC1CszWYpRjx9T05I7OdnFFQXYHD8y40BTkISQkrNPknZwhyKjznpipSkIKQTAkq0tbQIwgiIx9tJ2cIgvgTkIIQ1EKGiEVaJIPE0kckSOJPQzpOzpDkI+TrLkXk8rK/xH5xoyg1Ie/xRaTj5AxJNurLh2FrUZGt0SzFiK/vyRmZ5eSM5XYEgitweL5VpCQHISvhVaTAyRmSPlB4H2yoMCUpCJmWoDBt6+GSJEIS07yzURLEm8SUhKBWOUQs0jzMA3PSHkqieNOY1pMzROkIubxDhamChSZR9ssKRakJeY+tMK0nZ4iSUd88DJlbX7bHshQjvr4nZ2SWkzNUSHUFDs+7vhTkIOQkrL4UOjlD0gsK74VNFaYgBSHT4hWm9eQMSRIRhWnRl4IY/vSlIAS1yiEioQJllZeCJN7kpfXkDFE6QirvUl4ur7ZS9nvKRKkJSY8tL60nZ4iSUV88DFmLvGyNZSlG7PfkDGMtuKEiJ1yyDrftkzO49q5niu/6yRlcPyQ4P3RwcgbXQkWyEGEd/uQMtTo54xP9tW+f6VUfhflefY5Gbl4OPuBSrudwsZM0uAYiNwLjtaj9JA2uicgtwBvqTKZx66Vsw5M04sQ84h9y7dvaQRoq3jtUif5Q+iPVH9liQ7uKXAdpsDGRRbXTgzTYxiKrKu0gDRU1B2ko6x1Zd9gmIwtrF/Jbk+wM7QyHbAZkUeQfpKENvxIC60EabARFREA/Ptqru41Za9aO2NYiqx969ILIO6XOO6XOO6XOO6XOOyUq74zZiMj62dlBGmxDkVUUf5DGKt/ctb+rx2xzKXWV9eg0A0Nnrim59ssepLHKM3fdeWbCNh9ZTokHaehHZmLOMVOWpWAqbssjwFgH4I7pB+4g3HKQhopplFg87+s2ghyEyT7sMH47B2lIOknhnYQfQZsoDiQpCDOchBGytXFIkERkWcd2kIYkiL+FHUEI6vwyIhbpoDBhDCUxvK3q2E/REMUjZPouxpXN6HJ5B6Cy3+goSk1IeuiBETqgY1E06nuHQWtZ12kNZilGfH1P0cgtp2iohOoKHJ53+SnIQUhKWPkpeYqGpCsU3hWbikxBCkK+JYhM9ykakjwiUtM4XL0lieFPaApCUAseJhJqoEKL1hQk8aY17QdpiOIR0nqXWnN5H6Cy3+0oSk3IfWytaT9IQxSN+uph0Fq0ZmswSzHi63uQRm45SEMpqitweN61piAHISlhtSb7IA1JToXn3FRIClIQkilBSNr6eQRBZBSk5SANSRB/GlIQglrIELGIs0GhTCBDSRB/EtJ+joYoHyFdd6khl5f+KfsFjqLUhLTH15D2czRE2ajvHoatRUS2RrMUI76+52jktnM0UqorcHjeRaQgByEr4UWkxDkagj5QeB9sKjAFKQiZliAwrcvhgiRCCtOyz1EQxJ/CFISgVjlELOIwUCaOoSSHN4FpP0RDko6QyLuUl+lSkNhvLhSlJiQ9try0H6IhSUZ97TBkLeKyNZalGPH1PUQjtx2i4b5ew+AKHJ53cSnIQchJWHEpdYiGoBcU3gubyktBCkKmxctL+yEagiQi8tIiLgUx/IlLQQhqlUNEIsqMr/hQEsObtrSfoCFJR8jjXWrL5R1Xyn5hmSg1IeOxtaX9BA1JMupbhyFr0ZatsSzFiPX//mJvcajBD13asduTNAoT5A3luisjSLN1SH8naSQme29y7V3PGNf0JI00vDxIIw/s52gwvZDgvNDFORpMCxXJQoR11nM06p7HR1qkr2Z8rYHae/rQjVRZTzk54LKv53e50zWYBiJ3B+NFquN0DaaJyH3BGwpQpnHrZW7D0zWMnhtyjdve0RrF3mEa6I9Qf0T6I9Yfif5Qy63uufOIDS4ustoyjtiIIusRG1xjkeWWeMRGvjpiw3qZ1h22yciK24U+1yQ7QzvDIZsBWS83OGIj37kSAvsRG1wERURAPz7aq7uNWWvWjtjWIksgeniDyD+lzj+lzj+lzj+lzj+lzj+lzj8lKv+M2ajIYko8asOae+6yDUWWVMJRG/nqqA3rO3vMNpdSZFmPUDOCdOackmu/8FEb+c4V19uP2uCajyyr1KM28t2JOddMWZbWUhE1WgcY6wjdMU/BHaXbjtooaJRYPNNY3kFFGc+bOG5KchBmBbHjfKnVHUEvKLwX8KNoE8WBJAVhrhM/Hrav7giS+FzdEcTwt7ojCEGdZ0ZEwjIIF4S4Bms7knSELN7F2LEZQS4vBFT26x1FqQn5Dj34wcZzLEpGfecwZC1rO62xLMWIFzsbz/U/cnGS9U9nSdJP4jjsn6h81i9UHsanp8Usypeay6uyNE4G30gDqitweL6VpSQHISdRlOWny4WGx9Uj/fEVLC3U6jHrh5F17UeSU+E5N9SOkhSEXIrXjtbGc0kSEe0YDALz5qRbkije9KMkBLWWYaJhghhKQvjTj0E+iGMT321RPkK27lBBpssr/1L79Y2i1ISsx1eQ1oiORdmo7x2Gza0h26NZihFf39MxCsvpGGlIdgUKz7uGFOQgZCWshmSfjiHJqfCcm2pIQQpCNiVoSEs/jiSIiIQMLadjSIL4E5CCENRChoiFRUAKQngTkI6TMUT5CKm6SwG5vNQvtV/QKEpNSHlsAek4GUOUjfreYdhaBGRrNEsx4sVRvidBUaRB2C9OzlVf/3zQz2fpaX92EZ+r6CQM09Pze/4FZGJyxY00oroCh+ddQApyELISVkB+BIvaWkI+qnudv3jyeIzl8RfK3E20Lwmq8KCbKkhBCkI6JShI6yykIImIhAwGsVEM35Ik8achBSGotQwTDBPEUBLCm4bMbIvYonSEXN2lgoyWmsN+26AoNSHlsRWkLZ5jUTLqO4cha9GPrbEsxYhr/ZgqdXIanqWgNfXPJucX/TzMTvpK/+PnSXEeZvkynXrVj8rkihtpTHUFDs+7fhTkIOQkvH58MH8dlq6Xt4rNX9NfeHu5RW6x9/Hr+TvzN+AmMhPvviSvwvNuKiMFKQg5lSAjvzbO4z8nCSKkIq1r2YIo/mSkIAS1pGGiYYIYSkJ4k5FhGgSWnTW3RQEJWbtLJbm8iCq13yomSk3Iemwl6QjpWBSO+uZh4FrEZGs4SzHi63uvWDEw7s64kSZUV+DwvItJQQ5CWsKKScl7xSRdofCu2FRnClIQMi5BZ7rvFZPkEZGbFqkpiOFPagpCUAseIhIWqSkI4U9qWq8UE8UjZPQuhebyFqrUfqWYKDUh7fGFpvVKMVE06luHQWuRma3BLMWIF02TqKtuvctM42nNN1JFdQUOz7vMFOQgJCWszPzl/LX5m7XQhK03dfOk/mP1EPZx62+9Xt2vHs1/rn/gHTiU7TfVe9XH1SfVr6sP9MeHy3nO6vfVh9X71W/150/gZ/63/sPHvTtjFfaq90xO2pd0ksI7aVMBKkhByMQEAWpdLxckEZGegXn73i1JEH/iUxCCWgYxsTBBDCUhvInPPB/kFvEpiUfI812Kz+XtVan9LjJRakLKY4tPa0DHomjUtw6D1iI+W4NZihGD+nSJym5P8g2N8byRpg66ULtljW7bR/ly7V3PFd+Jo3ytp8Xuc92Q4NzQwVm+XAsVyUKEdbHtLF/b8bz6xz7RX/v2mV71UT+M9upf4sUvavFLOjAxH3CZ11O62Bm+XAORxw7ihan9DF+uieuyU+QMX65x64VtwzN8Y5Wn5qPZh1wLt3aQry6gh2muP4q9wyzQH+HiAM20vr/JdoAvGxNZZOkH+IZBmNhO8GVbi6yytBN807Q5wTe13pF1h20ystB2Icg1yc7QznDIZkBWSf4JvtrwKyGwIRyxERQRAf34aK/uNmatWTtiW4ssgOjxDCLxlDrxlDrxlDrxlDrxlKjEM2YjIkso7eReR9K5y7YUWUnxR/euEs5d+8t6zDaXUltZz04zVHQmm5Jrv+zRvatEc9edaCZs85EFlXh0r35kJuYkM2VZem3XecLAcnZv6r5I6ClMLJ/3hR5BDsIEIHZgv6WFHkEnKbyT8INqE8WBJMW6QnBQEIbJ1oUeQRK/Cz2CIP4WegQhqFPOiFhkYTaIjWctDyVJrsNqjyQeIdl3MbhshpjLK/9S+/WNotSEvIceHaEDOhZFo756GDRnMMftwSzFiK9vR3toKR430pzqCxyfdwkqyEHISlgJKtrSLugKhXfFpkJTkIKQcAlCs6WlXZBHRG5aWtoFMfyJTUEIasXDRCK3XBQuyeFNajq62iXxCEm9S6mZL9WJ/U5CUWpC5mNLTUdXuyQa9cXDoLVIzdZglmLE1/coYB3+2OSLG2lB9QWOz7vUFOQgZCWs1OSfBSzIqfCcm+pIQQpCNiXoSFtfjyCIjIC0nQUsCOJPQgpCUCsZIhZxkajB8m6jp1SkIIo/Fek4EViSj5Cwu5SRy4usUvulZKLUhMTHl5GOE4El2ahvH4atRUe2RrMUI6515EkYJqlKin4a1gd25Fn/VJ1l/YvT7Dw4D3OVplvRkYnJFzeygOoLHJ9vHSnJQUhLeB35NRzqNv9578nTgKGtul99W3/n7brtfdH0Pn9z/tZq3rL6IDSfzbgv6QOF98GGGlOSgpBqCRrTtiguSSIkMo2rsLckQbyJTEkIaplDxEIXmTTNzKP/oSSLN5WZDkLjlv3bonSEZN6hxsyWF11l9mvLRKkJiY+tMW3xHIuSUV89DJlbYbbHshQjrhUm7pJc/wpTmXxxI3Pdv2H0BY7Pu8IU5CAkJazChJtvv4L2S+jMnL/W7KnUf9Rq8rX5O73qn6BFs/oStk5qtflVdX8xjangc9IPjatk+5JeUHgvbKoxBSkIqRavMec/m79hInlOkkREY1oUpiCGP4UpCEEtc4hIRHlaKHMn01ASxZvAjGyXUojSEXJ5lwJzeRFWZr/WTJSakPXYAtMWz7EoGfXNw5C1CMzWWJZixJ7P2DBOSd/IIidduk637TM2uPaup4rv+BkbXDckODd0cMYG10JFshBhXeTvjA0u83pGFztjg2sgcoMwXpraz9jgmojcGbyh7GQat17YNjxjI4nS1HwG55Br4dbO2MjivcMs0R9Kf6T6I1tsdc8i1xkbbExkke32jA22tcgqSztjI4uaMzYy61Vcd9gmIwttF3pck+wM7QyHbAZkleSfsaENvxIC6xkbbARFREA/Ptqru41Za9aO2NYiCyB6OINIPKVOPKVOPKVOPKVOPCUq8YzZiMgS2t0ZG2xLkZUUf8bGKuHctb+sx2xzKbWV9ew0Q0Vnsim59suesbFKNHfdiWbCNh9ZUIlnbOhHZmJOMlOWpWAqbjMkwFiH5I4JCfaw3HLGRhbTMLF83tdyBDkI83/Ygf12ztiQdJLCOwk/qDZRHEhSECY9CcNkazuRIInIUo/tjA1JEH+LPYIQ1ClnRCxyFQ/ixEQylCTxttZjP2NDFI+Q7LsYXDZDzOVFg5n93khRakLeQ4+O0AEdi6JRXz0MWstqT2swSzHia3zGRmg5YyNLqL7A8XmXoIIchKyElaCSZ2xIukLhXbGp0BSkICRcgtB0n7EhySMiN41D1luSGP7EpiAEteJhIpGbp0mGkhzepKb9jA1RPEJS71JqLi8bzOw3R4pSEzIfW2raz9gQRaO+eBi0FqnZGsxSjPgan7ERWs7YyBTVFzg+71JTkIOQlbBSk33GhiSnwnNuqiMFKQjZlKAjbX09giAyAtJyxoYkiD8JKQhBrWSIWCRpEQ9iSzuRIIo/FWk/Y0OUj5Cwu5SRy2sDM/sdkKLUhMTHl5H2MzZE2ahvH4atRUe2RrMUI77GZ2xY2sNvLA+cJPgCx+ddRwpyENISXkdKnLEh6AOF98GmGlOQgpBqCRrTuiguSCIkMi07IAVB/IlMQQhqmUPEIimKKIgtF0NKsnhTmfYzNiTpCMm8S42ZLlWJ/YJDUWpC4mNrTPsZG5Jk1FcPQ9aiMFtjWYoRX+MzNkLbGRvuSzgMvsDxeVeYghyEpIRVmFJnbAh6QeG9sKnGFKQgpFq8xrSfsSFIIqIxLQpTEMOfwhSEoJY5RCTiJIzjgfE1H0qieBOY9jM2JOkIubxLgbm8DSuzX20mSk3IemyBaT9jQ5KM+uZhyFoEZmssSzFi/b+/+E9PSCurgnxldvbq8y+9aPACS0BaGipdt2oEab6OaTtsw24sRRZenrdhtPYm19r1J8zhWqT4+6UWf1/UrZAPtcCDQxvenf+0ejh/dw8OcXhQfVs9gpnGL6vP5m/Wp2k8/WNvrn7wQb2d54EJeT/LnxlysZ/KlHbuzRLlYtt8sXeYR/pD6Y9Mf+g/F6ElU3KJEjoRfociYBxpjCONcaQxjjTGkcY4smAcsTEUHQO/U1FTjDTFSFOMNMVIU4w0xchCMWJT4F8rft5ebIwu9kpNU2qaUtOUmqa00JRcmqd2vbbQ0B6riUaYaISJRphohIlGmFgQJmwEfAkhbn7VBFNNMNUEU00w1QRTTTC1EExZBPUztSCA8vJDV3Hs8iSqyLbftXBBZIE1DDhbmYXRXhyZ5q4XCYFzqPQfPoWpEaiB9b6B+nSpz801tHrYm7/eq76tv/NVXR4fLs+oeggreb35z+AfrT4zn2JV/9OPlst99R/0v16fhKW/Bv/c4/pvP6r/8W+q+8sNsp/1Ijj8Sn95/q7Jvftc965XLMHzrZgWKpKFCOsuz7cy2XnAtXN9BCR3JhXTQOSBGvipHMeZVEwTkSdpbDhNwzRuXU9seCZVFFuPpGIauLUjqfJA6+lweRpM4TyGiouGrLD0Y6jiyH4KFddYZIklnkJVrE6hsl4fdIdtMrLMbjYQa+aqip2hneGQzYCsZYyhV3M4TLFzJQT2U6i4CIqIgH58tFd3G7OeGmFxrUWWPPSEHyLXlDrXlKhcM2ZjIQsl7eQpe565yzYUWS4JB08Vq4OnrO/nMdtcSgFlPS7N/Kkzv5Rc+4UPnip2rrjefvAU13xkCSWOvfUjMzHnlSnL0lpK55EKz86zvjqHZojwoujn6Um9dyvO8qLITuPzBYx1BP7CSbcNDjCwNY/DlydBoCmxeKaxuoOKMl43cdyU5CCsiWEH8h/pYfX96o91H+1rPT2AfwidDfqP9UlTzcFSn+jvvlUPu2F4/lU9jP957//3t//V3Ay/L+kEhXcCfjBrojiQpCAs9BGGurYWWkkSkfaGYBApE8ktSRJvHQ6SEOvqwAGBHWKrYhBmxnAMJUn8NTiEwSA2tziI8hHSeRcDxuWwMV/ebZbb76kTpSZkPvSIBx/RsSgb9eXDsLmbHNqjWYoR1yLzIk+zs7OLWf/8QoX9JE/T/sl5kvUv4uj0TAVpks7O7vkXmeZGiDykugKH511kCnIQshJWZFr6KGo5uTxeClpqYfXm4aqDVovOX1X/vfqwPs/01/W5pr+p/j8QnbFFdAo6ReGdsqnoFKQgpN4uRKcgiYjojMyt97ckQfxpTkEIatlDxEIV4cCmOQVJvGlO6BnOLJpTko+Q3bvUnMvrznL71XWi1ITEx9ac9oiORdmoLx+GrUVztkazFCP2eXldZFORkQMuTLN1uC23DHHNXU8V/9IyZHLvPte9Cc69HbQMcS1UJAsR1sXuliGuncj1U4KktbQMcQ1EroTilaq9ZYhrInINdEMNyjSOsuKJ8Z4KLPu1uAZur2Uo3jvMk8Uyfu68uY6NhqywnbYMsY1Fllhay1C+urgut19cxzYZWWa7UOOaZGdoZzhkMyBrGb9lKF9dXJe7L65jIygiAvrx0V7dbcxas3bEthZZ8tCDGUSuKXWuKVG5ZszGQhbKzlqG2IYiyyW+ZWiVY+7a389jtrmUAsp6XJqRoTO/lFz7ZVuGVrnlrju3TNjmI0sosWVIPzITc16Zsiy9tqs5tq07eUyjxOJ5X80R5CDM92EH8p5WcwSdovBOwQ9uTRQHkhSESU3C0Ne6miNI4nc1RxDE32qOIAR1QhkRizhLzdEYSoL4W8xJQtt9IaJ8hOTexfCxGUQubzPL7VfTiVIT8h56/IOP6FiUjfruYdhaFnNao1mKEV/fLnXr0k9CdQUOz7vkFOQgZCWs5BTqUhd0gsI7YVOJKUhBSLVdSExBEhGJae9SFyTxpzEFIah1DhGMOBukxmgMJUG8aUxXk7okHyGbd6kxl9eY5fY76USpCYmPrTFdTeqSbNR3D8PWojFbo1mKEdcn8e2t2i10hvB55lBsgr2RKwdskEXrsJ4aiBLzGP0m19z11CHQQIQ4hq962Kuvwa0bfJZK8Xf6Bx8tJixBQC4mLN+obzZ+qIXmo1XvT7js/an+aPLMPtczCc4zXfT+MC1UJAsR1rUcF8S1E7kQSlCntt4fpoHIJU286HT0/jBNRC5mbqgmmcZRli4R3ktjy1WgQ66B2+v9SZdr8crZ98PFQhZGet+PSq1tP1xbkYWR2PajVm0/1kvQ7rBNRhbHLjS1JtkZ2hkO2QzIMrZB24/auRICe9sPF0EREdCPj/bqbmPWmrUjtrXIaocekiDSTIlKM2M2ErI+0lp+rCnmLttOZJEkdPyoVceP9dU8ZptLKZusJ6UZ2jlTS8m1X7jjR+1ccb2944drPrJ4Ujt+1O7EnFKmLEvrQVqYn5+dnEf9MDlJ+0kEd3JGs6KfpGmmTs+SLMsuFjDWIbNjAoE7bLZ1/KQ0SiyeaXDtoKIMsE0cNyU5CBN22JH3R3oA/EU9DP5DfWl7vXNmOah+uGj0qcflj5pdM8+/8tKPX3qxp4KgF6rAOKDal/SBwvsAP4K9XF+CS+sXHU696r3qq/mbTbNTr99T1dfV1ybgA0lgwnxlB0NhQRCRdRo9ZDaO+W5JkvhbpxGEoM4VI4KRqmAQxYUJZSiJ4m2lJkzzQWpZqZHkIyT+LkaVzdhyeY1jbr+SU5SakPnQwyJ8RMeibNS3D8PmjOa4PZqlGLHfrd2JCe5G7r4QCn1Tkq+VGaa5yMknrD68jiszTM8kOM90sTLDtFCRLERY17Yrm2nnemKWW5lhGoiceSLJTNvKDNNE5KTThvqRaRxlignhvSjJB7nJwCHXwO2tzOTLKdPMuTLDxUIWxk5XZri2IgsjcWUmW63MWO92vMM2GVkcu9DQmmRnaGc4ZDMgy9gGKzPZzpUQ2FdmuAiKiIB+fLRXdxuz1qwdsa1FVjv0EASRZkpUmhmzkZD1sbOVGa6dyCJJWJnJVisz1lfzmG0upWyynpRmKOdMLSXXfuGVmWzniuvtKzNc85HFk7oyk+1OzCllyrL02q7MJLaVGdddkAZKLJ73lRlBDsIEHXbkLbMyI+gDhfcBfgSLWZlxrMsI4hJmJzsYCAuCeF6XESTxty4jCEGdGUYEI9LSLEoTE8pQEuVarMtI8hHSfhdjymZkmS9n8nP76FKSmpD50IMifETHomzUtw/D1rIu0xrNUoy42UGj7q00pscdNMoEeyMvHLBBlqzDelqnUWZ1fJNrLnIqCqsWf79alHmwODT3yfUXrR8f1Nusv66+hP3V+otfm2D2uTAJDqaLpRWmhYpkIcK6tk0vTDuRk00URWnUYc9xDUROHZGUom1phWkictZoQwnINI4yR4TwntFzQ65xW1tWKYLlfKfzbmw2FrKO0ZdVolBl1oUVrrXISkZcWFldjp3bL8dmm4ysZl2IYE2yM7QzHLIZkEVsg4WV1eXYuftybDaCIiKgHx/t1d3GrDVrR2xrkbUOPYZAJJoSlWjGbCRkdaQtrDiSzF22pcgiSVhaWd2MbX85j9nmUsom61lpRmPO5FJy7RdeWlndjO1OLBO2+cgCSl1aKXYn5qQyZVm6KEVhkqqLsB9liR7vRsFJ//QkvuifFifhaRjmF3m2rK/WUa5jzM8d6VqWVoqARonFM42HHVSUMbGJ46YkB2GODTtYfv/qcHh5yNj8b+ev9cKgHxkz7b4ko8Iz4keoJooDSQrCvODm41dJEKkVEePazi1JEm8rIpIQ67XfAbHZsFkSwttaSKRUYFGLt0UBCYm6i3HgcjRYLG9JLux3XotSE5IeeiBDCOlYFI765mHg3Ksh7eEsxYj97lJJTXA3CtftimFarMNtefWDay5yvggr6LpZ/eDCJDiYDlY/uBYqkoUI66Je9bD3xO6Sey8m2V66E+yFajeEX1P4Tb6n9G9j82W/B1wY5LRRBxKTaSByEogkHS1LJFwTkbM/G2pCpnGUuR6E96J4UITm7SdcC7e3ThItpi+L0LVOwsZCVrxu10nY1iJrHm2dpAibdZLCegfyHbbJyLrXhT7WJDtDO8MhmwFZ7vjrJNrwKyGwrpOwERQRAf34aK/uNmatWTtiW4sseOjhBSLRlKhEM2YjIUtkd+skbEuRlRK/TrJKMHftL+cx21xK7WQ9K804zZlcSq79suskq8Ry151YJmzzkQWUuE6iH5mJOalMWZZe23WS1LZOEtEosXje10kEOQjTb9hhNW+dRJBR4RnxY1kTxYEkBWHKsINBrCCI53USQRJ/6ySCENTZWkQwomQQF8aZyqEkyfVYLJEEJGTrLgaDzZAwWs6u2y+KF6UmZD70aIYQ0rEoHPX1w8C1LJa0hrMUI663jjyhO6wq8ZXZ2avPv/SiwQsskWiscjeK2IEZZGod07ZsYjeWov0uV06M1t7kWrv+hDlci1R4puO96qWTr+avzd+p9xi/+8Raiolmv4ifGXKJnsqDdqTN0uBi9jTZOwyDAD4p+JTrT2EEn1L4VOhPEfwxgu9GGXyCr8Xw12L4XQK/S+B3Cn6nCksO5XojoXsDPwgGFxxpFxyBC47ABUfggiNwwRG44AhccAQuOAIXHIELjsAFR+CCI3DBEbjgCFxwBC44srngiO0CRXcBfiCtPTDSHhiBB0bggRF4YAQeGIEHRuCBEXhgBB4YgQdG4IEReGAEHhiBB0bggRF4YGTzwIjtAfxbzi8jizm+ZK8ET5TgiRI8UYInSvBECZ4owRMleKIET5TgiRI8UYInSvBECZ4owROlzRMl1xNPTQa1eIL2Kkw0/gTwJ4A/AfwJ4E8AfwL4E8CfAP4E8CeAPwH8CeBPAH8C+BPAn9jwJ2x8fCUlzidp+qmmnwL9FOinQD8F+inQT4F+CvRToJ8C/RTop0A/Bfop0E+Bfgr0Uxv9lEVfvwf3VnLC255U2+H0ReKEeOoKOy9dGfCr0dybXHORq1MS4uJ+b/66/r3+6QfVF/on78OpoHVXx6P5z+uLf//Y058+13/zzeqbuonjs/rY0T8u/oXPYKpqeVBIfS7I8jTR+tCUywaQ+l/Qv/um/se/af7+o/qPX+m/BVZ8WZ9LCqerLP4D85+B6Tb1w/T1eqkXbBphWqhIFiKsu9wyO4AbnR9W3z7Tq96vftcP9xa/GicaDrj2I5fNKFNsxomp57gGIhfBSFNntj4RponI1a8N58SYxlHWuhDes/QEM43bXouIHrwUejxT6PFLoUc4RbFcyU2cLSNcTGQ5preMaOURWltGuNYiCzKxZSRZtYxYb8G9wzYZWZQ3Gx4384PJztDOcMhmSIgMeCXfrOwmO1dCYG8Z4SIoIgL68dFe3W3MemoMybUWWfvQk6yIxFPqxFPqxFPqxFPqxFOiEs+YjYisnrQWEkfSucu2FFlECS0kyaqFxPqyHrPNpZRV1rPTzF47k03JtV+4hSTZueJ6ewsJ13xkQSUO+fUjMzEnmSnL0trU4uS0CIK4r06TuJ8UJ1k/Pz2J+nmSplEeqOQ8my1grIP3F066bSGxjolvFIpGicUzDfMdVJShvonjpiQHYVESOwfwfr0n44lB9uP524v7Pxbj89/XQ/G/1R8/XZ5n+lk9PF9eEfItTBl8VP26er9ffazHjO9VH1b/qD//rvrE5J19Se8ovHfwY+JLB30Bd6dcnYyoPm7mT6pP61tSPu9Vv9Du+VJ/fAUzFe9VH4cB3JYCkx+1w75aHpKqv/lxoEfZvUjBFz83eetA0luEpV7CCNxC8pwkiVCXi3Eu4ZYkiL8mF0EI6io7IhaWgb8ghLf+ljAaxMY16NuieIRC0sW4tRm9qmU7hP0+dFFqQspDD7zQAR2LolHfOgxaS29LazBLMeJa3V6kF+r8ZHbSj6PToh+Gs1n/JAyi/nmYpuHJWXB6Wiwfc6/q1lg2bix79AiuwOF5V7eCHISkhFe3zcLSQy1rH2ghpmUbyLAnVpl6P5i9fPLCSe/w5OWTv/mb53tav96HBTHYqtwrb6VhEAfBcS8Ngn8PHwUcZg9LXZ/Wa2FfLhep9M/DEtcbWiS+s/jjUvKZ3Lgv6UaFdyNJBhuX6NadV95SQRRG2l9REMzfyuFTGMJVgl/v3bv3YvXfaqd9Dgt48EVYS9QjioU0/lT/8Q/6Y/HH7+n/wINevVv8D/Cb96sPQmOaOZB0JqFkEFSybZ1KEERIJAfGi1duSZL4U8mCENR6jQiGRSULQvhTyWERW7vAJQEJJalLnby8Cbiw3+ssSk1IenydbA/pWBSO+uZh4FqUcms4SzHiWimnQZafxkXUj+KTs35ycaL6uUpP+kl0VuRn2Sw+uUju+VfKxmHSjcJ1Z5fRFTg870pZkIOQljZRyvevznfe742fn7368gn88uLfnDS7DVfCt3rcf3Km84O6S6tRd/XP/qAIiiAMjoMgCP9sMg7gi1rh3V/0mNV9ZPDfrH9Wa+0d+Mhtl0ftS3pY4T3cvYiuPoJJ5aUH63llmEx+9tk0iAKQ1jDz/I9aFT+EaFXfzH8+fxdGIfATSRTpn9gD783fqj/V45WByYEHkg4k1JAOhLMgiGfhLEjiTzgLQlDLNyIYFuEsCOFPOMdZMkiUCfC2KCChQnUpnLOl0rJf6yxKTUh6fOEcFYFlB/ZYFI765mHgWoRzazhLMeJaOJ9FRRxF4Wn/vIj1zyZR0s+jIOjPwtOiOM3CVP/4Pf/COTG54kbhuoTM6AocnnfhLMhBSEtY4fxPT2xGuN+r/kc9J/xgsTuiV318EMc/Aj0bJMs5Yf39uleg3gXxpGI2OWNf0hkK7wy8xjVRHEhSEHIuQWha+xgESUSUZjCIlInkliSJP6UpCEGtd5hgmCCGkhDelGaiHzTjkOa2KB4hoXepM5dXghb2C15FqQk5j60zrQEdi6JR3zoMWovKbA1mKUa8mJ69yIP04jzoX0TBRT85S4t+fl4U/bPZLAnS+OIkSJalwavKVCZX3CgKqitweN5VpiAHISlhVeYv1/bV3u/BH6uHy321r1f3F/Oni6nX30DjafVJ9evqA/3x4XKm9s64r8Je9Z7JH/uS/lB4f2wqNAUpCEm3C6EpSCIkNENjxrglSeJPaApCUEseJhgmiKEkhDehmeeD3NIJIIlHyOldCs1iqU3s16mKUhNyHltoWgM6FkWjvnUYtBah2RrMUoy4Pg1ubyWxPB/aYu6JDQP3RUH5Oq2nU1siy6ktbHvXc4fXY1sWJ6w8goXi+isPtHD8urpvItxnEyY4QtphKdU/wG6p+d/P3150IsCxL38H06rzN2H9+x+qj0wQz7IhFAkCAXB5norJ0AO2oetZWezgFLaF6wpT8OQUto3IXd+b6Ua2devlacOzU1Scm/uthmwLt3aAShiEcDgkHAQZxPApWZxjAKelOU5Q4YMiiyP9CJUkjGwnqPCtRVZH2hEq2pzmDJWlm01W3+FbjayRXWhrgNkZOjAO+RjIQsg/SAVsvxoIG8URn0IRKdDPEXh2d2XYmsEjvsHIiogeoyDSUAlpqIQ0VEIaKpFpaMyHRBZV2oEq9hR0l28psrTiD1S5TD93He/tMd9iSrllPUDLMWBb6inZCLLHqlymnSYANoIJnwBZZ4knq8CzszJqzdgpz9j6kTmJZ3GkVF+dnqT9pJhl/dPTs7wfZcUsPA2jvDhZRsQ6yHZMOXAH2pbDVXSuomFi+UzDcQcWZUhuArkpCkKY48OO1ddPD8GOwwUpFZ4SP9S9BIWTT6Bl/dHlxs4l++f6q5/CBtz5W72rXf/zd+BLV6Yw9N/7gcZ/qTf+8V+/0kvsZ6SI+oow/0kYbdvWfERRhBZ9jIPKW6Ik3hZ9RCmo88+IaIRpOEgKE8pQFMXb2k8UWS8DkgUkVIYuRqircWq4WDFY/sYEfigLTkiA6MEVPqpjWTjqK4iBcy8BYSJaykEv2o2S8yw7m8X90zDP+0mqor7+26dw2sp5eJqenOfq7J5/4WpbI4qovsDx+ReugiCE9IQVrk83HDX7PY19R4sVGjiF/wvQt339y0P93W+XP/VQf+ObxU+ZvLMv6h2F9w5B8K4c5OzEMhwQ+Jv6/L83mt2bvTtjFfZu9Ex+ORD1CyG3dyJuBVGExK2lo0kUxaO6FaSgllZEOPJgkJm3Mg5FUbyp2zQfJDZxK8lHqB6dituokUL2yy5lwQkJkC1urUEdy7JRX0AMW5u2bQ9oKQdda9v8NEgv1FnQT06CUP9EpP9Wep71c1UUwUV+NlPN2pZXbWucJNHaNqb6AsfnX9sKghCyE1bbfry8v2p11DXcIPXN/M35a/Z52t73mm/ByX//uXpQfbXQxlrjVe9Xv/j+Uh5PTl7+q9mrry5vt2r/L9Ui+bEWjm/UEhL+m59DP9fTBiy3jy6/v/zbP6uvwHo0f2fxHyxClRgHUvuiMVL4GOEVtgnjQBSDUA8IghimtT8f9MyH2DwnCiQii40rTLdEOTxqYkEKaklGxCJSxrd9KMrhTRBbr3q5LctHKDmdCuK40U+xQxBLghMSIFsQW4M6lmWjvn0YtjZB3B7QUg66FsRZdBGdp0XeT0/DpJ/kRdwvkotZP0jP8+R8VgTnWxHEickXWhAnVF/g+PwLYkEQQnbCCuLfXBWbWK2b1Oc695bC9+DGncXvRi+8+PwrP3np5Vdf6d3YnwxHR73jJDCo4/5KJF9RwIuJ0zX9axC8858uDx6sD+A2xWFfNA4KH4eNRa8gBiHnE0SvdUOBIImM2jV3VN0SJfGodwUpqBUXEQ1VRIPQOJsyFEXxJnnDOC7soleSkFBWOhW9SaOR7NeayoITEiBb9DrCOpalo76EGLo22dse0lIOutnpusyhnne62mZ6lYs2D9ZpPe10za07XZn2rieRLna61qckr049ga2v79Qa8LNmVrXuHa0nWf+27jt9YFWDTKoER0Xb3Woy8Vm2iYpkIsK8y72rA7jg8Xf9xGTwAdtg5I4dguRsm2dlGorcdUNRlPatrEwbkfttNtWKTOsoe2sQ/kuKQapMFg7ZFm5xK2sKG1izZueYcm9g5eIhax59A2sU2Fo3f8C3Fln0qBtY1eUGVuuVdXf4ViNLXxfaGWB2hg6MQz4GstZtsoFV7VwNhGMDK5dCESnQzxF4dndl2JrBI77ByHKIHoAgkk8JyadEJp8xHw1ZQGnbVu2J5y7fUmQZpWxbVZfbVq1v6zHfYkppZT02qzGdO+GUbATpbatq52oAHNtWuQTI6kretqp2V0atGTvlGVuPZeLw4jwJkn5wrgfQSarSflGEYV+dzk7Pzi6CMIqWr4F1xOyYQuCOmq3bVlMaJpbPNLZ2YFHG1yaQm6IghJk77MD7o8vh9PznvUm/Wlx3CjfbL9dnPqo+qP53Pwgvb4G6PNv+MawLLS9/0h8PFj8SZUGwExtz9r6ofxTeP/jxsQnjQBSDME/Z4ahZEEhovcacMm+JonhcsBGkoM4VI8KhYL3GtmAjiOJtwaYIBoXxmPTbsnyEpN/FkHM18EybuX373aSy4IQ0iB4toYM6lmWjvoAYtrbFmvaAlnLQtSSN4yw/y0LVD0/Pwn4SXKh+fh4U/VCdFGE0C5Kz4vyef0lq7GDQkjSj+gLH51+SCoIQshNWkv5XLUa/gNND4DL4z2th+SXsMrVvv3xQX7xkgt8XhVd4eLzevDxgBS4P/WaxNNOIccOZKx/o336t/wJsUH3u+X/fq36/7qVe9an+/qP6x+M8gH/4kclZB6LOIqRzvKqd/2z+hgnlOVEUET0bDALjiR63RFE86llBCmo5RYQjGSSpMR5DURJvcja0zqvelgUkVIxO9WzWyB/7laGy4IQEyNaz9qiOZeGobyAGrk3Qtke0lIMGResSqt12GyUmOi1RcwddmD1Ft/VuI6a9yCVXrMLsutuISZXgqDrpNmKaqEgmIsyL17uN4j131xHTcOQyK15pts6fMg1FLpridaSr64hpI3K5dFOByLSOsjSK8F+q85jxYRyyLdxi11GxdxiGAXwKm9X/3N16xGVEFsCOW4+41iIrILX1KL9sPbJeMnmHbzWyDnahmwFmZ+jAOORjIAvfJq1H+c7VQDhaj7gUikiBfo7As7srw9YMHvENRtZE9OADkYFKyEAlZKASmYHGfD5kKe2w/4hrKbKgUvqP8sv+I+sre8y3mFJkWc/OalTnzjolG0G6/yjfuRoAR/8RlwBZYsn9R/nuyqg1Y6c8Y6/tYk9i7T8qaJhYPv+LPYIghKk77FC848UeQXiFh8cPh7e62CPoLMJcJ34I7ljsEUTxvdgjiOJxsUeQgjrVjAiHGqS5rXdJkOR6LPZIAhIqRheD1tXQtWiWBuzXKcuCExIgeryFj+pYFo76BmLg2hZ72iNaykFf34b6xNa9FAZUX+D4vAtaSRBCesIKWu8N9ZL+UXj/EDTvJwanfHvFbQsf9YKw9z1gn78VB3AAlR5TN2dB9fpux5l8dSDqK0LGx0vetlUnSSAR4Wvv2pdE8Sd8JSmoZRcRjqQYqMJYQYaiKN6UbxEMIuOUz21ZPkJl6VL4hsFSJoWOO49FwQlpkC18rUEdy7JRX0AMW4vuRQS0lIOudW9RFKcX+ey0f56nST9J0gyOYwr6ZypI4/Dk9CI4ObvnX/cax+ta97qu1DL6AsfnX/cKghCyE0/3Vr80aDyYw/37xV1IMN+7nNNcHA3aiGLjZpx9UWcovDMIItfkgIXIXZx++ljL18UBpz+vvpy/O/+7+iZU7Yd/qP77uhwuT3588pe972nUIIi+30ui+VuhAkF8RQ8H0VISw38MvPrEnwxOPRB1KqEMdKiGBYGE1LDlzFFJEo9iWJCCWosx0cgGKjAGZCiK4k0MJ1ExiIxq/7YsIKHedKqGmzs4Q8etqqLghDTIVsP2qI5l4aivIAauTQ63R7SUg25OHG1eWM9HjioTrla8kQM3yKN1XE+bAMLAtguAa/B6FuliF8Dizs56P8BnMIn47eI8ev2NN2E9vaf/8CVcSf+gVnKwSP95/TutYJsD6Zd/Sf/xK+hbeL2nBR/MRD7UP/hV/QPzn9WTkp/t1d/9tp60/GJ5YRT8vQfLq1Xrf6z+L1y5kXX533i8XOZ/C35ycbGoyb/7bP8mOP92sR+Ba6IimYgwb+3009/0jc/sAdtgZM9lhxqYaSiyeZKiba37ELg2ItsmN1WtTOsoLZII/xl9N2Rbt709CGEM2w8S+KSWHcBh5NyDwGZE1l/6HoQ4S6x7ENjWIgswcQ9CGK32IITW6znv8K1GVuEudDzA7AwdGId8DGSx22APgrb9aiDsexDYFIpIgX6OwLO7K8PWDB7xDUbWQ/RgCJGBSshAJWSgEpmBxnw+ZBml7UGwZ5+7fEuRxZSwB2GVee46XtljvsWUAst6dlajTHfWKdkIwnsQVhmnCYB9DwKbAFliqXsQ9LOzMmrN2CnP2FqSqfOzNLyI+omK9adEFf3T5CTrn56dxifpaaqSYlmErUN4x6QGdxhv24OwvO8IjYnlMw32HViUAb8J5KYoCGEqETsR8P5qdP9w/rb+/ev1fgQ95n5iqN/7wezlkxdOei+cvHzyN3/z/I+euPYZbqZb</t>
  </si>
  <si>
    <t>9NtfLrgsvt179tk0COIgON7rHdTO6N15Lgh70xeff/X5H8/+TDvhpd5fvjz7D73xreXleil0O9WfwrrlyeTgfVEHK7yD8cNsPbR+Yl6lZVblfuPsw4Wze4vFxWWHV70l4qv56/fuvQjujSLtXnBdenMC3vv3hZq/VfTWVsd0ZJaBqh73W9fFBL1LmBAmzAnYLuGTJBFZEAsGoW1FTBDF44qYIAV1Oh4TDhPFUJTC22JYrux7IkQBCRWsi0H0aijd3FEcOi6dFgUn5D70+A8f1bEsHPXtw8C1LYa1R7SUg64F9llUxFEUnvbPi/hM/2yU9HNdkPuz8LQoTrMwzWbLx92rwDaWQy2wE6ovcHz+BbYgCCE9YQX2Pz2xHna/V/2P6kH1Za39QFhXHx/Ecb2nN0iu9vQ/rBe52vTavqg3FN4beDVswjgQxSCkXoLs/Kr63ITynCiKkO5cXlP6tO4URPGoOwUpqJUPEw4TxVCUwpvuTIJBZOxyvS3LR8jrncrO5o7g0HHtsyg4IfexZac1qGNZNuq7h2FrU53tAS3loGvVmV7kQXpxHvQvouCin5ylRT8/L4r+2WyWBGl8cRIkyyrhVXXGJl9o1amovsDx+VedgiCE7IRVnb9ca6O6bz9T5o+96jfVe9XH1SfVr6sP9MeHywneO+O+CnvVeyaH7Is6ROEdsrHwFMQgJN9OhKcgipTwXNr8tPIUZPGoPAUpqNUPEw8TxVCUwpvyzPNBbpvwlOQj5PZOladqhIrj+mRRcELyYytPa1DHsmzUdw/D1qY82wNaykGvmv+XUtJz839qwtXiMnXiJuu4vpr/LTvbbrINXk8iXTT/X7kCQP/2ft1c3fTif27cD1Bv0Nzr1X/p0fzv529X9+fv9uC7T/578zd79c4CmOZ8AyY5vwH5+UatSD+dv9Ort4E+rv/1B/Wq97smb+2zvZXgvNVJKz/TREUyEWHeU638xlWAA7bByNZFgoxta+VnGorsQcSLVFcrP9NGZPfhpuKTaR2l0xDhP5uoZFq3xVb+DLr486aHNnV38XPxkIWU3sUfqtTexc+1FllJqV386WUXv/W+zjt8q5HltAs9DjA7QwfGIR8DWec26eJPd64GwtHFz6VQRAr0cwSe3V0ZtmbwiG8wshSiBzWI5FNC8imRyWfMR0MWT1oDvz3x3OVbiiyhlAb+9LKB3/q2HvMtppRV1mOzGim6E07JRpBu4E93rgbA0cDPJUBWV3IDf7q7MmrN2CnP2FrKpiqJLpLT/pk6C/rJ+cV5/+QiyfrqND+JYj1wz9XyobIOwx0TE9yhuLWBP6NhYvlMA3YHFmXQbgK5KQpCmA3EDuavNpc3hyiVhzeOJ+Pj0XPDOwe9G3enN+Js2WRfqJ04qz6oPuhFe1H1gckH+6I+UHgf4Me/6z32n+s/fNpsZVi45NmXfvzjv5q92Pt/7vTCIOgFYZK2N8n3jm/c6WUB/Gj1fvWBbVQt6K51ueFwV4ejb0EgkaUkW+O8IIfHZSRBCupUNiIWthG/IIW3ZaQwiwZZYgK8LQtIqBxdjFtXo9fmnuHQcXO0KDgh/6GHXPiojmXhqG8fBs4Z0TEmoqUc9PW9HSu1Ns7nVF/g+PwLW0EQQnrCCttub8eShFd4eIKi3eLtWJLOIuRzvJ61344liSKiZO23Y0mieBSzghTUcooJh4liKErhT8w6bsYSBSRUi07FbN5IH8fFzqLghOTHF7OOm7FE4ahvHwauTcy2R7SUg151RSX3ViLVY1dUZsLVerVw4qbruL66oizXz95kG4xcxsXqTcuRqI9Bas3fqfdwvrv4wqMnzkatDzKtZxEXJ/vD9xbHo0DXE/RJaQH29ybwfTZ4ggPvpMGJaaIimYgw77LByWToAdtQ5GouXorazyNhWohclMUrTFdHE9NG5HLsptKRad16YdqwoynOonBgvTiKaeP2+pqiYE9/CpvWgsLd18TFQ5ZCel9Tmob2viautchaSO1rKi77mqw3ed7hW40siF1IaoDZGTowDvkYyPK2SV9TsXM1EI6+Ji6FIlKgnyPw7O7KsDWDR3yDkZUQPS5BJJ8Skk+JTD5jPhqyhNL6muyJ5y7fUmQhpfQ1FZd9Tda39ZhvMaW4sh6b1VjPnXBKNoJ0X1OxczUAjr4mLgGyupL7mordlVFrxk55xoK1F8nstEjTk/6p/rUfhrPTfh5cnPaDQAUqzfOwUMv6ax1IO6YWuINpW19TFNAwsXymIbcDizLsNoHcFAUhTOhhh+Or5Y/FiPvh/E04G+lyn9Fi1eML/Zs352/VF4V8Xf/oN4s1kGal5B+rRzBsv7K/SY/m31osq3wxf/PJL9WNQv2rg/7qj9+782eTvcuhfv9yrK9f5eoPMBMA/9X56/AX9efH1afNLSXzn/fCfrin5m/vPXFeavW4Xy/F/KG5B3Cvl+zFoW1n975o6BQ+dPjROjp6dXCae/+euEmmNbB/+tILJ/Wnv3rpxz/uTZ7/8awX/aA3noInezZPHoh6kjC5i59OsK9sSaKIrGxZerQkOfwta0lSrEssBwV2DiOJ40GqjB3LQ1EWb4tb9qUtUTxCJexiHN6MxqPmquTIcfe1KDgh+6GHkE89tYl1L8lYlo76CmLoWta2ECEt5aBrpa5mRTZLctU/m12E/eT0NO0XJ8msr4LZuYqi9OL0fBl2r0rdOPWqlbrr6kOjL3B8/pW6IAghP+GV+tPKuD4J4P5iwaxRdcuFsXK83/uz4Z/d6JX6Pzx7ZXVp4N8tbhXU6u5r6MaHf+KB/m2wF9vvApD0lMJ7iiCMP3rCHUvh+9xLL5++1Du4uJj91asnvfHLL13MXnnl+ZdePPlxLw/SoDfp3Xn+L//Nq739l148e3n26qw3Ph71FFyTUH+Kluf9XzqxuY8BXPhH7cAceSOAc4+DpKsJtQOvnK0LcZIkMsJ5EMQmlFuiKB61syAFtXAjwhHnWjyrLDfBDEVhroN4lsQjFKdOxXNzsXLkuCpbFJyQANniOVSOxjBROuo7iKFrE8/tIS3loEE9u0Rxt31gxkSk5XDkoAuzcJ1u631gXIORy95YOeu/D4wLnuDAu+gD45qoSCYizItb+sC4hiJXv7uQn0wLkYvYJFlp6wPj2ohcvt5ULzKtoyxVI/wXJyobmE99GLJt3GIfGFxVHSXLVozIfUs1Gw9ZCrvtA2Nbi6yFxD6w6PKW6shxSzXbamRB7EJCA8zO0IFxyMdAlrcN+sCiy1uqo5ZbqtkUikiBfo7As7srw9YMHvENRlZC9DgEkXxKSD4lMvmM+WjIEtpdHxjbUmQhJfSBRZcXVNvf1mO+xZTiynpsVkM7d8Ip2QjCfWDR5QXV7mQz4RMgqyu1DyyCC6rNiWbKM/bari7l1j6wmIaJ5fO/uiQIQpjAww7Ht7m6JOgphfcUfnDsZXVp2YDV+fqSoLMJ06tdDPAFSXyvLwmieFxfEqSgzm0jwhGrNBjkmTLBDEVhrsP6kiQeoTx1MTheDZGbu4ojx+3TouCEBIge12FjOpZFo76AGLS2xaX2eJZy0Nd3D0Vu7cxKqL7A8fnXzoIghOSE1864Lvz/I/ZQCIZO4UNHEPPY6HnfQyHoSUKhwit1xx4KQRQZqW7iuCXK4VGnC1JQZQIiFklgawET5LgOEl0Sj1AFO5XozcXOkeOmblFwQuaTkOiSaNR3D4PWJtHb41nKQa8OBlsGVf93fB4MZtywrVW4cuAGeb6O66shLB0kJoNvsg1ezyFdNIQxrktctH8txRuczarl2+qHEV1hTPoER99JVxjTREUyEWFejLz+kGswck0cL0nbLmDgGopc4SYITkeTGNNG5Nr2pmKSaR1lHRvjP5jMLYzT60O2jVtsEkubFg3l7g/jkiErI70/LApt6ucHfGuRpZHaH6Yu+8Ostz3f4VuNrI9d6GuA2Rk6MA75GMhCt0l/mNq5GghHfxiXQhEp0M8ReHZ3ZdiawSO+wchaiB6kIPJOicw7Yz4VsnDSWsPsOecu31Jk+aS0hqnL1jDri3rMt5hSUllPzGrU5841JRtBujVM7VwNgKM1jEuALKzk1jC1uzJqzdgpz1iw9nym3/jzi4t+HJ0HMM6e9U/CIOqfh2kanpwFp6fFsohZh9SOSQbusNraGpbSMLF8psG3A4syADeB3BQFIUzsYQfma3f+LVdC6q/Vg+4H8zf1sPt+73vNtx5Xn87/c/Wg+kqPFfVYHpaT3q9+8f36PkBoYWruBnz25OW/6t16+eQ/1LcErm4ORP8Hm+98Acs189frBRgY9df3sHxR7xrrzX9Wf/mRKRL7opFQ+EjgR+AmjANRDMKEaYfjckEgmQUjc9K6JUricclIkII6bY2JRhZmgyCyTQcIwnhbN4qTZGDuXbstC0goMF2MbFfj27RZabBeuX0oC05IhOhBGT6qY1k46kuIgWtbO2qPaCkH7ffsgNA4OtWS1nUBZJhF63jbXytiGoycC8NK0m2tFTHpExx9J2tFTBMVyUSEeRF2rYhpMHJ+rENNyjQUOeVF0Zr2tSKmjcjJrk1VJNM6ysQWxn9ZWgwy4+M4ZNu4xbWivJmzzdxrRVwyZGnseK2Iay2yNFLXirLLtSLrhc53+FYj62MXihpgdoYOjEM+BrLQbbJWlO1cDYRjrYhLoYgU6OcIPLu7MmzN4BHfYGQtRA9LEHmnROadMZ8KWTg7XCviWoosn5S1ouxyrcj6oh7zLaaUVNYTsxrluXNNyUaQXivKdq4GwLFWxCVAFlbyWlG2uzJqzdgpz9hru1akX2bbYpHrNloDJxbQ/2KRIAhhLg87Mseu3XwXF4sEI6HwkcAPwU0YB6IYhDnSDgfmgkCeF4sESTwuFglSUOepMdEoknSQ2i6alYS5HotFkoCEAtPF0HY1wG3uq4+s99UfyoITEiF6VIaP6lgWjvoSYuDaFovaI1rKQa82Gi3JQdh63GgU2jRu4eANimCd19fqkaWD6ybbYOTsGFajWo6evrpU1Jw4DUtE9+sd+J/Xv/tmcTgT/OW1feC1cDWB77PBExx4JwtHTBMVyUSEea1HTzMNRU6SdahLmYYi570oetO+YMS0ETnjtamSZFpHmd3C+C/OBrlNHzJN3N56URzs6U8hfIrgU9xM47puBb/NB0XWRvryUZLF9uUjrrXI2khdPioul4+sV2vf4VuNLJBdaGyA2Rk6MA75GMhyt8nyUbFzNRCO5SMuhSJSoJ8j8OzuyrA1g0d8g5GVET1QQaShEtJQCWmohDRUItPQmA+JrKq01SR7CrrLtxRZWymrScXlapL1vT3mW0ypt6wHaDUMdKeeko0gvZpU7FwNgGM1iUuArLPk1aRid2XUmrFTnrFg7eksS0+zi6B/nkdhP4nCuH8SnKr+eXJenAZ5HuYXSx7rGNsx68AeZ9tWk+KAxokFNI3GHVyUEbkJ5KYoCGGyDztSbw5afjx/uzkl76vFcW0/WvZy/r4ekP+t/vip/nit7geFQfryp7+Fof1H1a+r9/t6fP5J9V71YfWP+vPvqk9MDtoXdZDCOwg/XL48v265wHV1TqKZ6Kg+1b8+rD7vVb/Q/vlSf3wFy2XvVR+HQe/y7OiFf+/PX4dvfhz0qk96kXIcUifpLsIcKmHQbkF5ThRFZBkpGBjX+G+JkvhbRpKkWBcsDgrsJEGRDpIsMaEMRVG8LSKF6aBITXy3ZfkIZaWL8W0zyo2be+Fj673wh7LghPyHHpqhgzqWZaO+gBi2liUkREBLOehFD1USZSrLwn4cneXXpocqtJ0nHYdUZ+AA/ateQRBCeiKp3suWJusaVHNs9H1Yx4Ijh3vlrSgMoyA4BnEc35z0UrhcpFB1I5XluhCTy/ZFXabwLiPo4DWvOZfv7u/1fjB7+eSFk97hycsnf/M3z+tBAujkXvWBFr9v1FIZ9PGzz6ZB1PgzvTnZaxyqP5aXseCdeiDqVEK1wKtl+5HOkigiajkc5EZ1dksUxaNcFqSgVmtEOCIVD1RunFYairL408t6RGA721kUkFCROhXMzV3wsfUu+ENZcEIK5Atma1THsnDUdxAD16aY2yNaykHXijlSahadzlS/ODuFy1pU1M+T86ifFHESRnl4lhfLFOtXMccmZ2jFHFGdgQP0r5gFQQj5CauY/wlUWz3/W58F8D+0GP6yln5a7PWqjw/i+Eeg4MK4t5R39+vpYqO22ReFV3h4vPbt7c9enr3y/Ku9fU3aC5LlhK72Qj3rWze5XVGn9140kR+IkhOyM16gOqZzBVFEBGowCGwCVRDFo0AVpKAWR0Q41ECFxiw/FCXxJk+TbJAYn7fbsnyE7N+pOo0aLWO90vpQFpyQ/9jq1BrUsSwb9f3DsLWJ0/aAlnLQtThNL/IgvTgP+hdRcNFPztKin58XRf9sNkuCNL44CZJlpfArTo1PgBanMdUZOED/4lQQhJCesOL0l1p0vVnfB9ccVgV/rB7WE4ev1ftPlxf7wXTub2BNvvqk+nX1gf74cNnncGfcV2Gves/kkH1Rhyi8Q/CC1YRxIIpByL6dqE9BFCn1CY2rT7PcEmXxKD8FKajlDxGPaBCkxvaOoSiJN/mZ54PcNjkqyUfI753Kz+Yu49hxN7UoOCEBsuWnNahjWTbq+4dha5Of7QEt5aA9n15q6w9IHHhhFq/jbX3/Kdfg9aTxndt/ygVPcOBd7D/lmqhIJiLMa9t/yjUUucuGoD5b9p9yDUXulMFrS8f+U66NyD0ym2pGpnWU/TAI/0WxpXdhyLZwi9tPFWw6TeFTBp+aUwTjxLn9lA2KLI3dbj9lW4ssjcTtp3Gy2n4aWy/qvcO3GlkfuxDUALMzdGAc8jESIgZ9H5i2/Wog7NtP2RSKSIF+jsCzuyvD1gwe8Q1GFkb0qASRhkpIQyWkoRLSUIlMQ2M+JLKodrf9lG0psrQStp+u0s9dx3t7zLeYUm5ZD9Bq0OdOPSUbQXj76SrtNAGwbz9lEyDrLHX7qX52VkatGTvlGXt9V24i6/ZTRePEAvpfuREEIczsYQfqHlZuBB2i8A7Bj45NGAeiGISJS8LY2b5yI4jifeVGkMXjyo0gBXXmGBWPWOUmkqEoybVYuZHkI+T3Lgaaq+Gmaib6HZeri4ITEiB6jIQO6liWjfr+YdjaVm7aA1rKQV/jrvbIug80pToDB+hffgqCENITVn523NUuCK/w8BtLTUEMQqbtRGoKokhJzcSEcksUxaPSFKSgVjpUOApljMdQlMSb0nS1qEvyEVJ5p0qzuRA3dlxxLApOyH9spelqUZdko75/GLY2pdke0FIOulaaSRCdn1yczvphqn8sUcF5/3SWnPfTMA+S2UV8HhdLZelXacYmZ2ilmVGdgQP0rzQFQQjpCas03WdnPJy/rX9/eWXS1aM0rpxAspz0tJyKsfhmeSsNgzgIjhd/DOFEjfpYjTCEMzVMDt0XdajCOxSvXmnnkTx1HMn79eVV8C/Ut1xrpxWh9llwtNeLa1/Bp3x1BsnSwXs9ONrviUHD5cbQXhz36pFCbZJzrHAg6m1CkcGLbMdBJYIoIiLbcVCJIIpHkS1IQS3yiHAk8SBPUxPKUBTFn8pWMI4wAd6WBSTUsU5ldtaoMscNyKLghAzIl9nWqI5l4aivIAauTWe3R7SUg77G51lH1q2gOdUZOED/OlsQhJCfSDrb73nWgg5SeAcRdPN2z7MWdBch7eOFr2N2WRBFRPjaz7MWJPGoewUpqEUXEY0wHaS5rY9BEMWb7nWdZy3JRygrncre5gbN2HEnqig4If+xZa/rPGtJNuoLiGFrU73tAS3loD3vQLXNFxdOvGQdb/s7UJkGryeN794OVCZ4ggPvZAcq00RFMhFhXrTagToAsf+bvvFhOmAbvJ6I5XeiMg1dl5miO1GZNq4LSKGdqEzrKFtjEP6LoL4au8SGbBO3txU1gZtQE7gJNYGbUJPmCsLYfRMqGxRZIzveisq1FlkjqVtRL29CjR03obKtRhbKLpQ1wOwMHRiHfAxk2dtkK+rlTahxy02obApFpEA/R+DZ3ZVhawaP+AYjKyN6eIJIQyWkoRLSUAlpqESmoTEfEllVO9yKyrUUWVspW1Evb0K1v7fHfIsp9Zb1AK1Gf+7UU7IRpLeiXt6E6k47Ez4Bss6St6LCTajmlDPlGVuLcdS+AeCxjrUdkw3s8bZtK2riuiDLwIkF9L5yJAlCmOLDjtjlt6JKOkThHYIfJpswDkQxCDOYhMGzdQVHEkVoBce6FVWSxd8ajiTFunRwUGCH6/Egsm0QkCTxtoTj2IoqykfI710MNJvhZtLcYJk4riQVBSckQPQYCR3UsSwb9f3DsLUs4SACWspBX+OtqLFtK2oSUp2BA/QvPwVBCOkJKz+73YoqCa/w8Hipae2qR123tAft/B8E1luXJN1ByNidSFZBFCnJalRIt0RRPCpWQQpqxUSEIx+kmbELbChK4k2xOra0ivIRSkKnirW5QTJx3AkqCk7If2zF6tjSKspGff8wbG2KtT2gpRx0rVhx14f6V6yWFqUkojoDB+hfsQqCENITVrGubb+0tjEtJkyf2MLaK29FYdhc+h7fnDR3vsNmS8p97/uiLlN4lxF07vtmN+09tT/1I+ge61UfLOX+w7r9/tln0yBqPJfenOw1rtMfq62qWPcdiLqPUBfwuti+C1USRUQX23ehSqJ41MWCFNS6jAhHXBSD5jqZp5WxIIs3ZWy/WP22LCCh9nQqjZv7KxPHhaSi4IQUyJbG9qiOZeGo7yAGrk0bt0e0lIO+xttQY9s21CSmOgMH6F8bC4IQ8hNJG3vdhirpIIV3EEkJ+9mGap0UFvQYIfPjxa9jUlgQRUT8WneiSpJ41L6CFNS6i4hGqGAwYiwhQ1EWf9rXvhVVlI9QWjqVvs3dmYnjMlRRcEIC5Etf+1ZUUTbqG4hha1O+7QEt5aD1//6iVnzL1xUU7Q9dErfjvak2cZs4eIMiWuf1tDc1Cmx7U7kGr2cRmb2pj7Wy0lqqXoV/d/GFR9CKUO857YGuenKNvt6b+hB6ZFd/S6u5r2Gi9x+qj5Yil7y/9QttSrAXVV9H8A/YZvv22Z5McJ7sYrMr10RFMhFh3pXNru9Xv+sbX6cDtsHILT0Enfu1sTfpObaFyP04ePnq2OXKtRG5E2dTYcq0jrLrBuG/SA1yY44csi3c4iZXuG81gftWE7hvNWkuOkzc962yQZHFlr7JNUyVsu5yZZuLrLbEXa7J5YWriePCVbbVyJLbhWgHmJ2hA+OQj5EQMejbzZLLC1eTlgtX2RSKSIF+jsCzuyvD1gwe8Q1GlkT0yAeRh0rIQyXkoRLyUInMQ2M+JLKq0na5OnLQXb6pyOJK2OaaXN64an9xj/kWUwou6wlajSzduadkIwhvc00ub1x1550JnwBZaanbXBO4cdWcc6Y8Y2tri5PTIgjivjpN4n5SnGT9/PQE2rzSNMoDlZxnswWPddjumMhgD92t21wVjRMLaBrgO7gog3wTyE1REML0IXbwv1p1+XZ9iUpoXUrQPQrvHvxw2du6lMFdB6LuIszJEgbr9kUpQRSRRSnbkpQgh8clKUEK6oQ4IhZhHgxS2z4FQZRrsSIlyUcoKV0MbldD3OZO0MRxyasoOCH7ocdl6KCOZdmoLyCGrW1Fqj2gpRz0Nd5Zm1h31qZkZ6AA/SteQRBCesIq3o531grCKzw8Xs+aMA5EMQiZthOdKYgiojODQaRMKLdEUTxKTUEKaqVDhCMdJCo2kQxFSbwpTdeOWEk+QirvVGk2d4ImjkteRcEJ+Y+tNF07YiXZqO8fhq1NabYHtJSDvsZHCCbWHbEZ1Rk4QP9KUxCEkJ6wStPDEYKCDlF4h2ysPgUxCNm3E/UpiCKkPq0nCAqieFSfghTU6ocIRzzIM+OEwVCUxJv6dJ0gKMlHSO+dqs/mpszEcfepKDgh/7HVp+sEQUk26vuHYWtTn+0BLeWga/UZhmfBWXQS9U9Oi/N+ch6f9ItilvSDIA1PgvM8UadLVeZXfSYmZ2j1mVOdgQP0rz4FQQjpCas+L08WeTh/W//+dVixBqH5RNN9c8rIC4tTRprNqL+oHuufgeb7+s8qzPPFN94HyQqr4fDN+l98XH27+KEIDh6JzK1a+6K+U3jf4YWq7WCWp85leb/eFwFH38BPPO6Vt4owDoLgaK8Xg0vqTzkcxmLyzIGoZwi5n6B9re34giQi0jccBMYl5VuiKB6lryAFtfQiwhFlgzQ0BmQoiuJN+4ZRnlrm+m/LEhLKS6fqt7kxM3FcgSoKTsiAbPXrCOtYlo76EmLo2vRve0hLOWjPl6AaY6oVbeHACzO1jrf9jaZMg9fTxr9sNOV6MsF5spONpkwTFclEhHkxdqMp0+D13C640ZRp4bpqFd1oyrRxXY4KbTRlWkfZ94LwX6LzpU1hMi3c3kZTBbepKrhNVcFtqqq5xjBx36bKBkUW2643mnLNRVZb6kbTy+tUE8d1qmyrkSW3C5UOMDtDB8YhHwNZ7zbZaHp5nWrScp0qm0IRKdDPEXh2d2XYmsEjvsHIkoge6iDyUAl5qIQ8VEIeKpF5aMyHRFbVLjeack1FFlfKRtPL+1TtL+4x32JKwWU9QauBpDv3lGwE6Y2ml/epuvPOhE+ArLTkjaZwn6o550x5xoK1J2kUnATxRT+7OIGlqzDsn1xczPqJOo8uTmbBmbo4XfBYh+2OeQv20N220VS5b/d6ihML6H05ShKEMF+IHfxvsBz1MdwrUP9w/edeeStUSXa0/FOz8NSzrbHsi7pK4V2FHzpvsspkO99U0gmEadYOhuOSJJ4XmiRR/C00SVKsCxIHBXoWoBikYWpCGYqi+FtoivNkUCgT4W1ZQkLh6GII2wxkVXOvp3Jc1CoKTsiA6NEXIaxjWTrqS4iha1loQoS0lIO+xm3+yrahVIVUZ+AA/StbQRBCgsIqW/k2f0mHKLxD8PrVhHEgikHIvwQFam3zl0QRkaD2Nn9JFI8SVJCCWv0Q4Uh1HbcpUEESbwrU0eYvykdI753qz+aWTuW4dlUUnJD/2PrT0eYvykZ9/zBsbeqzPaClHPQ1Ps5E2TaZqojqDBygf/UpCEJIT1j12e1xJpLwCg+/sdIUxCBk2k6UpiCKkNK0HWciieJRaQpSUCsdIhxhOFCFMWcPRVG8SU3HeSaifIRc3qnUbC69VI5rTEXBCQmQLTUd55mIslFfQAxbm9RsD2gpB32Nz4pWth2ly+OZKM5AAfqXmoIghPSElZq+z4qWdI/CuwcvRrd7VrSkuwg5vxPRK4giInpty/uCHB4VryAFteAiYhFHiZa8JpShKIo3xes4K1qUj1BSOlW8zWWXynF7qSg4IfuxFa/jrGhRNuoLiGFrU7ztAS3loOH20r2F0PN5aakxtlrLJg7MoIjXMf3tJTV2GdxkG7yePP757iV9PH8DtZeU68kE58ku9pJyTVQkExHmPXVpqbG7+4BtMHLjDEHbWptXmRYid73gJatjLynXRuR2l03lKNM6ytYWhP/iWA3yxGTikG3iFjeTwq2lCm4tVXBrqWpuC1TuW0vZoMhqS99MGmW5fTMp21xkuSVuJlWXt5Yqx62lbKuRNbcLsQ4wO0MHxiEfIyFi0Dd1qctbS1XLraVsCkWkQD9H4NndlWFrBo/4BiNrInrEg8hDJeShEvJQCXmoROahMR8SWVZpm0kdOegu31RkdSVsJlWXt5baX9xjvsWUist6glYjSnfuKdkIwptJ1eWtpe68M+ETICstdTOpgltLzTlnyjMWrD0tztVJEuf96CQs+kmaX/RPFYzh0yQ/Pw/PzyO1haan1LqZVNE4sYCmEb6DizLKN4HcFAUhTBtiR/8frS9ALdZKHlR/XPbTCyxGCXpI4T2EHzJveTFK0F2E6VjCgN2+GCWIIrIYFZrn7m6JknhcjhKkoM6GI6KRB+kgsG43FWS5FutRknyEwtLFEHc10G2uulSOu0tFwQkJED06Qwd1LMtGfQMxbG3rUe0BLeWga90bn5wV+SxO++rsXPWTk7OsX4Rh2s+L7Cw8OwtPz9OTe1vQvcZConVvSnUGDtC/7hUEIaQnrO7d6BCVRsnpvwU7U9/QqvCd5kyV8lYaJnkQHMOftBS+v1g6a7at1l99v74V4HGtKj+r/9P3QVZ+sfzy59X9xb+VBsEOfITGQdO+qM8V3uckJW1c/dt76piWj8ATveqD5VaLh7WWfvbZNIj0/4/3wDXzt+pPBZzVsvdELKrH/Uu1bXLcgajjCCWFoKmti2CCJJ4ltSCJR0ktSEEt6IhoJEE8CILcxDIUZfEnqfOgsOzYvi1LSKhanYrq5lZP5bimVRSckAH5otoe1rEsHfUtxNC1yer2kJZy0LWsPouKOIrC0/55EZ/1kyRK+nkUBP1ZeFoUp1mYZrPl8+5XVscmZ2hZnVGdgQP0L6sFQQgJCiurkXtog2Q5Iaq/X8+a1p1nbbptX9QbCu8NvOA1YRyIYhCSL0F+2qd0BVFE9KdjU60gikcBKkhBLX2IcOSxZXJsKEriTX4m+nkzbmm5LctHyO2dis/mUk/luKVVFJyQ/9ji0xrUsSwb9f3DsLVJz/aAlnLQ1/jwwNS6pzanOgMH6F96CoIQ0hNWeno4PFDQIQrvkI3VpyAGIft2oj4FUYTUp/XwQEEUj+pTkIJa/RDhUMEgzmzyUxDFm/x0nR4oyUfI753Kz+ZOTeW4JlUUnJAA2fLTdXqgJBv1BcSwtcnP9oCWctCeL0k1Dim0oCwceGGWruNtf2Mr0+D1pPEvG1u5nkxwnuxkYyvTREUyEWHeU5ek2ja2Mg1ez+yCG1uZFq4rVtGNrUwb16Wo0MZWpnWUbTYI/ykVDoxJfci2cHv7WlO4JDWFS1JTuCQ1bS4nVO5LUtmgyGLb9b5WrrnIakvd13p5SapyXJLKthpZcrvQ6ACzM3RgHPIxkPVuk32tl5ekqpZLUtkUikiBfo7As7srw9YMHvENRpZE9EAHkYdKyEMl5KES8lCJzENjPiSyqna5r5VrKrK4Uva1Xl6San9xj/kWUwou6wlaDSTduadkI0jva728JNWddyZ8AmSlJe9rhUtSzTlnyjP2+q4GZbZ9ran7Xq2nOLGA3leDJEEIs4XYwb/8apCkQxTeIfgBsgnjQBSDMBlKGDZbV4MkUTyvBkmi+FsNkqRYVw4OCuxwPY8GmTIGZCiKch1Wg0T5CPm9i5FmM95Mm4svU8ddpqLghASIHiShgzqWZaO+gBi2ltUgREBLOehr3Aef2baXpiHVGThA//JTEISQnrDyU7gPXtIbCu+NjbWnIAYh9XaiPQVRhLSnrQ9eEsWj9hSkoJY+RDjCOBsU5ogMRVm8iU9HJ7woHyG7dyo+m3svU8dFpqLghAzIFp+OTnhRNuobiGFrE5/tAS3loK/x2SaZbRNmGlGdgQP0Lz4FQQjpCSs+/1mcbSLpc4X3OV7iXpezTSQdRygpBFFt64OSJBHR1NazTSRJPEpqQQpqQUdEI02jQZCYUIaiKN4UtfNoE1FCQtHqVFM3F3ymjhtbRcEJCZCtqZ1Hm4jSUV9CDF2bqm4PaSkHfY1Pys5s+0vTmOoMHKB/VS0IQkhQWFW9hZOyJT2k8B4iaeAtnpQt6S5C4icoX/t0siCKZ+krSOJR+gpSUKsuJhpwc6vtWD9JFn/a135StigfobB0qnybiz5Tx82touCEBMhXvvaTskXZqG8ghq1N97YHtJSDhptbF+J3qfisyvaV2dmrz7/0osETDGFra1JIHJhBkaxj2ja42m2liNVmj6vR2JtsY9efMYdjkYJUyymttbS2NBmqxWPyzJBt7VN5zm7uZmluubdM7R1GsK0sSeK9QxUqW4bj4iR0HHyvPjAcAcMRMBwBw5GN4YjPoOgM+G59jTAChBEgjABhZEMY8RHwLwE/zy53Cam9ElBKQCltKCUb5altHy0otKdpAvZPwP4J2D+x2T/h249P9MR9H9r8KZg/BfOnYP7UZv6UZ379KN3zWbesuzuU0/ynrlb3VLnM5t5km4t/bbG163/Wa2VwNMJneqT/oFcvl30K5yLM31lOlHxbT5/AVMBb8IN1Z9zDXv2LrnomQF3zFNQ8JqXvmgdXBKeF/pTF8CnXn3LYXp3DBcI5/LGAjdYF/LHQPxcFEXxK4RP8MYQ/hlA5Q/3DURTCJ/huDL+L4XcJ/C6B36kAPiXwKbcVV67ffBTXdO8InHUEzjoCZx2Bs47AWUfgrCNw1hE46wicdQTOOgJnHYGzjsBZR+CsI3DWETjrCJx1BM46AmcdgbOOwFlH4KwjcNaRzVlHfGcpurNIuXcEvhqBr0bgqxH4agS+GoGvRuCrEfhqBL4aga9G4KsR+GoEvhqBr0bgqxH4agS+GoGvRuCrEfhqBL4aga9G4KsR+Gpk89WI7yt83tlYLsA9udpnJfisBJ+V4LMSfFaCz0rwWQk+K8FnJfisBJ+V4LMSfFaCz0rwWQk+K8FnJfisBJ+V4LMSfFaCz0rwWWnzWcn2mbguSfcm4KgJOGoCjpqAoybgqAk4agKOmoCjJuCoCThqAo6agKMm4KgJOGoCjpqAoybgqAk4agKOmoCjJuCoCThqAo6a2Bw14TsKrxhYAijdm4KfpuCnKfhpCn6agp+m4Kcp+GkKfpqCn6bgpyn4aQp+moKfpuCnKfhpCn6agp+m4Kcp+GkKfpqCn6bgpyn4aWrz05TnpyeUFvzyQ5fi6u4wrAg+myi04EqdFJk12jhjmWrLZu9Ntr3rUmTDo7B+2yxVLXbC/gzOwqo+g6WWx9W3WmG9W/0BRNXiRKxP61ajx4t1q/lbcPxV9UW9nfZz/QNvmZXZg7plbKHN9uBHFpsaPl+2fX0Bx271vgftX9WX+ver/8YerIj9svqo/juwVvYAVoxgLeh9bfUn1a+q9xsDBt9v/gsA81j/x6H3rN4wUX1tcv8+2/3rikbw/CyuiYpkIsK8CI7P6vV7Ya7TTBpWXw+qbwd7vRi+PNBfj4JE7UVq8fV791404Rywcdanlzc/XQue0s8HPfOj8RzbUORxIJSVM+shW1wbkeeAbLomxrRuXdVteMhWnGfhIDcuGwzZNm7xmK0MhoX58lCbNHUersXGQxZvxuFaufVoLbaxyOJNPForTVdHa6XWa5Xu8K1GlvDNphJW64PpztCBccjHQJZCxsi+OeJG2341EPajtdgUikiBfo7As7srw54e+nINRtZD9FIrIveUkHtKZO4Z89GQFZR4oJYt79zlG4oso4TjtFY5567jZT3mW0wpraynZrV87c43JRtB+DitVa5pAmA/TotNgKytxFkFeHZWRj09uucYC9aeqdl5EeRF/3SmVD85neX9/Pw07gcXUZ6eROenpydqwWMd+L9wYu+tZA7+rcP/jIaJ5TNNETiwKNMEJpCboiCEFiXs/MH/gsF5vf/owfI0LZgLqL6tJxA+gx1ezQayT+sBPGz5WvzZ2hK72BbmaInVQ8/A1iC5L+pAhXcgfnhtwjgQxViXEA4MwrDa3rIqiCLSshqY963eEiXx2LIqSEFtmENEIwzTcKCUrWdVEMZfz2o0yGzHb0nyEQpCF6PR1Zi0uTouddwFKApOyIDogRQ6qGNZNuoriGFzBnSMCWgpB13L1dnJLD4/LcJ+WiRn/SSG0xLi7LSvzk6jEz10TYJsds+/XLU1tuZUX+D4/MtVQRBCdsLK1d/UfbFvgEy9rzUnnIPw2vzN+d/P/65Wnd9rDt36dv6uFqJazn6/Po0rVAHstze5YF/UBQrvgo0FpyAGId0SBGfbOo4gkIjstAxub4mSeJSdghTUmoeIRhKpYhAktuUjQRhvsjOzzIzelsUj5PVOVWdzY1zquAJQFJyQBtmq0xbTsSwa9QXEoLWJzvZ4lnLQ9UapvZXagmfaYxOUTVYWTtpindZTE1Rknk+5ybYXuYKKVYX/a/4GXONXn7r05vJk1qZlCX7z5vyt6iGIRZCHX8O5WVoeLv7Y0998vb5c7pvlfQL1nX5fg5ys//BZfXHgt3XP0xf1jGh91CtMhsLpWIsfr4+FunIrwePmZK36K4/mfzdY3A0YpnsK/vmv64OzelHYcwhTpncTnHc76XFimqhIJiLMi1Z3BJoMPWAbilytJahe65lYTAuRi64UGWtvW2LaiFxv3VSgMq2jrK0i/Gf03ZBt3fYaljK4FzCDjStZ1HQOuK8EZDMiqy29aymPUnvbEtdaZLmlti1d3giYOm4EZFuNLLpdSHaA2Rk6MA75GMjqtknb0uWNgGnLjYBsCkWkQD9H4NndlWFrBo/4BiMLIXrcg8hAJWSgEjJQicxAYz4fsozSepfs2ecu31JkMaU0L13eBWh/ZY/5FlMKLOvZWQ0p3VmnZCNINy9d3gXozjgTPgGyxJKbl+AuQHO2mfKMBWtPA1WEQT7rp+nZrJ+cqLRfZKnqnxVRMkvOgtP8dPnCWgfsjhkM7qDd1ryUuS6mMWBi+UxDewcWZXhvArkpCkKYNdxk3G9rX5JqV5J0mcK7DD9SRnmtPtKvnuu4v5jrWJ7yB1+av6Ed4jisT9IjhBlYwpDc2vkkiSKzBGXiuCXK4W8BSpJiXaI4KDacB5Ck8LjyZL7+97YsHqGGdDGMbQazWXM7Xea4blAUnJD30CMwbEzHsmjUNw+D1rLyhIhnKQddC9w8zaOz7Dzrn8ZZ0E/S2UW/OEtO+3ERB8VFcXISz5aJ1avAtaxLZSHVFzg+/wJXEISQnLAC9+m7rqtfVL/S8vS31Yf9eh/9h7VWfb/6pO5zMkHvi0IrPDReopowDkQxCPm1E10piCKiK+13CkqieJSWghTUAocJh4liKErhTVqGQWBtaxIFJOTvTsVlc/tc5rhOUBSckPzY4tIe1bEsHPXtw8C1ycv2iJZy0Iv50/j0JMzDoB+HqZaiYZj3i2B22j+bRcW5OsvjIFtG3au8NLYRaXkZUX2B4/MvLwVBCOkJKy/r6+pgThR6mZZNT/O3F21PcE1HrSmrj6oPjE20+6K4Co+7sbAUxCDkVoKwbOmclwQSkZfhIFAmlFuiKB7lpSAFtcAhwmGTl4IU/uSlGmTGdHZblo+QvjtVl80tbJnjYj1RcEIG5KtLW1DHsmzUdw/D1iYu2wNaykE3XfPJAhzElceueZt8jB20YRCu03rqmk9sF41w7V1PIRt2zf/D/J36cPbPYGV8uRr+EE5sv+yc36TxfbGk/nj+s7Xl5gf1ovvj5bV5hoPg19rmI0eHPNeTCc6TXXTIc01UJBMR5l12yGvhuDr2Zf6LZmL50+UBrvX6v4nlgM2yXgLkmui5FiK7/0iK1tZEz7UR2fe3qVRlWkfp8UP4zyZBmdZtsYk+gf55uOkhg2shsmzZx5rFzk56NiiyAtM76eOosHbSs61FlmBiJ30WrzrpM+slbHf4ViMLcRc6HmB2hg6MQz4Gsgpu0Emvbb8aCHsnPZtCESnQzxF4dndl2JrBI77ByGqIHgwh0lAJaaiENFRCGiqRaWjMh0QWVFo7vT0F3eVbiiyrhHb6Vfq563hvj/kWU0ot6wFajTXdqadkIwi306/SThMAezs9mwBZZ6nt9PrZWRm1ZuyUZyxYexrmJ2lanPWVOi36yUl82i9OZ2f9PIlnF7MiDi7iswWPdSTvmNrgjuat7fQJDRPLZxrzO7Ao434TyE1RkHUN4ooPckLg+p0FKulAhXcgfpC98OHyThazD42t9VcG30/6N3J22gu6hzBtSxi32zuiBFGElqxyE8ktURKPK1aCFNRZc0Q0bNMFghT+Vqyigfnw1NuyfIQK08VIdzXeTZoFjsQx5pUEJ6Q+9CANHdSxLBv13cOwta1YtQe0lIOu9W96cpKfxvrHsjRO+klwUfRP1Jn+FETh2SxWF1kzjeBV/xonsbX+VVRf4Pj8619BEEJ2wurf38OldnABXfVV3QxVPZq/C3cZ161QC6V75/+Oq6/r30Zq/lakXGtTgvAKD4/XriaMA1EMQqLFa0xYcDShPCeKIqIxrefYS5J41JiCFNQ6h4mGiWIoSuFNY2bxILT13EvyEbJ4pxpTNZJEOTSmJDgh9bE1pjWoY1k26ruHYWvTmO0BLeWga415USg1i8/ifqjy034YwmH3wXnRDwIVqDTPw0ItxZdXjWmsIFpjplRf4Pj8a0xBEEJ2wmpM0wH269OlH189wr7nPL1ekl/h+TeWmYIYhFyLl5mtPfiCQCJi03Z0iCCHR6kpSEEtd4hY2KSmIIU/qWnf3SmJR8jlnSrNtBEmjit8RcEJ2Y+vNO17OyXRqG8eBq1NaLbHs5SDXkxmXuRBenEe9C+i4KKfnKVFPz8viv7ZbJYEaXxxEiT+z8aLB4nJF1poZlRf4Pj8C01BEEJywgrNp48OgT/Wjf7QcP96Pb3588XkZk/L0vfqlflfVx/ojw+b2c5xX4W96j2TQ/ZFHaLwDtlYeQpiEHIvQXnaF9EFUUQ0ZzCA8fPTKLdEUTzKTkEKavHDhMNEMRSl8CY783yQ23SnJB8htXeqO5sbHTPHFZ2i4ITcx9ad1qCOZdmo7x6GrU14tge0lIMG5ekSlN3u87RJydxFlz11F9TW93ky7V1PGf+yz5PryQTnyU72eTJNVCQTEea17POsj3uBbt2fLaabTTQHbJr1pC+405Np4bqOFd3pybQRuSVlU3HKtI6y/QThP5voZFq3xZ2exd5hmAfNxqrcvb+Ti4esvB3v7+Raiyy91P2d+eX+TuvdkXf4ViMLcBd6HWB2hg6MQz4Gsvptsr8z37kaCMf+Ti6FIlKgnyPw7O7KsDWDR3yDkTUQPehBJJ8Skk+JTD5jPhqyeHa4q5NrKbKEUnZ15pe7Oq1v6zHfYkpZZT02q5GkO+GUbATpXZ35ztUAOHZ1cgmQ1ZW8qzPfXRm1ZuyUZ+y1XQhKrLs6Cxomls//QpAgCGG2EDv897AQJOgQhXcIfohswjgQxSBMhhLGxvaFIEEU3wtBgigeF4IEKaiT0ZhwmCiGohTXYiFIko+Q2rsYWK6Gl0WzbuC4jFcUnJD70GMidFDHsmzUdw/D1rYQ1B7QUg76+h4nYlmGuREuHwyCL3B83oWnJAghO2GF5/U7TkTSgQrvQLxQZR4nsr7G4z5FRNIrhNzfhe6VRBHRvdZTRCRJ/MleSQpq6UVEwyJ7JSm8yV7HKSKifITC0qXszZsrHnPHlZ2i4ITUx5a9jlNERNmo7x6GrUX2IgJaykE3594vU6e65/Xce2Wi1cLWdYVUGMTrtJ76oXKzvTfZ9q6nkA37oT7S0ukLOOrjyWs1zS1KWl6+X/1i2anUtEtddj091fP0VfVg8e3I3svE9UKC80IXvUxcExXJRIR5T/cyXdHC87frnbLfNFp4YMI5YOMgF3IJwtXWzMS1ELkeS9Gj1mYmro3IldhNlSbTOsqqK8J/eRjl5vbVIdvE7XU05RF0NMXwKVl2FuShs62JzYgsoPS2JhXk1rYmtrXICkpsa8rDVVtTbr058g7famQd7UKGA8zO0IFxyMdAFsIN2pq07VcDYW9rYlMoIgX6OQLP7q4MWzN4xDcYWQ3RYxlEBiohA5WQgUpkBhrz+ZC1lNbbZM8+d/mWIisqobdplXnuOl7ZY77FlCrLenZWo0R31inZCMK9TauM0wTA3tvEJkCWWGpvk352VkatGTvlGQvW4sblwGMdgzsmJbjjcFtvUx7RMLF8ptG6A4syYjeB3BQFIcwEYofy13CJSdCBCu9A/BDbhHEgikGYGCUMre1rQoIonteEBEk8rgkJUlDnpTHRSNJY53/jxM1QFMbn0lBm6YgS5SMUhC7GpKuRaXODbu64ElkUnJAB0cMpdFDHsmzUVxDD1rY01B7QUg76+h4wr6wdUTHVFzg+/3JVEISQnbBytdsD5iXhFR5+Y6kpiEFItHipaT9gXhJFRGpaD5iXJPEoNQUpqHUOEY0oifOBsilNQRZvStNxzLwoHyGXd6o040aYOK7vFQUnJEC20nQcMy/KRn0DMWxtSrM9oKUc9PXd9Klsx8znCdkXKD7/SlMQhJCdsEpTftOnpEMU3iEbq09BDELyxatPx0SnIIqQ+rRt+pRE8Sg/BSmoxQ8RjjAKi0GUmliGoize5Kdj66coHyHBdyo/m4sXc8dNmqLghAzIlp+OrZ+ibNQ3EMPWJj/bA1rKQfs9A9SYh7SgVC66LF+n23rPO9Pe9ZTxHe95Z3ohwXmhk553pomKZCLCvLae9/W9nTquj+CXz+bv1G0PX9Uf9+veeAjfZ0+exArx/6Juhfiqemhrl2d6AtkgSJC61nZ5poXIFj+8gnW1yzNtRDb3bSpNmdZRGvkQ/nO2yzNN3GK7fAqd8lnTp6rcnfJcPGTZ7bhTnmstsu5SO+XVZae89cLHO3yrkdW3C7EOMDtDB8YhHwNZPjfplFc7VwPh6JTnUigiBfo5As/urgxbM3jENxhZCNEjHkTyKSH5lMjkM+ajIStoh03yXEuRdZTSJK8um+Stb+sx32JKbWU9NqthpDvhlGwE6SZ5tXM1AI4meS4BsrqSm+TV7sqoNWOnPGOv7VpQam2ST2mYWD7/a0GCIISpQuzY38NakKBDFN4h+DG2CeNAFIMwE0oYINvXggRRfK8FCaJ4XAsSpKDORCPC4V4LEmS5FmtBknyEBN/F8HI1yGzurc0d9xCLghMyIHpkhA7qWJaN+gZi2NrWgtoDWspB1/JzFp7GcXKW9c/UWah/Non6J4kK+xcnSVSos+zkIl2+zV7lp63pPaP6AsfnX34KghCyE1Z+Pr1H86kljMnB8fGN/VHvT28cPfvn+6Mbk96NO3d64+nxeFQe9Exe2Bf1gsJ7YWPNKYhByLidaE5BFBHNaRyn3hLl8Cg4BSmo5Q4RC+dKkCCKN72ZBpY5ztuyfISM3qnebK6rzR33D4uCE7IfW29agzqWZaO+gBi2Nr3ZHtBSDtpv71FmotMK0n1RU7FOt/XeI6a9yNVPrADcdu8R0wsJzgud9B4xTVQkExHmxd2ct8nEQa6bErSqtYGIaSFy+ZMgQR0NREwbkQufm8pLpnWURU6E/7I4S0wGDtkGbrF9CO4PLgL4FDbL+O5LhNmMyPLZcQ8R11pk/aT2EF1eIpw7LhFmW42sol2IboDZGTowDvkYyDK4SQ/R5SXCecslwmwKRaRAP0fg2d2VYWsGj/gGI2sheuSCyEAlZKASMlCJzEBjPh+yknbYSMS1FFlPKY1ElzcJ21/ZY77FlBrLenZWY0J31inZCNKNRJc3CbszzoRPgCyx5EYiuEnYnG2mPGNr5Y1a9QEe6wjcMQXBHYVbG4kKGiaWz/9KjiAIYd4PO5D30Egk6BCFdwh+wGzCOBDFIExrEgbK9kUdQRSRRR1HI5Egisd1HUEK6rQyIhxhGFgaQoeiKN7WdVx9RJJ8hPzexRBzNdBsbp/NHdcJi4ITEiB6dIQO6liWjfoCYtja1nXaA1rKQV/fwzMzWx9REZB9geLzrj4lQQjZCas+uz08UxJe4eE3VZqSGIREi1ea9sMzJVGElGZsIrklSuJPaEpSUOscIhpRFEbmlD0URfEmNB1nZ4ryEVJ5l0KzaO57LRwX+IqCE/IfW2g6zs4UZaO+gBi2FqGJCGgpB319LxXKbGdnFs67k0y+wPH5F5qCIITshBWa1+9SIUkHKrwDNxarghiEZI0Xq/ZpUUkUEbFqvVRIksSjWBWkoNZKTDTiSFd+m1oVZPGmVh13ConyEepBp2o1bMSN48ZbUXBCAmSrVcedQqJs1DcQw9amVtsDWspB+213N1YGrT8jF10erNNtu92da+96yvhut7tzvZDgvNBFuzvXREUyEWFeW7u7+FGbXE8guwMJStfWKc+1ENnfRxGw1k55ro3Izr5NpSnTOkoXH8J/9k55roHb65QvYmiSby6ELyJnkzwbD1l0u22SZ1uLrLrEJvkiWjXJF9bLFe/wrUbW3i6kOsDsDB0Yh3wMZPHcoEle2341EPYmeTaFIlKgnyPw7O7KsDWDR3yDkWUQPd5BJJ8Skk+JTD5jPhqyfnbXH8+2FFlFCf3xq6Rz1/G2HvMtplRW1mOzGkS6E07JRhDuj18lmyYA9v54NgGyulL74/WzszJqzdgpz9hab6O6mYDHOmR3zFlwh+22/vgipmFi+fwvHAmCECYKsSN/+f54SYcovEPwI2wTxoEoBmEelDA8ti8ECaKILATZ++MlUTyuBAlSUOehEeFw9cdLonhbCHL0x4vyEfJ7F6PL1RizuSG2cFz5KwpOSIDogRE6qGNZNuoLiGFrWwhqD2gpB319z9nMrf3xCdUXOD7/6lMQhJCdsOpT6JxNSS8ovBc2lpyCGISM24nkFEQRkZyWczYlOTzqTUEKarlDxMKxDCQI4k1tOk7ZFOUj5PNO1WZzIWzhuOFXFJyQ+9hq03HKpigb9fXDsLWpzfaAlnLQftuOChOd1o/KSReu02297Yhp73rK+I63HTG9kOC80EnbEdNERTIRYV7bDb9rp2z25j/V3/saoqT/1jeOgze5hMh1VIJ4tbYTMS1ELocSNKmjnYhpI3IhdFO9ybSOsuiJ8F+RR+a+0SHbwi32E8HFvUUGn/JmXd99ey+bEVlSO24q4lqLrKnUpqLL23sLx+29bKuRlbULIQ4wO0MHxiEfA1kaN2kqury9t2i5vZdNoYgU6OcIPLu7MmzN4BHfYGQxRI9mEBmohAxUQgYqkRlozOdDltIOO4u4liILKqWz6PIKX/sre8y3mFJkWc/OapzozjolG0G6s+jyCl93xpnwCZAlltxZBFf4mrPNlGdsLb1R60DAYx2VO6YluCNza2dRSsPE8vlf2xEEIcwFYgf3HjqLBB2i8A7BD6JNGAeiGISpTsJI2b7MI4gisszj6CwSRPG40iNIQZ1qRoQjTLJBYpyGGYqieFvrcXUWSfIR8nsXQ8zVQLO58LVw3OArCk5IgOjRETqoY1k26guIYWtb62kPaCkHfX1P3iysnUUZ2RcoPv/qUxCEkJ2w6rPjkzcF4RUefmOlKYhBSLR4pek4eVMQRUhpxiaSW6IkHoWmIAW1ziGiERXJIE9MKENRFG9C03XypiQfIZV3KjSbm14Lx9W9ouCE/McWmq6TNyXZqC8ghq1NaLYHtJSDroWmCvUfz5O4HxezsJ/Eado/Kc6LfnQ6i8+TMDjTf7rnX2gay4gWms57lEy+wPH5F5qCIITshBWahhb2p1pfTKD7oqAKD7qxqBTEICRVvKh0TF8KooiISuOg85Yoh0dJKUhBrWiIWIRFqgapCWUoiuJNUkaxvU9dko+QtDuVlHmjQBxX1IqCE7IfW1JagzqWZaO+gBi2NknZHtBSDtpvn7p5mKBVYuHEi9bxtt6ozrQX2U6HFXnbblRneiHBeaGTRnWmiYpkIsK8tkb19f2lT6t1gSMzmc5BtvURpK+1x51p4bqqFe1xZ9qIbMnbVK0yraO03yH85+pxZ1q4tR73KAj29KfmWveicLe3c/GQlbjj9nautchKTG1vLy7b2613Kt7hW42sx13od4DZGTowDvkYyIK6SXt7sXM1EI72di6FIlKgnyPw7O7KsDWDR3yDkXUQPQhCJJ8Skk+JTD5jPhqygHbY2c61FFlGKZ3txWVnu/VtPeZbTCmtrMdmNbJ0J5ySjSDd2V7sXA2Ao7OdS4CsruTO9mJ3ZdSasVOesbXgRvUhAY91HO+YyGCP5S2t7dHyHUdzYgF9r/mIghCmD7HTAeKt7aIOUXiH4IfdJowDUQzC7ChhgGxbGxJFEVkbsra2i6J4Wx4SpVhXDg4K7MDc0douiuJtecje2i7LR8jvXQwvl4NMGB7UqwnL35jAD2XBCQkQPTJCB3Usy0Z9ATFs7uUhTEBLOejr23Gk5ae5t10PjqnOwAH6l5+CIIT0hJWf7JYjUVCFB91YVgpiELJqJ7JSEEVEVppbjkQ5PGpKQQpqSUPEwtFyJIriTVPaW45k+QhJu1NNGTYSxH4jryw4IfuxNaW95UiWjfoCYtjaNGV7QEs5aM8tR7ZJysiJF6/jbbnliG0vcokTK/K223LE9kKC80IHLUdsExXJRIR5bVfycs/GZBMi10sJ+tXSN8S2ELnsiZel9r4hto3IBc9NJSfTOsriJsJ/WZRalSTTwi32DcXQN5TAJ7VYv9cQruYhPiOypnbaPMS3FllTac1D2pymeWjpZpPVd/hWIytrF0ocYHaGDoxDPgayNPKbh8D2q4GwNg/xKRSRAv0cgWd3V4atGTziG4wshujhDCIDlZCBSshAJTIDjfl8yFLaWQcR31JkQcV3EF1mnruOV/aYbzGlyLKendVA0Z11SjaCbAfRZcZpAmDtIOITIEsssYMInp2VUWvGTnnG1tIbtdwDPNZhuWNegj00t3YQxTROLKD/JRxBEMJsIHZ076GDSNAhCu8Q/CjahHEgikGY7CQMle1LPYIoIks9jg4iQRSPqz2CFNTJZkQ4Qq3JzB2vQ1EUb6s9rg4iST5Cfu9ijLkaacbN4oD92l1ZcEICRA+P0EEdy7JRX0AMW9tqT3tASzno63s4ppafRpmt5WdCdgYK0L/8FAQhpCes/Oz0dExReIWH31hqCmIQMi1ealpPxxRFEZKasYnkliiJR6UpSEEtdIhoRGE2KMy7yEVRvClN++mYsnyEVN6p0kwaYWK/clcWnJD/2ErTfjqmLBv1BcSwtSnN9oCWctDXuFc9tByPGQWK6gwcoH+lKQhCSE9YpblBr7ogqMKDbqwqBTEIWRWvKh0TmIIoIqrSOOq8JcrhUVMKUlBLGiIWYaJi8zTAUBTFm6Z09apL8hGSdqeaUjUSxH6PrCw4IfuxNaWrV12SjfoCYtjaNGV7QEs5aM+96rb5yNSJl6zjbb1XnWnves74jveqM72Q4LzQSa8600RFMhFhXluv+haOx2Q7B9nZR5C+1jZ3poXI3jy8onW1uTNtRHblbapWmdZROvAQ/nO1uTMt3GKbewYd7nnTX5q6O9y5eMhK3HGHO9daZCWmdrinlx3u1osP7/CtRtbjLvQ7wOwMHRiHfAxkQd2kwz3duRoIR4c7l0IRKdDPEXh2d2XYmsEjvsHIOogeBCGSTwnJp0QmnzEfDVlAO2xu51qKLKOU5vb0srnd+rYe8y2mlFbWY7MaWboTTslGkG5uT3euBsDR3M4lQFZXcnN7ursyas3YKc/YWnCjOpGAxzqOd0xksMfy1ub2jMaJBfS/5iMIQpg+xE4HeGhuF3SIwjsEP+w2YRyIYqyLAgcGYYBsXxsSRBFZG3I0twuieFweEqSgzk4jwuFsbhdE8bY85Gpul+Qj5PcuhperQWbWrCbYL+SVBSckQPTICB3UsSwb9QXEsDkDOsYEtJSDvsYtR5G1ud19lZzBGThA//JTEISQnrDyc4OWI0FQhQfdWFYKYhCyaieyUhBFRFbaWo4EOTxqSkEKaklDxMLZciSI4k1TulqOJPkISbtTTZk3EsR+I68sOCH7sTWlq+VIko36AmLY2jRle0BLOWjPLUexCU+rxMKBFwf2mWOctRT1h2s5YtqLXOLEirxttxwxvZDgvNBJyxHTREUyEWFey4281af6C182h2PaWoSYMMilUYJUtbYIMS1ErnDiFairRYhpI3Jtc1N1ybSOso6J8F8eRvkgMZk4ZJu4vR6hEK7QDcNmmd55hS4fD1k6O+4R4lqLLJ3UHqHiskfIfoUu32pkAe1CcAPMztCBccjHQFbATXqEip2rgXD0CHEpFJEC/RyBZ3dXhq0ZPOIbjCyE6FELIvmUkHxKZPIZ89GQFbTDHiGupcg6SukRKi57hOxX6PItptRW1mOzGgq6E07JRpDuESp2rgbA0SPEJUBWV3KPULG7MmrN2CnP2FpxoxZ0gMc68HbMPLAH37YeoeWJAWhOLKD3RRpJEMJ8H3b8Lt8jJOkQhXcIfpxswjgQxSBMZxJGyNbFHEkUkcUce4+QJIq/9RxJinXl4KDAjszDKCwGkbGpdSjK4m1Bx9EkJMpHSPBdjC+bUWbYXLkaOu7QFQUnZED00Agd1LEsG/UNxLC1LOggAlrKQdf68zTMT9K0OOsrdVr0k5P4tF+czs76eRLPLmZFHFzEZ/e2oD8tTUKh6/I3ozNwgP71pyAIIT1h9efTTULV51p9flvvaK5XIpYis/q03r0MG58Xf/59vT/6b/XHT/XHa4sfrzc815ujYUmp+kir1Pf7tWR9r/qw+kf9+XfVJ3u9OLCpo31RByq8AzfWq4IYhGzdiV4VRBHRq+HAeGjjLVESj3JVkIJaLDHRSNLYdtTIUBTGm14No0Fm06uSfISC0Kleba5zDR3384qCEzIgW69agzqWZaO+ghi2Nr3aHtBSDtpzA1JiwtMKNHLiqXW8bTcgce1dzxnf7QYkrhcSnBe6aEDimqhIJiLMaznzCNWAxIVBrrsS5KqtAYlrIXL5lKJCrQ1IXBuRC6eb6kumdZRFUoT/sjgzpuoh28Atth/BTbxhsuwACN2X8LLxkIWz2/YjtrXIwklsPwovL+ENHZfwsq1Gls8u5DbA7AwdGId8DGT926D9KLy8hDdsuYSXTaGIFOjnCDy7uzJszeAR32BkGUSPWRDJp4TkUyKTz5iPhqyf3bUfsS1FVlFC+1F4ef+u/W095ltMqaysx2Y1EHQnnJKNINx+FF7ev+tONhM+AbK6UtuPQrh/15xopjxja72NWioCHuuw2zHvwB56W9uPYhonFtD/8o8gCGG2Dzt699B+JOgQhXcIfpRswjgQxSBMZhLGx/blHEEUkeUcR/uRIIrH9RxBCupkMiIcYRik5jw+FEXxtprj6j6S5CPk9y6Gl6tBZnNda+i4f1cUnJAA0SMjdFDHsmzUFxDD1raa0x7QUg76GncfJdbuo4TqDBygf/kpCEJIT1j5eQ27jwQdqPAO3FiuCmIQsnUnclUQRUSu2ruPBEk8qlVBCmqxxEQjjjLr6UeSLN7kqqv5SJKPUA86lavNna+h4xJfUXBCAmTLVVfzkSQb9Q3EsLXJ1faAlnLQnpuPlAlPC1DlxEvX8bbefMS0dz1nfMebj5heSHBe6KT5iGmiIpmIMI90+pHhpFJbPxKTD7kQSxCw1n4kpoXI9VSKLrX3IzFtRK6kbqo4mdZRVk0R/ivyyKzsh2wLt9iQlEJDUtb0BCh3QxIXD1lMO25I4lqLLKbUhiR12ZBkvVH2Dt9qZEntQoIDzM7QgXHIx0DWxE0aktTO1UA4GpK4FIpIgX6OwLO7K8PWDB7xDUbWQfQ4BpF8Skg+JTL5jPloyALaYUMS11JkGaU0JKnLhiTr23rMt5hSWlmPzWpw6E44JRtBuiFJ7VwNgKMhiUuArK7khiS1uzJqzdgpz9hacKNWj4DHOhR3zEWwh+PWhqSUxokF9L8iJAhCmAHEjug9NCQJOkThHYIfOZswDkQxCBOchAGyfYVHEEVkhcfRkCSI4nGJR5CCOsGMCEeYZIPEtsIjiOJthcfVkCTJR8jvXQwvV4PMtFkQcFzOLQpOSIDokRE6qGNZNuoLiGFrW+FpD2gpB32N70xT1oakjOoMHKB/+SkIQkhPWPnJvzNNElThQTeWlYIYhKzaiawURBGRlcZccEuUw6OmFKSgljRELMIiVYPUhDIURfGmKR13ponyEZJ2p5qyubY1dNzDKwpOyH5sTem4M02UjfoCYtjaNGV7QEs5aM9dQ8ZEpFWi60q4OMjW8bbeNcS0F7nEiRV52+4aYnohwXmhk64hpomKZCLCvJYji+ZvQ8QgXuS+ISYhcr2UoF+tfUNMC5HLnnhZ6uobYtqIXPDcVHIyraMsbiL8l0WpVUkyLdxi31CxdxhFQbN0n7v7hrh4yHLacd8Q11pkOaX2DeWXfUPWa2Hv8K1GFtUuRDjA7AwdGId8DGRV3KRvKN+5GghH3xCXQhEp0M8ReHZ3ZdiawSO+wcg6iB7JIJJPCcmnRCafMR8NWUA77BviWooso5S+ofyyb8j6th7zLaaUVtZjsxoeuhNOyUaQ7hvKd64GwNE3xCVAVldy31C+uzJqzdgpz9hacKMWeYDHOhh3zEawB+TWvqGCxokF9L9wIwhCmAPEjuk99A0JOkThHYIfO5swDkQxCFOchAGyfYFHEEVkgcfRNySI4nGNR5CCOsWMCEeoNVlRmFCGoije1nhcfUOSfIT83sXwcjXILJolAceF3aLghASIHhmhgzqWZaO+gBi2tjWe9oCWctDXuG8otfUNRQHVGThA7/JTEoSQnrDyk983JAmq8KCbykpJDEJW7UJWSqKIyEpL35Akhz9NKUlBLWmIWISJsp42JIniTVM6+oZE+QhJu0tNGTU3uUaOq3lFwQnZj60pHX1DomzUFxDD1qIpEQEt5aD1//7iydcVtOIPXeKx40aizMSrZaPrarfQcSY+zlqKHHyykSgMzNOsN9kGIxc90bLvqfaf+5dtQlcV4Pyd6uu9dVX4uK914wP9N96GwyvhR3r6X7lf/xOfVY/rcy31l17vVd/q3z+ovqjbXF6rHtb/iXpCU//EH3v60+drE6Dw5UXbEnzl0fzvBj391x/3oqAHrUnLJqbP5u/AWZv1z/xx8QMJfP+BBqoP1TS5f5/t/gTn/i5amLgmKpKJCPMuDz4yGXrANhS5AktQxLZOJK6FyIVUvNB1dCJxbUQuoW4qYpnWUZZLEf4z+m7Itm57XUhRBF1IcKdalMAntWwJiEJnPxIbFFmV6f1IeWZTXj/gW4usysR+pChc9SNF1lti7/CtRpbmLsQ9wOwMHRiHfAxkidugH0nbfjUQ9n4kNoUiUqCfI/Ds7sqwNYNHfIOR1RA9QkKkoRLSUAlpqIQ0VCLT0JgPiSyotM4kewq6y7cUWVYJnUmr9HPX8d4e8y2mlFrWA7QagLpTT8lGEO5MWqWdJgD2ziQ2AbLOUjuT9LOzMmrN2CnP2FqAx0lwURRxPw+S836i0pP+SXA668enUVAkp+dxdrF8qKyje8d8B3uEb+tMiiIaJxbQNA/g4KLMBZhAboqCEGYZN5ojwC4OCaIqPCp+sIuk7VW/nb++3LbzcP5Gr/qkerDYd9Wrfld9HIW9w16kerY1mgNRxxAmXAmDa/tykyCKyHJTOIhNJLdESTwuOAlSUOe7EdGwjekFKbytNeWD1LbUJIlHKAJdjEZXY9KoWZlwXPgtCk7IfOiBFDamY1k06puHQWtbaWqPZykHXUvU4iLMw4s46Rd5lvST2UnUPw2CWf9cJednsyy/CC6W77JfiWqcaNYSNaY6AwfoX6IKghCyE1aifgzrPQuptr6hvZZrP4Jpjerb+gK2el98vb5U77iG76gdZXLDvqgbFN4NePlqwjgQxSCkXILYtK7kCJIIaU3jaPaWKIlHrSlIQa14iGjYtKYghTetGaX2viZJPkI671RsNnfERo5Lf0XBCZmPLTatQR3LslHfPQxbm9psD2gpB7249Dc+PdE/HfTjMJ31kzDM+0UwO+2fzaLiXJ3lcZAtg+5XbRqnK7TaTKjOwAH6V5uCIIT0hFWbH0FnEVzdCw1M0GykZeT87YWkhO2ZC7X5UfVBasLdF8VVeNyNVaUgBiG3ElQlHJH1+aBnPtfqOVEgGXFp4rglyuFRWgpSUMsbIhY2aSlI4U1ahmqQGXPZbVk+Qu7uVFo297lGjgt6RcEJ6Y8tLa1BHcuyUd89DFubtGwPaCkHXUvLPM2js+w865/GWdBP0tlFvzhLTvtxEQfFRXFyEs+WqdWvtExMztDSUlGdgQP0Ly0FQQjpCSstnz4FpPpF9avqk+q31Yf96n34Rf/hPf27T2qVaYLeF4VWeOiNBaYgBiHDEgSmfY1cEEVEWgaDpclPq0tBFI/qUpCCWuEw4TBRDEUp/KnLILDPXEoCEvJ3p/JSNWrEcQ2tKDgh+fHlpTWqY1k46tuHgWvTl+0RLeWgYUvm3kJW+dyJaTwnTyvH1IlpvwwUZy1FEa7txDQuKd5kG7yePf7P2on5eP5GLwqXGy472ZHJDEOCC0MnOzKZJiqSiQjzoiuHyhsenPps/+q/Vr8YQGdqHbPqIbRC6AegeqSD8y78Rkd60RGx6IXQ31/8RK/6qPrlwOSDA7YP1kuO4GZPpoXIvSl4Ce3a7Mm0EbkrZVNtzLSOsgMF478sGRiLzJBt4RY3fGawzTOHT3AAfdycAR2l7g2fXFBk8adv+NT/0cy+45NrLrL6U3d8ppc7Pq0XN97hW42UAF0MHgBmZ+jAOORjIEvoJjs+052rgXDs+ORSKCIF+jkCz+6uDFszeMQ3GFkS0SMwRB4qIQ+VkIdKyEMlMg+N+ZDIqkrb8enIQXf5piKLK2XLZ3q55dP64h7zLaYUXNYTtBrgunNPyUaQ3vKZ7lwNgGPLJ5cAWWnJWz7T3ZVRa8ZOecbWMhzVew881mkEx3wKeyrBuuUzo3FiAU0TDg4uyqSDCeSmKAhhGnOjyQjslk9BVIVHxY+mTRgHohjrld+BQRgQ2xefBFFEFp/sGzQFSTyuPQlSUGe/EdEogryw3f8mieJtAcqxS1MSj5C3uxhBrsaRzb2zkeMiYVFwQvpDD36wMR3LolFfPwyaM55jTDxLOehrvEszt+7SzKnOwAH6V5WCIITshFWVYrs0Bd2g8G7YWHEKYhBSLkFxWpdgBEmEBKetlV6QxKPgFKSgVjxMNIpoENlWfgRRvAlO11ZNST5CTu9UceaNQnHcnysKTkh/bMXp2qopyUZ9ATFsbZKzPaClHPQ13qqZW7dqFlRn4AD9S05BEEJ6wkrOjbdqCuIqPO7G0lIQg5BbCdKybaumIJCMwjRx3BLl8KgvBSmo5Q0TC0djkSCJN3np2q4pyUfI353Ky+aSxchxa6YoOCEFsuWla7umJBv1/cOwtcnL9oCWctDXeLtmbtuuGQdUZ+AAvctLSRBCesLKy262a0pCKzz0piJTEoOQYQki07piLokiIi/t2zUlUfwpTEkKaoVDhCOJB5kJZCgK4k9gOnZsigISUniXCjNurlyMHXdoioIT8h9fYTp2bIrCUV9ADFyLxEREtJSDBo3pko4d79QsTHhaNDrvDcmf2pC69Z2aXIPXs8a/7NTcaKcmNwwJLgxd7NTkmqhIJiLMQ+7U/BQ2ZVZfzd/c61W/rD6uPtqr92BWH/H3b5occ8B2zHr9kdu+ybUQudEEL6kd2ze5Nq7rZZntm1zr1svwhts388Ayx8q1b3ubN2O4rTOG2zpjuK0zbq7Ji923dbJBkXqg482bbHORgoC4eTO+vK4zdlzXybYaqQq6GEcAzM7QgXHIx0BW1Q02b8aX13XGLdd1sikUkQL9HIFnd1eGrRk84huMLIjowRgiD5WQh0rIQyXkoRKZh8Z8SGRN7XDzJttUZGklbN6ML+/rtL+4x3yLKeWW9QStxrru3FOyEYQ3b8aX93W6886ET4CstNTNmzHc12nOOVOesbUIv8iD9OI86F9EwUU/OUuLfn5eFP2z2SwJ0vjiJEiWb6x1ZsExtcKeXbBt3owjGicW0P+ilCAIYUYTOz/x9KIU/FGPHz/TI/vX9Gjx/mISAfqfetVvqvf0gPOT6tfVB/rjwx8t5gbujPsq7FXvmRyyL+oQhXcIfhhuwjgQxSBM2BIGzfYFK0EUoQUr0HxPo9wSRfG4YCVIQZ0vR4QjjELzrOtQlMTbilWeD3LbgpUkHyG9dzHQXA03m5sbY8dNnKLghPyHHiOhgzqWZaO+fxi2tvWq9oCWctDXuOO+sG3yjGOqM3CA/tWnIAghPWHV56Yd95K4Co+7sbYUxCDkVoK2bOm4lwQSUZiWjntJDo/yUpCCWt4QsbCvBQlyeBOXjn57UT5C9u5UXDYXNcaOmzdFwQkJkC0uHf32omzUtw/D1iYu2wNaykFf4xNECtt2zjihOgMH6F9cCoIQ0hNWXEqdICLpBoV3w8aiUxCDkHMJotPaBSRIIqM2bSeISJJ41JuCFNSKh4hGDlNDJpKhKIk3xek4QESUj5DS</t>
  </si>
  <si>
    <t>O1Wczf2NseNCTlFwQvZjK07HASKibNT3D8PWpjjbA1rKQV/jk5AL6w5PRXUGDtC/4hQEIaQnrOLc5CRkSVSFR91YVQpiEPIqQVXal8kFUYRkpXEEekuUxKOsFKSgljVENJIoCI1zQkNREm+y0n4QsigeIW13qiqbWxtjxz2couCE7MdWlfaDkEXRqG8fBq1NVLbHs5SD9runMzLGVMvE1In31JbV7e/pZBq8njP+ZU/nZns6mWFIcGHoZE8n00RFMhFhXozb0ylx+ybXB+uFRnD7JtNC5FYTinK2b99k2ojcY7KpJmZaR9lPgvGfSqwdoUwLt7iBE27fjOH2zRhu30yaW+9i9+2bbFBk8e96AyfXXGT1p27gvLx9M3bcvsm2GikBuhgyAMzO0IFxyMdAltBNNnBe3r4Zt9y+yaZQRAr0cwSe3V0ZtmbwiG8wsiSix12IPFRCHiohD5WQh0pkHhrzIZFVtcsNnFxTkcWVsoHz8vZN+4t7zLeYUnBZT9BqYOvOPSUbQXoD5+Xtm+68M+ETICsteQMn3L5pzjlTnrG1gEQdDwU81mkExzwKeyrBuoEzo3FiAf2vOQmCECYvsZMRHZ0qKgit8ND4cbUJ40AUY10DODAIQ2P76pMgisjqk+NUUUEUj8tPghTUCXBEOOJ8oIzxGIqSeFt+ch4rKglIyOFdjCZXY8rm5sbYcROnKDghAaIHQviojmXhqG8gBs4Z0TEmoqUc9PXdphlZ1n+0xsypzsAB+teYgiCE/ITVmBtv0xTEVXjcjdWlIAYhuRLUZds2TUEgEY1pa5sX5PAoMAUpqOUNEwvHmo8giT+B6dioKclHyN+d6svmmsbYce+mKDghBfL1pWOjpiQb9f3DsLXJy/aAlnLQ13ejppaXxjZZLS8LqjNwgP7lpSAIIT1h5aXYRk1BNyi8GzaWnYIYhJxLkJ3Wfh9BEhm9ad2oKUjiUXEKUlArHiYaaTFIbZJTEMWb5HTt1JTkI+T0TiVnc3Vj7LiLUxSckP7YktO1U1OSjfoCYtjaJGd7QEs56Ou7U1NLzsTkjBtRElCdgQP0LjklQQjpCSs5N9mpKYmq8KibykpJDEJeJchK61q5JIqQrjQOQW+JkvjTlZIU1LKGiEYe2C5LHoqieNOV9q2aoniEvN2lrEya6xoTxwWcouCE9MeWlfatmqJo1NcPg9aiKhHxLOWgPW/VtHRXJu5rQLJ1vK1v1eQavJ4z/mWr5kZbNblhSHBh6GKrJtdERTIRYR5yq6a36ze5jlmvPnL7N7kWIneaUPS0df8m18Z1tSyzf5Nr3XoZ3nD/psoiqwBmWri9/ZsJXMCZwAWcCVzAmTQX3yXuCzjZoEhF0PH+Tba5SElA3L+ZXF7AmTgu4GRbjdQFXYwjAGZn6MA45GMg6+oG+zeTyws4k5YLONkUikiBfo7As7srw9YMHvENRpZE9GAMkYdKyEMl5KES8lCJzENjPiSyqna4f5NtKrK4EvZvJpcXcNpf3GO+xZSCy3qCVqNdd+4p2QjC+zeTyws43XlnwidAVlrq/s0ELuA055wpz9hahqOuSwIe69yCY3KFPb9g27+ZRDROLKD/lShBEMKMJnaGQv4CTkmHKLxD8ANxE8aBKAZhwpYwbLavVwmiiKxX2S/glETxuGAlSEGdMUeEI1eD3NjFPBQl8bdeZb+AU5SPkN67GGiuhpvNfY2J4wJOUXBC/kOPkdBBHcuyUd8/DFvbilV7QEs56Gu8s9Nyb7BWnzHVGThA/+pTEISQnrDqc9OdnZK4Co+7sbYUxCDkVoK2bNnZKQkkojAtffaSHB7lpSAFtbwhYuFaDRIk8SYvHTs7RfkI+btTednc2Jg4ruAUBSekQLa8dOzsFGWjvn8YtjZ52R7QUg76Gu/stLTVanmZUJ2BA/QvLwVBCOkJKy+ldnZKukHh3bCx7BTEIORcguy0dgIJksjoTdvOTkkSj4pTkIJa8RDRSKNikCYmlKEoijfJ6djZKcpHyOmdSs7mysbEcQenKDgh/bElp2Nnpygb9QXEsLVJzvaAlnLQ13hnZ2jd2amozsAB+pecgiCE9ISVnBvt7BREVXjUjWWlIAYhrxJkpX2lXBBFSFcah6C3REk86kpBCmpZQ0QjKrI0sV3uLsniTVg6tnZK4hESd6e6srm1MXHcwikKTsh/bF3p2NopiUZ9/zBobbKyPZ6lHLT+31/U5Es9Bb/80KUfO97raVsLT128Qb7O62uvZ2Td68k0eD2JSO71rD6vHlbfLrbfwTbO6iHsyvu63tv57vKPzE2c1cfV+9Uv+Hs54QeTvWD5ozlmVyfT4QnO4Z3s6mSaqEgmIsyLcLs6JS7g5PpgvcYIbuBkWojcakKRzfYNnEwbkXtMNhXETOso+0kQ/ovTMBsYlz+HbBO3uIMTbuBM4AbOpGg2Tbkv32QzIks8Z/NmFts3b3LNRdZ46ubNy8s3E8flm2yrkYW+i5ECwOwMHRiHfAxk+dxk8+bl5ZtJy+WbbApFpEA/R+DZ3ZVhawaP+AYjyyF6uIVIQSWkoBJSUIlMQWM+H7KYUvdtWtPPXb6pyJpK2bd5ee+m/Z095ltMqbOsh2c1lHWnnZKNIL1v8/LeTXfKmfAJkEWWvG8T7t00p5spz1iw9jRQhf7+rJ+mZ7N+cqLSfpGlqn9WRMksOQtO89Mt7NuMrPs2MxonFtA0o+DgoswqmEBuioIQpis3mW14cpKhbm9aDvh/Dxs6oct+/lP98dqTQ0g9ulwMQD+qfl293683d75XfVj9o/78u+qTvV4c2FZH9kVdpvAuww/GTRgHohjr4sGBQRhP29erBFFk1qtMHLdEOTyuVglSUGfLMbFIkixITChDURSPi1WRbbFKEo+Q/bsYgq4Gos39jonjxk5RcELyQ4+esDEdy6JRXz8MmjOeY0w8Sznoa7yr07IwpLWp83YpozNQgP61qSAIITthtenGuzoFcRUed2NdKYhBSK0EXdm2q1MQyKu6FOTwqC4FKajlDREL5xKRIIo3dena1inJR0jgncrL5n7HxHFhpyg4IQey5aVrW6ckG/UFxLC16cv2gJZy0LW+xN0d719fGntqtb4sqM7AAfrXl4IghPSE1ZdPn1lX/aL6VfVJ9dvqw371PvxST2O+X31SS00T9L4otMJDb6wyBTEIGZagMu2zl4IoIvoyGETKhHJLFMWjxBSkoFY4RDiKILEeHCJI4k9hBoF9G6ckICGHdyoxm/scE8cFnaLghATIl5jWqI5l4ahvIAauTWO2R7SUg/Z8l5JFNarAhZc/hbf1/nquwci2O6zq+z+nv57r8ATn8C7667kmKpKJCPOQ/fXebk3iOma90sg13XMtXFfQkk33XBvXpbFM0z3XOkozIMJ/iQoD2+ZSronba7pX4Z7+BHcnqXjZ8aoCZ9M9mxFZ9ztuumebiyz8xKZ7Faya7pX1Yss7fKuR1b+L8QLA7AwdGId8DGRN3aDpXtt+NRD2pns2hSJSoJ8j8OzuyrA1g0d8g5HlED3oQqSgElJQCSmoRKagMZ8PWUw7bLpnm4qsqYSm+1Xquet4Z4/5FlPqLOvhaYazLWmnZCMIN92vUk4TAHvTPZsAWWSpTff62VkZtWbslGdsrb5RR9sDj3XywDF7wp5AsDXdK/elUIYZEhyg94UnSRDCpCV2CkL+siRJhyi8Q/DjbxPGgSgGYU6WMFq2LkpJoggtStkuS5JE8bcoJUlBnRJHhCPN0kFqnIoZiqJ4W5Vy3JYkykfI710MMldDzXC5hKEcF/SKghMSIHp8hA7qWJaN+gJi2FrWpBABLeWgr3FffWzrq1cR1Rk4QP/yUxCEkJ6w8nPTvnpJXIXH3VhcCmIQcitBXLb01UsCiUhMS1+9JIdHfSlIQS1viFg4V4EEUbzpS0dfvSgfIYF3qi+byxuV4zZOUXBCDmTrS0dfvSgb9QXEsLXpy/aAlnLQ1/hMkdjWV69isjNQgP71pSAIIT1h9eV1OFNE0mUK77KNNaogBiE/EzSqfQJUEMWrOhXk8KhOBSmoxRETizxIYtvspyCKN3VqP1NEFI+Q/TsVp83Vj8pxl6coOCH5scWp/UwRUTTq64dBa9Om7fEs5aA99+MnJjytNhMnXrGOt/1+fKbB6znjX/rxsf34TIcnOId30o/PNFGRTESYF+P68SXOu+f6YL2kCLbeMy1cl8mirfdMG5FtgpvKX6Z1lJZAhP/iMFLm9Dxkm7jF1nsFXfcpfMqavtfE3XrPZUSW+K5b77nmIms8tfU+uWy9t95neYdvNbLQdzEwAJidoQPjkI+REDEYfbDJztVAOFrvuRSKSIF+jsCzuyvD1gwe8Q1GlkP06AqRgkpIQSWkoBKZgsZ8PmQx7bL1nmsqsqZSWu+Ty9Z76zt7zLeYUmdZD89q5OpOOyUbQbr1Ptm5GgBH6z2XAFlkya33ye7KqDVjpzxja92I2rsPPNZ5AsdECXuuwNp6r2icWED/a1OCIITZSexsQzdnPklCKzw0fjhtwjgQxSBMsBJGxPbVJUEUkdUl+5lPkigeF5gEKagz3IhwZLnlyuuhKIm39SXXmU+igIQc3sVAcjWcbK7kVY4rlkXBCQkQPQbCR3UsC0d9AzFwbWtM7REt5aCvcX99Yu2vT6nOwAH615iCIIT8hNWYG/fXC+IqPO7G6lIQg5BcCeqyrb9eEEhEY9o6mAQ5PApMQQpqeUPEwrnUI4jiT2E6+usl+QgJvFOBmTZyxHFHryg4IQfyBaajv16SjfoCYtja9GV7QEs56GvcX59Y++szsjNQgP71pSAIIT1h9eW16K8XdJnCu2xjjSqIQcjPBI1qnwEVRPGqTgU5PKpTQQpqccTEIlJBYNv9KYjiTZ06+usl8QjZv1Nx2tzxqBx3doqCE5IfW5w6+usl0aivHwatTZu2x7OUg/bcX69MeFpt5i68IljH235/PdNgZNvdJmrxn2l/PdPhCc7hnfTXM01UJBMR5iH76/2dd890zHqdEWy6Z1q4rp1Fm+6ZNiIbBDfVxEzrKM2ACP8lUZJbTzphmrjFpvti7zBKA/gUNh2vubvpnsuIrPtdN91zzUUWfmrTfX7ZdG+94PIO32pk9e9itAAwO0MHxiEfA1lTN2m6z3euBsLRdM+lUEQK9HMEnt1dGbZm8IhvMLIcoodciBRUQgoqIQWVyBQ05vMhi2mXTfdcU5E1ldJ0n1823Vvf2WO+xZQ6y3p4VsNZd9op2QjSTff5ztUAOJruuQTIIktuus93V0atGTvlGVurb9ThpMBjnTxwzJ6wJxCsTfcFjRML6H/BShCEMGWJnYLwcN69oEMU3iH48bcJ40AUgzAjSxgt25ejBFFElqMc590LonhckRKkoE6JI8KRxtnAeuKTIIq/FSnHefeSfIT83sUgczXUbK7sVY5LmEXBCQkQPT5CB3Usy0Z9ATFsbWtS7QEt5aCvcT++pc3zhh4iU52BA/QuPyVBCOkJKz837ceXxFV43E3FpSQGIbcSxGVLP74kkIjEtHQ8SXL405eSFNTyhohF4lgFkkTxpi8d/fiifIQE3qW+TIOlHEkd1/eKghNyIFtfOvrxRdmoLyCGrUVfIgJaykFf4358ZevHT52XSxmdgQL0ry8FQQjpCasvr0M/vqTLFN5lG2tUQQxCfiZoVOsEqCSKV3UqyOFRnQpSUIsjJhZpUSjL7Kckijd1au/HF8UjZP9OxWlzN2TquOxTFJyQ/Nji1N6PL4pGff0waG3atD2epRy0/t9f/KcnRJlVfL4yO3v1+ZdeNDiCpT1t05qRizN4at+BrTHfbi1FUV725hvNvck2d/0xczgXqRv/p1aAry8WxefvVA96Wg7erz6Fxvf5O0sp+G0tEGGR/C3otq9//OGqfd8EqKVg9MyQTflUhrRjbpYgF92raQyNq9DCmsHh0VmuP+UhfErgU6Y/FdDbWsDPFXC0dKF/OA4i+KTgk/4bcRjCpwQ+6b8RRwF8iuFTCp/gb8TwN2L4GzH8jQT+RgJ/I4G/oeBvKPgbcHx1DD21cQp/I4XvZvC7DH4HpsU5/AhYFYNBCdiSBPq7SQi/AwuSCH4Xwe/iGD7ltpTPjVJCjxK+3QlCcwShOYLQHEFojiA0RxCaIwjNEYTmCEJzBKE5gtAcQWiOIDRHEJojCM0RhOYIQnMEoTmC0BxBaI4gNEcQmiMIzRGE5ghCcwShOYLQHEFojiA0RxCaIwjNEYTmCEJzBKE5gtAcQWiOIDRHEJojCM0RhOYIQnMEoTmC0BxBaI4gNEcQmiMIzZEtNEf80Ch6aPB9XDoyI4jMCCIzgsiMIDIjiMwIIjOCyIwgMiOIzAgiM4LIjCAyI4jMCCIzgsiMIDIjiMwIIjOCyIwgMiOIzAgiM4LIjCAyI4jMCCIzgsiMIDIjiMwIIjOCyIwgMiOIzAgiM4LIjCAyI4jMCCIzgsiMIDIjiMwIIjOCyIwgMiOIzAgiM7JFZsSPDD6D83XCoiNWR6iECJUQoRIiVEKESohQCREqIUIlRKiECJUQoRIiVEKESohQCREqIUIlRKiECJUQoRIiVEKESohQCREqIUIlRKiECJUQoRIiVEKESohQCREqIUIlRKiECJUQoRIiVEKESohQCREqIUIlRKiECJUQoRIiVEKESohQaYtQyY7QU+2bLRGipbQJhGUCYZlAWCYQlgmEZQJhmUBYJhCWCYRlAmGZQFgmEJYJhGUCYZlAWCYQlgmEZQJhmUBYJhCWCYRlAmGZQFgmEJYJhGUCYZlAWCYQlgmEZQJhmUBYJhCWCYRlAmGZQFgmEJYJhGUCYZlAWCYQlgmEZQJhmUBYJhCWCYRlAmGZ2MIy4YcFryuJbak6KlOIyhSiMoWoTCEqU4jKFKIyhahMISpTiMoUojKFqEwhKlOIyhSiMoWoTCEqU4jKFKIyhahMISpTiMoUojKFqEwhKlOIyhSiMoWoTCEqU4jKFKIyhahMISpTiMoUojKFqEwhKlOIyhSiMoWoTCEqU4jKFKIyhahMISpTiMoUojK1RWXKi8oT+hmC80PXKKDL7bmRrbU2jV0UOjjIQUCnu3Ot9t5k27sujzfcnPvbeoclTAavjqN2S/4N9uM+7FVfwhx1Pe+8+Nr8Z/rb+keWk9NfwX9Wj0G+1j/yNuwBbv7qt7WRbyz+aHLoPtuh60pWcPMt10RFMhFhXrTafGsy9IBt6Pokj9xmWK6F6xPXkpthuTYiN+5sOiHNtG5dxG64GdbouyHbuu3tg01hwiCFSYQUpglg4B6l+XI7Who7d8SyaZGllrEjNk8L645YtrnIYkvcEZvGqx2xqfX6zzt8q5Eld7PpqNVMfbwzdGAc8jGQhY4xX9NsT9O2Xw2EfUcsm0IRKdDPEXh2d2XY04N+rsHImohe9EAkoxKSUQnJqIRkVEIyKpHJaMwnRdZW4t5YeyK6yzcVWWIJe2NXSeiu4+095ltMKbusx2i1tOROQCUbQXhv7Cr5NAGw741lEyDLLXESAp6dlVFPD885xoK153FQnMQX5/0gjFQ/OY+jfn6enPcvwjw/nZ3OgiRaVjbryP2Fk26bx+rzqkyYevye0DCxfKYxvgOLMs43gdwUBVlXIq74ICcA1vYmfKF/ebenB+Xf6OH3z+Bz9Xn1GLbL1icq1acv/bZX/TIMelEWBPO3ouDyBC09Xn9Qzwx8Cv/oYqPDYgbgcfVg8SPwl3ZiYzrfF3WdwrsOP442YRyIYhDaKAij7LZ9DoJAIp1kwSAyZtNboigem8kEKajdLJhwmCiGohTe+siKbJAZS9ptWT5CKehiYLoaniZN45HjpmRRcEIGRI+p0EEdy7JR3z0MW1snWXtASznoxS6HWZaeZhdB/zyPwn4ShXH/JDhVff3zxWmQ52F+sRSmXoWqrdtMUX2B4/MvVAVBCNkJLVSXS0CP5283B7V8pb/0oPpj69aGxU87tjaYHLQv6iCFdxBejlbvLxyykvGXy2YPe9XHy8Nr/1jL84fV53Dz7H1Ykqu+gkW996qPtapfaPhL/96fvw7f/DjoVZ/0ItWz7Tc4EHUXIekTZK9964QgiojgtWSrW6IkHvWuIAW15iKiYdO7ghTe9G4YDWLj2Oq2LB+honSqd5tLP1PHNa6i4ITUx9a71qCOZdmo7x6GrU3vtge0lIOu9e5FlGZBfnLaz2ax/tn4PO0XJ3nS1/9wfBGenxTx7Pyef71rfAC03k2pvsDx+de7giCE7ITVu+8beqEegir7vP4ySN03ej+YvXzywknvhZOXT/7mb55vhPDHKwlX/zlUcbb4xvtw0CEoRLjSYNld9e1yYnYxmWubmRX0ncL7jiCFP1pJ3/vmvjLY7rx03+HCfSsfzN9K94r6Zog9m88UdIj2VJhn+nMQFPD7MLx370U99oDmuTd6/R4I63oI8vWiTa5unlt8V8tzHZ693p7J3Qei7ibUE4KUtvZpCZIIKekgM6HcEkXxKKUFKajlHBEOm5QWpPAopbNiUCgT4W1ZQkK56lRMNzecpo4ra0XBCcmPLabh4FDbGYyicNTXDwPXpqbbI1rKQddq+iwq4igKT/vnRXzWT5Io6ee6hvdn4WlRnGZhqv+Ne/7VdGLyhVbTGdUXOD7/aloQhJCesGr6n57YeKAF4f/Qgu7LWhSCiq4+Pojj+hDGILnaxLDcH92/nBU1eWNf1BsK7w28PjZhHIhiEFIvQXfap3AFUUSEZ2C5ePCWKIpH4SlIQa18mHCYKIaiFN6EZ6KfNeMg57YsHyGvdyo7m8tLU8dltKLghNzHlp3WoI5l2ajvHoatTXW2B7SUg15cPJOcZ9nZLO6fhnneT1IV9U/i2Wk/KU7Ow9P05DxXZ/f8q05l8oVWnc77dUy+wPH5V52CIITshFWdT987s5yiNV8/sziCEbplv4CttH39ixag1bfLn3qov7E8qNHknX1R7yi8dzZWoYIYhEzciQoVRBFSobZLaCRRPKpQQQpqJcSEw0QxFKXwpkLTfJDYjmCU5CPk+U5VaN6IFsd1p6LghNzHVqHWoI5l2ajvHoatTYW2B7SUgwYZ6lKX3R66YuuFLVx0xVN0Wz90hWnvesr4l0NXapB9tkMTnEM7OXSFaaIimYgwr/XQFaah62ld8NAVpoXIjeF4leo6dIVpI3JH+Kbyk2ndenkTOnSFad32Dl3J4GzWDM5rhTNSowxOac2S5pyDwn3oCpcWWWq7PnSFay6y2FIPXSkuD12x3r93h281suR2odABZmfowDjkYyAL3SaHrhQ7VwPhOHSFS6GIFOjnCDy7uzJszeAR32BkTUQPcxDJqIRkVEIyKiEZlZCMSmQyGvNJkbW1y0NXuKYiSyzl0JXi8tAV69t7zLeYUnZZj9FqLOlOQCUbQfrQlWLnagAch65wCZDllnzoSrG7MmrN2CnP2Gu7LmQ9NDVz317Gn53Y87wuJAlCmC/ETgB4XheS9I7Cewc/VDZhHIhiEOZGCQNp67qQJIrndSFJFH/rQpIU6yrCQbHhAF6S4jqsC4nyEfJ8F6POZuyZNdeMZo57Y0XBCbkPPWBCB3Usy0Z99zBsLetCiICWctCLk/nPozhQJ1E/KMKLfpLks/7JxVnWD/PTkzhM0+T0YplavapQyyrS8qgdgi9wfP5VqCAIITthVSiiJ36hSnthUB/mpxXrW/XuxQfVNwOTC/ZFXaDwLsBLzSurY/d7+7OXZ688/2rPvAnwQJSPkIc70aCCKEIa1NYhL4niUYMKUlDrICYcJoqhKIU3DerokBflI2T5TjVoc51o5rgeVhSckPvYGtTRIS/KRn33MGxtGrQ9oKUcdK1Bk/MkvAjCqB+fqPN+EidB/6TIL/qz8OQsK4pcnTRrF141aGzyhdagEdUXOD7/GlQQhJCdsBrUdMrJ/atH193vjZ+fvfryCfzy4t+cNDOlq5M0rmzP7FUfNIdOXx6A8oMiKIIwOA6CIPyzyTiAL9bzpcv2quUMa/2zcRDspPojh+M/TC7eF3WxwruYoHE5h6FoRz6Yv724Crg+OHFxhskfqge9MIxUcbzXe+KsE1s4UjhNJYZPRX1O+PfgSPFePckN/5KO/wexMT0diLqZUG4IUtvWNyVJIqK07YegSKJ4VNqCFNRqjwiHTWkLUnhT2mGcJYNEmQhvyxISqlmnWjtqpFnk0NqS4ITkx9baeZzZJ3wl4aivHwauTWy3R7SUg76+R2hHtkNQspjqCxyff7EtCEJIT1ix7f8IbUkHKbyDCFJ5q0doS7qLkPUJktc+uyyIIqR5jer9liiJR8krSEGtuYho2CSvIIU/yWs/QluUj1BROhW8cSOPHLeaioITUh9b8DqO0BZlo757GLY2vdse0FIO+vrebRjZjl/JEqovcHz+9a4gCCE7ofXuNbrbUNJ1Cu86vBI2YRyIYhDSNEGhttxtKAkkolPtdxtKongUqoIU1GKJCYeJYihK4U2oOu42FOUjlIJOhWpzFV7muNtQFJyQAdlC1XG3oSgb9d3DsLUJ1faAlnLQ+n9/8YSwAf35Q5cg7fbEFmON0FJUuWjDeJ3W04ktse3EFq696ylk4xNbvoI188VaudxpLYtJ2M96EcjNR/oftm3oYnolwXmli2NXuCYqkokI89qOXeEaitxiTlCq1vYBpoXIreF46ek4doVrI3JP+KaakmkdZf83wn82rci0bovHrqRwzkq2PNogU85zVth4yAJJP2clUqH1mBW2tcgKSTxmJVOrY1Yy64V1d/hWI+tkFzIbYHaGDoxDPgaysG1wzIq2/Wog7MessCkUkQL9HIFnd1eGrRk84huMrIHosQoi+ZSQfEpk8hnz0ZDFk3auij3x3OVbiiyhhGNVVknnruNtPeZbTCmrrMdmNQB0J5ySjSB8rMoq2TQBsB+rwiZAVlfqsSr62VkZtWbslGdsLbYv8iC9OA/6F1Fw0U/O0kIPuYuifzabJUEaX5wEif/NBJZBqx5kpzRMLJ9pIO7AogzGTSA3RUEIk3zYUfrTx6qYz1NZtOb8Btp1qk+qX1cf6I8Ply1Qd8Z9Ffaq90wO2Rd1iMI7BD/6NWEciGIQ5jAJY2N7n5EgitD6jfUkFUEUj+s3ghTUOWRMOEwUQ1EKb+s3eW65iPK2LB8htXcxsFwNL5vLKDPH9aKi4ITchx4ToYM6lmWjvnsYtrb1m/aAlnLQi12scaySsEj64cXJrB+GM/2zwSzrB4EKVJrnYaGWisyr8DTOFGvhmVF9gePzLzwFQQjZCSs8339ycQhzTl8PboOHNSH9jZ/XjUXLL/+mbit6AO3kiy/tQavR4/nfz/8O/jR/HX5otcV1+QO/DL8HGylDPUw8vnGnVwSBcfVvX9StCu9WvHy9ior17ZW1uqbra/6O/srjeqEN9rvWO1/1P/3ZcgPwYlVOf+ELWKir2/1vvPjq7C9PLrv+V4t4T4XkylbY6tP6p2CM0URjr97oahwtHogGhVCQOhHjgihCYtz4ptwSJfGoxQUpqHoAEw0TxVCUwpsWj1Q0SDIT4G1ZQEK561SMN3d0Zo5LV0XBCbmPLcbtUR3LwlHfPgxcmxpvj2gpB+33vqvERKf1de6iK6J1uq13TzHtRa4KY+XxdeueYnolwXmlk+4ppomKZCLCvNbuKaahyJVjgii1dk8xLVzXm6LdU0wbkUu/m6pIpnWUZV6E/2zqkGndFrunir3DKA+aBobc3T3FxUMWyI67p7jWIisktXsqv+yesl7SeYdvNbJOdqGrAWZn6MA45GMgC9sm3VP5ztVAOLqnuBSKSIF+jsCzuyvD1gwe8Q1G1kD04ASRfEpIPiUy+Yz5aMji2WH3FNdSZAmldE/ll91T1rf1mG8xpayyHpvVgM+dcEo2gnT3VL5zNQCO7ikuAbK6krun8t2VUWvGTnnG1lJ2dpGHwcVpvwijcDXEPtnuIlZi7Z4qaJhYPv+LWIIghFk97Ci9u0Ws9+rx/kMYg6/WqKiLWFkQK5Nb90XdqvBuxY+hv4uLWEf7ZS9UQdT/c/falWAsCPO3hGkC+9qVIIrntStBEo9rV4IU1NlzTDRMFENRCm9rVzH0HBUmwNuygIQq18UYezXSLpqVDseV0KLghNyHHh7iozqWhaO+fRi4trWr9oiWctDXdwtDYusky933kxl8gePzLsIlQQjpCSvC5bcwSDpE4R2Cl88mjANRDEL27UJ5SqIIKU/bFgZJFH/SU5KCWvww4TBRDEUpvElPxxYGUT5Cau9SeebN3aG54zJYUXBC7mMrT8cWBlE26ruHYWsRnoiAlnLQfpumlIlOS8nQSWffoYwzliIRUU1TXHuRi8FYJXjNmqa4XklwXumiaYproiKZiDCvrWmKayhywZigSW1NU1wLkeu+eKnpaJri2ohc8d1UQzKto6zuIvxn04ZM67bXNJVH0DQVL/sW8tDZNMXGQxbIbpum2NYiKySxaSoPV01TufX20Dt8q5F1sgtZDTA7QwfGIR8DWdg2aJrStl8NhL1pik2hiBTo5wg8u7sybM3gEd9gZA1Ej00QyaeE5FMik8+Yj4Ysnt01TbEtRZZQQtPUKuncdbytx3yLKWWV9disBnzuhFOyEYSbplbJpgmAvWmKTYCsrtSmKf3srIxaM3bKM7YezuVnJ1GQnPVPT4u0n+Rh0D+NQ/27MLyITsKLMDlblgDr8Noxv8AdYtuapvKIhonl879eIwhCmNTDjtKvNE3pEXZ9t8jr9Qj7j8t7lRdDbGioKXuByoL+n4fB8eKL45dfenV29mrv2dnZSy/XfTZBz+SWfVG3KLxb8GPg6rdGZ1yd1Li8RAW+52hV+rD6JW6PvbHSHYi6jzBjShiZ21eLBFGEVossfUqSJB4XiwQpqBPWmGiYKIaiFN4WiwKL0r0ti0coK10MaldD2+ba4dxxkbQoOCHzocdj2JiOZdGobx4GrW2pqD2epRz09e1RUtYepZjqCxyff80rCEJITljN66FHSdAhCu8QvNo1YRyIYhBybyeqUxBFSHVae5QEUTzKTkEKavHDhMNEMRSl8CY7XT1KknyE1N6p7myu/80d9zmLghNyH1t3unqUJNmo7x6GrU14tge0lIP226OUmui0lEycdMk63dZ7lJj2rqeMf2Y9SkyvJDivdNKjxDRRkUxEmNfao8Q0FLk+S9Ck1h4lpoXIZVa81HT1KDFtRC6wbqohmdZRFlMR/rNpQ6Z1W+xRUtCjlDZtAom7R4mLhyyQHfcoca1FVkhqj1Jy2aNkvdv3Dt9qZJ3sQlYDzM7QgXHIx0iIGIy2gWTnaiAcPUpcCkWkQD9H4NndlWFrBo/4BiNrIHpsgkg+JSSfEpl8xnw0ZPHssEeJaymyhFJ6lJLLHiXr23rMt5hSVlmPzWrA5044JRtBukcp2bkaAEePEpcAWV3JPUrJ7sqoNWOnPGNrKYvafw481uG1Y36BO8S29igpGiaWz/96jSAIYVIPO0r/rhzsJOlWhXcrfgz9XTzYqfpc/+yj+ZvVp/U/ChFZtKZFQRz0j/PgpvPAJ8kYEaZ1CdMH9iUtQRShJa3YRHJLlMTjipYgBXVWHRMNE8VQlMLbipbrwCdRQEL162LsvRqBq2YFxHE5vSg4Ifehh434qI5l4ahvHwaubU2rPaKlHPT1baZKrc1UKdUXOD7/4lwQhJCesOLcQzOVoEMU3iF4WW3COBDFIGTfTpSnIIqQ8rQ2UwmieJSeghTU4ocJh4liKErhTXq6mqkk+QipvVPl2VxxnDvurBYFJ+Q+tvJ0NVNJslHfPQxbm/BsD2gpB+23mSoz0WkpmTnp1Drd1pupmPYiF4mxSvC6NVMxvZLgvNJJMxXTREUyEWFeazMV01DkQjJBk1qbqZgWIteD8VLT1UzFtBG5EryphmRaR1n1RfjPpg2Z1m2xmSqHZqqi6WfI3M1UXDxkgey4mYprLbJCUpupsstmKuvVvnf4ViPrZBeyGmB2hg6MQz4GsrBt0kyV7VwNhKOZikuhiBTo5wg8u7sybM3gEd9gZA1Ej00QyaeE5FMik8+Yj4Ysnh02U3EtRZZQSjNVdtlMZX1bj/kWU8oq67FZDfjcCadkI0g3U2U7VwPgaKbiEiCrK7mZKttdGbVm7JRnbC1lUWs7wGMdXjvmF7hDbGszlfsywKcwsXz+12sEQQiTethR+nemmUrQrQrvVvwY+jvZTPVl/S88WC7PPdlMlQb9W0ngvj1PMkaEaV3C9IF9SUsQZV0mOVDw8wz2ZipBEo8rWoIU1Fl1TDRMFENRCm8rWs5mKklAQvXrYuy9GoHnzQqI4656UXBC7kMPG/FRHcvCUd8+DFzbmlZ7REs56OvbTJVZm6kKqi9wfP7FuSAIIT1hxbmHZipBhyi8Q/Cy2oRxIIpByL6dKE9BFCHlaW2mEkTxKD0FKajFDxMOE8VQlMKb9HQ1U0nyEVJ7p8qzueU3d9zbLApOyH1s5elqppJko757GLY24dke0FIO2m8zVW6iuxEVgZMuXafbdjMV117kIjFWCV6zZiquVxKcV7popuKaqEgmIsxra6biGopcSCZoUlszFddC5HowXmo6mqm4NiJXgjfUkFzrKKu+CP9ZtCHXuu01UxXhnv4ULfsZisDZTMXGQxbIbpup2NYiKySxmaoIVs1UhfXK3zt8q5F1sgtZDTA7QwfGIR8DWdg2aKbStl8NhL2Zik2hiBTo5wg8u7sybM3gEd9gZA1Ej00QyaeE5FMik8+Yj4Ysnt01U7EtRZZQQjPVKuncdbytx3yLKWWV9dg0A76WhFOyEYSbqVbJpgmAvZmKTYCsrtRmKv3srIxaM3bKM7aWsqi1HeCxDq8d8wvcIbatmapwXxL4FCaWz/t6jSQIYVIPO0r/rjRTSbpV4d2KH0N/J5up/lD/1Bv14tyijSoM4LrEKDh2tlFJRocwoUuYOLAuZkmiCC1mWdqoJEn8rWVJUlDn0zHRMFEMRSm8rWW52qhEAQl1r4tR92rsHS7XPgrH7fWi4ITchx4w4qM6loWjvn0YuJbVLERESzno69tGldvaqIqI6gscn39ZLghCSE9YWS7fRiXpEIV3CF5QmzAORDEI2bcT5SmIIqQ8bW1UkigepacgBbX4YcJhohiKUniTno42KlE+QmrvVHk2FxEXjoulRcEJuY+tPB1tVKJs1HcPw9YmPNsDWspB+22jMo4ltJSMnXTZOt3W26iY9iKXh7FK8Lq1UTG9kuC80kkbFdNERTIRYV5rGxXTUOQSMkGTWtuomBYiV4LxUtPVRsW0EbkGvKmGZFpHWe9F+M+mDZnWbbGNKoE2KtV0MsTuNiouHrJAdtxGxbUWWSGpbVTxZRuV9VbiO3yrkXWyC1kNMDtDB8YhHwNZ2DZpo4p3rgbC0UbFpVBECvRzBJ7dXRm2ZvCIbzCyBqLHJojkU0LyKZHJZ8xHQxbPDtuouJYiSyiljSq+bKOyvq3HfIspZZX12KwGfO6EU7IRpNuo4p2rAXC0UXEJkNWV3EYV766MWjN2yjO2lrKotR3gsQ6vHfML3CG2tY0qoWFi+fyv1wiCrCsPV3yQo/TvTBuVoFsV3q34MfR3so1qswv+JGNEmNYlTB/Yl7QEUYSWtIz145YoiccVLUEK6qw6JhomiqEohbcVLWczlSQgofp1MfZejcCTZgXEeuv1oSw4Ifehh434qI5l4ahvHwaubU2rPaKlHPT1baYqrM1UiuoLHJ9/cS4IQkhPWHHuoZlK0CEK7xC8rDZhHIhiELJvJ8pTEEVIeVqbqQRRPEpPQQpq8cOEw0QxFKXwJj1dzVSSfITU3qnybC4iLhxXS4uCE3IfW3m6mqkk2ajvHoatTXi2B7SUg9b/+4snUifoyR+6BGa3zVWhMcZaW6Yu3NB+QQTOWopmfLK7yrLf9ybb3vUcsmF31W+09qsnBJcTho/nb9c68EEPvgATeLAbsqcF4fvVL5ZNUo+vTC+uWq/QHVRM8gRH3kkHFdNERTIRYd5lB9UAYvBJPzQ/Twdsk5HryARJau2lYlqIXA7GK01XLxXTRuRC8KYSkmkdZdEX4T+VBMkgMD6HQ7aNW+yoyqCjKm+aGlJ3RxUXD1kV6R1VSZTbO6q41iKrIrWjKr3sqLJeTXyHbzWyNnahrQFmZ+jAOORjIAvdJh1V6c7VQDg6qrgUikiBfo7As7srw9YMHvENRlZC9AAFkXxKSD4lMvmM+WjIEkrrqLInnrt8S5GFlNJRlV52VFnf1mO+xZTiynpsVqM+d8Ip2QjSHVXpztUAODqquATI6kruqEp3V0atGTvlGVsPZOJYJeGJ6ocXJ7PVAk+23Y6qMLC2VGU0TiygafTt4KKMwE0gN0VBCFN72KG555aqX0KXkP77P9WD+csfcrZZFUFg7BbZF3W1wrsaP9C+6u0r3Fjn89usmimUvd6No8nBrRv1UL/6XfXb6tf6119Vv6n+P0PDVfVp/Q/UkWmioVNrT/+T8NXXYSvcw8X+uHou5xv967vuxivBqK2rK0fUCHMN9uUvQRSh5S9b45UgicfVL0EK6gw8IhphGumyaM5uQ1EYb4tggUW835bFIxTKLsbpq9F61iyZWK/JPpQFJyRA9BATG9OxLBr1BcSgOeM5xsSzlIO+vr1XWsYbp9+1jHdejmhyBg7Qv4wXBCFkJ6yM99B8JegQhXcIXmybMA5EMQjJtxP1KYgipD6tzVeCKB7lpyAFtfohwpHrNJ4GxkQ+FGXxpj5dLViSfIQE36n8bK4vLhwXUouCEzIgW366WrAk2ahvIIatTX+2B7SUg/Z7nlVomxguXHjaMWt4W2+5YtqLXFbGCsJttFwxyRMceSctV0wTFclEhHmGlitjIT5gm4xcaCYIUWvLFdNC5HoxXl+6Wq6YNiJXijcVjkzrKKvCCP/lg8Rk35Bt39bareIg2NOfwqbjoXC3W3HxkBWx43YrrrXIikhttyou262slxff4VuNrItd6GiA2Rk6MA75GMgit0m7VbFzNRCOdisuhSJSoJ8j8OzuyrA1g0d8g5FVED0YQSSfEpJPiUw+Yz4asnx22G7FtRRZRCntVsVlu5X1bT3mW0wprKzHZjXCcyecko0g3W5V7FwNgKPdikuArK7kdqtid2XUmrFTnrHXd53GspHjRrx8x9GcWEDf6zSiIIRpPOywXHydRtQhCu8Q/FDYhHEgikGYpSQMj23rNKIoftdpRFG8rdOIUqwrBwcFdliuc7mxOXgoCnINFmlk+QjZvYvB5XKICYODek5/+RsT+KEsOCH9ocdF6KCOZdmorx+Gzb1IgwloKQd9fU9PDS1T2lp8uq/+MzgDB+hffAqCENITVnx67vXnHp8q6laFdytewl6Lvn5SW/9TJ6Vu0NEvGi9CsepEqwuiCGn12ERyS5TEo1QXpKBqBUQ0ooEy91OJgniT6tZuflk8QinsVKmHjbCzX0wtC05Ifmylbu3ml0WjvnwYtDah3h7PUg7aczeVTXpHTrxiHW/L3VRse5Grxljl7L+bik2e4Mg76KZim6hIJiLMM3RTGVXRAdtk5DoyQYJauqnYFiKXg/HK0t5NxbYRuRC8qWZkWkdZ9EX4LwoGqW3elmnhFvupYuinShYtDdp+Vz8VHw9ZEzvtp+Jbi6yJtH4qbU7TT7V0s8nqO3yrkZWxCyENMDtDB8YhHwNZ5vj9VGD71UBY+6n4FIpIgX6OwLO7K8PWDB7xDUbWQfRoBJF8Skg+JTL5jPloyALaWT8V31JkGcX3U10mnbuOt/WYbzGltLIem9UYz51wSjaCbD/V/5+9v++RJLnOfMGvkrh/6UZWBPzN3D0E7B/smlQh+lZWRqdXLkBMDwb5ele4dyhAwwV2LzCA2BQlCtSS0nBeBIovInXv3vljMWh2s6Rmk938CpFfYT/JukVGeHR6mZk/54Q/FlkrjobFruqq4vkdcz/nMbPH3HbFZjsAXj+VngDsrkI/lX12uqB6wV7ogl0Lbmj7y/J4Z9SBJQX1rNrrp8plnChg/C0tIohgHQ+dmEfwUxETYvCE4JNhF8YJFUOwTCmYIPv3aIgopD0ar5+KiBJxk4ZIIV0nBoYjnyVu+++CShJtlyZkqGLyCcr7GLPLbo6Zb5f1/RfPc8EF9Q+eGMGDuuSySd8/hG1on2Z4QBse9BM2VGVeQ1UhTQYGGF99EkEE5QlVn++MoYqYVoOnFdew76qhyqwNVfO9DVXE8RI0q1HEOhGFJNadW4cvqCQRtTqRQqoVgNEoZ+nm+zZva3UiSTStHnBUMfEEvXBUqV5slZ3/dmouuKD6qaV6wFHFRJO+fQjakFIfHs+GBx3ZUeVsC632NgG8LEn6eAd3VCnj7ZeMd9BRpSQvMPJRHFXKEI0oRCA8h6OqcIV8og4Z3EkWaFCvo0oZIbghjEvLkKNKGSO4FbyvaFRGJ9n2RfLXanPfwq0ywgM6qkrrqKq2pgYTdlRp8cCeOLKjShst2BOljiqzc1R5rzJ+qY8a7IxjCGkLM1kEME71GGCb28dRZSaPByLgqNJSGCEF/BzZzB53gfUCPtMHDPZBeDYCFJ/GFp8GLD5LPRrYQEd0VGkjBduoxFFldo4q79t6ro9Y0lpVj003xwsXnEaNwHZUmcnjAQg4qrQEYHcVO6rMcRdUL9gLXbBrwQ3tf1ke74w6sKSgnlV7HVWljBMFjL+nRQQRrOOhE/MIjipiQgyeEHwy7MI4oWIIlikFE2T/Jg0RhbRJ43VUEVEi7tIQKaTrxMBwpDNjfBNzIkm0XZqQo4rJJyjvY8wuuzlmuV3W9188zwUX1D94YgQP6pLLJn3/ELahfZrhAW140E/YUZV7HVWVNBkYYHz1SQQRlCdUfb4zjipiWg2eVlzDvquOqjSpkunX8+R8T0cVcbwEzWoUsU5EIYl1n6OKSBJRqxMppFoBGI18lqaVi2RBJYmm1QOOKiaeoBeOKtWrrbLz3zjNBRdUP7VUDziqmGjStw9BG1Lqw+PZ8KAjO6oKF16rvUMXGmZJ2sc7uKNKGS+4b4xK50M4qpTkBUY+iqNKGaIRhQiE53BUGVfIJ+qQwZ1kgQb1OqqUEYIbwri0DDmqlDGCW8H7ikZldJJtXyB/xl3TFur4Duinmj87zdNka2mow34qLR7YEUf2U2mjBTui1E9V7/xU3nuJX+qjBvviGDLawkwWAYxTPQbY5PbxU9WTxwMR8FNpKYyQAn6ObGaPu8B6AZ/pAwa7IDwXAYpPY4tPAxafpR4NbJ8j+qm0kYJNVOKnqnd+Ku/beq6PWNJYVY9NN8MLF5xGjcD2U9WTxwMQ8FNpCcDuKvZT1cddUL1gL3TBruU2tPtlebzz6cCCgnpO7fVTzWWcKGD8HS0iiGAVD52WR/BTERNi8ITgU2EXxgkVQ7BIKZge+7doiCikLRqvn4qIEnGPhkghXSWGhqMqneOxoJJE26MJ+amYfILyPsbssptjzreL+v6b5bnggvoHT4zgQV1y2aTvH8I2tEszPKAND/oJ+6kKn58qTaTJwACjq08miKA8oerzXfFTMdNq8LTiGvZd9VOZJEum59W+X6hijpegWY0h1pkoJLHu8VMxSeJpdSaFVCsAo5HOjHM4FlSQaFLdb6ei4gla4ZhKPd3e5ZwGLuemgguKn1qp++1UVDTpy4egDQh1YDwbHnRkO5Vx4bXSO3SjYZZkfbxD26m08YLbxqhyPoCdSkteYORj2Km0IRpRiEB4DjuV09V8og4Z3EgWSFCfnUobIbgfjCvLgJ1KGyO4E7yvZlRGJ9n1RfLXPoTGFeFCHeHhDFVpZg1V+cbTkKZBQ5UaD+yJ4xqq1NGCPVFoqErTzlCVeq8mfqmPGuyMYwhpCzNZBDBO9Rhgm9vDUNXG/ngg/IYqNYURUsDPkc3scRdYL+AzfcBgH4RnI0DxaWzxacDis9SjgQ10PEOVOlKwjQoMVV3R+SDwtp7rI5a0VtVj083xwgWnUSOQDVVdsdkOgN9QpSYAu6vUUNU+O11QvWAvdMGuBTe0/WV5vDPqwJKCelbtM1SlmYwTBYy/pUUEEazjoRNzvqGKmRCDJwSfDLswTqgYgmVKwQTZv0dDRCHt0fgMVUyUiJs0RArpOjEwHO28vPTt0hBJou3SBAxVVD5BeR9jdtnNMbPtsn7gankquKD+wRMjeFCXXDbp+4ewDe3TDA9ow4N+woYq4zVU5dJkYIDx1ScRRFCeUPX5zhiqiGk1eFpxDfuuGqrypEim59nehirieAma1ShinYhCEutObfiCShJRqxMppFoBGI18ZjJnUVtQSaJp9YCjiokn6IWjSvXtZc5p4HZuKrig+qmlesBRxUSTvn0I2pBSHx7Phgcd2VFVuvBa7V0E8fI+3sEdVcp4+yXjHXRUKckLjHwUR5UyRCMKEQjP4ahyb/GcqGMGt5IFItRrqVJGCO4I49oyZKlSxgjuBe+rGpXRSfZ9gfxVtfviyYU6wAM6qox1VJVbU0MRdlRp8cCeOLKjShst2BOljqpi56jyXk38Uh812BnHENIWZrIIYJzqMQohhsLkUEweD0TAUaWlMEIK+DmymT3uAusFfKYPGGyD8GwEKD6NLT4NWHyWejSwf47oqNJGCnZRiaOq2DmqvG/ruT5iSWdVPTbdHC9ccBo1AttRVUweD0DAUaUlALur2FFVHHdB9YK90AW71tvQ/pfl8c6oA0sK6lm111FlZJwoYPw9LSKIYB0PnZhHcFQRE2LwhOCTYRfGCRVDsEwpmB/7N2mIKKRNGq+jiogScZeGSCFdJwaGwx51ci6PLqgk0XZpQo4qJp+gvI8xu+zmmGa7rB+4Wp4KLqh/8MQIHtQll036/iFsQ/s0wwPa8KCfsKOq9DqqSmkyMMD46pMIIihPqPp8ZxxVxLQaPK24hn0SjqpnCktVmtTJ9Ovpvnf+MQdM0K1GUetEFJJaz10kL6gkEcU6kUIqFoDRyKynykWyoJJEE+sBSxUTT9AMR9Xq29uc08D13FRwQfVTa/WApYqJJn37ELQhqT48ng0POrKlqnLhteK7CuIVfbyDW6qU8YIbx6h2PoSlSkleYOSjWKqUIRpRiEB4LkuVUxedqGMG95IFItRrqVJGCG4J49oyZKlSxghuBu+rGpXRSTZ+gfzlJp05L8NZqCM8oKeqtp6q+dbWUIU9VVo8sCmO7KnSRgs2Ramnqtp5qryXE7/URw22xjGUtIWZLAIYp3oMsM/t46mqJo8HIuCp0lIYIQX8HNnMHneB9QI+0wcM9kF4OgIUn8YWnwYsPks9GthAR/RUaSMF26jEU1XtPFXet/VcH7Gktaoem26SFy44jRqB7amqJo8HIOCp0hKA3VXsqaqOu6B6wV7ogl0LbmgHzPJ4p9SBNQX1tNrrqQpfb/gWJwoYf1eLCCJYyENn5hE8VcSEGDwh+GzYhXFCxRCsUwomyP5dGiJKXwQEUPCZdMBTRUSJuE1DpJAuFAPDYbJZ5WxXCypJtG2akKeKySco72PMLrs5Zr1d1w9cL08FF9Q/eGIED+qSyyZ9/xC2oY2a4QFteNBP2FNVeT1Vc2kyMMD46pMIIihPqPp8ZzxVxLQaPK24hn13PVUmyaZf39NQRRwtQasaRaoTUUhS3WeoIpJEVOpECqlSAEYjTczMFC6UBRUlmlQPOKqYeIJWOKpS397nnAYu6KaCC8qfWqkHHFVMNOnrh6ANCfXh8Wx40JEdVc6t/K/lWRLEM328QzuqtPGC28aocj6Ao0pLXmDkYziqtCEaUYhAeG85qjL383SiDhncSBaIUJ+hShshuB+Ma8uAoUobI7gTvKdq1EYn2fUF8pclWeL5WOBCHePhLFVZ+qz9Idu4GrIkaKlS44FdcVxLlTpasCsKLVVZ0lmqMu8FxS/1UYO9cQwpbWEmiwDGqR4DbHR7WKra2B8PhN9SpaYwQgr4ObKZPe4C6wV8pg8Y7ITwfAQoPo0tPg1YfJZ6NLCFjmepUkcKNlKBpaorOh8E3tZzfcSS5qp6bLazvIGC06gRyJaqrthsB8BvqVITgN1Vaqlqn50uqF6wF7pg15Ib2gCzPN45dWBRQT2v9lmqsvAFh29xooDRN7WYIIKVPHRqzrdUMRNi8ITg02EXxgkVQ7BQKZgie/dpmCikfRqfpYqJEm+jhkkhXSkGhiNP8lmSFS6WBZUl2k5NwFRF5RMU+DHml90sM90s7WeBK+ap4IIKCE+N4EFdctmkbyDCNrBXAwxow4Ne68+8vr7MkuJ6enU1L6dFnSbTqzxt/ylN77LL9C4trosPD6A/nevGrf7MpMnAAOPrTyKIoDyh+vOR9efL1aet9nyw7Hy5+vXawvODoweR+eC4SUz18BWjh19c/umffPP2+ptH/+r2+k/+dO2ySY5caXlOTYvB04Kr0Mf+L19uHm2SjeCC+vDDbwRsUD9Z/fDZ0eqX6z+1NqVZI9o8SfJnRyligUrav941PCfU4RH0llHUNRGFpK49LigmSURxTaSQtnZgNMqknCWF51MCTJZo4tpvg6LiCZrXqNp6ewtzFrhWmwouqH9qbe23QVHRpO8fgjYkrYfHs+FBR7ZBzV14rVjOg3hlH+/gNihlvOBWL6p1D2GDUpIXGPkoNihliEYUIhCeywbl9J+cqGMGd38FMtTrg1JGCG7i4uoy5INSxghu3+6rG5XRSbZqkfwV6awwrhAX6hAPaIMqrA3KbJ0IedgGpcUDu+LINihttGBXlNqg8p0Nynur8Et91GBvHENKW5jJIoBxqscAG90+Nqh88nggAjYoLYURUsDPkc3scRdYL+AzfcBgI4TnI0DxaWzxacDis9SjgR10RBuUNlKwj0psUPnOBuV9W8/1EUt6q+qx6WZ54YLTqBHYNqh88ngAAjYoLQHYXcU2qPy4C6oX7IUu2LXihrasLI93Th1YVFDPq702qELGiQLG34YigvSlR2iAwKl5BBsUMSEGTwg+HXZhnFAxBAuVghmyf6OGiELaqPHaoIgoEXdqiBTSlWJgOLK2mLsPii6oKNE2akIuKCafoL6PMb3sJpnFdmU/cC08FVxQAOGZETyoSy6b9AVE2Ia2aoYHtOFBP+FPS829LigjTQYGGF9+EkEE5QmVn+/Kp6WYaTV4WnER23dRvZWKT6xpafVp+8s9YxU0Cuuf/qb9z+fr/5n1L3744Tceu7LWrqmHvNrLiPZ1ShGHQNB/RhHgRBSSAHcuT7ygkkTU30QKafsHRqPIZoW7UC2oKNH0d8AoxcQT9LdR5ff2cuUscFs2FVxQ/tTyO2CUYqJJXz8EbUh9D49nw4OOa5Ryn95t9XQZxKv6eAc3Sinj7ZeMd9AopSQvMPJRjFLKEI0oRCA8xw18zmWwE3XI4PawQIR6fVLKCMFdXlxbhnxSyhjB/d19VaMyOsleLpC/zMxSZ1VbqCM8oE2qsjapeutUKMM2KS0e2BNHtklpowV7otQmVe5sUt6bgl/qowY74xhC2sJMFgGMUz0G2Ob2sUmVk8cDEbBJaSmMkAJ+jmxmj7vAegGf6QMG+yA8GwGKT2OLTwMWn6UeDWygI9qktJGCbVRikyp3Ninv23quj1jSWlWPTTfHCxecRo3AtkmVk8cDELBJaQnA7iq2SZXHXVC9YC90wa4FN7SnZXm8M+rAkoJ6Vu21SVUyThQw/j4VEUSwjodOzCPYpIgJMXhC8MmwC+OEitEXBQEMwQTZv0tDRCHt0nhtUkSUiNs0RArpOjEwHPmsKisXyYJKEm2XJuSSYvIJyvsYs8tujlltl/UDF71TwQX1D54YwYO65LJJ3z+ELTigS2RAGx7003VJterTuWbcqs/wbYSOZGCA8dUnEURQnlD1+c64pIhpNXhacQ37JC7gU9y/lyVlMn1RJHtewcccL0GzGkWsE1FIYt1nqSKSRNTqRAqpVgBGo5qZ3DkeCypJNK0ecFQx8QS9cFSpvr1aOQvclU0FF1Q/tVQPOKqYaNK3D0EbUurD49nwoCM7qnwrv/MgXt3HO7ijShkvuG+MSudDOKqU5AVGPoqjShmiEYUIhJe/7ajyaVVlyOBOskCDeh1VygjBDWFcWoYcVcoYwa3gfUWjMjrJti+Qv8Ikc/+np5QxHs5TlSfP2h/Sra1hHvZUafHArjiyp0obLdgVpZ6q+c5T5b0r+KU+arA3jiGlLcxkEcA41WOAjW4fT9V88nggAp4qLYURUsDPkc3scRdYL+AzfcBgJ4TnI0DxaWzxacDis9SjgS10RE+VNlKwkUo8VfOdp8r7tp7rI5Y0V9Vj083ywgWnUSOwPVXzyeMBCHiqtARgdxV7qubHXVC9YC90wa4lN7QDZnm8c+rAooJ6Xu3zVOWJjBMFjL6rxQQRrOShU3O+p4qZEIMnBJ8OuzBOqBiChUrBFNm7TcNEIW3T+DxVTJR4+zRMir5yCFCgU/OyKmeF79tTTJZoOzUBVxWVT1Dgx5hfbmeZebJZ2s8Dd71TwQUVEJ4awYO65LJJ30CEbWCvBhjQhge91p9FnpsivTTT9O7yttvXqQ7sqkp9rqo8fB2hIxkYYHz9SQQRlCdUf0Z2Vf3QGoXaP/8Xqzdf+U1Bp5W9Yc6V6ufUVBs81biyfRJOq2ciq5X7vr99/FbMURO0sVGEPBGFJOQ9fismSUQdT6SQqghgNNLcZLPa9xErJkw0Ie+3XFHxBI1yVB2/vXg5D9ykTQUXFEC1jvdbrqho0hcQQRuS8cPj2fCgI1uufMI8C+LN+3iHtlxp4wW3lVFdfQDLlZa8wMjHsFxpQzSiEIHwHJYr5/N/og4Z3GgWyFCf5UobIbhfjKvLgOVKGyO4U7yvblRGJ9kVBvJXz8rCFeBCHeAB/Va59VsVG8tDngX9Vmo8sCWO67dSRwu2RKHfKs86v1XuvZT4pT5qsDGOoaMtzGQRwDjVY4Bdbg+/VRv744Hw+63UFEZIAT9HNrPHXWC9gM/0AYNtEJ6MAMWnscWnAYvPUo8G9s/x/FbqSMEuKvBbdUXng8Dbeq6PWNJZVY9NN8ULF5xGjUD2W3XFZjsAfr+VmgDsrlK/VfvsdEH1gr3QBbvW29DemOXxTqgDKwrqSbXXb5XLOFHA+PtdRBDBMh46L4/gtyImxOAJwefCLowTKoZglVIwP/Zv0xBRSNs0Xr8VESXiPg2RQrpMDAxHW8vnpYtkQSWJtkkTclsx+QTlfYzZZTfHzLer+oEr5anggvoHT4zgQV1y2aTvH8I2tE0zPKAND/oJf8Mq87qtCmkyMMD46pMIIihPqPqM7LZSf8OKmVaDpxXXsE/CWSUyVm2/YZUn0/M6eW9PTxVxvATNahSxTkQhifXcRfKCShJRqxMppFoBGI1sZubOpregkkTT6gFDFRNP0AtHlerbO5zzwKXcVHBB9VNL9YChiokmffsQtCGlPjyeDQ86sqHK2RZa7W1CeGnSxzu4oUoZb79kvIOGKiV5gZGPYqhShmhEIQLhOQxVzuf/RB0yuJMs0KBeQ5UyQnBDGJeWIUOVMkZwK3hf0aiMTrLtC+QvL2al75isMsIDOqpK66iqtqYGE3ZUafHAnjiyo0obLdgTpY4qs3NUeW8vfqmPGuyMYwhpCzNZBDBO9Rhgm9vHUWUmjwci4KjSUhghBfwc2cwed4H1Aj7TBwz2QXg2AhSfxhafBiw+Sz0a2EBHdFRpIwXbqMRRZXaOKu/beq6PWNJaVY9NN8cLF5xGjcB2VJnJ4wEIOKq0BGB3FTuqzHEXVC/YC12wa8EN7X9ZHu+MOrCkoJ5Vex1VpYwTBYy/p0UEEazjoRPzCI4qYkIMnhB8MuzCOKFiCJYpBRNk/yYNEYW0SeN1VBFRIu7SECmk68TAcJhZlvh2aYgk0XZpQo4qJp+gvI8xu+zmmOV2WT9w+zwVXFD/4IkRPKhLLpv0/UPYhvZphge04UE/YUdV7nVUVdJkYIDx1ScRRFCeUPX5zjiqiGk1eFpxDfuuOqrM2lE139tRRRwvQbMaRawTUUhi3eeoIpJE1OpECqlWAEYjTWZFUrhQFlSUaGI9YKli4gma4ahafXvhcx64wZsKLih/aq0esFQx0aSvH4I2JNWHx7PhQUe2VDnLUCu+g7cepmkf7+CWKmW84MYxqp0PYalSkhcY+SiWKmWIRhQiEJ7DUuV8/k/UIYNbyQIR6rVUKSMEd4RxbRmyVCljBPeC91WNyugk+75A/rJitmkmb4tBZYQHtFTNn53mRbJ1NdRhS5UWD+yJI1uqtNGCPVFqqap3lirv9cUv9VGDnXEMIW1hJosAxqkeA2xz+1iq6snjgQhYqrQURkgBP0c2s8ddYL2Az/QBg30Qno0AxaexxacBi89SjwY20BEtVdpIwTYqsVTVO0uV920910csaa2qx6ab44ULTqNGYFuq6snjAQhYqrQEYHcVW6rq4y6oXrAXumDXghvaALM83hl1YElBPav2WqrmMk4UMP6mFhFEsI6HTswjWKqICTF4QvDJsAvjhIohWKYUTJD9uzREFNIujddSRUSJuE1DpJCuEwPDkc9KU7pIFlSSaLs0IUsVk09Q3seYXXZzzPl2WT9w+TwVXFD/4IkRPKhLLpv0/UPYhvZphge04UE/YUtV4bNUFYk0GRhgdPXJBBGUJ1R9viuWKmZaDZ5WXMO+q5aqNKmS6dfz5Hw/SxVzvATNagyxzkQhiXWPpYpJEk+rMymkWgEYjWqWp86XZEEliabV/Y4qKp6gF44p1YvtZc9F4PZuKrig+qmlut9RRUWTvn0I2oBSB8az4UFHdlQZF16rvYOXGqZZH+/QjiptvOC+MSqdD+Co0pIXGPkYjiptiEYUIhCew1HlfP5P1CGDO8kCDepzVGkjBDeEcWkZcFRpYwS3gvcVjcroJNu+QP6K2dz5EC7UAR7OUFVk1lCVbzwNRRo0VKnxwJY4rqFKHS3YEoWGqiLtDFWF93Lil/qowcY4ho62MJNFAONUjwF2uT0MVW3sjwfCb6hSUxghBfwc2cwed4H1Aj7TBwy2QXgyAhSfxhafBiw+Sz0a2D/HM1SpIwW7qMBQ1RWdDwJv67k+YklnVT023RQvXHAaNQLZUNUVm+0A+A1VagKwu0oNVe2z0wXVC/ZCF+xab0PbX5bHO6EOrCioJ9U+Q1WRyThRwPhbWkQQwTIeOi/nG6qYCTF4QvC5sAvjhIohWKUUzI/9ezREFNIejc9QxUSJuElDpJAuE0PDURXOTbMFlSTaJk3AUEXlE5T3MWaX3Rwz267qB26Xp4IL6h88MYIHdcllk75/CNvQNs3wgDY86CdsqDJeQ1UuTQYGGF99EkEE5QlVn++MoYqYVoOnFdew76qhyiRZMj2v9v1GFXO8BM1qFLFORCGJdac2fEEliajViRRSrQCMRjoramdRW1BJomn1gKGKiSfohaNK9e19zkXggm4quKD6qaV6wFDFRJO+fQjakFIfHs+GBx3ZUOU8g9Vq7yKIl/fxDm6oUsbbLxnvoKFKSV5g5KMYqpQhGlGIQHgOQ1XlCvlEHTK4kyzQoF5DlTJCcEMYl5YhQ5UyRnAreF/RqIxOsu2L5K99CH0Lt8oID+ioMtZRVW5NDUXYUaXFA3viyI4qbbRgT5Q6qoqdo8p7O/FLfdRgZxxDSFuYySKAcarHKIQYCpNDMXk8EAFHlZbCCCng58hm9rgLrBfwmT5gsA/CsxGg+DS2+DRg8Vnq0cAGOqKjShsp2EYljqpi56jyvq3n+oglrVX12HRzvHDBadQIbEdVMXk8AAFHlZYA7K5iR1Vx3AXVC/ZCF+xacEP7X5bHO6MOLCmoZ9VeR5WRcaKA8fe0iCCCdTx0Yh7BUUVMiMETgk+GXRgnVAzBMqVgguzfpCGikDZpvI4qIkrEXRoihXSdGBiOdl7uXB1dUEGibdKEDFVMPkF1H2Ny2U0xzXZVP3C5PBVcUP7geRE8qEsum/T1Q9iGtmmGB7ThQT9hQ1XpNVSV0mRggPHFJxFEUJ5Q8fnOGKqIaTV4WnEJ+64aqvKkSKbn2d6GKuJ4CZrVKFqdiELS6s49mxdUkohSnUgh1QrAaOQzYyXI2yQLKkk0rR4wVDHxBL1wVKm+vc65CNzPTQUXVD+1VA8Yqpho0rcPQRtS6sPj2fCgIxuqnIaSVntXQbyij3dwQ5UyXnDbGJXOhzBUKckLjHwUQ5UyRCMKEQjPYahy3kFyog4Z3EgWaFCvoUoZIbgfjEvLkKFKGSO4E7yvaFRGJ9n1RfJXz0qfoUoZ4QENVbU1VM23noYqbKjS4oE9cWRDlTZasCdKDVXVzlDlvZv4pT5qsDOOIaQtzGQRwDjVY4Btbh9DVTV5PBABQ5WWwggp4OfIZva4C6wX8Jk+YLAPwrMRoPg0tvg0YPFZ6tHABjqioUobKdhGJYaqameo8r6t5/qIJa1V9dh0c7xwwWnUCGxDVTV5PAABQ5WWAOyuYkNVddwF1Qv2QhfsWnBD+1+WxzujDiwpqGfVXkNV+G7DtzhRwPh7WkQQwToeOjGPYKgiJsTgCcEnwy6MEyqGYJlSMEH2b9IQUfoiIICCz6QDhioiSsRdGiKFdJ0YGI5sVnm/HU0kibZLE3JUMfkE5X2M2WU3x6y3y/qBu+Wp4IL6B0+M4EFdctmk7x/CNrRPMzygDQ/6CTuqKq+jai5NBgYYX30SQQTlCVWf74yjiphWg6cV17DvqqMqS8pk+qJIvr6no4o4XoJmNYpYJ6KQxLrPUUUkiajViRRSrQCMhpmZ2ueoIpJE0+oBRxUTT9ALR5Xq29uci8D13FRwQfVTS/WAo4qJJn37ELQhpT48ng0POrKjyuko+VpukiCe6eMd2lGljRfcN0al8wEcVVryAiMfw1GlDdGIQgTCcziqUqcuOlHHDG4lC0Soz1KljRDcEca1ZcBSpY0R3AveUzVqo5Ps+wL5y+fJzHe7gDbEw3mqTPqs/SHb2BpMEvRUqfHArjiup0odLdgVhZ4qk3SeKuO9nfilPmqwN44hpS3MZBHAONVjgI1uD09VG/vjgfB7qtQURkgBP0c2s8ddYL2Az/QBg40Qno8AxaexxacBi89SjwZ20PE8VepIwT4q8FR1ReeDwNt6ro9Y0ltVj812ljdQcBo1AtlT1RWb7QD4PVVqArC7Sj1V7bPTBdUL9kIX7FpxQztglsc7pw4sKqjn1T5PlQlfb/gWJwoYfVeLCSJYyUOn5nxPFTMhBk8IPh12YZxQMQQLlYIZsnebholC2qbxeaqYKPH2aZgU0pViYDhMPTOlc0AWVJRoGzUBUxWVT1Dfx5hedpPMdLOybwL3y1PBBQUQnhnBg7rksklfQIRtYKsGGNCGB/2ETVW1z1RlMmkyMMD48pMIIihPqPx8V0xVzLQaPK24iH0SpqpnCldVapJsuqelijlaglY1ilYnopC0usdSxSSJKNWJFFKlAIxGmlazNPOYqpgs0bS631RFxRP0wlGl+vZGZxO4opsKLqh/aqnuN1VR0aTvH4I2pNSHx7PhQUc2VTnLUKu98yBe2cc7uKlKGS+4cYxK50OYqpTkBUY+iqlKGaIRhQiE95apKnM/TyfqkMGtZIEK9XqqlBGCO8K4uAx5qpQxgnvB+8pGZXSSfV8gf1mSZLOqcMW4UMd4QFNVYU1VZutryMOmKi0e2BVHNlVpowW7otRUle9MVd4bil/qowZ74xhS2sJMFgGMUz0G2Oj2MVXlk8cDETBVaSmMkAJ+jmxmj7vAegGf6QMGOyE8HwGKT2OLTwMWn6UeDWyhI5qqtJGCjVRiqsp3pirv23quj1jSXFWPTTfLCxecRo3ANlXlk8cDEDBVaQnA7io2VeXHXVC9YC90wa4lN7QDZnm8c+rAooJ6Xu01VRUyThQw/q4WEaQvPUIDBE7NI5iqiAkxeELw6bAL44SKIVioFEyR/Rs1RBTSRo3XVEVEibhTQ6SQrhQDw5EnyaxInYV8QWWJtlMTclUx+QQFfoz5ZTfLLLZL+4E75qngggoIT43gQV1y2aRvIMI2tFczPKAND3qtP/P6+jJLiuvp1dW8nBZ1mkyv8rT9pzS9yy7Tu7S4Lj48gP50rhu3+tNIk4EBxtefRBBBeUL15yPvz5erT1vt+eDZ+XL167WH5wdHDyLzwXKTmCqZfj1Nzh9+cfmnf/LN2+tvHv2r2+s/+dO1zSY5cqXlOTUtBk8LrkIfG8B8uXm0STaCDerDD78R8EH9ZPXDZ0erX67/1NqVZp1o8yRpJ9wp4oFK2r/eNTwn1OER9JZR1DURhaSunWsPL6gkEcU1kULa2oHRKFtxXWfOLrWgskQT1wEbFBNP0LxG1dbbe5hN4GJtKrig/qm1dcAGxUSTvn8I2pC0Hh7Phgcd1waVO8e0FctlEK/q4x3cBqWMt18y3kEblJK8wMhHsUEpQzSiEIHwXDYo5wtwoo4Z3P0VyFCvD0oZIbiJi6vLkA9KGSO4fbuvblRGJ9mqBfKX5bPMqc8X6ggP6IKqrAuq3hoRyrALSosHNsWRXVDaaMGmKHVBlTsXlPda4Zf6qMHWOIaStjCTRQDjVI8B9rl9XFDl5PFABFxQWgojpICfI5vZ4y6wXsBn+oDBPghPR4Di09ji04DFZ6lHAxvoiC4obaRgG5W4oMqdC8r7tp7rI5a0VtVj003ywgWnUSOwXVDl5PEABFxQWgKwu4pdUOVxF1Qv2AtdsGvBDe1YWR7vlDqwpqCeVntdUJWMEwWMvwtFBBEs5KEz8wguKGJCDJ4QfDbswjihYvRFQQBDMEH279MQUUj7NF4XFBEl4kYNkUK6UAwMRz4raud4LKgk0bZpQh4oJp+gvI8xu+zmmNV2XT9wLTwVXFD/4IkRPKhLLpv0/UPYggO6RAa04UGv1ef1bV5V+U0+vSwub6dFkdTTy+rqdlpnpiqurtOsrjdqM6769HmgwncXOpKBAcZXn0QQQXlC1ecjD9QXqzerT1dftqrz+/d/+eDx6X8b6pHr6d867VGuvDyn5sXgecFF6FBqhrxKj7/TBHqUHKk7oaZOUPhHEb5EFJLw9RmUiCQRdS+RQtp3gdEoZ/Ny7iJZUEmi6d6APYmJJ+gro8re7aXGJnBLNRVcUP3UsjdgT2KiSd8+BG1I9Q6PZ8ODjmxP8q2izoN4dR/v4PYkZbzgHiwqQw9hT1KSFxj5KPYkZYhGFCIQnsue5NwuOVHHDG7LCkSo156kjBDcXcW1ZciepIwR3FfdVzUqo5PsoSL5Syp3WVuoIzycPalMnrU/pFuHwDxsT9LigU1xZHuSNlqwKUrtSfOdPcl7R+9LfdRgaxxDSVuYySKAcarHAPvcPvak+eTxQATsSVoKI6SAnyOb2eMusF7AZ/qAwT4IT0eA4tPY4tOAxWepRwMb6Ij2JG2kYBuV2JPmO3uS920910csaa2qx6ab5IULTqNGYNuT5pPHAxCwJ2kJwO4qtifNj7ugesFe6IJdC25oM8nyeKfUgTUF9bTaZ08qExknChh9g4gJIljIQ2fmfHsSMyEGTwg+G3ZhnFAxBOuUggmyd5eGiULapfHZk5go8bZpmBR95RCggCfm5Szx3XzHRIm2TxPwJ1H5BPV9jOnldpJZJpuF/TJwxToVXFAA4ZkRPKhLLpv0BUTYBnZqgAFteNBP9+a7Vn56/EllKk0GBhhffhJBBOUJlZ/vys13zLQaPK24iO1/4+mtVHxi7Uprz1Pvs0/QKKx/+pv2P5+v/2fWv/jhh994/M2otU/qIa9puZ9Hipl/QfMZRX0TUUjq2+ORYpJEFN9ECmnvB0Yjz2apczwWVJJo2tvvkaLiCXrbqNJ7e0dxGbh0mgouqH5q6e33SFHRpG8fgjakvIfHs+FBt//v33yl7FhB/a9DCntkz5RPW2cB3DRwHBiLVqKZv+qZ8twX8J46XnBjGJXGP1390iqs+7/oVmZbJfblZl32O1agPSionTVqY5+y6uqf17LMqqvP19/kvP/uWtd9srFPfb5Wzh+3qvCzh094Pvy2Z1/9N1+uPu3E2UfbT3v+bh3SR5u/tRWIXx4lzzLrxWn/3vvv3n/kSulzdUoLLKVjmLG0IRpRiEB4Wd+MVfquzNOGDO5BC8Suz4ul</t>
  </si>
  <si>
    <t>jRDcSsY1bMCLpY0R3ETeV50qo5NsGAP5yxIzq2tXiAt1iAc0Y+XWjGWvzSuN/aHcOCPKLGjLUoOCfVduy8paCq8vSx0u2HiFvqwy63xZpfea35f6qMH2O4Z6tzCTRQDjVI8Btrw9fFlt7I8Hwu/LUlMYIQX8HNnMHneB9QI+0wcM9kR4CgTUocbWocbWocbWoQasQ0s9JNhWZQ6tQA36QB8q2F0FFq2u/nwQeHHP9RFLOq7qCermmOHa06gRyBatru5sB8Bv0VITgJ1WatFqn50uqF6wF7pgbbTX2dzO96+mN/P8eloUWTGtsySZ3qZX8/lVlZbV7aapeWfwgSUN9Szea9HKZZwooGuuH+CSzPddIO9RQQTriOhCwH/9ylz+46PV/7ud6//zepbeTsTbGeJJnv9b2zaSwu7K2F9/s/rl+t+uN3amD79o/VuubDynZsPg2cAnyC6MEyqGYI1UMGn27xARUUg7RJlxobygokTcIiJSSBepgeEw6ayoXCQLKkm0LaKifd6cfO9z+QS1fYxZZjfXzLd7CoHL2qnggvoHT5DgQV1y2aTvH8I2tEk0PKAND/rhdEBxU1XXt/n0Kq3raVGabHqZ315Ni/nlTXpVXt7U5vrDA0hPp8RupWchTQYGGF96EkEE5QmVnm+fDthY/t2HBHADkSs7z6nZMXh29paiRAxBKR5FihJRSFLUe1SAiBJRihIppK0QGI48mdW1s6gvqCjRtGhZzwqfX4nJJyj2o2rR7e2/ZeA6Zyq4oACqtah3UJdcNukLiLANadHhAW140GstejW/MZdFXk+zy3Te/t76bnplLrNpXRb1zU16c5OZTX2Nq0VzVzJaLWqkycAA42tRIoigPKFa9Gcb69H221G/frCTv1n9eqNJj1b/uDYr/fnaNGXXS9fudys5H37771ZfHrV/zd+tfjRdn2L9m9VPVv+p/fEfVr9wZeg5NUMGzxCuR1c/eshId1/zzq/12dHq5/cfrZPy64f14dWnR6u/bfPzz/bjXNY09jern6fJ0W69+JFf/+fJ0eoXR5k58onFE2q6BGV/FN1LRKHoXs/JphdUkoiyl0gh7brAaBTzYpamPt1LZImme1P7rVYX3/tcPkFjGVX3bq/mLQNXLVPBBQVQrXu9g7rksknfQIRtSPcOD2jDg344IpvcZTemuJpeXhkzLfKrolXLeTK9NHf1XW1uq2R+EN1buJLR6t5SmgwMML7uJYIIyhOqe3/k8Op/ZsXZV+z5R//T7Z9e/rvLo393+aeX/9v/9scbQdyquzetDLRKbv1zkyTzh3/xI7tia4WidfBv3P+/e/hNWZLcfydz+7meU3Nn8NzhiniTmNOHxPjIV7/sMmWT1CXh/jvls3mb+d+6snFCzYag3gsEr9eoTyQh6d3EuVv4gooSUfASKaTtFhiOLEtm2dwneIks0QTvvDD+k6lMQEFLGVXxlluBFLgcmQouqIBqxesf1SUXTvoOInBDknd4RBsedOTv9/sWb6sAXpbO+3gHP4uqjLdfNH5/FnUnYZUpLbCUjnIWVRmiEYUIhOc4i+rs8SfqkPtFnngWVRkheGhGJF29Z1GVMfZ1KeksqjI6yckYIH95Pkuc5X2hjvCAR1FrewB13v5Q2RsCqu1HussqfBRVCwq23bGPomrDBfuu9ChqtTuK6r3B86U+arD7jiHXLcxkEcA41WOAHW+fo6jV5PFABI6iaimMkAJ+jmxmj7vAegGf6QMGWyI85wHqUGPrUGPrUGPrUAPWoaUeEuyqYx5F1YYKNlfJUdRqdxTV++Ke6yOWNFzVE9RNKcO1p1EjsI+iVpPHAxA4iqolADut+ChqddwF1Qv2QhesjfayzJLLJL+bVneX9tOuaTq9vLu7nRbmJru7vE2uzd3VA493Ah9YwVBP4r1HUWsZJwoYfy+KCCJYOETXAfbYi/q5/XDr+jc/mLWaF6kpqlebn203XI58my3PqakyeKrwyTO29WSyOj1aX4/4yTqxH6+tWV/YY7t2eeWjzbYUuiNFTJJgPXaM6TqRJPaOFBEl4o4UkUK6Gg4MR25meeHbkCKiRNuQSvO6mM2Ni/B9LqGgsYwxxe0mutv7h8vAfdJUcEEFhGdngmFdcumkLyFCN7QlNTykDQ/6CZ8+yL0nYefSZGCA8ZUvEURQoFDle4jTB8QMGTxDuOA98OkDYroEhV8gff2nD4goJO3rLFcvqCQRpS+RQtp1gdGo5rOs8klfIko86Rs4fMDkE/SVUYXvfKuSAhdBU8EF9U8vfAOHD5hs0hcQYRuSvcMD2vCgn/AHYHLfodsqfFmZIxkYYHTZywQRlCdU9kb+AAwzOwbPDi55XRgnVAxBKR5DijJRKFLU/wEYJko8LcqkkLZCYDjsWpZzPBZUkmhSNPD9FyqfoNaPKUWr7c2iVeCqWCq4oP6ppWjg+y9UNun7h7ANSFFgQBse9BP+DHbuOwdbhW/vciQDA4wvRYkggvKESlHyZ7CZ2TB4NvaWnkQMQekdRXoSUUjS0/cZbCZKROlJpJC2PmA46tl6veNtkgWVJJr0DHwGm8onqO2jSs/t1ZpV4KpUKrig/qmlZ+Az2FQ26fuHsA1Jz+EBbXjQkc+j+sRkFsLLkj7eoc+jauPt14zfn0fdCU9lSgsspWOcR9WGaEQhAuE5zqPmrpBP1CGDh28E+tZncNVGCJ6cwWVr4DyqNsa+JuWcR9VGJzkeA+TPmFk1d0W4UEd4uPOolb0atbJXo1b2atRqeyVhFb4aVQ0Ktt2Rz6OqwwX7rvA8arW7GrUKXI2qjhrsvmOodQszWQQwTvUYYMfb4zxqtbsatRq4GlVNYYQU8HNkM3vcBdYL+EwfMNgS4SkPUIcaW4caW4caW4casA4t9ZBgVx3xPKo6VLC5Cs6jVrurUf0v7rk+YknDVT1B3ZQyXHsaNQL5PGq1uxo1XHde6wnATis9j1rZq1HdNedCF+yDAErybF7m0zK5LqbtHP5uWs+rm2ldt/8ivS4vr+absuSdwAdWMNSTeN951CqXcaKA8feEiCCCdUN0HWCP86g/3fyOf1q9WX3ylW+kpklt/0H/iVRmCg2eQnxSDZ5TTevqqP15P2vgwVRmVgTrsmPM24kklG0p/8FUJkrEbSkihXRZHBgOM5+V7vN9CypKtH2pNtZ6lvlMUUxCQYcZY67bzXi393lWgQtaqeCCCghP0wTDuuTSSV9ChG5ob2p4SBse9BM+mFr4DqZWhTQZGGB8CUwEERQoVAIf4GAqM0MGzxCucA97MJWZLkHhF0hfvyWLiELSvs5y9YJKElH6EimkXRcZjTyf1e5DfgsqSzzt6z+ZSuUTNJZRle/29tAqcB0sFVxQAPXK138ylcomfQMRtiHdOzygDQ/6CZ9MLbwnU400GRhgfN1LBBGUJ1T3xj6ZSsyOwbODa14XxgkVQ1CKR9GiRBSKFg2cTCWiRBSjRAppKwSGo55tP7HwthQlkkSToqGTqUw+Qa0fVYpuL/SsAje0UsEF9U8tRUMnU5ls0vcPYRuSosMD2vCgn/DJ1MJ7MrWUJgMDjC9FiSCC8oRKUfbJVGI2DJ6NvaUnEUNQekeRnkQUkvT0nkwlokSUnkQKaesDhiPNZ/PCdzSViBJNe4aOpjL5BMV9VO25vVmzCtyVSgUXFEC19gwdTWWySV9AhG1Iew4PaMODjnw01bjwWjUZvEsmS/t4Bz+aqoy3XzN+fzR1pzyVKS2wlI5yNFUZohGFCITnOJpauEI+UYfcr/HEo6nKCMFDNLhuDR1NVcYInp7ZV5Aqo5OclAHyZ2alcQW4UAd4wJOp9qbUyt6UWifbw2DhS1LVjGDDHftQqjZcsONKD6XuLkmtApekqqMG++4YOt3CTBYBjFM9Btjr9jmUursktRq4JFVNYYQU8HNkM3vcBdYL+EwfMNgM4ckOUIIaW4IaW4IasAQt9XxgKx3zPKo2VLCjSs6j7u5H9b+z5/qIJV1W9fB088hw2WnUCOzzqLv7UcMl57WeAGyy4vOo9n5Ud7m50AW7ntHc5Ml1mt9M79pp+rRIivl0bvLbaZnU9XXe/vwqvXng8c7aA8sW6pm79zxqLeNEAePvBBFBBIuF6OR/j/Oo/3X1Zm1SX5vyH34pcATVpGkKHUYl5s/g+cOn0ehh1BbfbrLtUvYMPolKTIlgGXaMaTqRhLINFTiJSkSJuA1FpJCuggPDUc6SonSRLKgk0Xah0iSdz9y3D7zPJRS0ljHmt90sd3udZhW4IZUKLiiA8NRMMKxLLp30HUTohnaihoe04UE/4YOoxnsQdS5NBgYYX/sSQQQFCtW+hziISsyQwTOEq9sDH0QlpktQ+AXK1+/AIqKQpK+zXL2gkkRUvkQKaddFRiOfGZ/yJZLEU76BY6hMPkFbGVX3bu/TrAIXpFLBBeVPr3sDx1CZbNL3D2EbUr3DA9rwoJ+w99/4jqHWwSu6XMnAAKOrXiaIoDyhqpfs/Wdmw+DZwBWuC+OEiiEovWMoTyYKRXn6vf9MlHjSk0khbX3AcKSzInXW8AWVJJr0DFj/qXyC2j6m9Ky392fWgQtRqeCC+qeWngHrP5VN+v4hbAPSExjQhgcd2frvnE60YjJ46VaW9fEObf3XxtuvGb+3/u+EpzKlBZbSMaz/2hCNKEQgPIf137hCPlGHDLodBfrW5ynQRgj6FXHZGrD+a2Psa1KO9V8bncSUCOSvnqW1K8CFOsDDWf/rzLr+7c1Utb2ZqjYb822dBv3/alCw647s/1eHC7Zdof+/Tjv/f+29oPOlPmqw+Y4h1i3MZBHAONVjgA1vD/9/G/vjgfD7/9UURkgBP0c2s8ddYL2Az/QBgx0RnvEAdaixdaixdaixdagB69BSDwk21REPAahDBXur4BBAV38+CLy45/qIJf1W9QR1M8pw7WnUCORDAF3d2Q6A/xCAmgDstNJDAO2z0wXVC/ZCF+yDAEK+3m95vPP3wAKGeg7vOwRQZzJOFDD+lhARRLBsiC4D7HEIgHYpFTOFBk8hPqdGzwEk86P7HzwsmkzXafvN/Uei4wDMzAiWZseYuhNJKDtT/uMATJSIO1NECunKODAc9awyvp0pIkm0nak0dC8VlVDQZMaY7naT3my7lRG4jZkKLiiA8ExNMKxLLp30HUTohnanhoe04UE/4eMApe84QJ1Lk4EBxlfBRBBBgUJV8AGOAzAzZPAM4SL3sMcBmOkSFH6B8vWbsogoJOnrLFcvqCQRlS+RQtp1kdGYz8rcOSALKko86es/D0DlE/SVUYXv9vbOOnAhKxVcUP/0wtd/HoDKJn0BEbYh2Ts8oA0P+glfS1V6zwMU0mRggPFlLxFEUJ5Q2Rv5WipmdgyeHVzyujBOqBiCUjyKFCWiUKSo/1oqJkpELUqkkLZCYDjawu62Wi+oJNGkaOBaKiqfoNaPKkW3F2rWgRtSqeCC+qeWooFrqahs0vcPYRuSosMD2vCgn/DRVM/3zlspaqTJwADjS1EiiKA8oVKUfTSVmA2DZ2Nv6UnEEJTeUaQnEYUkPb1HU4koEaUnkULa+oDhyGZJ4RyPBZUkmvQMHU1l8glq+6jSc3uBZh24EZUKLqh/aukZOprKZJO+fwjbkPQcHtCGBx35aKpzTFsxWQbx8j7ewY+mKuPt14zfH03dCU9lSgsspaMcTVWGaEQhAuG9dTTVeSbwRB1wv8ITD6YqIwTP0OCiNXQwVRkjeHhmXzWqjE5yUAbJX2Vmxnc0VRniAY+mVvZAqr2aqp5vT4OV4VOpWkaw4Y59KlUbLthxpadSy92pVO/dnC/1UYN9dwydbmEmiwDGqR4D7HX7nEotJ48HInAqVUthhBTwc2Qze9wF1gv4TB8w2A7hyQ5QghpbghpbghqwBC31fGAzHfNAqjZUsKdKDqSWuwOp3nf2XB+xpM+qHp5uHhkuO40agX0gtZw8HoDAgVQtAdhkxQdSy+MuqF6wF7pgbbSXZZZcJvndtLq7vJsW12k6vby7u50W5ia7u7xNrs3d1QOPd9YeWLZQz9y9B1LDt2+9xYkCxt8IIoIIFgvRyf8eB1J/3v7GL9a/+cGz37xITVG92vxse8TyyHe88jk1VQZPFT5jPuqfPP3b9S1TX67e2G2yL9t//OL+L9qf1O0s8NlRDh4yJWahrzkCWRhjGk4koewxBQ6ZElEi7jERKaRr3Mhw1NWsrpwNYkFlibbLlOZ1MZsbF+H7XEJB6xhj/trNYqvttkTgfmUquKAEwlMvwbAuuXTStxChCw7pEhnShgf9hI+ZVt5jprU0GRhgfG1LBBEUKFTbHuKYKTFDBs8QLmkPfMyUmC5B4RdoX7/BiohCEr/OcvWCShJR+xIppF0XGI0iS2f53DkiCypLPO0bOGfK5BM0llGV7/Zyzjpw3yoVXFAA9co3cM6UySZ9AxG2Id07PKAND/oJm/sr7znTuTQZGGB83UsEEZQnVPeyzf3EbBg8G7jGdWGcUDEEpXcU7UlEoWjPgLmfiBJRfBIppK0PGI4in9Xu5asFFSWa9gy5+5l8guI+qvbcXpFZB+48pYILCqBae4bc/Uw26QuIsA1pz+EBbXjQkd39tQvva/k8fK9W0cc7tLtfG2+/Zvze3d8pT21KCyylY7j7tSEaUYhAeG+5+1Pnc3qijhj0Mwr0rc9XoI0QdCTisjVg79fG2NekHHu/NjqJ7RDIX5Ek7g8BLNQRHs7dP0+ftT/Y26fm9vapub19ar699WWeBH3+alqw9Y7s81eHC/Zeoc9/nnQ+/7n3Is6X+qjBDjyGYrcwk0UA41SPAXa9PXz+beyPB8Lv81dTGCEF/BzZzB53gfUCPtMHDPZFeNoDFKPGFqPGFqPGFqPGFqMGLEZLPSnYX0d0/KtDBduswPHfFaEPAm/vuT5iSetVPUbbueVAAWrUCGTHf1d8tgPgd/yrCcB2K3X8t89OF1Qv2AtdsDZazEFlebwz+cBShno273P8z8NXbb3FiQJG3x1igggWENEFgUM6/pmpMniq8Fl03/D/4zZhf2lvkTp6cIZ9vLZF/dPqTfsT65Syv+PjtWnqs7VDKk0zMz//ikNqcyygtD8EDgUwEyVYmx1j8k4koexN+Q8FMFHi7U0xKaRL48BwFFk9a//jYllQWaJtTgUPBVAJBd1ljMluN+VNN7sZ88Cly1RwQQmE52mCYV1y6aRvIUI3sEEFDGnDg17L39uiSitzk09zc2mmRTE30zqvr6d32V15d3eZlvnl5nmPK3+dffFrW6+nIBkYYHz5SwQRFChU/q5lmnX824/sd673T1pd++b+u/bH1aetjLv/dvtfv1l9vPk+/1dtUl9affvx5iP+9ujngzb+Wav8/vs0yTY3rlZJMsmdM7zn1IwZPGO4Cm7h/mGazo76yfvhtE3AL9fThn/eHpkYSmj7d/20/ZNpO2W//4v1NuRHR0n2LJxjVx5PqHkUdAiBSLY7r5+2efytC+iPqEAUrZzMstyF8oKKElErEymkXRoYjjSbGffHERdUlGhSeV7OssLF9z6XT9CHRhXK2xs954FLWqnggjKoFsreQV1y2aQvIMI2JJOHB7ThQa9l8k2ezC/zu5tpkmbt773Js2l9U9xM79K6vrq9uk2K7CAy2dlHWpmcS5OBAcaXyUQQQXniyORnO1m3lr52HdgubsLyOayXiakzeOqEejl7Sy9/3SGX7V1f37dr8euF9TerTx5+uc3mdF5N18J4o5L/sJXJKpVMzJ6gPYyokolAsVUyESWiSiZSSJs0MBxpPisKp+BYUFHiqeRq5v6KzvtcPkEbGlUlby8AnQdudKWCC8qgXiX7BnXJZZO+gAjbkEoeHtCGB/2EvzBT+67RmhfSZGCA8VUyEURQnmCVHP8LM8wMGTxDAjF80C/MMNMlKPsC9es95ctEoehe7xdmmCQRZS+RQtp1gdGYl4nnWx0LKko02Rv4wAyVT9BXRpW928tG54HbY6nggvqnlr2BD8xQ2aQvIMI2JHuHB7ThQa9lb3aT5Yn9l8k8vZsWRX07vby7rqZpfXWZp2VZXN0dRPYaVzJa2WukycAA48teIoigPKGyF/jAzEb+pms3cKt3779j1zDt+eKZKwXPqSkweApwXfv89k9v//0ff/Moqbarsh/f/8DFdkJlExThUUQoEYUiQv2fmmGiRFShRAppEwSGI00S94GQBZUkmggNfGmGyieo8qOK0O21o/PAPbJUcEH9U4vQwJdmqGzS9w9hGxKhwwPa8KAjf2lm7sJrZWUZxDN9vIN/aUYZb79m/P5LMzs1qkxpgaV0lC/NKEM0ohCB8PL+l2ZK94N6og65X+OJn5pRRggehcdla+hTM8oY+5qU9KkZZXSS8+5I/kw9S531faEO8YDfmrE3yc7tTbLz+bPTIknsD+n28w7hO2XVtGDzHftbM9pwwe4r/dbM7k7ZeeBOWXXUYA8eQ7NbmMkigHGqxwD73j7fmtndKTsfuFNWTWGEFPBzZDN73AXWC/hMHzDYGOGJD1CMGluMGluMGluMGluMGrAYLfWkYIMd81sz2lDBPiv51szudln/23uuj1jSe1WPUTe7DBegRo3A/tbM7nbZcPF5rScA2634WzP2dll34bnQBbvWu8lddmOKq+nllTHTIr8qpldpnkwvzV19V5vbKpkfYKPIM0NuZ/Th68je4kQB428UEUEES4joksAe35pZX626dvysf26SZP7wL35kPfPWUGQn85uFgN9tThFsvkDjyt1zau4Mnjt8Yt3/+IybfPXLLlM2SV0SumtnZx9++A1XRk6oGelLk0BGxpi3E0ko21KBr8wQUSJuSxEppMviyHCU81lW5i6WBZUl2sbUvDAeqfs+F1DQVsaY5XZz3e01pfPAzbNUcEEFhCdo+KguuXDSdxCBC47oEhnRhgf9hL8xM/d+Y6aWJgMDjC97iSCC+oTKXtnhWfiQrOgbM8SMGTxjuNg9/DdmvCqZmEpBjxCo5KEDtEQgilgOHKAlokQUy0QKaaMGhqOazQvf1hqRJJ5UDnxlhskn6ESjKuXtxabzwE21VHBBFdQr5cBXZphs0vcPYRsSysMD2vCgn/D52bn3KzNzaTIwwPhCmQgiKE+wUD7A+VlihgyeIYEwPuz5WWK6BGVfIH79RxeIKBTZ6z8/SySJqHqJFNKuC4xGXs1npXFupC6oLNF0b+gALZNP0FhG1b3bS1XngVtyqeCCAqjWvaEDtEw26RuIsA3p3uEBbXjQa91bFjdVdX2bT6/Sum5/r8mml/nt1bSYX96kV+XlTW2uPzyA7i1cyfhakYTvGnIkAwOMrXupIILyhOreH7Zi7NuthP2oOyqx0bv2V1sV93Bm4lvrrwP+dfsrHz8sd37ZSsAvVl9O2//6rP23v9v8rs/af/HFw+9yZec5NTsGzw6ueV0YJ1QMQSkeQYtSUShaNJlZd+zbKC+oKNHEKJVC2gqB4cjyWZW512CpKNG0aFnPCrdbgcsnKPYjalFrol5Ll80/uMBPueCCAqjWot5BXXLZpC8gwhbWosiANjzotRa9zubt35JeTW/m+fW0KLJiWmdJMr1Nr+bzqyotq9vN0x5XixpXMlotGr4dyJEMDDC+FiWCCMoTqkWBj7lYaZoUj7fPP1uf4v1yultadGXjOTUbBs/G3tqTiCEovaNoTyIKSXt6PuFCRYmoPYkU0tYHDIct4UXtQllQUaJpT/83XLh8guI+qvZMt1LFfx0jF1xQANXa0/8NFy6b9AVE2Ia05/CANjzouN9wcc8nWjWZBfHKPt6Bv+GijrdfM37/DZed8lSmtMBSOsI3XNQhGlGIQHiOb7g4955P1CH3azztGy7qCMEj5rhu9X/DRR1jX5RSvuGijq7f6/b+hounZS/UER7sEy5FkttvthT2B2N/KB8+mFAkWejrLXpQsO2O+/UWfbhg35V9vaUNZ/v1lk2eXVG/1EcNdt8x1LqFmSwCGKd6DLDj6b/eYmN/PBDer7foKYyQAn6ObGaPu8B6AZ/pAwZbIjzlAepQY+tQY+tQY+tQA9ahpR4S7KrjfbhFHyrYXPEPt+zqzweBF/dcH7Gk4aqeoG5KGa49jRqB++GWXd3ZDoD3wy16ArDTCj/cYp+dLqhesBe6YG20l2WWXCb53bS6u7ybFtdpOr28u7udFuYmu7u8Ta7N3dUDj3cCH1jBUE/iPR9uaauVjBMFjL8pRAQRrBui6wB7fLjl55u7TDcfbjlqXqSmqF5tfrb9Ook9fPlbV6qeU1Nl8FThk2fsOy0mq1N73+vn6wMM9uip9et/YTfQ1idUN99weevzLa4knVCTJFiOHWO6TiShbEd5P91CRYm4HUWkkK6GI8NRznL3l7wXVJRo21FpXhezzSfX314fYBIKGssYU9xuoptv9y/8F7pywQUVEJ6dCYZ1yaWTvoQI3dCW1PCQNjzop3sk1e5KupLRKt9CmgwMML7yJYIIChSqfOMfSaVmyOAZwgXvQY+kUtMlKPwC6eu3YhFRSNrXWa5eUEkiSl8ihbTrAqORl7PS68QiosSTvt4TqVw+QV8ZVfgWW5Xkv9KVCy6of3rh6z2RymWTvoAI25DsHR7Qhgf9dE+ktrI3dyWjlb1GmgwMML7sJYIIyhMqe2OfSCVmx+DZwSWvC+OEiiEoxaNIUSIKRYoGTqQSUSJqUSKFtBUCw9GW9bn7YlcqSTQpGjqQyuQT1PpRpajZKhf/xa5ccEH9U0vR0IFUJpv0/UPYhqTo8IA2POineyC1laKFKxmtFC2lycAA40tRIoigPKFSlH0glZgNg2djb+lJxBCU3lGkJxGFJD29B1KJKBGlJ5FC2vqA4chndepbBSWSRJOeofOoTD5BbR9VepZbpeK/qZQLLqh/aukZOo/KZJO+fwjbkPQcHtCGBx35PKrPyBq+l6bq4x38PKoy3n7N+P151J3wVKa0wFI6ynlUZYhGFCIQnuM8au4K+UQdcr/GE8+jKiMET87gsjV0HlUZI3hkZl89qoxOcjwGyF9uZj6fqTLAAx5Hre0h1Hn7Q5rYH9LtMbAqfBxVCwp23bGPo2rDBduu9DhqtTuO6r3D7qU+arD5jiHWLcxkEcA41WOADW+f46jV5PFABI6jaimMkAJ+jmxmj7vAegGf6QMGOyI84wHqUGPrUGPrUGPrUAPWoaUeEmyqYx5H1YYK9lbJcdRqdxzV++Ke6yOW9FvVE9TNKMO1p1EjsI+jVpPHAxA4jqolADut+DhqddwF1Qv2QhfsgwBK8mxe5tMyuS6m7RT+blrPq5tpXbf/Ir0uL6/mm7Lknb8HFjDUc3jvcdRaxokCxt8SIoIIlg3RZYA9jqP+dPM7/mn1ZvXJ2m6+/nWTtilo/8FzWPPhgtXNUUxXCp9TU2jwFOJzavCYalpXR+3P+1lDz6USsyJYlh1j2k4koexKBc6lElEi7koRKaSr4sBw5HXbSJyLVgsqSrRtqTbWepb5PFFMQkGHGWOu28146+0+hv+iVC64oALC0zTBsC65dNKXEKEb2poaHtKGB/2Ez6V6Dnq1EnguTQYGGF8CE0EEBQqVwIc4l0rMkMEzhCvcA59LJaZLUPgF0tfvyCKikLSvs1y9oJJElL5ECmnXBUajLmdp6SJZUEniKd/AsVQmn6CtjKp751uR5L8olQsuKH963Rs4lspkk75/CNuQ6h0e0IYH/YSPpaa+Y6lp+KYuRzIwwOiqlwkiKE+o6o18LJWZHYNnB1e8LowTKoagFI+hRJkoFCXqP5bKRIknRZkU0lYIDIeZ5bVzPBZUkmhSNHAslconqPVjStF0e61mGrgnlQouqH9qKRo4lkplk75/CNuAFAUGtOFBP+FjqanvWGoavrjLkQwMML4UJYIIyhMqRcnHUpnZMHg29paeRAxB6R1FehJRSNLTdyyViRJRehIppK0PGI56Nq+c47GgkkSTnoFjqVQ+QW0fVXpub9VMA9ekUsEF9U8tPQPHUqls0vcPYRuSnsMD2vCgIx9L9ezmp1kQr+7jHfpYqjbefs34/bHUnfBUprTAUjrGsVRtiEYUIhCe41hq4Qr5RB1yv8bzjqVqIwRP0OCyNXAsVRtjX5NyjqVqo5MckwHyZ2ZemakM8HDHUlN7S2pqb0lN7S2p6fZ2wjR8S6oaFOy6Ix9LVYcLtl3hsdR0d0tqGrglVR012HzHEOsWZrIIYJzqMcCGt8ex1HR3S2o6cEuqmsIIKeDnyGb2uAusF/CZPmCwI8IzHqAONbYONbYONbYONWAdWuohwaY64rFUdahgbxUcS013t6T6X9xzfcSSfqt6groZZbj2NGoE8rHUdHdLarjuvNYTgJ1Weiw1tbekumvOhS7Y9dzmJk+u0/xmetdO2KdFUsync5PfTsukrq/z9udX6c0Dj3f+HljAUM/hfcdSN8eMYE4UMP6WEBFEsGyILgPscSz1v67erL3qa2/+wy8FTqKaNE2RM6nM/Bk8f/iE+gg9lNry2+22Xc6eoSdSmTkRrMiOMWMnklA2pPwnUpkoETekiBTSBXFgOMpZanIXyYJKEm1DKk3S+cwYF+H7XEJBbxljltvNdbe3aqaBi1Kp4IICCE/QBMO65NJJ30GEbmhTanhIGx70Ez6QmvkOpNp1GVkyMMD44pcIIihQqPg9wIFUZoYMniFc3h72QCozXYLCL1C+fi8WEYUkfZ3l6gWVJKLyJVJIuy4yGvmsdoEsqCDxhK//PCqVT9BVRpW921s108A1qVRwQfXTy17/eVQqm/T1Q9iGRO/wgDY86Cd8HjXznkc10mRggPFFLxFEUJ5Q0Rv7PCoxOwbPDi54XRgnVAxBKR5FiBJRKEI0cB6ViBJRiRIppK0QGo66dNb0BZUkmhQNnUdl8glq/ahSdHurZhq4JpUKLqh/aikaOo/KZJO+fwjbkBQdHtCGB/2Ez6Nm3vOopTQZGGB8KUoEEZQnVIqyz6MSs2HwbOwtPYkYgtI7ivQkopCkp/c8KhElovQkUkhbHzAc6azIfaugRJJo0jN0HpXJJ6jto0rP7a2aaeCaVCq4oP6ppWfoPCqTTfr+IWxD0nN4QBsedOTzqM45cCsmwxfJzPt4Bz+Pqoy3XzN+fx51JzyVKS2wlI5yHlUZohGFCITnOI9qXCGfqEPu13jieVRlhODRGVy2hs6jKmMEz8zsq0eV0UnOxwD5qz0rzgt1gAc8j2qvSU3tNamZvSY1215PmIavSVWDgl137POo2nDBtis9j7q7JjUNXJOqjhpsvmOIdQszWQQwTvUYYMPb5zzq7prUdOCaVDWFEVLAz5HN7HEXWC/gM33AYEeEZzxAHWpsHWpsHWpsHWrAOrTUQ4JNdczzqNpQwd4qOY+6uybV/+Ke6yOW9FvVE9TNKMO1p1EjsM+j7q5JDded13oCsNOKz6Paa1LdNedCF+yDAELuk7I83vl7YAFDPYf3nketZZwoYPwtISKIYNkQXQbY4zwq7ZpUZgoNnkJ8To2eSE3mR/c/eFg0ma7T9pv7j2QHU4mZESzNjjF1J5JQdqYCB1OJKBF3pogU0pVxYDjqWZU5W8mCShJtZyoN3ZRKJRQ0mTGmu92kd3utZhq4KZUKLiiA8ExNMKxLLp30HUTohnanhoe04UE/4YOpufdg6lyaDAwwvgomgggKFKqCD3EwlZghg2cIF7kHPphKTJeg8AuUr9+URUQhSV9nuXpBJYmofIkU0q6LjMZ8ZkoXyYJKEk/5Bk6mMvkEbWVU3bu9WDMN3JRKBReUP73uDZxMZbJJ3z+EbUj1Dg9ow4N+widTc9/J1Cx8V5cjGRhgdNXLBBGUJ1T1Rj6ZysyOwbODK14XxgkVQ1CKx1CiTBSKEvWfTGWixJOiTAppKwSGoy3smbOmL6gk0aRo4GQqlU9Q68eUotn2Ys0scFMqFVxQ/9RSNHAylcomff8QtgEpCgxow4N+widTc9/J1Cx8d5cjGRhgfClKBBGUJ1SKkk+mMrNh8GzsLT2JGILSO4r0JKKQpKfvZCoTJaL0JFJIWx8wHNks8Z1MZZJEk56Bk6lUPkFtH1V6bi/WzAI3pVLBBfVPLT0DJ1OpbNL3D2Ebkp7DA9rwoCOfTPWJySyElyd9vEOfTNXG268Zvz+ZuhOeypQWWErHOJmqDdGIQgTCe+tkqrO/n6gD7ld43rlUbYTgERpctAbOpWpj7CtSzrlUbXSSczJI/rJqljur+0Id4uFOpmb2ptTM3pSa2ZtSs+0NhVn4plQ1KNh1Rz6Zqg4XbLvCk6nZ7qbULHBTqjpqsPmOIdYtzGQRwDjVY4ANb4+TqdnuptRs4KZUNYURUsDPkc3scRdYL+AzfcBgT4RnPEAdamwdamwdamwdasA6tNRDgm11xJOp6lDB7io4mZrtbkr1v7jn+oglHVf1BHUzynDtadQI5JOp2e6m1HDdea0nADut9GRqZm9KddecC12wNtrLMksuk/xuWt1d3k2L6zSdXt7d3U4Lc5PdXd4m1+bu6oHHO38PLGCo5/C+k6mbHW6YEwWMvyVEBBEsG6LLAHucTP15+xu/WP/mB/N+8yI1RfVq87PtWcsj3znL59RUGTxV+Ny5fwL1b9f3nn65emP3y75s//GL+79of1K308FnRzl22JSZBMFq6xjzcSIJZbPJf9iUiRJxs4lIIV3sRoYjL2eZKVwsCypLtO2mNK+L2dy4CN/nEgo6xxhz2G4mu700Mwvcg0oFF5RAePolGNYll076FiJ0Q1tOw0Pa8KCf8HHTwnfcNCukycAA40tbIoigQKHS9gDHTZkZMniGcEV72OOmzHQJCr9A+/qdVkQUkvh1lqsXVJKI2pdIIe26wGjkiZmVqefAKZMlnvb1Hzil8gkay6jKd3tzZha4CpUKLiiAeuXrP3BKZZO+gQjbkO4dHtCGB/2ED5wW3gOnRpoMDDC+7iWCCMoTqntjHzglZsfg2cE1rwvjhIohKMWjaFEiCkWLBg6cElEiilEihbQVAsORzmdp4vnsHxMlmhYNnThl8gmK/ahadHt1Zha4C5UKLiiAai0aOnHKZJO+gAjbkBYdHtCGB/2ET5wW3hOnpTQZGGB8LUoEEZQnVIuyT5wSs2HwbOytPYkYgtI7ivYkopC0p/fEKRElovYkUkhbHzAceTqrc+eALKgo0bRn6Mgpk09Q3EfVntu7M7PAZahUcEEBVGvP0JFTJpv0BUTYhrTn8IA2POjIR06dhahVk8HrYvK0j3fwI6fKePs14/dHTnfKU5nSAkvpKEdOlSEaUYhAeG8dOU2dz+mJOuJ+iSeeOVVGCB6OwWVr6MypMkbwVMy+elQZneQEDJC/3LQZ9H3aRBniAc+c2ttQM3sbam5vQ21DbH/Itge+wleiqmnB3jv2wVNtuGDzlR483V2JmgWuRFVHDbbgMSS7hZksAhinegyw7e1z8HR3JWo2cCWqmsIIKeDnyGb2uAusF/CZPmCwMcLzHqAYNbYYNbYYNbYYNbYYNWAxWupJwQY75ulTbahgn5WcPt3di+p/e8/1EUt6r+ox6iaX4QLUqBHYp09396KGi89rPQHYbsWnT+29qO7Cc6EL1kaL2fktj3cqH1jLUE/nvadPaxknChh/e4gIIlhBRFcEDnr6lJgqg6cKn0b3T5/+uE3YX9qrTY8ejil8vPbo/9PqTfsTa9u3v+PjtYP/s7VdP00zMz//il1/c0a1tD+ETqgSEyVYnB1j9k4koWxOBU6oElEibk4RKaRr48Bw5JWZlb5roZgs0XanwidUmYSC7jLGZLeb8m5vz8wCF6JSwQUlEJ6nCYZ1yaWTvoUI3dAO1fCQNjzotfy9Laq0Mjf5NDeXZloUczOt8/p6epfdlXd3l2mZX26e97jy19kXW/k7lyYDA4wvf4kgggKFyt+1TLPHT60TvzuC+Umra9/cf9f+uPq0lXH3327/6zerjzcm/q/6pL60+vbjjdPffofkQRv/rFV+/32aZA8/zaokmeTOVYzn1IwZPGO4Cm7h/mGazY56yfv6tOX/5XrW8M/b47v2gMP37dxiPVF4s/rk4Zd/tvrpdF616Xl2dP8X693Hj/7wqE1WMLOu7J1QsyfoCwJpbDdcP22z91sX0B9RgSgKOZm570Z6QUWJqJCJFNLeDAxHWs2qzLetRkSJJpDn5WxzyO9teczkE3SfUeXx9prNLHBvKhVcUAbV8tg7qEsum/QFRNiGxPHwgDY86Cf8+RbjO8aaB2/uciUDA4wujpkggvIEi+P4n29hZsjgGRKI4YN+voWZLkHZF6hf77EFJgpF93o/38IkiSd7mRTSrguMRl1kMzN3jsiCyhJN9wY+30LlEzSWMXVvvr3TMw9c0koFFxRAte4NfL6FyiZ9AxG2Ad0LDGjDg37Cn28xviOzefDaMFcyMMD4upcIIihPqO6N/PkWZnYMnh1c87owTqgYglI8ihYlolC0qP/zLUyUiGKUSCFthcBwmGxWlj4tSkSJpkUDn2+h8gmK/ahadHvJZx64tZUKLiiAai0a+HwLlU36AiJsQ1p0eEAbHvRai96Z4vqyKpLp7dXN5bSoLqvpZXJlpleFqe+y69tknt99eAAtalzJaLVoJk0GBhhfixJBBOUJ1aLg51vScuPYXa/FfuRCf05FNzg6LjSPnt/+6e2//+NvHiXV1hvgUdEnVDhB9R1FfhJRSPLT9wUXJkpE+UmkkHY/YDjqalY5TcsLKkk89Vl6LCfvc/kE5X1U9ZltxUrgQlIquKD+6dWnb1CXXDbp+4ewDanP4QFteNDt//s3zx5E178OqcuRP+TiXOVudWUewEzTuo8Z7UMuzun7e+p4+7XjX8CHXL5sFSryIRdtSgsspWN8yEUbohGFCISXvfUhl8IV8Yk64n6p533IRRsheM4cV6+BD7loY+xLU86HXLTR9Vvevh9ymdU+takM8HCfcckL+90WY38o7Q/V5qMJeR78gosaFGy6ii+4zOvc+wUXdbhg1xV+wSXPuy+45N4r7V7qowZ77xia3cJMFgGMUz0G2O/2+IJLG/vjgfB/wUVNYYQU8HNkM3vcBdYL+EwfMNgR4YkPUIcaW4caW4caW4casA4t9ZBgUxV+vMVfgz7Qhwr2VsHHW7r680HgxT3XRyzpt6onqJtYhmtPo0Ygf7ylqzvbAfB/vEVNAHZa6cdb2menC6oX7IUu2AcBlJvr27t6eneVmmmR3+TTy6I20yRLzOXVzd1NcgijUun7eEteyDhRQNdEP8Almey7QN6jgvRVSGiAwFUAxcdb7Bz/f1j9Q/tvf7U+1fqx/fn2iy5fbv7YP3VHNde/3rwo0yRNkvOHn5ZJMrH/SVP/p12YiTR4IvGJdf/TLq7vtzw7sl94uf9odvSv/lXZxpW1GSmR77cwsyFYmx1j0k4koWxNpe6a9YJKEnFnikghXRkHRqOYZca3VkAkibYz1daEwu+MYhIKussY89xutru9kzMPXLJKBRfUP3iKJhjWJZdO+g4idEO7U8ND2vCgn/D51NL38ZbNbSmCZGCA8eUvEURQoFD5e4jzqcQMGTxDuK498PlUYroEhV8gfP2mLCIKSfk6y9ULKklE5UukkHZdYDTms6yuXSQLKkk05Rs6ncrkE7SVUXXv9v7PPHChKxVcUP7Uujd0OpXJJn3/ELYh1Ts8oA0P+glf6Fp6v8pSSpOBAcZXvUQQQXlCVS94IkB7oSszGwbPBq5wXRgnVAxB6R1FeRJRKMozcByAiBJRehIppK0PGo556ZOeRJJo0jNwnyuVT1DbR5We2+s/88B9rlRwQf1TS8/Afa5UNun7h7ANSc/hAW140E/4wyil98MooUtxnMnAAONLTyKIoDyh0jP2h1GI2TF4dvaWokQMQSkeRYoSUUhS1PthFCJKRClKpJC2Qmg4TO30YyyoJNGkaOi7KEw+Qa0fVYpWW+USuLGUCi6of2opGvouCpNN+v4hbENSdHhAGx601aIhiTnyiVTn9KIVl3UAL8uzPt7BT6Qq4+3XjN+fSN0JT2VKCyylo5xIVYZoRCEC4eXwiVRlxP0STzyRqowQPDyDq9bQiVRljOCpmX3lqDI6yQkZIH/FrPCpTGWABzyROn92WhSJ/SG1P2yv8c7r8IlULSjYdMc+kaoNF+y60hOp9e5EqvcKu5f6qMHeO4ZWtzCTRQDjVI8B9rt9TqTWk8cDETiRqqUwQgr4ObKZPe4C6wV8pg8Y7IjwhAeoQ42tQ42tQ42tQw1Yh5Z6SLCpjnkiVRsq2FslJ1Lr3YlU74t7ro9Y0m9VT1A3oQzXnkaNwD6RWk8eD0DgRKqWAOy04hOp9XEXVC/YC12wT3eHqPKeSJ3LOFHA+DtERBDBqiG6ChB7h4iYHYNnB58tuzBOqBiCFVLBFNq/Q0REib1DRESJuENEpJCuUEPD4f9yPpHkSewQMfkEtX6MWWc399xedpkHbi+lggvqHzxhggd1yWWTvn8I29AO0fCANjzoJ/zl/Mp3OrQIX2nlSAYGGF2KMkEE5QmVoqBPHvpyPhPd4Oj76kwmhqDOjqEzmSgknekzxTNR4ulMJoW0zwHD0dbtJHeRLKgk8XRm6f1GPpVPUMjH1JnF9nLJInBbKBVcUP/0OtM3qEsum/T9Q9gGdCYwoA0P+gl/haTynccswtdVOZKBAcbXmUQQQXlCdeYBvkLCzJDBM4TL0cN+hYSZLkHZH0X2ElEostf7FRImSUTVS6SQdl1kNKwBv3ChLKgo0WRv4DMkVD5BXxlV9m7vsSwCF5NSwQX1Ty17A58hobJJX0CEbUj2Dg9ow4Ney965ubku07tsWpi8/aEw81Ydtzr56voqvyyvSlPMN3Iwrux1lq1W9mbSZGCA8WUvEURQnlDZq/j29PYz0z9f2wA+apWgFXNf0XUPctl+XDnJk+T82dHJOhlHL/8oSY8uvvHH3/zj//X2/9om4U+O/uc/vf1/Hi1fHHVfpN58hDlN/N+kZibY4AnGVfMR9aPUzHQIuoJAFft8+0wSkij2fJSaSRJRFBMppD0ZGI1iVhvPcQEmSTRNXJvE43l9nwso6DqjiuLt9ZpF4L5UKrig/KlFsX9Ul1w46RuIwA2p4uERbXjQ9sLU//AVFeWVvf/+9vqbf/wn33AkQqV6feu8eYAzTed9Tt/5VH+0Ei27O6LqDPc9dbj9xyyQXFCx/qM9efqw0Lg+g/qJ1VK/W3tPv1yfEP1ibVG1//RJq6q6X7v/3v131mdH7S+0arX91y7UVmDmf7hQ875VLf3A+xXLh2Nlhb3osKjbH0xmf7C3HZb2lFmZ2x/WP7Unzyr7+yr7T7X9F3XV/jC3B9Hm7W8xSWp/sP+Uug+AnOrzUcjzgfv8bRJe2SS8skl4ZZPwyibhlU3CK5uEVzYJr2wSXtkkvLJJeGWT8Mom4ZVNwiubhFc2Ca9sEl75kvBKnwQjTwJ+VKDNwZnNwZnNwZnNwZnNwZnNwZnNwZnNwZnNwZnNwZnNwZnNwZnNwZnNwZnNwZnNwZnNwZkvB2f6HOCVQN9vHs44FfbWvTYXjc1FY3PR2Fw0NheNzUVjc9HYXDQ2F43NRWNz0dhcNDYXjc1FY3PR+HLRqHPx1qmXgVzIXojXNgGvbQJe2wS8tgl4bRPw2ibgtU3Aa5uA1zYBr20CXtsEvLYJeG0T8Nom4LVNwGubgNe+BLzWJwDvucJzMy3/heW/sPwXlv/C8l9Y/gvLf2H5Lyz/heW/sPwXlv/C8l9Y/gvLf2H5Lyz/hY//Qse/fhse+G0zj3Z7e+47ZVMUIYos8Y4iFqxSh8w8e07vqePtt+Y9P5Xx31oZ8m3rSrT/vfUnuj6W8Wbz0Yqd8LBfz/h2+zs+s+tudunst3bp7f4Hm5+2f836g7+/shvMD1bH9mcPR20evoBhl+cendDZfCfD9aWOh4M79jf+5v6vZvZ/7ZNWC3139eYoS44C62zKLPcbPvHrGdoQjShEZXgn6vD6807epzK0EYKneiVLad5PZWhjBI/z7rtIpoyur4b2/FTGvHAX94U6wMN9KqOw97YXdupSbO9LLorgVzLUjGC71Xwlw5Ter2SowwUbrvArGUXRfSWj8N4V9lIfNdh295sOd6uGxWQRwDjVYxRCDFy0b0+rt7E/Hgj/VzLUFEZIAT9HNrPHXWBvTxu1AYPNEF6ABUpQY0tQY0tQA5agpZ4PbKXSD2R4y88H+lDBjir4QEZXej4IvLPn+oglXVb18HRL2+Gy06gRyB/I6ErOdgD8H8hQE4BNVjjRt89OF9TbE3NNsDba6/lVUmZlOb25mWfT4jKpp/O75Gp6U1/f3NzWVVrebB4q75z9312Oa5uxM2HfzN3IMFE+1+w+gCWZ4btA3qOCCPYv95n63/9FO0f/rf0k5vrDlR/f/+DZdpq//ueNI/zvVn/f/ucX60OLy+eps0Y/p+bD4PnAZ8BgSo5WP73/1noV45OHA5y/WL15WKw4Wv3D6udZenQ6YAInJkaw3yuYe/tN4EQUkt/F+TmiF1SSiH4XIoV0tx0YjTKfO4vHggoSze5Szmqf2YWJJ2gWY0xYu2nr9t7CInARJRVcUPzguRY6pksumvTlQ9CGrC7D49nwoNdKNrs2V3lS1NP65u5qWszTZDq/NFfT5Oq6/YXaFHl19WF8JetciW6VbCnNBcYXX8kSQQTFCVWyay+yPdNot5fsblAr0u7/8sE9Y83ca526+tnqx16lSuQ1OC+uVF0YJ1QMQWkV6Eq72ffp7Mi9ffdHVCCOunRxvKByRNSWRAppewPGIrCdRASJpi3TepYXLr73uXyC+j2quNzeTFgErpqkggsqoFpcegd1yWWTvn4I25C6HB7Qhge9Vpd1WWfX1U01vcqrZFqUt3fT+XVxNc3neTK/m19e5rexv6ph1WXuykWrLoN3HblygfHFV5dEEEF1QtXl298RXv3t6j+vfrH66eon09WP7H+tl0V/tFkQdUE/p0IbHHpviUnEEBRYgcT0L10SUSjiMvDZNiJKRH1JpJA2OGA4snxm3AOyoKLEU5hJ4LAeE1BQxEeVmNsbB4vAFZJUcEEF1EtM76guuXDSVxCBG9KYwyPa8KDXh/WedeLKSseIPnnfGmUdpM36tJF88pl7rv6eOl7QsIeKwP94/731tyQ+2Vwdsf6qxOoN7pXvrOv2iN+RWXvWx3bJuzL4XJ3BAsvgKB54ZYhGFCIQXvbVGyT/W5vljzcf0NsI/9BBzKPVL9dfilt/Ue/+BzMX6okaFbQQCoSx10+vjBA0AeJ6N+SnV8YIuv/2FbLK6CROPyB/xdy3/qmM74B2envq19gzwSbdelnDl06qGcGu3DHCftZWeKV+O702XLAvd+EiI2Czt7PTBy6dVEcNducx1L2FmSwCGKd6DLBFdhgKb+vu0sli4NJJNYURUsDPkc3scRdYL+AzfcBgL4SnSEAJamwJamwJasAStNTzgZ1UZqcPlJ8P9KGCDVVip9/dN+l/Z8/1EUuarOrh6Saf4bLTqBHYdvrdfZPhkvNaTwA2WbGd3t436S43F7pgbbTX5vZmntTz6dWtMdPi6tZuLl3l0+Quq8vL7Obq6tI88Hin9oG1Du303munn8swUT7XIkAAS7IQ4AJ5jwoiWGFEVwjWs0X7JcndbPHT1Wft9P5b2xnh9puTv7Qz/LWR/OHn3k+yP5jNA59kf3aUJ74NjufUBBo8gfjs2zXj7uVw/YX29UrJxw8rJfaj7Y/m3V/Nr/02gN+FT0yPYCFXMGP3b2URUShbWcXMuEheUEn6WiVAsu8CAJFCuowOjEaWJXP3gCyoKPF2srKZcaqC97l8gjYzxlS3m/BuL0YsAjddUsEF9Q+epcGDuuSySV9AhG1oH2t4QBse9FoEF3VyN78uymlRm3xaVLfp9PI6T6Z5kdxU2e1dUuSbtzmqCPbscpnQbUzOXGB80UUwE0RQnVAR/I+tXvuyFV9frj5f+/DtDTutVvti58J/uE/9z1dfrje7evcP2d+RmUn7//MkCXw+nZkVg2cFV7YujBMqhqAC4wr0/rvuW0n/iIpCUaCJ22b5gkoST4EyKaQNEBiNsnRhLKgY0dRnlc/cB4/e5/IJ6vuY6tNsr0s0gfsvqeCC2qdWn95BXXLZpC8fwjagPoEBbXjQa/VZ3tVJeXeTTO+y5G5aXJfzVqnO59Pr29siKfO7y6TYdImo6tPZQlr1GboUyZkLjC+++iSCCKoTqj7fdurbn679WlZ0fmutR/96e9Xl39vLHFe/WP3d6sftf36yWZ19uZya9Gj1N66EPKcmxOAJ2Vt4EjEExRcXnv6lTyYKSXjaDfe3UV5QUSIqTyKFtPkBw9H28dI5HgsqSTTxWdfeb5BQ+QTlfVTxub200ARuoaSCC+qfWnx6B3XJZZO+fwjbkPgcHtCGB23VZ0hUjmvZ98nJLECX5Xmf7tCWfW28/ZLxL9eyr81ggWVwDMu+NkQjChEIby/L/vqjMdZ98d0Ht4XHtK+FBY2KAh3sM+1rIwSthri8DZj2tTGCHsN9dasyOomfEMif17Svje9wpn1jb+ky9tIuYzaOWZMFTftqRrAvj2zaV4cLdmahad9knWnfeC8nfKmPGuzPY8h5CzNZBDBO9Rhgk9zDtN/G/ngg/KZ9NYURUsDPkc3scRdYL+AzfcBgL4TnREAJamwJamwJasAStNTzgZ10RNO+OlSwoQpM+13p+SDwzp7rI5Y0WdXD0003w2WnUSOQTftdydkOgN+0ryYAm6zUtN8+O11QvWAvdME+2R0j7+11Jpdhonzxd4yIIIIlRXSNIMKOETEhBk8IPp92YZxQMQQrpoKZsn/HiIgSe8eIiBJxx4hIIV2xBoYjtGNEJHkSO0ZMPkF5H2OK2U008+0GQx6YbDLBBfUPnh3Bg7rksknfP4RtaMdoeEAbHvTTNct7PwllCmkuML744pMIIqhOqPiMZZYnZsXgWdlbgRIxBBUYV6ABszwRhaRAcxfJCypJRAFKpJA2QGA0vGZ5IkY09RkyyzP5BPV9VPVZbMVK4LpfKrig9qnVZ8gsz2STvnwI25D6HB7Qhgf9dL9X4nc3GWkuML746pMIIqhOqPp8et8rYSbQ4AnEharyeyV901H4MyXMrAhqP657AyuvRBSK7vV+poRJElH3EimkrRcYjdBnSpgo0bRv4DMlVD5BdxlV+27vlzSB+0Kp4IL6p9a+gc+UUNmkLyDCNqR9hwe04UHH9eoXLrpWzZZBuqJPd3CvvjLefsn4F+zVV2awwDI4ildfGaIRhQiEl+/j1Yc+r69FBd2JAhXsdeorIwT9hbi4DTn1lTGCxsJ9ZasyOomJEMhfns1nlW8pVhniAc36lfXp1/aH+dYpW4bN+lpGsDGPbdbXhgu2ZqlZv9yZ9b0XYL7URw026DH0vIWZLAIYp3oMsEvuY9YvJ48HImDW11IYIQX8HNnMHneB9QI+0wcMtkN4UgSUoMaWoMaWoAYsQUs9H9hMxzTra0MFe6rErF/uzPred/ZcH7Gkz6oenm6+GS47jRqBbdYvJ48HIGDW1xKATVZs1i+Pu6B6wV7ogl2rb8hbZXm8s/vA8oZ2hu8161cyTJQv/o4VEUSwpoguEkQw6xMTYvCE4BNqF8YJFaOvDAIYgsmyf8uIiELZMgqY9YkoEfeMiBTSJWtgOIr5rCgLF8qCihJtzyjk1mfyCer7GHPMbqa5vdHXBO5opoILCiA8PYIHdcllk76ACFtwQJfIgDY86Af1eXlZX+VX82lV5sW0SO7m00tz3f6QZOn1bW7uqu0EPqr69Ln1Q9dYuXMB8cVXn0QQQXVC1WfQrb8Rl/+XfPXbowdf/v13soddKBf8cyq8weH3VppEDEGhxZVmwJRPRCEpzdxF8oJKElFoEimkfQ4YjXk9m2dOn8eCihJNaIaM+Uw+QSkfVWjWW10SuDiYCi6of2qhGTLmM9mkLyDCNiQ0hwe04UE/XWN+4TXmz6W5wPjiC00iiKA6oULzCRrziQk0eAL3FqtEDEGxxsVqYFmUiEIRq34nPZEkolglUkh7JTAaaVHnrVx1sSyoLNHUaprNKp9aZfIJ+sGoanV7QaQJ3PhJBRcUQLVa9Q7qkssmfQMRtiG1OjygDQ86rpXeuOi+VpRJkM706Q5tpdfGCzr1UPn4DlvptRkssAyOYaXXhmhEIQLh7WWlBz97r4UF3YMCIewz02sj7GtcppleGyNo/NtTuWqjk5j8gPyFzPTaEA9npi/TZ+0P2cbEWiZBH70aD+zKI/vo1eGCfVnooy+Tzkdfeq+nfKmPGuzOY4h5CzNZBDBO9Rhgi9zDR9/G/ngg/D56NYURUsDPkc3scRdYL+AzfcBgJ4RnRED1aWz1acDqs9SjgS10RAu9OlSwkwos9F3V+SDwup7rI5Z0V9Vzs51nDlScRo1AttB31WY7AH4LvZoA7K9SC3377HRB9YK90AW71tyQ4cnyeGf1gWUN7czeZ6EvQxf2OTBRvuh7S0wQwVoiujjAt9AzE2LwhOATaRfGCRVDsFQqmCJ794qYKJS9Ir+FnokSb7OISSFdqgaGI2ShZ6JE2ysKWOipfIL6Psb0sptkbm/ULQNXJFPBBQUQnhnBg7rksklfQIRtYK8IGNCGB/10nU3GZ6EvM2kuML746pMIIqhOqPp8es4mZgINnsC91SoRQ1CsR1GrRBSKWvU6m5gkEcUqkULaK4HRCDqbmCzR1GrA2UTlE/SDUdVqthU3gbuAqeCCAqhWqwFnE5VN+gYibENqdXhAGx50+//+zVfUjRWh/zqkSsd1Ojk3uFs9mgdo0+wtH1ckp5PnttL31PGCe6monPzp6vP1d9W/9SAlnUajt5wv4/qYNvL0k6Os/Zvt4dD7H7hS9lydsgJL2SjWJmWIRhQiEF7WWZtcgZ6oAwU3YwUq1mtLUkYI7qni4jRkS1LGCG6m7is7ldFJNk6B/BVzZwlcqOM7oCepsJ4ks3UF5GFPkhYP7J9yT1JWGb8lSRst2ECllqR8Z0nyXkH5Uh812EbHUOEWZrIIYJzqMcDWto8lKZ88HoiAJUlLYYQU8HNkM3vcBdYL+EwfMNgF4akMUHwaW3wasPgs9Whg+5RZkvyF5wN9pGATlTiS8p0jyfu2nusjljRW1WPTzQ/DBadRI7AdSfnk8QAEHElaArC7ih1J+XEXVC/YC12wNtrrKslvk5v59NrUV9OivLmeXt7Ob6fz4vKquL0zd+n1hsc7+w4sR2hn4F5HUiHDRPlc8/QAlmSu7gJ5jwrSVx6h8QEn8T/6yhT+9R//L//L//1P//h/vTxa/cxu8tz/+dHqP68+sf94VD1Mtc+/9vJoniTOZ/U5ld3g7PhU14VxQsUQrGYKJsL+7RwiCmU7x/tVJSZJxO0cIoV0MRkYjbSo3OOxoJJE28yZ5/Wscn416n0uoKCSjzGP7GaT29txy8B1x1RwQf2Dp0BvrRqZxDNlWHLhpG8gAje0nTM8og0P+ula30uv+chIc4HxxReaRBBBeUKFZgTrOzEhBk/I3uqTiCGovqOoTyIKSX06p6cvqCQR1SeRQtr7gNEo5u7hWFBBoonPkO+dySco7qNqz+3ttGXgumEquKD6qbVnyPfOZJO+fgjbkPQcHtCGBx33G0mVi64Vk2WALsvLPt3BnUPKePsl41+Sc0iZsgJL2SjOIWWIRhQiEF4+5BxSBgrumQokq9c5pIwQ3PrElWjIOaSMEdz03FdjKqOTbHAC+Qt+0EgZ4gHNQ/Z24LLe7t+HLwZW44EtVG4eypPcbx7SRgv2UKl5aHcvcBm4F1gdNdhJxxDeFmayCGCc6jHA7raPeWh3L3A5cC+wmsIIKeDnyGb2uAusF/CZPmCwEcKzF6D4NLb4NGDxWerRwA4qMw/5C88H+kjBPioxD+1uBPa/ref6iCW9VfXYdFPCcMFp1Ahs89DuRuBwsXmtJwC7q9g8ZG8EdheaC12wT3ZPp/KahyoZJsoXf0+HCCJY9kPn8RH2dIgJMXhC8CmwC+OEitHXBAEMwQTZv6dDRIm8p0MkibinQ6SQLioDo5Fns7l3Xk5EeRK7Okw+QXkfY3LZTTG398eWgQuBqeCC+gfPi+BBXXLZpC8gwhYc0CUyoA0Pei0+b9u/f35zdz29Lm8vp0Vyezud31VX09vaXNbmKrkuis3THlV8+gxF4TvrHLnA+OKLTyKIoDqh4vOrzvXVr+x1wEet7vyN3X3Y3rpgd35+20rRv1q9WcvSVoT+/P6j9feLfr3ePPr8/lv/1qrQr3zwaPXp6jfrX/qt/VaSK1PPqZkyeKb2VqVEDEFVHkWVElFIqjR3kbygkkRUpUQKaVMERiN0ezATJZoqrdJZZVx873P5BHV/VFW6vWy2DNweTAUX1D+1KvUO6pLLJn0BEbYhVTo8oA0PevvVok0niPzVImddanXnPECbZv6FaCxYiZ78qvfIs0j7njrefgnZ03v0j9b/s5GA1gn0if125WOrUasU//lo9cPVj1Z/f2Q/cXm0udrLfjXzy/VlbBsXkb3l7U3nJEo3TqLVr10JeK5OQIElYBQnkTJEIwoRCG/wG0TKQMENVIEk9TqJlBGC+6C40gw5iZQxgjug+2pIZXSS3U4gf/m8csW3UMd3OBtRlTxrf7CXo1WZ/SHf7unPw4YiLSjYF+WGoswUgRvStOGCnVHqKJrvHEXey2Rf6qMG++MY8trCTBYBjFM9Btjl9nEUzSePByLgKNJSGCEF/BzZzB53gfUCPtMHDDZEeI4C1KHG1qHG1qHG1qEGrENLPSTYU2XeokAN+kAfKthaJeai+c5c5H1xz/URS9qt6gnq5oDh2tOoEdjmovnk8QAEzEVaArDTis1F8+MuqF6wF7pg1xL3al6aJL+dmrqeT4urup5eVXdl+9Pk+vLysiyzy9sHHu8MO7DkoJ1l+8xFmw9Dw5gon2suHsCSzMddIO9RQQTrfOhE3XGp9q/WGzP/3P7yr9b7NZ+vPju6/+56Vv7JM3sN909X/3H189Xfrf5+9aOHfZ1f5M5l9ufUZBg8GfiM2IVxQsUQLGEK5sveLRwmCmsLx7hQXlBR4u3hMCn6oiFAgc7T07yezZ0DsqCiRNvDMb4PYb7P5RPU9jEmmdupZpVslvyrwIXcVHBBAYTnR/CgLrls0hcQYRvYwwEGtOFBP9jas5vSmCyd3t1UV9MiuSymdVaX0yK9M/P06qqo07sP4ytPj7OoSqW5wPjiK08iiKA6ocrzP91//8EQdP/X1g5k5eU/r351/9drSVlO3HdHP6dSGpxyb0lJxBBUVFxS3n/X7dP6IyoKRVJmno0aJkhEQUmkkPYzYDCqeeEcjgUVJJqcTGfGpyaZeIJ6Paqa3F7SWgVu3aWCC2qfWk36xnTJRZO+fAjakJgcHs+GB/1gU7+7vMnyy7vp3dXVzbTIs2x6mV5V0+Q6n9fXWXGb55sxjyomnQterZjMpLnA+OKLSSKIoDihYvKHuxt277+3enPU2Y++8vmi9b9Y/W71G/uL99/b3sL74Gb/dGM2+nL1a7vgufr1w79Ns2dmkmZJMsmMewb5nJoqg6dqb0VKxBBUZVyRek1BTBKKIE1niXGhvKCiRJSkRAppVwSGo0jLWe0ckAUVJZ4ozc3MODvY+1xAQeUfVZZub2OtAtfrUsEFBVAvS72juuTCSV9BBG5ImA6PaMODXgvT1FzeJGWRTU2V5NOivLuazsvqcppnd9nVbTIvr80mMVGFaeHKRStMc2kuML74wpQIIihPuDB90+pQezzyo1ZVfr4Vnf/o+4DHM2tv/8xq1PWHNb/YKNpfu5LxnJoMgydjb+lJxBBUXlx6BhZDiSgU7Zm47+t+QSWJKD2JFNK+B4xGlnv2qRZUknjKM53PMuMCfJ8LKCjtoyrPfKtTApfLUsEF9U+vPL2juuTCSd9ABG5IeQ6PaMODjvs9dqcltdWSRYAuy6s+3aHPRGrj7deMd/ZMpDYBBZaAMc5EakM0ohCB8Ia+rq4NtF+HeWcitRGC5zdwaRk4E6mNETy4sa9oVEbXb0d7nonMymSWFK4QF+oQD3gs0tjDkKX9wX5nvdp+6rgqgsci1aBgaxz5WKQ6XLA5Co9FVkV3LLLyXl34Uh812CLHkNQWZrIIYJzqMQohhvx4Uhv744HwH4tUUxghBfwc2cwed4H1Aj7TBwz2RHheAtShxtahxtahxtahBqxDSz0k2FZHPBapDhXsroJjkV39+SDw4p7rI5Z0XNUT1E37wrWnUSOQj0V2dWc7AP5jkWoCsNNKj0W2z04XVC/YC12wNlpsi8fyeCfZgVUG7UTbeyzSyDBRvvjbNkQQwdoeOlc/qJ+ImCqDpwqfMrswTqgYgkXNMSbURBLKnk7AT0REibipQ6SQLikDw5FVeTuP923rEFnibeuEDEVMQEHpH2MO2s1Et5eyVoFbdqngggoIT5/wUV1y4aTvIAI3tK0zPKIND3qtTI1Jr69McTO9LO7upsVtcT29qq/rqbm9nd9eXmZ1vVXaUZWps261yrSU5gLji69MiSCC8oQq03+00nL1mwfh+fHDNbtrq9DaJrQ+PJkmk9RMWqW5+q0L+TkV2eDIeytMIoagvuIKM2AbIqJQJGY2y5yF4QUVJaLEJFJI2xswHKaqZlnt3K9fUFmiScw68X+Xg8knKOGjKsxyq0cCF8tSwQUVUK0wvYO65LJJ30CEbUhgDg9ow4N+ul+Em3uPUoZvP3LkAuOLLzCJIILqhApM8hfhiMkweDL2lp5EDEHhxaVn4ItwRBSK9Ax8EY6IElF6EimkjQ8Yjnk6S6yB4m2UBRUlmvIMfRGOySeo7aMqz+3VhFXgrkkquKAAqpVn6ItwTDbpC4iwDSnP4QFteNBP96LzufesZPiGI0cuML74ypMIIqhOqPLkX3TOTIjBE7K3+iRiCIrvKOqTiEJSn9Zn+TbKCypKRPVJpJA2P2A48nnbx0sXyoKKEk19Bm46p/IJ6vuo6nN7BWEVuFOSCi4ogGr1GbjpnMomfQERtiH1OTygDQ96e6fkBtyKyoh3SqbOMW4F5jyAm2Z1HzfSAUqPC/U9dbz9GrLnAcr/uvr4/rtrObhelfzd/Z+1P/nl6su1MfOTh7OUX673xdcXkd//YOPI/OHqP7Zq8T86jkt2hyw/bv+Oz9cXnb9xpeC5OgUFloJRjlAqQzSiEIHwdkcoZ0ern61+Oi1cAZ+oA+5XaOJRSmWEfeVJPUqpjBE87LGvnFRGJznYAeSvSmdz51O4UEd4uJOUtb1gsrYXTNbZ9vBS+G5JNSPYH+WHKNNsHjhEqQ0XbJDSQ5S7uyWrwN2S6qjBNjmGzLYwk0UA41SPAba6fQ5R7u6WrAbullRTGCEF/BzZzB53gfUCPtMHDHZDeK4ClKDGlqDGlqAGLEFLPR/YS2XnJwPl5wN9qGBLlZyf3F0r6X9nz/URS9qs6uHppoHhstOoEdjnJ3fXSoZLzms9Adhkxecn7bWS7nJzoQt2PaG5TcrqKjHTy5vkZlqY2kznV7dX06ubu6t5WSd5cr3pwt5JdmDVQT3R9h2g3CyzwJwooGs6HuCSTMldIO9RQQRrfehc/Wd2Un7/5/ZTlpsrfTbHId/c/+XDDo79NZNM2v+fPCsS+7Pc51dnshucHZ8BuzBOqBiCVUvBvPh37YB92k7inePyR1QgyuaNs0i8oHLE27lhUvR1QoACnZKbtHRbPxdUkmgbN8V8VtYuvve5fIJiPsaMcjuvrLf3DtaBiySp4IISCE+G4EFdctmk7x/CNrBxAwxow4Nea83r7C69Sa+TaXp9nU2Lq5tiWt+2f/T2Lr0t50WZ19nVhwfQms7V4lZrptJkYIDxtSYRRFCe9FrTbuus94fsdzJ/c/+D++/f/5X9CIdEcxJzYPAc7K05iRiCgjui5iQCRdWcRI6ImpNIIe15wFjMPRe3Lagg0SRnPp9VTr73uXyCmj6q5NzeTlgHbpukggsqoFpyegd1yWWTvn4I25DkHB7Qhgf9cKvP5fwmuy7TaZ3ld9Miy830Kp3X09t5laQ3VzeVKW4/PIDkdD4BreTMpMnAAONLTiKIoDzBkvPhq2/WPPQjKzbvv33/50er/73Vm79eX/jz4Er61caUbr/1dv8d+9k3++PMeMTNc2oWDJ6FvUUnEUNQcgWi02cAYpJw1KZ7I+QFlSSi3iRSSBseMBrVfJbmhQtlQUWJpjj9H+Wg4gkq+qiCc3vrYB24R5IKLqh+asHp/yYHFU36+iFoQ3pzeDwbHnTcu3xS3wZ5HsDL8rfwDu1F18bbLxnvsBddm4ICS8EYXnRtiEYUIhBeBnrRtQGD7rsxpKgyQtA/J5GYXi+6NkbQOLeveFRGJzHJAfmr8llduSJcqCM8oBe9sDZ0e7VPXW6MoHUe9KKrGcH+OLIXXR0u2CCFXvQ677zotfcCwpf6qME2OYaqtjCTRQDjVI8Btro9vOht7I8Hwu9FV1MYIQX8HNnMHneB9QI+0wcMdkN4agKUoMaWoMaWoAYsQUs9H9hLR/Siq0MFW6rAi96Vng8C7+y5PmJJm1U9PN20L1x2GjUC2YvelZztAPi96GoCsMlKvejts9MF1Qv2Qhfs092s8SzBtlPtQsaJAsbfrCGC9AVIaIDAuTprs4aYBYNnAZ8LuzBOqBiC5coxZshEksibNUSSiJs1RArpajEwGnVbv41vYk5EeQqbNUw8QUUfY1rZTS6L7eJ+4MZYKrig+sEzInRMl1w06euHoA1t1gyPZ8ODfsJnH1OvH91Ik4EBxtebRBBBdYL15qhnH4nsBmffW2USMQR1VqAyh3zoRCCO2HRxvKByRJSaRApprwPGIiuLmfMY2YJKEk1phs4+MvkExXxUqbm9PLAOXAdJBReUQLXUDJ19ZLJJ3z+EbUhrDg9ow4N+wmcfU68RvZQmAwOMrzWJIILypNeaY5x9JObA4DnYW3MSMQQFd0TNSQSKqjmJHBE1J5FC2vOQsciTmXGRLKgk0TRn6PAjk09Q1EfVnNv7BOvABZFUcEEJVGvO0OFHJpv0/UPYhjTn8IA2PGj7ofRnD1Ir5gfSMxdmqyarAGaazfuY0UzpznjfU8fbrx1PxJSebUzp7W/ATenKFBRYCkYxpStDNKIQgfB2pnRXoCfqQEH7nUCQerfalRGCBjqBwgyY0ZUxgs65fdWjMjqJSw7InzN3C3V0BzSi19aDPm9/mCdbF2gVNqJrGcGeqDCiF1XlN6JrwwWbotSIXu2M6N57BV/qowZb4xiS2sJMFgGMUz0G2N72MaJXk8cDETCiaymMkAJ+jmxmj7vAegGf6QMGOyE8LwFKUGNLUGNLUAOWoKWeD+yjQiO6v/x8oA8VbKcSI3q1M6J739lzfcSSFqt6eLopX7jsNGoEthG9mjwegIARXUsANlmxEb067oLqBXuhC3Y9iYE2diyPd2IdWGFQT669RvTQdWsOThTQNQUPcEmm4S6Q96gggnU9dH4+rjGIyG5wdnzW68I4oWIIVigFc+KhTRoiUNRNGiJHxE0aIoV0kRgYC990nEgRbYPGFLPUZwpi8gkK+RizyW5Oub34tA7cZEsFF5Q/eCIED+qSyyZ99xC2oQ2a4QFteNBP2BSUeQ3oc2kyMMD4OpMIIihPep05himImAOD52BvvUnEEBTcEfUmESiq3iRyRNSbRAppzwPGwqc3iRTR9GaRz3KfIYjJJyjoo+rN+VaeBC53pYILyp9ab3oHdcllk757CNuQ3hwe0IYHvdabWXZlbu+K62lSlmaaprf1tE5u5tMkMYkp6zqdm40Oi6s3nU/A14p5+DYiRzIwwOh6kwkiKE+o3vz71Wd2IfNo9WmrKX93/y3rNmr/Yz9r+fnaaNT+S7u6uXMapdkzs/rt6rftrzjlwHNqCgyegn3lJhNDUG8FctNn+WGScHSm7+saTJJ4SpNJIe12wGh4lCaTIprSzNuW5POeUwEFtXxMqTnfXg04D9z1SAUXlD611PSP6pILJ337ELgBrQmMaMODjvwldJ96DF0slOVv4R3adK6Nt1803mHTuTYFBZaCMUzn2hCNKEQgvPyr</t>
  </si>
  <si>
    <t>X0L/r6v/NnWqoxN1wKDlbgwlqowQNM1JFKbXfK6NEXTL7asdldFJnHFA/upZUrgCXKgDPJz/fJ5Z63luf7CfRJ+bjQN0ngZN6GpQsEeObEJXhws2SaEJfZ52JvS598rAl/qowVY5hra2MJNFAONUjwG2uz1M6G3sjwfCb0JXUxghBfwc2cwed4H1Aj7TBwx2RHiCAtShxtahxtahxtahBqxDSz0k2FRHdKKrQwV7q8CJ3tWfDwIv7rk+Ykm/VT1B3fwvXHsaNQLZid7Vne0A+J3oagKw00qd6O2z0wXVC/ZCF+zT3bHJfU70eSbjRAHj79gQQQSrfOiknbJjQ0yBwVOAz4hdGCdUDMGy5RjzZCJJ5B0bIknEHRsihXTNGBmNalbWTm/vgooSb9smmc8Kp8h8nwsoKOhjTC27Ceb2utN54PpaKrig/sGzInxUl1w46SuIwA1t2wyPaMODfsJHH3OfJX2eS5OBAcYXnEQQQX1CBeeoRx+Z7AZn31tpEjEElVagNAes6EwgjuB0cbygckSUm0QKaa8DxiJ3VuwFFSOa1Ax8EJ3KJ6jkoyrNfKtLApe7UsEF9U+tNAMfRKeySV8+hG1IaA4PaMODfsJnH3OvF72QJgMDjC80iSCC8qQXmiOcfWTmwOA52FtwEjEEBXdEwUkEiio4iRwRBSeRQtrzgLEoZ4WLY0HliKY4A59Dp/IJSvqoinN7O+A8cNsjFVxQANWKM/A5dCqb9O1D2IYU5/CANjzoteI0Jr2+MsXN9LK4u5sWt8X19Kq+rqfm9nZ+e3mZ1fXWGxBXcTrLVqs4jTQZGGB8xUkEEZQnVHH+4+pTu3V+tPa4f7xe1vxs9bndUbfLmmsJmiaT1EzWO+gu5OdUZIMj7y0wiRiC+ooLzPvv3n/kQvkjKkpUaUnkiCgtiRTS5gaMhWf7aUHliCYta/9F4lQ+Qe0eVVpuLwOcB253pIILSp9aWnoHdcllk759CNuQtBwe0IYHHfmwo08sliG8IunjHfywozLefs14lw87KlNQYCkY5bCjMkQjChEIL3vrsOOzo4d/cL4PJ+rIwTMeuCL1uzmVEYIHNARCM3DqURkjeDJjXxGpjE5yCgPIX5YUnovPFuoQD3jusbKnHe3lO/P5s1OTbG++mJfhc49aULBdjn3uURsu2C+l5x7L3blH722BL/VRg11zDJVtYSaLAMapHgPsfPuceywnjwcicO5RS2GEFPBzZDN73AXWC/hMHzDYE+GpClCHGluHGluHGluHGrAOLfWQYFsd89yjNlSwu0rOPZa7c4/eF/dcH7Gk46qeoG4qGK49jRqBfe6xnDwegMC5Ry0B2GnF5x7L4y6oXrAXumDX0UKWdcvjnXgHVh7Uk2/vucfQTUMOThQw/l4NEUSw3ofO3ynnHokpMHgK8MmxC+OEitFXBAGMMWbKRBLO1o333CORJOLmDZFCunwMjEZRzGdJWbhYFlSWaBs4wYOPTEBBRR9jbtnNMKvtgn/gilcquKAAwtMifFSXXDjpO4jABUd0iYxow4N+wgcfC+/Bx9DFRM5kYIDxFScRRFCfUMU57sFHIrvB2feWmkQMQaUVSM0hHzoRiKM4XRwvqBwR9SaRQtrrkLFIMp/YJIJEE5uho49MPkEtH1Vrbm8JnAeufaSCCyqgWmuGjj4y2aSvH8I2JDWHB7ThQT/ho4+F9+jjXJoMDDC+1CSCCMqTXmqOcfSRmAOD52BvyUnEEBTcESUnESiq5CRyRJScRAppzwPGwlqQfF92I5JE05yhw49MPkFRH1Vzbm8KnAeufqSCC0qgWnOGDj8y2aTvH8I2pDmHB7ThQT/hw4+F5/CjSUJ3EzmTgQHG1pxUEEF5QjXnCIcfqcgGR95TYlIxBPUVl5jew49UlIjiksoRTVxSKaTNDRiLup4ZF8iCChJNW/pPP3L5BMV7RG3ZMj1Ikc0/uMBPueCC2qfWlv7Tj1w26euHsIW1JTKgDQ868ulHZyFq1WIaxEv7eAc+/aiOt18z3t3Tj+oUFFgKRjj9qA7RiEIEwnvr9KPzsTpRBwwe8MCVqM/KqY4QPJ0hEJjeQ4/qGMFjGfuKR2V0kiMYQP6M8dy7u1BHeLAzjybJ7EnH3P5Q2B82d6y1JKEzj3pQsEmOe+ZRHy7YJWVnHttwtmceN3l2Rf1SHzXYK8fQ1hZmsghgnOoxwH6nP/NoY388EN4zj3oKI6SAnyOb2eMusF7AZ/qAwZYIT1CAOtTYOtTYOtTYOtSAdWiphwS76nhnHvWhgs0VP/O4qz8fBF7cc33EkoareoK6CWC49jRqBO6Zx13d2Q6A98yjngDstMIzj/bZ6YLqBXuhC3Ydrbm+mtf5zfT2+jafFvOb+fTq7vJqmtXm1tyUl1V5s3ljvdPtwHqDesrtOfPYVisZJwoYf4uGCCJY5UNn7T9rp9qf2eng0epHdrp9/+37Pz9a/e/t9PDXqzfttPthAv+rf/swPc9Mktx/J83sj/OZ8fhPnlOTYPAk4JNiF8YJFUOwcDnGVJlIwtmz8Zx6pJJE3LUhUkiXjZHRyNr6XTuP5S+oLNE2bgL7Nkw8QUUfY27ZzTCz7TK//7JHLrig/MHTInRMl1w06fuHoA1t2wyPZ8ODfsInHo3nxGM7MZYmAwOMrzeJIILqBOvNEU88UtkNzr63zCRiCOqsQGaG7edUII7adHG8oHJE1JpECmmvA8Yiq5wle0HliKYz/QceuXyCUj6q0My3wsR/1yMXXFAA1ULTf+CRyyZ9+xC2IaU5PKAND/oJH3g0ngOPJimkycAA4ytNIoigPOmV5v4HHqk5MHgO9lacRAxBwR1RcRKBoipOIkdExUmkkPY8YCyM5+DQggoSTXL6zzty+QQ1fVTJWWwViv+yRy64oAKqJaf/vCOXTfr6IWxDknN4QBse9BM+72i85x2NNBkYYHzJSQQRlCdUco5y3pGIbHDkvRUmEUNQX3GFGTjvSESJqi2JHBG1JZFC2tyAsciM97wjESSatgydd2TyCYr3qNrSbKWI/7ZHLrig9qm1Zei8I5NN+vohbEPacnhAGx505POOTv9OqxbLIF7Wxzv4eUdlvP2a8S6fd1SmoMBSMMp5R2WIRhQiEN6j844/W/3Ue95RGTB4uANXon4TpzJC8GSGQGAGzjsqYwSPZOwrHpXRSY5fAPnL8lkxd0W4UEd4wPOOlT3lWNsf5tsjRsHrHfWMYH8c+6ijNlywQUqPOpa7o47+6x31UYNtcgxZbWEmiwDGqR4DbHX7HHUsJ48HInDUUUthhBTwc2Qze9wF1gv4TB8w2A3huQlQghpbghpbghqwBC31fGAvHfOUozZUsKVKTjmWu1OO/psd9RFL2qzq4emmfeGy06gR2Kccy8njAQicctQSgE1WfMqxPO6C6gV7oQt2HS10J4/l8U6yA6sM6om295RjJeNEAeNvzBBBBGt76FydcLMjNQUGTwE+EXZhnFAx+mIggDHG9JhIwtmn8Z5xJJJE3KkhUkiXioHRMOmsrNzfPaeiRNurCVzsyAUUFPQxZpXd3LLaru37L3bkggvqHzwhwkd1yYWTvoIIXHBEl8iINjzoJ3zMsfQecwxfPeRIBgYYX3ASQQT1CRWc4x5zJLIbnH1vpUnEEFRagdIcMp0TgTiC08XxgsoRUW4SKaS9DhiL2nMZ74IKEk1shs45MvkEtXxUrVlvlYn/YkcuuKACqrVm6Jwjk036+iFsQ1JzeEAbHvQTPudYes85zqXJwADjS00iiKA86aXmGOcciTkweA72lpxEDEHBHVFyEoGiSk4iR0TJSaSQ9jxgLIrU60UngkSTnKFzjkw+QU0fVXLOtwrFf68jF1xQAdWSM3TOkckmff0QtiHJOTygDQ86she9cuF9zaThq4XyPt6hvejaeEGTHaoBD+lF16agwFIwhhddG6IRhQiEl4NedG3AoPtOoEd9m+3aCEH/nEBg+r3o2hhB49ye4lEbncQkB+Qvm1WFK8CFOsDDWdHT9Fn7g71/J7X376TFxgyaJkE/uhoU7JEj+9HV4YJNUuhHT5POj556Lw18qY8abJVjSGsLM1kEME71GGC728OP3sb+eCD8fnQ1hRFSwM+RzexxF1gv4DN9wGBHhOcnQB1qbB1qbB1qbB1qwDq01EOCTXVEU7o6VLC3CkzpXf35IPDinusjlvRb1RO0nf8N1J5GjUA2pXd1ZzsAflO6mgDstFJTevvsdEH1gr3QBbuOFvITWR7vbDuw3KCecftM6Wkq40QBo2/cMEEEi3zopJ1hSmemwOApwGfELowTKoZg1XKMeTKRhLNh4zOlM0nibdkwKaRrxsBolLMk83jSmSTx9mwCnnQqoKCejzGz7OaX6WaNPw1c70oFF5Q/eFKEj+qSCyd9AxG4gV0bYEQbHvQT9qRXPk96mkmTgQHG15tEEEF9QvXmqJ50JrvB2fcWmkQMQaUVCM0BgxATiKM3XRwvqBwR1SaRQtrrkLFwHs9fUDGiSc2AI53KJ6jkoyrN7ZWAaeCKRyq4oP6plWbAkU5lk758CNuQ0Bwe0IYH/YQd6ZXPkZ7m0mRggPGFJhFEUJ70QnMERzozBwbPwd6Ck4ghKLgjCk4iUFTBSeSIKDiJFNKeB4xFNvMtbhI5oinOgCGdyico6aMqzu3VgGngrkcquKAAqhVnwJBOZZO+fQjbkOIcHtCGB/2EL96pfBfvpIU0GRhgfMVJBBGUJ1RxjnHxDhPZ4Mh7C0wihqC+4gLTf/EOEyWqtCRyRJSWRAppc0PGYuZbzCRyRJOWgXt3qHyC2j2qtNxeAZgG7nSkggtKn1paBu7dobJJ3z6EbUhaDg9ow4Nu/9+/edg5/zCsHf/97fU3//hPvuFIhEo6Fi7OVjWaAGeaJ31O36FHf7QSQbg79+gM9z11uP3HLJBcUPb9uFV4Xzycpzta/eb++w+S75mVgR+vvli9WZ93/PWzo/s/W725/277H7vb/bmLqpV/5g8XarS36qKfbb+yuDnnVNrTTbWvDmohCjkE7ha3kb+ykb/yRf5KH7mRR467xNvAz2zgZ77Az/SB4++EvvJuzqSU9iSKG6BRA7x1tGAAQPa8vLZRv/ZF/VofNV7nhScK2qAvbNAXvqAvdEF/pdzb2P91qGmNeVK/8B4aKIMUmTf1WLDKhtX+xxnve+p4+4V9z4P6/7hem7DN6cvtYf2ubz2c2/9yvXbxyfq4/perf1qfv//i/nv33+kO6dt/se5kv2n/3BsX7nM1br8FMA/lK0M0ohCB8FY/a/P5MCybIfnsaPVbp7SwY/A/rH7Sqgr7cYVvrT63ymL1S/ur648s2KMaPzpa/R/tH/tt+39v7v/MxX6iZu/PQvY+3x9YfFGGCJ5FFCyqBA74K2MEDyHuu2CijE5y4BDIn/NLKwt1dAc83V9tj9GGr5dTk4GNVH6cPytM7T/Orw0XbKXS4/y76+XSwPVy6qjBhrrfNKlbN7L3PPkxTvUYYKNUTJS6Y7W76+XSgevl1BRGSAE/Rzazx11gb8+XtAGDDRBeggMKTwMWnqWeCuyZsvP7gaLzgT5UsHVKzu/vLpXzv6nn+ogl7VT1yHRrmuFi06gR2Of3d5fKhQvNaz0B2FqFs2377HRBvT3R1gRro728vr66ri+r6W1RZPbs1XxaJ7fXhzy/X8w853LbmXjovhMHJsrnmq0HsCQzdhfIe1QQwb4VOpX/ezspXC8tt9PGz1b/3P6nnTI+HKQKTuXtv/7xejH643YK/5uj2iT338nSJFkf7T9ZlMmzhy/2tbPL9nd/sl4u+Gz15mhtrP14/Re+caXwOTWFBk+hYO79kMXQtPpX1jB8ZJ0c999pyX9lJ+gP3yZ8+LqhnZ0P5fsPbFb/x6O3/yeO/qBtk23608wk630DOyy/sQsA7V9x9HA+bv0/80Wbf/tb29/0yeqL2cP/Xvs3/PYoy5Lk/9GO3sOfb3/3/bfv/9J+Z/H+r+3XFLeu54/bsrrej/hl+59f2XUG1xCeUIewr54CQzjKEgIRJap/g8gR0b9BpJDuIANj4Vu2IFJEc2+kZZUms9xn4GAiChrhGFPwbiK+vbktDdzFRwUX1D549igZ1yUXT/oGInjBMV0iY9rwoK2H49mDQo24G5a5KFsNHroIJs3fcqpE2w1zxvueOl5w8Q6V0GPshq3/CvtV6zcu1Odq1AJDHWUnTBmiEYUIhCfeCftFq5e/Y4dPvgOmZAYXAEeRr8oQwdU8gSwN7IApYwSX8faVnMroJEt2QP5KZ/IW6vAOuAU2365E1+EtMC0Z2D0VW2BJnfu3wLThgv1TugVW77bAvLe/vdRHDXbRMfS3hZksAhinegywQ+6zBVZPHg9EYAtMS2GEFPBzZDN73AXWC/hMHzDYAeFJDFB4GrDwLPVUYNMUboH5i84H+lDB3inZAqt3W2DeN/VcH7Gkn6oemW5KGC42jRqBvQVWTx4PQGALTEsAtlbxFlh93AXVC/ZCF6yN9i67KdIyz6e3eT1/KltgHnNnO/2eyzBRPtcUPYAlmaa7QN6jgghW/tD5+2hbYGVt92Dmo2yBEVNo8BQKJt1f2QLrzadtzn718F92v+rj9b7Vt4cye7JoyuRovVX2xeZf/+b+rx/+5bOjoz/4yt5Vldi810nyf2t/+dM2sb9c/z2ftX+3/e1vjtbZ/ueHifz99zbjVNWJ3cz6Z/tNn/b3/lk3Ov/fP/8vxdH9tx9dNvZF+zf+4GizK7ZeU/g/2r/szx8O5zw7uv/uw/9id1r7zfovvv+r9W/4fPVZG/H6f8kuQ7TP2reO7j9aH+f5zurTzf+yjfS39qqy39x/v/3f+HL125nr0TihPhqC5eVR1iaIKFG31ogcEbfWiBTShX1gLLzrIUSMp7K3xkQUdNgx5vbdDH97b2gauAiWCi4ofvC0VDKuSy6e9BVE8Ib21obHtOFBP5yP/opo9Ir8UQ9I5y7Mr5ksdA9Pmhd9TN/m2rjHo53BvqcOtv+M7X84+mdfOSX2mSvY522wf7hQRxz5zHNm73bMK095U0MUcgh8eeHhzHMb+Stf5K/0kRt55PiywvrMcxv4mS/wM33g+KOur6YPq5aZvYfPA9CoAdhnntuoX/uifq2PGi/dwiWo9ZnnNugLX9AXuqDXD8uHMfuPb30pS4PhG2/O4WhVHch31lkbLv5ioj3o/7TrBg/2jt1ygjXgfnT/vQeL7Xp54pP18sJ64ePh222Pzzi3v8EF2vav1PYvJW3s/mWvJc6M/aG2nWzdzgpfO9MyxWhnWdvOWpBXFuSVBXnlA3mlBzFyEFHFOrMcZ5bjzHKcWY4zH8eZngN/p/Zudva+2ZansTyN5Wl8PI2ah977srb3tRCvLcRrC/HaB/FaD4F3EVUrzNpW2DJcWIYLy3DhY7jQMXylM0b8GkjuP4OUZUGKyjsSWLDK7uiL9z11vKBzA22P//H+e5vtjC/Wa/ndLsdXu9/HdtF7vWZvz4180i3Qv3lY1W9/16/tYv+ndol9bdR78FKuf9ndXB+sk+vu+19Wfxv8XQ9R3P/V7MhYJ+BvXel8rk5nv1sRPZbaEI0oRCC87Oj+//XgpnQFeqIOFLSF4JsP3itNtRGCFg/BnoLfF6mNEfR27LlfoI2uLyb29EV6tgG00R3OFpnlVlYXG4tSlgW9kWo8sLPKvZGm8n3483/SRwu2VqE1Mss6a2TmvYbopT5qsMHuNyHbbpxk2WQRwDjVY4CNTTEH2zqW2tgfD4TfGqmmMEIK+DmymT3uAnt7sqUNGOyB8B4UUHwaW3wasPgs9Whg85T5I/2F5wN9pGALFdgju6LzQeBtPddHLGmrqsdmu6s3UHAaNQLZHtkVm+0A+O2RagKwuwon5PbZ6YJ6e/KtCXY9D8xMcVVc3U4vr00+LS6z+fTyJsun8yq7uq3M1XVWXD3weOfl/+5yTHtkYLbbzs5zGSbK55rBB7Aks3gXyHtUEIF5A53e/zf7Her19yTebM/TfdrO7393/631hPvj+x/8281c/Jdrt5s1yj38/B/tQoC9Qe/+L9YGuy83iwMPZrqHqfvPVn+3+tF09fPVL1Z/s/rJ6j+1P/7D6hfPjvKk/Z/69OgP3lucOt/R59Q0GjyN+Jz5IZPW4efN5NHq53ZWvXZJrtdG7CbCL9fmxe537LKcJdYv+OmHH35D+Vevbze0Y/TdzZhs/0ZHwk+oCRd4bwRzfw/KH1FRKMbDYmZcJC+oJPGsh0wKqe8JGA3fkgORIp7zMJsZ5zmM97l8gs41xry5mz1vb4fLAtf9UcEFpQ+e8sGDuuSySd89hG3AcwgMaMODXuvquqyz6+qmml7lVTItytu76fy6uJrm8zyZ380vL/PbTWmNqqud04dWVxfSXGB88XU1EURQnVBd/cPeVlcr2f529Z9bHfzT1U+mqx/Z/1qL4h+tfrG++s8F/ZwKbXBoXAW7ME6oGIICO4q2JKJQtGUy21zm8ba4JKJEFJdECmmDQ4bDRbGgUsQTl4n/xj8qoKB+j6outxfEZYEb/6jgguKnV5feUV1y4aRvHwI3JC+HR7ThQa+PtDzrWlpk25RPQJog7bxPG8k2VXptU8p4+zVkT9vUz9Znmz/deKQ2CtDjI/55qwL/dud4+oqr6uHX/sv23wb9TUruAuMexd+kDNGIQgTCyzt/0+zItbjaM3b3F2n/YH2s/Xd2efsX03TWlorNP9XdP6Wbf8pmefdPRfdPZfdPuz+Rdb+2+7Om+6fqrT/R/r5k94/bv7Ho/nTR/S+b7tdM979Sd79Wz9x17kQ9XOAOt0CNe11eygjBjWpcZIdcXsoYwS3qfdWzMjrJdjSQv6yq57Pc8zllbYwH9HrZu0+z7Y0smQl7vbR4oByQe72qecDrpY0W1ANSr5fZeb1MwOuljRpUBWPMKizMZBHAONVjgE1+H6+XmTweiIDXS0thhBTwc2Qze9wF1gv4TB8w2AnhqRlQfBpbfBqw+Cz1aGALlXm9/IXnA32kYCOVeL3MzuvlfVvP9RFLmqvqsemmu+GC06gR2F4vM3k8AAGvl5YA7K5ir5c57oLqBXuhC9ZGe21ub+ZJPZ9e3RozLa5u62l9c5VPk7usLi+zm6urS/PA411MCKyuaBcUvF6vUoaJ8rmWHQJYkqUHF8h7VBDBmia6JnFIr5crgc+pCTR4AvGVAxfGCRVDsMQrmFH797eIKJT9Lb93ikgScXuLSCFdYAdGI82MsctRzjFZUGnibXNls8q3y8XkE3SEMeaj3ay03O6JBO4opoILSiA8lYIHdcllk76DCNvQJtfwgDY86KfrofLcRNTq1fD9UI5cYHzx9SoRRFCdUL06koeKCG1w6L01JhFDUGBH0ZhEFIrGDHioiCgRRSaRQtrggOEo0npWJKWLZUFliScxQ04qJqCgio+qMbfXNGaBqzep4IISqNeYIScVE076DiJwQyJzeEQbHrRVmSHxOK5zKnfRtbKxDtBlBfxN4GjOKWW84B4pqvriO6eU3AXGPYpzShmiEYUIhJf93jmFOKeUwwXuFws0uNc5pYwQ3PbFpXXIOaWMEdzw3VczK6OTbO4C+cutGHZfrbVQx3hA59TcfnI22ZoXwjeIqvFAOTCyc0obLagHpM6p3QWiWeACUXXUoCoYYxZhYSaLAMapHgNs8vs4p3YXiGYDF4iqKYyQAn6ObGaPu8B6AZ/pAwY7ITwVA4pPY4tPAxafpR4NbKEjOqe0kYKNVOKc2l0i6n9bz/URS5qr6rHpprfhgtOoEdjOqd0louFi81pPAHZXsXPKXiLqLjQXumCf7E6U/5KHuQwT5Yu/E0UEEaxhomsSI+1EEaENDo3P9l0YJ1QMwTKsYBbs34kiosTeiSKi9IVAAGXfWTWRQroKDgyHsbaRzHduicjyNHaimICCKj7GHLKbSW4vNcwCF1VSwQUlEJ7+4KO65MJJ30EEbmgnanhEGx7007Xn5z670+b+UkEuML7oIpMJIihPqMh8evZ8ZgINnsB9BSsTQ1CtxxCsTBSKYPXa85kk8fQqk0LaK4HRSE1ep7PaubqwoMLEE6x+dz6VT9AQxtSrebJRNw//4AI/5YILKqBer/rd+VQ26SuIsA3IVWBAGx60/QTVs4euFvHTU4WLshWiwXsHi6RPGc1A5bSevqeOF9wqRXXkmAYqKx3vv3v/0f237S/a/27l5eerNw//OvObqrS5KLBcjGGq0oZoRCEC4UlNVW992H89ur96+K/P13cAfKv972//S7FbaQcS3GQW6Haf3UobIbhXjMvxgN1KGyO4S7yv0FZGJ9kRBvIXtFtpYzyc3Sq3F37n+cbxkKdBu5UaDxQPcruVKUqv3UodLagehHarPO3sVg9pdkX9Uh81qCHGmHpYmMkigHGqxwDb/x52qzb2xwPht1upKYyQAn6ObGaPu8B6AZ/pAwY7ITx/A4pPY4tPAxafpR4NbKEyu5W/8HygjxRspAK7VVd0Pgi8ref6iCXNVfXYdJPicMFp1Ahku1VXbLYD4LdbqQnA7iq1W7XPThdUL9gLXbDrqS500Yrl8S49BNZgtMsPPrtVnskwUT7XIkUAS7JQ4QJ5jwoiWPhEVzAOuRMWupSQmUaDpxFfWXBhnFAxBKvBgnm1fz+MiELZD0tnzsnjCypJxP0wIoV0MR4YjTI11sBVuGAWVJgnsR/G5BO0hTEmpd3UNNtun3ivsD7lggsqIDyfggd1yWWTvoII29B+2PCANjzotWi9urq+vbzL51NTFNfToqrvppdlYqZFelXfpFeXN7nZvM1RRWvmykUrWnNpLjC++KKVCCKoTqhoffuMgP1pK1sftt2+1erQ39z/dfsbvrf69dHq71vVaRXo361+3P7nJ/+2068/2R4nsL/nv7c/+fnRy6VJj1Z/48rSc2qWDJ6lvTUpEUNQkUfRpEQUiib1HypgokQUpUQKaUcEhiN4qIDJEk2T1vWs9mlSJp+g6o+qSbeXFueBW6ip4IIKqNak3kFdctmkbyDCNqRJhwe04UHH/biVcdG1KrMI0GWF6dMd3JuljLdfMv7/wpulzEWB5WIUb5YyRCMKEQhPelXg771ZPV2vHEhwR1qg173eLGWE4MYyLsND3ixljOCW8r76WhmdZPsYyF/wEkFtjAf0ZhnrzSq39ogi7M3S4oHiYWRvljZaUD1IvVnFzpvlvff5pT5qUEOMMeWwMJNFAONUj1EIMRR2iWLyeCAC3iwthRFSwM+RzexxF1gv4DN9wGAnhOdtQPFpbPFpwOKz1KOBLXREb5Y2UrCRSrxZxc6b5X1bz/URS5qr6rHpJsPhgtOoEdjerGLyeAAC3iwtAdhdxd6s4rgLqhfshS7YJ7vNZbzeLCPDRPnib3MRQQQLnugKxqG2uYhZMniW8IUDF8YJFUOwyCuYNvu3uYgosbe5iCgRt7mIFNJFdmA4gre4MFmexDYXk09Q9ceYc3YzT7PdFQlcYU8FF1RAeLoED+qSyyZ9AxG2oW2u4QFteNBP97yA8VqvSmkuML74mpQIIqhOqCZ9sucFiGk0eBr3Fq1EDEHJHkW0ElEootV/XoBIElGzEimkHRMYDZNkyawufaKVCBNNtIbOCzD5BG1hVNG6vQw5D9xuTQUXVEC1aA2dF2CySV9BhG1ItA4PaMODtt/P+g9fkWteVfrvb6+/+cd/8g1HIlSi1CdIgxcsFmmf0+fS8kcr0Zo7o5Yz3PfU4fYfs0ByQUX5f7Zq8FsPa5z331u9ObLGnVY8fnn/0f33NrLQ49rqGYJcoK0wrP5woaZ9q1T6cferlBsfQv3s1LTRtD8U9oeq/cEk9ofc/lDaH+ytXaX9lkxpTQul/ROV/ROV/ROV/RO1/RO1/RO1/RO1/RNz+yfm9k/M2z9RJqn9obA/tH+iTBP7Q25/KO0P7Z8os8z+YOwP9k/k9k/k9k/k9k8U9k8U9k8U9k8U9k8Y+yeM/RPG/onS/onS/onS/onK/onK/omq9NV+7SgV8lHCN7Hs0LyyQ/PKDs0rOzSv7NC8skPzyg7NKzs0r+zQvLJD88oOzSs7NK/s0LyyQ/PKDs0rOzSv7NC8skPzyg7NKzs0r+zQvLJD88oOzSs7NK/s0LyyQ/PKDs0rOzSv7NC8skPzyg7NKzs0r+zQvLJD88oOzSs7NK/s0LyyQ/PKDs0rOzSv7NC8skPzyg7NKzs0r+zQvLJD88oOzSvf0LzSD42RDw2+O9eOzJkdmTM7Mmd2ZM7syJzZkTmzI3NmR+bMjsyZHZkzOzJndmTO7Mic2ZE5syNzZkfmzI7MmR2ZMzsyZ3ZkzuzInNmRObMjc2ZH5syOzJkdmTM7Mmd2ZM7syJzZkTmzI3NmR+bMjsyZHZkzOzJndmTO7Mic2ZE5syNzZkfmzI7MmR2ZMzsyZ3ZkzuzInNmRObMjc+YbmTP9yOCVXK8XNg6H+lljR6ixI9TYEWrsCDV2hBo7Qo0docaOUGNHqLEj1NgRauwINXaEGjtCjR2hxo5QY0eosSPU2BFq7Ag1doQaO0KNHaHGjlBjR6ixI9TYEWrsCDV2hBo7Qo0docaOUGNHqLEj1NgRauwINXaEGjtCjR2hxo5QY0eosSPU2BFq7Ag1doQa3wg16hF6a1N+YIRkJe21HZbXdlhe22F5bYfltR2W13ZYXttheW2H5bUdltd2WF7bYXlth+W1HZbXdlhe22F5bYfltR2W13ZYXttheW2H5bUdltd2WF7bYXlth+W1HZbXdlhe22F5bYfltR2W13ZYXttheW2H5bUdltd2WF7bYXlth+W1HZbXdlhe22F5bYfltR2W13ZYXttheW2H5bUdltd2WF77huW1flhwfSk0G7SjcmFH5cKOyoUdlQs7Khd2VC7sqFzYUbmwo3JhR+XCjsqFHZULOyoXdlQu7Khc2FG5sKNyYUflwo7KhR2VCzsqF3ZULuyoXNhRubCjcmFH5cKOyoUdlQs7Khd2VC7sqFzYUbmwo3JhR+XCjsqFHZULOyoXdlQu7Khc2FG5sKNyYUflwo7KhR2VCzsqF3ZULuyoXPhG5UI3Kut69mEn/qN9TjfzOibqIEXufbawYJUzARu1K9731PGCdkt0KvDTnW3fd1jjjbU6vHUS4Fvtr7V/8s3qV+s16D9rpxT2t67dEe3vaP/Il6tPe26KLzd/k/N/4mHJ+pOjrP272/+ZL+9/4Ercc3Xi+oqVeb5DGaIRhQiEt/v2rivQE3Wg/VUd4vkFZYSg+VKyVO0/v6CMEbRd7rsIrYxOYrEE8ufM3UId3QFPLtjJfbG9RzcPX+KtxgN7qPzkQlbV/pML2mjBJio9ubC7xDsPXOKtjhpspfstM3VL8fZOXT/GqR4DbGyKdZjOTLy7xDsfuMRbTWGEFPBzZDN73AX29mReGzDYA+FdDaD4NLb4NGDxWerRwOYpO7ngLzwf6CMFW6jk5MLuEm//23quj1jSVlWPTbdVFC44jRqBfXJhd4l3uNi81hOA3VW4mGCfnS6ot6fZmmDXUvb2rk6Tu6vpPM3SaZrezqd1cns5TRKTmLKu07kZ2o/7d5fjusS889p2Hj6XYaJ8rrl6AEsyX3eBvEcFEdgB0In8j746jf9k/SGGdnY9bf/rs/ZXf7c5vvBZ+y86/9dn66m5/Rd/bX/c/vLfrJcEPrNz8Ad72bOj1W/b+fj37//K/qydsLe/6cdrS9ruN/ww/YPVj1Y/Ttu39fxrL4+qZOOcfHv6TkyrwdOKz6H7SyS/7cjXyxmDqV7/rt3fsP7pr1a/sUn85P57axPf5+v/fHz/l+0ftcshn6ze7P6oXXf51drY9/nqs6OvfeObt//z5dHq5/cfrQ193arL0R/0B+l/PLr/i/VKy0d2RcUGZQ+t3H/34e/aDFNhP7lgB841WifU0RJYQwQLCX5zHBGFYo5LZrmL5AWVJKI5jkghdeYgo+GiWFApornicmv7n7sA3+cCCvrgGLPwbi6+vTQ7D1yDTgUX1D54AomP6pILJ337ELghX9zwiDY86LVML+/qpLy7SaZ3WXI3La7L9vfezOfT69vbIinzu8uk2LSJqDLdua7+NVMk0lxgfNFlOhNEUJ5QmT7GAeOXy2ngLDEzIQZPCC6wXRgnVAxB9R1DeTJRSMrTd5aYiRJPejIppM0PGQ4XxYJKEU16Bk4RU/kEpX1M5Vls778uAheaU8EFtU+tPAOniKls0ncPYRsQnsCANjzomB/LzbxSMnRdWlaUfbpDO6+08YLbxagSfPecV9rEFVjixnBeaUM0ohCB8IacV9pAwV1ngWz1Oa+0EYKbx7gaDTivtDGC28b7ykxldJItYiB/PvmojO5wzqvCnqgqtlfqFuH7vNV4YA8d13mljhZsokLnVbG7z7sI3OetjhpspWMobwszWQQwTvUYYGPbw3lV7O7zLgbu81ZTGCEF/BzZzB53gfUCPtMHDPZAePoCFJ/GFp8GLD5LPRrYPMdzXqkjBVuowHlV7O7z9r+t5/qIJW1V9dh0c8JwwWnUCGTnVbG7zztcbF7rCcDuKnVeFfY+b3ehudAF+2S3dLwnoIpMhonyxd/SIYII1v3QiXyELR1iQgyeEHz268I4oWIIljUFc2P/lg4RJfaWDhEl4pYOkUK6rIwMh4tiQaV4Els6TD5BaR9jYtlNL7dXOBeBO7mp4ILaB8+J4EFdctmk7x7CNrSlMzygDQ96LTzreXYzv6tvpnd3l/b33tbTurrJplmelZfl9byo7T0I0YWnbwMol+YC44svPIkgguqECs9Hlv8vVm/WNy/+2f337//ywcjfN+0v//RPvnl7/c2jf3V7/Sd/uhGe1gU+T5LclZDn1IQYPCG48Hycky/bjHyx8dR/ufr12mP/g4CFfvWT1Q+f7Vzz080XddfCfZuoB7u8sxSeUPMlqPKjKFwiCknhOh/iF1SSiAKXSCFtsshouCgWVIpoAjfLyllZuQDf5wIKesioCnd7IXQRuOGbCi6ofWqF6x/VJRdO+vYhcEMSd3hEGx50XNeSsyu0orUI0lV9uoO7lpTx9mvGvzzXkjJxBZa4UVxLyhCNKEQgvEHXkjJQcMdWoFu9riVlhODGKy5HQ64lZYzgluu+QlMZnWR7FcifT0Aqozuga8l+ArrYXjZbhG+6VuOBPXRk15I2WrCJSl1Lu5uui8BN1+qowVY6hvS2MJNFAONUj1EIMRRGgt1N18XATddqCiOkgJ8jm9njLrBewGf6gMEeCM9fgOLT2OLTgMVnqUcDm+eIriVtpGALlbiWdjdd+9/Wc33Ekraqemy6OWG44DRqBLZraXfTdbjYvNYTgN1V7FqyN127C82FLti12IY2miyPdwYeWILQzsK9riUjw0T54m8eEUEEC3/oRD6Ca4mYEIMnBJ/9ujBOqBiCdU3B3Ni/p0NEIe3peF1LRJSImzpECumyMjIcLooFlSLapk7ItcTkE5T2MSaW3fRye/txEbjOmgouqH3wnAge1CWXTfruIWxDWzrDA9rwoJ+ua8l7e2BRSnOB8cUXnkQQQXVChWcE1xIxIQZPCC48R3Ytrf/Nb9ffJP3Khz8fvveZlmEDEzF1goI/itglopDErvN5fkEliah1iRTSfouMhotiQaWIpnWDBiYmoKCdjCp2t7cmF4FrsKnggtqnFrtBAxMTTvr2IXBDand4RBsedFwDU+Gia/VrFaSr+3QHNzAp4wV3XVH5+Q4amJSJK7DEjWJgUoZoRCEC4Q0amJSBgpu3At3qNTApIwT3YHE5GjIwKWMEd1/3FZrK6CQ7rUD+fAJSGd0BDUz2wvtivvUQVGEDkxYP7KEjG5i00YJNVGpgqnYGpipgYNJGDbbSMaS3hZksAhinegywse1jYKomjwciYGDSUhghBfwc2cwed4H1Aj7TBwz2QHj+AhSfxhafBiw+Sz0a2DxHNDBpIwVbqMTAVO0MTN639VwfsaStqh6bbk4YLjiNGoFtYKomjwcgYGDSEoDdVWxgqo67oHrBXuiCXYttaM/J8nhn4IElCO0s3GtgCt3r58BE+eLvIxFBBAt/6EQ+goGJmBCDJwSf/bowTqgYgnVNwdzYv6dDROlrgAAKPokOGJiIKBE3dYgU0mVlZDhcFAsqRbRNnZCBicknKO1jTCy76WW93QEI3KlOBRfUPnhOBA/qkssmffcQtqEtneEBbXjQT9fAVHgNTHNpLjC++MKTCCKoTqjwjGBgIibE4AnBheeoBqbhy4p95iVi2gTFfhShS0QhCV2feYlIElHnEimkvRYZDRfFgkoRTecGzUtMQEErGVXobq+2LQKXFVPBBbVPLXSD5iUmnPTtQ+CGlO7wiDY86LjmJeOi+5oxSZBu3qc7tHlJGy+444pKz3fPvKRNXIElbgzzkjZEIwoRCG/IvKQNFNy4FehWn3lJGyG4/4rL0YB5SRsjuPO6p9DURifZZQXy5xGQ2ugOZ14y6bP2h2zjHzBJ0LykxgN76LjmJXW0YBMVmpdM0pmXjPcu3Jf6qMFWOob0tjCTRQDjVI8BNrY9zEtt7I8Hwm9eUlMYIQX8HNnMHneB9QI+0wcM9kB4/gIUn8YWnwYsPks9Gtg8xzMvqSMFW6jAvNQVnQ8Cb+u5PmJJW1U9Nts54UDBadQIZPNSV2y2A+A3L6kJwO4qNS+1z04XVC/YC12wa7EN7TdZHu8MPLAEoZ2F+8xLJnw13luYKF/0PSQmiGDhD53I881LzIQYPCH47NeFcULFEKxrCubG3j0dJgppT8dnXmKixNvUYVJIl5WR4XBRLKgU0TZ1AuYlKp+gtI8xseyml+lmB8AEriWnggtqHzwnggd1yWWTvnsI28CWDjCgDQ/66ZqXjM+8ZDJpLjC++MKTCCKoTqjw5JuXmAkxeEJw4Tmqecnms/31b69+ud4/e/W8OWqOsiRPpud18l7QvsRMnKDcjyJ1iSgkqeuxLzFJIipdIoW02yKj4aJYUCmiKd2QfYkKKGgmo0rd7W26JnA9MhVcUPvUUjdkX6LCSd8+BG5I6w6PaMODjmtfKl10rXrNQ3Qm6dMd3L6kjBfcc0XF5ztoX1ImrsASN4p9SRmiEYUIhDdoX1IGCm7dCnSr176kjBDcgcXlaMi+pIwR3HvdV2gqo5PsswL58wlIZXQHtC8V1r5ktg6CPGxf0uKBPXRk+5I2WrCJSu1L+c6+5L0U96U+arCVjiG9LcxkEcA41WOAjW0f+1I+eTwQAfuSlsIIKeDnyGb2uAusF/CZPmCwB8LzF6D4NLb4NGDxWerRwOY5on1JGynYQiX2pXxnX/K+ref6iCVtVfXYdHPCcMFp1Ahs+1I+eTwAAfuSlgDsrmL7Un7cBdUL9kIX7FpsQztOlsc7Aw8sQWhn4V77UiHDRPni7yIRQfrKIzQ+4EQ+gn2JmBCDJwSf/bowTqgYgnVNwdzYv6dDRCHt6XjtS0SUiJs6RArpsjIyHC6KBZUi2qZOyL7E5BOU9jEmlt30stjuAATuJ6eCC2ofPCeCB3XJZZO+ewjb0JbO8IA2POina18qvfYlI80FxhdfeBJBBNUJFZ4R7EvEhBg8IbjwHNe+9M/rDy692Uh3m6qthalMpi+K5OthCxMxeYKSP4rcJaKQ5K7ziX5BJYmodokU0o6LjIaLYkGliKZ2gxYmJqCgoYwqd7dX65rAXclUcEHtU8vdoIWJCSd9+xC4Ib07PKINDzquhck5pK2CLYN0aZ/u4BYmZbz9mvEvz8KkTFyBJW4UC5MyRCMKEQhv0MKkDBTcvhXoVq+FSRkhuAuLy9GQhUkZI7j/uq/QVEYn2WsF8ucTkMroDmhhqqyFqd66CMqwhUmLB/bQkS1M2mjBJiq1MJU7C5P3WtyX+qjBVjqG9LYwk0UA41SPATa2fSxM5eTxQAQsTFoKI6SAnyOb2eMusF7AZ/qAwR4Iz1+A4tPY4tOAxWepRwOb54gWJm2kYAuVWJjKnYXJ+7ae6yOWtFXVY9PNCcMFp1EjsC1M5eTxAAQsTFoCsLuKLUzlcRdUL9gLXbBrsQ3tOlke7ww8sAShnYV7LUyVDBPli7+TRAQRLPyhE/kIFiZiQgyeEHz268I4oWL0NUEAQzA39u/pEFFIezpeCxMRJeKmDpFCuqyMDIeLYkGliLapE7IwMfkEpX2MiWU3vay2OwCBG8qp4ILaB8+J4EFdctmk7x7CFhzQJTKgDQ/66VqYKq+FKXiVnisXGF984UkEEVQnVHhGsDARE2LwhODCc1wL0z+tf/2jtXB/MC+lSZVMv54l52HzEjFtgmI/itAlopCErs+8RCSJqHOJFNJei4yGi2JBpYimc4PmJSagoJWMKnS31+qawD3JVHBB7VML3aB5iQknffsQuCGlOzyiDQ86rnmpdtG12nUepMv6dAc3LynjBXdcUen5DpqXlIkrsMSNYl5ShmhEIQLhDZqXlIGCG7cC3eo1Lykj7EtSqnlJGSO487qv0FRGJ9llBfLnE5DK6A5nXiqTZ+0P6dY/MA+bl7R4YA8d2bykjRZsolLz0nxnXvJei/tSHzXYSseQ3hZmsghgnOoxwMa2j3lpPnk8EAHzkpbCCCng58hm9rgLrBfwmT5gsAfC8xeg+DS2+DRg8Vnq0cDmOaJ5SRsp2EIl5qX5zrzkfVvP9RFL2qrqsenmhOGC06gR2Oal+eTxAATMS1oCsLuKzUvz4y6oXrAXumDXYhvab7I83hl4YAlCOwv3mZfKRIaJ8kXfQ2KCCBb+0Ik837zETIjBE4LPfl0YJ1QMwbqmYG7s3dNhopD2dHzmJSZKvE0dJkVfOAQo9pyTMymibeoEzEtUPkFpH2NiuZ1elslmB6AM3FBOBRfUPnhOBA/qkssmffcQtoEtHWBAGx700zUv1T7zUhm8Ss+VC4wvvvAkggiqEyo8+eYlZkIMnhBceI5rXvrS/mXt32BNTJ98xcK0/v7S1/MBCxMzeYKSP4rcJaKQ5K7HwsQkiah2iRTSjouMhotiQaWIpnZDFiYqoKChjCp3t5frloHbkqnggtqnlrshCxMVTvr2IXBDend4RBsedPv//s1X9JHVe/86pGvHtTQ5V4xbRZsFaNPC9GkjWZpytwJ/Tx0vuA+LCtK/b9WS9RptjU1ftkrULnu+OVoLqV9aJ9P991rl1aqmv93Yjr58ywb1yO2EepO0GSiwDIzhTdKGaEQhAuHtvEmzo9XPVr+YprPCFfKJOmRwh1YgTX0uJW2E4EYrrjgDLiVtjOAW675aUhmdZDsVyF8yq40rwIU6wAMalXJrVCo2XoEyCxqV1HhgZ5QblYqy8BqV1NGCrVFoVCqzzqhUei/AfamPGmyQYwhsCzNZBDBO9Rhgl9vDqNTG/ngg/EYlNYURUsDPkc3scRdYL+AzfcBgG4RnKUDxaWzxacDis9Sjgf1TZlTyF54P9JGCXVRgVOqKzgeBt/VcH7Gks6oem27mFy44jRqBbFTqis12APxGJTUB2F2lRqX22emC6gV7oQv24ZG5vKvubvNpXRT5tDBlPb2s0mSamTQr7m6q4vomvlFp7jUq5TJMlM81Aw9gSWbhLpD3qCCC5T10ev5ob+STdnr9K3sMaNr+12ftr/5u41b6rP0XX7T/Z7dKHmbfP1r9OD2qEreB5Dk1CwbPAj7/Xf24hXtwa633yaBUfHWZ4tnR1169PnnxtaO1k+sfVj9d/V373/959fer/8+zzRaRSfJkej5P3mtLU/tnV7+xf9Ye3fpsvRv12WZn6bP7HzzsITlflRNqbgXrqIKJun8PiYgSeQ+JSBJxD4lIIV3FhkYjM84CtKCSRNtHSjzK930unqDNjDHJ7aa6+XbPIXAvOhVcUP3g+Rk6pksumvTtQ9CG9pCGx7PhQT9ds/7c65kqpLnA+OJrYCKIoDihGjiCWZ+YEIMnBJfDLowTKoag9o6iPIkoJOXpNesTUSJKTyKFtPlhw5E5v32yoJJEk54hwz6TT1DeR9We2/t1y8CFyVRwQf1Ta8+QYZ/JJn3/ELYh8Tk8oA0POu43mFLnmLZ60gTwMpP38Q7uWFLG268Z77BjSZmBAsvAKI4lZYhGFCIQnsOx5GzIJ+qQwa1agRz1OpaUEYI7rrjKDDmWlDGCe637ykdldJJ9VSh/xhXfQh3fAQ1LpTUsVVvPgAkblrR4YGcc2bCkjRbsjFLDktkZlrzX3b7URw32xzH0tIWZLAIYp3oMsMntY1gyk8cDETAsaSmMkAJ+jmxmj7vAegGf6QMGuyA8KQGKT2OLTwMWn6UeDWyfIxqWtJGCTVRiWDI7w5L3bT3XRyxprKrHppvphQtOo0ZgG5bM5PEABAxLWgKwu4oNS+a4C6oX7IUu2Ce7WZMmXsdSKeNEAePv1hBBBMt56PQ8wm4NMSEGTwg+FXZhnFAxBKuVgumxf7eGiBJ7t4aIEnG3hkghXS2GhqMNykWyoJI8id0aJp+gvI8xu+zmmOV2cT9w/TgVXFD/4IkRPKhLLpv0/UPYhnZrhge04UE/Xbt8qz59XqFKmgwMML76JIIIyhOqPll+eWIWDJ4FXHLG8MuvP6n0oki+vqdfnphbQR8YRQcTUUg6OHeRvKCSRJTBRAppG4ZGo3DWnwUVJJoKDtjlmXiCLjOqCN7ep1sGLkimgguKn1oEB+zyTDTpy4egDWng4fFseNCRHUu+NdXwpXhFH+/gjiVlvOCOLCpKD+lYUmagwDIwimNJGaIRhQiE53As+SSrMmRwr1YgRb2OJWWEfZVJdSwpYwQ3W/fVjsroJBurSP7y+SxzDvJCHeIBTUvzZ6emSra+gTpsWtLigc1xZNOSNlqwOUpNS/XOtOS95valPmqwRY6hqC3MZBHAONVjgH1uH9NSPXk8EAHTkpbCCCng58hm9rgLrBfwmT5gsBHC0xKg+DS2+DRg8Vnq0cAOOqJpSRsp2EclpqV6Z1ryvq3n+oglvVX12HSTvXDBadQIbNNSPXk8AAHTkpYA7K5i01J93AXVC/ZCF+xacUNbTJbHO7UOrC2op9de09JcxokCxt82IoIIFvTQGXoE0xIxIQZPCD4bdmGcUDEE65WCGbJ/s4aIQtqs8ZqWiCgRd2uIFNIFY2A4smRW187tswUVJdp+Tci1xOQT1PcxppfdJHO+XeAP3DtOBRcUQHhmBA/qkssmfQERtqEdm+EBbXjQT9i1lPpcS1UiTQYGGF1+MkEE5QmVnyTXEjMLBs8Crjm5rqXtvXnPjla/XN8e14r5/axLzAQLmsEYapiJQlLDHusSkySeGGZSSHsxMBpFOqs2BuC3xDATJZoY9puXqHiCZjOmFq629+lWgQuSqeCC8qfWwn7zEhVN+vohaANSGBjPhgcd2bzkE7fh6/D81wpg0UpEK2Re0sYL7syi2vSA5iVtBgosA2OYl7QhGlGIQHhvmZcytz46UYcM7tkKxKjPvKSNENx6xTVmwLykjRHcdN1XPSqjk2ywIvkr8tncpwqVIR7OvFRl1ryUb/wDVRo0L6nxwOY4rnlJHS3YHIXmpSrtzEuV94Lbl/qowRY5hqK2MJNFAONUjwH2uT3MS23sjwfCb15SUxghBfwc2cwed4H1Aj7TBww2QnhaAhSfxhafBiw+Sz0a2EHHMy+pIwX7qMC81BWdDwJv67k+YklvVT023WQvXHAaNQLZvNQVm+0A+M1LagKwu0rNS+2z0wXVC/ZCF+xacUM7TZbHO7UOrC2op9c+81KVyThRwPi7R0QQwYIeOkPnm5eYCTF4QvDZsAvjhIohWK8UzJD92zVEFNJ2jc+8xESJuF9DpJAuGAPDkaUzMy9cKAsqSrT9moB5iconqO9jTC+7SWa2XeAP3EVOBRcUQHhmBA/qkssmfQERtqEdm+EBbXjQa/mZ5LfX5W2VTm+y65tpUc+L6dzU7T9d35ZpmpjK3G0SE1d++vZ3cmkyMMD48pMIIihPqPx8ZF76VSs1f/B4x6f91Z/ff9T+pi9Xv25/8c3qc2u0+dHqx8lGe1pfTpXklSsbz6nZMHg2cO35OCFftMCfttn4s/vv3//l2q804FCqkqJ4dpQiriRnKTyhZkxQ5UeRuUQUksx17rq9oJJEVLlECmmTBUajyGdp7TxStqCiRFO5AVcSE0/QRUYVudsba6vADcRUcEH5U4vcgCuJiSZ9/RC0IY07PJ4NDzqyK8nZF1rVWgTxyj7ewV1Jynj7JeMddiUpM1BgGRjFlaQM0YhCBMJzuJIKV8gn6pDBzViBGPW6kpQRgnuquMYMuZKUMYK7qfuqR2V0kp1TIH9ZPZs7q/FCHeEBTUnGmpLKrS+gCJuStHhgbxzZlKSNFuyNUlNSsTMleS+tfamPGuyQYwhqCzNZBDBO9RiFEEPhEygmjwciYErSUhghBfwc2cwed4H1Aj7TBwz2QXhWAhSfxhafBiw+Sz0a2EBHNCVpIwXbqMSUVOxMSd639VwfsaS1qh6bbq4XLjiNGoFtSiomjwcgYErSEoDdVWxKKo67oHrBXuiCXQtuaAfJ8nhn1oGlBfXs2mtKMjJOFDD+rhARRLCeh07QI5iSiAkxeELwybAL44SKIViuFEyQ/bs1RBTSbo3XlEREibhdQ6SQrhcDw1HMcme3WlBBom3WhCxJTD5BdR9jctlNMc12dT9w2zgVXFD+4HkRPKhLLpv09UPYhrZrhge04UE/YUuSZ7OkFZ+lNBkYYHzxSQQRlCdUfLItScRsGDwbuPJUW5KOVj9Z/XB731uaVMn063lyjtqTjlzpO6GmT1DyR1G8RBSS4nXufLygkkQUvEQKaccFRqOeldXcRbKgkkRTvAF7EhNP0FFGFbzbW3KrwLXHVHBB9VML3oA9iYkmffsQtCG9OzyeDQ86sj2pcOG1CrYK4lV9vIPbk5TxgpuvqAA9pD1JmYECy8Ao9iRliEYUIhCew55UukI+UYcMbssKtKjXnqSMENxdxSVmyJ6kjBHcV91XPCqjk+yhAvnL6plz3rlQB3hAd1Jt3UnzrUGgCruTtHhgaxzZnaSNFmyNUndStXMneS+ofamPGmyQY+hpCzNZBDBO9Rhgl9vHnVRNHg9EwJ2kpTBCCvg5spk97gLrBXymDxhsg/CkBCg+jS0+DVh8lno0sH+O6E7SRgp2UYk7qdq5k7xv67k+YklnVT023VQvXHAaNQLbnVRNHg9AwJ2kJQC7q9idVB13QfWCvdAFu9bb0GaS5fFOrAMrC+rJtdedFL7X7i1OFDD+BhERRLCch87PI7iTiAkxeELwubAL44SKIVitFMyP/Xs1RJS+CAig4BPpgDuJiBJxs4ZIIV0uBoajmOWJczwWVJJomzUhexKTT1Dex5hddnPMeru6H7hXnAouqH/wxAge1CWXTfr+IWxD2zXDA9rwoJ+wPanw2pPm0mRggPHVJxFEUJ5Q9cm2JxGzYfBs4NJTbU/aOpNMkiXT8yp5D3UmuRJ3Qk2coNiPInaJKCSx6zMmEUkial0ihbTXAqNRz0rnisWCChJN6gZ8SUw8QSsZVelu78GtAhcbU8EFxU+tdAO+JCaa9OVD0IaE7vB4NjzoyL4k48L7mtlManx4dR/v0L4kbbzgtiuqPA/oS9JmoMAyMIYvSRuiEYUIhOfwJTm/YniiDhnckBVIUZ8vSRshuK+KK8yAL0kbI7ijuqd21EbXb037+pLms8I5xgt1hIczJtXps/aHbOMNqJOgMUmNB/bGcY1J6mjB3ig0JtVJZ0yqvZfPvtRHDXbIMQS1hZksAhinegywze1hTGpjfzwQfmOSmsIIKeDnyGb2uAusF/CZPmCwD8KzEqD4NLb4NGDxWerRwAY6njFJHSnYRgXGpK7ofBB4W8/1EUtaq+qx2c71BgpOo0YgG5O6YrMdAL8xSU0AdlepMal9drqgesFe6IJdC25oG8nyeGfWgaUF9ezaZ0yqw3fWvcWJAkbfGmKCCNbz0Ak635jETIjBE4JPhl0YJ1QMwXKlYILs3athopD2anzGJCZKvM0aJoV0vRgYjmJWuL8uv6CSRNutCRiTqHyC8j7G7LKbY6ab5f06cGc4FVxQ/+CJETyoSy6b9P1D2Ab2a4ABbXjQT9iYZHzGpDqTJgMDjK8+iSCC8oSqT7IxiZkNg2cDl55qY9Kj7yYVa3fSfF93EjN7goo/iuIlopAUr8edxCSJKHiJFNKGC4xGKx2y0kWyoJJEE7x+exIVT9BQRtW725tu68DVxVRwQfVT612/PYmKJn37ELQhuTs8ng0POrI9yVmGWgGbB/HmfbyD25OU8YKbr6j+PKQ9SZmBAsvAKPYkZYhGFCIQ3lv2pNT9XJ2oQwa3ZQVa1GtPUkYI7q7iEjNkT1LGCO6r7iseldFJ9lCB/OVpOfN9TFMb4gH9SYX1J5mtRSAP+5O0eGBzHNmfpI0WbI5Sf1K+8yd5r6F9qY8abJFjKGoLM1kEME71GGCf28eflE8eD0TAn6SlMEIK+DmymT3uAusFfKYPGGyE8LQEKD6NLT4NWHyWejSwg47oT9JGCvZRiT8p3/mTvG/ruT5iSW9VPTbdZC9ccBo1AtuflE8eD0DAn6QlALur2J+UH3dB9YK90AW7VtzQbpLl8U6tA2sL6um1159UyDhRwPg7RESQvvQIDRA4Q4/gTyImxOAJwWfDLowTKoZgvVIwQ/bv1hBRSLs1Xn8SESXidg2RQrpgDAxHUc1M6puZE1Gi7deEDEpMPkF9H2N62U0yi+0Cf+D+cCq4oADCMyN4UJdcNukLiLAN7dgMD2jDg/4PD9iXd9XdbT6tiyKfFqasp5dVmkwzk2bF3U1VXN8cRH46V41b+WmkycAA48tPIoigPKHy85Ef55NWg/6qFZ9fTtv/+qz91d9tNOhn7b/4ov0/a9F52P/50erH6VGVuGXBc2oWDJ4FXHO2evrjjQa3kFgqvrpR9iz0UaUHF1dRPPvww2+0v93+Ta2cn95/d/XG7qu1NQKxMTlnbifUXAv6wijCmIhCEsbOZYMXVJKIuphIIW3LwGjMzcxjlVxQUaLp4oCPiYkn6DujyuLt9bh14L5jKrig/KllccDHxESTvn4I2pAqHh7Phgcd2cfkLEOtzi1DeGXSxzu4j0kZb79kvMM+JmUGCiwDo/iYlCEaUYhAeI7PLPlEqzJkcPtWIEa9PiZlhH2dSfUxKWME91/3VY/K6CR7rUD+TFnMjNNWulCHeEAfU2V9TPXWSlCGfUxaPLA5juxj0kYLNkepj6nc+Zi899W+1EcNtsgxFLWFmSwCGKd6DLDP7eNjKiePByLgY9JSGCEF/BzZzB53gfUCPtMHDDZCeFoCFJ/GFp8GLD5LPRrYQUf0MWkjBfuoxMdU7nxM3rf1XB+xpLeqHptushcuOI0age1jKiePByDgY9ISgN1V7GMqj7ugesFe6IJdK25o08nyeKfWgbUF9fTa62OqZJwoYPyNJCKIYEEPnaFH8DERE2LwhOCzYRfGCRWjLwoCGIIZsn+7hohC2q7x+piIKBH3a4gU0gVjYDjqYlZuXBBvz8yJKNH2a0I+JiafoL6PMb3sJpnVdoE/cNM4FVxQAOGZETyoSy6b9AVE2IIDukQGtOFBP+EPLVVeH1PwOjxXMjDA+PKTCCIoT6j8ZH9oiZgNg2cD1577fmjJpmOeJPmeX1gipk1Q6kfRukQUktb1WZOIJBGlLpFC2mmB0UjL+SwvnXfOLKgs0bRuwJvExBP0klGl7vZu3Dpw2TEVXFD/1FI34E1ioknfPwRtSOkOj2fDg47sTXKWoVa7zoN4aR/v4N4kZbzgxisqPQ/pTVJmoMAyMIo3SRmiEYUIhOfwJhlXyCfqkMEtWYEa9XqTlBGCO6u4yAx5k5Qxgnuq+8pHZXSS/VMgf7nPKbpQR3g4a9I8edb+kG7dAfOwNUmLB/bGka1J2mjB3ii1Js131iTvlbUv9VGDHXIMQW1hJosAxqkeA2xz+1iT5pPHAxGwJmkpjJACfo5sZo+7wHoBn+kDBvsgPCsBik9ji08DFp+lHg1soCNak7SRgm1UYk2a76xJ3rf1XB+xpLWqHpturhcuOI0agW1Nmk8eD0DAmqQlALur2Jo0P+6C6gV7oQvWRntVXCVZmlxO68u7Ytq+RuX0Kr2cT++uL8vrNC+S6vLygcc7sw4sLahn1z5r0jyRcaKA0feGmCCC9Tx0gv62NWmz5+OxKD2c7f60/cm37ex9PSf/dPVlO01f7x/ZP/G5PRpu/9zDJogrTc+paTJ4mvApsgvjhIohWMQUTJu9mzhMFNImjs+wxESJt4vDpOjriQAFOl0v/PdkMEmi7eHU/k0cKp+g6I8x59zOPOfJZtF/HriAnAouqH/wdAke1CWXTfr+IWwDuzjAgDY86CfsV6p9fqV5Kk0GBhhfkxJBBOUJ1aRkvxIzGwbPBi499/UrPVwMlyV5Mj2v+xfDffjhN4TGJWb+BDV/FM1LRCFpXo9xiUkSUfISKaQtFxiN+aw0zvWMBZUkmuQNKF4mnqCljKp4tzfnzgNXIVPBBdVPrXgDgpeJJn37ELQhwTs8ng0POrJtybl83ErYLIiX9fEObVvSxgtuyqIK9IC2JW0GCiwDY9iWtCEaUYhAeA7bklPzn6hDBrdrBVrUZ1vSRgjuuuISM2Bb0sYI7rfuKx6V0Un2VoH85fWscor0hTrCA9qWcmtbKjbOgXkWtC2p8cDeOK5tSR0t2BuFtqV51tmW5t6rbF/qowY75BiC2sJMFgGMUz0G2Ob2sC21sT8eCL9tSU1hhBTwc2Qze9wF1gv4TB8w2AfhWQlQfBpbfBqw+Cz1aGADHc+2pI4UbKMC21JXdD4IvK3n+oglrVX12HRzvXDBadQIZNtSV2y2A+C3LakJwO4qtS21z04XVC/YC12wa8ENHX+3PN6ZdWBpQT279tqWchknChh/i4gIIljPQyfo/C8qMRNi8ITgk2EXxgkVQ7BcKZgg+zdriCikzRqvQYmIEnG3hkghXS8GhsPMat9mDREk2mZN4HtKVD5BdR9jctlNMfPt6n7gAnIquKD8wfMieFCXXDbp64ewDW3XDA9ow4N+wv6kudefVEiTgQHGF59EEEF5QsUn259EzIbBs4ErT7U/aWtNMmtr0rxvTZJ+UYmZOEGxH0XrElFIWte55/GCShJR6hIppL0WGI00nZW+S5CZKNHEbsCZxMQTNJNRte72ytx54A5kKrig/Km1bsCZxESTvn4I2pDUHR7Phgcd15mUOce0Fa8miJf38Q7uTFLG2y8Z77AzSZmBAsvAKM4kZYhGFCIQnsOZ5Pyw2Ik6ZHBHViBGvc4kZYTgxiquMUPOJGWM4JbqvupRGZ1k+xTIn3UmFa4IF+oID+hMKq0zqdqaA0zYmaTFA3vjyM4kbbRgb5Q6k8zOmeS9nPalPmqwQ44hqC3MZBHAONVjgG1uH2eSmTweiIAzSUthhBTwc2Qze9wF1gv4TB8w2AfhWQlQfBpbfBqw+Cz1aGADHdGZpI0UbKMSZ5LZOZO8b+u5PmJJa1U9Nt1cL1xwGjUC25lkJo8HIOBM0hKA3VXsTDLHXVC9YC90wa4FN7SRZHm8M+vA0oJ6du11JpUyThQw/uYQEUSwnodO0CM4k4gJMXhC8MmwC+OEiiFYrhRMkP27NUQU0m6N15lERIm4XUOkkK4XA8NhnUk+axKRJNpuTciaxOQTlPcxZpfdHLPcLu8H7hSnggvqHzwxggd1yWWTvn8I29B+zfCANjzop2tNatWnz5pUSZOBAcZXn0QQQXlC1SfbmkTMhsGzgUtPtTWp9+mkMpm+KJKvw/6kD7/hSuAJNYGCoj+K6CWikESvz6JEJImoeYkU0p4LjIa1KGXO7rGgokQTvQGLEhNP0FRG1bzb23DngeuNqeCC8qfWvAGLEhNN+vohaEOSd3g8Gx50ZIuSbwk1fKVd0cc7uEVJGS+4AYtq0ENalJQZKLAMjGJRUoZoRCEC4TksSqnPWK+MGdybFahRr0dJGSG4xYqLzJBHSRkjuLm6r3xURifZSAXyl+czY1wRLtQRHtCjNH92WibJ1iZQhz1KWjywOY7sUdJGCzZHqUep3nmUvJfUvtRHDbbIMRS1hZksAhinegywz+3jUaonjwci4FHSUhghBfwc2cwed4H1Aj7TBwz2QXhaAhSfxhafBiw+Sz0a2EBH9ChpIwXbqMSjVO88St639VwfsaS1qh6bbrIXLjiNGoHtUaonjwcg4FHSEoDdVexRqo+7oHrBXuiCXQtuaEfJ8nin1oG1BfX02utRmss4UcD4u0REEMGCHjpDj+BRIibE4AnBZ8MujBMqhmC9UjBB9m/XEFFI2zVejxIRJeJ+DZFCumAMDIeZJblz/2xBJYm2XRPyKDH5BOV9jNllN8ecb9f3A5eLU8EF9Q+eGMGDuuSySd8/hG1ow2Z4QBse9BP2KKUej1K5mWEKkoEBxlafVBBBeULVJ9ejRM2GwbOBS0+1R2lrT8qTIpmeZ3t+PomaOEGxH0HsUlFIYtftTaKSRNO6VApprwVGI01mSWlcKAsqSjSx6/UmcfEEzWRErdsyPUijzT+4wE+54ILyp9a6Xm8SF036+iFoYamLjGfDg47sTfKJ1/C9daaPd2BvkjpecOMV1Z6H8yapM1BgGRjBm6QO0YhCBMJzeZNKV8wn6pjBPVmBGvV4k9QRgluruMj0e5PUMYKbqvvKR2V0/d60pzcpNUkxy90HNdUxHsydVCaZdSflDwaBNv6QO0mPB7bHUd1J+mjB9ihzJ7XhbN1JmzS7on6pjxpskmNoagszWQQwTvUYYKfTu5Ns7I8HwutO0lMYIQX8HNnMHneB9QI+0wcMdkJ4YgIUn8YWnwYsPks9GthCR3Mn6SMFGynuTtoVnQ8Cb+u5PmJJc1U9Nt10L1xwGjUC1520KzbbAfC6k/QEYHcVupPss9MF1Qv2QhfsWnJDe0mWxzu5DqwuqCfYHndSW6JknChg/P0hIohgSQ+do9PdSdSEGDwh+HzYhXFCxRCsWAqmyP4NGyIKacPG406iokTcsSFSSJeMgeHIMjMrC+eO8ILKEm3Lxu9P4vIJCvwY88tulplt1/j9t4hzwQUVEJ4awYO65LJJ30CEbWjTZnhAGx70E/YnZV5/Ui5NBgYYX38SQQTlCdWfbH8SMRsGzwYuPlth/fFGjFs70uq3bS6+f/9X9if337K/8Il1HK1NS99a/75f2yQ9/Isv2wR+sfpy2v7XZ21Kf7dR8J+1/+KL9v/s71r/9Dftfz5f/888/OLjLbf1p5jOL//XNqtpuafJiZh9QccYRTMTUUiaOXeRvKCSRJTMRAppwwZGozDpLJs7R2RBZYkmmQMuJyaeoCWNqpjzrcDyX4jMBRfUP7ViDricmGjS9w9BGxLMw+PZ8KAju5ycZaiVwEUQr+zjHdzlpIy3XzLeYZeTMgMFloFRXE7KEI0oRCC8t1xOhXsr4kQdMri1K1CjXpOTMkJwhxYXmSGTkzJGcG92X/mojE6yDwvkL8vms8L5XYKFOsQDepyM9TiVW5tBEfY4afHA5jiyx0kbLdgcpR6nYudx8t5q+1IfNdgix1DUFmayCGCc6jEKIYbCdlBMHg9EwOOkpTBCCvg5spk97gLrBXymDxhshPC0BCg+jS0+DVh8lno0sIOO6HHSRgr2UYnHqdh5nLxv67k+YklvVT023WQvXHAaNQLb41RMHg9AwOOkJQC7q9jjVBx3QfWCvdAFu1bc0H6U5fFOrQNrC+rptdfjZGScKGD8PSYiiGBBD52hR/A4ERNi8ITgs2EXxgkVQ7BeKZgh+/driCik/Rqvx4mIEnHDhkghXTAGhiMvZoXnxgwqSrT9mpDFicknqO9jTC+7SabZLvD7ryPnggsKIDwzggd1yWWTvoAI29COzfCANjzo//CAfXlX3d3m07oo8mlhynp6WaXJNDNpVtzdVMX1zUHkp8/iVEqTgQHGl59EEEF5QuXnI4sT5NJ52P/50erHqTXhGFcWnlOzYPAs4Jqzb22CUvFoo8x/gdyztQ9sntjt23XiXDk7oeZMUN9HEbhEFJLAde47v6CSRNS3RAppewVGo2yVQlG4UBZUlGj6NuBHYuIJ+seo8rbcqiH/LchccEH5U8vbgB+JiSZ9/RC0IXU7PJ4NDzqyH8lZhlq9WgXxqj7ewf1IynjBzVZUbh7Sj6TMQIFlYBQ/kjJEIwoRCM/hR3LqoxN1yOA2rECMev1Iygj7OpPqR1LGCO6j7qseldFJ9kyR/JWz2mdHUkZ4QDtSbe1I860joArbkbR4YG8c2Y6kjRbsjVI7UrWzI3lvsH2pjxrskGMIagszWQQwTvUYYJvbx45UTR4PRMCOpKUwQgr4ObKZPe4C6wV8pg8Y7IPwrAQoPo0tPg1YfJZ6NLCBjmhH0kYKtlGJHana2ZG8b+u5PmJJa1U9Nt1cL1xwGjUC245UTR4PQMCOpCUAu6vYjlQdd0H1gr3QBbsW3NDekeXxzqwDSwvq2bXXjhS++O4tThQw/n4QEUSwnodO0CPYkYgJMXhC8MmwC+OEiiFYrhRMkP27NUSUvggIoOAz6YAdiYgScbuGSCFdLwaGI5uZ3OdGIpJE260JuZGYfILyPsbssptj1tvlff/F41xwQf2DJ0bwoC65bNL3D2Eb2q8ZHtCGB/2E3UiF1400lyYDA4yvPokggvKEqk+WG4mYBYNnAZecfDfSw/eTQm4kYs4E9X0UfUtEIelbnxuJSBJR3hIppO0VGA0zS8rCRbKgkkSTtwEzEhNP0D5GVbfzrRjyX3fMBRdUP7W6DZiRmGjStw9BGxK3w+PZ8KAjm5GMC+9rZZoE8eo+3qHNSNp4wa1WVG0e0IykzUCBZWAMM5I2RCMKEQjvLTOS8X0cSRsyuAkr0KI+M5I2wr7MZJqRtDGCu6h7ikdtdJIdUyR/SeXxhi7UIR7OjZSmz9ofso0hIE2CbiQ1Htgcx3UjqaMFm6PQjZQmnRsp9d5Z+1IfNdgix1DUFmayCGCc6jHAPreHG6mN/fFA+N1IagojpICfI5vZ4y6wXsBn+oDBRghPS4Di09ji04DFZ6lHAzvoeG4kdaRgHxW4kbqi80HgbT3XRyzprarHZjvZGyg4jRqB7Ebqis12APxuJDUB2F2lbqT22emC6gV7oQt2rbihvSPL451aB9YW1NNrnxspDV909xYnChh9P4gJIljQQ2fofDcSMyEGTwg+G3ZhnFAxBOuVghmyd7eGiULarfG5kZgo8bZrmBTSBWNgONJyltSlC2VBRYm2XxOwI1H5BPV9jOllN8lMNwv8aeCmcSq4oADCMyN4UJdcNukLiLAN7NgAA9rwoJ/w/W/GZ0dKM2kyMMD48pMIIihPqPwk3//GzIbBs4Frz8d7X1+0wPaqtz+7//79X64dSF7T0Ve/gPTVO9s+/PAbwlvbmDkT1PlRhC4RhSR0PbYkJklEnUukkLZZYDTybJZWzoaxoKJE07l+XxIVT9BHRpW521tx08A1x1RwQflTy1y/L4mKJn39ELQhlTs8ng0POrIvyTndbnVrHsSb9/EO7ktSxgtuuqKy85C+JGUGCiwDo/iSlCEaUYhAeA5fkvO5OlGHDG7HCsSo15ekjBDcVcU1ZsiXpIwR3E/dVz0qo5PsnQL5y2eFTxMqAzygK6mwriSzNQbkYVeSFg9sjSO7krTRgq1R6krKd64k7x2zL/VRgw1yDD1tYSaLAMapHgPscvu4kvLJ44EIuJK0FEZIAT9HNrPHXWC9gM/0AYNtEJ6UAMWnscWnAYvPUo8G9s8RXUnaSMEuKnEl5TtXkvdtPddHLOmsqsemm+qFC06jRmC7kvLJ4wEIuJK0BGB3FbuS8uMuqF6wF7pg13ob2kKyPN6JdWBlQT259rqSChknChh/W4gI0pceoQEC5+cRXEnEhBg8Ifhc2IVxQsUQrFYK5sf+zRoiCmmzxutKIqJE3K0hUkiXi6HhMO52taCSRNusCZmSmHyC8j7G7LKbYxbb1f3A1eBUcEH9gydG8KAuuWzS9w9hG9quGR7Qhgf9hE1JpdeUZKTJwADjq08iiKA8oeqTbUoiZsPg2cCl5+OEfLn6</t>
  </si>
  <si>
    <t>1BqT1p6iNgH2F0PGpKPVT1Y/7H8RyWc9ImZGUM1HUbNEFJKadYqnF1SSiGKWSCFtpsBopLPEveW/oJJEE7MB5xETT9AsRtWy28tq08Dtw1RwQfVTa9mA84iJJn37ELQhKTs8ng0POrLzyKliWnFahvCqpI93cOeRMt5+yXiHnUfKDBRYBkZxHilDNKIQgfDech7V3i8iKUMGt1wFWtTrPFJGCO6c4hIz5DxSxgjume4rHpXRSfZHgfzNs5kpXBEu1BEe0HpUWetRvd39L8PWIy0e2BtHth5powV7o9R6VO6sR97rZF/qowY75BiC2sJMFgGMUz0G2Ob2sR6Vk8cDEbAeaSmMkAJ+jmxmj7vAegGf6QMG+yA8KwGKT2OLTwMWn6UeDWygI1qPtJGCbVRiPSp31iPv23quj1jSWlWPTTfXCxecRo3Ath6Vk8cDELAeaQnA7iq2HpXHXVC9YC90wa4FN7RRZHm8M+vA0oJ6du21HlUyThQw/uYPEUSwnodO0CNYj4gJMXhC8MmwC+OEitEXBQEMwQTZv1lDRCFt1nitR0SUiLs1RArpejEwHGk+q2tnHV9QUaJt14S8R0w+QX0fY3rZTTKr7fp+4B5wKrigAMIzI3hQl1w26QuIsAUHdIkMaMODfsLeo8rrPQpeVudKBgYYX34SQQTlCZWfbO8RMRsGzwauPVc/ddqNsJvYvvpRpAfb0YffcOXlhJoXQS0fRcwSUUhi1uc8IpJE1LJECmkrBUajbQlV6WwKCypKNC0bsB4x8QS9YlQpu72ZNg1cNUwFF5Q/tZQNWI+YaNLXD0EbUrLD49nwoCNbj2oXXqtN50G8tI93cOuRMl5wYxWVloe0HikzUGAZGMV6pAzRiEIEwnNYj5zP1Yk6ZHDLVSBGvdYjZYTgzimuMUPWI2WM4J7pvupRGZ1kfxTIX1nNNpG8LQqVER7OepQlz9of0u3u/zxsPdLigb1xZOuRNlqwN0qtR/Od9ch7eexLfdRghxxDUFuYySKAcarHANvcPtaj+eTxQASsR1oKI6SAnyOb2eMusF7AZ/qAwT4Iz0qA4tPY4tOAxWepRwMb6IjWI22kYBuVWI/mO+uR920910csaa2qx6ab64ULTqNGYFuP5pPHAxCwHmkJwO4qth7Nj7ugesFe6IJdC25on8jyeGfWgaUF9ezaZz3KEhknChh974cJIljPQyfofOsRMyEGTwg+GXZhnFAxBMuVggmyd7eGiULarfFZj5go8bZrmBR95RCgQCfmaTJLKs/MnIkSbbsmYD2i8gnq+xjTy+0kM0s26/tZ4NJvKrigAMIzI3hQl1w26QuIsA1s2AAD2vCgn7D1yLOs3crP4MV0rmRggPHlJxFEUJ5Q+Um2HjGzYfBs4NpzBOvR4BePmEkRFPJRlCwRhaRkPb4jJklEIUukkPZRYDQyO7Fwlo4FFSWakPX7jqh4gkYxqo7dXkGbBe4UpoILyp9ax/p9R1Q06euHoA3J2OHxbHjQkX1Hzvl0K0yzIF7Wxzu070gbL7iriurKA/qOtBkosAyM4TvShmhEIQLh5X3fUer75JE2ZHC/VSBGfb4jbYTgtimuMQO+I22M4IbpvupRGZ1kcxTIX26qWem0gS7UIR7QeJRb41Gx2fvPsqDxSI0HNsdxjUfqaMHmKDQeZVlnPMq8t8O+1EcNtsgxFLWFmSwCGKd6DLDP7WE8amN/PBB+45Gawggp4OfIZva4C6wX8Jk+YLARwtMSoPg0tvg0YPFZ6tHADjqe8UgdKdhHBcajruh8EHhbz/URS3qr6rHpJnvhgtOoEcjGo67YbAfAbzxSE4DdVWo8ap+dLqhesBe6YNeKG9olsjzeqXVgbUE9vfYaj3IZJwoYf+eHCCJY0ENn6BGMR8SEGDwh+GzYhXFCxRCsVwpmyP7tGiIKabvGazwiokTcryFSSBeMgeEw+aw0zn61oKJE268JGY+YfIL6Psb0sptk5tsF/sC93lRwQQGEZ0bwoC65bNIXEGEb2rEZHtCGB/0fHrAv76q723xaF0U+LUxZTy+rNJlmJs2Ku5uquL45iPx0lq1WfhbSZGCA8eUnEURQnlD5+ch49EmrQX/Vis8vp+1/fdb+6u82GvSz9l980f6f9eA87P/8aPXj1FpsjCsLz6lZMHgWcM3Z6umPNxp8bTSCUvHVjbJnQ36kzaeQfrl60wr6Vsy3haH9C1a/sX+BNXN9tvY6fbbel2v1//0PHsxLvn0gYoIFzWAUNUxEIanh3EXygkoSUQwTKaS9GBiNNKlmeVK4WBZUlmhqOOBeYuIJus2oYnh7V20WuHyYCi6of2oxHHAvMdGk7x+CNqSFh8ez4UHHdS/lzjFt1a0J4uV9vIO7l5Tx9kvGO+xeUmagwDIwintJGaIRhQiE53AvOZ+rE3XI4KatQI163UvKCMG9V1xkhtxLyhjBXdd95aMyOskOK5A/U1WzuXGFuFCHeED3UmndS9XWQGDC7iUtHtgcR3YvaaMFm6PUvWR27iXvDbMv9VGDLXIMRW1hJosAxqkeA+xz+7iXzOTxQATcS1oKI6SAnyOb2eMusF7AZ/qAwUYIT0uA4tPY4tOAxWepRwM76IjuJW2kYB+VuJfMzr3kfVvP9RFLeqvqsekme+GC06gR2O4lM3k8AAH3kpYA7K5i95I57oLqBXuhC3atuKGtJsvjnVoH1hbU02uve6mUcaKA8bePiCCCBT10hh7BvURMiMETgs+GXRgnVAzBeqVghuzfryGikPZrvO4lIkrEDRsihXTBGBiOupyVc+cO2oKKEm2/JuReYvIJ6vsY08tuklluF/gDV4NTwQUFEJ4ZwYO65LJJX0CEbWjHZnhAGx7003UvtfLT516qpMnAAOPLTyKIoDyh8pPlXiJmweBZwDUn371UJUXx7MMPv9H+dvs3tXJ+ev9da2Vafb6nkYmYa0FfGEUYE1FIwthnZCKSRNTFRAppWwZGI63yWV47S9KCyhJNGAeMTEw8QeMZVRdvL77NAjcZU8EF9U+tiwNGJiaa9P1D0IZk8fB4NjzoyEYm3zpr+Ha7oo93cCOTMl5wlxbVqYc0MikzUGAZGMXIpAzRiEIEwnMYmQpXyCfqkMH9W4Ea9RqZlBH2hSbVyKSMEdyA3Vc+KqOTbLYC+UtmlW+xVBngAW1M82enZZ5snQR12MakxQNb48g2Jm20YGuU2pjqnY3Je1vtS33UYIMcQ09bmMkigHGqxwC73D42pnryeCACNiYthRFSwM+RzexxF1gv4DN9wGAbhCclQPFpbPFpwOKz1KOB/XNEG5M2UrCLSmxM9c7G5H1bz/URSzqr6rHppnrhgtOoEdg2pnryeAACNiYtAdhdxTam+rgLqhfshS7Ytd6G9pwsj3diHVhZUE+uvTamuYwTBYy/j0QEESznofPzCDYmYkIMnhB8LuzCOKFiCFYrBfNj/24NEYW0W+O1MRFRIm7XECmky8XYcDir+IIKEm2vJmRiYvIJqvsYk8tuijnfLu4HLhmnggvKHzwvggd1yWWTvn4I29BuzfCANjzoJ2xi8hzO/Vq5ObwuSAYGGF18MkEE5QkVnyQTEzMLBs8Crji5JqZXz5uj5sgkeTI9nyfv7WdaYuZW0AfGkMFMFJIM9piWmCTxVDCTQtqGodHI0rmLZEEliSaD/ZYlKp6gzYypgvPthbl54AZkKrig+qlVsN+yREWTvn0I2oAIBsaz4UFHtiz5ZG34YjzTxzu0ZUkbL7gji6rSA1qWtBkosAyMYVnShmhEIQLhOSxLzj2UE3XI4F6tQIv6LEvaCMEtV1xiBixL2hjBzdZ9xaMyOsnGKpQ/44pvoY7vcI6lPLOOpXxjGsjToGNJjQd2xnEdS+powc4odCzlaedYyr333L7URw32xzHktIWZLAIYp3oMsMnt4VhqY388EH7HkprCCCng58hm9rgLrBfwmT5gsAvCcxKg+DS2+DRg8Vnq0cD2OZ5jSR0p2EQFjqWu6HwQeFvP9RFLGqvqselmeuGC06gRyI6lrthsB8DvWFITgN1V6lhqn50uqF6wF7pg13Ib2mCyPN55dWBhQT239jmWNrNumBMFjL9pRAQRrOah03O+Y4mZEIMnBJ8KuzBOqBiCxUrB9Ni/VUNEIW3V+BxLTJSIezVECulqMTQcmfs7gQsqSbS9moBliconKO9jzC67OWa2XdwPXE9OBRfUP3hiBA/qkssmff8QtqHdmuEBbXjQT9iylHktS7k0GRhgfPVJBBGUJ1R9sixLxCwYPAu45IxhWcqSMpm+KJKv72lZIuZW0AdG0cFEFJIOzl0kL6gkEWUwkULahqHRKJz1Z0EFiaaCA44lJp6gy4wqgrc37eaBq5Op4ILipxbBAccSE0368iFoQxp4eDwbHnRkx5KzK7SqtgjilX28gzuWlPH2S8Y77FhSZqDAMjCKY0kZohGFCIT3lmPJs7dwog4Z3KsVSFGvY0kZIbjliivMkGNJGSO42bqvdlRGJ9lYBfJXzWdl6YpwoY7wgJ4lYz1L5dY2UIQ9S1o8sDeO7FnSRgv2Rqlnqdh5lry3277URw12yDEEtYWZLAIYp3qMQoihsBEUk8cDEfAsaSmMkAJ+jmxmj7vAegGf6QMG+yA8KwGKT2OLTwMWn6UeDWygI3qWtJGCbVTiWSp2niXv23quj1jSWlWPTTfXCxecRo3A9iwVk8cDEPAsaQnA7ir2LBXHXVC9YC90wa4FN7TDZHm8M+vA0oJ6du31LBkZJwoYf9eICCJYz0Mn6BE8S8SEGDwh+GTYhXFCxRAsVwomyP69GiIKaa/G61kiokTcrCFSSNeLgeFI09m8mLtQFlSUaNs1IdMSk09Q38eYXnaTTLNd3w/cSk4FFxRAeGYED+qSyyZ9ARG2oQ2b4QFteNBr+Znkt9flbZVOb7Lrm2lRz4vp3NTtP13flmmamMrcbRITV376TEulNBkYYHz5SQQRlCdUfj4yLf2qlZo/eLzh0/7qz+8/an/Tl6tft7/4ZvW5ddn8aPXjZKM9H+5ByytXNp5Ts2HwbODa83FCvmiBP22z8Wf337//y7VPyetMOlr9ZPXDh2vh5kmSPztKEV+Ssx6eUNMmKPWjaF0iCknrOnegX1BJIkpdIoW00wKjkeWzeu78eMOCihJN6gacSUw8QSsZVelub9HNA9ciU8EF5U+tdAPOJCaa9PVD0IaE7vB4NjzoyM6kwoXXStcqiFf18Q7uTFLGC+67osrzkM4kZQYKLAOjOJOUIRpRiEB4DmeSUx+dqEMGd2QFYtTrTFJGCG6s4hoz5ExSxghuqe6rHpXRSbZPgfzVyazyrX8qIzygM6m2zqT51hxQhZ1JWjywN47sTNJGC/ZGqTOp2jmTvNfVvtRHDXbIMQS1hZksAhinegywze3jTKomjwci4EzSUhghBfwc2cwed4H1Aj7TBwz2QXhWAhSfxhafBiw+Sz0a2EBHdCZpIwXbqMSZVO2cSd639VwfsaS1qh6bbq4XLjiNGoHtTKomjwcg4EzSEoDdVexMqo67oHrBXuiCXQtuaBvJ8nhn1oGlBfXs2utMCt9z9xYnChh/a4gIIljPQyfoEZxJxIQYPCH4ZNiFcULFECxXCibI/t0aIkpfBARQ8Jl0wJlERIm4XUOkkK4XA8ORZrPUe/UFESXadk3ImcTkE9T3MaaX3SSz3q7vBy4ap4ILCiA8M4IHdcllk76ACNvQhs3wgDY86CfsTCq8zqS5NBkYYHz5SQQRlCdUfrKdScRsGDwbuPZUO5OebTJRFHuakogZE1T5UWQuEYUkc32mJCJJRJVLpJA2WWA0srZZuOvKgooSTeUGTElMPEEXGVXkbm/FzQPXHFPBBeVPLXIDpiQmmvT1Q9CGNO7weDY86MimJOPC+1pZJEG8uo93aFOSNl5wyxUVnQc0JWkzUGAZGMOUpA3RiEIEwnOYkgpXyCfqkMHNWIEY9ZmStBGCe6q4xgyYkrQxgrupe6pHbXT91rSnKSkrZ3PnGC/UER7OlFSkz9ofso0voEiCpiQ1HtgbxzUlqaMFe6PQlFQknSmp8F5I+1IfNdghxxDUFmayCGCc6jHANreHKamN/fFA+E1JagojpICfI5vZ4y6wXsBn+oDBPgjPSoDi09ji04DFZ6lHAxvoeKYkdaRgGxWYkrqi80HgbT3XRyxprarHZjvXGyg4jRqBbErqis12APymJDUB2F2lpqT22emC6gV7oQt2LbihHSTL451ZB5YW1LNrnympCF9l9xYnChh9V4gJIljPQyfofFMSMyEGTwg+GXZhnFAxBMuVggmyd7eGiULarfGZkpgo8bZrmBTS9WJgOFpFlnuOkDNJou3WBDxJVD5BeR9jdtnNMdPN8n4RuEqcCi6of/DECB7UJZdN+v4hbAP7NcCANjzoJ+xJMj5PUpFJk4EBxlefRBBBeULVJ9mTxMyGwbOBS0+1J2nztaSHy9zSpEqmX8+T88f+pA8//IbQocTMn6Dmj6J5iSgkzetxKDFJIkpeIoW05QKjUc+SqnSRLKgk0SSv36BExRO0lFEV7/YO3CJwqTEVXFD91IrXb1CioknfPgRtSPAOj2fDg45sUHKWoVbC5kG8eR/v4AYlZbzg9iuqQA9pUFJmoMAyMIpBSRmiEYUIhOcwKBlXyCfqkMGNWYEW9RqUlBGC+6u4xAwZlJQxgjur+4pHZXSSXVQgf1ntsYsu1BEe0KBUWIOS2XoE8rBBSYsH9saRDUraaMHeKDUo5TuDkvf+2Zf6qMEOOYagtjCTRQDjVI8Btrl9DEr55PFABAxKWgojpICfI5vZ4y6wXsBn+oDBPgjPSoDi09ji04DFZ6lHAxvoiAYlbaRgG5UYlPKdQcn7tp7rI5a0VtVj0831wgWnUSOwDUr55PEA/P/Y+7cfSZLrzBf9VxLzRFamJ/xi5hftp2apWDubXV3J9K7OjFAJRFyxiaG6CZKDeTgQ0GSLogak1JTIAQRSYvMyM9jAxsEpNbvJ6jswz/sh8j86Zh6XqvIwN/tsRSzzCLIp0VmVFVG1fsvMzb5ln7mbZYMSlQCcXb03KGWnm6BawT6iBdsIbshO0jydlbVlaYFcXXduUBJ+nChgeIuIEaQtPWwNBBboATYoMSZE4gnBi2ETxj1WDI/lSo8CudusYURhMms6NygxogR0axgpfNeLgeYQ56k0TlcXrCTB3BrbBiVOPo/hfR/V5abGFOvlfcu54azgHuMfXBjBjXrJy+Z7/yFsLr/G3aA1H/QBb1DKOzcoSd9kYIDh1ScjiMfwhKpP7g1KjNmQeDZw6bmfDUppnMXRVRl/ZbcXKHFmz2PE34viZURhUrxGgXWflSSg4GWk8J1wgdYoz2UsTSQXrCTBBK9lexInnseEsle9uz7tVliOL2YF9xj9yHrXsj2JE8337kPQXHLX3Z41H3Tg7UlGpaMEbG7DK+M2Xu/bk4jxtoeMI96eRMyAwDKwl+1JxBClV4hAeIbtScZtevfIIYO2rIcW7dyeRIwQdFdxiWnbnkSMEfRVdxWPxOh8PFQgf2l+HnetghIj7HF7UqG3J5XrHQK5fXsSFQ+cG/e8PYkaLTg3+m5Pyp9tT+o8hPYVetTgDLkPQa1h7lxYMB7QMcBpbpftSfmdFxvCsj2JSiE9KeB+pDN7ugmsFfBDesDgPAhXJcDgU+vBpwYHn0s6GjiB7nF7EjVScBr12Z6UP9ue1Hm3XtEj9plaSd1mU+vZB5yajMC9PSm/82IDWLYnUQnA2dV7e1J+ugmqFewjWrCN4IbMJM3TWVlblhbI1XXn9qTCjxMFDG8QMYJ4rOehBXqA7UmMCZF4QvBi2IRxjxWjLQosGB4FcrdZw4jCZNZ0bk9iRAno1jBS+K4XA82RnVedbg0jSTC3xrY9iZPPY3jfR3W5qTGL9fK+5fBwVnCP8Q8ujOBGveRl873/EDZrg14iDVrzQR/w9qSic3uS9YA7UzIwwPDqkxHEY3hC1Sf39iTGbEg8G7j0JG9PWu9MknEaR1fFzjuTGBPnMdjvRewyojCJ3a6dSYwkAbUuI4XvXAu0RqFUQ2UiuWAlCaZ1LTuTOPE85pK9St31abfCcnwxK7jH6EeWupadSZxovncfguZSuu72rPmgA+9MMr6yWGnXyoqXtPF635lEjBf0XVHp2efOJGIGBJaBvexMIoYovUIEwjPsTDKK/XvkkEFH1kOLdu5MIkbYlpmsO5OIMYKW6q7ikRhde2racWdSJs6LLlFIjLC/nUkyPlOXZL05oLLvTKLigXPjnncmUaMF50bfnUnVs51JnSfRvkKPGpwh9yGoNcydCwvGAzoGOM3tsjOpuvNiQ1h2JlEppCcF3I90Zk83gbUCfkgPGJwH4aoEGHxqPfjU4OBzSUcDJ9A97kyiRgpOoz47k6pnO5M679YresQ+Uyup22xqPfuAU5MRuHcmVXdebADLziQqATi7eu9Mqk43QbWCfUQLthHckI+keTora8vSArm67tqZJGM/ThQwuDfECeKxnocW6Pw7kzgTIvGE4MWwCeMeK4bHcqVHgdxp1nCiMJk1XTuTOFHCuTWcFG3lYKFAC3N5niYdhTknSTC3xrIziZXPY3jfR3W5rjFlvFrel5YTxFnBPcY/uDCCG/WSl833/kPYHH4N0KA1H/RyZ9JkksazqYxmk2oSiXKaRuVoWkQTkeVjIefpTK4aPaz67NiZJK3H3JmSgQGGV5+MIB7DE6o+X9iI88nis9t/uv1vegvO7ff1HqX39MaaZm/O9xt9+qH+nPqDZ5uSqjgW+otPlvq1EalLf+ifF/9frVSjxS8Wv1Ky9VeLX5sSdpc1YRJPGK5O97B5Sb9Wqdp18xJn4jzmg73oYUYUJj3csXmJkySgHGak8J2OgdZI4nNh3ht5wYoSTA93715ixfOYb/Yqh9fn4krLQces4B7DH1kOd+9eYkXzvf0QNJcadrdnzQcdePeSsSxX+ja14qVtvL53L1HjBb1ZVJ72uHuJmgGBZWAfu5eoIUqvEIHwDLuXjLv47pFDBl1bDzHatXuJGiFovuIa07J7iRojaLvuqh6J0flYrED+ZHleGFX6BTnCHncvZXr3klhtIJCpdfcSGQ+cG/e7e4kcLTg3eu5ekulm95LsPKb2FXrU4Ay5D0GtYe5cWDAe0DHAaW6H3Usq9hcbonv3EplCelLA/Uhn9nQTWCvgh/SAwXkQrkqAwafWg08NDj6XdDRwAt3f7iVypOA06rF7aTPofN1yt17RI/aZWkndZlPr2QecmozAvHtpM9isG6B79xKZAJxdfXcvqb6zCaoV7CNasI3ghrwmzdNZWVuWFsjVdefupcyPEwUM7x8xgnis56EFeoDdS4wJkXhC8GLYhHGPFcNjudKjQO52axhRmNyazt1LjCgB7RpGCt/1YqA5yvPSOIpfsIIEM2tsm5c4+TxG930Ul5sSM1uv7ltOF2cF9xj+4LoIbtRLXjbf2w9hc9k17gat+aAP+LVKVefmJeGbDAwwvPhkBPEYnlDxyfxaJc5sSDwbuPIk70xqnfqWx9F9EQ923J7EmD2PEX8vgpcRhUnwGo2P+6wkAfUuI4XvhAu0RlKc553b9RlRgiley/YkTjyPGWWvgnd9Kq60HHPMCu4x/JEFr2V7Eiea7+2HoLn0rrs9az7osNuThLFNlYKVVrysjdf79iRivO0h44i3JxEzILAM7GV7EjFE6RUiEJ5he1LSpVqJMYO+rIca7dyfRIwQtFdxkWnbn0SMETRWd5WPxOh8TFQgf1l8XnStgxIj7HF/Uq73JxXrLQLSvj+JigdOjnven0SNFpwcffcnyWf7kzrPqX2FHjU4Re5DUWuYOxcWjAd0DHCe22V/krzzYkNY9idRKaQnBdyPdGZPN4G1An5IDxicB+GyBBh8aj341ODgc0lHAyfQPe5PokYKTqM++5Pks/1JnXfrFT1in6mV1G02xZ59wKnJCNz7k+SdFxvAsj+JSgDOrt77k+TpJqhWsI9owTaCG7KTNE9naW1ZWyCX1537k3I/ThQwvEXECOKxoIdW6AH2JzEmROIJwathE8Y9VgyP9UqPArnbrmFEYbJrOvcnMaIE9GsYKXwXjIHmEOd5bLSEL1hJgtk1tg1KnHwew/s+qstNjZmv1/ct54uzgnuMf3BhBDfqJS+b7/2HsLkMG3eD1nzQh7tBSanPrg1KhW8yMMDw6pMRxGN4QtUn9wYlxmxIPBu49CRvUFrvTcpiEUdX6c6vTmJMnMdgvxexy4jCJHa79iYxkgTUuowUvnMt0BrVeZoY2+OClSSY1rVsTeLE85hL9ip11yfiSssRx6zgHqMfWepatiZxovnefQiaS+m627Pmgw68Nalr5dR+rJ1o4/W+NYkYL+i7otKzz61JxAwILAN72ZpEDFF6hQiEZ9qalJtivkeOGbRkPcRo59YkYoRtncm6NYkYI+ip7qoeidH5+KdI/tJSDctda6DEGHvcnFSdPcjzeL0/oLRvTqLigdPjnjcnUaMFp0ffzUnls81JnUfVvkKPGpwk96GpNcydCwvGAzoGONPtsjmpvPNiQ1g2J1EppCcF3I90Zk83gbUCfkgPGJwJ4cIEGHxqPfjU4OBzSUcDp9A9bk6iRgpOpD6bk8pnm5M679YresQ+kyup22zKPfuAU5MRuDcnlXdebADL5iQqATi7em9OKk83QbWCfUQLtpHckJWkeTqLa8vqArnA7tycVPlxooDh7SFGEI8lPbRGD7A5iTEhEk8IXg+bMO6xYnisWHqUyN1+DSMKk1/TuTmJESWgYcNI4btkDDRHUqWqMjcuEV2wsgSzbGzbkzj5PAb4fdSXmyqzWq/xWw4ZZwX3GAHh0ghu1EteNt87EGFzmTbuBq35oP92iT2aF/NZFpVCZJGQeRmNiiSOUpmkYj4txGTai/7s2J6Ux77JwACD609OEI/hCdWfL+zGeU+J0PeV+vwsUv/zVP3085UIfar+4FP1f3qDztIC+sXi35KTIjbrgrusWZB4FnYVnZwYHkPuPkQnJwqT6OzYJMRJEk5zclL4znhAa2SlOM9kx7PqnCzBNGf3NiFWPI8xfZ+SM18fT5tbzhtmBfcY/8iSs3ubECua7/2HoDkUJ9CeNR904G1CXRrSfn6cbOP1vU2IGi/ogKISsMdtQtQMCCwD+9gmRA1ReoUIhLe1TUiY1/LvkUMGvVEPNdq1S4gaIWhx4iLTskuIGiNobu4qH4nR+RiZQP7K89LYxBfkAPvbIpSneotQtnLp88S6RYiMB06N+90iRI4WnBo9twjlyWaLUN55Huwr9KjBCXIfelrD3LmwYDygY4Cz3A5bhFTsLzZE9xYhMoX0pID7kc7s6SawVsAP6QGD0yBclACDT60HnxocfC7paOD8ub8tQuRIwVnUY4vQZtD5uuVuvaJH7DOzkrrNptSzDzg1GYF5i9BmsFk3QPcWITIBOLv6bhFSfWcTVCvYR7RgG70N2Tmap7OwtqwskIvrri1CeerHiQKGt2gYQTyW89D6nH+LEGdCJJ4QvBY2YdxjxfBYrfSoj7vdGkYUJrema4sQJ0pAu4aRwne5GGgONZanRvvsgpUkmFlj2SDEyucxvO+jutzUmOl6dd9yjjcruMf4BxdGcKNe8rL53n8Im8uucTdozQd9wBuE0s4NQplvMjDA8OqTEcRjeELVJ9cGIcYsSDwLuORUcvrJSoJrSCwVL7hk3UevnTUveariOFu+sqjL12HMmcf4vhd9y4jCpG+Ncuo+K0lAectI4Tu9Aq2RnueiY/87J0kweWvZi8SJ5zF97FXdrk+bzS3HB7OCe4x+ZHVr2YvEieZ79yFoLnHrbs+aDzrwXiTjtKDkqrDi5W283vciEeNtDxlHvBeJmAGBZWAve5GIIUqvEIHwDHuRjPfBPXLIoAnroUU79yIRIwS9VFxi2vYiEWMEXdRdxSMxOh/HFMhfKs5L41P8F+QIe9yMJPVmpHy9H0DYNyNR8cC5cc+bkajRgnOj72Yk8WwzUufpr6/QowZnyH0Iag1z58KC8YCOITwxCPsDxJ0XG8KyGYlKIT0p4H6kM3u6CawV8EN6wOA8CFclwOBT68GnBgefSzoaOIHucTMSNVJwGvXZjCSebUbqvFuv6BH7TK2kbrOp9ewDTk1G4N6MJO682ACWzUhUAnB29d6MJE43QbWCfUQLthHckHWkeTora8vSArm67tyMJP04UcDwdhAjiMd6HlqgB9iMxJgQiScEL4ZNGPdYMTyWKz0K5G6zhhGFyazp3IzEiBLQrWGk8F0vBpojOy8y4+LLBStJMLfGthmJk89jeN9HdbmpMeV6ed9yaDcruMf4BxdGcKNe8rL53n8Im8uvcTdozQd9wJuROtwSpT5z32RggOHVJyOIx/CEqk+uzUiMWZB4FnDJ2d6M9Mnis9t/uv1v+je331/uTvpYKXF9str3m899qFNG2rZ0tjqALsnte5MYU+gx3O9F7jKiMMldo/l2n5UkoNplpPCdbYHWKM6FeXHmgpUkmNq17E3ixPOYTfYqdtcHzeaWk4NZwT1GP7LYtexN4kTzvfsQNJfWdbdnzQcdeG+ScRhS6rWw4hVtvN73JhHjBZ1XVHz2uTeJmAGBZWAve5OIIUqvEIHwtvYmyc73JBFDBj1ZDy3auTeJGGFbZrLuTSLGCJqqu4pHYnQ+BiqQv7Q8L6UpwgtyhD3uTSr13qRqvT2gsO9NouKBc+Oe9yZRowXnRt+9ScWzvUmdx7++Qo8anCH3Iag1zJ0LC8YDOgY4ze2yN6m482JDWPYmUSmkJwXcj3RmTzeBtQJ+SA8YnAfhqgQYfGo9+NTg4HNJRwMn0D3uTaJGCk6jPnuTimd7kzrv1it6xD5TK6nbbGo9+4BTkxG49yYVd15sAMveJCoBOLt6700qTjdBtYJ9RAu2EdyQk6R5Oitry9ICubru3JtkPzNuixMFDO8OMYJ4rOehBXqAvUmMCZF4QvBi2IRxjxXDY7nSo0DuNmsYUdoiwIKCV9KWvUmMKAHdGkYK3/VioDnEeZZ2PTTESBLMrbHtTeLk8xje91FdbmrMcr28bzmzmxXcY/yDCyO4US952XzvP4TN5de4G7Tmg27UZ5zNJvmsSKJpOplGoqxEVMlS/Woyy5MkloWcrxITVn127U2qfJOBAYZXn4wgHsMTqj5f2Jv0vlKa77zo96if/ub2B+pDny0+VD/8YPHR7febHTXxSnou99lkxuLpLms2JJ4NXHq+mJBPFbDejvTW7T/d/qjZZNT5OqTn34akpPhHeivT7fd1sp42u5meNnab0vW37yy3JBmHwnusGfMY5feichlRmFRu15YkRpKAIpeRwneSBVqjPM+lNJFcsJIEE7mWLUmceB6TyF417vpw2dxyWjAruMfoR9a4li1JnGi+dx+C5pK47vas+aADb0kyDkMv5UVsxSvbeH1vSaLGCxquqObscUsSNQMCy8A+tiRRQ5ReIQLhGbYkGfvVPXLIoBXroUW7tiRRIwQdVVxiWrYkUWMEvdQdxSM1uvbUtOOWJDXKGZv4ghxgfzuSiuRMXdLVpoAitu5IIuOBU+N+dySRowWnRs8dSUW82ZFUdJ40+wo9anCC3Iee1jB3LiwYD+gY4Cy3w44kFfuLDdG9I4lMIT0p4H6kM3u6CawV8EN6wOA0CBclwOBT68GnBgefSzoaOH/ub0cSOVJwFvXYkbQZdL5uuVuv6BH7zKykbrMu9RwDTk1GYN6RtBls1g3QvSOJTADOrr47klTf2QTVCvYRLdhGb0P+kebpLKwtKwvk4rprR1JhP6JuixMFDO4JcYJ4LOeh9Tn/jiTOhEg8IXgtbMK4x4rhsVrpUR93ejWcKExeTdeOJE6UcGYNJ4XvcjHUHCLv2JHESRLMrLHsSGLl8xje91FdbmrMZLW6X1iOCGcF9xj/4MIIbtRLXjbf+w9hc9g1QIPWfNAHvCOpY1Fbqc/UNxkYYHj1yQjiMTyh6pN5RxJnNiSeDVx6vpiQzxa/17uSWi9I6j6kbfHvi5+1X4ZkHPLusWbGYzTfi5plRGFSsx07jzhJAopZRgrfyRRqjSrLTSQXrCTBxGz3ziNWPI/JYq9adn1qbWE5hpgV3GP0I2vZ7p1HrGi+dx+C5pKy7vas+aAD7zwyDkNKnGZWvKqN1/vOI2K8oLGKass+dx4RMyCwDOxl5xExROkVIhDe1s6jsutlSNSQQcvVQ4t27jwiRgg6p7jEtO08IsYIeqa7ikdidD7+KJC/Mjs3lpQX5AB73Hkk9M4juTb/M/vOIyoeODXueecRNVpwavTdeZQ923nUea7sK/SowQlyH3paw9y5sGA8oGOAs9wuO4+yOy82hGXnEZVCelLA/Uhn9nQTWCvgh/SAwWkQLkqAwafWg08NDj6XdDRw/tzjziNqpOAs6rPzKHu286jzbr2iR+wzs5K6zabUsw84NRmBe+dRdufFBrDsPKISgLOr986j7HQTVCvYR7RgG70N+USap7OwtqwskIvrzp1Hwo8TBQzv/TCCtKWHrYHA+jzAziPGhEg8IXgtbMK4x4rhsVrpUR93ezWMKExeTefOI0aUgGYNI4XvcjHQHEl6LrueE+dECebW2LYecfJ5jO/7KC83RaZYL+9bDgRnBfcYAOHKCG7US1423xsQYXP5Ne4GrfmgD3jrUd659Uj6JgMDDC8/GUE8hidUfnJvPWLMhsSzgWvPxa+Mu41eMMSgFyLZdh0xJsVjIN+LkmVEYVKyxjr/PitJQCHLSOE7jwKtkcrzxLgeccFKEkzHWnYdceJ5zBN7lbHr42kLy3nDrOAeox9Zxlp2HXGi+d59CJpLxbrbs+aDDrzryChglC7NbXhV3MbrfdcRMd72kHHEu46IGRBYBvay64gYovQKEQjPsOvI2K/ukUMG7VYPLdq564gYIeia4hLTtuuIGCPol+4qHonR+XijQP6kOK8qU4QX5Ah73HZU6G1H5dr5z+3bjqh44Ny4521H1GjBudF321H+bNtR55Gxr9CjBmfIfQhqDXPnwoLxgI4BTnO7bDvK77zYEJZtR1QK6UkB9yOd2dNNYK2AH9IDBudBuCoBBp9aDz41OPhc0tHACXSP246okYLTqM+2o/zZtqPOu/WKHrHP1ErqNptazz7g1GQE7m1H+Z0XG8Cy7YhKAM6u3tuO8tNNUK1gH9GCbQQ35BFpns7K2rK0QK6uO7cdFX6cKGB434cRxGM9Dy3QA2w7YkyIxBOCF8MmjHusGG1RYMHwKJC7zRpGFCazpnPbESNKQLeGkcJ3vRhojvI8FV2FOSNJMLfGtuuIk89jeN9HdbmpMYv18r7lqG9WcI/xDy6M4Ea95GXzvf8QNmuDXiINWvNBH/Cuo6Jz15H1PDpTMjDA8OqTEcRjeELVJ/euI8ZsSDwbuPTcw64j97uOGJPiMZDvRcgyojAJ2a5dR4wkAXUsI4XvPAq0RpKfi8o4dFywogQTspZtR5x4HhPFXnXs+uTZwnKUMCu4x/BH1rGWbUecaL63H4LmkrHu9qz5oNV//nqpZcVju1D97mzyvW+++YYhEwSdKkyYSqBWFsxE5G3Mru1H3bH6aM/1DiRjsF8hB9vuY5bEgvry35SI+nS5seV5YbnahXT7w5NmT9GnWm4166Af3f794uniQxOWUpPVX1yQ2bYGxW643cbE5XaDMj5Tl1Rf9PtOylxfSnWp9B9U+g8q/QeV/oNK/UERqz8oEvWzIi3UJavURSZdoyg1C8I/C7gXpNFf1eivavRXNfqrGv1Vjf6qRn9Vo7+q0V/V6K9q9Fc1+qsa/VWN/qpGf7UL/VU6uvRHx00kRf5Qkz/U5A81+UNN/lCTP9TkDzX5Q03+UJM/1OQPNflDTf5Qkz/U5A+7yB/SyfH7mj51LI1ulYFaZ6DWGah1BmqdgVpnoNYZqHUGap2BWmeg1hmodQZqnYFaZ6DuykBNzsCW9+nIgF+Xf01jv6axX9PYr2ns1zT2axr7NY39msZ+TWO/prFf09ivaezXNPZrGvu1LuzX6Nj4TOnpmSrqR5r6kaZ+pKkfaepHmvqRpn6kqR9p6kea+pGmfqSpH2nqR5r6kaZ+1EX9iEbd9PcltZ56/8qmG/a3cVl0uaqrFc8uhu6zfbBQSZpBXTv2LFOjBXdkUUXD4v3GDP3+4tPmFdSftZeomoUofcy9+vmTk8VPb99afLJUFPovWvz+7ES7rOqPP779ye07+osm/Ltk/PacyrhhmRqi9AoRCG9rw7JxXeUeOWBwm5bHIlbXdmVqhO31Kc7tytQYwX1WO646UaNry5IdtyuLLDsvO1aTqCH2t1+5TFa7BUv72axkMnA29N+qXGZF51ZlcrTghOi5Vbl8djZraTmblRw1ODHuVnCul99KfVRiN8YDOgY4wREqxvXuwfLZ2ayl42xWMoX0pID7kc7s6SawrbKNHDA4B8IrmcC4U4PjziWdCpw3/XYpd485X6dHCs6eHruUy2fHsnbfqFf0iH1mVFKPWS8NO8aamozAvEu5fHYsq32ceY1OAE6snhW37juboLZqZVKwOtpZnOVykoyjfJ6PoiSZzaMqFqneWDISk2yWZ+lkydNZRv/NaJ/7RHR52lVM244IM0CidKaC2wLlU3SbQL7CCuLh/aH1+LutEvzDF5byFx+dqNL6j7oK/JfFb/QzwZ/py0e3b93+eLmJYruI/1B/4mmzyeKDxSfND5oi/v98883/HD18Q9Xw6m/+D/3xk9cenFzOvjNXFG8sP5OkcXz7wzyOT9Q3PzEl+C5rgiWeYLycXvy7SsTvVVLfuv2n2x8t95y07JL1Dz9WiVOF98mjN7757e+8OTl7/PgN9Udv3f5AFeK/a3aOf94sfHy0On9r8Vv9I90870a5SuzP/o/ldpbPVPqWz3erL7+jfqP+fvVX/FrV9H9Uv/vg9q3Nv3b74794lnZ10Yk/O7n9+6ZFf7B6145j1wtnk3jYvvtYMGAkYdn0YhxO77NyhNvywknh67kDbWFdpGBEOYAtL6x4HtPePqrtTc29Ptq0tJxVywruMfbBhSLappe8aL63H4Lm2PICtGfNBx3uTTuiayN2mVrY0ipps/VsWBGjBdflUIHcm2FFxBcY/l4MK2KI0itEILwtw8r4vO89csDgYt0+9CcxQnDhzUNXWgwrYozgktuumpEYnc/yGpI/kabmLXwX5BB7NKyy9cJxajesqGTgbLhnw4oaLTgh+hpW6TPDqvME0lfoUYMT4z4ktIa5c2HBeEDHACe4XQyr9M6LDWExrKgU0pMC7kc6s6ebwFoBP6QHDM6BcB0CjDs1OO5c0qnAeXOPhhU1UnD29DGs0meGVeeNekWP2GdGJfWYTWFnH2tqMgK3YZXeebEBLIYVlQCcWL0Nq/R0E1Qr2Ee0YBuFOEmyLBNJlJd5EYnZOItGs9k0mmb5VMzFaJLOVy3SWUZb1hFopXSnYZX5QaJ04Q0rRhCPlTu0Hn/BsGpedqvfgnv7dmM4Pb39UfMHH6n6+gNdmT/RD/xqo2P1Ztt/1r9T33r6//79yVe/8+Z3v7f8+b3Jm9/+v95846R+81tvnnxlNJ9/a3bScqRufyisrhRjFiWeRbxmRp2/T9T/fKoS+9b6ZUXrZY/31h/U9pV29TaNoL+7fPXR54vPdRr/0zq/X31z8l++q39w1vKpfhol8uxZspcmlHYJm9b6cOk+Ge/Ee6yp91iB3Uf1z0jC4z6ZR8f7rCQB/SdGCt8FcKQ1ZC7Oc2FiuWBlCWZA5aKouj0oTkKPmWwfBfSmjM7WnoXldGxWcI8REK79PJr1kpfO9y5E6Fw2lLtJaz7okDZUZmJTyllY2dI2W882FDFacLUNlb292VBEfIHh78WGIoYovUIEwtuyoYx7Qe6RAwaX4PYhRIkRgstpPgKz24YixggupO0qHYnR+SyaAfnLxLmQpggvyBH26ELJ9WqwsLtQVDJwMtyzC0WNFpwPfV0o8cyF6jxX9RV61OC8uA8RrWHuXFgwHtAxhCcGYXVY3HmxISwuFJVCelLA/Uhn9nQTWCvgh/SAwSkQrkSAcacGx51LOhU4be7RhaJGCk6ePi6UeOZCdd6oV/SIfSZUUo/Z1HX2saYmI3C7UOLOiw1gcaGoBODE6u1CidNNUK1gH9GCXU5RxSgpq0k0mkzjSIzjOBol6rdVGadlXhbZuFqN/p1VtGUZgVZJd7pQ0g8SpQvvQjGCeKzdoeW42zzZqrhbDtSHpjzcZc2DxPOAF72mVOgX635f/fYDlZDV4RafNL95orLz8Qsu3VbiXvrWePbdxjR67d79R6+8dLW0i/IXnaHn/4XGfPq1/rOf5jrHVXxH1d6peOGg8JaV1PUgE2P2PRZS91HBM5IEtpIYSQJaSYwUvovYQGso7VhW0oRywYoSzEkqivI8Lk2AL/MCekxG+6iBN5Xw+pjp0nJsOCu4x/gHl294q17ywvneggicy0dyt2jNBx3SRxImNqV9cytb1mbr2UciRguul6HCtTcfiYgvMPy9+EjEEKVXiEB4hgPDu7Y+EUMGl9H2oUOJEYJLYj76sttJIsYILobtqhyJ0fksfAH5K7PzrkfbiQH2aCQV6wVd+1HhZDJwNtyzkUSNFpwQfY2kZ0eFl5ajwslRgxPjPkS0hrlzYcF4QMcAJ7hdjKRnR4WXjqPCyRTSkwLuRzqzp5vAWgE/pAcMzoBwJQKMOzU47lzSqcBZc49GEjVScO70MZKenRLefaNe0SP2mU9JPWZT2NnHmpqMwG0kPTsl3D7OvEYnACdWbyNJnxJuHmMe0YJtNOxEJFkSJ1GcVqNIyFKoonpWRHk1msbJfDoejVY3bGcZbVlHoJXSnUaS/cTKLUiULryRxAjisXaH1uNuI+lni18v/lUfQbj4/y1+u/jV6mzGZ4bG6jkl7Y8ky8eULE8pMSZH4snBS2ETxj1WjLYwsGDsozxmJAls0zCSBLRpGCl814iB1qjS87irKmckCebSlGl8XlYmwJd5AT1G+n0UmJsyc324dGk5LZwV3GP4g2sjvFUveeF870AEztqil0iL1nzQIV0aaWJTwtJ+hqRos/Xs0hCjBRejUFXYm0tDxBcY/l5cGmKI0itEIDyDS2PsVPfIIYNrVPuQocQIwfUmH3nZ7dIQYwRXmnYVjsTofFaVgPxJcV4ZZ9YLcoQ92jTVerm0tNs0VDJwOtyzTUONFpwRfW2a8plN03kU9Cv0qMGZcR8qWsPcubBgPKBjgDPcLjZNeefFhrDYNFQK6UkB9yOd2dNNYK2AH9IDBqdAuBQBxp0aHHcu6VTgtLlHm4YaKTh5+tg05TObpvNGvaJH7DOhknrMprKzjzU1GYHbpinvvNgAFpuGSgBOrN42TXm6CaoV7CNasE1lkExGozyfRLMimUUim0+jkZglUTHL0mk8ns/kRC55Outoy0ICrZbutGkqP0iULrxNwwjisXiHFuT+No2eQZrnXN5aPgKjf5/E8R39X6tFw5gYiScGr4NNGPdYMTzWKPdRGzOSBLZoGEkCWjSMFL4LxEBr5PG5MC92X7CihPNokuo8y0yAL/MCegzz+6guNzVmtV7Rryx1Jie4x/gHF0Z4q17ywvneggicy6Nxt2jNBx3SozHucHopr2Irm2yz9evRUKMFV6JQSdiXR0PFFxj+PjwaaojSK0QgvLTt0RhHtHvkgMHlqT2oUGqE4FKTj7rsdGioMYKLTDvqRmp0PgtKQP6ysjzPpCnEC3KI/Vk01fpE+cp2ovzLdDJwNtyvRUOOFpwQPS2aKt5YNFXnseyv0KMGJ8Z9iGgNc+fCgvGAjgFOcDtYNFV858WG6LZoyBTSkwLuRzqzp5vAWgE/pAcMzoFwJQKMOzU47lzSqcB5c38WDTlScPb0sGg2483XLTfqFT1inxmV1GPWhZ1jrKnJCMwWzWacWTdAt0VDJgAnVl+LRvWdTVCtYB/RgtXRYmfsap7OMtqyjkArpbssmsp2grABEqULbtFwgnis3aH1uNuiac6zeXfxL4vfnKjPfKYvH92+dfvj5jMfbhfxH+pPPG3OtPlg8Unzg6aI/z/ffPM/Rw/f0K8d+1g/h3P7/ZPXHpxczr4zVxRvtM4NspwZxJlgiScYL6cX/64S8XuV1Ldu/+n2R4snt++8kGP1o0/XP9RvedOvZnv0xje//Z03J2cn6g/euv2BKsN/p48TWnzeLHuoRvn3xc/UH/5W/0g3zrtRrtL6s/+jdT6Q+vjtO+o36m9Xf8WvVUX/x+aVcm9t/q3bH//F84c15csXxd3+fdOeP1i9Ci7Jra9/42wQj0XbfSwXMJLwmFYmjvusHOEsK04K3/VyoC2sSxSMKMEsq7jzDCFWPI9Jbx+19qbiTlb2xvIXJvAHvOAeYx9cJqJtesmL5nv7IWgOuwpoz5oPOqRdZXy0USns1MqWt9l6tquI0YKrcqg87s2uIuILDH8vdhUxROkVIhDell1l9GvvkQMGl+r2oT+JEYLLbh660mJXEWMEF9x21YzE6HwW15D8qZLqPDaq8wtyjD36VesD5SvbgfIv08nA6XDPfhU1WnBG9PWr0md+Veep7K/QowZnxn1oaA1z58KC8YCOAc5wu/hV6Z0XG8LiV1EppCcF3I90Zk83gbUCfkgPGJwE4UIEGHdqcNy5pFOBE+ce/SpqpOD06eNXpc/8qs4b9Yoesc+USuoxm8rOPtbUZARuvyq982IDWPwqKgE4sXr7VenpJqhWsI9owTYScYIcxqt5Outoy0ICrZbu9KsyP0iULrxfxQjisXSHFuQv+FW3P158cKIKv49u3278puePyPlAl+ZPVM39gXY6WscIPf1///7kq99587vfW/783uTNb/9fb75xUr/5rTdPvjKaz781O2kZUvoNcTZTijGLEs8iXjSjxt8n6n8+VYl9S59CdPuTZ+se760/qN0rbeptGqF5ruv2rdu31V/4eXMm0Tq/X31z8l++uzyZ6EWj6qdRIs+eJXt1XFHr9CHjnXiPNfUeS7D7KP8ZSXjsp65npjhJAhpQjBS+K+BIa2SpXnToWnVghAlmQeWiqLpdKE5Cj6lsHxX0po7O1q5FZqmlOcE9hkC4+PNo1kteOt/bEKFzGVHuJq35oEMaUcZXDijpLKxsRZutZyOKGC243Ibq3t6MKCK+wPD3YkQRQ5ReIQLhbRlRRif2HjlgcA1uH0qUGCG4nuajMLuNKGKM4ErartqRGJ3PqhmSvzw7F0Y/9IIcYo8+1PpI+cp2pPzLdDJwNtyzD0WNFpwQfX0o8cyH6jyX/RV61ODEuA8VrWHuXFgwHtAxhCcGYX1Y3HmxISw+FJVCelLA/Uhn9nQTWCvgh/SAwTkQLkWAcacGx51LOhU4b+7Rh6JGCs6ePj6UeOZDdd6oV/SIfWZUUo/ZFHb2saYmI3D7UOLOiw1g8aGoBODE6u1DidNNUK1gH9GCXU5RyGG+mqezjLasI9BK6U4fSvpBonThfShGEI/FO7Qed9snWyV3y4P60JSHu6x5kHge8KrXlIqPFk8U+ff1M0TL9/idNM8d6dr44+bBo2c+3VbiXvrWePbdxjZ67d79R6+8dLU0jPIXvaHn/4XGfvq1/rOf5jrHVXxHFd+pGsuWzy/F2baZ1PUsE2P2PVZS91HCM5IENpMYSQKaSYwUvqvYSGsU1XkZd60cMLIE85KKojyPjUvUL/MCesxG+yiCN6WwXPsO0lIOc4J7DIBw/Ya36iUvnO89iMC5nCR3i9Z80CGdpMrEpsRvbmUr22w9O0nEaMEFM1S59uYkEfEFhr8XJ4kYovQKEQhvy0nqqP/ukUMG19H2IUSJEYJrYj4Cs9tLIsYIrobtKh2J0fmsfAH5q9JzKUwRXpAj7NFKWh8qX9kOlX+ZTgZOh3u2kqjRgjOir5WUP7OSOk9mf4UeNTgz7kNFa5g7FxaMB3QMcIbbxUrK77zYEBYriUohPSngfqQze7oJrBXwQ3rA4BQIlyLAuFOD484lnQqcNvdoJVEjBSdPHyspf2Yldd6oV/SIfSZUUo/ZVHb2saYmI3BbSfmdFxvAYiVRCcCJ1dtKyk83QbWCfUQLthGx0InDmqezjrYsJNBq6U4ryX6e8hYkShfeSmIE8Vi8Qwtyt5XUPiVp5SRtLI3Vs0raIUmWjypZnlRiTI7Ek4PXwiaMe6wYbWFgwdhHfcxIEtioYSQJaNQwUvguEiOtESfnhXkLxAUrSzCjpkzjc/NZUC/zAnqM9fsoMTeFZrFe1i8sxSYnuMcACFdHeKte8sL53oMInLVFL5EWrfmgQxo1ibFIVNrSfsxo1Ybr2akhRguuR6HCsDenhogvMPy9ODXEEKVXiEB4BqfG2KnukUMGl6n2oUSJEYJLTj4Ks9upIcYILjbtqh2J0fksLAH5y4vzxDi1XpAj7NGpWZ8rX9nOlX+ZTgbOh3t2aqjRgjOir1NTPnNqOg9nf4UeNTgz7kNGa5g7FxaMB3QMcIbbxakp77zYEBanhkohPSngfqQze7oJrBXwQ3rA4BQI1yLAuFOD484lnQqcNvfo1FAjBSdPH6emfObUdN6oV/SIfSZUUo/ZlHb2saYmI3A7NeWdFxvA4tRQCcCJ1dupKU83QbWCfUQLtqkMoHOHNU9nIW1ZSSAW051WTeVHieKFt2oYQTyW79CK3N+q0VNI87TLW8sHYfTvkzi+o/9rtWkYEyPxxOCFsAnjHiuGxyrlPopjRpLANg0jSUCbhpHCd4kYaI0iO6/irpqcESWcS5NU51lmAnyZF9BjmN9HebkpMqv1mn5lKTQ5wT3GP7gywlv1khfO9xZE4FwujbtFaz5o9Z+/PluKlr+yicy9ujVmeVmsCkgzZCK6FT8Wq49sfN6tMfbDr5CjBdekUG1IcmuWL9n92eIXi1+eLN47SfTZmR8vlodoNuc3qg98svigeY2xPgDyg8Unyx9/dvt3jZHzTnP8oykxd8mJEVhi9uDjkEOUXiEC4WVtH0d1uLP1r4wd7x45eHA5a3fRSo4QXJryEaNdjg45RnBRajeZSY7OZwEKyF9WmI91uyAH2JuhU8TJmbqk+pLpi9AXqS+5vhT6UupLpS5JrC/6G4n+RrI6EURh28wgelbA6dbfDEqSqusdt1+jhwvOuH5ukApn7Qat8myK+hV61ODMuw+5rmHuXFgwHtAxwHmS7gbp2F9siE43iE4hPSngfqQze7oJrBXwQ3rA4PQJ1zzAoFXrQavWg1atB61aD1q1HrRqPWjVetCq9aBV60Gr1oNWrQetWg9aNThoXdIzAk7Xfk6SZcD6Oj1UcNbGraRng9XXLXf5FT1in5mc1N1W9adroKrJCLxW0rNBat0AnVYSnQCclj2tJN13NkG1gn1EC7apn7JyHmfjMopTISNRiDwazbNxVIlpJbIij8fZeMnTWeVbljuIlX6HlVSsTqmEKVE803qAhcpnTcAE8hVWEI81RnS54P++fXt5Ro4u+T/Tl/cal0hX/580tlF2Ju+YV2jussJKHBavr00Y91gxPJZH8Ur79h9uf2BC+SorCo8/JE0g91lBgtlDrBS+a9NAY8hcnhvb44KVJJg7FJ9XRryXefE8xu19FJubkjNZOgmrX5jAH/CCewx+cJ2EtuklL5rv3Yeg2Z0hpD1rPuhGU1aj+agYTSdRmsciEuN5GZVJmkVZWolU5EKWxUpthdSUxmVnpSlT31RgeOE1JSOIx9jkrSk3+jE13qF3WcEkDrazfmTE8BhC96IfGVFY9GPW5ecwggTUj4wUvjMY0BgqKmOleMEKElA+psb9vi/z4nkM0XuVj+labnQeav6AF9xj7NtBPprb9JIXzffmQ9Bc8tHdnjUf9PI9ROMql3E2i2RZVuqzZRmNi3mufhtPRnp7UjqaPQ4uH437KpR8zHxTgeGFl4+MIB5jEywfmxPTP1p8vPhg8d7yYO73tZBc/FH9+P3mIPWPFk9Pbv+hOfz7vbMT9Y1fLf5l8Ztmx/svGtG5+K15u+Bd1mRIPBk7S05GDI9hF5ecqs1+b0L5KisKi+SMzzNpQrnPihJQdDJS+M57QHMk2XliXgK6YEUJJjul7DpsnJfPY2zfq+7M1jql+7BxXnCPAZCsOzsb9ZKXzfcGRNhcwtPdoDUf9NILzycTMRpXkcziPBJiHEfjOJ1GRTYZpWI6ETIfPw4uPIUpFUp4Ct9UYHjhhScjiMfghArP3yl1+fHiqd7hfvuD5qWWP3lhl7v60YdLdfnc05a3P3r2RGUe30mN+2PvsqZC4qnYWXYyYniMurjstKx0MqJwyU4TyX1WkoCqk5HCd9IDWkOvG3StdTKShBOd53mX5uTE8xjW96o5xVqidB/SzQvuMfrRNWdHm17yovnefQiaS3K627Pmg24k5zSr8kkmskjEs0kksngWjXOZRJN5OStHSTxPC/E4uOSUplQoySl9U4HhhZecjCAeYxMqOX+jROQHSnbaRedJ8xjnp+pHbzcv0XyveRDzPS07yXqUMU8Sz9POepQRw2NE3oseZURh0aPZeW4iuc9KElCPMlL4zohAaySZPC9SE8oFK0owQZrI86pLkXLyeYz6e1Wkcq1gus/J5QX3GP/IirSzUS952XxvQITNJUndDVrzQTeSNC2nI5nlkygu8iQSSTyKxqWcRWU5j6dlPJrN1okJKUmNs4iSpLlvKjC88JKUEcRjcEIl6bvPvdbjJ0t5+eniSSNJnyjl+fHtO7f/dPvf1B83ErOQd0R8Jz4TcbPXs+M9cqw5kHgOdpabjBgewy0uN5s3wPz+/MTcLl9lBWIRnd2LoIwkAUUnI4XvnAe0hm0RlJEkmOYU1flqkWhbc3LyeQzre9Wc+VqidJ8vywvuMQiSNWdno17ysvnefwibS3O6G7Tmg14ug86EKJM4jkZxNo9EOh9H4yrOovkomcalkLNMjB4H15zGVTGlOW2HH5nlN4QXXnMygngMTjtoTtuSJqA3Gfklzr+z3mTE8Bhq96g3GYFY9KYwDxX3WUkC6k1GCt/5DmiNpOg8UogVJZjgzPNz85ECL/PyeYzpexWcxVqfdJ8xyQvuMQqSBWdno17ysvnegAibS3C6G7Tmg24EZzwbF+PJPI1Gk6SMxHiqdOksy6NsMhmLyVSWZbzq7SEFp7H9leC0nRNiTAWGF15wMoJ4DE6w4Hz2YuStFxmr396+s/hEv/7YLUVN2bjLmg2JZ2Nn+cmI4THw4vLT4q4zojAJT6OZe5+VJKDwZKTwnfeA1khkeZ4JE8oFK0ow4SnPhXEh92VePI+hfa+6s1zLlO7jGXnBPYY/su7satNLXjTf2w9Bc8lOd3vWfNDLdc5xUeRVXEajYjaNxGw+i0bJLI4SMYmn2Xg0nSfzx8Flp7FWVrKz8k0FhhdedjKCeIxNqOz8pT4/Q5/vcLL4+eLp7Q9vf3D7tj4S/fb7i/9YPFG/er9RnLL7RDZWYokT7ywtGTE8xlZcWjpXNhmBWARmcr7abLStMBlRAipMRgrfKQ5ojqw6l6WxQS5YUYIpTNH9QBEnnscovleFWa0VSfe5bLzgHqMgWWF2teklL5rv7YeguRSmuz1rPuhGYc7mWZ5P83GUJFqNJvlE6dKJbPZ8ztTPZmXaw8JmYuwALxWJ52vrUb7gEpMTxGNwIkjMJ7dvKR35VL+Ls9my+eT2nZMv6Ve86xe8f377jtKbHy2efNkpOTkzIPEM7Co5OTE8Btv9SU5OICbJaX4R7H1WlHCSk5PCd84DmkMU54m5QS5YUYJJzvS87JCcrHgeo/o+JWcSryRKYjlljBXcYxQkS86uNr3kRfO9/RA0h+QE2rPmg24kZz4v43w+jaN5Gs8jMcmrqJxWVTSZzUScZ/NRLFYTRVDJaVzVVpLT+9X3GF94yckI4jE4oZLzZ83b3j9tPPLlCzubVc2ny6OElN58ord1Lo3zEyVQf7r4zeK3i39d/Jv6779/Y3kC8SuXkUxOFj81JeQua0IknpCdFSgjhsfY66FAO1/ayYnCoj1j88lj91lJAkpPRgrfuQ9ojey8MG6duWAFCSY8y7JbeXLyeQzue1We64NpEstBQ6zgHqMfWXl2NuolL5vv7YewuaSnu0FrPujVaudommajeTQfj6dKnKZpNErGRRRPsqqcpGKWZatGDyo9jZuylPRMfXOB8YWXnowgHqMTLD2Vyvxcn1zZvA3pg5Pb79/+oHlF0uZlSo3s/OBk8bl+taf6wx+vBKd+lF0J098vPtPf0Zs99VvllUBt/jRJ9amXaRzfSaX5Nb13WVMl8VTtLEoZMTyGZQ9R+onxJvwqKwmLJu224DlRAopSRgrfWRFoDpsFz4kSTJbqd0TJzAT4Mi+gx8i/V126PvEmsZxgxAruMQCSdWl3q17ywvneggicS5i6W7Tmg15u9EymSTKVVTSWc/3a+UkclZXQcjZO8jhOx/Ne1kSNHUAJ08w3FxhfeGHKCOIxPKHC9KeNuf7B7VtRc5LR08Wnjc2e3xFdapKRT+J8O6tJRgyPwRRXk92PDHGisMjJ+LyQJpT7rCgB5SQjhe9cBjRHWp6n5ga5YEUJJict9jonnsdovVcxuT7FJrEcS8QK7jH+kcWkxV7nRPO9/RA0l5R0t2fNB621pE0i/tc3v/OfDfA0edi1aCkscFkct+He+C/f+pZJ93XE6qP58vNMhSp1sOYX/H2FHG17uOjKLCjs/m3x2XJ/5eIPJ80GvdVj5Pr17Ho18eS5x8W1Fb5cbHy6+OPJ4meLXyx+ebJ47yTRmzA/1muOJ+vnz58uPtEbN5v/PlXXT7YeS3938a4pMXfJiRFYYlaK8Bvf/C7S70wh/iU5ROkVIhBednL7j8vGO9cZ/W0kz5Oz9a+Mt8k9cvDt4bojeFyqdi98EiNsq9COCHEFmpzH5tXy++QY2/KyI8ZdpSUxuva81REdKhmz5Lzq8sWJEW6pwY4QvZTg1tR68dV7V1cPr1aTa/3owZeUFpJn6pLrS6Evpb5U6pLG+pLoS6ovmb4IfdHfSPMv6zFTE+t5+Sw2Ts0v0xMCTrWbhNR/853LN0xj31bvT6qq41DHr9HDBWfbTbhIc+nsnS7b6murPJuifoUeNTjr7kOga5g7FxaMB3QM4YnR2Vc6Ytdh33mxIbooXqVTSE8KuB/pzJ5uAmsF/JAeMDh1wlUOMF7Veryq9XhV6/Gq1uNVrcerWo9XtR6vaj1e1Xq8qvV4VevxqgbHq0t6MsBZ+tv7Gqu+Tg8VnKy/jfavy2fj1NctN/gVPWKfCZzU0zblpn2MqskIKTjBf2/H8WndAF0Er9EJwBn5e15jk87o6SaoVrCPaMEeqv+Tmje3qhJf+lGieOHtH0YQjwVFdJXA3/5h5JM4H15JmzDusWJ4LH/iNbXF/mFECW3/MKIEtH8YKXzXn4HmSDNVyxtf+3nBinII9g8nnsdovY/qclNjro/vSiznsbGCe4x/cGGEtuklL5rv7Yeguewfd3vWfNAH+3Rlal4FV0oy900FhhdeSTKCeIxNqJIM8HAlY0IknpCdpScjhsfQi0tPy8OVjChM0rPr4UpGkoDKk5HCd+oDWiM7TzpdJEaSYMLT9nQlJ5/H6L5X5bk+xCuxnMrGCu4x/JGVp+3pSk423/sPYXNJT3eD1nzQB/suudS880dJz8I3FRheeOnJCOIxOKHSk+NVcowZkHgGdtaajBgeg62H1nS9So4RiEVxWl4lx4gSUHIyUvhOeUBzZNV5lRuH7wtWlGCa07LYyYnnMarvVXKuj/FKLOeysYJ7jIJkyWlZ7ORE8739EDSX4nS3Z80HfbDnY6TnwpQKpThtR4WY130hvPCKkxHEY2wiKE7q+RicxBIn3llhMmJ4jK17VJiMQEwKs/PlHIwoARUmI4XvFAc0R5ady7wyoVywogRTmN3nY7DieYzie1WY6xO7EssJbKzgHqMgWWF2n4/BiuZ7+yFoLoXpbs+aD7pRmMmomqaTPImU6pxHIs1kNE6qMppVRZxMx9NCitnj4ApTmlKhFGblmwoML7zCZATxGJtQhfnu8jVwWmH+QunJJ7dv3/7dyeJ/KHH5YbOW+R+Lz9T1/ZVxrl/+dvtD/R44fT2XHermLmsWJJ6FnVUnI4bHeOuhOjsfiWQkCS03GVECyk1GCt/5DmgOq9xkRAkmN+OOp39e5sXzGNL3KjfXx3clluPYWME9hj+y3Oxq00teNN/bD0FzyU13e9Z80I3cxA4HDi03c1MqXirS2DcVGF5wuckJ4jE24XJz84KQrRd6qN/evrP4RL8GpFnVfO7FIZ/d/mi5o7N5aCi+kxq3c91lzYbEs7Gr7OTE8Bh3cdnZ/dQQJwqL7hTmDd/3WUnCyU5OCt95D2iNJFPtUQgTywUrSzDdKc+Fca/wy7x4HmP7PnVnuj7DK7WcycYK7jH+kXVnV5te8qL53n8ImkN3Au1Z80E3ujMtpyOZ5ZMoLpRQFUk8isalVF8o5/G0jEez2ToxIXWnUaAo3Wk7I8SYCgwvvO5kBPEYm2Dd+ZzU/MlSXX66eNIo0Cf65Ivbd5ptnE+XCrOQd0R8Jz4Tsf5d1rXIyZkDiedgZ7XJiOEx2uJq02WtcwKxaM7YvNP7PitJQM3JSOE75wGtUZ3Lyjh9X7CSBFOcojqPhYnvZV4+j2F9r5JzfXZXajmMjRXcYxAkS87ORr3kZfO9/xA2l+Z0N2jNB73cvDkTokziOBrFzbrofByNqziL5qNkGpdCzjIxehxccxpfrqE0Z+qbCgwvvOZkBPEYnHbQnLYVTUBvMvJLnH9nvcmI4THU7lFvMgKx6E1hLk/vs5IE1JuMFL7zHdAaiYzPU9nhrXOyBFOceX5eGSenl3n5PAb1vSrO9aFcqeWYNVZwj2GQrDg7G/WSl833DkTYXIrT3aA1H/RScWZVPslEFol4NmkeKIrGuUyiybyclaMknjcuSWjFaRy0lOLMvFMB4YVXnIwgHoMTqjh/o3TKB4v39es1nx34+4LPrn704UnjwX+qfvR2czTwe80xG/q8YLrvzpgniedpZ2XKiOExJOPK1OK7M6KwaNLMvFXnPitJQE3KSOE7IwKtkSTyPK6MOyEuWFmCaVIFWHVs+GTl8xj296pJ16d7pZbT2ljBPQZAsibtbNRLXjbfOxBhc2lSd4PWfNCNJi3GVS7jbBbJstTv9izLaFzMc/XbeDIajfI8Hc0eB9ekibEDKFEqfHOB8YUXpYwgHqMTKkr/b6UnnzRvff9g9cLOxfuNzPyj+vH7WqOqHz49uf0H9adKjJ6dqG/8avEvSsz+6+KXi18sJelvs8yUjLusyZB4MnZWnowYHgMvrjy7X9bJicKiPOPzTJpQ7rOiBJSejBS+Ex/QHPrw9q7FUEaSYMJTys4njVj5PIb2vQpPsdYplvPIWME9xj+y8Oxs1EteNt/7D2FzCU93g9Z80I3wrEbzUTGaTqI0j4X67LyMyiTNoiytRCpyIctipciCCk/jpiElPKVvLjC+8MKTEcRjdIKFp17fvH178XkjIbMzecf8isS7rGASB9tZRDJieAyiuIi0LF8yorCIyMw4+t9nBQkoIRkpfKcwoDEqWZlfwH/BShJMQsbnaZedzonnMUbvVUGuT6ZJLScNsYJ7DH5kBdnVppe8aL53H4LmEpDu9qz5oBsBKbJyHmfjMopTISNRiDwazbNxVIlpJbIij8fZ+HF4AWn0W5SAzH1zgfGFF5CMIB6Dk7eA1C92/0xfmjOGtC+++GQjKs2y/y4rrMRhdxaVjBge4+peRCUjCouoXB23ti0qGUECikpGCt9pDWgMUVTn0tggF6woAVVlZcR7mRfPY+Deq6pcHzqTWk4RYgX3GP12UJXmNr3kRfO9/RA0l6p0t2fNB61lpU0tdpzgTlOKRitUyUT7++qTNtzmuHksVh/5l59nKlSpgzU/2voVcrTt4aIrs6DG+zel5Zo3rC/+cNI857F6O5HeH7n4vVJ9z+2G1N518xrMxdPFH08WP1v8YvHLk8V7J4mWhloUfniyfq3R08Un+tXtzX+fqusnW287enfxrikxd8mJEVhiVnrwG9/8LtLvTCH+JTlE6RUiEF56cvuPy8Y71xn9baQ63Nn6V8aOd48cfHu47ggeF6qd7+qkRtjWoB0ReujP89jsat0nx9iWlx0x7iotidG1562O6FDJmAo1EBq3tV6QQ9ySgx0xeknBrbn14qv3rq4eXq1m1/rRgy8pMVSeqUulLlmsL4m+pPqS6YvQF6kvub4U+lJ+WY+XGlbPyWexcVp+mZ4LcJrd5KL+m+9cvmEa97Y3IVRVh6P7NXq44Ey7CRdpKZ2902UzfW2VZ1PUr9CjBmfcfYhzDXPnwoLxgI4Bzo8bjM6+0hG7DvvOiw3RRfEqnUJ6UsD9SGf2dBNYK+CH9IDBaROucIChqtZDVa2HqloPVbUeqmo9VNV6qKr1UFXroarWQ1Wth6oaHKou6XkAJ+dv72uY+jo9VHCO/jbatS6fDVFft9zbV/SIfeZtUifbVJn24akmI6TgtP69HYemdQN0EbxGJwAn4+95DUs6o6eboFrBPqIFq6OdJtMkmcoqGsu53m40iaOyEvqY4DjJ4zgdz8Xqju2s6S2LGsS63mxaq8refk7IFiWKF94AYgTxWEdEFwd+2hzj+8HtW1Gzf/3p4tPG9cnvCOOQe5eVT+J8eAFtwrjHiuGx6omX0hbPhxGlPaVbUPCaOz4vpAnlPitKQNeHkcJ32RlojqQU54Vx8rlgRQnm+nQf5MuK5zFa76Ow3JSX62O5Ussxa6zgHuMfXBOhbXrJi+Z7+yFoLtfH3Z41H3SjJGfz0TTNRvNoPh5PI5GlaTRKxkUUT7KqnKRilmWrNg+pJI1Ly0pJVr6pwPDCK0lGEI+xCVWSP1Pi8XO9i6h5z8YHJ7ffv/1B8/KNzWs6mvdsfKDtpuZAttsfr45c028nXjzRVpT+jjaZ9OOSiw+Xf5qkegdSGsd39NFsplTdZU2VxFO1syhlxPAYlHFR2u3vMJKwaNLus9g4UQJqUkYK30kRaI5Ulud5YdwtfMHKEkyUJpk8l0b/9mVeQI+hf6+ydH18V2o5jo0V3GMEJMvS7la95IXzvQcROJcwdbdozQe9EqZZnk/zcZQk+hCNJJ9Eo8lENi/1mKmfzcp01d1DCtOOzUuZ/YwQYyoQvODClBPEY3RChekv9Ral5fm/T5Qg/URpz7du324Ow3hy+87Jl/TWJr3n/fPbd5rF0CdfbpZAZaw++okpA3dZMyDxDOyqNzkxPEZbD73peE0xJxCT7DQ/sHufFSWc7OSk8J3ygObI4qJjN/EFK0ow1dm9FMqK5zGq71NzZuujuzLLUWys4B6jIFlzdi+FsqL53n4ImkNxAu1Z80EvTfVxUeRVXEajYqbU6Ww+U+p0FkeJmMTTbDyazpP54+CKU5hSoRSn/YQQ06owhBdecTKCeIxNBMX5c6U2f3j7g9u3lbT8vRKa/7F4on71vlthMhJLnHhnhcmI4TG27lFhMgIxKcyuhU1OlIAKk5HCd4oDmsO6sMnJEkxiivO8S2Jy4nkM43uVmOuTujLL0Wus4B7DIFlidrXpJS+a7/2HoLkkprs9az7oRmJiJwOHlpjSlAolMVPfVGB44SUmI4jH2IRKzHefPce59dyl+u3tO0pafkY/7YIzGxLPxs7ykxHDY9zF5Wf3Lk9OFBbhKcwbdO6zkgTUnYwUvvMe0BpJnInzwvz6pQtWmGDCU54L48MFL/PieQzuexWe6wO7MssJbKzgHgMgWXh2teklL5rvDYiguYSnuz1rPuhGeGLHA4cWnrkpFUp4Zr6pwPDCC09GEI+xCRae20f+frp40kjQJ3oj5+07jbP+dCkxC3lHxO5jfzlzIPEc7Cw3GTE8RltcbjpXOxmBWERnbN58c5+VJKDoZKTwnfOA1iiy8yruWutkRAkmOUV1HgsT38u8fB7j+l415/pArsxywhoruMcoSNacnY16ycvmewMibC7R6W7Qmg96aahDJwSHFp3GZTElOoVvKjC88KKT</t>
  </si>
  <si>
    <t>EcRjcNpBdNrWNAHBycgvcf6dBScjhsdQu0fByQjEIjiFeai4z0oSUHAyUvjOd0BrJIkszsuuQ305YYJJzjw/r4yS+mVePo9Rfa+Sc30UV2Y5W40V3GMcJEvOzka95GXzvQURNpfkdDdozQe9lJzQAcChJaex/ZXklN6pgPDCS05GEI/BCZWcv1FC5YPF+/qNSM+eYH/Balc/+vCkseE/VT96u3nW/b3mhcj6AXi69c6YJ4nnaWdpyojhMSTj0tRivTOisIjSDtPkPitJQFHKSOE7IwKtUZa50qTGFrlgZQmmSRN5XnXt+eTk8xj296pJ16d7ZZbT2ljBPQZAsibtbNRLXjbfOxBhc2lSd4PWfNDL49ryyUSMxlUksziPhBjH0ThOp1GRTUapmE6EzMePg2vSypQKpUlz31RgeOE1KSOIx+CEatLfKa35sUORkmUnYyoknoqdZScjhseouxfZyYjCIju7zXdGkoCyk5HCd9IDWsNqvjOiBFOdsvtBI048j3F9r6JzffhXZjnMjRXcY/gji86uNr3kRfO9/RA0l+Z0t2fNB91oTuw44dCaMzF2ACU6C99cYHzhRScjiMfghIrOzRHBm+OAza+sucsKJnGwnSUkI4bHGLoXCcmIwiIhM+PNf58VJKCCZKTwncKAxiiyKjbbUhesKMEUZHyedlnpnHgeg/ReFWSxVhyWs8dYwT1GP7KC7GrTS14039sPQXMpSHd71nzQy1VL6Ojg4ArS+MiYUpDeL8nH+MIrSEYQj8HJW0HqN21+pi/vNS/c1OcJf7JRleZWu8sKK3HYnVUlI4bHuLoXVcmIwqIq9ZGS2yD3WUECqkpGCt9pDWiMLK+k+YV1F6woAVWl+RWiL/PieQzce1WV6+NpMstxQ6zgHqPfDqrS3KaXvGi+tx+C5lKV7vas+aC1rLSpxY4DN2lK0TgIKZlYWeHSNtzmdFAsVh/5l58rNXsudbBmb+0r5Gjbw0VXZkGN929KyzWvvFz84aR5yGP1ciK9N1Kf7HPynCX90eLJ6uCfp4s/nix+tvjF4pcni/dOEi0NtSj88GT9VqOni0/0uzSb/z5V10+2Xnb07uJdU2LukhMjsMSs9OA3vvldpN+ZQvxLcojSK0QgvPTk9h+XjXeuM/rbSJ4nZ+tfpabg75GDbw/XHcHjQrXzECJqhG0N2hGhh/48j80nV90nx9iWlx0x7iotidG15y3bOclI/pL4PO/aQEkMcUsOWo6Zh6Xg1ty6fXL7g0LEZ+qS6EuqL5m+CH2R+pLrS6Evpb5U6iLj1cntWXPSSsfJ7S/TcwFOs5tc7OP09q/RwwVn2k24SEvp7K1OcP/aKs+mqF+hRw3OuPsQ5xrmzoUF4wEdA5wfNxj+J7mr2F9siC6KV+kU0pMC7kc6s6ebwFoBP6QHDE6bcIUDDFW1HqpqPVTVeqiq9VBV66Gq1kNVrYeqWg9VtR6qaj1U1eBQdUnPAzg5f3tfw9TX6aGCc/S30a51+WyI+rrl3r6iR+wzb5M62abKtA9PNRkhBaf17+04NK0boIvgNToBOBl/z2tY0hk93QTVCvYRLVgdLXaMsObprOktixrEuv68wwAS9qNBtihRvOAGECeIxzoiujjw0+ZctQ9u34rU/zQb2BvXJ78jjEPuXVY+ifPhBbQJ4x4rhseqJ15Kd3s+nCgsnk98XkgTyn1WlHCuDydFWwZYKNASvkzPq66T1ThRgrk+3SerseJ5jNb7KCzX5aVYn8QlLCersYJ7jH9wTYS26SUvmu/th6A5XB+gPWs+6IM9y7fjHfZKSdpPADGkAsMLryQZQTzGJlRJMpzly5kBiWdgZ63JiOEx1uJa0/UqOE4gFsXZfZYvJ0pAxclI4TvlIc2RleeZuUUuWFkOQXJy4nkM63uVnOuTuYTlpDVWcI9hkENycqL53n8Imktyutuz5oM+2MN8hXmjj5KcqW8qMLzwkpMRxGNsIkhO6mG+nMQSJ95ZYjJieIyte5SYjEBMErPrMF9OlIASk5HCd4pDmiPJz5PKOF5fsLIEk5jdh/my4nkM43uVmOszuITlTDVWcI9hkCwxuw/zZUXzvf8QNJfEdLdnzQfdSMxkVE3TSZ5ESnbq9xJnMhonVRnNqiJOpuNpIcXscXCJKUypUBIz800FhhdeYjKCeIxNqMR8V5viS4n5C32a2u3bt393svgfSl1+2Kxm/sfiM3V9/xvLXfOpjOPbHybp8nouO+TNXdYsSDwLO8tORgyP8dZDdnZtSOckCa03GVEC6k1GCt/5DmkOq95kZAmmN+OOXZgv8+J5jOl71Zvr47eE5Tw1VnCP8Y+sN7va9JIXzff+Q9BcetPdnjUfdKM3sfN+Q+tNaUqF0pvCNxUYXni9yQjiMTbhenPzfObW85Tqt7fvLD7RT2FSXyXMmQ2JZ2Nn3cmI4THu4rrTsnuTEYVFeHZsvLnPShJQdzJS+M57SGvk4rwojC1ywcoSTHfKc2F8ZuBlXjyPsX2vunN9BpewHKrGCu4x/pF1Z1ebXvKi+d5/CJpLd7rbs+aDbnQnduRvaN2Zm1KhdKf0TQWGF153MoJ4jE2w7tw+xvfTxZNGgT5RclTpz2Yn59OlwizkHRG7j/LlzIHEc7Cz2mTE8BhtcbXpNNcZgVg0Z+fxFZwkATUnI4XvnAe0RpadJ+YzUS9YUYJJTlGdx8LE9zIvn8e4vlfNuT5jS1gOTWMF9xgFyZqzs1Evedl8b0CEzSU63Q1a80Ev929Ch/6GFp3GVTElOnPfVGB44UUnI4jH4LSD6LQtaQKCk5Ff4vw7C05GDI+hdo+CkxGIRXB2DBX3WUkCCk5GCt/5DmgNmcbnSdy1yMnIEkxx5vm5WVG/zMvnMajvVXGuT9gSlhPTWME9hkGy4uxs1EteNt87EGFzKU53g9Z80EvFCR3pG1pxGttfKc7COxUQXnjFyQjiMTihivM3Sqd8sHjfcVDvSWPCf6p+9Lb+g8V7zWuO39Ni1K1STXm6y5oniedpZ2XKiOExJOPK1GK8M6KwaNLM7JncZyUJqEkZKXxnRKQ1qvI8K4wtcsHKEkyTJvK86trxycnnMezvVZOuz+wSljPYWME9BkCyJu1s1EteNt87EGFzaVJ3g9Z80MtD2KAjf0Nr0sqUCqVJ7SeHGFKB4YXXpIwgHoMTqkl/p7Tmxw5FSpadjKmQeCp2lp2MGB6j7l5kJyMKi+zs9t4ZSQLKTkYK30kPaA2r986IEkx1yu7H2jnxPMb1vYrO9ZFewnJEGyu4x/BHFp1dbXrJi+Z7+yFoLs3pbs+aD7rRnNghwaE1Z2LsAEp0Vr65wPjCi05GEI/BCRWdm4N/N4f8mt/Hd5cVTOJgO0tIRgyPMXQvEpIRhUVCZsab/z4rSEAFyUjhO4UhjZElldmWumBFCaYg4/O0y0rnxPMYpPeqIKu14rCcKMYK7jH6kRVkV5te8qL53n4ImktButuz5oNerlpCBwIHV5DGJ8ZeKqT3q+8xvuAKkhPEY3DyVpD6xe6f6ct7zRuR9CnBn2xUpbnV7rLCShx2V1XJieExru5DVXKisKhKfVDkNsh9VpBwqpKTwndaQxojl5XZWLpgRQmoKs1nJL3Mi+cxcO9TVcr1oTPScogQK7jH6LeDqjS36SUvmu/th6A5VCXQnjUftPrPXz8np7RY/Cubeuw4VpOmHI0trGSj7fX1iUzasJszQLFYfeRgfp6pUKUKNjUfj/kVcrTt4aMrs6Dm+/fFk8X7zbvV39Mn+Jws/qgv+o1EzWvYF384aZ4EWb3ASO+gXPxeacPnjOvmW9rcfnqiN1Rq6ahN7xP9Is3G6v7gJDtL1d95dtL8Gx/f/tPtj5oDhBZP1Yf13/7x7U/Uv6t3ZepXvD/VX/64+efUj07037sMQUV1+/3GUP/QlNO75JwKLKcrafmNb34X6bKmEP+SHKL0ChEILzu5/cdlC5sCvUcOtD3KdwSK69vOF3xSI2xL144IPWTreWx+6d59coxtVdoR466KlBhde7qzHZoM5C+N9YHgxnHyghzjloy0HDq/g4TseoMmOWxw5tyEjR+7niYd0X6NHi04d26iNcS5pXN08lYnr+vIutTNK/SowTnUS36jXeMBPWxwmtqE7X/iukzuvJj4ruS/SqeQnhRwv9GZPd0E1gr4IT1gcEbboWbpemUrOWRwivv2ngaQr9MjBSe6b6Od4PLZ4PF1y+BxRY/YZ/LbZ3eoySGn4FT4vR0HjXXCu5L+Gp0AnBW/5zVg6IyeboJqBfuIFqyui5/T650F8Xdnk+998803DAyEmliaAFRBnFoB0s5sw7FSamJjsF8hB9u+HS2JBUvin69sD70buyljtf/x0eKpKW5Vc6Z/cUEOfkuJdEfvJUa2u/qjB19S82N29qAoRNfiHxWirUsACHyU0ZG/qiN/tSvyV+mRS//I8dFFBf5QB/6wK/CH9MDxXg/PQ0aAWgPUXQA1GWBrSnIA+PWX13TUr3VF/Ro9anwU95yJVNCPdNCPuoJ+RAu6nzVaaV70VDNSZmUQnYnHQiVNR5YlWmK0YHmJzke/axY9nzRrr6tF2k8WHyz+oH75mfqVPsLoB3qyuv3hyeL9ZubST7brI9k3P9xMaPq36wlN/W0m7rtk7vY8wLmMSgxReoUIhKdf779qn1XbPG0tn6+zr99C8GD0nW++eXL1zTe/9c2zZpPF4veqMZ4sF9b1eVTvnix+pf9PHz71nxa/Xfz8ZPFvi58ufr34V/Wz5f8sfrn4V/2npsTcIycGLHLxZVvLtgRiiGBRu591W2KMYDm767otMTqf0hXIX97xrDw1PJYl26259uKr966uHl6tjNSVMBZKGEupL7m+FPpS6kulLnmsL4m+pPqiVXSuv5Hrb+T6G7n+Rq6/ketvFPobhf5Gob9RZF/Wu6d0Zpr6ODZO8S/TEwdO5f6Lxpn6t7tXjanhgtO576px9mzVuPNIoFfoUYPT+m6F2ma7RnbnwoLxgI4BztKEUm2zIJTdebEhLKvIVArpSQH3I53Z001g2xUbNWBwgoVXkYFxrdbjWq3HtVqPa7Ue12o9rtV6XKv1uFbrca3W41qtx7Vaj2u1HtdqPa7Velyr9bhW63Gt1uNarce1Wo9rNTiuXdKTBk75fuvYljHt6/RQwZnfZyE7e7aQ3TkQXNEj9lEDpB652apkH8tqMgL3wnZ258UGsCxsUwnAmdtzOUH3nU1Q2ysJlGB1tLFMJ7Eoi0hmotKPHKTRKM+nkSzmMi5i9e18dRt0LjL8zWifjxFIfTVBvqSGPj9IlM60HGGB8lmSMIF8hRWkLWlsrQOuVvybaWlCr6Ov6+Cnz1fBq1OWL7/z5hvfe/Mkj+Pl71WN+7SpqtVX9DqG+t3f69r6P/TLVJq9Y6vP/TxK85P1mSbNz1RB/uvmf/+XKpZ/2fxKl80/+0ba/Pp/Ln69/th/X/z2Gw8eXjW/+4X6sd5ldpI1v/354hfLf+AkVSXiye0PT6rl/yzfVt38uTjPzqv4RP1F/7L4n6amu8vadBJvOo/VjJ9H4vwkTZrTrhX5+cniZ4tfLX6z+O2JKGSUxonK9s8X/3KS6MWIz9Un9efUh06aN3//s16teD87WfymydLvmsWQ92/fvv2HE72R7/lOoTrEU9UzVBs3j5x8pDcT6lY8+dJyT6D66Q/WK1VfPtGxNGHpf/hT/eVPmo6hNxeW6qfqt5+cndz+g+onbzXv3Xmy3DP4cbMXUf+2Wn3qRPWFT1UHbb69Mnk+1H/yRMXyffXd93Tot3/XrLd9sIyo6Rg65tsfNotwHzfrNk+bjYnN2ySfLv6oeqreorh+3887Xz451cn4+eJ/5Mt/V5/+qG4BlYwfnjRd+7Pmq5+qZDU3xg+av/aD55bwFp+dnehFoifNWtLyH396+6NmY+RH+tyek+ZtQh/pjyz/vpPopNnQ+Qf142Wi31neM39s9nWu/mp9dz5d/uAjleYfr7ddqg+fnSx+29xiy3/jM0X+7F9s/raPVnH/R7PYtYT6bHVm+mfNHk99yNDHzdf0Vk79T1nQT5ovf6A+3vojRfI79a+vG/CD9b7Q91Z7TZuxoekxtz9ULf/2qnN93uw4bXqTxlK96yerv3fZqfSHzk/WFp9+LdN7euHtPT2q6I2tq89+uPzrntuhuonhqeoPTczNn3ygMJ82/0rTAf7YLP39oXnR6PeXP/589b5R/Y7SD1ZpXv17zed079N/8sfmfvi7Jvq/X3Wu5RdVnD9c/43Ld5k+69rqb/yy4vmX1W22fKepXuTVof7xuUH37MWme9rcmu2marbbqg80w+l/NOlb9g7VPdW//s5Jc4d8vPrscj26AVhCft40i/6jD89NA+I91gHR4/GCvaxiMqLwPFxl4rjPyhHw2SpGCt+HO6htccFKEfCxqs49sZx4HlJ2Hyt0m3W69WmQ0nK6Jyu4x7gHLy6hbXrJi+Z75yForseq3O1Z80Evq+wyE7PxTEQiq6aRSCZpVKazOJqP8ywrp0VcZavEBKyyU1MmVJUtvTMB0YWvshlBPIamMFV2sqqete5sVOHJ4p9vf9JsGfhI18B/ua6uF7+Kqk15rQuA5c9/tng3Un/4z9Hl1UP1t0Wq/67+Sl0u31EV2Z1loXyyqZRL4/hxlzXvEs+7V4mc6JtiXSUnEquSkzNpqZP/Tf0N/95R+6p/oav2raDaN4llX8Xv48dv7FT/+pW/+t/Q0C+Uteqv0v96c5vopYY/NA8qntz+o/6qXn5YLjE1ZZP62McqwubxxOXOmY91uaZ3yzxpCuZV/fZ5c+N9po/PPVnW0rqUWteM6jfvNzXSk1Ul97//n+WX1V+qAm1y/P0mZ/+xWB1L8b8/NtXumufFur2ptkyV+59B3X62JP+86ehPVocXq6Z9e9WMKjerNcPPVv3tWPvCFysU/a1QMM5HHkp9LysUjChBVygYOQKuUDBS+NZJ1La4YKU4hBUKTjyPMmCvKxTro4Ol5SxoVnCPcY9jhYITzffOQ9BcKxTu9qz5oJsViqyskkkpRVQl+TgSosjVr6aTqBCZHE3Gybyazh6HXqEwbnZ4qZC5byYwuvArFIwgHkNTmBUKeB/AepXhZ1HZvDRmWcK2lyjiKM6L7NkShbbyi+cd/ecXKk5M+b/Lmn+J599rpULSzfz1EsW7qp7712cG/NnR+e8njgWIx4/fsC5BNKdEft5U4eui88PVYT4/0PE2ZYUuqZ5scJryaHkA0Ps6k6uXHuni+I/NStoHzRLPshJfl3TLaG5/vK4oP1D/1Loc29XXj/4c1gf+5Kpm0zh0j3Uc8lBqe6lQGVGCVqiMHAErVEYKX52MtIVR71+wYhxCicqJ56ED91qirs8al5bD41nBPQY+jhKVE8331kPQXCWquz1rPuhliTqaTCbVdBxNJtpwz9M4GiVpEcmikmKmytlyvKreApaowpQJVaLaTiw1ZwKiC1+iMoJ4DE1hStS1id7s//aoVNeWepeVLssX69Syq041tcFd1jaQeBt4lalJtmc7feXVfaJLltufaC2/9o6eLlW5rjF+pDX52Qu+lGp8uwd/fnJ8HryrAD6zW/DPF5qf6Opw6cM21Wnz9t/o9p3FH29/rPKpcvWFjf1FmfoXTZnKOA55qLW9lKmMKEHLVEaOgGUqI4WvVgbawqj5LlgpDqFK5cTzkIJ7rVKLdVVTWKpUTnCPcY+jSuVE873zEDRXlepuz5oPenUu2zgv4lkaFVVZRqKo0mic55NIzmfTNB9NZJ7Jx6GrVGnKhKpSS99MYHThq1RGEI+hKUyVGpOq1G33tKye2+BdGDZ4F131KGO2JZ5tr3q0+NLi4y/j1unHndbpCz7ess2awrSpIRrBv6wUPn6mzZ8X47p1nuqNqkvfURcpbzV14rr6WJW0tz/UP1/XCLrientdEzV10OrMFl2YNg2vvq/3v77zp2zrnp1cvfSKji/TTzX/y7aHe7JfE/eFf/wLF/eL8thRHjMOix4ycS/lMSNK0PKYkSNgecxI4SvSqW1xwUpxCOUxJ56HBt1reVyuy6nSUh5zgnuMexzlMSea752HoLnKY3d71nzQy/K4irN4pD47LStVSmezJCrT8SiapslsllfTiSzHj0OXx7kpE6o8rrwzAdGFL48ZQTyGpjDlMc3E3TZt8xQybTuLZMacSzznXkWyfgr6hTrZad1+jFi3XzwJ/cWT0F9YyF88Cb04jCeh9dMB+10POKJnoRlnJQ+tvpc1CkaUoGsUjBwB1ygYKXwrJWpbXLBSHMIaBSeeRyGw1zWKal3TVpY1Ck5wj3GPY42CE833zkPQXGsU7vas+aCXaxTjeCRnyTyapPN5JNR/oiobi0jIcSXnk1kyK1drEgHXKApTJl4q8tg7ExBd8DUKThCPoenI1iiyndYoOHMu8Zz7rlGk+PrE9tZy8+rEWWPDqxpguZO82WO+btHl8oWupLYWMNQfP1vBWBzb+oXLb3dsIqcY8F+seBzeisfZF0sezJ2h9yWPMBsgOKcTD5G9j8UFTpSQiwucHOEWFzgpfEscoC2MduIFK8UBLC6w4nko+H0uLuTxqhhd/sIE/oAX3GPcY1hcYEXzvfMQNMfiAtCeNR90s7ggk2RcjEUWjUazOBKZquOqmZxFYjQdxdOsGMtCPg69uFCaMvFSkSe+mcDowi8uMIJ4DE1hFhf29XxAFTteAN+5rMCYbYln22tZocSfDbC+Vu1MH/n+rN2acl/raX0w/LIkW5btT5tN5NunoZ1tLSMc+679zaZ94pLBF3v2+yjO/1xKVsahykO67aVkZUQJWrIycgQsWRkpfIUz0BaZieKCleIQSlZOPA9duNeSNVmXOImlZOUE9xj3OEpWTjTfOw9Bc5Ws7vas+aCbkjVPZ9OJFKNoWqVVJOZTVd6OsjzK5DiZxlk6y9JVYgKWrJUpE6pkTX0zgdGFL1kZQTyGpjAlK80P1y9es70ivHHInzvFzPqKcFMr3GVtBYm3glcpm+zXH8dfvPbMC9+uYo/eDD/bvxv+fNXJ/hq2L6rWP6GqlXFU8lBve6laGVGCVq2MHAGrVkYKX+2MtIVx1r5gxTiEspUTz0Mb7rVsTddlTmopWznBPQY+jrKVE8331kPQXGWruz1rPuhl2ZrHeRpLGWWT6TQSU1lFpZwn+gvTZDKZVvFo/Dh02WoeslTdmnmnAsILX7cygniMTWHrVq3yGvlsOXU7ydZS+ftrhdtsRtQv7uo4hPsqiuNcPufC5h7HcHM2hMQbwq903ekQ7q3Sddt61dr7F4tfqi98Uat61apBbFjWclY/9vtFQXugBS3jWOWh6/ZS0DKiBC1oGTkCFrSMFL6qGmgLaaK4YKU4hHqWE89DM+61ns3W9U9mqWc5wT3GPY56lhPN985D0Fz1rLs9az7oZT07SmazrJxH42oSR2JUjKNypn47KsppVabTqRyJx8HrWeP0oepZ4Z0KCC98PcsI4jE2sdazr745/ua3Zqokes6IfVeVsk3dodX/8odaHj5ppGq7Xn314Vf0l6M4tu0ZTmxnMXPmWeJ59ipXN2dcVdie4Wr7JWk/128NAjcJV3Hnu9IKqGRdbyWmVqyMBevmzd5R83+3rgeFb589Jrzzfl7fSnIXY7Q5mvqLSnIPleTxvHSLc2jzUHl7qW4ZUYJWt4wcAatbRgpfjU1tiwtWikOobjnxPBTkXqtbsa6GhKW65QT3GPc4qltONN87D0FzVbfu9qz5oJvqVinYaV5Ws0jE8ywSE1VNlNNURsloXpV5Ms0nPZyblaSmVKjqVvqmAsMLX90ygniMTWGq2yS2VbfNNuKu2jaJd6ptGbMs8Sz71bbPvwj8i/rWXt+63wT+51PhfuGU/tnVt4zDm4fO20t9y4gStL5l5AhY3zJS+KpsaltcsFIcQn3LieehIfda38p1PSQt9S0nuMe4x1HfcqL53nkImqu+dbdnzQfd1LflaDwq1L8RjSfjMhJiVkRjWU6i+TgWEzlNy1E8fRy8vs1MqVD1be6bCgwvfH3LCOIxNrHWt3t/8VNZPlfo+hwMzZltiWfbq87N93Mw9GbP8SdNTbB+P/STP+k3O9l3Gb+3vct4v5uMSXuM/Qpn713GX1TO/VfOpsHpHuvg5KHW9lKlMqIErVIZOQJWqYwUvloZaAthorhgpTiEKpUTz0MJ7rVKzddVTW6pUjnBPcY9jiqVE833zkPQXFWquz1rPuimSq2ySkzG+nCkclJEYpbGUTUtRZSWUlYyno2KfDWwhqxSjUOWqlIL31RgeOGrVEYQj7EpTJW607uelHo0PyqrqrTn7FnKm54Y20DibeBVuybprqc1f/G2py67du9P0D5feH7xtqcvCle8cGUcmTwE3F4KV0aUoIUrI0fAwpWRwlc+A21hVIEXrBSHULhy4nmIw70WrsW60CkshSsnuMe4x1G4cqL53nkImqtwdbdnzQfdFK6jfJrJ8SiPhGys2FEVjcpyHuXxJJ/kM1mNxKrNQxau0pSKl5qw/VKB4YUvXBlBPMamsIUr8rKnqns/8aZgzVzn63TvJ2ZMu8TT7lerJnuvVb94vdPeilNP5/WFcGDr9Yv69c+zfmUcrTx03F7qV0aUoPUrI0fA+pWRwldFA21h3Gt3wUpxCPUrJ56HRtxr/Vqu653SUr9ygnuMexz1Kyea752HoLnqV3d71nzQTf06luN0VEn1h1U8j8RoNI3K6UREs3EmZ2U5jifrzh6yfs1NqVD1a+WbCgwvfP3KCOIxNoWpX9fbg52O67qOjdJ88cuz5hfF+hfl4pdN+fXLxX9f/Evzq/+l6qPlz36tfvWzb6TNr//n4tfNX7N4V33wt9948PCq+d0v1I+b4ihrfqsr3eW/trFtq+dt200pXMUrw9jUjndZ21Hi7ehVEIvtjccK+T8BNfFm8/Gzx2w3NfHT1TODTYHyfE9RvUTrel0MvKWrlFWJo4rVZWXR1Hfb59EansU99G3LO+1aPnE+l6tSt78nc8+C1rlfvHxqX5XuET2cyzg0eqjQvVTfjChBq29GjoDVNyOFbw1AbYsLVopDqL458TwU7l6r72pdrVWW6psT3GPc46i+OdF87zwEzVV9u9uz5oNeVt9lPprNZBYl2Vh9Np6NopEYZZGMhUzzLCvj2aouDVl9F6ZUvFSsnr70SQWEF7z65gTxGJuCVt8rXxcwkX/mNJHjKBbV88cDeZnInNmXePa9aubs/AUX2fe1VICDfIivpaKXwm4nef1WKqJt7CqW91gqhyyUvzCEA5bJelUibKH82Dwj3WMdEz1E4z6KZU6UkMUyJ0e4YpmTwleyU9vigpXiAIplVjwPQbrPYrmIV8XV8hcm8Ae84B7jHkOxzIrme+chaI5iGWjPmg+6KZYnRVHM80RE07JMI1Gkk2gkp5Mol3Iq00pMp+kqMSGL5dKUClUsJ76pwPDCF8uMIB5jU9Bi2W1VPyuWux8O1q+0KtKdHg7mTL7Ek+9VK8v9vNjqXVXt/Ouf8lusGlN00e0If/Eeqy+q536qZ9NYdI91LPLQanupURlRgtaojBwBa1RGCl+lDLSFMFFcsFIcQo3KieehA/daoybrmiax1Kic4B7jHkeNyonme+chaK4a1d2eNR/0skadTIoky2dRKZI4EokoI+0GR7M0S2UySxIx7cHQrUypUDVq6p0KCC98jcoI4jE2ha1R/d5jtV2aVonDwe162zJntiWeba+itNxjUXqmn/V91nZPQDv3T7iU3dXN9StbX/inv6hbv6hbHXUr43Dlod/2UrcyogStWxk5AtatjBS+6pnaFhesFIdQt3LieWjDvdat6brOSS11Kye4x7jHUbdyovneeQiaq251t2fNB93UrfO5GBfTZBrlo2weiXmSRKOqmkRpMR7H83I8l7PJ49B1a2psf1W3Zr6pwPDC162MIB5jU5i6lf7+5SQz1bBJdBXFcZGtqlhtq65d1tzTZWVsBok3g1dBm6jbw+/FVp+7X2z1b+r7/66qCL3V8Y+L5VuXm/cxrxu6+YAuPm63nt1Vf7x599VWgev56ittjYaucd1H6e797Vfqn3RuZH7hqV8dmf7bXihXVQA65uaO1E9Y/0EDqxb6R/1V/dT18gZrNsGqj32suH6kbzC9J3b11u3mxKimEF7VZcuK+jNNcbKskXU1u64FdZ3elLRPVhXa//5/ll9Wf6kKtGmZ7zfA/9FkWzXG//5Ywe72ai7filx3InpNfmYtyvXfzVWWny3xP2/uk3VX0reEinHZnipFq6Hzs1V33X+n0IQhusXWIoT+h8MuQzz7F5kXIhinGQ9BvpeFCEaUoAsRjBwBFyIYKXzLIaAthInigpXiEBYiOPE8xP5eFyKydeGaWRYiOME9xj2OhQhONN87D0FzLUS427Pmg9YrEbYFhv/65nf+swGetLiQmtheKgphYcvirM32xn/51rdMqwYdofqsGOSqYNWRqljPjbPXV8jRtkeLrsSCywK/a3TQk8Xy2TctvpvKb2ulYKktVyVT8+Tx5ofvrYs8/dt1Qan+NhP3XTK3wLhXdfg3vvldpFeZQvxLcojSK0QgvMW7K536ZN02T08aVfxp87M/PMu+FrLPLd+cNV6rEuF6NUYXEp9p2/vdk8Wv9P8tXxn228XPdfX80+YNbL86Wf7P4peLf7U86UhMTHug70jMXsQtMcS2cO0I0UO0qonHOPPcJ8fYFqUdMe4qSInRtae8juhQoSmlKbwLcnhbKrIjPi8FuTUlX3z13tXVw6vVpFw/evAlpaHkmbrk+lLoS6kvlbqUsb4k+pLqS6YvQl/0N0r9jVJ/o9TfKPU3Kv2NKvmyLsd1KvREfxYb5/qX6ZkC5+5Npuq/+c7lG6bhdutlxurf7tBjX6OHC87fm3CRdtTZO1024tdWeTZF/Qo9anAe34fi1zB3LiwYD+gYwhOjs690xK7DvvNiQ3RRvEqnkJ4UcD/SmT3dBNYK+CE9YHBGhcsmYCCr9UBW64Gs1gNZrQeyWg9ktR7Iaj2Q1Xogq/VAVuuBrNYDWa0HsloPZLUeyGo9kNV6IKvBgeySniVwUv/2vgaxr9NDBef2b6Md7/LZAPZ1y51/RY/YZ74ndcFNYWsfvGoyQgpKgu/tOHCtG6CL4DU6AThVf89r0NIZPd0E1Qr2ES1YHW0s00ksyiKSmagiMZ6n0SjPp5Es5jIuYvXt4OdEd5TnL6mxzg8SpQu/TYERxGPlEl2P2G2bAvwI+HNvK1/aSqrCXr96/NfN/+76hvLmH9jtBeWcTSfxpvNYr1D5zPaxqeEXC/26Jm1KfnD7A/0wtTZTf9ScfvxuY8r/vfYAb99+trngo+e/sfqY9u0b715bxoaPne/xwK+zA9zYb9nyQNnxEGarv8emgi82+odw2ANt9Gcc6zx8pr0sQTKiBPXXGTkC+uuMFL4uH9AWmYnigpXiEPx1TjwPlbqP1bbNmptc+7HSsu7GCe4x7sELRWibXvKi+d55CJrLX3e3Z80H3RTQyWwUJ8V4HGW5PiAsLidRmc6yaDydzWUe57JYL2kELKC73PjcNxMYXfgCmhHEY2hiLaBffXP8zW/NVDmUPHtA/d2TxT83JYeW/ssfdr1Y/NWHX9FfjeJ1Ad48ll60HktPlhWvKct3WbMs8Sx71bqJvGPYxa/LwPdXtacqURerPfjLEkwXdL9vtPBnjazeVAqdR1hra74piu9dZLGujD9uiqNlwfDOcudus8yhtwQo8f3O2VahtWx9vVl8uQv5ue0eT0/W9ZCKdPW3rmT//mrjwyuNz6yPAzSZjigl8tkXNXIvNbJpTLnHOqZ4aKu91JSMKEFrSkaOgDUlI4WvsqW2xQUrxSHUlJx4HsJtrzVlvq5BcktNyQnuMe5x1JScaL53HoLmqind7VnzQTc1ZVrIqRyleTSdlPNI5LMyGst8FKViXCapLEZZuiq3AtaUxlUwVVMWvpnA6MLXlIwgHkMTa025ZcqCp1et3FhDmfns/Krc8faz7vOrGBMv8cR7lZlpeme/JWbbd22VmD9tKpSlgf5CrXDWlDMvlJ/Pnhr/E6wSrQYqvUg8vBpRP0T751slMg4JHmppL1UiI0rQKpGRI2CVyEjhq1WBtjCu41+wUhxClciJ5yHF9lolFuuqorBUiZzgHuMeR5XIieZ75yForirR3Z41H3RTJWZllUxKKaIqyceREEWufjWdRIXI5GgyTubVdPY4dJUoTJlQVWLpmwmMLnyVyAjiMTSFrRKdW3efFYvlypHsKBPzzevFXOc3dRWLjPmXeP79ikXBsP/2c11/qRJrXWDpfbitjyz/QKttvXXwyZ+0e/jFxto/5XKQ8ab3kEV7KQcZUYKWg4wcActBRgpfUQq0RVc5yEhxCOUgJ56H5tprOViuy4fSUg5ygnuMexzlICea752HoLnKQXd71nzQTTkokjytylhEeak/O1LachTPs6iSs1E2SbJsVIY3DaUpE6ocrHwzgdGFLwcZQTyGJtZyENyI2u0R7mMrKmOeJZ5nr7Ivyf3eJ93eZfp86feswZ4020ubZ8P0/tCPVsJcl3+/XpjfMv2l262XS3/5AIpB/QbePsrBsy/qwWOvBxlHAw9dtJd6kBElaD3IyBGwHmSk8FWlQFsYt2RdsFIcQj3IiechuvZaD1br+qGy1IOc4B7jHkc9yInme+chaK560N2eNR/0sh7MxnkRz9KoqMoyEkWVRuM8n0RyPpum+Wgi80w+Dl0P5qZMvFSsDpLxyQREF7we5ATxGJpY68G9H5xbVpay0HZwLme2JZ5tr6owy/TOUdGUhPmOO0fTlWMo9N/VsXP0N0pYv90UUaokeL+p0T9piom3m5ZXdVyuC0FhKgSTtKMS/Gz5AmMV0adN2fbZdnF4uGfrWkvDJmm0CrEp0/TbWz5aHej07D3RH5ycaMDmq58vSzhdbql/56dbP31yssqxvnNOVneUjr15MtT4eZ2PTxXoD5o7tvvrq5LvhYrzreakmlXZqn+2Od2m3dLqg//0wl94+/aZR8V6ZgnsfLnGoX/3/rKPLdtrfciw6n2fNz//fVOx6sZ78mdc/3KOex46cB/1LydKyPqXkyNc/ctJ4avCqW1xwUpxAPUvK56HyNxn/VvGq3pp+QsT+ANecI9xj6H+ZUXzvfMQNEf9C7RnzQfd1L8yScbFWGTRaDSLI5HFSVTN5ExVzdNRPM2KsdQvBgpc/xamTKj6N/HNBEYXvv5lBPEYmo6r/q2et0VNj0521r+M2ZZ4tv3qX7Gpf1MFTK5/0cI4Tc1l8arWeWfx/qoSMrqkOkS+4vjsKKvjA3nA8mzbPsVKVt6CVX369sfPXm7851ujMo5NHlptLzUqI0rQGpWRI2CNykjhq5SBtujYs8tJcQg1KieehxDca42arGuaxFKjcoJ7jHscNSonmu+dh6C5alR3e9Z80MsatcqqqfqbIjFLxfKzZTbKonERjyZZmVWzUj4OXaOWpkyoGjX1zgREF75GZQTxGJrC1KgJqUb9+eJX+rU/nU9yJlGcyOdcW/0IZ9n1JKepFe6ytoLEW8Grdk3jcG/9qfO4qR6aKu9Z1fB0WUp9oG1AVW70v4uXsRS9eukVTbHOxoHUnV/s26XXhIz3vIc22ktNyIgStCZk5AhYEzJS+CpToC26akJGikOoCTnxPITXXmvCdF1DpJaakBPcY9zjqAk50XzvPATNVRO627Pmg25qwnyUzGZZOY/G1STWe3zHUTlTvx0V5bQq0+lUjsTj0DVhZcqEqgkz30xgdOFrQkYQj6GJtSbcPMf5XFHo/xynrv1im2GZ2F7fw5lniefZq+pLZLiq74vjRPZVPZ59cZzIn0NFyTieeCirvVSUjChBK0pGjoAVJSOFr64F2kKaKC5YKQ6houTE85Bte60os3UFklkqSk5wj3GPo6LkRPO98xA0V0Xpbs+aD7qpKIs4nuZlNYuEflZUTHT1OU1llIzmVZkn03zSw5OgibH9VUkpfFOB4YUvKRlBPMamMCXlPs+o9CsoGbMs8Sz7FZQ5/lIg2/tgv3gpkF9J+MVLgf6kS0HGkcBDEu2lFGRECVoKMnIELAUZKXwFKdAW0kRxwUpxCKUgJ56H3NprKSjWpYOwlIKc4B7jHkcpyInme+chaK5S0N2eNR/0shQcy2IWz8oozmUaiVJdxuNkFmUzMdN/pH49fRy8FDROH6oUlN6pgPDCl4KMIB5j0yGUgr5vifUrBhnzLPE8+xWDRVh38ZeLJyu5/6TZQ7rcVPrBAZR+fF7gF4dGhi8AVcp/oUrAn68eonyvOarm/RPdou/d/nj9u9A1IuMA4aGV9lIjMqIErREZOQLWiIwUvkoVaQtpwrhgxTiEIpETz0OI7bVIlOuiQlqKRE5wj4GPo0jkRPO99RA0V5Hobs+aD7opEsvReFQUuYzGk3EZCTErorEsJ9F8HIuJnKblKJ4+Dl4kGjfNqyIx900Fhhe+SGQE8RibWIvEvb86pyypr45lzLbEs+1VKmbx6kCR598ea/YO09WBIi+8GfaZd/gb+KWwJ1vV4B7ee3N4FaJ1tyipNrS+DXZZey9eeBms77tgda1n/EZvb4P1KFVp79b54mWwppqWcSTzkHZ7qWkZUYLWtIwcAWtaRgpfYU1tiwtWikMoaTnxPGTjXkvafF0C5ZaSlhPcY9zjKGk50XzvPATNVdK627Pmg25K2rEcp6NKzqO8iueRGI2mUTmdiGg2zuSsLMfxZN3ZQ5a0mSkVqqQtfFOB4YUvaRlBPMamsCWts5Zdv2MnSvPFL8+aXxTrX5SLX+o/VX/Jf1/8S/Or/6VqpeXPfq1+9bNvpM2v/+fi181fowro/7747TcePLxqfvcL9eOmUMqa3+oiePmvbd7SUz3/lp5NlVzFq1Lc1I53WdtR4u3oVSyn6R3D8Zs7eqvtIzpb3upPG7tv2fwv1B9njTe4eP6pzo3fevKF4QoX1V8YrgdVeTIOCx4KbC+VJyNK0MqTkSNg5clI4at/gbboep0PI8UhVJ6ceB7qbq+VZ7GuVApL5ckJ7jHucVSenGi+dx6C5qo83e1Z80EvK88yH81mMouSbKw+G89G0UiMskjGQqZ5lpXxbFWThaw8hSkVqvIsvVMB4YWvPBlBPMamoJXn8m2rjdZeis6TxT/f/uT2HfU3fqRLwr/cvNz1Z5uXuxr24a69VVFJyz5cYd2Hy5h9iWffq15MimW9GLBc/GIr7heVYYjK8DC34jKOER4iai/FIyNK0OKRkSNg8chI4SthgbYwKrELVopDKB458TwE2l6Lx3JdbJSW4pET3GPc4ygeOdF87zwEzVU8utuz5oNuisdJISZCTEU0SdQX1J8nUZUkRTSfTTKZx2M5Ga/aPGTxKE2pUMVj5ZsKDC988cgI4jE2BS0eoaqxfOH5TaUDv6/+7PHt250VpHDszq06K0jGJpB4E/hVkJnBcLS82qddHarM/vNmg25jz/5ON4t+qauu2HTpqQqBp01Lv9eo9+VbfT7TVcXiozO9k/dtVRZ+oFX9wvWGn/Ptnb1HX1za3/m63j+62pn7UfN6JPXrpub7WP8+Ut3+j83pjXrb7m4F4KEUf5y2oO7My8r6JydNAd+sgzxpVkWWn/1w+dedaFN81Y/WMTxVvaGJufmTD3TXbv6Vpvn/2Gyd/oPuI/pv0j9e9g+9q+L9TY2++veaz+mG0H/yR91tVa/T0f/9qmstv6ji/OH6b1R//OHzPVv9jV/uqlQZxyIPxbaXSpURJWilysgRsFJlpPDVy0BbdFWqjBSHUKly4nmowb1WqtW6sqkslSonuMe4x1GpcqL53nkImqtSdbdnzQe9qlSLYp4nIpqWZRqJIp1EIzmdRLmUU5lWYjpNV4kJWanmplS8VFSxfyoQvOCVKieIx9gUtlJ1brBtF6wd5WlepM/KU70ptvA7wZIz+RJPvleNmkq8Pu1+9exPVYN90lSHTUs0xcPSmFvVgB81zubTpu77wZ+0n7n/B0cPzsn8syhlTbf4PdZb3EMC7aP040QJWfpxcoQr/TgpfAUotS0uWCkOoPRjxfOQV/ss/ap4VSosf2ECf8AL7jHuMZR+rGi+dx6C5ij9gPas+aCb0m8+SiZlGs+jcqyfw1R1YVSN5TwajasqlnlW5rF4HLz0K0ypUKVf4psKDC986ccI4jE2hS39QJNys7UVsCgzqkXJ2QASbwC/8i/ZS/nX9Zjj8+7in1ylZy30oj+Vbat/zsUe4w3tIXr2UuwxogQt9hg5AhZ7jBS+khNoi9REccFKcQjFHieeh6Daa7GXrIuDxFLscYJ7jHscxR4nmu+dh6C5ij13e9Z80Oo/f/23zX80/qrY6SzpvjubfO+bb75hyIZHRWccilQRl1oQEynbiG/8l299y1SgdcfoU5+Z30z7FXKU7Y5lySRYfP18pTw/blTeUvmuzwHUCqqRbz+4/fHSn9GvgGw+9Om6Rnv+tY8/1tp8KafXOusTE78qkNK/uCAnYWvI7M7CbiNm/ejBl9QgmHWNjtT4hX/89d985/IN041hDPrVrqBfpQct/YNupmI05oddMT+kx4zfLvRhWMded8Vek2NP27LHEbtfB3mtK+DX6AHjo/z3vDvHo654H9HibXrH4xCz1HnHAVZVZg0770wzHKXfPGWO8yvkOPFb71BmqpMvNWsJ6y3GeuHkifr9J/rbxr6nprFMT2PEDIWexkTXNEaNP8Q0Zg76VXrQ0j9or5HqYVfMD+kx4/fSztOYOfaaHDv7NGYO+DV6wPg0QJrGzPE+osXbDLSr3sE+j3XOZMIaedGZaThO35nsXOdkO9SvkEPFb0B0Mnu3Wfr/UbNu/fzkZYpbzTNCzzPE4EPPM7JrnqHGH2KeMQf9Kj1o6R+011DysCvmh/SY8W6+8zxjjr0mx84+z5gDfo0eMD5Mk+YZc7yPaPE+36N13H9lm2/+65vf+c8GCt/JpnO6kVaAqjPhWJiEueY8kZ3VEzHY9pDdlVNwtvndaiv2Z4sPV9vj9fOYjUO9dOHXp/I0FVPjrDZ1UHNQz0eNofwDVVBpJ3391LHxkUvtx77feMR6bvtUv0DoudntZGPL68eV/yFS3/+ocfa/tPiP5nSZ75+fNP73J80mgM9W3vPSqNZR3f5zs6njifZ0N5FuSkH1079rgmzKw3W4S4P//Mvr3QSbXejPO8Lffy7KM/3k6MprX1nkTX2oPfPNA6efNNtUmr0pjaP9/FPXnyzzpY12U6e4S+4U7Xmwswc3uz6+8c3vInebKcS/JIcovUIEwlv8atlHzp7fDaT/X/fbP6iKfv0o72fPCv3PV5svfr8y9d/XGw26jH0iaNu86gDFDfvFJ0ar4KvkCNtefEeEHj78eWw20+6TY2z77B0x7uqxE6Nry6GO6FDvPMlEeZ5LU4wX5Bi33PGOILmccWrYoGjYhN2p19qxFqU4T43l39fo0YLaYROtIc4tnaaTd7p0b3VkXabtK/SoQRHhVfShXeMBPWxwmiPUests65vtzouJ70r+q3QK6UkB9xud2dNNYNvFHzVgcEbj2IpBDRmc4r69pwHk6/RIwYnu22gnuHw2eHzdMnhc0SP2mfz22R1qcshbSwC2kHcYNNYJ70r6a3QCcFb0XBDQfWUT1PaCACXY57f7/F/fnE5nb9xVdfNlUzZrgnw8ScfjURzNxFxGotQbiMpiHo1EFo8yKZLpdLT85GYZIZUt+Nm3Zpu+9CL/8l+E5yzjEsmgOhsUlbkFB+YX92nydjZQ1KZ520MsRIj3VI01rM6GXVhDJqz2MAxh4d1XUb30UnX20ktdXC+9xAD2XJHX3UW71+z20kWT2Nw9K8sdG1t2aLT7HxS+Z//riHlIjbnduaCYPTtXR8yq1xGCfm75rr+Ok5g7TmJ72C+2mKJBeo456CE56CBdxxy07lOEqBvl1Xff6ZgTE9ve4dhidATpOx0zHjnoIH2nazojRf3c8mt/fSc7GyS5OBvIND4b5IXWWLKrP9n27cWy7Lc/ZWdDDTLUIEMNMuwCGZJBgvSxTAknTfLSSxrlpZc0i5JSHTC6UxJoDmLcUt2uKM8GHRtFB4ltg01sKcqC9DfV1VTww47gh+Tgg/Qx3btU9EovmcPX3ZAQ/0H0KqlGNNWr0lT9V/WwTP2vUGObyPUgp/6r/ixXvy66RjlhA8/jfnudVKOc6nUKbqjghgpuqOCGCk4NfOq/6s8U3LADbkiGC9IrpR75dK9UeOqiO2mmfyX0MKgQ9YioL/ojuf5tB6bu4ATO5+qArS0TKWgoLOlh36Zj7eoyWZ3WlZynXYtWr6/e3N/FmHa2JegyPIeC99LVghsQ/zU5fuEdPx75FRD5DTly6RM5fRxcotQAyoCM0h7t3Ci+neg1IP4hOX7QiaCMZiqpp+vAtkcmSsA64ulcTMsiGUVlImeRiPM8KieTJJplWTXP5tmkms8et6be9qD1N6POp1r3M3Cth6+8aTDVeNYBLPdLBZoD463mRN/9dsud3XXAhrw8nXQ8mY3mWRVJISaRKMp5NMpjGYlkXE6T8WiayfhgukgBdZHCN19YDvrqIgXQRbiQdR/pU9KUTvbXE9v5S4lFnoaQNO74r8nx80oad+Q35MjbN5F7Ht2hE9UAyoCMEkLSuOMfkuNnlTTl6TqwbUlDCfjo5qsKmq9s/pMhFWgO+pqvKmd3HbAhN11EJPMiLsZVVCSzQn0iTqIyn6dRMZqn1TSXc3k4qjeNkS6S2mwmY76wHPTURdLY3UXYkI+uMEoTqIvY3CRjvrAc9NVFEqCLcCE3G5/ONpvr+17YS1NnLl5PrYZOLtq5CKmCgfivyfEL7/jxyK+AyG/IkbdvKrf02qET1QDKgIwSQAUD8Q/J8XOq4DQ9XQe2pYJJAeuIZ7NUzuazKhrLpIiSZFZGZTyTURzLWOZlmVRyNUYdwPyVQfOX1TvcTgWag77mr8zZXQdsyOv5a/38jR7je53AhDMZr+uB3JKM7v1fISYwd/zX5Ph5JzB35DfkyNt3lXvU3KET1QDKgIwSYgJzxz8kx886gYnTdWDbExglYB1xWU3TPBapque1Ep+nk6gq4jhK4rQaVXMZp3JrU0hvE5iEJjDplwo0B31NYG4jdcCGvFzpm6q/ZD4qovFMiEhkWRKNZDmLKlkm2XhczdLycDQOZF7qYcYvX1gO+uoigHnJhrzsIvMynY3Vx8ZikkYiqSbReJTNozhNZKn+DTmW1cF0Eci8TO1OnilfUA766iKAecmGvFwMHsVVlcdJVI2mMlKfj6Nylo+j2TybynSUJPl4ejBdpIS6iM06MeYLy0FfXcRtbw3YkJcPgEk5GieTXHcn9VkxnUdlUowiqf7yqaimSVGWB9NFIEsptfkrxnxhOeiriwCWEhvy0VlKGWQpZdYnl4y3FJSDnrpIBlhKbMhHZ0xnkKWUWR9QMk7MUA766iKApcSG3PNGqsy9ev56ZluMTvKkzR5yBQ6I/5ocv/COH4/8Coj8hhx5+yZyL/vs0IlqAGVARgmwAgfEPyTHz7kCl6Wn68C2VuBIAR/dfAVZSJn15drbqUBz0Nd8BVhIbMjHp3oF1EWEb76wHPTVRdyewoAN+ehq5wxax8+kb76wHPTVRYB1fDbko1uBy6B1/My2qG2+paAc9NVFgHV8NuSjW8fPoHX8zLaobZ6YoRz01UWAdXw25KNzAzNoHT+zPwJhyheUg766CLCOz4Z8dHsKMmgdP7MtahvzheWgry4CrOOzIfe8AifcC9SvC/szD2mbPeQKHBD/NTl+4R0/HvkVEPkNOfL2TeRe9tmhE9UAyoCMEmAFDoh/SI6fcwVOxKfrwLZW4EgBH9sKnIAcI2F/ImcrFWgOepqvBOAYsSEf3QqcSKEuYl+vNuQLy0FfXcTtKQzYkI+udhbQOr6wL2qbbikoB311EWAdnw256SKjJBG5FFWUJ81qXanKKTkpovm4mMbTpJR5fjhdBFrHF8I3X1gO+uoiwDo+G/LR1c4CWscX0jdfWA766iLAOj4bct+1s3uB+nVhX6DO2uxBa2d3/Nfk+IV3/HjkV0DkN+TI2zeRu2DboRPVAMqAjBKidnbHPyTHz1o756frwLZrZ0rAR1c7Q46RsNsnW6lAc9DXfAU4RmzIx1c7Q46RsNsnhnxhOeiriwCOERvy8dXOkGMkKt98YTnoq4sAjhEb8tHVzhJ68kPa16sN+cJy0FMXkW5PYcCGfHS1s4TW8aV9UduQLywHfXURYB2fDbnn2lm6F6hfl/YF6l5fHgbEf02OX3jHj0d+BUR+Q468fRO5C7YdOlENoAzIKAFqZyD+ITl+ztpZpqfrwLZqZ1LAx1Y7S8gxknb7xPAmLSwHfc1XgGPEhnx0tbOEHCMpfPOF5aCvLgI4RmzIR1c7S8gxktI3X1gO+uoigGPEhnx8tTP05Ie0r1cb8oXloK8u4vYUBmzIx1c7Q+v40r6obcgXloO+ugiwjs+GrP7z1+rLah7r9f2l0r1Q/bq0v6Ko+wziEDW0O/5rcvzCO3488isg8hty5O2byV247dCJagBlQEYJUUO74x+S42etocvTdWDbNTQl4KObtyDnSMs2n1SgOehr3gKcIzbko3tiMYeco9z+Ai1DvrAc9NRFcsA5YkM+uho6h5yj3P4CLVO+oBz01UUA54gN+ejenpCnUBexrVsb84XloK8u4vYWBmzIR/cOlhxaz8/tJ2MY8oXloK8uAqznsyEf3Xp+Dq3n58I3X1gO+uoiwHo+G/LRuYI5tJ6fS998YTnoq4sA6/lsyD3vYsndC9Wv5/aFatlmD7kCB8R/TY5feMePR34FRH5Djrx9E7mXfXboRDWAMiCjBFiBA+IfkuPnXIHL89N1YFsrcKSAj26+gpyj3G6jbKUCzUFf8xXgHLEhH5/qhZ4Aye2PQxjyheWgry7i9hQGbMjHtwIHrePntkVt8y0F5aCvLgKs47MhH90ulgJaxy/sj0MY8oXloKcuUgDr+GzIR+cGFtA6fmF/HMKQLywHfXURYB2fDbnn2rlwL1C/Xtj3kvd6+i4Q/zU5fuEdPx75FRD5DTny9k3kLth26EQ1gDIgowSonYH4h+T4OWvnIj1dB7ZVO5MCPrbauYAco8L+OAT94CbTreZE3/12AxwjNuSjq50LyDEqhG++sBz01UUAx4gN+ehq5wJyjArpmy8sB311EcAxYkM+vtoZegKksK9XG/KF5aCvLuL2FAZsyMdXO0Pr+IV9UduQLywHfXURYB2fDVk/AdJ0k7TdB9qJ+O5s8r1vvvkGQx7qRw++NCiqs0GZqv9K9d9C/Vf9vko6smHfVV62s9FZCEFMeC2kQYYKZKhAhgpkqECGCmTYATIkg7QrIggELoo0h6p+qrOXXlIk6iL1pdAX/bMOGvUNCo7mWQ1Aug/2+RxS4V4Lf72obIxF3NlkIVZy3PFfk+MX3vHjkV8Bkd+QI5c+kdOHsfVw7kYZkFFCrOS44x+S42ddyalO14Ftj0yUgHXEeanmycm0iORUK61kXql6bdQUbVlRVlUxzqaPD0Q9lZA5VVqfuNhOBZqDntRTCZhTbMhNF5mXeTGZzGfRdC6TSJR5Ho2mQonxLB1PZJyLfDY5mC4CmVOl9YkLU76wHPTVRQBzig25Z3OqdK/Lv17al7l7fbQaiP+aHD+rpAEivyFH3r6J3PPoDp2oBlAGZJQAkgaIf0iOn1PSlOnpOrAtSUMK+OjmK8icKu1OjWFXPpaDvuYrwJxiQz4+1QuZU6XwzReWg766CGBOsSE3a4Zny9fGKGxN3+eqTel2YV4vpSUXcZG2cxFU4rjjvybHL7zjxyO/AiK/IUfevqnc8+oOnagGUAZklBASxx3/kBw/q8SRp+vAtiUOJWAdcZaU08lomkaJGOWRSLWFms6qSOR5IccTURTF/PGhzF+QLVrmfqlAc9DX/AXYomzIfZfkbr/v9dLu93UbQyHmK3f81+T4eecrd+Q35MjbN5F7kNyhE9UAyoCMEmK+csc/JMfPOl8Vp+vAtucrSsBHN19BD9KV9qfKtlKB5qCv+Qp4kI4NeV1vrbC1Wd5rveU2CF8v7X5brydeAPFfk+Pnnb/ckd+QI2/fVO5Bc4dOVAMoAzJKiPnLHf+QHD/r/FWdrgPbnr8oAeuIk0zvR5wnUVoINXyl8Wi5ZXVcjZJxkpTzstjaX9bX/FVBLnllt4wNr1zGctDT/FUBLjkbcs/1VuW2f1+v7M8mVp23aoD5Coj/mhw/63wFRH5Djrx9E7kHyR06UQ2gDMgoAeYrIP4hOX7O+apKTteBbc1XpICPbr5KofnK7gZvpQLNQV/zlduxH7Ahb/bEZ+0+0E4EtO2alIdmT3wlzgZJHOuL1JdSXZJUX3J9qdQl1b9N9Z+mhb7on2X6a5n+ldC/EvpXUv9KVh2ZtL4bs8BfygXlAx+7mv30KglDnYShTsJQJ2GokzDUSRjqJAx1EoY6CUOdhKFOwlAnYaiTMNRJGOokDHUShl1JGJKTEGIvvkrCSy/pLOirbK6lviZpc82bq96br3Ohr81n0qK5Nj/Pmr8ha34tml+L5tey+XVHUtQ/TMlKM8Q+PojFisptlL9eCStjr/vfgPivyfHzij935DfkyKVP5PRReD0buVEGZJQQ4s8d/5AcP6v4E6frwLZHJkrATcTVaFzFcRbJscgiUY2KqByP0qgUeZ6WsRTTYvb4UMQf9Fh1Jf1SgeagL/Hn3sswYENebpHM53I6mo2iLB1XUZLMZtEoidNomuR5MprE43G1pQ176yLQ/oEq980XloO+ugiwf4ANeblFMi7KcValUZqNJpGYj2RUynykqopJVU6KWTaai4PpItBj1ZXNvTTmC8tBX13E7TAP2JCbLjJJqyxNk3E0rTL1WZGKqEzjOJol46oaF0muPn4wXQRydSvrA76mfGE56KuLAK4uG/JyFJmXcT6fxtE8jeeRmORVVE6rKprMZiLOs/koFsXBdBHo9aiV3UMy3VJQDvrqIm6fb8CGvDb+Vy3edy2dxG4X6XX1IWs2et26hhBc0wmENwEe+xUS+w099vat5S7jduhKNQIzoMMEqKkRgiGdgLOqVlGdbkLbqqtpMTdLfqNslqVSqgpLb2eqZkU0Hk/KKC0qNfclaVmNDuath0kMPQmtPuaXDDQLPU1nisfZawd80EvNoyrtYjLLonFSlpHIZRqpb491ST5NxvloWsqDef5QVX9YN7F5UcaMYVnorZsA/hsf9PK9ZWMlkeQkjsQoTtQnUvWtfFqocquq4nk5mclEHk43gZ5TVR/zzRiWhd66CfCkKh90002KdJ5O86qM8nEiIlFWWVSJ+SyK82kpprMqnh5SN4GeVVUf880YloXeuonbfxjwQa+rqNUZnf1XUe7lbdUFpC0b5db7SMJWUW6CazqB8CbAY79CYr+hx96+udyyfYeuVCMwAzpMkCrKTTCkE/BWUfJ0E5qhiqLErIMWWTKfilhE8VQNaEoj5VFVJYlS1rPxZDKPkzQ9mNOGkxgyn9TH/JKBZqG3CQ2wn/igl3vTsqKcFImMkvFEaaR4LqNyGldRIkdVks5iMammh9NNIANKfcw3Y1gWeusmgAXFB93ztvskdrsrqsmtD831+zpVhOCaTsCsc9yx39Bjb99M7ol1h65UIzADOkwQneMmGNIJeHVOeboJzaBzKDEf3wQGeZ/qY37JQLPQ2wQGuJ980McnhxPo2UL1Md+MYVnoq5skbitswAfddJOqqsbzcjaOpmUuIiHyQq8FxZF+s12WjMbzeHQ4pkKCeU+J9fEmU8awLPTWTRDviQ16vQyYrDzI3tcBE7fHovqA1WMp03Y6gupjgOCaTiC8CfDYr5DYb+ixt+8utyDboSvVCMyADhNCHwMEQzoBqz5O0tNNaNv6mBRzM6PJ6SRP5mkkZKYuQlbRWIyKaDwZZ6N8rI9/Wg1YhzCjYf5nYrUCt5OBZqG3GQ3xP9mgj26TcZJg/mcifDOGZaG3boL4n2zQR7fROEmgp54S7e76ZQzLQm/dxO2FDfigN/r4QJ7cTRK3yaL6gN1k6fVFYwjBNZ1AeBPgsV8hsd/QY2/fXW5BtkNXqhGYAR0miD52EwzpBLz6OD/dhGbQx5SYddCFkkHpXIxVna93ik3n02g0F0Ukx+UozdSYVx7O6chJghmgid0LNLyCC8tCbzMaYoCyQR+fzZBAT+Gpj/lmDMtCb93EbY4N+KA3wmc1ofYvfNyui+oDNtclLrdOBA4rfNwE13QCZuHjjv2GHnv77nLPtDt0pRqBGdBhgggfN8GQTsArfKrTTWgG4UOJWQc9F7NxleejaDxbvqVgHJXxfBzFsYxlXpZJJQ9nYTDFHNHU+szZdjLQLPQ1o6WII8oG3XQTOauKmSilqvPnavYbj/OoGolZJOPZVKZpPh9P88PpJpgjmlofTDNlDMtCb90EcUTZoPveIJi6PR/V5Db/JCmSNn1QnQMQXNMJeHUOEPsNPfb2zeSeWHfoSjUCM6DDhNA5AMGQTsCqc1JtgKZdBigp5uObwDADNLV5gYZkoFnobQJDDFA26COUw5gBqod+v4xhWeitmyAGKBv0ZoFnNVzoebXXBZ7UbfSpPiAt6YjLft+jAxBc0wmYhY879ht67O27yz3T7tCVagRmQIcJInzcBEM6Aa/w0U+ArkIzCB9KzDro6SxJ8+l8HmXpND7wt4+qSLEZLfdLBpqF3mY0tx874IPuvXJ3+3qqyW2+XtLvmdsIwTWdgHkCc8d+Q4+9fTO5R8wdulKNwAzoMEEmMDfBkE7AO4EVp5vQDBMYJebjm8Awzz21P+e4lQw0C71NYIjnzga9KcmqJXnvnnvqthlVH7BadtXWs0lhZzQ3wTWdgHlGc8d+Q4+9fXe5h9AdulKNwAzoMEFmNDfBkE7AO6Npz30VmmFGo8Ssgx7PinxczONoWqZJJNIki0bxWEZTMa3GSskn5Xy1bfoAZrQM89wzq/28nQw0C33NaBniubNBL4WPSAtZFIma/SbloQufDPPcM6v9bMoYloXeugniubNB/+0SW87S8UxG1WSs7Q2pT6GZppGoMqE0VzIpq8N5p0GWYt3EZvMZM4Zlobdu4vZjB3zQx/fMVoYZoJn1YUhTxrAs9NZNEAOUDbrvdcDM7eupJhcW+qTI2vRBqyaA4JpOILwJ8NivkNhv6LG3bya3TN+hK9UIzIAOE6JqAgiGdALWqikTp5vQtqsmUszHN4FhDx1n0i8ZaBZ6m8Dc9uuAD/oI5TDmd2a5b8awLPTWTRC/kw16+Sa4OJ2O5uNZlOhzI4SMp9F4JqZRnpSxmM2zaVYd0BoM9sBnZrdYDBnDstBbN3F7YQM+6CNcqsPMp8zuwxgyhmWht26CmE9s0L1XTe7lddXktqXqpOj3xRYAwTWdQHgT4LFfIbHf0GNv30xumb5DV6oRmAEdJkjV5CYY0gl4qybtNa1CM1RNlJiPrmoSmNck7C9/NTy8j2WhrwlMIF4TG/TxVU0C85qE/eWvhoxhWeitmyBeExv08VmSAvOahM12MWYMy0Jv3QTxmtigj69qEpjXJOzPnRkyhmWht26CeE1s0Oste+mhvD9buNfbVR8QlnTEVdpOR9AyCiC4phMIbwI89isk9ht67O27y63bd+hKNQIzoMOEKKMAgiGdgLWMEtp8WoW2XUaRYm6CrkbjKo6zSI5Fpk8YLqJyPNJKKc/TMpZiWsweH8yMhplPQvolA81CbzMaYj6xQR9hGYWZT8Lmw5gzBmWht26CmE9s0Ee4KIOZT8LmwxgzhmWht26CmE9s0E03SZJJPEnVUKMGoGkkptkoqqqZiOJYVVzxtBRynB5ON8HMJ2F98aYpY1gWeusmiPnEBt23+STc6+2qye1r17JNH7ZqchNc0wmENwEe+xUS+w099vbN5JbpO3SlGoEZ0GGCVE1ugiGdgLdq0ubTKjRD1USJWQc9ytN4FGfzqJiP9GSXJNFoPp9FQk7T+WgWT+R8/PhQJjCJmU/S7sNsJQPNQl8TmETMJzbo45PDEjOfpN2HMWQMy0Jv3QQxn9igj6+4lpj5JO0+jCFjWBZ66yaI+cQGfXxLdRIzn6TdhzFlDMpCb90EMZ/YoLX5pMEf9+w5Sfcyu2p6YclCXPX7wBNAcE0nEN4EeOxXSOw39NjbN5Vbru/QlWoEZkCHCVE9AQRDOgFr9SS157QKbbt6IsWsgx5XUzkSWRmlo6SKRF7Oo7HUo1kuyuk0mU5TeUB6B/OcpPRLBpqF3iYyxHNig266STaaVOUsyyM5mcpIjCZFVCVJHpVVMUkmk2Q8zUeH000wz0na7RdDxrAs9NZNEM+JDbrpJtj5rofSTTDPSdrtF0PGsCz01k0Qz4kN+gjXYjDPSdrtF/oDp311E8RzYoPu23OS7mV21eT2Jet+D7QDCK7pBMKbAI/9Con9hh57+2Zyy/QdulKNwAzoMEGqJjfBkE7AWzVpz2kVmqFqosR8dBNYjnlOud1+MRzahWWhrwksRzwnNujjk8M55jnldvvFkDEsC711E8RzYoM+vuI6xzyn3G6/GDKGZaG3boJ4TmzQx7dUl2OeU263XwwZw7LQWzdBPCc26OaBp6U/2e4I7Vx8dzb53jfffIMhFfWjB19SjPJskKqxYiBEdjaQiezKhbDkIq7wJ/0hIFz7aoqhphhqiqGmGHZRDOkUbfELUcD6V0MomasoXnpJY7z0kuZ46aUuEP1ZColG2XrWMniPy8/UpVKXItOXUl3KRF+kvujfVqm+6N9W6nNpnOpLri/6t4n+baL7baI+rCZvfdF/mulfZfpXQv9K6F/JWF+EvpRdXVtaU4nvI4Qy592187OhTtdQp2uo0zXU6RrqdA11uoY6XUOdrqFO11Cna6jTNdTpGup0DXW6hjpdQ52uoU7XUKdrqNM11Oka6nQNdbqGOl3DrnQN6ekKcw/lZ/pa6WuRNddSX1XK9FU21+YnVdpcm59U+vM6cfqaN9fmJ0nzk6S5LxP9LZ0+fW0+kzW/zppfi+bXovm1SqK+iuZqTmNztxPy+Nwd3PtTsrnbx1DCwe5jFJ29JcTaG0BwTScQ3gR47FdI7Df02KVP7PQZYSPH3DADOkyItTeAYEgnYF17y/PTTWiGYYoSc7OoImfTKi6raDyTqmQaz8qonI6zKJ6nZT5Kp+PxaNXLDqEMwjzG3G63bSUDzUJvZRDiMbJBN91kNppl03GVRHklJpHI9AJMVoxVoT1WRVReiviAdmjmmMeY2+02Q8awLPTWTRCPkQ1683qQJbgWBv3qHrfNorqAzbKIld7sGuqD6B43wTWdgFn3uGO/ocfevrncE+0OXalGYAZ0mCC6x00wpBPw6h7tOa5CM+geSszN8m8sqyQuZ1GeT2aRGMk8qopcRpMqFTMxicfl+HA8xwLzHAv72VZbyUCz0NeEViCeIxt0003KvEwnxbSIxlkRRyKfzaNqIsZRVmVxNa9Go2x2OC5BgXmOhf1sK0PGsCz01k0Qz5ENejmaZONRUiZxlCW56lJJUkZVPBtHk1laTeWkzOIiP5xugnmOhc1+M99YUBZ66yaI58gGvZbHK9mlG79XeVy4rTXVBazWWpy0sxFUHgME13QC4U2Ax36FxH5Dj719c7n12A5dqUZgBnSYEPIYIBjSCVjlcZGdbkLblsekmJsJLSlHeV5NIinHldJI2TiqxrNJVIpsNp+pGXCeTR4fzIQmsAlN+CUDzUJvE5r78bsBH/Ry5+ZoVKoJsIqKPBORiOdVNJITdYnTZDLL5LxI5OF0E+x5t0L6ZgzLQm/dBHnejQ266SbzSspZNsmiRJZj/SLqMirjaRXFsYxlXpZJJbe22PTXTbDn3bSq88sYloXeuonbGhvwQR/fPvAC86IKmy1jvrGgLPTWTRAvig267weZCrfFoprcfm5Vv5spAIJrOoHwJsBjv0Jiv6HH3r6Z3DJ9h65UIzADOkyQqslNMKQT8FZN5ekmNEPVRIn5+CawCpvAbA6LIRloFnqbwNxW2IAP+viK6xLznkr7o1+GjGFZ6KublIj3xAa9Xi1eeUuav9fV4tJtsaguYH2sK+73tVcAwTWdgFf3ALHf0GNv31zuiXaHrlQjMAM6TAjdAxAM6QSsuqdMTjehbeseUszHN6Fh9mdpcwINyUCz0NuEhtifbNDHt1pcYo9clnaHxfTOFigLvXUTtxU24IM+viqqxLynUnhnDMpCb90E8Z7YoPteBizdlopqcmmjL8o2fVg57Ca4phMIbwI89isk9ht67O2bya2/duhKNQIzoMMEkcNugiGdgFcOy9NNaAY5TIn5+CYwzO4sc79koFnobQJD7E426OUzVck4y8SkiCZykqjPijQaCZlE85FIKzkpRvM8PpxugtmdpdX5M2UMy0Jv3QSxO9mge9c5bodHNbndLen3GSqA4JpOwKxz3LHf0GNv30zuiXWHrlQjMAM6TBCd4yYY0gl4dY62O8suu5MU8/HpHMzuLO3On+EBACwLvU1giN3JBn18y34VZndWdufPlDEoC311kwqxO9mgj89EqLBH7Sr7my5NjxNBWeitm7itrwEfdN9yuHJbKKrJrRZKGbfpg8phgOCaTiC8CfDYr5DYb+ixt28mt/7aoSvVCMyADhNCDgMEQzoBqxyu0tNNaNtymBTz0cnhCrM3K6vTt50MNAu9TWCIvckGfXzLfhVmb1bCN2NYFnrrJoi9yQbdu85xOzqqyaWVvt9nwwGCazoBs85xx35Dj719M7kn1h26Uo3ADOgwQXSOm2BIJ+DVOdreXIVm0DmUmI9P52D2ZpX7JQPNQm8TGGJvskEf4bIfZm9WVqfPmDEoC711E8TeZINuuolM1G+nIouyaqY0UZbn0aiaVlE6nmVTkcQT9bvD6SbYm0Urq6NiyhiWhd66idv6GvBB9y6H3RaKanKrhVKmbfqwcthNcE0nEN4EeOxXSOw39NjbN5Nbf+3QlWoEZkCHCSKH3QRDOgGvHNZvEl2FZpDDlJiPTQ6nMWRvqo/5JQPNQk8TmOJx9toBH/TR6Zw0huxN9THfjGFZ6K2bAPYmH3TPOieN3Y6OanK7O9LrQ74IwTWdgFXnILHf0GNv30zuiXWHrlQjMAM6TACdgxAM6QScOkdFdboJbUvn0GI+Pp0D2ZvqY37JQLPQ2wQG2Jt80Ee37JfGkL2pPuadMSgLvXUTwN7kgz5COQy9OVR9zDdjWBZ66yZu62vAB927HHZbKKrJ7RZK91G1QeSwm+CaTiC8CfDYr5DYb+ixt28mt/7aoSvVCMyADhNEDrsJhnQCXjmcn25CM8hhSszHJ4che1N9zC8ZaBZ6m8AAe5MP+gh1DmRvqo/5ZgzLQm/dBLA3+aB71zluR0c1uc0dyeKedY6b4JpOwKxz3LHf0GNv30zuiXWHrlQjMAM6TBCd4yYY0gl4dU51ugnNoHMoMR+dzkkwezOxOX2GZKBZ6GsCSxB7kw366J7eTBPM3kxsTp8xY1gWeusmiL3JBt23zkncjo5qcps7ksWyTR9U5wAE13QCXp0DxH5Dj719M7kn1h26Uo3ADOgwIXQOQDCkE7DqnETbm0mXvUmK+fh0DmZvJjanz5AMNAu9TWCIvckGfYQ6B7M3E+GbMSwLvXUTxN5kg+5d57hdO9Xk0kqft+nD6hw3wTWdgFnnuGO/ocfevpncE+sOXalGYAZ0mCA6x00wpBPw6hx5ugnNoHMoMR+fzoGe3lQf80sGmoXeJjC32zrggz4+3yrB7M3E5vQZM4ZlobdugtibbNC96xy3a6ea3ObaZXGvZ3EiBNd0Amad4479hh57+2ZyT6w7dKUagRnQYYLoHDfBkE7Aq3PK001oBp1Difn4dA70clr1Mb9koFnobQJzu60DPujj0zkpZm+mdqfPkDEsC311kxSxN9mg/3Z1Fmeyeitb8rjfwzjT1G3jqT5gP8uvXyMLILimE/AKHyD2G3rs7bvLPdPu0JVqBGZAhwkhfACCIZ2AVfikyekmtG3hQ4q5ET6ZfvKmyqIy</t>
  </si>
  <si>
    <t>FtNIyHwUjeLxLMrGaVyJ8TQr5tXjg5nRUmxGs7l6hmSgWehtRnPbrwM+6KabVPOkTOaZiKqyEJGYjdJoHMezaCrFdDIrynk8P5jXkKYp5nem9nMpDRnDstBbN0H8Tjbopd+ZjUfq03GUJfksEklSRlU8GystnVZTOSmVssoPp5tgfqdWCH4Zw7LQWzdB/E426KablHmZToppEY2zIo5EPptH1USMlbTO4mpejUbZrDycboI9zqmb0i9jWBZ66yZuL2zAB63LKA3+uO/qye2tqKbPrVno1x4HCK7pBMKbAI/9Con9hh57+6Zyy/UdulKNwAzoMEGqJzfBkE7AWz3pxzpXoRmqJ0rMx1c9Yb5narMADclAs9DbRIb4nmzQR1g9YY91ptYnHE0Zw7LQWzdxe2IDPugjrJ4wEyq1+THGjGFZ6K2bICYUG/TxVU8ZZkJl1rdpmjKGZaGvbpIhJhQbdN+bbTL3MrtqcvubMfv1nACCazqB8CbAY79CYr+hx96+mdwyfYeuVCMwAzpMiKoJIBjSCVirpkx7TlmX50SKuamaoB0XhzKBYZ5TZrVftpOBZqG3CQzxnNigj08OZ5jnlNnfpklfV++rmyCeExv08RXXGeY5ZcI3Y1gWeusmiOfEBn18S3UZ5jll0jdjWBZ66yaI58QG3XvV5F5eV01uXaou+/WaAIJrOoHwJsBjv0Jiv6HH3r6Z3DJ9h65UIzADOkyQqslNMKQT8FZN2mtahWaomigxH9+yH+Y1ZVbbZTsZaBZ6m8AQr4kN+girJsxryuxv06Svp/fVTRCviQ36CKsmzGvKrLaLKWNYFnrrJojXxAZ9fFWTwLwmYT+5je7199RNBOI1sUH3XTUJ9/K6anL7UnW/D3YDBNd0AuFNgMd+hcR+Q4+9fTO5ZfoOXalGYAZ0mBBVE0AwpBOwVk1Ce02iy2sixXx0XpPAvCZht13ozzib7jkn/B7uO8RrYoM+vqpJYF6TsNsuhoxhWeitmyBeExv08VVNAvOahPDNGJaF3roJ4jWxQR9h1YR5TUL6ZgzLQm/dBPGa2KA3r4lYNbv+n14fdBLu9XbVB6xr13HZTkfYMspNcE0nEN4EeOxXSOw39Njbd5dbt+/QlWoEZkCHCVJGuQmGdALeMkqbT6vQDGUUJeZGH8eyUn8+i/J8okTSSOZRVeQymlSpmIlJPC7HB1RGYeaTsPow28lAs9DbjIaYT2zQR1hGYeaTsD/zY8oYlIXeugliPrFBH5+VLTDzSVh9GFPGsCz01k0Q84kNum9XQbo9ldfVh2z0Zb9yGCC4phMIbwI89isk9ht67O2bya2/duhKNQIzoMOEkMMAwZBOwCqHZXy6CW1bDpNiPjpXQWLn10m7xWIYy7Es9DWBSbcXNuCDPj45LDHzSdp9GLoy7KubIOYTG/TxFdcSM5+k3Yeh15l9dRPEfGKD7l0Ouz0V1eTCSl+16cPKYTfBNZ1AeBPgsV8hsd/QY2/fTG79tUNXqhGYAR0miBx2EwzpBLxyWJxuQjPIYUrMR7eeIzG/U0q/ZKBZ6G0CQ/xONugjlMPYYWIy980YloXeuonb+hrwQR+hHMa8Jmm1XYwZg7LQWzdBvCY26N7lsNtCUU1utVCquE0fVg67Ca7pBMKbAI/9Con9hh57+2Zy668dulKNwAzoMEHksJtgSCfglcP6MDHZdZgYKebjWx3G7E1pdfq2k4FmobcJDLE32aCPTw7n2LN1udVRMWUMy0Jf3SR3W18DPujjk8M55jXlVtvFmDEoC711E8RrYoNuNhM36O1+0E7Fd2eT733zzTcYMlE/evAlhZidqUulLoXUl1JdykRfhL4U6qI41UV/rsr1RX04i1N9kfqivpElib4IfVHfyNJYXzJ9yfVFfyPT38j0NzL9DaG/IfQ3hP6G1N+Q+htSf0Pqb+T6G7n+00L/qtC/0qFlpf6IjirTAQkdi4jVn4pE/0pHIFL9q1T/Ksv0pexqYatNFOPLllA74VJNN85QN85QN85QN85QN85QN85QN85QN85QN85QN85QN85QN85QN85QN85QN85QN85QN85QN85QN85QN85QN85QN85QN85QN85QN85QN85QN85QN85QN85QN85QN85QN85QN85QN85QN85QN85QN85QN85QN85QN85QN85QN85QN85QN85QN85QN85QN86wq3GG9MZpS1CocWAVqttGiU3VOPpa6atqHn0t9VVlQV9Fcy30VWVDX5vPq6Toq/6Wbid9lc1Vf1c3lb6K5qq/q1tLX7PmmjfX5rtZ892s+W7WfFc03xXNd0XzXdl8Vzbflc13ZfPdvPlu3nymaH5dNL9uItcNqK5NzFkTrWji1I2orknz6yY23Y762vw6y5qruSl1niht+dwI2fupnLnbTlSzpNVOVK3b1WNDrCAABNd0AuFNgMd+hcR+Q49d+sROn3E32sMNM6DDhFhBAAiGdALWFYQ8O92EZhimKDHroKdZXI2y+TSKk1RGYpqlqowU02ielOV4Np7FYn2PH4Lmx54zzYVfMtAs9Kb53TbwgA96WRrOinxczONoWqZJJNIk0w8bykh9vhrHZZmU8+Rwugnmu+bSN2NYFnrrJojvygbddJN5mhdxORpHxSzTR5dPVRk5KkWk/uJsnkxHVTabHk43wXzXPPfNGJaF3roJ4ruyQTfdZKKKijRNxtG0yiaREKmIyjSOo1kyrqpxkeTq7zicboL5rrnVgjRlDMtCb90E8V3ZoJfuhpgWxWSWRWM1I0Uil2k0ymbjSFSjaTLOR9NSTg6nm2DP+OVWq8eUMSwLvXUTtyc34IPu257P3d6OanK7t9Nzce0muKYTCG8CPPYrJPYbeuztm8ldze3QlWoEZkCHCVJcuwmGdALe4ro63YRmKK4pMR/dBFZgvmthtyDpY7npnnPC737fFYjvyga9XCqeplksR2kUV8lcaaJyFo3mkyJKyvEoS/JcjOeHs6m5wHzXwm5BGjKGZaG3boL4rmzQTTcRU5HM4ySNspGcqgpLxNGoKudKOo8mRVWVcpQcjj1fpFg3sdorpoxhWeitmyDP+LFBH99SXYE941dYl7dNGcOy0Fs3cfsQAz7o41v4L7CF/0L4ZgzLQm/dBFn4Z4Nevzlw1Q16d7IL9/q26gLSlo0ka2cjaLENEFzTCYQ3AR77FRL7DT329s3lru526Eo1AjOgw4QotgGCIZ2Atdgu5OkmtO1imxRzU2xDG6IPZULDvKfCbsNsJQPNQm8TGuI9sUEvq6gskyKpRJTMR7MoSWbqs/GsiOJYxjJXGqmSW5tb++smmPdU2G0YQ8awLPTWTRDviQ26b1OhcFsqqsntjwylbfqwOsdNcE0nYNY57thv6LG3byb3xLpDV6oRmAEdJojOcRMM6QS8Okc/81d0PfNHilkHXczmZRLPx1GVqCJ/PYqNDnQCw575K+wOy1Yy0Cz0NoG5rbABH/TxyeES855Kuw1jyBiWhb66SYl4T2zQfeuc0m2pqCa3Wyr9rucABNd0Al6dA8R+Q4+9fTO5J9YdulKNwAzoMCF0DkAwpBOw6pxSn6dXdp2nR4q5WXYuJ6M0FpNoPK7ySOhnmMdZkutnmOfpKJknYrK6Qw5hAsPsztLu/BlqViwLvU1giN3JBn2EOgezO0u780dfAeurmyB2Jxt07zrH7eKpJhdWetGmD6tz3ATXdAJmneOO/YYee/tmck+sO3SlGoEZ0GGC6Bw3wZBOwKtz9CtNV6EZdA4l5qNbzymxR+tK6ZcMNAu9TWBut3XAB32EOgezN8vcN2NYFnrrJoi9yQbdu85xu3aqya2uXSXb9GF1jpvgmk7ArHPcsd/QY2/fTO6JdYeuVCMwAzpMEJ3jJhjSCXh1TnG6Cc2gcygxH5/OwZ7mLO0m3lYy0Cz0NoG53dYBH/QR6hzM3iztTp8hY1gWeusmiL3JBt23zqncrt3r6kNW+rxNH1TnAATXdAJenQPEfkOPvX0zuSfWHbpSjcAM6DAhdA5AMKQTsOqcSp/YWHWd2EiK+eh0ToU9zVnZTbytZKBZ6GsCq9xu64AP+vh0ToXZm5Xd6TNkDMtCb90EsTfZoHvXOW7XTjW53bUr2vRhdY6b4JpOwKxz3LHf0GNv30zuiXWHrlQjMAM6TBCd4yYY0gl4dY5+c+gqNIPOocR8fDoHe4C4En7JQLPQ2wTmdlsHfNBHqHMwe7OSvhnDstBbN0HsTTbo9XPmq3fc9P6ceeV28VQXyG3ZSPr1sQCCazoBs+5xx35Dj719c7kn2h26Uo3ADOgwQXSPm2BIJ+DVPfnpJjSD7qHErINePkU6kkfxAHGFPUBcWU297WSgWehtQnO7rwM+6CPUPZjdWdnf40q3dPrqJojdyQbd+/qO28VTTW538co2fVid4ya4phMw6xx37Df02Ns3k3ti3aEr1QjMgA4TROe4CYZ0Al6do19euwrNoHMoMR/bBJbF0APE6mN+yUCz0NMEpnicvXbAB310y4BZDNmd6mO+GcOy0Fs3AexOPuiedU4Wu1081eR2F6/7zMYAOgchuKYTsOocJPYbeuztm8k9se7QlWoEZkCHCaBzEIIhnYBT56ioTjehbekcWszHp3OgB4jVx/ySgWahtwnM7b4O+KCPUOdAdqf6mG/GsCz01k0Au5MPuned43bxVJNLC32qyqhedY6b4JpOwKxz3LHf0GNv30zuiXWHrlQjMAM6TBCd4yYY0gl4dY483YRm0DmUmI9P50APEKuP+SUDzUJvE5jbbR3wQR+hzoHsTfUx34xhWeitmwD2Jh907zrH7dqpJre5dmnc66GLCME1nYBZ57hjv6HH3r6Z3BPrDl2pRmAGdJggOsdNMKQT8Oqc8nQTmkHnUGI+Pp0DPUCsPuaXDDQLvU1gbrd1wAd9fDonwezNxOb0GTOGZaGvbpIg9iYbdN86J3G7dqrJba5dGqdt+qA6ByC4phPw6hwg9ht67O2byT2x7tCVagRmQIcJoXMAgiGdgFXnJMnpJrRtnUOK+eh0TpJiE5jNxDMkA81CbxOY220d8EEfoc7B7M3E5vQZM4ZlobdugtibbNC96xy3a6eaXFjpez0HAiG4phMw6xx37Df02Ns3k3ti3aEr1QjMgA4TROe4CYZ0Al6dI043oRl0DiXm49M50APE6mN+yUCz0NsE5nZbB3zQR6hzMHszyX0zhmWht26C2Jts0L3rHLdrp5rc7tr1eg4EQnBNJ2DWOe7Yb+ixt28m98S6Q1eqEZgBHSaIznETDOkEvDqnON2EZtA5lJiPT+dADwyrj/klA81CbxOY220d8EEfoc7B7M3E7vTRT87oq5sg9iYbdN86J3W7dq+rD1npe31/DkJwTSfg1TlA7Df02Ns3k3ti3aEr1QjMgA4TQucABEM6AavOSePTTWjbOocU89HpnBR7YDi1m3j0d4SY7jkn/B7uO7fbOuCDbroJdgbooXQTzN5M7U6fIWNYFnrrJoi9yQbdu85xu3aqye2uXa/nQCAE13QCZp3jjv2GHnv7ZnJPrDt0pRqBGdBhgugcN8GQTsCrc7LTTWgGnUOJ+fh0DvbAsL6nfZKBZqG3Cczttg74oI9vPSfF7E3dlH4Zw7LQWzdB7E026N51jtu1U02eW+l7PQcCIbimEzDrHHfsN/TY2zeTe2LdoSvVCMyADhNE57gJhnQCXp2Tn25CM+gcSszHp3OwB4ZTu4lHf9e96Z5zwu/hvnO7rQM+6CPUOZi9mdqdPvrJGX11E8TeZIPuXee4XTvV5HbXrtf3ISME13QCZp3jjv2GHnv7ZnJPrDt0pRqBGdBhgugcN8GQTsCrc6rTTWgGnUOJ+eh0ToY9MJzZTTz6q4FN95wTfvf7LnO7rQM+6KabYGdEHEo3wezNzO70GTKGZaG3boLYm2zQfeuczO3aqSa3u3b9vg8ZILimE/DqHCD2G3rs7ZvJPbHu0JVqBGZAhwmhcwCCIZ2AVedk+n3Iq9C2dQ4p5uPTOdgDw5ndxKO/Gth0zznh93Dfud3WAR/08a3nZJi9mQnfjGFZ6K2bIPYmG3TvOsft2qkmlzb6JG7Th9U5boJrOgGzznHHfkOPvX0zuSfWHbpSjcAM6DBBdI6bYEgn4NU5+n3Iq9AMOocS8/HpHOyB4Sz3Swaahd4mMLfbOuCDPkKdg9mbmdXpM2UMy0Jv3QSxN9mge9c5btdONbnVtUv6fR8yQHBNJ2DWOe7Yb+ixt28m98S6Q1eqEZgBHSaIznETDOkEvDpHvw8563ofMinm49M52APDmdXE204GmoXeJjC32zrggz4+nSMwe1NYnT5TxrAs9NVNBGJvskH3rXOE27VTTW517ZK0TR9U5wAE13QCXp0DxH5Dj719M7kn1h26Uo3ADOgwIXQOQDCkE7DqHKHfhyy63odMivnodI5IsQnMauJtJwPNQm8TmNttHfBBH6HOwexNYXX6TBnDstBbN0HsTTbo3nWO27VTTS6s9P2+DxkguKYTMOscd+w39NjbN5N7Yt2hK9UIzIAOE0TnuAmGdAJenaPfh7wKzaBzKDEfn87BHhgW0i8ZaBZ6m8DcbuuAD/oIdQ5mb4rcN2NYFnrrJoi9yQbdu85xu3aqye2uXb/vQwYIrukEzDrHHfsNPfb2zeSeWHfoSjUCM6DDBNE5boIhnYBX5+j3Ia9CM+gcSszHp3OwB4aF3cSjvxrYdM854fdw37nd1gEf9BHqHMzeFHanj/5q4L66CWJvskH3rXOk27V7XX3ISt/v+5ABgms6Aa/OAWK/ocfevpncE+sOXalGYAZ0mBA6ByAY0glYdY7U70OWXe9DJsV8dDpHYg8MS7uJR381sOmec8Lv4b5zu60DPujj0zkSszel3ekzZAzLQm/dBLE32aB71zlu1041ud216/d9yADBNZ2AWee4Y7+hx96+mdwT6w5dqUZgBnSYIDrHTTCkE/DqHP0+ZNn1PmRSzMenc7AHhqXwSwaahd4mMLfbOuCDbroJ9vL/Q+kmmL0ppW/GsCz01k0Qe5MNuned43btVJPnVvp+34cMEFzTCZh1jjv2G3rs7ZvJPbHu0JVqBGZAhwmic9wEQzoBr87R70NehWbQOZSYj0/nYA8MS7uJR381sOmec8Lv4b5zu60DPuimm0xmWVFk0ywaidEsEiIuo1ExnkVlKgsxniSpqusPp5tg9qa0O32GjGFZ6K2bIPYmG3TvOsft2qkmt7t2/b4PGSC4phMw6xx37Df02Ns3k3ti3aEr1QjMgA4TROe4CYZ0Al6do9+HvArNoHMoMR+dzsmxB4Zzu4lHfzWw6Z5zwu9+3+Vut3XAB318vlWO2Zu53ekzZAzLQm/dBLE32aDVf/5ak1dLcK16/6pP3ZO7XTzVBWwuXtLz+g5AcE0n4NU9QOw39NjbN5d7ot2hK9UIzIAOE0L3AARDOgGr7sn1+5FXoW3rHlLMTeGeVnq8G0fTKpuo6i0VqnCL42iWjKtqXCR5MVvd44cwoWEPEOc2U8+QDDQLvU1obvd1wAe9lMdiWhSq0o/GSVlGIpdpNMpm40hUo2kyzkfTUk4Op5tgdmcufDOGZaG3boLYnWzQTTcZV1M5ElkZpaOkUp8t59FYjtKozEU5nSbTaarXlw6lm2B2Zy59M4ZlobdugtidbNDLKiqep1MpxtFoLGUksrFQnSuLo5Gcl/NSzoq4OqBugj3NmdscFmPGsCz01k3cVtiAD7rv1eLcbamoJrdbKv2eKgMQXNMJhDcBHvsVEvsNPfb2zeSW6Tt0pRqBGdBhglRNboIhnYC3atJPc65CM1RNlJh10KM8jUdxNo+K+UgvGSZJNJrPZ5GQ03Q+msUTOR8/PpgJDLM7c7vzZzg5A8tCbxMYYneyQR+hHMae5sztDoshY1gWeusmbitswAd9fMV1gXlPhd2GMR3XBGWhr25SIN4TG/TxLdUVmPdU2G0YQ8awLPTWTRDviQ2676qpcC+vqya3LVWnadymD1o1AQTXdALhTYDHfoXEfkOPvX0zuWX6Dl2pRmAGdJgQVRNAMKQTsFZNhfaaii6viRSzDjqJ4yyt8izK44mI1CA2j8qqmEZlqf4gmeSjcbVqmEOYwDCvqbA+QLadDDQLvU1giNfEBn18VVOBeU2F8M0YloXeugniNbFBH2HVhHlNhfTNGJaF3roJ4jWxQR9h1YR5TUXumzEsC711E8RrYoPuvWpyL6+rJrcuVaf9nngHEFzTCYQ3AR77FRL7DT329s3kluk7dKUagRnQYYJUTW6CIZ2At2rSXlPR5TWRYtZBi2kWT5JsGs3VkBWJWFRRJbOZUtJlOcnU78fJ9PHBTGCY11RYbZftZKBZ6G0CQ7wmNugjrJowr6mw2i6mjGFZ6K2bIF4TG/TxyeES85pKq+1iyhiWhb66SYl4TWzQfcvh0m2hqCa3Wihp2qYPKocBgms6gfAmwGO/QmK/ocfevpnc+muHrlQjMAM6TAg5DBAM6QSscrjUByOWXQcjkmI+OhOhTLEJzO6obCUDzUJvE5jb+hrwQR+fHC4xr6m02y6GjGFZ6K2bIF4TG/TxmQgl5jWVwjdjWBZ66yaI18QGfYRVE+Y1ldI3Y1gWeusmiNfEBt171eS2UFST51b6fo9ZBQiu6QTCmwCP/QqJ/YYee/tmcsv0HbpSjcAM6DBBqiY3wZBOwFs16dc4rkIzVE2UmHXQ2FMLhzKBYa9xLO2OiuEoSSwLvU1gbutrwAd9hFUT5jWVdtvFkDEsC711E8RrYoM+QjmMeU2l3XYxZAzLQm/dBPGa2KD7lsOV20J5XX3ISt/vabwAwTWdQHgT4LFfIbHf0GNv30xu/bVDV6oRmAEdJoQcBgiGdAJWOVzpU+qqrlPqSDEfnRyusEfpKrujYjhxFMtCXxNY5ba+BnzQTTeZiSIp5DSLMjmSarKrZFRm5SSap/N8Ph8leTY6HJ1TYV5TZbddDBnDstBbN0G8JjbopptMs7gaZfNpFCep+uw0U6p5KqbRPCnL8Ww8i0V6QN0E85oqu+1iyBiWhd66CeI1sUEfX3FdYV5TJXwzhmWht26CeE1s0E03SadpFus/jKtETVCinKkJalJESTkeZUmei/H8gLoJ5jVV0jdjWBZ66yaI18QG3Xtx7V5eV01uX6ru9wh4gOCaTiC8CfDYr5DYb+ixt28mdzW3Q1eqEZgBHSZIce0mGNIJeItr7TWtQjMU15SYddDYKx4PZQLDvKbKbruYjrmGstDbBIZ4TWzQR1hcY15TZbddDBnDstBbN0G8JjboI6yaMK+pstsuhoxhWeitmyBeExv00W3kFDH0XJP6mG/GsCz01E0Uj7ub8EEfnXMtYmjhX33MN2NYFnrrJsDCPx90z8W1iN3r2arJ7evZW6eRhyyuEYJrOoHwJsBjv0Jiv6HH3r6Z3NXcDl2pRmAGdJgAxTVCMKQTcBbXKqrTTWhbxTUt5mNzrkUMeU3qY37JQLPQ2wQGeE180EdXNYkY8prUx3wzhmWht24CeE180EdYNUFek/qYb8awLPTWTQCviQ/6CKsm6B166mO+GcOy0Fs3cfsQAz7o3qsm93q2anL7enavp9wiBNd0AuFNgMd+hcR+Q4+9fTO5ZfoOXalGYAZ0mCBVk5tgSCfgrZqK001ohqqJErMOGntzxKFMYJDXpD7mlww0C71NYIDXxAd9hFUT5DWpj/lmDMtCb90E8Jr4oI+vakowrymx2y70c4F76iYJ4jWxQR9f1ZRgXlNit13op4z31U0Qr4kNuu+qKXEvr6smty9Vl236oFUTQHBNJxDeBHjsV0jsN/TY2zeTW6bv0JVqBGZAhwlRNQEEQzoBa9WUaK8p6fKaSDHroLHXTx/KBIZ5TYnddtlKBpqF3iYwxGtigz6+qinBvKZE+GYMy0Jv3QTxmtigj7BqwrymRPpmDMtCb90E8ZrYoI+wasK8piT3zRiWhd66CeI1sUH3XjW5l9dVk9uXqrfO+A1bNbkJrukEwpsAj/0Kif2GHnv7ZnLL9B26Uo3ADOgwQaomN8GQTsBbNWmvKenymkgxH53XlGBeU2K3XQwnlmNZ6G0CQ7wmNugjrJowrymx2y6GjGFZ6K2bIF4TG/TxVU0p5jWldtvFkDEsC311kxTxmtigj69qSjGvKbXbLoaMYVnorZsgXhMbdN9VU+peXldNbl2qzuI2fdCqCSC4phMIbwI89isk9ht67O2byS3Td+hKNQIzoMOEqJoAgiGdgLVqSrXXlHZ5TaSYddDYwy2HMoFhXlNqtV22k4FmobcJDPGa2KCPr2pKMa9JD/1+GcOy0Fs3QbwmNugjrJowr0k3pV/GsCz01k0Qr4kN+girJsxr0vrFL2NYFnrrJojXxAbde9XkXl5XTW5dqs62joIOWzW5Ca7pBMKbAI/9Con9hh57+2Zyy/QdulKNwAzoMEGqJjfBkE7AWzVprynt8ppIMR9f1YR5TanVdtlOBpqF3iYwxGtigz66Vy2KFPOaUqvtYsoYloXeugniNbFBH19xnWFeU2a1XUwZw7LQVzfJEK+JDfr4iusM85oyq+1iyhiWhd66CeI1sUE33WQuxWRUCFVSjaejSBSjIhrFYxmNhSzn6WQWV9n8cLpJinUT+/K2IWNYFnrrJm4fYsAHrf7z1xpcfeevrN3AXdXtkAXV+O51bdX0tnXtJOn3MTiA4JpOILwJ8NivkNhv6LG3byp3VbdDV6oRmAEdJkSRDRAM6QSsRXaWnW5C2y6ySTHroJM4k5PZvIzm40S/1F6J6ZEoZRSnsRyNp/NpfEh6B/OcMuGXDDQLvU1kiOfEBn2E1RPmOWXSN2NYFnrrJojnxAZ9fJ5ThnlOWe6bMSwLvXUTxHNigz7CIhs6REd9zDdjWBZ66yZuP2LAB923NZm517VVk9vXtdM2fdiqyU1wTScQ3gR47FdI7Df02Ns3k1um79CVagRmQIcJUjW5CYZ0At6qqTzdhGaomigxH98EhnlOmd1+2UoGmoXeJjDEc2KDPr5VYoF5TsJuvxgyhmWhr24iEM+JDfr4imuBeU7Cbr8YMoZlobdugnhObNBNN6nkdJIn8zQSMlMXISvVm1S/Gk/G2Sgf51JU6eF0E8xzEnb7xZAxLAu9dRPEc2KD1p5T01W2FlnaqfjubPK9b775BkMm6kcPvqQQxZm6lOoiU33J1SWP9SXTl+a3lboU+nOF/lWp/6As1KVK9EV9RMaJvuhfJXFXLu0L3/j7I6CM4NpZp2Go0zDUaRjqNAx1GoY6DUOdhqFOw1CnYajTMNRpGOo0DHUahjoNQ52GoU7DUKdh2JWGIT0NbfUNpQEW4DoLSmerNOhrqa8qEfqa66tKhb5mzXX5k0pfi+bzRfPrsvlTlRF1VSnRV/1JnRR9bX7dkRb9b1Ly0vgiqxvncc/2rXCv/atRVNgo060d4kEXIgCCazqB8CbAY79CYr+hxy59YqePyJu5yQ0zoMOEWIgACIZ0AtaFCCFON6EZhilKzI3hUo3jPM3zaDqtlDAYxWVUzeNxNC0nKsqySPJp9fhgNCHmywnplww0C71pQsSXY4Nuukk6keMsFmVUTud6qSKJo2okx1E8nqgflFJkxfhwugnmy4ncN2NYFnrrJogvxwbddJMyL9NJMVV1RVbEqhqdzaNqIsZRVmVxNa9Go2x2QAsRmC8nrBaVKWNYFnrrJogvxwbdVJhnS138/1mq5H7lsduaUF3AtsyfpGk7G2HlsZvgmk4gvAnw2K+Q2G/osbdvLrce26Er1QjMgA4TRB67CYZ0Al55rH060eXTkWJu5LGcTau4rKLxTMpIjGd6GhxnUTxPy3yUTsfj0aqXHcKEhvl0wmZZGZKBZqG3CQ3x6digm24iyniuZrs8EqXMIlHMkmg0yeIoE/G0SGfzuHno6EC6icR8OmmzrIwZw7LQVzeRiE/HBr10/edlnM+ncTRPY/1Ual6pLlVV0WQ2E3GezUexKA6nm2A+nbRZVsaMYVnorZsgPh0bdN/b1qTbflJNbrefsjZ9UDkMEFzTCYQ3AR77FRL7DT329s3k1l87dKUagRnQYULIYYBgSCdglcNSv4dwFdq2HCbFfHwTGPYeQmlz+AzJQLPQ2wTmfkRtwAd9hHIYeyZMCt+MYVnorZu4rbABH/TxFdcS856k9M0YloXeugniPbFB9y6H3ZaKanKbpZJmok0fVg67Ca7pBMKbAI/9Con9hh57+2Zy668dulKNwAzoMEHksJtgSCfglcP56SY0gxymxHx8chizO6XN+TMkA81CbxMYYneyQS+7yWhUjrNxFRV5JiKhBFI0khN1idNkMsvkvEjk4XQT7D2E0v7kkyljUBZ66yZu62vAB32EchjzmqTNdjFmDMtCb90E8ZrYoPuWw7nbQnldfchKL9v0QeUwQHBNJxDeBHjsV0jsN/TY2zeTW3/t0JVqBGZAhwkhhwGCIZ2AVQ7n8ekmtG05TIr56ORwjtmbuf2JvK1koFnoawLLEXuTDfr4dE6eYt3E7qgYMoZlobdu4ra+BnzQ602iK0XQ+ybR3G2pqC5gfVIs7XcZECC4phMw6x537Df02Ns3l3ui3aEr1QjMgA4TRPe4CYZ0Al7do1+BuQrNoHsoMTcTWhFns3iqZjtZjiORTyfRaFbNokqMxmI2l/Nksnoa9BAmNMzuzIVfMtAs9DahIXYnG/QRymPM7sylb8awLPTWTRC7kw269/Udt8OjmtzuluRt+rA6x01wTSdg1jnu2G/osbdvJvfEukNXqhGYAR0miM5xEwzpBLw6R9udq9AMOocS8/FNYJjdmdudv61koFnobQJD7E426KabzNTfX03nk2iSz0aRiGdKDs2LcTQr5aiU43jSvFTlULoJZnfmdufPkDEsC711E8TuZINer++sRov+13fcrp7qAjZXL0l71j1ugms6AbPuccd+Q4+9fXO5J9odulKNwAzoMEF0j5tgSCfg1T3V6SY0g+6hxNwMU+Mql6rOj2RZVpEYl2U0Lua5+m08GY1GeZ6OZo8PZUIrsKc7C/uDjoaxHctCXxNa4XZjB3zQS3mcTnMp0ySaT9WUJ+KRPsCgzCORzGWVjMeiTOaH000w+7OwP+hoUopQFnrrJoj9yQa9lMfz0TTNRvNoPh5PI6GUVDRKxkUUT7KqnKRilmX54XQTzP4sbE6gMWNYFnrrJoj9yQa9fH+kHE3jXKSRLOIsEvl8HFV5MYqydJ6OZ3GVT/Q2s0PpJtijdoXdYTFkDMtCb93EbYUN+KD7Xi0u3JaKanJhoU+zok0ftGoCCK7pBMKbAI/9Con9hh57+2Zyy/QdulKNwAzoMCGqJoBgSCdgrZoK/WbRVWjbVRMp5uPTOZjdWUi/ZKBZ6G0CQ+xONuimm0iZTMZSTKORmM8jMROTaFxOykjOZtVsNErLMj2czRMF9mbRIvfNGJaF3rqJ2wob8EEf4RoM5j0VdhvGkDEsC711E8R7YoM+PouywLynwm7DGDKGZaG3boJ4T2zQa+9pVTz37j0V7uV21QXsS9fdJ4oHqaLcBNd0AuFNgMd+hcR+Q4+9fXO5ZfsOXalGYAZ0mCBVlJtgSCfgraK097QKzVBFUWLWQYtZnBfjWEajaayktCxlVI1n42g8natpsYyzeLIasA5gQisx76m02zCGQ3+xLPQ1oZWI98QGvdyCns6TaTKJo2QySZVGmoqonKmvzubJLK9EnpXp+HC6CeY9lXYbxniEOJKF3roJ4j2xQS9NhVE1TSd5EpVppjRSmslonFRlNKuKOJmOp4UUs8PpJpj3VNptGEPGsCz01k0Q74kNum9ToXRbKqrJ7W8v7FcOAwTXdALhTYDHfoXEfkOPvX0zufXXDl2pRmAGdJgQchggGNIJWOVwqR+1K7setSPFfHwTGPaoXSn8koFmobcJzG2FDfigj7BqwrynUvpmDMtCb90E8Z7YoI+wasK8p9Juw9ALiL66CeI9sUHr1WIN/rjnVeLSba2oprdZK0nafYZzEFnsJrimEwhvAjz2KyT2G3rs7ZvKrcN26Eo1AjOgwwSRxW6CIZ2AVxYXp5vQDLKYEvPx6R3M9iztZ7ZtJQPNQm8TGWJ7skEfod7B3jBa2p0VQ8awLPTWTdwW2IAPuukmaTqWs7mYRHGeyyhJ9Fu69DtO4ljGMi/LpJKHM5pUmOdU2e0XQ8awLPTVTSrEc2KD7nuVuHJbKarJ7W8x7FcOAwTXdALhTYDHfoXEfkOPvX0zufXXDl2pRmAGdJgQchggGNIJWOVwlZxuQtuWw6SYj28Cw2zOKvVLBpqF3iYwxOZkgz6+qqnCHrGr7M4KvYDoq5u4LbABH/TxVU0V5jlVwjdjWBZ66yaI58QGfXwPslSY51RJ34xhWeitmyCeExt071WT20pRTW61UkTcpg9bNbkJrukEwpsAj/0Kif2GHnv7ZnLL9B26Uo3ADOgwQaomN8GQTsBbNenXO65CM1RNlJiPr2rCHrGrbI6KIRloFnqbwNzW14AP+girJsxrqqxPm5kyhmWht26CeE1s0EdYNWFeU2WzXYwZw7LQWzdBvCY26KOrmmQMeU3qY74Zw7LQUzdRPO5uwgfdc9UkY/fyumpy61K1SNr0IasmhOCaTiC8CfDYr5DYb+ixt28mt0zfoSvVCMyADhOgakIIhnQCzqpJRXW6CW2raqLFvOxDk3FVZtNoNpllkaiUah7PR+MoLeVMTvNRkU9XWIcwgUFek/qYXzLQLPQ2gQFeEx/00VVNMoa8JvUx34xhWeitmwBeEx/00VVNMoa8JvUx34xhWeitmwBeEx/0EVZNkNekPuabMSwLvXUTwGvig+69anIvr6smty9Vp236sFWTm+CaTiC8CfDYr5DYb+ixt28mt0zfoSvVCMyADhOkanITDOkEvFVTfroJzVA1UWI+Nq9JxpDXpD7mlww0C71NYIDXxAd9hFUT5DWpj/lmDMtCb90E8Jr4oI+waoK8JvUx34xhWeitmwBeEx9033I4cVsor6sPWemzNn1QOQwQXNMJhDcBHvsVEvsNPfb2zeTWXzt0pRqBGdBhQshhgGBIJ2CVw0l8ugltWw6TYj46OZxAr29UH/NLBpqFviawxG19Dfigj08OJ5jXlKS+GcOy0Fs3QbwmNujjk8MJ5jUldtvFkDEsC711E8RrYoM+PhMhwbymRPhmDMtCb90E8ZrYoPXbr5YTT7sftFPx3dnke9988w2GTNSPHnxJIeZn6lJ2JUBaEpBkW3vPOtUuhIELXh37UMc+7Ip9SI+9rXOh2GGpq0PXijY/01dz8PpPKNE34S+j7/v4DQXovMHUqGJb5lb/39lGQQpzN8E1nUB4E+CxXyGx39Bjlz6x00eozVjthhnQYYIU5m6CIZ2AtzDXPtUqNMMwRYlZBz2aTMaTclREMyFSXZ1VqjqbTQ60MMd8qsRm2RiSgWahN42E+FRs0AfyhlA1RzuzoJre+nq5rOcVZjfBNZ2AeSJzx35Dj719U7lHzh26Uo3ADOgwQSYyN8GQTsA7kZWnm9AMExklZh30PJ2KJM+yaJaV1cFPZJhFmtjcQkMy0Cz0NpEhFikb9LLY1+xZuyO0cwGVmqRULKv9NFHVflZ0ZCC1vtUwE533bZBqX8U+7Ip9SI89SLWvYlfXjuD1n1Oi1+FvrSMG71Gp6lGp1JdS962mg4muDmY9gyuTPXewVHUwhTLUKEONMuxCGdJRwvS3VPc3xaKvZdP3lj3QjNP0UALPcz2w9/Wm1G0PvS5Tmz2UbB9+G1SmAwTXdALhTYDHfoXEfkOPXfrETh/R1nIBgBnQYULIdIBgSCdglelperoJzTBMUWJupFcqxViMZ9FoIrNIjNIqGk3TLKqKdDwr5HiSivHjQ5HpKWbdpjYX05AMNAt9yfQUsW7ZoJtuUuZlOimmRTTOijgS+WweVRMxjrIqi6t5NRpls/Jwuglm3eqh3y9jWBZ66yaIdcsG/berY+5Xw3j/usf9NJzqAtKajV7f2I4QXNMJmHWPO/Ybeuztm8s90e7QlWoEZkCHCaJ73ARDOgGv7pGnm9AMuocSsw56ImfTKi6raDyTMlKzYBmV03EWxfO0zEfpdDwerXrZIUxo0El8Uncln2SgWehtQnO7wwM+6CPUPZgdm9qdSUPGsCz01k0QO5YNuu8HfVK386Sa3P40XPcqcBCd4ya4phMw6xx37Df02Ns3k3ti3aEr1QjMgA4TROe4CYZ0Al6do23YtMuGJcV8fBMYZsOmNkfSkAw0C71NYIgNywZ9fHI4w96KmtkfjjNkDMtCX90kcz/FOOCDXm0706N4r+s6mfupONX0Vteu3zMlEIJrOgGv3gFiv6HH3r6p3BPsDl2pRmAGdJgQegcgGNIJWPVOpt+OmnW9HZUU89H5WVmKTWRWc8/0pmssC71NZG4XdsAH3XST8XgyG82zKpJCTCJRlPNolMdq+kvG5TQZj6aZjA+nm2C2Z2Z1AE0Zw7LQWzdBbE826L7XdTK3m6eaXFjoU9G92yqIznETXNMJmHWOO/Ybeuztm8k9se7QlWoEZkCHCaJz3ARDOgGvzhGnm9AMOocS8/FNYNgLeTPplww0C71NYG7XdcAHfYRyGLM5s9w3Y1gWeusmiM3JBr155ULa7gftVEA7skmZWG6Zz/RGeaE3yguhL4W6yFhfMn3RL2SQlbrkemt9rrfW5/obhf5Gob9R6G+U+hul/kapv1Hqb1T6G5X+RqW+kceJvgh9Ud/Ik1hfMn3J9UV9I9fb93O9fT/X2/dzvX0/z/Q3Mv0Nob8h9DeE/obQ35D6G1J/Q+pv5Pobuf5Grr9R6G8U+htF3tXCVofS4xgWqJ3wOXj5EECmt/4LvfVfNc5QN85QN85QN85QN85QN85QN85QN85QN85QN85QN85QN85QN85QN85QN85QN85QN85QN85QN85QN85QN85QN85QN85QN85QN85QN85QN85QN85QN85QN85QN85QN85QN85QN85QN85QN85QN85QN85QN85QN85QN85QN85QN85QN86wq3GG9MYJ8lhD1jzKIJpHGVTz6Guhr6qB9DVrrs2LNVQbqWvePAaRN49B5M13i+a7RfPdovlu2Xy3bL5bNt8tm+9WzXer5ruV/q5uMX0VzVV/VzeavmbNNW+u+rt58/hF3jx+kTePX+TN4xe68fS1+a5oviua74rmu6L5rmy+K5vvyua7efPdvPlu3ny3aL5bNN/taEqdLUpb6sY8lEc6MrfLqWZJ64ObPb/bEyC4phMIbwI89isk9ht67NIndvqMu9EebpgBHSZIaegmGNIJeEtDbflnXZY/KWYddDGbl0k8H0dVkiabx29Hh/nkdYZZ/pnN/TYkA81Cb5ofsfzZoJtuks/LOJ9P42iexvNITHL12WlVRZPZTMR5Nh/FojiYbiIwy19Ynxc2ZQzLQl/dRCCWPxt030vgwu1uqia3vwA3b9MH1TkAwTWdgFfnALHf0GNv30zuiXWHrlQjMAM6TAidAxAM6QSsOkdoq190Wf2kmI9vAsOsfmFzvQ3JQLPQ2wSGWP1s0MsdsFU6reblNJrPR/qzen9bMU2jNEvzUT6pRJmJw+kmmNUv7O9pNmQMy0Jv3QSx+tmge9c5bndTNbmw0vf7ig6A4JpOwKxz3LHf0GNv30zuiXWHrlQjMAM6TBCd4yYY0gl4dY62+lehGXQOJebj0zmY1S+kXzLQLPQ2gSFWPxv0EeoczOoXuW/GsCz01k0Qq58Nuned435QVzW5zZ1LRdmmD6tz3ATXdALhTYDHfoXEfkOPvX0zuSfWHbpSjcAM6DBBdI6bYEgn4NU5xekmNIPOocR8fDoHO3tX2J/b3UoGmoXeJjC32zrggz5CnYPZm8Lm9BkzhmWht26C2Jts0H3rHOl27V6X0v6gbr+vHgMIrukEvDoHiP2GHnv7ZnJPrDt0pRqBGdBhQugcgGBIJ2DVOVKfvSu7zt4lxXx0OkdiZ+9Ku4lneL0SloW+JjDpdlsHfNDHp3MkZm9Ku9NnegsXlIXeuglib7JB965z3K6danKraye3HtANq3PcBNd0Amad4479hh57+2ZyT6w7dKUagRnQYYLoHDfBkE7Aq3Oy001oBp1Difn4dA72znAp/JKBZqG3Cczttg74oI9Q52D2ppS+GcOy0Fs3QexNNujedY7btVNNnlvpu58QDKJz3ATXdAJmneOO/YYee/tmck+sO3SlGoEZ0GGC6Bw3wZBOwKtz9JHNq9AMOocS8/HpHOwd4dJq4m0nA81CbxOY220d8EEfoc7B7E1pdfpMGcOy0Fs3QexNNujedY7btVNNbnXtZNqmD6tz3ATXdAJmneOO/YYee/tmck+sO3SlGoEZ0GGC6Bw3wZBOwKtzqtNNaAadQ4n56HROjj0wnFtNvO1koFnoawLL3W7rgA/6+HROjtmbudXpM2UMy0Jv3QSxN9mg/3Z1VOBKEejG7/V9OrnbxVNdwObiJT2/ahUguKYT8OoeIPYbeuztm8s90e7QlWoEZkCHCaF7AIIhnYBV9+T6iORVaNu6hxSzDjqpRvNiPsuiUogsEjIvo1GRxJEq9VIxnxZiMj0g3YM9QJzbX5tteJ0kloXeJjS3+zrggz5CeYzZnbnwzRiWhd66CWJ3skH3vb6Tu1081eTSQp/Kft8bCBBc0wmYdY479ht67O2byT2x7tCVagRmQIcJonPcBEM6Aa/O0Ucir0Iz6BxKzMc3gWEPEOe5XzLQLPQ2gbnd1wEf9BHKYczuzO3OnyFjWBZ66yaI3ckG3bvOcbt4qsntLl6/RyIDBNd0Amad4479hh57+2ZyT6w7dKUagRnQYYLoHDfBkE7Aq3P0+5Hzrvcjk2I+Pp2DPUCc2009w7GvWBZ6m8Dc7uuAD/r4dE6B2Z2F3fkzZAzLQl/dpEDsTjbovnVO4XbxVJPbXbx+fSuA4JpOwKtzgNhv6LG3byb3xLpDV6oRmAEdJoTOAQiGdAJWnVPo9yMXXe9HJsV8dDqnSLEJzGbiGZKBZqG3Cczttg74oJtuEmezST4rkmiaTqaRKCsRVbKc6u0beZLEspDz6nC6CWZvFvZnFg0Zw7LQWzdB7E026N51jtu1U00urPT9ngMBEFzTCZh1jjv2G3rs7ZvJPbHu0JVqBGZAhwmic9wEQzoBr87R70dehWbQOZSYj0/nYA8QF9IvGWgWepvA3G7rgA/6CHUOZm8WuW/GsCz01k0Qe5MNuned43btVJPbXbt+z4EACK7pBMw6xx37DT329s3knlh36Eo1AjOgwwTROW6CIZ2AV+fo9yOvQjPoHErMx6dzsAeIC7uJRz8SwXTPOeH3cN+53dYBH/QR6hzM3iwq34xhWeitmyD2Jht03zqndLt2r6sPWen7PQcCILimE/DqHCD2G3rs7ZvJPbHu0JVqBGZAhwmhcwCCIZ2AVeeU+v3IZdf7kUkxH53OKbEHiEu7iUc/EsF0zznh93Dfud3WAR/08emcErM3S7vTZ8gYloXeuglib7JB965z3K6danK7a9fvORAAwTWdgFnnuGO/ocfevpncE+sOXalGYAZ0mCA6x00wpBPw6hz9fuSy6/3IpJiPT+dgDwyXwi8ZaBZ6m8DcbuuAD/r49iGXmL1ZSt+MYVnorZsg9iYbdO86x+3aqSbPbfR53KYPq3PcBNd0Amad4479hh57+2ZyT6w7dKUagRnQYYLoHDfBkE7Aq3P0+5FXoRl0DiXm49M52APDpdXE204GmoXeJjC32zrggz7C9RzM3iytTp8pY1gWeusmiL3JBt27znG7dqrJKyt9v+dAAATXdAJmneOO/YYee/tmck+sO3SlGoEZ0GGC6Bw3wZBOwKtz9PuRV6EZdA4lZh30WIzjNIlHUTmai0jkIo/GyaiK5pNRPkkyERej0eNDmcAq7IHhymribScDzUJfE1jldlsHfNDHp3MqzN6srE6fKWNYFnrrJoi9yQbdt86p3K6danKra5enbfqgOgcguKYT8OocIPYbeuztm8k9se7QlWoEZkCHCaFzAIIhnYBV51T6fcir0LZ1Dinmo1vPqbAHhiuribedDDQLvU1gbrd1wAd9hDoHszcr4ZsxLAu9dRPE3mSD7l3nuF071eTSSt/v+5ABgms6AbPOccd+Q4+9fTO5J9YdulKNwAzoMEF0jptgSCfg1Tn6fcir0Aw6hxLz8ekc7IHhKvdLBpqF3iYwt9s64IM+Qp2D2ZuV3ekzZAzLQm/dBLE32aB71zlu1041ud216/d9yADBNZ2AWee4Y7+hx96+mdwT6w5dqUZgBnSYIDrHTTCkE/DqHP0+5KrrfcikmI9P52APDFeVXzLQLPQ2gbnd1gEf9NHpnDyG7E31Md+MYVnoqZsoHnc34YPuWefksdu1U01ud+16fR8yQnBNJ2DVOUjsN/TY2zeTe2LdoSvVCMyADhNA5yAEQzoBp85RUZ1uQtvSObSYj03n5HGKTWB2E4/+amDTPeeE38N953ZbB3zQR6hzIHtTfcw3Y1gWeusmgL3JB927znG7dqrJhZW+1/chIwTXdAJmneOO/YYee/tmck+sO3SlGoEZ0GGC6Bw3wZBOwKtzxOkmNIPOocR8fDoHemBYfcwvGWgWepvA3G7rgA/66J4rz2PI3lQf880YloXeuglgb/JB965z3K6danK7a9fr+5ARgms6AbPOccd+Q4+9fTO5J9YdulKNwAzoMEF0jptgSCfg1TnF6SY0g86hxHx8Ogd6YFh9zC8ZaBZ6m8DcbuuAD/oIdQ5kb6qP+WYMy0Jv3QSwN/mg+9Y5idu1e119yErf6/uQEYJrOgGvzgFiv6HH3r6Z3BPrDl2pRmAGdJgQOgcgGNIJWHVOEp9uQtvWOaSYj07nJNADw+pjfslAs9DXBJa43dYBH/Tx+VYJZm8mdqeP/mrgvroJYm+yQfeuc9yunWpyu2vX6/uQEYJrOgGzznHHfkOPvX0zuSfWHbpSjcAM6DBBdI6bYEgn4NU52ekmNIPOocR8fDoHemBYfcwvGWgWepvA3G7rgA/6CHUOZm8m0jdjWBZ66yaIvckG3bvOcbt2qslzG30Rt+nD6hw3wTWdgFnnuGO/ocfevpncE+sOXalGYAZ0mCA6x00wpBPw6pz8dBOaQedQYj4+nQM9MKw+5pcMNAu9TWBut3XAB32EOgezNxOr02fKGJaF3roJYm+yQfeuc9yunWryykrf6/uQEYJrOgGzznHHfkOPvX0zuSfWHbpSjcAM6DBBdI6bYEgn4NU51ekmNIPOocR8dDonxR4YTq0m3nYy0Cz0NYGlbrd1wAd9fDonxezN1Or0mTKGZaG3boLYm2zQfeuc1O3aqSa3unZF2qYPqnMAgms6Aa/OAWK/ocfevpncE+sOXalGYAZ0mBA6ByAY0glYdU6anm5C29Y5pJiPT+dgDwynVhNvOxloFnqbwNxu64AP+vj2IaeYvamHfr+MYVnorZv8/6s7ux63cSwN/5VBrgZICIjih8gF9mqA3qvZizjTtrQ9F/rsLmw61ahU7+wOMP99SbtSO6uSyVfHoSnlwknKdtV5Xr3SOT6HYiHjzWTQ2euc+NTOHXIVpM+6HzJCcKQTJK5z4rGf6LHPT6Z4Yr3BSgcEpqbD3KXOiRM0dIK0dY56/xraQp1DiXl/dQ52w7C30hoxUBWyJbD4tLVOB73DOgcbb5bhSd+CYpgK2WyCjDeTQWevc+JTO3fIw1O7rPshIwRHOkHiOice+4ke+/xkiifWG6x0QGBqOsxd6pw4QUMnSFvnmPevoS3UOZSY91fnYDcMl+EhHn1r4KVzLgr/Hc67+LS1Tge9vzpHYONNEZ70LSiGqZDLJgIZbyaDzl3niPjUzh3y8NQu737IAMGRTpC2zgFiP9Fjn59M8cR6g5UOCExNh7lHnQMQNHSCpHWO8Pshi2v7IZNi3l2dI0osgYWHePStgZfOuSj8dzjv4tPWOh30DuscbLwpwpO+BcUwFbLZBBlvJoPOXufEp3bukMsgfd79kAGCI50gcZ0Tj/1Ej31+MsUT6w1WOiAwNR3mLnVOnKChE6Stc/x+yC+hLdQ5lJj3V+dgNwwLtU4MVIVsCSw+ba3TQe9vHbLAxptCr1UMUyGbTZDxZjLo7HVOfGrnDnl4apd3P2SA4EgnSFznxGM/0WOfn0zxxHqDlQ4ITE2HuUudEydo6ARp6xy/H/JLaAt1DiXm/dU52A3DIjzEo28NvHTOReG/w3kXn7bW6aB3WOdg401h1yqGqZDNJsh4Mxl07jpHxqd2P7oXBenz7ocMEBzpBGnrHCD2Ez32+ckUT6w3WOmAwNR0mHvUOQBBQydIWudIvx+yvLYfMinm3dU5ErthWIaHePStgZfOuSj8dzjv4tPWOh30/uociY03ZXjSR98aOJdNkPFmMujsdU58aucOeXhql3c/ZIDgSCdIXOfEYz/RY5+fTPHEeoOVDghMTYe5S50TJ2joBGnrHL8fsry2HzIp5v3VOdgNw1KuEwNVIVsCi09b63TQO6xzsPGmVGsVw1TIZhNkvJkMOnudE5/auUOuQ/SmmNPft86JExzpBInrnHjsJ3rs85MpnlhvsNIBganpMHepc+IEDZ0gbZ3j90N+CW2hzqHEvL86B7thWAaHeG/FQFXIlsDi09Y6HfQO6xxsvCmDk74lxTAVstkEGW8mg85e58Sndu6Q2yB93v2QAYIjnSBxnROP/USPfX4yxRPrDVY6IDA1HeYudU6coKETpK1z/H7IL6Et1DmUmHdX5yjshmEVHOK9FQNVIVcCU/Fpa50O+lLn9H1ZjINiY297l+yGkpl2qFgvhe6kmspR6e3YBBtvquCkb0kxTIVsNkHGm8mgc9c5Kj61c4c8OLUz5Zz+rnUOQHCkE6Stc4DYT/TY5ydTPLHeYKUDAlPTYe5R5wAEDZ0gaZ2j/H7IL6G9rXNIMe+vzsFuGFbBId5bMVAVsiWw+LS1Tge9v36OwsabSq5VDFMhm02Q8WYy6Ox1Tnxq5w65CtLn3Q8ZIDjSCRLXOfHYT/TY5ydTPLHeYKUDAlPTYe5S58QJGjpB2jrH74f8EtpCnUOJeX91DnbDsP98uUYMVIVsCSw+ba3TQe+wzsHGmyo86VtQDFMhm02Q8WYy6Ox1Tnxq5w55eGqXdz9kgOBIJ0hc58RjP9Fjn59M8cR6g5UOCExNh7lLnRMnaOgEaescvx+yurYfMinm/dU52A3Dyq4TA1UhWwKLT1vrdND72ydQY+NNHZ700bcGzmQTjYw3k0HnrnN0fGrnDnl4apd3P2SA4EgnSFvnALGf6LHPT6Z4Yr3BSgcEpqbD3KPOAQgaOkHSOkf7/ZD1tf2QSTHvrs7RJZbAwkM8+tbAS+dcFP47nHfxaWudDnqHdQ423tThSR99a+BcNkHGm8mgs9c58amdO+QySJ93P2SA4EgnSFznxGM/0WOfn0zxxHqDlQ4ITE2HuUudEydo6ARp6xy/H/JLaAt1DiXm/dU52A3DWq0TA1UhWwKLT1vrdNA7rHOw8abWaxXDVMhmE2S8mQw6e50Tn9q5Qx6e2uXdDxkgONIJEtc58dhP9NjnJ1M8sd5gpQMCU9Nh7lLnxAkaOkHaOsfvh/wS2kKdQ4l5f3UOdsOwDg/x6FsDL51zUfjvcN7Fp611Ouj9rc/R2HhThyd99K2Bc9kEGW8mg85d51Txqd2P7kVB+rz7IQMERzpB2joHiP1Ej31+MsUT6w1WOiAwNR3mHnUOQNDQCZLWOZXfD7m6th8yKebd1TkVdsNwFR7i0bcGXjrnovDf4byLT1vrdND7q3MqbLxZhSd99K2Bc9kEGW8mg85e58Sndu6Qh6d2efdDBgiOdILEdU489hM99vnJFE+sN1jpgMDUdJi71DlxgoZOkLbO8fshV9f2QybFvL86B7thuJLrxEBVyJbA4tPWOh30DuscbLxZqbWKYSpkswky3kwGnb3OiU/t3CHXIXpbzOnvW+fECY50gsR1Tjz2Ez32+ckUT6w3WOmAwNR0mLvUOXGChk6Qts7x+yG/hLZQ51Bi3l+dg90wXAWHeG/FQFXIlsDi09Y6HfQO6xxsvFkFJ31LimEqZLMJMt5MBu3+/PXiFTk3wlyLr2P//PD4JYEUh7/8+Y+1NsUH91D6B+kftH8w7sH6J6x/wvonrH/Cuieqwj1Rcfe1qqzcg7DuQfFrEtqAhFziK1AhHfAk5+EbD994+MbDNx6+8fCNh288fOPhGw/fePjGwzcevvHwjYdvrsE3dPh5coTg4fzo2V0adPD+sTw/yvOjPj8a/2jPz9rzs/b8rD0/a/2zXgb3yP3XvRDu0SnhHq9I4ZMuRQsvBn85Mdxf/5Hzs4GJj7d+dC8KUuad9QIERzqBXE2Ax/4Rif1Ej12tiZ1+xf2WfACYmg5zj88GAEFDJ0j62cD4Wa+5NuslxeyDHguhVc87pifdMs7HidlClr5KbGUvRi3K/qetFH0Gm/Wa0NhzQQxUhVxFn0Fmvcmgcze3THyE6Q55cIRp8/4SDIDgSCdInMDisZ/osc9PpvgV8wYrHRCYmg5zlwQWJ2joBGkTmN8c+iW0hQRGidkHbXouhJCcuY8BFZNjJ1g7jgMbhB7kJNu+nIqfNpPAsLunTXCi+VYMVIVsCSw+eq7TQWdPYPERpjvkMkhfXj1n75LA4gRHOkHiBBaP/USPfX4yxa+YN1jpgMDUdJi7JLA4QUMnSJvA/N3TL6EtJDBKzOdGkahabmzP2n4omOyKgrXc/deaojTaVKKzL2fIFhIYtrzAqHVioCpkS2DI8oJk0NkTWHyi6g65DtLn3bYeIDjSCRInsHjsJ3rs85MpfsW8wUoHBKamw9wlgcUJGjpB2gTmlxe8hLaQwCgx+6CrXnLBC86K0rZMKiPd9WysmLbtUPBp6Np2O8sLDLa8wIQn7Qtbc2MqZEtgyPKCZNDZE1h8au4OeXhqnnc/coDgSCdInMDisZ/osc9PpvgV8wYrHRCYmg5zlwQWJ2joBGkTmN+P3Fzbj5wUsw9a8b5tte7ZWPGRSTENrJUjZ9UoyqHoplH1Ly7bQgLDbtg3dp0YqArZEhhyw34y6NwJzMbn1j+6FwXp8240DRAc6QRpExgQ+4ke+/xkil8xb7DSAYGp6TD3SGAAQUMnSJrArF/EYa8t4iDF7IPGJvkbSWAWW8Rhg/euvxUDVSFXArPIIo5k0NkTWHxu7Q55eAacdwdhgOBIJ0icwOKxn+ixz0+m+BXzBisdEJiaDnOXBBYnaOgEaROYX8Rhry3iIMXsg8Ym+VtJYNgiDhtez7CwSyqmQrYEhiziSAadPYHF59bukMsgfd6tYQGCI50gcQKLx36ixz4/meJXzBusdEBgajrMXRJYnKChE6RNYH4Rx0toCwmMErMPGpvkbyWBYYs4rFonBqpCtgSGLOJIBp09gcXn1u6Q6yB93vvAAIIjnSBxAovHfqLHPj+Z4lfMG6x0QGBqOsxdElicoKETpE1gfhHHS2gLCYwSsw8am+RvJYFhizhseD3Dwi1RmArZEhiyiCMZdPYEFp9bu0MengHn3cwRIDjSCRInsHjsJ3rs85MpfsW8wUoHBKamw9wlgcUJGjpB2gTmF3HYa4s4SDH7oLFJ/lYSGLaIw9p1YqAqZEtgyCKOZNB+9xr3Zn+lz7kjR1XE59c/uhcFVOAyayJDCI50gqSJDIn9RI99flLFr5w3WOmAwNR0mDskMoSgoROkTGQuqvevob1JZLSYfdBSmKkQnXHluFRMVlKzdhIds3KwUlS66ET300YSWVVAizncy9aJgaqQKZE5nqhr63TQZ5vYdmqrduhZqQvJZDcZZngpmCitLKV2H+Oqcjs2KTGbhObHi4phKmSzSXzQX6eDvvR1OqtVIUamjLHutcawrpq0+2/hiiZXNZXtuB2bQJN197K1imEqZLMJMFlPB31JOrrvZdtZpkShmZRdwbqiHFgl+raUQy+V3lDSgbbCdy9bqximQjabxKeudTros00GYXUv/K/wLcbefdIqRtZpxVk/mdG0vJhKvxX/VmwCjTndy9YqhqmQzSbAmDMd9NkmpRlaJdwH8qLSnEletKwzamTGlTeDKdpx5HY7NoF+07d72VrFMBWy2SQ+AqvTQV+uJqOUhvt5eSEmJsupY50tBJtaPhRGqlHIdjs2gWZO7mVrFcNUyGYTYOaUDvqyL/nYVV0/laztuXF1zODcNArNRN93sh9cdVOI7dgE2pfcvWytYpgK2WwSn0fU6aAvV5OuqrQtDGurcWBynEbW8rFgXPbFILp2mPi0HZtAAwD3srWKYSpkswkwAEgHfblXahJaD7pjnHtLce0XbvXqXNGM7mujKbdzNeEFZBO+steIqpDLJjzeFK7TQZ9tgv3ijK3YBOvC8tUNSUyFbDZBurDJoF+uJu1QinZiU9e5K48oXariXcWKXljTl3IUQm/HJlgXlq9uSGIqZLMJ0oVNBn2pTfjA+aAs69TkW3F9wYyV3lwF10VRdtOWriZYF5avbkhiKmSzCdKFTQadeXVdxePNRXfIZYBeFMWc/q6LEgCCI51AribAY/+IxH6ixz4/meJT8BusdEBgajqMXg2z1kqfEIKGTpB0UQKX719De7sogRTz/hIY1vjnap0YqArZEhjS+E8GvcNPTVjjn4d64IuKYSpkswnS+E8GvcMeDNb456Ee+KJimArZbII0/pNB76+jy7HGPw/1wJevv5AK2WyCNP6TQV/uvW7tUPaaM2cdP0sSinXcGjbaquBDN1RKjtuxCdb456Ee+KJimArZbII0/pNB72+MWGKN/zLUA19UDFMhl01KpPGfDHp/a1dKrPFfhnrgi4phKmSzCdL4Twa9v7UrJdb4L0M98OU0DamQzSZI4z8Z9P4WTJZY478M9cCXFYNUyGYTpPGfDHp/q/RLbPm1b5mvUwxTIZtN4k3hOh30/u75KbEurD+U6xTDVMhmE6QLmwx6f3cQllgXtlzdkMRUyGYTpAubDDr3tLmMNxfdIQ83F7P+Tm+E4EgnkKsJ8Ng/IrGf6LHPT6b4ePMGKx0QmJoOo1fDrLXSJ4SgoRMknTaX1fvX0N5Om0kx727aXGKN/zLcA1/49daYCtkSGNL4Twa9v8WXJdb4L8M98AXFMBWy2QRp/CeD3t+0WWCNfxHugS8qhqiQyyYCafwng97ftFlgjX8R7oEvXX8hFbLZBGn8J4Pe3xhRYI1/Ee6BLyiGqZDNJkjjPxn0/saIAmv8i3APfEExTIVsNkEa/8mg9zdGFFjjX8i1imEqZLMJ0vhPBr2/MaLAGv9CrVYMUiGbTZDGfzLo/e3iJLDGvwj3wBcUw1TIZhOk8Z8Men9jRIEtvxYre42oCtlsEm8K1+mg9zdGFFgXVqxuSGIqZLMJ0oVNBp17jCjizUV3yMPNxXJOf9cxIkBwpBPI1QR47B+R2E/02OcnU3xudYOVDghMTYfRq2HWWukTQtDQCZKOEYV9/xra2zEiKebdjREl1viX4R74GzFQFXIlMIk0/pNB728+JLHGvwz3wBcUw1TIZhOk8Z8Men/zIYk1/mW4B750YkEqZLMJ0vhPBr2/uxEl1viX4R74gmKYCtlsgjT+k0Hvb4wosca/lGsVw1TIZhOk8Z8Men9jRIk1/qVaqximQjabII3/ZND7GyNKrPEvwz3wBcUwFbLZBGn8J4Pe3xhRYo1/Ge6BLykGqZDNJkjjPxn0/saIEmv8y3APfEExTIVsNkEa/8mg9zdGlNjya7my14iqkM0m8aZwnQ56f2NEhXVh1eqGJKZCLpsopAubDNr9+euZ/ALOf8rzC3qvHOrg/uEq712IKt4WPdIJ5GoCPPaPSOwneuzzkyg+r/pelqnpQevVQa+1zCdE9oZOkHRMqPj719DejglJMfsrjw/8xS7/d8mZ++fr2D8/PH75/hb618Nf/vxHxyY+1FUlr116Qy1rrkrYURAGbiofe+Njb67F3tBjn3sJih22kw/du0Z8cI9XgvfPU6LfQDJ7XSOj4r1ul+SC29orefUY3SXJxQmOdILESS4e+4keu1oTO/0K9VolxmFqOsxdkl+coKETpE1+4v1raAuXKUrM5zmUKvtCmsp94Jd+oYQfS2g9MFVNqqgK925tftrMpzNsDqXkOjFQFbJ9OkPmUMmgLzYxQo7d6D7rCzswyfuSmXIs2NRpIcxQFVZsZw6lsDmUUqsVg1TIZhNkDpUM+mwTYSzvjZLMct0xKSvt/jX0rJJCtX3HJzuM27EJNodSoZHMomKYCtlsgsyhkkFfbNL2fW+HjvW9v/LosmAtL92FqLJKjs5SpttO51hhcygVGsksKwapkM0myBwqGfRL57jTVTGWrLLGMFnZknVa90xN41DqtldaqO3YBJtDqeDvwF1SDFMhm02QOVQy6ItNbCGK1r12MNZZSox+AVbXsqHk46jt0CuzoQEDNodSoZHMsmKQCtlsgsyhkkFfbNIVrRr5xPpymlyCki5Vic6VNaqzaupHPhq+GZtobA6lg78Dd1ExSIVcNtHIHCoZ9KUTzHlXdVKwtnVFrhQFZ3ZUI5Pt0BaDqDpVqe3YBLsbQIdb4wuKYSpks0l8hlGngz7bRJeju7pId6mxpbvyTIOzVOsXcaqOD4UoR1Fu5wOxLjGbhHvdC4phKmSzCXI3QDLoi0104UpcpZjoB/fh2d+RZNTE/RsG3veDLdrt1CYauxtAr+w1oipks0m8KVyng77YpHX1ijAT62zvrjxt1TEzuv+2lRmsKYdBtXI7NsG6sFquVgxSIZtNkC5sMuizTaqiGLSxLiMVkzjfy8jMUCrG28kazQfdb+gDsca6sFqtVQxTIZtNkC5sMuizTUzbtZX7GazrO/fhWY4V65Tp2dQVsldDaVw1sx2bYF1YvbohiamQzSZIFzYZ9GX9rrCy7/xHZtNXTI5lwexgJCuNUlYVY1ttaPSnsS6sXt2QxFTIZhOkC5sM+myTVg+usm21+7R8vvK0lrXGJShd9LrXo7Ktv2llKzbBurB6dUMSUyGbTZAubDLos0061ZWtVe5J63//c9sOLkH1ko2dUKMxXdHz7dzQqrEurF7dkMRUyGYTpAubDPpiE6PbcVSCcdFN/maklrWyFUwVUpV+oFyM2xn9VVgXtlrdkMRUyGWTCunCJoM+26SvqmrSXLLBmJLJquxZq4aeaaUGVVo5DBtqr1VYF7Za3ZDEVMhmE6QLmwz6YpO+r7jQIzOSuw/PXBrmL0VsLEWp+Mi5HDZ0NcG6sNXqhiSmQjabIF3YZNBnm0yT7KqBD0y3/h7piXPWWtuzsuq6YjLdpMZ+OzbBurDV6oYkpkI2myBd2GTQ3ifBwx9fFn4DvTvo8eaiO+QyQC8KMae/6yp9gOBIJ5CrCfDYPyKxn+ixz0+m+LLwG6x0QGBqOoxeDbPWSp8QgoZOkHSVfiXfv4Y2C/l8mxEhZh80tlR7KwkMa/z7WfoaMVAVsiUwpPGfDPpsEz62BXeJjQntmzaF6f1SbcG6YZyULrSqymI7NsEa/1WoB76oGKZCNpsgjf9k0JdbEyv3SaotNRt642oiPbrSWemWlbIzvFRVK765Ygs2wRr/VagHvqgYpkI2myCN/2TQ+7uZo8Ia/1V4R5wFxTAVstkEafwng76sq+W6tKaQTBv/2rZSrPUzaqvGVvRciNZs6GqCNf6rUA98UTFMhWw2QRr/yaD3dzOHwRr/JrwjzpJikAq5bGKQxn8y6P0tvzZY49+E9yVfUAxTIZtNkMZ/MuiLTaywg/tOfu2CvLzWiNaVu1XR9sIIO5oN2QRr/JtQD3xZMUiFbDZBGv/JoPe3rtZgjX8T3pd8QTFMhWw2QRr/yaD3t67WYMuvjVyrGKZCNpvEm8J1OuiLTVwGGgv3kbnQqmTSuIeu4yMToxz9U+7fw3ZsgnVh/bVypWKQCtlsgnRhk0Hvb/m1wbqwZnVDElMhm02QLmwy6P0tmDRYF9asbkhiKmSzCdKFTQa9vwWTBuvCmtUNSUyFbDZBurDJoF8WTMpeykGynrs3uOfdh2fOKzaNroDRRaf6Tm/HJlgX1qxuSGIqZLMJ0oVNBr2/dbUW68La1Q1JTIVcNrFIFzYZ9GXBZMt7U7rcZDpfxzgPMdu5fNV21hZKC6MLuR2bYF1Yu7ohiamQzSZIFzYZ9D/OO2f/42XdyZsKZK4HtHczSY7L9tlWXBMg1F/kSs0FuO/O2VfCbuhhz1e3QWHDC9xeNs2+ErZ/hhL32ULZHXRt73UbXnOsMzvo2rbr5LDv46CrG66T4vaB2zeFy90tpK5ZSAaZqswWWg67oYd9Hwsth302FyHu80XoxTG5Nu1f4nGFiwri2KuH4R7L/m2833qkE8jVBHjsH5HYT/TY1ZrYyZeeKxccatDzC0486LWW+YTI3tAJki7vt+r9a2gL1x1KzK919D/effin7/nuX979wN1X/t83u7zlwz99l29f+fr8P5/Hr4783fT45dn/3T9+fnzy/2iffu78d/uh/EFJU7nPK+++tL/6H/Dp4dfx6x/+ffzbHz4+/tp+cT/t68Pf3RO8/PDu9y/D+PT54Yt/3ZdH95d7W/v54ecv3pf+2/7y+PTwd/ez2s/uFZ/H6dm9/b/Gp+eH/vyV3r1sfHJf+9tT+9un8b/de56ffh/dd+kc4vh0jrV7fH5+/PXyL//Fg6f49gM/LCAU5z/u08eHd8ND+/PjF/+zKO8+B0x659PDz78Q3/r8+Bvlje6d08PnM6j/2/vTveDr42d3+L0Xhj9dfa83Rvv0/PYF37zgzfD7r9349MPjk7PZxUD+X396HPxP+bfxy/jkRHav++3p8fmSx/2rPj/2/zk6+3378uhjuZxU7osPX35xV7JnH/z/Aj3hAIw=</t>
  </si>
  <si>
    <t>Квалификационная и контактная информация</t>
  </si>
  <si>
    <t>А</t>
  </si>
  <si>
    <t>Наличие авансирования</t>
  </si>
  <si>
    <t>да (%) /нет</t>
  </si>
  <si>
    <t>Б</t>
  </si>
  <si>
    <t>Готовность приступить к работе по уведомлению</t>
  </si>
  <si>
    <t>да /нет</t>
  </si>
  <si>
    <t>В</t>
  </si>
  <si>
    <t>Готовность предоставить банковскую гарантию (при наличии аванса)</t>
  </si>
  <si>
    <t>да(банк) /нет</t>
  </si>
  <si>
    <t>Г</t>
  </si>
  <si>
    <t>Срок исполнения предмета тендера</t>
  </si>
  <si>
    <t>мес.</t>
  </si>
  <si>
    <t>Д</t>
  </si>
  <si>
    <t>Гарантийный срок 5 лет</t>
  </si>
  <si>
    <t>E</t>
  </si>
  <si>
    <t>Информация о посещении объекта (были/не были), вопросы по результатам посещения</t>
  </si>
  <si>
    <t>были/не были
да/нет</t>
  </si>
  <si>
    <t>Ж</t>
  </si>
  <si>
    <t>Виды работ, планируемые к выполнению субподрядными организациями</t>
  </si>
  <si>
    <t>вид работ-наименование</t>
  </si>
  <si>
    <t>З</t>
  </si>
  <si>
    <t>Готовность подписать договор в редакции Заказчика</t>
  </si>
  <si>
    <t>да/нет</t>
  </si>
  <si>
    <t>И</t>
  </si>
  <si>
    <t>Наличие СРО</t>
  </si>
  <si>
    <t>да (сумма) /нет</t>
  </si>
  <si>
    <t>К</t>
  </si>
  <si>
    <t>Опыт работы с ГК ПИК (при наличии текущих проектов- указать % реализации)</t>
  </si>
  <si>
    <t>объект/ вид работ/% выполнения</t>
  </si>
  <si>
    <t>Л</t>
  </si>
  <si>
    <t>Опыт реализации подобных видов работ за последние 2-3 года (указать не более 5 ключевых объектов и их заказчиков)</t>
  </si>
  <si>
    <t>объект/заказчик/год</t>
  </si>
  <si>
    <t>М</t>
  </si>
  <si>
    <t>Численность работающих всего / численность, планируемая для выполнения предмета тендера</t>
  </si>
  <si>
    <t>кол-во/кол-во</t>
  </si>
  <si>
    <t>Н</t>
  </si>
  <si>
    <t>Дата регистрации компании</t>
  </si>
  <si>
    <t>дд/мм/гг</t>
  </si>
  <si>
    <t>О</t>
  </si>
  <si>
    <t>Оборот за последние 3 года (указать оборот (выручку) по данным бухгалтерской отчетности за 2014/2015/2016 год)</t>
  </si>
  <si>
    <t>год-сумма/год-сумма/год-сумма (руб.без НДС)</t>
  </si>
  <si>
    <t>2015-
2016-
2017-</t>
  </si>
  <si>
    <t>П</t>
  </si>
  <si>
    <t>Сайт компании</t>
  </si>
  <si>
    <t>ссылка</t>
  </si>
  <si>
    <t>Р</t>
  </si>
  <si>
    <t>Генеральный директор : Ф.И.О. полностью, тел., e-mail</t>
  </si>
  <si>
    <t>С</t>
  </si>
  <si>
    <t>Контактное лицо: Ф.И.О. полностью, тел., e-mail</t>
  </si>
  <si>
    <t>Т</t>
  </si>
  <si>
    <t>Примечание к ТКП претендента</t>
  </si>
  <si>
    <t>фин слой вестибюля</t>
  </si>
  <si>
    <t>2.046 коридор</t>
  </si>
  <si>
    <r>
      <t>Подготовка поверхности СКБ / пот</t>
    </r>
    <r>
      <rPr>
        <b/>
        <sz val="14"/>
        <color rgb="FF000000"/>
        <rFont val="Times New Roman"/>
        <family val="1"/>
        <charset val="204"/>
      </rPr>
      <t>олка / ЖБ / 5 мм</t>
    </r>
  </si>
  <si>
    <t>не делали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</si>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</sst>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4" x14ac:knownFonts="1">
    <font>
      <sz val="11"/>
      <color rgb="FF000000"/>
      <name val="Calibri"/>
    </font>
    <font>
      <b/>
      <sz val="11"/>
      <color rgb="FFFFFFFF"/>
      <name val="Times New Roman"/>
      <family val="1"/>
      <charset val="204"/>
    </font>
    <font>
      <sz val="12"/>
      <color rgb="FF2F5487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b/>
      <sz val="18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i/>
      <sz val="14"/>
      <color rgb="FF000000"/>
      <name val="Times New Roman"/>
      <family val="1"/>
      <charset val="204"/>
    </font>
    <font>
      <sz val="14"/>
      <color rgb="FF8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color rgb="FF8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i/>
      <sz val="14"/>
      <color rgb="FFC00000"/>
      <name val="Times New Roman"/>
      <family val="1"/>
      <charset val="204"/>
    </font>
    <font>
      <sz val="12"/>
      <color theme="9" tint="0.59999389629810485"/>
      <name val="Times New Roman"/>
      <family val="1"/>
      <charset val="204"/>
    </font>
    <font>
      <sz val="14"/>
      <color theme="9" tint="0.59999389629810485"/>
      <name val="Times New Roman"/>
      <family val="1"/>
      <charset val="204"/>
    </font>
    <font>
      <i/>
      <sz val="14"/>
      <color theme="9" tint="0.59999389629810485"/>
      <name val="Times New Roman"/>
      <family val="1"/>
      <charset val="204"/>
    </font>
    <font>
      <i/>
      <sz val="14"/>
      <color rgb="FFFF0000"/>
      <name val="Times New Roman"/>
      <family val="1"/>
      <charset val="204"/>
    </font>
    <font>
      <b/>
      <sz val="14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rgb="FF2F5487"/>
        <bgColor rgb="FF000000"/>
      </patternFill>
    </fill>
    <fill>
      <patternFill patternType="solid">
        <fgColor rgb="FFDBE6F1"/>
        <bgColor rgb="FF000000"/>
      </patternFill>
    </fill>
    <fill>
      <patternFill patternType="solid">
        <fgColor rgb="FFD9D9D8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5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 wrapText="1"/>
    </xf>
    <xf numFmtId="0" fontId="0" fillId="2" borderId="0" xfId="0" applyFill="1" applyProtection="1"/>
    <xf numFmtId="0" fontId="4" fillId="0" borderId="0" xfId="0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center" vertical="center" wrapText="1"/>
    </xf>
    <xf numFmtId="4" fontId="7" fillId="0" borderId="7" xfId="0" applyNumberFormat="1" applyFont="1" applyBorder="1" applyAlignment="1" applyProtection="1">
      <alignment horizontal="center" vertical="center"/>
    </xf>
    <xf numFmtId="0" fontId="0" fillId="4" borderId="2" xfId="0" applyFill="1" applyBorder="1" applyProtection="1"/>
    <xf numFmtId="4" fontId="7" fillId="4" borderId="7" xfId="0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 applyProtection="1">
      <alignment horizontal="left" vertical="center"/>
    </xf>
    <xf numFmtId="0" fontId="4" fillId="0" borderId="7" xfId="0" applyFont="1" applyBorder="1" applyAlignment="1" applyProtection="1">
      <alignment horizontal="left" vertical="center"/>
    </xf>
    <xf numFmtId="0" fontId="9" fillId="0" borderId="7" xfId="0" applyFont="1" applyBorder="1" applyAlignment="1" applyProtection="1">
      <alignment horizontal="left" vertical="center" wrapText="1"/>
    </xf>
    <xf numFmtId="0" fontId="9" fillId="0" borderId="7" xfId="0" applyFont="1" applyBorder="1" applyAlignment="1" applyProtection="1">
      <alignment horizontal="center" vertical="center" wrapText="1"/>
    </xf>
    <xf numFmtId="164" fontId="9" fillId="0" borderId="7" xfId="0" applyNumberFormat="1" applyFont="1" applyBorder="1" applyAlignment="1" applyProtection="1">
      <alignment horizontal="center" vertical="center" wrapText="1"/>
    </xf>
    <xf numFmtId="4" fontId="9" fillId="0" borderId="7" xfId="0" applyNumberFormat="1" applyFont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</xf>
    <xf numFmtId="4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7" xfId="0" applyFont="1" applyFill="1" applyBorder="1" applyAlignment="1" applyProtection="1">
      <alignment horizontal="right" vertical="center" wrapText="1"/>
    </xf>
    <xf numFmtId="0" fontId="9" fillId="0" borderId="7" xfId="0" applyFont="1" applyBorder="1" applyAlignment="1" applyProtection="1">
      <alignment horizontal="center" vertical="center"/>
    </xf>
    <xf numFmtId="164" fontId="9" fillId="0" borderId="7" xfId="0" applyNumberFormat="1" applyFont="1" applyBorder="1" applyAlignment="1" applyProtection="1">
      <alignment horizontal="center" vertical="center"/>
    </xf>
    <xf numFmtId="164" fontId="11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</xf>
    <xf numFmtId="4" fontId="9" fillId="0" borderId="7" xfId="0" applyNumberFormat="1" applyFont="1" applyBorder="1" applyAlignment="1" applyProtection="1">
      <alignment horizontal="center" vertical="center"/>
    </xf>
    <xf numFmtId="4" fontId="9" fillId="3" borderId="7" xfId="0" applyNumberFormat="1" applyFont="1" applyFill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right" vertical="center" wrapText="1"/>
    </xf>
    <xf numFmtId="0" fontId="4" fillId="6" borderId="7" xfId="0" applyFont="1" applyFill="1" applyBorder="1" applyAlignment="1" applyProtection="1">
      <alignment horizontal="left" vertical="center"/>
    </xf>
    <xf numFmtId="0" fontId="9" fillId="6" borderId="7" xfId="0" applyFont="1" applyFill="1" applyBorder="1" applyAlignment="1" applyProtection="1">
      <alignment horizontal="left" vertical="center" wrapText="1"/>
    </xf>
    <xf numFmtId="0" fontId="9" fillId="6" borderId="7" xfId="0" applyFont="1" applyFill="1" applyBorder="1" applyAlignment="1" applyProtection="1">
      <alignment horizontal="center" vertical="center" wrapText="1"/>
    </xf>
    <xf numFmtId="164" fontId="9" fillId="6" borderId="7" xfId="0" applyNumberFormat="1" applyFont="1" applyFill="1" applyBorder="1" applyAlignment="1" applyProtection="1">
      <alignment horizontal="center" vertical="center" wrapText="1"/>
    </xf>
    <xf numFmtId="4" fontId="9" fillId="6" borderId="7" xfId="0" applyNumberFormat="1" applyFont="1" applyFill="1" applyBorder="1" applyAlignment="1" applyProtection="1">
      <alignment horizontal="center" vertical="center" wrapText="1"/>
    </xf>
    <xf numFmtId="0" fontId="10" fillId="6" borderId="7" xfId="0" applyFont="1" applyFill="1" applyBorder="1" applyAlignment="1" applyProtection="1">
      <alignment horizontal="right" vertical="center" wrapText="1"/>
    </xf>
    <xf numFmtId="0" fontId="9" fillId="6" borderId="7" xfId="0" applyFont="1" applyFill="1" applyBorder="1" applyAlignment="1" applyProtection="1">
      <alignment horizontal="center" vertical="center"/>
    </xf>
    <xf numFmtId="164" fontId="9" fillId="6" borderId="7" xfId="0" applyNumberFormat="1" applyFont="1" applyFill="1" applyBorder="1" applyAlignment="1" applyProtection="1">
      <alignment horizontal="center" vertical="center"/>
    </xf>
    <xf numFmtId="164" fontId="11" fillId="6" borderId="7" xfId="0" applyNumberFormat="1" applyFont="1" applyFill="1" applyBorder="1" applyAlignment="1" applyProtection="1">
      <alignment horizontal="center" vertical="center"/>
    </xf>
    <xf numFmtId="4" fontId="9" fillId="6" borderId="7" xfId="0" applyNumberFormat="1" applyFont="1" applyFill="1" applyBorder="1" applyAlignment="1" applyProtection="1">
      <alignment horizontal="center" vertical="center"/>
    </xf>
    <xf numFmtId="0" fontId="0" fillId="6" borderId="2" xfId="0" applyFill="1" applyBorder="1" applyProtection="1"/>
    <xf numFmtId="0" fontId="0" fillId="6" borderId="3" xfId="0" applyFill="1" applyBorder="1" applyProtection="1"/>
    <xf numFmtId="0" fontId="4" fillId="7" borderId="7" xfId="0" applyFont="1" applyFill="1" applyBorder="1" applyAlignment="1" applyProtection="1">
      <alignment horizontal="left" vertical="center"/>
    </xf>
    <xf numFmtId="0" fontId="9" fillId="7" borderId="7" xfId="0" applyFont="1" applyFill="1" applyBorder="1" applyAlignment="1" applyProtection="1">
      <alignment horizontal="left" vertical="center" wrapText="1"/>
    </xf>
    <xf numFmtId="0" fontId="9" fillId="7" borderId="7" xfId="0" applyFont="1" applyFill="1" applyBorder="1" applyAlignment="1" applyProtection="1">
      <alignment horizontal="center" vertical="center" wrapText="1"/>
    </xf>
    <xf numFmtId="164" fontId="9" fillId="7" borderId="7" xfId="0" applyNumberFormat="1" applyFont="1" applyFill="1" applyBorder="1" applyAlignment="1" applyProtection="1">
      <alignment horizontal="center" vertical="center" wrapText="1"/>
    </xf>
    <xf numFmtId="164" fontId="12" fillId="7" borderId="7" xfId="0" applyNumberFormat="1" applyFont="1" applyFill="1" applyBorder="1" applyAlignment="1" applyProtection="1">
      <alignment horizontal="center" vertical="center" wrapText="1"/>
    </xf>
    <xf numFmtId="4" fontId="9" fillId="7" borderId="7" xfId="0" applyNumberFormat="1" applyFont="1" applyFill="1" applyBorder="1" applyAlignment="1" applyProtection="1">
      <alignment horizontal="center" vertical="center" wrapText="1"/>
    </xf>
    <xf numFmtId="0" fontId="4" fillId="8" borderId="7" xfId="0" applyFont="1" applyFill="1" applyBorder="1" applyAlignment="1" applyProtection="1">
      <alignment horizontal="left" vertical="center"/>
    </xf>
    <xf numFmtId="0" fontId="9" fillId="8" borderId="7" xfId="0" applyFont="1" applyFill="1" applyBorder="1" applyAlignment="1" applyProtection="1">
      <alignment horizontal="left" vertical="center" wrapText="1"/>
    </xf>
    <xf numFmtId="0" fontId="9" fillId="8" borderId="7" xfId="0" applyFont="1" applyFill="1" applyBorder="1" applyAlignment="1" applyProtection="1">
      <alignment horizontal="center" vertical="center" wrapText="1"/>
    </xf>
    <xf numFmtId="164" fontId="9" fillId="8" borderId="7" xfId="0" applyNumberFormat="1" applyFont="1" applyFill="1" applyBorder="1" applyAlignment="1" applyProtection="1">
      <alignment horizontal="center" vertical="center" wrapText="1"/>
    </xf>
    <xf numFmtId="4" fontId="9" fillId="8" borderId="7" xfId="0" applyNumberFormat="1" applyFont="1" applyFill="1" applyBorder="1" applyAlignment="1" applyProtection="1">
      <alignment horizontal="center" vertical="center" wrapText="1"/>
    </xf>
    <xf numFmtId="0" fontId="10" fillId="7" borderId="7" xfId="0" applyFont="1" applyFill="1" applyBorder="1" applyAlignment="1" applyProtection="1">
      <alignment horizontal="right" vertical="center" wrapText="1"/>
    </xf>
    <xf numFmtId="0" fontId="9" fillId="7" borderId="7" xfId="0" applyFont="1" applyFill="1" applyBorder="1" applyAlignment="1" applyProtection="1">
      <alignment horizontal="center" vertical="center"/>
    </xf>
    <xf numFmtId="164" fontId="9" fillId="7" borderId="7" xfId="0" applyNumberFormat="1" applyFont="1" applyFill="1" applyBorder="1" applyAlignment="1" applyProtection="1">
      <alignment horizontal="center" vertical="center"/>
    </xf>
    <xf numFmtId="164" fontId="13" fillId="7" borderId="7" xfId="0" applyNumberFormat="1" applyFont="1" applyFill="1" applyBorder="1" applyAlignment="1" applyProtection="1">
      <alignment horizontal="center" vertical="center"/>
    </xf>
    <xf numFmtId="4" fontId="9" fillId="7" borderId="7" xfId="0" applyNumberFormat="1" applyFont="1" applyFill="1" applyBorder="1" applyAlignment="1" applyProtection="1">
      <alignment horizontal="center" vertical="center"/>
    </xf>
    <xf numFmtId="0" fontId="0" fillId="7" borderId="2" xfId="0" applyFill="1" applyBorder="1" applyProtection="1"/>
    <xf numFmtId="0" fontId="0" fillId="7" borderId="3" xfId="0" applyFill="1" applyBorder="1" applyProtection="1"/>
    <xf numFmtId="0" fontId="10" fillId="8" borderId="7" xfId="0" applyFont="1" applyFill="1" applyBorder="1" applyAlignment="1" applyProtection="1">
      <alignment horizontal="right" vertical="center" wrapText="1"/>
    </xf>
    <xf numFmtId="0" fontId="9" fillId="8" borderId="7" xfId="0" applyFont="1" applyFill="1" applyBorder="1" applyAlignment="1" applyProtection="1">
      <alignment horizontal="center" vertical="center"/>
    </xf>
    <xf numFmtId="164" fontId="9" fillId="8" borderId="7" xfId="0" applyNumberFormat="1" applyFont="1" applyFill="1" applyBorder="1" applyAlignment="1" applyProtection="1">
      <alignment horizontal="center" vertical="center"/>
    </xf>
    <xf numFmtId="164" fontId="11" fillId="8" borderId="7" xfId="0" applyNumberFormat="1" applyFont="1" applyFill="1" applyBorder="1" applyAlignment="1" applyProtection="1">
      <alignment horizontal="center" vertical="center"/>
    </xf>
    <xf numFmtId="4" fontId="9" fillId="8" borderId="7" xfId="0" applyNumberFormat="1" applyFont="1" applyFill="1" applyBorder="1" applyAlignment="1" applyProtection="1">
      <alignment horizontal="center" vertical="center"/>
    </xf>
    <xf numFmtId="0" fontId="0" fillId="8" borderId="2" xfId="0" applyFill="1" applyBorder="1" applyProtection="1"/>
    <xf numFmtId="0" fontId="0" fillId="8" borderId="3" xfId="0" applyFill="1" applyBorder="1" applyProtection="1"/>
    <xf numFmtId="164" fontId="12" fillId="7" borderId="7" xfId="0" applyNumberFormat="1" applyFont="1" applyFill="1" applyBorder="1" applyAlignment="1" applyProtection="1">
      <alignment horizontal="center" vertical="center"/>
    </xf>
    <xf numFmtId="164" fontId="14" fillId="0" borderId="7" xfId="0" applyNumberFormat="1" applyFont="1" applyBorder="1" applyAlignment="1" applyProtection="1">
      <alignment horizontal="center" vertical="center"/>
    </xf>
    <xf numFmtId="164" fontId="14" fillId="7" borderId="7" xfId="0" applyNumberFormat="1" applyFont="1" applyFill="1" applyBorder="1" applyAlignment="1" applyProtection="1">
      <alignment horizontal="center" vertical="center"/>
    </xf>
    <xf numFmtId="164" fontId="14" fillId="8" borderId="7" xfId="0" applyNumberFormat="1" applyFont="1" applyFill="1" applyBorder="1" applyAlignment="1" applyProtection="1">
      <alignment horizontal="center" vertical="center"/>
    </xf>
    <xf numFmtId="164" fontId="14" fillId="6" borderId="7" xfId="0" applyNumberFormat="1" applyFont="1" applyFill="1" applyBorder="1" applyAlignment="1" applyProtection="1">
      <alignment horizontal="center" vertical="center"/>
    </xf>
    <xf numFmtId="4" fontId="7" fillId="6" borderId="7" xfId="0" applyNumberFormat="1" applyFont="1" applyFill="1" applyBorder="1" applyAlignment="1" applyProtection="1">
      <alignment horizontal="center" vertical="center"/>
    </xf>
    <xf numFmtId="0" fontId="0" fillId="3" borderId="0" xfId="0" applyFill="1" applyProtection="1"/>
    <xf numFmtId="0" fontId="12" fillId="3" borderId="7" xfId="0" applyFont="1" applyFill="1" applyBorder="1" applyAlignment="1" applyProtection="1">
      <alignment horizontal="right" vertical="center"/>
    </xf>
    <xf numFmtId="4" fontId="12" fillId="3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left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4" fillId="9" borderId="7" xfId="0" applyFont="1" applyFill="1" applyBorder="1" applyAlignment="1" applyProtection="1">
      <alignment horizontal="left" vertical="center"/>
    </xf>
    <xf numFmtId="0" fontId="9" fillId="9" borderId="7" xfId="0" applyFont="1" applyFill="1" applyBorder="1" applyAlignment="1" applyProtection="1">
      <alignment horizontal="left" vertical="center" wrapText="1"/>
    </xf>
    <xf numFmtId="0" fontId="9" fillId="9" borderId="7" xfId="0" applyFont="1" applyFill="1" applyBorder="1" applyAlignment="1" applyProtection="1">
      <alignment horizontal="center" vertical="center" wrapText="1"/>
    </xf>
    <xf numFmtId="164" fontId="9" fillId="9" borderId="7" xfId="0" applyNumberFormat="1" applyFont="1" applyFill="1" applyBorder="1" applyAlignment="1" applyProtection="1">
      <alignment horizontal="center" vertical="center" wrapText="1"/>
    </xf>
    <xf numFmtId="0" fontId="10" fillId="9" borderId="7" xfId="0" applyFont="1" applyFill="1" applyBorder="1" applyAlignment="1" applyProtection="1">
      <alignment horizontal="right" vertical="center" wrapText="1"/>
    </xf>
    <xf numFmtId="0" fontId="9" fillId="9" borderId="7" xfId="0" applyFont="1" applyFill="1" applyBorder="1" applyAlignment="1" applyProtection="1">
      <alignment horizontal="center" vertical="center"/>
    </xf>
    <xf numFmtId="164" fontId="9" fillId="9" borderId="7" xfId="0" applyNumberFormat="1" applyFont="1" applyFill="1" applyBorder="1" applyAlignment="1" applyProtection="1">
      <alignment horizontal="center" vertical="center"/>
    </xf>
    <xf numFmtId="164" fontId="11" fillId="9" borderId="7" xfId="0" applyNumberFormat="1" applyFont="1" applyFill="1" applyBorder="1" applyAlignment="1" applyProtection="1">
      <alignment horizontal="center" vertical="center"/>
    </xf>
    <xf numFmtId="0" fontId="4" fillId="10" borderId="7" xfId="0" applyFont="1" applyFill="1" applyBorder="1" applyAlignment="1" applyProtection="1">
      <alignment horizontal="left" vertical="center"/>
    </xf>
    <xf numFmtId="0" fontId="9" fillId="10" borderId="7" xfId="0" applyFont="1" applyFill="1" applyBorder="1" applyAlignment="1" applyProtection="1">
      <alignment horizontal="left" vertical="center" wrapText="1"/>
    </xf>
    <xf numFmtId="0" fontId="9" fillId="10" borderId="7" xfId="0" applyFont="1" applyFill="1" applyBorder="1" applyAlignment="1" applyProtection="1">
      <alignment horizontal="center" vertical="center" wrapText="1"/>
    </xf>
    <xf numFmtId="164" fontId="9" fillId="10" borderId="7" xfId="0" applyNumberFormat="1" applyFont="1" applyFill="1" applyBorder="1" applyAlignment="1" applyProtection="1">
      <alignment horizontal="center" vertical="center" wrapText="1"/>
    </xf>
    <xf numFmtId="0" fontId="10" fillId="10" borderId="7" xfId="0" applyFont="1" applyFill="1" applyBorder="1" applyAlignment="1" applyProtection="1">
      <alignment horizontal="right" vertical="center" wrapText="1"/>
    </xf>
    <xf numFmtId="0" fontId="9" fillId="10" borderId="7" xfId="0" applyFont="1" applyFill="1" applyBorder="1" applyAlignment="1" applyProtection="1">
      <alignment horizontal="center" vertical="center"/>
    </xf>
    <xf numFmtId="164" fontId="9" fillId="10" borderId="7" xfId="0" applyNumberFormat="1" applyFont="1" applyFill="1" applyBorder="1" applyAlignment="1" applyProtection="1">
      <alignment horizontal="center" vertical="center"/>
    </xf>
    <xf numFmtId="164" fontId="11" fillId="10" borderId="7" xfId="0" applyNumberFormat="1" applyFont="1" applyFill="1" applyBorder="1" applyAlignment="1" applyProtection="1">
      <alignment horizontal="center" vertical="center"/>
    </xf>
    <xf numFmtId="0" fontId="10" fillId="11" borderId="7" xfId="0" applyFont="1" applyFill="1" applyBorder="1" applyAlignment="1" applyProtection="1">
      <alignment horizontal="right" vertical="center" wrapText="1"/>
    </xf>
    <xf numFmtId="0" fontId="4" fillId="12" borderId="7" xfId="0" applyFont="1" applyFill="1" applyBorder="1" applyAlignment="1" applyProtection="1">
      <alignment horizontal="left" vertical="center"/>
    </xf>
    <xf numFmtId="0" fontId="9" fillId="12" borderId="7" xfId="0" applyFont="1" applyFill="1" applyBorder="1" applyAlignment="1" applyProtection="1">
      <alignment horizontal="left" vertical="center" wrapText="1"/>
    </xf>
    <xf numFmtId="0" fontId="9" fillId="12" borderId="7" xfId="0" applyFont="1" applyFill="1" applyBorder="1" applyAlignment="1" applyProtection="1">
      <alignment horizontal="center" vertical="center" wrapText="1"/>
    </xf>
    <xf numFmtId="164" fontId="9" fillId="12" borderId="7" xfId="0" applyNumberFormat="1" applyFont="1" applyFill="1" applyBorder="1" applyAlignment="1" applyProtection="1">
      <alignment horizontal="center" vertical="center" wrapText="1"/>
    </xf>
    <xf numFmtId="0" fontId="10" fillId="13" borderId="7" xfId="0" applyFont="1" applyFill="1" applyBorder="1" applyAlignment="1" applyProtection="1">
      <alignment horizontal="right" vertical="center" wrapText="1"/>
    </xf>
    <xf numFmtId="0" fontId="9" fillId="12" borderId="7" xfId="0" applyFont="1" applyFill="1" applyBorder="1" applyAlignment="1" applyProtection="1">
      <alignment horizontal="center" vertical="center"/>
    </xf>
    <xf numFmtId="164" fontId="9" fillId="12" borderId="7" xfId="0" applyNumberFormat="1" applyFont="1" applyFill="1" applyBorder="1" applyAlignment="1" applyProtection="1">
      <alignment horizontal="center" vertical="center"/>
    </xf>
    <xf numFmtId="164" fontId="11" fillId="12" borderId="7" xfId="0" applyNumberFormat="1" applyFont="1" applyFill="1" applyBorder="1" applyAlignment="1" applyProtection="1">
      <alignment horizontal="center" vertical="center"/>
    </xf>
    <xf numFmtId="0" fontId="10" fillId="12" borderId="7" xfId="0" applyFont="1" applyFill="1" applyBorder="1" applyAlignment="1" applyProtection="1">
      <alignment horizontal="right" vertical="center" wrapText="1"/>
    </xf>
    <xf numFmtId="0" fontId="10" fillId="14" borderId="7" xfId="0" applyFont="1" applyFill="1" applyBorder="1" applyAlignment="1" applyProtection="1">
      <alignment horizontal="right" vertical="center" wrapText="1"/>
    </xf>
    <xf numFmtId="0" fontId="15" fillId="15" borderId="7" xfId="0" applyFont="1" applyFill="1" applyBorder="1" applyAlignment="1" applyProtection="1">
      <alignment horizontal="left" vertical="center"/>
    </xf>
    <xf numFmtId="0" fontId="16" fillId="15" borderId="7" xfId="0" applyFont="1" applyFill="1" applyBorder="1" applyAlignment="1" applyProtection="1">
      <alignment horizontal="center" vertical="center" wrapText="1"/>
    </xf>
    <xf numFmtId="164" fontId="16" fillId="15" borderId="7" xfId="0" applyNumberFormat="1" applyFont="1" applyFill="1" applyBorder="1" applyAlignment="1" applyProtection="1">
      <alignment horizontal="center" vertical="center" wrapText="1"/>
    </xf>
    <xf numFmtId="0" fontId="17" fillId="16" borderId="7" xfId="0" applyFont="1" applyFill="1" applyBorder="1" applyAlignment="1" applyProtection="1">
      <alignment horizontal="right" vertical="center" wrapText="1"/>
    </xf>
    <xf numFmtId="0" fontId="16" fillId="15" borderId="7" xfId="0" applyFont="1" applyFill="1" applyBorder="1" applyAlignment="1" applyProtection="1">
      <alignment horizontal="center" vertical="center"/>
    </xf>
    <xf numFmtId="164" fontId="16" fillId="15" borderId="7" xfId="0" applyNumberFormat="1" applyFont="1" applyFill="1" applyBorder="1" applyAlignment="1" applyProtection="1">
      <alignment horizontal="center" vertical="center"/>
    </xf>
    <xf numFmtId="0" fontId="17" fillId="15" borderId="7" xfId="0" applyFont="1" applyFill="1" applyBorder="1" applyAlignment="1" applyProtection="1">
      <alignment horizontal="right" vertical="center" wrapText="1"/>
    </xf>
    <xf numFmtId="0" fontId="4" fillId="15" borderId="7" xfId="0" applyFont="1" applyFill="1" applyBorder="1" applyAlignment="1" applyProtection="1">
      <alignment horizontal="left" vertical="center"/>
    </xf>
    <xf numFmtId="0" fontId="9" fillId="15" borderId="7" xfId="0" applyFont="1" applyFill="1" applyBorder="1" applyAlignment="1" applyProtection="1">
      <alignment horizontal="left" vertical="center" wrapText="1"/>
    </xf>
    <xf numFmtId="0" fontId="9" fillId="15" borderId="7" xfId="0" applyFont="1" applyFill="1" applyBorder="1" applyAlignment="1" applyProtection="1">
      <alignment horizontal="center" vertical="center" wrapText="1"/>
    </xf>
    <xf numFmtId="164" fontId="9" fillId="15" borderId="7" xfId="0" applyNumberFormat="1" applyFont="1" applyFill="1" applyBorder="1" applyAlignment="1" applyProtection="1">
      <alignment horizontal="center" vertical="center" wrapText="1"/>
    </xf>
    <xf numFmtId="0" fontId="10" fillId="15" borderId="7" xfId="0" applyFont="1" applyFill="1" applyBorder="1" applyAlignment="1" applyProtection="1">
      <alignment horizontal="right" vertical="center" wrapText="1"/>
    </xf>
    <xf numFmtId="0" fontId="9" fillId="15" borderId="7" xfId="0" applyFont="1" applyFill="1" applyBorder="1" applyAlignment="1" applyProtection="1">
      <alignment horizontal="center" vertical="center"/>
    </xf>
    <xf numFmtId="164" fontId="9" fillId="15" borderId="7" xfId="0" applyNumberFormat="1" applyFont="1" applyFill="1" applyBorder="1" applyAlignment="1" applyProtection="1">
      <alignment horizontal="center" vertical="center"/>
    </xf>
    <xf numFmtId="0" fontId="10" fillId="16" borderId="7" xfId="0" applyFont="1" applyFill="1" applyBorder="1" applyAlignment="1" applyProtection="1">
      <alignment horizontal="right" vertical="center" wrapText="1"/>
    </xf>
    <xf numFmtId="0" fontId="4" fillId="17" borderId="7" xfId="0" applyFont="1" applyFill="1" applyBorder="1" applyAlignment="1" applyProtection="1">
      <alignment horizontal="left" vertical="center"/>
    </xf>
    <xf numFmtId="0" fontId="9" fillId="17" borderId="7" xfId="0" applyFont="1" applyFill="1" applyBorder="1" applyAlignment="1" applyProtection="1">
      <alignment horizontal="center" vertical="center" wrapText="1"/>
    </xf>
    <xf numFmtId="164" fontId="9" fillId="17" borderId="7" xfId="0" applyNumberFormat="1" applyFont="1" applyFill="1" applyBorder="1" applyAlignment="1" applyProtection="1">
      <alignment horizontal="center" vertical="center" wrapText="1"/>
    </xf>
    <xf numFmtId="0" fontId="10" fillId="17" borderId="7" xfId="0" applyFont="1" applyFill="1" applyBorder="1" applyAlignment="1" applyProtection="1">
      <alignment horizontal="right" vertical="center" wrapText="1"/>
    </xf>
    <xf numFmtId="0" fontId="9" fillId="17" borderId="7" xfId="0" applyFont="1" applyFill="1" applyBorder="1" applyAlignment="1" applyProtection="1">
      <alignment horizontal="center" vertical="center"/>
    </xf>
    <xf numFmtId="164" fontId="9" fillId="17" borderId="7" xfId="0" applyNumberFormat="1" applyFont="1" applyFill="1" applyBorder="1" applyAlignment="1" applyProtection="1">
      <alignment horizontal="center" vertical="center"/>
    </xf>
    <xf numFmtId="164" fontId="11" fillId="17" borderId="7" xfId="0" applyNumberFormat="1" applyFont="1" applyFill="1" applyBorder="1" applyAlignment="1" applyProtection="1">
      <alignment horizontal="center" vertical="center"/>
    </xf>
    <xf numFmtId="0" fontId="4" fillId="18" borderId="7" xfId="0" applyFont="1" applyFill="1" applyBorder="1" applyAlignment="1" applyProtection="1">
      <alignment horizontal="left" vertical="center"/>
    </xf>
    <xf numFmtId="0" fontId="9" fillId="18" borderId="7" xfId="0" applyFont="1" applyFill="1" applyBorder="1" applyAlignment="1" applyProtection="1">
      <alignment horizontal="center" vertical="center" wrapText="1"/>
    </xf>
    <xf numFmtId="164" fontId="9" fillId="18" borderId="7" xfId="0" applyNumberFormat="1" applyFont="1" applyFill="1" applyBorder="1" applyAlignment="1" applyProtection="1">
      <alignment horizontal="center" vertical="center" wrapText="1"/>
    </xf>
    <xf numFmtId="0" fontId="10" fillId="18" borderId="7" xfId="0" applyFont="1" applyFill="1" applyBorder="1" applyAlignment="1" applyProtection="1">
      <alignment horizontal="right" vertical="center" wrapText="1"/>
    </xf>
    <xf numFmtId="0" fontId="9" fillId="18" borderId="7" xfId="0" applyFont="1" applyFill="1" applyBorder="1" applyAlignment="1" applyProtection="1">
      <alignment horizontal="center" vertical="center"/>
    </xf>
    <xf numFmtId="164" fontId="9" fillId="18" borderId="7" xfId="0" applyNumberFormat="1" applyFont="1" applyFill="1" applyBorder="1" applyAlignment="1" applyProtection="1">
      <alignment horizontal="center" vertical="center"/>
    </xf>
    <xf numFmtId="164" fontId="11" fillId="18" borderId="7" xfId="0" applyNumberFormat="1" applyFont="1" applyFill="1" applyBorder="1" applyAlignment="1" applyProtection="1">
      <alignment horizontal="center" vertical="center"/>
    </xf>
    <xf numFmtId="0" fontId="10" fillId="19" borderId="7" xfId="0" applyFont="1" applyFill="1" applyBorder="1" applyAlignment="1" applyProtection="1">
      <alignment horizontal="right" vertical="center" wrapText="1"/>
    </xf>
    <xf numFmtId="0" fontId="10" fillId="20" borderId="7" xfId="0" applyFont="1" applyFill="1" applyBorder="1" applyAlignment="1" applyProtection="1">
      <alignment horizontal="right" vertical="center" wrapText="1"/>
    </xf>
    <xf numFmtId="0" fontId="4" fillId="21" borderId="7" xfId="0" applyFont="1" applyFill="1" applyBorder="1" applyAlignment="1" applyProtection="1">
      <alignment horizontal="left" vertical="center"/>
    </xf>
    <xf numFmtId="0" fontId="9" fillId="21" borderId="7" xfId="0" applyFont="1" applyFill="1" applyBorder="1" applyAlignment="1" applyProtection="1">
      <alignment horizontal="left" vertical="center" wrapText="1"/>
    </xf>
    <xf numFmtId="0" fontId="9" fillId="21" borderId="7" xfId="0" applyFont="1" applyFill="1" applyBorder="1" applyAlignment="1" applyProtection="1">
      <alignment horizontal="center" vertical="center" wrapText="1"/>
    </xf>
    <xf numFmtId="164" fontId="9" fillId="21" borderId="7" xfId="0" applyNumberFormat="1" applyFont="1" applyFill="1" applyBorder="1" applyAlignment="1" applyProtection="1">
      <alignment horizontal="center" vertical="center" wrapText="1"/>
    </xf>
    <xf numFmtId="4" fontId="9" fillId="21" borderId="7" xfId="0" applyNumberFormat="1" applyFont="1" applyFill="1" applyBorder="1" applyAlignment="1" applyProtection="1">
      <alignment horizontal="center" vertical="center" wrapText="1"/>
    </xf>
    <xf numFmtId="4" fontId="9" fillId="22" borderId="7" xfId="0" applyNumberFormat="1" applyFont="1" applyFill="1" applyBorder="1" applyAlignment="1" applyProtection="1">
      <alignment horizontal="center" vertical="center" wrapText="1"/>
    </xf>
    <xf numFmtId="4" fontId="4" fillId="21" borderId="0" xfId="0" applyNumberFormat="1" applyFont="1" applyFill="1" applyAlignment="1" applyProtection="1">
      <alignment horizontal="left" vertical="center"/>
    </xf>
    <xf numFmtId="0" fontId="0" fillId="21" borderId="0" xfId="0" applyFill="1"/>
    <xf numFmtId="0" fontId="4" fillId="21" borderId="0" xfId="0" applyFont="1" applyFill="1" applyAlignment="1" applyProtection="1">
      <alignment horizontal="left" vertical="center"/>
    </xf>
    <xf numFmtId="0" fontId="10" fillId="22" borderId="7" xfId="0" applyFont="1" applyFill="1" applyBorder="1" applyAlignment="1" applyProtection="1">
      <alignment horizontal="right" vertical="center" wrapText="1"/>
    </xf>
    <xf numFmtId="0" fontId="9" fillId="21" borderId="7" xfId="0" applyFont="1" applyFill="1" applyBorder="1" applyAlignment="1" applyProtection="1">
      <alignment horizontal="center" vertical="center"/>
    </xf>
    <xf numFmtId="164" fontId="9" fillId="21" borderId="7" xfId="0" applyNumberFormat="1" applyFont="1" applyFill="1" applyBorder="1" applyAlignment="1" applyProtection="1">
      <alignment horizontal="center" vertical="center"/>
    </xf>
    <xf numFmtId="4" fontId="9" fillId="22" borderId="7" xfId="0" applyNumberFormat="1" applyFont="1" applyFill="1" applyBorder="1" applyAlignment="1" applyProtection="1">
      <alignment horizontal="center" vertical="center"/>
    </xf>
    <xf numFmtId="4" fontId="9" fillId="21" borderId="7" xfId="0" applyNumberFormat="1" applyFont="1" applyFill="1" applyBorder="1" applyAlignment="1" applyProtection="1">
      <alignment horizontal="center" vertical="center"/>
    </xf>
    <xf numFmtId="0" fontId="10" fillId="21" borderId="7" xfId="0" applyFont="1" applyFill="1" applyBorder="1" applyAlignment="1" applyProtection="1">
      <alignment horizontal="right" vertical="center" wrapText="1"/>
    </xf>
    <xf numFmtId="4" fontId="9" fillId="22" borderId="7" xfId="0" applyNumberFormat="1" applyFont="1" applyFill="1" applyBorder="1" applyAlignment="1" applyProtection="1">
      <alignment horizontal="center" vertical="center" wrapText="1"/>
      <protection locked="0"/>
    </xf>
    <xf numFmtId="4" fontId="9" fillId="22" borderId="7" xfId="0" applyNumberFormat="1" applyFont="1" applyFill="1" applyBorder="1" applyAlignment="1" applyProtection="1">
      <alignment horizontal="center" vertical="center"/>
      <protection locked="0"/>
    </xf>
    <xf numFmtId="0" fontId="4" fillId="23" borderId="7" xfId="0" applyFont="1" applyFill="1" applyBorder="1" applyAlignment="1" applyProtection="1">
      <alignment horizontal="left" vertical="center"/>
    </xf>
    <xf numFmtId="0" fontId="9" fillId="23" borderId="7" xfId="0" applyFont="1" applyFill="1" applyBorder="1" applyAlignment="1" applyProtection="1">
      <alignment horizontal="left" vertical="center" wrapText="1"/>
    </xf>
    <xf numFmtId="0" fontId="9" fillId="23" borderId="7" xfId="0" applyFont="1" applyFill="1" applyBorder="1" applyAlignment="1" applyProtection="1">
      <alignment horizontal="center" vertical="center" wrapText="1"/>
    </xf>
    <xf numFmtId="164" fontId="9" fillId="23" borderId="7" xfId="0" applyNumberFormat="1" applyFont="1" applyFill="1" applyBorder="1" applyAlignment="1" applyProtection="1">
      <alignment horizontal="center" vertical="center" wrapText="1"/>
    </xf>
    <xf numFmtId="4" fontId="9" fillId="23" borderId="7" xfId="0" applyNumberFormat="1" applyFont="1" applyFill="1" applyBorder="1" applyAlignment="1" applyProtection="1">
      <alignment horizontal="center" vertical="center" wrapText="1"/>
    </xf>
    <xf numFmtId="4" fontId="9" fillId="24" borderId="7" xfId="0" applyNumberFormat="1" applyFont="1" applyFill="1" applyBorder="1" applyAlignment="1" applyProtection="1">
      <alignment horizontal="center" vertical="center" wrapText="1"/>
    </xf>
    <xf numFmtId="4" fontId="9" fillId="24" borderId="7" xfId="0" applyNumberFormat="1" applyFont="1" applyFill="1" applyBorder="1" applyAlignment="1" applyProtection="1">
      <alignment horizontal="center" vertical="center" wrapText="1"/>
      <protection locked="0"/>
    </xf>
    <xf numFmtId="4" fontId="4" fillId="23" borderId="0" xfId="0" applyNumberFormat="1" applyFont="1" applyFill="1" applyAlignment="1" applyProtection="1">
      <alignment horizontal="left" vertical="center"/>
    </xf>
    <xf numFmtId="0" fontId="0" fillId="23" borderId="0" xfId="0" applyFill="1"/>
    <xf numFmtId="0" fontId="4" fillId="23" borderId="0" xfId="0" applyFont="1" applyFill="1" applyAlignment="1" applyProtection="1">
      <alignment horizontal="left" vertical="center"/>
    </xf>
    <xf numFmtId="0" fontId="10" fillId="24" borderId="7" xfId="0" applyFont="1" applyFill="1" applyBorder="1" applyAlignment="1" applyProtection="1">
      <alignment horizontal="right" vertical="center" wrapText="1"/>
    </xf>
    <xf numFmtId="0" fontId="9" fillId="23" borderId="7" xfId="0" applyFont="1" applyFill="1" applyBorder="1" applyAlignment="1" applyProtection="1">
      <alignment horizontal="center" vertical="center"/>
    </xf>
    <xf numFmtId="164" fontId="9" fillId="23" borderId="7" xfId="0" applyNumberFormat="1" applyFont="1" applyFill="1" applyBorder="1" applyAlignment="1" applyProtection="1">
      <alignment horizontal="center" vertical="center"/>
    </xf>
    <xf numFmtId="4" fontId="9" fillId="24" borderId="7" xfId="0" applyNumberFormat="1" applyFont="1" applyFill="1" applyBorder="1" applyAlignment="1" applyProtection="1">
      <alignment horizontal="center" vertical="center"/>
    </xf>
    <xf numFmtId="4" fontId="9" fillId="23" borderId="7" xfId="0" applyNumberFormat="1" applyFont="1" applyFill="1" applyBorder="1" applyAlignment="1" applyProtection="1">
      <alignment horizontal="center" vertical="center"/>
    </xf>
    <xf numFmtId="4" fontId="9" fillId="24" borderId="7" xfId="0" applyNumberFormat="1" applyFont="1" applyFill="1" applyBorder="1" applyAlignment="1" applyProtection="1">
      <alignment horizontal="center" vertical="center"/>
      <protection locked="0"/>
    </xf>
    <xf numFmtId="0" fontId="10" fillId="23" borderId="7" xfId="0" applyFont="1" applyFill="1" applyBorder="1" applyAlignment="1" applyProtection="1">
      <alignment horizontal="right" vertical="center" wrapText="1"/>
    </xf>
    <xf numFmtId="164" fontId="16" fillId="25" borderId="7" xfId="0" applyNumberFormat="1" applyFont="1" applyFill="1" applyBorder="1" applyAlignment="1" applyProtection="1">
      <alignment horizontal="center" vertical="center" wrapText="1"/>
    </xf>
    <xf numFmtId="0" fontId="18" fillId="25" borderId="7" xfId="0" applyFont="1" applyFill="1" applyBorder="1" applyAlignment="1" applyProtection="1">
      <alignment horizontal="right" vertical="center" wrapText="1"/>
    </xf>
    <xf numFmtId="0" fontId="19" fillId="25" borderId="7" xfId="0" applyFont="1" applyFill="1" applyBorder="1" applyAlignment="1" applyProtection="1">
      <alignment horizontal="left" vertical="center"/>
    </xf>
    <xf numFmtId="0" fontId="20" fillId="25" borderId="7" xfId="0" applyFont="1" applyFill="1" applyBorder="1" applyAlignment="1" applyProtection="1">
      <alignment horizontal="left" vertical="center" wrapText="1"/>
    </xf>
    <xf numFmtId="0" fontId="20" fillId="25" borderId="7" xfId="0" applyFont="1" applyFill="1" applyBorder="1" applyAlignment="1" applyProtection="1">
      <alignment horizontal="center" vertical="center" wrapText="1"/>
    </xf>
    <xf numFmtId="164" fontId="20" fillId="25" borderId="7" xfId="0" applyNumberFormat="1" applyFont="1" applyFill="1" applyBorder="1" applyAlignment="1" applyProtection="1">
      <alignment horizontal="center" vertical="center" wrapText="1"/>
    </xf>
    <xf numFmtId="0" fontId="21" fillId="25" borderId="7" xfId="0" applyFont="1" applyFill="1" applyBorder="1" applyAlignment="1" applyProtection="1">
      <alignment horizontal="right" vertical="center" wrapText="1"/>
    </xf>
    <xf numFmtId="0" fontId="20" fillId="25" borderId="7" xfId="0" applyFont="1" applyFill="1" applyBorder="1" applyAlignment="1" applyProtection="1">
      <alignment horizontal="center" vertical="center"/>
    </xf>
    <xf numFmtId="164" fontId="20" fillId="25" borderId="7" xfId="0" applyNumberFormat="1" applyFont="1" applyFill="1" applyBorder="1" applyAlignment="1" applyProtection="1">
      <alignment horizontal="center" vertical="center"/>
    </xf>
    <xf numFmtId="0" fontId="22" fillId="15" borderId="7" xfId="0" applyFont="1" applyFill="1" applyBorder="1" applyAlignment="1" applyProtection="1">
      <alignment horizontal="right" vertical="center" wrapText="1"/>
    </xf>
    <xf numFmtId="0" fontId="15" fillId="17" borderId="7" xfId="0" applyFont="1" applyFill="1" applyBorder="1" applyAlignment="1" applyProtection="1">
      <alignment horizontal="left" vertical="center"/>
    </xf>
    <xf numFmtId="0" fontId="16" fillId="17" borderId="7" xfId="0" applyFont="1" applyFill="1" applyBorder="1" applyAlignment="1" applyProtection="1">
      <alignment horizontal="center" vertical="center" wrapText="1"/>
    </xf>
    <xf numFmtId="164" fontId="16" fillId="17" borderId="7" xfId="0" applyNumberFormat="1" applyFont="1" applyFill="1" applyBorder="1" applyAlignment="1" applyProtection="1">
      <alignment horizontal="center" vertical="center" wrapText="1"/>
    </xf>
    <xf numFmtId="0" fontId="17" fillId="17" borderId="7" xfId="0" applyFont="1" applyFill="1" applyBorder="1" applyAlignment="1" applyProtection="1">
      <alignment horizontal="right" vertical="center" wrapText="1"/>
    </xf>
    <xf numFmtId="0" fontId="16" fillId="17" borderId="7" xfId="0" applyFont="1" applyFill="1" applyBorder="1" applyAlignment="1" applyProtection="1">
      <alignment horizontal="center" vertical="center"/>
    </xf>
    <xf numFmtId="164" fontId="16" fillId="17" borderId="7" xfId="0" applyNumberFormat="1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left" vertical="center"/>
    </xf>
    <xf numFmtId="0" fontId="3" fillId="6" borderId="2" xfId="0" applyFont="1" applyFill="1" applyBorder="1" applyAlignment="1" applyProtection="1">
      <alignment horizontal="left" vertical="center"/>
    </xf>
    <xf numFmtId="0" fontId="3" fillId="6" borderId="3" xfId="0" applyFont="1" applyFill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2" xfId="0" applyFont="1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left"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3" xfId="0" applyFont="1" applyFill="1" applyBorder="1" applyAlignment="1" applyProtection="1">
      <alignment horizontal="left" vertical="center"/>
    </xf>
    <xf numFmtId="0" fontId="3" fillId="0" borderId="0" xfId="0" applyFont="1" applyAlignment="1" applyProtection="1">
      <alignment horizontal="center" vertical="center"/>
    </xf>
    <xf numFmtId="0" fontId="6" fillId="2" borderId="0" xfId="0" applyFont="1" applyFill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5" fillId="3" borderId="2" xfId="0" applyFont="1" applyFill="1" applyBorder="1" applyAlignment="1" applyProtection="1">
      <alignment horizontal="center" vertical="center"/>
    </xf>
    <xf numFmtId="0" fontId="5" fillId="3" borderId="3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3" borderId="2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 vertical="center" wrapText="1"/>
    </xf>
    <xf numFmtId="0" fontId="12" fillId="9" borderId="7" xfId="0" applyFont="1" applyFill="1" applyBorder="1" applyAlignment="1" applyProtection="1">
      <alignment horizontal="left" vertical="center" wrapText="1"/>
    </xf>
    <xf numFmtId="0" fontId="12" fillId="12" borderId="7" xfId="0" applyFont="1" applyFill="1" applyBorder="1" applyAlignment="1" applyProtection="1">
      <alignment horizontal="left" vertical="center" wrapText="1"/>
    </xf>
    <xf numFmtId="0" fontId="23" fillId="15" borderId="7" xfId="0" applyFont="1" applyFill="1" applyBorder="1" applyAlignment="1" applyProtection="1">
      <alignment horizontal="left" vertical="center" wrapText="1"/>
    </xf>
    <xf numFmtId="0" fontId="23" fillId="17" borderId="7" xfId="0" applyFont="1" applyFill="1" applyBorder="1" applyAlignment="1" applyProtection="1">
      <alignment horizontal="left" vertical="center" wrapText="1"/>
    </xf>
    <xf numFmtId="0" fontId="12" fillId="17" borderId="7" xfId="0" applyFont="1" applyFill="1" applyBorder="1" applyAlignment="1" applyProtection="1">
      <alignment horizontal="left" vertical="center" wrapText="1"/>
    </xf>
    <xf numFmtId="0" fontId="12" fillId="15" borderId="7" xfId="0" applyFont="1" applyFill="1" applyBorder="1" applyAlignment="1" applyProtection="1">
      <alignment horizontal="left" vertical="center" wrapText="1"/>
    </xf>
    <xf numFmtId="0" fontId="12" fillId="18" borderId="7" xfId="0" applyFont="1" applyFill="1" applyBorder="1" applyAlignment="1" applyProtection="1">
      <alignment horizontal="left" vertical="center" wrapText="1"/>
    </xf>
    <xf numFmtId="0" fontId="12" fillId="0" borderId="7" xfId="0" applyFont="1" applyBorder="1" applyAlignment="1" applyProtection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22"/>
  <sheetViews>
    <sheetView zoomScale="50" zoomScaleNormal="50" workbookViewId="0">
      <pane xSplit="9" ySplit="7" topLeftCell="J262" activePane="bottomRight" state="frozen"/>
      <selection pane="topRight"/>
      <selection pane="bottomLeft"/>
      <selection pane="bottomRight" activeCell="AA922" sqref="AA922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886718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886718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886718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 t="s">
        <v>3</v>
      </c>
      <c r="F1" s="2" t="s">
        <v>2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3"/>
      <c r="P1" s="3"/>
      <c r="Q1" s="3"/>
      <c r="R1" s="3"/>
      <c r="S1" s="3"/>
      <c r="T1" s="3"/>
      <c r="U1" s="3"/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</row>
    <row r="2" spans="1:35" ht="30.75" customHeight="1" x14ac:dyDescent="0.3">
      <c r="A2" s="195" t="s">
        <v>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</row>
    <row r="3" spans="1:35" ht="15" customHeight="1" x14ac:dyDescent="0.3">
      <c r="A3" s="196" t="s">
        <v>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</row>
    <row r="4" spans="1:35" ht="15" customHeight="1" x14ac:dyDescent="0.3">
      <c r="A4" s="197" t="s">
        <v>6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</row>
    <row r="5" spans="1:35" ht="40.65" customHeight="1" x14ac:dyDescent="0.3">
      <c r="A5" s="190" t="s">
        <v>25</v>
      </c>
      <c r="B5" s="190" t="s">
        <v>26</v>
      </c>
      <c r="C5" s="190" t="s">
        <v>27</v>
      </c>
      <c r="D5" s="190" t="s">
        <v>28</v>
      </c>
      <c r="E5" s="190" t="s">
        <v>29</v>
      </c>
      <c r="F5" s="190" t="s">
        <v>30</v>
      </c>
      <c r="G5" s="190" t="s">
        <v>31</v>
      </c>
      <c r="H5" s="190" t="s">
        <v>32</v>
      </c>
      <c r="I5" s="190" t="s">
        <v>33</v>
      </c>
      <c r="J5" s="198" t="s">
        <v>7</v>
      </c>
      <c r="K5" s="199"/>
      <c r="L5" s="199"/>
      <c r="M5" s="199"/>
      <c r="N5" s="199"/>
      <c r="O5" s="200"/>
      <c r="P5" s="201" t="s">
        <v>8</v>
      </c>
      <c r="Q5" s="202"/>
      <c r="R5" s="203"/>
      <c r="S5" s="201" t="s">
        <v>9</v>
      </c>
      <c r="T5" s="202"/>
      <c r="U5" s="203"/>
    </row>
    <row r="6" spans="1:35" ht="15.75" customHeight="1" x14ac:dyDescent="0.3">
      <c r="A6" s="204"/>
      <c r="B6" s="204"/>
      <c r="C6" s="204"/>
      <c r="D6" s="204"/>
      <c r="E6" s="204"/>
      <c r="F6" s="204"/>
      <c r="G6" s="204"/>
      <c r="H6" s="204"/>
      <c r="I6" s="204"/>
      <c r="J6" s="188" t="s">
        <v>34</v>
      </c>
      <c r="K6" s="189"/>
      <c r="L6" s="190" t="s">
        <v>34</v>
      </c>
      <c r="M6" s="188" t="s">
        <v>37</v>
      </c>
      <c r="N6" s="189"/>
      <c r="O6" s="190" t="s">
        <v>38</v>
      </c>
      <c r="P6" s="188" t="s">
        <v>34</v>
      </c>
      <c r="Q6" s="189"/>
      <c r="R6" s="190" t="s">
        <v>34</v>
      </c>
      <c r="S6" s="188" t="s">
        <v>37</v>
      </c>
      <c r="T6" s="189"/>
      <c r="U6" s="190" t="s">
        <v>38</v>
      </c>
    </row>
    <row r="7" spans="1:35" ht="31.35" customHeight="1" x14ac:dyDescent="0.3">
      <c r="A7" s="191"/>
      <c r="B7" s="191"/>
      <c r="C7" s="191"/>
      <c r="D7" s="191"/>
      <c r="E7" s="191"/>
      <c r="F7" s="191"/>
      <c r="G7" s="191"/>
      <c r="H7" s="191"/>
      <c r="I7" s="191"/>
      <c r="J7" s="5" t="s">
        <v>35</v>
      </c>
      <c r="K7" s="5" t="s">
        <v>36</v>
      </c>
      <c r="L7" s="191"/>
      <c r="M7" s="5" t="s">
        <v>35</v>
      </c>
      <c r="N7" s="5" t="s">
        <v>36</v>
      </c>
      <c r="O7" s="191"/>
      <c r="P7" s="5" t="s">
        <v>35</v>
      </c>
      <c r="Q7" s="5" t="s">
        <v>36</v>
      </c>
      <c r="R7" s="191"/>
      <c r="S7" s="5" t="s">
        <v>35</v>
      </c>
      <c r="T7" s="5" t="s">
        <v>36</v>
      </c>
      <c r="U7" s="191"/>
    </row>
    <row r="8" spans="1:35" ht="30" customHeight="1" x14ac:dyDescent="0.3">
      <c r="A8" s="192" t="s">
        <v>39</v>
      </c>
      <c r="B8" s="193"/>
      <c r="C8" s="193"/>
      <c r="D8" s="193"/>
      <c r="E8" s="193"/>
      <c r="F8" s="193"/>
      <c r="G8" s="193"/>
      <c r="H8" s="193"/>
      <c r="I8" s="194"/>
      <c r="J8" s="7"/>
      <c r="K8" s="7"/>
      <c r="L8" s="7"/>
      <c r="M8" s="8">
        <f>SUM(M9,M918)</f>
        <v>48343925.43</v>
      </c>
      <c r="N8" s="8">
        <f>SUM(N9,N918)</f>
        <v>97174132.930000007</v>
      </c>
      <c r="O8" s="8">
        <f>SUM(O9,O918)</f>
        <v>145518058.36000001</v>
      </c>
      <c r="P8" s="7"/>
      <c r="Q8" s="7"/>
      <c r="R8" s="7"/>
      <c r="S8" s="8">
        <f>SUM(S9,S918)</f>
        <v>55954680.140000001</v>
      </c>
      <c r="T8" s="8">
        <f>SUM(T9,T918)</f>
        <v>97174132.930000007</v>
      </c>
      <c r="U8" s="8">
        <f>SUM(U9,U918)</f>
        <v>153128813.06999999</v>
      </c>
      <c r="Y8" s="9">
        <f>SUM(Y9,Y918)</f>
        <v>46628900.259999998</v>
      </c>
      <c r="Z8" s="9">
        <f>SUM(Z9,Z918)</f>
        <v>80978444.120000005</v>
      </c>
      <c r="AA8" s="9" t="e">
        <f>SUM(AA9,AA918)</f>
        <v>#VALUE!</v>
      </c>
      <c r="AC8" s="4" t="s">
        <v>40</v>
      </c>
    </row>
    <row r="9" spans="1:35" ht="17.100000000000001" customHeight="1" x14ac:dyDescent="0.3">
      <c r="A9" s="10" t="s">
        <v>41</v>
      </c>
      <c r="B9" s="10" t="s">
        <v>42</v>
      </c>
      <c r="C9" s="185" t="s">
        <v>43</v>
      </c>
      <c r="D9" s="186"/>
      <c r="E9" s="186"/>
      <c r="F9" s="186"/>
      <c r="G9" s="186"/>
      <c r="H9" s="186"/>
      <c r="I9" s="187"/>
      <c r="M9" s="6">
        <f t="shared" ref="M9:O11" si="0">SUM(M10)</f>
        <v>48343925.43</v>
      </c>
      <c r="N9" s="6">
        <f t="shared" si="0"/>
        <v>96116400.219999999</v>
      </c>
      <c r="O9" s="6">
        <f t="shared" si="0"/>
        <v>144460325.65000001</v>
      </c>
      <c r="S9" s="6">
        <f t="shared" ref="S9:U11" si="1">SUM(S10)</f>
        <v>55954680.140000001</v>
      </c>
      <c r="T9" s="6">
        <f t="shared" si="1"/>
        <v>96116400.219999999</v>
      </c>
      <c r="U9" s="6">
        <f t="shared" si="1"/>
        <v>152071080.36000001</v>
      </c>
      <c r="Y9" s="9">
        <f t="shared" ref="Y9:AA11" si="2">SUM(Y10)</f>
        <v>46628900.259999998</v>
      </c>
      <c r="Z9" s="9">
        <f t="shared" si="2"/>
        <v>80097000.189999998</v>
      </c>
      <c r="AA9" s="9" t="e">
        <f t="shared" si="2"/>
        <v>#VALUE!</v>
      </c>
      <c r="AD9" s="4">
        <v>271132055</v>
      </c>
      <c r="AE9" s="4">
        <v>16194151</v>
      </c>
    </row>
    <row r="10" spans="1:35" ht="17.100000000000001" customHeight="1" x14ac:dyDescent="0.3">
      <c r="A10" s="10" t="s">
        <v>44</v>
      </c>
      <c r="B10" s="10" t="s">
        <v>45</v>
      </c>
      <c r="C10" s="185" t="s">
        <v>46</v>
      </c>
      <c r="D10" s="186"/>
      <c r="E10" s="186"/>
      <c r="F10" s="186"/>
      <c r="G10" s="186"/>
      <c r="H10" s="186"/>
      <c r="I10" s="187"/>
      <c r="M10" s="6">
        <f t="shared" si="0"/>
        <v>48343925.43</v>
      </c>
      <c r="N10" s="6">
        <f t="shared" si="0"/>
        <v>96116400.219999999</v>
      </c>
      <c r="O10" s="6">
        <f t="shared" si="0"/>
        <v>144460325.65000001</v>
      </c>
      <c r="S10" s="6">
        <f t="shared" si="1"/>
        <v>55954680.140000001</v>
      </c>
      <c r="T10" s="6">
        <f t="shared" si="1"/>
        <v>96116400.219999999</v>
      </c>
      <c r="U10" s="6">
        <f t="shared" si="1"/>
        <v>152071080.36000001</v>
      </c>
      <c r="Y10" s="9">
        <f t="shared" si="2"/>
        <v>46628900.259999998</v>
      </c>
      <c r="Z10" s="9">
        <f t="shared" si="2"/>
        <v>80097000.189999998</v>
      </c>
      <c r="AA10" s="9" t="e">
        <f t="shared" si="2"/>
        <v>#VALUE!</v>
      </c>
      <c r="AD10" s="4">
        <v>271132056</v>
      </c>
      <c r="AE10" s="4">
        <v>16194155</v>
      </c>
    </row>
    <row r="11" spans="1:35" ht="17.100000000000001" customHeight="1" x14ac:dyDescent="0.3">
      <c r="A11" s="10" t="s">
        <v>47</v>
      </c>
      <c r="B11" s="10" t="s">
        <v>48</v>
      </c>
      <c r="C11" s="185" t="s">
        <v>49</v>
      </c>
      <c r="D11" s="186"/>
      <c r="E11" s="186"/>
      <c r="F11" s="186"/>
      <c r="G11" s="186"/>
      <c r="H11" s="186"/>
      <c r="I11" s="187"/>
      <c r="M11" s="6">
        <f t="shared" si="0"/>
        <v>48343925.43</v>
      </c>
      <c r="N11" s="6">
        <f t="shared" si="0"/>
        <v>96116400.219999999</v>
      </c>
      <c r="O11" s="6">
        <f t="shared" si="0"/>
        <v>144460325.65000001</v>
      </c>
      <c r="S11" s="6">
        <f t="shared" si="1"/>
        <v>55954680.140000001</v>
      </c>
      <c r="T11" s="6">
        <f t="shared" si="1"/>
        <v>96116400.219999999</v>
      </c>
      <c r="U11" s="6">
        <f t="shared" si="1"/>
        <v>152071080.36000001</v>
      </c>
      <c r="Y11" s="9">
        <f t="shared" si="2"/>
        <v>46628900.259999998</v>
      </c>
      <c r="Z11" s="9">
        <f t="shared" si="2"/>
        <v>80097000.189999998</v>
      </c>
      <c r="AA11" s="9" t="e">
        <f t="shared" si="2"/>
        <v>#VALUE!</v>
      </c>
      <c r="AD11" s="4">
        <v>271132057</v>
      </c>
      <c r="AE11" s="4">
        <v>16194158</v>
      </c>
    </row>
    <row r="12" spans="1:35" ht="17.100000000000001" customHeight="1" x14ac:dyDescent="0.3">
      <c r="A12" s="10" t="s">
        <v>50</v>
      </c>
      <c r="B12" s="10" t="s">
        <v>51</v>
      </c>
      <c r="C12" s="185" t="s">
        <v>52</v>
      </c>
      <c r="D12" s="186"/>
      <c r="E12" s="186"/>
      <c r="F12" s="186"/>
      <c r="G12" s="186"/>
      <c r="H12" s="186"/>
      <c r="I12" s="187"/>
      <c r="M12" s="6">
        <f>SUM(M13,M209,M619,M805,M878)</f>
        <v>48343925.43</v>
      </c>
      <c r="N12" s="6">
        <f>SUM(N13,N209,N619,N805,N878)</f>
        <v>96116400.219999999</v>
      </c>
      <c r="O12" s="6">
        <f>SUM(O13,O209,O619,O805,O878)</f>
        <v>144460325.65000001</v>
      </c>
      <c r="S12" s="6">
        <f>SUM(S13,S209,S619,S805,S878)</f>
        <v>55954680.140000001</v>
      </c>
      <c r="T12" s="6">
        <f>SUM(T13,T209,T619,T805,T878)</f>
        <v>96116400.219999999</v>
      </c>
      <c r="U12" s="6">
        <f>SUM(U13,U209,U619,U805,U878)</f>
        <v>152071080.36000001</v>
      </c>
      <c r="Y12" s="9">
        <f>SUM(Y13,Y209,Y619,Y805,Y878)</f>
        <v>46628900.259999998</v>
      </c>
      <c r="Z12" s="9">
        <f>SUM(Z13,Z209,Z619,Z805,Z878)</f>
        <v>80097000.189999998</v>
      </c>
      <c r="AA12" s="9" t="e">
        <f>SUM(AA13,AA209,AA619,AA805,AA878)</f>
        <v>#VALUE!</v>
      </c>
      <c r="AD12" s="4">
        <v>271132058</v>
      </c>
      <c r="AE12" s="4">
        <v>16194162</v>
      </c>
    </row>
    <row r="13" spans="1:35" ht="17.100000000000001" customHeight="1" x14ac:dyDescent="0.3">
      <c r="A13" s="10" t="s">
        <v>53</v>
      </c>
      <c r="B13" s="10" t="s">
        <v>54</v>
      </c>
      <c r="C13" s="185" t="s">
        <v>55</v>
      </c>
      <c r="D13" s="186"/>
      <c r="E13" s="186"/>
      <c r="F13" s="186"/>
      <c r="G13" s="186"/>
      <c r="H13" s="186"/>
      <c r="I13" s="187"/>
      <c r="M13" s="6">
        <f>SUM(M14,M102,M119)</f>
        <v>14351684.9</v>
      </c>
      <c r="N13" s="6">
        <f>SUM(N14,N102,N119)</f>
        <v>20810202.670000002</v>
      </c>
      <c r="O13" s="6">
        <f>SUM(O14,O102,O119)</f>
        <v>35161887.57</v>
      </c>
      <c r="S13" s="6">
        <f>SUM(S14,S102,S119)</f>
        <v>22034434.940000001</v>
      </c>
      <c r="T13" s="6">
        <f>SUM(T14,T102,T119)</f>
        <v>20810202.670000002</v>
      </c>
      <c r="U13" s="6">
        <f>SUM(U14,U102,U119)</f>
        <v>42844637.609999999</v>
      </c>
      <c r="Y13" s="9">
        <f>SUM(Y14,Y102,Y119)</f>
        <v>18362029.149999999</v>
      </c>
      <c r="Z13" s="9">
        <f>SUM(Z14,Z102,Z119)</f>
        <v>17341835.559999999</v>
      </c>
      <c r="AA13" s="9">
        <f>SUM(AA14,AA102,AA119)</f>
        <v>35703864.710000001</v>
      </c>
      <c r="AD13" s="4">
        <v>271132059</v>
      </c>
      <c r="AE13" s="4">
        <v>16194163</v>
      </c>
    </row>
    <row r="14" spans="1:35" ht="17.100000000000001" customHeight="1" x14ac:dyDescent="0.3">
      <c r="A14" s="10" t="s">
        <v>56</v>
      </c>
      <c r="B14" s="10" t="s">
        <v>57</v>
      </c>
      <c r="C14" s="185" t="s">
        <v>58</v>
      </c>
      <c r="D14" s="186"/>
      <c r="E14" s="186"/>
      <c r="F14" s="186"/>
      <c r="G14" s="186"/>
      <c r="H14" s="186"/>
      <c r="I14" s="187"/>
      <c r="M14" s="6">
        <f>SUM(M15,M18,M22,M24,M40,M56,M62,M68,M74,M90,M96)</f>
        <v>9604555.7100000009</v>
      </c>
      <c r="N14" s="6">
        <f>SUM(N15,N18,N22,N24,N40,N56,N62,N68,N74,N90,N96)</f>
        <v>12124369.619999999</v>
      </c>
      <c r="O14" s="6">
        <f>SUM(O15,O18,O22,O24,O40,O56,O62,O68,O74,O90,O96)</f>
        <v>21728925.329999998</v>
      </c>
      <c r="S14" s="6">
        <f>SUM(S15,S18,S22,S24,S40,S56,S62,S68,S74,S90,S96)</f>
        <v>9604555.7100000009</v>
      </c>
      <c r="T14" s="6">
        <f>SUM(T15,T18,T22,T24,T40,T56,T62,T68,T74,T90,T96)</f>
        <v>12124369.619999999</v>
      </c>
      <c r="U14" s="6">
        <f>SUM(U15,U18,U22,U24,U40,U56,U62,U68,U74,U90,U96)</f>
        <v>21728925.329999998</v>
      </c>
      <c r="Y14" s="9">
        <f>SUM(Y15,Y18,Y22,Y24,Y40,Y56,Y62,Y68,Y74,Y90,Y96)</f>
        <v>8003796.4400000004</v>
      </c>
      <c r="Z14" s="9">
        <f>SUM(Z15,Z18,Z22,Z24,Z40,Z56,Z62,Z68,Z74,Z90,Z96)</f>
        <v>10103641.35</v>
      </c>
      <c r="AA14" s="9">
        <f>SUM(AA15,AA18,AA22,AA24,AA40,AA56,AA62,AA68,AA74,AA90,AA96)</f>
        <v>18107437.789999999</v>
      </c>
      <c r="AD14" s="4">
        <v>271132060</v>
      </c>
      <c r="AE14" s="4">
        <v>16194161</v>
      </c>
    </row>
    <row r="15" spans="1:35" ht="54" x14ac:dyDescent="0.3">
      <c r="A15" s="10" t="s">
        <v>59</v>
      </c>
      <c r="B15" s="10" t="s">
        <v>60</v>
      </c>
      <c r="C15" s="11" t="s">
        <v>61</v>
      </c>
      <c r="D15" s="12" t="s">
        <v>62</v>
      </c>
      <c r="E15" s="12" t="s">
        <v>63</v>
      </c>
      <c r="F15" s="12" t="s">
        <v>64</v>
      </c>
      <c r="G15" s="13">
        <v>1</v>
      </c>
      <c r="H15" s="12"/>
      <c r="I15" s="13">
        <v>4263.2</v>
      </c>
      <c r="J15" s="14">
        <f>IFERROR(ROUND(SUM(M16,M17)/I15, 2),0)</f>
        <v>177.36</v>
      </c>
      <c r="K15" s="15">
        <v>388</v>
      </c>
      <c r="L15" s="14">
        <f>J15+ROUND(K15, 2)</f>
        <v>565.36</v>
      </c>
      <c r="M15" s="14">
        <f>ROUND(J15*I15, 2)</f>
        <v>756121.15</v>
      </c>
      <c r="N15" s="14">
        <f>ROUND(I15*ROUND(K15, 2), 2)</f>
        <v>1654121.6</v>
      </c>
      <c r="O15" s="14">
        <f>M15+N15</f>
        <v>2410242.75</v>
      </c>
      <c r="P15" s="14">
        <f>IFERROR(ROUND(SUM(S16,S17)/I15, 2),0)</f>
        <v>177.36</v>
      </c>
      <c r="Q15" s="16">
        <v>388</v>
      </c>
      <c r="R15" s="14">
        <f>P15+ROUND(Q15, 2)</f>
        <v>565.36</v>
      </c>
      <c r="S15" s="14">
        <f>ROUND(P15*I15, 2)</f>
        <v>756121.15</v>
      </c>
      <c r="T15" s="14">
        <f>ROUND(I15*ROUND(Q15, 2), 2)</f>
        <v>1654121.6</v>
      </c>
      <c r="U15" s="14">
        <f>S15+T15</f>
        <v>2410242.75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630100.96</v>
      </c>
      <c r="Z15" s="9">
        <f>ROUND(T15 / 1.2, 2)</f>
        <v>1378434.67</v>
      </c>
      <c r="AA15" s="9">
        <f>Y15+Z15</f>
        <v>2008535.63</v>
      </c>
      <c r="AD15" s="4">
        <v>271132062</v>
      </c>
      <c r="AE15" s="4">
        <v>16194152</v>
      </c>
      <c r="AG15" s="4" t="s">
        <v>65</v>
      </c>
      <c r="AH15" s="4" t="s">
        <v>66</v>
      </c>
      <c r="AI15" s="4" t="s">
        <v>67</v>
      </c>
    </row>
    <row r="16" spans="1:35" ht="36" x14ac:dyDescent="0.3">
      <c r="A16" s="10" t="s">
        <v>68</v>
      </c>
      <c r="B16" s="10"/>
      <c r="C16" s="17" t="s">
        <v>69</v>
      </c>
      <c r="D16" s="12"/>
      <c r="E16" s="12"/>
      <c r="F16" s="18" t="s">
        <v>70</v>
      </c>
      <c r="G16" s="19">
        <v>1.6</v>
      </c>
      <c r="H16" s="12"/>
      <c r="I16" s="20">
        <v>68211.199999999997</v>
      </c>
      <c r="J16" s="21">
        <v>9.67</v>
      </c>
      <c r="M16" s="22">
        <f>ROUND(ROUND(J16, 2)*I16, 2)</f>
        <v>659602.30000000005</v>
      </c>
      <c r="P16" s="23">
        <v>9.67</v>
      </c>
      <c r="S16" s="22">
        <f>ROUND(ROUND(P16, 2)*I16, 2)</f>
        <v>659602.30000000005</v>
      </c>
      <c r="V16" s="9">
        <f>ROUND(ROUND(P16, 2)/1.2, 2)</f>
        <v>8.06</v>
      </c>
      <c r="Y16" s="9">
        <f t="shared" ref="Y16:Y24" si="3">ROUND(S16 / 1.2, 2)</f>
        <v>549668.57999999996</v>
      </c>
      <c r="AD16" s="4" t="s">
        <v>71</v>
      </c>
      <c r="AE16" s="4" t="s">
        <v>72</v>
      </c>
      <c r="AF16" s="4" t="s">
        <v>73</v>
      </c>
    </row>
    <row r="17" spans="1:35" ht="36" x14ac:dyDescent="0.3">
      <c r="A17" s="10" t="s">
        <v>74</v>
      </c>
      <c r="B17" s="10"/>
      <c r="C17" s="24" t="s">
        <v>75</v>
      </c>
      <c r="D17" s="12"/>
      <c r="E17" s="12"/>
      <c r="F17" s="18" t="s">
        <v>70</v>
      </c>
      <c r="G17" s="19">
        <v>0.255</v>
      </c>
      <c r="H17" s="12"/>
      <c r="I17" s="20">
        <v>1087.116</v>
      </c>
      <c r="J17" s="21">
        <v>88.8</v>
      </c>
      <c r="M17" s="22">
        <f>ROUND(ROUND(J17, 2)*I17, 2)</f>
        <v>96535.9</v>
      </c>
      <c r="P17" s="23">
        <v>88.8</v>
      </c>
      <c r="S17" s="22">
        <f>ROUND(ROUND(P17, 2)*I17, 2)</f>
        <v>96535.9</v>
      </c>
      <c r="V17" s="9">
        <f>ROUND(ROUND(P17, 2)/1.2, 2)</f>
        <v>74</v>
      </c>
      <c r="Y17" s="9">
        <f t="shared" si="3"/>
        <v>80446.58</v>
      </c>
      <c r="AD17" s="4" t="s">
        <v>76</v>
      </c>
      <c r="AE17" s="4" t="s">
        <v>77</v>
      </c>
      <c r="AF17" s="4" t="s">
        <v>78</v>
      </c>
    </row>
    <row r="18" spans="1:35" ht="54" x14ac:dyDescent="0.3">
      <c r="A18" s="25" t="s">
        <v>79</v>
      </c>
      <c r="B18" s="25" t="s">
        <v>60</v>
      </c>
      <c r="C18" s="26" t="s">
        <v>80</v>
      </c>
      <c r="D18" s="27" t="s">
        <v>62</v>
      </c>
      <c r="E18" s="27" t="s">
        <v>81</v>
      </c>
      <c r="F18" s="27" t="s">
        <v>64</v>
      </c>
      <c r="G18" s="28">
        <v>1</v>
      </c>
      <c r="H18" s="27"/>
      <c r="I18" s="28">
        <v>3740.2</v>
      </c>
      <c r="J18" s="29">
        <f>IFERROR(ROUND(SUM(M19,M20,M21)/I18, 2),0)</f>
        <v>180.67</v>
      </c>
      <c r="K18" s="29">
        <v>400</v>
      </c>
      <c r="L18" s="29">
        <f>J18+ROUND(K18, 2)</f>
        <v>580.66999999999996</v>
      </c>
      <c r="M18" s="29">
        <f>ROUND(J18*I18, 2)</f>
        <v>675741.93</v>
      </c>
      <c r="N18" s="29">
        <f>ROUND(I18*ROUND(K18, 2), 2)</f>
        <v>1496080</v>
      </c>
      <c r="O18" s="29">
        <f>M18+N18</f>
        <v>2171821.9300000002</v>
      </c>
      <c r="P18" s="29">
        <f>IFERROR(ROUND(SUM(S19,S20,S21)/I18, 2),0)</f>
        <v>180.67</v>
      </c>
      <c r="Q18" s="29">
        <v>400</v>
      </c>
      <c r="R18" s="29">
        <f>P18+ROUND(Q18, 2)</f>
        <v>580.66999999999996</v>
      </c>
      <c r="S18" s="29">
        <f>ROUND(P18*I18, 2)</f>
        <v>675741.93</v>
      </c>
      <c r="T18" s="29">
        <f>ROUND(I18*ROUND(Q18, 2), 2)</f>
        <v>1496080</v>
      </c>
      <c r="U18" s="29">
        <f>S18+T18</f>
        <v>2171821.9300000002</v>
      </c>
      <c r="V18" s="9">
        <f>ROUND(P18 / 1.2, 2)</f>
        <v>150.56</v>
      </c>
      <c r="W18" s="9">
        <f>ROUND(Q18 / 1.2, 2)</f>
        <v>333.33</v>
      </c>
      <c r="X18" s="9">
        <f>ROUND(R18 / 1.2, 2)</f>
        <v>483.89</v>
      </c>
      <c r="Y18" s="9">
        <f t="shared" si="3"/>
        <v>563118.28</v>
      </c>
      <c r="Z18" s="9">
        <f>ROUND(T18 / 1.2, 2)</f>
        <v>1246733.33</v>
      </c>
      <c r="AA18" s="9">
        <f>Y18+Z18</f>
        <v>1809851.61</v>
      </c>
      <c r="AD18" s="4">
        <v>271132160</v>
      </c>
      <c r="AE18" s="4">
        <v>19810509</v>
      </c>
      <c r="AG18" s="4" t="s">
        <v>65</v>
      </c>
      <c r="AH18" s="4" t="s">
        <v>66</v>
      </c>
      <c r="AI18" s="4" t="s">
        <v>67</v>
      </c>
    </row>
    <row r="19" spans="1:35" ht="36" x14ac:dyDescent="0.3">
      <c r="A19" s="25" t="s">
        <v>82</v>
      </c>
      <c r="B19" s="25"/>
      <c r="C19" s="30" t="s">
        <v>75</v>
      </c>
      <c r="D19" s="27"/>
      <c r="E19" s="27"/>
      <c r="F19" s="31" t="s">
        <v>70</v>
      </c>
      <c r="G19" s="32">
        <v>0.255</v>
      </c>
      <c r="H19" s="27"/>
      <c r="I19" s="33">
        <v>953.75099999999998</v>
      </c>
      <c r="J19" s="34">
        <v>88.8</v>
      </c>
      <c r="K19" s="35"/>
      <c r="L19" s="35"/>
      <c r="M19" s="34">
        <f>ROUND(ROUND(J19, 2)*I19, 2)</f>
        <v>84693.09</v>
      </c>
      <c r="N19" s="35"/>
      <c r="O19" s="35"/>
      <c r="P19" s="34">
        <v>88.8</v>
      </c>
      <c r="Q19" s="35"/>
      <c r="R19" s="35"/>
      <c r="S19" s="34">
        <f>ROUND(ROUND(P19, 2)*I19, 2)</f>
        <v>84693.09</v>
      </c>
      <c r="T19" s="35"/>
      <c r="U19" s="36"/>
      <c r="V19" s="9">
        <f>ROUND(ROUND(P19, 2)/1.2, 2)</f>
        <v>74</v>
      </c>
      <c r="Y19" s="9">
        <f t="shared" si="3"/>
        <v>70577.58</v>
      </c>
      <c r="AD19" s="4" t="s">
        <v>83</v>
      </c>
      <c r="AE19" s="4" t="s">
        <v>84</v>
      </c>
      <c r="AF19" s="4" t="s">
        <v>78</v>
      </c>
    </row>
    <row r="20" spans="1:35" ht="18" x14ac:dyDescent="0.3">
      <c r="A20" s="25" t="s">
        <v>85</v>
      </c>
      <c r="B20" s="25"/>
      <c r="C20" s="30" t="s">
        <v>86</v>
      </c>
      <c r="D20" s="27"/>
      <c r="E20" s="27"/>
      <c r="F20" s="31" t="s">
        <v>87</v>
      </c>
      <c r="G20" s="32">
        <v>1</v>
      </c>
      <c r="H20" s="27"/>
      <c r="I20" s="33">
        <v>1880</v>
      </c>
      <c r="J20" s="34">
        <v>10.4</v>
      </c>
      <c r="K20" s="35"/>
      <c r="L20" s="35"/>
      <c r="M20" s="34">
        <f>ROUND(ROUND(J20, 2)*I20, 2)</f>
        <v>19552</v>
      </c>
      <c r="N20" s="35"/>
      <c r="O20" s="35"/>
      <c r="P20" s="34">
        <v>10.4</v>
      </c>
      <c r="Q20" s="35"/>
      <c r="R20" s="35"/>
      <c r="S20" s="34">
        <f>ROUND(ROUND(P20, 2)*I20, 2)</f>
        <v>19552</v>
      </c>
      <c r="T20" s="35"/>
      <c r="U20" s="36"/>
      <c r="V20" s="9">
        <f>ROUND(ROUND(P20, 2)/1.2, 2)</f>
        <v>8.67</v>
      </c>
      <c r="Y20" s="9">
        <f t="shared" si="3"/>
        <v>16293.33</v>
      </c>
      <c r="AD20" s="4" t="s">
        <v>88</v>
      </c>
      <c r="AE20" s="4" t="s">
        <v>89</v>
      </c>
      <c r="AF20" s="4" t="s">
        <v>90</v>
      </c>
    </row>
    <row r="21" spans="1:35" ht="36" x14ac:dyDescent="0.3">
      <c r="A21" s="25" t="s">
        <v>91</v>
      </c>
      <c r="B21" s="25"/>
      <c r="C21" s="17" t="s">
        <v>69</v>
      </c>
      <c r="D21" s="27"/>
      <c r="E21" s="27"/>
      <c r="F21" s="31" t="s">
        <v>70</v>
      </c>
      <c r="G21" s="32">
        <v>1.6</v>
      </c>
      <c r="H21" s="27"/>
      <c r="I21" s="33">
        <v>59843.199999999997</v>
      </c>
      <c r="J21" s="34">
        <v>9.5500000000000007</v>
      </c>
      <c r="K21" s="35"/>
      <c r="L21" s="35"/>
      <c r="M21" s="34">
        <f>ROUND(ROUND(J21, 2)*I21, 2)</f>
        <v>571502.56000000006</v>
      </c>
      <c r="N21" s="35"/>
      <c r="O21" s="35"/>
      <c r="P21" s="34">
        <v>9.5500000000000007</v>
      </c>
      <c r="Q21" s="35"/>
      <c r="R21" s="35"/>
      <c r="S21" s="34">
        <f>ROUND(ROUND(P21, 2)*I21, 2)</f>
        <v>571502.56000000006</v>
      </c>
      <c r="T21" s="35"/>
      <c r="U21" s="36"/>
      <c r="V21" s="9">
        <f>ROUND(ROUND(P21, 2)/1.2, 2)</f>
        <v>7.96</v>
      </c>
      <c r="Y21" s="9">
        <f t="shared" si="3"/>
        <v>476252.13</v>
      </c>
      <c r="AD21" s="4" t="s">
        <v>92</v>
      </c>
      <c r="AE21" s="4" t="s">
        <v>93</v>
      </c>
      <c r="AF21" s="4" t="s">
        <v>73</v>
      </c>
    </row>
    <row r="22" spans="1:35" ht="54" x14ac:dyDescent="0.3">
      <c r="A22" s="25" t="s">
        <v>94</v>
      </c>
      <c r="B22" s="25" t="s">
        <v>95</v>
      </c>
      <c r="C22" s="26" t="s">
        <v>96</v>
      </c>
      <c r="D22" s="27"/>
      <c r="E22" s="27" t="s">
        <v>97</v>
      </c>
      <c r="F22" s="27" t="s">
        <v>98</v>
      </c>
      <c r="G22" s="28">
        <v>1</v>
      </c>
      <c r="H22" s="27"/>
      <c r="I22" s="28">
        <v>2.88</v>
      </c>
      <c r="J22" s="29">
        <f>IFERROR(ROUND(SUM(M23)/I22, 2),0)</f>
        <v>12597</v>
      </c>
      <c r="K22" s="29">
        <v>54984</v>
      </c>
      <c r="L22" s="29">
        <f>J22+ROUND(K22, 2)</f>
        <v>67581</v>
      </c>
      <c r="M22" s="29">
        <f>ROUND(J22*I22, 2)</f>
        <v>36279.360000000001</v>
      </c>
      <c r="N22" s="29">
        <f>ROUND(I22*ROUND(K22, 2), 2)</f>
        <v>158353.92000000001</v>
      </c>
      <c r="O22" s="29">
        <f>M22+N22</f>
        <v>194633.28</v>
      </c>
      <c r="P22" s="29">
        <f>IFERROR(ROUND(SUM(S23)/I22, 2),0)</f>
        <v>12597</v>
      </c>
      <c r="Q22" s="29">
        <v>54984</v>
      </c>
      <c r="R22" s="29">
        <f>P22+ROUND(Q22, 2)</f>
        <v>67581</v>
      </c>
      <c r="S22" s="29">
        <f>ROUND(P22*I22, 2)</f>
        <v>36279.360000000001</v>
      </c>
      <c r="T22" s="29">
        <f>ROUND(I22*ROUND(Q22, 2), 2)</f>
        <v>158353.92000000001</v>
      </c>
      <c r="U22" s="29">
        <f>S22+T22</f>
        <v>194633.28</v>
      </c>
      <c r="V22" s="9">
        <f>ROUND(P22 / 1.2, 2)</f>
        <v>10497.5</v>
      </c>
      <c r="W22" s="9">
        <f>ROUND(Q22 / 1.2, 2)</f>
        <v>45820</v>
      </c>
      <c r="X22" s="9">
        <f>ROUND(R22 / 1.2, 2)</f>
        <v>56317.5</v>
      </c>
      <c r="Y22" s="9">
        <f t="shared" si="3"/>
        <v>30232.799999999999</v>
      </c>
      <c r="Z22" s="9">
        <f>ROUND(T22 / 1.2, 2)</f>
        <v>131961.60000000001</v>
      </c>
      <c r="AA22" s="9">
        <f>Y22+Z22</f>
        <v>162194.4</v>
      </c>
      <c r="AD22" s="4">
        <v>271132064</v>
      </c>
      <c r="AE22" s="4">
        <v>19810929</v>
      </c>
      <c r="AG22" s="4" t="s">
        <v>99</v>
      </c>
      <c r="AH22" s="4" t="s">
        <v>100</v>
      </c>
      <c r="AI22" s="4" t="s">
        <v>67</v>
      </c>
    </row>
    <row r="23" spans="1:35" ht="18" x14ac:dyDescent="0.3">
      <c r="A23" s="25" t="s">
        <v>101</v>
      </c>
      <c r="B23" s="25"/>
      <c r="C23" s="30" t="s">
        <v>102</v>
      </c>
      <c r="D23" s="27"/>
      <c r="E23" s="27"/>
      <c r="F23" s="31" t="s">
        <v>70</v>
      </c>
      <c r="G23" s="32">
        <v>1700</v>
      </c>
      <c r="H23" s="27"/>
      <c r="I23" s="33">
        <v>4896</v>
      </c>
      <c r="J23" s="34">
        <v>7.41</v>
      </c>
      <c r="K23" s="35"/>
      <c r="L23" s="35"/>
      <c r="M23" s="34">
        <f>ROUND(ROUND(J23, 2)*I23, 2)</f>
        <v>36279.360000000001</v>
      </c>
      <c r="N23" s="35"/>
      <c r="O23" s="35"/>
      <c r="P23" s="34">
        <v>7.41</v>
      </c>
      <c r="Q23" s="35"/>
      <c r="R23" s="35"/>
      <c r="S23" s="34">
        <f>ROUND(ROUND(P23, 2)*I23, 2)</f>
        <v>36279.360000000001</v>
      </c>
      <c r="T23" s="35"/>
      <c r="U23" s="36"/>
      <c r="V23" s="9">
        <f>ROUND(ROUND(P23, 2)/1.2, 2)</f>
        <v>6.18</v>
      </c>
      <c r="Y23" s="9">
        <f t="shared" si="3"/>
        <v>30232.799999999999</v>
      </c>
      <c r="AD23" s="4" t="s">
        <v>103</v>
      </c>
      <c r="AE23" s="4" t="s">
        <v>104</v>
      </c>
      <c r="AF23" s="4" t="s">
        <v>105</v>
      </c>
    </row>
    <row r="24" spans="1:35" ht="54" x14ac:dyDescent="0.3">
      <c r="A24" s="37" t="s">
        <v>106</v>
      </c>
      <c r="B24" s="37" t="s">
        <v>107</v>
      </c>
      <c r="C24" s="38" t="s">
        <v>108</v>
      </c>
      <c r="D24" s="39"/>
      <c r="E24" s="39" t="s">
        <v>109</v>
      </c>
      <c r="F24" s="39" t="s">
        <v>64</v>
      </c>
      <c r="G24" s="40">
        <v>1</v>
      </c>
      <c r="H24" s="39"/>
      <c r="I24" s="41">
        <v>0</v>
      </c>
      <c r="J24" s="42">
        <f>IFERROR(ROUND(SUM(M26,M28,M30,M32,M34,M36,M38)/I24, 2),0)</f>
        <v>0</v>
      </c>
      <c r="K24" s="42">
        <v>855</v>
      </c>
      <c r="L24" s="42">
        <f>J24+ROUND(K24, 2)</f>
        <v>855</v>
      </c>
      <c r="M24" s="42">
        <f>ROUND(J24*I24, 2)</f>
        <v>0</v>
      </c>
      <c r="N24" s="42">
        <f>ROUND(I24*ROUND(K24, 2), 2)</f>
        <v>0</v>
      </c>
      <c r="O24" s="42">
        <f>M24+N24</f>
        <v>0</v>
      </c>
      <c r="P24" s="42">
        <f>IFERROR(ROUND(SUM(S26,S28,S30,S32,S34,S36,S38)/I24, 2),0)</f>
        <v>0</v>
      </c>
      <c r="Q24" s="42">
        <v>855</v>
      </c>
      <c r="R24" s="42">
        <f>P24+ROUND(Q24, 2)</f>
        <v>855</v>
      </c>
      <c r="S24" s="42">
        <f>ROUND(P24*I24, 2)</f>
        <v>0</v>
      </c>
      <c r="T24" s="42">
        <f>ROUND(I24*ROUND(Q24, 2), 2)</f>
        <v>0</v>
      </c>
      <c r="U24" s="42">
        <f>S24+T24</f>
        <v>0</v>
      </c>
      <c r="V24" s="9">
        <f>ROUND(P24 / 1.2, 2)</f>
        <v>0</v>
      </c>
      <c r="W24" s="9">
        <f>ROUND(Q24 / 1.2, 2)</f>
        <v>712.5</v>
      </c>
      <c r="X24" s="9">
        <f>ROUND(R24 / 1.2, 2)</f>
        <v>712.5</v>
      </c>
      <c r="Y24" s="9">
        <f t="shared" si="3"/>
        <v>0</v>
      </c>
      <c r="Z24" s="9">
        <f>ROUND(T24 / 1.2, 2)</f>
        <v>0</v>
      </c>
      <c r="AA24" s="9">
        <f>Y24+Z24</f>
        <v>0</v>
      </c>
      <c r="AD24" s="4">
        <v>271132066</v>
      </c>
      <c r="AE24" s="4">
        <v>17497283</v>
      </c>
      <c r="AG24" s="4" t="s">
        <v>110</v>
      </c>
      <c r="AH24" s="4" t="s">
        <v>111</v>
      </c>
      <c r="AI24" s="4" t="s">
        <v>67</v>
      </c>
    </row>
    <row r="25" spans="1:35" ht="36" x14ac:dyDescent="0.3">
      <c r="A25" s="43" t="s">
        <v>112</v>
      </c>
      <c r="B25" s="43" t="s">
        <v>107</v>
      </c>
      <c r="C25" s="44" t="s">
        <v>108</v>
      </c>
      <c r="D25" s="45"/>
      <c r="E25" s="45" t="s">
        <v>113</v>
      </c>
      <c r="F25" s="45" t="s">
        <v>64</v>
      </c>
      <c r="G25" s="46">
        <v>1</v>
      </c>
      <c r="H25" s="45"/>
      <c r="I25" s="46">
        <v>57.8</v>
      </c>
      <c r="J25" s="47">
        <v>0</v>
      </c>
      <c r="K25" s="47">
        <v>855</v>
      </c>
      <c r="L25" s="47"/>
      <c r="M25" s="47">
        <v>0</v>
      </c>
      <c r="N25" s="47"/>
      <c r="O25" s="47"/>
      <c r="P25" s="47">
        <v>0</v>
      </c>
      <c r="Q25" s="47">
        <v>855</v>
      </c>
      <c r="R25" s="47"/>
      <c r="S25" s="47">
        <v>0</v>
      </c>
      <c r="T25" s="47"/>
      <c r="U25" s="47"/>
      <c r="V25" s="9"/>
      <c r="W25" s="9">
        <f>ROUND(Q25 / 1.2, 2)</f>
        <v>712.5</v>
      </c>
      <c r="X25" s="9" t="e">
        <f>ROUND(R25 / 1.2, 2)</f>
        <v>#VALUE!</v>
      </c>
      <c r="Y25" s="9"/>
      <c r="Z25" s="9" t="e">
        <f>ROUND(T25 / 1.2, 2)</f>
        <v>#VALUE!</v>
      </c>
      <c r="AA25" s="9"/>
      <c r="AD25" s="4">
        <v>225249743</v>
      </c>
      <c r="AE25" s="4">
        <v>17497283</v>
      </c>
      <c r="AG25" s="4" t="s">
        <v>110</v>
      </c>
      <c r="AH25" s="4" t="s">
        <v>111</v>
      </c>
      <c r="AI25" s="4"/>
    </row>
    <row r="26" spans="1:35" ht="18" x14ac:dyDescent="0.3">
      <c r="A26" s="37" t="s">
        <v>114</v>
      </c>
      <c r="B26" s="37"/>
      <c r="C26" s="48" t="s">
        <v>115</v>
      </c>
      <c r="D26" s="39"/>
      <c r="E26" s="39"/>
      <c r="F26" s="49" t="s">
        <v>116</v>
      </c>
      <c r="G26" s="50">
        <v>8</v>
      </c>
      <c r="H26" s="39"/>
      <c r="I26" s="51">
        <v>0</v>
      </c>
      <c r="J26" s="52">
        <v>2.5</v>
      </c>
      <c r="K26" s="53"/>
      <c r="L26" s="53"/>
      <c r="M26" s="52">
        <f t="shared" ref="M26:M39" si="4">ROUND(ROUND(J26, 2)*I26, 2)</f>
        <v>0</v>
      </c>
      <c r="N26" s="53"/>
      <c r="O26" s="53"/>
      <c r="P26" s="52">
        <v>2.5</v>
      </c>
      <c r="Q26" s="53"/>
      <c r="R26" s="53"/>
      <c r="S26" s="52">
        <f t="shared" ref="S26:S39" si="5">ROUND(ROUND(P26, 2)*I26, 2)</f>
        <v>0</v>
      </c>
      <c r="T26" s="53"/>
      <c r="U26" s="54"/>
      <c r="V26" s="9">
        <f t="shared" ref="V26:V39" si="6">ROUND(ROUND(P26, 2)/1.2, 2)</f>
        <v>2.08</v>
      </c>
      <c r="Y26" s="9">
        <f t="shared" ref="Y26:Y40" si="7">ROUND(S26 / 1.2, 2)</f>
        <v>0</v>
      </c>
      <c r="AD26" s="4" t="s">
        <v>117</v>
      </c>
      <c r="AE26" s="4" t="s">
        <v>118</v>
      </c>
      <c r="AF26" s="4" t="s">
        <v>119</v>
      </c>
    </row>
    <row r="27" spans="1:35" ht="18" x14ac:dyDescent="0.3">
      <c r="A27" s="43" t="s">
        <v>120</v>
      </c>
      <c r="B27" s="43"/>
      <c r="C27" s="55" t="s">
        <v>115</v>
      </c>
      <c r="D27" s="45"/>
      <c r="E27" s="45"/>
      <c r="F27" s="56" t="s">
        <v>116</v>
      </c>
      <c r="G27" s="57">
        <v>8</v>
      </c>
      <c r="H27" s="45"/>
      <c r="I27" s="58">
        <v>462.4</v>
      </c>
      <c r="J27" s="59">
        <v>2.5</v>
      </c>
      <c r="K27" s="60"/>
      <c r="L27" s="60"/>
      <c r="M27" s="59">
        <f t="shared" si="4"/>
        <v>1156</v>
      </c>
      <c r="N27" s="60"/>
      <c r="O27" s="60"/>
      <c r="P27" s="59">
        <v>2.5</v>
      </c>
      <c r="Q27" s="60"/>
      <c r="R27" s="60"/>
      <c r="S27" s="59">
        <f t="shared" si="5"/>
        <v>1156</v>
      </c>
      <c r="T27" s="60"/>
      <c r="U27" s="61"/>
      <c r="V27" s="9">
        <f t="shared" si="6"/>
        <v>2.08</v>
      </c>
      <c r="Y27" s="9">
        <f t="shared" si="7"/>
        <v>963.33</v>
      </c>
      <c r="AD27" s="4" t="s">
        <v>121</v>
      </c>
      <c r="AE27" s="4" t="s">
        <v>118</v>
      </c>
      <c r="AF27" s="4" t="s">
        <v>119</v>
      </c>
    </row>
    <row r="28" spans="1:35" ht="18" x14ac:dyDescent="0.3">
      <c r="A28" s="37" t="s">
        <v>122</v>
      </c>
      <c r="B28" s="37"/>
      <c r="C28" s="48" t="s">
        <v>123</v>
      </c>
      <c r="D28" s="39"/>
      <c r="E28" s="39"/>
      <c r="F28" s="49" t="s">
        <v>70</v>
      </c>
      <c r="G28" s="50">
        <v>1E-3</v>
      </c>
      <c r="H28" s="39"/>
      <c r="I28" s="51">
        <v>0</v>
      </c>
      <c r="J28" s="52">
        <v>208.33</v>
      </c>
      <c r="K28" s="53"/>
      <c r="L28" s="53"/>
      <c r="M28" s="52">
        <f t="shared" si="4"/>
        <v>0</v>
      </c>
      <c r="N28" s="53"/>
      <c r="O28" s="53"/>
      <c r="P28" s="52">
        <v>208.33</v>
      </c>
      <c r="Q28" s="53"/>
      <c r="R28" s="53"/>
      <c r="S28" s="52">
        <f t="shared" si="5"/>
        <v>0</v>
      </c>
      <c r="T28" s="53"/>
      <c r="U28" s="54"/>
      <c r="V28" s="9">
        <f t="shared" si="6"/>
        <v>173.61</v>
      </c>
      <c r="Y28" s="9">
        <f t="shared" si="7"/>
        <v>0</v>
      </c>
      <c r="AD28" s="4" t="s">
        <v>124</v>
      </c>
      <c r="AE28" s="4" t="s">
        <v>125</v>
      </c>
      <c r="AF28" s="4" t="s">
        <v>126</v>
      </c>
    </row>
    <row r="29" spans="1:35" ht="18" x14ac:dyDescent="0.3">
      <c r="A29" s="43" t="s">
        <v>127</v>
      </c>
      <c r="B29" s="43"/>
      <c r="C29" s="55" t="s">
        <v>123</v>
      </c>
      <c r="D29" s="45"/>
      <c r="E29" s="45"/>
      <c r="F29" s="56" t="s">
        <v>70</v>
      </c>
      <c r="G29" s="57">
        <v>1E-3</v>
      </c>
      <c r="H29" s="45"/>
      <c r="I29" s="58">
        <v>2.89</v>
      </c>
      <c r="J29" s="59">
        <v>208.33</v>
      </c>
      <c r="K29" s="60"/>
      <c r="L29" s="60"/>
      <c r="M29" s="59">
        <f t="shared" si="4"/>
        <v>602.07000000000005</v>
      </c>
      <c r="N29" s="60"/>
      <c r="O29" s="60"/>
      <c r="P29" s="59">
        <v>208.33</v>
      </c>
      <c r="Q29" s="60"/>
      <c r="R29" s="60"/>
      <c r="S29" s="59">
        <f t="shared" si="5"/>
        <v>602.07000000000005</v>
      </c>
      <c r="T29" s="60"/>
      <c r="U29" s="61"/>
      <c r="V29" s="9">
        <f t="shared" si="6"/>
        <v>173.61</v>
      </c>
      <c r="Y29" s="9">
        <f t="shared" si="7"/>
        <v>501.73</v>
      </c>
      <c r="AD29" s="4" t="s">
        <v>128</v>
      </c>
      <c r="AE29" s="4" t="s">
        <v>125</v>
      </c>
      <c r="AF29" s="4" t="s">
        <v>126</v>
      </c>
    </row>
    <row r="30" spans="1:35" ht="18" x14ac:dyDescent="0.3">
      <c r="A30" s="37" t="s">
        <v>129</v>
      </c>
      <c r="B30" s="37"/>
      <c r="C30" s="48" t="s">
        <v>130</v>
      </c>
      <c r="D30" s="39"/>
      <c r="E30" s="39"/>
      <c r="F30" s="49" t="s">
        <v>64</v>
      </c>
      <c r="G30" s="50">
        <v>1.1000000000000001</v>
      </c>
      <c r="H30" s="39"/>
      <c r="I30" s="51">
        <v>0</v>
      </c>
      <c r="J30" s="52">
        <v>155.01</v>
      </c>
      <c r="K30" s="53"/>
      <c r="L30" s="53"/>
      <c r="M30" s="52">
        <f t="shared" si="4"/>
        <v>0</v>
      </c>
      <c r="N30" s="53"/>
      <c r="O30" s="53"/>
      <c r="P30" s="52">
        <v>155.01</v>
      </c>
      <c r="Q30" s="53"/>
      <c r="R30" s="53"/>
      <c r="S30" s="52">
        <f t="shared" si="5"/>
        <v>0</v>
      </c>
      <c r="T30" s="53"/>
      <c r="U30" s="54"/>
      <c r="V30" s="9">
        <f t="shared" si="6"/>
        <v>129.18</v>
      </c>
      <c r="Y30" s="9">
        <f t="shared" si="7"/>
        <v>0</v>
      </c>
      <c r="AD30" s="4" t="s">
        <v>131</v>
      </c>
      <c r="AE30" s="4" t="s">
        <v>132</v>
      </c>
      <c r="AF30" s="4" t="s">
        <v>133</v>
      </c>
    </row>
    <row r="31" spans="1:35" ht="18" x14ac:dyDescent="0.3">
      <c r="A31" s="43" t="s">
        <v>134</v>
      </c>
      <c r="B31" s="43"/>
      <c r="C31" s="55" t="s">
        <v>130</v>
      </c>
      <c r="D31" s="45"/>
      <c r="E31" s="45"/>
      <c r="F31" s="56" t="s">
        <v>64</v>
      </c>
      <c r="G31" s="57">
        <v>1.1000000000000001</v>
      </c>
      <c r="H31" s="45"/>
      <c r="I31" s="58">
        <v>63.58</v>
      </c>
      <c r="J31" s="59">
        <v>155.01</v>
      </c>
      <c r="K31" s="60"/>
      <c r="L31" s="60"/>
      <c r="M31" s="59">
        <f t="shared" si="4"/>
        <v>9855.5400000000009</v>
      </c>
      <c r="N31" s="60"/>
      <c r="O31" s="60"/>
      <c r="P31" s="59">
        <v>155.01</v>
      </c>
      <c r="Q31" s="60"/>
      <c r="R31" s="60"/>
      <c r="S31" s="59">
        <f t="shared" si="5"/>
        <v>9855.5400000000009</v>
      </c>
      <c r="T31" s="60"/>
      <c r="U31" s="61"/>
      <c r="V31" s="9">
        <f t="shared" si="6"/>
        <v>129.18</v>
      </c>
      <c r="Y31" s="9">
        <f t="shared" si="7"/>
        <v>8212.9500000000007</v>
      </c>
      <c r="AD31" s="4" t="s">
        <v>135</v>
      </c>
      <c r="AE31" s="4" t="s">
        <v>132</v>
      </c>
      <c r="AF31" s="4" t="s">
        <v>133</v>
      </c>
    </row>
    <row r="32" spans="1:35" ht="18" x14ac:dyDescent="0.3">
      <c r="A32" s="37" t="s">
        <v>136</v>
      </c>
      <c r="B32" s="37"/>
      <c r="C32" s="48" t="s">
        <v>137</v>
      </c>
      <c r="D32" s="39"/>
      <c r="E32" s="39"/>
      <c r="F32" s="49" t="s">
        <v>70</v>
      </c>
      <c r="G32" s="50">
        <v>0.32</v>
      </c>
      <c r="H32" s="39"/>
      <c r="I32" s="51">
        <v>0</v>
      </c>
      <c r="J32" s="52">
        <v>7.5</v>
      </c>
      <c r="K32" s="53"/>
      <c r="L32" s="53"/>
      <c r="M32" s="52">
        <f t="shared" si="4"/>
        <v>0</v>
      </c>
      <c r="N32" s="53"/>
      <c r="O32" s="53"/>
      <c r="P32" s="52">
        <v>7.5</v>
      </c>
      <c r="Q32" s="53"/>
      <c r="R32" s="53"/>
      <c r="S32" s="52">
        <f t="shared" si="5"/>
        <v>0</v>
      </c>
      <c r="T32" s="53"/>
      <c r="U32" s="54"/>
      <c r="V32" s="9">
        <f t="shared" si="6"/>
        <v>6.25</v>
      </c>
      <c r="Y32" s="9">
        <f t="shared" si="7"/>
        <v>0</v>
      </c>
      <c r="AD32" s="4" t="s">
        <v>138</v>
      </c>
      <c r="AE32" s="4" t="s">
        <v>139</v>
      </c>
      <c r="AF32" s="4" t="s">
        <v>140</v>
      </c>
    </row>
    <row r="33" spans="1:35" ht="18" x14ac:dyDescent="0.3">
      <c r="A33" s="43" t="s">
        <v>141</v>
      </c>
      <c r="B33" s="43"/>
      <c r="C33" s="55" t="s">
        <v>137</v>
      </c>
      <c r="D33" s="45"/>
      <c r="E33" s="45"/>
      <c r="F33" s="56" t="s">
        <v>70</v>
      </c>
      <c r="G33" s="57">
        <v>0.32</v>
      </c>
      <c r="H33" s="45"/>
      <c r="I33" s="58">
        <v>924.8</v>
      </c>
      <c r="J33" s="59">
        <v>7.5</v>
      </c>
      <c r="K33" s="60"/>
      <c r="L33" s="60"/>
      <c r="M33" s="59">
        <f t="shared" si="4"/>
        <v>6936</v>
      </c>
      <c r="N33" s="60"/>
      <c r="O33" s="60"/>
      <c r="P33" s="59">
        <v>7.5</v>
      </c>
      <c r="Q33" s="60"/>
      <c r="R33" s="60"/>
      <c r="S33" s="59">
        <f t="shared" si="5"/>
        <v>6936</v>
      </c>
      <c r="T33" s="60"/>
      <c r="U33" s="61"/>
      <c r="V33" s="9">
        <f t="shared" si="6"/>
        <v>6.25</v>
      </c>
      <c r="Y33" s="9">
        <f t="shared" si="7"/>
        <v>5780</v>
      </c>
      <c r="AD33" s="4" t="s">
        <v>142</v>
      </c>
      <c r="AE33" s="4" t="s">
        <v>139</v>
      </c>
      <c r="AF33" s="4" t="s">
        <v>140</v>
      </c>
    </row>
    <row r="34" spans="1:35" ht="18" x14ac:dyDescent="0.3">
      <c r="A34" s="37" t="s">
        <v>143</v>
      </c>
      <c r="B34" s="37"/>
      <c r="C34" s="48" t="s">
        <v>144</v>
      </c>
      <c r="D34" s="39"/>
      <c r="E34" s="39"/>
      <c r="F34" s="49" t="s">
        <v>98</v>
      </c>
      <c r="G34" s="50">
        <v>1E-3</v>
      </c>
      <c r="H34" s="39"/>
      <c r="I34" s="51">
        <v>0</v>
      </c>
      <c r="J34" s="52">
        <v>1600</v>
      </c>
      <c r="K34" s="53"/>
      <c r="L34" s="53"/>
      <c r="M34" s="52">
        <f t="shared" si="4"/>
        <v>0</v>
      </c>
      <c r="N34" s="53"/>
      <c r="O34" s="53"/>
      <c r="P34" s="52">
        <v>1600</v>
      </c>
      <c r="Q34" s="53"/>
      <c r="R34" s="53"/>
      <c r="S34" s="52">
        <f t="shared" si="5"/>
        <v>0</v>
      </c>
      <c r="T34" s="53"/>
      <c r="U34" s="54"/>
      <c r="V34" s="9">
        <f t="shared" si="6"/>
        <v>1333.33</v>
      </c>
      <c r="Y34" s="9">
        <f t="shared" si="7"/>
        <v>0</v>
      </c>
      <c r="AD34" s="4" t="s">
        <v>145</v>
      </c>
      <c r="AE34" s="4" t="s">
        <v>146</v>
      </c>
      <c r="AF34" s="4" t="s">
        <v>147</v>
      </c>
    </row>
    <row r="35" spans="1:35" ht="18" x14ac:dyDescent="0.3">
      <c r="A35" s="43" t="s">
        <v>148</v>
      </c>
      <c r="B35" s="43"/>
      <c r="C35" s="55" t="s">
        <v>144</v>
      </c>
      <c r="D35" s="45"/>
      <c r="E35" s="45"/>
      <c r="F35" s="56" t="s">
        <v>98</v>
      </c>
      <c r="G35" s="57">
        <v>1E-3</v>
      </c>
      <c r="H35" s="45"/>
      <c r="I35" s="58">
        <v>2.89</v>
      </c>
      <c r="J35" s="59">
        <v>1600</v>
      </c>
      <c r="K35" s="60"/>
      <c r="L35" s="60"/>
      <c r="M35" s="59">
        <f t="shared" si="4"/>
        <v>4624</v>
      </c>
      <c r="N35" s="60"/>
      <c r="O35" s="60"/>
      <c r="P35" s="59">
        <v>1600</v>
      </c>
      <c r="Q35" s="60"/>
      <c r="R35" s="60"/>
      <c r="S35" s="59">
        <f t="shared" si="5"/>
        <v>4624</v>
      </c>
      <c r="T35" s="60"/>
      <c r="U35" s="61"/>
      <c r="V35" s="9">
        <f t="shared" si="6"/>
        <v>1333.33</v>
      </c>
      <c r="Y35" s="9">
        <f t="shared" si="7"/>
        <v>3853.33</v>
      </c>
      <c r="AD35" s="4" t="s">
        <v>149</v>
      </c>
      <c r="AE35" s="4" t="s">
        <v>146</v>
      </c>
      <c r="AF35" s="4" t="s">
        <v>147</v>
      </c>
    </row>
    <row r="36" spans="1:35" ht="18" x14ac:dyDescent="0.3">
      <c r="A36" s="37" t="s">
        <v>150</v>
      </c>
      <c r="B36" s="37"/>
      <c r="C36" s="48" t="s">
        <v>86</v>
      </c>
      <c r="D36" s="39"/>
      <c r="E36" s="39"/>
      <c r="F36" s="49" t="s">
        <v>87</v>
      </c>
      <c r="G36" s="50">
        <v>1</v>
      </c>
      <c r="H36" s="39"/>
      <c r="I36" s="51">
        <v>0</v>
      </c>
      <c r="J36" s="52">
        <v>10.4</v>
      </c>
      <c r="K36" s="53"/>
      <c r="L36" s="53"/>
      <c r="M36" s="52">
        <f t="shared" si="4"/>
        <v>0</v>
      </c>
      <c r="N36" s="53"/>
      <c r="O36" s="53"/>
      <c r="P36" s="52">
        <v>10.4</v>
      </c>
      <c r="Q36" s="53"/>
      <c r="R36" s="53"/>
      <c r="S36" s="52">
        <f t="shared" si="5"/>
        <v>0</v>
      </c>
      <c r="T36" s="53"/>
      <c r="U36" s="54"/>
      <c r="V36" s="9">
        <f t="shared" si="6"/>
        <v>8.67</v>
      </c>
      <c r="Y36" s="9">
        <f t="shared" si="7"/>
        <v>0</v>
      </c>
      <c r="AD36" s="4" t="s">
        <v>151</v>
      </c>
      <c r="AE36" s="4" t="s">
        <v>152</v>
      </c>
      <c r="AF36" s="4" t="s">
        <v>90</v>
      </c>
    </row>
    <row r="37" spans="1:35" ht="18" x14ac:dyDescent="0.3">
      <c r="A37" s="43" t="s">
        <v>153</v>
      </c>
      <c r="B37" s="43"/>
      <c r="C37" s="55" t="s">
        <v>86</v>
      </c>
      <c r="D37" s="45"/>
      <c r="E37" s="45"/>
      <c r="F37" s="56" t="s">
        <v>87</v>
      </c>
      <c r="G37" s="57">
        <v>1</v>
      </c>
      <c r="H37" s="45"/>
      <c r="I37" s="58">
        <v>26</v>
      </c>
      <c r="J37" s="59">
        <v>10.4</v>
      </c>
      <c r="K37" s="60"/>
      <c r="L37" s="60"/>
      <c r="M37" s="59">
        <f t="shared" si="4"/>
        <v>270.39999999999998</v>
      </c>
      <c r="N37" s="60"/>
      <c r="O37" s="60"/>
      <c r="P37" s="59">
        <v>10.4</v>
      </c>
      <c r="Q37" s="60"/>
      <c r="R37" s="60"/>
      <c r="S37" s="59">
        <f t="shared" si="5"/>
        <v>270.39999999999998</v>
      </c>
      <c r="T37" s="60"/>
      <c r="U37" s="61"/>
      <c r="V37" s="9">
        <f t="shared" si="6"/>
        <v>8.67</v>
      </c>
      <c r="Y37" s="9">
        <f t="shared" si="7"/>
        <v>225.33</v>
      </c>
      <c r="AD37" s="4" t="s">
        <v>154</v>
      </c>
      <c r="AE37" s="4" t="s">
        <v>152</v>
      </c>
      <c r="AF37" s="4" t="s">
        <v>90</v>
      </c>
    </row>
    <row r="38" spans="1:35" ht="36" x14ac:dyDescent="0.3">
      <c r="A38" s="37" t="s">
        <v>155</v>
      </c>
      <c r="B38" s="37"/>
      <c r="C38" s="48" t="s">
        <v>75</v>
      </c>
      <c r="D38" s="39"/>
      <c r="E38" s="39"/>
      <c r="F38" s="49" t="s">
        <v>70</v>
      </c>
      <c r="G38" s="50">
        <v>0.2</v>
      </c>
      <c r="H38" s="39"/>
      <c r="I38" s="62">
        <v>0</v>
      </c>
      <c r="J38" s="52">
        <v>88.8</v>
      </c>
      <c r="K38" s="53"/>
      <c r="L38" s="53"/>
      <c r="M38" s="52">
        <f t="shared" si="4"/>
        <v>0</v>
      </c>
      <c r="N38" s="53"/>
      <c r="O38" s="53"/>
      <c r="P38" s="52">
        <v>88.8</v>
      </c>
      <c r="Q38" s="53"/>
      <c r="R38" s="53"/>
      <c r="S38" s="52">
        <f t="shared" si="5"/>
        <v>0</v>
      </c>
      <c r="T38" s="53"/>
      <c r="U38" s="54"/>
      <c r="V38" s="9">
        <f t="shared" si="6"/>
        <v>74</v>
      </c>
      <c r="Y38" s="9">
        <f t="shared" si="7"/>
        <v>0</v>
      </c>
      <c r="AD38" s="4" t="s">
        <v>156</v>
      </c>
      <c r="AE38" s="4" t="s">
        <v>157</v>
      </c>
      <c r="AF38" s="4" t="s">
        <v>78</v>
      </c>
    </row>
    <row r="39" spans="1:35" ht="36" x14ac:dyDescent="0.3">
      <c r="A39" s="43" t="s">
        <v>158</v>
      </c>
      <c r="B39" s="43"/>
      <c r="C39" s="55" t="s">
        <v>75</v>
      </c>
      <c r="D39" s="45"/>
      <c r="E39" s="45"/>
      <c r="F39" s="56" t="s">
        <v>70</v>
      </c>
      <c r="G39" s="57">
        <v>0.2</v>
      </c>
      <c r="H39" s="45"/>
      <c r="I39" s="57">
        <v>11.56</v>
      </c>
      <c r="J39" s="59">
        <v>88.8</v>
      </c>
      <c r="K39" s="60"/>
      <c r="L39" s="60"/>
      <c r="M39" s="59">
        <f t="shared" si="4"/>
        <v>1026.53</v>
      </c>
      <c r="N39" s="60"/>
      <c r="O39" s="60"/>
      <c r="P39" s="59">
        <v>88.8</v>
      </c>
      <c r="Q39" s="60"/>
      <c r="R39" s="60"/>
      <c r="S39" s="59">
        <f t="shared" si="5"/>
        <v>1026.53</v>
      </c>
      <c r="T39" s="60"/>
      <c r="U39" s="61"/>
      <c r="V39" s="9">
        <f t="shared" si="6"/>
        <v>74</v>
      </c>
      <c r="Y39" s="9">
        <f t="shared" si="7"/>
        <v>855.44</v>
      </c>
      <c r="AD39" s="4" t="s">
        <v>159</v>
      </c>
      <c r="AE39" s="4" t="s">
        <v>157</v>
      </c>
      <c r="AF39" s="4" t="s">
        <v>78</v>
      </c>
    </row>
    <row r="40" spans="1:35" ht="36" x14ac:dyDescent="0.3">
      <c r="A40" s="37" t="s">
        <v>160</v>
      </c>
      <c r="B40" s="37" t="s">
        <v>107</v>
      </c>
      <c r="C40" s="38" t="s">
        <v>108</v>
      </c>
      <c r="D40" s="39"/>
      <c r="E40" s="39" t="s">
        <v>161</v>
      </c>
      <c r="F40" s="39" t="s">
        <v>64</v>
      </c>
      <c r="G40" s="40">
        <v>1</v>
      </c>
      <c r="H40" s="39"/>
      <c r="I40" s="41">
        <v>0</v>
      </c>
      <c r="J40" s="42">
        <f>IFERROR(ROUND(SUM(M42,M44,M46,M48,M50,M52,M54)/I40, 2),0)</f>
        <v>0</v>
      </c>
      <c r="K40" s="42">
        <v>855</v>
      </c>
      <c r="L40" s="42">
        <f>J40+ROUND(K40, 2)</f>
        <v>855</v>
      </c>
      <c r="M40" s="42">
        <f>ROUND(J40*I40, 2)</f>
        <v>0</v>
      </c>
      <c r="N40" s="42">
        <f>ROUND(I40*ROUND(K40, 2), 2)</f>
        <v>0</v>
      </c>
      <c r="O40" s="42">
        <f>M40+N40</f>
        <v>0</v>
      </c>
      <c r="P40" s="42">
        <f>IFERROR(ROUND(SUM(S42,S44,S46,S48,S50,S52,S54)/I40, 2),0)</f>
        <v>0</v>
      </c>
      <c r="Q40" s="42">
        <v>855</v>
      </c>
      <c r="R40" s="42">
        <f>P40+ROUND(Q40, 2)</f>
        <v>855</v>
      </c>
      <c r="S40" s="42">
        <f>ROUND(P40*I40, 2)</f>
        <v>0</v>
      </c>
      <c r="T40" s="42">
        <f>ROUND(I40*ROUND(Q40, 2), 2)</f>
        <v>0</v>
      </c>
      <c r="U40" s="42">
        <f>S40+T40</f>
        <v>0</v>
      </c>
      <c r="V40" s="9">
        <f>ROUND(P40 / 1.2, 2)</f>
        <v>0</v>
      </c>
      <c r="W40" s="9">
        <f>ROUND(Q40 / 1.2, 2)</f>
        <v>712.5</v>
      </c>
      <c r="X40" s="9">
        <f>ROUND(R40 / 1.2, 2)</f>
        <v>712.5</v>
      </c>
      <c r="Y40" s="9">
        <f t="shared" si="7"/>
        <v>0</v>
      </c>
      <c r="Z40" s="9">
        <f>ROUND(T40 / 1.2, 2)</f>
        <v>0</v>
      </c>
      <c r="AA40" s="9">
        <f>Y40+Z40</f>
        <v>0</v>
      </c>
      <c r="AD40" s="4">
        <v>271132161</v>
      </c>
      <c r="AE40" s="4">
        <v>17497284</v>
      </c>
      <c r="AG40" s="4" t="s">
        <v>110</v>
      </c>
      <c r="AH40" s="4" t="s">
        <v>111</v>
      </c>
      <c r="AI40" s="4" t="s">
        <v>67</v>
      </c>
    </row>
    <row r="41" spans="1:35" ht="36" x14ac:dyDescent="0.3">
      <c r="A41" s="43" t="s">
        <v>162</v>
      </c>
      <c r="B41" s="43" t="s">
        <v>107</v>
      </c>
      <c r="C41" s="44" t="s">
        <v>108</v>
      </c>
      <c r="D41" s="45"/>
      <c r="E41" s="45" t="s">
        <v>163</v>
      </c>
      <c r="F41" s="45" t="s">
        <v>64</v>
      </c>
      <c r="G41" s="46">
        <v>1</v>
      </c>
      <c r="H41" s="45"/>
      <c r="I41" s="46">
        <v>631.29999999999995</v>
      </c>
      <c r="J41" s="47">
        <v>0</v>
      </c>
      <c r="K41" s="47">
        <v>855</v>
      </c>
      <c r="L41" s="47"/>
      <c r="M41" s="47">
        <v>0</v>
      </c>
      <c r="N41" s="47"/>
      <c r="O41" s="47"/>
      <c r="P41" s="47">
        <v>0</v>
      </c>
      <c r="Q41" s="47">
        <v>855</v>
      </c>
      <c r="R41" s="47"/>
      <c r="S41" s="47">
        <v>0</v>
      </c>
      <c r="T41" s="47"/>
      <c r="U41" s="47"/>
      <c r="V41" s="9"/>
      <c r="W41" s="9">
        <f>ROUND(Q41 / 1.2, 2)</f>
        <v>712.5</v>
      </c>
      <c r="X41" s="9" t="e">
        <f>ROUND(R41 / 1.2, 2)</f>
        <v>#VALUE!</v>
      </c>
      <c r="Y41" s="9"/>
      <c r="Z41" s="9" t="e">
        <f>ROUND(T41 / 1.2, 2)</f>
        <v>#VALUE!</v>
      </c>
      <c r="AA41" s="9"/>
      <c r="AD41" s="4">
        <v>225249798</v>
      </c>
      <c r="AE41" s="4">
        <v>17497284</v>
      </c>
      <c r="AG41" s="4" t="s">
        <v>110</v>
      </c>
      <c r="AH41" s="4" t="s">
        <v>111</v>
      </c>
      <c r="AI41" s="4"/>
    </row>
    <row r="42" spans="1:35" ht="36" x14ac:dyDescent="0.3">
      <c r="A42" s="37" t="s">
        <v>164</v>
      </c>
      <c r="B42" s="37"/>
      <c r="C42" s="48" t="s">
        <v>75</v>
      </c>
      <c r="D42" s="39"/>
      <c r="E42" s="39"/>
      <c r="F42" s="49" t="s">
        <v>70</v>
      </c>
      <c r="G42" s="50">
        <v>0.2</v>
      </c>
      <c r="H42" s="39"/>
      <c r="I42" s="62">
        <v>0</v>
      </c>
      <c r="J42" s="52">
        <v>88.8</v>
      </c>
      <c r="K42" s="53"/>
      <c r="L42" s="53"/>
      <c r="M42" s="52">
        <f t="shared" ref="M42:M55" si="8">ROUND(ROUND(J42, 2)*I42, 2)</f>
        <v>0</v>
      </c>
      <c r="N42" s="53"/>
      <c r="O42" s="53"/>
      <c r="P42" s="52">
        <v>88.8</v>
      </c>
      <c r="Q42" s="53"/>
      <c r="R42" s="53"/>
      <c r="S42" s="52">
        <f t="shared" ref="S42:S55" si="9">ROUND(ROUND(P42, 2)*I42, 2)</f>
        <v>0</v>
      </c>
      <c r="T42" s="53"/>
      <c r="U42" s="54"/>
      <c r="V42" s="9">
        <f t="shared" ref="V42:V55" si="10">ROUND(ROUND(P42, 2)/1.2, 2)</f>
        <v>74</v>
      </c>
      <c r="Y42" s="9">
        <f t="shared" ref="Y42:Y74" si="11">ROUND(S42 / 1.2, 2)</f>
        <v>0</v>
      </c>
      <c r="AD42" s="4" t="s">
        <v>165</v>
      </c>
      <c r="AE42" s="4" t="s">
        <v>166</v>
      </c>
      <c r="AF42" s="4" t="s">
        <v>78</v>
      </c>
    </row>
    <row r="43" spans="1:35" ht="36" x14ac:dyDescent="0.3">
      <c r="A43" s="43" t="s">
        <v>167</v>
      </c>
      <c r="B43" s="43"/>
      <c r="C43" s="55" t="s">
        <v>75</v>
      </c>
      <c r="D43" s="45"/>
      <c r="E43" s="45"/>
      <c r="F43" s="56" t="s">
        <v>70</v>
      </c>
      <c r="G43" s="57">
        <v>0.2</v>
      </c>
      <c r="H43" s="45"/>
      <c r="I43" s="57">
        <v>126.26</v>
      </c>
      <c r="J43" s="59">
        <v>88.8</v>
      </c>
      <c r="K43" s="60"/>
      <c r="L43" s="60"/>
      <c r="M43" s="59">
        <f t="shared" si="8"/>
        <v>11211.89</v>
      </c>
      <c r="N43" s="60"/>
      <c r="O43" s="60"/>
      <c r="P43" s="59">
        <v>88.8</v>
      </c>
      <c r="Q43" s="60"/>
      <c r="R43" s="60"/>
      <c r="S43" s="59">
        <f t="shared" si="9"/>
        <v>11211.89</v>
      </c>
      <c r="T43" s="60"/>
      <c r="U43" s="61"/>
      <c r="V43" s="9">
        <f t="shared" si="10"/>
        <v>74</v>
      </c>
      <c r="Y43" s="9">
        <f t="shared" si="11"/>
        <v>9343.24</v>
      </c>
      <c r="AD43" s="4" t="s">
        <v>168</v>
      </c>
      <c r="AE43" s="4" t="s">
        <v>166</v>
      </c>
      <c r="AF43" s="4" t="s">
        <v>78</v>
      </c>
    </row>
    <row r="44" spans="1:35" ht="18" x14ac:dyDescent="0.3">
      <c r="A44" s="37" t="s">
        <v>169</v>
      </c>
      <c r="B44" s="37"/>
      <c r="C44" s="48" t="s">
        <v>86</v>
      </c>
      <c r="D44" s="39"/>
      <c r="E44" s="39"/>
      <c r="F44" s="49" t="s">
        <v>87</v>
      </c>
      <c r="G44" s="50">
        <v>1</v>
      </c>
      <c r="H44" s="39"/>
      <c r="I44" s="51">
        <v>0</v>
      </c>
      <c r="J44" s="52">
        <v>10.4</v>
      </c>
      <c r="K44" s="53"/>
      <c r="L44" s="53"/>
      <c r="M44" s="52">
        <f t="shared" si="8"/>
        <v>0</v>
      </c>
      <c r="N44" s="53"/>
      <c r="O44" s="53"/>
      <c r="P44" s="52">
        <v>10.4</v>
      </c>
      <c r="Q44" s="53"/>
      <c r="R44" s="53"/>
      <c r="S44" s="52">
        <f t="shared" si="9"/>
        <v>0</v>
      </c>
      <c r="T44" s="53"/>
      <c r="U44" s="54"/>
      <c r="V44" s="9">
        <f t="shared" si="10"/>
        <v>8.67</v>
      </c>
      <c r="Y44" s="9">
        <f t="shared" si="11"/>
        <v>0</v>
      </c>
      <c r="AD44" s="4" t="s">
        <v>170</v>
      </c>
      <c r="AE44" s="4" t="s">
        <v>171</v>
      </c>
      <c r="AF44" s="4" t="s">
        <v>90</v>
      </c>
    </row>
    <row r="45" spans="1:35" ht="18" x14ac:dyDescent="0.3">
      <c r="A45" s="43" t="s">
        <v>172</v>
      </c>
      <c r="B45" s="43"/>
      <c r="C45" s="55" t="s">
        <v>86</v>
      </c>
      <c r="D45" s="45"/>
      <c r="E45" s="45"/>
      <c r="F45" s="56" t="s">
        <v>87</v>
      </c>
      <c r="G45" s="57">
        <v>1</v>
      </c>
      <c r="H45" s="45"/>
      <c r="I45" s="58">
        <v>277</v>
      </c>
      <c r="J45" s="59">
        <v>10.4</v>
      </c>
      <c r="K45" s="60"/>
      <c r="L45" s="60"/>
      <c r="M45" s="59">
        <f t="shared" si="8"/>
        <v>2880.8</v>
      </c>
      <c r="N45" s="60"/>
      <c r="O45" s="60"/>
      <c r="P45" s="59">
        <v>10.4</v>
      </c>
      <c r="Q45" s="60"/>
      <c r="R45" s="60"/>
      <c r="S45" s="59">
        <f t="shared" si="9"/>
        <v>2880.8</v>
      </c>
      <c r="T45" s="60"/>
      <c r="U45" s="61"/>
      <c r="V45" s="9">
        <f t="shared" si="10"/>
        <v>8.67</v>
      </c>
      <c r="Y45" s="9">
        <f t="shared" si="11"/>
        <v>2400.67</v>
      </c>
      <c r="AD45" s="4" t="s">
        <v>173</v>
      </c>
      <c r="AE45" s="4" t="s">
        <v>171</v>
      </c>
      <c r="AF45" s="4" t="s">
        <v>90</v>
      </c>
    </row>
    <row r="46" spans="1:35" ht="18" x14ac:dyDescent="0.3">
      <c r="A46" s="37" t="s">
        <v>174</v>
      </c>
      <c r="B46" s="37"/>
      <c r="C46" s="48" t="s">
        <v>144</v>
      </c>
      <c r="D46" s="39"/>
      <c r="E46" s="39"/>
      <c r="F46" s="49" t="s">
        <v>98</v>
      </c>
      <c r="G46" s="50">
        <v>1E-3</v>
      </c>
      <c r="H46" s="39"/>
      <c r="I46" s="51">
        <v>0</v>
      </c>
      <c r="J46" s="52">
        <v>1600</v>
      </c>
      <c r="K46" s="53"/>
      <c r="L46" s="53"/>
      <c r="M46" s="52">
        <f t="shared" si="8"/>
        <v>0</v>
      </c>
      <c r="N46" s="53"/>
      <c r="O46" s="53"/>
      <c r="P46" s="52">
        <v>1600</v>
      </c>
      <c r="Q46" s="53"/>
      <c r="R46" s="53"/>
      <c r="S46" s="52">
        <f t="shared" si="9"/>
        <v>0</v>
      </c>
      <c r="T46" s="53"/>
      <c r="U46" s="54"/>
      <c r="V46" s="9">
        <f t="shared" si="10"/>
        <v>1333.33</v>
      </c>
      <c r="Y46" s="9">
        <f t="shared" si="11"/>
        <v>0</v>
      </c>
      <c r="AD46" s="4" t="s">
        <v>175</v>
      </c>
      <c r="AE46" s="4" t="s">
        <v>176</v>
      </c>
      <c r="AF46" s="4" t="s">
        <v>147</v>
      </c>
    </row>
    <row r="47" spans="1:35" ht="18" x14ac:dyDescent="0.3">
      <c r="A47" s="43" t="s">
        <v>177</v>
      </c>
      <c r="B47" s="43"/>
      <c r="C47" s="55" t="s">
        <v>144</v>
      </c>
      <c r="D47" s="45"/>
      <c r="E47" s="45"/>
      <c r="F47" s="56" t="s">
        <v>98</v>
      </c>
      <c r="G47" s="57">
        <v>1E-3</v>
      </c>
      <c r="H47" s="45"/>
      <c r="I47" s="58">
        <v>37.878</v>
      </c>
      <c r="J47" s="59">
        <v>1600</v>
      </c>
      <c r="K47" s="60"/>
      <c r="L47" s="60"/>
      <c r="M47" s="59">
        <f t="shared" si="8"/>
        <v>60604.800000000003</v>
      </c>
      <c r="N47" s="60"/>
      <c r="O47" s="60"/>
      <c r="P47" s="59">
        <v>1600</v>
      </c>
      <c r="Q47" s="60"/>
      <c r="R47" s="60"/>
      <c r="S47" s="59">
        <f t="shared" si="9"/>
        <v>60604.800000000003</v>
      </c>
      <c r="T47" s="60"/>
      <c r="U47" s="61"/>
      <c r="V47" s="9">
        <f t="shared" si="10"/>
        <v>1333.33</v>
      </c>
      <c r="Y47" s="9">
        <f t="shared" si="11"/>
        <v>50504</v>
      </c>
      <c r="AD47" s="4" t="s">
        <v>178</v>
      </c>
      <c r="AE47" s="4" t="s">
        <v>176</v>
      </c>
      <c r="AF47" s="4" t="s">
        <v>147</v>
      </c>
    </row>
    <row r="48" spans="1:35" ht="18" x14ac:dyDescent="0.3">
      <c r="A48" s="37" t="s">
        <v>179</v>
      </c>
      <c r="B48" s="37"/>
      <c r="C48" s="48" t="s">
        <v>137</v>
      </c>
      <c r="D48" s="39"/>
      <c r="E48" s="39"/>
      <c r="F48" s="49" t="s">
        <v>70</v>
      </c>
      <c r="G48" s="50">
        <v>0.32</v>
      </c>
      <c r="H48" s="39"/>
      <c r="I48" s="51">
        <v>0</v>
      </c>
      <c r="J48" s="52">
        <v>7.5</v>
      </c>
      <c r="K48" s="53"/>
      <c r="L48" s="53"/>
      <c r="M48" s="52">
        <f t="shared" si="8"/>
        <v>0</v>
      </c>
      <c r="N48" s="53"/>
      <c r="O48" s="53"/>
      <c r="P48" s="52">
        <v>7.5</v>
      </c>
      <c r="Q48" s="53"/>
      <c r="R48" s="53"/>
      <c r="S48" s="52">
        <f t="shared" si="9"/>
        <v>0</v>
      </c>
      <c r="T48" s="53"/>
      <c r="U48" s="54"/>
      <c r="V48" s="9">
        <f t="shared" si="10"/>
        <v>6.25</v>
      </c>
      <c r="Y48" s="9">
        <f t="shared" si="11"/>
        <v>0</v>
      </c>
      <c r="AD48" s="4" t="s">
        <v>180</v>
      </c>
      <c r="AE48" s="4" t="s">
        <v>181</v>
      </c>
      <c r="AF48" s="4" t="s">
        <v>140</v>
      </c>
    </row>
    <row r="49" spans="1:35" ht="18" x14ac:dyDescent="0.3">
      <c r="A49" s="43" t="s">
        <v>182</v>
      </c>
      <c r="B49" s="43"/>
      <c r="C49" s="55" t="s">
        <v>137</v>
      </c>
      <c r="D49" s="45"/>
      <c r="E49" s="45"/>
      <c r="F49" s="56" t="s">
        <v>70</v>
      </c>
      <c r="G49" s="57">
        <v>0.32</v>
      </c>
      <c r="H49" s="45"/>
      <c r="I49" s="58">
        <v>12120.96</v>
      </c>
      <c r="J49" s="59">
        <v>7.5</v>
      </c>
      <c r="K49" s="60"/>
      <c r="L49" s="60"/>
      <c r="M49" s="59">
        <f t="shared" si="8"/>
        <v>90907.199999999997</v>
      </c>
      <c r="N49" s="60"/>
      <c r="O49" s="60"/>
      <c r="P49" s="59">
        <v>7.5</v>
      </c>
      <c r="Q49" s="60"/>
      <c r="R49" s="60"/>
      <c r="S49" s="59">
        <f t="shared" si="9"/>
        <v>90907.199999999997</v>
      </c>
      <c r="T49" s="60"/>
      <c r="U49" s="61"/>
      <c r="V49" s="9">
        <f t="shared" si="10"/>
        <v>6.25</v>
      </c>
      <c r="Y49" s="9">
        <f t="shared" si="11"/>
        <v>75756</v>
      </c>
      <c r="AD49" s="4" t="s">
        <v>183</v>
      </c>
      <c r="AE49" s="4" t="s">
        <v>181</v>
      </c>
      <c r="AF49" s="4" t="s">
        <v>140</v>
      </c>
    </row>
    <row r="50" spans="1:35" ht="18" x14ac:dyDescent="0.3">
      <c r="A50" s="37" t="s">
        <v>184</v>
      </c>
      <c r="B50" s="37"/>
      <c r="C50" s="48" t="s">
        <v>130</v>
      </c>
      <c r="D50" s="39"/>
      <c r="E50" s="39"/>
      <c r="F50" s="49" t="s">
        <v>64</v>
      </c>
      <c r="G50" s="50">
        <v>1.1000000000000001</v>
      </c>
      <c r="H50" s="39"/>
      <c r="I50" s="51">
        <v>0</v>
      </c>
      <c r="J50" s="52">
        <v>155.01</v>
      </c>
      <c r="K50" s="53"/>
      <c r="L50" s="53"/>
      <c r="M50" s="52">
        <f t="shared" si="8"/>
        <v>0</v>
      </c>
      <c r="N50" s="53"/>
      <c r="O50" s="53"/>
      <c r="P50" s="52">
        <v>155.01</v>
      </c>
      <c r="Q50" s="53"/>
      <c r="R50" s="53"/>
      <c r="S50" s="52">
        <f t="shared" si="9"/>
        <v>0</v>
      </c>
      <c r="T50" s="53"/>
      <c r="U50" s="54"/>
      <c r="V50" s="9">
        <f t="shared" si="10"/>
        <v>129.18</v>
      </c>
      <c r="Y50" s="9">
        <f t="shared" si="11"/>
        <v>0</v>
      </c>
      <c r="AD50" s="4" t="s">
        <v>185</v>
      </c>
      <c r="AE50" s="4" t="s">
        <v>186</v>
      </c>
      <c r="AF50" s="4" t="s">
        <v>133</v>
      </c>
    </row>
    <row r="51" spans="1:35" ht="18" x14ac:dyDescent="0.3">
      <c r="A51" s="43" t="s">
        <v>187</v>
      </c>
      <c r="B51" s="43"/>
      <c r="C51" s="55" t="s">
        <v>130</v>
      </c>
      <c r="D51" s="45"/>
      <c r="E51" s="45"/>
      <c r="F51" s="56" t="s">
        <v>64</v>
      </c>
      <c r="G51" s="57">
        <v>1.1000000000000001</v>
      </c>
      <c r="H51" s="45"/>
      <c r="I51" s="58">
        <v>694.43</v>
      </c>
      <c r="J51" s="59">
        <v>155.01</v>
      </c>
      <c r="K51" s="60"/>
      <c r="L51" s="60"/>
      <c r="M51" s="59">
        <f t="shared" si="8"/>
        <v>107643.59</v>
      </c>
      <c r="N51" s="60"/>
      <c r="O51" s="60"/>
      <c r="P51" s="59">
        <v>155.01</v>
      </c>
      <c r="Q51" s="60"/>
      <c r="R51" s="60"/>
      <c r="S51" s="59">
        <f t="shared" si="9"/>
        <v>107643.59</v>
      </c>
      <c r="T51" s="60"/>
      <c r="U51" s="61"/>
      <c r="V51" s="9">
        <f t="shared" si="10"/>
        <v>129.18</v>
      </c>
      <c r="Y51" s="9">
        <f t="shared" si="11"/>
        <v>89702.99</v>
      </c>
      <c r="AD51" s="4" t="s">
        <v>188</v>
      </c>
      <c r="AE51" s="4" t="s">
        <v>186</v>
      </c>
      <c r="AF51" s="4" t="s">
        <v>133</v>
      </c>
    </row>
    <row r="52" spans="1:35" ht="18" x14ac:dyDescent="0.3">
      <c r="A52" s="37" t="s">
        <v>189</v>
      </c>
      <c r="B52" s="37"/>
      <c r="C52" s="48" t="s">
        <v>123</v>
      </c>
      <c r="D52" s="39"/>
      <c r="E52" s="39"/>
      <c r="F52" s="49" t="s">
        <v>70</v>
      </c>
      <c r="G52" s="50">
        <v>1E-3</v>
      </c>
      <c r="H52" s="39"/>
      <c r="I52" s="51">
        <v>0</v>
      </c>
      <c r="J52" s="52">
        <v>208.33</v>
      </c>
      <c r="K52" s="53"/>
      <c r="L52" s="53"/>
      <c r="M52" s="52">
        <f t="shared" si="8"/>
        <v>0</v>
      </c>
      <c r="N52" s="53"/>
      <c r="O52" s="53"/>
      <c r="P52" s="52">
        <v>208.33</v>
      </c>
      <c r="Q52" s="53"/>
      <c r="R52" s="53"/>
      <c r="S52" s="52">
        <f t="shared" si="9"/>
        <v>0</v>
      </c>
      <c r="T52" s="53"/>
      <c r="U52" s="54"/>
      <c r="V52" s="9">
        <f t="shared" si="10"/>
        <v>173.61</v>
      </c>
      <c r="Y52" s="9">
        <f t="shared" si="11"/>
        <v>0</v>
      </c>
      <c r="AD52" s="4" t="s">
        <v>190</v>
      </c>
      <c r="AE52" s="4" t="s">
        <v>191</v>
      </c>
      <c r="AF52" s="4" t="s">
        <v>126</v>
      </c>
    </row>
    <row r="53" spans="1:35" ht="18" x14ac:dyDescent="0.3">
      <c r="A53" s="43" t="s">
        <v>192</v>
      </c>
      <c r="B53" s="43"/>
      <c r="C53" s="55" t="s">
        <v>123</v>
      </c>
      <c r="D53" s="45"/>
      <c r="E53" s="45"/>
      <c r="F53" s="56" t="s">
        <v>70</v>
      </c>
      <c r="G53" s="57">
        <v>1E-3</v>
      </c>
      <c r="H53" s="45"/>
      <c r="I53" s="58">
        <v>37.878</v>
      </c>
      <c r="J53" s="59">
        <v>208.33</v>
      </c>
      <c r="K53" s="60"/>
      <c r="L53" s="60"/>
      <c r="M53" s="59">
        <f t="shared" si="8"/>
        <v>7891.12</v>
      </c>
      <c r="N53" s="60"/>
      <c r="O53" s="60"/>
      <c r="P53" s="59">
        <v>208.33</v>
      </c>
      <c r="Q53" s="60"/>
      <c r="R53" s="60"/>
      <c r="S53" s="59">
        <f t="shared" si="9"/>
        <v>7891.12</v>
      </c>
      <c r="T53" s="60"/>
      <c r="U53" s="61"/>
      <c r="V53" s="9">
        <f t="shared" si="10"/>
        <v>173.61</v>
      </c>
      <c r="Y53" s="9">
        <f t="shared" si="11"/>
        <v>6575.93</v>
      </c>
      <c r="AD53" s="4" t="s">
        <v>193</v>
      </c>
      <c r="AE53" s="4" t="s">
        <v>191</v>
      </c>
      <c r="AF53" s="4" t="s">
        <v>126</v>
      </c>
    </row>
    <row r="54" spans="1:35" ht="18" x14ac:dyDescent="0.3">
      <c r="A54" s="37" t="s">
        <v>194</v>
      </c>
      <c r="B54" s="37"/>
      <c r="C54" s="48" t="s">
        <v>115</v>
      </c>
      <c r="D54" s="39"/>
      <c r="E54" s="39"/>
      <c r="F54" s="49" t="s">
        <v>116</v>
      </c>
      <c r="G54" s="50">
        <v>8</v>
      </c>
      <c r="H54" s="39"/>
      <c r="I54" s="51">
        <v>0</v>
      </c>
      <c r="J54" s="52">
        <v>2.5</v>
      </c>
      <c r="K54" s="53"/>
      <c r="L54" s="53"/>
      <c r="M54" s="52">
        <f t="shared" si="8"/>
        <v>0</v>
      </c>
      <c r="N54" s="53"/>
      <c r="O54" s="53"/>
      <c r="P54" s="52">
        <v>2.5</v>
      </c>
      <c r="Q54" s="53"/>
      <c r="R54" s="53"/>
      <c r="S54" s="52">
        <f t="shared" si="9"/>
        <v>0</v>
      </c>
      <c r="T54" s="53"/>
      <c r="U54" s="54"/>
      <c r="V54" s="9">
        <f t="shared" si="10"/>
        <v>2.08</v>
      </c>
      <c r="Y54" s="9">
        <f t="shared" si="11"/>
        <v>0</v>
      </c>
      <c r="AD54" s="4" t="s">
        <v>195</v>
      </c>
      <c r="AE54" s="4" t="s">
        <v>196</v>
      </c>
      <c r="AF54" s="4" t="s">
        <v>119</v>
      </c>
    </row>
    <row r="55" spans="1:35" ht="18" x14ac:dyDescent="0.3">
      <c r="A55" s="43" t="s">
        <v>197</v>
      </c>
      <c r="B55" s="43"/>
      <c r="C55" s="55" t="s">
        <v>115</v>
      </c>
      <c r="D55" s="45"/>
      <c r="E55" s="45"/>
      <c r="F55" s="56" t="s">
        <v>116</v>
      </c>
      <c r="G55" s="57">
        <v>8</v>
      </c>
      <c r="H55" s="45"/>
      <c r="I55" s="58">
        <v>5050.3999999999996</v>
      </c>
      <c r="J55" s="59">
        <v>2.5</v>
      </c>
      <c r="K55" s="60"/>
      <c r="L55" s="60"/>
      <c r="M55" s="59">
        <f t="shared" si="8"/>
        <v>12626</v>
      </c>
      <c r="N55" s="60"/>
      <c r="O55" s="60"/>
      <c r="P55" s="59">
        <v>2.5</v>
      </c>
      <c r="Q55" s="60"/>
      <c r="R55" s="60"/>
      <c r="S55" s="59">
        <f t="shared" si="9"/>
        <v>12626</v>
      </c>
      <c r="T55" s="60"/>
      <c r="U55" s="61"/>
      <c r="V55" s="9">
        <f t="shared" si="10"/>
        <v>2.08</v>
      </c>
      <c r="Y55" s="9">
        <f t="shared" si="11"/>
        <v>10521.67</v>
      </c>
      <c r="AD55" s="4" t="s">
        <v>198</v>
      </c>
      <c r="AE55" s="4" t="s">
        <v>196</v>
      </c>
      <c r="AF55" s="4" t="s">
        <v>119</v>
      </c>
    </row>
    <row r="56" spans="1:35" ht="36" x14ac:dyDescent="0.3">
      <c r="A56" s="25" t="s">
        <v>199</v>
      </c>
      <c r="B56" s="25" t="s">
        <v>107</v>
      </c>
      <c r="C56" s="26" t="s">
        <v>200</v>
      </c>
      <c r="D56" s="27"/>
      <c r="E56" s="27" t="s">
        <v>201</v>
      </c>
      <c r="F56" s="27" t="s">
        <v>64</v>
      </c>
      <c r="G56" s="28">
        <v>1</v>
      </c>
      <c r="H56" s="27"/>
      <c r="I56" s="28">
        <v>239.9</v>
      </c>
      <c r="J56" s="29">
        <f>IFERROR(ROUND(SUM(M57,M58,M59,M60,M61)/I56, 2),0)</f>
        <v>878.71</v>
      </c>
      <c r="K56" s="29">
        <v>941</v>
      </c>
      <c r="L56" s="29">
        <f>J56+ROUND(K56, 2)</f>
        <v>1819.71</v>
      </c>
      <c r="M56" s="29">
        <f>ROUND(J56*I56, 2)</f>
        <v>210802.53</v>
      </c>
      <c r="N56" s="29">
        <f>ROUND(I56*ROUND(K56, 2), 2)</f>
        <v>225745.9</v>
      </c>
      <c r="O56" s="29">
        <f>M56+N56</f>
        <v>436548.43</v>
      </c>
      <c r="P56" s="29">
        <f>IFERROR(ROUND(SUM(S57,S58,S59,S60,S61)/I56, 2),0)</f>
        <v>878.71</v>
      </c>
      <c r="Q56" s="29">
        <v>941</v>
      </c>
      <c r="R56" s="29">
        <f>P56+ROUND(Q56, 2)</f>
        <v>1819.71</v>
      </c>
      <c r="S56" s="29">
        <f>ROUND(P56*I56, 2)</f>
        <v>210802.53</v>
      </c>
      <c r="T56" s="29">
        <f>ROUND(I56*ROUND(Q56, 2), 2)</f>
        <v>225745.9</v>
      </c>
      <c r="U56" s="29">
        <f>S56+T56</f>
        <v>436548.43</v>
      </c>
      <c r="V56" s="9">
        <f>ROUND(P56 / 1.2, 2)</f>
        <v>732.26</v>
      </c>
      <c r="W56" s="9">
        <f>ROUND(Q56 / 1.2, 2)</f>
        <v>784.17</v>
      </c>
      <c r="X56" s="9">
        <f>ROUND(R56 / 1.2, 2)</f>
        <v>1516.43</v>
      </c>
      <c r="Y56" s="9">
        <f t="shared" si="11"/>
        <v>175668.78</v>
      </c>
      <c r="Z56" s="9">
        <f>ROUND(T56 / 1.2, 2)</f>
        <v>188121.58</v>
      </c>
      <c r="AA56" s="9">
        <f>Y56+Z56</f>
        <v>363790.36</v>
      </c>
      <c r="AD56" s="4">
        <v>271132162</v>
      </c>
      <c r="AE56" s="4">
        <v>19810928</v>
      </c>
      <c r="AG56" s="4" t="s">
        <v>110</v>
      </c>
      <c r="AH56" s="4" t="s">
        <v>111</v>
      </c>
      <c r="AI56" s="4" t="s">
        <v>67</v>
      </c>
    </row>
    <row r="57" spans="1:35" ht="36" x14ac:dyDescent="0.3">
      <c r="A57" s="25" t="s">
        <v>202</v>
      </c>
      <c r="B57" s="25"/>
      <c r="C57" s="30" t="s">
        <v>75</v>
      </c>
      <c r="D57" s="27"/>
      <c r="E57" s="27"/>
      <c r="F57" s="31" t="s">
        <v>70</v>
      </c>
      <c r="G57" s="32">
        <v>0.2</v>
      </c>
      <c r="H57" s="27"/>
      <c r="I57" s="32">
        <v>47.98</v>
      </c>
      <c r="J57" s="34">
        <v>88.8</v>
      </c>
      <c r="K57" s="35"/>
      <c r="L57" s="35"/>
      <c r="M57" s="34">
        <f>ROUND(ROUND(J57, 2)*I57, 2)</f>
        <v>4260.62</v>
      </c>
      <c r="N57" s="35"/>
      <c r="O57" s="35"/>
      <c r="P57" s="34">
        <v>88.8</v>
      </c>
      <c r="Q57" s="35"/>
      <c r="R57" s="35"/>
      <c r="S57" s="34">
        <f>ROUND(ROUND(P57, 2)*I57, 2)</f>
        <v>4260.62</v>
      </c>
      <c r="T57" s="35"/>
      <c r="U57" s="36"/>
      <c r="V57" s="9">
        <f>ROUND(ROUND(P57, 2)/1.2, 2)</f>
        <v>74</v>
      </c>
      <c r="Y57" s="9">
        <f t="shared" si="11"/>
        <v>3550.52</v>
      </c>
      <c r="AD57" s="4" t="s">
        <v>203</v>
      </c>
      <c r="AE57" s="4" t="s">
        <v>204</v>
      </c>
      <c r="AF57" s="4" t="s">
        <v>78</v>
      </c>
    </row>
    <row r="58" spans="1:35" ht="18" x14ac:dyDescent="0.3">
      <c r="A58" s="25" t="s">
        <v>205</v>
      </c>
      <c r="B58" s="25"/>
      <c r="C58" s="30" t="s">
        <v>86</v>
      </c>
      <c r="D58" s="27"/>
      <c r="E58" s="27"/>
      <c r="F58" s="31" t="s">
        <v>87</v>
      </c>
      <c r="G58" s="32">
        <v>1</v>
      </c>
      <c r="H58" s="27"/>
      <c r="I58" s="33">
        <v>94</v>
      </c>
      <c r="J58" s="34">
        <v>10.4</v>
      </c>
      <c r="K58" s="35"/>
      <c r="L58" s="35"/>
      <c r="M58" s="34">
        <f>ROUND(ROUND(J58, 2)*I58, 2)</f>
        <v>977.6</v>
      </c>
      <c r="N58" s="35"/>
      <c r="O58" s="35"/>
      <c r="P58" s="34">
        <v>10.4</v>
      </c>
      <c r="Q58" s="35"/>
      <c r="R58" s="35"/>
      <c r="S58" s="34">
        <f>ROUND(ROUND(P58, 2)*I58, 2)</f>
        <v>977.6</v>
      </c>
      <c r="T58" s="35"/>
      <c r="U58" s="36"/>
      <c r="V58" s="9">
        <f>ROUND(ROUND(P58, 2)/1.2, 2)</f>
        <v>8.67</v>
      </c>
      <c r="Y58" s="9">
        <f t="shared" si="11"/>
        <v>814.67</v>
      </c>
      <c r="AD58" s="4" t="s">
        <v>206</v>
      </c>
      <c r="AE58" s="4" t="s">
        <v>207</v>
      </c>
      <c r="AF58" s="4" t="s">
        <v>90</v>
      </c>
    </row>
    <row r="59" spans="1:35" ht="18" x14ac:dyDescent="0.3">
      <c r="A59" s="25" t="s">
        <v>208</v>
      </c>
      <c r="B59" s="25"/>
      <c r="C59" s="30" t="s">
        <v>130</v>
      </c>
      <c r="D59" s="27"/>
      <c r="E59" s="27"/>
      <c r="F59" s="31" t="s">
        <v>64</v>
      </c>
      <c r="G59" s="32">
        <v>1.1000000000000001</v>
      </c>
      <c r="H59" s="27"/>
      <c r="I59" s="33">
        <v>263.89</v>
      </c>
      <c r="J59" s="34">
        <v>155.01</v>
      </c>
      <c r="K59" s="35"/>
      <c r="L59" s="35"/>
      <c r="M59" s="34">
        <f>ROUND(ROUND(J59, 2)*I59, 2)</f>
        <v>40905.589999999997</v>
      </c>
      <c r="N59" s="35"/>
      <c r="O59" s="35"/>
      <c r="P59" s="34">
        <v>155.01</v>
      </c>
      <c r="Q59" s="35"/>
      <c r="R59" s="35"/>
      <c r="S59" s="34">
        <f>ROUND(ROUND(P59, 2)*I59, 2)</f>
        <v>40905.589999999997</v>
      </c>
      <c r="T59" s="35"/>
      <c r="U59" s="36"/>
      <c r="V59" s="9">
        <f>ROUND(ROUND(P59, 2)/1.2, 2)</f>
        <v>129.18</v>
      </c>
      <c r="Y59" s="9">
        <f t="shared" si="11"/>
        <v>34087.99</v>
      </c>
      <c r="AD59" s="4" t="s">
        <v>209</v>
      </c>
      <c r="AE59" s="4" t="s">
        <v>210</v>
      </c>
      <c r="AF59" s="4" t="s">
        <v>133</v>
      </c>
    </row>
    <row r="60" spans="1:35" ht="18" x14ac:dyDescent="0.3">
      <c r="A60" s="25" t="s">
        <v>211</v>
      </c>
      <c r="B60" s="25"/>
      <c r="C60" s="30" t="s">
        <v>212</v>
      </c>
      <c r="D60" s="27"/>
      <c r="E60" s="27"/>
      <c r="F60" s="31" t="s">
        <v>70</v>
      </c>
      <c r="G60" s="32">
        <v>1.8</v>
      </c>
      <c r="H60" s="27"/>
      <c r="I60" s="33">
        <v>25909.200000000001</v>
      </c>
      <c r="J60" s="34">
        <v>6.17</v>
      </c>
      <c r="K60" s="35"/>
      <c r="L60" s="35"/>
      <c r="M60" s="34">
        <f>ROUND(ROUND(J60, 2)*I60, 2)</f>
        <v>159859.76</v>
      </c>
      <c r="N60" s="35"/>
      <c r="O60" s="35"/>
      <c r="P60" s="34">
        <v>6.17</v>
      </c>
      <c r="Q60" s="35"/>
      <c r="R60" s="35"/>
      <c r="S60" s="34">
        <f>ROUND(ROUND(P60, 2)*I60, 2)</f>
        <v>159859.76</v>
      </c>
      <c r="T60" s="35"/>
      <c r="U60" s="36"/>
      <c r="V60" s="9">
        <f>ROUND(ROUND(P60, 2)/1.2, 2)</f>
        <v>5.14</v>
      </c>
      <c r="Y60" s="9">
        <f t="shared" si="11"/>
        <v>133216.47</v>
      </c>
      <c r="AD60" s="4" t="s">
        <v>213</v>
      </c>
      <c r="AE60" s="4" t="s">
        <v>214</v>
      </c>
      <c r="AF60" s="4" t="s">
        <v>215</v>
      </c>
    </row>
    <row r="61" spans="1:35" ht="18" x14ac:dyDescent="0.3">
      <c r="A61" s="25" t="s">
        <v>216</v>
      </c>
      <c r="B61" s="25"/>
      <c r="C61" s="30" t="s">
        <v>115</v>
      </c>
      <c r="D61" s="27"/>
      <c r="E61" s="27"/>
      <c r="F61" s="31" t="s">
        <v>116</v>
      </c>
      <c r="G61" s="32">
        <v>8</v>
      </c>
      <c r="H61" s="27"/>
      <c r="I61" s="33">
        <v>1919.2</v>
      </c>
      <c r="J61" s="34">
        <v>2.5</v>
      </c>
      <c r="K61" s="35"/>
      <c r="L61" s="35"/>
      <c r="M61" s="34">
        <f>ROUND(ROUND(J61, 2)*I61, 2)</f>
        <v>4798</v>
      </c>
      <c r="N61" s="35"/>
      <c r="O61" s="35"/>
      <c r="P61" s="34">
        <v>2.5</v>
      </c>
      <c r="Q61" s="35"/>
      <c r="R61" s="35"/>
      <c r="S61" s="34">
        <f>ROUND(ROUND(P61, 2)*I61, 2)</f>
        <v>4798</v>
      </c>
      <c r="T61" s="35"/>
      <c r="U61" s="36"/>
      <c r="V61" s="9">
        <f>ROUND(ROUND(P61, 2)/1.2, 2)</f>
        <v>2.08</v>
      </c>
      <c r="Y61" s="9">
        <f t="shared" si="11"/>
        <v>3998.33</v>
      </c>
      <c r="AD61" s="4" t="s">
        <v>217</v>
      </c>
      <c r="AE61" s="4" t="s">
        <v>218</v>
      </c>
      <c r="AF61" s="4" t="s">
        <v>119</v>
      </c>
    </row>
    <row r="62" spans="1:35" ht="36" x14ac:dyDescent="0.3">
      <c r="A62" s="25" t="s">
        <v>219</v>
      </c>
      <c r="B62" s="25" t="s">
        <v>107</v>
      </c>
      <c r="C62" s="26" t="s">
        <v>200</v>
      </c>
      <c r="D62" s="27"/>
      <c r="E62" s="27" t="s">
        <v>220</v>
      </c>
      <c r="F62" s="27" t="s">
        <v>64</v>
      </c>
      <c r="G62" s="28">
        <v>1</v>
      </c>
      <c r="H62" s="27"/>
      <c r="I62" s="28">
        <v>631.29999999999995</v>
      </c>
      <c r="J62" s="29">
        <f>IFERROR(ROUND(SUM(M63,M64,M65,M66,M67)/I62, 2),0)</f>
        <v>879.19</v>
      </c>
      <c r="K62" s="29">
        <v>941</v>
      </c>
      <c r="L62" s="29">
        <f>J62+ROUND(K62, 2)</f>
        <v>1820.19</v>
      </c>
      <c r="M62" s="29">
        <f>ROUND(J62*I62, 2)</f>
        <v>555032.65</v>
      </c>
      <c r="N62" s="29">
        <f>ROUND(I62*ROUND(K62, 2), 2)</f>
        <v>594053.30000000005</v>
      </c>
      <c r="O62" s="29">
        <f>M62+N62</f>
        <v>1149085.95</v>
      </c>
      <c r="P62" s="29">
        <f>IFERROR(ROUND(SUM(S63,S64,S65,S66,S67)/I62, 2),0)</f>
        <v>879.19</v>
      </c>
      <c r="Q62" s="29">
        <v>941</v>
      </c>
      <c r="R62" s="29">
        <f>P62+ROUND(Q62, 2)</f>
        <v>1820.19</v>
      </c>
      <c r="S62" s="29">
        <f>ROUND(P62*I62, 2)</f>
        <v>555032.65</v>
      </c>
      <c r="T62" s="29">
        <f>ROUND(I62*ROUND(Q62, 2), 2)</f>
        <v>594053.30000000005</v>
      </c>
      <c r="U62" s="29">
        <f>S62+T62</f>
        <v>1149085.95</v>
      </c>
      <c r="V62" s="9">
        <f>ROUND(P62 / 1.2, 2)</f>
        <v>732.66</v>
      </c>
      <c r="W62" s="9">
        <f>ROUND(Q62 / 1.2, 2)</f>
        <v>784.17</v>
      </c>
      <c r="X62" s="9">
        <f>ROUND(R62 / 1.2, 2)</f>
        <v>1516.83</v>
      </c>
      <c r="Y62" s="9">
        <f t="shared" si="11"/>
        <v>462527.21</v>
      </c>
      <c r="Z62" s="9">
        <f>ROUND(T62 / 1.2, 2)</f>
        <v>495044.42</v>
      </c>
      <c r="AA62" s="9">
        <f>Y62+Z62</f>
        <v>957571.63</v>
      </c>
      <c r="AD62" s="4">
        <v>271132163</v>
      </c>
      <c r="AE62" s="4">
        <v>20229446</v>
      </c>
      <c r="AG62" s="4" t="s">
        <v>110</v>
      </c>
      <c r="AH62" s="4" t="s">
        <v>111</v>
      </c>
      <c r="AI62" s="4" t="s">
        <v>67</v>
      </c>
    </row>
    <row r="63" spans="1:35" ht="36" x14ac:dyDescent="0.3">
      <c r="A63" s="25" t="s">
        <v>221</v>
      </c>
      <c r="B63" s="25"/>
      <c r="C63" s="30" t="s">
        <v>75</v>
      </c>
      <c r="D63" s="27"/>
      <c r="E63" s="27"/>
      <c r="F63" s="31" t="s">
        <v>70</v>
      </c>
      <c r="G63" s="32">
        <v>0.2</v>
      </c>
      <c r="H63" s="27"/>
      <c r="I63" s="32">
        <v>126.26</v>
      </c>
      <c r="J63" s="34">
        <v>88.8</v>
      </c>
      <c r="K63" s="35"/>
      <c r="L63" s="35"/>
      <c r="M63" s="34">
        <f>ROUND(ROUND(J63, 2)*I63, 2)</f>
        <v>11211.89</v>
      </c>
      <c r="N63" s="35"/>
      <c r="O63" s="35"/>
      <c r="P63" s="34">
        <v>88.8</v>
      </c>
      <c r="Q63" s="35"/>
      <c r="R63" s="35"/>
      <c r="S63" s="34">
        <f>ROUND(ROUND(P63, 2)*I63, 2)</f>
        <v>11211.89</v>
      </c>
      <c r="T63" s="35"/>
      <c r="U63" s="36"/>
      <c r="V63" s="9">
        <f>ROUND(ROUND(P63, 2)/1.2, 2)</f>
        <v>74</v>
      </c>
      <c r="Y63" s="9">
        <f t="shared" si="11"/>
        <v>9343.24</v>
      </c>
      <c r="AD63" s="4" t="s">
        <v>222</v>
      </c>
      <c r="AE63" s="4" t="s">
        <v>223</v>
      </c>
      <c r="AF63" s="4" t="s">
        <v>78</v>
      </c>
    </row>
    <row r="64" spans="1:35" ht="18" x14ac:dyDescent="0.3">
      <c r="A64" s="25" t="s">
        <v>224</v>
      </c>
      <c r="B64" s="25"/>
      <c r="C64" s="30" t="s">
        <v>86</v>
      </c>
      <c r="D64" s="27"/>
      <c r="E64" s="27"/>
      <c r="F64" s="31" t="s">
        <v>87</v>
      </c>
      <c r="G64" s="32">
        <v>1</v>
      </c>
      <c r="H64" s="27"/>
      <c r="I64" s="33">
        <v>277</v>
      </c>
      <c r="J64" s="34">
        <v>10.4</v>
      </c>
      <c r="K64" s="35"/>
      <c r="L64" s="35"/>
      <c r="M64" s="34">
        <f>ROUND(ROUND(J64, 2)*I64, 2)</f>
        <v>2880.8</v>
      </c>
      <c r="N64" s="35"/>
      <c r="O64" s="35"/>
      <c r="P64" s="34">
        <v>10.4</v>
      </c>
      <c r="Q64" s="35"/>
      <c r="R64" s="35"/>
      <c r="S64" s="34">
        <f>ROUND(ROUND(P64, 2)*I64, 2)</f>
        <v>2880.8</v>
      </c>
      <c r="T64" s="35"/>
      <c r="U64" s="36"/>
      <c r="V64" s="9">
        <f>ROUND(ROUND(P64, 2)/1.2, 2)</f>
        <v>8.67</v>
      </c>
      <c r="Y64" s="9">
        <f t="shared" si="11"/>
        <v>2400.67</v>
      </c>
      <c r="AD64" s="4" t="s">
        <v>225</v>
      </c>
      <c r="AE64" s="4" t="s">
        <v>226</v>
      </c>
      <c r="AF64" s="4" t="s">
        <v>90</v>
      </c>
    </row>
    <row r="65" spans="1:35" ht="18" x14ac:dyDescent="0.3">
      <c r="A65" s="25" t="s">
        <v>227</v>
      </c>
      <c r="B65" s="25"/>
      <c r="C65" s="30" t="s">
        <v>130</v>
      </c>
      <c r="D65" s="27"/>
      <c r="E65" s="27"/>
      <c r="F65" s="31" t="s">
        <v>64</v>
      </c>
      <c r="G65" s="32">
        <v>1.1000000000000001</v>
      </c>
      <c r="H65" s="27"/>
      <c r="I65" s="33">
        <v>694.43</v>
      </c>
      <c r="J65" s="34">
        <v>155.01</v>
      </c>
      <c r="K65" s="35"/>
      <c r="L65" s="35"/>
      <c r="M65" s="34">
        <f>ROUND(ROUND(J65, 2)*I65, 2)</f>
        <v>107643.59</v>
      </c>
      <c r="N65" s="35"/>
      <c r="O65" s="35"/>
      <c r="P65" s="34">
        <v>155.01</v>
      </c>
      <c r="Q65" s="35"/>
      <c r="R65" s="35"/>
      <c r="S65" s="34">
        <f>ROUND(ROUND(P65, 2)*I65, 2)</f>
        <v>107643.59</v>
      </c>
      <c r="T65" s="35"/>
      <c r="U65" s="36"/>
      <c r="V65" s="9">
        <f>ROUND(ROUND(P65, 2)/1.2, 2)</f>
        <v>129.18</v>
      </c>
      <c r="Y65" s="9">
        <f t="shared" si="11"/>
        <v>89702.99</v>
      </c>
      <c r="AD65" s="4" t="s">
        <v>228</v>
      </c>
      <c r="AE65" s="4" t="s">
        <v>229</v>
      </c>
      <c r="AF65" s="4" t="s">
        <v>133</v>
      </c>
    </row>
    <row r="66" spans="1:35" ht="18" x14ac:dyDescent="0.3">
      <c r="A66" s="25" t="s">
        <v>230</v>
      </c>
      <c r="B66" s="25"/>
      <c r="C66" s="30" t="s">
        <v>212</v>
      </c>
      <c r="D66" s="27"/>
      <c r="E66" s="27"/>
      <c r="F66" s="31" t="s">
        <v>70</v>
      </c>
      <c r="G66" s="32">
        <v>1.8</v>
      </c>
      <c r="H66" s="27"/>
      <c r="I66" s="33">
        <v>68180.399999999994</v>
      </c>
      <c r="J66" s="34">
        <v>6.17</v>
      </c>
      <c r="K66" s="35"/>
      <c r="L66" s="35"/>
      <c r="M66" s="34">
        <f>ROUND(ROUND(J66, 2)*I66, 2)</f>
        <v>420673.07</v>
      </c>
      <c r="N66" s="35"/>
      <c r="O66" s="35"/>
      <c r="P66" s="34">
        <v>6.17</v>
      </c>
      <c r="Q66" s="35"/>
      <c r="R66" s="35"/>
      <c r="S66" s="34">
        <f>ROUND(ROUND(P66, 2)*I66, 2)</f>
        <v>420673.07</v>
      </c>
      <c r="T66" s="35"/>
      <c r="U66" s="36"/>
      <c r="V66" s="9">
        <f>ROUND(ROUND(P66, 2)/1.2, 2)</f>
        <v>5.14</v>
      </c>
      <c r="Y66" s="9">
        <f t="shared" si="11"/>
        <v>350560.89</v>
      </c>
      <c r="AD66" s="4" t="s">
        <v>231</v>
      </c>
      <c r="AE66" s="4" t="s">
        <v>232</v>
      </c>
      <c r="AF66" s="4" t="s">
        <v>215</v>
      </c>
    </row>
    <row r="67" spans="1:35" ht="18" x14ac:dyDescent="0.3">
      <c r="A67" s="25" t="s">
        <v>233</v>
      </c>
      <c r="B67" s="25"/>
      <c r="C67" s="30" t="s">
        <v>115</v>
      </c>
      <c r="D67" s="27"/>
      <c r="E67" s="27"/>
      <c r="F67" s="31" t="s">
        <v>116</v>
      </c>
      <c r="G67" s="32">
        <v>8</v>
      </c>
      <c r="H67" s="27"/>
      <c r="I67" s="33">
        <v>5050.3999999999996</v>
      </c>
      <c r="J67" s="34">
        <v>2.5</v>
      </c>
      <c r="K67" s="35"/>
      <c r="L67" s="35"/>
      <c r="M67" s="34">
        <f>ROUND(ROUND(J67, 2)*I67, 2)</f>
        <v>12626</v>
      </c>
      <c r="N67" s="35"/>
      <c r="O67" s="35"/>
      <c r="P67" s="34">
        <v>2.5</v>
      </c>
      <c r="Q67" s="35"/>
      <c r="R67" s="35"/>
      <c r="S67" s="34">
        <f>ROUND(ROUND(P67, 2)*I67, 2)</f>
        <v>12626</v>
      </c>
      <c r="T67" s="35"/>
      <c r="U67" s="36"/>
      <c r="V67" s="9">
        <f>ROUND(ROUND(P67, 2)/1.2, 2)</f>
        <v>2.08</v>
      </c>
      <c r="Y67" s="9">
        <f t="shared" si="11"/>
        <v>10521.67</v>
      </c>
      <c r="AD67" s="4" t="s">
        <v>234</v>
      </c>
      <c r="AE67" s="4" t="s">
        <v>235</v>
      </c>
      <c r="AF67" s="4" t="s">
        <v>119</v>
      </c>
    </row>
    <row r="68" spans="1:35" ht="36" x14ac:dyDescent="0.3">
      <c r="A68" s="25" t="s">
        <v>236</v>
      </c>
      <c r="B68" s="25" t="s">
        <v>107</v>
      </c>
      <c r="C68" s="26" t="s">
        <v>200</v>
      </c>
      <c r="D68" s="27"/>
      <c r="E68" s="27" t="s">
        <v>237</v>
      </c>
      <c r="F68" s="27" t="s">
        <v>64</v>
      </c>
      <c r="G68" s="28">
        <v>1</v>
      </c>
      <c r="H68" s="27"/>
      <c r="I68" s="28">
        <v>34.5</v>
      </c>
      <c r="J68" s="29">
        <f>IFERROR(ROUND(SUM(M69,M70,M71,M72,M73)/I68, 2),0)</f>
        <v>768.25</v>
      </c>
      <c r="K68" s="29">
        <v>941</v>
      </c>
      <c r="L68" s="29">
        <f>J68+ROUND(K68, 2)</f>
        <v>1709.25</v>
      </c>
      <c r="M68" s="29">
        <f>ROUND(J68*I68, 2)</f>
        <v>26504.63</v>
      </c>
      <c r="N68" s="29">
        <f>ROUND(I68*ROUND(K68, 2), 2)</f>
        <v>32464.5</v>
      </c>
      <c r="O68" s="29">
        <f>M68+N68</f>
        <v>58969.13</v>
      </c>
      <c r="P68" s="29">
        <f>IFERROR(ROUND(SUM(S69,S70,S71,S72,S73)/I68, 2),0)</f>
        <v>768.25</v>
      </c>
      <c r="Q68" s="29">
        <v>941</v>
      </c>
      <c r="R68" s="29">
        <f>P68+ROUND(Q68, 2)</f>
        <v>1709.25</v>
      </c>
      <c r="S68" s="29">
        <f>ROUND(P68*I68, 2)</f>
        <v>26504.63</v>
      </c>
      <c r="T68" s="29">
        <f>ROUND(I68*ROUND(Q68, 2), 2)</f>
        <v>32464.5</v>
      </c>
      <c r="U68" s="29">
        <f>S68+T68</f>
        <v>58969.13</v>
      </c>
      <c r="V68" s="9">
        <f>ROUND(P68 / 1.2, 2)</f>
        <v>640.21</v>
      </c>
      <c r="W68" s="9">
        <f>ROUND(Q68 / 1.2, 2)</f>
        <v>784.17</v>
      </c>
      <c r="X68" s="9">
        <f>ROUND(R68 / 1.2, 2)</f>
        <v>1424.38</v>
      </c>
      <c r="Y68" s="9">
        <f t="shared" si="11"/>
        <v>22087.19</v>
      </c>
      <c r="Z68" s="9">
        <f>ROUND(T68 / 1.2, 2)</f>
        <v>27053.75</v>
      </c>
      <c r="AA68" s="9">
        <f>Y68+Z68</f>
        <v>49140.94</v>
      </c>
      <c r="AD68" s="4">
        <v>271132164</v>
      </c>
      <c r="AE68" s="4">
        <v>20229516</v>
      </c>
      <c r="AG68" s="4" t="s">
        <v>110</v>
      </c>
      <c r="AH68" s="4" t="s">
        <v>111</v>
      </c>
      <c r="AI68" s="4" t="s">
        <v>67</v>
      </c>
    </row>
    <row r="69" spans="1:35" ht="36" x14ac:dyDescent="0.3">
      <c r="A69" s="25" t="s">
        <v>238</v>
      </c>
      <c r="B69" s="25"/>
      <c r="C69" s="30" t="s">
        <v>75</v>
      </c>
      <c r="D69" s="27"/>
      <c r="E69" s="27"/>
      <c r="F69" s="31" t="s">
        <v>70</v>
      </c>
      <c r="G69" s="32">
        <v>0.2</v>
      </c>
      <c r="H69" s="27"/>
      <c r="I69" s="32">
        <v>6.9</v>
      </c>
      <c r="J69" s="34">
        <v>88.8</v>
      </c>
      <c r="K69" s="35"/>
      <c r="L69" s="35"/>
      <c r="M69" s="34">
        <f>ROUND(ROUND(J69, 2)*I69, 2)</f>
        <v>612.72</v>
      </c>
      <c r="N69" s="35"/>
      <c r="O69" s="35"/>
      <c r="P69" s="34">
        <v>88.8</v>
      </c>
      <c r="Q69" s="35"/>
      <c r="R69" s="35"/>
      <c r="S69" s="34">
        <f>ROUND(ROUND(P69, 2)*I69, 2)</f>
        <v>612.72</v>
      </c>
      <c r="T69" s="35"/>
      <c r="U69" s="36"/>
      <c r="V69" s="9">
        <f>ROUND(ROUND(P69, 2)/1.2, 2)</f>
        <v>74</v>
      </c>
      <c r="Y69" s="9">
        <f t="shared" si="11"/>
        <v>510.6</v>
      </c>
      <c r="AD69" s="4" t="s">
        <v>239</v>
      </c>
      <c r="AE69" s="4" t="s">
        <v>240</v>
      </c>
      <c r="AF69" s="4" t="s">
        <v>78</v>
      </c>
    </row>
    <row r="70" spans="1:35" ht="18" x14ac:dyDescent="0.3">
      <c r="A70" s="25" t="s">
        <v>241</v>
      </c>
      <c r="B70" s="25"/>
      <c r="C70" s="30" t="s">
        <v>86</v>
      </c>
      <c r="D70" s="27"/>
      <c r="E70" s="27"/>
      <c r="F70" s="31" t="s">
        <v>87</v>
      </c>
      <c r="G70" s="32">
        <v>1</v>
      </c>
      <c r="H70" s="27"/>
      <c r="I70" s="33">
        <v>15.519</v>
      </c>
      <c r="J70" s="34">
        <v>10.4</v>
      </c>
      <c r="K70" s="35"/>
      <c r="L70" s="35"/>
      <c r="M70" s="34">
        <f>ROUND(ROUND(J70, 2)*I70, 2)</f>
        <v>161.4</v>
      </c>
      <c r="N70" s="35"/>
      <c r="O70" s="35"/>
      <c r="P70" s="34">
        <v>10.4</v>
      </c>
      <c r="Q70" s="35"/>
      <c r="R70" s="35"/>
      <c r="S70" s="34">
        <f>ROUND(ROUND(P70, 2)*I70, 2)</f>
        <v>161.4</v>
      </c>
      <c r="T70" s="35"/>
      <c r="U70" s="36"/>
      <c r="V70" s="9">
        <f>ROUND(ROUND(P70, 2)/1.2, 2)</f>
        <v>8.67</v>
      </c>
      <c r="Y70" s="9">
        <f t="shared" si="11"/>
        <v>134.5</v>
      </c>
      <c r="AD70" s="4" t="s">
        <v>242</v>
      </c>
      <c r="AE70" s="4" t="s">
        <v>243</v>
      </c>
      <c r="AF70" s="4" t="s">
        <v>90</v>
      </c>
    </row>
    <row r="71" spans="1:35" ht="18" x14ac:dyDescent="0.3">
      <c r="A71" s="25" t="s">
        <v>244</v>
      </c>
      <c r="B71" s="25"/>
      <c r="C71" s="30" t="s">
        <v>130</v>
      </c>
      <c r="D71" s="27"/>
      <c r="E71" s="27"/>
      <c r="F71" s="31" t="s">
        <v>64</v>
      </c>
      <c r="G71" s="32">
        <v>1.1000000000000001</v>
      </c>
      <c r="H71" s="27"/>
      <c r="I71" s="33">
        <v>37.950000000000003</v>
      </c>
      <c r="J71" s="34">
        <v>155.01</v>
      </c>
      <c r="K71" s="35"/>
      <c r="L71" s="35"/>
      <c r="M71" s="34">
        <f>ROUND(ROUND(J71, 2)*I71, 2)</f>
        <v>5882.63</v>
      </c>
      <c r="N71" s="35"/>
      <c r="O71" s="35"/>
      <c r="P71" s="34">
        <v>155.01</v>
      </c>
      <c r="Q71" s="35"/>
      <c r="R71" s="35"/>
      <c r="S71" s="34">
        <f>ROUND(ROUND(P71, 2)*I71, 2)</f>
        <v>5882.63</v>
      </c>
      <c r="T71" s="35"/>
      <c r="U71" s="36"/>
      <c r="V71" s="9">
        <f>ROUND(ROUND(P71, 2)/1.2, 2)</f>
        <v>129.18</v>
      </c>
      <c r="Y71" s="9">
        <f t="shared" si="11"/>
        <v>4902.1899999999996</v>
      </c>
      <c r="AD71" s="4" t="s">
        <v>245</v>
      </c>
      <c r="AE71" s="4" t="s">
        <v>246</v>
      </c>
      <c r="AF71" s="4" t="s">
        <v>133</v>
      </c>
    </row>
    <row r="72" spans="1:35" ht="18" x14ac:dyDescent="0.3">
      <c r="A72" s="25" t="s">
        <v>247</v>
      </c>
      <c r="B72" s="25"/>
      <c r="C72" s="30" t="s">
        <v>212</v>
      </c>
      <c r="D72" s="27"/>
      <c r="E72" s="27"/>
      <c r="F72" s="31" t="s">
        <v>70</v>
      </c>
      <c r="G72" s="32">
        <v>1.8</v>
      </c>
      <c r="H72" s="27"/>
      <c r="I72" s="33">
        <v>3105</v>
      </c>
      <c r="J72" s="34">
        <v>6.17</v>
      </c>
      <c r="K72" s="35"/>
      <c r="L72" s="35"/>
      <c r="M72" s="34">
        <f>ROUND(ROUND(J72, 2)*I72, 2)</f>
        <v>19157.849999999999</v>
      </c>
      <c r="N72" s="35"/>
      <c r="O72" s="35"/>
      <c r="P72" s="34">
        <v>6.17</v>
      </c>
      <c r="Q72" s="35"/>
      <c r="R72" s="35"/>
      <c r="S72" s="34">
        <f>ROUND(ROUND(P72, 2)*I72, 2)</f>
        <v>19157.849999999999</v>
      </c>
      <c r="T72" s="35"/>
      <c r="U72" s="36"/>
      <c r="V72" s="9">
        <f>ROUND(ROUND(P72, 2)/1.2, 2)</f>
        <v>5.14</v>
      </c>
      <c r="Y72" s="9">
        <f t="shared" si="11"/>
        <v>15964.88</v>
      </c>
      <c r="AD72" s="4" t="s">
        <v>248</v>
      </c>
      <c r="AE72" s="4" t="s">
        <v>249</v>
      </c>
      <c r="AF72" s="4" t="s">
        <v>215</v>
      </c>
    </row>
    <row r="73" spans="1:35" ht="18" x14ac:dyDescent="0.3">
      <c r="A73" s="25" t="s">
        <v>250</v>
      </c>
      <c r="B73" s="25"/>
      <c r="C73" s="30" t="s">
        <v>115</v>
      </c>
      <c r="D73" s="27"/>
      <c r="E73" s="27"/>
      <c r="F73" s="31" t="s">
        <v>116</v>
      </c>
      <c r="G73" s="32">
        <v>8</v>
      </c>
      <c r="H73" s="27"/>
      <c r="I73" s="33">
        <v>276</v>
      </c>
      <c r="J73" s="34">
        <v>2.5</v>
      </c>
      <c r="K73" s="35"/>
      <c r="L73" s="35"/>
      <c r="M73" s="34">
        <f>ROUND(ROUND(J73, 2)*I73, 2)</f>
        <v>690</v>
      </c>
      <c r="N73" s="35"/>
      <c r="O73" s="35"/>
      <c r="P73" s="34">
        <v>2.5</v>
      </c>
      <c r="Q73" s="35"/>
      <c r="R73" s="35"/>
      <c r="S73" s="34">
        <f>ROUND(ROUND(P73, 2)*I73, 2)</f>
        <v>690</v>
      </c>
      <c r="T73" s="35"/>
      <c r="U73" s="36"/>
      <c r="V73" s="9">
        <f>ROUND(ROUND(P73, 2)/1.2, 2)</f>
        <v>2.08</v>
      </c>
      <c r="Y73" s="9">
        <f t="shared" si="11"/>
        <v>575</v>
      </c>
      <c r="AD73" s="4" t="s">
        <v>251</v>
      </c>
      <c r="AE73" s="4" t="s">
        <v>252</v>
      </c>
      <c r="AF73" s="4" t="s">
        <v>119</v>
      </c>
    </row>
    <row r="74" spans="1:35" ht="36" x14ac:dyDescent="0.3">
      <c r="A74" s="37" t="s">
        <v>253</v>
      </c>
      <c r="B74" s="37" t="s">
        <v>254</v>
      </c>
      <c r="C74" s="38" t="s">
        <v>255</v>
      </c>
      <c r="D74" s="39"/>
      <c r="E74" s="39" t="s">
        <v>256</v>
      </c>
      <c r="F74" s="39" t="s">
        <v>64</v>
      </c>
      <c r="G74" s="40">
        <v>1</v>
      </c>
      <c r="H74" s="39"/>
      <c r="I74" s="41">
        <v>0</v>
      </c>
      <c r="J74" s="42">
        <f>IFERROR(ROUND(SUM(M76,M78,M80,M82,M84,M86,M88)/I74, 2),0)</f>
        <v>0</v>
      </c>
      <c r="K74" s="42">
        <v>922</v>
      </c>
      <c r="L74" s="42">
        <f>J74+ROUND(K74, 2)</f>
        <v>922</v>
      </c>
      <c r="M74" s="42">
        <f>ROUND(J74*I74, 2)</f>
        <v>0</v>
      </c>
      <c r="N74" s="42">
        <f>ROUND(I74*ROUND(K74, 2), 2)</f>
        <v>0</v>
      </c>
      <c r="O74" s="42">
        <f>M74+N74</f>
        <v>0</v>
      </c>
      <c r="P74" s="42">
        <f>IFERROR(ROUND(SUM(S76,S78,S80,S82,S84,S86,S88)/I74, 2),0)</f>
        <v>0</v>
      </c>
      <c r="Q74" s="42">
        <v>922</v>
      </c>
      <c r="R74" s="42">
        <f>P74+ROUND(Q74, 2)</f>
        <v>922</v>
      </c>
      <c r="S74" s="42">
        <f>ROUND(P74*I74, 2)</f>
        <v>0</v>
      </c>
      <c r="T74" s="42">
        <f>ROUND(I74*ROUND(Q74, 2), 2)</f>
        <v>0</v>
      </c>
      <c r="U74" s="42">
        <f>S74+T74</f>
        <v>0</v>
      </c>
      <c r="V74" s="9">
        <f>ROUND(P74 / 1.2, 2)</f>
        <v>0</v>
      </c>
      <c r="W74" s="9">
        <f>ROUND(Q74 / 1.2, 2)</f>
        <v>768.33</v>
      </c>
      <c r="X74" s="9">
        <f>ROUND(R74 / 1.2, 2)</f>
        <v>768.33</v>
      </c>
      <c r="Y74" s="9">
        <f t="shared" si="11"/>
        <v>0</v>
      </c>
      <c r="Z74" s="9">
        <f>ROUND(T74 / 1.2, 2)</f>
        <v>0</v>
      </c>
      <c r="AA74" s="9">
        <f>Y74+Z74</f>
        <v>0</v>
      </c>
      <c r="AD74" s="4">
        <v>271132067</v>
      </c>
      <c r="AE74" s="4">
        <v>17497285</v>
      </c>
      <c r="AG74" s="4" t="s">
        <v>257</v>
      </c>
      <c r="AH74" s="4" t="s">
        <v>258</v>
      </c>
      <c r="AI74" s="4" t="s">
        <v>67</v>
      </c>
    </row>
    <row r="75" spans="1:35" ht="36" x14ac:dyDescent="0.3">
      <c r="A75" s="43" t="s">
        <v>259</v>
      </c>
      <c r="B75" s="43" t="s">
        <v>254</v>
      </c>
      <c r="C75" s="44" t="s">
        <v>255</v>
      </c>
      <c r="D75" s="45"/>
      <c r="E75" s="45" t="s">
        <v>260</v>
      </c>
      <c r="F75" s="45" t="s">
        <v>64</v>
      </c>
      <c r="G75" s="46">
        <v>1</v>
      </c>
      <c r="H75" s="45"/>
      <c r="I75" s="46">
        <v>4266.7</v>
      </c>
      <c r="J75" s="47">
        <v>0</v>
      </c>
      <c r="K75" s="47">
        <v>922</v>
      </c>
      <c r="L75" s="47"/>
      <c r="M75" s="47">
        <v>0</v>
      </c>
      <c r="N75" s="47"/>
      <c r="O75" s="47"/>
      <c r="P75" s="47">
        <v>0</v>
      </c>
      <c r="Q75" s="47">
        <v>922</v>
      </c>
      <c r="R75" s="47"/>
      <c r="S75" s="47">
        <v>0</v>
      </c>
      <c r="T75" s="47"/>
      <c r="U75" s="47"/>
      <c r="V75" s="9"/>
      <c r="W75" s="9">
        <f>ROUND(Q75 / 1.2, 2)</f>
        <v>768.33</v>
      </c>
      <c r="X75" s="9" t="e">
        <f>ROUND(R75 / 1.2, 2)</f>
        <v>#VALUE!</v>
      </c>
      <c r="Y75" s="9"/>
      <c r="Z75" s="9" t="e">
        <f>ROUND(T75 / 1.2, 2)</f>
        <v>#VALUE!</v>
      </c>
      <c r="AA75" s="9"/>
      <c r="AD75" s="4">
        <v>225249744</v>
      </c>
      <c r="AE75" s="4">
        <v>17497285</v>
      </c>
      <c r="AG75" s="4" t="s">
        <v>257</v>
      </c>
      <c r="AH75" s="4" t="s">
        <v>258</v>
      </c>
      <c r="AI75" s="4"/>
    </row>
    <row r="76" spans="1:35" ht="18" x14ac:dyDescent="0.3">
      <c r="A76" s="37" t="s">
        <v>261</v>
      </c>
      <c r="B76" s="37"/>
      <c r="C76" s="48" t="s">
        <v>115</v>
      </c>
      <c r="D76" s="39"/>
      <c r="E76" s="39"/>
      <c r="F76" s="49" t="s">
        <v>116</v>
      </c>
      <c r="G76" s="50">
        <v>8</v>
      </c>
      <c r="H76" s="39"/>
      <c r="I76" s="51">
        <v>0</v>
      </c>
      <c r="J76" s="52">
        <v>2.5</v>
      </c>
      <c r="K76" s="53"/>
      <c r="L76" s="53"/>
      <c r="M76" s="52">
        <f t="shared" ref="M76:M89" si="12">ROUND(ROUND(J76, 2)*I76, 2)</f>
        <v>0</v>
      </c>
      <c r="N76" s="53"/>
      <c r="O76" s="53"/>
      <c r="P76" s="52">
        <v>2.5</v>
      </c>
      <c r="Q76" s="53"/>
      <c r="R76" s="53"/>
      <c r="S76" s="52">
        <f t="shared" ref="S76:S89" si="13">ROUND(ROUND(P76, 2)*I76, 2)</f>
        <v>0</v>
      </c>
      <c r="T76" s="53"/>
      <c r="U76" s="54"/>
      <c r="V76" s="9">
        <f t="shared" ref="V76:V89" si="14">ROUND(ROUND(P76, 2)/1.2, 2)</f>
        <v>2.08</v>
      </c>
      <c r="Y76" s="9">
        <f t="shared" ref="Y76:Y101" si="15">ROUND(S76 / 1.2, 2)</f>
        <v>0</v>
      </c>
      <c r="AD76" s="4" t="s">
        <v>262</v>
      </c>
      <c r="AE76" s="4" t="s">
        <v>263</v>
      </c>
      <c r="AF76" s="4" t="s">
        <v>119</v>
      </c>
    </row>
    <row r="77" spans="1:35" ht="18" x14ac:dyDescent="0.3">
      <c r="A77" s="43" t="s">
        <v>264</v>
      </c>
      <c r="B77" s="43"/>
      <c r="C77" s="55" t="s">
        <v>115</v>
      </c>
      <c r="D77" s="45"/>
      <c r="E77" s="45"/>
      <c r="F77" s="56" t="s">
        <v>116</v>
      </c>
      <c r="G77" s="57">
        <v>8</v>
      </c>
      <c r="H77" s="45"/>
      <c r="I77" s="58">
        <v>34133.599999999999</v>
      </c>
      <c r="J77" s="59">
        <v>2.5</v>
      </c>
      <c r="K77" s="60"/>
      <c r="L77" s="60"/>
      <c r="M77" s="59">
        <f t="shared" si="12"/>
        <v>85334</v>
      </c>
      <c r="N77" s="60"/>
      <c r="O77" s="60"/>
      <c r="P77" s="59">
        <v>2.5</v>
      </c>
      <c r="Q77" s="60"/>
      <c r="R77" s="60"/>
      <c r="S77" s="59">
        <f t="shared" si="13"/>
        <v>85334</v>
      </c>
      <c r="T77" s="60"/>
      <c r="U77" s="61"/>
      <c r="V77" s="9">
        <f t="shared" si="14"/>
        <v>2.08</v>
      </c>
      <c r="Y77" s="9">
        <f t="shared" si="15"/>
        <v>71111.67</v>
      </c>
      <c r="AD77" s="4" t="s">
        <v>265</v>
      </c>
      <c r="AE77" s="4" t="s">
        <v>263</v>
      </c>
      <c r="AF77" s="4" t="s">
        <v>119</v>
      </c>
    </row>
    <row r="78" spans="1:35" ht="18" x14ac:dyDescent="0.3">
      <c r="A78" s="37" t="s">
        <v>266</v>
      </c>
      <c r="B78" s="37"/>
      <c r="C78" s="48" t="s">
        <v>123</v>
      </c>
      <c r="D78" s="39"/>
      <c r="E78" s="39"/>
      <c r="F78" s="49" t="s">
        <v>70</v>
      </c>
      <c r="G78" s="50">
        <v>1E-3</v>
      </c>
      <c r="H78" s="39"/>
      <c r="I78" s="51">
        <v>0</v>
      </c>
      <c r="J78" s="52">
        <v>208.33</v>
      </c>
      <c r="K78" s="53"/>
      <c r="L78" s="53"/>
      <c r="M78" s="52">
        <f t="shared" si="12"/>
        <v>0</v>
      </c>
      <c r="N78" s="53"/>
      <c r="O78" s="53"/>
      <c r="P78" s="52">
        <v>208.33</v>
      </c>
      <c r="Q78" s="53"/>
      <c r="R78" s="53"/>
      <c r="S78" s="52">
        <f t="shared" si="13"/>
        <v>0</v>
      </c>
      <c r="T78" s="53"/>
      <c r="U78" s="54"/>
      <c r="V78" s="9">
        <f t="shared" si="14"/>
        <v>173.61</v>
      </c>
      <c r="Y78" s="9">
        <f t="shared" si="15"/>
        <v>0</v>
      </c>
      <c r="AD78" s="4" t="s">
        <v>267</v>
      </c>
      <c r="AE78" s="4" t="s">
        <v>268</v>
      </c>
      <c r="AF78" s="4" t="s">
        <v>126</v>
      </c>
    </row>
    <row r="79" spans="1:35" ht="18" x14ac:dyDescent="0.3">
      <c r="A79" s="43" t="s">
        <v>269</v>
      </c>
      <c r="B79" s="43"/>
      <c r="C79" s="55" t="s">
        <v>123</v>
      </c>
      <c r="D79" s="45"/>
      <c r="E79" s="45"/>
      <c r="F79" s="56" t="s">
        <v>70</v>
      </c>
      <c r="G79" s="57">
        <v>1E-3</v>
      </c>
      <c r="H79" s="45"/>
      <c r="I79" s="58">
        <v>277.35599999999999</v>
      </c>
      <c r="J79" s="59">
        <v>208.33</v>
      </c>
      <c r="K79" s="60"/>
      <c r="L79" s="60"/>
      <c r="M79" s="59">
        <f t="shared" si="12"/>
        <v>57781.58</v>
      </c>
      <c r="N79" s="60"/>
      <c r="O79" s="60"/>
      <c r="P79" s="59">
        <v>208.33</v>
      </c>
      <c r="Q79" s="60"/>
      <c r="R79" s="60"/>
      <c r="S79" s="59">
        <f t="shared" si="13"/>
        <v>57781.58</v>
      </c>
      <c r="T79" s="60"/>
      <c r="U79" s="61"/>
      <c r="V79" s="9">
        <f t="shared" si="14"/>
        <v>173.61</v>
      </c>
      <c r="Y79" s="9">
        <f t="shared" si="15"/>
        <v>48151.32</v>
      </c>
      <c r="AD79" s="4" t="s">
        <v>270</v>
      </c>
      <c r="AE79" s="4" t="s">
        <v>268</v>
      </c>
      <c r="AF79" s="4" t="s">
        <v>126</v>
      </c>
    </row>
    <row r="80" spans="1:35" ht="18" x14ac:dyDescent="0.3">
      <c r="A80" s="37" t="s">
        <v>271</v>
      </c>
      <c r="B80" s="37"/>
      <c r="C80" s="48" t="s">
        <v>130</v>
      </c>
      <c r="D80" s="39"/>
      <c r="E80" s="39"/>
      <c r="F80" s="49" t="s">
        <v>64</v>
      </c>
      <c r="G80" s="50">
        <v>1.1000000000000001</v>
      </c>
      <c r="H80" s="39"/>
      <c r="I80" s="51">
        <v>0</v>
      </c>
      <c r="J80" s="52">
        <v>155.01</v>
      </c>
      <c r="K80" s="53"/>
      <c r="L80" s="53"/>
      <c r="M80" s="52">
        <f t="shared" si="12"/>
        <v>0</v>
      </c>
      <c r="N80" s="53"/>
      <c r="O80" s="53"/>
      <c r="P80" s="52">
        <v>155.01</v>
      </c>
      <c r="Q80" s="53"/>
      <c r="R80" s="53"/>
      <c r="S80" s="52">
        <f t="shared" si="13"/>
        <v>0</v>
      </c>
      <c r="T80" s="53"/>
      <c r="U80" s="54"/>
      <c r="V80" s="9">
        <f t="shared" si="14"/>
        <v>129.18</v>
      </c>
      <c r="Y80" s="9">
        <f t="shared" si="15"/>
        <v>0</v>
      </c>
      <c r="AD80" s="4" t="s">
        <v>272</v>
      </c>
      <c r="AE80" s="4" t="s">
        <v>273</v>
      </c>
      <c r="AF80" s="4" t="s">
        <v>133</v>
      </c>
    </row>
    <row r="81" spans="1:35" ht="18" x14ac:dyDescent="0.3">
      <c r="A81" s="43" t="s">
        <v>274</v>
      </c>
      <c r="B81" s="43"/>
      <c r="C81" s="55" t="s">
        <v>130</v>
      </c>
      <c r="D81" s="45"/>
      <c r="E81" s="45"/>
      <c r="F81" s="56" t="s">
        <v>64</v>
      </c>
      <c r="G81" s="57">
        <v>1.1000000000000001</v>
      </c>
      <c r="H81" s="45"/>
      <c r="I81" s="58">
        <v>4693.37</v>
      </c>
      <c r="J81" s="59">
        <v>155.01</v>
      </c>
      <c r="K81" s="60"/>
      <c r="L81" s="60"/>
      <c r="M81" s="59">
        <f t="shared" si="12"/>
        <v>727519.28</v>
      </c>
      <c r="N81" s="60"/>
      <c r="O81" s="60"/>
      <c r="P81" s="59">
        <v>155.01</v>
      </c>
      <c r="Q81" s="60"/>
      <c r="R81" s="60"/>
      <c r="S81" s="59">
        <f t="shared" si="13"/>
        <v>727519.28</v>
      </c>
      <c r="T81" s="60"/>
      <c r="U81" s="61"/>
      <c r="V81" s="9">
        <f t="shared" si="14"/>
        <v>129.18</v>
      </c>
      <c r="Y81" s="9">
        <f t="shared" si="15"/>
        <v>606266.06999999995</v>
      </c>
      <c r="AD81" s="4" t="s">
        <v>275</v>
      </c>
      <c r="AE81" s="4" t="s">
        <v>273</v>
      </c>
      <c r="AF81" s="4" t="s">
        <v>133</v>
      </c>
    </row>
    <row r="82" spans="1:35" ht="18" x14ac:dyDescent="0.3">
      <c r="A82" s="37" t="s">
        <v>276</v>
      </c>
      <c r="B82" s="37"/>
      <c r="C82" s="48" t="s">
        <v>137</v>
      </c>
      <c r="D82" s="39"/>
      <c r="E82" s="39"/>
      <c r="F82" s="49" t="s">
        <v>70</v>
      </c>
      <c r="G82" s="50">
        <v>0.32</v>
      </c>
      <c r="H82" s="39"/>
      <c r="I82" s="51">
        <v>0</v>
      </c>
      <c r="J82" s="52">
        <v>7.5</v>
      </c>
      <c r="K82" s="53"/>
      <c r="L82" s="53"/>
      <c r="M82" s="52">
        <f t="shared" si="12"/>
        <v>0</v>
      </c>
      <c r="N82" s="53"/>
      <c r="O82" s="53"/>
      <c r="P82" s="52">
        <v>7.5</v>
      </c>
      <c r="Q82" s="53"/>
      <c r="R82" s="53"/>
      <c r="S82" s="52">
        <f t="shared" si="13"/>
        <v>0</v>
      </c>
      <c r="T82" s="53"/>
      <c r="U82" s="54"/>
      <c r="V82" s="9">
        <f t="shared" si="14"/>
        <v>6.25</v>
      </c>
      <c r="Y82" s="9">
        <f t="shared" si="15"/>
        <v>0</v>
      </c>
      <c r="AD82" s="4" t="s">
        <v>277</v>
      </c>
      <c r="AE82" s="4" t="s">
        <v>278</v>
      </c>
      <c r="AF82" s="4" t="s">
        <v>140</v>
      </c>
    </row>
    <row r="83" spans="1:35" ht="18" x14ac:dyDescent="0.3">
      <c r="A83" s="43" t="s">
        <v>279</v>
      </c>
      <c r="B83" s="43"/>
      <c r="C83" s="55" t="s">
        <v>137</v>
      </c>
      <c r="D83" s="45"/>
      <c r="E83" s="45"/>
      <c r="F83" s="56" t="s">
        <v>70</v>
      </c>
      <c r="G83" s="57">
        <v>0.32</v>
      </c>
      <c r="H83" s="45"/>
      <c r="I83" s="58">
        <v>88747.36</v>
      </c>
      <c r="J83" s="59">
        <v>7.5</v>
      </c>
      <c r="K83" s="60"/>
      <c r="L83" s="60"/>
      <c r="M83" s="59">
        <f t="shared" si="12"/>
        <v>665605.19999999995</v>
      </c>
      <c r="N83" s="60"/>
      <c r="O83" s="60"/>
      <c r="P83" s="59">
        <v>7.5</v>
      </c>
      <c r="Q83" s="60"/>
      <c r="R83" s="60"/>
      <c r="S83" s="59">
        <f t="shared" si="13"/>
        <v>665605.19999999995</v>
      </c>
      <c r="T83" s="60"/>
      <c r="U83" s="61"/>
      <c r="V83" s="9">
        <f t="shared" si="14"/>
        <v>6.25</v>
      </c>
      <c r="Y83" s="9">
        <f t="shared" si="15"/>
        <v>554671</v>
      </c>
      <c r="AD83" s="4" t="s">
        <v>280</v>
      </c>
      <c r="AE83" s="4" t="s">
        <v>278</v>
      </c>
      <c r="AF83" s="4" t="s">
        <v>140</v>
      </c>
    </row>
    <row r="84" spans="1:35" ht="18" x14ac:dyDescent="0.3">
      <c r="A84" s="37" t="s">
        <v>281</v>
      </c>
      <c r="B84" s="37"/>
      <c r="C84" s="48" t="s">
        <v>144</v>
      </c>
      <c r="D84" s="39"/>
      <c r="E84" s="39"/>
      <c r="F84" s="49" t="s">
        <v>98</v>
      </c>
      <c r="G84" s="50">
        <v>1E-3</v>
      </c>
      <c r="H84" s="39"/>
      <c r="I84" s="51">
        <v>0</v>
      </c>
      <c r="J84" s="52">
        <v>1600</v>
      </c>
      <c r="K84" s="53"/>
      <c r="L84" s="53"/>
      <c r="M84" s="52">
        <f t="shared" si="12"/>
        <v>0</v>
      </c>
      <c r="N84" s="53"/>
      <c r="O84" s="53"/>
      <c r="P84" s="52">
        <v>1600</v>
      </c>
      <c r="Q84" s="53"/>
      <c r="R84" s="53"/>
      <c r="S84" s="52">
        <f t="shared" si="13"/>
        <v>0</v>
      </c>
      <c r="T84" s="53"/>
      <c r="U84" s="54"/>
      <c r="V84" s="9">
        <f t="shared" si="14"/>
        <v>1333.33</v>
      </c>
      <c r="Y84" s="9">
        <f t="shared" si="15"/>
        <v>0</v>
      </c>
      <c r="AD84" s="4" t="s">
        <v>282</v>
      </c>
      <c r="AE84" s="4" t="s">
        <v>283</v>
      </c>
      <c r="AF84" s="4" t="s">
        <v>147</v>
      </c>
    </row>
    <row r="85" spans="1:35" ht="18" x14ac:dyDescent="0.3">
      <c r="A85" s="43" t="s">
        <v>284</v>
      </c>
      <c r="B85" s="43"/>
      <c r="C85" s="55" t="s">
        <v>144</v>
      </c>
      <c r="D85" s="45"/>
      <c r="E85" s="45"/>
      <c r="F85" s="56" t="s">
        <v>98</v>
      </c>
      <c r="G85" s="57">
        <v>1E-3</v>
      </c>
      <c r="H85" s="45"/>
      <c r="I85" s="58">
        <v>277.33600000000001</v>
      </c>
      <c r="J85" s="59">
        <v>1600</v>
      </c>
      <c r="K85" s="60"/>
      <c r="L85" s="60"/>
      <c r="M85" s="59">
        <f t="shared" si="12"/>
        <v>443737.59999999998</v>
      </c>
      <c r="N85" s="60"/>
      <c r="O85" s="60"/>
      <c r="P85" s="59">
        <v>1600</v>
      </c>
      <c r="Q85" s="60"/>
      <c r="R85" s="60"/>
      <c r="S85" s="59">
        <f t="shared" si="13"/>
        <v>443737.59999999998</v>
      </c>
      <c r="T85" s="60"/>
      <c r="U85" s="61"/>
      <c r="V85" s="9">
        <f t="shared" si="14"/>
        <v>1333.33</v>
      </c>
      <c r="Y85" s="9">
        <f t="shared" si="15"/>
        <v>369781.33</v>
      </c>
      <c r="AD85" s="4" t="s">
        <v>285</v>
      </c>
      <c r="AE85" s="4" t="s">
        <v>283</v>
      </c>
      <c r="AF85" s="4" t="s">
        <v>147</v>
      </c>
    </row>
    <row r="86" spans="1:35" ht="18" x14ac:dyDescent="0.3">
      <c r="A86" s="37" t="s">
        <v>286</v>
      </c>
      <c r="B86" s="37"/>
      <c r="C86" s="48" t="s">
        <v>86</v>
      </c>
      <c r="D86" s="39"/>
      <c r="E86" s="39"/>
      <c r="F86" s="49" t="s">
        <v>87</v>
      </c>
      <c r="G86" s="50">
        <v>1</v>
      </c>
      <c r="H86" s="39"/>
      <c r="I86" s="51">
        <v>0</v>
      </c>
      <c r="J86" s="52">
        <v>10.4</v>
      </c>
      <c r="K86" s="53"/>
      <c r="L86" s="53"/>
      <c r="M86" s="52">
        <f t="shared" si="12"/>
        <v>0</v>
      </c>
      <c r="N86" s="53"/>
      <c r="O86" s="53"/>
      <c r="P86" s="52">
        <v>10.4</v>
      </c>
      <c r="Q86" s="53"/>
      <c r="R86" s="53"/>
      <c r="S86" s="52">
        <f t="shared" si="13"/>
        <v>0</v>
      </c>
      <c r="T86" s="53"/>
      <c r="U86" s="54"/>
      <c r="V86" s="9">
        <f t="shared" si="14"/>
        <v>8.67</v>
      </c>
      <c r="Y86" s="9">
        <f t="shared" si="15"/>
        <v>0</v>
      </c>
      <c r="AD86" s="4" t="s">
        <v>287</v>
      </c>
      <c r="AE86" s="4" t="s">
        <v>288</v>
      </c>
      <c r="AF86" s="4" t="s">
        <v>90</v>
      </c>
    </row>
    <row r="87" spans="1:35" ht="18" x14ac:dyDescent="0.3">
      <c r="A87" s="43" t="s">
        <v>289</v>
      </c>
      <c r="B87" s="43"/>
      <c r="C87" s="55" t="s">
        <v>86</v>
      </c>
      <c r="D87" s="45"/>
      <c r="E87" s="45"/>
      <c r="F87" s="56" t="s">
        <v>87</v>
      </c>
      <c r="G87" s="57">
        <v>1</v>
      </c>
      <c r="H87" s="45"/>
      <c r="I87" s="58">
        <v>1872</v>
      </c>
      <c r="J87" s="59">
        <v>10.4</v>
      </c>
      <c r="K87" s="60"/>
      <c r="L87" s="60"/>
      <c r="M87" s="59">
        <f t="shared" si="12"/>
        <v>19468.8</v>
      </c>
      <c r="N87" s="60"/>
      <c r="O87" s="60"/>
      <c r="P87" s="59">
        <v>10.4</v>
      </c>
      <c r="Q87" s="60"/>
      <c r="R87" s="60"/>
      <c r="S87" s="59">
        <f t="shared" si="13"/>
        <v>19468.8</v>
      </c>
      <c r="T87" s="60"/>
      <c r="U87" s="61"/>
      <c r="V87" s="9">
        <f t="shared" si="14"/>
        <v>8.67</v>
      </c>
      <c r="Y87" s="9">
        <f t="shared" si="15"/>
        <v>16224</v>
      </c>
      <c r="AD87" s="4" t="s">
        <v>290</v>
      </c>
      <c r="AE87" s="4" t="s">
        <v>288</v>
      </c>
      <c r="AF87" s="4" t="s">
        <v>90</v>
      </c>
    </row>
    <row r="88" spans="1:35" ht="36" x14ac:dyDescent="0.3">
      <c r="A88" s="37" t="s">
        <v>291</v>
      </c>
      <c r="B88" s="37"/>
      <c r="C88" s="48" t="s">
        <v>75</v>
      </c>
      <c r="D88" s="39"/>
      <c r="E88" s="39"/>
      <c r="F88" s="49" t="s">
        <v>70</v>
      </c>
      <c r="G88" s="50">
        <v>0.2</v>
      </c>
      <c r="H88" s="39"/>
      <c r="I88" s="62">
        <v>0</v>
      </c>
      <c r="J88" s="52">
        <v>88.8</v>
      </c>
      <c r="K88" s="53"/>
      <c r="L88" s="53"/>
      <c r="M88" s="52">
        <f t="shared" si="12"/>
        <v>0</v>
      </c>
      <c r="N88" s="53"/>
      <c r="O88" s="53"/>
      <c r="P88" s="52">
        <v>88.8</v>
      </c>
      <c r="Q88" s="53"/>
      <c r="R88" s="53"/>
      <c r="S88" s="52">
        <f t="shared" si="13"/>
        <v>0</v>
      </c>
      <c r="T88" s="53"/>
      <c r="U88" s="54"/>
      <c r="V88" s="9">
        <f t="shared" si="14"/>
        <v>74</v>
      </c>
      <c r="Y88" s="9">
        <f t="shared" si="15"/>
        <v>0</v>
      </c>
      <c r="AD88" s="4" t="s">
        <v>292</v>
      </c>
      <c r="AE88" s="4" t="s">
        <v>293</v>
      </c>
      <c r="AF88" s="4" t="s">
        <v>78</v>
      </c>
    </row>
    <row r="89" spans="1:35" ht="36" x14ac:dyDescent="0.3">
      <c r="A89" s="43" t="s">
        <v>294</v>
      </c>
      <c r="B89" s="43"/>
      <c r="C89" s="55" t="s">
        <v>75</v>
      </c>
      <c r="D89" s="45"/>
      <c r="E89" s="45"/>
      <c r="F89" s="56" t="s">
        <v>70</v>
      </c>
      <c r="G89" s="57">
        <v>0.2</v>
      </c>
      <c r="H89" s="45"/>
      <c r="I89" s="57">
        <v>853.34</v>
      </c>
      <c r="J89" s="59">
        <v>88.8</v>
      </c>
      <c r="K89" s="60"/>
      <c r="L89" s="60"/>
      <c r="M89" s="59">
        <f t="shared" si="12"/>
        <v>75776.59</v>
      </c>
      <c r="N89" s="60"/>
      <c r="O89" s="60"/>
      <c r="P89" s="59">
        <v>88.8</v>
      </c>
      <c r="Q89" s="60"/>
      <c r="R89" s="60"/>
      <c r="S89" s="59">
        <f t="shared" si="13"/>
        <v>75776.59</v>
      </c>
      <c r="T89" s="60"/>
      <c r="U89" s="61"/>
      <c r="V89" s="9">
        <f t="shared" si="14"/>
        <v>74</v>
      </c>
      <c r="Y89" s="9">
        <f t="shared" si="15"/>
        <v>63147.16</v>
      </c>
      <c r="AD89" s="4" t="s">
        <v>295</v>
      </c>
      <c r="AE89" s="4" t="s">
        <v>293</v>
      </c>
      <c r="AF89" s="4" t="s">
        <v>78</v>
      </c>
    </row>
    <row r="90" spans="1:35" ht="36" x14ac:dyDescent="0.3">
      <c r="A90" s="25" t="s">
        <v>296</v>
      </c>
      <c r="B90" s="25" t="s">
        <v>254</v>
      </c>
      <c r="C90" s="26" t="s">
        <v>297</v>
      </c>
      <c r="D90" s="27"/>
      <c r="E90" s="27" t="s">
        <v>298</v>
      </c>
      <c r="F90" s="27" t="s">
        <v>64</v>
      </c>
      <c r="G90" s="28">
        <v>1</v>
      </c>
      <c r="H90" s="27"/>
      <c r="I90" s="28">
        <v>3586.9</v>
      </c>
      <c r="J90" s="29">
        <f>IFERROR(ROUND(SUM(M91,M92,M93,M94,M95)/I90, 2),0)</f>
        <v>935.6</v>
      </c>
      <c r="K90" s="29">
        <v>1014</v>
      </c>
      <c r="L90" s="29">
        <f>J90+ROUND(K90, 2)</f>
        <v>1949.6</v>
      </c>
      <c r="M90" s="29">
        <f>ROUND(J90*I90, 2)</f>
        <v>3355903.64</v>
      </c>
      <c r="N90" s="29">
        <f>ROUND(I90*ROUND(K90, 2), 2)</f>
        <v>3637116.6</v>
      </c>
      <c r="O90" s="29">
        <f>M90+N90</f>
        <v>6993020.2400000002</v>
      </c>
      <c r="P90" s="29">
        <f>IFERROR(ROUND(SUM(S91,S92,S93,S94,S95)/I90, 2),0)</f>
        <v>935.6</v>
      </c>
      <c r="Q90" s="29">
        <v>1014</v>
      </c>
      <c r="R90" s="29">
        <f>P90+ROUND(Q90, 2)</f>
        <v>1949.6</v>
      </c>
      <c r="S90" s="29">
        <f>ROUND(P90*I90, 2)</f>
        <v>3355903.64</v>
      </c>
      <c r="T90" s="29">
        <f>ROUND(I90*ROUND(Q90, 2), 2)</f>
        <v>3637116.6</v>
      </c>
      <c r="U90" s="29">
        <f>S90+T90</f>
        <v>6993020.2400000002</v>
      </c>
      <c r="V90" s="9">
        <f>ROUND(P90 / 1.2, 2)</f>
        <v>779.67</v>
      </c>
      <c r="W90" s="9">
        <f>ROUND(Q90 / 1.2, 2)</f>
        <v>845</v>
      </c>
      <c r="X90" s="9">
        <f>ROUND(R90 / 1.2, 2)</f>
        <v>1624.67</v>
      </c>
      <c r="Y90" s="9">
        <f t="shared" si="15"/>
        <v>2796586.37</v>
      </c>
      <c r="Z90" s="9">
        <f>ROUND(T90 / 1.2, 2)</f>
        <v>3030930.5</v>
      </c>
      <c r="AA90" s="9">
        <f>Y90+Z90</f>
        <v>5827516.8700000001</v>
      </c>
      <c r="AD90" s="4">
        <v>271132165</v>
      </c>
      <c r="AE90" s="4">
        <v>19811234</v>
      </c>
      <c r="AG90" s="4" t="s">
        <v>257</v>
      </c>
      <c r="AH90" s="4" t="s">
        <v>258</v>
      </c>
      <c r="AI90" s="4" t="s">
        <v>67</v>
      </c>
    </row>
    <row r="91" spans="1:35" ht="36" x14ac:dyDescent="0.3">
      <c r="A91" s="25" t="s">
        <v>299</v>
      </c>
      <c r="B91" s="25"/>
      <c r="C91" s="30" t="s">
        <v>75</v>
      </c>
      <c r="D91" s="27"/>
      <c r="E91" s="27"/>
      <c r="F91" s="31" t="s">
        <v>70</v>
      </c>
      <c r="G91" s="32">
        <v>0.2</v>
      </c>
      <c r="H91" s="27"/>
      <c r="I91" s="32">
        <v>717.38</v>
      </c>
      <c r="J91" s="34">
        <v>88.8</v>
      </c>
      <c r="K91" s="35"/>
      <c r="L91" s="35"/>
      <c r="M91" s="34">
        <f>ROUND(ROUND(J91, 2)*I91, 2)</f>
        <v>63703.34</v>
      </c>
      <c r="N91" s="35"/>
      <c r="O91" s="35"/>
      <c r="P91" s="34">
        <v>88.8</v>
      </c>
      <c r="Q91" s="35"/>
      <c r="R91" s="35"/>
      <c r="S91" s="34">
        <f>ROUND(ROUND(P91, 2)*I91, 2)</f>
        <v>63703.34</v>
      </c>
      <c r="T91" s="35"/>
      <c r="U91" s="36"/>
      <c r="V91" s="9">
        <f>ROUND(ROUND(P91, 2)/1.2, 2)</f>
        <v>74</v>
      </c>
      <c r="Y91" s="9">
        <f t="shared" si="15"/>
        <v>53086.12</v>
      </c>
      <c r="AD91" s="4" t="s">
        <v>300</v>
      </c>
      <c r="AE91" s="4" t="s">
        <v>301</v>
      </c>
      <c r="AF91" s="4" t="s">
        <v>78</v>
      </c>
    </row>
    <row r="92" spans="1:35" ht="18" x14ac:dyDescent="0.3">
      <c r="A92" s="25" t="s">
        <v>302</v>
      </c>
      <c r="B92" s="25"/>
      <c r="C92" s="30" t="s">
        <v>86</v>
      </c>
      <c r="D92" s="27"/>
      <c r="E92" s="27"/>
      <c r="F92" s="31" t="s">
        <v>87</v>
      </c>
      <c r="G92" s="32">
        <v>1</v>
      </c>
      <c r="H92" s="27"/>
      <c r="I92" s="33">
        <v>1876</v>
      </c>
      <c r="J92" s="34">
        <v>10.4</v>
      </c>
      <c r="K92" s="35"/>
      <c r="L92" s="35"/>
      <c r="M92" s="34">
        <f>ROUND(ROUND(J92, 2)*I92, 2)</f>
        <v>19510.400000000001</v>
      </c>
      <c r="N92" s="35"/>
      <c r="O92" s="35"/>
      <c r="P92" s="34">
        <v>10.4</v>
      </c>
      <c r="Q92" s="35"/>
      <c r="R92" s="35"/>
      <c r="S92" s="34">
        <f>ROUND(ROUND(P92, 2)*I92, 2)</f>
        <v>19510.400000000001</v>
      </c>
      <c r="T92" s="35"/>
      <c r="U92" s="36"/>
      <c r="V92" s="9">
        <f>ROUND(ROUND(P92, 2)/1.2, 2)</f>
        <v>8.67</v>
      </c>
      <c r="Y92" s="9">
        <f t="shared" si="15"/>
        <v>16258.67</v>
      </c>
      <c r="AD92" s="4" t="s">
        <v>303</v>
      </c>
      <c r="AE92" s="4" t="s">
        <v>304</v>
      </c>
      <c r="AF92" s="4" t="s">
        <v>90</v>
      </c>
    </row>
    <row r="93" spans="1:35" ht="18" x14ac:dyDescent="0.3">
      <c r="A93" s="25" t="s">
        <v>305</v>
      </c>
      <c r="B93" s="25"/>
      <c r="C93" s="30" t="s">
        <v>130</v>
      </c>
      <c r="D93" s="27"/>
      <c r="E93" s="27"/>
      <c r="F93" s="31" t="s">
        <v>64</v>
      </c>
      <c r="G93" s="32">
        <v>1.1000000000000001</v>
      </c>
      <c r="H93" s="27"/>
      <c r="I93" s="33">
        <v>3945.59</v>
      </c>
      <c r="J93" s="34">
        <v>155.01</v>
      </c>
      <c r="K93" s="35"/>
      <c r="L93" s="35"/>
      <c r="M93" s="34">
        <f>ROUND(ROUND(J93, 2)*I93, 2)</f>
        <v>611605.91</v>
      </c>
      <c r="N93" s="35"/>
      <c r="O93" s="35"/>
      <c r="P93" s="34">
        <v>155.01</v>
      </c>
      <c r="Q93" s="35"/>
      <c r="R93" s="35"/>
      <c r="S93" s="34">
        <f>ROUND(ROUND(P93, 2)*I93, 2)</f>
        <v>611605.91</v>
      </c>
      <c r="T93" s="35"/>
      <c r="U93" s="36"/>
      <c r="V93" s="9">
        <f>ROUND(ROUND(P93, 2)/1.2, 2)</f>
        <v>129.18</v>
      </c>
      <c r="Y93" s="9">
        <f t="shared" si="15"/>
        <v>509671.59</v>
      </c>
      <c r="AD93" s="4" t="s">
        <v>306</v>
      </c>
      <c r="AE93" s="4" t="s">
        <v>307</v>
      </c>
      <c r="AF93" s="4" t="s">
        <v>133</v>
      </c>
    </row>
    <row r="94" spans="1:35" ht="18" x14ac:dyDescent="0.3">
      <c r="A94" s="25" t="s">
        <v>308</v>
      </c>
      <c r="B94" s="25"/>
      <c r="C94" s="30" t="s">
        <v>212</v>
      </c>
      <c r="D94" s="27"/>
      <c r="E94" s="27"/>
      <c r="F94" s="31" t="s">
        <v>70</v>
      </c>
      <c r="G94" s="32">
        <v>1.8</v>
      </c>
      <c r="H94" s="27"/>
      <c r="I94" s="33">
        <v>419667.3</v>
      </c>
      <c r="J94" s="34">
        <v>6.17</v>
      </c>
      <c r="K94" s="35"/>
      <c r="L94" s="35"/>
      <c r="M94" s="34">
        <f>ROUND(ROUND(J94, 2)*I94, 2)</f>
        <v>2589347.2400000002</v>
      </c>
      <c r="N94" s="35"/>
      <c r="O94" s="35"/>
      <c r="P94" s="34">
        <v>6.17</v>
      </c>
      <c r="Q94" s="35"/>
      <c r="R94" s="35"/>
      <c r="S94" s="34">
        <f>ROUND(ROUND(P94, 2)*I94, 2)</f>
        <v>2589347.2400000002</v>
      </c>
      <c r="T94" s="35"/>
      <c r="U94" s="36"/>
      <c r="V94" s="9">
        <f>ROUND(ROUND(P94, 2)/1.2, 2)</f>
        <v>5.14</v>
      </c>
      <c r="Y94" s="9">
        <f t="shared" si="15"/>
        <v>2157789.37</v>
      </c>
      <c r="AD94" s="4" t="s">
        <v>309</v>
      </c>
      <c r="AE94" s="4" t="s">
        <v>310</v>
      </c>
      <c r="AF94" s="4" t="s">
        <v>215</v>
      </c>
    </row>
    <row r="95" spans="1:35" ht="18" x14ac:dyDescent="0.3">
      <c r="A95" s="25" t="s">
        <v>311</v>
      </c>
      <c r="B95" s="25"/>
      <c r="C95" s="30" t="s">
        <v>115</v>
      </c>
      <c r="D95" s="27"/>
      <c r="E95" s="27"/>
      <c r="F95" s="31" t="s">
        <v>116</v>
      </c>
      <c r="G95" s="32">
        <v>8</v>
      </c>
      <c r="H95" s="27"/>
      <c r="I95" s="33">
        <v>28695.200000000001</v>
      </c>
      <c r="J95" s="34">
        <v>2.5</v>
      </c>
      <c r="K95" s="35"/>
      <c r="L95" s="35"/>
      <c r="M95" s="34">
        <f>ROUND(ROUND(J95, 2)*I95, 2)</f>
        <v>71738</v>
      </c>
      <c r="N95" s="35"/>
      <c r="O95" s="35"/>
      <c r="P95" s="34">
        <v>2.5</v>
      </c>
      <c r="Q95" s="35"/>
      <c r="R95" s="35"/>
      <c r="S95" s="34">
        <f>ROUND(ROUND(P95, 2)*I95, 2)</f>
        <v>71738</v>
      </c>
      <c r="T95" s="35"/>
      <c r="U95" s="36"/>
      <c r="V95" s="9">
        <f>ROUND(ROUND(P95, 2)/1.2, 2)</f>
        <v>2.08</v>
      </c>
      <c r="Y95" s="9">
        <f t="shared" si="15"/>
        <v>59781.67</v>
      </c>
      <c r="AD95" s="4" t="s">
        <v>312</v>
      </c>
      <c r="AE95" s="4" t="s">
        <v>313</v>
      </c>
      <c r="AF95" s="4" t="s">
        <v>119</v>
      </c>
    </row>
    <row r="96" spans="1:35" ht="36" x14ac:dyDescent="0.3">
      <c r="A96" s="25" t="s">
        <v>314</v>
      </c>
      <c r="B96" s="25" t="s">
        <v>254</v>
      </c>
      <c r="C96" s="26" t="s">
        <v>297</v>
      </c>
      <c r="D96" s="27"/>
      <c r="E96" s="27" t="s">
        <v>315</v>
      </c>
      <c r="F96" s="27" t="s">
        <v>64</v>
      </c>
      <c r="G96" s="28">
        <v>1</v>
      </c>
      <c r="H96" s="27"/>
      <c r="I96" s="28">
        <v>4266.7</v>
      </c>
      <c r="J96" s="29">
        <f>IFERROR(ROUND(SUM(M97,M98,M99,M100,M101)/I96, 2),0)</f>
        <v>934.72</v>
      </c>
      <c r="K96" s="29">
        <v>1014</v>
      </c>
      <c r="L96" s="29">
        <f>J96+ROUND(K96, 2)</f>
        <v>1948.72</v>
      </c>
      <c r="M96" s="29">
        <f>ROUND(J96*I96, 2)</f>
        <v>3988169.82</v>
      </c>
      <c r="N96" s="29">
        <f>ROUND(I96*ROUND(K96, 2), 2)</f>
        <v>4326433.8</v>
      </c>
      <c r="O96" s="29">
        <f>M96+N96</f>
        <v>8314603.6200000001</v>
      </c>
      <c r="P96" s="29">
        <f>IFERROR(ROUND(SUM(S97,S98,S99,S100,S101)/I96, 2),0)</f>
        <v>934.72</v>
      </c>
      <c r="Q96" s="29">
        <v>1014</v>
      </c>
      <c r="R96" s="29">
        <f>P96+ROUND(Q96, 2)</f>
        <v>1948.72</v>
      </c>
      <c r="S96" s="29">
        <f>ROUND(P96*I96, 2)</f>
        <v>3988169.82</v>
      </c>
      <c r="T96" s="29">
        <f>ROUND(I96*ROUND(Q96, 2), 2)</f>
        <v>4326433.8</v>
      </c>
      <c r="U96" s="29">
        <f>S96+T96</f>
        <v>8314603.6200000001</v>
      </c>
      <c r="V96" s="9">
        <f>ROUND(P96 / 1.2, 2)</f>
        <v>778.93</v>
      </c>
      <c r="W96" s="9">
        <f>ROUND(Q96 / 1.2, 2)</f>
        <v>845</v>
      </c>
      <c r="X96" s="9">
        <f>ROUND(R96 / 1.2, 2)</f>
        <v>1623.93</v>
      </c>
      <c r="Y96" s="9">
        <f t="shared" si="15"/>
        <v>3323474.85</v>
      </c>
      <c r="Z96" s="9">
        <f>ROUND(T96 / 1.2, 2)</f>
        <v>3605361.5</v>
      </c>
      <c r="AA96" s="9">
        <f>Y96+Z96</f>
        <v>6928836.3499999996</v>
      </c>
      <c r="AD96" s="4">
        <v>271132166</v>
      </c>
      <c r="AE96" s="4">
        <v>20229448</v>
      </c>
      <c r="AG96" s="4" t="s">
        <v>257</v>
      </c>
      <c r="AH96" s="4" t="s">
        <v>258</v>
      </c>
      <c r="AI96" s="4" t="s">
        <v>67</v>
      </c>
    </row>
    <row r="97" spans="1:35" ht="36" x14ac:dyDescent="0.3">
      <c r="A97" s="25" t="s">
        <v>316</v>
      </c>
      <c r="B97" s="25"/>
      <c r="C97" s="30" t="s">
        <v>75</v>
      </c>
      <c r="D97" s="27"/>
      <c r="E97" s="27"/>
      <c r="F97" s="31" t="s">
        <v>70</v>
      </c>
      <c r="G97" s="32">
        <v>0.2</v>
      </c>
      <c r="H97" s="27"/>
      <c r="I97" s="32">
        <v>853.34</v>
      </c>
      <c r="J97" s="34">
        <v>88.8</v>
      </c>
      <c r="K97" s="35"/>
      <c r="L97" s="35"/>
      <c r="M97" s="34">
        <f>ROUND(ROUND(J97, 2)*I97, 2)</f>
        <v>75776.59</v>
      </c>
      <c r="N97" s="35"/>
      <c r="O97" s="35"/>
      <c r="P97" s="34">
        <v>88.8</v>
      </c>
      <c r="Q97" s="35"/>
      <c r="R97" s="35"/>
      <c r="S97" s="34">
        <f>ROUND(ROUND(P97, 2)*I97, 2)</f>
        <v>75776.59</v>
      </c>
      <c r="T97" s="35"/>
      <c r="U97" s="36"/>
      <c r="V97" s="9">
        <f>ROUND(ROUND(P97, 2)/1.2, 2)</f>
        <v>74</v>
      </c>
      <c r="Y97" s="9">
        <f t="shared" si="15"/>
        <v>63147.16</v>
      </c>
      <c r="AD97" s="4" t="s">
        <v>317</v>
      </c>
      <c r="AE97" s="4" t="s">
        <v>318</v>
      </c>
      <c r="AF97" s="4" t="s">
        <v>78</v>
      </c>
    </row>
    <row r="98" spans="1:35" ht="18" x14ac:dyDescent="0.3">
      <c r="A98" s="25" t="s">
        <v>319</v>
      </c>
      <c r="B98" s="25"/>
      <c r="C98" s="30" t="s">
        <v>86</v>
      </c>
      <c r="D98" s="27"/>
      <c r="E98" s="27"/>
      <c r="F98" s="31" t="s">
        <v>87</v>
      </c>
      <c r="G98" s="32">
        <v>1</v>
      </c>
      <c r="H98" s="27"/>
      <c r="I98" s="33">
        <v>1872</v>
      </c>
      <c r="J98" s="34">
        <v>10.4</v>
      </c>
      <c r="K98" s="35"/>
      <c r="L98" s="35"/>
      <c r="M98" s="34">
        <f>ROUND(ROUND(J98, 2)*I98, 2)</f>
        <v>19468.8</v>
      </c>
      <c r="N98" s="35"/>
      <c r="O98" s="35"/>
      <c r="P98" s="34">
        <v>10.4</v>
      </c>
      <c r="Q98" s="35"/>
      <c r="R98" s="35"/>
      <c r="S98" s="34">
        <f>ROUND(ROUND(P98, 2)*I98, 2)</f>
        <v>19468.8</v>
      </c>
      <c r="T98" s="35"/>
      <c r="U98" s="36"/>
      <c r="V98" s="9">
        <f>ROUND(ROUND(P98, 2)/1.2, 2)</f>
        <v>8.67</v>
      </c>
      <c r="Y98" s="9">
        <f t="shared" si="15"/>
        <v>16224</v>
      </c>
      <c r="AD98" s="4" t="s">
        <v>320</v>
      </c>
      <c r="AE98" s="4" t="s">
        <v>321</v>
      </c>
      <c r="AF98" s="4" t="s">
        <v>90</v>
      </c>
    </row>
    <row r="99" spans="1:35" ht="18" x14ac:dyDescent="0.3">
      <c r="A99" s="25" t="s">
        <v>322</v>
      </c>
      <c r="B99" s="25"/>
      <c r="C99" s="30" t="s">
        <v>130</v>
      </c>
      <c r="D99" s="27"/>
      <c r="E99" s="27"/>
      <c r="F99" s="31" t="s">
        <v>64</v>
      </c>
      <c r="G99" s="32">
        <v>1.1000000000000001</v>
      </c>
      <c r="H99" s="27"/>
      <c r="I99" s="33">
        <v>4693.37</v>
      </c>
      <c r="J99" s="34">
        <v>155.01</v>
      </c>
      <c r="K99" s="35"/>
      <c r="L99" s="35"/>
      <c r="M99" s="34">
        <f>ROUND(ROUND(J99, 2)*I99, 2)</f>
        <v>727519.28</v>
      </c>
      <c r="N99" s="35"/>
      <c r="O99" s="35"/>
      <c r="P99" s="34">
        <v>155.01</v>
      </c>
      <c r="Q99" s="35"/>
      <c r="R99" s="35"/>
      <c r="S99" s="34">
        <f>ROUND(ROUND(P99, 2)*I99, 2)</f>
        <v>727519.28</v>
      </c>
      <c r="T99" s="35"/>
      <c r="U99" s="36"/>
      <c r="V99" s="9">
        <f>ROUND(ROUND(P99, 2)/1.2, 2)</f>
        <v>129.18</v>
      </c>
      <c r="Y99" s="9">
        <f t="shared" si="15"/>
        <v>606266.06999999995</v>
      </c>
      <c r="AD99" s="4" t="s">
        <v>323</v>
      </c>
      <c r="AE99" s="4" t="s">
        <v>324</v>
      </c>
      <c r="AF99" s="4" t="s">
        <v>133</v>
      </c>
    </row>
    <row r="100" spans="1:35" ht="18" x14ac:dyDescent="0.3">
      <c r="A100" s="25" t="s">
        <v>325</v>
      </c>
      <c r="B100" s="25"/>
      <c r="C100" s="30" t="s">
        <v>212</v>
      </c>
      <c r="D100" s="27"/>
      <c r="E100" s="27"/>
      <c r="F100" s="31" t="s">
        <v>70</v>
      </c>
      <c r="G100" s="32">
        <v>1.8</v>
      </c>
      <c r="H100" s="27"/>
      <c r="I100" s="33">
        <v>499203.9</v>
      </c>
      <c r="J100" s="34">
        <v>6.17</v>
      </c>
      <c r="K100" s="35"/>
      <c r="L100" s="35"/>
      <c r="M100" s="34">
        <f>ROUND(ROUND(J100, 2)*I100, 2)</f>
        <v>3080088.06</v>
      </c>
      <c r="N100" s="35"/>
      <c r="O100" s="35"/>
      <c r="P100" s="34">
        <v>6.17</v>
      </c>
      <c r="Q100" s="35"/>
      <c r="R100" s="35"/>
      <c r="S100" s="34">
        <f>ROUND(ROUND(P100, 2)*I100, 2)</f>
        <v>3080088.06</v>
      </c>
      <c r="T100" s="35"/>
      <c r="U100" s="36"/>
      <c r="V100" s="9">
        <f>ROUND(ROUND(P100, 2)/1.2, 2)</f>
        <v>5.14</v>
      </c>
      <c r="Y100" s="9">
        <f t="shared" si="15"/>
        <v>2566740.0499999998</v>
      </c>
      <c r="AD100" s="4" t="s">
        <v>326</v>
      </c>
      <c r="AE100" s="4" t="s">
        <v>327</v>
      </c>
      <c r="AF100" s="4" t="s">
        <v>215</v>
      </c>
    </row>
    <row r="101" spans="1:35" ht="18" x14ac:dyDescent="0.3">
      <c r="A101" s="25" t="s">
        <v>328</v>
      </c>
      <c r="B101" s="25"/>
      <c r="C101" s="30" t="s">
        <v>115</v>
      </c>
      <c r="D101" s="27"/>
      <c r="E101" s="27"/>
      <c r="F101" s="31" t="s">
        <v>116</v>
      </c>
      <c r="G101" s="32">
        <v>8</v>
      </c>
      <c r="H101" s="27"/>
      <c r="I101" s="33">
        <v>34133.599999999999</v>
      </c>
      <c r="J101" s="34">
        <v>2.5</v>
      </c>
      <c r="K101" s="35"/>
      <c r="L101" s="35"/>
      <c r="M101" s="34">
        <f>ROUND(ROUND(J101, 2)*I101, 2)</f>
        <v>85334</v>
      </c>
      <c r="N101" s="35"/>
      <c r="O101" s="35"/>
      <c r="P101" s="34">
        <v>2.5</v>
      </c>
      <c r="Q101" s="35"/>
      <c r="R101" s="35"/>
      <c r="S101" s="34">
        <f>ROUND(ROUND(P101, 2)*I101, 2)</f>
        <v>85334</v>
      </c>
      <c r="T101" s="35"/>
      <c r="U101" s="36"/>
      <c r="V101" s="9">
        <f>ROUND(ROUND(P101, 2)/1.2, 2)</f>
        <v>2.08</v>
      </c>
      <c r="Y101" s="9">
        <f t="shared" si="15"/>
        <v>71111.67</v>
      </c>
      <c r="AD101" s="4" t="s">
        <v>329</v>
      </c>
      <c r="AE101" s="4" t="s">
        <v>330</v>
      </c>
      <c r="AF101" s="4" t="s">
        <v>119</v>
      </c>
    </row>
    <row r="102" spans="1:35" ht="17.100000000000001" customHeight="1" x14ac:dyDescent="0.3">
      <c r="A102" s="10" t="s">
        <v>331</v>
      </c>
      <c r="B102" s="10" t="s">
        <v>332</v>
      </c>
      <c r="C102" s="185" t="s">
        <v>333</v>
      </c>
      <c r="D102" s="186"/>
      <c r="E102" s="186"/>
      <c r="F102" s="186"/>
      <c r="G102" s="186"/>
      <c r="H102" s="186"/>
      <c r="I102" s="187"/>
      <c r="M102" s="6">
        <f>SUM(M103,M106,M109,M111,M113,M117)</f>
        <v>367766.24</v>
      </c>
      <c r="N102" s="6">
        <f>SUM(N103,N106,N109,N111,N113,N117)</f>
        <v>226361.93</v>
      </c>
      <c r="O102" s="6">
        <f>SUM(O103,O106,O109,O111,O113,O117)</f>
        <v>594128.17000000004</v>
      </c>
      <c r="S102" s="6">
        <f>SUM(S103,S106,S109,S111,S113,S117)</f>
        <v>367766.24</v>
      </c>
      <c r="T102" s="6">
        <f>SUM(T103,T106,T109,T111,T113,T117)</f>
        <v>226361.93</v>
      </c>
      <c r="U102" s="6">
        <f>SUM(U103,U106,U109,U111,U113,U117)</f>
        <v>594128.17000000004</v>
      </c>
      <c r="Y102" s="9">
        <f>SUM(Y103,Y106,Y109,Y111,Y113,Y117)</f>
        <v>306471.87</v>
      </c>
      <c r="Z102" s="9">
        <f>SUM(Z103,Z106,Z109,Z111,Z113,Z117)</f>
        <v>188634.95</v>
      </c>
      <c r="AA102" s="9">
        <f>SUM(AA103,AA106,AA109,AA111,AA113,AA117)</f>
        <v>495106.82</v>
      </c>
      <c r="AD102" s="4">
        <v>271132068</v>
      </c>
      <c r="AE102" s="4">
        <v>16194160</v>
      </c>
    </row>
    <row r="103" spans="1:35" ht="54" x14ac:dyDescent="0.3">
      <c r="A103" s="10" t="s">
        <v>334</v>
      </c>
      <c r="B103" s="10" t="s">
        <v>335</v>
      </c>
      <c r="C103" s="11" t="s">
        <v>336</v>
      </c>
      <c r="D103" s="12"/>
      <c r="E103" s="12" t="s">
        <v>63</v>
      </c>
      <c r="F103" s="12" t="s">
        <v>64</v>
      </c>
      <c r="G103" s="13">
        <v>1</v>
      </c>
      <c r="H103" s="12"/>
      <c r="I103" s="13">
        <v>236.7</v>
      </c>
      <c r="J103" s="14">
        <f>IFERROR(ROUND(SUM(M104,M105)/I103, 2),0)</f>
        <v>386.83</v>
      </c>
      <c r="K103" s="15">
        <v>324</v>
      </c>
      <c r="L103" s="14">
        <f>J103+ROUND(K103, 2)</f>
        <v>710.83</v>
      </c>
      <c r="M103" s="14">
        <f>ROUND(J103*I103, 2)</f>
        <v>91562.66</v>
      </c>
      <c r="N103" s="14">
        <f>ROUND(I103*ROUND(K103, 2), 2)</f>
        <v>76690.8</v>
      </c>
      <c r="O103" s="14">
        <f>M103+N103</f>
        <v>168253.46</v>
      </c>
      <c r="P103" s="14">
        <f>IFERROR(ROUND(SUM(S104,S105)/I103, 2),0)</f>
        <v>386.83</v>
      </c>
      <c r="Q103" s="16">
        <v>324</v>
      </c>
      <c r="R103" s="14">
        <f>P103+ROUND(Q103, 2)</f>
        <v>710.83</v>
      </c>
      <c r="S103" s="14">
        <f>ROUND(P103*I103, 2)</f>
        <v>91562.66</v>
      </c>
      <c r="T103" s="14">
        <f>ROUND(I103*ROUND(Q103, 2), 2)</f>
        <v>76690.8</v>
      </c>
      <c r="U103" s="14">
        <f>S103+T103</f>
        <v>168253.46</v>
      </c>
      <c r="V103" s="9">
        <f>ROUND(P103 / 1.2, 2)</f>
        <v>322.36</v>
      </c>
      <c r="W103" s="9">
        <f>ROUND(Q103 / 1.2, 2)</f>
        <v>270</v>
      </c>
      <c r="X103" s="9">
        <f>ROUND(R103 / 1.2, 2)</f>
        <v>592.36</v>
      </c>
      <c r="Y103" s="9">
        <f>ROUND(S103 / 1.2, 2)</f>
        <v>76302.22</v>
      </c>
      <c r="Z103" s="9">
        <f>ROUND(T103 / 1.2, 2)</f>
        <v>63909</v>
      </c>
      <c r="AA103" s="9">
        <f>Y103+Z103</f>
        <v>140211.22</v>
      </c>
      <c r="AD103" s="4">
        <v>271132070</v>
      </c>
      <c r="AE103" s="4">
        <v>16194157</v>
      </c>
      <c r="AG103" s="4" t="s">
        <v>337</v>
      </c>
      <c r="AH103" s="4" t="s">
        <v>338</v>
      </c>
      <c r="AI103" s="4" t="s">
        <v>67</v>
      </c>
    </row>
    <row r="104" spans="1:35" ht="18" x14ac:dyDescent="0.3">
      <c r="A104" s="10" t="s">
        <v>339</v>
      </c>
      <c r="B104" s="10"/>
      <c r="C104" s="24" t="s">
        <v>340</v>
      </c>
      <c r="D104" s="12"/>
      <c r="E104" s="12"/>
      <c r="F104" s="18" t="s">
        <v>70</v>
      </c>
      <c r="G104" s="19">
        <v>0.25</v>
      </c>
      <c r="H104" s="12"/>
      <c r="I104" s="19">
        <v>59.174999999999997</v>
      </c>
      <c r="J104" s="21">
        <v>210.3</v>
      </c>
      <c r="M104" s="22">
        <f>ROUND(ROUND(J104, 2)*I104, 2)</f>
        <v>12444.5</v>
      </c>
      <c r="P104" s="23">
        <v>210.3</v>
      </c>
      <c r="S104" s="22">
        <f>ROUND(ROUND(P104, 2)*I104, 2)</f>
        <v>12444.5</v>
      </c>
      <c r="V104" s="9">
        <f>ROUND(ROUND(P104, 2)/1.2, 2)</f>
        <v>175.25</v>
      </c>
      <c r="Y104" s="9">
        <f t="shared" ref="Y104:Y113" si="16">ROUND(S104 / 1.2, 2)</f>
        <v>10370.42</v>
      </c>
      <c r="AD104" s="4" t="s">
        <v>341</v>
      </c>
      <c r="AE104" s="4" t="s">
        <v>342</v>
      </c>
      <c r="AF104" s="4" t="s">
        <v>343</v>
      </c>
    </row>
    <row r="105" spans="1:35" ht="36" x14ac:dyDescent="0.3">
      <c r="A105" s="10" t="s">
        <v>344</v>
      </c>
      <c r="B105" s="10"/>
      <c r="C105" s="24" t="s">
        <v>345</v>
      </c>
      <c r="D105" s="12"/>
      <c r="E105" s="12"/>
      <c r="F105" s="18" t="s">
        <v>70</v>
      </c>
      <c r="G105" s="19">
        <v>2.5</v>
      </c>
      <c r="H105" s="12"/>
      <c r="I105" s="19">
        <v>591.75</v>
      </c>
      <c r="J105" s="21">
        <v>133.69999999999999</v>
      </c>
      <c r="M105" s="22">
        <f>ROUND(ROUND(J105, 2)*I105, 2)</f>
        <v>79116.98</v>
      </c>
      <c r="P105" s="23">
        <v>133.69999999999999</v>
      </c>
      <c r="S105" s="22">
        <f>ROUND(ROUND(P105, 2)*I105, 2)</f>
        <v>79116.98</v>
      </c>
      <c r="V105" s="9">
        <f>ROUND(ROUND(P105, 2)/1.2, 2)</f>
        <v>111.42</v>
      </c>
      <c r="Y105" s="9">
        <f t="shared" si="16"/>
        <v>65930.820000000007</v>
      </c>
      <c r="AD105" s="4" t="s">
        <v>346</v>
      </c>
      <c r="AE105" s="4" t="s">
        <v>347</v>
      </c>
      <c r="AF105" s="4" t="s">
        <v>348</v>
      </c>
    </row>
    <row r="106" spans="1:35" ht="54" x14ac:dyDescent="0.3">
      <c r="A106" s="25" t="s">
        <v>349</v>
      </c>
      <c r="B106" s="25" t="s">
        <v>335</v>
      </c>
      <c r="C106" s="26" t="s">
        <v>336</v>
      </c>
      <c r="D106" s="27"/>
      <c r="E106" s="27" t="s">
        <v>81</v>
      </c>
      <c r="F106" s="27" t="s">
        <v>64</v>
      </c>
      <c r="G106" s="28">
        <v>1</v>
      </c>
      <c r="H106" s="27"/>
      <c r="I106" s="28">
        <v>150.6</v>
      </c>
      <c r="J106" s="29">
        <f>IFERROR(ROUND(SUM(M107,M108)/I106, 2),0)</f>
        <v>406.08</v>
      </c>
      <c r="K106" s="29">
        <v>324</v>
      </c>
      <c r="L106" s="29">
        <f>J106+ROUND(K106, 2)</f>
        <v>730.08</v>
      </c>
      <c r="M106" s="29">
        <f>ROUND(J106*I106, 2)</f>
        <v>61155.65</v>
      </c>
      <c r="N106" s="29">
        <f>ROUND(I106*ROUND(K106, 2), 2)</f>
        <v>48794.400000000001</v>
      </c>
      <c r="O106" s="29">
        <f>M106+N106</f>
        <v>109950.05</v>
      </c>
      <c r="P106" s="29">
        <f>IFERROR(ROUND(SUM(S107,S108)/I106, 2),0)</f>
        <v>406.08</v>
      </c>
      <c r="Q106" s="29">
        <v>324</v>
      </c>
      <c r="R106" s="29">
        <f>P106+ROUND(Q106, 2)</f>
        <v>730.08</v>
      </c>
      <c r="S106" s="29">
        <f>ROUND(P106*I106, 2)</f>
        <v>61155.65</v>
      </c>
      <c r="T106" s="29">
        <f>ROUND(I106*ROUND(Q106, 2), 2)</f>
        <v>48794.400000000001</v>
      </c>
      <c r="U106" s="29">
        <f>S106+T106</f>
        <v>109950.05</v>
      </c>
      <c r="V106" s="9">
        <f>ROUND(P106 / 1.2, 2)</f>
        <v>338.4</v>
      </c>
      <c r="W106" s="9">
        <f>ROUND(Q106 / 1.2, 2)</f>
        <v>270</v>
      </c>
      <c r="X106" s="9">
        <f>ROUND(R106 / 1.2, 2)</f>
        <v>608.4</v>
      </c>
      <c r="Y106" s="9">
        <f t="shared" si="16"/>
        <v>50963.040000000001</v>
      </c>
      <c r="Z106" s="9">
        <f>ROUND(T106 / 1.2, 2)</f>
        <v>40662</v>
      </c>
      <c r="AA106" s="9">
        <f>Y106+Z106</f>
        <v>91625.04</v>
      </c>
      <c r="AD106" s="4">
        <v>271132167</v>
      </c>
      <c r="AE106" s="4">
        <v>19811382</v>
      </c>
      <c r="AG106" s="4" t="s">
        <v>337</v>
      </c>
      <c r="AH106" s="4" t="s">
        <v>338</v>
      </c>
      <c r="AI106" s="4" t="s">
        <v>67</v>
      </c>
    </row>
    <row r="107" spans="1:35" ht="36" x14ac:dyDescent="0.3">
      <c r="A107" s="25" t="s">
        <v>350</v>
      </c>
      <c r="B107" s="25"/>
      <c r="C107" s="30" t="s">
        <v>345</v>
      </c>
      <c r="D107" s="27"/>
      <c r="E107" s="27"/>
      <c r="F107" s="31" t="s">
        <v>70</v>
      </c>
      <c r="G107" s="32">
        <v>2.5</v>
      </c>
      <c r="H107" s="27"/>
      <c r="I107" s="32">
        <v>376.5</v>
      </c>
      <c r="J107" s="34">
        <v>141.4</v>
      </c>
      <c r="K107" s="35"/>
      <c r="L107" s="35"/>
      <c r="M107" s="34">
        <f>ROUND(ROUND(J107, 2)*I107, 2)</f>
        <v>53237.1</v>
      </c>
      <c r="N107" s="35"/>
      <c r="O107" s="35"/>
      <c r="P107" s="34">
        <v>141.4</v>
      </c>
      <c r="Q107" s="35"/>
      <c r="R107" s="35"/>
      <c r="S107" s="34">
        <f>ROUND(ROUND(P107, 2)*I107, 2)</f>
        <v>53237.1</v>
      </c>
      <c r="T107" s="35"/>
      <c r="U107" s="36"/>
      <c r="V107" s="9">
        <f>ROUND(ROUND(P107, 2)/1.2, 2)</f>
        <v>117.83</v>
      </c>
      <c r="Y107" s="9">
        <f t="shared" si="16"/>
        <v>44364.25</v>
      </c>
      <c r="AD107" s="4" t="s">
        <v>351</v>
      </c>
      <c r="AE107" s="4" t="s">
        <v>352</v>
      </c>
      <c r="AF107" s="4" t="s">
        <v>348</v>
      </c>
    </row>
    <row r="108" spans="1:35" ht="18" x14ac:dyDescent="0.3">
      <c r="A108" s="25" t="s">
        <v>353</v>
      </c>
      <c r="B108" s="25"/>
      <c r="C108" s="30" t="s">
        <v>340</v>
      </c>
      <c r="D108" s="27"/>
      <c r="E108" s="27"/>
      <c r="F108" s="31" t="s">
        <v>70</v>
      </c>
      <c r="G108" s="32">
        <v>0.25</v>
      </c>
      <c r="H108" s="27"/>
      <c r="I108" s="32">
        <v>37.65</v>
      </c>
      <c r="J108" s="34">
        <v>210.3</v>
      </c>
      <c r="K108" s="35"/>
      <c r="L108" s="35"/>
      <c r="M108" s="34">
        <f>ROUND(ROUND(J108, 2)*I108, 2)</f>
        <v>7917.8</v>
      </c>
      <c r="N108" s="35"/>
      <c r="O108" s="35"/>
      <c r="P108" s="34">
        <v>210.3</v>
      </c>
      <c r="Q108" s="35"/>
      <c r="R108" s="35"/>
      <c r="S108" s="34">
        <f>ROUND(ROUND(P108, 2)*I108, 2)</f>
        <v>7917.8</v>
      </c>
      <c r="T108" s="35"/>
      <c r="U108" s="36"/>
      <c r="V108" s="9">
        <f>ROUND(ROUND(P108, 2)/1.2, 2)</f>
        <v>175.25</v>
      </c>
      <c r="Y108" s="9">
        <f t="shared" si="16"/>
        <v>6598.17</v>
      </c>
      <c r="AD108" s="4" t="s">
        <v>354</v>
      </c>
      <c r="AE108" s="4" t="s">
        <v>355</v>
      </c>
      <c r="AF108" s="4" t="s">
        <v>343</v>
      </c>
    </row>
    <row r="109" spans="1:35" ht="36" x14ac:dyDescent="0.3">
      <c r="A109" s="10" t="s">
        <v>356</v>
      </c>
      <c r="B109" s="10" t="s">
        <v>357</v>
      </c>
      <c r="C109" s="11" t="s">
        <v>358</v>
      </c>
      <c r="D109" s="12"/>
      <c r="E109" s="12" t="s">
        <v>63</v>
      </c>
      <c r="F109" s="12" t="s">
        <v>64</v>
      </c>
      <c r="G109" s="13">
        <v>1</v>
      </c>
      <c r="H109" s="12"/>
      <c r="I109" s="13">
        <v>631.29999999999995</v>
      </c>
      <c r="J109" s="14">
        <f>IFERROR(ROUND(SUM(M110)/I109, 2),0)</f>
        <v>173.66</v>
      </c>
      <c r="K109" s="15">
        <v>56</v>
      </c>
      <c r="L109" s="14">
        <f>J109+ROUND(K109, 2)</f>
        <v>229.66</v>
      </c>
      <c r="M109" s="14">
        <f>ROUND(J109*I109, 2)</f>
        <v>109631.56</v>
      </c>
      <c r="N109" s="14">
        <f>ROUND(I109*ROUND(K109, 2), 2)</f>
        <v>35352.800000000003</v>
      </c>
      <c r="O109" s="14">
        <f>M109+N109</f>
        <v>144984.35999999999</v>
      </c>
      <c r="P109" s="14">
        <f>IFERROR(ROUND(SUM(S110)/I109, 2),0)</f>
        <v>173.66</v>
      </c>
      <c r="Q109" s="16">
        <v>56</v>
      </c>
      <c r="R109" s="14">
        <f>P109+ROUND(Q109, 2)</f>
        <v>229.66</v>
      </c>
      <c r="S109" s="14">
        <f>ROUND(P109*I109, 2)</f>
        <v>109631.56</v>
      </c>
      <c r="T109" s="14">
        <f>ROUND(I109*ROUND(Q109, 2), 2)</f>
        <v>35352.800000000003</v>
      </c>
      <c r="U109" s="14">
        <f>S109+T109</f>
        <v>144984.35999999999</v>
      </c>
      <c r="V109" s="9">
        <f>ROUND(P109 / 1.2, 2)</f>
        <v>144.72</v>
      </c>
      <c r="W109" s="9">
        <f>ROUND(Q109 / 1.2, 2)</f>
        <v>46.67</v>
      </c>
      <c r="X109" s="9">
        <f>ROUND(R109 / 1.2, 2)</f>
        <v>191.38</v>
      </c>
      <c r="Y109" s="9">
        <f t="shared" si="16"/>
        <v>91359.63</v>
      </c>
      <c r="Z109" s="9">
        <f>ROUND(T109 / 1.2, 2)</f>
        <v>29460.67</v>
      </c>
      <c r="AA109" s="9">
        <f>Y109+Z109</f>
        <v>120820.3</v>
      </c>
      <c r="AD109" s="4">
        <v>271132072</v>
      </c>
      <c r="AE109" s="4">
        <v>16676511</v>
      </c>
      <c r="AG109" s="4" t="s">
        <v>359</v>
      </c>
      <c r="AH109" s="4" t="s">
        <v>360</v>
      </c>
      <c r="AI109" s="4" t="s">
        <v>67</v>
      </c>
    </row>
    <row r="110" spans="1:35" ht="18" x14ac:dyDescent="0.3">
      <c r="A110" s="10" t="s">
        <v>361</v>
      </c>
      <c r="B110" s="10"/>
      <c r="C110" s="24" t="s">
        <v>362</v>
      </c>
      <c r="D110" s="12"/>
      <c r="E110" s="12" t="s">
        <v>363</v>
      </c>
      <c r="F110" s="18" t="s">
        <v>64</v>
      </c>
      <c r="G110" s="19">
        <v>1.03</v>
      </c>
      <c r="H110" s="12"/>
      <c r="I110" s="19">
        <v>650.23900000000003</v>
      </c>
      <c r="J110" s="21">
        <v>168.6</v>
      </c>
      <c r="M110" s="22">
        <f>ROUND(ROUND(J110, 2)*I110, 2)</f>
        <v>109630.3</v>
      </c>
      <c r="P110" s="23">
        <v>168.6</v>
      </c>
      <c r="S110" s="22">
        <f>ROUND(ROUND(P110, 2)*I110, 2)</f>
        <v>109630.3</v>
      </c>
      <c r="V110" s="9">
        <f>ROUND(ROUND(P110, 2)/1.2, 2)</f>
        <v>140.5</v>
      </c>
      <c r="Y110" s="9">
        <f t="shared" si="16"/>
        <v>91358.58</v>
      </c>
      <c r="AD110" s="4" t="s">
        <v>364</v>
      </c>
      <c r="AE110" s="4" t="s">
        <v>365</v>
      </c>
      <c r="AF110" s="4" t="s">
        <v>366</v>
      </c>
    </row>
    <row r="111" spans="1:35" ht="36" x14ac:dyDescent="0.3">
      <c r="A111" s="25" t="s">
        <v>367</v>
      </c>
      <c r="B111" s="25" t="s">
        <v>357</v>
      </c>
      <c r="C111" s="26" t="s">
        <v>358</v>
      </c>
      <c r="D111" s="27"/>
      <c r="E111" s="27" t="s">
        <v>81</v>
      </c>
      <c r="F111" s="27" t="s">
        <v>64</v>
      </c>
      <c r="G111" s="28">
        <v>1</v>
      </c>
      <c r="H111" s="27"/>
      <c r="I111" s="28">
        <v>248.8</v>
      </c>
      <c r="J111" s="29">
        <f>IFERROR(ROUND(SUM(M112)/I111, 2),0)</f>
        <v>173.66</v>
      </c>
      <c r="K111" s="29">
        <v>56</v>
      </c>
      <c r="L111" s="29">
        <f>J111+ROUND(K111, 2)</f>
        <v>229.66</v>
      </c>
      <c r="M111" s="29">
        <f>ROUND(J111*I111, 2)</f>
        <v>43206.61</v>
      </c>
      <c r="N111" s="29">
        <f>ROUND(I111*ROUND(K111, 2), 2)</f>
        <v>13932.8</v>
      </c>
      <c r="O111" s="29">
        <f>M111+N111</f>
        <v>57139.41</v>
      </c>
      <c r="P111" s="29">
        <f>IFERROR(ROUND(SUM(S112)/I111, 2),0)</f>
        <v>173.66</v>
      </c>
      <c r="Q111" s="29">
        <v>56</v>
      </c>
      <c r="R111" s="29">
        <f>P111+ROUND(Q111, 2)</f>
        <v>229.66</v>
      </c>
      <c r="S111" s="29">
        <f>ROUND(P111*I111, 2)</f>
        <v>43206.61</v>
      </c>
      <c r="T111" s="29">
        <f>ROUND(I111*ROUND(Q111, 2), 2)</f>
        <v>13932.8</v>
      </c>
      <c r="U111" s="29">
        <f>S111+T111</f>
        <v>57139.41</v>
      </c>
      <c r="V111" s="9">
        <f>ROUND(P111 / 1.2, 2)</f>
        <v>144.72</v>
      </c>
      <c r="W111" s="9">
        <f>ROUND(Q111 / 1.2, 2)</f>
        <v>46.67</v>
      </c>
      <c r="X111" s="9">
        <f>ROUND(R111 / 1.2, 2)</f>
        <v>191.38</v>
      </c>
      <c r="Y111" s="9">
        <f t="shared" si="16"/>
        <v>36005.51</v>
      </c>
      <c r="Z111" s="9">
        <f>ROUND(T111 / 1.2, 2)</f>
        <v>11610.67</v>
      </c>
      <c r="AA111" s="9">
        <f>Y111+Z111</f>
        <v>47616.18</v>
      </c>
      <c r="AD111" s="4">
        <v>271132168</v>
      </c>
      <c r="AE111" s="4">
        <v>19811550</v>
      </c>
      <c r="AG111" s="4" t="s">
        <v>359</v>
      </c>
      <c r="AH111" s="4" t="s">
        <v>360</v>
      </c>
      <c r="AI111" s="4" t="s">
        <v>67</v>
      </c>
    </row>
    <row r="112" spans="1:35" ht="18" x14ac:dyDescent="0.3">
      <c r="A112" s="25" t="s">
        <v>368</v>
      </c>
      <c r="B112" s="25"/>
      <c r="C112" s="30" t="s">
        <v>362</v>
      </c>
      <c r="D112" s="27"/>
      <c r="E112" s="27" t="s">
        <v>369</v>
      </c>
      <c r="F112" s="31" t="s">
        <v>64</v>
      </c>
      <c r="G112" s="32">
        <v>1.03</v>
      </c>
      <c r="H112" s="27"/>
      <c r="I112" s="32">
        <v>256.26400000000001</v>
      </c>
      <c r="J112" s="34">
        <v>168.6</v>
      </c>
      <c r="K112" s="35"/>
      <c r="L112" s="35"/>
      <c r="M112" s="34">
        <f>ROUND(ROUND(J112, 2)*I112, 2)</f>
        <v>43206.11</v>
      </c>
      <c r="N112" s="35"/>
      <c r="O112" s="35"/>
      <c r="P112" s="34">
        <v>168.6</v>
      </c>
      <c r="Q112" s="35"/>
      <c r="R112" s="35"/>
      <c r="S112" s="34">
        <f>ROUND(ROUND(P112, 2)*I112, 2)</f>
        <v>43206.11</v>
      </c>
      <c r="T112" s="35"/>
      <c r="U112" s="36"/>
      <c r="V112" s="9">
        <f>ROUND(ROUND(P112, 2)/1.2, 2)</f>
        <v>140.5</v>
      </c>
      <c r="Y112" s="9">
        <f t="shared" si="16"/>
        <v>36005.089999999997</v>
      </c>
      <c r="AD112" s="4" t="s">
        <v>370</v>
      </c>
      <c r="AE112" s="4" t="s">
        <v>371</v>
      </c>
      <c r="AF112" s="4" t="s">
        <v>366</v>
      </c>
    </row>
    <row r="113" spans="1:35" ht="18" x14ac:dyDescent="0.3">
      <c r="A113" s="37" t="s">
        <v>372</v>
      </c>
      <c r="B113" s="37" t="s">
        <v>373</v>
      </c>
      <c r="C113" s="38" t="s">
        <v>374</v>
      </c>
      <c r="D113" s="39"/>
      <c r="E113" s="39" t="s">
        <v>63</v>
      </c>
      <c r="F113" s="39" t="s">
        <v>98</v>
      </c>
      <c r="G113" s="40">
        <v>1</v>
      </c>
      <c r="H113" s="39"/>
      <c r="I113" s="41">
        <v>0</v>
      </c>
      <c r="J113" s="42">
        <f>IFERROR(ROUND(SUM(M115)/I113, 2),0)</f>
        <v>0</v>
      </c>
      <c r="K113" s="42">
        <v>2157</v>
      </c>
      <c r="L113" s="42">
        <f>J113+ROUND(K113, 2)</f>
        <v>2157</v>
      </c>
      <c r="M113" s="42">
        <f>ROUND(J113*I113, 2)</f>
        <v>0</v>
      </c>
      <c r="N113" s="42">
        <f>ROUND(I113*ROUND(K113, 2), 2)</f>
        <v>0</v>
      </c>
      <c r="O113" s="42">
        <f>M113+N113</f>
        <v>0</v>
      </c>
      <c r="P113" s="42">
        <f>IFERROR(ROUND(SUM(S115)/I113, 2),0)</f>
        <v>0</v>
      </c>
      <c r="Q113" s="42">
        <v>2157</v>
      </c>
      <c r="R113" s="42">
        <f>P113+ROUND(Q113, 2)</f>
        <v>2157</v>
      </c>
      <c r="S113" s="42">
        <f>ROUND(P113*I113, 2)</f>
        <v>0</v>
      </c>
      <c r="T113" s="42">
        <f>ROUND(I113*ROUND(Q113, 2), 2)</f>
        <v>0</v>
      </c>
      <c r="U113" s="42">
        <f>S113+T113</f>
        <v>0</v>
      </c>
      <c r="V113" s="9">
        <f>ROUND(P113 / 1.2, 2)</f>
        <v>0</v>
      </c>
      <c r="W113" s="9">
        <f>ROUND(Q113 / 1.2, 2)</f>
        <v>1797.5</v>
      </c>
      <c r="X113" s="9">
        <f>ROUND(R113 / 1.2, 2)</f>
        <v>1797.5</v>
      </c>
      <c r="Y113" s="9">
        <f t="shared" si="16"/>
        <v>0</v>
      </c>
      <c r="Z113" s="9">
        <f>ROUND(T113 / 1.2, 2)</f>
        <v>0</v>
      </c>
      <c r="AA113" s="9">
        <f>Y113+Z113</f>
        <v>0</v>
      </c>
      <c r="AD113" s="4">
        <v>271132074</v>
      </c>
      <c r="AE113" s="4">
        <v>16675472</v>
      </c>
      <c r="AG113" s="4" t="s">
        <v>375</v>
      </c>
      <c r="AH113" s="4" t="s">
        <v>376</v>
      </c>
      <c r="AI113" s="4" t="s">
        <v>67</v>
      </c>
    </row>
    <row r="114" spans="1:35" ht="18" x14ac:dyDescent="0.3">
      <c r="A114" s="43" t="s">
        <v>377</v>
      </c>
      <c r="B114" s="43" t="s">
        <v>373</v>
      </c>
      <c r="C114" s="44" t="s">
        <v>374</v>
      </c>
      <c r="D114" s="45"/>
      <c r="E114" s="45"/>
      <c r="F114" s="45" t="s">
        <v>98</v>
      </c>
      <c r="G114" s="46">
        <v>1</v>
      </c>
      <c r="H114" s="45"/>
      <c r="I114" s="46">
        <v>22.42</v>
      </c>
      <c r="J114" s="47">
        <v>0</v>
      </c>
      <c r="K114" s="47">
        <v>2157</v>
      </c>
      <c r="L114" s="47"/>
      <c r="M114" s="47">
        <v>0</v>
      </c>
      <c r="N114" s="47"/>
      <c r="O114" s="47"/>
      <c r="P114" s="47">
        <v>0</v>
      </c>
      <c r="Q114" s="47">
        <v>2157</v>
      </c>
      <c r="R114" s="47"/>
      <c r="S114" s="47">
        <v>0</v>
      </c>
      <c r="T114" s="47"/>
      <c r="U114" s="47"/>
      <c r="V114" s="9"/>
      <c r="W114" s="9">
        <f>ROUND(Q114 / 1.2, 2)</f>
        <v>1797.5</v>
      </c>
      <c r="X114" s="9" t="e">
        <f>ROUND(R114 / 1.2, 2)</f>
        <v>#VALUE!</v>
      </c>
      <c r="Y114" s="9"/>
      <c r="Z114" s="9" t="e">
        <f>ROUND(T114 / 1.2, 2)</f>
        <v>#VALUE!</v>
      </c>
      <c r="AA114" s="9"/>
      <c r="AD114" s="4">
        <v>213439833</v>
      </c>
      <c r="AE114" s="4">
        <v>16675472</v>
      </c>
      <c r="AG114" s="4" t="s">
        <v>375</v>
      </c>
      <c r="AH114" s="4" t="s">
        <v>376</v>
      </c>
      <c r="AI114" s="4"/>
    </row>
    <row r="115" spans="1:35" ht="18" x14ac:dyDescent="0.3">
      <c r="A115" s="37" t="s">
        <v>378</v>
      </c>
      <c r="B115" s="37"/>
      <c r="C115" s="48" t="s">
        <v>379</v>
      </c>
      <c r="D115" s="39"/>
      <c r="E115" s="39"/>
      <c r="F115" s="49" t="s">
        <v>98</v>
      </c>
      <c r="G115" s="50">
        <v>1.02</v>
      </c>
      <c r="H115" s="39"/>
      <c r="I115" s="62">
        <v>0</v>
      </c>
      <c r="J115" s="52">
        <v>2550</v>
      </c>
      <c r="K115" s="53"/>
      <c r="L115" s="53"/>
      <c r="M115" s="52">
        <f>ROUND(ROUND(J115, 2)*I115, 2)</f>
        <v>0</v>
      </c>
      <c r="N115" s="53"/>
      <c r="O115" s="53"/>
      <c r="P115" s="52">
        <v>2550</v>
      </c>
      <c r="Q115" s="53"/>
      <c r="R115" s="53"/>
      <c r="S115" s="52">
        <f>ROUND(ROUND(P115, 2)*I115, 2)</f>
        <v>0</v>
      </c>
      <c r="T115" s="53"/>
      <c r="U115" s="54"/>
      <c r="V115" s="9">
        <f>ROUND(ROUND(P115, 2)/1.2, 2)</f>
        <v>2125</v>
      </c>
      <c r="Y115" s="9">
        <f>ROUND(S115 / 1.2, 2)</f>
        <v>0</v>
      </c>
      <c r="AD115" s="4" t="s">
        <v>380</v>
      </c>
      <c r="AE115" s="4" t="s">
        <v>381</v>
      </c>
      <c r="AF115" s="4" t="s">
        <v>382</v>
      </c>
    </row>
    <row r="116" spans="1:35" ht="18" x14ac:dyDescent="0.3">
      <c r="A116" s="43" t="s">
        <v>383</v>
      </c>
      <c r="B116" s="43"/>
      <c r="C116" s="55" t="s">
        <v>379</v>
      </c>
      <c r="D116" s="45"/>
      <c r="E116" s="45"/>
      <c r="F116" s="56" t="s">
        <v>98</v>
      </c>
      <c r="G116" s="57">
        <v>1.02</v>
      </c>
      <c r="H116" s="45"/>
      <c r="I116" s="57">
        <v>22.867999999999999</v>
      </c>
      <c r="J116" s="59">
        <v>2550</v>
      </c>
      <c r="K116" s="60"/>
      <c r="L116" s="60"/>
      <c r="M116" s="59">
        <f>ROUND(ROUND(J116, 2)*I116, 2)</f>
        <v>58313.4</v>
      </c>
      <c r="N116" s="60"/>
      <c r="O116" s="60"/>
      <c r="P116" s="59">
        <v>2550</v>
      </c>
      <c r="Q116" s="60"/>
      <c r="R116" s="60"/>
      <c r="S116" s="59">
        <f>ROUND(ROUND(P116, 2)*I116, 2)</f>
        <v>58313.4</v>
      </c>
      <c r="T116" s="60"/>
      <c r="U116" s="61"/>
      <c r="V116" s="9">
        <f>ROUND(ROUND(P116, 2)/1.2, 2)</f>
        <v>2125</v>
      </c>
      <c r="Y116" s="9">
        <f>ROUND(S116 / 1.2, 2)</f>
        <v>48594.5</v>
      </c>
      <c r="AD116" s="4" t="s">
        <v>384</v>
      </c>
      <c r="AE116" s="4" t="s">
        <v>381</v>
      </c>
      <c r="AF116" s="4" t="s">
        <v>382</v>
      </c>
    </row>
    <row r="117" spans="1:35" ht="36" x14ac:dyDescent="0.3">
      <c r="A117" s="25" t="s">
        <v>385</v>
      </c>
      <c r="B117" s="25" t="s">
        <v>373</v>
      </c>
      <c r="C117" s="26" t="s">
        <v>374</v>
      </c>
      <c r="D117" s="27"/>
      <c r="E117" s="27" t="s">
        <v>386</v>
      </c>
      <c r="F117" s="27" t="s">
        <v>98</v>
      </c>
      <c r="G117" s="28">
        <v>1</v>
      </c>
      <c r="H117" s="27"/>
      <c r="I117" s="28">
        <v>23.917999999999999</v>
      </c>
      <c r="J117" s="29">
        <f>IFERROR(ROUND(SUM(M118)/I117, 2),0)</f>
        <v>2600.96</v>
      </c>
      <c r="K117" s="29">
        <v>2157</v>
      </c>
      <c r="L117" s="29">
        <f>J117+ROUND(K117, 2)</f>
        <v>4757.96</v>
      </c>
      <c r="M117" s="29">
        <f>ROUND(J117*I117, 2)</f>
        <v>62209.760000000002</v>
      </c>
      <c r="N117" s="29">
        <f>ROUND(I117*ROUND(K117, 2), 2)</f>
        <v>51591.13</v>
      </c>
      <c r="O117" s="29">
        <f>M117+N117</f>
        <v>113800.89</v>
      </c>
      <c r="P117" s="29">
        <f>IFERROR(ROUND(SUM(S118)/I117, 2),0)</f>
        <v>2600.96</v>
      </c>
      <c r="Q117" s="29">
        <v>2157</v>
      </c>
      <c r="R117" s="29">
        <f>P117+ROUND(Q117, 2)</f>
        <v>4757.96</v>
      </c>
      <c r="S117" s="29">
        <f>ROUND(P117*I117, 2)</f>
        <v>62209.760000000002</v>
      </c>
      <c r="T117" s="29">
        <f>ROUND(I117*ROUND(Q117, 2), 2)</f>
        <v>51591.13</v>
      </c>
      <c r="U117" s="29">
        <f>S117+T117</f>
        <v>113800.89</v>
      </c>
      <c r="V117" s="9">
        <f>ROUND(P117 / 1.2, 2)</f>
        <v>2167.4699999999998</v>
      </c>
      <c r="W117" s="9">
        <f>ROUND(Q117 / 1.2, 2)</f>
        <v>1797.5</v>
      </c>
      <c r="X117" s="9">
        <f>ROUND(R117 / 1.2, 2)</f>
        <v>3964.97</v>
      </c>
      <c r="Y117" s="9">
        <f>ROUND(S117 / 1.2, 2)</f>
        <v>51841.47</v>
      </c>
      <c r="Z117" s="9">
        <f>ROUND(T117 / 1.2, 2)</f>
        <v>42992.61</v>
      </c>
      <c r="AA117" s="9">
        <f>Y117+Z117</f>
        <v>94834.08</v>
      </c>
      <c r="AD117" s="4">
        <v>271132169</v>
      </c>
      <c r="AE117" s="4">
        <v>19811691</v>
      </c>
      <c r="AG117" s="4" t="s">
        <v>375</v>
      </c>
      <c r="AH117" s="4" t="s">
        <v>376</v>
      </c>
      <c r="AI117" s="4" t="s">
        <v>67</v>
      </c>
    </row>
    <row r="118" spans="1:35" ht="18" x14ac:dyDescent="0.3">
      <c r="A118" s="25" t="s">
        <v>387</v>
      </c>
      <c r="B118" s="25"/>
      <c r="C118" s="30" t="s">
        <v>379</v>
      </c>
      <c r="D118" s="27"/>
      <c r="E118" s="27"/>
      <c r="F118" s="31" t="s">
        <v>98</v>
      </c>
      <c r="G118" s="32">
        <v>1.02</v>
      </c>
      <c r="H118" s="27"/>
      <c r="I118" s="32">
        <v>24.396000000000001</v>
      </c>
      <c r="J118" s="34">
        <v>2550</v>
      </c>
      <c r="K118" s="35"/>
      <c r="L118" s="35"/>
      <c r="M118" s="34">
        <f>ROUND(ROUND(J118, 2)*I118, 2)</f>
        <v>62209.8</v>
      </c>
      <c r="N118" s="35"/>
      <c r="O118" s="35"/>
      <c r="P118" s="34">
        <v>2550</v>
      </c>
      <c r="Q118" s="35"/>
      <c r="R118" s="35"/>
      <c r="S118" s="34">
        <f>ROUND(ROUND(P118, 2)*I118, 2)</f>
        <v>62209.8</v>
      </c>
      <c r="T118" s="35"/>
      <c r="U118" s="36"/>
      <c r="V118" s="9">
        <f>ROUND(ROUND(P118, 2)/1.2, 2)</f>
        <v>2125</v>
      </c>
      <c r="Y118" s="9">
        <f>ROUND(S118 / 1.2, 2)</f>
        <v>51841.5</v>
      </c>
      <c r="AD118" s="4" t="s">
        <v>388</v>
      </c>
      <c r="AE118" s="4" t="s">
        <v>389</v>
      </c>
      <c r="AF118" s="4" t="s">
        <v>382</v>
      </c>
    </row>
    <row r="119" spans="1:35" ht="17.100000000000001" customHeight="1" x14ac:dyDescent="0.3">
      <c r="A119" s="10" t="s">
        <v>390</v>
      </c>
      <c r="B119" s="10" t="s">
        <v>391</v>
      </c>
      <c r="C119" s="185" t="s">
        <v>392</v>
      </c>
      <c r="D119" s="186"/>
      <c r="E119" s="186"/>
      <c r="F119" s="186"/>
      <c r="G119" s="186"/>
      <c r="H119" s="186"/>
      <c r="I119" s="187"/>
      <c r="M119" s="6">
        <f>SUM(M120,M132,M137,M143,M147,M155,M161,M167,M170,M172,M174,M179,M184,M189,M194,M199,M204)</f>
        <v>4379362.95</v>
      </c>
      <c r="N119" s="6">
        <f>SUM(N120,N132,N137,N143,N147,N155,N161,N167,N170,N172,N174,N179,N184,N189,N194,N199,N204)</f>
        <v>8459471.1199999992</v>
      </c>
      <c r="O119" s="6">
        <f>SUM(O120,O132,O137,O143,O147,O155,O161,O167,O170,O172,O174,O179,O184,O189,O194,O199,O204)</f>
        <v>12838834.07</v>
      </c>
      <c r="S119" s="6">
        <f>SUM(S120,S132,S137,S143,S147,S155,S161,S167,S170,S172,S174,S179,S184,S189,S194,S199,S204)</f>
        <v>12062112.99</v>
      </c>
      <c r="T119" s="6">
        <f>SUM(T120,T132,T137,T143,T147,T155,T161,T167,T170,T172,T174,T179,T184,T189,T194,T199,T204)</f>
        <v>8459471.1199999992</v>
      </c>
      <c r="U119" s="6">
        <f>SUM(U120,U132,U137,U143,U147,U155,U161,U167,U170,U172,U174,U179,U184,U189,U194,U199,U204)</f>
        <v>20521584.109999999</v>
      </c>
      <c r="Y119" s="9">
        <f>SUM(Y120,Y132,Y137,Y143,Y147,Y155,Y161,Y167,Y170,Y172,Y174,Y179,Y184,Y189,Y194,Y199,Y204)</f>
        <v>10051760.84</v>
      </c>
      <c r="Z119" s="9">
        <f>SUM(Z120,Z132,Z137,Z143,Z147,Z155,Z161,Z167,Z170,Z172,Z174,Z179,Z184,Z189,Z194,Z199,Z204)</f>
        <v>7049559.2599999998</v>
      </c>
      <c r="AA119" s="9">
        <f>SUM(AA120,AA132,AA137,AA143,AA147,AA155,AA161,AA167,AA170,AA172,AA174,AA179,AA184,AA189,AA194,AA199,AA204)</f>
        <v>17101320.100000001</v>
      </c>
      <c r="AD119" s="4">
        <v>271132075</v>
      </c>
      <c r="AE119" s="4">
        <v>16194150</v>
      </c>
    </row>
    <row r="120" spans="1:35" ht="54" x14ac:dyDescent="0.3">
      <c r="A120" s="37" t="s">
        <v>393</v>
      </c>
      <c r="B120" s="37" t="s">
        <v>394</v>
      </c>
      <c r="C120" s="38" t="s">
        <v>395</v>
      </c>
      <c r="D120" s="39"/>
      <c r="E120" s="39" t="s">
        <v>396</v>
      </c>
      <c r="F120" s="39" t="s">
        <v>64</v>
      </c>
      <c r="G120" s="40">
        <v>1</v>
      </c>
      <c r="H120" s="39"/>
      <c r="I120" s="41">
        <v>0</v>
      </c>
      <c r="J120" s="42">
        <f>IFERROR(ROUND(SUM(M122,M124,M126,M128,M130)/I120, 2),0)</f>
        <v>0</v>
      </c>
      <c r="K120" s="42">
        <v>1251</v>
      </c>
      <c r="L120" s="42">
        <f>J120+ROUND(K120, 2)</f>
        <v>1251</v>
      </c>
      <c r="M120" s="42">
        <f>ROUND(J120*I120, 2)</f>
        <v>0</v>
      </c>
      <c r="N120" s="42">
        <f>ROUND(I120*ROUND(K120, 2), 2)</f>
        <v>0</v>
      </c>
      <c r="O120" s="42">
        <f>M120+N120</f>
        <v>0</v>
      </c>
      <c r="P120" s="42">
        <f>IFERROR(ROUND(SUM(S122,S124,S126,S128,S130)/I120, 2),0)</f>
        <v>0</v>
      </c>
      <c r="Q120" s="42">
        <v>1251</v>
      </c>
      <c r="R120" s="42">
        <f>P120+ROUND(Q120, 2)</f>
        <v>1251</v>
      </c>
      <c r="S120" s="42">
        <f>ROUND(P120*I120, 2)</f>
        <v>0</v>
      </c>
      <c r="T120" s="42">
        <f>ROUND(I120*ROUND(Q120, 2), 2)</f>
        <v>0</v>
      </c>
      <c r="U120" s="42">
        <f>S120+T120</f>
        <v>0</v>
      </c>
      <c r="V120" s="9">
        <f>ROUND(P120 / 1.2, 2)</f>
        <v>0</v>
      </c>
      <c r="W120" s="9">
        <f>ROUND(Q120 / 1.2, 2)</f>
        <v>1042.5</v>
      </c>
      <c r="X120" s="9">
        <f>ROUND(R120 / 1.2, 2)</f>
        <v>1042.5</v>
      </c>
      <c r="Y120" s="9">
        <f>ROUND(S120 / 1.2, 2)</f>
        <v>0</v>
      </c>
      <c r="Z120" s="9">
        <f>ROUND(T120 / 1.2, 2)</f>
        <v>0</v>
      </c>
      <c r="AA120" s="9">
        <f>Y120+Z120</f>
        <v>0</v>
      </c>
      <c r="AD120" s="4">
        <v>271132077</v>
      </c>
      <c r="AE120" s="4">
        <v>16194165</v>
      </c>
      <c r="AG120" s="4" t="s">
        <v>397</v>
      </c>
      <c r="AH120" s="4" t="s">
        <v>398</v>
      </c>
      <c r="AI120" s="4" t="s">
        <v>67</v>
      </c>
    </row>
    <row r="121" spans="1:35" ht="54" x14ac:dyDescent="0.3">
      <c r="A121" s="43" t="s">
        <v>399</v>
      </c>
      <c r="B121" s="43" t="s">
        <v>394</v>
      </c>
      <c r="C121" s="44" t="s">
        <v>395</v>
      </c>
      <c r="D121" s="45"/>
      <c r="E121" s="45"/>
      <c r="F121" s="45" t="s">
        <v>64</v>
      </c>
      <c r="G121" s="46">
        <v>1</v>
      </c>
      <c r="H121" s="45"/>
      <c r="I121" s="46">
        <v>431.5</v>
      </c>
      <c r="J121" s="47">
        <v>0</v>
      </c>
      <c r="K121" s="47">
        <v>1251</v>
      </c>
      <c r="L121" s="47"/>
      <c r="M121" s="47">
        <v>0</v>
      </c>
      <c r="N121" s="47"/>
      <c r="O121" s="47"/>
      <c r="P121" s="47">
        <v>0</v>
      </c>
      <c r="Q121" s="47">
        <v>1251</v>
      </c>
      <c r="R121" s="47"/>
      <c r="S121" s="47">
        <v>0</v>
      </c>
      <c r="T121" s="47"/>
      <c r="U121" s="47"/>
      <c r="V121" s="9"/>
      <c r="W121" s="9">
        <f>ROUND(Q121 / 1.2, 2)</f>
        <v>1042.5</v>
      </c>
      <c r="X121" s="9" t="e">
        <f>ROUND(R121 / 1.2, 2)</f>
        <v>#VALUE!</v>
      </c>
      <c r="Y121" s="9"/>
      <c r="Z121" s="9" t="e">
        <f>ROUND(T121 / 1.2, 2)</f>
        <v>#VALUE!</v>
      </c>
      <c r="AA121" s="9"/>
      <c r="AD121" s="4">
        <v>225291733</v>
      </c>
      <c r="AE121" s="4">
        <v>16194165</v>
      </c>
      <c r="AG121" s="4" t="s">
        <v>397</v>
      </c>
      <c r="AH121" s="4" t="s">
        <v>398</v>
      </c>
      <c r="AI121" s="4"/>
    </row>
    <row r="122" spans="1:35" ht="54" x14ac:dyDescent="0.3">
      <c r="A122" s="37" t="s">
        <v>400</v>
      </c>
      <c r="B122" s="37"/>
      <c r="C122" s="48" t="s">
        <v>401</v>
      </c>
      <c r="D122" s="39"/>
      <c r="E122" s="39" t="s">
        <v>402</v>
      </c>
      <c r="F122" s="49" t="s">
        <v>70</v>
      </c>
      <c r="G122" s="50">
        <v>1.2</v>
      </c>
      <c r="H122" s="39"/>
      <c r="I122" s="51">
        <v>0</v>
      </c>
      <c r="J122" s="52">
        <v>12.33</v>
      </c>
      <c r="K122" s="53"/>
      <c r="L122" s="53"/>
      <c r="M122" s="52">
        <f t="shared" ref="M122:M131" si="17">ROUND(ROUND(J122, 2)*I122, 2)</f>
        <v>0</v>
      </c>
      <c r="N122" s="53"/>
      <c r="O122" s="53"/>
      <c r="P122" s="52">
        <v>12.33</v>
      </c>
      <c r="Q122" s="53"/>
      <c r="R122" s="53"/>
      <c r="S122" s="52">
        <f t="shared" ref="S122:S131" si="18">ROUND(ROUND(P122, 2)*I122, 2)</f>
        <v>0</v>
      </c>
      <c r="T122" s="53"/>
      <c r="U122" s="54"/>
      <c r="V122" s="9">
        <f t="shared" ref="V122:V131" si="19">ROUND(ROUND(P122, 2)/1.2, 2)</f>
        <v>10.28</v>
      </c>
      <c r="Y122" s="9">
        <f t="shared" ref="Y122:Y137" si="20">ROUND(S122 / 1.2, 2)</f>
        <v>0</v>
      </c>
      <c r="AD122" s="4" t="s">
        <v>403</v>
      </c>
      <c r="AE122" s="4" t="s">
        <v>404</v>
      </c>
      <c r="AF122" s="4" t="s">
        <v>405</v>
      </c>
    </row>
    <row r="123" spans="1:35" ht="54" x14ac:dyDescent="0.3">
      <c r="A123" s="43" t="s">
        <v>406</v>
      </c>
      <c r="B123" s="43"/>
      <c r="C123" s="55" t="s">
        <v>401</v>
      </c>
      <c r="D123" s="45"/>
      <c r="E123" s="45" t="s">
        <v>402</v>
      </c>
      <c r="F123" s="56" t="s">
        <v>70</v>
      </c>
      <c r="G123" s="57">
        <v>1.2</v>
      </c>
      <c r="H123" s="45"/>
      <c r="I123" s="58">
        <v>2589.6</v>
      </c>
      <c r="J123" s="59">
        <v>12.33</v>
      </c>
      <c r="K123" s="60"/>
      <c r="L123" s="60"/>
      <c r="M123" s="59">
        <f t="shared" si="17"/>
        <v>31929.77</v>
      </c>
      <c r="N123" s="60"/>
      <c r="O123" s="60"/>
      <c r="P123" s="59">
        <v>12.33</v>
      </c>
      <c r="Q123" s="60"/>
      <c r="R123" s="60"/>
      <c r="S123" s="59">
        <f t="shared" si="18"/>
        <v>31929.77</v>
      </c>
      <c r="T123" s="60"/>
      <c r="U123" s="61"/>
      <c r="V123" s="9">
        <f t="shared" si="19"/>
        <v>10.28</v>
      </c>
      <c r="Y123" s="9">
        <f t="shared" si="20"/>
        <v>26608.14</v>
      </c>
      <c r="AD123" s="4" t="s">
        <v>407</v>
      </c>
      <c r="AE123" s="4" t="s">
        <v>404</v>
      </c>
      <c r="AF123" s="4" t="s">
        <v>405</v>
      </c>
    </row>
    <row r="124" spans="1:35" ht="72" x14ac:dyDescent="0.3">
      <c r="A124" s="37" t="s">
        <v>408</v>
      </c>
      <c r="B124" s="37"/>
      <c r="C124" s="48" t="s">
        <v>409</v>
      </c>
      <c r="D124" s="39"/>
      <c r="E124" s="39" t="s">
        <v>410</v>
      </c>
      <c r="F124" s="49" t="s">
        <v>64</v>
      </c>
      <c r="G124" s="50">
        <v>1.07</v>
      </c>
      <c r="H124" s="39"/>
      <c r="I124" s="51">
        <v>0</v>
      </c>
      <c r="J124" s="52">
        <v>1193</v>
      </c>
      <c r="K124" s="53"/>
      <c r="L124" s="53"/>
      <c r="M124" s="52">
        <f t="shared" si="17"/>
        <v>0</v>
      </c>
      <c r="N124" s="53"/>
      <c r="O124" s="53"/>
      <c r="P124" s="52">
        <v>1193</v>
      </c>
      <c r="Q124" s="53"/>
      <c r="R124" s="53"/>
      <c r="S124" s="52">
        <f t="shared" si="18"/>
        <v>0</v>
      </c>
      <c r="T124" s="53"/>
      <c r="U124" s="54"/>
      <c r="V124" s="9">
        <f t="shared" si="19"/>
        <v>994.17</v>
      </c>
      <c r="Y124" s="9">
        <f t="shared" si="20"/>
        <v>0</v>
      </c>
      <c r="AD124" s="4" t="s">
        <v>411</v>
      </c>
      <c r="AE124" s="4" t="s">
        <v>412</v>
      </c>
      <c r="AF124" s="4" t="s">
        <v>413</v>
      </c>
    </row>
    <row r="125" spans="1:35" ht="72" x14ac:dyDescent="0.3">
      <c r="A125" s="43" t="s">
        <v>414</v>
      </c>
      <c r="B125" s="43"/>
      <c r="C125" s="55" t="s">
        <v>409</v>
      </c>
      <c r="D125" s="45"/>
      <c r="E125" s="45" t="s">
        <v>410</v>
      </c>
      <c r="F125" s="56" t="s">
        <v>64</v>
      </c>
      <c r="G125" s="57">
        <v>1.07</v>
      </c>
      <c r="H125" s="45"/>
      <c r="I125" s="58">
        <v>11.984</v>
      </c>
      <c r="J125" s="59">
        <v>1193</v>
      </c>
      <c r="K125" s="60"/>
      <c r="L125" s="60"/>
      <c r="M125" s="59">
        <f t="shared" si="17"/>
        <v>14296.91</v>
      </c>
      <c r="N125" s="60"/>
      <c r="O125" s="60"/>
      <c r="P125" s="59">
        <v>1193</v>
      </c>
      <c r="Q125" s="60"/>
      <c r="R125" s="60"/>
      <c r="S125" s="59">
        <f t="shared" si="18"/>
        <v>14296.91</v>
      </c>
      <c r="T125" s="60"/>
      <c r="U125" s="61"/>
      <c r="V125" s="9">
        <f t="shared" si="19"/>
        <v>994.17</v>
      </c>
      <c r="Y125" s="9">
        <f t="shared" si="20"/>
        <v>11914.09</v>
      </c>
      <c r="AD125" s="4" t="s">
        <v>415</v>
      </c>
      <c r="AE125" s="4" t="s">
        <v>412</v>
      </c>
      <c r="AF125" s="4" t="s">
        <v>413</v>
      </c>
    </row>
    <row r="126" spans="1:35" ht="72" x14ac:dyDescent="0.3">
      <c r="A126" s="37" t="s">
        <v>416</v>
      </c>
      <c r="B126" s="37"/>
      <c r="C126" s="48" t="s">
        <v>417</v>
      </c>
      <c r="D126" s="39"/>
      <c r="E126" s="39" t="s">
        <v>418</v>
      </c>
      <c r="F126" s="49" t="s">
        <v>64</v>
      </c>
      <c r="G126" s="50">
        <v>1.07</v>
      </c>
      <c r="H126" s="39"/>
      <c r="I126" s="51">
        <v>0</v>
      </c>
      <c r="J126" s="52">
        <v>1374.45</v>
      </c>
      <c r="K126" s="53"/>
      <c r="L126" s="53"/>
      <c r="M126" s="52">
        <f t="shared" si="17"/>
        <v>0</v>
      </c>
      <c r="N126" s="53"/>
      <c r="O126" s="53"/>
      <c r="P126" s="52">
        <v>1290.02</v>
      </c>
      <c r="Q126" s="53"/>
      <c r="R126" s="53"/>
      <c r="S126" s="52">
        <f t="shared" si="18"/>
        <v>0</v>
      </c>
      <c r="T126" s="53"/>
      <c r="U126" s="54"/>
      <c r="V126" s="9">
        <f t="shared" si="19"/>
        <v>1075.02</v>
      </c>
      <c r="Y126" s="9">
        <f t="shared" si="20"/>
        <v>0</v>
      </c>
      <c r="AD126" s="4" t="s">
        <v>419</v>
      </c>
      <c r="AE126" s="4" t="s">
        <v>420</v>
      </c>
      <c r="AF126" s="4" t="s">
        <v>421</v>
      </c>
    </row>
    <row r="127" spans="1:35" ht="90" x14ac:dyDescent="0.3">
      <c r="A127" s="43" t="s">
        <v>422</v>
      </c>
      <c r="B127" s="43"/>
      <c r="C127" s="55" t="s">
        <v>417</v>
      </c>
      <c r="D127" s="45"/>
      <c r="E127" s="45" t="s">
        <v>423</v>
      </c>
      <c r="F127" s="56" t="s">
        <v>64</v>
      </c>
      <c r="G127" s="57">
        <v>1.07</v>
      </c>
      <c r="H127" s="45"/>
      <c r="I127" s="58">
        <v>449.721</v>
      </c>
      <c r="J127" s="59">
        <v>1374.45</v>
      </c>
      <c r="K127" s="60"/>
      <c r="L127" s="60"/>
      <c r="M127" s="59">
        <f t="shared" si="17"/>
        <v>618119.03</v>
      </c>
      <c r="N127" s="60"/>
      <c r="O127" s="60"/>
      <c r="P127" s="59">
        <v>1290.02</v>
      </c>
      <c r="Q127" s="60"/>
      <c r="R127" s="60"/>
      <c r="S127" s="59">
        <f t="shared" si="18"/>
        <v>580149.07999999996</v>
      </c>
      <c r="T127" s="60"/>
      <c r="U127" s="61"/>
      <c r="V127" s="9">
        <f t="shared" si="19"/>
        <v>1075.02</v>
      </c>
      <c r="Y127" s="9">
        <f t="shared" si="20"/>
        <v>483457.57</v>
      </c>
      <c r="AD127" s="4" t="s">
        <v>424</v>
      </c>
      <c r="AE127" s="4" t="s">
        <v>420</v>
      </c>
      <c r="AF127" s="4" t="s">
        <v>421</v>
      </c>
    </row>
    <row r="128" spans="1:35" ht="36" x14ac:dyDescent="0.3">
      <c r="A128" s="37" t="s">
        <v>425</v>
      </c>
      <c r="B128" s="37"/>
      <c r="C128" s="48" t="s">
        <v>426</v>
      </c>
      <c r="D128" s="39"/>
      <c r="E128" s="39"/>
      <c r="F128" s="49" t="s">
        <v>70</v>
      </c>
      <c r="G128" s="50">
        <v>0.25</v>
      </c>
      <c r="H128" s="39"/>
      <c r="I128" s="51">
        <v>0</v>
      </c>
      <c r="J128" s="52">
        <v>40.270000000000003</v>
      </c>
      <c r="K128" s="53"/>
      <c r="L128" s="53"/>
      <c r="M128" s="52">
        <f t="shared" si="17"/>
        <v>0</v>
      </c>
      <c r="N128" s="53"/>
      <c r="O128" s="53"/>
      <c r="P128" s="52">
        <v>40.270000000000003</v>
      </c>
      <c r="Q128" s="53"/>
      <c r="R128" s="53"/>
      <c r="S128" s="52">
        <f t="shared" si="18"/>
        <v>0</v>
      </c>
      <c r="T128" s="53"/>
      <c r="U128" s="54"/>
      <c r="V128" s="9">
        <f t="shared" si="19"/>
        <v>33.56</v>
      </c>
      <c r="Y128" s="9">
        <f t="shared" si="20"/>
        <v>0</v>
      </c>
      <c r="AD128" s="4" t="s">
        <v>427</v>
      </c>
      <c r="AE128" s="4" t="s">
        <v>428</v>
      </c>
      <c r="AF128" s="4" t="s">
        <v>429</v>
      </c>
    </row>
    <row r="129" spans="1:35" ht="36" x14ac:dyDescent="0.3">
      <c r="A129" s="43" t="s">
        <v>430</v>
      </c>
      <c r="B129" s="43"/>
      <c r="C129" s="55" t="s">
        <v>426</v>
      </c>
      <c r="D129" s="45"/>
      <c r="E129" s="45"/>
      <c r="F129" s="56" t="s">
        <v>70</v>
      </c>
      <c r="G129" s="57">
        <v>0.25</v>
      </c>
      <c r="H129" s="45"/>
      <c r="I129" s="58">
        <v>107.875</v>
      </c>
      <c r="J129" s="59">
        <v>40.270000000000003</v>
      </c>
      <c r="K129" s="60"/>
      <c r="L129" s="60"/>
      <c r="M129" s="59">
        <f t="shared" si="17"/>
        <v>4344.13</v>
      </c>
      <c r="N129" s="60"/>
      <c r="O129" s="60"/>
      <c r="P129" s="59">
        <v>40.270000000000003</v>
      </c>
      <c r="Q129" s="60"/>
      <c r="R129" s="60"/>
      <c r="S129" s="59">
        <f t="shared" si="18"/>
        <v>4344.13</v>
      </c>
      <c r="T129" s="60"/>
      <c r="U129" s="61"/>
      <c r="V129" s="9">
        <f t="shared" si="19"/>
        <v>33.56</v>
      </c>
      <c r="Y129" s="9">
        <f t="shared" si="20"/>
        <v>3620.11</v>
      </c>
      <c r="AD129" s="4" t="s">
        <v>431</v>
      </c>
      <c r="AE129" s="4" t="s">
        <v>428</v>
      </c>
      <c r="AF129" s="4" t="s">
        <v>429</v>
      </c>
    </row>
    <row r="130" spans="1:35" ht="36" x14ac:dyDescent="0.3">
      <c r="A130" s="37" t="s">
        <v>432</v>
      </c>
      <c r="B130" s="37"/>
      <c r="C130" s="48" t="s">
        <v>433</v>
      </c>
      <c r="D130" s="39"/>
      <c r="E130" s="39"/>
      <c r="F130" s="49" t="s">
        <v>70</v>
      </c>
      <c r="G130" s="50">
        <v>0.15</v>
      </c>
      <c r="H130" s="39"/>
      <c r="I130" s="62">
        <v>0</v>
      </c>
      <c r="J130" s="52">
        <v>88.8</v>
      </c>
      <c r="K130" s="53"/>
      <c r="L130" s="53"/>
      <c r="M130" s="52">
        <f t="shared" si="17"/>
        <v>0</v>
      </c>
      <c r="N130" s="53"/>
      <c r="O130" s="53"/>
      <c r="P130" s="52">
        <v>88.8</v>
      </c>
      <c r="Q130" s="53"/>
      <c r="R130" s="53"/>
      <c r="S130" s="52">
        <f t="shared" si="18"/>
        <v>0</v>
      </c>
      <c r="T130" s="53"/>
      <c r="U130" s="54"/>
      <c r="V130" s="9">
        <f t="shared" si="19"/>
        <v>74</v>
      </c>
      <c r="Y130" s="9">
        <f t="shared" si="20"/>
        <v>0</v>
      </c>
      <c r="AD130" s="4" t="s">
        <v>434</v>
      </c>
      <c r="AE130" s="4" t="s">
        <v>435</v>
      </c>
      <c r="AF130" s="4" t="s">
        <v>436</v>
      </c>
    </row>
    <row r="131" spans="1:35" ht="36" x14ac:dyDescent="0.3">
      <c r="A131" s="43" t="s">
        <v>437</v>
      </c>
      <c r="B131" s="43"/>
      <c r="C131" s="55" t="s">
        <v>433</v>
      </c>
      <c r="D131" s="45"/>
      <c r="E131" s="45"/>
      <c r="F131" s="56" t="s">
        <v>70</v>
      </c>
      <c r="G131" s="57">
        <v>0.15</v>
      </c>
      <c r="H131" s="45"/>
      <c r="I131" s="57">
        <v>64.724999999999994</v>
      </c>
      <c r="J131" s="59">
        <v>88.8</v>
      </c>
      <c r="K131" s="60"/>
      <c r="L131" s="60"/>
      <c r="M131" s="59">
        <f t="shared" si="17"/>
        <v>5747.58</v>
      </c>
      <c r="N131" s="60"/>
      <c r="O131" s="60"/>
      <c r="P131" s="59">
        <v>88.8</v>
      </c>
      <c r="Q131" s="60"/>
      <c r="R131" s="60"/>
      <c r="S131" s="59">
        <f t="shared" si="18"/>
        <v>5747.58</v>
      </c>
      <c r="T131" s="60"/>
      <c r="U131" s="61"/>
      <c r="V131" s="9">
        <f t="shared" si="19"/>
        <v>74</v>
      </c>
      <c r="Y131" s="9">
        <f t="shared" si="20"/>
        <v>4789.6499999999996</v>
      </c>
      <c r="AD131" s="4" t="s">
        <v>438</v>
      </c>
      <c r="AE131" s="4" t="s">
        <v>435</v>
      </c>
      <c r="AF131" s="4" t="s">
        <v>436</v>
      </c>
    </row>
    <row r="132" spans="1:35" ht="18" x14ac:dyDescent="0.3">
      <c r="A132" s="10" t="s">
        <v>439</v>
      </c>
      <c r="B132" s="10" t="s">
        <v>440</v>
      </c>
      <c r="C132" s="11" t="s">
        <v>441</v>
      </c>
      <c r="D132" s="12" t="s">
        <v>442</v>
      </c>
      <c r="E132" s="12" t="s">
        <v>63</v>
      </c>
      <c r="F132" s="12" t="s">
        <v>64</v>
      </c>
      <c r="G132" s="13">
        <v>1</v>
      </c>
      <c r="H132" s="12"/>
      <c r="I132" s="13">
        <v>538.29999999999995</v>
      </c>
      <c r="J132" s="14">
        <f>IFERROR(ROUND(SUM(M133,M134,M135,M136)/I132, 2),0)</f>
        <v>1573.04</v>
      </c>
      <c r="K132" s="15">
        <v>412</v>
      </c>
      <c r="L132" s="14">
        <f>J132+ROUND(K132, 2)</f>
        <v>1985.04</v>
      </c>
      <c r="M132" s="14">
        <f>ROUND(J132*I132, 2)</f>
        <v>846767.43</v>
      </c>
      <c r="N132" s="14">
        <f>ROUND(I132*ROUND(K132, 2), 2)</f>
        <v>221779.6</v>
      </c>
      <c r="O132" s="14">
        <f>M132+N132</f>
        <v>1068547.03</v>
      </c>
      <c r="P132" s="14">
        <f>IFERROR(ROUND(SUM(S133,S134,S135,S136)/I132, 2),0)</f>
        <v>1573.04</v>
      </c>
      <c r="Q132" s="16">
        <v>412</v>
      </c>
      <c r="R132" s="14">
        <f>P132+ROUND(Q132, 2)</f>
        <v>1985.04</v>
      </c>
      <c r="S132" s="14">
        <f>ROUND(P132*I132, 2)</f>
        <v>846767.43</v>
      </c>
      <c r="T132" s="14">
        <f>ROUND(I132*ROUND(Q132, 2), 2)</f>
        <v>221779.6</v>
      </c>
      <c r="U132" s="14">
        <f>S132+T132</f>
        <v>1068547.03</v>
      </c>
      <c r="V132" s="9">
        <f>ROUND(P132 / 1.2, 2)</f>
        <v>1310.87</v>
      </c>
      <c r="W132" s="9">
        <f>ROUND(Q132 / 1.2, 2)</f>
        <v>343.33</v>
      </c>
      <c r="X132" s="9">
        <f>ROUND(R132 / 1.2, 2)</f>
        <v>1654.2</v>
      </c>
      <c r="Y132" s="9">
        <f t="shared" si="20"/>
        <v>705639.53</v>
      </c>
      <c r="Z132" s="9">
        <f>ROUND(T132 / 1.2, 2)</f>
        <v>184816.33</v>
      </c>
      <c r="AA132" s="9">
        <f>Y132+Z132</f>
        <v>890455.86</v>
      </c>
      <c r="AD132" s="4">
        <v>271132078</v>
      </c>
      <c r="AE132" s="4">
        <v>16195443</v>
      </c>
      <c r="AG132" s="4" t="s">
        <v>443</v>
      </c>
      <c r="AH132" s="4" t="s">
        <v>444</v>
      </c>
      <c r="AI132" s="4" t="s">
        <v>67</v>
      </c>
    </row>
    <row r="133" spans="1:35" ht="54" x14ac:dyDescent="0.3">
      <c r="A133" s="10" t="s">
        <v>445</v>
      </c>
      <c r="B133" s="10"/>
      <c r="C133" s="24" t="s">
        <v>446</v>
      </c>
      <c r="D133" s="12"/>
      <c r="E133" s="12" t="s">
        <v>447</v>
      </c>
      <c r="F133" s="18" t="s">
        <v>70</v>
      </c>
      <c r="G133" s="19">
        <v>0.3</v>
      </c>
      <c r="H133" s="12"/>
      <c r="I133" s="19">
        <v>161.49</v>
      </c>
      <c r="J133" s="21">
        <v>220</v>
      </c>
      <c r="M133" s="22">
        <f>ROUND(ROUND(J133, 2)*I133, 2)</f>
        <v>35527.800000000003</v>
      </c>
      <c r="P133" s="23">
        <v>220</v>
      </c>
      <c r="S133" s="22">
        <f>ROUND(ROUND(P133, 2)*I133, 2)</f>
        <v>35527.800000000003</v>
      </c>
      <c r="V133" s="9">
        <f>ROUND(ROUND(P133, 2)/1.2, 2)</f>
        <v>183.33</v>
      </c>
      <c r="Y133" s="9">
        <f t="shared" si="20"/>
        <v>29606.5</v>
      </c>
      <c r="AD133" s="4" t="s">
        <v>448</v>
      </c>
      <c r="AE133" s="4" t="s">
        <v>449</v>
      </c>
      <c r="AF133" s="4" t="s">
        <v>450</v>
      </c>
    </row>
    <row r="134" spans="1:35" ht="36" x14ac:dyDescent="0.3">
      <c r="A134" s="10" t="s">
        <v>451</v>
      </c>
      <c r="B134" s="10"/>
      <c r="C134" s="24" t="s">
        <v>452</v>
      </c>
      <c r="D134" s="12"/>
      <c r="E134" s="12" t="s">
        <v>453</v>
      </c>
      <c r="F134" s="18" t="s">
        <v>70</v>
      </c>
      <c r="G134" s="19">
        <v>0.15</v>
      </c>
      <c r="H134" s="12"/>
      <c r="I134" s="19">
        <v>80.745000000000005</v>
      </c>
      <c r="J134" s="21">
        <v>68.400000000000006</v>
      </c>
      <c r="M134" s="22">
        <f>ROUND(ROUND(J134, 2)*I134, 2)</f>
        <v>5522.96</v>
      </c>
      <c r="P134" s="23">
        <v>68.400000000000006</v>
      </c>
      <c r="S134" s="22">
        <f>ROUND(ROUND(P134, 2)*I134, 2)</f>
        <v>5522.96</v>
      </c>
      <c r="V134" s="9">
        <f>ROUND(ROUND(P134, 2)/1.2, 2)</f>
        <v>57</v>
      </c>
      <c r="Y134" s="9">
        <f t="shared" si="20"/>
        <v>4602.47</v>
      </c>
      <c r="AD134" s="4" t="s">
        <v>454</v>
      </c>
      <c r="AE134" s="4" t="s">
        <v>455</v>
      </c>
      <c r="AF134" s="4" t="s">
        <v>456</v>
      </c>
    </row>
    <row r="135" spans="1:35" ht="72" x14ac:dyDescent="0.3">
      <c r="A135" s="10" t="s">
        <v>457</v>
      </c>
      <c r="B135" s="10"/>
      <c r="C135" s="17" t="s">
        <v>458</v>
      </c>
      <c r="D135" s="12"/>
      <c r="E135" s="12"/>
      <c r="F135" s="18" t="s">
        <v>87</v>
      </c>
      <c r="G135" s="19">
        <v>1</v>
      </c>
      <c r="H135" s="12"/>
      <c r="I135" s="20">
        <v>252</v>
      </c>
      <c r="J135" s="21">
        <v>51</v>
      </c>
      <c r="M135" s="22">
        <f>ROUND(ROUND(J135, 2)*I135, 2)</f>
        <v>12852</v>
      </c>
      <c r="P135" s="23">
        <v>51</v>
      </c>
      <c r="S135" s="22">
        <f>ROUND(ROUND(P135, 2)*I135, 2)</f>
        <v>12852</v>
      </c>
      <c r="V135" s="9">
        <f>ROUND(ROUND(P135, 2)/1.2, 2)</f>
        <v>42.5</v>
      </c>
      <c r="Y135" s="9">
        <f t="shared" si="20"/>
        <v>10710</v>
      </c>
      <c r="AD135" s="4" t="s">
        <v>459</v>
      </c>
      <c r="AE135" s="4" t="s">
        <v>460</v>
      </c>
      <c r="AF135" s="4" t="s">
        <v>461</v>
      </c>
    </row>
    <row r="136" spans="1:35" ht="54" x14ac:dyDescent="0.3">
      <c r="A136" s="10" t="s">
        <v>462</v>
      </c>
      <c r="B136" s="10"/>
      <c r="C136" s="17" t="s">
        <v>463</v>
      </c>
      <c r="D136" s="12"/>
      <c r="E136" s="12"/>
      <c r="F136" s="18" t="s">
        <v>64</v>
      </c>
      <c r="G136" s="19">
        <v>1.1000000000000001</v>
      </c>
      <c r="H136" s="12"/>
      <c r="I136" s="20">
        <v>592.13</v>
      </c>
      <c r="J136" s="21">
        <v>1339</v>
      </c>
      <c r="M136" s="22">
        <f>ROUND(ROUND(J136, 2)*I136, 2)</f>
        <v>792862.07</v>
      </c>
      <c r="P136" s="23">
        <v>1339</v>
      </c>
      <c r="S136" s="22">
        <f>ROUND(ROUND(P136, 2)*I136, 2)</f>
        <v>792862.07</v>
      </c>
      <c r="V136" s="9">
        <f>ROUND(ROUND(P136, 2)/1.2, 2)</f>
        <v>1115.83</v>
      </c>
      <c r="Y136" s="9">
        <f t="shared" si="20"/>
        <v>660718.39</v>
      </c>
      <c r="AD136" s="4" t="s">
        <v>464</v>
      </c>
      <c r="AE136" s="4" t="s">
        <v>465</v>
      </c>
      <c r="AF136" s="4" t="s">
        <v>466</v>
      </c>
    </row>
    <row r="137" spans="1:35" ht="18" x14ac:dyDescent="0.3">
      <c r="A137" s="37" t="s">
        <v>467</v>
      </c>
      <c r="B137" s="37" t="s">
        <v>468</v>
      </c>
      <c r="C137" s="38" t="s">
        <v>469</v>
      </c>
      <c r="D137" s="39"/>
      <c r="E137" s="39" t="s">
        <v>470</v>
      </c>
      <c r="F137" s="39" t="s">
        <v>87</v>
      </c>
      <c r="G137" s="40">
        <v>1</v>
      </c>
      <c r="H137" s="39"/>
      <c r="I137" s="41">
        <v>49.65</v>
      </c>
      <c r="J137" s="42">
        <f>IFERROR(ROUND(SUM(M139,M141)/I137, 2),0)</f>
        <v>104.52</v>
      </c>
      <c r="K137" s="42">
        <v>200</v>
      </c>
      <c r="L137" s="42">
        <f>J137+ROUND(K137, 2)</f>
        <v>304.52</v>
      </c>
      <c r="M137" s="42">
        <f>ROUND(J137*I137, 2)</f>
        <v>5189.42</v>
      </c>
      <c r="N137" s="42">
        <f>ROUND(I137*ROUND(K137, 2), 2)</f>
        <v>9930</v>
      </c>
      <c r="O137" s="42">
        <f>M137+N137</f>
        <v>15119.42</v>
      </c>
      <c r="P137" s="42">
        <f>IFERROR(ROUND(SUM(S139,S141)/I137, 2),0)</f>
        <v>104.52</v>
      </c>
      <c r="Q137" s="42">
        <v>200</v>
      </c>
      <c r="R137" s="42">
        <f>P137+ROUND(Q137, 2)</f>
        <v>304.52</v>
      </c>
      <c r="S137" s="42">
        <f>ROUND(P137*I137, 2)</f>
        <v>5189.42</v>
      </c>
      <c r="T137" s="42">
        <f>ROUND(I137*ROUND(Q137, 2), 2)</f>
        <v>9930</v>
      </c>
      <c r="U137" s="42">
        <f>S137+T137</f>
        <v>15119.42</v>
      </c>
      <c r="V137" s="9">
        <f>ROUND(P137 / 1.2, 2)</f>
        <v>87.1</v>
      </c>
      <c r="W137" s="9">
        <f>ROUND(Q137 / 1.2, 2)</f>
        <v>166.67</v>
      </c>
      <c r="X137" s="9">
        <f>ROUND(R137 / 1.2, 2)</f>
        <v>253.77</v>
      </c>
      <c r="Y137" s="9">
        <f t="shared" si="20"/>
        <v>4324.5200000000004</v>
      </c>
      <c r="Z137" s="9">
        <f>ROUND(T137 / 1.2, 2)</f>
        <v>8275</v>
      </c>
      <c r="AA137" s="9">
        <f>Y137+Z137</f>
        <v>12599.52</v>
      </c>
      <c r="AD137" s="4">
        <v>271132080</v>
      </c>
      <c r="AE137" s="4">
        <v>16296644</v>
      </c>
      <c r="AG137" s="4" t="s">
        <v>471</v>
      </c>
      <c r="AH137" s="4" t="s">
        <v>472</v>
      </c>
      <c r="AI137" s="4" t="s">
        <v>67</v>
      </c>
    </row>
    <row r="138" spans="1:35" ht="18" x14ac:dyDescent="0.3">
      <c r="A138" s="43" t="s">
        <v>473</v>
      </c>
      <c r="B138" s="43" t="s">
        <v>468</v>
      </c>
      <c r="C138" s="44" t="s">
        <v>469</v>
      </c>
      <c r="D138" s="45"/>
      <c r="E138" s="45"/>
      <c r="F138" s="45" t="s">
        <v>87</v>
      </c>
      <c r="G138" s="46">
        <v>1</v>
      </c>
      <c r="H138" s="45"/>
      <c r="I138" s="46">
        <v>108</v>
      </c>
      <c r="J138" s="47">
        <v>0</v>
      </c>
      <c r="K138" s="47">
        <v>200</v>
      </c>
      <c r="L138" s="47"/>
      <c r="M138" s="47">
        <v>0</v>
      </c>
      <c r="N138" s="47"/>
      <c r="O138" s="47"/>
      <c r="P138" s="47">
        <v>0</v>
      </c>
      <c r="Q138" s="47">
        <v>200</v>
      </c>
      <c r="R138" s="47"/>
      <c r="S138" s="47">
        <v>0</v>
      </c>
      <c r="T138" s="47"/>
      <c r="U138" s="47"/>
      <c r="V138" s="9"/>
      <c r="W138" s="9">
        <f>ROUND(Q138 / 1.2, 2)</f>
        <v>166.67</v>
      </c>
      <c r="X138" s="9" t="e">
        <f>ROUND(R138 / 1.2, 2)</f>
        <v>#VALUE!</v>
      </c>
      <c r="Y138" s="9"/>
      <c r="Z138" s="9" t="e">
        <f>ROUND(T138 / 1.2, 2)</f>
        <v>#VALUE!</v>
      </c>
      <c r="AA138" s="9"/>
      <c r="AD138" s="4">
        <v>207829091</v>
      </c>
      <c r="AE138" s="4">
        <v>16296644</v>
      </c>
      <c r="AG138" s="4" t="s">
        <v>471</v>
      </c>
      <c r="AH138" s="4" t="s">
        <v>472</v>
      </c>
      <c r="AI138" s="4"/>
    </row>
    <row r="139" spans="1:35" ht="36" x14ac:dyDescent="0.3">
      <c r="A139" s="37" t="s">
        <v>474</v>
      </c>
      <c r="B139" s="37"/>
      <c r="C139" s="48" t="s">
        <v>475</v>
      </c>
      <c r="D139" s="39"/>
      <c r="E139" s="39"/>
      <c r="F139" s="49" t="s">
        <v>87</v>
      </c>
      <c r="G139" s="50">
        <v>1.05</v>
      </c>
      <c r="H139" s="39"/>
      <c r="I139" s="51">
        <v>52.133000000000003</v>
      </c>
      <c r="J139" s="52">
        <v>90.97</v>
      </c>
      <c r="K139" s="53"/>
      <c r="L139" s="53"/>
      <c r="M139" s="52">
        <f>ROUND(ROUND(J139, 2)*I139, 2)</f>
        <v>4742.54</v>
      </c>
      <c r="N139" s="53"/>
      <c r="O139" s="53"/>
      <c r="P139" s="52">
        <v>90.97</v>
      </c>
      <c r="Q139" s="53"/>
      <c r="R139" s="53"/>
      <c r="S139" s="52">
        <f>ROUND(ROUND(P139, 2)*I139, 2)</f>
        <v>4742.54</v>
      </c>
      <c r="T139" s="53"/>
      <c r="U139" s="54"/>
      <c r="V139" s="9">
        <f>ROUND(ROUND(P139, 2)/1.2, 2)</f>
        <v>75.81</v>
      </c>
      <c r="Y139" s="9">
        <f t="shared" ref="Y139:Y147" si="21">ROUND(S139 / 1.2, 2)</f>
        <v>3952.12</v>
      </c>
      <c r="AD139" s="4" t="s">
        <v>476</v>
      </c>
      <c r="AE139" s="4" t="s">
        <v>477</v>
      </c>
      <c r="AF139" s="4" t="s">
        <v>478</v>
      </c>
    </row>
    <row r="140" spans="1:35" ht="36" x14ac:dyDescent="0.3">
      <c r="A140" s="43" t="s">
        <v>479</v>
      </c>
      <c r="B140" s="43"/>
      <c r="C140" s="55" t="s">
        <v>475</v>
      </c>
      <c r="D140" s="45"/>
      <c r="E140" s="45"/>
      <c r="F140" s="56" t="s">
        <v>87</v>
      </c>
      <c r="G140" s="57">
        <v>1.05</v>
      </c>
      <c r="H140" s="45"/>
      <c r="I140" s="58">
        <v>113.4</v>
      </c>
      <c r="J140" s="59">
        <v>90.97</v>
      </c>
      <c r="K140" s="60"/>
      <c r="L140" s="60"/>
      <c r="M140" s="59">
        <f>ROUND(ROUND(J140, 2)*I140, 2)</f>
        <v>10316</v>
      </c>
      <c r="N140" s="60"/>
      <c r="O140" s="60"/>
      <c r="P140" s="59">
        <v>90.97</v>
      </c>
      <c r="Q140" s="60"/>
      <c r="R140" s="60"/>
      <c r="S140" s="59">
        <f>ROUND(ROUND(P140, 2)*I140, 2)</f>
        <v>10316</v>
      </c>
      <c r="T140" s="60"/>
      <c r="U140" s="61"/>
      <c r="V140" s="9">
        <f>ROUND(ROUND(P140, 2)/1.2, 2)</f>
        <v>75.81</v>
      </c>
      <c r="Y140" s="9">
        <f t="shared" si="21"/>
        <v>8596.67</v>
      </c>
      <c r="AD140" s="4" t="s">
        <v>480</v>
      </c>
      <c r="AE140" s="4" t="s">
        <v>477</v>
      </c>
      <c r="AF140" s="4" t="s">
        <v>478</v>
      </c>
    </row>
    <row r="141" spans="1:35" ht="54" x14ac:dyDescent="0.3">
      <c r="A141" s="37" t="s">
        <v>481</v>
      </c>
      <c r="B141" s="37"/>
      <c r="C141" s="48" t="s">
        <v>482</v>
      </c>
      <c r="D141" s="39"/>
      <c r="E141" s="39" t="s">
        <v>483</v>
      </c>
      <c r="F141" s="49" t="s">
        <v>116</v>
      </c>
      <c r="G141" s="64">
        <v>0.09</v>
      </c>
      <c r="H141" s="39"/>
      <c r="I141" s="62">
        <v>4.4690000000000003</v>
      </c>
      <c r="J141" s="52">
        <v>100</v>
      </c>
      <c r="K141" s="53"/>
      <c r="L141" s="53"/>
      <c r="M141" s="52">
        <f>ROUND(ROUND(J141, 2)*I141, 2)</f>
        <v>446.9</v>
      </c>
      <c r="N141" s="53"/>
      <c r="O141" s="53"/>
      <c r="P141" s="52">
        <v>100</v>
      </c>
      <c r="Q141" s="53"/>
      <c r="R141" s="53"/>
      <c r="S141" s="52">
        <f>ROUND(ROUND(P141, 2)*I141, 2)</f>
        <v>446.9</v>
      </c>
      <c r="T141" s="53"/>
      <c r="U141" s="54"/>
      <c r="V141" s="9">
        <f>ROUND(ROUND(P141, 2)/1.2, 2)</f>
        <v>83.33</v>
      </c>
      <c r="Y141" s="9">
        <f t="shared" si="21"/>
        <v>372.42</v>
      </c>
      <c r="AD141" s="4" t="s">
        <v>484</v>
      </c>
      <c r="AE141" s="4" t="s">
        <v>485</v>
      </c>
      <c r="AF141" s="4" t="s">
        <v>486</v>
      </c>
    </row>
    <row r="142" spans="1:35" ht="54" x14ac:dyDescent="0.3">
      <c r="A142" s="43" t="s">
        <v>487</v>
      </c>
      <c r="B142" s="43"/>
      <c r="C142" s="55" t="s">
        <v>482</v>
      </c>
      <c r="D142" s="45"/>
      <c r="E142" s="45" t="s">
        <v>483</v>
      </c>
      <c r="F142" s="56" t="s">
        <v>116</v>
      </c>
      <c r="G142" s="65">
        <v>0.09</v>
      </c>
      <c r="H142" s="45"/>
      <c r="I142" s="57">
        <v>9.7200000000000006</v>
      </c>
      <c r="J142" s="59">
        <v>100</v>
      </c>
      <c r="K142" s="60"/>
      <c r="L142" s="60"/>
      <c r="M142" s="59">
        <f>ROUND(ROUND(J142, 2)*I142, 2)</f>
        <v>972</v>
      </c>
      <c r="N142" s="60"/>
      <c r="O142" s="60"/>
      <c r="P142" s="59">
        <v>100</v>
      </c>
      <c r="Q142" s="60"/>
      <c r="R142" s="60"/>
      <c r="S142" s="59">
        <f>ROUND(ROUND(P142, 2)*I142, 2)</f>
        <v>972</v>
      </c>
      <c r="T142" s="60"/>
      <c r="U142" s="61"/>
      <c r="V142" s="9">
        <f>ROUND(ROUND(P142, 2)/1.2, 2)</f>
        <v>83.33</v>
      </c>
      <c r="Y142" s="9">
        <f t="shared" si="21"/>
        <v>810</v>
      </c>
      <c r="AD142" s="4" t="s">
        <v>488</v>
      </c>
      <c r="AE142" s="4" t="s">
        <v>485</v>
      </c>
      <c r="AF142" s="4" t="s">
        <v>486</v>
      </c>
    </row>
    <row r="143" spans="1:35" ht="18" x14ac:dyDescent="0.3">
      <c r="A143" s="25" t="s">
        <v>489</v>
      </c>
      <c r="B143" s="25" t="s">
        <v>468</v>
      </c>
      <c r="C143" s="26" t="s">
        <v>469</v>
      </c>
      <c r="D143" s="27"/>
      <c r="E143" s="27" t="s">
        <v>490</v>
      </c>
      <c r="F143" s="27" t="s">
        <v>87</v>
      </c>
      <c r="G143" s="28">
        <v>1</v>
      </c>
      <c r="H143" s="27"/>
      <c r="I143" s="28">
        <v>63.14</v>
      </c>
      <c r="J143" s="29">
        <f>IFERROR(ROUND(SUM(M144,M145,M146)/I143, 2),0)</f>
        <v>198.82</v>
      </c>
      <c r="K143" s="29">
        <v>200</v>
      </c>
      <c r="L143" s="29">
        <f>J143+ROUND(K143, 2)</f>
        <v>398.82</v>
      </c>
      <c r="M143" s="29">
        <f>ROUND(J143*I143, 2)</f>
        <v>12553.49</v>
      </c>
      <c r="N143" s="29">
        <f>ROUND(I143*ROUND(K143, 2), 2)</f>
        <v>12628</v>
      </c>
      <c r="O143" s="29">
        <f>M143+N143</f>
        <v>25181.49</v>
      </c>
      <c r="P143" s="29">
        <f>IFERROR(ROUND(SUM(S144,S145,S146)/I143, 2),0)</f>
        <v>198.82</v>
      </c>
      <c r="Q143" s="29">
        <v>200</v>
      </c>
      <c r="R143" s="29">
        <f>P143+ROUND(Q143, 2)</f>
        <v>398.82</v>
      </c>
      <c r="S143" s="29">
        <f>ROUND(P143*I143, 2)</f>
        <v>12553.49</v>
      </c>
      <c r="T143" s="29">
        <f>ROUND(I143*ROUND(Q143, 2), 2)</f>
        <v>12628</v>
      </c>
      <c r="U143" s="29">
        <f>S143+T143</f>
        <v>25181.49</v>
      </c>
      <c r="V143" s="9">
        <f>ROUND(P143 / 1.2, 2)</f>
        <v>165.68</v>
      </c>
      <c r="W143" s="9">
        <f>ROUND(Q143 / 1.2, 2)</f>
        <v>166.67</v>
      </c>
      <c r="X143" s="9">
        <f>ROUND(R143 / 1.2, 2)</f>
        <v>332.35</v>
      </c>
      <c r="Y143" s="9">
        <f t="shared" si="21"/>
        <v>10461.24</v>
      </c>
      <c r="Z143" s="9">
        <f>ROUND(T143 / 1.2, 2)</f>
        <v>10523.33</v>
      </c>
      <c r="AA143" s="9">
        <f>Y143+Z143</f>
        <v>20984.57</v>
      </c>
      <c r="AD143" s="4">
        <v>271132170</v>
      </c>
      <c r="AE143" s="4">
        <v>19812816</v>
      </c>
      <c r="AG143" s="4" t="s">
        <v>471</v>
      </c>
      <c r="AH143" s="4" t="s">
        <v>472</v>
      </c>
      <c r="AI143" s="4" t="s">
        <v>67</v>
      </c>
    </row>
    <row r="144" spans="1:35" ht="54" x14ac:dyDescent="0.3">
      <c r="A144" s="25" t="s">
        <v>491</v>
      </c>
      <c r="B144" s="25"/>
      <c r="C144" s="30" t="s">
        <v>482</v>
      </c>
      <c r="D144" s="27"/>
      <c r="E144" s="27" t="s">
        <v>483</v>
      </c>
      <c r="F144" s="31" t="s">
        <v>116</v>
      </c>
      <c r="G144" s="66">
        <v>0.09</v>
      </c>
      <c r="H144" s="27"/>
      <c r="I144" s="32">
        <v>5.6829999999999998</v>
      </c>
      <c r="J144" s="34">
        <v>100</v>
      </c>
      <c r="K144" s="35"/>
      <c r="L144" s="35"/>
      <c r="M144" s="34">
        <f>ROUND(ROUND(J144, 2)*I144, 2)</f>
        <v>568.29999999999995</v>
      </c>
      <c r="N144" s="35"/>
      <c r="O144" s="35"/>
      <c r="P144" s="34">
        <v>100</v>
      </c>
      <c r="Q144" s="35"/>
      <c r="R144" s="35"/>
      <c r="S144" s="34">
        <f>ROUND(ROUND(P144, 2)*I144, 2)</f>
        <v>568.29999999999995</v>
      </c>
      <c r="T144" s="35"/>
      <c r="U144" s="36"/>
      <c r="V144" s="9">
        <f>ROUND(ROUND(P144, 2)/1.2, 2)</f>
        <v>83.33</v>
      </c>
      <c r="Y144" s="9">
        <f t="shared" si="21"/>
        <v>473.58</v>
      </c>
      <c r="AD144" s="4" t="s">
        <v>492</v>
      </c>
      <c r="AE144" s="4" t="s">
        <v>493</v>
      </c>
      <c r="AF144" s="4" t="s">
        <v>486</v>
      </c>
    </row>
    <row r="145" spans="1:35" ht="54" x14ac:dyDescent="0.3">
      <c r="A145" s="25" t="s">
        <v>494</v>
      </c>
      <c r="B145" s="25"/>
      <c r="C145" s="17" t="s">
        <v>475</v>
      </c>
      <c r="D145" s="27"/>
      <c r="E145" s="27" t="s">
        <v>495</v>
      </c>
      <c r="F145" s="31" t="s">
        <v>87</v>
      </c>
      <c r="G145" s="32">
        <v>1.05</v>
      </c>
      <c r="H145" s="27"/>
      <c r="I145" s="33">
        <v>49.591999999999999</v>
      </c>
      <c r="J145" s="34">
        <v>90.21</v>
      </c>
      <c r="K145" s="35"/>
      <c r="L145" s="35"/>
      <c r="M145" s="34">
        <f>ROUND(ROUND(J145, 2)*I145, 2)</f>
        <v>4473.6899999999996</v>
      </c>
      <c r="N145" s="35"/>
      <c r="O145" s="35"/>
      <c r="P145" s="34">
        <v>90.21</v>
      </c>
      <c r="Q145" s="35"/>
      <c r="R145" s="35"/>
      <c r="S145" s="34">
        <f>ROUND(ROUND(P145, 2)*I145, 2)</f>
        <v>4473.6899999999996</v>
      </c>
      <c r="T145" s="35"/>
      <c r="U145" s="36"/>
      <c r="V145" s="9">
        <f>ROUND(ROUND(P145, 2)/1.2, 2)</f>
        <v>75.180000000000007</v>
      </c>
      <c r="Y145" s="9">
        <f t="shared" si="21"/>
        <v>3728.08</v>
      </c>
      <c r="AD145" s="4" t="s">
        <v>496</v>
      </c>
      <c r="AE145" s="4" t="s">
        <v>497</v>
      </c>
      <c r="AF145" s="4" t="s">
        <v>478</v>
      </c>
    </row>
    <row r="146" spans="1:35" ht="54" x14ac:dyDescent="0.3">
      <c r="A146" s="25" t="s">
        <v>498</v>
      </c>
      <c r="B146" s="25"/>
      <c r="C146" s="17" t="s">
        <v>499</v>
      </c>
      <c r="D146" s="27"/>
      <c r="E146" s="27" t="s">
        <v>500</v>
      </c>
      <c r="F146" s="31" t="s">
        <v>87</v>
      </c>
      <c r="G146" s="32">
        <v>1.1000000000000001</v>
      </c>
      <c r="H146" s="27"/>
      <c r="I146" s="33">
        <v>17.501000000000001</v>
      </c>
      <c r="J146" s="34">
        <v>429.22</v>
      </c>
      <c r="K146" s="35"/>
      <c r="L146" s="35"/>
      <c r="M146" s="34">
        <f>ROUND(ROUND(J146, 2)*I146, 2)</f>
        <v>7511.78</v>
      </c>
      <c r="N146" s="35"/>
      <c r="O146" s="35"/>
      <c r="P146" s="34">
        <v>429.22</v>
      </c>
      <c r="Q146" s="35"/>
      <c r="R146" s="35"/>
      <c r="S146" s="34">
        <f>ROUND(ROUND(P146, 2)*I146, 2)</f>
        <v>7511.78</v>
      </c>
      <c r="T146" s="35"/>
      <c r="U146" s="36"/>
      <c r="V146" s="9">
        <f>ROUND(ROUND(P146, 2)/1.2, 2)</f>
        <v>357.68</v>
      </c>
      <c r="Y146" s="9">
        <f t="shared" si="21"/>
        <v>6259.82</v>
      </c>
      <c r="AD146" s="4" t="s">
        <v>501</v>
      </c>
      <c r="AE146" s="4" t="s">
        <v>502</v>
      </c>
      <c r="AF146" s="4" t="s">
        <v>503</v>
      </c>
    </row>
    <row r="147" spans="1:35" ht="54" x14ac:dyDescent="0.3">
      <c r="A147" s="37" t="s">
        <v>504</v>
      </c>
      <c r="B147" s="37" t="s">
        <v>505</v>
      </c>
      <c r="C147" s="38" t="s">
        <v>506</v>
      </c>
      <c r="D147" s="39"/>
      <c r="E147" s="39" t="s">
        <v>507</v>
      </c>
      <c r="F147" s="39" t="s">
        <v>87</v>
      </c>
      <c r="G147" s="40">
        <v>1</v>
      </c>
      <c r="H147" s="39"/>
      <c r="I147" s="41">
        <v>0</v>
      </c>
      <c r="J147" s="42">
        <f>IFERROR(ROUND(SUM(M149,M151,M153)/I147, 2),0)</f>
        <v>0</v>
      </c>
      <c r="K147" s="42">
        <v>374</v>
      </c>
      <c r="L147" s="42">
        <f>J147+ROUND(K147, 2)</f>
        <v>374</v>
      </c>
      <c r="M147" s="42">
        <f>ROUND(J147*I147, 2)</f>
        <v>0</v>
      </c>
      <c r="N147" s="42">
        <f>ROUND(I147*ROUND(K147, 2), 2)</f>
        <v>0</v>
      </c>
      <c r="O147" s="42">
        <f>M147+N147</f>
        <v>0</v>
      </c>
      <c r="P147" s="42">
        <f>IFERROR(ROUND(SUM(S149,S151,S153)/I147, 2),0)</f>
        <v>0</v>
      </c>
      <c r="Q147" s="42">
        <v>374</v>
      </c>
      <c r="R147" s="42">
        <f>P147+ROUND(Q147, 2)</f>
        <v>374</v>
      </c>
      <c r="S147" s="42">
        <f>ROUND(P147*I147, 2)</f>
        <v>0</v>
      </c>
      <c r="T147" s="42">
        <f>ROUND(I147*ROUND(Q147, 2), 2)</f>
        <v>0</v>
      </c>
      <c r="U147" s="42">
        <f>S147+T147</f>
        <v>0</v>
      </c>
      <c r="V147" s="9">
        <f>ROUND(P147 / 1.2, 2)</f>
        <v>0</v>
      </c>
      <c r="W147" s="9">
        <f>ROUND(Q147 / 1.2, 2)</f>
        <v>311.67</v>
      </c>
      <c r="X147" s="9">
        <f>ROUND(R147 / 1.2, 2)</f>
        <v>311.67</v>
      </c>
      <c r="Y147" s="9">
        <f t="shared" si="21"/>
        <v>0</v>
      </c>
      <c r="Z147" s="9">
        <f>ROUND(T147 / 1.2, 2)</f>
        <v>0</v>
      </c>
      <c r="AA147" s="9">
        <f>Y147+Z147</f>
        <v>0</v>
      </c>
      <c r="AD147" s="4">
        <v>271132082</v>
      </c>
      <c r="AE147" s="4">
        <v>16293721</v>
      </c>
      <c r="AG147" s="4" t="s">
        <v>508</v>
      </c>
      <c r="AH147" s="4" t="s">
        <v>509</v>
      </c>
      <c r="AI147" s="4" t="s">
        <v>67</v>
      </c>
    </row>
    <row r="148" spans="1:35" ht="54" x14ac:dyDescent="0.3">
      <c r="A148" s="43" t="s">
        <v>510</v>
      </c>
      <c r="B148" s="43" t="s">
        <v>505</v>
      </c>
      <c r="C148" s="44" t="s">
        <v>506</v>
      </c>
      <c r="D148" s="45"/>
      <c r="E148" s="45"/>
      <c r="F148" s="45" t="s">
        <v>87</v>
      </c>
      <c r="G148" s="46">
        <v>1</v>
      </c>
      <c r="H148" s="45"/>
      <c r="I148" s="46">
        <v>307.10000000000002</v>
      </c>
      <c r="J148" s="47">
        <v>0</v>
      </c>
      <c r="K148" s="47">
        <v>374</v>
      </c>
      <c r="L148" s="47"/>
      <c r="M148" s="47">
        <v>0</v>
      </c>
      <c r="N148" s="47"/>
      <c r="O148" s="47"/>
      <c r="P148" s="47">
        <v>0</v>
      </c>
      <c r="Q148" s="47">
        <v>374</v>
      </c>
      <c r="R148" s="47"/>
      <c r="S148" s="47">
        <v>0</v>
      </c>
      <c r="T148" s="47"/>
      <c r="U148" s="47"/>
      <c r="V148" s="9"/>
      <c r="W148" s="9">
        <f>ROUND(Q148 / 1.2, 2)</f>
        <v>311.67</v>
      </c>
      <c r="X148" s="9" t="e">
        <f>ROUND(R148 / 1.2, 2)</f>
        <v>#VALUE!</v>
      </c>
      <c r="Y148" s="9"/>
      <c r="Z148" s="9" t="e">
        <f>ROUND(T148 / 1.2, 2)</f>
        <v>#VALUE!</v>
      </c>
      <c r="AA148" s="9"/>
      <c r="AD148" s="4">
        <v>213223641</v>
      </c>
      <c r="AE148" s="4">
        <v>16293721</v>
      </c>
      <c r="AG148" s="4" t="s">
        <v>508</v>
      </c>
      <c r="AH148" s="4" t="s">
        <v>509</v>
      </c>
      <c r="AI148" s="4"/>
    </row>
    <row r="149" spans="1:35" ht="72" x14ac:dyDescent="0.3">
      <c r="A149" s="37" t="s">
        <v>511</v>
      </c>
      <c r="B149" s="37"/>
      <c r="C149" s="48" t="s">
        <v>512</v>
      </c>
      <c r="D149" s="39"/>
      <c r="E149" s="39" t="s">
        <v>513</v>
      </c>
      <c r="F149" s="49" t="s">
        <v>64</v>
      </c>
      <c r="G149" s="50">
        <v>0.11</v>
      </c>
      <c r="H149" s="39"/>
      <c r="I149" s="62">
        <v>0</v>
      </c>
      <c r="J149" s="52">
        <v>850</v>
      </c>
      <c r="K149" s="53"/>
      <c r="L149" s="53"/>
      <c r="M149" s="52">
        <f t="shared" ref="M149:M154" si="22">ROUND(ROUND(J149, 2)*I149, 2)</f>
        <v>0</v>
      </c>
      <c r="N149" s="53"/>
      <c r="O149" s="53"/>
      <c r="P149" s="52">
        <v>850</v>
      </c>
      <c r="Q149" s="53"/>
      <c r="R149" s="53"/>
      <c r="S149" s="52">
        <f t="shared" ref="S149:S154" si="23">ROUND(ROUND(P149, 2)*I149, 2)</f>
        <v>0</v>
      </c>
      <c r="T149" s="53"/>
      <c r="U149" s="54"/>
      <c r="V149" s="9">
        <f t="shared" ref="V149:V154" si="24">ROUND(ROUND(P149, 2)/1.2, 2)</f>
        <v>708.33</v>
      </c>
      <c r="Y149" s="9">
        <f t="shared" ref="Y149:Y155" si="25">ROUND(S149 / 1.2, 2)</f>
        <v>0</v>
      </c>
      <c r="AD149" s="4" t="s">
        <v>514</v>
      </c>
      <c r="AE149" s="4" t="s">
        <v>515</v>
      </c>
      <c r="AF149" s="4" t="s">
        <v>516</v>
      </c>
    </row>
    <row r="150" spans="1:35" ht="72" x14ac:dyDescent="0.3">
      <c r="A150" s="43" t="s">
        <v>517</v>
      </c>
      <c r="B150" s="43"/>
      <c r="C150" s="55" t="s">
        <v>512</v>
      </c>
      <c r="D150" s="45"/>
      <c r="E150" s="45" t="s">
        <v>518</v>
      </c>
      <c r="F150" s="56" t="s">
        <v>64</v>
      </c>
      <c r="G150" s="57">
        <v>0.11</v>
      </c>
      <c r="H150" s="45"/>
      <c r="I150" s="57">
        <v>33.780999999999999</v>
      </c>
      <c r="J150" s="59">
        <v>850</v>
      </c>
      <c r="K150" s="60"/>
      <c r="L150" s="60"/>
      <c r="M150" s="59">
        <f t="shared" si="22"/>
        <v>28713.85</v>
      </c>
      <c r="N150" s="60"/>
      <c r="O150" s="60"/>
      <c r="P150" s="59">
        <v>850</v>
      </c>
      <c r="Q150" s="60"/>
      <c r="R150" s="60"/>
      <c r="S150" s="59">
        <f t="shared" si="23"/>
        <v>28713.85</v>
      </c>
      <c r="T150" s="60"/>
      <c r="U150" s="61"/>
      <c r="V150" s="9">
        <f t="shared" si="24"/>
        <v>708.33</v>
      </c>
      <c r="Y150" s="9">
        <f t="shared" si="25"/>
        <v>23928.21</v>
      </c>
      <c r="AD150" s="4" t="s">
        <v>519</v>
      </c>
      <c r="AE150" s="4" t="s">
        <v>515</v>
      </c>
      <c r="AF150" s="4" t="s">
        <v>516</v>
      </c>
    </row>
    <row r="151" spans="1:35" ht="36" x14ac:dyDescent="0.3">
      <c r="A151" s="37" t="s">
        <v>520</v>
      </c>
      <c r="B151" s="37"/>
      <c r="C151" s="48" t="s">
        <v>426</v>
      </c>
      <c r="D151" s="39"/>
      <c r="E151" s="39"/>
      <c r="F151" s="49" t="s">
        <v>70</v>
      </c>
      <c r="G151" s="50">
        <v>0.04</v>
      </c>
      <c r="H151" s="39"/>
      <c r="I151" s="62">
        <v>0</v>
      </c>
      <c r="J151" s="52">
        <v>40.270000000000003</v>
      </c>
      <c r="K151" s="53"/>
      <c r="L151" s="53"/>
      <c r="M151" s="52">
        <f t="shared" si="22"/>
        <v>0</v>
      </c>
      <c r="N151" s="53"/>
      <c r="O151" s="53"/>
      <c r="P151" s="52">
        <v>40.270000000000003</v>
      </c>
      <c r="Q151" s="53"/>
      <c r="R151" s="53"/>
      <c r="S151" s="52">
        <f t="shared" si="23"/>
        <v>0</v>
      </c>
      <c r="T151" s="53"/>
      <c r="U151" s="54"/>
      <c r="V151" s="9">
        <f t="shared" si="24"/>
        <v>33.56</v>
      </c>
      <c r="Y151" s="9">
        <f t="shared" si="25"/>
        <v>0</v>
      </c>
      <c r="AD151" s="4" t="s">
        <v>521</v>
      </c>
      <c r="AE151" s="4" t="s">
        <v>522</v>
      </c>
      <c r="AF151" s="4" t="s">
        <v>429</v>
      </c>
    </row>
    <row r="152" spans="1:35" ht="36" x14ac:dyDescent="0.3">
      <c r="A152" s="43" t="s">
        <v>523</v>
      </c>
      <c r="B152" s="43"/>
      <c r="C152" s="55" t="s">
        <v>426</v>
      </c>
      <c r="D152" s="45"/>
      <c r="E152" s="45"/>
      <c r="F152" s="56" t="s">
        <v>70</v>
      </c>
      <c r="G152" s="57">
        <v>0.04</v>
      </c>
      <c r="H152" s="45"/>
      <c r="I152" s="57">
        <v>12.284000000000001</v>
      </c>
      <c r="J152" s="59">
        <v>40.270000000000003</v>
      </c>
      <c r="K152" s="60"/>
      <c r="L152" s="60"/>
      <c r="M152" s="59">
        <f t="shared" si="22"/>
        <v>494.68</v>
      </c>
      <c r="N152" s="60"/>
      <c r="O152" s="60"/>
      <c r="P152" s="59">
        <v>40.270000000000003</v>
      </c>
      <c r="Q152" s="60"/>
      <c r="R152" s="60"/>
      <c r="S152" s="59">
        <f t="shared" si="23"/>
        <v>494.68</v>
      </c>
      <c r="T152" s="60"/>
      <c r="U152" s="61"/>
      <c r="V152" s="9">
        <f t="shared" si="24"/>
        <v>33.56</v>
      </c>
      <c r="Y152" s="9">
        <f t="shared" si="25"/>
        <v>412.23</v>
      </c>
      <c r="AD152" s="4" t="s">
        <v>524</v>
      </c>
      <c r="AE152" s="4" t="s">
        <v>522</v>
      </c>
      <c r="AF152" s="4" t="s">
        <v>429</v>
      </c>
    </row>
    <row r="153" spans="1:35" ht="36" x14ac:dyDescent="0.3">
      <c r="A153" s="37" t="s">
        <v>525</v>
      </c>
      <c r="B153" s="37"/>
      <c r="C153" s="48" t="s">
        <v>433</v>
      </c>
      <c r="D153" s="39"/>
      <c r="E153" s="39"/>
      <c r="F153" s="49" t="s">
        <v>70</v>
      </c>
      <c r="G153" s="50">
        <v>1.4999999999999999E-2</v>
      </c>
      <c r="H153" s="39"/>
      <c r="I153" s="62">
        <v>0</v>
      </c>
      <c r="J153" s="52">
        <v>88.8</v>
      </c>
      <c r="K153" s="53"/>
      <c r="L153" s="53"/>
      <c r="M153" s="52">
        <f t="shared" si="22"/>
        <v>0</v>
      </c>
      <c r="N153" s="53"/>
      <c r="O153" s="53"/>
      <c r="P153" s="52">
        <v>88.8</v>
      </c>
      <c r="Q153" s="53"/>
      <c r="R153" s="53"/>
      <c r="S153" s="52">
        <f t="shared" si="23"/>
        <v>0</v>
      </c>
      <c r="T153" s="53"/>
      <c r="U153" s="54"/>
      <c r="V153" s="9">
        <f t="shared" si="24"/>
        <v>74</v>
      </c>
      <c r="Y153" s="9">
        <f t="shared" si="25"/>
        <v>0</v>
      </c>
      <c r="AD153" s="4" t="s">
        <v>526</v>
      </c>
      <c r="AE153" s="4" t="s">
        <v>527</v>
      </c>
      <c r="AF153" s="4" t="s">
        <v>436</v>
      </c>
    </row>
    <row r="154" spans="1:35" ht="36" x14ac:dyDescent="0.3">
      <c r="A154" s="43" t="s">
        <v>528</v>
      </c>
      <c r="B154" s="43"/>
      <c r="C154" s="55" t="s">
        <v>433</v>
      </c>
      <c r="D154" s="45"/>
      <c r="E154" s="45"/>
      <c r="F154" s="56" t="s">
        <v>70</v>
      </c>
      <c r="G154" s="57">
        <v>1.4999999999999999E-2</v>
      </c>
      <c r="H154" s="45"/>
      <c r="I154" s="57">
        <v>4.6070000000000002</v>
      </c>
      <c r="J154" s="59">
        <v>88.8</v>
      </c>
      <c r="K154" s="60"/>
      <c r="L154" s="60"/>
      <c r="M154" s="59">
        <f t="shared" si="22"/>
        <v>409.1</v>
      </c>
      <c r="N154" s="60"/>
      <c r="O154" s="60"/>
      <c r="P154" s="59">
        <v>88.8</v>
      </c>
      <c r="Q154" s="60"/>
      <c r="R154" s="60"/>
      <c r="S154" s="59">
        <f t="shared" si="23"/>
        <v>409.1</v>
      </c>
      <c r="T154" s="60"/>
      <c r="U154" s="61"/>
      <c r="V154" s="9">
        <f t="shared" si="24"/>
        <v>74</v>
      </c>
      <c r="Y154" s="9">
        <f t="shared" si="25"/>
        <v>340.92</v>
      </c>
      <c r="AD154" s="4" t="s">
        <v>529</v>
      </c>
      <c r="AE154" s="4" t="s">
        <v>527</v>
      </c>
      <c r="AF154" s="4" t="s">
        <v>436</v>
      </c>
    </row>
    <row r="155" spans="1:35" ht="36" x14ac:dyDescent="0.3">
      <c r="A155" s="37" t="s">
        <v>530</v>
      </c>
      <c r="B155" s="37" t="s">
        <v>531</v>
      </c>
      <c r="C155" s="38" t="s">
        <v>532</v>
      </c>
      <c r="D155" s="39"/>
      <c r="E155" s="39" t="s">
        <v>533</v>
      </c>
      <c r="F155" s="39" t="s">
        <v>87</v>
      </c>
      <c r="G155" s="40">
        <v>1</v>
      </c>
      <c r="H155" s="39"/>
      <c r="I155" s="41">
        <v>0</v>
      </c>
      <c r="J155" s="42">
        <f>IFERROR(ROUND(SUM(M157,M159)/I155, 2),0)</f>
        <v>0</v>
      </c>
      <c r="K155" s="42">
        <v>156</v>
      </c>
      <c r="L155" s="42">
        <f>J155+ROUND(K155, 2)</f>
        <v>156</v>
      </c>
      <c r="M155" s="42">
        <f>ROUND(J155*I155, 2)</f>
        <v>0</v>
      </c>
      <c r="N155" s="42">
        <f>ROUND(I155*ROUND(K155, 2), 2)</f>
        <v>0</v>
      </c>
      <c r="O155" s="42">
        <f>M155+N155</f>
        <v>0</v>
      </c>
      <c r="P155" s="42">
        <f>IFERROR(ROUND(SUM(S157,S159)/I155, 2),0)</f>
        <v>0</v>
      </c>
      <c r="Q155" s="42">
        <v>156</v>
      </c>
      <c r="R155" s="42">
        <f>P155+ROUND(Q155, 2)</f>
        <v>156</v>
      </c>
      <c r="S155" s="42">
        <f>ROUND(P155*I155, 2)</f>
        <v>0</v>
      </c>
      <c r="T155" s="42">
        <f>ROUND(I155*ROUND(Q155, 2), 2)</f>
        <v>0</v>
      </c>
      <c r="U155" s="42">
        <f>S155+T155</f>
        <v>0</v>
      </c>
      <c r="V155" s="9">
        <f>ROUND(P155 / 1.2, 2)</f>
        <v>0</v>
      </c>
      <c r="W155" s="9">
        <f>ROUND(Q155 / 1.2, 2)</f>
        <v>130</v>
      </c>
      <c r="X155" s="9">
        <f>ROUND(R155 / 1.2, 2)</f>
        <v>130</v>
      </c>
      <c r="Y155" s="9">
        <f t="shared" si="25"/>
        <v>0</v>
      </c>
      <c r="Z155" s="9">
        <f>ROUND(T155 / 1.2, 2)</f>
        <v>0</v>
      </c>
      <c r="AA155" s="9">
        <f>Y155+Z155</f>
        <v>0</v>
      </c>
      <c r="AD155" s="4">
        <v>271132084</v>
      </c>
      <c r="AE155" s="4">
        <v>16293719</v>
      </c>
      <c r="AG155" s="4" t="s">
        <v>534</v>
      </c>
      <c r="AH155" s="4" t="s">
        <v>535</v>
      </c>
      <c r="AI155" s="4" t="s">
        <v>67</v>
      </c>
    </row>
    <row r="156" spans="1:35" ht="36" x14ac:dyDescent="0.3">
      <c r="A156" s="43" t="s">
        <v>536</v>
      </c>
      <c r="B156" s="43" t="s">
        <v>531</v>
      </c>
      <c r="C156" s="44" t="s">
        <v>532</v>
      </c>
      <c r="D156" s="45"/>
      <c r="E156" s="45"/>
      <c r="F156" s="45" t="s">
        <v>87</v>
      </c>
      <c r="G156" s="46">
        <v>1</v>
      </c>
      <c r="H156" s="45"/>
      <c r="I156" s="46">
        <v>1693.4</v>
      </c>
      <c r="J156" s="47">
        <v>0</v>
      </c>
      <c r="K156" s="47">
        <v>156</v>
      </c>
      <c r="L156" s="47"/>
      <c r="M156" s="47">
        <v>0</v>
      </c>
      <c r="N156" s="47"/>
      <c r="O156" s="47"/>
      <c r="P156" s="47">
        <v>0</v>
      </c>
      <c r="Q156" s="47">
        <v>156</v>
      </c>
      <c r="R156" s="47"/>
      <c r="S156" s="47">
        <v>0</v>
      </c>
      <c r="T156" s="47"/>
      <c r="U156" s="47"/>
      <c r="V156" s="9"/>
      <c r="W156" s="9">
        <f>ROUND(Q156 / 1.2, 2)</f>
        <v>130</v>
      </c>
      <c r="X156" s="9" t="e">
        <f>ROUND(R156 / 1.2, 2)</f>
        <v>#VALUE!</v>
      </c>
      <c r="Y156" s="9"/>
      <c r="Z156" s="9" t="e">
        <f>ROUND(T156 / 1.2, 2)</f>
        <v>#VALUE!</v>
      </c>
      <c r="AA156" s="9"/>
      <c r="AD156" s="4">
        <v>213445470</v>
      </c>
      <c r="AE156" s="4">
        <v>16293719</v>
      </c>
      <c r="AG156" s="4" t="s">
        <v>534</v>
      </c>
      <c r="AH156" s="4" t="s">
        <v>535</v>
      </c>
      <c r="AI156" s="4"/>
    </row>
    <row r="157" spans="1:35" ht="54" x14ac:dyDescent="0.3">
      <c r="A157" s="37" t="s">
        <v>537</v>
      </c>
      <c r="B157" s="37"/>
      <c r="C157" s="48" t="s">
        <v>538</v>
      </c>
      <c r="D157" s="39"/>
      <c r="E157" s="39" t="s">
        <v>539</v>
      </c>
      <c r="F157" s="49" t="s">
        <v>87</v>
      </c>
      <c r="G157" s="50">
        <v>1</v>
      </c>
      <c r="H157" s="39"/>
      <c r="I157" s="51">
        <v>0</v>
      </c>
      <c r="J157" s="52">
        <v>172.74</v>
      </c>
      <c r="K157" s="53"/>
      <c r="L157" s="53"/>
      <c r="M157" s="52">
        <f>ROUND(ROUND(J157, 2)*I157, 2)</f>
        <v>0</v>
      </c>
      <c r="N157" s="53"/>
      <c r="O157" s="53"/>
      <c r="P157" s="52">
        <v>172.74</v>
      </c>
      <c r="Q157" s="53"/>
      <c r="R157" s="53"/>
      <c r="S157" s="52">
        <f>ROUND(ROUND(P157, 2)*I157, 2)</f>
        <v>0</v>
      </c>
      <c r="T157" s="53"/>
      <c r="U157" s="54"/>
      <c r="V157" s="9">
        <f>ROUND(ROUND(P157, 2)/1.2, 2)</f>
        <v>143.94999999999999</v>
      </c>
      <c r="Y157" s="9">
        <f>ROUND(S157 / 1.2, 2)</f>
        <v>0</v>
      </c>
      <c r="AD157" s="4" t="s">
        <v>540</v>
      </c>
      <c r="AE157" s="4" t="s">
        <v>541</v>
      </c>
      <c r="AF157" s="4" t="s">
        <v>542</v>
      </c>
    </row>
    <row r="158" spans="1:35" ht="54" x14ac:dyDescent="0.3">
      <c r="A158" s="43" t="s">
        <v>543</v>
      </c>
      <c r="B158" s="43"/>
      <c r="C158" s="55" t="s">
        <v>538</v>
      </c>
      <c r="D158" s="45"/>
      <c r="E158" s="45" t="s">
        <v>539</v>
      </c>
      <c r="F158" s="56" t="s">
        <v>87</v>
      </c>
      <c r="G158" s="57">
        <v>1</v>
      </c>
      <c r="H158" s="45"/>
      <c r="I158" s="58">
        <v>1693.4</v>
      </c>
      <c r="J158" s="59">
        <v>172.74</v>
      </c>
      <c r="K158" s="60"/>
      <c r="L158" s="60"/>
      <c r="M158" s="59">
        <f>ROUND(ROUND(J158, 2)*I158, 2)</f>
        <v>292517.92</v>
      </c>
      <c r="N158" s="60"/>
      <c r="O158" s="60"/>
      <c r="P158" s="59">
        <v>172.74</v>
      </c>
      <c r="Q158" s="60"/>
      <c r="R158" s="60"/>
      <c r="S158" s="59">
        <f>ROUND(ROUND(P158, 2)*I158, 2)</f>
        <v>292517.92</v>
      </c>
      <c r="T158" s="60"/>
      <c r="U158" s="61"/>
      <c r="V158" s="9">
        <f>ROUND(ROUND(P158, 2)/1.2, 2)</f>
        <v>143.94999999999999</v>
      </c>
      <c r="Y158" s="9">
        <f>ROUND(S158 / 1.2, 2)</f>
        <v>243764.93</v>
      </c>
      <c r="AD158" s="4" t="s">
        <v>544</v>
      </c>
      <c r="AE158" s="4" t="s">
        <v>541</v>
      </c>
      <c r="AF158" s="4" t="s">
        <v>542</v>
      </c>
    </row>
    <row r="159" spans="1:35" ht="54" x14ac:dyDescent="0.3">
      <c r="A159" s="37" t="s">
        <v>545</v>
      </c>
      <c r="B159" s="37"/>
      <c r="C159" s="48" t="s">
        <v>482</v>
      </c>
      <c r="D159" s="39"/>
      <c r="E159" s="39" t="s">
        <v>483</v>
      </c>
      <c r="F159" s="49" t="s">
        <v>116</v>
      </c>
      <c r="G159" s="50">
        <v>0.09</v>
      </c>
      <c r="H159" s="39"/>
      <c r="I159" s="51">
        <v>0</v>
      </c>
      <c r="J159" s="52">
        <v>100</v>
      </c>
      <c r="K159" s="53"/>
      <c r="L159" s="53"/>
      <c r="M159" s="52">
        <f>ROUND(ROUND(J159, 2)*I159, 2)</f>
        <v>0</v>
      </c>
      <c r="N159" s="53"/>
      <c r="O159" s="53"/>
      <c r="P159" s="52">
        <v>100</v>
      </c>
      <c r="Q159" s="53"/>
      <c r="R159" s="53"/>
      <c r="S159" s="52">
        <f>ROUND(ROUND(P159, 2)*I159, 2)</f>
        <v>0</v>
      </c>
      <c r="T159" s="53"/>
      <c r="U159" s="54"/>
      <c r="V159" s="9">
        <f>ROUND(ROUND(P159, 2)/1.2, 2)</f>
        <v>83.33</v>
      </c>
      <c r="Y159" s="9">
        <f>ROUND(S159 / 1.2, 2)</f>
        <v>0</v>
      </c>
      <c r="AD159" s="4" t="s">
        <v>546</v>
      </c>
      <c r="AE159" s="4" t="s">
        <v>547</v>
      </c>
      <c r="AF159" s="4" t="s">
        <v>486</v>
      </c>
    </row>
    <row r="160" spans="1:35" ht="54" x14ac:dyDescent="0.3">
      <c r="A160" s="43" t="s">
        <v>548</v>
      </c>
      <c r="B160" s="43"/>
      <c r="C160" s="55" t="s">
        <v>482</v>
      </c>
      <c r="D160" s="45"/>
      <c r="E160" s="45" t="s">
        <v>483</v>
      </c>
      <c r="F160" s="56" t="s">
        <v>116</v>
      </c>
      <c r="G160" s="57">
        <v>0.09</v>
      </c>
      <c r="H160" s="45"/>
      <c r="I160" s="58">
        <v>152.40600000000001</v>
      </c>
      <c r="J160" s="59">
        <v>100</v>
      </c>
      <c r="K160" s="60"/>
      <c r="L160" s="60"/>
      <c r="M160" s="59">
        <f>ROUND(ROUND(J160, 2)*I160, 2)</f>
        <v>15240.6</v>
      </c>
      <c r="N160" s="60"/>
      <c r="O160" s="60"/>
      <c r="P160" s="59">
        <v>100</v>
      </c>
      <c r="Q160" s="60"/>
      <c r="R160" s="60"/>
      <c r="S160" s="59">
        <f>ROUND(ROUND(P160, 2)*I160, 2)</f>
        <v>15240.6</v>
      </c>
      <c r="T160" s="60"/>
      <c r="U160" s="61"/>
      <c r="V160" s="9">
        <f>ROUND(ROUND(P160, 2)/1.2, 2)</f>
        <v>83.33</v>
      </c>
      <c r="Y160" s="9">
        <f>ROUND(S160 / 1.2, 2)</f>
        <v>12700.5</v>
      </c>
      <c r="AD160" s="4" t="s">
        <v>549</v>
      </c>
      <c r="AE160" s="4" t="s">
        <v>547</v>
      </c>
      <c r="AF160" s="4" t="s">
        <v>486</v>
      </c>
    </row>
    <row r="161" spans="1:35" ht="36" x14ac:dyDescent="0.3">
      <c r="A161" s="37" t="s">
        <v>550</v>
      </c>
      <c r="B161" s="37" t="s">
        <v>551</v>
      </c>
      <c r="C161" s="38" t="s">
        <v>552</v>
      </c>
      <c r="D161" s="39"/>
      <c r="E161" s="39" t="s">
        <v>63</v>
      </c>
      <c r="F161" s="39" t="s">
        <v>64</v>
      </c>
      <c r="G161" s="40">
        <v>1</v>
      </c>
      <c r="H161" s="39"/>
      <c r="I161" s="41">
        <v>3721.92</v>
      </c>
      <c r="J161" s="42">
        <f>IFERROR(ROUND(SUM(M163,M165)/I161, 2),0)</f>
        <v>0</v>
      </c>
      <c r="K161" s="42">
        <v>661</v>
      </c>
      <c r="L161" s="42">
        <f>J161+ROUND(K161, 2)</f>
        <v>661</v>
      </c>
      <c r="M161" s="42">
        <f>ROUND(J161*I161, 2)</f>
        <v>0</v>
      </c>
      <c r="N161" s="42">
        <f>ROUND(I161*ROUND(K161, 2), 2)</f>
        <v>2460189.12</v>
      </c>
      <c r="O161" s="42">
        <f>M161+N161</f>
        <v>2460189.12</v>
      </c>
      <c r="P161" s="42">
        <f>IFERROR(ROUND(SUM(S163,S165)/I161, 2),0)</f>
        <v>2064.19</v>
      </c>
      <c r="Q161" s="42">
        <v>661</v>
      </c>
      <c r="R161" s="42">
        <f>P161+ROUND(Q161, 2)</f>
        <v>2725.19</v>
      </c>
      <c r="S161" s="42">
        <f>ROUND(P161*I161, 2)</f>
        <v>7682750.04</v>
      </c>
      <c r="T161" s="42">
        <f>ROUND(I161*ROUND(Q161, 2), 2)</f>
        <v>2460189.12</v>
      </c>
      <c r="U161" s="42">
        <f>S161+T161</f>
        <v>10142939.16</v>
      </c>
      <c r="V161" s="9">
        <f>ROUND(P161 / 1.2, 2)</f>
        <v>1720.16</v>
      </c>
      <c r="W161" s="9">
        <f>ROUND(Q161 / 1.2, 2)</f>
        <v>550.83000000000004</v>
      </c>
      <c r="X161" s="9">
        <f>ROUND(R161 / 1.2, 2)</f>
        <v>2270.9899999999998</v>
      </c>
      <c r="Y161" s="9">
        <f>ROUND(S161 / 1.2, 2)</f>
        <v>6402291.7000000002</v>
      </c>
      <c r="Z161" s="9">
        <f>ROUND(T161 / 1.2, 2)</f>
        <v>2050157.6</v>
      </c>
      <c r="AA161" s="9">
        <f>Y161+Z161</f>
        <v>8452449.3000000007</v>
      </c>
      <c r="AD161" s="4">
        <v>271132086</v>
      </c>
      <c r="AE161" s="4">
        <v>16296636</v>
      </c>
      <c r="AG161" s="4" t="s">
        <v>553</v>
      </c>
      <c r="AH161" s="4" t="s">
        <v>554</v>
      </c>
      <c r="AI161" s="4" t="s">
        <v>67</v>
      </c>
    </row>
    <row r="162" spans="1:35" ht="36" x14ac:dyDescent="0.3">
      <c r="A162" s="43" t="s">
        <v>555</v>
      </c>
      <c r="B162" s="43" t="s">
        <v>551</v>
      </c>
      <c r="C162" s="44" t="s">
        <v>552</v>
      </c>
      <c r="D162" s="45"/>
      <c r="E162" s="45"/>
      <c r="F162" s="45" t="s">
        <v>64</v>
      </c>
      <c r="G162" s="46">
        <v>1</v>
      </c>
      <c r="H162" s="45"/>
      <c r="I162" s="46">
        <v>3759.2</v>
      </c>
      <c r="J162" s="47">
        <v>0</v>
      </c>
      <c r="K162" s="47">
        <v>661</v>
      </c>
      <c r="L162" s="47"/>
      <c r="M162" s="47">
        <v>0</v>
      </c>
      <c r="N162" s="47"/>
      <c r="O162" s="47"/>
      <c r="P162" s="47">
        <v>0</v>
      </c>
      <c r="Q162" s="47">
        <v>661</v>
      </c>
      <c r="R162" s="47"/>
      <c r="S162" s="47">
        <v>0</v>
      </c>
      <c r="T162" s="47"/>
      <c r="U162" s="47"/>
      <c r="V162" s="9"/>
      <c r="W162" s="9">
        <f>ROUND(Q162 / 1.2, 2)</f>
        <v>550.83000000000004</v>
      </c>
      <c r="X162" s="9" t="e">
        <f>ROUND(R162 / 1.2, 2)</f>
        <v>#VALUE!</v>
      </c>
      <c r="Y162" s="9"/>
      <c r="Z162" s="9" t="e">
        <f>ROUND(T162 / 1.2, 2)</f>
        <v>#VALUE!</v>
      </c>
      <c r="AA162" s="9"/>
      <c r="AD162" s="4">
        <v>225302444</v>
      </c>
      <c r="AE162" s="4">
        <v>16296636</v>
      </c>
      <c r="AG162" s="4" t="s">
        <v>553</v>
      </c>
      <c r="AH162" s="4" t="s">
        <v>554</v>
      </c>
      <c r="AI162" s="4"/>
    </row>
    <row r="163" spans="1:35" ht="90" x14ac:dyDescent="0.3">
      <c r="A163" s="37" t="s">
        <v>556</v>
      </c>
      <c r="B163" s="37"/>
      <c r="C163" s="48" t="s">
        <v>557</v>
      </c>
      <c r="D163" s="39"/>
      <c r="E163" s="39" t="s">
        <v>558</v>
      </c>
      <c r="F163" s="49" t="s">
        <v>116</v>
      </c>
      <c r="G163" s="50">
        <v>1</v>
      </c>
      <c r="H163" s="39"/>
      <c r="I163" s="51">
        <v>433.65600000000001</v>
      </c>
      <c r="J163" s="52">
        <v>0</v>
      </c>
      <c r="K163" s="53"/>
      <c r="L163" s="53"/>
      <c r="M163" s="52">
        <f>ROUND(ROUND(J163, 2)*I163, 2)</f>
        <v>0</v>
      </c>
      <c r="N163" s="53"/>
      <c r="O163" s="53"/>
      <c r="P163" s="52">
        <v>4456</v>
      </c>
      <c r="Q163" s="53"/>
      <c r="R163" s="53"/>
      <c r="S163" s="52">
        <f>ROUND(ROUND(P163, 2)*I163, 2)</f>
        <v>1932371.14</v>
      </c>
      <c r="T163" s="53"/>
      <c r="U163" s="54"/>
      <c r="V163" s="9">
        <f>ROUND(ROUND(P163, 2)/1.2, 2)</f>
        <v>3713.33</v>
      </c>
      <c r="Y163" s="9">
        <f t="shared" ref="Y163:Y208" si="26">ROUND(S163 / 1.2, 2)</f>
        <v>1610309.28</v>
      </c>
      <c r="AD163" s="4" t="s">
        <v>559</v>
      </c>
      <c r="AE163" s="4" t="s">
        <v>560</v>
      </c>
      <c r="AF163" s="4" t="s">
        <v>561</v>
      </c>
    </row>
    <row r="164" spans="1:35" ht="90" x14ac:dyDescent="0.3">
      <c r="A164" s="43" t="s">
        <v>562</v>
      </c>
      <c r="B164" s="43"/>
      <c r="C164" s="55" t="s">
        <v>557</v>
      </c>
      <c r="D164" s="45"/>
      <c r="E164" s="45" t="s">
        <v>558</v>
      </c>
      <c r="F164" s="56" t="s">
        <v>116</v>
      </c>
      <c r="G164" s="57">
        <v>1</v>
      </c>
      <c r="H164" s="45"/>
      <c r="I164" s="58">
        <v>438</v>
      </c>
      <c r="J164" s="59">
        <v>0</v>
      </c>
      <c r="K164" s="60"/>
      <c r="L164" s="60"/>
      <c r="M164" s="59">
        <f>ROUND(ROUND(J164, 2)*I164, 2)</f>
        <v>0</v>
      </c>
      <c r="N164" s="60"/>
      <c r="O164" s="60"/>
      <c r="P164" s="59">
        <v>4456</v>
      </c>
      <c r="Q164" s="60"/>
      <c r="R164" s="60"/>
      <c r="S164" s="59">
        <f>ROUND(ROUND(P164, 2)*I164, 2)</f>
        <v>1951728</v>
      </c>
      <c r="T164" s="60"/>
      <c r="U164" s="61"/>
      <c r="V164" s="9">
        <f>ROUND(ROUND(P164, 2)/1.2, 2)</f>
        <v>3713.33</v>
      </c>
      <c r="Y164" s="9">
        <f t="shared" si="26"/>
        <v>1626440</v>
      </c>
      <c r="AD164" s="4" t="s">
        <v>563</v>
      </c>
      <c r="AE164" s="4" t="s">
        <v>560</v>
      </c>
      <c r="AF164" s="4" t="s">
        <v>561</v>
      </c>
    </row>
    <row r="165" spans="1:35" ht="90" x14ac:dyDescent="0.3">
      <c r="A165" s="37" t="s">
        <v>564</v>
      </c>
      <c r="B165" s="37"/>
      <c r="C165" s="48" t="s">
        <v>565</v>
      </c>
      <c r="D165" s="39"/>
      <c r="E165" s="39" t="s">
        <v>566</v>
      </c>
      <c r="F165" s="49" t="s">
        <v>64</v>
      </c>
      <c r="G165" s="50">
        <v>1.03</v>
      </c>
      <c r="H165" s="39"/>
      <c r="I165" s="51">
        <v>3833.578</v>
      </c>
      <c r="J165" s="52">
        <v>0</v>
      </c>
      <c r="K165" s="53"/>
      <c r="L165" s="53"/>
      <c r="M165" s="52">
        <f>ROUND(ROUND(J165, 2)*I165, 2)</f>
        <v>0</v>
      </c>
      <c r="N165" s="53"/>
      <c r="O165" s="53"/>
      <c r="P165" s="52">
        <v>1500</v>
      </c>
      <c r="Q165" s="53"/>
      <c r="R165" s="53"/>
      <c r="S165" s="52">
        <f>ROUND(ROUND(P165, 2)*I165, 2)</f>
        <v>5750367</v>
      </c>
      <c r="T165" s="53"/>
      <c r="U165" s="54"/>
      <c r="V165" s="9">
        <f>ROUND(ROUND(P165, 2)/1.2, 2)</f>
        <v>1250</v>
      </c>
      <c r="Y165" s="9">
        <f t="shared" si="26"/>
        <v>4791972.5</v>
      </c>
      <c r="AD165" s="4" t="s">
        <v>567</v>
      </c>
      <c r="AE165" s="4" t="s">
        <v>568</v>
      </c>
      <c r="AF165" s="4" t="s">
        <v>569</v>
      </c>
    </row>
    <row r="166" spans="1:35" ht="90" x14ac:dyDescent="0.3">
      <c r="A166" s="43" t="s">
        <v>570</v>
      </c>
      <c r="B166" s="43"/>
      <c r="C166" s="55" t="s">
        <v>565</v>
      </c>
      <c r="D166" s="45"/>
      <c r="E166" s="45" t="s">
        <v>566</v>
      </c>
      <c r="F166" s="56" t="s">
        <v>64</v>
      </c>
      <c r="G166" s="57">
        <v>1.03</v>
      </c>
      <c r="H166" s="45"/>
      <c r="I166" s="58">
        <v>3871.9760000000001</v>
      </c>
      <c r="J166" s="59">
        <v>0</v>
      </c>
      <c r="K166" s="60"/>
      <c r="L166" s="60"/>
      <c r="M166" s="59">
        <f>ROUND(ROUND(J166, 2)*I166, 2)</f>
        <v>0</v>
      </c>
      <c r="N166" s="60"/>
      <c r="O166" s="60"/>
      <c r="P166" s="59">
        <v>1500</v>
      </c>
      <c r="Q166" s="60"/>
      <c r="R166" s="60"/>
      <c r="S166" s="59">
        <f>ROUND(ROUND(P166, 2)*I166, 2)</f>
        <v>5807964</v>
      </c>
      <c r="T166" s="60"/>
      <c r="U166" s="61"/>
      <c r="V166" s="9">
        <f>ROUND(ROUND(P166, 2)/1.2, 2)</f>
        <v>1250</v>
      </c>
      <c r="Y166" s="9">
        <f t="shared" si="26"/>
        <v>4839970</v>
      </c>
      <c r="AD166" s="4" t="s">
        <v>571</v>
      </c>
      <c r="AE166" s="4" t="s">
        <v>568</v>
      </c>
      <c r="AF166" s="4" t="s">
        <v>569</v>
      </c>
    </row>
    <row r="167" spans="1:35" ht="36" x14ac:dyDescent="0.3">
      <c r="A167" s="25" t="s">
        <v>572</v>
      </c>
      <c r="B167" s="25" t="s">
        <v>551</v>
      </c>
      <c r="C167" s="26" t="s">
        <v>552</v>
      </c>
      <c r="D167" s="27"/>
      <c r="E167" s="27" t="s">
        <v>81</v>
      </c>
      <c r="F167" s="27" t="s">
        <v>64</v>
      </c>
      <c r="G167" s="28">
        <v>1</v>
      </c>
      <c r="H167" s="27"/>
      <c r="I167" s="28">
        <v>3457.16</v>
      </c>
      <c r="J167" s="29">
        <f>IFERROR(ROUND(SUM(M168,M169)/I167, 2),0)</f>
        <v>0</v>
      </c>
      <c r="K167" s="29">
        <v>661</v>
      </c>
      <c r="L167" s="29">
        <f>J167+ROUND(K167, 2)</f>
        <v>661</v>
      </c>
      <c r="M167" s="29">
        <f>ROUND(J167*I167, 2)</f>
        <v>0</v>
      </c>
      <c r="N167" s="29">
        <f>ROUND(I167*ROUND(K167, 2), 2)</f>
        <v>2285182.7599999998</v>
      </c>
      <c r="O167" s="29">
        <f>M167+N167</f>
        <v>2285182.7599999998</v>
      </c>
      <c r="P167" s="29">
        <f>IFERROR(ROUND(SUM(S168,S169)/I167, 2),0)</f>
        <v>0</v>
      </c>
      <c r="Q167" s="29">
        <v>661</v>
      </c>
      <c r="R167" s="29">
        <f>P167+ROUND(Q167, 2)</f>
        <v>661</v>
      </c>
      <c r="S167" s="29">
        <f>ROUND(P167*I167, 2)</f>
        <v>0</v>
      </c>
      <c r="T167" s="29">
        <f>ROUND(I167*ROUND(Q167, 2), 2)</f>
        <v>2285182.7599999998</v>
      </c>
      <c r="U167" s="29">
        <f>S167+T167</f>
        <v>2285182.7599999998</v>
      </c>
      <c r="V167" s="9">
        <f>ROUND(P167 / 1.2, 2)</f>
        <v>0</v>
      </c>
      <c r="W167" s="9">
        <f>ROUND(Q167 / 1.2, 2)</f>
        <v>550.83000000000004</v>
      </c>
      <c r="X167" s="9">
        <f>ROUND(R167 / 1.2, 2)</f>
        <v>550.83000000000004</v>
      </c>
      <c r="Y167" s="9">
        <f t="shared" si="26"/>
        <v>0</v>
      </c>
      <c r="Z167" s="9">
        <f>ROUND(T167 / 1.2, 2)</f>
        <v>1904318.97</v>
      </c>
      <c r="AA167" s="9">
        <f>Y167+Z167</f>
        <v>1904318.97</v>
      </c>
      <c r="AD167" s="4">
        <v>271132171</v>
      </c>
      <c r="AE167" s="4">
        <v>19813231</v>
      </c>
      <c r="AG167" s="4" t="s">
        <v>553</v>
      </c>
      <c r="AH167" s="4" t="s">
        <v>554</v>
      </c>
      <c r="AI167" s="4" t="s">
        <v>67</v>
      </c>
    </row>
    <row r="168" spans="1:35" ht="90" x14ac:dyDescent="0.3">
      <c r="A168" s="25" t="s">
        <v>573</v>
      </c>
      <c r="B168" s="25"/>
      <c r="C168" s="30" t="s">
        <v>565</v>
      </c>
      <c r="D168" s="27"/>
      <c r="E168" s="27" t="s">
        <v>574</v>
      </c>
      <c r="F168" s="31" t="s">
        <v>64</v>
      </c>
      <c r="G168" s="32">
        <v>1.03</v>
      </c>
      <c r="H168" s="27"/>
      <c r="I168" s="33">
        <v>3560.875</v>
      </c>
      <c r="J168" s="34">
        <v>0</v>
      </c>
      <c r="K168" s="35"/>
      <c r="L168" s="35"/>
      <c r="M168" s="34">
        <f>ROUND(ROUND(J168, 2)*I168, 2)</f>
        <v>0</v>
      </c>
      <c r="N168" s="35"/>
      <c r="O168" s="35"/>
      <c r="P168" s="34">
        <v>0</v>
      </c>
      <c r="Q168" s="35"/>
      <c r="R168" s="35"/>
      <c r="S168" s="34">
        <f>ROUND(ROUND(P168, 2)*I168, 2)</f>
        <v>0</v>
      </c>
      <c r="T168" s="35"/>
      <c r="U168" s="36"/>
      <c r="V168" s="9">
        <f>ROUND(ROUND(P168, 2)/1.2, 2)</f>
        <v>0</v>
      </c>
      <c r="Y168" s="9">
        <f t="shared" si="26"/>
        <v>0</v>
      </c>
      <c r="AD168" s="4" t="s">
        <v>575</v>
      </c>
      <c r="AE168" s="4" t="s">
        <v>576</v>
      </c>
      <c r="AF168" s="4" t="s">
        <v>569</v>
      </c>
    </row>
    <row r="169" spans="1:35" ht="90" x14ac:dyDescent="0.3">
      <c r="A169" s="25" t="s">
        <v>577</v>
      </c>
      <c r="B169" s="25"/>
      <c r="C169" s="30" t="s">
        <v>557</v>
      </c>
      <c r="D169" s="27"/>
      <c r="E169" s="27" t="s">
        <v>558</v>
      </c>
      <c r="F169" s="31" t="s">
        <v>116</v>
      </c>
      <c r="G169" s="32">
        <v>1</v>
      </c>
      <c r="H169" s="27"/>
      <c r="I169" s="33">
        <v>408</v>
      </c>
      <c r="J169" s="34">
        <v>0</v>
      </c>
      <c r="K169" s="35"/>
      <c r="L169" s="35"/>
      <c r="M169" s="34">
        <f>ROUND(ROUND(J169, 2)*I169, 2)</f>
        <v>0</v>
      </c>
      <c r="N169" s="35"/>
      <c r="O169" s="35"/>
      <c r="P169" s="34">
        <v>0</v>
      </c>
      <c r="Q169" s="35"/>
      <c r="R169" s="35"/>
      <c r="S169" s="34">
        <f>ROUND(ROUND(P169, 2)*I169, 2)</f>
        <v>0</v>
      </c>
      <c r="T169" s="35"/>
      <c r="U169" s="36"/>
      <c r="V169" s="9">
        <f>ROUND(ROUND(P169, 2)/1.2, 2)</f>
        <v>0</v>
      </c>
      <c r="Y169" s="9">
        <f t="shared" si="26"/>
        <v>0</v>
      </c>
      <c r="AD169" s="4" t="s">
        <v>578</v>
      </c>
      <c r="AE169" s="4" t="s">
        <v>579</v>
      </c>
      <c r="AF169" s="4" t="s">
        <v>561</v>
      </c>
    </row>
    <row r="170" spans="1:35" ht="36" x14ac:dyDescent="0.3">
      <c r="A170" s="25" t="s">
        <v>580</v>
      </c>
      <c r="B170" s="25" t="s">
        <v>581</v>
      </c>
      <c r="C170" s="26" t="s">
        <v>582</v>
      </c>
      <c r="D170" s="27"/>
      <c r="E170" s="27" t="s">
        <v>583</v>
      </c>
      <c r="F170" s="27" t="s">
        <v>87</v>
      </c>
      <c r="G170" s="28">
        <v>1</v>
      </c>
      <c r="H170" s="27"/>
      <c r="I170" s="28">
        <v>1560.93</v>
      </c>
      <c r="J170" s="29">
        <f>IFERROR(ROUND(SUM(M171)/I170, 2),0)</f>
        <v>379.23</v>
      </c>
      <c r="K170" s="29">
        <v>210</v>
      </c>
      <c r="L170" s="29">
        <f>J170+ROUND(K170, 2)</f>
        <v>589.23</v>
      </c>
      <c r="M170" s="29">
        <f>ROUND(J170*I170, 2)</f>
        <v>591951.48</v>
      </c>
      <c r="N170" s="29">
        <f>ROUND(I170*ROUND(K170, 2), 2)</f>
        <v>327795.3</v>
      </c>
      <c r="O170" s="29">
        <f>M170+N170</f>
        <v>919746.78</v>
      </c>
      <c r="P170" s="29">
        <f>IFERROR(ROUND(SUM(S171)/I170, 2),0)</f>
        <v>379.23</v>
      </c>
      <c r="Q170" s="29">
        <v>210</v>
      </c>
      <c r="R170" s="29">
        <f>P170+ROUND(Q170, 2)</f>
        <v>589.23</v>
      </c>
      <c r="S170" s="29">
        <f>ROUND(P170*I170, 2)</f>
        <v>591951.48</v>
      </c>
      <c r="T170" s="29">
        <f>ROUND(I170*ROUND(Q170, 2), 2)</f>
        <v>327795.3</v>
      </c>
      <c r="U170" s="29">
        <f>S170+T170</f>
        <v>919746.78</v>
      </c>
      <c r="V170" s="9">
        <f>ROUND(P170 / 1.2, 2)</f>
        <v>316.02999999999997</v>
      </c>
      <c r="W170" s="9">
        <f>ROUND(Q170 / 1.2, 2)</f>
        <v>175</v>
      </c>
      <c r="X170" s="9">
        <f>ROUND(R170 / 1.2, 2)</f>
        <v>491.03</v>
      </c>
      <c r="Y170" s="9">
        <f t="shared" si="26"/>
        <v>493292.9</v>
      </c>
      <c r="Z170" s="9">
        <f>ROUND(T170 / 1.2, 2)</f>
        <v>273162.75</v>
      </c>
      <c r="AA170" s="9">
        <f>Y170+Z170</f>
        <v>766455.65</v>
      </c>
      <c r="AD170" s="4">
        <v>271132088</v>
      </c>
      <c r="AE170" s="4">
        <v>19813576</v>
      </c>
      <c r="AG170" s="4" t="s">
        <v>584</v>
      </c>
      <c r="AH170" s="4" t="s">
        <v>585</v>
      </c>
      <c r="AI170" s="4" t="s">
        <v>67</v>
      </c>
    </row>
    <row r="171" spans="1:35" ht="72" x14ac:dyDescent="0.3">
      <c r="A171" s="25" t="s">
        <v>586</v>
      </c>
      <c r="B171" s="25"/>
      <c r="C171" s="30" t="s">
        <v>587</v>
      </c>
      <c r="D171" s="27"/>
      <c r="E171" s="27"/>
      <c r="F171" s="31" t="s">
        <v>87</v>
      </c>
      <c r="G171" s="32">
        <v>1.1000000000000001</v>
      </c>
      <c r="H171" s="27"/>
      <c r="I171" s="33">
        <v>1717.0229999999999</v>
      </c>
      <c r="J171" s="34">
        <v>344.75</v>
      </c>
      <c r="K171" s="35"/>
      <c r="L171" s="35"/>
      <c r="M171" s="34">
        <f>ROUND(ROUND(J171, 2)*I171, 2)</f>
        <v>591943.68000000005</v>
      </c>
      <c r="N171" s="35"/>
      <c r="O171" s="35"/>
      <c r="P171" s="34">
        <v>344.75</v>
      </c>
      <c r="Q171" s="35"/>
      <c r="R171" s="35"/>
      <c r="S171" s="34">
        <f>ROUND(ROUND(P171, 2)*I171, 2)</f>
        <v>591943.68000000005</v>
      </c>
      <c r="T171" s="35"/>
      <c r="U171" s="36"/>
      <c r="V171" s="9">
        <f>ROUND(ROUND(P171, 2)/1.2, 2)</f>
        <v>287.29000000000002</v>
      </c>
      <c r="Y171" s="9">
        <f t="shared" si="26"/>
        <v>493286.40000000002</v>
      </c>
      <c r="AD171" s="4" t="s">
        <v>588</v>
      </c>
      <c r="AE171" s="4" t="s">
        <v>589</v>
      </c>
      <c r="AF171" s="4" t="s">
        <v>590</v>
      </c>
    </row>
    <row r="172" spans="1:35" ht="36" x14ac:dyDescent="0.3">
      <c r="A172" s="25" t="s">
        <v>591</v>
      </c>
      <c r="B172" s="25" t="s">
        <v>581</v>
      </c>
      <c r="C172" s="26" t="s">
        <v>582</v>
      </c>
      <c r="D172" s="27"/>
      <c r="E172" s="27" t="s">
        <v>533</v>
      </c>
      <c r="F172" s="27" t="s">
        <v>87</v>
      </c>
      <c r="G172" s="28">
        <v>1</v>
      </c>
      <c r="H172" s="27"/>
      <c r="I172" s="28">
        <v>1769.72</v>
      </c>
      <c r="J172" s="29">
        <f>IFERROR(ROUND(SUM(M173)/I172, 2),0)</f>
        <v>379.23</v>
      </c>
      <c r="K172" s="29">
        <v>210</v>
      </c>
      <c r="L172" s="29">
        <f>J172+ROUND(K172, 2)</f>
        <v>589.23</v>
      </c>
      <c r="M172" s="29">
        <f>ROUND(J172*I172, 2)</f>
        <v>671130.92</v>
      </c>
      <c r="N172" s="29">
        <f>ROUND(I172*ROUND(K172, 2), 2)</f>
        <v>371641.2</v>
      </c>
      <c r="O172" s="29">
        <f>M172+N172</f>
        <v>1042772.12</v>
      </c>
      <c r="P172" s="29">
        <f>IFERROR(ROUND(SUM(S173)/I172, 2),0)</f>
        <v>379.23</v>
      </c>
      <c r="Q172" s="29">
        <v>210</v>
      </c>
      <c r="R172" s="29">
        <f>P172+ROUND(Q172, 2)</f>
        <v>589.23</v>
      </c>
      <c r="S172" s="29">
        <f>ROUND(P172*I172, 2)</f>
        <v>671130.92</v>
      </c>
      <c r="T172" s="29">
        <f>ROUND(I172*ROUND(Q172, 2), 2)</f>
        <v>371641.2</v>
      </c>
      <c r="U172" s="29">
        <f>S172+T172</f>
        <v>1042772.12</v>
      </c>
      <c r="V172" s="9">
        <f>ROUND(P172 / 1.2, 2)</f>
        <v>316.02999999999997</v>
      </c>
      <c r="W172" s="9">
        <f>ROUND(Q172 / 1.2, 2)</f>
        <v>175</v>
      </c>
      <c r="X172" s="9">
        <f>ROUND(R172 / 1.2, 2)</f>
        <v>491.03</v>
      </c>
      <c r="Y172" s="9">
        <f t="shared" si="26"/>
        <v>559275.77</v>
      </c>
      <c r="Z172" s="9">
        <f>ROUND(T172 / 1.2, 2)</f>
        <v>309701</v>
      </c>
      <c r="AA172" s="9">
        <f>Y172+Z172</f>
        <v>868976.77</v>
      </c>
      <c r="AD172" s="4">
        <v>271132172</v>
      </c>
      <c r="AE172" s="4">
        <v>19971569</v>
      </c>
      <c r="AG172" s="4" t="s">
        <v>584</v>
      </c>
      <c r="AH172" s="4" t="s">
        <v>585</v>
      </c>
      <c r="AI172" s="4" t="s">
        <v>67</v>
      </c>
    </row>
    <row r="173" spans="1:35" ht="72" x14ac:dyDescent="0.3">
      <c r="A173" s="25" t="s">
        <v>592</v>
      </c>
      <c r="B173" s="25"/>
      <c r="C173" s="30" t="s">
        <v>587</v>
      </c>
      <c r="D173" s="27"/>
      <c r="E173" s="27"/>
      <c r="F173" s="31" t="s">
        <v>87</v>
      </c>
      <c r="G173" s="32">
        <v>1.1000000000000001</v>
      </c>
      <c r="H173" s="27"/>
      <c r="I173" s="33">
        <v>1946.692</v>
      </c>
      <c r="J173" s="34">
        <v>344.75</v>
      </c>
      <c r="K173" s="35"/>
      <c r="L173" s="35"/>
      <c r="M173" s="34">
        <f>ROUND(ROUND(J173, 2)*I173, 2)</f>
        <v>671122.07</v>
      </c>
      <c r="N173" s="35"/>
      <c r="O173" s="35"/>
      <c r="P173" s="34">
        <v>344.75</v>
      </c>
      <c r="Q173" s="35"/>
      <c r="R173" s="35"/>
      <c r="S173" s="34">
        <f>ROUND(ROUND(P173, 2)*I173, 2)</f>
        <v>671122.07</v>
      </c>
      <c r="T173" s="35"/>
      <c r="U173" s="36"/>
      <c r="V173" s="9">
        <f>ROUND(ROUND(P173, 2)/1.2, 2)</f>
        <v>287.29000000000002</v>
      </c>
      <c r="Y173" s="9">
        <f t="shared" si="26"/>
        <v>559268.39</v>
      </c>
      <c r="AD173" s="4" t="s">
        <v>593</v>
      </c>
      <c r="AE173" s="4" t="s">
        <v>594</v>
      </c>
      <c r="AF173" s="4" t="s">
        <v>590</v>
      </c>
    </row>
    <row r="174" spans="1:35" ht="36" x14ac:dyDescent="0.3">
      <c r="A174" s="25" t="s">
        <v>595</v>
      </c>
      <c r="B174" s="25" t="s">
        <v>596</v>
      </c>
      <c r="C174" s="26" t="s">
        <v>597</v>
      </c>
      <c r="D174" s="27"/>
      <c r="E174" s="27" t="s">
        <v>81</v>
      </c>
      <c r="F174" s="27" t="s">
        <v>87</v>
      </c>
      <c r="G174" s="28">
        <v>1</v>
      </c>
      <c r="H174" s="27"/>
      <c r="I174" s="28">
        <v>137.82</v>
      </c>
      <c r="J174" s="29">
        <f>IFERROR(ROUND(SUM(M175,M176,M177,M178)/I174, 2),0)</f>
        <v>375.74</v>
      </c>
      <c r="K174" s="29">
        <v>473</v>
      </c>
      <c r="L174" s="29">
        <f>J174+ROUND(K174, 2)</f>
        <v>848.74</v>
      </c>
      <c r="M174" s="29">
        <f>ROUND(J174*I174, 2)</f>
        <v>51784.49</v>
      </c>
      <c r="N174" s="29">
        <f>ROUND(I174*ROUND(K174, 2), 2)</f>
        <v>65188.86</v>
      </c>
      <c r="O174" s="29">
        <f>M174+N174</f>
        <v>116973.35</v>
      </c>
      <c r="P174" s="29">
        <f>IFERROR(ROUND(SUM(S175,S176,S177,S178)/I174, 2),0)</f>
        <v>375.74</v>
      </c>
      <c r="Q174" s="29">
        <v>473</v>
      </c>
      <c r="R174" s="29">
        <f>P174+ROUND(Q174, 2)</f>
        <v>848.74</v>
      </c>
      <c r="S174" s="29">
        <f>ROUND(P174*I174, 2)</f>
        <v>51784.49</v>
      </c>
      <c r="T174" s="29">
        <f>ROUND(I174*ROUND(Q174, 2), 2)</f>
        <v>65188.86</v>
      </c>
      <c r="U174" s="29">
        <f>S174+T174</f>
        <v>116973.35</v>
      </c>
      <c r="V174" s="9">
        <f>ROUND(P174 / 1.2, 2)</f>
        <v>313.12</v>
      </c>
      <c r="W174" s="9">
        <f>ROUND(Q174 / 1.2, 2)</f>
        <v>394.17</v>
      </c>
      <c r="X174" s="9">
        <f>ROUND(R174 / 1.2, 2)</f>
        <v>707.28</v>
      </c>
      <c r="Y174" s="9">
        <f t="shared" si="26"/>
        <v>43153.74</v>
      </c>
      <c r="Z174" s="9">
        <f>ROUND(T174 / 1.2, 2)</f>
        <v>54324.05</v>
      </c>
      <c r="AA174" s="9">
        <f>Y174+Z174</f>
        <v>97477.79</v>
      </c>
      <c r="AD174" s="4">
        <v>271132090</v>
      </c>
      <c r="AE174" s="4">
        <v>19813577</v>
      </c>
      <c r="AG174" s="4" t="s">
        <v>598</v>
      </c>
      <c r="AH174" s="4" t="s">
        <v>599</v>
      </c>
      <c r="AI174" s="4" t="s">
        <v>67</v>
      </c>
    </row>
    <row r="175" spans="1:35" ht="54" x14ac:dyDescent="0.3">
      <c r="A175" s="25" t="s">
        <v>600</v>
      </c>
      <c r="B175" s="25"/>
      <c r="C175" s="17" t="s">
        <v>601</v>
      </c>
      <c r="D175" s="27"/>
      <c r="E175" s="27" t="s">
        <v>402</v>
      </c>
      <c r="F175" s="31" t="s">
        <v>70</v>
      </c>
      <c r="G175" s="32">
        <v>0.7</v>
      </c>
      <c r="H175" s="27"/>
      <c r="I175" s="33">
        <v>96.474000000000004</v>
      </c>
      <c r="J175" s="34">
        <v>16.96</v>
      </c>
      <c r="K175" s="35"/>
      <c r="L175" s="35"/>
      <c r="M175" s="34">
        <f>ROUND(ROUND(J175, 2)*I175, 2)</f>
        <v>1636.2</v>
      </c>
      <c r="N175" s="35"/>
      <c r="O175" s="35"/>
      <c r="P175" s="34">
        <v>16.96</v>
      </c>
      <c r="Q175" s="35"/>
      <c r="R175" s="35"/>
      <c r="S175" s="34">
        <f>ROUND(ROUND(P175, 2)*I175, 2)</f>
        <v>1636.2</v>
      </c>
      <c r="T175" s="35"/>
      <c r="U175" s="36"/>
      <c r="V175" s="9">
        <f>ROUND(ROUND(P175, 2)/1.2, 2)</f>
        <v>14.13</v>
      </c>
      <c r="Y175" s="9">
        <f t="shared" si="26"/>
        <v>1363.5</v>
      </c>
      <c r="AD175" s="4" t="s">
        <v>602</v>
      </c>
      <c r="AE175" s="4" t="s">
        <v>603</v>
      </c>
      <c r="AF175" s="4" t="s">
        <v>604</v>
      </c>
    </row>
    <row r="176" spans="1:35" ht="72" x14ac:dyDescent="0.3">
      <c r="A176" s="25" t="s">
        <v>605</v>
      </c>
      <c r="B176" s="25"/>
      <c r="C176" s="30" t="s">
        <v>606</v>
      </c>
      <c r="D176" s="27"/>
      <c r="E176" s="27" t="s">
        <v>607</v>
      </c>
      <c r="F176" s="31" t="s">
        <v>116</v>
      </c>
      <c r="G176" s="32">
        <v>1.84</v>
      </c>
      <c r="H176" s="27"/>
      <c r="I176" s="33">
        <v>253.589</v>
      </c>
      <c r="J176" s="34">
        <v>196</v>
      </c>
      <c r="K176" s="35"/>
      <c r="L176" s="35"/>
      <c r="M176" s="34">
        <f>ROUND(ROUND(J176, 2)*I176, 2)</f>
        <v>49703.44</v>
      </c>
      <c r="N176" s="35"/>
      <c r="O176" s="35"/>
      <c r="P176" s="34">
        <v>196</v>
      </c>
      <c r="Q176" s="35"/>
      <c r="R176" s="35"/>
      <c r="S176" s="34">
        <f>ROUND(ROUND(P176, 2)*I176, 2)</f>
        <v>49703.44</v>
      </c>
      <c r="T176" s="35"/>
      <c r="U176" s="36"/>
      <c r="V176" s="9">
        <f>ROUND(ROUND(P176, 2)/1.2, 2)</f>
        <v>163.33000000000001</v>
      </c>
      <c r="Y176" s="9">
        <f t="shared" si="26"/>
        <v>41419.53</v>
      </c>
      <c r="AD176" s="4" t="s">
        <v>608</v>
      </c>
      <c r="AE176" s="4" t="s">
        <v>609</v>
      </c>
      <c r="AF176" s="4" t="s">
        <v>610</v>
      </c>
    </row>
    <row r="177" spans="1:35" ht="54" x14ac:dyDescent="0.3">
      <c r="A177" s="25" t="s">
        <v>611</v>
      </c>
      <c r="B177" s="25"/>
      <c r="C177" s="30" t="s">
        <v>612</v>
      </c>
      <c r="D177" s="27"/>
      <c r="E177" s="27" t="s">
        <v>613</v>
      </c>
      <c r="F177" s="31" t="s">
        <v>70</v>
      </c>
      <c r="G177" s="32">
        <v>0.04</v>
      </c>
      <c r="H177" s="27"/>
      <c r="I177" s="32">
        <v>5.5129999999999999</v>
      </c>
      <c r="J177" s="34">
        <v>47.44</v>
      </c>
      <c r="K177" s="35"/>
      <c r="L177" s="35"/>
      <c r="M177" s="34">
        <f>ROUND(ROUND(J177, 2)*I177, 2)</f>
        <v>261.54000000000002</v>
      </c>
      <c r="N177" s="35"/>
      <c r="O177" s="35"/>
      <c r="P177" s="34">
        <v>47.44</v>
      </c>
      <c r="Q177" s="35"/>
      <c r="R177" s="35"/>
      <c r="S177" s="34">
        <f>ROUND(ROUND(P177, 2)*I177, 2)</f>
        <v>261.54000000000002</v>
      </c>
      <c r="T177" s="35"/>
      <c r="U177" s="36"/>
      <c r="V177" s="9">
        <f>ROUND(ROUND(P177, 2)/1.2, 2)</f>
        <v>39.53</v>
      </c>
      <c r="Y177" s="9">
        <f t="shared" si="26"/>
        <v>217.95</v>
      </c>
      <c r="AD177" s="4" t="s">
        <v>614</v>
      </c>
      <c r="AE177" s="4" t="s">
        <v>615</v>
      </c>
      <c r="AF177" s="4" t="s">
        <v>616</v>
      </c>
    </row>
    <row r="178" spans="1:35" ht="36" x14ac:dyDescent="0.3">
      <c r="A178" s="25" t="s">
        <v>617</v>
      </c>
      <c r="B178" s="25"/>
      <c r="C178" s="30" t="s">
        <v>433</v>
      </c>
      <c r="D178" s="27"/>
      <c r="E178" s="27"/>
      <c r="F178" s="31" t="s">
        <v>70</v>
      </c>
      <c r="G178" s="32">
        <v>1.4999999999999999E-2</v>
      </c>
      <c r="H178" s="27"/>
      <c r="I178" s="32">
        <v>2.0670000000000002</v>
      </c>
      <c r="J178" s="34">
        <v>88.8</v>
      </c>
      <c r="K178" s="35"/>
      <c r="L178" s="35"/>
      <c r="M178" s="34">
        <f>ROUND(ROUND(J178, 2)*I178, 2)</f>
        <v>183.55</v>
      </c>
      <c r="N178" s="35"/>
      <c r="O178" s="35"/>
      <c r="P178" s="34">
        <v>88.8</v>
      </c>
      <c r="Q178" s="35"/>
      <c r="R178" s="35"/>
      <c r="S178" s="34">
        <f>ROUND(ROUND(P178, 2)*I178, 2)</f>
        <v>183.55</v>
      </c>
      <c r="T178" s="35"/>
      <c r="U178" s="36"/>
      <c r="V178" s="9">
        <f>ROUND(ROUND(P178, 2)/1.2, 2)</f>
        <v>74</v>
      </c>
      <c r="Y178" s="9">
        <f t="shared" si="26"/>
        <v>152.96</v>
      </c>
      <c r="AD178" s="4" t="s">
        <v>618</v>
      </c>
      <c r="AE178" s="4" t="s">
        <v>619</v>
      </c>
      <c r="AF178" s="4" t="s">
        <v>436</v>
      </c>
    </row>
    <row r="179" spans="1:35" ht="36" x14ac:dyDescent="0.3">
      <c r="A179" s="25" t="s">
        <v>620</v>
      </c>
      <c r="B179" s="25" t="s">
        <v>596</v>
      </c>
      <c r="C179" s="26" t="s">
        <v>597</v>
      </c>
      <c r="D179" s="27"/>
      <c r="E179" s="27" t="s">
        <v>81</v>
      </c>
      <c r="F179" s="27" t="s">
        <v>87</v>
      </c>
      <c r="G179" s="28">
        <v>1</v>
      </c>
      <c r="H179" s="27"/>
      <c r="I179" s="28">
        <v>23.84</v>
      </c>
      <c r="J179" s="29">
        <f>IFERROR(ROUND(SUM(M180,M181,M182,M183)/I179, 2),0)</f>
        <v>844.86</v>
      </c>
      <c r="K179" s="29">
        <v>473</v>
      </c>
      <c r="L179" s="29">
        <f>J179+ROUND(K179, 2)</f>
        <v>1317.86</v>
      </c>
      <c r="M179" s="29">
        <f>ROUND(J179*I179, 2)</f>
        <v>20141.46</v>
      </c>
      <c r="N179" s="29">
        <f>ROUND(I179*ROUND(K179, 2), 2)</f>
        <v>11276.32</v>
      </c>
      <c r="O179" s="29">
        <f>M179+N179</f>
        <v>31417.78</v>
      </c>
      <c r="P179" s="29">
        <f>IFERROR(ROUND(SUM(S180,S181,S182,S183)/I179, 2),0)</f>
        <v>844.86</v>
      </c>
      <c r="Q179" s="29">
        <v>473</v>
      </c>
      <c r="R179" s="29">
        <f>P179+ROUND(Q179, 2)</f>
        <v>1317.86</v>
      </c>
      <c r="S179" s="29">
        <f>ROUND(P179*I179, 2)</f>
        <v>20141.46</v>
      </c>
      <c r="T179" s="29">
        <f>ROUND(I179*ROUND(Q179, 2), 2)</f>
        <v>11276.32</v>
      </c>
      <c r="U179" s="29">
        <f>S179+T179</f>
        <v>31417.78</v>
      </c>
      <c r="V179" s="9">
        <f>ROUND(P179 / 1.2, 2)</f>
        <v>704.05</v>
      </c>
      <c r="W179" s="9">
        <f>ROUND(Q179 / 1.2, 2)</f>
        <v>394.17</v>
      </c>
      <c r="X179" s="9">
        <f>ROUND(R179 / 1.2, 2)</f>
        <v>1098.22</v>
      </c>
      <c r="Y179" s="9">
        <f t="shared" si="26"/>
        <v>16784.55</v>
      </c>
      <c r="Z179" s="9">
        <f>ROUND(T179 / 1.2, 2)</f>
        <v>9396.93</v>
      </c>
      <c r="AA179" s="9">
        <f>Y179+Z179</f>
        <v>26181.48</v>
      </c>
      <c r="AD179" s="4">
        <v>271132173</v>
      </c>
      <c r="AE179" s="4">
        <v>19820657</v>
      </c>
      <c r="AG179" s="4" t="s">
        <v>598</v>
      </c>
      <c r="AH179" s="4" t="s">
        <v>599</v>
      </c>
      <c r="AI179" s="4" t="s">
        <v>67</v>
      </c>
    </row>
    <row r="180" spans="1:35" ht="36" x14ac:dyDescent="0.3">
      <c r="A180" s="25" t="s">
        <v>621</v>
      </c>
      <c r="B180" s="25"/>
      <c r="C180" s="30" t="s">
        <v>433</v>
      </c>
      <c r="D180" s="27"/>
      <c r="E180" s="27"/>
      <c r="F180" s="31" t="s">
        <v>70</v>
      </c>
      <c r="G180" s="32">
        <v>1.4999999999999999E-2</v>
      </c>
      <c r="H180" s="27"/>
      <c r="I180" s="32">
        <v>0.35799999999999998</v>
      </c>
      <c r="J180" s="34">
        <v>88.8</v>
      </c>
      <c r="K180" s="35"/>
      <c r="L180" s="35"/>
      <c r="M180" s="34">
        <f>ROUND(ROUND(J180, 2)*I180, 2)</f>
        <v>31.79</v>
      </c>
      <c r="N180" s="35"/>
      <c r="O180" s="35"/>
      <c r="P180" s="34">
        <v>88.8</v>
      </c>
      <c r="Q180" s="35"/>
      <c r="R180" s="35"/>
      <c r="S180" s="34">
        <f>ROUND(ROUND(P180, 2)*I180, 2)</f>
        <v>31.79</v>
      </c>
      <c r="T180" s="35"/>
      <c r="U180" s="36"/>
      <c r="V180" s="9">
        <f>ROUND(ROUND(P180, 2)/1.2, 2)</f>
        <v>74</v>
      </c>
      <c r="Y180" s="9">
        <f t="shared" si="26"/>
        <v>26.49</v>
      </c>
      <c r="AD180" s="4" t="s">
        <v>622</v>
      </c>
      <c r="AE180" s="4" t="s">
        <v>623</v>
      </c>
      <c r="AF180" s="4" t="s">
        <v>436</v>
      </c>
    </row>
    <row r="181" spans="1:35" ht="18" x14ac:dyDescent="0.3">
      <c r="A181" s="25" t="s">
        <v>624</v>
      </c>
      <c r="B181" s="25"/>
      <c r="C181" s="30" t="s">
        <v>612</v>
      </c>
      <c r="D181" s="27"/>
      <c r="E181" s="27"/>
      <c r="F181" s="31" t="s">
        <v>70</v>
      </c>
      <c r="G181" s="32">
        <v>0.04</v>
      </c>
      <c r="H181" s="27"/>
      <c r="I181" s="32">
        <v>0.95399999999999996</v>
      </c>
      <c r="J181" s="34">
        <v>47.44</v>
      </c>
      <c r="K181" s="35"/>
      <c r="L181" s="35"/>
      <c r="M181" s="34">
        <f>ROUND(ROUND(J181, 2)*I181, 2)</f>
        <v>45.26</v>
      </c>
      <c r="N181" s="35"/>
      <c r="O181" s="35"/>
      <c r="P181" s="34">
        <v>47.44</v>
      </c>
      <c r="Q181" s="35"/>
      <c r="R181" s="35"/>
      <c r="S181" s="34">
        <f>ROUND(ROUND(P181, 2)*I181, 2)</f>
        <v>45.26</v>
      </c>
      <c r="T181" s="35"/>
      <c r="U181" s="36"/>
      <c r="V181" s="9">
        <f>ROUND(ROUND(P181, 2)/1.2, 2)</f>
        <v>39.53</v>
      </c>
      <c r="Y181" s="9">
        <f t="shared" si="26"/>
        <v>37.72</v>
      </c>
      <c r="AD181" s="4" t="s">
        <v>625</v>
      </c>
      <c r="AE181" s="4" t="s">
        <v>626</v>
      </c>
      <c r="AF181" s="4" t="s">
        <v>616</v>
      </c>
    </row>
    <row r="182" spans="1:35" ht="90" x14ac:dyDescent="0.3">
      <c r="A182" s="25" t="s">
        <v>627</v>
      </c>
      <c r="B182" s="25"/>
      <c r="C182" s="30" t="s">
        <v>628</v>
      </c>
      <c r="D182" s="27"/>
      <c r="E182" s="27" t="s">
        <v>629</v>
      </c>
      <c r="F182" s="31" t="s">
        <v>116</v>
      </c>
      <c r="G182" s="32">
        <v>1.84</v>
      </c>
      <c r="H182" s="27"/>
      <c r="I182" s="33">
        <v>43.866</v>
      </c>
      <c r="J182" s="34">
        <v>450.95</v>
      </c>
      <c r="K182" s="35"/>
      <c r="L182" s="35"/>
      <c r="M182" s="34">
        <f>ROUND(ROUND(J182, 2)*I182, 2)</f>
        <v>19781.37</v>
      </c>
      <c r="N182" s="35"/>
      <c r="O182" s="35"/>
      <c r="P182" s="34">
        <v>450.95</v>
      </c>
      <c r="Q182" s="35"/>
      <c r="R182" s="35"/>
      <c r="S182" s="34">
        <f>ROUND(ROUND(P182, 2)*I182, 2)</f>
        <v>19781.37</v>
      </c>
      <c r="T182" s="35"/>
      <c r="U182" s="36"/>
      <c r="V182" s="9">
        <f>ROUND(ROUND(P182, 2)/1.2, 2)</f>
        <v>375.79</v>
      </c>
      <c r="Y182" s="9">
        <f t="shared" si="26"/>
        <v>16484.48</v>
      </c>
      <c r="AD182" s="4" t="s">
        <v>630</v>
      </c>
      <c r="AE182" s="4" t="s">
        <v>631</v>
      </c>
      <c r="AF182" s="4" t="s">
        <v>632</v>
      </c>
    </row>
    <row r="183" spans="1:35" ht="54" x14ac:dyDescent="0.3">
      <c r="A183" s="25" t="s">
        <v>633</v>
      </c>
      <c r="B183" s="25"/>
      <c r="C183" s="17" t="s">
        <v>601</v>
      </c>
      <c r="D183" s="27"/>
      <c r="E183" s="27" t="s">
        <v>402</v>
      </c>
      <c r="F183" s="31" t="s">
        <v>70</v>
      </c>
      <c r="G183" s="32">
        <v>0.7</v>
      </c>
      <c r="H183" s="27"/>
      <c r="I183" s="33">
        <v>16.687999999999999</v>
      </c>
      <c r="J183" s="34">
        <v>16.96</v>
      </c>
      <c r="K183" s="35"/>
      <c r="L183" s="35"/>
      <c r="M183" s="34">
        <f>ROUND(ROUND(J183, 2)*I183, 2)</f>
        <v>283.02999999999997</v>
      </c>
      <c r="N183" s="35"/>
      <c r="O183" s="35"/>
      <c r="P183" s="34">
        <v>16.96</v>
      </c>
      <c r="Q183" s="35"/>
      <c r="R183" s="35"/>
      <c r="S183" s="34">
        <f>ROUND(ROUND(P183, 2)*I183, 2)</f>
        <v>283.02999999999997</v>
      </c>
      <c r="T183" s="35"/>
      <c r="U183" s="36"/>
      <c r="V183" s="9">
        <f>ROUND(ROUND(P183, 2)/1.2, 2)</f>
        <v>14.13</v>
      </c>
      <c r="Y183" s="9">
        <f t="shared" si="26"/>
        <v>235.86</v>
      </c>
      <c r="AD183" s="4" t="s">
        <v>634</v>
      </c>
      <c r="AE183" s="4" t="s">
        <v>635</v>
      </c>
      <c r="AF183" s="4" t="s">
        <v>604</v>
      </c>
    </row>
    <row r="184" spans="1:35" ht="36" x14ac:dyDescent="0.3">
      <c r="A184" s="25" t="s">
        <v>636</v>
      </c>
      <c r="B184" s="25" t="s">
        <v>596</v>
      </c>
      <c r="C184" s="26" t="s">
        <v>597</v>
      </c>
      <c r="D184" s="27"/>
      <c r="E184" s="27" t="s">
        <v>507</v>
      </c>
      <c r="F184" s="27" t="s">
        <v>87</v>
      </c>
      <c r="G184" s="28">
        <v>1</v>
      </c>
      <c r="H184" s="27"/>
      <c r="I184" s="28">
        <v>216.92</v>
      </c>
      <c r="J184" s="29">
        <f>IFERROR(ROUND(SUM(M185,M186,M187,M188)/I184, 2),0)</f>
        <v>375.74</v>
      </c>
      <c r="K184" s="29">
        <v>473</v>
      </c>
      <c r="L184" s="29">
        <f>J184+ROUND(K184, 2)</f>
        <v>848.74</v>
      </c>
      <c r="M184" s="29">
        <f>ROUND(J184*I184, 2)</f>
        <v>81505.52</v>
      </c>
      <c r="N184" s="29">
        <f>ROUND(I184*ROUND(K184, 2), 2)</f>
        <v>102603.16</v>
      </c>
      <c r="O184" s="29">
        <f>M184+N184</f>
        <v>184108.68</v>
      </c>
      <c r="P184" s="29">
        <f>IFERROR(ROUND(SUM(S185,S186,S187,S188)/I184, 2),0)</f>
        <v>375.74</v>
      </c>
      <c r="Q184" s="29">
        <v>473</v>
      </c>
      <c r="R184" s="29">
        <f>P184+ROUND(Q184, 2)</f>
        <v>848.74</v>
      </c>
      <c r="S184" s="29">
        <f>ROUND(P184*I184, 2)</f>
        <v>81505.52</v>
      </c>
      <c r="T184" s="29">
        <f>ROUND(I184*ROUND(Q184, 2), 2)</f>
        <v>102603.16</v>
      </c>
      <c r="U184" s="29">
        <f>S184+T184</f>
        <v>184108.68</v>
      </c>
      <c r="V184" s="9">
        <f>ROUND(P184 / 1.2, 2)</f>
        <v>313.12</v>
      </c>
      <c r="W184" s="9">
        <f>ROUND(Q184 / 1.2, 2)</f>
        <v>394.17</v>
      </c>
      <c r="X184" s="9">
        <f>ROUND(R184 / 1.2, 2)</f>
        <v>707.28</v>
      </c>
      <c r="Y184" s="9">
        <f t="shared" si="26"/>
        <v>67921.27</v>
      </c>
      <c r="Z184" s="9">
        <f>ROUND(T184 / 1.2, 2)</f>
        <v>85502.63</v>
      </c>
      <c r="AA184" s="9">
        <f>Y184+Z184</f>
        <v>153423.9</v>
      </c>
      <c r="AD184" s="4">
        <v>271132174</v>
      </c>
      <c r="AE184" s="4">
        <v>19972701</v>
      </c>
      <c r="AG184" s="4" t="s">
        <v>598</v>
      </c>
      <c r="AH184" s="4" t="s">
        <v>599</v>
      </c>
      <c r="AI184" s="4" t="s">
        <v>67</v>
      </c>
    </row>
    <row r="185" spans="1:35" ht="36" x14ac:dyDescent="0.3">
      <c r="A185" s="25" t="s">
        <v>637</v>
      </c>
      <c r="B185" s="25"/>
      <c r="C185" s="30" t="s">
        <v>433</v>
      </c>
      <c r="D185" s="27"/>
      <c r="E185" s="27"/>
      <c r="F185" s="31" t="s">
        <v>70</v>
      </c>
      <c r="G185" s="32">
        <v>1.4999999999999999E-2</v>
      </c>
      <c r="H185" s="27"/>
      <c r="I185" s="32">
        <v>3.254</v>
      </c>
      <c r="J185" s="34">
        <v>88.8</v>
      </c>
      <c r="K185" s="35"/>
      <c r="L185" s="35"/>
      <c r="M185" s="34">
        <f>ROUND(ROUND(J185, 2)*I185, 2)</f>
        <v>288.95999999999998</v>
      </c>
      <c r="N185" s="35"/>
      <c r="O185" s="35"/>
      <c r="P185" s="34">
        <v>88.8</v>
      </c>
      <c r="Q185" s="35"/>
      <c r="R185" s="35"/>
      <c r="S185" s="34">
        <f>ROUND(ROUND(P185, 2)*I185, 2)</f>
        <v>288.95999999999998</v>
      </c>
      <c r="T185" s="35"/>
      <c r="U185" s="36"/>
      <c r="V185" s="9">
        <f>ROUND(ROUND(P185, 2)/1.2, 2)</f>
        <v>74</v>
      </c>
      <c r="Y185" s="9">
        <f t="shared" si="26"/>
        <v>240.8</v>
      </c>
      <c r="AD185" s="4" t="s">
        <v>638</v>
      </c>
      <c r="AE185" s="4" t="s">
        <v>639</v>
      </c>
      <c r="AF185" s="4" t="s">
        <v>436</v>
      </c>
    </row>
    <row r="186" spans="1:35" ht="54" x14ac:dyDescent="0.3">
      <c r="A186" s="25" t="s">
        <v>640</v>
      </c>
      <c r="B186" s="25"/>
      <c r="C186" s="30" t="s">
        <v>612</v>
      </c>
      <c r="D186" s="27"/>
      <c r="E186" s="27" t="s">
        <v>641</v>
      </c>
      <c r="F186" s="31" t="s">
        <v>70</v>
      </c>
      <c r="G186" s="32">
        <v>0.04</v>
      </c>
      <c r="H186" s="27"/>
      <c r="I186" s="32">
        <v>8.6769999999999996</v>
      </c>
      <c r="J186" s="34">
        <v>47.44</v>
      </c>
      <c r="K186" s="35"/>
      <c r="L186" s="35"/>
      <c r="M186" s="34">
        <f>ROUND(ROUND(J186, 2)*I186, 2)</f>
        <v>411.64</v>
      </c>
      <c r="N186" s="35"/>
      <c r="O186" s="35"/>
      <c r="P186" s="34">
        <v>47.44</v>
      </c>
      <c r="Q186" s="35"/>
      <c r="R186" s="35"/>
      <c r="S186" s="34">
        <f>ROUND(ROUND(P186, 2)*I186, 2)</f>
        <v>411.64</v>
      </c>
      <c r="T186" s="35"/>
      <c r="U186" s="36"/>
      <c r="V186" s="9">
        <f>ROUND(ROUND(P186, 2)/1.2, 2)</f>
        <v>39.53</v>
      </c>
      <c r="Y186" s="9">
        <f t="shared" si="26"/>
        <v>343.03</v>
      </c>
      <c r="AD186" s="4" t="s">
        <v>642</v>
      </c>
      <c r="AE186" s="4" t="s">
        <v>643</v>
      </c>
      <c r="AF186" s="4" t="s">
        <v>616</v>
      </c>
    </row>
    <row r="187" spans="1:35" ht="54" x14ac:dyDescent="0.3">
      <c r="A187" s="25" t="s">
        <v>644</v>
      </c>
      <c r="B187" s="25"/>
      <c r="C187" s="30" t="s">
        <v>606</v>
      </c>
      <c r="D187" s="27"/>
      <c r="E187" s="27" t="s">
        <v>645</v>
      </c>
      <c r="F187" s="31" t="s">
        <v>116</v>
      </c>
      <c r="G187" s="32">
        <v>1.84</v>
      </c>
      <c r="H187" s="27"/>
      <c r="I187" s="33">
        <v>399.13299999999998</v>
      </c>
      <c r="J187" s="34">
        <v>196</v>
      </c>
      <c r="K187" s="35"/>
      <c r="L187" s="35"/>
      <c r="M187" s="34">
        <f>ROUND(ROUND(J187, 2)*I187, 2)</f>
        <v>78230.070000000007</v>
      </c>
      <c r="N187" s="35"/>
      <c r="O187" s="35"/>
      <c r="P187" s="34">
        <v>196</v>
      </c>
      <c r="Q187" s="35"/>
      <c r="R187" s="35"/>
      <c r="S187" s="34">
        <f>ROUND(ROUND(P187, 2)*I187, 2)</f>
        <v>78230.070000000007</v>
      </c>
      <c r="T187" s="35"/>
      <c r="U187" s="36"/>
      <c r="V187" s="9">
        <f>ROUND(ROUND(P187, 2)/1.2, 2)</f>
        <v>163.33000000000001</v>
      </c>
      <c r="Y187" s="9">
        <f t="shared" si="26"/>
        <v>65191.73</v>
      </c>
      <c r="AD187" s="4" t="s">
        <v>646</v>
      </c>
      <c r="AE187" s="4" t="s">
        <v>647</v>
      </c>
      <c r="AF187" s="4" t="s">
        <v>610</v>
      </c>
    </row>
    <row r="188" spans="1:35" ht="72" x14ac:dyDescent="0.3">
      <c r="A188" s="25" t="s">
        <v>648</v>
      </c>
      <c r="B188" s="25"/>
      <c r="C188" s="17" t="s">
        <v>601</v>
      </c>
      <c r="D188" s="27"/>
      <c r="E188" s="27" t="s">
        <v>649</v>
      </c>
      <c r="F188" s="31" t="s">
        <v>70</v>
      </c>
      <c r="G188" s="32">
        <v>0.7</v>
      </c>
      <c r="H188" s="27"/>
      <c r="I188" s="33">
        <v>151.84399999999999</v>
      </c>
      <c r="J188" s="34">
        <v>16.96</v>
      </c>
      <c r="K188" s="35"/>
      <c r="L188" s="35"/>
      <c r="M188" s="34">
        <f>ROUND(ROUND(J188, 2)*I188, 2)</f>
        <v>2575.27</v>
      </c>
      <c r="N188" s="35"/>
      <c r="O188" s="35"/>
      <c r="P188" s="34">
        <v>16.96</v>
      </c>
      <c r="Q188" s="35"/>
      <c r="R188" s="35"/>
      <c r="S188" s="34">
        <f>ROUND(ROUND(P188, 2)*I188, 2)</f>
        <v>2575.27</v>
      </c>
      <c r="T188" s="35"/>
      <c r="U188" s="36"/>
      <c r="V188" s="9">
        <f>ROUND(ROUND(P188, 2)/1.2, 2)</f>
        <v>14.13</v>
      </c>
      <c r="Y188" s="9">
        <f t="shared" si="26"/>
        <v>2146.06</v>
      </c>
      <c r="AD188" s="4" t="s">
        <v>650</v>
      </c>
      <c r="AE188" s="4" t="s">
        <v>651</v>
      </c>
      <c r="AF188" s="4" t="s">
        <v>604</v>
      </c>
    </row>
    <row r="189" spans="1:35" ht="54" x14ac:dyDescent="0.3">
      <c r="A189" s="25" t="s">
        <v>652</v>
      </c>
      <c r="B189" s="25" t="s">
        <v>653</v>
      </c>
      <c r="C189" s="26" t="s">
        <v>654</v>
      </c>
      <c r="D189" s="27"/>
      <c r="E189" s="27" t="s">
        <v>655</v>
      </c>
      <c r="F189" s="27" t="s">
        <v>64</v>
      </c>
      <c r="G189" s="28">
        <v>1</v>
      </c>
      <c r="H189" s="27"/>
      <c r="I189" s="28">
        <v>25.81</v>
      </c>
      <c r="J189" s="29">
        <f>IFERROR(ROUND(SUM(M190,M191,M192,M193)/I189, 2),0)</f>
        <v>1520.2</v>
      </c>
      <c r="K189" s="29">
        <v>1655</v>
      </c>
      <c r="L189" s="29">
        <f>J189+ROUND(K189, 2)</f>
        <v>3175.2</v>
      </c>
      <c r="M189" s="29">
        <f>ROUND(J189*I189, 2)</f>
        <v>39236.36</v>
      </c>
      <c r="N189" s="29">
        <f>ROUND(I189*ROUND(K189, 2), 2)</f>
        <v>42715.55</v>
      </c>
      <c r="O189" s="29">
        <f>M189+N189</f>
        <v>81951.91</v>
      </c>
      <c r="P189" s="29">
        <f>IFERROR(ROUND(SUM(S190,S191,S192,S193)/I189, 2),0)</f>
        <v>1520.2</v>
      </c>
      <c r="Q189" s="29">
        <v>1655</v>
      </c>
      <c r="R189" s="29">
        <f>P189+ROUND(Q189, 2)</f>
        <v>3175.2</v>
      </c>
      <c r="S189" s="29">
        <f>ROUND(P189*I189, 2)</f>
        <v>39236.36</v>
      </c>
      <c r="T189" s="29">
        <f>ROUND(I189*ROUND(Q189, 2), 2)</f>
        <v>42715.55</v>
      </c>
      <c r="U189" s="29">
        <f>S189+T189</f>
        <v>81951.91</v>
      </c>
      <c r="V189" s="9">
        <f>ROUND(P189 / 1.2, 2)</f>
        <v>1266.83</v>
      </c>
      <c r="W189" s="9">
        <f>ROUND(Q189 / 1.2, 2)</f>
        <v>1379.17</v>
      </c>
      <c r="X189" s="9">
        <f>ROUND(R189 / 1.2, 2)</f>
        <v>2646</v>
      </c>
      <c r="Y189" s="9">
        <f t="shared" si="26"/>
        <v>32696.97</v>
      </c>
      <c r="Z189" s="9">
        <f>ROUND(T189 / 1.2, 2)</f>
        <v>35596.29</v>
      </c>
      <c r="AA189" s="9">
        <f>Y189+Z189</f>
        <v>68293.259999999995</v>
      </c>
      <c r="AD189" s="4">
        <v>271132092</v>
      </c>
      <c r="AE189" s="4">
        <v>19973764</v>
      </c>
      <c r="AG189" s="4" t="s">
        <v>656</v>
      </c>
      <c r="AH189" s="4" t="s">
        <v>657</v>
      </c>
      <c r="AI189" s="4" t="s">
        <v>67</v>
      </c>
    </row>
    <row r="190" spans="1:35" ht="54" x14ac:dyDescent="0.3">
      <c r="A190" s="25" t="s">
        <v>658</v>
      </c>
      <c r="B190" s="25"/>
      <c r="C190" s="17" t="s">
        <v>401</v>
      </c>
      <c r="D190" s="27"/>
      <c r="E190" s="27" t="s">
        <v>402</v>
      </c>
      <c r="F190" s="31" t="s">
        <v>70</v>
      </c>
      <c r="G190" s="32">
        <v>7</v>
      </c>
      <c r="H190" s="27"/>
      <c r="I190" s="32">
        <v>180.67</v>
      </c>
      <c r="J190" s="34">
        <v>16.96</v>
      </c>
      <c r="K190" s="35"/>
      <c r="L190" s="35"/>
      <c r="M190" s="34">
        <f>ROUND(ROUND(J190, 2)*I190, 2)</f>
        <v>3064.16</v>
      </c>
      <c r="N190" s="35"/>
      <c r="O190" s="35"/>
      <c r="P190" s="34">
        <v>16.96</v>
      </c>
      <c r="Q190" s="35"/>
      <c r="R190" s="35"/>
      <c r="S190" s="34">
        <f>ROUND(ROUND(P190, 2)*I190, 2)</f>
        <v>3064.16</v>
      </c>
      <c r="T190" s="35"/>
      <c r="U190" s="36"/>
      <c r="V190" s="9">
        <f>ROUND(ROUND(P190, 2)/1.2, 2)</f>
        <v>14.13</v>
      </c>
      <c r="Y190" s="9">
        <f t="shared" si="26"/>
        <v>2553.4699999999998</v>
      </c>
      <c r="AD190" s="4" t="s">
        <v>659</v>
      </c>
      <c r="AE190" s="4" t="s">
        <v>660</v>
      </c>
      <c r="AF190" s="4" t="s">
        <v>405</v>
      </c>
    </row>
    <row r="191" spans="1:35" ht="18" x14ac:dyDescent="0.3">
      <c r="A191" s="25" t="s">
        <v>661</v>
      </c>
      <c r="B191" s="25"/>
      <c r="C191" s="30" t="s">
        <v>612</v>
      </c>
      <c r="D191" s="27"/>
      <c r="E191" s="27"/>
      <c r="F191" s="31" t="s">
        <v>70</v>
      </c>
      <c r="G191" s="32">
        <v>0.25</v>
      </c>
      <c r="H191" s="27"/>
      <c r="I191" s="33">
        <v>6.4530000000000003</v>
      </c>
      <c r="J191" s="34">
        <v>47.44</v>
      </c>
      <c r="K191" s="35"/>
      <c r="L191" s="35"/>
      <c r="M191" s="34">
        <f>ROUND(ROUND(J191, 2)*I191, 2)</f>
        <v>306.13</v>
      </c>
      <c r="N191" s="35"/>
      <c r="O191" s="35"/>
      <c r="P191" s="34">
        <v>47.44</v>
      </c>
      <c r="Q191" s="35"/>
      <c r="R191" s="35"/>
      <c r="S191" s="34">
        <f>ROUND(ROUND(P191, 2)*I191, 2)</f>
        <v>306.13</v>
      </c>
      <c r="T191" s="35"/>
      <c r="U191" s="36"/>
      <c r="V191" s="9">
        <f>ROUND(ROUND(P191, 2)/1.2, 2)</f>
        <v>39.53</v>
      </c>
      <c r="Y191" s="9">
        <f t="shared" si="26"/>
        <v>255.11</v>
      </c>
      <c r="AD191" s="4" t="s">
        <v>662</v>
      </c>
      <c r="AE191" s="4" t="s">
        <v>663</v>
      </c>
      <c r="AF191" s="4" t="s">
        <v>616</v>
      </c>
    </row>
    <row r="192" spans="1:35" ht="36" x14ac:dyDescent="0.3">
      <c r="A192" s="25" t="s">
        <v>664</v>
      </c>
      <c r="B192" s="25"/>
      <c r="C192" s="30" t="s">
        <v>433</v>
      </c>
      <c r="D192" s="27"/>
      <c r="E192" s="27"/>
      <c r="F192" s="31" t="s">
        <v>70</v>
      </c>
      <c r="G192" s="32">
        <v>0.15</v>
      </c>
      <c r="H192" s="27"/>
      <c r="I192" s="32">
        <v>3.8719999999999999</v>
      </c>
      <c r="J192" s="34">
        <v>88.8</v>
      </c>
      <c r="K192" s="35"/>
      <c r="L192" s="35"/>
      <c r="M192" s="34">
        <f>ROUND(ROUND(J192, 2)*I192, 2)</f>
        <v>343.83</v>
      </c>
      <c r="N192" s="35"/>
      <c r="O192" s="35"/>
      <c r="P192" s="34">
        <v>88.8</v>
      </c>
      <c r="Q192" s="35"/>
      <c r="R192" s="35"/>
      <c r="S192" s="34">
        <f>ROUND(ROUND(P192, 2)*I192, 2)</f>
        <v>343.83</v>
      </c>
      <c r="T192" s="35"/>
      <c r="U192" s="36"/>
      <c r="V192" s="9">
        <f>ROUND(ROUND(P192, 2)/1.2, 2)</f>
        <v>74</v>
      </c>
      <c r="Y192" s="9">
        <f t="shared" si="26"/>
        <v>286.52999999999997</v>
      </c>
      <c r="AD192" s="4" t="s">
        <v>665</v>
      </c>
      <c r="AE192" s="4" t="s">
        <v>666</v>
      </c>
      <c r="AF192" s="4" t="s">
        <v>436</v>
      </c>
    </row>
    <row r="193" spans="1:35" ht="54" x14ac:dyDescent="0.3">
      <c r="A193" s="25" t="s">
        <v>667</v>
      </c>
      <c r="B193" s="25"/>
      <c r="C193" s="17" t="s">
        <v>668</v>
      </c>
      <c r="D193" s="27"/>
      <c r="E193" s="27" t="s">
        <v>669</v>
      </c>
      <c r="F193" s="31" t="s">
        <v>64</v>
      </c>
      <c r="G193" s="32">
        <v>1.07</v>
      </c>
      <c r="H193" s="27"/>
      <c r="I193" s="33">
        <v>27.617000000000001</v>
      </c>
      <c r="J193" s="34">
        <v>1286.25</v>
      </c>
      <c r="K193" s="35"/>
      <c r="L193" s="35"/>
      <c r="M193" s="34">
        <f>ROUND(ROUND(J193, 2)*I193, 2)</f>
        <v>35522.370000000003</v>
      </c>
      <c r="N193" s="35"/>
      <c r="O193" s="35"/>
      <c r="P193" s="34">
        <v>1286.25</v>
      </c>
      <c r="Q193" s="35"/>
      <c r="R193" s="35"/>
      <c r="S193" s="34">
        <f>ROUND(ROUND(P193, 2)*I193, 2)</f>
        <v>35522.370000000003</v>
      </c>
      <c r="T193" s="35"/>
      <c r="U193" s="36"/>
      <c r="V193" s="9">
        <f>ROUND(ROUND(P193, 2)/1.2, 2)</f>
        <v>1071.8800000000001</v>
      </c>
      <c r="Y193" s="9">
        <f t="shared" si="26"/>
        <v>29601.98</v>
      </c>
      <c r="AD193" s="4" t="s">
        <v>670</v>
      </c>
      <c r="AE193" s="4" t="s">
        <v>671</v>
      </c>
      <c r="AF193" s="4" t="s">
        <v>672</v>
      </c>
    </row>
    <row r="194" spans="1:35" ht="54" x14ac:dyDescent="0.3">
      <c r="A194" s="25" t="s">
        <v>673</v>
      </c>
      <c r="B194" s="25" t="s">
        <v>653</v>
      </c>
      <c r="C194" s="26" t="s">
        <v>654</v>
      </c>
      <c r="D194" s="27"/>
      <c r="E194" s="27" t="s">
        <v>674</v>
      </c>
      <c r="F194" s="27" t="s">
        <v>64</v>
      </c>
      <c r="G194" s="28">
        <v>1</v>
      </c>
      <c r="H194" s="27"/>
      <c r="I194" s="28">
        <v>46.37</v>
      </c>
      <c r="J194" s="29">
        <f>IFERROR(ROUND(SUM(M195,M196,M197,M198)/I194, 2),0)</f>
        <v>1625.8</v>
      </c>
      <c r="K194" s="29">
        <v>1655</v>
      </c>
      <c r="L194" s="29">
        <f>J194+ROUND(K194, 2)</f>
        <v>3280.8</v>
      </c>
      <c r="M194" s="29">
        <f>ROUND(J194*I194, 2)</f>
        <v>75388.350000000006</v>
      </c>
      <c r="N194" s="29">
        <f>ROUND(I194*ROUND(K194, 2), 2)</f>
        <v>76742.350000000006</v>
      </c>
      <c r="O194" s="29">
        <f>M194+N194</f>
        <v>152130.70000000001</v>
      </c>
      <c r="P194" s="29">
        <f>IFERROR(ROUND(SUM(S195,S196,S197,S198)/I194, 2),0)</f>
        <v>1625.8</v>
      </c>
      <c r="Q194" s="29">
        <v>1655</v>
      </c>
      <c r="R194" s="29">
        <f>P194+ROUND(Q194, 2)</f>
        <v>3280.8</v>
      </c>
      <c r="S194" s="29">
        <f>ROUND(P194*I194, 2)</f>
        <v>75388.350000000006</v>
      </c>
      <c r="T194" s="29">
        <f>ROUND(I194*ROUND(Q194, 2), 2)</f>
        <v>76742.350000000006</v>
      </c>
      <c r="U194" s="29">
        <f>S194+T194</f>
        <v>152130.70000000001</v>
      </c>
      <c r="V194" s="9">
        <f>ROUND(P194 / 1.2, 2)</f>
        <v>1354.83</v>
      </c>
      <c r="W194" s="9">
        <f>ROUND(Q194 / 1.2, 2)</f>
        <v>1379.17</v>
      </c>
      <c r="X194" s="9">
        <f>ROUND(R194 / 1.2, 2)</f>
        <v>2734</v>
      </c>
      <c r="Y194" s="9">
        <f t="shared" si="26"/>
        <v>62823.63</v>
      </c>
      <c r="Z194" s="9">
        <f>ROUND(T194 / 1.2, 2)</f>
        <v>63951.96</v>
      </c>
      <c r="AA194" s="9">
        <f>Y194+Z194</f>
        <v>126775.59</v>
      </c>
      <c r="AD194" s="4">
        <v>271132175</v>
      </c>
      <c r="AE194" s="4">
        <v>19987963</v>
      </c>
      <c r="AG194" s="4" t="s">
        <v>656</v>
      </c>
      <c r="AH194" s="4" t="s">
        <v>657</v>
      </c>
      <c r="AI194" s="4" t="s">
        <v>67</v>
      </c>
    </row>
    <row r="195" spans="1:35" ht="54" x14ac:dyDescent="0.3">
      <c r="A195" s="25" t="s">
        <v>675</v>
      </c>
      <c r="B195" s="25"/>
      <c r="C195" s="17" t="s">
        <v>676</v>
      </c>
      <c r="D195" s="27"/>
      <c r="E195" s="27" t="s">
        <v>677</v>
      </c>
      <c r="F195" s="31" t="s">
        <v>64</v>
      </c>
      <c r="G195" s="32">
        <v>1.07</v>
      </c>
      <c r="H195" s="27"/>
      <c r="I195" s="33">
        <v>49.616</v>
      </c>
      <c r="J195" s="34">
        <v>1384.95</v>
      </c>
      <c r="K195" s="35"/>
      <c r="L195" s="35"/>
      <c r="M195" s="34">
        <f>ROUND(ROUND(J195, 2)*I195, 2)</f>
        <v>68715.679999999993</v>
      </c>
      <c r="N195" s="35"/>
      <c r="O195" s="35"/>
      <c r="P195" s="34">
        <v>1384.95</v>
      </c>
      <c r="Q195" s="35"/>
      <c r="R195" s="35"/>
      <c r="S195" s="34">
        <f>ROUND(ROUND(P195, 2)*I195, 2)</f>
        <v>68715.679999999993</v>
      </c>
      <c r="T195" s="35"/>
      <c r="U195" s="36"/>
      <c r="V195" s="9">
        <f>ROUND(ROUND(P195, 2)/1.2, 2)</f>
        <v>1154.1300000000001</v>
      </c>
      <c r="Y195" s="9">
        <f t="shared" si="26"/>
        <v>57263.07</v>
      </c>
      <c r="AD195" s="4" t="s">
        <v>678</v>
      </c>
      <c r="AE195" s="4" t="s">
        <v>679</v>
      </c>
      <c r="AF195" s="4" t="s">
        <v>680</v>
      </c>
    </row>
    <row r="196" spans="1:35" ht="36" x14ac:dyDescent="0.3">
      <c r="A196" s="25" t="s">
        <v>681</v>
      </c>
      <c r="B196" s="25"/>
      <c r="C196" s="30" t="s">
        <v>433</v>
      </c>
      <c r="D196" s="27"/>
      <c r="E196" s="27"/>
      <c r="F196" s="31" t="s">
        <v>70</v>
      </c>
      <c r="G196" s="32">
        <v>0.15</v>
      </c>
      <c r="H196" s="27"/>
      <c r="I196" s="32">
        <v>6.9560000000000004</v>
      </c>
      <c r="J196" s="34">
        <v>88.8</v>
      </c>
      <c r="K196" s="35"/>
      <c r="L196" s="35"/>
      <c r="M196" s="34">
        <f>ROUND(ROUND(J196, 2)*I196, 2)</f>
        <v>617.69000000000005</v>
      </c>
      <c r="N196" s="35"/>
      <c r="O196" s="35"/>
      <c r="P196" s="34">
        <v>88.8</v>
      </c>
      <c r="Q196" s="35"/>
      <c r="R196" s="35"/>
      <c r="S196" s="34">
        <f>ROUND(ROUND(P196, 2)*I196, 2)</f>
        <v>617.69000000000005</v>
      </c>
      <c r="T196" s="35"/>
      <c r="U196" s="36"/>
      <c r="V196" s="9">
        <f>ROUND(ROUND(P196, 2)/1.2, 2)</f>
        <v>74</v>
      </c>
      <c r="Y196" s="9">
        <f t="shared" si="26"/>
        <v>514.74</v>
      </c>
      <c r="AD196" s="4" t="s">
        <v>682</v>
      </c>
      <c r="AE196" s="4" t="s">
        <v>683</v>
      </c>
      <c r="AF196" s="4" t="s">
        <v>436</v>
      </c>
    </row>
    <row r="197" spans="1:35" ht="18" x14ac:dyDescent="0.3">
      <c r="A197" s="25" t="s">
        <v>684</v>
      </c>
      <c r="B197" s="25"/>
      <c r="C197" s="30" t="s">
        <v>612</v>
      </c>
      <c r="D197" s="27"/>
      <c r="E197" s="27"/>
      <c r="F197" s="31" t="s">
        <v>70</v>
      </c>
      <c r="G197" s="32">
        <v>0.25</v>
      </c>
      <c r="H197" s="27"/>
      <c r="I197" s="33">
        <v>11.593</v>
      </c>
      <c r="J197" s="34">
        <v>47.44</v>
      </c>
      <c r="K197" s="35"/>
      <c r="L197" s="35"/>
      <c r="M197" s="34">
        <f>ROUND(ROUND(J197, 2)*I197, 2)</f>
        <v>549.97</v>
      </c>
      <c r="N197" s="35"/>
      <c r="O197" s="35"/>
      <c r="P197" s="34">
        <v>47.44</v>
      </c>
      <c r="Q197" s="35"/>
      <c r="R197" s="35"/>
      <c r="S197" s="34">
        <f>ROUND(ROUND(P197, 2)*I197, 2)</f>
        <v>549.97</v>
      </c>
      <c r="T197" s="35"/>
      <c r="U197" s="36"/>
      <c r="V197" s="9">
        <f>ROUND(ROUND(P197, 2)/1.2, 2)</f>
        <v>39.53</v>
      </c>
      <c r="Y197" s="9">
        <f t="shared" si="26"/>
        <v>458.31</v>
      </c>
      <c r="AD197" s="4" t="s">
        <v>685</v>
      </c>
      <c r="AE197" s="4" t="s">
        <v>686</v>
      </c>
      <c r="AF197" s="4" t="s">
        <v>616</v>
      </c>
    </row>
    <row r="198" spans="1:35" ht="54" x14ac:dyDescent="0.3">
      <c r="A198" s="25" t="s">
        <v>687</v>
      </c>
      <c r="B198" s="25"/>
      <c r="C198" s="17" t="s">
        <v>401</v>
      </c>
      <c r="D198" s="27"/>
      <c r="E198" s="27" t="s">
        <v>402</v>
      </c>
      <c r="F198" s="31" t="s">
        <v>70</v>
      </c>
      <c r="G198" s="32">
        <v>7</v>
      </c>
      <c r="H198" s="27"/>
      <c r="I198" s="32">
        <v>324.58999999999997</v>
      </c>
      <c r="J198" s="34">
        <v>16.96</v>
      </c>
      <c r="K198" s="35"/>
      <c r="L198" s="35"/>
      <c r="M198" s="34">
        <f>ROUND(ROUND(J198, 2)*I198, 2)</f>
        <v>5505.05</v>
      </c>
      <c r="N198" s="35"/>
      <c r="O198" s="35"/>
      <c r="P198" s="34">
        <v>16.96</v>
      </c>
      <c r="Q198" s="35"/>
      <c r="R198" s="35"/>
      <c r="S198" s="34">
        <f>ROUND(ROUND(P198, 2)*I198, 2)</f>
        <v>5505.05</v>
      </c>
      <c r="T198" s="35"/>
      <c r="U198" s="36"/>
      <c r="V198" s="9">
        <f>ROUND(ROUND(P198, 2)/1.2, 2)</f>
        <v>14.13</v>
      </c>
      <c r="Y198" s="9">
        <f t="shared" si="26"/>
        <v>4587.54</v>
      </c>
      <c r="AD198" s="4" t="s">
        <v>688</v>
      </c>
      <c r="AE198" s="4" t="s">
        <v>689</v>
      </c>
      <c r="AF198" s="4" t="s">
        <v>405</v>
      </c>
    </row>
    <row r="199" spans="1:35" ht="54" x14ac:dyDescent="0.3">
      <c r="A199" s="25" t="s">
        <v>690</v>
      </c>
      <c r="B199" s="25" t="s">
        <v>691</v>
      </c>
      <c r="C199" s="26" t="s">
        <v>692</v>
      </c>
      <c r="D199" s="27"/>
      <c r="E199" s="27" t="s">
        <v>693</v>
      </c>
      <c r="F199" s="27" t="s">
        <v>64</v>
      </c>
      <c r="G199" s="28">
        <v>1</v>
      </c>
      <c r="H199" s="27"/>
      <c r="I199" s="28">
        <v>335.84</v>
      </c>
      <c r="J199" s="29">
        <f>IFERROR(ROUND(SUM(M200,M201,M202,M203)/I199, 2),0)</f>
        <v>2235.0700000000002</v>
      </c>
      <c r="K199" s="29">
        <v>2785</v>
      </c>
      <c r="L199" s="29">
        <f>J199+ROUND(K199, 2)</f>
        <v>5020.07</v>
      </c>
      <c r="M199" s="29">
        <f>ROUND(J199*I199, 2)</f>
        <v>750625.91</v>
      </c>
      <c r="N199" s="29">
        <f>ROUND(I199*ROUND(K199, 2), 2)</f>
        <v>935314.4</v>
      </c>
      <c r="O199" s="29">
        <f>M199+N199</f>
        <v>1685940.31</v>
      </c>
      <c r="P199" s="29">
        <f>IFERROR(ROUND(SUM(S200,S201,S202,S203)/I199, 2),0)</f>
        <v>2235.0700000000002</v>
      </c>
      <c r="Q199" s="29">
        <v>2785</v>
      </c>
      <c r="R199" s="29">
        <f>P199+ROUND(Q199, 2)</f>
        <v>5020.07</v>
      </c>
      <c r="S199" s="29">
        <f>ROUND(P199*I199, 2)</f>
        <v>750625.91</v>
      </c>
      <c r="T199" s="29">
        <f>ROUND(I199*ROUND(Q199, 2), 2)</f>
        <v>935314.4</v>
      </c>
      <c r="U199" s="29">
        <f>S199+T199</f>
        <v>1685940.31</v>
      </c>
      <c r="V199" s="9">
        <f>ROUND(P199 / 1.2, 2)</f>
        <v>1862.56</v>
      </c>
      <c r="W199" s="9">
        <f>ROUND(Q199 / 1.2, 2)</f>
        <v>2320.83</v>
      </c>
      <c r="X199" s="9">
        <f>ROUND(R199 / 1.2, 2)</f>
        <v>4183.3900000000003</v>
      </c>
      <c r="Y199" s="9">
        <f t="shared" si="26"/>
        <v>625521.59</v>
      </c>
      <c r="Z199" s="9">
        <f>ROUND(T199 / 1.2, 2)</f>
        <v>779428.67</v>
      </c>
      <c r="AA199" s="9">
        <f>Y199+Z199</f>
        <v>1404950.26</v>
      </c>
      <c r="AD199" s="4">
        <v>271132093</v>
      </c>
      <c r="AE199" s="4">
        <v>19973763</v>
      </c>
      <c r="AG199" s="4" t="s">
        <v>694</v>
      </c>
      <c r="AH199" s="4" t="s">
        <v>695</v>
      </c>
      <c r="AI199" s="4" t="s">
        <v>67</v>
      </c>
    </row>
    <row r="200" spans="1:35" ht="54" x14ac:dyDescent="0.3">
      <c r="A200" s="25" t="s">
        <v>696</v>
      </c>
      <c r="B200" s="25"/>
      <c r="C200" s="17" t="s">
        <v>697</v>
      </c>
      <c r="D200" s="27"/>
      <c r="E200" s="27" t="s">
        <v>402</v>
      </c>
      <c r="F200" s="31" t="s">
        <v>70</v>
      </c>
      <c r="G200" s="32">
        <v>1.2</v>
      </c>
      <c r="H200" s="27"/>
      <c r="I200" s="33">
        <v>806.01599999999996</v>
      </c>
      <c r="J200" s="34">
        <v>16.96</v>
      </c>
      <c r="K200" s="35"/>
      <c r="L200" s="35"/>
      <c r="M200" s="34">
        <f>ROUND(ROUND(J200, 2)*I200, 2)</f>
        <v>13670.03</v>
      </c>
      <c r="N200" s="35"/>
      <c r="O200" s="35"/>
      <c r="P200" s="34">
        <v>16.96</v>
      </c>
      <c r="Q200" s="35"/>
      <c r="R200" s="35"/>
      <c r="S200" s="34">
        <f>ROUND(ROUND(P200, 2)*I200, 2)</f>
        <v>13670.03</v>
      </c>
      <c r="T200" s="35"/>
      <c r="U200" s="36"/>
      <c r="V200" s="9">
        <f>ROUND(ROUND(P200, 2)/1.2, 2)</f>
        <v>14.13</v>
      </c>
      <c r="Y200" s="9">
        <f t="shared" si="26"/>
        <v>11391.69</v>
      </c>
      <c r="AD200" s="4" t="s">
        <v>698</v>
      </c>
      <c r="AE200" s="4" t="s">
        <v>699</v>
      </c>
      <c r="AF200" s="4" t="s">
        <v>700</v>
      </c>
    </row>
    <row r="201" spans="1:35" ht="72" x14ac:dyDescent="0.3">
      <c r="A201" s="25" t="s">
        <v>701</v>
      </c>
      <c r="B201" s="25"/>
      <c r="C201" s="30" t="s">
        <v>702</v>
      </c>
      <c r="D201" s="27"/>
      <c r="E201" s="27" t="s">
        <v>703</v>
      </c>
      <c r="F201" s="31" t="s">
        <v>64</v>
      </c>
      <c r="G201" s="32">
        <v>1.2</v>
      </c>
      <c r="H201" s="27"/>
      <c r="I201" s="33">
        <v>403.00799999999998</v>
      </c>
      <c r="J201" s="34">
        <v>1809.15</v>
      </c>
      <c r="K201" s="35"/>
      <c r="L201" s="35"/>
      <c r="M201" s="34">
        <f>ROUND(ROUND(J201, 2)*I201, 2)</f>
        <v>729101.92</v>
      </c>
      <c r="N201" s="35"/>
      <c r="O201" s="35"/>
      <c r="P201" s="34">
        <v>1809.15</v>
      </c>
      <c r="Q201" s="35"/>
      <c r="R201" s="35"/>
      <c r="S201" s="34">
        <f>ROUND(ROUND(P201, 2)*I201, 2)</f>
        <v>729101.92</v>
      </c>
      <c r="T201" s="35"/>
      <c r="U201" s="36"/>
      <c r="V201" s="9">
        <f>ROUND(ROUND(P201, 2)/1.2, 2)</f>
        <v>1507.63</v>
      </c>
      <c r="Y201" s="9">
        <f t="shared" si="26"/>
        <v>607584.93000000005</v>
      </c>
      <c r="AD201" s="4" t="s">
        <v>704</v>
      </c>
      <c r="AE201" s="4" t="s">
        <v>705</v>
      </c>
      <c r="AF201" s="4" t="s">
        <v>706</v>
      </c>
    </row>
    <row r="202" spans="1:35" ht="36" x14ac:dyDescent="0.3">
      <c r="A202" s="25" t="s">
        <v>707</v>
      </c>
      <c r="B202" s="25"/>
      <c r="C202" s="30" t="s">
        <v>426</v>
      </c>
      <c r="D202" s="27"/>
      <c r="E202" s="27"/>
      <c r="F202" s="31" t="s">
        <v>70</v>
      </c>
      <c r="G202" s="32">
        <v>0.25</v>
      </c>
      <c r="H202" s="27"/>
      <c r="I202" s="33">
        <v>83.96</v>
      </c>
      <c r="J202" s="34">
        <v>40.270000000000003</v>
      </c>
      <c r="K202" s="35"/>
      <c r="L202" s="35"/>
      <c r="M202" s="34">
        <f>ROUND(ROUND(J202, 2)*I202, 2)</f>
        <v>3381.07</v>
      </c>
      <c r="N202" s="35"/>
      <c r="O202" s="35"/>
      <c r="P202" s="34">
        <v>40.270000000000003</v>
      </c>
      <c r="Q202" s="35"/>
      <c r="R202" s="35"/>
      <c r="S202" s="34">
        <f>ROUND(ROUND(P202, 2)*I202, 2)</f>
        <v>3381.07</v>
      </c>
      <c r="T202" s="35"/>
      <c r="U202" s="36"/>
      <c r="V202" s="9">
        <f>ROUND(ROUND(P202, 2)/1.2, 2)</f>
        <v>33.56</v>
      </c>
      <c r="Y202" s="9">
        <f t="shared" si="26"/>
        <v>2817.56</v>
      </c>
      <c r="AD202" s="4" t="s">
        <v>708</v>
      </c>
      <c r="AE202" s="4" t="s">
        <v>709</v>
      </c>
      <c r="AF202" s="4" t="s">
        <v>429</v>
      </c>
    </row>
    <row r="203" spans="1:35" ht="36" x14ac:dyDescent="0.3">
      <c r="A203" s="25" t="s">
        <v>710</v>
      </c>
      <c r="B203" s="25"/>
      <c r="C203" s="30" t="s">
        <v>433</v>
      </c>
      <c r="D203" s="27"/>
      <c r="E203" s="27"/>
      <c r="F203" s="31" t="s">
        <v>70</v>
      </c>
      <c r="G203" s="32">
        <v>0.15</v>
      </c>
      <c r="H203" s="27"/>
      <c r="I203" s="32">
        <v>50.375999999999998</v>
      </c>
      <c r="J203" s="34">
        <v>88.8</v>
      </c>
      <c r="K203" s="35"/>
      <c r="L203" s="35"/>
      <c r="M203" s="34">
        <f>ROUND(ROUND(J203, 2)*I203, 2)</f>
        <v>4473.3900000000003</v>
      </c>
      <c r="N203" s="35"/>
      <c r="O203" s="35"/>
      <c r="P203" s="34">
        <v>88.8</v>
      </c>
      <c r="Q203" s="35"/>
      <c r="R203" s="35"/>
      <c r="S203" s="34">
        <f>ROUND(ROUND(P203, 2)*I203, 2)</f>
        <v>4473.3900000000003</v>
      </c>
      <c r="T203" s="35"/>
      <c r="U203" s="36"/>
      <c r="V203" s="9">
        <f>ROUND(ROUND(P203, 2)/1.2, 2)</f>
        <v>74</v>
      </c>
      <c r="Y203" s="9">
        <f t="shared" si="26"/>
        <v>3727.83</v>
      </c>
      <c r="AD203" s="4" t="s">
        <v>711</v>
      </c>
      <c r="AE203" s="4" t="s">
        <v>712</v>
      </c>
      <c r="AF203" s="4" t="s">
        <v>436</v>
      </c>
    </row>
    <row r="204" spans="1:35" ht="54" x14ac:dyDescent="0.3">
      <c r="A204" s="25" t="s">
        <v>713</v>
      </c>
      <c r="B204" s="25" t="s">
        <v>691</v>
      </c>
      <c r="C204" s="26" t="s">
        <v>692</v>
      </c>
      <c r="D204" s="27"/>
      <c r="E204" s="27" t="s">
        <v>714</v>
      </c>
      <c r="F204" s="27" t="s">
        <v>64</v>
      </c>
      <c r="G204" s="28">
        <v>1</v>
      </c>
      <c r="H204" s="27"/>
      <c r="I204" s="28">
        <v>551.70000000000005</v>
      </c>
      <c r="J204" s="29">
        <f>IFERROR(ROUND(SUM(M205,M206,M207,M208)/I204, 2),0)</f>
        <v>2235.0700000000002</v>
      </c>
      <c r="K204" s="29">
        <v>2785</v>
      </c>
      <c r="L204" s="29">
        <f>J204+ROUND(K204, 2)</f>
        <v>5020.07</v>
      </c>
      <c r="M204" s="29">
        <f>ROUND(J204*I204, 2)</f>
        <v>1233088.1200000001</v>
      </c>
      <c r="N204" s="29">
        <f>ROUND(I204*ROUND(K204, 2), 2)</f>
        <v>1536484.5</v>
      </c>
      <c r="O204" s="29">
        <f>M204+N204</f>
        <v>2769572.62</v>
      </c>
      <c r="P204" s="29">
        <f>IFERROR(ROUND(SUM(S205,S206,S207,S208)/I204, 2),0)</f>
        <v>2235.0700000000002</v>
      </c>
      <c r="Q204" s="29">
        <v>2785</v>
      </c>
      <c r="R204" s="29">
        <f>P204+ROUND(Q204, 2)</f>
        <v>5020.07</v>
      </c>
      <c r="S204" s="29">
        <f>ROUND(P204*I204, 2)</f>
        <v>1233088.1200000001</v>
      </c>
      <c r="T204" s="29">
        <f>ROUND(I204*ROUND(Q204, 2), 2)</f>
        <v>1536484.5</v>
      </c>
      <c r="U204" s="29">
        <f>S204+T204</f>
        <v>2769572.62</v>
      </c>
      <c r="V204" s="9">
        <f>ROUND(P204 / 1.2, 2)</f>
        <v>1862.56</v>
      </c>
      <c r="W204" s="9">
        <f>ROUND(Q204 / 1.2, 2)</f>
        <v>2320.83</v>
      </c>
      <c r="X204" s="9">
        <f>ROUND(R204 / 1.2, 2)</f>
        <v>4183.3900000000003</v>
      </c>
      <c r="Y204" s="9">
        <f t="shared" si="26"/>
        <v>1027573.43</v>
      </c>
      <c r="Z204" s="9">
        <f>ROUND(T204 / 1.2, 2)</f>
        <v>1280403.75</v>
      </c>
      <c r="AA204" s="9">
        <f>Y204+Z204</f>
        <v>2307977.1800000002</v>
      </c>
      <c r="AD204" s="4">
        <v>271132176</v>
      </c>
      <c r="AE204" s="4">
        <v>19973766</v>
      </c>
      <c r="AG204" s="4" t="s">
        <v>694</v>
      </c>
      <c r="AH204" s="4" t="s">
        <v>695</v>
      </c>
      <c r="AI204" s="4" t="s">
        <v>67</v>
      </c>
    </row>
    <row r="205" spans="1:35" ht="36" x14ac:dyDescent="0.3">
      <c r="A205" s="25" t="s">
        <v>715</v>
      </c>
      <c r="B205" s="25"/>
      <c r="C205" s="30" t="s">
        <v>433</v>
      </c>
      <c r="D205" s="27"/>
      <c r="E205" s="27"/>
      <c r="F205" s="31" t="s">
        <v>70</v>
      </c>
      <c r="G205" s="32">
        <v>0.15</v>
      </c>
      <c r="H205" s="27"/>
      <c r="I205" s="32">
        <v>82.754999999999995</v>
      </c>
      <c r="J205" s="34">
        <v>88.8</v>
      </c>
      <c r="K205" s="35"/>
      <c r="L205" s="35"/>
      <c r="M205" s="34">
        <f>ROUND(ROUND(J205, 2)*I205, 2)</f>
        <v>7348.64</v>
      </c>
      <c r="N205" s="35"/>
      <c r="O205" s="35"/>
      <c r="P205" s="34">
        <v>88.8</v>
      </c>
      <c r="Q205" s="35"/>
      <c r="R205" s="35"/>
      <c r="S205" s="34">
        <f>ROUND(ROUND(P205, 2)*I205, 2)</f>
        <v>7348.64</v>
      </c>
      <c r="T205" s="35"/>
      <c r="U205" s="36"/>
      <c r="V205" s="9">
        <f>ROUND(ROUND(P205, 2)/1.2, 2)</f>
        <v>74</v>
      </c>
      <c r="Y205" s="9">
        <f t="shared" si="26"/>
        <v>6123.87</v>
      </c>
      <c r="AD205" s="4" t="s">
        <v>716</v>
      </c>
      <c r="AE205" s="4" t="s">
        <v>717</v>
      </c>
      <c r="AF205" s="4" t="s">
        <v>436</v>
      </c>
    </row>
    <row r="206" spans="1:35" ht="36" x14ac:dyDescent="0.3">
      <c r="A206" s="25" t="s">
        <v>718</v>
      </c>
      <c r="B206" s="25"/>
      <c r="C206" s="30" t="s">
        <v>426</v>
      </c>
      <c r="D206" s="27"/>
      <c r="E206" s="27"/>
      <c r="F206" s="31" t="s">
        <v>70</v>
      </c>
      <c r="G206" s="32">
        <v>0.25</v>
      </c>
      <c r="H206" s="27"/>
      <c r="I206" s="33">
        <v>137.92500000000001</v>
      </c>
      <c r="J206" s="34">
        <v>40.270000000000003</v>
      </c>
      <c r="K206" s="35"/>
      <c r="L206" s="35"/>
      <c r="M206" s="34">
        <f>ROUND(ROUND(J206, 2)*I206, 2)</f>
        <v>5554.24</v>
      </c>
      <c r="N206" s="35"/>
      <c r="O206" s="35"/>
      <c r="P206" s="34">
        <v>40.270000000000003</v>
      </c>
      <c r="Q206" s="35"/>
      <c r="R206" s="35"/>
      <c r="S206" s="34">
        <f>ROUND(ROUND(P206, 2)*I206, 2)</f>
        <v>5554.24</v>
      </c>
      <c r="T206" s="35"/>
      <c r="U206" s="36"/>
      <c r="V206" s="9">
        <f>ROUND(ROUND(P206, 2)/1.2, 2)</f>
        <v>33.56</v>
      </c>
      <c r="Y206" s="9">
        <f t="shared" si="26"/>
        <v>4628.53</v>
      </c>
      <c r="AD206" s="4" t="s">
        <v>719</v>
      </c>
      <c r="AE206" s="4" t="s">
        <v>720</v>
      </c>
      <c r="AF206" s="4" t="s">
        <v>429</v>
      </c>
    </row>
    <row r="207" spans="1:35" ht="72" x14ac:dyDescent="0.3">
      <c r="A207" s="25" t="s">
        <v>721</v>
      </c>
      <c r="B207" s="25"/>
      <c r="C207" s="30" t="s">
        <v>702</v>
      </c>
      <c r="D207" s="27"/>
      <c r="E207" s="27" t="s">
        <v>703</v>
      </c>
      <c r="F207" s="31" t="s">
        <v>64</v>
      </c>
      <c r="G207" s="32">
        <v>1.2</v>
      </c>
      <c r="H207" s="27"/>
      <c r="I207" s="33">
        <v>662.04</v>
      </c>
      <c r="J207" s="34">
        <v>1809.15</v>
      </c>
      <c r="K207" s="35"/>
      <c r="L207" s="35"/>
      <c r="M207" s="34">
        <f>ROUND(ROUND(J207, 2)*I207, 2)</f>
        <v>1197729.67</v>
      </c>
      <c r="N207" s="35"/>
      <c r="O207" s="35"/>
      <c r="P207" s="34">
        <v>1809.15</v>
      </c>
      <c r="Q207" s="35"/>
      <c r="R207" s="35"/>
      <c r="S207" s="34">
        <f>ROUND(ROUND(P207, 2)*I207, 2)</f>
        <v>1197729.67</v>
      </c>
      <c r="T207" s="35"/>
      <c r="U207" s="36"/>
      <c r="V207" s="9">
        <f>ROUND(ROUND(P207, 2)/1.2, 2)</f>
        <v>1507.63</v>
      </c>
      <c r="Y207" s="9">
        <f t="shared" si="26"/>
        <v>998108.06</v>
      </c>
      <c r="AD207" s="4" t="s">
        <v>722</v>
      </c>
      <c r="AE207" s="4" t="s">
        <v>723</v>
      </c>
      <c r="AF207" s="4" t="s">
        <v>706</v>
      </c>
    </row>
    <row r="208" spans="1:35" ht="54" x14ac:dyDescent="0.3">
      <c r="A208" s="25" t="s">
        <v>724</v>
      </c>
      <c r="B208" s="25"/>
      <c r="C208" s="17" t="s">
        <v>697</v>
      </c>
      <c r="D208" s="27"/>
      <c r="E208" s="27" t="s">
        <v>402</v>
      </c>
      <c r="F208" s="31" t="s">
        <v>70</v>
      </c>
      <c r="G208" s="32">
        <v>1.2</v>
      </c>
      <c r="H208" s="27"/>
      <c r="I208" s="33">
        <v>1324.08</v>
      </c>
      <c r="J208" s="34">
        <v>16.96</v>
      </c>
      <c r="K208" s="35"/>
      <c r="L208" s="35"/>
      <c r="M208" s="34">
        <f>ROUND(ROUND(J208, 2)*I208, 2)</f>
        <v>22456.400000000001</v>
      </c>
      <c r="N208" s="35"/>
      <c r="O208" s="35"/>
      <c r="P208" s="34">
        <v>16.96</v>
      </c>
      <c r="Q208" s="35"/>
      <c r="R208" s="35"/>
      <c r="S208" s="34">
        <f>ROUND(ROUND(P208, 2)*I208, 2)</f>
        <v>22456.400000000001</v>
      </c>
      <c r="T208" s="35"/>
      <c r="U208" s="36"/>
      <c r="V208" s="9">
        <f>ROUND(ROUND(P208, 2)/1.2, 2)</f>
        <v>14.13</v>
      </c>
      <c r="Y208" s="9">
        <f t="shared" si="26"/>
        <v>18713.669999999998</v>
      </c>
      <c r="AD208" s="4" t="s">
        <v>725</v>
      </c>
      <c r="AE208" s="4" t="s">
        <v>726</v>
      </c>
      <c r="AF208" s="4" t="s">
        <v>700</v>
      </c>
    </row>
    <row r="209" spans="1:35" ht="17.100000000000001" customHeight="1" x14ac:dyDescent="0.3">
      <c r="A209" s="10" t="s">
        <v>727</v>
      </c>
      <c r="B209" s="10" t="s">
        <v>728</v>
      </c>
      <c r="C209" s="185" t="s">
        <v>729</v>
      </c>
      <c r="D209" s="186"/>
      <c r="E209" s="186"/>
      <c r="F209" s="186"/>
      <c r="G209" s="186"/>
      <c r="H209" s="186"/>
      <c r="I209" s="187"/>
      <c r="M209" s="6">
        <f>SUM(M210,M324,M538,M614)</f>
        <v>13876950.84</v>
      </c>
      <c r="N209" s="6">
        <f>SUM(N210,N324,N538,N614)</f>
        <v>59672651.509999998</v>
      </c>
      <c r="O209" s="6">
        <f>SUM(O210,O324,O538,O614)</f>
        <v>73549602.349999994</v>
      </c>
      <c r="S209" s="6">
        <f>SUM(S210,S324,S538,S614)</f>
        <v>13804955.51</v>
      </c>
      <c r="T209" s="6">
        <f>SUM(T210,T324,T538,T614)</f>
        <v>59672651.509999998</v>
      </c>
      <c r="U209" s="6">
        <f>SUM(U210,U324,U538,U614)</f>
        <v>73477607.019999996</v>
      </c>
      <c r="Y209" s="9">
        <f>SUM(Y210,Y324,Y538,Y614)</f>
        <v>11504129.65</v>
      </c>
      <c r="Z209" s="9">
        <f>SUM(Z210,Z324,Z538,Z614)</f>
        <v>49727209.600000001</v>
      </c>
      <c r="AA209" s="9">
        <f>SUM(AA210,AA324,AA538,AA614)</f>
        <v>61231339.25</v>
      </c>
      <c r="AD209" s="4">
        <v>271132094</v>
      </c>
      <c r="AE209" s="4">
        <v>16211408</v>
      </c>
    </row>
    <row r="210" spans="1:35" ht="17.100000000000001" customHeight="1" x14ac:dyDescent="0.3">
      <c r="A210" s="10" t="s">
        <v>730</v>
      </c>
      <c r="B210" s="10" t="s">
        <v>731</v>
      </c>
      <c r="C210" s="185" t="s">
        <v>732</v>
      </c>
      <c r="D210" s="186"/>
      <c r="E210" s="186"/>
      <c r="F210" s="186"/>
      <c r="G210" s="186"/>
      <c r="H210" s="186"/>
      <c r="I210" s="187"/>
      <c r="M210" s="6">
        <f>SUM(M211,M214,M222,M232,M238,M242,M245,M249,M252,M256,M259,M263,M266,M269,M272,M275,M278,M288,M293,M298,M303,M308,M312,M316,M320)</f>
        <v>9465851.8200000003</v>
      </c>
      <c r="N210" s="6">
        <f>SUM(N211,N214,N222,N232,N238,N242,N245,N249,N252,N256,N259,N263,N266,N269,N272,N275,N278,N288,N293,N298,N303,N308,N312,N316,N320)</f>
        <v>44797200.280000001</v>
      </c>
      <c r="O210" s="6">
        <f>SUM(O211,O214,O222,O232,O238,O242,O245,O249,O252,O256,O259,O263,O266,O269,O272,O275,O278,O288,O293,O298,O303,O308,O312,O316,O320)</f>
        <v>54263052.100000001</v>
      </c>
      <c r="S210" s="6">
        <f>SUM(S211,S214,S222,S232,S238,S242,S245,S249,S252,S256,S259,S263,S266,S269,S272,S275,S278,S288,S293,S298,S303,S308,S312,S316,S320)</f>
        <v>9465851.8200000003</v>
      </c>
      <c r="T210" s="6">
        <f>SUM(T211,T214,T222,T232,T238,T242,T245,T249,T252,T256,T259,T263,T266,T269,T272,T275,T278,T288,T293,T298,T303,T308,T312,T316,T320)</f>
        <v>44797200.280000001</v>
      </c>
      <c r="U210" s="6">
        <f>SUM(U211,U214,U222,U232,U238,U242,U245,U249,U252,U256,U259,U263,U266,U269,U272,U275,U278,U288,U293,U298,U303,U308,U312,U316,U320)</f>
        <v>54263052.100000001</v>
      </c>
      <c r="Y210" s="9">
        <f>SUM(Y211,Y214,Y222,Y232,Y238,Y242,Y245,Y249,Y252,Y256,Y259,Y263,Y266,Y269,Y272,Y275,Y278,Y288,Y293,Y298,Y303,Y308,Y312,Y316,Y320)</f>
        <v>7888209.8600000003</v>
      </c>
      <c r="Z210" s="9">
        <f>SUM(Z211,Z214,Z222,Z232,Z238,Z242,Z245,Z249,Z252,Z256,Z259,Z263,Z266,Z269,Z272,Z275,Z278,Z288,Z293,Z298,Z303,Z308,Z312,Z316,Z320)</f>
        <v>37331000.240000002</v>
      </c>
      <c r="AA210" s="9">
        <f>SUM(AA211,AA214,AA222,AA232,AA238,AA242,AA245,AA249,AA252,AA256,AA259,AA263,AA266,AA269,AA272,AA275,AA278,AA288,AA293,AA298,AA303,AA308,AA312,AA316,AA320)</f>
        <v>45219210.100000001</v>
      </c>
      <c r="AD210" s="4">
        <v>271132095</v>
      </c>
      <c r="AE210" s="4">
        <v>16211414</v>
      </c>
    </row>
    <row r="211" spans="1:35" ht="54" x14ac:dyDescent="0.3">
      <c r="A211" s="25" t="s">
        <v>733</v>
      </c>
      <c r="B211" s="25" t="s">
        <v>734</v>
      </c>
      <c r="C211" s="26" t="s">
        <v>735</v>
      </c>
      <c r="D211" s="27"/>
      <c r="E211" s="27" t="s">
        <v>736</v>
      </c>
      <c r="F211" s="27" t="s">
        <v>87</v>
      </c>
      <c r="G211" s="28">
        <v>1</v>
      </c>
      <c r="H211" s="27"/>
      <c r="I211" s="28">
        <v>3871.86</v>
      </c>
      <c r="J211" s="29">
        <f>IFERROR(ROUND(SUM(M212,M213)/I211, 2),0)</f>
        <v>11.51</v>
      </c>
      <c r="K211" s="29">
        <v>28</v>
      </c>
      <c r="L211" s="29">
        <f>J211+ROUND(K211, 2)</f>
        <v>39.51</v>
      </c>
      <c r="M211" s="29">
        <f>ROUND(J211*I211, 2)</f>
        <v>44565.11</v>
      </c>
      <c r="N211" s="29">
        <f>ROUND(I211*ROUND(K211, 2), 2)</f>
        <v>108412.08</v>
      </c>
      <c r="O211" s="29">
        <f>M211+N211</f>
        <v>152977.19</v>
      </c>
      <c r="P211" s="29">
        <f>IFERROR(ROUND(SUM(S212,S213)/I211, 2),0)</f>
        <v>11.51</v>
      </c>
      <c r="Q211" s="29">
        <v>28</v>
      </c>
      <c r="R211" s="29">
        <f>P211+ROUND(Q211, 2)</f>
        <v>39.51</v>
      </c>
      <c r="S211" s="29">
        <f>ROUND(P211*I211, 2)</f>
        <v>44565.11</v>
      </c>
      <c r="T211" s="29">
        <f>ROUND(I211*ROUND(Q211, 2), 2)</f>
        <v>108412.08</v>
      </c>
      <c r="U211" s="29">
        <f>S211+T211</f>
        <v>152977.19</v>
      </c>
      <c r="V211" s="9">
        <f>ROUND(P211 / 1.2, 2)</f>
        <v>9.59</v>
      </c>
      <c r="W211" s="9">
        <f>ROUND(Q211 / 1.2, 2)</f>
        <v>23.33</v>
      </c>
      <c r="X211" s="9">
        <f>ROUND(R211 / 1.2, 2)</f>
        <v>32.93</v>
      </c>
      <c r="Y211" s="9">
        <f>ROUND(S211 / 1.2, 2)</f>
        <v>37137.589999999997</v>
      </c>
      <c r="Z211" s="9">
        <f>ROUND(T211 / 1.2, 2)</f>
        <v>90343.4</v>
      </c>
      <c r="AA211" s="9">
        <f>Y211+Z211</f>
        <v>127480.99</v>
      </c>
      <c r="AD211" s="4">
        <v>271132097</v>
      </c>
      <c r="AE211" s="4">
        <v>19813870</v>
      </c>
      <c r="AG211" s="4" t="s">
        <v>737</v>
      </c>
      <c r="AH211" s="4" t="s">
        <v>738</v>
      </c>
      <c r="AI211" s="4" t="s">
        <v>67</v>
      </c>
    </row>
    <row r="212" spans="1:35" ht="36" x14ac:dyDescent="0.3">
      <c r="A212" s="25" t="s">
        <v>739</v>
      </c>
      <c r="B212" s="25"/>
      <c r="C212" s="17" t="s">
        <v>740</v>
      </c>
      <c r="D212" s="27"/>
      <c r="E212" s="27"/>
      <c r="F212" s="31" t="s">
        <v>70</v>
      </c>
      <c r="G212" s="32">
        <v>0.3</v>
      </c>
      <c r="H212" s="27"/>
      <c r="I212" s="33">
        <v>1161.558</v>
      </c>
      <c r="J212" s="34">
        <v>12.7</v>
      </c>
      <c r="K212" s="35"/>
      <c r="L212" s="35"/>
      <c r="M212" s="34">
        <f>ROUND(ROUND(J212, 2)*I212, 2)</f>
        <v>14751.79</v>
      </c>
      <c r="N212" s="35"/>
      <c r="O212" s="35"/>
      <c r="P212" s="34">
        <v>12.7</v>
      </c>
      <c r="Q212" s="35"/>
      <c r="R212" s="35"/>
      <c r="S212" s="34">
        <f>ROUND(ROUND(P212, 2)*I212, 2)</f>
        <v>14751.79</v>
      </c>
      <c r="T212" s="35"/>
      <c r="U212" s="36"/>
      <c r="V212" s="9">
        <f>ROUND(ROUND(P212, 2)/1.2, 2)</f>
        <v>10.58</v>
      </c>
      <c r="Y212" s="9">
        <f>ROUND(S212 / 1.2, 2)</f>
        <v>12293.16</v>
      </c>
      <c r="AD212" s="4" t="s">
        <v>741</v>
      </c>
      <c r="AE212" s="4" t="s">
        <v>742</v>
      </c>
      <c r="AF212" s="4" t="s">
        <v>743</v>
      </c>
    </row>
    <row r="213" spans="1:35" ht="18" x14ac:dyDescent="0.3">
      <c r="A213" s="25" t="s">
        <v>744</v>
      </c>
      <c r="B213" s="25"/>
      <c r="C213" s="30" t="s">
        <v>745</v>
      </c>
      <c r="D213" s="27"/>
      <c r="E213" s="27"/>
      <c r="F213" s="31" t="s">
        <v>87</v>
      </c>
      <c r="G213" s="32">
        <v>1.1000000000000001</v>
      </c>
      <c r="H213" s="27"/>
      <c r="I213" s="33">
        <v>4259.0460000000003</v>
      </c>
      <c r="J213" s="34">
        <v>7</v>
      </c>
      <c r="K213" s="35"/>
      <c r="L213" s="35"/>
      <c r="M213" s="34">
        <f>ROUND(ROUND(J213, 2)*I213, 2)</f>
        <v>29813.32</v>
      </c>
      <c r="N213" s="35"/>
      <c r="O213" s="35"/>
      <c r="P213" s="34">
        <v>7</v>
      </c>
      <c r="Q213" s="35"/>
      <c r="R213" s="35"/>
      <c r="S213" s="34">
        <f>ROUND(ROUND(P213, 2)*I213, 2)</f>
        <v>29813.32</v>
      </c>
      <c r="T213" s="35"/>
      <c r="U213" s="36"/>
      <c r="V213" s="9">
        <f>ROUND(ROUND(P213, 2)/1.2, 2)</f>
        <v>5.83</v>
      </c>
      <c r="Y213" s="9">
        <f>ROUND(S213 / 1.2, 2)</f>
        <v>24844.43</v>
      </c>
      <c r="AD213" s="4" t="s">
        <v>746</v>
      </c>
      <c r="AE213" s="4" t="s">
        <v>747</v>
      </c>
      <c r="AF213" s="4" t="s">
        <v>748</v>
      </c>
    </row>
    <row r="214" spans="1:35" ht="54" x14ac:dyDescent="0.3">
      <c r="A214" s="37" t="s">
        <v>749</v>
      </c>
      <c r="B214" s="37" t="s">
        <v>750</v>
      </c>
      <c r="C214" s="38" t="s">
        <v>751</v>
      </c>
      <c r="D214" s="39"/>
      <c r="E214" s="39" t="s">
        <v>63</v>
      </c>
      <c r="F214" s="39" t="s">
        <v>64</v>
      </c>
      <c r="G214" s="40">
        <v>1</v>
      </c>
      <c r="H214" s="39"/>
      <c r="I214" s="41">
        <v>0</v>
      </c>
      <c r="J214" s="42">
        <f>IFERROR(ROUND(SUM(M216,M218,M220)/I214, 2),0)</f>
        <v>0</v>
      </c>
      <c r="K214" s="42">
        <v>826</v>
      </c>
      <c r="L214" s="42">
        <f>J214+ROUND(K214, 2)</f>
        <v>826</v>
      </c>
      <c r="M214" s="42">
        <f>ROUND(J214*I214, 2)</f>
        <v>0</v>
      </c>
      <c r="N214" s="42">
        <f>ROUND(I214*ROUND(K214, 2), 2)</f>
        <v>0</v>
      </c>
      <c r="O214" s="42">
        <f>M214+N214</f>
        <v>0</v>
      </c>
      <c r="P214" s="42">
        <f>IFERROR(ROUND(SUM(S216,S218,S220)/I214, 2),0)</f>
        <v>0</v>
      </c>
      <c r="Q214" s="42">
        <v>826</v>
      </c>
      <c r="R214" s="42">
        <f>P214+ROUND(Q214, 2)</f>
        <v>826</v>
      </c>
      <c r="S214" s="42">
        <f>ROUND(P214*I214, 2)</f>
        <v>0</v>
      </c>
      <c r="T214" s="42">
        <f>ROUND(I214*ROUND(Q214, 2), 2)</f>
        <v>0</v>
      </c>
      <c r="U214" s="42">
        <f>S214+T214</f>
        <v>0</v>
      </c>
      <c r="V214" s="9">
        <f>ROUND(P214 / 1.2, 2)</f>
        <v>0</v>
      </c>
      <c r="W214" s="9">
        <f>ROUND(Q214 / 1.2, 2)</f>
        <v>688.33</v>
      </c>
      <c r="X214" s="9">
        <f>ROUND(R214 / 1.2, 2)</f>
        <v>688.33</v>
      </c>
      <c r="Y214" s="9">
        <f>ROUND(S214 / 1.2, 2)</f>
        <v>0</v>
      </c>
      <c r="Z214" s="9">
        <f>ROUND(T214 / 1.2, 2)</f>
        <v>0</v>
      </c>
      <c r="AA214" s="9">
        <f>Y214+Z214</f>
        <v>0</v>
      </c>
      <c r="AD214" s="4">
        <v>271132099</v>
      </c>
      <c r="AE214" s="4">
        <v>16677750</v>
      </c>
      <c r="AG214" s="4" t="s">
        <v>752</v>
      </c>
      <c r="AH214" s="4" t="s">
        <v>753</v>
      </c>
      <c r="AI214" s="4" t="s">
        <v>67</v>
      </c>
    </row>
    <row r="215" spans="1:35" ht="54" x14ac:dyDescent="0.3">
      <c r="A215" s="43" t="s">
        <v>754</v>
      </c>
      <c r="B215" s="43" t="s">
        <v>750</v>
      </c>
      <c r="C215" s="44" t="s">
        <v>751</v>
      </c>
      <c r="D215" s="45"/>
      <c r="E215" s="45"/>
      <c r="F215" s="45" t="s">
        <v>64</v>
      </c>
      <c r="G215" s="46">
        <v>1</v>
      </c>
      <c r="H215" s="45"/>
      <c r="I215" s="46">
        <v>8158.2</v>
      </c>
      <c r="J215" s="47">
        <v>0</v>
      </c>
      <c r="K215" s="47">
        <v>826</v>
      </c>
      <c r="L215" s="47"/>
      <c r="M215" s="47">
        <v>0</v>
      </c>
      <c r="N215" s="47"/>
      <c r="O215" s="47"/>
      <c r="P215" s="47">
        <v>0</v>
      </c>
      <c r="Q215" s="47">
        <v>826</v>
      </c>
      <c r="R215" s="47"/>
      <c r="S215" s="47">
        <v>0</v>
      </c>
      <c r="T215" s="47"/>
      <c r="U215" s="47"/>
      <c r="V215" s="9"/>
      <c r="W215" s="9">
        <f>ROUND(Q215 / 1.2, 2)</f>
        <v>688.33</v>
      </c>
      <c r="X215" s="9" t="e">
        <f>ROUND(R215 / 1.2, 2)</f>
        <v>#VALUE!</v>
      </c>
      <c r="Y215" s="9"/>
      <c r="Z215" s="9" t="e">
        <f>ROUND(T215 / 1.2, 2)</f>
        <v>#VALUE!</v>
      </c>
      <c r="AA215" s="9"/>
      <c r="AD215" s="4">
        <v>213487858</v>
      </c>
      <c r="AE215" s="4">
        <v>16677750</v>
      </c>
      <c r="AG215" s="4" t="s">
        <v>752</v>
      </c>
      <c r="AH215" s="4" t="s">
        <v>753</v>
      </c>
      <c r="AI215" s="4"/>
    </row>
    <row r="216" spans="1:35" ht="36" x14ac:dyDescent="0.3">
      <c r="A216" s="37" t="s">
        <v>755</v>
      </c>
      <c r="B216" s="37"/>
      <c r="C216" s="48" t="s">
        <v>756</v>
      </c>
      <c r="D216" s="39"/>
      <c r="E216" s="39" t="s">
        <v>757</v>
      </c>
      <c r="F216" s="49" t="s">
        <v>70</v>
      </c>
      <c r="G216" s="50">
        <v>1</v>
      </c>
      <c r="H216" s="39"/>
      <c r="I216" s="51">
        <v>0</v>
      </c>
      <c r="J216" s="52">
        <v>7.59</v>
      </c>
      <c r="K216" s="53"/>
      <c r="L216" s="53"/>
      <c r="M216" s="52">
        <f t="shared" ref="M216:M221" si="27">ROUND(ROUND(J216, 2)*I216, 2)</f>
        <v>0</v>
      </c>
      <c r="N216" s="53"/>
      <c r="O216" s="53"/>
      <c r="P216" s="52">
        <v>7.59</v>
      </c>
      <c r="Q216" s="53"/>
      <c r="R216" s="53"/>
      <c r="S216" s="52">
        <f t="shared" ref="S216:S221" si="28">ROUND(ROUND(P216, 2)*I216, 2)</f>
        <v>0</v>
      </c>
      <c r="T216" s="53"/>
      <c r="U216" s="54"/>
      <c r="V216" s="9">
        <f t="shared" ref="V216:V221" si="29">ROUND(ROUND(P216, 2)/1.2, 2)</f>
        <v>6.33</v>
      </c>
      <c r="Y216" s="9">
        <f t="shared" ref="Y216:Y222" si="30">ROUND(S216 / 1.2, 2)</f>
        <v>0</v>
      </c>
      <c r="AD216" s="4" t="s">
        <v>758</v>
      </c>
      <c r="AE216" s="4" t="s">
        <v>759</v>
      </c>
      <c r="AF216" s="4" t="s">
        <v>760</v>
      </c>
    </row>
    <row r="217" spans="1:35" ht="36" x14ac:dyDescent="0.3">
      <c r="A217" s="43" t="s">
        <v>761</v>
      </c>
      <c r="B217" s="43"/>
      <c r="C217" s="55" t="s">
        <v>756</v>
      </c>
      <c r="D217" s="45"/>
      <c r="E217" s="45" t="s">
        <v>757</v>
      </c>
      <c r="F217" s="56" t="s">
        <v>70</v>
      </c>
      <c r="G217" s="57">
        <v>1</v>
      </c>
      <c r="H217" s="45"/>
      <c r="I217" s="58">
        <v>163164</v>
      </c>
      <c r="J217" s="59">
        <v>7.59</v>
      </c>
      <c r="K217" s="60"/>
      <c r="L217" s="60"/>
      <c r="M217" s="59">
        <f t="shared" si="27"/>
        <v>1238414.76</v>
      </c>
      <c r="N217" s="60"/>
      <c r="O217" s="60"/>
      <c r="P217" s="59">
        <v>7.59</v>
      </c>
      <c r="Q217" s="60"/>
      <c r="R217" s="60"/>
      <c r="S217" s="59">
        <f t="shared" si="28"/>
        <v>1238414.76</v>
      </c>
      <c r="T217" s="60"/>
      <c r="U217" s="61"/>
      <c r="V217" s="9">
        <f t="shared" si="29"/>
        <v>6.33</v>
      </c>
      <c r="Y217" s="9">
        <f t="shared" si="30"/>
        <v>1032012.3</v>
      </c>
      <c r="AD217" s="4" t="s">
        <v>762</v>
      </c>
      <c r="AE217" s="4" t="s">
        <v>759</v>
      </c>
      <c r="AF217" s="4" t="s">
        <v>760</v>
      </c>
    </row>
    <row r="218" spans="1:35" ht="18" x14ac:dyDescent="0.3">
      <c r="A218" s="37" t="s">
        <v>763</v>
      </c>
      <c r="B218" s="37"/>
      <c r="C218" s="48" t="s">
        <v>764</v>
      </c>
      <c r="D218" s="39"/>
      <c r="E218" s="39"/>
      <c r="F218" s="49" t="s">
        <v>70</v>
      </c>
      <c r="G218" s="50">
        <v>0.25</v>
      </c>
      <c r="H218" s="39"/>
      <c r="I218" s="62">
        <v>0</v>
      </c>
      <c r="J218" s="52">
        <v>100</v>
      </c>
      <c r="K218" s="53"/>
      <c r="L218" s="53"/>
      <c r="M218" s="52">
        <f t="shared" si="27"/>
        <v>0</v>
      </c>
      <c r="N218" s="53"/>
      <c r="O218" s="53"/>
      <c r="P218" s="52">
        <v>100</v>
      </c>
      <c r="Q218" s="53"/>
      <c r="R218" s="53"/>
      <c r="S218" s="52">
        <f t="shared" si="28"/>
        <v>0</v>
      </c>
      <c r="T218" s="53"/>
      <c r="U218" s="54"/>
      <c r="V218" s="9">
        <f t="shared" si="29"/>
        <v>83.33</v>
      </c>
      <c r="Y218" s="9">
        <f t="shared" si="30"/>
        <v>0</v>
      </c>
      <c r="AD218" s="4" t="s">
        <v>765</v>
      </c>
      <c r="AE218" s="4" t="s">
        <v>766</v>
      </c>
      <c r="AF218" s="4" t="s">
        <v>767</v>
      </c>
    </row>
    <row r="219" spans="1:35" ht="18" x14ac:dyDescent="0.3">
      <c r="A219" s="43" t="s">
        <v>768</v>
      </c>
      <c r="B219" s="43"/>
      <c r="C219" s="55" t="s">
        <v>764</v>
      </c>
      <c r="D219" s="45"/>
      <c r="E219" s="45"/>
      <c r="F219" s="56" t="s">
        <v>70</v>
      </c>
      <c r="G219" s="57">
        <v>0.25</v>
      </c>
      <c r="H219" s="45"/>
      <c r="I219" s="57">
        <v>2039.55</v>
      </c>
      <c r="J219" s="59">
        <v>100</v>
      </c>
      <c r="K219" s="60"/>
      <c r="L219" s="60"/>
      <c r="M219" s="59">
        <f t="shared" si="27"/>
        <v>203955</v>
      </c>
      <c r="N219" s="60"/>
      <c r="O219" s="60"/>
      <c r="P219" s="59">
        <v>100</v>
      </c>
      <c r="Q219" s="60"/>
      <c r="R219" s="60"/>
      <c r="S219" s="59">
        <f t="shared" si="28"/>
        <v>203955</v>
      </c>
      <c r="T219" s="60"/>
      <c r="U219" s="61"/>
      <c r="V219" s="9">
        <f t="shared" si="29"/>
        <v>83.33</v>
      </c>
      <c r="Y219" s="9">
        <f t="shared" si="30"/>
        <v>169962.5</v>
      </c>
      <c r="AD219" s="4" t="s">
        <v>769</v>
      </c>
      <c r="AE219" s="4" t="s">
        <v>766</v>
      </c>
      <c r="AF219" s="4" t="s">
        <v>767</v>
      </c>
    </row>
    <row r="220" spans="1:35" ht="18" x14ac:dyDescent="0.3">
      <c r="A220" s="37" t="s">
        <v>770</v>
      </c>
      <c r="B220" s="37"/>
      <c r="C220" s="48" t="s">
        <v>771</v>
      </c>
      <c r="D220" s="39"/>
      <c r="E220" s="39"/>
      <c r="F220" s="49" t="s">
        <v>87</v>
      </c>
      <c r="G220" s="50">
        <v>1.05</v>
      </c>
      <c r="H220" s="39"/>
      <c r="I220" s="51">
        <v>0</v>
      </c>
      <c r="J220" s="52">
        <v>15.76</v>
      </c>
      <c r="K220" s="53"/>
      <c r="L220" s="53"/>
      <c r="M220" s="52">
        <f t="shared" si="27"/>
        <v>0</v>
      </c>
      <c r="N220" s="53"/>
      <c r="O220" s="53"/>
      <c r="P220" s="52">
        <v>15.76</v>
      </c>
      <c r="Q220" s="53"/>
      <c r="R220" s="53"/>
      <c r="S220" s="52">
        <f t="shared" si="28"/>
        <v>0</v>
      </c>
      <c r="T220" s="53"/>
      <c r="U220" s="54"/>
      <c r="V220" s="9">
        <f t="shared" si="29"/>
        <v>13.13</v>
      </c>
      <c r="Y220" s="9">
        <f t="shared" si="30"/>
        <v>0</v>
      </c>
      <c r="AD220" s="4" t="s">
        <v>772</v>
      </c>
      <c r="AE220" s="4" t="s">
        <v>773</v>
      </c>
      <c r="AF220" s="4" t="s">
        <v>774</v>
      </c>
    </row>
    <row r="221" spans="1:35" ht="18" x14ac:dyDescent="0.3">
      <c r="A221" s="43" t="s">
        <v>775</v>
      </c>
      <c r="B221" s="43"/>
      <c r="C221" s="55" t="s">
        <v>771</v>
      </c>
      <c r="D221" s="45"/>
      <c r="E221" s="45"/>
      <c r="F221" s="56" t="s">
        <v>87</v>
      </c>
      <c r="G221" s="57">
        <v>1.05</v>
      </c>
      <c r="H221" s="45"/>
      <c r="I221" s="58">
        <v>3339</v>
      </c>
      <c r="J221" s="59">
        <v>15.76</v>
      </c>
      <c r="K221" s="60"/>
      <c r="L221" s="60"/>
      <c r="M221" s="59">
        <f t="shared" si="27"/>
        <v>52622.64</v>
      </c>
      <c r="N221" s="60"/>
      <c r="O221" s="60"/>
      <c r="P221" s="59">
        <v>15.76</v>
      </c>
      <c r="Q221" s="60"/>
      <c r="R221" s="60"/>
      <c r="S221" s="59">
        <f t="shared" si="28"/>
        <v>52622.64</v>
      </c>
      <c r="T221" s="60"/>
      <c r="U221" s="61"/>
      <c r="V221" s="9">
        <f t="shared" si="29"/>
        <v>13.13</v>
      </c>
      <c r="Y221" s="9">
        <f t="shared" si="30"/>
        <v>43852.2</v>
      </c>
      <c r="AD221" s="4" t="s">
        <v>776</v>
      </c>
      <c r="AE221" s="4" t="s">
        <v>773</v>
      </c>
      <c r="AF221" s="4" t="s">
        <v>774</v>
      </c>
    </row>
    <row r="222" spans="1:35" ht="54" x14ac:dyDescent="0.3">
      <c r="A222" s="37" t="s">
        <v>777</v>
      </c>
      <c r="B222" s="37" t="s">
        <v>778</v>
      </c>
      <c r="C222" s="38" t="s">
        <v>779</v>
      </c>
      <c r="D222" s="39"/>
      <c r="E222" s="39" t="s">
        <v>780</v>
      </c>
      <c r="F222" s="39" t="s">
        <v>64</v>
      </c>
      <c r="G222" s="40">
        <v>1</v>
      </c>
      <c r="H222" s="39"/>
      <c r="I222" s="41">
        <v>0</v>
      </c>
      <c r="J222" s="42">
        <f>IFERROR(ROUND(SUM(M224,M226,M228,M230)/I222, 2),0)</f>
        <v>0</v>
      </c>
      <c r="K222" s="42">
        <v>329</v>
      </c>
      <c r="L222" s="42">
        <f>J222+ROUND(K222, 2)</f>
        <v>329</v>
      </c>
      <c r="M222" s="42">
        <f>ROUND(J222*I222, 2)</f>
        <v>0</v>
      </c>
      <c r="N222" s="42">
        <f>ROUND(I222*ROUND(K222, 2), 2)</f>
        <v>0</v>
      </c>
      <c r="O222" s="42">
        <f>M222+N222</f>
        <v>0</v>
      </c>
      <c r="P222" s="42">
        <f>IFERROR(ROUND(SUM(S224,S226,S228,S230)/I222, 2),0)</f>
        <v>0</v>
      </c>
      <c r="Q222" s="42">
        <v>329</v>
      </c>
      <c r="R222" s="42">
        <f>P222+ROUND(Q222, 2)</f>
        <v>329</v>
      </c>
      <c r="S222" s="42">
        <f>ROUND(P222*I222, 2)</f>
        <v>0</v>
      </c>
      <c r="T222" s="42">
        <f>ROUND(I222*ROUND(Q222, 2), 2)</f>
        <v>0</v>
      </c>
      <c r="U222" s="42">
        <f>S222+T222</f>
        <v>0</v>
      </c>
      <c r="V222" s="9">
        <f>ROUND(P222 / 1.2, 2)</f>
        <v>0</v>
      </c>
      <c r="W222" s="9">
        <f>ROUND(Q222 / 1.2, 2)</f>
        <v>274.17</v>
      </c>
      <c r="X222" s="9">
        <f>ROUND(R222 / 1.2, 2)</f>
        <v>274.17</v>
      </c>
      <c r="Y222" s="9">
        <f t="shared" si="30"/>
        <v>0</v>
      </c>
      <c r="Z222" s="9">
        <f>ROUND(T222 / 1.2, 2)</f>
        <v>0</v>
      </c>
      <c r="AA222" s="9">
        <f>Y222+Z222</f>
        <v>0</v>
      </c>
      <c r="AD222" s="4">
        <v>271132101</v>
      </c>
      <c r="AE222" s="4">
        <v>16211417</v>
      </c>
      <c r="AG222" s="4" t="s">
        <v>781</v>
      </c>
      <c r="AH222" s="4" t="s">
        <v>782</v>
      </c>
      <c r="AI222" s="4" t="s">
        <v>67</v>
      </c>
    </row>
    <row r="223" spans="1:35" ht="54" x14ac:dyDescent="0.3">
      <c r="A223" s="43" t="s">
        <v>783</v>
      </c>
      <c r="B223" s="43" t="s">
        <v>778</v>
      </c>
      <c r="C223" s="44" t="s">
        <v>779</v>
      </c>
      <c r="D223" s="45"/>
      <c r="E223" s="45" t="s">
        <v>784</v>
      </c>
      <c r="F223" s="45" t="s">
        <v>64</v>
      </c>
      <c r="G223" s="46">
        <v>1</v>
      </c>
      <c r="H223" s="45"/>
      <c r="I223" s="46">
        <v>9147.2999999999993</v>
      </c>
      <c r="J223" s="47">
        <v>0</v>
      </c>
      <c r="K223" s="47">
        <v>329</v>
      </c>
      <c r="L223" s="47"/>
      <c r="M223" s="47">
        <v>0</v>
      </c>
      <c r="N223" s="47"/>
      <c r="O223" s="47"/>
      <c r="P223" s="47">
        <v>0</v>
      </c>
      <c r="Q223" s="47">
        <v>329</v>
      </c>
      <c r="R223" s="47"/>
      <c r="S223" s="47">
        <v>0</v>
      </c>
      <c r="T223" s="47"/>
      <c r="U223" s="47"/>
      <c r="V223" s="9"/>
      <c r="W223" s="9">
        <f>ROUND(Q223 / 1.2, 2)</f>
        <v>274.17</v>
      </c>
      <c r="X223" s="9" t="e">
        <f>ROUND(R223 / 1.2, 2)</f>
        <v>#VALUE!</v>
      </c>
      <c r="Y223" s="9"/>
      <c r="Z223" s="9" t="e">
        <f>ROUND(T223 / 1.2, 2)</f>
        <v>#VALUE!</v>
      </c>
      <c r="AA223" s="9"/>
      <c r="AD223" s="4">
        <v>220089264</v>
      </c>
      <c r="AE223" s="4">
        <v>16211417</v>
      </c>
      <c r="AG223" s="4" t="s">
        <v>781</v>
      </c>
      <c r="AH223" s="4" t="s">
        <v>782</v>
      </c>
      <c r="AI223" s="4"/>
    </row>
    <row r="224" spans="1:35" ht="36" x14ac:dyDescent="0.3">
      <c r="A224" s="37" t="s">
        <v>785</v>
      </c>
      <c r="B224" s="37"/>
      <c r="C224" s="48" t="s">
        <v>740</v>
      </c>
      <c r="D224" s="39"/>
      <c r="E224" s="39" t="s">
        <v>786</v>
      </c>
      <c r="F224" s="49" t="s">
        <v>70</v>
      </c>
      <c r="G224" s="50">
        <v>1.8</v>
      </c>
      <c r="H224" s="39"/>
      <c r="I224" s="62">
        <v>0</v>
      </c>
      <c r="J224" s="52">
        <v>12.58</v>
      </c>
      <c r="K224" s="53"/>
      <c r="L224" s="53"/>
      <c r="M224" s="52">
        <f t="shared" ref="M224:M231" si="31">ROUND(ROUND(J224, 2)*I224, 2)</f>
        <v>0</v>
      </c>
      <c r="N224" s="53"/>
      <c r="O224" s="53"/>
      <c r="P224" s="52">
        <v>12.58</v>
      </c>
      <c r="Q224" s="53"/>
      <c r="R224" s="53"/>
      <c r="S224" s="52">
        <f t="shared" ref="S224:S231" si="32">ROUND(ROUND(P224, 2)*I224, 2)</f>
        <v>0</v>
      </c>
      <c r="T224" s="53"/>
      <c r="U224" s="54"/>
      <c r="V224" s="9">
        <f t="shared" ref="V224:V231" si="33">ROUND(ROUND(P224, 2)/1.2, 2)</f>
        <v>10.48</v>
      </c>
      <c r="Y224" s="9">
        <f t="shared" ref="Y224:Y232" si="34">ROUND(S224 / 1.2, 2)</f>
        <v>0</v>
      </c>
      <c r="AD224" s="4" t="s">
        <v>787</v>
      </c>
      <c r="AE224" s="4" t="s">
        <v>788</v>
      </c>
      <c r="AF224" s="4" t="s">
        <v>789</v>
      </c>
    </row>
    <row r="225" spans="1:35" ht="36" x14ac:dyDescent="0.3">
      <c r="A225" s="43" t="s">
        <v>790</v>
      </c>
      <c r="B225" s="43"/>
      <c r="C225" s="55" t="s">
        <v>740</v>
      </c>
      <c r="D225" s="45"/>
      <c r="E225" s="45" t="s">
        <v>786</v>
      </c>
      <c r="F225" s="56" t="s">
        <v>70</v>
      </c>
      <c r="G225" s="57">
        <v>1.8</v>
      </c>
      <c r="H225" s="45"/>
      <c r="I225" s="57">
        <v>16465.14</v>
      </c>
      <c r="J225" s="59">
        <v>12.58</v>
      </c>
      <c r="K225" s="60"/>
      <c r="L225" s="60"/>
      <c r="M225" s="59">
        <f t="shared" si="31"/>
        <v>207131.46</v>
      </c>
      <c r="N225" s="60"/>
      <c r="O225" s="60"/>
      <c r="P225" s="59">
        <v>12.58</v>
      </c>
      <c r="Q225" s="60"/>
      <c r="R225" s="60"/>
      <c r="S225" s="59">
        <f t="shared" si="32"/>
        <v>207131.46</v>
      </c>
      <c r="T225" s="60"/>
      <c r="U225" s="61"/>
      <c r="V225" s="9">
        <f t="shared" si="33"/>
        <v>10.48</v>
      </c>
      <c r="Y225" s="9">
        <f t="shared" si="34"/>
        <v>172609.55</v>
      </c>
      <c r="AD225" s="4" t="s">
        <v>791</v>
      </c>
      <c r="AE225" s="4" t="s">
        <v>788</v>
      </c>
      <c r="AF225" s="4" t="s">
        <v>789</v>
      </c>
    </row>
    <row r="226" spans="1:35" ht="18" x14ac:dyDescent="0.3">
      <c r="A226" s="37" t="s">
        <v>792</v>
      </c>
      <c r="B226" s="37"/>
      <c r="C226" s="48" t="s">
        <v>793</v>
      </c>
      <c r="D226" s="39"/>
      <c r="E226" s="39"/>
      <c r="F226" s="49" t="s">
        <v>116</v>
      </c>
      <c r="G226" s="50">
        <v>0.3</v>
      </c>
      <c r="H226" s="39"/>
      <c r="I226" s="51">
        <v>0</v>
      </c>
      <c r="J226" s="52">
        <v>73.099999999999994</v>
      </c>
      <c r="K226" s="53"/>
      <c r="L226" s="53"/>
      <c r="M226" s="52">
        <f t="shared" si="31"/>
        <v>0</v>
      </c>
      <c r="N226" s="53"/>
      <c r="O226" s="53"/>
      <c r="P226" s="52">
        <v>73.099999999999994</v>
      </c>
      <c r="Q226" s="53"/>
      <c r="R226" s="53"/>
      <c r="S226" s="52">
        <f t="shared" si="32"/>
        <v>0</v>
      </c>
      <c r="T226" s="53"/>
      <c r="U226" s="54"/>
      <c r="V226" s="9">
        <f t="shared" si="33"/>
        <v>60.92</v>
      </c>
      <c r="Y226" s="9">
        <f t="shared" si="34"/>
        <v>0</v>
      </c>
      <c r="AD226" s="4" t="s">
        <v>794</v>
      </c>
      <c r="AE226" s="4" t="s">
        <v>795</v>
      </c>
      <c r="AF226" s="4" t="s">
        <v>796</v>
      </c>
    </row>
    <row r="227" spans="1:35" ht="18" x14ac:dyDescent="0.3">
      <c r="A227" s="43" t="s">
        <v>797</v>
      </c>
      <c r="B227" s="43"/>
      <c r="C227" s="55" t="s">
        <v>793</v>
      </c>
      <c r="D227" s="45"/>
      <c r="E227" s="45"/>
      <c r="F227" s="56" t="s">
        <v>116</v>
      </c>
      <c r="G227" s="57">
        <v>0.3</v>
      </c>
      <c r="H227" s="45"/>
      <c r="I227" s="58">
        <v>567</v>
      </c>
      <c r="J227" s="59">
        <v>73.099999999999994</v>
      </c>
      <c r="K227" s="60"/>
      <c r="L227" s="60"/>
      <c r="M227" s="59">
        <f t="shared" si="31"/>
        <v>41447.699999999997</v>
      </c>
      <c r="N227" s="60"/>
      <c r="O227" s="60"/>
      <c r="P227" s="59">
        <v>73.099999999999994</v>
      </c>
      <c r="Q227" s="60"/>
      <c r="R227" s="60"/>
      <c r="S227" s="59">
        <f t="shared" si="32"/>
        <v>41447.699999999997</v>
      </c>
      <c r="T227" s="60"/>
      <c r="U227" s="61"/>
      <c r="V227" s="9">
        <f t="shared" si="33"/>
        <v>60.92</v>
      </c>
      <c r="Y227" s="9">
        <f t="shared" si="34"/>
        <v>34539.75</v>
      </c>
      <c r="AD227" s="4" t="s">
        <v>798</v>
      </c>
      <c r="AE227" s="4" t="s">
        <v>795</v>
      </c>
      <c r="AF227" s="4" t="s">
        <v>796</v>
      </c>
    </row>
    <row r="228" spans="1:35" ht="18" x14ac:dyDescent="0.3">
      <c r="A228" s="37" t="s">
        <v>799</v>
      </c>
      <c r="B228" s="37"/>
      <c r="C228" s="48" t="s">
        <v>800</v>
      </c>
      <c r="D228" s="39"/>
      <c r="E228" s="39"/>
      <c r="F228" s="49" t="s">
        <v>87</v>
      </c>
      <c r="G228" s="50">
        <v>1</v>
      </c>
      <c r="H228" s="39"/>
      <c r="I228" s="51">
        <v>0</v>
      </c>
      <c r="J228" s="52">
        <v>7</v>
      </c>
      <c r="K228" s="53"/>
      <c r="L228" s="53"/>
      <c r="M228" s="52">
        <f t="shared" si="31"/>
        <v>0</v>
      </c>
      <c r="N228" s="53"/>
      <c r="O228" s="53"/>
      <c r="P228" s="52">
        <v>7</v>
      </c>
      <c r="Q228" s="53"/>
      <c r="R228" s="53"/>
      <c r="S228" s="52">
        <f t="shared" si="32"/>
        <v>0</v>
      </c>
      <c r="T228" s="53"/>
      <c r="U228" s="54"/>
      <c r="V228" s="9">
        <f t="shared" si="33"/>
        <v>5.83</v>
      </c>
      <c r="Y228" s="9">
        <f t="shared" si="34"/>
        <v>0</v>
      </c>
      <c r="AD228" s="4" t="s">
        <v>801</v>
      </c>
      <c r="AE228" s="4" t="s">
        <v>802</v>
      </c>
      <c r="AF228" s="4" t="s">
        <v>803</v>
      </c>
    </row>
    <row r="229" spans="1:35" ht="18" x14ac:dyDescent="0.3">
      <c r="A229" s="43" t="s">
        <v>804</v>
      </c>
      <c r="B229" s="43"/>
      <c r="C229" s="55" t="s">
        <v>800</v>
      </c>
      <c r="D229" s="45"/>
      <c r="E229" s="45"/>
      <c r="F229" s="56" t="s">
        <v>87</v>
      </c>
      <c r="G229" s="57">
        <v>1</v>
      </c>
      <c r="H229" s="45"/>
      <c r="I229" s="58">
        <v>1500</v>
      </c>
      <c r="J229" s="59">
        <v>7</v>
      </c>
      <c r="K229" s="60"/>
      <c r="L229" s="60"/>
      <c r="M229" s="59">
        <f t="shared" si="31"/>
        <v>10500</v>
      </c>
      <c r="N229" s="60"/>
      <c r="O229" s="60"/>
      <c r="P229" s="59">
        <v>7</v>
      </c>
      <c r="Q229" s="60"/>
      <c r="R229" s="60"/>
      <c r="S229" s="59">
        <f t="shared" si="32"/>
        <v>10500</v>
      </c>
      <c r="T229" s="60"/>
      <c r="U229" s="61"/>
      <c r="V229" s="9">
        <f t="shared" si="33"/>
        <v>5.83</v>
      </c>
      <c r="Y229" s="9">
        <f t="shared" si="34"/>
        <v>8750</v>
      </c>
      <c r="AD229" s="4" t="s">
        <v>805</v>
      </c>
      <c r="AE229" s="4" t="s">
        <v>802</v>
      </c>
      <c r="AF229" s="4" t="s">
        <v>803</v>
      </c>
    </row>
    <row r="230" spans="1:35" ht="36" x14ac:dyDescent="0.3">
      <c r="A230" s="37" t="s">
        <v>806</v>
      </c>
      <c r="B230" s="37"/>
      <c r="C230" s="48" t="s">
        <v>433</v>
      </c>
      <c r="D230" s="39"/>
      <c r="E230" s="39"/>
      <c r="F230" s="49" t="s">
        <v>70</v>
      </c>
      <c r="G230" s="50">
        <v>0.15</v>
      </c>
      <c r="H230" s="39"/>
      <c r="I230" s="62">
        <v>0</v>
      </c>
      <c r="J230" s="52">
        <v>88.8</v>
      </c>
      <c r="K230" s="53"/>
      <c r="L230" s="53"/>
      <c r="M230" s="52">
        <f t="shared" si="31"/>
        <v>0</v>
      </c>
      <c r="N230" s="53"/>
      <c r="O230" s="53"/>
      <c r="P230" s="52">
        <v>88.8</v>
      </c>
      <c r="Q230" s="53"/>
      <c r="R230" s="53"/>
      <c r="S230" s="52">
        <f t="shared" si="32"/>
        <v>0</v>
      </c>
      <c r="T230" s="53"/>
      <c r="U230" s="54"/>
      <c r="V230" s="9">
        <f t="shared" si="33"/>
        <v>74</v>
      </c>
      <c r="Y230" s="9">
        <f t="shared" si="34"/>
        <v>0</v>
      </c>
      <c r="AD230" s="4" t="s">
        <v>807</v>
      </c>
      <c r="AE230" s="4" t="s">
        <v>808</v>
      </c>
      <c r="AF230" s="4" t="s">
        <v>436</v>
      </c>
    </row>
    <row r="231" spans="1:35" ht="36" x14ac:dyDescent="0.3">
      <c r="A231" s="43" t="s">
        <v>809</v>
      </c>
      <c r="B231" s="43"/>
      <c r="C231" s="55" t="s">
        <v>433</v>
      </c>
      <c r="D231" s="45"/>
      <c r="E231" s="45"/>
      <c r="F231" s="56" t="s">
        <v>70</v>
      </c>
      <c r="G231" s="57">
        <v>0.15</v>
      </c>
      <c r="H231" s="45"/>
      <c r="I231" s="57">
        <v>1372.095</v>
      </c>
      <c r="J231" s="59">
        <v>88.8</v>
      </c>
      <c r="K231" s="60"/>
      <c r="L231" s="60"/>
      <c r="M231" s="59">
        <f t="shared" si="31"/>
        <v>121842.04</v>
      </c>
      <c r="N231" s="60"/>
      <c r="O231" s="60"/>
      <c r="P231" s="59">
        <v>88.8</v>
      </c>
      <c r="Q231" s="60"/>
      <c r="R231" s="60"/>
      <c r="S231" s="59">
        <f t="shared" si="32"/>
        <v>121842.04</v>
      </c>
      <c r="T231" s="60"/>
      <c r="U231" s="61"/>
      <c r="V231" s="9">
        <f t="shared" si="33"/>
        <v>74</v>
      </c>
      <c r="Y231" s="9">
        <f t="shared" si="34"/>
        <v>101535.03</v>
      </c>
      <c r="AD231" s="4" t="s">
        <v>810</v>
      </c>
      <c r="AE231" s="4" t="s">
        <v>808</v>
      </c>
      <c r="AF231" s="4" t="s">
        <v>436</v>
      </c>
    </row>
    <row r="232" spans="1:35" ht="54" x14ac:dyDescent="0.3">
      <c r="A232" s="37" t="s">
        <v>811</v>
      </c>
      <c r="B232" s="37" t="s">
        <v>778</v>
      </c>
      <c r="C232" s="38" t="s">
        <v>779</v>
      </c>
      <c r="D232" s="39"/>
      <c r="E232" s="39" t="s">
        <v>812</v>
      </c>
      <c r="F232" s="39" t="s">
        <v>64</v>
      </c>
      <c r="G232" s="40">
        <v>1</v>
      </c>
      <c r="H232" s="39"/>
      <c r="I232" s="41">
        <v>0</v>
      </c>
      <c r="J232" s="42">
        <f>IFERROR(ROUND(SUM(M234,M236)/I232, 2),0)</f>
        <v>0</v>
      </c>
      <c r="K232" s="42">
        <v>329</v>
      </c>
      <c r="L232" s="42">
        <f>J232+ROUND(K232, 2)</f>
        <v>329</v>
      </c>
      <c r="M232" s="42">
        <f>ROUND(J232*I232, 2)</f>
        <v>0</v>
      </c>
      <c r="N232" s="42">
        <f>ROUND(I232*ROUND(K232, 2), 2)</f>
        <v>0</v>
      </c>
      <c r="O232" s="42">
        <f>M232+N232</f>
        <v>0</v>
      </c>
      <c r="P232" s="42">
        <f>IFERROR(ROUND(SUM(S234,S236)/I232, 2),0)</f>
        <v>0</v>
      </c>
      <c r="Q232" s="42">
        <v>329</v>
      </c>
      <c r="R232" s="42">
        <f>P232+ROUND(Q232, 2)</f>
        <v>329</v>
      </c>
      <c r="S232" s="42">
        <f>ROUND(P232*I232, 2)</f>
        <v>0</v>
      </c>
      <c r="T232" s="42">
        <f>ROUND(I232*ROUND(Q232, 2), 2)</f>
        <v>0</v>
      </c>
      <c r="U232" s="42">
        <f>S232+T232</f>
        <v>0</v>
      </c>
      <c r="V232" s="9">
        <f>ROUND(P232 / 1.2, 2)</f>
        <v>0</v>
      </c>
      <c r="W232" s="9">
        <f>ROUND(Q232 / 1.2, 2)</f>
        <v>274.17</v>
      </c>
      <c r="X232" s="9">
        <f>ROUND(R232 / 1.2, 2)</f>
        <v>274.17</v>
      </c>
      <c r="Y232" s="9">
        <f t="shared" si="34"/>
        <v>0</v>
      </c>
      <c r="Z232" s="9">
        <f>ROUND(T232 / 1.2, 2)</f>
        <v>0</v>
      </c>
      <c r="AA232" s="9">
        <f>Y232+Z232</f>
        <v>0</v>
      </c>
      <c r="AD232" s="4">
        <v>271132177</v>
      </c>
      <c r="AE232" s="4">
        <v>16211418</v>
      </c>
      <c r="AG232" s="4" t="s">
        <v>781</v>
      </c>
      <c r="AH232" s="4" t="s">
        <v>782</v>
      </c>
      <c r="AI232" s="4" t="s">
        <v>67</v>
      </c>
    </row>
    <row r="233" spans="1:35" ht="54" x14ac:dyDescent="0.3">
      <c r="A233" s="43" t="s">
        <v>813</v>
      </c>
      <c r="B233" s="43" t="s">
        <v>778</v>
      </c>
      <c r="C233" s="44" t="s">
        <v>779</v>
      </c>
      <c r="D233" s="45"/>
      <c r="E233" s="45" t="s">
        <v>814</v>
      </c>
      <c r="F233" s="45" t="s">
        <v>64</v>
      </c>
      <c r="G233" s="46">
        <v>1</v>
      </c>
      <c r="H233" s="45"/>
      <c r="I233" s="46">
        <v>9147.2999999999993</v>
      </c>
      <c r="J233" s="47">
        <v>0</v>
      </c>
      <c r="K233" s="47">
        <v>329</v>
      </c>
      <c r="L233" s="47"/>
      <c r="M233" s="47">
        <v>0</v>
      </c>
      <c r="N233" s="47"/>
      <c r="O233" s="47"/>
      <c r="P233" s="47">
        <v>0</v>
      </c>
      <c r="Q233" s="47">
        <v>329</v>
      </c>
      <c r="R233" s="47"/>
      <c r="S233" s="47">
        <v>0</v>
      </c>
      <c r="T233" s="47"/>
      <c r="U233" s="47"/>
      <c r="V233" s="9"/>
      <c r="W233" s="9">
        <f>ROUND(Q233 / 1.2, 2)</f>
        <v>274.17</v>
      </c>
      <c r="X233" s="9" t="e">
        <f>ROUND(R233 / 1.2, 2)</f>
        <v>#VALUE!</v>
      </c>
      <c r="Y233" s="9"/>
      <c r="Z233" s="9" t="e">
        <f>ROUND(T233 / 1.2, 2)</f>
        <v>#VALUE!</v>
      </c>
      <c r="AA233" s="9"/>
      <c r="AD233" s="4">
        <v>213475324</v>
      </c>
      <c r="AE233" s="4">
        <v>16211418</v>
      </c>
      <c r="AG233" s="4" t="s">
        <v>781</v>
      </c>
      <c r="AH233" s="4" t="s">
        <v>782</v>
      </c>
      <c r="AI233" s="4"/>
    </row>
    <row r="234" spans="1:35" ht="36" x14ac:dyDescent="0.3">
      <c r="A234" s="37" t="s">
        <v>815</v>
      </c>
      <c r="B234" s="37"/>
      <c r="C234" s="48" t="s">
        <v>433</v>
      </c>
      <c r="D234" s="39"/>
      <c r="E234" s="39"/>
      <c r="F234" s="49" t="s">
        <v>70</v>
      </c>
      <c r="G234" s="50">
        <v>0.15</v>
      </c>
      <c r="H234" s="39"/>
      <c r="I234" s="62">
        <v>0</v>
      </c>
      <c r="J234" s="52">
        <v>88.8</v>
      </c>
      <c r="K234" s="53"/>
      <c r="L234" s="53"/>
      <c r="M234" s="52">
        <f>ROUND(ROUND(J234, 2)*I234, 2)</f>
        <v>0</v>
      </c>
      <c r="N234" s="53"/>
      <c r="O234" s="53"/>
      <c r="P234" s="52">
        <v>88.8</v>
      </c>
      <c r="Q234" s="53"/>
      <c r="R234" s="53"/>
      <c r="S234" s="52">
        <f>ROUND(ROUND(P234, 2)*I234, 2)</f>
        <v>0</v>
      </c>
      <c r="T234" s="53"/>
      <c r="U234" s="54"/>
      <c r="V234" s="9">
        <f>ROUND(ROUND(P234, 2)/1.2, 2)</f>
        <v>74</v>
      </c>
      <c r="Y234" s="9">
        <f t="shared" ref="Y234:Y278" si="35">ROUND(S234 / 1.2, 2)</f>
        <v>0</v>
      </c>
      <c r="AD234" s="4" t="s">
        <v>816</v>
      </c>
      <c r="AE234" s="4" t="s">
        <v>817</v>
      </c>
      <c r="AF234" s="4" t="s">
        <v>436</v>
      </c>
    </row>
    <row r="235" spans="1:35" ht="36" x14ac:dyDescent="0.3">
      <c r="A235" s="43" t="s">
        <v>818</v>
      </c>
      <c r="B235" s="43"/>
      <c r="C235" s="55" t="s">
        <v>433</v>
      </c>
      <c r="D235" s="45"/>
      <c r="E235" s="45"/>
      <c r="F235" s="56" t="s">
        <v>70</v>
      </c>
      <c r="G235" s="57">
        <v>0.15</v>
      </c>
      <c r="H235" s="45"/>
      <c r="I235" s="57">
        <v>1372.095</v>
      </c>
      <c r="J235" s="59">
        <v>88.8</v>
      </c>
      <c r="K235" s="60"/>
      <c r="L235" s="60"/>
      <c r="M235" s="59">
        <f>ROUND(ROUND(J235, 2)*I235, 2)</f>
        <v>121842.04</v>
      </c>
      <c r="N235" s="60"/>
      <c r="O235" s="60"/>
      <c r="P235" s="59">
        <v>88.8</v>
      </c>
      <c r="Q235" s="60"/>
      <c r="R235" s="60"/>
      <c r="S235" s="59">
        <f>ROUND(ROUND(P235, 2)*I235, 2)</f>
        <v>121842.04</v>
      </c>
      <c r="T235" s="60"/>
      <c r="U235" s="61"/>
      <c r="V235" s="9">
        <f>ROUND(ROUND(P235, 2)/1.2, 2)</f>
        <v>74</v>
      </c>
      <c r="Y235" s="9">
        <f t="shared" si="35"/>
        <v>101535.03</v>
      </c>
      <c r="AD235" s="4" t="s">
        <v>819</v>
      </c>
      <c r="AE235" s="4" t="s">
        <v>817</v>
      </c>
      <c r="AF235" s="4" t="s">
        <v>436</v>
      </c>
    </row>
    <row r="236" spans="1:35" ht="36" x14ac:dyDescent="0.3">
      <c r="A236" s="37" t="s">
        <v>820</v>
      </c>
      <c r="B236" s="37"/>
      <c r="C236" s="48" t="s">
        <v>740</v>
      </c>
      <c r="D236" s="39"/>
      <c r="E236" s="39" t="s">
        <v>821</v>
      </c>
      <c r="F236" s="49" t="s">
        <v>70</v>
      </c>
      <c r="G236" s="50">
        <v>1.8</v>
      </c>
      <c r="H236" s="39"/>
      <c r="I236" s="62">
        <v>0</v>
      </c>
      <c r="J236" s="52">
        <v>12.58</v>
      </c>
      <c r="K236" s="53"/>
      <c r="L236" s="53"/>
      <c r="M236" s="52">
        <f>ROUND(ROUND(J236, 2)*I236, 2)</f>
        <v>0</v>
      </c>
      <c r="N236" s="53"/>
      <c r="O236" s="53"/>
      <c r="P236" s="52">
        <v>12.58</v>
      </c>
      <c r="Q236" s="53"/>
      <c r="R236" s="53"/>
      <c r="S236" s="52">
        <f>ROUND(ROUND(P236, 2)*I236, 2)</f>
        <v>0</v>
      </c>
      <c r="T236" s="53"/>
      <c r="U236" s="54"/>
      <c r="V236" s="9">
        <f>ROUND(ROUND(P236, 2)/1.2, 2)</f>
        <v>10.48</v>
      </c>
      <c r="Y236" s="9">
        <f t="shared" si="35"/>
        <v>0</v>
      </c>
      <c r="AD236" s="4" t="s">
        <v>822</v>
      </c>
      <c r="AE236" s="4" t="s">
        <v>823</v>
      </c>
      <c r="AF236" s="4" t="s">
        <v>789</v>
      </c>
    </row>
    <row r="237" spans="1:35" ht="36" x14ac:dyDescent="0.3">
      <c r="A237" s="43" t="s">
        <v>824</v>
      </c>
      <c r="B237" s="43"/>
      <c r="C237" s="55" t="s">
        <v>740</v>
      </c>
      <c r="D237" s="45"/>
      <c r="E237" s="45" t="s">
        <v>821</v>
      </c>
      <c r="F237" s="56" t="s">
        <v>70</v>
      </c>
      <c r="G237" s="57">
        <v>1.8</v>
      </c>
      <c r="H237" s="45"/>
      <c r="I237" s="57">
        <v>16465.14</v>
      </c>
      <c r="J237" s="59">
        <v>12.58</v>
      </c>
      <c r="K237" s="60"/>
      <c r="L237" s="60"/>
      <c r="M237" s="59">
        <f>ROUND(ROUND(J237, 2)*I237, 2)</f>
        <v>207131.46</v>
      </c>
      <c r="N237" s="60"/>
      <c r="O237" s="60"/>
      <c r="P237" s="59">
        <v>12.58</v>
      </c>
      <c r="Q237" s="60"/>
      <c r="R237" s="60"/>
      <c r="S237" s="59">
        <f>ROUND(ROUND(P237, 2)*I237, 2)</f>
        <v>207131.46</v>
      </c>
      <c r="T237" s="60"/>
      <c r="U237" s="61"/>
      <c r="V237" s="9">
        <f>ROUND(ROUND(P237, 2)/1.2, 2)</f>
        <v>10.48</v>
      </c>
      <c r="Y237" s="9">
        <f t="shared" si="35"/>
        <v>172609.55</v>
      </c>
      <c r="AD237" s="4" t="s">
        <v>825</v>
      </c>
      <c r="AE237" s="4" t="s">
        <v>823</v>
      </c>
      <c r="AF237" s="4" t="s">
        <v>789</v>
      </c>
    </row>
    <row r="238" spans="1:35" ht="36" x14ac:dyDescent="0.3">
      <c r="A238" s="25" t="s">
        <v>826</v>
      </c>
      <c r="B238" s="25" t="s">
        <v>827</v>
      </c>
      <c r="C238" s="26" t="s">
        <v>828</v>
      </c>
      <c r="D238" s="27"/>
      <c r="E238" s="27" t="s">
        <v>829</v>
      </c>
      <c r="F238" s="27" t="s">
        <v>64</v>
      </c>
      <c r="G238" s="28">
        <v>1</v>
      </c>
      <c r="H238" s="27"/>
      <c r="I238" s="28">
        <v>8128.4</v>
      </c>
      <c r="J238" s="29">
        <f>IFERROR(ROUND(SUM(M239,M240,M241)/I238, 2),0)</f>
        <v>58.11</v>
      </c>
      <c r="K238" s="29">
        <v>508</v>
      </c>
      <c r="L238" s="29">
        <f>J238+ROUND(K238, 2)</f>
        <v>566.11</v>
      </c>
      <c r="M238" s="29">
        <f>ROUND(J238*I238, 2)</f>
        <v>472341.32</v>
      </c>
      <c r="N238" s="29">
        <f>ROUND(I238*ROUND(K238, 2), 2)</f>
        <v>4129227.2</v>
      </c>
      <c r="O238" s="29">
        <f>M238+N238</f>
        <v>4601568.5199999996</v>
      </c>
      <c r="P238" s="29">
        <f>IFERROR(ROUND(SUM(S239,S240,S241)/I238, 2),0)</f>
        <v>58.11</v>
      </c>
      <c r="Q238" s="29">
        <v>508</v>
      </c>
      <c r="R238" s="29">
        <f>P238+ROUND(Q238, 2)</f>
        <v>566.11</v>
      </c>
      <c r="S238" s="29">
        <f>ROUND(P238*I238, 2)</f>
        <v>472341.32</v>
      </c>
      <c r="T238" s="29">
        <f>ROUND(I238*ROUND(Q238, 2), 2)</f>
        <v>4129227.2</v>
      </c>
      <c r="U238" s="29">
        <f>S238+T238</f>
        <v>4601568.5199999996</v>
      </c>
      <c r="V238" s="9">
        <f>ROUND(P238 / 1.2, 2)</f>
        <v>48.43</v>
      </c>
      <c r="W238" s="9">
        <f>ROUND(Q238 / 1.2, 2)</f>
        <v>423.33</v>
      </c>
      <c r="X238" s="9">
        <f>ROUND(R238 / 1.2, 2)</f>
        <v>471.76</v>
      </c>
      <c r="Y238" s="9">
        <f t="shared" si="35"/>
        <v>393617.77</v>
      </c>
      <c r="Z238" s="9">
        <f>ROUND(T238 / 1.2, 2)</f>
        <v>3441022.67</v>
      </c>
      <c r="AA238" s="9">
        <f>Y238+Z238</f>
        <v>3834640.44</v>
      </c>
      <c r="AD238" s="4">
        <v>271132103</v>
      </c>
      <c r="AE238" s="4">
        <v>19976869</v>
      </c>
      <c r="AG238" s="4" t="s">
        <v>830</v>
      </c>
      <c r="AH238" s="4" t="s">
        <v>831</v>
      </c>
      <c r="AI238" s="4" t="s">
        <v>67</v>
      </c>
    </row>
    <row r="239" spans="1:35" ht="36" x14ac:dyDescent="0.3">
      <c r="A239" s="25" t="s">
        <v>832</v>
      </c>
      <c r="B239" s="25"/>
      <c r="C239" s="17" t="s">
        <v>740</v>
      </c>
      <c r="D239" s="27"/>
      <c r="E239" s="27"/>
      <c r="F239" s="31" t="s">
        <v>70</v>
      </c>
      <c r="G239" s="32">
        <v>1.8</v>
      </c>
      <c r="H239" s="27"/>
      <c r="I239" s="32">
        <v>14631.12</v>
      </c>
      <c r="J239" s="34">
        <v>12.7</v>
      </c>
      <c r="K239" s="35"/>
      <c r="L239" s="35"/>
      <c r="M239" s="34">
        <f>ROUND(ROUND(J239, 2)*I239, 2)</f>
        <v>185815.22</v>
      </c>
      <c r="N239" s="35"/>
      <c r="O239" s="35"/>
      <c r="P239" s="34">
        <v>12.7</v>
      </c>
      <c r="Q239" s="35"/>
      <c r="R239" s="35"/>
      <c r="S239" s="34">
        <f>ROUND(ROUND(P239, 2)*I239, 2)</f>
        <v>185815.22</v>
      </c>
      <c r="T239" s="35"/>
      <c r="U239" s="36"/>
      <c r="V239" s="9">
        <f>ROUND(ROUND(P239, 2)/1.2, 2)</f>
        <v>10.58</v>
      </c>
      <c r="Y239" s="9">
        <f t="shared" si="35"/>
        <v>154846.01999999999</v>
      </c>
      <c r="AD239" s="4" t="s">
        <v>833</v>
      </c>
      <c r="AE239" s="4" t="s">
        <v>834</v>
      </c>
      <c r="AF239" s="4" t="s">
        <v>789</v>
      </c>
    </row>
    <row r="240" spans="1:35" ht="18" x14ac:dyDescent="0.3">
      <c r="A240" s="25" t="s">
        <v>835</v>
      </c>
      <c r="B240" s="25"/>
      <c r="C240" s="30" t="s">
        <v>793</v>
      </c>
      <c r="D240" s="27"/>
      <c r="E240" s="27"/>
      <c r="F240" s="31" t="s">
        <v>116</v>
      </c>
      <c r="G240" s="32">
        <v>0.3</v>
      </c>
      <c r="H240" s="27"/>
      <c r="I240" s="32">
        <v>2438.52</v>
      </c>
      <c r="J240" s="34">
        <v>73.099999999999994</v>
      </c>
      <c r="K240" s="35"/>
      <c r="L240" s="35"/>
      <c r="M240" s="34">
        <f>ROUND(ROUND(J240, 2)*I240, 2)</f>
        <v>178255.81</v>
      </c>
      <c r="N240" s="35"/>
      <c r="O240" s="35"/>
      <c r="P240" s="34">
        <v>73.099999999999994</v>
      </c>
      <c r="Q240" s="35"/>
      <c r="R240" s="35"/>
      <c r="S240" s="34">
        <f>ROUND(ROUND(P240, 2)*I240, 2)</f>
        <v>178255.81</v>
      </c>
      <c r="T240" s="35"/>
      <c r="U240" s="36"/>
      <c r="V240" s="9">
        <f>ROUND(ROUND(P240, 2)/1.2, 2)</f>
        <v>60.92</v>
      </c>
      <c r="Y240" s="9">
        <f t="shared" si="35"/>
        <v>148546.51</v>
      </c>
      <c r="AD240" s="4" t="s">
        <v>836</v>
      </c>
      <c r="AE240" s="4" t="s">
        <v>837</v>
      </c>
      <c r="AF240" s="4" t="s">
        <v>796</v>
      </c>
    </row>
    <row r="241" spans="1:35" ht="36" x14ac:dyDescent="0.3">
      <c r="A241" s="25" t="s">
        <v>838</v>
      </c>
      <c r="B241" s="25"/>
      <c r="C241" s="30" t="s">
        <v>433</v>
      </c>
      <c r="D241" s="27"/>
      <c r="E241" s="27"/>
      <c r="F241" s="31" t="s">
        <v>70</v>
      </c>
      <c r="G241" s="32">
        <v>0.15</v>
      </c>
      <c r="H241" s="27"/>
      <c r="I241" s="32">
        <v>1219.26</v>
      </c>
      <c r="J241" s="34">
        <v>88.8</v>
      </c>
      <c r="K241" s="35"/>
      <c r="L241" s="35"/>
      <c r="M241" s="34">
        <f>ROUND(ROUND(J241, 2)*I241, 2)</f>
        <v>108270.29</v>
      </c>
      <c r="N241" s="35"/>
      <c r="O241" s="35"/>
      <c r="P241" s="34">
        <v>88.8</v>
      </c>
      <c r="Q241" s="35"/>
      <c r="R241" s="35"/>
      <c r="S241" s="34">
        <f>ROUND(ROUND(P241, 2)*I241, 2)</f>
        <v>108270.29</v>
      </c>
      <c r="T241" s="35"/>
      <c r="U241" s="36"/>
      <c r="V241" s="9">
        <f>ROUND(ROUND(P241, 2)/1.2, 2)</f>
        <v>74</v>
      </c>
      <c r="Y241" s="9">
        <f t="shared" si="35"/>
        <v>90225.24</v>
      </c>
      <c r="AD241" s="4" t="s">
        <v>839</v>
      </c>
      <c r="AE241" s="4" t="s">
        <v>840</v>
      </c>
      <c r="AF241" s="4" t="s">
        <v>436</v>
      </c>
    </row>
    <row r="242" spans="1:35" ht="54" x14ac:dyDescent="0.3">
      <c r="A242" s="25" t="s">
        <v>841</v>
      </c>
      <c r="B242" s="25" t="s">
        <v>827</v>
      </c>
      <c r="C242" s="26" t="s">
        <v>828</v>
      </c>
      <c r="D242" s="27"/>
      <c r="E242" s="27" t="s">
        <v>842</v>
      </c>
      <c r="F242" s="27" t="s">
        <v>64</v>
      </c>
      <c r="G242" s="28">
        <v>1</v>
      </c>
      <c r="H242" s="27"/>
      <c r="I242" s="28">
        <v>8128.4</v>
      </c>
      <c r="J242" s="29">
        <f>IFERROR(ROUND(SUM(M243,M244)/I242, 2),0)</f>
        <v>73.319999999999993</v>
      </c>
      <c r="K242" s="29">
        <v>508</v>
      </c>
      <c r="L242" s="29">
        <f>J242+ROUND(K242, 2)</f>
        <v>581.32000000000005</v>
      </c>
      <c r="M242" s="29">
        <f>ROUND(J242*I242, 2)</f>
        <v>595974.29</v>
      </c>
      <c r="N242" s="29">
        <f>ROUND(I242*ROUND(K242, 2), 2)</f>
        <v>4129227.2</v>
      </c>
      <c r="O242" s="29">
        <f>M242+N242</f>
        <v>4725201.49</v>
      </c>
      <c r="P242" s="29">
        <f>IFERROR(ROUND(SUM(S243,S244)/I242, 2),0)</f>
        <v>73.319999999999993</v>
      </c>
      <c r="Q242" s="29">
        <v>508</v>
      </c>
      <c r="R242" s="29">
        <f>P242+ROUND(Q242, 2)</f>
        <v>581.32000000000005</v>
      </c>
      <c r="S242" s="29">
        <f>ROUND(P242*I242, 2)</f>
        <v>595974.29</v>
      </c>
      <c r="T242" s="29">
        <f>ROUND(I242*ROUND(Q242, 2), 2)</f>
        <v>4129227.2</v>
      </c>
      <c r="U242" s="29">
        <f>S242+T242</f>
        <v>4725201.49</v>
      </c>
      <c r="V242" s="9">
        <f>ROUND(P242 / 1.2, 2)</f>
        <v>61.1</v>
      </c>
      <c r="W242" s="9">
        <f>ROUND(Q242 / 1.2, 2)</f>
        <v>423.33</v>
      </c>
      <c r="X242" s="9">
        <f>ROUND(R242 / 1.2, 2)</f>
        <v>484.43</v>
      </c>
      <c r="Y242" s="9">
        <f t="shared" si="35"/>
        <v>496645.24</v>
      </c>
      <c r="Z242" s="9">
        <f>ROUND(T242 / 1.2, 2)</f>
        <v>3441022.67</v>
      </c>
      <c r="AA242" s="9">
        <f>Y242+Z242</f>
        <v>3937667.91</v>
      </c>
      <c r="AD242" s="4">
        <v>271132178</v>
      </c>
      <c r="AE242" s="4">
        <v>19976870</v>
      </c>
      <c r="AG242" s="4" t="s">
        <v>830</v>
      </c>
      <c r="AH242" s="4" t="s">
        <v>831</v>
      </c>
      <c r="AI242" s="4" t="s">
        <v>67</v>
      </c>
    </row>
    <row r="243" spans="1:35" ht="36" x14ac:dyDescent="0.3">
      <c r="A243" s="25" t="s">
        <v>843</v>
      </c>
      <c r="B243" s="25"/>
      <c r="C243" s="30" t="s">
        <v>433</v>
      </c>
      <c r="D243" s="27"/>
      <c r="E243" s="27"/>
      <c r="F243" s="31" t="s">
        <v>70</v>
      </c>
      <c r="G243" s="32">
        <v>0.15</v>
      </c>
      <c r="H243" s="27"/>
      <c r="I243" s="32">
        <v>1219.26</v>
      </c>
      <c r="J243" s="34">
        <v>88.8</v>
      </c>
      <c r="K243" s="35"/>
      <c r="L243" s="35"/>
      <c r="M243" s="34">
        <f>ROUND(ROUND(J243, 2)*I243, 2)</f>
        <v>108270.29</v>
      </c>
      <c r="N243" s="35"/>
      <c r="O243" s="35"/>
      <c r="P243" s="34">
        <v>88.8</v>
      </c>
      <c r="Q243" s="35"/>
      <c r="R243" s="35"/>
      <c r="S243" s="34">
        <f>ROUND(ROUND(P243, 2)*I243, 2)</f>
        <v>108270.29</v>
      </c>
      <c r="T243" s="35"/>
      <c r="U243" s="36"/>
      <c r="V243" s="9">
        <f>ROUND(ROUND(P243, 2)/1.2, 2)</f>
        <v>74</v>
      </c>
      <c r="Y243" s="9">
        <f t="shared" si="35"/>
        <v>90225.24</v>
      </c>
      <c r="AD243" s="4" t="s">
        <v>844</v>
      </c>
      <c r="AE243" s="4" t="s">
        <v>845</v>
      </c>
      <c r="AF243" s="4" t="s">
        <v>436</v>
      </c>
    </row>
    <row r="244" spans="1:35" ht="36" x14ac:dyDescent="0.3">
      <c r="A244" s="25" t="s">
        <v>846</v>
      </c>
      <c r="B244" s="25"/>
      <c r="C244" s="30" t="s">
        <v>847</v>
      </c>
      <c r="D244" s="27"/>
      <c r="E244" s="27"/>
      <c r="F244" s="31" t="s">
        <v>70</v>
      </c>
      <c r="G244" s="32">
        <v>1</v>
      </c>
      <c r="H244" s="27"/>
      <c r="I244" s="32">
        <v>8128.4</v>
      </c>
      <c r="J244" s="34">
        <v>60</v>
      </c>
      <c r="K244" s="35"/>
      <c r="L244" s="35"/>
      <c r="M244" s="34">
        <f>ROUND(ROUND(J244, 2)*I244, 2)</f>
        <v>487704</v>
      </c>
      <c r="N244" s="35"/>
      <c r="O244" s="35"/>
      <c r="P244" s="34">
        <v>60</v>
      </c>
      <c r="Q244" s="35"/>
      <c r="R244" s="35"/>
      <c r="S244" s="34">
        <f>ROUND(ROUND(P244, 2)*I244, 2)</f>
        <v>487704</v>
      </c>
      <c r="T244" s="35"/>
      <c r="U244" s="36"/>
      <c r="V244" s="9">
        <f>ROUND(ROUND(P244, 2)/1.2, 2)</f>
        <v>50</v>
      </c>
      <c r="Y244" s="9">
        <f t="shared" si="35"/>
        <v>406420</v>
      </c>
      <c r="AD244" s="4" t="s">
        <v>848</v>
      </c>
      <c r="AE244" s="4" t="s">
        <v>849</v>
      </c>
      <c r="AF244" s="4" t="s">
        <v>850</v>
      </c>
    </row>
    <row r="245" spans="1:35" ht="36" x14ac:dyDescent="0.3">
      <c r="A245" s="25" t="s">
        <v>851</v>
      </c>
      <c r="B245" s="25" t="s">
        <v>827</v>
      </c>
      <c r="C245" s="26" t="s">
        <v>828</v>
      </c>
      <c r="D245" s="27"/>
      <c r="E245" s="27" t="s">
        <v>852</v>
      </c>
      <c r="F245" s="27" t="s">
        <v>64</v>
      </c>
      <c r="G245" s="28">
        <v>1</v>
      </c>
      <c r="H245" s="27"/>
      <c r="I245" s="28">
        <v>7374</v>
      </c>
      <c r="J245" s="29">
        <f>IFERROR(ROUND(SUM(M246,M247,M248)/I245, 2),0)</f>
        <v>58.11</v>
      </c>
      <c r="K245" s="29">
        <v>508</v>
      </c>
      <c r="L245" s="29">
        <f>J245+ROUND(K245, 2)</f>
        <v>566.11</v>
      </c>
      <c r="M245" s="29">
        <f>ROUND(J245*I245, 2)</f>
        <v>428503.14</v>
      </c>
      <c r="N245" s="29">
        <f>ROUND(I245*ROUND(K245, 2), 2)</f>
        <v>3745992</v>
      </c>
      <c r="O245" s="29">
        <f>M245+N245</f>
        <v>4174495.14</v>
      </c>
      <c r="P245" s="29">
        <f>IFERROR(ROUND(SUM(S246,S247,S248)/I245, 2),0)</f>
        <v>58.11</v>
      </c>
      <c r="Q245" s="29">
        <v>508</v>
      </c>
      <c r="R245" s="29">
        <f>P245+ROUND(Q245, 2)</f>
        <v>566.11</v>
      </c>
      <c r="S245" s="29">
        <f>ROUND(P245*I245, 2)</f>
        <v>428503.14</v>
      </c>
      <c r="T245" s="29">
        <f>ROUND(I245*ROUND(Q245, 2), 2)</f>
        <v>3745992</v>
      </c>
      <c r="U245" s="29">
        <f>S245+T245</f>
        <v>4174495.14</v>
      </c>
      <c r="V245" s="9">
        <f>ROUND(P245 / 1.2, 2)</f>
        <v>48.43</v>
      </c>
      <c r="W245" s="9">
        <f>ROUND(Q245 / 1.2, 2)</f>
        <v>423.33</v>
      </c>
      <c r="X245" s="9">
        <f>ROUND(R245 / 1.2, 2)</f>
        <v>471.76</v>
      </c>
      <c r="Y245" s="9">
        <f t="shared" si="35"/>
        <v>357085.95</v>
      </c>
      <c r="Z245" s="9">
        <f>ROUND(T245 / 1.2, 2)</f>
        <v>3121660</v>
      </c>
      <c r="AA245" s="9">
        <f>Y245+Z245</f>
        <v>3478745.95</v>
      </c>
      <c r="AD245" s="4">
        <v>271132179</v>
      </c>
      <c r="AE245" s="4">
        <v>19976875</v>
      </c>
      <c r="AG245" s="4" t="s">
        <v>830</v>
      </c>
      <c r="AH245" s="4" t="s">
        <v>831</v>
      </c>
      <c r="AI245" s="4" t="s">
        <v>67</v>
      </c>
    </row>
    <row r="246" spans="1:35" ht="36" x14ac:dyDescent="0.3">
      <c r="A246" s="25" t="s">
        <v>853</v>
      </c>
      <c r="B246" s="25"/>
      <c r="C246" s="30" t="s">
        <v>433</v>
      </c>
      <c r="D246" s="27"/>
      <c r="E246" s="27"/>
      <c r="F246" s="31" t="s">
        <v>70</v>
      </c>
      <c r="G246" s="32">
        <v>0.15</v>
      </c>
      <c r="H246" s="27"/>
      <c r="I246" s="32">
        <v>1106.0999999999999</v>
      </c>
      <c r="J246" s="34">
        <v>88.8</v>
      </c>
      <c r="K246" s="35"/>
      <c r="L246" s="35"/>
      <c r="M246" s="34">
        <f>ROUND(ROUND(J246, 2)*I246, 2)</f>
        <v>98221.68</v>
      </c>
      <c r="N246" s="35"/>
      <c r="O246" s="35"/>
      <c r="P246" s="34">
        <v>88.8</v>
      </c>
      <c r="Q246" s="35"/>
      <c r="R246" s="35"/>
      <c r="S246" s="34">
        <f>ROUND(ROUND(P246, 2)*I246, 2)</f>
        <v>98221.68</v>
      </c>
      <c r="T246" s="35"/>
      <c r="U246" s="36"/>
      <c r="V246" s="9">
        <f>ROUND(ROUND(P246, 2)/1.2, 2)</f>
        <v>74</v>
      </c>
      <c r="Y246" s="9">
        <f t="shared" si="35"/>
        <v>81851.399999999994</v>
      </c>
      <c r="AD246" s="4" t="s">
        <v>854</v>
      </c>
      <c r="AE246" s="4" t="s">
        <v>855</v>
      </c>
      <c r="AF246" s="4" t="s">
        <v>436</v>
      </c>
    </row>
    <row r="247" spans="1:35" ht="18" x14ac:dyDescent="0.3">
      <c r="A247" s="25" t="s">
        <v>856</v>
      </c>
      <c r="B247" s="25"/>
      <c r="C247" s="30" t="s">
        <v>793</v>
      </c>
      <c r="D247" s="27"/>
      <c r="E247" s="27"/>
      <c r="F247" s="31" t="s">
        <v>116</v>
      </c>
      <c r="G247" s="32">
        <v>0.3</v>
      </c>
      <c r="H247" s="27"/>
      <c r="I247" s="32">
        <v>2212.1999999999998</v>
      </c>
      <c r="J247" s="34">
        <v>73.099999999999994</v>
      </c>
      <c r="K247" s="35"/>
      <c r="L247" s="35"/>
      <c r="M247" s="34">
        <f>ROUND(ROUND(J247, 2)*I247, 2)</f>
        <v>161711.82</v>
      </c>
      <c r="N247" s="35"/>
      <c r="O247" s="35"/>
      <c r="P247" s="34">
        <v>73.099999999999994</v>
      </c>
      <c r="Q247" s="35"/>
      <c r="R247" s="35"/>
      <c r="S247" s="34">
        <f>ROUND(ROUND(P247, 2)*I247, 2)</f>
        <v>161711.82</v>
      </c>
      <c r="T247" s="35"/>
      <c r="U247" s="36"/>
      <c r="V247" s="9">
        <f>ROUND(ROUND(P247, 2)/1.2, 2)</f>
        <v>60.92</v>
      </c>
      <c r="Y247" s="9">
        <f t="shared" si="35"/>
        <v>134759.85</v>
      </c>
      <c r="AD247" s="4" t="s">
        <v>857</v>
      </c>
      <c r="AE247" s="4" t="s">
        <v>858</v>
      </c>
      <c r="AF247" s="4" t="s">
        <v>796</v>
      </c>
    </row>
    <row r="248" spans="1:35" ht="36" x14ac:dyDescent="0.3">
      <c r="A248" s="25" t="s">
        <v>859</v>
      </c>
      <c r="B248" s="25"/>
      <c r="C248" s="17" t="s">
        <v>740</v>
      </c>
      <c r="D248" s="27"/>
      <c r="E248" s="27"/>
      <c r="F248" s="31" t="s">
        <v>70</v>
      </c>
      <c r="G248" s="32">
        <v>1.8</v>
      </c>
      <c r="H248" s="27"/>
      <c r="I248" s="32">
        <v>13273.2</v>
      </c>
      <c r="J248" s="34">
        <v>12.7</v>
      </c>
      <c r="K248" s="35"/>
      <c r="L248" s="35"/>
      <c r="M248" s="34">
        <f>ROUND(ROUND(J248, 2)*I248, 2)</f>
        <v>168569.64</v>
      </c>
      <c r="N248" s="35"/>
      <c r="O248" s="35"/>
      <c r="P248" s="34">
        <v>12.7</v>
      </c>
      <c r="Q248" s="35"/>
      <c r="R248" s="35"/>
      <c r="S248" s="34">
        <f>ROUND(ROUND(P248, 2)*I248, 2)</f>
        <v>168569.64</v>
      </c>
      <c r="T248" s="35"/>
      <c r="U248" s="36"/>
      <c r="V248" s="9">
        <f>ROUND(ROUND(P248, 2)/1.2, 2)</f>
        <v>10.58</v>
      </c>
      <c r="Y248" s="9">
        <f t="shared" si="35"/>
        <v>140474.70000000001</v>
      </c>
      <c r="AD248" s="4" t="s">
        <v>860</v>
      </c>
      <c r="AE248" s="4" t="s">
        <v>861</v>
      </c>
      <c r="AF248" s="4" t="s">
        <v>789</v>
      </c>
    </row>
    <row r="249" spans="1:35" ht="54" x14ac:dyDescent="0.3">
      <c r="A249" s="25" t="s">
        <v>862</v>
      </c>
      <c r="B249" s="25" t="s">
        <v>827</v>
      </c>
      <c r="C249" s="26" t="s">
        <v>828</v>
      </c>
      <c r="D249" s="27"/>
      <c r="E249" s="27" t="s">
        <v>863</v>
      </c>
      <c r="F249" s="27" t="s">
        <v>64</v>
      </c>
      <c r="G249" s="28">
        <v>1</v>
      </c>
      <c r="H249" s="27"/>
      <c r="I249" s="28">
        <v>7374</v>
      </c>
      <c r="J249" s="29">
        <f>IFERROR(ROUND(SUM(M250,M251)/I249, 2),0)</f>
        <v>73.319999999999993</v>
      </c>
      <c r="K249" s="29">
        <v>508</v>
      </c>
      <c r="L249" s="29">
        <f>J249+ROUND(K249, 2)</f>
        <v>581.32000000000005</v>
      </c>
      <c r="M249" s="29">
        <f>ROUND(J249*I249, 2)</f>
        <v>540661.68000000005</v>
      </c>
      <c r="N249" s="29">
        <f>ROUND(I249*ROUND(K249, 2), 2)</f>
        <v>3745992</v>
      </c>
      <c r="O249" s="29">
        <f>M249+N249</f>
        <v>4286653.68</v>
      </c>
      <c r="P249" s="29">
        <f>IFERROR(ROUND(SUM(S250,S251)/I249, 2),0)</f>
        <v>73.319999999999993</v>
      </c>
      <c r="Q249" s="29">
        <v>508</v>
      </c>
      <c r="R249" s="29">
        <f>P249+ROUND(Q249, 2)</f>
        <v>581.32000000000005</v>
      </c>
      <c r="S249" s="29">
        <f>ROUND(P249*I249, 2)</f>
        <v>540661.68000000005</v>
      </c>
      <c r="T249" s="29">
        <f>ROUND(I249*ROUND(Q249, 2), 2)</f>
        <v>3745992</v>
      </c>
      <c r="U249" s="29">
        <f>S249+T249</f>
        <v>4286653.68</v>
      </c>
      <c r="V249" s="9">
        <f>ROUND(P249 / 1.2, 2)</f>
        <v>61.1</v>
      </c>
      <c r="W249" s="9">
        <f>ROUND(Q249 / 1.2, 2)</f>
        <v>423.33</v>
      </c>
      <c r="X249" s="9">
        <f>ROUND(R249 / 1.2, 2)</f>
        <v>484.43</v>
      </c>
      <c r="Y249" s="9">
        <f t="shared" si="35"/>
        <v>450551.4</v>
      </c>
      <c r="Z249" s="9">
        <f>ROUND(T249 / 1.2, 2)</f>
        <v>3121660</v>
      </c>
      <c r="AA249" s="9">
        <f>Y249+Z249</f>
        <v>3572211.4</v>
      </c>
      <c r="AD249" s="4">
        <v>271132180</v>
      </c>
      <c r="AE249" s="4">
        <v>19976876</v>
      </c>
      <c r="AG249" s="4" t="s">
        <v>830</v>
      </c>
      <c r="AH249" s="4" t="s">
        <v>831</v>
      </c>
      <c r="AI249" s="4" t="s">
        <v>67</v>
      </c>
    </row>
    <row r="250" spans="1:35" ht="36" x14ac:dyDescent="0.3">
      <c r="A250" s="25" t="s">
        <v>864</v>
      </c>
      <c r="B250" s="25"/>
      <c r="C250" s="30" t="s">
        <v>433</v>
      </c>
      <c r="D250" s="27"/>
      <c r="E250" s="27"/>
      <c r="F250" s="31" t="s">
        <v>70</v>
      </c>
      <c r="G250" s="32">
        <v>0.15</v>
      </c>
      <c r="H250" s="27"/>
      <c r="I250" s="32">
        <v>1106.0999999999999</v>
      </c>
      <c r="J250" s="34">
        <v>88.8</v>
      </c>
      <c r="K250" s="35"/>
      <c r="L250" s="35"/>
      <c r="M250" s="34">
        <f>ROUND(ROUND(J250, 2)*I250, 2)</f>
        <v>98221.68</v>
      </c>
      <c r="N250" s="35"/>
      <c r="O250" s="35"/>
      <c r="P250" s="34">
        <v>88.8</v>
      </c>
      <c r="Q250" s="35"/>
      <c r="R250" s="35"/>
      <c r="S250" s="34">
        <f>ROUND(ROUND(P250, 2)*I250, 2)</f>
        <v>98221.68</v>
      </c>
      <c r="T250" s="35"/>
      <c r="U250" s="36"/>
      <c r="V250" s="9">
        <f>ROUND(ROUND(P250, 2)/1.2, 2)</f>
        <v>74</v>
      </c>
      <c r="Y250" s="9">
        <f t="shared" si="35"/>
        <v>81851.399999999994</v>
      </c>
      <c r="AD250" s="4" t="s">
        <v>865</v>
      </c>
      <c r="AE250" s="4" t="s">
        <v>866</v>
      </c>
      <c r="AF250" s="4" t="s">
        <v>436</v>
      </c>
    </row>
    <row r="251" spans="1:35" ht="36" x14ac:dyDescent="0.3">
      <c r="A251" s="25" t="s">
        <v>867</v>
      </c>
      <c r="B251" s="25"/>
      <c r="C251" s="30" t="s">
        <v>847</v>
      </c>
      <c r="D251" s="27"/>
      <c r="E251" s="27"/>
      <c r="F251" s="31" t="s">
        <v>70</v>
      </c>
      <c r="G251" s="32">
        <v>1</v>
      </c>
      <c r="H251" s="27"/>
      <c r="I251" s="32">
        <v>7374</v>
      </c>
      <c r="J251" s="34">
        <v>60</v>
      </c>
      <c r="K251" s="35"/>
      <c r="L251" s="35"/>
      <c r="M251" s="34">
        <f>ROUND(ROUND(J251, 2)*I251, 2)</f>
        <v>442440</v>
      </c>
      <c r="N251" s="35"/>
      <c r="O251" s="35"/>
      <c r="P251" s="34">
        <v>60</v>
      </c>
      <c r="Q251" s="35"/>
      <c r="R251" s="35"/>
      <c r="S251" s="34">
        <f>ROUND(ROUND(P251, 2)*I251, 2)</f>
        <v>442440</v>
      </c>
      <c r="T251" s="35"/>
      <c r="U251" s="36"/>
      <c r="V251" s="9">
        <f>ROUND(ROUND(P251, 2)/1.2, 2)</f>
        <v>50</v>
      </c>
      <c r="Y251" s="9">
        <f t="shared" si="35"/>
        <v>368700</v>
      </c>
      <c r="AD251" s="4" t="s">
        <v>868</v>
      </c>
      <c r="AE251" s="4" t="s">
        <v>869</v>
      </c>
      <c r="AF251" s="4" t="s">
        <v>850</v>
      </c>
    </row>
    <row r="252" spans="1:35" ht="36" x14ac:dyDescent="0.3">
      <c r="A252" s="25" t="s">
        <v>870</v>
      </c>
      <c r="B252" s="25" t="s">
        <v>827</v>
      </c>
      <c r="C252" s="26" t="s">
        <v>828</v>
      </c>
      <c r="D252" s="27"/>
      <c r="E252" s="27" t="s">
        <v>871</v>
      </c>
      <c r="F252" s="27" t="s">
        <v>64</v>
      </c>
      <c r="G252" s="28">
        <v>1</v>
      </c>
      <c r="H252" s="27"/>
      <c r="I252" s="28">
        <v>982.8</v>
      </c>
      <c r="J252" s="29">
        <f>IFERROR(ROUND(SUM(M253,M254,M255)/I252, 2),0)</f>
        <v>81.25</v>
      </c>
      <c r="K252" s="29">
        <v>508</v>
      </c>
      <c r="L252" s="29">
        <f>J252+ROUND(K252, 2)</f>
        <v>589.25</v>
      </c>
      <c r="M252" s="29">
        <f>ROUND(J252*I252, 2)</f>
        <v>79852.5</v>
      </c>
      <c r="N252" s="29">
        <f>ROUND(I252*ROUND(K252, 2), 2)</f>
        <v>499262.4</v>
      </c>
      <c r="O252" s="29">
        <f>M252+N252</f>
        <v>579114.9</v>
      </c>
      <c r="P252" s="29">
        <f>IFERROR(ROUND(SUM(S253,S254,S255)/I252, 2),0)</f>
        <v>81.25</v>
      </c>
      <c r="Q252" s="29">
        <v>508</v>
      </c>
      <c r="R252" s="29">
        <f>P252+ROUND(Q252, 2)</f>
        <v>589.25</v>
      </c>
      <c r="S252" s="29">
        <f>ROUND(P252*I252, 2)</f>
        <v>79852.5</v>
      </c>
      <c r="T252" s="29">
        <f>ROUND(I252*ROUND(Q252, 2), 2)</f>
        <v>499262.4</v>
      </c>
      <c r="U252" s="29">
        <f>S252+T252</f>
        <v>579114.9</v>
      </c>
      <c r="V252" s="9">
        <f>ROUND(P252 / 1.2, 2)</f>
        <v>67.709999999999994</v>
      </c>
      <c r="W252" s="9">
        <f>ROUND(Q252 / 1.2, 2)</f>
        <v>423.33</v>
      </c>
      <c r="X252" s="9">
        <f>ROUND(R252 / 1.2, 2)</f>
        <v>491.04</v>
      </c>
      <c r="Y252" s="9">
        <f t="shared" si="35"/>
        <v>66543.75</v>
      </c>
      <c r="Z252" s="9">
        <f>ROUND(T252 / 1.2, 2)</f>
        <v>416052</v>
      </c>
      <c r="AA252" s="9">
        <f>Y252+Z252</f>
        <v>482595.75</v>
      </c>
      <c r="AD252" s="4">
        <v>271132181</v>
      </c>
      <c r="AE252" s="4">
        <v>19976868</v>
      </c>
      <c r="AG252" s="4" t="s">
        <v>830</v>
      </c>
      <c r="AH252" s="4" t="s">
        <v>831</v>
      </c>
      <c r="AI252" s="4" t="s">
        <v>67</v>
      </c>
    </row>
    <row r="253" spans="1:35" ht="36" x14ac:dyDescent="0.3">
      <c r="A253" s="25" t="s">
        <v>872</v>
      </c>
      <c r="B253" s="25"/>
      <c r="C253" s="30" t="s">
        <v>433</v>
      </c>
      <c r="D253" s="27"/>
      <c r="E253" s="27"/>
      <c r="F253" s="31" t="s">
        <v>70</v>
      </c>
      <c r="G253" s="32">
        <v>0.15</v>
      </c>
      <c r="H253" s="27"/>
      <c r="I253" s="32">
        <v>147.41999999999999</v>
      </c>
      <c r="J253" s="34">
        <v>88.8</v>
      </c>
      <c r="K253" s="35"/>
      <c r="L253" s="35"/>
      <c r="M253" s="34">
        <f>ROUND(ROUND(J253, 2)*I253, 2)</f>
        <v>13090.9</v>
      </c>
      <c r="N253" s="35"/>
      <c r="O253" s="35"/>
      <c r="P253" s="34">
        <v>88.8</v>
      </c>
      <c r="Q253" s="35"/>
      <c r="R253" s="35"/>
      <c r="S253" s="34">
        <f>ROUND(ROUND(P253, 2)*I253, 2)</f>
        <v>13090.9</v>
      </c>
      <c r="T253" s="35"/>
      <c r="U253" s="36"/>
      <c r="V253" s="9">
        <f>ROUND(ROUND(P253, 2)/1.2, 2)</f>
        <v>74</v>
      </c>
      <c r="Y253" s="9">
        <f t="shared" si="35"/>
        <v>10909.08</v>
      </c>
      <c r="AD253" s="4" t="s">
        <v>873</v>
      </c>
      <c r="AE253" s="4" t="s">
        <v>874</v>
      </c>
      <c r="AF253" s="4" t="s">
        <v>436</v>
      </c>
    </row>
    <row r="254" spans="1:35" ht="18" x14ac:dyDescent="0.3">
      <c r="A254" s="25" t="s">
        <v>875</v>
      </c>
      <c r="B254" s="25"/>
      <c r="C254" s="30" t="s">
        <v>793</v>
      </c>
      <c r="D254" s="27"/>
      <c r="E254" s="27"/>
      <c r="F254" s="31" t="s">
        <v>116</v>
      </c>
      <c r="G254" s="32">
        <v>0.3</v>
      </c>
      <c r="H254" s="27"/>
      <c r="I254" s="32">
        <v>294.83999999999997</v>
      </c>
      <c r="J254" s="34">
        <v>73.099999999999994</v>
      </c>
      <c r="K254" s="35"/>
      <c r="L254" s="35"/>
      <c r="M254" s="34">
        <f>ROUND(ROUND(J254, 2)*I254, 2)</f>
        <v>21552.799999999999</v>
      </c>
      <c r="N254" s="35"/>
      <c r="O254" s="35"/>
      <c r="P254" s="34">
        <v>73.099999999999994</v>
      </c>
      <c r="Q254" s="35"/>
      <c r="R254" s="35"/>
      <c r="S254" s="34">
        <f>ROUND(ROUND(P254, 2)*I254, 2)</f>
        <v>21552.799999999999</v>
      </c>
      <c r="T254" s="35"/>
      <c r="U254" s="36"/>
      <c r="V254" s="9">
        <f>ROUND(ROUND(P254, 2)/1.2, 2)</f>
        <v>60.92</v>
      </c>
      <c r="Y254" s="9">
        <f t="shared" si="35"/>
        <v>17960.669999999998</v>
      </c>
      <c r="AD254" s="4" t="s">
        <v>876</v>
      </c>
      <c r="AE254" s="4" t="s">
        <v>877</v>
      </c>
      <c r="AF254" s="4" t="s">
        <v>796</v>
      </c>
    </row>
    <row r="255" spans="1:35" ht="18" x14ac:dyDescent="0.3">
      <c r="A255" s="25" t="s">
        <v>878</v>
      </c>
      <c r="B255" s="25"/>
      <c r="C255" s="30" t="s">
        <v>879</v>
      </c>
      <c r="D255" s="27"/>
      <c r="E255" s="27"/>
      <c r="F255" s="31" t="s">
        <v>70</v>
      </c>
      <c r="G255" s="32">
        <v>2</v>
      </c>
      <c r="H255" s="27"/>
      <c r="I255" s="32">
        <v>1965.6</v>
      </c>
      <c r="J255" s="34">
        <v>23</v>
      </c>
      <c r="K255" s="35"/>
      <c r="L255" s="35"/>
      <c r="M255" s="34">
        <f>ROUND(ROUND(J255, 2)*I255, 2)</f>
        <v>45208.800000000003</v>
      </c>
      <c r="N255" s="35"/>
      <c r="O255" s="35"/>
      <c r="P255" s="34">
        <v>23</v>
      </c>
      <c r="Q255" s="35"/>
      <c r="R255" s="35"/>
      <c r="S255" s="34">
        <f>ROUND(ROUND(P255, 2)*I255, 2)</f>
        <v>45208.800000000003</v>
      </c>
      <c r="T255" s="35"/>
      <c r="U255" s="36"/>
      <c r="V255" s="9">
        <f>ROUND(ROUND(P255, 2)/1.2, 2)</f>
        <v>19.170000000000002</v>
      </c>
      <c r="Y255" s="9">
        <f t="shared" si="35"/>
        <v>37674</v>
      </c>
      <c r="AD255" s="4" t="s">
        <v>880</v>
      </c>
      <c r="AE255" s="4" t="s">
        <v>881</v>
      </c>
      <c r="AF255" s="4" t="s">
        <v>882</v>
      </c>
    </row>
    <row r="256" spans="1:35" ht="54" x14ac:dyDescent="0.3">
      <c r="A256" s="25" t="s">
        <v>883</v>
      </c>
      <c r="B256" s="25" t="s">
        <v>827</v>
      </c>
      <c r="C256" s="26" t="s">
        <v>828</v>
      </c>
      <c r="D256" s="27"/>
      <c r="E256" s="27" t="s">
        <v>884</v>
      </c>
      <c r="F256" s="27" t="s">
        <v>64</v>
      </c>
      <c r="G256" s="28">
        <v>1</v>
      </c>
      <c r="H256" s="27"/>
      <c r="I256" s="28">
        <v>982.8</v>
      </c>
      <c r="J256" s="29">
        <f>IFERROR(ROUND(SUM(M257,M258)/I256, 2),0)</f>
        <v>59.32</v>
      </c>
      <c r="K256" s="29">
        <v>508</v>
      </c>
      <c r="L256" s="29">
        <f>J256+ROUND(K256, 2)</f>
        <v>567.32000000000005</v>
      </c>
      <c r="M256" s="29">
        <f>ROUND(J256*I256, 2)</f>
        <v>58299.7</v>
      </c>
      <c r="N256" s="29">
        <f>ROUND(I256*ROUND(K256, 2), 2)</f>
        <v>499262.4</v>
      </c>
      <c r="O256" s="29">
        <f>M256+N256</f>
        <v>557562.1</v>
      </c>
      <c r="P256" s="29">
        <f>IFERROR(ROUND(SUM(S257,S258)/I256, 2),0)</f>
        <v>59.32</v>
      </c>
      <c r="Q256" s="29">
        <v>508</v>
      </c>
      <c r="R256" s="29">
        <f>P256+ROUND(Q256, 2)</f>
        <v>567.32000000000005</v>
      </c>
      <c r="S256" s="29">
        <f>ROUND(P256*I256, 2)</f>
        <v>58299.7</v>
      </c>
      <c r="T256" s="29">
        <f>ROUND(I256*ROUND(Q256, 2), 2)</f>
        <v>499262.4</v>
      </c>
      <c r="U256" s="29">
        <f>S256+T256</f>
        <v>557562.1</v>
      </c>
      <c r="V256" s="9">
        <f>ROUND(P256 / 1.2, 2)</f>
        <v>49.43</v>
      </c>
      <c r="W256" s="9">
        <f>ROUND(Q256 / 1.2, 2)</f>
        <v>423.33</v>
      </c>
      <c r="X256" s="9">
        <f>ROUND(R256 / 1.2, 2)</f>
        <v>472.77</v>
      </c>
      <c r="Y256" s="9">
        <f t="shared" si="35"/>
        <v>48583.08</v>
      </c>
      <c r="Z256" s="9">
        <f>ROUND(T256 / 1.2, 2)</f>
        <v>416052</v>
      </c>
      <c r="AA256" s="9">
        <f>Y256+Z256</f>
        <v>464635.08</v>
      </c>
      <c r="AD256" s="4">
        <v>271132182</v>
      </c>
      <c r="AE256" s="4">
        <v>19976871</v>
      </c>
      <c r="AG256" s="4" t="s">
        <v>830</v>
      </c>
      <c r="AH256" s="4" t="s">
        <v>831</v>
      </c>
      <c r="AI256" s="4" t="s">
        <v>67</v>
      </c>
    </row>
    <row r="257" spans="1:35" ht="36" x14ac:dyDescent="0.3">
      <c r="A257" s="25" t="s">
        <v>885</v>
      </c>
      <c r="B257" s="25"/>
      <c r="C257" s="30" t="s">
        <v>433</v>
      </c>
      <c r="D257" s="27"/>
      <c r="E257" s="27"/>
      <c r="F257" s="31" t="s">
        <v>70</v>
      </c>
      <c r="G257" s="32">
        <v>0.15</v>
      </c>
      <c r="H257" s="27"/>
      <c r="I257" s="32">
        <v>147.41999999999999</v>
      </c>
      <c r="J257" s="34">
        <v>88.8</v>
      </c>
      <c r="K257" s="35"/>
      <c r="L257" s="35"/>
      <c r="M257" s="34">
        <f>ROUND(ROUND(J257, 2)*I257, 2)</f>
        <v>13090.9</v>
      </c>
      <c r="N257" s="35"/>
      <c r="O257" s="35"/>
      <c r="P257" s="34">
        <v>88.8</v>
      </c>
      <c r="Q257" s="35"/>
      <c r="R257" s="35"/>
      <c r="S257" s="34">
        <f>ROUND(ROUND(P257, 2)*I257, 2)</f>
        <v>13090.9</v>
      </c>
      <c r="T257" s="35"/>
      <c r="U257" s="36"/>
      <c r="V257" s="9">
        <f>ROUND(ROUND(P257, 2)/1.2, 2)</f>
        <v>74</v>
      </c>
      <c r="Y257" s="9">
        <f t="shared" si="35"/>
        <v>10909.08</v>
      </c>
      <c r="AD257" s="4" t="s">
        <v>886</v>
      </c>
      <c r="AE257" s="4" t="s">
        <v>887</v>
      </c>
      <c r="AF257" s="4" t="s">
        <v>436</v>
      </c>
    </row>
    <row r="258" spans="1:35" ht="18" x14ac:dyDescent="0.3">
      <c r="A258" s="25" t="s">
        <v>888</v>
      </c>
      <c r="B258" s="25"/>
      <c r="C258" s="30" t="s">
        <v>879</v>
      </c>
      <c r="D258" s="27"/>
      <c r="E258" s="27"/>
      <c r="F258" s="31" t="s">
        <v>70</v>
      </c>
      <c r="G258" s="32">
        <v>2</v>
      </c>
      <c r="H258" s="27"/>
      <c r="I258" s="32">
        <v>1965.6</v>
      </c>
      <c r="J258" s="34">
        <v>23</v>
      </c>
      <c r="K258" s="35"/>
      <c r="L258" s="35"/>
      <c r="M258" s="34">
        <f>ROUND(ROUND(J258, 2)*I258, 2)</f>
        <v>45208.800000000003</v>
      </c>
      <c r="N258" s="35"/>
      <c r="O258" s="35"/>
      <c r="P258" s="34">
        <v>23</v>
      </c>
      <c r="Q258" s="35"/>
      <c r="R258" s="35"/>
      <c r="S258" s="34">
        <f>ROUND(ROUND(P258, 2)*I258, 2)</f>
        <v>45208.800000000003</v>
      </c>
      <c r="T258" s="35"/>
      <c r="U258" s="36"/>
      <c r="V258" s="9">
        <f>ROUND(ROUND(P258, 2)/1.2, 2)</f>
        <v>19.170000000000002</v>
      </c>
      <c r="Y258" s="9">
        <f t="shared" si="35"/>
        <v>37674</v>
      </c>
      <c r="AD258" s="4" t="s">
        <v>889</v>
      </c>
      <c r="AE258" s="4" t="s">
        <v>890</v>
      </c>
      <c r="AF258" s="4" t="s">
        <v>882</v>
      </c>
    </row>
    <row r="259" spans="1:35" ht="36" x14ac:dyDescent="0.3">
      <c r="A259" s="25" t="s">
        <v>891</v>
      </c>
      <c r="B259" s="25" t="s">
        <v>827</v>
      </c>
      <c r="C259" s="26" t="s">
        <v>828</v>
      </c>
      <c r="D259" s="27"/>
      <c r="E259" s="27" t="s">
        <v>892</v>
      </c>
      <c r="F259" s="27" t="s">
        <v>64</v>
      </c>
      <c r="G259" s="28">
        <v>1</v>
      </c>
      <c r="H259" s="27"/>
      <c r="I259" s="28">
        <v>726.6</v>
      </c>
      <c r="J259" s="29">
        <f>IFERROR(ROUND(SUM(M260,M261,M262)/I259, 2),0)</f>
        <v>81.25</v>
      </c>
      <c r="K259" s="29">
        <v>508</v>
      </c>
      <c r="L259" s="29">
        <f>J259+ROUND(K259, 2)</f>
        <v>589.25</v>
      </c>
      <c r="M259" s="29">
        <f>ROUND(J259*I259, 2)</f>
        <v>59036.25</v>
      </c>
      <c r="N259" s="29">
        <f>ROUND(I259*ROUND(K259, 2), 2)</f>
        <v>369112.8</v>
      </c>
      <c r="O259" s="29">
        <f>M259+N259</f>
        <v>428149.05</v>
      </c>
      <c r="P259" s="29">
        <f>IFERROR(ROUND(SUM(S260,S261,S262)/I259, 2),0)</f>
        <v>81.25</v>
      </c>
      <c r="Q259" s="29">
        <v>508</v>
      </c>
      <c r="R259" s="29">
        <f>P259+ROUND(Q259, 2)</f>
        <v>589.25</v>
      </c>
      <c r="S259" s="29">
        <f>ROUND(P259*I259, 2)</f>
        <v>59036.25</v>
      </c>
      <c r="T259" s="29">
        <f>ROUND(I259*ROUND(Q259, 2), 2)</f>
        <v>369112.8</v>
      </c>
      <c r="U259" s="29">
        <f>S259+T259</f>
        <v>428149.05</v>
      </c>
      <c r="V259" s="9">
        <f>ROUND(P259 / 1.2, 2)</f>
        <v>67.709999999999994</v>
      </c>
      <c r="W259" s="9">
        <f>ROUND(Q259 / 1.2, 2)</f>
        <v>423.33</v>
      </c>
      <c r="X259" s="9">
        <f>ROUND(R259 / 1.2, 2)</f>
        <v>491.04</v>
      </c>
      <c r="Y259" s="9">
        <f t="shared" si="35"/>
        <v>49196.88</v>
      </c>
      <c r="Z259" s="9">
        <f>ROUND(T259 / 1.2, 2)</f>
        <v>307594</v>
      </c>
      <c r="AA259" s="9">
        <f>Y259+Z259</f>
        <v>356790.88</v>
      </c>
      <c r="AD259" s="4">
        <v>271132183</v>
      </c>
      <c r="AE259" s="4">
        <v>19976874</v>
      </c>
      <c r="AG259" s="4" t="s">
        <v>830</v>
      </c>
      <c r="AH259" s="4" t="s">
        <v>831</v>
      </c>
      <c r="AI259" s="4" t="s">
        <v>67</v>
      </c>
    </row>
    <row r="260" spans="1:35" ht="36" x14ac:dyDescent="0.3">
      <c r="A260" s="25" t="s">
        <v>893</v>
      </c>
      <c r="B260" s="25"/>
      <c r="C260" s="30" t="s">
        <v>433</v>
      </c>
      <c r="D260" s="27"/>
      <c r="E260" s="27"/>
      <c r="F260" s="31" t="s">
        <v>70</v>
      </c>
      <c r="G260" s="32">
        <v>0.15</v>
      </c>
      <c r="H260" s="27"/>
      <c r="I260" s="32">
        <v>108.99</v>
      </c>
      <c r="J260" s="34">
        <v>88.8</v>
      </c>
      <c r="K260" s="35"/>
      <c r="L260" s="35"/>
      <c r="M260" s="34">
        <f>ROUND(ROUND(J260, 2)*I260, 2)</f>
        <v>9678.31</v>
      </c>
      <c r="N260" s="35"/>
      <c r="O260" s="35"/>
      <c r="P260" s="34">
        <v>88.8</v>
      </c>
      <c r="Q260" s="35"/>
      <c r="R260" s="35"/>
      <c r="S260" s="34">
        <f>ROUND(ROUND(P260, 2)*I260, 2)</f>
        <v>9678.31</v>
      </c>
      <c r="T260" s="35"/>
      <c r="U260" s="36"/>
      <c r="V260" s="9">
        <f>ROUND(ROUND(P260, 2)/1.2, 2)</f>
        <v>74</v>
      </c>
      <c r="Y260" s="9">
        <f t="shared" si="35"/>
        <v>8065.26</v>
      </c>
      <c r="AD260" s="4" t="s">
        <v>894</v>
      </c>
      <c r="AE260" s="4" t="s">
        <v>895</v>
      </c>
      <c r="AF260" s="4" t="s">
        <v>436</v>
      </c>
    </row>
    <row r="261" spans="1:35" ht="18" x14ac:dyDescent="0.3">
      <c r="A261" s="25" t="s">
        <v>896</v>
      </c>
      <c r="B261" s="25"/>
      <c r="C261" s="30" t="s">
        <v>793</v>
      </c>
      <c r="D261" s="27"/>
      <c r="E261" s="27"/>
      <c r="F261" s="31" t="s">
        <v>116</v>
      </c>
      <c r="G261" s="32">
        <v>0.3</v>
      </c>
      <c r="H261" s="27"/>
      <c r="I261" s="32">
        <v>217.98</v>
      </c>
      <c r="J261" s="34">
        <v>73.099999999999994</v>
      </c>
      <c r="K261" s="35"/>
      <c r="L261" s="35"/>
      <c r="M261" s="34">
        <f>ROUND(ROUND(J261, 2)*I261, 2)</f>
        <v>15934.34</v>
      </c>
      <c r="N261" s="35"/>
      <c r="O261" s="35"/>
      <c r="P261" s="34">
        <v>73.099999999999994</v>
      </c>
      <c r="Q261" s="35"/>
      <c r="R261" s="35"/>
      <c r="S261" s="34">
        <f>ROUND(ROUND(P261, 2)*I261, 2)</f>
        <v>15934.34</v>
      </c>
      <c r="T261" s="35"/>
      <c r="U261" s="36"/>
      <c r="V261" s="9">
        <f>ROUND(ROUND(P261, 2)/1.2, 2)</f>
        <v>60.92</v>
      </c>
      <c r="Y261" s="9">
        <f t="shared" si="35"/>
        <v>13278.62</v>
      </c>
      <c r="AD261" s="4" t="s">
        <v>897</v>
      </c>
      <c r="AE261" s="4" t="s">
        <v>898</v>
      </c>
      <c r="AF261" s="4" t="s">
        <v>796</v>
      </c>
    </row>
    <row r="262" spans="1:35" ht="18" x14ac:dyDescent="0.3">
      <c r="A262" s="25" t="s">
        <v>899</v>
      </c>
      <c r="B262" s="25"/>
      <c r="C262" s="30" t="s">
        <v>879</v>
      </c>
      <c r="D262" s="27"/>
      <c r="E262" s="27"/>
      <c r="F262" s="31" t="s">
        <v>70</v>
      </c>
      <c r="G262" s="32">
        <v>2</v>
      </c>
      <c r="H262" s="27"/>
      <c r="I262" s="32">
        <v>1453.2</v>
      </c>
      <c r="J262" s="34">
        <v>23</v>
      </c>
      <c r="K262" s="35"/>
      <c r="L262" s="35"/>
      <c r="M262" s="34">
        <f>ROUND(ROUND(J262, 2)*I262, 2)</f>
        <v>33423.599999999999</v>
      </c>
      <c r="N262" s="35"/>
      <c r="O262" s="35"/>
      <c r="P262" s="34">
        <v>23</v>
      </c>
      <c r="Q262" s="35"/>
      <c r="R262" s="35"/>
      <c r="S262" s="34">
        <f>ROUND(ROUND(P262, 2)*I262, 2)</f>
        <v>33423.599999999999</v>
      </c>
      <c r="T262" s="35"/>
      <c r="U262" s="36"/>
      <c r="V262" s="9">
        <f>ROUND(ROUND(P262, 2)/1.2, 2)</f>
        <v>19.170000000000002</v>
      </c>
      <c r="Y262" s="9">
        <f t="shared" si="35"/>
        <v>27853</v>
      </c>
      <c r="AD262" s="4" t="s">
        <v>900</v>
      </c>
      <c r="AE262" s="4" t="s">
        <v>901</v>
      </c>
      <c r="AF262" s="4" t="s">
        <v>882</v>
      </c>
    </row>
    <row r="263" spans="1:35" ht="54" x14ac:dyDescent="0.3">
      <c r="A263" s="25" t="s">
        <v>902</v>
      </c>
      <c r="B263" s="25" t="s">
        <v>827</v>
      </c>
      <c r="C263" s="26" t="s">
        <v>828</v>
      </c>
      <c r="D263" s="27"/>
      <c r="E263" s="27" t="s">
        <v>903</v>
      </c>
      <c r="F263" s="27" t="s">
        <v>64</v>
      </c>
      <c r="G263" s="28">
        <v>1</v>
      </c>
      <c r="H263" s="27"/>
      <c r="I263" s="28">
        <v>726.6</v>
      </c>
      <c r="J263" s="29">
        <f>IFERROR(ROUND(SUM(M264,M265)/I263, 2),0)</f>
        <v>59.32</v>
      </c>
      <c r="K263" s="29">
        <v>508</v>
      </c>
      <c r="L263" s="29">
        <f>J263+ROUND(K263, 2)</f>
        <v>567.32000000000005</v>
      </c>
      <c r="M263" s="29">
        <f>ROUND(J263*I263, 2)</f>
        <v>43101.91</v>
      </c>
      <c r="N263" s="29">
        <f>ROUND(I263*ROUND(K263, 2), 2)</f>
        <v>369112.8</v>
      </c>
      <c r="O263" s="29">
        <f>M263+N263</f>
        <v>412214.71</v>
      </c>
      <c r="P263" s="29">
        <f>IFERROR(ROUND(SUM(S264,S265)/I263, 2),0)</f>
        <v>59.32</v>
      </c>
      <c r="Q263" s="29">
        <v>508</v>
      </c>
      <c r="R263" s="29">
        <f>P263+ROUND(Q263, 2)</f>
        <v>567.32000000000005</v>
      </c>
      <c r="S263" s="29">
        <f>ROUND(P263*I263, 2)</f>
        <v>43101.91</v>
      </c>
      <c r="T263" s="29">
        <f>ROUND(I263*ROUND(Q263, 2), 2)</f>
        <v>369112.8</v>
      </c>
      <c r="U263" s="29">
        <f>S263+T263</f>
        <v>412214.71</v>
      </c>
      <c r="V263" s="9">
        <f>ROUND(P263 / 1.2, 2)</f>
        <v>49.43</v>
      </c>
      <c r="W263" s="9">
        <f>ROUND(Q263 / 1.2, 2)</f>
        <v>423.33</v>
      </c>
      <c r="X263" s="9">
        <f>ROUND(R263 / 1.2, 2)</f>
        <v>472.77</v>
      </c>
      <c r="Y263" s="9">
        <f t="shared" si="35"/>
        <v>35918.26</v>
      </c>
      <c r="Z263" s="9">
        <f>ROUND(T263 / 1.2, 2)</f>
        <v>307594</v>
      </c>
      <c r="AA263" s="9">
        <f>Y263+Z263</f>
        <v>343512.26</v>
      </c>
      <c r="AD263" s="4">
        <v>271132184</v>
      </c>
      <c r="AE263" s="4">
        <v>19976877</v>
      </c>
      <c r="AG263" s="4" t="s">
        <v>830</v>
      </c>
      <c r="AH263" s="4" t="s">
        <v>831</v>
      </c>
      <c r="AI263" s="4" t="s">
        <v>67</v>
      </c>
    </row>
    <row r="264" spans="1:35" ht="36" x14ac:dyDescent="0.3">
      <c r="A264" s="25" t="s">
        <v>904</v>
      </c>
      <c r="B264" s="25"/>
      <c r="C264" s="30" t="s">
        <v>433</v>
      </c>
      <c r="D264" s="27"/>
      <c r="E264" s="27"/>
      <c r="F264" s="31" t="s">
        <v>70</v>
      </c>
      <c r="G264" s="32">
        <v>0.15</v>
      </c>
      <c r="H264" s="27"/>
      <c r="I264" s="32">
        <v>108.99</v>
      </c>
      <c r="J264" s="34">
        <v>88.8</v>
      </c>
      <c r="K264" s="35"/>
      <c r="L264" s="35"/>
      <c r="M264" s="34">
        <f>ROUND(ROUND(J264, 2)*I264, 2)</f>
        <v>9678.31</v>
      </c>
      <c r="N264" s="35"/>
      <c r="O264" s="35"/>
      <c r="P264" s="34">
        <v>88.8</v>
      </c>
      <c r="Q264" s="35"/>
      <c r="R264" s="35"/>
      <c r="S264" s="34">
        <f>ROUND(ROUND(P264, 2)*I264, 2)</f>
        <v>9678.31</v>
      </c>
      <c r="T264" s="35"/>
      <c r="U264" s="36"/>
      <c r="V264" s="9">
        <f>ROUND(ROUND(P264, 2)/1.2, 2)</f>
        <v>74</v>
      </c>
      <c r="Y264" s="9">
        <f t="shared" si="35"/>
        <v>8065.26</v>
      </c>
      <c r="AD264" s="4" t="s">
        <v>905</v>
      </c>
      <c r="AE264" s="4" t="s">
        <v>906</v>
      </c>
      <c r="AF264" s="4" t="s">
        <v>436</v>
      </c>
    </row>
    <row r="265" spans="1:35" ht="18" x14ac:dyDescent="0.3">
      <c r="A265" s="25" t="s">
        <v>907</v>
      </c>
      <c r="B265" s="25"/>
      <c r="C265" s="30" t="s">
        <v>879</v>
      </c>
      <c r="D265" s="27"/>
      <c r="E265" s="27"/>
      <c r="F265" s="31" t="s">
        <v>70</v>
      </c>
      <c r="G265" s="32">
        <v>2</v>
      </c>
      <c r="H265" s="27"/>
      <c r="I265" s="32">
        <v>1453.2</v>
      </c>
      <c r="J265" s="34">
        <v>23</v>
      </c>
      <c r="K265" s="35"/>
      <c r="L265" s="35"/>
      <c r="M265" s="34">
        <f>ROUND(ROUND(J265, 2)*I265, 2)</f>
        <v>33423.599999999999</v>
      </c>
      <c r="N265" s="35"/>
      <c r="O265" s="35"/>
      <c r="P265" s="34">
        <v>23</v>
      </c>
      <c r="Q265" s="35"/>
      <c r="R265" s="35"/>
      <c r="S265" s="34">
        <f>ROUND(ROUND(P265, 2)*I265, 2)</f>
        <v>33423.599999999999</v>
      </c>
      <c r="T265" s="35"/>
      <c r="U265" s="36"/>
      <c r="V265" s="9">
        <f>ROUND(ROUND(P265, 2)/1.2, 2)</f>
        <v>19.170000000000002</v>
      </c>
      <c r="Y265" s="9">
        <f t="shared" si="35"/>
        <v>27853</v>
      </c>
      <c r="AD265" s="4" t="s">
        <v>908</v>
      </c>
      <c r="AE265" s="4" t="s">
        <v>909</v>
      </c>
      <c r="AF265" s="4" t="s">
        <v>882</v>
      </c>
    </row>
    <row r="266" spans="1:35" ht="36" x14ac:dyDescent="0.3">
      <c r="A266" s="25" t="s">
        <v>910</v>
      </c>
      <c r="B266" s="25" t="s">
        <v>827</v>
      </c>
      <c r="C266" s="26" t="s">
        <v>828</v>
      </c>
      <c r="D266" s="27"/>
      <c r="E266" s="27" t="s">
        <v>911</v>
      </c>
      <c r="F266" s="27" t="s">
        <v>64</v>
      </c>
      <c r="G266" s="28">
        <v>1</v>
      </c>
      <c r="H266" s="27"/>
      <c r="I266" s="28">
        <v>8128.4</v>
      </c>
      <c r="J266" s="29">
        <f>IFERROR(ROUND(SUM(M267,M268)/I266, 2),0)</f>
        <v>36.18</v>
      </c>
      <c r="K266" s="29">
        <v>508</v>
      </c>
      <c r="L266" s="29">
        <f>J266+ROUND(K266, 2)</f>
        <v>544.17999999999995</v>
      </c>
      <c r="M266" s="29">
        <f>ROUND(J266*I266, 2)</f>
        <v>294085.51</v>
      </c>
      <c r="N266" s="29">
        <f>ROUND(I266*ROUND(K266, 2), 2)</f>
        <v>4129227.2</v>
      </c>
      <c r="O266" s="29">
        <f>M266+N266</f>
        <v>4423312.71</v>
      </c>
      <c r="P266" s="29">
        <f>IFERROR(ROUND(SUM(S267,S268)/I266, 2),0)</f>
        <v>36.18</v>
      </c>
      <c r="Q266" s="29">
        <v>508</v>
      </c>
      <c r="R266" s="29">
        <f>P266+ROUND(Q266, 2)</f>
        <v>544.17999999999995</v>
      </c>
      <c r="S266" s="29">
        <f>ROUND(P266*I266, 2)</f>
        <v>294085.51</v>
      </c>
      <c r="T266" s="29">
        <f>ROUND(I266*ROUND(Q266, 2), 2)</f>
        <v>4129227.2</v>
      </c>
      <c r="U266" s="29">
        <f>S266+T266</f>
        <v>4423312.71</v>
      </c>
      <c r="V266" s="9">
        <f>ROUND(P266 / 1.2, 2)</f>
        <v>30.15</v>
      </c>
      <c r="W266" s="9">
        <f>ROUND(Q266 / 1.2, 2)</f>
        <v>423.33</v>
      </c>
      <c r="X266" s="9">
        <f>ROUND(R266 / 1.2, 2)</f>
        <v>453.48</v>
      </c>
      <c r="Y266" s="9">
        <f t="shared" si="35"/>
        <v>245071.26</v>
      </c>
      <c r="Z266" s="9">
        <f>ROUND(T266 / 1.2, 2)</f>
        <v>3441022.67</v>
      </c>
      <c r="AA266" s="9">
        <f>Y266+Z266</f>
        <v>3686093.93</v>
      </c>
      <c r="AD266" s="4">
        <v>271132304</v>
      </c>
      <c r="AE266" s="4">
        <v>20421042</v>
      </c>
      <c r="AG266" s="4" t="s">
        <v>830</v>
      </c>
      <c r="AH266" s="4" t="s">
        <v>831</v>
      </c>
      <c r="AI266" s="4" t="s">
        <v>67</v>
      </c>
    </row>
    <row r="267" spans="1:35" ht="36" x14ac:dyDescent="0.3">
      <c r="A267" s="25" t="s">
        <v>912</v>
      </c>
      <c r="B267" s="25"/>
      <c r="C267" s="30" t="s">
        <v>433</v>
      </c>
      <c r="D267" s="27"/>
      <c r="E267" s="27"/>
      <c r="F267" s="31" t="s">
        <v>70</v>
      </c>
      <c r="G267" s="32">
        <v>0.15</v>
      </c>
      <c r="H267" s="27"/>
      <c r="I267" s="32">
        <v>1219.26</v>
      </c>
      <c r="J267" s="34">
        <v>88.8</v>
      </c>
      <c r="K267" s="35"/>
      <c r="L267" s="35"/>
      <c r="M267" s="34">
        <f>ROUND(ROUND(J267, 2)*I267, 2)</f>
        <v>108270.29</v>
      </c>
      <c r="N267" s="35"/>
      <c r="O267" s="35"/>
      <c r="P267" s="34">
        <v>88.8</v>
      </c>
      <c r="Q267" s="35"/>
      <c r="R267" s="35"/>
      <c r="S267" s="34">
        <f>ROUND(ROUND(P267, 2)*I267, 2)</f>
        <v>108270.29</v>
      </c>
      <c r="T267" s="35"/>
      <c r="U267" s="36"/>
      <c r="V267" s="9">
        <f>ROUND(ROUND(P267, 2)/1.2, 2)</f>
        <v>74</v>
      </c>
      <c r="Y267" s="9">
        <f t="shared" si="35"/>
        <v>90225.24</v>
      </c>
      <c r="AD267" s="4" t="s">
        <v>913</v>
      </c>
      <c r="AE267" s="4" t="s">
        <v>914</v>
      </c>
      <c r="AF267" s="4" t="s">
        <v>436</v>
      </c>
    </row>
    <row r="268" spans="1:35" ht="36" x14ac:dyDescent="0.3">
      <c r="A268" s="25" t="s">
        <v>915</v>
      </c>
      <c r="B268" s="25"/>
      <c r="C268" s="17" t="s">
        <v>740</v>
      </c>
      <c r="D268" s="27"/>
      <c r="E268" s="27"/>
      <c r="F268" s="31" t="s">
        <v>70</v>
      </c>
      <c r="G268" s="32">
        <v>1.8</v>
      </c>
      <c r="H268" s="27"/>
      <c r="I268" s="32">
        <v>14631.12</v>
      </c>
      <c r="J268" s="34">
        <v>12.7</v>
      </c>
      <c r="K268" s="35"/>
      <c r="L268" s="35"/>
      <c r="M268" s="34">
        <f>ROUND(ROUND(J268, 2)*I268, 2)</f>
        <v>185815.22</v>
      </c>
      <c r="N268" s="35"/>
      <c r="O268" s="35"/>
      <c r="P268" s="34">
        <v>12.7</v>
      </c>
      <c r="Q268" s="35"/>
      <c r="R268" s="35"/>
      <c r="S268" s="34">
        <f>ROUND(ROUND(P268, 2)*I268, 2)</f>
        <v>185815.22</v>
      </c>
      <c r="T268" s="35"/>
      <c r="U268" s="36"/>
      <c r="V268" s="9">
        <f>ROUND(ROUND(P268, 2)/1.2, 2)</f>
        <v>10.58</v>
      </c>
      <c r="Y268" s="9">
        <f t="shared" si="35"/>
        <v>154846.01999999999</v>
      </c>
      <c r="AD268" s="4" t="s">
        <v>916</v>
      </c>
      <c r="AE268" s="4" t="s">
        <v>917</v>
      </c>
      <c r="AF268" s="4" t="s">
        <v>789</v>
      </c>
    </row>
    <row r="269" spans="1:35" ht="36" x14ac:dyDescent="0.3">
      <c r="A269" s="25" t="s">
        <v>918</v>
      </c>
      <c r="B269" s="25" t="s">
        <v>827</v>
      </c>
      <c r="C269" s="26" t="s">
        <v>828</v>
      </c>
      <c r="D269" s="27"/>
      <c r="E269" s="27" t="s">
        <v>919</v>
      </c>
      <c r="F269" s="27" t="s">
        <v>64</v>
      </c>
      <c r="G269" s="28">
        <v>1</v>
      </c>
      <c r="H269" s="27"/>
      <c r="I269" s="28">
        <v>7374</v>
      </c>
      <c r="J269" s="29">
        <f>IFERROR(ROUND(SUM(M270,M271)/I269, 2),0)</f>
        <v>36.18</v>
      </c>
      <c r="K269" s="29">
        <v>508</v>
      </c>
      <c r="L269" s="29">
        <f>J269+ROUND(K269, 2)</f>
        <v>544.17999999999995</v>
      </c>
      <c r="M269" s="29">
        <f>ROUND(J269*I269, 2)</f>
        <v>266791.32</v>
      </c>
      <c r="N269" s="29">
        <f>ROUND(I269*ROUND(K269, 2), 2)</f>
        <v>3745992</v>
      </c>
      <c r="O269" s="29">
        <f>M269+N269</f>
        <v>4012783.32</v>
      </c>
      <c r="P269" s="29">
        <f>IFERROR(ROUND(SUM(S270,S271)/I269, 2),0)</f>
        <v>36.18</v>
      </c>
      <c r="Q269" s="29">
        <v>508</v>
      </c>
      <c r="R269" s="29">
        <f>P269+ROUND(Q269, 2)</f>
        <v>544.17999999999995</v>
      </c>
      <c r="S269" s="29">
        <f>ROUND(P269*I269, 2)</f>
        <v>266791.32</v>
      </c>
      <c r="T269" s="29">
        <f>ROUND(I269*ROUND(Q269, 2), 2)</f>
        <v>3745992</v>
      </c>
      <c r="U269" s="29">
        <f>S269+T269</f>
        <v>4012783.32</v>
      </c>
      <c r="V269" s="9">
        <f>ROUND(P269 / 1.2, 2)</f>
        <v>30.15</v>
      </c>
      <c r="W269" s="9">
        <f>ROUND(Q269 / 1.2, 2)</f>
        <v>423.33</v>
      </c>
      <c r="X269" s="9">
        <f>ROUND(R269 / 1.2, 2)</f>
        <v>453.48</v>
      </c>
      <c r="Y269" s="9">
        <f t="shared" si="35"/>
        <v>222326.1</v>
      </c>
      <c r="Z269" s="9">
        <f>ROUND(T269 / 1.2, 2)</f>
        <v>3121660</v>
      </c>
      <c r="AA269" s="9">
        <f>Y269+Z269</f>
        <v>3343986.1</v>
      </c>
      <c r="AD269" s="4">
        <v>271132305</v>
      </c>
      <c r="AE269" s="4">
        <v>20421047</v>
      </c>
      <c r="AG269" s="4" t="s">
        <v>830</v>
      </c>
      <c r="AH269" s="4" t="s">
        <v>831</v>
      </c>
      <c r="AI269" s="4" t="s">
        <v>67</v>
      </c>
    </row>
    <row r="270" spans="1:35" ht="36" x14ac:dyDescent="0.3">
      <c r="A270" s="25" t="s">
        <v>920</v>
      </c>
      <c r="B270" s="25"/>
      <c r="C270" s="30" t="s">
        <v>433</v>
      </c>
      <c r="D270" s="27"/>
      <c r="E270" s="27"/>
      <c r="F270" s="31" t="s">
        <v>70</v>
      </c>
      <c r="G270" s="32">
        <v>0.15</v>
      </c>
      <c r="H270" s="27"/>
      <c r="I270" s="32">
        <v>1106.0999999999999</v>
      </c>
      <c r="J270" s="34">
        <v>88.8</v>
      </c>
      <c r="K270" s="35"/>
      <c r="L270" s="35"/>
      <c r="M270" s="34">
        <f>ROUND(ROUND(J270, 2)*I270, 2)</f>
        <v>98221.68</v>
      </c>
      <c r="N270" s="35"/>
      <c r="O270" s="35"/>
      <c r="P270" s="34">
        <v>88.8</v>
      </c>
      <c r="Q270" s="35"/>
      <c r="R270" s="35"/>
      <c r="S270" s="34">
        <f>ROUND(ROUND(P270, 2)*I270, 2)</f>
        <v>98221.68</v>
      </c>
      <c r="T270" s="35"/>
      <c r="U270" s="36"/>
      <c r="V270" s="9">
        <f>ROUND(ROUND(P270, 2)/1.2, 2)</f>
        <v>74</v>
      </c>
      <c r="Y270" s="9">
        <f t="shared" si="35"/>
        <v>81851.399999999994</v>
      </c>
      <c r="AD270" s="4" t="s">
        <v>921</v>
      </c>
      <c r="AE270" s="4" t="s">
        <v>922</v>
      </c>
      <c r="AF270" s="4" t="s">
        <v>436</v>
      </c>
    </row>
    <row r="271" spans="1:35" ht="36" x14ac:dyDescent="0.3">
      <c r="A271" s="25" t="s">
        <v>923</v>
      </c>
      <c r="B271" s="25"/>
      <c r="C271" s="17" t="s">
        <v>740</v>
      </c>
      <c r="D271" s="27"/>
      <c r="E271" s="27"/>
      <c r="F271" s="31" t="s">
        <v>70</v>
      </c>
      <c r="G271" s="32">
        <v>1.8</v>
      </c>
      <c r="H271" s="27"/>
      <c r="I271" s="32">
        <v>13273.2</v>
      </c>
      <c r="J271" s="34">
        <v>12.7</v>
      </c>
      <c r="K271" s="35"/>
      <c r="L271" s="35"/>
      <c r="M271" s="34">
        <f>ROUND(ROUND(J271, 2)*I271, 2)</f>
        <v>168569.64</v>
      </c>
      <c r="N271" s="35"/>
      <c r="O271" s="35"/>
      <c r="P271" s="34">
        <v>12.7</v>
      </c>
      <c r="Q271" s="35"/>
      <c r="R271" s="35"/>
      <c r="S271" s="34">
        <f>ROUND(ROUND(P271, 2)*I271, 2)</f>
        <v>168569.64</v>
      </c>
      <c r="T271" s="35"/>
      <c r="U271" s="36"/>
      <c r="V271" s="9">
        <f>ROUND(ROUND(P271, 2)/1.2, 2)</f>
        <v>10.58</v>
      </c>
      <c r="Y271" s="9">
        <f t="shared" si="35"/>
        <v>140474.70000000001</v>
      </c>
      <c r="AD271" s="4" t="s">
        <v>924</v>
      </c>
      <c r="AE271" s="4" t="s">
        <v>925</v>
      </c>
      <c r="AF271" s="4" t="s">
        <v>789</v>
      </c>
    </row>
    <row r="272" spans="1:35" ht="36" x14ac:dyDescent="0.3">
      <c r="A272" s="25" t="s">
        <v>926</v>
      </c>
      <c r="B272" s="25" t="s">
        <v>827</v>
      </c>
      <c r="C272" s="26" t="s">
        <v>828</v>
      </c>
      <c r="D272" s="27"/>
      <c r="E272" s="27" t="s">
        <v>927</v>
      </c>
      <c r="F272" s="27" t="s">
        <v>64</v>
      </c>
      <c r="G272" s="28">
        <v>1</v>
      </c>
      <c r="H272" s="27"/>
      <c r="I272" s="28">
        <v>982.8</v>
      </c>
      <c r="J272" s="29">
        <f>IFERROR(ROUND(SUM(M273,M274)/I272, 2),0)</f>
        <v>59.32</v>
      </c>
      <c r="K272" s="29">
        <v>508</v>
      </c>
      <c r="L272" s="29">
        <f>J272+ROUND(K272, 2)</f>
        <v>567.32000000000005</v>
      </c>
      <c r="M272" s="29">
        <f>ROUND(J272*I272, 2)</f>
        <v>58299.7</v>
      </c>
      <c r="N272" s="29">
        <f>ROUND(I272*ROUND(K272, 2), 2)</f>
        <v>499262.4</v>
      </c>
      <c r="O272" s="29">
        <f>M272+N272</f>
        <v>557562.1</v>
      </c>
      <c r="P272" s="29">
        <f>IFERROR(ROUND(SUM(S273,S274)/I272, 2),0)</f>
        <v>59.32</v>
      </c>
      <c r="Q272" s="29">
        <v>508</v>
      </c>
      <c r="R272" s="29">
        <f>P272+ROUND(Q272, 2)</f>
        <v>567.32000000000005</v>
      </c>
      <c r="S272" s="29">
        <f>ROUND(P272*I272, 2)</f>
        <v>58299.7</v>
      </c>
      <c r="T272" s="29">
        <f>ROUND(I272*ROUND(Q272, 2), 2)</f>
        <v>499262.4</v>
      </c>
      <c r="U272" s="29">
        <f>S272+T272</f>
        <v>557562.1</v>
      </c>
      <c r="V272" s="9">
        <f>ROUND(P272 / 1.2, 2)</f>
        <v>49.43</v>
      </c>
      <c r="W272" s="9">
        <f>ROUND(Q272 / 1.2, 2)</f>
        <v>423.33</v>
      </c>
      <c r="X272" s="9">
        <f>ROUND(R272 / 1.2, 2)</f>
        <v>472.77</v>
      </c>
      <c r="Y272" s="9">
        <f t="shared" si="35"/>
        <v>48583.08</v>
      </c>
      <c r="Z272" s="9">
        <f>ROUND(T272 / 1.2, 2)</f>
        <v>416052</v>
      </c>
      <c r="AA272" s="9">
        <f>Y272+Z272</f>
        <v>464635.08</v>
      </c>
      <c r="AD272" s="4">
        <v>271132306</v>
      </c>
      <c r="AE272" s="4">
        <v>20421041</v>
      </c>
      <c r="AG272" s="4" t="s">
        <v>830</v>
      </c>
      <c r="AH272" s="4" t="s">
        <v>831</v>
      </c>
      <c r="AI272" s="4" t="s">
        <v>67</v>
      </c>
    </row>
    <row r="273" spans="1:35" ht="36" x14ac:dyDescent="0.3">
      <c r="A273" s="25" t="s">
        <v>928</v>
      </c>
      <c r="B273" s="25"/>
      <c r="C273" s="30" t="s">
        <v>433</v>
      </c>
      <c r="D273" s="27"/>
      <c r="E273" s="27"/>
      <c r="F273" s="31" t="s">
        <v>70</v>
      </c>
      <c r="G273" s="32">
        <v>0.15</v>
      </c>
      <c r="H273" s="27"/>
      <c r="I273" s="32">
        <v>147.41999999999999</v>
      </c>
      <c r="J273" s="34">
        <v>88.8</v>
      </c>
      <c r="K273" s="35"/>
      <c r="L273" s="35"/>
      <c r="M273" s="34">
        <f>ROUND(ROUND(J273, 2)*I273, 2)</f>
        <v>13090.9</v>
      </c>
      <c r="N273" s="35"/>
      <c r="O273" s="35"/>
      <c r="P273" s="34">
        <v>88.8</v>
      </c>
      <c r="Q273" s="35"/>
      <c r="R273" s="35"/>
      <c r="S273" s="34">
        <f>ROUND(ROUND(P273, 2)*I273, 2)</f>
        <v>13090.9</v>
      </c>
      <c r="T273" s="35"/>
      <c r="U273" s="36"/>
      <c r="V273" s="9">
        <f>ROUND(ROUND(P273, 2)/1.2, 2)</f>
        <v>74</v>
      </c>
      <c r="Y273" s="9">
        <f t="shared" si="35"/>
        <v>10909.08</v>
      </c>
      <c r="AD273" s="4" t="s">
        <v>929</v>
      </c>
      <c r="AE273" s="4" t="s">
        <v>930</v>
      </c>
      <c r="AF273" s="4" t="s">
        <v>436</v>
      </c>
    </row>
    <row r="274" spans="1:35" ht="18" x14ac:dyDescent="0.3">
      <c r="A274" s="25" t="s">
        <v>931</v>
      </c>
      <c r="B274" s="25"/>
      <c r="C274" s="30" t="s">
        <v>879</v>
      </c>
      <c r="D274" s="27"/>
      <c r="E274" s="27"/>
      <c r="F274" s="31" t="s">
        <v>70</v>
      </c>
      <c r="G274" s="32">
        <v>2</v>
      </c>
      <c r="H274" s="27"/>
      <c r="I274" s="32">
        <v>1965.6</v>
      </c>
      <c r="J274" s="34">
        <v>23</v>
      </c>
      <c r="K274" s="35"/>
      <c r="L274" s="35"/>
      <c r="M274" s="34">
        <f>ROUND(ROUND(J274, 2)*I274, 2)</f>
        <v>45208.800000000003</v>
      </c>
      <c r="N274" s="35"/>
      <c r="O274" s="35"/>
      <c r="P274" s="34">
        <v>23</v>
      </c>
      <c r="Q274" s="35"/>
      <c r="R274" s="35"/>
      <c r="S274" s="34">
        <f>ROUND(ROUND(P274, 2)*I274, 2)</f>
        <v>45208.800000000003</v>
      </c>
      <c r="T274" s="35"/>
      <c r="U274" s="36"/>
      <c r="V274" s="9">
        <f>ROUND(ROUND(P274, 2)/1.2, 2)</f>
        <v>19.170000000000002</v>
      </c>
      <c r="Y274" s="9">
        <f t="shared" si="35"/>
        <v>37674</v>
      </c>
      <c r="AD274" s="4" t="s">
        <v>932</v>
      </c>
      <c r="AE274" s="4" t="s">
        <v>933</v>
      </c>
      <c r="AF274" s="4" t="s">
        <v>882</v>
      </c>
    </row>
    <row r="275" spans="1:35" ht="36" x14ac:dyDescent="0.3">
      <c r="A275" s="25" t="s">
        <v>934</v>
      </c>
      <c r="B275" s="25" t="s">
        <v>827</v>
      </c>
      <c r="C275" s="26" t="s">
        <v>828</v>
      </c>
      <c r="D275" s="27"/>
      <c r="E275" s="27" t="s">
        <v>892</v>
      </c>
      <c r="F275" s="27" t="s">
        <v>64</v>
      </c>
      <c r="G275" s="28">
        <v>1</v>
      </c>
      <c r="H275" s="27"/>
      <c r="I275" s="28">
        <v>726.6</v>
      </c>
      <c r="J275" s="29">
        <f>IFERROR(ROUND(SUM(M276,M277)/I275, 2),0)</f>
        <v>59.32</v>
      </c>
      <c r="K275" s="29">
        <v>508</v>
      </c>
      <c r="L275" s="29">
        <f>J275+ROUND(K275, 2)</f>
        <v>567.32000000000005</v>
      </c>
      <c r="M275" s="29">
        <f>ROUND(J275*I275, 2)</f>
        <v>43101.91</v>
      </c>
      <c r="N275" s="29">
        <f>ROUND(I275*ROUND(K275, 2), 2)</f>
        <v>369112.8</v>
      </c>
      <c r="O275" s="29">
        <f>M275+N275</f>
        <v>412214.71</v>
      </c>
      <c r="P275" s="29">
        <f>IFERROR(ROUND(SUM(S276,S277)/I275, 2),0)</f>
        <v>59.32</v>
      </c>
      <c r="Q275" s="29">
        <v>508</v>
      </c>
      <c r="R275" s="29">
        <f>P275+ROUND(Q275, 2)</f>
        <v>567.32000000000005</v>
      </c>
      <c r="S275" s="29">
        <f>ROUND(P275*I275, 2)</f>
        <v>43101.91</v>
      </c>
      <c r="T275" s="29">
        <f>ROUND(I275*ROUND(Q275, 2), 2)</f>
        <v>369112.8</v>
      </c>
      <c r="U275" s="29">
        <f>S275+T275</f>
        <v>412214.71</v>
      </c>
      <c r="V275" s="9">
        <f>ROUND(P275 / 1.2, 2)</f>
        <v>49.43</v>
      </c>
      <c r="W275" s="9">
        <f>ROUND(Q275 / 1.2, 2)</f>
        <v>423.33</v>
      </c>
      <c r="X275" s="9">
        <f>ROUND(R275 / 1.2, 2)</f>
        <v>472.77</v>
      </c>
      <c r="Y275" s="9">
        <f t="shared" si="35"/>
        <v>35918.26</v>
      </c>
      <c r="Z275" s="9">
        <f>ROUND(T275 / 1.2, 2)</f>
        <v>307594</v>
      </c>
      <c r="AA275" s="9">
        <f>Y275+Z275</f>
        <v>343512.26</v>
      </c>
      <c r="AD275" s="4">
        <v>271132307</v>
      </c>
      <c r="AE275" s="4">
        <v>20421051</v>
      </c>
      <c r="AG275" s="4" t="s">
        <v>830</v>
      </c>
      <c r="AH275" s="4" t="s">
        <v>831</v>
      </c>
      <c r="AI275" s="4" t="s">
        <v>67</v>
      </c>
    </row>
    <row r="276" spans="1:35" ht="36" x14ac:dyDescent="0.3">
      <c r="A276" s="25" t="s">
        <v>935</v>
      </c>
      <c r="B276" s="25"/>
      <c r="C276" s="30" t="s">
        <v>433</v>
      </c>
      <c r="D276" s="27"/>
      <c r="E276" s="27"/>
      <c r="F276" s="31" t="s">
        <v>70</v>
      </c>
      <c r="G276" s="32">
        <v>0.15</v>
      </c>
      <c r="H276" s="27"/>
      <c r="I276" s="32">
        <v>108.99</v>
      </c>
      <c r="J276" s="34">
        <v>88.8</v>
      </c>
      <c r="K276" s="35"/>
      <c r="L276" s="35"/>
      <c r="M276" s="34">
        <f>ROUND(ROUND(J276, 2)*I276, 2)</f>
        <v>9678.31</v>
      </c>
      <c r="N276" s="35"/>
      <c r="O276" s="35"/>
      <c r="P276" s="34">
        <v>88.8</v>
      </c>
      <c r="Q276" s="35"/>
      <c r="R276" s="35"/>
      <c r="S276" s="34">
        <f>ROUND(ROUND(P276, 2)*I276, 2)</f>
        <v>9678.31</v>
      </c>
      <c r="T276" s="35"/>
      <c r="U276" s="36"/>
      <c r="V276" s="9">
        <f>ROUND(ROUND(P276, 2)/1.2, 2)</f>
        <v>74</v>
      </c>
      <c r="Y276" s="9">
        <f t="shared" si="35"/>
        <v>8065.26</v>
      </c>
      <c r="AD276" s="4" t="s">
        <v>936</v>
      </c>
      <c r="AE276" s="4" t="s">
        <v>937</v>
      </c>
      <c r="AF276" s="4" t="s">
        <v>436</v>
      </c>
    </row>
    <row r="277" spans="1:35" ht="18" x14ac:dyDescent="0.3">
      <c r="A277" s="25" t="s">
        <v>938</v>
      </c>
      <c r="B277" s="25"/>
      <c r="C277" s="30" t="s">
        <v>879</v>
      </c>
      <c r="D277" s="27"/>
      <c r="E277" s="27"/>
      <c r="F277" s="31" t="s">
        <v>70</v>
      </c>
      <c r="G277" s="32">
        <v>2</v>
      </c>
      <c r="H277" s="27"/>
      <c r="I277" s="32">
        <v>1453.2</v>
      </c>
      <c r="J277" s="34">
        <v>23</v>
      </c>
      <c r="K277" s="35"/>
      <c r="L277" s="35"/>
      <c r="M277" s="34">
        <f>ROUND(ROUND(J277, 2)*I277, 2)</f>
        <v>33423.599999999999</v>
      </c>
      <c r="N277" s="35"/>
      <c r="O277" s="35"/>
      <c r="P277" s="34">
        <v>23</v>
      </c>
      <c r="Q277" s="35"/>
      <c r="R277" s="35"/>
      <c r="S277" s="34">
        <f>ROUND(ROUND(P277, 2)*I277, 2)</f>
        <v>33423.599999999999</v>
      </c>
      <c r="T277" s="35"/>
      <c r="U277" s="36"/>
      <c r="V277" s="9">
        <f>ROUND(ROUND(P277, 2)/1.2, 2)</f>
        <v>19.170000000000002</v>
      </c>
      <c r="Y277" s="9">
        <f t="shared" si="35"/>
        <v>27853</v>
      </c>
      <c r="AD277" s="4" t="s">
        <v>939</v>
      </c>
      <c r="AE277" s="4" t="s">
        <v>940</v>
      </c>
      <c r="AF277" s="4" t="s">
        <v>882</v>
      </c>
    </row>
    <row r="278" spans="1:35" ht="72" x14ac:dyDescent="0.3">
      <c r="A278" s="37" t="s">
        <v>941</v>
      </c>
      <c r="B278" s="37" t="s">
        <v>942</v>
      </c>
      <c r="C278" s="38" t="s">
        <v>943</v>
      </c>
      <c r="D278" s="39"/>
      <c r="E278" s="39" t="s">
        <v>63</v>
      </c>
      <c r="F278" s="39" t="s">
        <v>64</v>
      </c>
      <c r="G278" s="40">
        <v>1</v>
      </c>
      <c r="H278" s="39"/>
      <c r="I278" s="41">
        <v>0</v>
      </c>
      <c r="J278" s="42">
        <f>IFERROR(ROUND(SUM(M280,M282,M284,M286)/I278, 2),0)</f>
        <v>0</v>
      </c>
      <c r="K278" s="42">
        <v>873</v>
      </c>
      <c r="L278" s="42">
        <f>J278+ROUND(K278, 2)</f>
        <v>873</v>
      </c>
      <c r="M278" s="42">
        <f>ROUND(J278*I278, 2)</f>
        <v>0</v>
      </c>
      <c r="N278" s="42">
        <f>ROUND(I278*ROUND(K278, 2), 2)</f>
        <v>0</v>
      </c>
      <c r="O278" s="42">
        <f>M278+N278</f>
        <v>0</v>
      </c>
      <c r="P278" s="42">
        <f>IFERROR(ROUND(SUM(S280,S282,S284,S286)/I278, 2),0)</f>
        <v>0</v>
      </c>
      <c r="Q278" s="42">
        <v>873</v>
      </c>
      <c r="R278" s="42">
        <f>P278+ROUND(Q278, 2)</f>
        <v>873</v>
      </c>
      <c r="S278" s="42">
        <f>ROUND(P278*I278, 2)</f>
        <v>0</v>
      </c>
      <c r="T278" s="42">
        <f>ROUND(I278*ROUND(Q278, 2), 2)</f>
        <v>0</v>
      </c>
      <c r="U278" s="42">
        <f>S278+T278</f>
        <v>0</v>
      </c>
      <c r="V278" s="9">
        <f>ROUND(P278 / 1.2, 2)</f>
        <v>0</v>
      </c>
      <c r="W278" s="9">
        <f>ROUND(Q278 / 1.2, 2)</f>
        <v>727.5</v>
      </c>
      <c r="X278" s="9">
        <f>ROUND(R278 / 1.2, 2)</f>
        <v>727.5</v>
      </c>
      <c r="Y278" s="9">
        <f t="shared" si="35"/>
        <v>0</v>
      </c>
      <c r="Z278" s="9">
        <f>ROUND(T278 / 1.2, 2)</f>
        <v>0</v>
      </c>
      <c r="AA278" s="9">
        <f>Y278+Z278</f>
        <v>0</v>
      </c>
      <c r="AD278" s="4">
        <v>271132105</v>
      </c>
      <c r="AE278" s="4">
        <v>16678913</v>
      </c>
      <c r="AG278" s="4" t="s">
        <v>944</v>
      </c>
      <c r="AH278" s="4" t="s">
        <v>945</v>
      </c>
      <c r="AI278" s="4" t="s">
        <v>67</v>
      </c>
    </row>
    <row r="279" spans="1:35" ht="72" x14ac:dyDescent="0.3">
      <c r="A279" s="43" t="s">
        <v>946</v>
      </c>
      <c r="B279" s="43" t="s">
        <v>942</v>
      </c>
      <c r="C279" s="44" t="s">
        <v>943</v>
      </c>
      <c r="D279" s="45"/>
      <c r="E279" s="45"/>
      <c r="F279" s="45" t="s">
        <v>64</v>
      </c>
      <c r="G279" s="46">
        <v>1</v>
      </c>
      <c r="H279" s="45"/>
      <c r="I279" s="46">
        <v>989.1</v>
      </c>
      <c r="J279" s="47">
        <v>0</v>
      </c>
      <c r="K279" s="47">
        <v>873</v>
      </c>
      <c r="L279" s="47"/>
      <c r="M279" s="47">
        <v>0</v>
      </c>
      <c r="N279" s="47"/>
      <c r="O279" s="47"/>
      <c r="P279" s="47">
        <v>0</v>
      </c>
      <c r="Q279" s="47">
        <v>873</v>
      </c>
      <c r="R279" s="47"/>
      <c r="S279" s="47">
        <v>0</v>
      </c>
      <c r="T279" s="47"/>
      <c r="U279" s="47"/>
      <c r="V279" s="9"/>
      <c r="W279" s="9">
        <f>ROUND(Q279 / 1.2, 2)</f>
        <v>727.5</v>
      </c>
      <c r="X279" s="9" t="e">
        <f>ROUND(R279 / 1.2, 2)</f>
        <v>#VALUE!</v>
      </c>
      <c r="Y279" s="9"/>
      <c r="Z279" s="9" t="e">
        <f>ROUND(T279 / 1.2, 2)</f>
        <v>#VALUE!</v>
      </c>
      <c r="AA279" s="9"/>
      <c r="AD279" s="4">
        <v>225331855</v>
      </c>
      <c r="AE279" s="4">
        <v>16678913</v>
      </c>
      <c r="AG279" s="4" t="s">
        <v>944</v>
      </c>
      <c r="AH279" s="4" t="s">
        <v>945</v>
      </c>
      <c r="AI279" s="4"/>
    </row>
    <row r="280" spans="1:35" ht="36" x14ac:dyDescent="0.3">
      <c r="A280" s="37" t="s">
        <v>947</v>
      </c>
      <c r="B280" s="37"/>
      <c r="C280" s="48" t="s">
        <v>948</v>
      </c>
      <c r="D280" s="39"/>
      <c r="E280" s="39" t="s">
        <v>949</v>
      </c>
      <c r="F280" s="49" t="s">
        <v>70</v>
      </c>
      <c r="G280" s="50">
        <v>1.3</v>
      </c>
      <c r="H280" s="39"/>
      <c r="I280" s="51">
        <v>0</v>
      </c>
      <c r="J280" s="52">
        <v>8.6</v>
      </c>
      <c r="K280" s="53"/>
      <c r="L280" s="53"/>
      <c r="M280" s="52">
        <f t="shared" ref="M280:M287" si="36">ROUND(ROUND(J280, 2)*I280, 2)</f>
        <v>0</v>
      </c>
      <c r="N280" s="53"/>
      <c r="O280" s="53"/>
      <c r="P280" s="52">
        <v>8.6</v>
      </c>
      <c r="Q280" s="53"/>
      <c r="R280" s="53"/>
      <c r="S280" s="52">
        <f t="shared" ref="S280:S287" si="37">ROUND(ROUND(P280, 2)*I280, 2)</f>
        <v>0</v>
      </c>
      <c r="T280" s="53"/>
      <c r="U280" s="54"/>
      <c r="V280" s="9">
        <f t="shared" ref="V280:V287" si="38">ROUND(ROUND(P280, 2)/1.2, 2)</f>
        <v>7.17</v>
      </c>
      <c r="Y280" s="9">
        <f t="shared" ref="Y280:Y323" si="39">ROUND(S280 / 1.2, 2)</f>
        <v>0</v>
      </c>
      <c r="AD280" s="4" t="s">
        <v>950</v>
      </c>
      <c r="AE280" s="4" t="s">
        <v>951</v>
      </c>
      <c r="AF280" s="4" t="s">
        <v>952</v>
      </c>
    </row>
    <row r="281" spans="1:35" ht="36" x14ac:dyDescent="0.3">
      <c r="A281" s="43" t="s">
        <v>953</v>
      </c>
      <c r="B281" s="43"/>
      <c r="C281" s="55" t="s">
        <v>948</v>
      </c>
      <c r="D281" s="45"/>
      <c r="E281" s="45" t="s">
        <v>949</v>
      </c>
      <c r="F281" s="56" t="s">
        <v>70</v>
      </c>
      <c r="G281" s="57">
        <v>1.3</v>
      </c>
      <c r="H281" s="45"/>
      <c r="I281" s="58">
        <v>25716.6</v>
      </c>
      <c r="J281" s="59">
        <v>8.6</v>
      </c>
      <c r="K281" s="60"/>
      <c r="L281" s="60"/>
      <c r="M281" s="59">
        <f t="shared" si="36"/>
        <v>221162.76</v>
      </c>
      <c r="N281" s="60"/>
      <c r="O281" s="60"/>
      <c r="P281" s="59">
        <v>8.6</v>
      </c>
      <c r="Q281" s="60"/>
      <c r="R281" s="60"/>
      <c r="S281" s="59">
        <f t="shared" si="37"/>
        <v>221162.76</v>
      </c>
      <c r="T281" s="60"/>
      <c r="U281" s="61"/>
      <c r="V281" s="9">
        <f t="shared" si="38"/>
        <v>7.17</v>
      </c>
      <c r="Y281" s="9">
        <f t="shared" si="39"/>
        <v>184302.3</v>
      </c>
      <c r="AD281" s="4" t="s">
        <v>954</v>
      </c>
      <c r="AE281" s="4" t="s">
        <v>951</v>
      </c>
      <c r="AF281" s="4" t="s">
        <v>952</v>
      </c>
    </row>
    <row r="282" spans="1:35" ht="18" x14ac:dyDescent="0.3">
      <c r="A282" s="37" t="s">
        <v>955</v>
      </c>
      <c r="B282" s="37"/>
      <c r="C282" s="48" t="s">
        <v>956</v>
      </c>
      <c r="D282" s="39"/>
      <c r="E282" s="39"/>
      <c r="F282" s="49" t="s">
        <v>64</v>
      </c>
      <c r="G282" s="50">
        <v>1.1000000000000001</v>
      </c>
      <c r="H282" s="39"/>
      <c r="I282" s="62">
        <v>0</v>
      </c>
      <c r="J282" s="52">
        <v>26</v>
      </c>
      <c r="K282" s="53"/>
      <c r="L282" s="53"/>
      <c r="M282" s="52">
        <f t="shared" si="36"/>
        <v>0</v>
      </c>
      <c r="N282" s="53"/>
      <c r="O282" s="53"/>
      <c r="P282" s="52">
        <v>26</v>
      </c>
      <c r="Q282" s="53"/>
      <c r="R282" s="53"/>
      <c r="S282" s="52">
        <f t="shared" si="37"/>
        <v>0</v>
      </c>
      <c r="T282" s="53"/>
      <c r="U282" s="54"/>
      <c r="V282" s="9">
        <f t="shared" si="38"/>
        <v>21.67</v>
      </c>
      <c r="Y282" s="9">
        <f t="shared" si="39"/>
        <v>0</v>
      </c>
      <c r="AD282" s="4" t="s">
        <v>957</v>
      </c>
      <c r="AE282" s="4" t="s">
        <v>958</v>
      </c>
      <c r="AF282" s="4" t="s">
        <v>959</v>
      </c>
    </row>
    <row r="283" spans="1:35" ht="18" x14ac:dyDescent="0.3">
      <c r="A283" s="43" t="s">
        <v>960</v>
      </c>
      <c r="B283" s="43"/>
      <c r="C283" s="55" t="s">
        <v>956</v>
      </c>
      <c r="D283" s="45"/>
      <c r="E283" s="45"/>
      <c r="F283" s="56" t="s">
        <v>64</v>
      </c>
      <c r="G283" s="57">
        <v>1.1000000000000001</v>
      </c>
      <c r="H283" s="45"/>
      <c r="I283" s="57">
        <v>1088.01</v>
      </c>
      <c r="J283" s="59">
        <v>26</v>
      </c>
      <c r="K283" s="60"/>
      <c r="L283" s="60"/>
      <c r="M283" s="59">
        <f t="shared" si="36"/>
        <v>28288.26</v>
      </c>
      <c r="N283" s="60"/>
      <c r="O283" s="60"/>
      <c r="P283" s="59">
        <v>26</v>
      </c>
      <c r="Q283" s="60"/>
      <c r="R283" s="60"/>
      <c r="S283" s="59">
        <f t="shared" si="37"/>
        <v>28288.26</v>
      </c>
      <c r="T283" s="60"/>
      <c r="U283" s="61"/>
      <c r="V283" s="9">
        <f t="shared" si="38"/>
        <v>21.67</v>
      </c>
      <c r="Y283" s="9">
        <f t="shared" si="39"/>
        <v>23573.55</v>
      </c>
      <c r="AD283" s="4" t="s">
        <v>961</v>
      </c>
      <c r="AE283" s="4" t="s">
        <v>958</v>
      </c>
      <c r="AF283" s="4" t="s">
        <v>959</v>
      </c>
    </row>
    <row r="284" spans="1:35" ht="18" x14ac:dyDescent="0.3">
      <c r="A284" s="37" t="s">
        <v>962</v>
      </c>
      <c r="B284" s="37"/>
      <c r="C284" s="48" t="s">
        <v>771</v>
      </c>
      <c r="D284" s="39"/>
      <c r="E284" s="39"/>
      <c r="F284" s="49" t="s">
        <v>87</v>
      </c>
      <c r="G284" s="50">
        <v>1</v>
      </c>
      <c r="H284" s="39"/>
      <c r="I284" s="51">
        <v>0</v>
      </c>
      <c r="J284" s="52">
        <v>15.76</v>
      </c>
      <c r="K284" s="53"/>
      <c r="L284" s="53"/>
      <c r="M284" s="52">
        <f t="shared" si="36"/>
        <v>0</v>
      </c>
      <c r="N284" s="53"/>
      <c r="O284" s="53"/>
      <c r="P284" s="52">
        <v>15.76</v>
      </c>
      <c r="Q284" s="53"/>
      <c r="R284" s="53"/>
      <c r="S284" s="52">
        <f t="shared" si="37"/>
        <v>0</v>
      </c>
      <c r="T284" s="53"/>
      <c r="U284" s="54"/>
      <c r="V284" s="9">
        <f t="shared" si="38"/>
        <v>13.13</v>
      </c>
      <c r="Y284" s="9">
        <f t="shared" si="39"/>
        <v>0</v>
      </c>
      <c r="AD284" s="4" t="s">
        <v>963</v>
      </c>
      <c r="AE284" s="4" t="s">
        <v>964</v>
      </c>
      <c r="AF284" s="4" t="s">
        <v>774</v>
      </c>
    </row>
    <row r="285" spans="1:35" ht="18" x14ac:dyDescent="0.3">
      <c r="A285" s="43" t="s">
        <v>965</v>
      </c>
      <c r="B285" s="43"/>
      <c r="C285" s="55" t="s">
        <v>771</v>
      </c>
      <c r="D285" s="45"/>
      <c r="E285" s="45"/>
      <c r="F285" s="56" t="s">
        <v>87</v>
      </c>
      <c r="G285" s="57">
        <v>1</v>
      </c>
      <c r="H285" s="45"/>
      <c r="I285" s="58">
        <v>630</v>
      </c>
      <c r="J285" s="59">
        <v>15.76</v>
      </c>
      <c r="K285" s="60"/>
      <c r="L285" s="60"/>
      <c r="M285" s="59">
        <f t="shared" si="36"/>
        <v>9928.7999999999993</v>
      </c>
      <c r="N285" s="60"/>
      <c r="O285" s="60"/>
      <c r="P285" s="59">
        <v>15.76</v>
      </c>
      <c r="Q285" s="60"/>
      <c r="R285" s="60"/>
      <c r="S285" s="59">
        <f t="shared" si="37"/>
        <v>9928.7999999999993</v>
      </c>
      <c r="T285" s="60"/>
      <c r="U285" s="61"/>
      <c r="V285" s="9">
        <f t="shared" si="38"/>
        <v>13.13</v>
      </c>
      <c r="Y285" s="9">
        <f t="shared" si="39"/>
        <v>8274</v>
      </c>
      <c r="AD285" s="4" t="s">
        <v>966</v>
      </c>
      <c r="AE285" s="4" t="s">
        <v>964</v>
      </c>
      <c r="AF285" s="4" t="s">
        <v>774</v>
      </c>
    </row>
    <row r="286" spans="1:35" ht="18" x14ac:dyDescent="0.3">
      <c r="A286" s="37" t="s">
        <v>967</v>
      </c>
      <c r="B286" s="37"/>
      <c r="C286" s="48" t="s">
        <v>764</v>
      </c>
      <c r="D286" s="39"/>
      <c r="E286" s="39"/>
      <c r="F286" s="49" t="s">
        <v>70</v>
      </c>
      <c r="G286" s="50">
        <v>0.25</v>
      </c>
      <c r="H286" s="39"/>
      <c r="I286" s="62">
        <v>0</v>
      </c>
      <c r="J286" s="52">
        <v>100</v>
      </c>
      <c r="K286" s="53"/>
      <c r="L286" s="53"/>
      <c r="M286" s="52">
        <f t="shared" si="36"/>
        <v>0</v>
      </c>
      <c r="N286" s="53"/>
      <c r="O286" s="53"/>
      <c r="P286" s="52">
        <v>100</v>
      </c>
      <c r="Q286" s="53"/>
      <c r="R286" s="53"/>
      <c r="S286" s="52">
        <f t="shared" si="37"/>
        <v>0</v>
      </c>
      <c r="T286" s="53"/>
      <c r="U286" s="54"/>
      <c r="V286" s="9">
        <f t="shared" si="38"/>
        <v>83.33</v>
      </c>
      <c r="Y286" s="9">
        <f t="shared" si="39"/>
        <v>0</v>
      </c>
      <c r="AD286" s="4" t="s">
        <v>968</v>
      </c>
      <c r="AE286" s="4" t="s">
        <v>969</v>
      </c>
      <c r="AF286" s="4" t="s">
        <v>767</v>
      </c>
    </row>
    <row r="287" spans="1:35" ht="18" x14ac:dyDescent="0.3">
      <c r="A287" s="43" t="s">
        <v>970</v>
      </c>
      <c r="B287" s="43"/>
      <c r="C287" s="55" t="s">
        <v>764</v>
      </c>
      <c r="D287" s="45"/>
      <c r="E287" s="45"/>
      <c r="F287" s="56" t="s">
        <v>70</v>
      </c>
      <c r="G287" s="57">
        <v>0.25</v>
      </c>
      <c r="H287" s="45"/>
      <c r="I287" s="57">
        <v>247.27500000000001</v>
      </c>
      <c r="J287" s="59">
        <v>100</v>
      </c>
      <c r="K287" s="60"/>
      <c r="L287" s="60"/>
      <c r="M287" s="59">
        <f t="shared" si="36"/>
        <v>24727.5</v>
      </c>
      <c r="N287" s="60"/>
      <c r="O287" s="60"/>
      <c r="P287" s="59">
        <v>100</v>
      </c>
      <c r="Q287" s="60"/>
      <c r="R287" s="60"/>
      <c r="S287" s="59">
        <f t="shared" si="37"/>
        <v>24727.5</v>
      </c>
      <c r="T287" s="60"/>
      <c r="U287" s="61"/>
      <c r="V287" s="9">
        <f t="shared" si="38"/>
        <v>83.33</v>
      </c>
      <c r="Y287" s="9">
        <f t="shared" si="39"/>
        <v>20606.25</v>
      </c>
      <c r="AD287" s="4" t="s">
        <v>971</v>
      </c>
      <c r="AE287" s="4" t="s">
        <v>969</v>
      </c>
      <c r="AF287" s="4" t="s">
        <v>767</v>
      </c>
    </row>
    <row r="288" spans="1:35" ht="72" x14ac:dyDescent="0.3">
      <c r="A288" s="25" t="s">
        <v>972</v>
      </c>
      <c r="B288" s="25" t="s">
        <v>973</v>
      </c>
      <c r="C288" s="26" t="s">
        <v>974</v>
      </c>
      <c r="D288" s="27"/>
      <c r="E288" s="27" t="s">
        <v>975</v>
      </c>
      <c r="F288" s="27" t="s">
        <v>64</v>
      </c>
      <c r="G288" s="28">
        <v>1</v>
      </c>
      <c r="H288" s="27"/>
      <c r="I288" s="28">
        <v>174.8</v>
      </c>
      <c r="J288" s="29">
        <f>IFERROR(ROUND(SUM(M289,M290,M291,M292)/I288, 2),0)</f>
        <v>516.55999999999995</v>
      </c>
      <c r="K288" s="29">
        <v>1067</v>
      </c>
      <c r="L288" s="29">
        <f>J288+ROUND(K288, 2)</f>
        <v>1583.56</v>
      </c>
      <c r="M288" s="29">
        <f>ROUND(J288*I288, 2)</f>
        <v>90294.69</v>
      </c>
      <c r="N288" s="29">
        <f>ROUND(I288*ROUND(K288, 2), 2)</f>
        <v>186511.6</v>
      </c>
      <c r="O288" s="29">
        <f>M288+N288</f>
        <v>276806.28999999998</v>
      </c>
      <c r="P288" s="29">
        <f>IFERROR(ROUND(SUM(S289,S290,S291,S292)/I288, 2),0)</f>
        <v>516.55999999999995</v>
      </c>
      <c r="Q288" s="29">
        <v>1067</v>
      </c>
      <c r="R288" s="29">
        <f>P288+ROUND(Q288, 2)</f>
        <v>1583.56</v>
      </c>
      <c r="S288" s="29">
        <f>ROUND(P288*I288, 2)</f>
        <v>90294.69</v>
      </c>
      <c r="T288" s="29">
        <f>ROUND(I288*ROUND(Q288, 2), 2)</f>
        <v>186511.6</v>
      </c>
      <c r="U288" s="29">
        <f>S288+T288</f>
        <v>276806.28999999998</v>
      </c>
      <c r="V288" s="9">
        <f>ROUND(P288 / 1.2, 2)</f>
        <v>430.47</v>
      </c>
      <c r="W288" s="9">
        <f>ROUND(Q288 / 1.2, 2)</f>
        <v>889.17</v>
      </c>
      <c r="X288" s="9">
        <f>ROUND(R288 / 1.2, 2)</f>
        <v>1319.63</v>
      </c>
      <c r="Y288" s="9">
        <f t="shared" si="39"/>
        <v>75245.58</v>
      </c>
      <c r="Z288" s="9">
        <f>ROUND(T288 / 1.2, 2)</f>
        <v>155426.32999999999</v>
      </c>
      <c r="AA288" s="9">
        <f>Y288+Z288</f>
        <v>230671.91</v>
      </c>
      <c r="AD288" s="4">
        <v>271132106</v>
      </c>
      <c r="AE288" s="4">
        <v>16211497</v>
      </c>
      <c r="AG288" s="4" t="s">
        <v>976</v>
      </c>
      <c r="AH288" s="4" t="s">
        <v>977</v>
      </c>
      <c r="AI288" s="4" t="s">
        <v>67</v>
      </c>
    </row>
    <row r="289" spans="1:35" ht="18" x14ac:dyDescent="0.3">
      <c r="A289" s="25" t="s">
        <v>978</v>
      </c>
      <c r="B289" s="25"/>
      <c r="C289" s="30" t="s">
        <v>948</v>
      </c>
      <c r="D289" s="27"/>
      <c r="E289" s="27"/>
      <c r="F289" s="31" t="s">
        <v>70</v>
      </c>
      <c r="G289" s="32">
        <v>1.3</v>
      </c>
      <c r="H289" s="27"/>
      <c r="I289" s="33">
        <v>9089.6</v>
      </c>
      <c r="J289" s="34">
        <v>8.6</v>
      </c>
      <c r="K289" s="35"/>
      <c r="L289" s="35"/>
      <c r="M289" s="34">
        <f>ROUND(ROUND(J289, 2)*I289, 2)</f>
        <v>78170.559999999998</v>
      </c>
      <c r="N289" s="35"/>
      <c r="O289" s="35"/>
      <c r="P289" s="34">
        <v>8.6</v>
      </c>
      <c r="Q289" s="35"/>
      <c r="R289" s="35"/>
      <c r="S289" s="34">
        <f>ROUND(ROUND(P289, 2)*I289, 2)</f>
        <v>78170.559999999998</v>
      </c>
      <c r="T289" s="35"/>
      <c r="U289" s="36"/>
      <c r="V289" s="9">
        <f>ROUND(ROUND(P289, 2)/1.2, 2)</f>
        <v>7.17</v>
      </c>
      <c r="Y289" s="9">
        <f t="shared" si="39"/>
        <v>65142.13</v>
      </c>
      <c r="AD289" s="4" t="s">
        <v>979</v>
      </c>
      <c r="AE289" s="4" t="s">
        <v>980</v>
      </c>
      <c r="AF289" s="4" t="s">
        <v>952</v>
      </c>
    </row>
    <row r="290" spans="1:35" ht="18" x14ac:dyDescent="0.3">
      <c r="A290" s="25" t="s">
        <v>981</v>
      </c>
      <c r="B290" s="25"/>
      <c r="C290" s="30" t="s">
        <v>956</v>
      </c>
      <c r="D290" s="27"/>
      <c r="E290" s="27"/>
      <c r="F290" s="31" t="s">
        <v>64</v>
      </c>
      <c r="G290" s="32">
        <v>1.1000000000000001</v>
      </c>
      <c r="H290" s="27"/>
      <c r="I290" s="32">
        <v>192.28</v>
      </c>
      <c r="J290" s="34">
        <v>26</v>
      </c>
      <c r="K290" s="35"/>
      <c r="L290" s="35"/>
      <c r="M290" s="34">
        <f>ROUND(ROUND(J290, 2)*I290, 2)</f>
        <v>4999.28</v>
      </c>
      <c r="N290" s="35"/>
      <c r="O290" s="35"/>
      <c r="P290" s="34">
        <v>26</v>
      </c>
      <c r="Q290" s="35"/>
      <c r="R290" s="35"/>
      <c r="S290" s="34">
        <f>ROUND(ROUND(P290, 2)*I290, 2)</f>
        <v>4999.28</v>
      </c>
      <c r="T290" s="35"/>
      <c r="U290" s="36"/>
      <c r="V290" s="9">
        <f>ROUND(ROUND(P290, 2)/1.2, 2)</f>
        <v>21.67</v>
      </c>
      <c r="Y290" s="9">
        <f t="shared" si="39"/>
        <v>4166.07</v>
      </c>
      <c r="AD290" s="4" t="s">
        <v>982</v>
      </c>
      <c r="AE290" s="4" t="s">
        <v>983</v>
      </c>
      <c r="AF290" s="4" t="s">
        <v>959</v>
      </c>
    </row>
    <row r="291" spans="1:35" ht="18" x14ac:dyDescent="0.3">
      <c r="A291" s="25" t="s">
        <v>984</v>
      </c>
      <c r="B291" s="25"/>
      <c r="C291" s="30" t="s">
        <v>771</v>
      </c>
      <c r="D291" s="27"/>
      <c r="E291" s="27"/>
      <c r="F291" s="31" t="s">
        <v>87</v>
      </c>
      <c r="G291" s="32">
        <v>1</v>
      </c>
      <c r="H291" s="27"/>
      <c r="I291" s="33">
        <v>174.8</v>
      </c>
      <c r="J291" s="34">
        <v>15.76</v>
      </c>
      <c r="K291" s="35"/>
      <c r="L291" s="35"/>
      <c r="M291" s="34">
        <f>ROUND(ROUND(J291, 2)*I291, 2)</f>
        <v>2754.85</v>
      </c>
      <c r="N291" s="35"/>
      <c r="O291" s="35"/>
      <c r="P291" s="34">
        <v>15.76</v>
      </c>
      <c r="Q291" s="35"/>
      <c r="R291" s="35"/>
      <c r="S291" s="34">
        <f>ROUND(ROUND(P291, 2)*I291, 2)</f>
        <v>2754.85</v>
      </c>
      <c r="T291" s="35"/>
      <c r="U291" s="36"/>
      <c r="V291" s="9">
        <f>ROUND(ROUND(P291, 2)/1.2, 2)</f>
        <v>13.13</v>
      </c>
      <c r="Y291" s="9">
        <f t="shared" si="39"/>
        <v>2295.71</v>
      </c>
      <c r="AD291" s="4" t="s">
        <v>985</v>
      </c>
      <c r="AE291" s="4" t="s">
        <v>986</v>
      </c>
      <c r="AF291" s="4" t="s">
        <v>774</v>
      </c>
    </row>
    <row r="292" spans="1:35" ht="18" x14ac:dyDescent="0.3">
      <c r="A292" s="25" t="s">
        <v>987</v>
      </c>
      <c r="B292" s="25"/>
      <c r="C292" s="30" t="s">
        <v>764</v>
      </c>
      <c r="D292" s="27"/>
      <c r="E292" s="27"/>
      <c r="F292" s="31" t="s">
        <v>70</v>
      </c>
      <c r="G292" s="32">
        <v>0.25</v>
      </c>
      <c r="H292" s="27"/>
      <c r="I292" s="32">
        <v>43.7</v>
      </c>
      <c r="J292" s="34">
        <v>100</v>
      </c>
      <c r="K292" s="35"/>
      <c r="L292" s="35"/>
      <c r="M292" s="34">
        <f>ROUND(ROUND(J292, 2)*I292, 2)</f>
        <v>4370</v>
      </c>
      <c r="N292" s="35"/>
      <c r="O292" s="35"/>
      <c r="P292" s="34">
        <v>100</v>
      </c>
      <c r="Q292" s="35"/>
      <c r="R292" s="35"/>
      <c r="S292" s="34">
        <f>ROUND(ROUND(P292, 2)*I292, 2)</f>
        <v>4370</v>
      </c>
      <c r="T292" s="35"/>
      <c r="U292" s="36"/>
      <c r="V292" s="9">
        <f>ROUND(ROUND(P292, 2)/1.2, 2)</f>
        <v>83.33</v>
      </c>
      <c r="Y292" s="9">
        <f t="shared" si="39"/>
        <v>3641.67</v>
      </c>
      <c r="AD292" s="4" t="s">
        <v>988</v>
      </c>
      <c r="AE292" s="4" t="s">
        <v>989</v>
      </c>
      <c r="AF292" s="4" t="s">
        <v>767</v>
      </c>
    </row>
    <row r="293" spans="1:35" ht="72" x14ac:dyDescent="0.3">
      <c r="A293" s="25" t="s">
        <v>990</v>
      </c>
      <c r="B293" s="25" t="s">
        <v>973</v>
      </c>
      <c r="C293" s="26" t="s">
        <v>974</v>
      </c>
      <c r="D293" s="27"/>
      <c r="E293" s="27" t="s">
        <v>991</v>
      </c>
      <c r="F293" s="27" t="s">
        <v>64</v>
      </c>
      <c r="G293" s="28">
        <v>1</v>
      </c>
      <c r="H293" s="27"/>
      <c r="I293" s="28">
        <v>808</v>
      </c>
      <c r="J293" s="29">
        <f>IFERROR(ROUND(SUM(M294,M295,M296,M297)/I293, 2),0)</f>
        <v>504.88</v>
      </c>
      <c r="K293" s="29">
        <v>1067</v>
      </c>
      <c r="L293" s="29">
        <f>J293+ROUND(K293, 2)</f>
        <v>1571.88</v>
      </c>
      <c r="M293" s="29">
        <f>ROUND(J293*I293, 2)</f>
        <v>407943.04</v>
      </c>
      <c r="N293" s="29">
        <f>ROUND(I293*ROUND(K293, 2), 2)</f>
        <v>862136</v>
      </c>
      <c r="O293" s="29">
        <f>M293+N293</f>
        <v>1270079.04</v>
      </c>
      <c r="P293" s="29">
        <f>IFERROR(ROUND(SUM(S294,S295,S296,S297)/I293, 2),0)</f>
        <v>504.88</v>
      </c>
      <c r="Q293" s="29">
        <v>1067</v>
      </c>
      <c r="R293" s="29">
        <f>P293+ROUND(Q293, 2)</f>
        <v>1571.88</v>
      </c>
      <c r="S293" s="29">
        <f>ROUND(P293*I293, 2)</f>
        <v>407943.04</v>
      </c>
      <c r="T293" s="29">
        <f>ROUND(I293*ROUND(Q293, 2), 2)</f>
        <v>862136</v>
      </c>
      <c r="U293" s="29">
        <f>S293+T293</f>
        <v>1270079.04</v>
      </c>
      <c r="V293" s="9">
        <f>ROUND(P293 / 1.2, 2)</f>
        <v>420.73</v>
      </c>
      <c r="W293" s="9">
        <f>ROUND(Q293 / 1.2, 2)</f>
        <v>889.17</v>
      </c>
      <c r="X293" s="9">
        <f>ROUND(R293 / 1.2, 2)</f>
        <v>1309.9000000000001</v>
      </c>
      <c r="Y293" s="9">
        <f t="shared" si="39"/>
        <v>339952.53</v>
      </c>
      <c r="Z293" s="9">
        <f>ROUND(T293 / 1.2, 2)</f>
        <v>718446.67</v>
      </c>
      <c r="AA293" s="9">
        <f>Y293+Z293</f>
        <v>1058399.2</v>
      </c>
      <c r="AD293" s="4">
        <v>271132185</v>
      </c>
      <c r="AE293" s="4">
        <v>19976809</v>
      </c>
      <c r="AG293" s="4" t="s">
        <v>976</v>
      </c>
      <c r="AH293" s="4" t="s">
        <v>977</v>
      </c>
      <c r="AI293" s="4" t="s">
        <v>67</v>
      </c>
    </row>
    <row r="294" spans="1:35" ht="36" x14ac:dyDescent="0.3">
      <c r="A294" s="25" t="s">
        <v>992</v>
      </c>
      <c r="B294" s="25"/>
      <c r="C294" s="30" t="s">
        <v>433</v>
      </c>
      <c r="D294" s="27"/>
      <c r="E294" s="27"/>
      <c r="F294" s="31" t="s">
        <v>70</v>
      </c>
      <c r="G294" s="32">
        <v>0.15</v>
      </c>
      <c r="H294" s="27"/>
      <c r="I294" s="32">
        <v>121.2</v>
      </c>
      <c r="J294" s="34">
        <v>88.8</v>
      </c>
      <c r="K294" s="35"/>
      <c r="L294" s="35"/>
      <c r="M294" s="34">
        <f>ROUND(ROUND(J294, 2)*I294, 2)</f>
        <v>10762.56</v>
      </c>
      <c r="N294" s="35"/>
      <c r="O294" s="35"/>
      <c r="P294" s="34">
        <v>88.8</v>
      </c>
      <c r="Q294" s="35"/>
      <c r="R294" s="35"/>
      <c r="S294" s="34">
        <f>ROUND(ROUND(P294, 2)*I294, 2)</f>
        <v>10762.56</v>
      </c>
      <c r="T294" s="35"/>
      <c r="U294" s="36"/>
      <c r="V294" s="9">
        <f>ROUND(ROUND(P294, 2)/1.2, 2)</f>
        <v>74</v>
      </c>
      <c r="Y294" s="9">
        <f t="shared" si="39"/>
        <v>8968.7999999999993</v>
      </c>
      <c r="AD294" s="4" t="s">
        <v>993</v>
      </c>
      <c r="AE294" s="4" t="s">
        <v>994</v>
      </c>
      <c r="AF294" s="4" t="s">
        <v>436</v>
      </c>
    </row>
    <row r="295" spans="1:35" ht="18" x14ac:dyDescent="0.3">
      <c r="A295" s="25" t="s">
        <v>995</v>
      </c>
      <c r="B295" s="25"/>
      <c r="C295" s="30" t="s">
        <v>771</v>
      </c>
      <c r="D295" s="27"/>
      <c r="E295" s="27"/>
      <c r="F295" s="31" t="s">
        <v>87</v>
      </c>
      <c r="G295" s="32">
        <v>1</v>
      </c>
      <c r="H295" s="27"/>
      <c r="I295" s="33">
        <v>808</v>
      </c>
      <c r="J295" s="34">
        <v>15.76</v>
      </c>
      <c r="K295" s="35"/>
      <c r="L295" s="35"/>
      <c r="M295" s="34">
        <f>ROUND(ROUND(J295, 2)*I295, 2)</f>
        <v>12734.08</v>
      </c>
      <c r="N295" s="35"/>
      <c r="O295" s="35"/>
      <c r="P295" s="34">
        <v>15.76</v>
      </c>
      <c r="Q295" s="35"/>
      <c r="R295" s="35"/>
      <c r="S295" s="34">
        <f>ROUND(ROUND(P295, 2)*I295, 2)</f>
        <v>12734.08</v>
      </c>
      <c r="T295" s="35"/>
      <c r="U295" s="36"/>
      <c r="V295" s="9">
        <f>ROUND(ROUND(P295, 2)/1.2, 2)</f>
        <v>13.13</v>
      </c>
      <c r="Y295" s="9">
        <f t="shared" si="39"/>
        <v>10611.73</v>
      </c>
      <c r="AD295" s="4" t="s">
        <v>996</v>
      </c>
      <c r="AE295" s="4" t="s">
        <v>997</v>
      </c>
      <c r="AF295" s="4" t="s">
        <v>774</v>
      </c>
    </row>
    <row r="296" spans="1:35" ht="18" x14ac:dyDescent="0.3">
      <c r="A296" s="25" t="s">
        <v>998</v>
      </c>
      <c r="B296" s="25"/>
      <c r="C296" s="30" t="s">
        <v>956</v>
      </c>
      <c r="D296" s="27"/>
      <c r="E296" s="27"/>
      <c r="F296" s="31" t="s">
        <v>64</v>
      </c>
      <c r="G296" s="32">
        <v>1.1000000000000001</v>
      </c>
      <c r="H296" s="27"/>
      <c r="I296" s="32">
        <v>888.8</v>
      </c>
      <c r="J296" s="34">
        <v>26</v>
      </c>
      <c r="K296" s="35"/>
      <c r="L296" s="35"/>
      <c r="M296" s="34">
        <f>ROUND(ROUND(J296, 2)*I296, 2)</f>
        <v>23108.799999999999</v>
      </c>
      <c r="N296" s="35"/>
      <c r="O296" s="35"/>
      <c r="P296" s="34">
        <v>26</v>
      </c>
      <c r="Q296" s="35"/>
      <c r="R296" s="35"/>
      <c r="S296" s="34">
        <f>ROUND(ROUND(P296, 2)*I296, 2)</f>
        <v>23108.799999999999</v>
      </c>
      <c r="T296" s="35"/>
      <c r="U296" s="36"/>
      <c r="V296" s="9">
        <f>ROUND(ROUND(P296, 2)/1.2, 2)</f>
        <v>21.67</v>
      </c>
      <c r="Y296" s="9">
        <f t="shared" si="39"/>
        <v>19257.330000000002</v>
      </c>
      <c r="AD296" s="4" t="s">
        <v>999</v>
      </c>
      <c r="AE296" s="4" t="s">
        <v>1000</v>
      </c>
      <c r="AF296" s="4" t="s">
        <v>959</v>
      </c>
    </row>
    <row r="297" spans="1:35" ht="18" x14ac:dyDescent="0.3">
      <c r="A297" s="25" t="s">
        <v>1001</v>
      </c>
      <c r="B297" s="25"/>
      <c r="C297" s="30" t="s">
        <v>948</v>
      </c>
      <c r="D297" s="27"/>
      <c r="E297" s="27"/>
      <c r="F297" s="31" t="s">
        <v>70</v>
      </c>
      <c r="G297" s="32">
        <v>1.3</v>
      </c>
      <c r="H297" s="27"/>
      <c r="I297" s="33">
        <v>42016</v>
      </c>
      <c r="J297" s="34">
        <v>8.6</v>
      </c>
      <c r="K297" s="35"/>
      <c r="L297" s="35"/>
      <c r="M297" s="34">
        <f>ROUND(ROUND(J297, 2)*I297, 2)</f>
        <v>361337.59999999998</v>
      </c>
      <c r="N297" s="35"/>
      <c r="O297" s="35"/>
      <c r="P297" s="34">
        <v>8.6</v>
      </c>
      <c r="Q297" s="35"/>
      <c r="R297" s="35"/>
      <c r="S297" s="34">
        <f>ROUND(ROUND(P297, 2)*I297, 2)</f>
        <v>361337.59999999998</v>
      </c>
      <c r="T297" s="35"/>
      <c r="U297" s="36"/>
      <c r="V297" s="9">
        <f>ROUND(ROUND(P297, 2)/1.2, 2)</f>
        <v>7.17</v>
      </c>
      <c r="Y297" s="9">
        <f t="shared" si="39"/>
        <v>301114.67</v>
      </c>
      <c r="AD297" s="4" t="s">
        <v>1002</v>
      </c>
      <c r="AE297" s="4" t="s">
        <v>1003</v>
      </c>
      <c r="AF297" s="4" t="s">
        <v>952</v>
      </c>
    </row>
    <row r="298" spans="1:35" ht="72" x14ac:dyDescent="0.3">
      <c r="A298" s="25" t="s">
        <v>1004</v>
      </c>
      <c r="B298" s="25" t="s">
        <v>973</v>
      </c>
      <c r="C298" s="26" t="s">
        <v>974</v>
      </c>
      <c r="D298" s="27"/>
      <c r="E298" s="27" t="s">
        <v>1005</v>
      </c>
      <c r="F298" s="27" t="s">
        <v>64</v>
      </c>
      <c r="G298" s="28">
        <v>1</v>
      </c>
      <c r="H298" s="27"/>
      <c r="I298" s="28">
        <v>154.19999999999999</v>
      </c>
      <c r="J298" s="29">
        <f>IFERROR(ROUND(SUM(M299,M300,M301,M302)/I298, 2),0)</f>
        <v>516.55999999999995</v>
      </c>
      <c r="K298" s="29">
        <v>1067</v>
      </c>
      <c r="L298" s="29">
        <f>J298+ROUND(K298, 2)</f>
        <v>1583.56</v>
      </c>
      <c r="M298" s="29">
        <f>ROUND(J298*I298, 2)</f>
        <v>79653.55</v>
      </c>
      <c r="N298" s="29">
        <f>ROUND(I298*ROUND(K298, 2), 2)</f>
        <v>164531.4</v>
      </c>
      <c r="O298" s="29">
        <f>M298+N298</f>
        <v>244184.95</v>
      </c>
      <c r="P298" s="29">
        <f>IFERROR(ROUND(SUM(S299,S300,S301,S302)/I298, 2),0)</f>
        <v>516.55999999999995</v>
      </c>
      <c r="Q298" s="29">
        <v>1067</v>
      </c>
      <c r="R298" s="29">
        <f>P298+ROUND(Q298, 2)</f>
        <v>1583.56</v>
      </c>
      <c r="S298" s="29">
        <f>ROUND(P298*I298, 2)</f>
        <v>79653.55</v>
      </c>
      <c r="T298" s="29">
        <f>ROUND(I298*ROUND(Q298, 2), 2)</f>
        <v>164531.4</v>
      </c>
      <c r="U298" s="29">
        <f>S298+T298</f>
        <v>244184.95</v>
      </c>
      <c r="V298" s="9">
        <f>ROUND(P298 / 1.2, 2)</f>
        <v>430.47</v>
      </c>
      <c r="W298" s="9">
        <f>ROUND(Q298 / 1.2, 2)</f>
        <v>889.17</v>
      </c>
      <c r="X298" s="9">
        <f>ROUND(R298 / 1.2, 2)</f>
        <v>1319.63</v>
      </c>
      <c r="Y298" s="9">
        <f t="shared" si="39"/>
        <v>66377.960000000006</v>
      </c>
      <c r="Z298" s="9">
        <f>ROUND(T298 / 1.2, 2)</f>
        <v>137109.5</v>
      </c>
      <c r="AA298" s="9">
        <f>Y298+Z298</f>
        <v>203487.46</v>
      </c>
      <c r="AD298" s="4">
        <v>271132186</v>
      </c>
      <c r="AE298" s="4">
        <v>19976810</v>
      </c>
      <c r="AG298" s="4" t="s">
        <v>976</v>
      </c>
      <c r="AH298" s="4" t="s">
        <v>977</v>
      </c>
      <c r="AI298" s="4" t="s">
        <v>67</v>
      </c>
    </row>
    <row r="299" spans="1:35" ht="18" x14ac:dyDescent="0.3">
      <c r="A299" s="25" t="s">
        <v>1006</v>
      </c>
      <c r="B299" s="25"/>
      <c r="C299" s="30" t="s">
        <v>764</v>
      </c>
      <c r="D299" s="27"/>
      <c r="E299" s="27"/>
      <c r="F299" s="31" t="s">
        <v>70</v>
      </c>
      <c r="G299" s="32">
        <v>0.25</v>
      </c>
      <c r="H299" s="27"/>
      <c r="I299" s="32">
        <v>38.549999999999997</v>
      </c>
      <c r="J299" s="34">
        <v>100</v>
      </c>
      <c r="K299" s="35"/>
      <c r="L299" s="35"/>
      <c r="M299" s="34">
        <f>ROUND(ROUND(J299, 2)*I299, 2)</f>
        <v>3855</v>
      </c>
      <c r="N299" s="35"/>
      <c r="O299" s="35"/>
      <c r="P299" s="34">
        <v>100</v>
      </c>
      <c r="Q299" s="35"/>
      <c r="R299" s="35"/>
      <c r="S299" s="34">
        <f>ROUND(ROUND(P299, 2)*I299, 2)</f>
        <v>3855</v>
      </c>
      <c r="T299" s="35"/>
      <c r="U299" s="36"/>
      <c r="V299" s="9">
        <f>ROUND(ROUND(P299, 2)/1.2, 2)</f>
        <v>83.33</v>
      </c>
      <c r="Y299" s="9">
        <f t="shared" si="39"/>
        <v>3212.5</v>
      </c>
      <c r="AD299" s="4" t="s">
        <v>1007</v>
      </c>
      <c r="AE299" s="4" t="s">
        <v>1008</v>
      </c>
      <c r="AF299" s="4" t="s">
        <v>767</v>
      </c>
    </row>
    <row r="300" spans="1:35" ht="18" x14ac:dyDescent="0.3">
      <c r="A300" s="25" t="s">
        <v>1009</v>
      </c>
      <c r="B300" s="25"/>
      <c r="C300" s="30" t="s">
        <v>771</v>
      </c>
      <c r="D300" s="27"/>
      <c r="E300" s="27"/>
      <c r="F300" s="31" t="s">
        <v>87</v>
      </c>
      <c r="G300" s="32">
        <v>1</v>
      </c>
      <c r="H300" s="27"/>
      <c r="I300" s="33">
        <v>154.19999999999999</v>
      </c>
      <c r="J300" s="34">
        <v>15.76</v>
      </c>
      <c r="K300" s="35"/>
      <c r="L300" s="35"/>
      <c r="M300" s="34">
        <f>ROUND(ROUND(J300, 2)*I300, 2)</f>
        <v>2430.19</v>
      </c>
      <c r="N300" s="35"/>
      <c r="O300" s="35"/>
      <c r="P300" s="34">
        <v>15.76</v>
      </c>
      <c r="Q300" s="35"/>
      <c r="R300" s="35"/>
      <c r="S300" s="34">
        <f>ROUND(ROUND(P300, 2)*I300, 2)</f>
        <v>2430.19</v>
      </c>
      <c r="T300" s="35"/>
      <c r="U300" s="36"/>
      <c r="V300" s="9">
        <f>ROUND(ROUND(P300, 2)/1.2, 2)</f>
        <v>13.13</v>
      </c>
      <c r="Y300" s="9">
        <f t="shared" si="39"/>
        <v>2025.16</v>
      </c>
      <c r="AD300" s="4" t="s">
        <v>1010</v>
      </c>
      <c r="AE300" s="4" t="s">
        <v>1011</v>
      </c>
      <c r="AF300" s="4" t="s">
        <v>774</v>
      </c>
    </row>
    <row r="301" spans="1:35" ht="18" x14ac:dyDescent="0.3">
      <c r="A301" s="25" t="s">
        <v>1012</v>
      </c>
      <c r="B301" s="25"/>
      <c r="C301" s="30" t="s">
        <v>956</v>
      </c>
      <c r="D301" s="27"/>
      <c r="E301" s="27"/>
      <c r="F301" s="31" t="s">
        <v>64</v>
      </c>
      <c r="G301" s="32">
        <v>1.1000000000000001</v>
      </c>
      <c r="H301" s="27"/>
      <c r="I301" s="32">
        <v>169.62</v>
      </c>
      <c r="J301" s="34">
        <v>26</v>
      </c>
      <c r="K301" s="35"/>
      <c r="L301" s="35"/>
      <c r="M301" s="34">
        <f>ROUND(ROUND(J301, 2)*I301, 2)</f>
        <v>4410.12</v>
      </c>
      <c r="N301" s="35"/>
      <c r="O301" s="35"/>
      <c r="P301" s="34">
        <v>26</v>
      </c>
      <c r="Q301" s="35"/>
      <c r="R301" s="35"/>
      <c r="S301" s="34">
        <f>ROUND(ROUND(P301, 2)*I301, 2)</f>
        <v>4410.12</v>
      </c>
      <c r="T301" s="35"/>
      <c r="U301" s="36"/>
      <c r="V301" s="9">
        <f>ROUND(ROUND(P301, 2)/1.2, 2)</f>
        <v>21.67</v>
      </c>
      <c r="Y301" s="9">
        <f t="shared" si="39"/>
        <v>3675.1</v>
      </c>
      <c r="AD301" s="4" t="s">
        <v>1013</v>
      </c>
      <c r="AE301" s="4" t="s">
        <v>1014</v>
      </c>
      <c r="AF301" s="4" t="s">
        <v>959</v>
      </c>
    </row>
    <row r="302" spans="1:35" ht="18" x14ac:dyDescent="0.3">
      <c r="A302" s="25" t="s">
        <v>1015</v>
      </c>
      <c r="B302" s="25"/>
      <c r="C302" s="30" t="s">
        <v>948</v>
      </c>
      <c r="D302" s="27"/>
      <c r="E302" s="27"/>
      <c r="F302" s="31" t="s">
        <v>70</v>
      </c>
      <c r="G302" s="32">
        <v>1.3</v>
      </c>
      <c r="H302" s="27"/>
      <c r="I302" s="33">
        <v>8018.4</v>
      </c>
      <c r="J302" s="34">
        <v>8.6</v>
      </c>
      <c r="K302" s="35"/>
      <c r="L302" s="35"/>
      <c r="M302" s="34">
        <f>ROUND(ROUND(J302, 2)*I302, 2)</f>
        <v>68958.240000000005</v>
      </c>
      <c r="N302" s="35"/>
      <c r="O302" s="35"/>
      <c r="P302" s="34">
        <v>8.6</v>
      </c>
      <c r="Q302" s="35"/>
      <c r="R302" s="35"/>
      <c r="S302" s="34">
        <f>ROUND(ROUND(P302, 2)*I302, 2)</f>
        <v>68958.240000000005</v>
      </c>
      <c r="T302" s="35"/>
      <c r="U302" s="36"/>
      <c r="V302" s="9">
        <f>ROUND(ROUND(P302, 2)/1.2, 2)</f>
        <v>7.17</v>
      </c>
      <c r="Y302" s="9">
        <f t="shared" si="39"/>
        <v>57465.2</v>
      </c>
      <c r="AD302" s="4" t="s">
        <v>1016</v>
      </c>
      <c r="AE302" s="4" t="s">
        <v>1017</v>
      </c>
      <c r="AF302" s="4" t="s">
        <v>952</v>
      </c>
    </row>
    <row r="303" spans="1:35" ht="72" x14ac:dyDescent="0.3">
      <c r="A303" s="25" t="s">
        <v>1018</v>
      </c>
      <c r="B303" s="25" t="s">
        <v>973</v>
      </c>
      <c r="C303" s="26" t="s">
        <v>974</v>
      </c>
      <c r="D303" s="27"/>
      <c r="E303" s="27" t="s">
        <v>1019</v>
      </c>
      <c r="F303" s="27" t="s">
        <v>64</v>
      </c>
      <c r="G303" s="28">
        <v>1</v>
      </c>
      <c r="H303" s="27"/>
      <c r="I303" s="28">
        <v>572.4</v>
      </c>
      <c r="J303" s="29">
        <f>IFERROR(ROUND(SUM(M304,M305,M306,M307)/I303, 2),0)</f>
        <v>504.88</v>
      </c>
      <c r="K303" s="29">
        <v>1067</v>
      </c>
      <c r="L303" s="29">
        <f>J303+ROUND(K303, 2)</f>
        <v>1571.88</v>
      </c>
      <c r="M303" s="29">
        <f>ROUND(J303*I303, 2)</f>
        <v>288993.31</v>
      </c>
      <c r="N303" s="29">
        <f>ROUND(I303*ROUND(K303, 2), 2)</f>
        <v>610750.80000000005</v>
      </c>
      <c r="O303" s="29">
        <f>M303+N303</f>
        <v>899744.11</v>
      </c>
      <c r="P303" s="29">
        <f>IFERROR(ROUND(SUM(S304,S305,S306,S307)/I303, 2),0)</f>
        <v>504.88</v>
      </c>
      <c r="Q303" s="29">
        <v>1067</v>
      </c>
      <c r="R303" s="29">
        <f>P303+ROUND(Q303, 2)</f>
        <v>1571.88</v>
      </c>
      <c r="S303" s="29">
        <f>ROUND(P303*I303, 2)</f>
        <v>288993.31</v>
      </c>
      <c r="T303" s="29">
        <f>ROUND(I303*ROUND(Q303, 2), 2)</f>
        <v>610750.80000000005</v>
      </c>
      <c r="U303" s="29">
        <f>S303+T303</f>
        <v>899744.11</v>
      </c>
      <c r="V303" s="9">
        <f>ROUND(P303 / 1.2, 2)</f>
        <v>420.73</v>
      </c>
      <c r="W303" s="9">
        <f>ROUND(Q303 / 1.2, 2)</f>
        <v>889.17</v>
      </c>
      <c r="X303" s="9">
        <f>ROUND(R303 / 1.2, 2)</f>
        <v>1309.9000000000001</v>
      </c>
      <c r="Y303" s="9">
        <f t="shared" si="39"/>
        <v>240827.76</v>
      </c>
      <c r="Z303" s="9">
        <f>ROUND(T303 / 1.2, 2)</f>
        <v>508959</v>
      </c>
      <c r="AA303" s="9">
        <f>Y303+Z303</f>
        <v>749786.76</v>
      </c>
      <c r="AD303" s="4">
        <v>271132187</v>
      </c>
      <c r="AE303" s="4">
        <v>19976811</v>
      </c>
      <c r="AG303" s="4" t="s">
        <v>976</v>
      </c>
      <c r="AH303" s="4" t="s">
        <v>977</v>
      </c>
      <c r="AI303" s="4" t="s">
        <v>67</v>
      </c>
    </row>
    <row r="304" spans="1:35" ht="36" x14ac:dyDescent="0.3">
      <c r="A304" s="25" t="s">
        <v>1020</v>
      </c>
      <c r="B304" s="25"/>
      <c r="C304" s="30" t="s">
        <v>433</v>
      </c>
      <c r="D304" s="27"/>
      <c r="E304" s="27"/>
      <c r="F304" s="31" t="s">
        <v>70</v>
      </c>
      <c r="G304" s="32">
        <v>0.15</v>
      </c>
      <c r="H304" s="27"/>
      <c r="I304" s="32">
        <v>85.86</v>
      </c>
      <c r="J304" s="34">
        <v>88.8</v>
      </c>
      <c r="K304" s="35"/>
      <c r="L304" s="35"/>
      <c r="M304" s="34">
        <f>ROUND(ROUND(J304, 2)*I304, 2)</f>
        <v>7624.37</v>
      </c>
      <c r="N304" s="35"/>
      <c r="O304" s="35"/>
      <c r="P304" s="34">
        <v>88.8</v>
      </c>
      <c r="Q304" s="35"/>
      <c r="R304" s="35"/>
      <c r="S304" s="34">
        <f>ROUND(ROUND(P304, 2)*I304, 2)</f>
        <v>7624.37</v>
      </c>
      <c r="T304" s="35"/>
      <c r="U304" s="36"/>
      <c r="V304" s="9">
        <f>ROUND(ROUND(P304, 2)/1.2, 2)</f>
        <v>74</v>
      </c>
      <c r="Y304" s="9">
        <f t="shared" si="39"/>
        <v>6353.64</v>
      </c>
      <c r="AD304" s="4" t="s">
        <v>1021</v>
      </c>
      <c r="AE304" s="4" t="s">
        <v>1022</v>
      </c>
      <c r="AF304" s="4" t="s">
        <v>436</v>
      </c>
    </row>
    <row r="305" spans="1:35" ht="18" x14ac:dyDescent="0.3">
      <c r="A305" s="25" t="s">
        <v>1023</v>
      </c>
      <c r="B305" s="25"/>
      <c r="C305" s="30" t="s">
        <v>771</v>
      </c>
      <c r="D305" s="27"/>
      <c r="E305" s="27"/>
      <c r="F305" s="31" t="s">
        <v>87</v>
      </c>
      <c r="G305" s="32">
        <v>1</v>
      </c>
      <c r="H305" s="27"/>
      <c r="I305" s="33">
        <v>572.4</v>
      </c>
      <c r="J305" s="34">
        <v>15.76</v>
      </c>
      <c r="K305" s="35"/>
      <c r="L305" s="35"/>
      <c r="M305" s="34">
        <f>ROUND(ROUND(J305, 2)*I305, 2)</f>
        <v>9021.02</v>
      </c>
      <c r="N305" s="35"/>
      <c r="O305" s="35"/>
      <c r="P305" s="34">
        <v>15.76</v>
      </c>
      <c r="Q305" s="35"/>
      <c r="R305" s="35"/>
      <c r="S305" s="34">
        <f>ROUND(ROUND(P305, 2)*I305, 2)</f>
        <v>9021.02</v>
      </c>
      <c r="T305" s="35"/>
      <c r="U305" s="36"/>
      <c r="V305" s="9">
        <f>ROUND(ROUND(P305, 2)/1.2, 2)</f>
        <v>13.13</v>
      </c>
      <c r="Y305" s="9">
        <f t="shared" si="39"/>
        <v>7517.52</v>
      </c>
      <c r="AD305" s="4" t="s">
        <v>1024</v>
      </c>
      <c r="AE305" s="4" t="s">
        <v>1025</v>
      </c>
      <c r="AF305" s="4" t="s">
        <v>774</v>
      </c>
    </row>
    <row r="306" spans="1:35" ht="18" x14ac:dyDescent="0.3">
      <c r="A306" s="25" t="s">
        <v>1026</v>
      </c>
      <c r="B306" s="25"/>
      <c r="C306" s="30" t="s">
        <v>956</v>
      </c>
      <c r="D306" s="27"/>
      <c r="E306" s="27"/>
      <c r="F306" s="31" t="s">
        <v>64</v>
      </c>
      <c r="G306" s="32">
        <v>1.1000000000000001</v>
      </c>
      <c r="H306" s="27"/>
      <c r="I306" s="32">
        <v>629.64</v>
      </c>
      <c r="J306" s="34">
        <v>26</v>
      </c>
      <c r="K306" s="35"/>
      <c r="L306" s="35"/>
      <c r="M306" s="34">
        <f>ROUND(ROUND(J306, 2)*I306, 2)</f>
        <v>16370.64</v>
      </c>
      <c r="N306" s="35"/>
      <c r="O306" s="35"/>
      <c r="P306" s="34">
        <v>26</v>
      </c>
      <c r="Q306" s="35"/>
      <c r="R306" s="35"/>
      <c r="S306" s="34">
        <f>ROUND(ROUND(P306, 2)*I306, 2)</f>
        <v>16370.64</v>
      </c>
      <c r="T306" s="35"/>
      <c r="U306" s="36"/>
      <c r="V306" s="9">
        <f>ROUND(ROUND(P306, 2)/1.2, 2)</f>
        <v>21.67</v>
      </c>
      <c r="Y306" s="9">
        <f t="shared" si="39"/>
        <v>13642.2</v>
      </c>
      <c r="AD306" s="4" t="s">
        <v>1027</v>
      </c>
      <c r="AE306" s="4" t="s">
        <v>1028</v>
      </c>
      <c r="AF306" s="4" t="s">
        <v>959</v>
      </c>
    </row>
    <row r="307" spans="1:35" ht="18" x14ac:dyDescent="0.3">
      <c r="A307" s="25" t="s">
        <v>1029</v>
      </c>
      <c r="B307" s="25"/>
      <c r="C307" s="30" t="s">
        <v>948</v>
      </c>
      <c r="D307" s="27"/>
      <c r="E307" s="27"/>
      <c r="F307" s="31" t="s">
        <v>70</v>
      </c>
      <c r="G307" s="32">
        <v>1.3</v>
      </c>
      <c r="H307" s="27"/>
      <c r="I307" s="33">
        <v>29764.799999999999</v>
      </c>
      <c r="J307" s="34">
        <v>8.6</v>
      </c>
      <c r="K307" s="35"/>
      <c r="L307" s="35"/>
      <c r="M307" s="34">
        <f>ROUND(ROUND(J307, 2)*I307, 2)</f>
        <v>255977.28</v>
      </c>
      <c r="N307" s="35"/>
      <c r="O307" s="35"/>
      <c r="P307" s="34">
        <v>8.6</v>
      </c>
      <c r="Q307" s="35"/>
      <c r="R307" s="35"/>
      <c r="S307" s="34">
        <f>ROUND(ROUND(P307, 2)*I307, 2)</f>
        <v>255977.28</v>
      </c>
      <c r="T307" s="35"/>
      <c r="U307" s="36"/>
      <c r="V307" s="9">
        <f>ROUND(ROUND(P307, 2)/1.2, 2)</f>
        <v>7.17</v>
      </c>
      <c r="Y307" s="9">
        <f t="shared" si="39"/>
        <v>213314.4</v>
      </c>
      <c r="AD307" s="4" t="s">
        <v>1030</v>
      </c>
      <c r="AE307" s="4" t="s">
        <v>1031</v>
      </c>
      <c r="AF307" s="4" t="s">
        <v>952</v>
      </c>
    </row>
    <row r="308" spans="1:35" ht="54" x14ac:dyDescent="0.3">
      <c r="A308" s="25" t="s">
        <v>1032</v>
      </c>
      <c r="B308" s="25" t="s">
        <v>1033</v>
      </c>
      <c r="C308" s="26" t="s">
        <v>1034</v>
      </c>
      <c r="D308" s="27"/>
      <c r="E308" s="27" t="s">
        <v>975</v>
      </c>
      <c r="F308" s="27" t="s">
        <v>64</v>
      </c>
      <c r="G308" s="28">
        <v>1</v>
      </c>
      <c r="H308" s="27"/>
      <c r="I308" s="28">
        <v>3617.6</v>
      </c>
      <c r="J308" s="29">
        <f>IFERROR(ROUND(SUM(M309,M310,M311)/I308, 2),0)</f>
        <v>368.76</v>
      </c>
      <c r="K308" s="29">
        <v>1073</v>
      </c>
      <c r="L308" s="29">
        <f>J308+ROUND(K308, 2)</f>
        <v>1441.76</v>
      </c>
      <c r="M308" s="29">
        <f>ROUND(J308*I308, 2)</f>
        <v>1334026.18</v>
      </c>
      <c r="N308" s="29">
        <f>ROUND(I308*ROUND(K308, 2), 2)</f>
        <v>3881684.8</v>
      </c>
      <c r="O308" s="29">
        <f>M308+N308</f>
        <v>5215710.9800000004</v>
      </c>
      <c r="P308" s="29">
        <f>IFERROR(ROUND(SUM(S309,S310,S311)/I308, 2),0)</f>
        <v>368.76</v>
      </c>
      <c r="Q308" s="29">
        <v>1073</v>
      </c>
      <c r="R308" s="29">
        <f>P308+ROUND(Q308, 2)</f>
        <v>1441.76</v>
      </c>
      <c r="S308" s="29">
        <f>ROUND(P308*I308, 2)</f>
        <v>1334026.18</v>
      </c>
      <c r="T308" s="29">
        <f>ROUND(I308*ROUND(Q308, 2), 2)</f>
        <v>3881684.8</v>
      </c>
      <c r="U308" s="29">
        <f>S308+T308</f>
        <v>5215710.9800000004</v>
      </c>
      <c r="V308" s="9">
        <f>ROUND(P308 / 1.2, 2)</f>
        <v>307.3</v>
      </c>
      <c r="W308" s="9">
        <f>ROUND(Q308 / 1.2, 2)</f>
        <v>894.17</v>
      </c>
      <c r="X308" s="9">
        <f>ROUND(R308 / 1.2, 2)</f>
        <v>1201.47</v>
      </c>
      <c r="Y308" s="9">
        <f t="shared" si="39"/>
        <v>1111688.48</v>
      </c>
      <c r="Z308" s="9">
        <f>ROUND(T308 / 1.2, 2)</f>
        <v>3234737.33</v>
      </c>
      <c r="AA308" s="9">
        <f>Y308+Z308</f>
        <v>4346425.8099999996</v>
      </c>
      <c r="AD308" s="4">
        <v>271132108</v>
      </c>
      <c r="AE308" s="4">
        <v>19976797</v>
      </c>
      <c r="AG308" s="4" t="s">
        <v>1035</v>
      </c>
      <c r="AH308" s="4" t="s">
        <v>1036</v>
      </c>
      <c r="AI308" s="4" t="s">
        <v>67</v>
      </c>
    </row>
    <row r="309" spans="1:35" ht="36" x14ac:dyDescent="0.3">
      <c r="A309" s="25" t="s">
        <v>1037</v>
      </c>
      <c r="B309" s="25"/>
      <c r="C309" s="17" t="s">
        <v>756</v>
      </c>
      <c r="D309" s="27"/>
      <c r="E309" s="27"/>
      <c r="F309" s="31" t="s">
        <v>70</v>
      </c>
      <c r="G309" s="32">
        <v>1</v>
      </c>
      <c r="H309" s="27"/>
      <c r="I309" s="33">
        <v>144704</v>
      </c>
      <c r="J309" s="34">
        <v>8.1999999999999993</v>
      </c>
      <c r="K309" s="35"/>
      <c r="L309" s="35"/>
      <c r="M309" s="34">
        <f>ROUND(ROUND(J309, 2)*I309, 2)</f>
        <v>1186572.8</v>
      </c>
      <c r="N309" s="35"/>
      <c r="O309" s="35"/>
      <c r="P309" s="34">
        <v>8.1999999999999993</v>
      </c>
      <c r="Q309" s="35"/>
      <c r="R309" s="35"/>
      <c r="S309" s="34">
        <f>ROUND(ROUND(P309, 2)*I309, 2)</f>
        <v>1186572.8</v>
      </c>
      <c r="T309" s="35"/>
      <c r="U309" s="36"/>
      <c r="V309" s="9">
        <f>ROUND(ROUND(P309, 2)/1.2, 2)</f>
        <v>6.83</v>
      </c>
      <c r="Y309" s="9">
        <f t="shared" si="39"/>
        <v>988810.67</v>
      </c>
      <c r="AD309" s="4" t="s">
        <v>1038</v>
      </c>
      <c r="AE309" s="4" t="s">
        <v>1039</v>
      </c>
      <c r="AF309" s="4" t="s">
        <v>760</v>
      </c>
    </row>
    <row r="310" spans="1:35" ht="18" x14ac:dyDescent="0.3">
      <c r="A310" s="25" t="s">
        <v>1040</v>
      </c>
      <c r="B310" s="25"/>
      <c r="C310" s="30" t="s">
        <v>771</v>
      </c>
      <c r="D310" s="27"/>
      <c r="E310" s="27"/>
      <c r="F310" s="31" t="s">
        <v>87</v>
      </c>
      <c r="G310" s="32">
        <v>1</v>
      </c>
      <c r="H310" s="27"/>
      <c r="I310" s="33">
        <v>3617.6</v>
      </c>
      <c r="J310" s="34">
        <v>15.76</v>
      </c>
      <c r="K310" s="35"/>
      <c r="L310" s="35"/>
      <c r="M310" s="34">
        <f>ROUND(ROUND(J310, 2)*I310, 2)</f>
        <v>57013.38</v>
      </c>
      <c r="N310" s="35"/>
      <c r="O310" s="35"/>
      <c r="P310" s="34">
        <v>15.76</v>
      </c>
      <c r="Q310" s="35"/>
      <c r="R310" s="35"/>
      <c r="S310" s="34">
        <f>ROUND(ROUND(P310, 2)*I310, 2)</f>
        <v>57013.38</v>
      </c>
      <c r="T310" s="35"/>
      <c r="U310" s="36"/>
      <c r="V310" s="9">
        <f>ROUND(ROUND(P310, 2)/1.2, 2)</f>
        <v>13.13</v>
      </c>
      <c r="Y310" s="9">
        <f t="shared" si="39"/>
        <v>47511.15</v>
      </c>
      <c r="AD310" s="4" t="s">
        <v>1041</v>
      </c>
      <c r="AE310" s="4" t="s">
        <v>1042</v>
      </c>
      <c r="AF310" s="4" t="s">
        <v>774</v>
      </c>
    </row>
    <row r="311" spans="1:35" ht="18" x14ac:dyDescent="0.3">
      <c r="A311" s="25" t="s">
        <v>1043</v>
      </c>
      <c r="B311" s="25"/>
      <c r="C311" s="30" t="s">
        <v>764</v>
      </c>
      <c r="D311" s="27"/>
      <c r="E311" s="27"/>
      <c r="F311" s="31" t="s">
        <v>70</v>
      </c>
      <c r="G311" s="32">
        <v>0.25</v>
      </c>
      <c r="H311" s="27"/>
      <c r="I311" s="32">
        <v>904.4</v>
      </c>
      <c r="J311" s="34">
        <v>100</v>
      </c>
      <c r="K311" s="35"/>
      <c r="L311" s="35"/>
      <c r="M311" s="34">
        <f>ROUND(ROUND(J311, 2)*I311, 2)</f>
        <v>90440</v>
      </c>
      <c r="N311" s="35"/>
      <c r="O311" s="35"/>
      <c r="P311" s="34">
        <v>100</v>
      </c>
      <c r="Q311" s="35"/>
      <c r="R311" s="35"/>
      <c r="S311" s="34">
        <f>ROUND(ROUND(P311, 2)*I311, 2)</f>
        <v>90440</v>
      </c>
      <c r="T311" s="35"/>
      <c r="U311" s="36"/>
      <c r="V311" s="9">
        <f>ROUND(ROUND(P311, 2)/1.2, 2)</f>
        <v>83.33</v>
      </c>
      <c r="Y311" s="9">
        <f t="shared" si="39"/>
        <v>75366.67</v>
      </c>
      <c r="AD311" s="4" t="s">
        <v>1044</v>
      </c>
      <c r="AE311" s="4" t="s">
        <v>1045</v>
      </c>
      <c r="AF311" s="4" t="s">
        <v>767</v>
      </c>
    </row>
    <row r="312" spans="1:35" ht="54" x14ac:dyDescent="0.3">
      <c r="A312" s="25" t="s">
        <v>1046</v>
      </c>
      <c r="B312" s="25" t="s">
        <v>1033</v>
      </c>
      <c r="C312" s="26" t="s">
        <v>1034</v>
      </c>
      <c r="D312" s="27"/>
      <c r="E312" s="27" t="s">
        <v>991</v>
      </c>
      <c r="F312" s="27" t="s">
        <v>64</v>
      </c>
      <c r="G312" s="28">
        <v>1</v>
      </c>
      <c r="H312" s="27"/>
      <c r="I312" s="28">
        <v>4510.8</v>
      </c>
      <c r="J312" s="29">
        <f>IFERROR(ROUND(SUM(M313,M314,M315)/I312, 2),0)</f>
        <v>357.08</v>
      </c>
      <c r="K312" s="29">
        <v>1073</v>
      </c>
      <c r="L312" s="29">
        <f>J312+ROUND(K312, 2)</f>
        <v>1430.08</v>
      </c>
      <c r="M312" s="29">
        <f>ROUND(J312*I312, 2)</f>
        <v>1610716.46</v>
      </c>
      <c r="N312" s="29">
        <f>ROUND(I312*ROUND(K312, 2), 2)</f>
        <v>4840088.4000000004</v>
      </c>
      <c r="O312" s="29">
        <f>M312+N312</f>
        <v>6450804.8600000003</v>
      </c>
      <c r="P312" s="29">
        <f>IFERROR(ROUND(SUM(S313,S314,S315)/I312, 2),0)</f>
        <v>357.08</v>
      </c>
      <c r="Q312" s="29">
        <v>1073</v>
      </c>
      <c r="R312" s="29">
        <f>P312+ROUND(Q312, 2)</f>
        <v>1430.08</v>
      </c>
      <c r="S312" s="29">
        <f>ROUND(P312*I312, 2)</f>
        <v>1610716.46</v>
      </c>
      <c r="T312" s="29">
        <f>ROUND(I312*ROUND(Q312, 2), 2)</f>
        <v>4840088.4000000004</v>
      </c>
      <c r="U312" s="29">
        <f>S312+T312</f>
        <v>6450804.8600000003</v>
      </c>
      <c r="V312" s="9">
        <f>ROUND(P312 / 1.2, 2)</f>
        <v>297.57</v>
      </c>
      <c r="W312" s="9">
        <f>ROUND(Q312 / 1.2, 2)</f>
        <v>894.17</v>
      </c>
      <c r="X312" s="9">
        <f>ROUND(R312 / 1.2, 2)</f>
        <v>1191.73</v>
      </c>
      <c r="Y312" s="9">
        <f t="shared" si="39"/>
        <v>1342263.72</v>
      </c>
      <c r="Z312" s="9">
        <f>ROUND(T312 / 1.2, 2)</f>
        <v>4033407</v>
      </c>
      <c r="AA312" s="9">
        <f>Y312+Z312</f>
        <v>5375670.7199999997</v>
      </c>
      <c r="AD312" s="4">
        <v>271132188</v>
      </c>
      <c r="AE312" s="4">
        <v>19976798</v>
      </c>
      <c r="AG312" s="4" t="s">
        <v>1035</v>
      </c>
      <c r="AH312" s="4" t="s">
        <v>1036</v>
      </c>
      <c r="AI312" s="4" t="s">
        <v>67</v>
      </c>
    </row>
    <row r="313" spans="1:35" ht="36" x14ac:dyDescent="0.3">
      <c r="A313" s="25" t="s">
        <v>1047</v>
      </c>
      <c r="B313" s="25"/>
      <c r="C313" s="30" t="s">
        <v>433</v>
      </c>
      <c r="D313" s="27"/>
      <c r="E313" s="27"/>
      <c r="F313" s="31" t="s">
        <v>70</v>
      </c>
      <c r="G313" s="32">
        <v>0.15</v>
      </c>
      <c r="H313" s="27"/>
      <c r="I313" s="33">
        <v>676.62</v>
      </c>
      <c r="J313" s="34">
        <v>88.8</v>
      </c>
      <c r="K313" s="35"/>
      <c r="L313" s="35"/>
      <c r="M313" s="34">
        <f>ROUND(ROUND(J313, 2)*I313, 2)</f>
        <v>60083.86</v>
      </c>
      <c r="N313" s="35"/>
      <c r="O313" s="35"/>
      <c r="P313" s="34">
        <v>88.8</v>
      </c>
      <c r="Q313" s="35"/>
      <c r="R313" s="35"/>
      <c r="S313" s="34">
        <f>ROUND(ROUND(P313, 2)*I313, 2)</f>
        <v>60083.86</v>
      </c>
      <c r="T313" s="35"/>
      <c r="U313" s="36"/>
      <c r="V313" s="9">
        <f>ROUND(ROUND(P313, 2)/1.2, 2)</f>
        <v>74</v>
      </c>
      <c r="Y313" s="9">
        <f t="shared" si="39"/>
        <v>50069.88</v>
      </c>
      <c r="AD313" s="4" t="s">
        <v>1048</v>
      </c>
      <c r="AE313" s="4" t="s">
        <v>1049</v>
      </c>
      <c r="AF313" s="4" t="s">
        <v>436</v>
      </c>
    </row>
    <row r="314" spans="1:35" ht="18" x14ac:dyDescent="0.3">
      <c r="A314" s="25" t="s">
        <v>1050</v>
      </c>
      <c r="B314" s="25"/>
      <c r="C314" s="30" t="s">
        <v>771</v>
      </c>
      <c r="D314" s="27"/>
      <c r="E314" s="27"/>
      <c r="F314" s="31" t="s">
        <v>87</v>
      </c>
      <c r="G314" s="32">
        <v>1</v>
      </c>
      <c r="H314" s="27"/>
      <c r="I314" s="33">
        <v>4510.8</v>
      </c>
      <c r="J314" s="34">
        <v>15.76</v>
      </c>
      <c r="K314" s="35"/>
      <c r="L314" s="35"/>
      <c r="M314" s="34">
        <f>ROUND(ROUND(J314, 2)*I314, 2)</f>
        <v>71090.210000000006</v>
      </c>
      <c r="N314" s="35"/>
      <c r="O314" s="35"/>
      <c r="P314" s="34">
        <v>15.76</v>
      </c>
      <c r="Q314" s="35"/>
      <c r="R314" s="35"/>
      <c r="S314" s="34">
        <f>ROUND(ROUND(P314, 2)*I314, 2)</f>
        <v>71090.210000000006</v>
      </c>
      <c r="T314" s="35"/>
      <c r="U314" s="36"/>
      <c r="V314" s="9">
        <f>ROUND(ROUND(P314, 2)/1.2, 2)</f>
        <v>13.13</v>
      </c>
      <c r="Y314" s="9">
        <f t="shared" si="39"/>
        <v>59241.84</v>
      </c>
      <c r="AD314" s="4" t="s">
        <v>1051</v>
      </c>
      <c r="AE314" s="4" t="s">
        <v>1052</v>
      </c>
      <c r="AF314" s="4" t="s">
        <v>774</v>
      </c>
    </row>
    <row r="315" spans="1:35" ht="36" x14ac:dyDescent="0.3">
      <c r="A315" s="25" t="s">
        <v>1053</v>
      </c>
      <c r="B315" s="25"/>
      <c r="C315" s="17" t="s">
        <v>756</v>
      </c>
      <c r="D315" s="27"/>
      <c r="E315" s="27"/>
      <c r="F315" s="31" t="s">
        <v>70</v>
      </c>
      <c r="G315" s="32">
        <v>1</v>
      </c>
      <c r="H315" s="27"/>
      <c r="I315" s="33">
        <v>180432</v>
      </c>
      <c r="J315" s="34">
        <v>8.1999999999999993</v>
      </c>
      <c r="K315" s="35"/>
      <c r="L315" s="35"/>
      <c r="M315" s="34">
        <f>ROUND(ROUND(J315, 2)*I315, 2)</f>
        <v>1479542.4</v>
      </c>
      <c r="N315" s="35"/>
      <c r="O315" s="35"/>
      <c r="P315" s="34">
        <v>8.1999999999999993</v>
      </c>
      <c r="Q315" s="35"/>
      <c r="R315" s="35"/>
      <c r="S315" s="34">
        <f>ROUND(ROUND(P315, 2)*I315, 2)</f>
        <v>1479542.4</v>
      </c>
      <c r="T315" s="35"/>
      <c r="U315" s="36"/>
      <c r="V315" s="9">
        <f>ROUND(ROUND(P315, 2)/1.2, 2)</f>
        <v>6.83</v>
      </c>
      <c r="Y315" s="9">
        <f t="shared" si="39"/>
        <v>1232952</v>
      </c>
      <c r="AD315" s="4" t="s">
        <v>1054</v>
      </c>
      <c r="AE315" s="4" t="s">
        <v>1055</v>
      </c>
      <c r="AF315" s="4" t="s">
        <v>760</v>
      </c>
    </row>
    <row r="316" spans="1:35" ht="54" x14ac:dyDescent="0.3">
      <c r="A316" s="25" t="s">
        <v>1056</v>
      </c>
      <c r="B316" s="25" t="s">
        <v>1033</v>
      </c>
      <c r="C316" s="26" t="s">
        <v>1034</v>
      </c>
      <c r="D316" s="27"/>
      <c r="E316" s="27" t="s">
        <v>1005</v>
      </c>
      <c r="F316" s="27" t="s">
        <v>64</v>
      </c>
      <c r="G316" s="28">
        <v>1</v>
      </c>
      <c r="H316" s="27"/>
      <c r="I316" s="28">
        <v>3125.2</v>
      </c>
      <c r="J316" s="29">
        <f>IFERROR(ROUND(SUM(M317,M318,M319)/I316, 2),0)</f>
        <v>368.76</v>
      </c>
      <c r="K316" s="29">
        <v>1073</v>
      </c>
      <c r="L316" s="29">
        <f>J316+ROUND(K316, 2)</f>
        <v>1441.76</v>
      </c>
      <c r="M316" s="29">
        <f>ROUND(J316*I316, 2)</f>
        <v>1152448.75</v>
      </c>
      <c r="N316" s="29">
        <f>ROUND(I316*ROUND(K316, 2), 2)</f>
        <v>3353339.6</v>
      </c>
      <c r="O316" s="29">
        <f>M316+N316</f>
        <v>4505788.3499999996</v>
      </c>
      <c r="P316" s="29">
        <f>IFERROR(ROUND(SUM(S317,S318,S319)/I316, 2),0)</f>
        <v>368.76</v>
      </c>
      <c r="Q316" s="29">
        <v>1073</v>
      </c>
      <c r="R316" s="29">
        <f>P316+ROUND(Q316, 2)</f>
        <v>1441.76</v>
      </c>
      <c r="S316" s="29">
        <f>ROUND(P316*I316, 2)</f>
        <v>1152448.75</v>
      </c>
      <c r="T316" s="29">
        <f>ROUND(I316*ROUND(Q316, 2), 2)</f>
        <v>3353339.6</v>
      </c>
      <c r="U316" s="29">
        <f>S316+T316</f>
        <v>4505788.3499999996</v>
      </c>
      <c r="V316" s="9">
        <f>ROUND(P316 / 1.2, 2)</f>
        <v>307.3</v>
      </c>
      <c r="W316" s="9">
        <f>ROUND(Q316 / 1.2, 2)</f>
        <v>894.17</v>
      </c>
      <c r="X316" s="9">
        <f>ROUND(R316 / 1.2, 2)</f>
        <v>1201.47</v>
      </c>
      <c r="Y316" s="9">
        <f t="shared" si="39"/>
        <v>960373.96</v>
      </c>
      <c r="Z316" s="9">
        <f>ROUND(T316 / 1.2, 2)</f>
        <v>2794449.67</v>
      </c>
      <c r="AA316" s="9">
        <f>Y316+Z316</f>
        <v>3754823.63</v>
      </c>
      <c r="AD316" s="4">
        <v>271132189</v>
      </c>
      <c r="AE316" s="4">
        <v>19976799</v>
      </c>
      <c r="AG316" s="4" t="s">
        <v>1035</v>
      </c>
      <c r="AH316" s="4" t="s">
        <v>1036</v>
      </c>
      <c r="AI316" s="4" t="s">
        <v>67</v>
      </c>
    </row>
    <row r="317" spans="1:35" ht="18" x14ac:dyDescent="0.3">
      <c r="A317" s="25" t="s">
        <v>1057</v>
      </c>
      <c r="B317" s="25"/>
      <c r="C317" s="30" t="s">
        <v>764</v>
      </c>
      <c r="D317" s="27"/>
      <c r="E317" s="27"/>
      <c r="F317" s="31" t="s">
        <v>70</v>
      </c>
      <c r="G317" s="32">
        <v>0.25</v>
      </c>
      <c r="H317" s="27"/>
      <c r="I317" s="32">
        <v>781.3</v>
      </c>
      <c r="J317" s="34">
        <v>100</v>
      </c>
      <c r="K317" s="35"/>
      <c r="L317" s="35"/>
      <c r="M317" s="34">
        <f>ROUND(ROUND(J317, 2)*I317, 2)</f>
        <v>78130</v>
      </c>
      <c r="N317" s="35"/>
      <c r="O317" s="35"/>
      <c r="P317" s="34">
        <v>100</v>
      </c>
      <c r="Q317" s="35"/>
      <c r="R317" s="35"/>
      <c r="S317" s="34">
        <f>ROUND(ROUND(P317, 2)*I317, 2)</f>
        <v>78130</v>
      </c>
      <c r="T317" s="35"/>
      <c r="U317" s="36"/>
      <c r="V317" s="9">
        <f>ROUND(ROUND(P317, 2)/1.2, 2)</f>
        <v>83.33</v>
      </c>
      <c r="Y317" s="9">
        <f t="shared" si="39"/>
        <v>65108.33</v>
      </c>
      <c r="AD317" s="4" t="s">
        <v>1058</v>
      </c>
      <c r="AE317" s="4" t="s">
        <v>1059</v>
      </c>
      <c r="AF317" s="4" t="s">
        <v>767</v>
      </c>
    </row>
    <row r="318" spans="1:35" ht="18" x14ac:dyDescent="0.3">
      <c r="A318" s="25" t="s">
        <v>1060</v>
      </c>
      <c r="B318" s="25"/>
      <c r="C318" s="30" t="s">
        <v>771</v>
      </c>
      <c r="D318" s="27"/>
      <c r="E318" s="27"/>
      <c r="F318" s="31" t="s">
        <v>87</v>
      </c>
      <c r="G318" s="32">
        <v>1</v>
      </c>
      <c r="H318" s="27"/>
      <c r="I318" s="33">
        <v>3125.2</v>
      </c>
      <c r="J318" s="34">
        <v>15.76</v>
      </c>
      <c r="K318" s="35"/>
      <c r="L318" s="35"/>
      <c r="M318" s="34">
        <f>ROUND(ROUND(J318, 2)*I318, 2)</f>
        <v>49253.15</v>
      </c>
      <c r="N318" s="35"/>
      <c r="O318" s="35"/>
      <c r="P318" s="34">
        <v>15.76</v>
      </c>
      <c r="Q318" s="35"/>
      <c r="R318" s="35"/>
      <c r="S318" s="34">
        <f>ROUND(ROUND(P318, 2)*I318, 2)</f>
        <v>49253.15</v>
      </c>
      <c r="T318" s="35"/>
      <c r="U318" s="36"/>
      <c r="V318" s="9">
        <f>ROUND(ROUND(P318, 2)/1.2, 2)</f>
        <v>13.13</v>
      </c>
      <c r="Y318" s="9">
        <f t="shared" si="39"/>
        <v>41044.29</v>
      </c>
      <c r="AD318" s="4" t="s">
        <v>1061</v>
      </c>
      <c r="AE318" s="4" t="s">
        <v>1062</v>
      </c>
      <c r="AF318" s="4" t="s">
        <v>774</v>
      </c>
    </row>
    <row r="319" spans="1:35" ht="36" x14ac:dyDescent="0.3">
      <c r="A319" s="25" t="s">
        <v>1063</v>
      </c>
      <c r="B319" s="25"/>
      <c r="C319" s="17" t="s">
        <v>756</v>
      </c>
      <c r="D319" s="27"/>
      <c r="E319" s="27"/>
      <c r="F319" s="31" t="s">
        <v>70</v>
      </c>
      <c r="G319" s="32">
        <v>1</v>
      </c>
      <c r="H319" s="27"/>
      <c r="I319" s="33">
        <v>125008</v>
      </c>
      <c r="J319" s="34">
        <v>8.1999999999999993</v>
      </c>
      <c r="K319" s="35"/>
      <c r="L319" s="35"/>
      <c r="M319" s="34">
        <f>ROUND(ROUND(J319, 2)*I319, 2)</f>
        <v>1025065.6</v>
      </c>
      <c r="N319" s="35"/>
      <c r="O319" s="35"/>
      <c r="P319" s="34">
        <v>8.1999999999999993</v>
      </c>
      <c r="Q319" s="35"/>
      <c r="R319" s="35"/>
      <c r="S319" s="34">
        <f>ROUND(ROUND(P319, 2)*I319, 2)</f>
        <v>1025065.6</v>
      </c>
      <c r="T319" s="35"/>
      <c r="U319" s="36"/>
      <c r="V319" s="9">
        <f>ROUND(ROUND(P319, 2)/1.2, 2)</f>
        <v>6.83</v>
      </c>
      <c r="Y319" s="9">
        <f t="shared" si="39"/>
        <v>854221.33</v>
      </c>
      <c r="AD319" s="4" t="s">
        <v>1064</v>
      </c>
      <c r="AE319" s="4" t="s">
        <v>1065</v>
      </c>
      <c r="AF319" s="4" t="s">
        <v>760</v>
      </c>
    </row>
    <row r="320" spans="1:35" ht="54" x14ac:dyDescent="0.3">
      <c r="A320" s="25" t="s">
        <v>1066</v>
      </c>
      <c r="B320" s="25" t="s">
        <v>1033</v>
      </c>
      <c r="C320" s="26" t="s">
        <v>1034</v>
      </c>
      <c r="D320" s="27"/>
      <c r="E320" s="27" t="s">
        <v>1019</v>
      </c>
      <c r="F320" s="27" t="s">
        <v>64</v>
      </c>
      <c r="G320" s="28">
        <v>1</v>
      </c>
      <c r="H320" s="27"/>
      <c r="I320" s="28">
        <v>4248.8</v>
      </c>
      <c r="J320" s="29">
        <f>IFERROR(ROUND(SUM(M321,M322,M323)/I320, 2),0)</f>
        <v>357.08</v>
      </c>
      <c r="K320" s="29">
        <v>1073</v>
      </c>
      <c r="L320" s="29">
        <f>J320+ROUND(K320, 2)</f>
        <v>1430.08</v>
      </c>
      <c r="M320" s="29">
        <f>ROUND(J320*I320, 2)</f>
        <v>1517161.5</v>
      </c>
      <c r="N320" s="29">
        <f>ROUND(I320*ROUND(K320, 2), 2)</f>
        <v>4558962.4000000004</v>
      </c>
      <c r="O320" s="29">
        <f>M320+N320</f>
        <v>6076123.9000000004</v>
      </c>
      <c r="P320" s="29">
        <f>IFERROR(ROUND(SUM(S321,S322,S323)/I320, 2),0)</f>
        <v>357.08</v>
      </c>
      <c r="Q320" s="29">
        <v>1073</v>
      </c>
      <c r="R320" s="29">
        <f>P320+ROUND(Q320, 2)</f>
        <v>1430.08</v>
      </c>
      <c r="S320" s="29">
        <f>ROUND(P320*I320, 2)</f>
        <v>1517161.5</v>
      </c>
      <c r="T320" s="29">
        <f>ROUND(I320*ROUND(Q320, 2), 2)</f>
        <v>4558962.4000000004</v>
      </c>
      <c r="U320" s="29">
        <f>S320+T320</f>
        <v>6076123.9000000004</v>
      </c>
      <c r="V320" s="9">
        <f>ROUND(P320 / 1.2, 2)</f>
        <v>297.57</v>
      </c>
      <c r="W320" s="9">
        <f>ROUND(Q320 / 1.2, 2)</f>
        <v>894.17</v>
      </c>
      <c r="X320" s="9">
        <f>ROUND(R320 / 1.2, 2)</f>
        <v>1191.73</v>
      </c>
      <c r="Y320" s="9">
        <f t="shared" si="39"/>
        <v>1264301.25</v>
      </c>
      <c r="Z320" s="9">
        <f>ROUND(T320 / 1.2, 2)</f>
        <v>3799135.33</v>
      </c>
      <c r="AA320" s="9">
        <f>Y320+Z320</f>
        <v>5063436.58</v>
      </c>
      <c r="AD320" s="4">
        <v>271132190</v>
      </c>
      <c r="AE320" s="4">
        <v>19976800</v>
      </c>
      <c r="AG320" s="4" t="s">
        <v>1035</v>
      </c>
      <c r="AH320" s="4" t="s">
        <v>1036</v>
      </c>
      <c r="AI320" s="4" t="s">
        <v>67</v>
      </c>
    </row>
    <row r="321" spans="1:35" ht="36" x14ac:dyDescent="0.3">
      <c r="A321" s="25" t="s">
        <v>1067</v>
      </c>
      <c r="B321" s="25"/>
      <c r="C321" s="30" t="s">
        <v>433</v>
      </c>
      <c r="D321" s="27"/>
      <c r="E321" s="27"/>
      <c r="F321" s="31" t="s">
        <v>70</v>
      </c>
      <c r="G321" s="32">
        <v>0.15</v>
      </c>
      <c r="H321" s="27"/>
      <c r="I321" s="33">
        <v>637.32000000000005</v>
      </c>
      <c r="J321" s="34">
        <v>88.8</v>
      </c>
      <c r="K321" s="35"/>
      <c r="L321" s="35"/>
      <c r="M321" s="34">
        <f>ROUND(ROUND(J321, 2)*I321, 2)</f>
        <v>56594.02</v>
      </c>
      <c r="N321" s="35"/>
      <c r="O321" s="35"/>
      <c r="P321" s="34">
        <v>88.8</v>
      </c>
      <c r="Q321" s="35"/>
      <c r="R321" s="35"/>
      <c r="S321" s="34">
        <f>ROUND(ROUND(P321, 2)*I321, 2)</f>
        <v>56594.02</v>
      </c>
      <c r="T321" s="35"/>
      <c r="U321" s="36"/>
      <c r="V321" s="9">
        <f>ROUND(ROUND(P321, 2)/1.2, 2)</f>
        <v>74</v>
      </c>
      <c r="Y321" s="9">
        <f t="shared" si="39"/>
        <v>47161.68</v>
      </c>
      <c r="AD321" s="4" t="s">
        <v>1068</v>
      </c>
      <c r="AE321" s="4" t="s">
        <v>1069</v>
      </c>
      <c r="AF321" s="4" t="s">
        <v>436</v>
      </c>
    </row>
    <row r="322" spans="1:35" ht="18" x14ac:dyDescent="0.3">
      <c r="A322" s="25" t="s">
        <v>1070</v>
      </c>
      <c r="B322" s="25"/>
      <c r="C322" s="30" t="s">
        <v>771</v>
      </c>
      <c r="D322" s="27"/>
      <c r="E322" s="27"/>
      <c r="F322" s="31" t="s">
        <v>87</v>
      </c>
      <c r="G322" s="32">
        <v>1</v>
      </c>
      <c r="H322" s="27"/>
      <c r="I322" s="33">
        <v>4248.8</v>
      </c>
      <c r="J322" s="34">
        <v>15.76</v>
      </c>
      <c r="K322" s="35"/>
      <c r="L322" s="35"/>
      <c r="M322" s="34">
        <f>ROUND(ROUND(J322, 2)*I322, 2)</f>
        <v>66961.09</v>
      </c>
      <c r="N322" s="35"/>
      <c r="O322" s="35"/>
      <c r="P322" s="34">
        <v>15.76</v>
      </c>
      <c r="Q322" s="35"/>
      <c r="R322" s="35"/>
      <c r="S322" s="34">
        <f>ROUND(ROUND(P322, 2)*I322, 2)</f>
        <v>66961.09</v>
      </c>
      <c r="T322" s="35"/>
      <c r="U322" s="36"/>
      <c r="V322" s="9">
        <f>ROUND(ROUND(P322, 2)/1.2, 2)</f>
        <v>13.13</v>
      </c>
      <c r="Y322" s="9">
        <f t="shared" si="39"/>
        <v>55800.91</v>
      </c>
      <c r="AD322" s="4" t="s">
        <v>1071</v>
      </c>
      <c r="AE322" s="4" t="s">
        <v>1072</v>
      </c>
      <c r="AF322" s="4" t="s">
        <v>774</v>
      </c>
    </row>
    <row r="323" spans="1:35" ht="36" x14ac:dyDescent="0.3">
      <c r="A323" s="25" t="s">
        <v>1073</v>
      </c>
      <c r="B323" s="25"/>
      <c r="C323" s="17" t="s">
        <v>756</v>
      </c>
      <c r="D323" s="27"/>
      <c r="E323" s="27"/>
      <c r="F323" s="31" t="s">
        <v>70</v>
      </c>
      <c r="G323" s="32">
        <v>1</v>
      </c>
      <c r="H323" s="27"/>
      <c r="I323" s="33">
        <v>169952</v>
      </c>
      <c r="J323" s="34">
        <v>8.1999999999999993</v>
      </c>
      <c r="K323" s="35"/>
      <c r="L323" s="35"/>
      <c r="M323" s="34">
        <f>ROUND(ROUND(J323, 2)*I323, 2)</f>
        <v>1393606.4</v>
      </c>
      <c r="N323" s="35"/>
      <c r="O323" s="35"/>
      <c r="P323" s="34">
        <v>8.1999999999999993</v>
      </c>
      <c r="Q323" s="35"/>
      <c r="R323" s="35"/>
      <c r="S323" s="34">
        <f>ROUND(ROUND(P323, 2)*I323, 2)</f>
        <v>1393606.4</v>
      </c>
      <c r="T323" s="35"/>
      <c r="U323" s="36"/>
      <c r="V323" s="9">
        <f>ROUND(ROUND(P323, 2)/1.2, 2)</f>
        <v>6.83</v>
      </c>
      <c r="Y323" s="9">
        <f t="shared" si="39"/>
        <v>1161338.67</v>
      </c>
      <c r="AD323" s="4" t="s">
        <v>1074</v>
      </c>
      <c r="AE323" s="4" t="s">
        <v>1075</v>
      </c>
      <c r="AF323" s="4" t="s">
        <v>760</v>
      </c>
    </row>
    <row r="324" spans="1:35" ht="17.100000000000001" customHeight="1" x14ac:dyDescent="0.3">
      <c r="A324" s="10" t="s">
        <v>1076</v>
      </c>
      <c r="B324" s="10" t="s">
        <v>1077</v>
      </c>
      <c r="C324" s="185" t="s">
        <v>1078</v>
      </c>
      <c r="D324" s="186"/>
      <c r="E324" s="186"/>
      <c r="F324" s="186"/>
      <c r="G324" s="186"/>
      <c r="H324" s="186"/>
      <c r="I324" s="187"/>
      <c r="M324" s="6">
        <f>SUM(M325,M337,M349,M355,M361,M367,M373,M379,M385,M391,M394,M397,M400,M403,M406,M409,M412,M415,M418,M421,M424,M427,M430,M433,M436,M439,M442,M445,M448,M451,M454,M457,M462,M467,M472,M476,M481,M485,M491,M497,M502,M507,M512,M517,M522,M528,M533)</f>
        <v>2460235.5099999998</v>
      </c>
      <c r="N324" s="6">
        <f>SUM(N325,N337,N349,N355,N361,N367,N373,N379,N385,N391,N394,N397,N400,N403,N406,N409,N412,N415,N418,N421,N424,N427,N430,N433,N436,N439,N442,N445,N448,N451,N454,N457,N462,N467,N472,N476,N481,N485,N491,N497,N502,N507,N512,N517,N522,N528,N533)</f>
        <v>10285693.439999999</v>
      </c>
      <c r="O324" s="6">
        <f>SUM(O325,O337,O349,O355,O361,O367,O373,O379,O385,O391,O394,O397,O400,O403,O406,O409,O412,O415,O418,O421,O424,O427,O430,O433,O436,O439,O442,O445,O448,O451,O454,O457,O462,O467,O472,O476,O481,O485,O491,O497,O502,O507,O512,O517,O522,O528,O533)</f>
        <v>12745928.949999999</v>
      </c>
      <c r="S324" s="6">
        <f>SUM(S325,S337,S349,S355,S361,S367,S373,S379,S385,S391,S394,S397,S400,S403,S406,S409,S412,S415,S418,S421,S424,S427,S430,S433,S436,S439,S442,S445,S448,S451,S454,S457,S462,S467,S472,S476,S481,S485,S491,S497,S502,S507,S512,S517,S522,S528,S533)</f>
        <v>2460235.5099999998</v>
      </c>
      <c r="T324" s="6">
        <f>SUM(T325,T337,T349,T355,T361,T367,T373,T379,T385,T391,T394,T397,T400,T403,T406,T409,T412,T415,T418,T421,T424,T427,T430,T433,T436,T439,T442,T445,T448,T451,T454,T457,T462,T467,T472,T476,T481,T485,T491,T497,T502,T507,T512,T517,T522,T528,T533)</f>
        <v>10285693.439999999</v>
      </c>
      <c r="U324" s="6">
        <f>SUM(U325,U337,U349,U355,U361,U367,U373,U379,U385,U391,U394,U397,U400,U403,U406,U409,U412,U415,U418,U421,U424,U427,U430,U433,U436,U439,U442,U445,U448,U451,U454,U457,U462,U467,U472,U476,U481,U485,U491,U497,U502,U507,U512,U517,U522,U528,U533)</f>
        <v>12745928.949999999</v>
      </c>
      <c r="Y324" s="9">
        <f>SUM(Y325,Y337,Y349,Y355,Y361,Y367,Y373,Y379,Y385,Y391,Y394,Y397,Y400,Y403,Y406,Y409,Y412,Y415,Y418,Y421,Y424,Y427,Y430,Y433,Y436,Y439,Y442,Y445,Y448,Y451,Y454,Y457,Y462,Y467,Y472,Y476,Y481,Y485,Y491,Y497,Y502,Y507,Y512,Y517,Y522,Y528,Y533)</f>
        <v>2050196.29</v>
      </c>
      <c r="Z324" s="9">
        <f>SUM(Z325,Z337,Z349,Z355,Z361,Z367,Z373,Z379,Z385,Z391,Z394,Z397,Z400,Z403,Z406,Z409,Z412,Z415,Z418,Z421,Z424,Z427,Z430,Z433,Z436,Z439,Z442,Z445,Z448,Z451,Z454,Z457,Z462,Z467,Z472,Z476,Z481,Z485,Z491,Z497,Z502,Z507,Z512,Z517,Z522,Z528,Z533)</f>
        <v>8571411.2100000009</v>
      </c>
      <c r="AA324" s="9">
        <f>SUM(AA325,AA337,AA349,AA355,AA361,AA367,AA373,AA379,AA385,AA391,AA394,AA397,AA400,AA403,AA406,AA409,AA412,AA415,AA418,AA421,AA424,AA427,AA430,AA433,AA436,AA439,AA442,AA445,AA448,AA451,AA454,AA457,AA462,AA467,AA472,AA476,AA481,AA485,AA491,AA497,AA502,AA507,AA512,AA517,AA522,AA528,AA533)</f>
        <v>10621607.5</v>
      </c>
      <c r="AD324" s="4">
        <v>271132109</v>
      </c>
      <c r="AE324" s="4">
        <v>16211525</v>
      </c>
    </row>
    <row r="325" spans="1:35" ht="54" x14ac:dyDescent="0.3">
      <c r="A325" s="37" t="s">
        <v>1079</v>
      </c>
      <c r="B325" s="37" t="s">
        <v>1080</v>
      </c>
      <c r="C325" s="38" t="s">
        <v>1081</v>
      </c>
      <c r="D325" s="39"/>
      <c r="E325" s="39" t="s">
        <v>63</v>
      </c>
      <c r="F325" s="39" t="s">
        <v>64</v>
      </c>
      <c r="G325" s="40">
        <v>1</v>
      </c>
      <c r="H325" s="39"/>
      <c r="I325" s="41">
        <v>0</v>
      </c>
      <c r="J325" s="42">
        <f>IFERROR(ROUND(SUM(M327,M329,M331,M333,M335)/I325, 2),0)</f>
        <v>0</v>
      </c>
      <c r="K325" s="42">
        <v>1869</v>
      </c>
      <c r="L325" s="42">
        <f>J325+ROUND(K325, 2)</f>
        <v>1869</v>
      </c>
      <c r="M325" s="42">
        <f>ROUND(J325*I325, 2)</f>
        <v>0</v>
      </c>
      <c r="N325" s="42">
        <f>ROUND(I325*ROUND(K325, 2), 2)</f>
        <v>0</v>
      </c>
      <c r="O325" s="42">
        <f>M325+N325</f>
        <v>0</v>
      </c>
      <c r="P325" s="42">
        <f>IFERROR(ROUND(SUM(S327,S329,S331,S333,S335)/I325, 2),0)</f>
        <v>0</v>
      </c>
      <c r="Q325" s="42">
        <v>1869</v>
      </c>
      <c r="R325" s="42">
        <f>P325+ROUND(Q325, 2)</f>
        <v>1869</v>
      </c>
      <c r="S325" s="42">
        <f>ROUND(P325*I325, 2)</f>
        <v>0</v>
      </c>
      <c r="T325" s="42">
        <f>ROUND(I325*ROUND(Q325, 2), 2)</f>
        <v>0</v>
      </c>
      <c r="U325" s="42">
        <f>S325+T325</f>
        <v>0</v>
      </c>
      <c r="V325" s="9">
        <f>ROUND(P325 / 1.2, 2)</f>
        <v>0</v>
      </c>
      <c r="W325" s="9">
        <f>ROUND(Q325 / 1.2, 2)</f>
        <v>1557.5</v>
      </c>
      <c r="X325" s="9">
        <f>ROUND(R325 / 1.2, 2)</f>
        <v>1557.5</v>
      </c>
      <c r="Y325" s="9">
        <f>ROUND(S325 / 1.2, 2)</f>
        <v>0</v>
      </c>
      <c r="Z325" s="9">
        <f>ROUND(T325 / 1.2, 2)</f>
        <v>0</v>
      </c>
      <c r="AA325" s="9">
        <f>Y325+Z325</f>
        <v>0</v>
      </c>
      <c r="AD325" s="4">
        <v>271132111</v>
      </c>
      <c r="AE325" s="4">
        <v>16211621</v>
      </c>
      <c r="AG325" s="4" t="s">
        <v>1082</v>
      </c>
      <c r="AH325" s="4" t="s">
        <v>1083</v>
      </c>
      <c r="AI325" s="4" t="s">
        <v>67</v>
      </c>
    </row>
    <row r="326" spans="1:35" ht="54" x14ac:dyDescent="0.3">
      <c r="A326" s="43" t="s">
        <v>1084</v>
      </c>
      <c r="B326" s="43" t="s">
        <v>1080</v>
      </c>
      <c r="C326" s="44" t="s">
        <v>1081</v>
      </c>
      <c r="D326" s="45"/>
      <c r="E326" s="45"/>
      <c r="F326" s="45" t="s">
        <v>64</v>
      </c>
      <c r="G326" s="46">
        <v>1</v>
      </c>
      <c r="H326" s="45"/>
      <c r="I326" s="46">
        <v>493</v>
      </c>
      <c r="J326" s="47">
        <v>0</v>
      </c>
      <c r="K326" s="47">
        <v>1869</v>
      </c>
      <c r="L326" s="47"/>
      <c r="M326" s="47">
        <v>0</v>
      </c>
      <c r="N326" s="47"/>
      <c r="O326" s="47"/>
      <c r="P326" s="47">
        <v>0</v>
      </c>
      <c r="Q326" s="47">
        <v>1869</v>
      </c>
      <c r="R326" s="47"/>
      <c r="S326" s="47">
        <v>0</v>
      </c>
      <c r="T326" s="47"/>
      <c r="U326" s="47"/>
      <c r="V326" s="9"/>
      <c r="W326" s="9">
        <f>ROUND(Q326 / 1.2, 2)</f>
        <v>1557.5</v>
      </c>
      <c r="X326" s="9" t="e">
        <f>ROUND(R326 / 1.2, 2)</f>
        <v>#VALUE!</v>
      </c>
      <c r="Y326" s="9"/>
      <c r="Z326" s="9" t="e">
        <f>ROUND(T326 / 1.2, 2)</f>
        <v>#VALUE!</v>
      </c>
      <c r="AA326" s="9"/>
      <c r="AD326" s="4">
        <v>213504123</v>
      </c>
      <c r="AE326" s="4">
        <v>16211621</v>
      </c>
      <c r="AG326" s="4" t="s">
        <v>1082</v>
      </c>
      <c r="AH326" s="4" t="s">
        <v>1083</v>
      </c>
      <c r="AI326" s="4"/>
    </row>
    <row r="327" spans="1:35" ht="36" x14ac:dyDescent="0.3">
      <c r="A327" s="37" t="s">
        <v>1085</v>
      </c>
      <c r="B327" s="37"/>
      <c r="C327" s="48" t="s">
        <v>1086</v>
      </c>
      <c r="D327" s="39"/>
      <c r="E327" s="39"/>
      <c r="F327" s="49" t="s">
        <v>87</v>
      </c>
      <c r="G327" s="50">
        <v>0.23</v>
      </c>
      <c r="H327" s="39"/>
      <c r="I327" s="51">
        <v>0</v>
      </c>
      <c r="J327" s="52">
        <v>97.71</v>
      </c>
      <c r="K327" s="53"/>
      <c r="L327" s="53"/>
      <c r="M327" s="52">
        <f t="shared" ref="M327:M336" si="40">ROUND(ROUND(J327, 2)*I327, 2)</f>
        <v>0</v>
      </c>
      <c r="N327" s="53"/>
      <c r="O327" s="53"/>
      <c r="P327" s="52">
        <v>97.71</v>
      </c>
      <c r="Q327" s="53"/>
      <c r="R327" s="53"/>
      <c r="S327" s="52">
        <f t="shared" ref="S327:S336" si="41">ROUND(ROUND(P327, 2)*I327, 2)</f>
        <v>0</v>
      </c>
      <c r="T327" s="53"/>
      <c r="U327" s="54"/>
      <c r="V327" s="9">
        <f t="shared" ref="V327:V336" si="42">ROUND(ROUND(P327, 2)/1.2, 2)</f>
        <v>81.430000000000007</v>
      </c>
      <c r="Y327" s="9">
        <f t="shared" ref="Y327:Y337" si="43">ROUND(S327 / 1.2, 2)</f>
        <v>0</v>
      </c>
      <c r="AD327" s="4" t="s">
        <v>1087</v>
      </c>
      <c r="AE327" s="4" t="s">
        <v>1088</v>
      </c>
      <c r="AF327" s="4" t="s">
        <v>1089</v>
      </c>
    </row>
    <row r="328" spans="1:35" ht="36" x14ac:dyDescent="0.3">
      <c r="A328" s="43" t="s">
        <v>1090</v>
      </c>
      <c r="B328" s="43"/>
      <c r="C328" s="55" t="s">
        <v>1086</v>
      </c>
      <c r="D328" s="45"/>
      <c r="E328" s="45"/>
      <c r="F328" s="56" t="s">
        <v>87</v>
      </c>
      <c r="G328" s="57">
        <v>0.23</v>
      </c>
      <c r="H328" s="45"/>
      <c r="I328" s="58">
        <v>30.13</v>
      </c>
      <c r="J328" s="59">
        <v>97.71</v>
      </c>
      <c r="K328" s="60"/>
      <c r="L328" s="60"/>
      <c r="M328" s="59">
        <f t="shared" si="40"/>
        <v>2944</v>
      </c>
      <c r="N328" s="60"/>
      <c r="O328" s="60"/>
      <c r="P328" s="59">
        <v>97.71</v>
      </c>
      <c r="Q328" s="60"/>
      <c r="R328" s="60"/>
      <c r="S328" s="59">
        <f t="shared" si="41"/>
        <v>2944</v>
      </c>
      <c r="T328" s="60"/>
      <c r="U328" s="61"/>
      <c r="V328" s="9">
        <f t="shared" si="42"/>
        <v>81.430000000000007</v>
      </c>
      <c r="Y328" s="9">
        <f t="shared" si="43"/>
        <v>2453.33</v>
      </c>
      <c r="AD328" s="4" t="s">
        <v>1091</v>
      </c>
      <c r="AE328" s="4" t="s">
        <v>1088</v>
      </c>
      <c r="AF328" s="4" t="s">
        <v>1089</v>
      </c>
    </row>
    <row r="329" spans="1:35" ht="54" x14ac:dyDescent="0.3">
      <c r="A329" s="37" t="s">
        <v>1092</v>
      </c>
      <c r="B329" s="37"/>
      <c r="C329" s="48" t="s">
        <v>601</v>
      </c>
      <c r="D329" s="39"/>
      <c r="E329" s="39" t="s">
        <v>402</v>
      </c>
      <c r="F329" s="49" t="s">
        <v>70</v>
      </c>
      <c r="G329" s="50">
        <v>1.2</v>
      </c>
      <c r="H329" s="39"/>
      <c r="I329" s="51">
        <v>0</v>
      </c>
      <c r="J329" s="52">
        <v>12.33</v>
      </c>
      <c r="K329" s="53"/>
      <c r="L329" s="53"/>
      <c r="M329" s="52">
        <f t="shared" si="40"/>
        <v>0</v>
      </c>
      <c r="N329" s="53"/>
      <c r="O329" s="53"/>
      <c r="P329" s="52">
        <v>12.33</v>
      </c>
      <c r="Q329" s="53"/>
      <c r="R329" s="53"/>
      <c r="S329" s="52">
        <f t="shared" si="41"/>
        <v>0</v>
      </c>
      <c r="T329" s="53"/>
      <c r="U329" s="54"/>
      <c r="V329" s="9">
        <f t="shared" si="42"/>
        <v>10.28</v>
      </c>
      <c r="Y329" s="9">
        <f t="shared" si="43"/>
        <v>0</v>
      </c>
      <c r="AD329" s="4" t="s">
        <v>1093</v>
      </c>
      <c r="AE329" s="4" t="s">
        <v>1094</v>
      </c>
      <c r="AF329" s="4" t="s">
        <v>604</v>
      </c>
    </row>
    <row r="330" spans="1:35" ht="54" x14ac:dyDescent="0.3">
      <c r="A330" s="43" t="s">
        <v>1095</v>
      </c>
      <c r="B330" s="43"/>
      <c r="C330" s="55" t="s">
        <v>601</v>
      </c>
      <c r="D330" s="45"/>
      <c r="E330" s="45" t="s">
        <v>402</v>
      </c>
      <c r="F330" s="56" t="s">
        <v>70</v>
      </c>
      <c r="G330" s="57">
        <v>1.2</v>
      </c>
      <c r="H330" s="45"/>
      <c r="I330" s="58">
        <v>1922.7</v>
      </c>
      <c r="J330" s="59">
        <v>12.33</v>
      </c>
      <c r="K330" s="60"/>
      <c r="L330" s="60"/>
      <c r="M330" s="59">
        <f t="shared" si="40"/>
        <v>23706.89</v>
      </c>
      <c r="N330" s="60"/>
      <c r="O330" s="60"/>
      <c r="P330" s="59">
        <v>12.33</v>
      </c>
      <c r="Q330" s="60"/>
      <c r="R330" s="60"/>
      <c r="S330" s="59">
        <f t="shared" si="41"/>
        <v>23706.89</v>
      </c>
      <c r="T330" s="60"/>
      <c r="U330" s="61"/>
      <c r="V330" s="9">
        <f t="shared" si="42"/>
        <v>10.28</v>
      </c>
      <c r="Y330" s="9">
        <f t="shared" si="43"/>
        <v>19755.740000000002</v>
      </c>
      <c r="AD330" s="4" t="s">
        <v>1096</v>
      </c>
      <c r="AE330" s="4" t="s">
        <v>1094</v>
      </c>
      <c r="AF330" s="4" t="s">
        <v>604</v>
      </c>
    </row>
    <row r="331" spans="1:35" ht="90" x14ac:dyDescent="0.3">
      <c r="A331" s="37" t="s">
        <v>1097</v>
      </c>
      <c r="B331" s="37"/>
      <c r="C331" s="48" t="s">
        <v>1098</v>
      </c>
      <c r="D331" s="39"/>
      <c r="E331" s="39" t="s">
        <v>1099</v>
      </c>
      <c r="F331" s="49" t="s">
        <v>64</v>
      </c>
      <c r="G331" s="50">
        <v>1.07</v>
      </c>
      <c r="H331" s="39"/>
      <c r="I331" s="51">
        <v>0</v>
      </c>
      <c r="J331" s="52">
        <v>1279.95</v>
      </c>
      <c r="K331" s="53"/>
      <c r="L331" s="53"/>
      <c r="M331" s="52">
        <f t="shared" si="40"/>
        <v>0</v>
      </c>
      <c r="N331" s="53"/>
      <c r="O331" s="53"/>
      <c r="P331" s="52">
        <v>637.79999999999995</v>
      </c>
      <c r="Q331" s="53"/>
      <c r="R331" s="53"/>
      <c r="S331" s="52">
        <f t="shared" si="41"/>
        <v>0</v>
      </c>
      <c r="T331" s="53"/>
      <c r="U331" s="54"/>
      <c r="V331" s="9">
        <f t="shared" si="42"/>
        <v>531.5</v>
      </c>
      <c r="Y331" s="9">
        <f t="shared" si="43"/>
        <v>0</v>
      </c>
      <c r="AD331" s="4" t="s">
        <v>1100</v>
      </c>
      <c r="AE331" s="4" t="s">
        <v>1101</v>
      </c>
      <c r="AF331" s="4" t="s">
        <v>1102</v>
      </c>
    </row>
    <row r="332" spans="1:35" ht="90" x14ac:dyDescent="0.3">
      <c r="A332" s="43" t="s">
        <v>1103</v>
      </c>
      <c r="B332" s="43"/>
      <c r="C332" s="55" t="s">
        <v>1098</v>
      </c>
      <c r="D332" s="45"/>
      <c r="E332" s="45" t="s">
        <v>1099</v>
      </c>
      <c r="F332" s="56" t="s">
        <v>64</v>
      </c>
      <c r="G332" s="57">
        <v>1.07</v>
      </c>
      <c r="H332" s="45"/>
      <c r="I332" s="58">
        <v>527.51</v>
      </c>
      <c r="J332" s="59">
        <v>1279.95</v>
      </c>
      <c r="K332" s="60"/>
      <c r="L332" s="60"/>
      <c r="M332" s="59">
        <f t="shared" si="40"/>
        <v>675186.42</v>
      </c>
      <c r="N332" s="60"/>
      <c r="O332" s="60"/>
      <c r="P332" s="59">
        <v>637.79999999999995</v>
      </c>
      <c r="Q332" s="60"/>
      <c r="R332" s="60"/>
      <c r="S332" s="59">
        <f t="shared" si="41"/>
        <v>336445.88</v>
      </c>
      <c r="T332" s="60"/>
      <c r="U332" s="61"/>
      <c r="V332" s="9">
        <f t="shared" si="42"/>
        <v>531.5</v>
      </c>
      <c r="Y332" s="9">
        <f t="shared" si="43"/>
        <v>280371.57</v>
      </c>
      <c r="AD332" s="4" t="s">
        <v>1104</v>
      </c>
      <c r="AE332" s="4" t="s">
        <v>1101</v>
      </c>
      <c r="AF332" s="4" t="s">
        <v>1102</v>
      </c>
    </row>
    <row r="333" spans="1:35" ht="18" x14ac:dyDescent="0.3">
      <c r="A333" s="37" t="s">
        <v>1105</v>
      </c>
      <c r="B333" s="37"/>
      <c r="C333" s="48" t="s">
        <v>426</v>
      </c>
      <c r="D333" s="39"/>
      <c r="E333" s="39"/>
      <c r="F333" s="49" t="s">
        <v>70</v>
      </c>
      <c r="G333" s="50">
        <v>0.25</v>
      </c>
      <c r="H333" s="39"/>
      <c r="I333" s="51">
        <v>0</v>
      </c>
      <c r="J333" s="52">
        <v>40.270000000000003</v>
      </c>
      <c r="K333" s="53"/>
      <c r="L333" s="53"/>
      <c r="M333" s="52">
        <f t="shared" si="40"/>
        <v>0</v>
      </c>
      <c r="N333" s="53"/>
      <c r="O333" s="53"/>
      <c r="P333" s="52">
        <v>40.270000000000003</v>
      </c>
      <c r="Q333" s="53"/>
      <c r="R333" s="53"/>
      <c r="S333" s="52">
        <f t="shared" si="41"/>
        <v>0</v>
      </c>
      <c r="T333" s="53"/>
      <c r="U333" s="54"/>
      <c r="V333" s="9">
        <f t="shared" si="42"/>
        <v>33.56</v>
      </c>
      <c r="Y333" s="9">
        <f t="shared" si="43"/>
        <v>0</v>
      </c>
      <c r="AD333" s="4" t="s">
        <v>1106</v>
      </c>
      <c r="AE333" s="4" t="s">
        <v>1107</v>
      </c>
      <c r="AF333" s="4" t="s">
        <v>429</v>
      </c>
    </row>
    <row r="334" spans="1:35" ht="18" x14ac:dyDescent="0.3">
      <c r="A334" s="43" t="s">
        <v>1108</v>
      </c>
      <c r="B334" s="43"/>
      <c r="C334" s="55" t="s">
        <v>426</v>
      </c>
      <c r="D334" s="45"/>
      <c r="E334" s="45"/>
      <c r="F334" s="56" t="s">
        <v>70</v>
      </c>
      <c r="G334" s="57">
        <v>0.25</v>
      </c>
      <c r="H334" s="45"/>
      <c r="I334" s="58">
        <v>123.25</v>
      </c>
      <c r="J334" s="59">
        <v>40.270000000000003</v>
      </c>
      <c r="K334" s="60"/>
      <c r="L334" s="60"/>
      <c r="M334" s="59">
        <f t="shared" si="40"/>
        <v>4963.28</v>
      </c>
      <c r="N334" s="60"/>
      <c r="O334" s="60"/>
      <c r="P334" s="59">
        <v>40.270000000000003</v>
      </c>
      <c r="Q334" s="60"/>
      <c r="R334" s="60"/>
      <c r="S334" s="59">
        <f t="shared" si="41"/>
        <v>4963.28</v>
      </c>
      <c r="T334" s="60"/>
      <c r="U334" s="61"/>
      <c r="V334" s="9">
        <f t="shared" si="42"/>
        <v>33.56</v>
      </c>
      <c r="Y334" s="9">
        <f t="shared" si="43"/>
        <v>4136.07</v>
      </c>
      <c r="AD334" s="4" t="s">
        <v>1109</v>
      </c>
      <c r="AE334" s="4" t="s">
        <v>1107</v>
      </c>
      <c r="AF334" s="4" t="s">
        <v>429</v>
      </c>
    </row>
    <row r="335" spans="1:35" ht="36" x14ac:dyDescent="0.3">
      <c r="A335" s="37" t="s">
        <v>1110</v>
      </c>
      <c r="B335" s="37"/>
      <c r="C335" s="48" t="s">
        <v>452</v>
      </c>
      <c r="D335" s="39"/>
      <c r="E335" s="39"/>
      <c r="F335" s="49" t="s">
        <v>70</v>
      </c>
      <c r="G335" s="50">
        <v>0.15</v>
      </c>
      <c r="H335" s="39"/>
      <c r="I335" s="62">
        <v>0</v>
      </c>
      <c r="J335" s="52">
        <v>68.400000000000006</v>
      </c>
      <c r="K335" s="53"/>
      <c r="L335" s="53"/>
      <c r="M335" s="52">
        <f t="shared" si="40"/>
        <v>0</v>
      </c>
      <c r="N335" s="53"/>
      <c r="O335" s="53"/>
      <c r="P335" s="52">
        <v>68.400000000000006</v>
      </c>
      <c r="Q335" s="53"/>
      <c r="R335" s="53"/>
      <c r="S335" s="52">
        <f t="shared" si="41"/>
        <v>0</v>
      </c>
      <c r="T335" s="53"/>
      <c r="U335" s="54"/>
      <c r="V335" s="9">
        <f t="shared" si="42"/>
        <v>57</v>
      </c>
      <c r="Y335" s="9">
        <f t="shared" si="43"/>
        <v>0</v>
      </c>
      <c r="AD335" s="4" t="s">
        <v>1111</v>
      </c>
      <c r="AE335" s="4" t="s">
        <v>1112</v>
      </c>
      <c r="AF335" s="4" t="s">
        <v>456</v>
      </c>
    </row>
    <row r="336" spans="1:35" ht="36" x14ac:dyDescent="0.3">
      <c r="A336" s="43" t="s">
        <v>1113</v>
      </c>
      <c r="B336" s="43"/>
      <c r="C336" s="55" t="s">
        <v>452</v>
      </c>
      <c r="D336" s="45"/>
      <c r="E336" s="45"/>
      <c r="F336" s="56" t="s">
        <v>70</v>
      </c>
      <c r="G336" s="57">
        <v>0.15</v>
      </c>
      <c r="H336" s="45"/>
      <c r="I336" s="57">
        <v>73.95</v>
      </c>
      <c r="J336" s="59">
        <v>68.400000000000006</v>
      </c>
      <c r="K336" s="60"/>
      <c r="L336" s="60"/>
      <c r="M336" s="59">
        <f t="shared" si="40"/>
        <v>5058.18</v>
      </c>
      <c r="N336" s="60"/>
      <c r="O336" s="60"/>
      <c r="P336" s="59">
        <v>68.400000000000006</v>
      </c>
      <c r="Q336" s="60"/>
      <c r="R336" s="60"/>
      <c r="S336" s="59">
        <f t="shared" si="41"/>
        <v>5058.18</v>
      </c>
      <c r="T336" s="60"/>
      <c r="U336" s="61"/>
      <c r="V336" s="9">
        <f t="shared" si="42"/>
        <v>57</v>
      </c>
      <c r="Y336" s="9">
        <f t="shared" si="43"/>
        <v>4215.1499999999996</v>
      </c>
      <c r="AD336" s="4" t="s">
        <v>1114</v>
      </c>
      <c r="AE336" s="4" t="s">
        <v>1112</v>
      </c>
      <c r="AF336" s="4" t="s">
        <v>456</v>
      </c>
    </row>
    <row r="337" spans="1:35" ht="54" x14ac:dyDescent="0.3">
      <c r="A337" s="37" t="s">
        <v>1115</v>
      </c>
      <c r="B337" s="37" t="s">
        <v>1080</v>
      </c>
      <c r="C337" s="38" t="s">
        <v>1081</v>
      </c>
      <c r="D337" s="39"/>
      <c r="E337" s="39" t="s">
        <v>63</v>
      </c>
      <c r="F337" s="39" t="s">
        <v>64</v>
      </c>
      <c r="G337" s="40">
        <v>1</v>
      </c>
      <c r="H337" s="39"/>
      <c r="I337" s="41">
        <v>0</v>
      </c>
      <c r="J337" s="42">
        <f>IFERROR(ROUND(SUM(M339,M341,M343,M345,M347)/I337, 2),0)</f>
        <v>0</v>
      </c>
      <c r="K337" s="42">
        <v>1869</v>
      </c>
      <c r="L337" s="42">
        <f>J337+ROUND(K337, 2)</f>
        <v>1869</v>
      </c>
      <c r="M337" s="42">
        <f>ROUND(J337*I337, 2)</f>
        <v>0</v>
      </c>
      <c r="N337" s="42">
        <f>ROUND(I337*ROUND(K337, 2), 2)</f>
        <v>0</v>
      </c>
      <c r="O337" s="42">
        <f>M337+N337</f>
        <v>0</v>
      </c>
      <c r="P337" s="42">
        <f>IFERROR(ROUND(SUM(S339,S341,S343,S345,S347)/I337, 2),0)</f>
        <v>0</v>
      </c>
      <c r="Q337" s="42">
        <v>1869</v>
      </c>
      <c r="R337" s="42">
        <f>P337+ROUND(Q337, 2)</f>
        <v>1869</v>
      </c>
      <c r="S337" s="42">
        <f>ROUND(P337*I337, 2)</f>
        <v>0</v>
      </c>
      <c r="T337" s="42">
        <f>ROUND(I337*ROUND(Q337, 2), 2)</f>
        <v>0</v>
      </c>
      <c r="U337" s="42">
        <f>S337+T337</f>
        <v>0</v>
      </c>
      <c r="V337" s="9">
        <f>ROUND(P337 / 1.2, 2)</f>
        <v>0</v>
      </c>
      <c r="W337" s="9">
        <f>ROUND(Q337 / 1.2, 2)</f>
        <v>1557.5</v>
      </c>
      <c r="X337" s="9">
        <f>ROUND(R337 / 1.2, 2)</f>
        <v>1557.5</v>
      </c>
      <c r="Y337" s="9">
        <f t="shared" si="43"/>
        <v>0</v>
      </c>
      <c r="Z337" s="9">
        <f>ROUND(T337 / 1.2, 2)</f>
        <v>0</v>
      </c>
      <c r="AA337" s="9">
        <f>Y337+Z337</f>
        <v>0</v>
      </c>
      <c r="AD337" s="4">
        <v>271132191</v>
      </c>
      <c r="AE337" s="4">
        <v>16211622</v>
      </c>
      <c r="AG337" s="4" t="s">
        <v>1082</v>
      </c>
      <c r="AH337" s="4" t="s">
        <v>1083</v>
      </c>
      <c r="AI337" s="4" t="s">
        <v>67</v>
      </c>
    </row>
    <row r="338" spans="1:35" ht="54" x14ac:dyDescent="0.3">
      <c r="A338" s="43" t="s">
        <v>1116</v>
      </c>
      <c r="B338" s="43" t="s">
        <v>1080</v>
      </c>
      <c r="C338" s="44" t="s">
        <v>1081</v>
      </c>
      <c r="D338" s="45"/>
      <c r="E338" s="45"/>
      <c r="F338" s="45" t="s">
        <v>64</v>
      </c>
      <c r="G338" s="46">
        <v>1</v>
      </c>
      <c r="H338" s="45"/>
      <c r="I338" s="46">
        <v>413</v>
      </c>
      <c r="J338" s="47">
        <v>0</v>
      </c>
      <c r="K338" s="47">
        <v>1869</v>
      </c>
      <c r="L338" s="47"/>
      <c r="M338" s="47">
        <v>0</v>
      </c>
      <c r="N338" s="47"/>
      <c r="O338" s="47"/>
      <c r="P338" s="47">
        <v>0</v>
      </c>
      <c r="Q338" s="47">
        <v>1869</v>
      </c>
      <c r="R338" s="47"/>
      <c r="S338" s="47">
        <v>0</v>
      </c>
      <c r="T338" s="47"/>
      <c r="U338" s="47"/>
      <c r="V338" s="9"/>
      <c r="W338" s="9">
        <f>ROUND(Q338 / 1.2, 2)</f>
        <v>1557.5</v>
      </c>
      <c r="X338" s="9" t="e">
        <f>ROUND(R338 / 1.2, 2)</f>
        <v>#VALUE!</v>
      </c>
      <c r="Y338" s="9"/>
      <c r="Z338" s="9" t="e">
        <f>ROUND(T338 / 1.2, 2)</f>
        <v>#VALUE!</v>
      </c>
      <c r="AA338" s="9"/>
      <c r="AD338" s="4">
        <v>213504145</v>
      </c>
      <c r="AE338" s="4">
        <v>16211622</v>
      </c>
      <c r="AG338" s="4" t="s">
        <v>1082</v>
      </c>
      <c r="AH338" s="4" t="s">
        <v>1083</v>
      </c>
      <c r="AI338" s="4"/>
    </row>
    <row r="339" spans="1:35" ht="36" x14ac:dyDescent="0.3">
      <c r="A339" s="37" t="s">
        <v>1117</v>
      </c>
      <c r="B339" s="37"/>
      <c r="C339" s="48" t="s">
        <v>452</v>
      </c>
      <c r="D339" s="39"/>
      <c r="E339" s="39"/>
      <c r="F339" s="49" t="s">
        <v>70</v>
      </c>
      <c r="G339" s="50">
        <v>0.15</v>
      </c>
      <c r="H339" s="39"/>
      <c r="I339" s="62">
        <v>0</v>
      </c>
      <c r="J339" s="52">
        <v>68.400000000000006</v>
      </c>
      <c r="K339" s="53"/>
      <c r="L339" s="53"/>
      <c r="M339" s="52">
        <f t="shared" ref="M339:M348" si="44">ROUND(ROUND(J339, 2)*I339, 2)</f>
        <v>0</v>
      </c>
      <c r="N339" s="53"/>
      <c r="O339" s="53"/>
      <c r="P339" s="52">
        <v>68.400000000000006</v>
      </c>
      <c r="Q339" s="53"/>
      <c r="R339" s="53"/>
      <c r="S339" s="52">
        <f t="shared" ref="S339:S348" si="45">ROUND(ROUND(P339, 2)*I339, 2)</f>
        <v>0</v>
      </c>
      <c r="T339" s="53"/>
      <c r="U339" s="54"/>
      <c r="V339" s="9">
        <f t="shared" ref="V339:V348" si="46">ROUND(ROUND(P339, 2)/1.2, 2)</f>
        <v>57</v>
      </c>
      <c r="Y339" s="9">
        <f t="shared" ref="Y339:Y349" si="47">ROUND(S339 / 1.2, 2)</f>
        <v>0</v>
      </c>
      <c r="AD339" s="4" t="s">
        <v>1118</v>
      </c>
      <c r="AE339" s="4" t="s">
        <v>1119</v>
      </c>
      <c r="AF339" s="4" t="s">
        <v>456</v>
      </c>
    </row>
    <row r="340" spans="1:35" ht="36" x14ac:dyDescent="0.3">
      <c r="A340" s="43" t="s">
        <v>1120</v>
      </c>
      <c r="B340" s="43"/>
      <c r="C340" s="55" t="s">
        <v>452</v>
      </c>
      <c r="D340" s="45"/>
      <c r="E340" s="45"/>
      <c r="F340" s="56" t="s">
        <v>70</v>
      </c>
      <c r="G340" s="57">
        <v>0.15</v>
      </c>
      <c r="H340" s="45"/>
      <c r="I340" s="57">
        <v>61.95</v>
      </c>
      <c r="J340" s="59">
        <v>68.400000000000006</v>
      </c>
      <c r="K340" s="60"/>
      <c r="L340" s="60"/>
      <c r="M340" s="59">
        <f t="shared" si="44"/>
        <v>4237.38</v>
      </c>
      <c r="N340" s="60"/>
      <c r="O340" s="60"/>
      <c r="P340" s="59">
        <v>68.400000000000006</v>
      </c>
      <c r="Q340" s="60"/>
      <c r="R340" s="60"/>
      <c r="S340" s="59">
        <f t="shared" si="45"/>
        <v>4237.38</v>
      </c>
      <c r="T340" s="60"/>
      <c r="U340" s="61"/>
      <c r="V340" s="9">
        <f t="shared" si="46"/>
        <v>57</v>
      </c>
      <c r="Y340" s="9">
        <f t="shared" si="47"/>
        <v>3531.15</v>
      </c>
      <c r="AD340" s="4" t="s">
        <v>1121</v>
      </c>
      <c r="AE340" s="4" t="s">
        <v>1119</v>
      </c>
      <c r="AF340" s="4" t="s">
        <v>456</v>
      </c>
    </row>
    <row r="341" spans="1:35" ht="18" x14ac:dyDescent="0.3">
      <c r="A341" s="37" t="s">
        <v>1122</v>
      </c>
      <c r="B341" s="37"/>
      <c r="C341" s="48" t="s">
        <v>1123</v>
      </c>
      <c r="D341" s="39"/>
      <c r="E341" s="39" t="s">
        <v>1124</v>
      </c>
      <c r="F341" s="49" t="s">
        <v>70</v>
      </c>
      <c r="G341" s="50">
        <v>0.25</v>
      </c>
      <c r="H341" s="39"/>
      <c r="I341" s="51">
        <v>0</v>
      </c>
      <c r="J341" s="52">
        <v>40.270000000000003</v>
      </c>
      <c r="K341" s="53"/>
      <c r="L341" s="53"/>
      <c r="M341" s="52">
        <f t="shared" si="44"/>
        <v>0</v>
      </c>
      <c r="N341" s="53"/>
      <c r="O341" s="53"/>
      <c r="P341" s="52">
        <v>40.270000000000003</v>
      </c>
      <c r="Q341" s="53"/>
      <c r="R341" s="53"/>
      <c r="S341" s="52">
        <f t="shared" si="45"/>
        <v>0</v>
      </c>
      <c r="T341" s="53"/>
      <c r="U341" s="54"/>
      <c r="V341" s="9">
        <f t="shared" si="46"/>
        <v>33.56</v>
      </c>
      <c r="Y341" s="9">
        <f t="shared" si="47"/>
        <v>0</v>
      </c>
      <c r="AD341" s="4" t="s">
        <v>1125</v>
      </c>
      <c r="AE341" s="4" t="s">
        <v>1126</v>
      </c>
      <c r="AF341" s="4" t="s">
        <v>1127</v>
      </c>
    </row>
    <row r="342" spans="1:35" ht="18" x14ac:dyDescent="0.3">
      <c r="A342" s="43" t="s">
        <v>1128</v>
      </c>
      <c r="B342" s="43"/>
      <c r="C342" s="55" t="s">
        <v>1123</v>
      </c>
      <c r="D342" s="45"/>
      <c r="E342" s="45" t="s">
        <v>1124</v>
      </c>
      <c r="F342" s="56" t="s">
        <v>70</v>
      </c>
      <c r="G342" s="57">
        <v>0.25</v>
      </c>
      <c r="H342" s="45"/>
      <c r="I342" s="58">
        <v>103.25</v>
      </c>
      <c r="J342" s="59">
        <v>40.270000000000003</v>
      </c>
      <c r="K342" s="60"/>
      <c r="L342" s="60"/>
      <c r="M342" s="59">
        <f t="shared" si="44"/>
        <v>4157.88</v>
      </c>
      <c r="N342" s="60"/>
      <c r="O342" s="60"/>
      <c r="P342" s="59">
        <v>40.270000000000003</v>
      </c>
      <c r="Q342" s="60"/>
      <c r="R342" s="60"/>
      <c r="S342" s="59">
        <f t="shared" si="45"/>
        <v>4157.88</v>
      </c>
      <c r="T342" s="60"/>
      <c r="U342" s="61"/>
      <c r="V342" s="9">
        <f t="shared" si="46"/>
        <v>33.56</v>
      </c>
      <c r="Y342" s="9">
        <f t="shared" si="47"/>
        <v>3464.9</v>
      </c>
      <c r="AD342" s="4" t="s">
        <v>1129</v>
      </c>
      <c r="AE342" s="4" t="s">
        <v>1126</v>
      </c>
      <c r="AF342" s="4" t="s">
        <v>1127</v>
      </c>
    </row>
    <row r="343" spans="1:35" ht="72" x14ac:dyDescent="0.3">
      <c r="A343" s="37" t="s">
        <v>1130</v>
      </c>
      <c r="B343" s="37"/>
      <c r="C343" s="48" t="s">
        <v>1131</v>
      </c>
      <c r="D343" s="39"/>
      <c r="E343" s="39" t="s">
        <v>1132</v>
      </c>
      <c r="F343" s="49" t="s">
        <v>64</v>
      </c>
      <c r="G343" s="50">
        <v>1.07</v>
      </c>
      <c r="H343" s="39"/>
      <c r="I343" s="51">
        <v>0</v>
      </c>
      <c r="J343" s="52">
        <v>1374.45</v>
      </c>
      <c r="K343" s="53"/>
      <c r="L343" s="53"/>
      <c r="M343" s="52">
        <f t="shared" si="44"/>
        <v>0</v>
      </c>
      <c r="N343" s="53"/>
      <c r="O343" s="53"/>
      <c r="P343" s="52">
        <v>837.4</v>
      </c>
      <c r="Q343" s="53"/>
      <c r="R343" s="53"/>
      <c r="S343" s="52">
        <f t="shared" si="45"/>
        <v>0</v>
      </c>
      <c r="T343" s="53"/>
      <c r="U343" s="54"/>
      <c r="V343" s="9">
        <f t="shared" si="46"/>
        <v>697.83</v>
      </c>
      <c r="Y343" s="9">
        <f t="shared" si="47"/>
        <v>0</v>
      </c>
      <c r="AD343" s="4" t="s">
        <v>1133</v>
      </c>
      <c r="AE343" s="4" t="s">
        <v>1134</v>
      </c>
      <c r="AF343" s="4" t="s">
        <v>1135</v>
      </c>
    </row>
    <row r="344" spans="1:35" ht="72" x14ac:dyDescent="0.3">
      <c r="A344" s="43" t="s">
        <v>1136</v>
      </c>
      <c r="B344" s="43"/>
      <c r="C344" s="55" t="s">
        <v>1131</v>
      </c>
      <c r="D344" s="45"/>
      <c r="E344" s="45" t="s">
        <v>1132</v>
      </c>
      <c r="F344" s="56" t="s">
        <v>64</v>
      </c>
      <c r="G344" s="57">
        <v>1.07</v>
      </c>
      <c r="H344" s="45"/>
      <c r="I344" s="58">
        <v>441.91</v>
      </c>
      <c r="J344" s="59">
        <v>1374.45</v>
      </c>
      <c r="K344" s="60"/>
      <c r="L344" s="60"/>
      <c r="M344" s="59">
        <f t="shared" si="44"/>
        <v>607383.19999999995</v>
      </c>
      <c r="N344" s="60"/>
      <c r="O344" s="60"/>
      <c r="P344" s="59">
        <v>837.4</v>
      </c>
      <c r="Q344" s="60"/>
      <c r="R344" s="60"/>
      <c r="S344" s="59">
        <f t="shared" si="45"/>
        <v>370055.43</v>
      </c>
      <c r="T344" s="60"/>
      <c r="U344" s="61"/>
      <c r="V344" s="9">
        <f t="shared" si="46"/>
        <v>697.83</v>
      </c>
      <c r="Y344" s="9">
        <f t="shared" si="47"/>
        <v>308379.53000000003</v>
      </c>
      <c r="AD344" s="4" t="s">
        <v>1137</v>
      </c>
      <c r="AE344" s="4" t="s">
        <v>1134</v>
      </c>
      <c r="AF344" s="4" t="s">
        <v>1135</v>
      </c>
    </row>
    <row r="345" spans="1:35" ht="54" x14ac:dyDescent="0.3">
      <c r="A345" s="37" t="s">
        <v>1138</v>
      </c>
      <c r="B345" s="37"/>
      <c r="C345" s="48" t="s">
        <v>601</v>
      </c>
      <c r="D345" s="39"/>
      <c r="E345" s="39" t="s">
        <v>402</v>
      </c>
      <c r="F345" s="49" t="s">
        <v>70</v>
      </c>
      <c r="G345" s="50">
        <v>1.2</v>
      </c>
      <c r="H345" s="39"/>
      <c r="I345" s="51">
        <v>0</v>
      </c>
      <c r="J345" s="52">
        <v>12.33</v>
      </c>
      <c r="K345" s="53"/>
      <c r="L345" s="53"/>
      <c r="M345" s="52">
        <f t="shared" si="44"/>
        <v>0</v>
      </c>
      <c r="N345" s="53"/>
      <c r="O345" s="53"/>
      <c r="P345" s="52">
        <v>12.33</v>
      </c>
      <c r="Q345" s="53"/>
      <c r="R345" s="53"/>
      <c r="S345" s="52">
        <f t="shared" si="45"/>
        <v>0</v>
      </c>
      <c r="T345" s="53"/>
      <c r="U345" s="54"/>
      <c r="V345" s="9">
        <f t="shared" si="46"/>
        <v>10.28</v>
      </c>
      <c r="Y345" s="9">
        <f t="shared" si="47"/>
        <v>0</v>
      </c>
      <c r="AD345" s="4" t="s">
        <v>1139</v>
      </c>
      <c r="AE345" s="4" t="s">
        <v>1140</v>
      </c>
      <c r="AF345" s="4" t="s">
        <v>604</v>
      </c>
    </row>
    <row r="346" spans="1:35" ht="54" x14ac:dyDescent="0.3">
      <c r="A346" s="43" t="s">
        <v>1141</v>
      </c>
      <c r="B346" s="43"/>
      <c r="C346" s="55" t="s">
        <v>601</v>
      </c>
      <c r="D346" s="45"/>
      <c r="E346" s="45" t="s">
        <v>402</v>
      </c>
      <c r="F346" s="56" t="s">
        <v>70</v>
      </c>
      <c r="G346" s="57">
        <v>1.2</v>
      </c>
      <c r="H346" s="45"/>
      <c r="I346" s="58">
        <v>1610.7</v>
      </c>
      <c r="J346" s="59">
        <v>12.33</v>
      </c>
      <c r="K346" s="60"/>
      <c r="L346" s="60"/>
      <c r="M346" s="59">
        <f t="shared" si="44"/>
        <v>19859.93</v>
      </c>
      <c r="N346" s="60"/>
      <c r="O346" s="60"/>
      <c r="P346" s="59">
        <v>12.33</v>
      </c>
      <c r="Q346" s="60"/>
      <c r="R346" s="60"/>
      <c r="S346" s="59">
        <f t="shared" si="45"/>
        <v>19859.93</v>
      </c>
      <c r="T346" s="60"/>
      <c r="U346" s="61"/>
      <c r="V346" s="9">
        <f t="shared" si="46"/>
        <v>10.28</v>
      </c>
      <c r="Y346" s="9">
        <f t="shared" si="47"/>
        <v>16549.939999999999</v>
      </c>
      <c r="AD346" s="4" t="s">
        <v>1142</v>
      </c>
      <c r="AE346" s="4" t="s">
        <v>1140</v>
      </c>
      <c r="AF346" s="4" t="s">
        <v>604</v>
      </c>
    </row>
    <row r="347" spans="1:35" ht="36" x14ac:dyDescent="0.3">
      <c r="A347" s="37" t="s">
        <v>1143</v>
      </c>
      <c r="B347" s="37"/>
      <c r="C347" s="48" t="s">
        <v>1086</v>
      </c>
      <c r="D347" s="39"/>
      <c r="E347" s="39"/>
      <c r="F347" s="49" t="s">
        <v>87</v>
      </c>
      <c r="G347" s="50">
        <v>0.23</v>
      </c>
      <c r="H347" s="39"/>
      <c r="I347" s="51">
        <v>0</v>
      </c>
      <c r="J347" s="52">
        <v>97.71</v>
      </c>
      <c r="K347" s="53"/>
      <c r="L347" s="53"/>
      <c r="M347" s="52">
        <f t="shared" si="44"/>
        <v>0</v>
      </c>
      <c r="N347" s="53"/>
      <c r="O347" s="53"/>
      <c r="P347" s="52">
        <v>97.71</v>
      </c>
      <c r="Q347" s="53"/>
      <c r="R347" s="53"/>
      <c r="S347" s="52">
        <f t="shared" si="45"/>
        <v>0</v>
      </c>
      <c r="T347" s="53"/>
      <c r="U347" s="54"/>
      <c r="V347" s="9">
        <f t="shared" si="46"/>
        <v>81.430000000000007</v>
      </c>
      <c r="Y347" s="9">
        <f t="shared" si="47"/>
        <v>0</v>
      </c>
      <c r="AD347" s="4" t="s">
        <v>1144</v>
      </c>
      <c r="AE347" s="4" t="s">
        <v>1145</v>
      </c>
      <c r="AF347" s="4" t="s">
        <v>1089</v>
      </c>
    </row>
    <row r="348" spans="1:35" ht="36" x14ac:dyDescent="0.3">
      <c r="A348" s="43" t="s">
        <v>1146</v>
      </c>
      <c r="B348" s="43"/>
      <c r="C348" s="55" t="s">
        <v>1086</v>
      </c>
      <c r="D348" s="45"/>
      <c r="E348" s="45"/>
      <c r="F348" s="56" t="s">
        <v>87</v>
      </c>
      <c r="G348" s="57">
        <v>0.23</v>
      </c>
      <c r="H348" s="45"/>
      <c r="I348" s="58">
        <v>24.15</v>
      </c>
      <c r="J348" s="59">
        <v>97.71</v>
      </c>
      <c r="K348" s="60"/>
      <c r="L348" s="60"/>
      <c r="M348" s="59">
        <f t="shared" si="44"/>
        <v>2359.6999999999998</v>
      </c>
      <c r="N348" s="60"/>
      <c r="O348" s="60"/>
      <c r="P348" s="59">
        <v>97.71</v>
      </c>
      <c r="Q348" s="60"/>
      <c r="R348" s="60"/>
      <c r="S348" s="59">
        <f t="shared" si="45"/>
        <v>2359.6999999999998</v>
      </c>
      <c r="T348" s="60"/>
      <c r="U348" s="61"/>
      <c r="V348" s="9">
        <f t="shared" si="46"/>
        <v>81.430000000000007</v>
      </c>
      <c r="Y348" s="9">
        <f t="shared" si="47"/>
        <v>1966.42</v>
      </c>
      <c r="AD348" s="4" t="s">
        <v>1147</v>
      </c>
      <c r="AE348" s="4" t="s">
        <v>1145</v>
      </c>
      <c r="AF348" s="4" t="s">
        <v>1089</v>
      </c>
    </row>
    <row r="349" spans="1:35" ht="36" x14ac:dyDescent="0.3">
      <c r="A349" s="37" t="s">
        <v>1148</v>
      </c>
      <c r="B349" s="37" t="s">
        <v>1149</v>
      </c>
      <c r="C349" s="38" t="s">
        <v>1150</v>
      </c>
      <c r="D349" s="39"/>
      <c r="E349" s="39" t="s">
        <v>63</v>
      </c>
      <c r="F349" s="39" t="s">
        <v>64</v>
      </c>
      <c r="G349" s="40">
        <v>1</v>
      </c>
      <c r="H349" s="39"/>
      <c r="I349" s="41">
        <v>0</v>
      </c>
      <c r="J349" s="42">
        <f>IFERROR(ROUND(SUM(M351,M353)/I349, 2),0)</f>
        <v>0</v>
      </c>
      <c r="K349" s="42">
        <v>251</v>
      </c>
      <c r="L349" s="42">
        <f>J349+ROUND(K349, 2)</f>
        <v>251</v>
      </c>
      <c r="M349" s="42">
        <f>ROUND(J349*I349, 2)</f>
        <v>0</v>
      </c>
      <c r="N349" s="42">
        <f>ROUND(I349*ROUND(K349, 2), 2)</f>
        <v>0</v>
      </c>
      <c r="O349" s="42">
        <f>M349+N349</f>
        <v>0</v>
      </c>
      <c r="P349" s="42">
        <f>IFERROR(ROUND(SUM(S351,S353)/I349, 2),0)</f>
        <v>0</v>
      </c>
      <c r="Q349" s="42">
        <v>251</v>
      </c>
      <c r="R349" s="42">
        <f>P349+ROUND(Q349, 2)</f>
        <v>251</v>
      </c>
      <c r="S349" s="42">
        <f>ROUND(P349*I349, 2)</f>
        <v>0</v>
      </c>
      <c r="T349" s="42">
        <f>ROUND(I349*ROUND(Q349, 2), 2)</f>
        <v>0</v>
      </c>
      <c r="U349" s="42">
        <f>S349+T349</f>
        <v>0</v>
      </c>
      <c r="V349" s="9">
        <f>ROUND(P349 / 1.2, 2)</f>
        <v>0</v>
      </c>
      <c r="W349" s="9">
        <f>ROUND(Q349 / 1.2, 2)</f>
        <v>209.17</v>
      </c>
      <c r="X349" s="9">
        <f>ROUND(R349 / 1.2, 2)</f>
        <v>209.17</v>
      </c>
      <c r="Y349" s="9">
        <f t="shared" si="47"/>
        <v>0</v>
      </c>
      <c r="Z349" s="9">
        <f>ROUND(T349 / 1.2, 2)</f>
        <v>0</v>
      </c>
      <c r="AA349" s="9">
        <f>Y349+Z349</f>
        <v>0</v>
      </c>
      <c r="AD349" s="4">
        <v>271132113</v>
      </c>
      <c r="AE349" s="4">
        <v>16211512</v>
      </c>
      <c r="AG349" s="4" t="s">
        <v>1151</v>
      </c>
      <c r="AH349" s="4" t="s">
        <v>1152</v>
      </c>
      <c r="AI349" s="4" t="s">
        <v>67</v>
      </c>
    </row>
    <row r="350" spans="1:35" ht="36" x14ac:dyDescent="0.3">
      <c r="A350" s="43" t="s">
        <v>1153</v>
      </c>
      <c r="B350" s="43" t="s">
        <v>1149</v>
      </c>
      <c r="C350" s="44" t="s">
        <v>1150</v>
      </c>
      <c r="D350" s="45"/>
      <c r="E350" s="45"/>
      <c r="F350" s="45" t="s">
        <v>64</v>
      </c>
      <c r="G350" s="46">
        <v>1</v>
      </c>
      <c r="H350" s="45"/>
      <c r="I350" s="46">
        <v>6415</v>
      </c>
      <c r="J350" s="47">
        <v>0</v>
      </c>
      <c r="K350" s="47">
        <v>251</v>
      </c>
      <c r="L350" s="47"/>
      <c r="M350" s="47">
        <v>0</v>
      </c>
      <c r="N350" s="47"/>
      <c r="O350" s="47"/>
      <c r="P350" s="47">
        <v>0</v>
      </c>
      <c r="Q350" s="47">
        <v>251</v>
      </c>
      <c r="R350" s="47"/>
      <c r="S350" s="47">
        <v>0</v>
      </c>
      <c r="T350" s="47"/>
      <c r="U350" s="47"/>
      <c r="V350" s="9"/>
      <c r="W350" s="9">
        <f>ROUND(Q350 / 1.2, 2)</f>
        <v>209.17</v>
      </c>
      <c r="X350" s="9" t="e">
        <f>ROUND(R350 / 1.2, 2)</f>
        <v>#VALUE!</v>
      </c>
      <c r="Y350" s="9"/>
      <c r="Z350" s="9" t="e">
        <f>ROUND(T350 / 1.2, 2)</f>
        <v>#VALUE!</v>
      </c>
      <c r="AA350" s="9"/>
      <c r="AD350" s="4">
        <v>206117306</v>
      </c>
      <c r="AE350" s="4">
        <v>16211512</v>
      </c>
      <c r="AG350" s="4" t="s">
        <v>1151</v>
      </c>
      <c r="AH350" s="4" t="s">
        <v>1152</v>
      </c>
      <c r="AI350" s="4"/>
    </row>
    <row r="351" spans="1:35" ht="36" x14ac:dyDescent="0.3">
      <c r="A351" s="37" t="s">
        <v>1154</v>
      </c>
      <c r="B351" s="37"/>
      <c r="C351" s="48" t="s">
        <v>433</v>
      </c>
      <c r="D351" s="39"/>
      <c r="E351" s="39"/>
      <c r="F351" s="49" t="s">
        <v>70</v>
      </c>
      <c r="G351" s="50">
        <v>0.15</v>
      </c>
      <c r="H351" s="39"/>
      <c r="I351" s="62">
        <v>0</v>
      </c>
      <c r="J351" s="52">
        <v>88.8</v>
      </c>
      <c r="K351" s="53"/>
      <c r="L351" s="53"/>
      <c r="M351" s="52">
        <f>ROUND(ROUND(J351, 2)*I351, 2)</f>
        <v>0</v>
      </c>
      <c r="N351" s="53"/>
      <c r="O351" s="53"/>
      <c r="P351" s="52">
        <v>88.8</v>
      </c>
      <c r="Q351" s="53"/>
      <c r="R351" s="53"/>
      <c r="S351" s="52">
        <f>ROUND(ROUND(P351, 2)*I351, 2)</f>
        <v>0</v>
      </c>
      <c r="T351" s="53"/>
      <c r="U351" s="54"/>
      <c r="V351" s="9">
        <f>ROUND(ROUND(P351, 2)/1.2, 2)</f>
        <v>74</v>
      </c>
      <c r="Y351" s="9">
        <f>ROUND(S351 / 1.2, 2)</f>
        <v>0</v>
      </c>
      <c r="AD351" s="4" t="s">
        <v>1155</v>
      </c>
      <c r="AE351" s="4" t="s">
        <v>1156</v>
      </c>
      <c r="AF351" s="4" t="s">
        <v>436</v>
      </c>
    </row>
    <row r="352" spans="1:35" ht="36" x14ac:dyDescent="0.3">
      <c r="A352" s="43" t="s">
        <v>1157</v>
      </c>
      <c r="B352" s="43"/>
      <c r="C352" s="55" t="s">
        <v>433</v>
      </c>
      <c r="D352" s="45"/>
      <c r="E352" s="45"/>
      <c r="F352" s="56" t="s">
        <v>70</v>
      </c>
      <c r="G352" s="57">
        <v>0.15</v>
      </c>
      <c r="H352" s="45"/>
      <c r="I352" s="57">
        <v>962.25</v>
      </c>
      <c r="J352" s="59">
        <v>88.8</v>
      </c>
      <c r="K352" s="60"/>
      <c r="L352" s="60"/>
      <c r="M352" s="59">
        <f>ROUND(ROUND(J352, 2)*I352, 2)</f>
        <v>85447.8</v>
      </c>
      <c r="N352" s="60"/>
      <c r="O352" s="60"/>
      <c r="P352" s="59">
        <v>88.8</v>
      </c>
      <c r="Q352" s="60"/>
      <c r="R352" s="60"/>
      <c r="S352" s="59">
        <f>ROUND(ROUND(P352, 2)*I352, 2)</f>
        <v>85447.8</v>
      </c>
      <c r="T352" s="60"/>
      <c r="U352" s="61"/>
      <c r="V352" s="9">
        <f>ROUND(ROUND(P352, 2)/1.2, 2)</f>
        <v>74</v>
      </c>
      <c r="Y352" s="9">
        <f>ROUND(S352 / 1.2, 2)</f>
        <v>71206.5</v>
      </c>
      <c r="AD352" s="4" t="s">
        <v>1158</v>
      </c>
      <c r="AE352" s="4" t="s">
        <v>1156</v>
      </c>
      <c r="AF352" s="4" t="s">
        <v>436</v>
      </c>
    </row>
    <row r="353" spans="1:35" ht="90" x14ac:dyDescent="0.3">
      <c r="A353" s="37" t="s">
        <v>1159</v>
      </c>
      <c r="B353" s="37"/>
      <c r="C353" s="48" t="s">
        <v>1160</v>
      </c>
      <c r="D353" s="39"/>
      <c r="E353" s="39" t="s">
        <v>1161</v>
      </c>
      <c r="F353" s="49" t="s">
        <v>70</v>
      </c>
      <c r="G353" s="50">
        <v>0.3</v>
      </c>
      <c r="H353" s="39"/>
      <c r="I353" s="62">
        <v>0</v>
      </c>
      <c r="J353" s="52">
        <v>252.47</v>
      </c>
      <c r="K353" s="53"/>
      <c r="L353" s="53"/>
      <c r="M353" s="52">
        <f>ROUND(ROUND(J353, 2)*I353, 2)</f>
        <v>0</v>
      </c>
      <c r="N353" s="53"/>
      <c r="O353" s="53"/>
      <c r="P353" s="52">
        <v>252.47</v>
      </c>
      <c r="Q353" s="53"/>
      <c r="R353" s="53"/>
      <c r="S353" s="52">
        <f>ROUND(ROUND(P353, 2)*I353, 2)</f>
        <v>0</v>
      </c>
      <c r="T353" s="53"/>
      <c r="U353" s="54"/>
      <c r="V353" s="9">
        <f>ROUND(ROUND(P353, 2)/1.2, 2)</f>
        <v>210.39</v>
      </c>
      <c r="Y353" s="9">
        <f>ROUND(S353 / 1.2, 2)</f>
        <v>0</v>
      </c>
      <c r="AD353" s="4" t="s">
        <v>1162</v>
      </c>
      <c r="AE353" s="4" t="s">
        <v>1163</v>
      </c>
      <c r="AF353" s="4" t="s">
        <v>1164</v>
      </c>
    </row>
    <row r="354" spans="1:35" ht="90" x14ac:dyDescent="0.3">
      <c r="A354" s="43" t="s">
        <v>1165</v>
      </c>
      <c r="B354" s="43"/>
      <c r="C354" s="55" t="s">
        <v>1160</v>
      </c>
      <c r="D354" s="45"/>
      <c r="E354" s="45" t="s">
        <v>1161</v>
      </c>
      <c r="F354" s="56" t="s">
        <v>70</v>
      </c>
      <c r="G354" s="57">
        <v>0.3</v>
      </c>
      <c r="H354" s="45"/>
      <c r="I354" s="57">
        <v>1924.5</v>
      </c>
      <c r="J354" s="59">
        <v>252.47</v>
      </c>
      <c r="K354" s="60"/>
      <c r="L354" s="60"/>
      <c r="M354" s="59">
        <f>ROUND(ROUND(J354, 2)*I354, 2)</f>
        <v>485878.52</v>
      </c>
      <c r="N354" s="60"/>
      <c r="O354" s="60"/>
      <c r="P354" s="59">
        <v>252.47</v>
      </c>
      <c r="Q354" s="60"/>
      <c r="R354" s="60"/>
      <c r="S354" s="59">
        <f>ROUND(ROUND(P354, 2)*I354, 2)</f>
        <v>485878.52</v>
      </c>
      <c r="T354" s="60"/>
      <c r="U354" s="61"/>
      <c r="V354" s="9">
        <f>ROUND(ROUND(P354, 2)/1.2, 2)</f>
        <v>210.39</v>
      </c>
      <c r="Y354" s="9">
        <f>ROUND(S354 / 1.2, 2)</f>
        <v>404898.77</v>
      </c>
      <c r="AD354" s="4" t="s">
        <v>1166</v>
      </c>
      <c r="AE354" s="4" t="s">
        <v>1163</v>
      </c>
      <c r="AF354" s="4" t="s">
        <v>1164</v>
      </c>
    </row>
    <row r="355" spans="1:35" ht="36" x14ac:dyDescent="0.3">
      <c r="A355" s="37" t="s">
        <v>1167</v>
      </c>
      <c r="B355" s="37" t="s">
        <v>1149</v>
      </c>
      <c r="C355" s="38" t="s">
        <v>1150</v>
      </c>
      <c r="D355" s="39"/>
      <c r="E355" s="39" t="s">
        <v>63</v>
      </c>
      <c r="F355" s="39" t="s">
        <v>64</v>
      </c>
      <c r="G355" s="40">
        <v>1</v>
      </c>
      <c r="H355" s="39"/>
      <c r="I355" s="41">
        <v>0</v>
      </c>
      <c r="J355" s="42">
        <f>IFERROR(ROUND(SUM(M357,M359)/I355, 2),0)</f>
        <v>0</v>
      </c>
      <c r="K355" s="42">
        <v>251</v>
      </c>
      <c r="L355" s="42">
        <f>J355+ROUND(K355, 2)</f>
        <v>251</v>
      </c>
      <c r="M355" s="42">
        <f>ROUND(J355*I355, 2)</f>
        <v>0</v>
      </c>
      <c r="N355" s="42">
        <f>ROUND(I355*ROUND(K355, 2), 2)</f>
        <v>0</v>
      </c>
      <c r="O355" s="42">
        <f>M355+N355</f>
        <v>0</v>
      </c>
      <c r="P355" s="42">
        <f>IFERROR(ROUND(SUM(S357,S359)/I355, 2),0)</f>
        <v>0</v>
      </c>
      <c r="Q355" s="42">
        <v>251</v>
      </c>
      <c r="R355" s="42">
        <f>P355+ROUND(Q355, 2)</f>
        <v>251</v>
      </c>
      <c r="S355" s="42">
        <f>ROUND(P355*I355, 2)</f>
        <v>0</v>
      </c>
      <c r="T355" s="42">
        <f>ROUND(I355*ROUND(Q355, 2), 2)</f>
        <v>0</v>
      </c>
      <c r="U355" s="42">
        <f>S355+T355</f>
        <v>0</v>
      </c>
      <c r="V355" s="9">
        <f>ROUND(P355 / 1.2, 2)</f>
        <v>0</v>
      </c>
      <c r="W355" s="9">
        <f>ROUND(Q355 / 1.2, 2)</f>
        <v>209.17</v>
      </c>
      <c r="X355" s="9">
        <f>ROUND(R355 / 1.2, 2)</f>
        <v>209.17</v>
      </c>
      <c r="Y355" s="9">
        <f>ROUND(S355 / 1.2, 2)</f>
        <v>0</v>
      </c>
      <c r="Z355" s="9">
        <f>ROUND(T355 / 1.2, 2)</f>
        <v>0</v>
      </c>
      <c r="AA355" s="9">
        <f>Y355+Z355</f>
        <v>0</v>
      </c>
      <c r="AD355" s="4">
        <v>271132192</v>
      </c>
      <c r="AE355" s="4">
        <v>16211513</v>
      </c>
      <c r="AG355" s="4" t="s">
        <v>1151</v>
      </c>
      <c r="AH355" s="4" t="s">
        <v>1152</v>
      </c>
      <c r="AI355" s="4" t="s">
        <v>67</v>
      </c>
    </row>
    <row r="356" spans="1:35" ht="36" x14ac:dyDescent="0.3">
      <c r="A356" s="43" t="s">
        <v>1168</v>
      </c>
      <c r="B356" s="43" t="s">
        <v>1149</v>
      </c>
      <c r="C356" s="44" t="s">
        <v>1150</v>
      </c>
      <c r="D356" s="45"/>
      <c r="E356" s="45"/>
      <c r="F356" s="45" t="s">
        <v>64</v>
      </c>
      <c r="G356" s="46">
        <v>1</v>
      </c>
      <c r="H356" s="45"/>
      <c r="I356" s="46">
        <v>291</v>
      </c>
      <c r="J356" s="47">
        <v>0</v>
      </c>
      <c r="K356" s="47">
        <v>251</v>
      </c>
      <c r="L356" s="47"/>
      <c r="M356" s="47">
        <v>0</v>
      </c>
      <c r="N356" s="47"/>
      <c r="O356" s="47"/>
      <c r="P356" s="47">
        <v>0</v>
      </c>
      <c r="Q356" s="47">
        <v>251</v>
      </c>
      <c r="R356" s="47"/>
      <c r="S356" s="47">
        <v>0</v>
      </c>
      <c r="T356" s="47"/>
      <c r="U356" s="47"/>
      <c r="V356" s="9"/>
      <c r="W356" s="9">
        <f>ROUND(Q356 / 1.2, 2)</f>
        <v>209.17</v>
      </c>
      <c r="X356" s="9" t="e">
        <f>ROUND(R356 / 1.2, 2)</f>
        <v>#VALUE!</v>
      </c>
      <c r="Y356" s="9"/>
      <c r="Z356" s="9" t="e">
        <f>ROUND(T356 / 1.2, 2)</f>
        <v>#VALUE!</v>
      </c>
      <c r="AA356" s="9"/>
      <c r="AD356" s="4">
        <v>206117308</v>
      </c>
      <c r="AE356" s="4">
        <v>16211513</v>
      </c>
      <c r="AG356" s="4" t="s">
        <v>1151</v>
      </c>
      <c r="AH356" s="4" t="s">
        <v>1152</v>
      </c>
      <c r="AI356" s="4"/>
    </row>
    <row r="357" spans="1:35" ht="90" x14ac:dyDescent="0.3">
      <c r="A357" s="37" t="s">
        <v>1169</v>
      </c>
      <c r="B357" s="37"/>
      <c r="C357" s="48" t="s">
        <v>1170</v>
      </c>
      <c r="D357" s="39"/>
      <c r="E357" s="39" t="s">
        <v>1171</v>
      </c>
      <c r="F357" s="49" t="s">
        <v>70</v>
      </c>
      <c r="G357" s="50">
        <v>0.3</v>
      </c>
      <c r="H357" s="39"/>
      <c r="I357" s="62">
        <v>0</v>
      </c>
      <c r="J357" s="52">
        <v>388.89</v>
      </c>
      <c r="K357" s="53"/>
      <c r="L357" s="53"/>
      <c r="M357" s="52">
        <f>ROUND(ROUND(J357, 2)*I357, 2)</f>
        <v>0</v>
      </c>
      <c r="N357" s="53"/>
      <c r="O357" s="53"/>
      <c r="P357" s="52">
        <v>388.89</v>
      </c>
      <c r="Q357" s="53"/>
      <c r="R357" s="53"/>
      <c r="S357" s="52">
        <f>ROUND(ROUND(P357, 2)*I357, 2)</f>
        <v>0</v>
      </c>
      <c r="T357" s="53"/>
      <c r="U357" s="54"/>
      <c r="V357" s="9">
        <f>ROUND(ROUND(P357, 2)/1.2, 2)</f>
        <v>324.08</v>
      </c>
      <c r="Y357" s="9">
        <f>ROUND(S357 / 1.2, 2)</f>
        <v>0</v>
      </c>
      <c r="AD357" s="4" t="s">
        <v>1172</v>
      </c>
      <c r="AE357" s="4" t="s">
        <v>1173</v>
      </c>
      <c r="AF357" s="4" t="s">
        <v>1174</v>
      </c>
    </row>
    <row r="358" spans="1:35" ht="90" x14ac:dyDescent="0.3">
      <c r="A358" s="43" t="s">
        <v>1175</v>
      </c>
      <c r="B358" s="43"/>
      <c r="C358" s="55" t="s">
        <v>1170</v>
      </c>
      <c r="D358" s="45"/>
      <c r="E358" s="45" t="s">
        <v>1171</v>
      </c>
      <c r="F358" s="56" t="s">
        <v>70</v>
      </c>
      <c r="G358" s="57">
        <v>0.3</v>
      </c>
      <c r="H358" s="45"/>
      <c r="I358" s="57">
        <v>87.3</v>
      </c>
      <c r="J358" s="59">
        <v>388.89</v>
      </c>
      <c r="K358" s="60"/>
      <c r="L358" s="60"/>
      <c r="M358" s="59">
        <f>ROUND(ROUND(J358, 2)*I358, 2)</f>
        <v>33950.1</v>
      </c>
      <c r="N358" s="60"/>
      <c r="O358" s="60"/>
      <c r="P358" s="59">
        <v>388.89</v>
      </c>
      <c r="Q358" s="60"/>
      <c r="R358" s="60"/>
      <c r="S358" s="59">
        <f>ROUND(ROUND(P358, 2)*I358, 2)</f>
        <v>33950.1</v>
      </c>
      <c r="T358" s="60"/>
      <c r="U358" s="61"/>
      <c r="V358" s="9">
        <f>ROUND(ROUND(P358, 2)/1.2, 2)</f>
        <v>324.08</v>
      </c>
      <c r="Y358" s="9">
        <f>ROUND(S358 / 1.2, 2)</f>
        <v>28291.75</v>
      </c>
      <c r="AD358" s="4" t="s">
        <v>1176</v>
      </c>
      <c r="AE358" s="4" t="s">
        <v>1173</v>
      </c>
      <c r="AF358" s="4" t="s">
        <v>1174</v>
      </c>
    </row>
    <row r="359" spans="1:35" ht="36" x14ac:dyDescent="0.3">
      <c r="A359" s="37" t="s">
        <v>1177</v>
      </c>
      <c r="B359" s="37"/>
      <c r="C359" s="48" t="s">
        <v>433</v>
      </c>
      <c r="D359" s="39"/>
      <c r="E359" s="39"/>
      <c r="F359" s="49" t="s">
        <v>70</v>
      </c>
      <c r="G359" s="50">
        <v>0.15</v>
      </c>
      <c r="H359" s="39"/>
      <c r="I359" s="62">
        <v>0</v>
      </c>
      <c r="J359" s="52">
        <v>88.8</v>
      </c>
      <c r="K359" s="53"/>
      <c r="L359" s="53"/>
      <c r="M359" s="52">
        <f>ROUND(ROUND(J359, 2)*I359, 2)</f>
        <v>0</v>
      </c>
      <c r="N359" s="53"/>
      <c r="O359" s="53"/>
      <c r="P359" s="52">
        <v>88.8</v>
      </c>
      <c r="Q359" s="53"/>
      <c r="R359" s="53"/>
      <c r="S359" s="52">
        <f>ROUND(ROUND(P359, 2)*I359, 2)</f>
        <v>0</v>
      </c>
      <c r="T359" s="53"/>
      <c r="U359" s="54"/>
      <c r="V359" s="9">
        <f>ROUND(ROUND(P359, 2)/1.2, 2)</f>
        <v>74</v>
      </c>
      <c r="Y359" s="9">
        <f>ROUND(S359 / 1.2, 2)</f>
        <v>0</v>
      </c>
      <c r="AD359" s="4" t="s">
        <v>1178</v>
      </c>
      <c r="AE359" s="4" t="s">
        <v>1179</v>
      </c>
      <c r="AF359" s="4" t="s">
        <v>436</v>
      </c>
    </row>
    <row r="360" spans="1:35" ht="36" x14ac:dyDescent="0.3">
      <c r="A360" s="43" t="s">
        <v>1180</v>
      </c>
      <c r="B360" s="43"/>
      <c r="C360" s="55" t="s">
        <v>433</v>
      </c>
      <c r="D360" s="45"/>
      <c r="E360" s="45"/>
      <c r="F360" s="56" t="s">
        <v>70</v>
      </c>
      <c r="G360" s="57">
        <v>0.15</v>
      </c>
      <c r="H360" s="45"/>
      <c r="I360" s="57">
        <v>43.65</v>
      </c>
      <c r="J360" s="59">
        <v>88.8</v>
      </c>
      <c r="K360" s="60"/>
      <c r="L360" s="60"/>
      <c r="M360" s="59">
        <f>ROUND(ROUND(J360, 2)*I360, 2)</f>
        <v>3876.12</v>
      </c>
      <c r="N360" s="60"/>
      <c r="O360" s="60"/>
      <c r="P360" s="59">
        <v>88.8</v>
      </c>
      <c r="Q360" s="60"/>
      <c r="R360" s="60"/>
      <c r="S360" s="59">
        <f>ROUND(ROUND(P360, 2)*I360, 2)</f>
        <v>3876.12</v>
      </c>
      <c r="T360" s="60"/>
      <c r="U360" s="61"/>
      <c r="V360" s="9">
        <f>ROUND(ROUND(P360, 2)/1.2, 2)</f>
        <v>74</v>
      </c>
      <c r="Y360" s="9">
        <f>ROUND(S360 / 1.2, 2)</f>
        <v>3230.1</v>
      </c>
      <c r="AD360" s="4" t="s">
        <v>1181</v>
      </c>
      <c r="AE360" s="4" t="s">
        <v>1179</v>
      </c>
      <c r="AF360" s="4" t="s">
        <v>436</v>
      </c>
    </row>
    <row r="361" spans="1:35" ht="36" x14ac:dyDescent="0.3">
      <c r="A361" s="37" t="s">
        <v>1182</v>
      </c>
      <c r="B361" s="37" t="s">
        <v>1149</v>
      </c>
      <c r="C361" s="38" t="s">
        <v>1150</v>
      </c>
      <c r="D361" s="39"/>
      <c r="E361" s="39" t="s">
        <v>63</v>
      </c>
      <c r="F361" s="39" t="s">
        <v>64</v>
      </c>
      <c r="G361" s="40">
        <v>1</v>
      </c>
      <c r="H361" s="39"/>
      <c r="I361" s="41">
        <v>0</v>
      </c>
      <c r="J361" s="42">
        <f>IFERROR(ROUND(SUM(M363,M365)/I361, 2),0)</f>
        <v>0</v>
      </c>
      <c r="K361" s="42">
        <v>251</v>
      </c>
      <c r="L361" s="42">
        <f>J361+ROUND(K361, 2)</f>
        <v>251</v>
      </c>
      <c r="M361" s="42">
        <f>ROUND(J361*I361, 2)</f>
        <v>0</v>
      </c>
      <c r="N361" s="42">
        <f>ROUND(I361*ROUND(K361, 2), 2)</f>
        <v>0</v>
      </c>
      <c r="O361" s="42">
        <f>M361+N361</f>
        <v>0</v>
      </c>
      <c r="P361" s="42">
        <f>IFERROR(ROUND(SUM(S363,S365)/I361, 2),0)</f>
        <v>0</v>
      </c>
      <c r="Q361" s="42">
        <v>251</v>
      </c>
      <c r="R361" s="42">
        <f>P361+ROUND(Q361, 2)</f>
        <v>251</v>
      </c>
      <c r="S361" s="42">
        <f>ROUND(P361*I361, 2)</f>
        <v>0</v>
      </c>
      <c r="T361" s="42">
        <f>ROUND(I361*ROUND(Q361, 2), 2)</f>
        <v>0</v>
      </c>
      <c r="U361" s="42">
        <f>S361+T361</f>
        <v>0</v>
      </c>
      <c r="V361" s="9">
        <f>ROUND(P361 / 1.2, 2)</f>
        <v>0</v>
      </c>
      <c r="W361" s="9">
        <f>ROUND(Q361 / 1.2, 2)</f>
        <v>209.17</v>
      </c>
      <c r="X361" s="9">
        <f>ROUND(R361 / 1.2, 2)</f>
        <v>209.17</v>
      </c>
      <c r="Y361" s="9">
        <f>ROUND(S361 / 1.2, 2)</f>
        <v>0</v>
      </c>
      <c r="Z361" s="9">
        <f>ROUND(T361 / 1.2, 2)</f>
        <v>0</v>
      </c>
      <c r="AA361" s="9">
        <f>Y361+Z361</f>
        <v>0</v>
      </c>
      <c r="AD361" s="4">
        <v>271132193</v>
      </c>
      <c r="AE361" s="4">
        <v>16211514</v>
      </c>
      <c r="AG361" s="4" t="s">
        <v>1151</v>
      </c>
      <c r="AH361" s="4" t="s">
        <v>1152</v>
      </c>
      <c r="AI361" s="4" t="s">
        <v>67</v>
      </c>
    </row>
    <row r="362" spans="1:35" ht="36" x14ac:dyDescent="0.3">
      <c r="A362" s="43" t="s">
        <v>1183</v>
      </c>
      <c r="B362" s="43" t="s">
        <v>1149</v>
      </c>
      <c r="C362" s="44" t="s">
        <v>1150</v>
      </c>
      <c r="D362" s="45"/>
      <c r="E362" s="45"/>
      <c r="F362" s="45" t="s">
        <v>64</v>
      </c>
      <c r="G362" s="46">
        <v>1</v>
      </c>
      <c r="H362" s="45"/>
      <c r="I362" s="46">
        <v>1533.5</v>
      </c>
      <c r="J362" s="47">
        <v>0</v>
      </c>
      <c r="K362" s="47">
        <v>251</v>
      </c>
      <c r="L362" s="47"/>
      <c r="M362" s="47">
        <v>0</v>
      </c>
      <c r="N362" s="47"/>
      <c r="O362" s="47"/>
      <c r="P362" s="47">
        <v>0</v>
      </c>
      <c r="Q362" s="47">
        <v>251</v>
      </c>
      <c r="R362" s="47"/>
      <c r="S362" s="47">
        <v>0</v>
      </c>
      <c r="T362" s="47"/>
      <c r="U362" s="47"/>
      <c r="V362" s="9"/>
      <c r="W362" s="9">
        <f>ROUND(Q362 / 1.2, 2)</f>
        <v>209.17</v>
      </c>
      <c r="X362" s="9" t="e">
        <f>ROUND(R362 / 1.2, 2)</f>
        <v>#VALUE!</v>
      </c>
      <c r="Y362" s="9"/>
      <c r="Z362" s="9" t="e">
        <f>ROUND(T362 / 1.2, 2)</f>
        <v>#VALUE!</v>
      </c>
      <c r="AA362" s="9"/>
      <c r="AD362" s="4">
        <v>213223687</v>
      </c>
      <c r="AE362" s="4">
        <v>16211514</v>
      </c>
      <c r="AG362" s="4" t="s">
        <v>1151</v>
      </c>
      <c r="AH362" s="4" t="s">
        <v>1152</v>
      </c>
      <c r="AI362" s="4"/>
    </row>
    <row r="363" spans="1:35" ht="54" x14ac:dyDescent="0.3">
      <c r="A363" s="37" t="s">
        <v>1184</v>
      </c>
      <c r="B363" s="37"/>
      <c r="C363" s="48" t="s">
        <v>1185</v>
      </c>
      <c r="D363" s="39"/>
      <c r="E363" s="39" t="s">
        <v>1186</v>
      </c>
      <c r="F363" s="49" t="s">
        <v>70</v>
      </c>
      <c r="G363" s="50">
        <v>0.3</v>
      </c>
      <c r="H363" s="39"/>
      <c r="I363" s="62">
        <v>0</v>
      </c>
      <c r="J363" s="52">
        <v>0</v>
      </c>
      <c r="K363" s="53"/>
      <c r="L363" s="53"/>
      <c r="M363" s="52">
        <f>ROUND(ROUND(J363, 2)*I363, 2)</f>
        <v>0</v>
      </c>
      <c r="N363" s="53"/>
      <c r="O363" s="53"/>
      <c r="P363" s="52">
        <v>0</v>
      </c>
      <c r="Q363" s="53"/>
      <c r="R363" s="53"/>
      <c r="S363" s="52">
        <f>ROUND(ROUND(P363, 2)*I363, 2)</f>
        <v>0</v>
      </c>
      <c r="T363" s="53"/>
      <c r="U363" s="54"/>
      <c r="V363" s="9">
        <f>ROUND(ROUND(P363, 2)/1.2, 2)</f>
        <v>0</v>
      </c>
      <c r="Y363" s="9">
        <f>ROUND(S363 / 1.2, 2)</f>
        <v>0</v>
      </c>
      <c r="AD363" s="4" t="s">
        <v>1187</v>
      </c>
      <c r="AE363" s="4" t="s">
        <v>1188</v>
      </c>
      <c r="AF363" s="4" t="s">
        <v>1189</v>
      </c>
    </row>
    <row r="364" spans="1:35" ht="54" x14ac:dyDescent="0.3">
      <c r="A364" s="43" t="s">
        <v>1190</v>
      </c>
      <c r="B364" s="43"/>
      <c r="C364" s="55" t="s">
        <v>1185</v>
      </c>
      <c r="D364" s="45"/>
      <c r="E364" s="45" t="s">
        <v>1186</v>
      </c>
      <c r="F364" s="56" t="s">
        <v>70</v>
      </c>
      <c r="G364" s="57">
        <v>0.3</v>
      </c>
      <c r="H364" s="45"/>
      <c r="I364" s="57">
        <v>460.05</v>
      </c>
      <c r="J364" s="59">
        <v>0</v>
      </c>
      <c r="K364" s="60"/>
      <c r="L364" s="60"/>
      <c r="M364" s="59">
        <f>ROUND(ROUND(J364, 2)*I364, 2)</f>
        <v>0</v>
      </c>
      <c r="N364" s="60"/>
      <c r="O364" s="60"/>
      <c r="P364" s="59">
        <v>0</v>
      </c>
      <c r="Q364" s="60"/>
      <c r="R364" s="60"/>
      <c r="S364" s="59">
        <f>ROUND(ROUND(P364, 2)*I364, 2)</f>
        <v>0</v>
      </c>
      <c r="T364" s="60"/>
      <c r="U364" s="61"/>
      <c r="V364" s="9">
        <f>ROUND(ROUND(P364, 2)/1.2, 2)</f>
        <v>0</v>
      </c>
      <c r="Y364" s="9">
        <f>ROUND(S364 / 1.2, 2)</f>
        <v>0</v>
      </c>
      <c r="AD364" s="4" t="s">
        <v>1191</v>
      </c>
      <c r="AE364" s="4" t="s">
        <v>1188</v>
      </c>
      <c r="AF364" s="4" t="s">
        <v>1189</v>
      </c>
    </row>
    <row r="365" spans="1:35" ht="36" x14ac:dyDescent="0.3">
      <c r="A365" s="37" t="s">
        <v>1192</v>
      </c>
      <c r="B365" s="37"/>
      <c r="C365" s="48" t="s">
        <v>433</v>
      </c>
      <c r="D365" s="39"/>
      <c r="E365" s="39"/>
      <c r="F365" s="49" t="s">
        <v>70</v>
      </c>
      <c r="G365" s="50">
        <v>0.15</v>
      </c>
      <c r="H365" s="39"/>
      <c r="I365" s="62">
        <v>0</v>
      </c>
      <c r="J365" s="52">
        <v>88.8</v>
      </c>
      <c r="K365" s="53"/>
      <c r="L365" s="53"/>
      <c r="M365" s="52">
        <f>ROUND(ROUND(J365, 2)*I365, 2)</f>
        <v>0</v>
      </c>
      <c r="N365" s="53"/>
      <c r="O365" s="53"/>
      <c r="P365" s="52">
        <v>88.8</v>
      </c>
      <c r="Q365" s="53"/>
      <c r="R365" s="53"/>
      <c r="S365" s="52">
        <f>ROUND(ROUND(P365, 2)*I365, 2)</f>
        <v>0</v>
      </c>
      <c r="T365" s="53"/>
      <c r="U365" s="54"/>
      <c r="V365" s="9">
        <f>ROUND(ROUND(P365, 2)/1.2, 2)</f>
        <v>74</v>
      </c>
      <c r="Y365" s="9">
        <f>ROUND(S365 / 1.2, 2)</f>
        <v>0</v>
      </c>
      <c r="AD365" s="4" t="s">
        <v>1193</v>
      </c>
      <c r="AE365" s="4" t="s">
        <v>1194</v>
      </c>
      <c r="AF365" s="4" t="s">
        <v>436</v>
      </c>
    </row>
    <row r="366" spans="1:35" ht="36" x14ac:dyDescent="0.3">
      <c r="A366" s="43" t="s">
        <v>1195</v>
      </c>
      <c r="B366" s="43"/>
      <c r="C366" s="55" t="s">
        <v>433</v>
      </c>
      <c r="D366" s="45"/>
      <c r="E366" s="45"/>
      <c r="F366" s="56" t="s">
        <v>70</v>
      </c>
      <c r="G366" s="57">
        <v>0.15</v>
      </c>
      <c r="H366" s="45"/>
      <c r="I366" s="57">
        <v>230.02500000000001</v>
      </c>
      <c r="J366" s="59">
        <v>88.8</v>
      </c>
      <c r="K366" s="60"/>
      <c r="L366" s="60"/>
      <c r="M366" s="59">
        <f>ROUND(ROUND(J366, 2)*I366, 2)</f>
        <v>20426.22</v>
      </c>
      <c r="N366" s="60"/>
      <c r="O366" s="60"/>
      <c r="P366" s="59">
        <v>88.8</v>
      </c>
      <c r="Q366" s="60"/>
      <c r="R366" s="60"/>
      <c r="S366" s="59">
        <f>ROUND(ROUND(P366, 2)*I366, 2)</f>
        <v>20426.22</v>
      </c>
      <c r="T366" s="60"/>
      <c r="U366" s="61"/>
      <c r="V366" s="9">
        <f>ROUND(ROUND(P366, 2)/1.2, 2)</f>
        <v>74</v>
      </c>
      <c r="Y366" s="9">
        <f>ROUND(S366 / 1.2, 2)</f>
        <v>17021.849999999999</v>
      </c>
      <c r="AD366" s="4" t="s">
        <v>1196</v>
      </c>
      <c r="AE366" s="4" t="s">
        <v>1194</v>
      </c>
      <c r="AF366" s="4" t="s">
        <v>436</v>
      </c>
    </row>
    <row r="367" spans="1:35" ht="36" x14ac:dyDescent="0.3">
      <c r="A367" s="37" t="s">
        <v>1197</v>
      </c>
      <c r="B367" s="37" t="s">
        <v>1149</v>
      </c>
      <c r="C367" s="38" t="s">
        <v>1150</v>
      </c>
      <c r="D367" s="39"/>
      <c r="E367" s="39" t="s">
        <v>63</v>
      </c>
      <c r="F367" s="39" t="s">
        <v>64</v>
      </c>
      <c r="G367" s="40">
        <v>1</v>
      </c>
      <c r="H367" s="39"/>
      <c r="I367" s="41">
        <v>0</v>
      </c>
      <c r="J367" s="42">
        <f>IFERROR(ROUND(SUM(M369,M371)/I367, 2),0)</f>
        <v>0</v>
      </c>
      <c r="K367" s="42">
        <v>251</v>
      </c>
      <c r="L367" s="42">
        <f>J367+ROUND(K367, 2)</f>
        <v>251</v>
      </c>
      <c r="M367" s="42">
        <f>ROUND(J367*I367, 2)</f>
        <v>0</v>
      </c>
      <c r="N367" s="42">
        <f>ROUND(I367*ROUND(K367, 2), 2)</f>
        <v>0</v>
      </c>
      <c r="O367" s="42">
        <f>M367+N367</f>
        <v>0</v>
      </c>
      <c r="P367" s="42">
        <f>IFERROR(ROUND(SUM(S369,S371)/I367, 2),0)</f>
        <v>0</v>
      </c>
      <c r="Q367" s="42">
        <v>251</v>
      </c>
      <c r="R367" s="42">
        <f>P367+ROUND(Q367, 2)</f>
        <v>251</v>
      </c>
      <c r="S367" s="42">
        <f>ROUND(P367*I367, 2)</f>
        <v>0</v>
      </c>
      <c r="T367" s="42">
        <f>ROUND(I367*ROUND(Q367, 2), 2)</f>
        <v>0</v>
      </c>
      <c r="U367" s="42">
        <f>S367+T367</f>
        <v>0</v>
      </c>
      <c r="V367" s="9">
        <f>ROUND(P367 / 1.2, 2)</f>
        <v>0</v>
      </c>
      <c r="W367" s="9">
        <f>ROUND(Q367 / 1.2, 2)</f>
        <v>209.17</v>
      </c>
      <c r="X367" s="9">
        <f>ROUND(R367 / 1.2, 2)</f>
        <v>209.17</v>
      </c>
      <c r="Y367" s="9">
        <f>ROUND(S367 / 1.2, 2)</f>
        <v>0</v>
      </c>
      <c r="Z367" s="9">
        <f>ROUND(T367 / 1.2, 2)</f>
        <v>0</v>
      </c>
      <c r="AA367" s="9">
        <f>Y367+Z367</f>
        <v>0</v>
      </c>
      <c r="AD367" s="4">
        <v>271132194</v>
      </c>
      <c r="AE367" s="4">
        <v>16211515</v>
      </c>
      <c r="AG367" s="4" t="s">
        <v>1151</v>
      </c>
      <c r="AH367" s="4" t="s">
        <v>1152</v>
      </c>
      <c r="AI367" s="4" t="s">
        <v>67</v>
      </c>
    </row>
    <row r="368" spans="1:35" ht="36" x14ac:dyDescent="0.3">
      <c r="A368" s="43" t="s">
        <v>1198</v>
      </c>
      <c r="B368" s="43" t="s">
        <v>1149</v>
      </c>
      <c r="C368" s="44" t="s">
        <v>1150</v>
      </c>
      <c r="D368" s="45"/>
      <c r="E368" s="45"/>
      <c r="F368" s="45" t="s">
        <v>64</v>
      </c>
      <c r="G368" s="46">
        <v>1</v>
      </c>
      <c r="H368" s="45"/>
      <c r="I368" s="46">
        <v>98.2</v>
      </c>
      <c r="J368" s="47">
        <v>0</v>
      </c>
      <c r="K368" s="47">
        <v>251</v>
      </c>
      <c r="L368" s="47"/>
      <c r="M368" s="47">
        <v>0</v>
      </c>
      <c r="N368" s="47"/>
      <c r="O368" s="47"/>
      <c r="P368" s="47">
        <v>0</v>
      </c>
      <c r="Q368" s="47">
        <v>251</v>
      </c>
      <c r="R368" s="47"/>
      <c r="S368" s="47">
        <v>0</v>
      </c>
      <c r="T368" s="47"/>
      <c r="U368" s="47"/>
      <c r="V368" s="9"/>
      <c r="W368" s="9">
        <f>ROUND(Q368 / 1.2, 2)</f>
        <v>209.17</v>
      </c>
      <c r="X368" s="9" t="e">
        <f>ROUND(R368 / 1.2, 2)</f>
        <v>#VALUE!</v>
      </c>
      <c r="Y368" s="9"/>
      <c r="Z368" s="9" t="e">
        <f>ROUND(T368 / 1.2, 2)</f>
        <v>#VALUE!</v>
      </c>
      <c r="AA368" s="9"/>
      <c r="AD368" s="4">
        <v>206117310</v>
      </c>
      <c r="AE368" s="4">
        <v>16211515</v>
      </c>
      <c r="AG368" s="4" t="s">
        <v>1151</v>
      </c>
      <c r="AH368" s="4" t="s">
        <v>1152</v>
      </c>
      <c r="AI368" s="4"/>
    </row>
    <row r="369" spans="1:35" ht="90" x14ac:dyDescent="0.3">
      <c r="A369" s="37" t="s">
        <v>1199</v>
      </c>
      <c r="B369" s="37"/>
      <c r="C369" s="48" t="s">
        <v>1170</v>
      </c>
      <c r="D369" s="39"/>
      <c r="E369" s="39" t="s">
        <v>1200</v>
      </c>
      <c r="F369" s="49" t="s">
        <v>70</v>
      </c>
      <c r="G369" s="50">
        <v>0.3</v>
      </c>
      <c r="H369" s="39"/>
      <c r="I369" s="62">
        <v>0</v>
      </c>
      <c r="J369" s="52">
        <v>388.89</v>
      </c>
      <c r="K369" s="53"/>
      <c r="L369" s="53"/>
      <c r="M369" s="52">
        <f>ROUND(ROUND(J369, 2)*I369, 2)</f>
        <v>0</v>
      </c>
      <c r="N369" s="53"/>
      <c r="O369" s="53"/>
      <c r="P369" s="52">
        <v>388.89</v>
      </c>
      <c r="Q369" s="53"/>
      <c r="R369" s="53"/>
      <c r="S369" s="52">
        <f>ROUND(ROUND(P369, 2)*I369, 2)</f>
        <v>0</v>
      </c>
      <c r="T369" s="53"/>
      <c r="U369" s="54"/>
      <c r="V369" s="9">
        <f>ROUND(ROUND(P369, 2)/1.2, 2)</f>
        <v>324.08</v>
      </c>
      <c r="Y369" s="9">
        <f>ROUND(S369 / 1.2, 2)</f>
        <v>0</v>
      </c>
      <c r="AD369" s="4" t="s">
        <v>1201</v>
      </c>
      <c r="AE369" s="4" t="s">
        <v>1202</v>
      </c>
      <c r="AF369" s="4" t="s">
        <v>1174</v>
      </c>
    </row>
    <row r="370" spans="1:35" ht="90" x14ac:dyDescent="0.3">
      <c r="A370" s="43" t="s">
        <v>1203</v>
      </c>
      <c r="B370" s="43"/>
      <c r="C370" s="55" t="s">
        <v>1170</v>
      </c>
      <c r="D370" s="45"/>
      <c r="E370" s="45" t="s">
        <v>1200</v>
      </c>
      <c r="F370" s="56" t="s">
        <v>70</v>
      </c>
      <c r="G370" s="57">
        <v>0.3</v>
      </c>
      <c r="H370" s="45"/>
      <c r="I370" s="57">
        <v>29.46</v>
      </c>
      <c r="J370" s="59">
        <v>388.89</v>
      </c>
      <c r="K370" s="60"/>
      <c r="L370" s="60"/>
      <c r="M370" s="59">
        <f>ROUND(ROUND(J370, 2)*I370, 2)</f>
        <v>11456.7</v>
      </c>
      <c r="N370" s="60"/>
      <c r="O370" s="60"/>
      <c r="P370" s="59">
        <v>388.89</v>
      </c>
      <c r="Q370" s="60"/>
      <c r="R370" s="60"/>
      <c r="S370" s="59">
        <f>ROUND(ROUND(P370, 2)*I370, 2)</f>
        <v>11456.7</v>
      </c>
      <c r="T370" s="60"/>
      <c r="U370" s="61"/>
      <c r="V370" s="9">
        <f>ROUND(ROUND(P370, 2)/1.2, 2)</f>
        <v>324.08</v>
      </c>
      <c r="Y370" s="9">
        <f>ROUND(S370 / 1.2, 2)</f>
        <v>9547.25</v>
      </c>
      <c r="AD370" s="4" t="s">
        <v>1204</v>
      </c>
      <c r="AE370" s="4" t="s">
        <v>1202</v>
      </c>
      <c r="AF370" s="4" t="s">
        <v>1174</v>
      </c>
    </row>
    <row r="371" spans="1:35" ht="36" x14ac:dyDescent="0.3">
      <c r="A371" s="37" t="s">
        <v>1205</v>
      </c>
      <c r="B371" s="37"/>
      <c r="C371" s="48" t="s">
        <v>433</v>
      </c>
      <c r="D371" s="39"/>
      <c r="E371" s="39"/>
      <c r="F371" s="49" t="s">
        <v>70</v>
      </c>
      <c r="G371" s="50">
        <v>0.15</v>
      </c>
      <c r="H371" s="39"/>
      <c r="I371" s="62">
        <v>0</v>
      </c>
      <c r="J371" s="52">
        <v>88.8</v>
      </c>
      <c r="K371" s="53"/>
      <c r="L371" s="53"/>
      <c r="M371" s="52">
        <f>ROUND(ROUND(J371, 2)*I371, 2)</f>
        <v>0</v>
      </c>
      <c r="N371" s="53"/>
      <c r="O371" s="53"/>
      <c r="P371" s="52">
        <v>88.8</v>
      </c>
      <c r="Q371" s="53"/>
      <c r="R371" s="53"/>
      <c r="S371" s="52">
        <f>ROUND(ROUND(P371, 2)*I371, 2)</f>
        <v>0</v>
      </c>
      <c r="T371" s="53"/>
      <c r="U371" s="54"/>
      <c r="V371" s="9">
        <f>ROUND(ROUND(P371, 2)/1.2, 2)</f>
        <v>74</v>
      </c>
      <c r="Y371" s="9">
        <f>ROUND(S371 / 1.2, 2)</f>
        <v>0</v>
      </c>
      <c r="AD371" s="4" t="s">
        <v>1206</v>
      </c>
      <c r="AE371" s="4" t="s">
        <v>1207</v>
      </c>
      <c r="AF371" s="4" t="s">
        <v>436</v>
      </c>
    </row>
    <row r="372" spans="1:35" ht="36" x14ac:dyDescent="0.3">
      <c r="A372" s="43" t="s">
        <v>1208</v>
      </c>
      <c r="B372" s="43"/>
      <c r="C372" s="55" t="s">
        <v>433</v>
      </c>
      <c r="D372" s="45"/>
      <c r="E372" s="45"/>
      <c r="F372" s="56" t="s">
        <v>70</v>
      </c>
      <c r="G372" s="57">
        <v>0.15</v>
      </c>
      <c r="H372" s="45"/>
      <c r="I372" s="57">
        <v>14.73</v>
      </c>
      <c r="J372" s="59">
        <v>88.8</v>
      </c>
      <c r="K372" s="60"/>
      <c r="L372" s="60"/>
      <c r="M372" s="59">
        <f>ROUND(ROUND(J372, 2)*I372, 2)</f>
        <v>1308.02</v>
      </c>
      <c r="N372" s="60"/>
      <c r="O372" s="60"/>
      <c r="P372" s="59">
        <v>88.8</v>
      </c>
      <c r="Q372" s="60"/>
      <c r="R372" s="60"/>
      <c r="S372" s="59">
        <f>ROUND(ROUND(P372, 2)*I372, 2)</f>
        <v>1308.02</v>
      </c>
      <c r="T372" s="60"/>
      <c r="U372" s="61"/>
      <c r="V372" s="9">
        <f>ROUND(ROUND(P372, 2)/1.2, 2)</f>
        <v>74</v>
      </c>
      <c r="Y372" s="9">
        <f>ROUND(S372 / 1.2, 2)</f>
        <v>1090.02</v>
      </c>
      <c r="AD372" s="4" t="s">
        <v>1209</v>
      </c>
      <c r="AE372" s="4" t="s">
        <v>1207</v>
      </c>
      <c r="AF372" s="4" t="s">
        <v>436</v>
      </c>
    </row>
    <row r="373" spans="1:35" ht="36" x14ac:dyDescent="0.3">
      <c r="A373" s="37" t="s">
        <v>1210</v>
      </c>
      <c r="B373" s="37" t="s">
        <v>1149</v>
      </c>
      <c r="C373" s="38" t="s">
        <v>1150</v>
      </c>
      <c r="D373" s="39"/>
      <c r="E373" s="39" t="s">
        <v>63</v>
      </c>
      <c r="F373" s="39" t="s">
        <v>64</v>
      </c>
      <c r="G373" s="40">
        <v>1</v>
      </c>
      <c r="H373" s="39"/>
      <c r="I373" s="41">
        <v>0</v>
      </c>
      <c r="J373" s="42">
        <f>IFERROR(ROUND(SUM(M375,M377)/I373, 2),0)</f>
        <v>0</v>
      </c>
      <c r="K373" s="42">
        <v>251</v>
      </c>
      <c r="L373" s="42">
        <f>J373+ROUND(K373, 2)</f>
        <v>251</v>
      </c>
      <c r="M373" s="42">
        <f>ROUND(J373*I373, 2)</f>
        <v>0</v>
      </c>
      <c r="N373" s="42">
        <f>ROUND(I373*ROUND(K373, 2), 2)</f>
        <v>0</v>
      </c>
      <c r="O373" s="42">
        <f>M373+N373</f>
        <v>0</v>
      </c>
      <c r="P373" s="42">
        <f>IFERROR(ROUND(SUM(S375,S377)/I373, 2),0)</f>
        <v>0</v>
      </c>
      <c r="Q373" s="42">
        <v>251</v>
      </c>
      <c r="R373" s="42">
        <f>P373+ROUND(Q373, 2)</f>
        <v>251</v>
      </c>
      <c r="S373" s="42">
        <f>ROUND(P373*I373, 2)</f>
        <v>0</v>
      </c>
      <c r="T373" s="42">
        <f>ROUND(I373*ROUND(Q373, 2), 2)</f>
        <v>0</v>
      </c>
      <c r="U373" s="42">
        <f>S373+T373</f>
        <v>0</v>
      </c>
      <c r="V373" s="9">
        <f>ROUND(P373 / 1.2, 2)</f>
        <v>0</v>
      </c>
      <c r="W373" s="9">
        <f>ROUND(Q373 / 1.2, 2)</f>
        <v>209.17</v>
      </c>
      <c r="X373" s="9">
        <f>ROUND(R373 / 1.2, 2)</f>
        <v>209.17</v>
      </c>
      <c r="Y373" s="9">
        <f>ROUND(S373 / 1.2, 2)</f>
        <v>0</v>
      </c>
      <c r="Z373" s="9">
        <f>ROUND(T373 / 1.2, 2)</f>
        <v>0</v>
      </c>
      <c r="AA373" s="9">
        <f>Y373+Z373</f>
        <v>0</v>
      </c>
      <c r="AD373" s="4">
        <v>271132195</v>
      </c>
      <c r="AE373" s="4">
        <v>16211516</v>
      </c>
      <c r="AG373" s="4" t="s">
        <v>1151</v>
      </c>
      <c r="AH373" s="4" t="s">
        <v>1152</v>
      </c>
      <c r="AI373" s="4" t="s">
        <v>67</v>
      </c>
    </row>
    <row r="374" spans="1:35" ht="36" x14ac:dyDescent="0.3">
      <c r="A374" s="43" t="s">
        <v>1211</v>
      </c>
      <c r="B374" s="43" t="s">
        <v>1149</v>
      </c>
      <c r="C374" s="44" t="s">
        <v>1150</v>
      </c>
      <c r="D374" s="45"/>
      <c r="E374" s="45"/>
      <c r="F374" s="45" t="s">
        <v>64</v>
      </c>
      <c r="G374" s="46">
        <v>1</v>
      </c>
      <c r="H374" s="45"/>
      <c r="I374" s="46">
        <v>21</v>
      </c>
      <c r="J374" s="47">
        <v>0</v>
      </c>
      <c r="K374" s="47">
        <v>251</v>
      </c>
      <c r="L374" s="47"/>
      <c r="M374" s="47">
        <v>0</v>
      </c>
      <c r="N374" s="47"/>
      <c r="O374" s="47"/>
      <c r="P374" s="47">
        <v>0</v>
      </c>
      <c r="Q374" s="47">
        <v>251</v>
      </c>
      <c r="R374" s="47"/>
      <c r="S374" s="47">
        <v>0</v>
      </c>
      <c r="T374" s="47"/>
      <c r="U374" s="47"/>
      <c r="V374" s="9"/>
      <c r="W374" s="9">
        <f>ROUND(Q374 / 1.2, 2)</f>
        <v>209.17</v>
      </c>
      <c r="X374" s="9" t="e">
        <f>ROUND(R374 / 1.2, 2)</f>
        <v>#VALUE!</v>
      </c>
      <c r="Y374" s="9"/>
      <c r="Z374" s="9" t="e">
        <f>ROUND(T374 / 1.2, 2)</f>
        <v>#VALUE!</v>
      </c>
      <c r="AA374" s="9"/>
      <c r="AD374" s="4">
        <v>206117311</v>
      </c>
      <c r="AE374" s="4">
        <v>16211516</v>
      </c>
      <c r="AG374" s="4" t="s">
        <v>1151</v>
      </c>
      <c r="AH374" s="4" t="s">
        <v>1152</v>
      </c>
      <c r="AI374" s="4"/>
    </row>
    <row r="375" spans="1:35" ht="90" x14ac:dyDescent="0.3">
      <c r="A375" s="37" t="s">
        <v>1212</v>
      </c>
      <c r="B375" s="37"/>
      <c r="C375" s="48" t="s">
        <v>1170</v>
      </c>
      <c r="D375" s="39"/>
      <c r="E375" s="39" t="s">
        <v>1213</v>
      </c>
      <c r="F375" s="49" t="s">
        <v>70</v>
      </c>
      <c r="G375" s="50">
        <v>0.3</v>
      </c>
      <c r="H375" s="39"/>
      <c r="I375" s="62">
        <v>0</v>
      </c>
      <c r="J375" s="52">
        <v>388.89</v>
      </c>
      <c r="K375" s="53"/>
      <c r="L375" s="53"/>
      <c r="M375" s="52">
        <f>ROUND(ROUND(J375, 2)*I375, 2)</f>
        <v>0</v>
      </c>
      <c r="N375" s="53"/>
      <c r="O375" s="53"/>
      <c r="P375" s="52">
        <v>388.89</v>
      </c>
      <c r="Q375" s="53"/>
      <c r="R375" s="53"/>
      <c r="S375" s="52">
        <f>ROUND(ROUND(P375, 2)*I375, 2)</f>
        <v>0</v>
      </c>
      <c r="T375" s="53"/>
      <c r="U375" s="54"/>
      <c r="V375" s="9">
        <f>ROUND(ROUND(P375, 2)/1.2, 2)</f>
        <v>324.08</v>
      </c>
      <c r="Y375" s="9">
        <f>ROUND(S375 / 1.2, 2)</f>
        <v>0</v>
      </c>
      <c r="AD375" s="4" t="s">
        <v>1214</v>
      </c>
      <c r="AE375" s="4" t="s">
        <v>1215</v>
      </c>
      <c r="AF375" s="4" t="s">
        <v>1174</v>
      </c>
    </row>
    <row r="376" spans="1:35" ht="90" x14ac:dyDescent="0.3">
      <c r="A376" s="43" t="s">
        <v>1216</v>
      </c>
      <c r="B376" s="43"/>
      <c r="C376" s="55" t="s">
        <v>1170</v>
      </c>
      <c r="D376" s="45"/>
      <c r="E376" s="45" t="s">
        <v>1213</v>
      </c>
      <c r="F376" s="56" t="s">
        <v>70</v>
      </c>
      <c r="G376" s="57">
        <v>0.3</v>
      </c>
      <c r="H376" s="45"/>
      <c r="I376" s="57">
        <v>6.3</v>
      </c>
      <c r="J376" s="59">
        <v>388.89</v>
      </c>
      <c r="K376" s="60"/>
      <c r="L376" s="60"/>
      <c r="M376" s="59">
        <f>ROUND(ROUND(J376, 2)*I376, 2)</f>
        <v>2450.0100000000002</v>
      </c>
      <c r="N376" s="60"/>
      <c r="O376" s="60"/>
      <c r="P376" s="59">
        <v>388.89</v>
      </c>
      <c r="Q376" s="60"/>
      <c r="R376" s="60"/>
      <c r="S376" s="59">
        <f>ROUND(ROUND(P376, 2)*I376, 2)</f>
        <v>2450.0100000000002</v>
      </c>
      <c r="T376" s="60"/>
      <c r="U376" s="61"/>
      <c r="V376" s="9">
        <f>ROUND(ROUND(P376, 2)/1.2, 2)</f>
        <v>324.08</v>
      </c>
      <c r="Y376" s="9">
        <f>ROUND(S376 / 1.2, 2)</f>
        <v>2041.68</v>
      </c>
      <c r="AD376" s="4" t="s">
        <v>1217</v>
      </c>
      <c r="AE376" s="4" t="s">
        <v>1215</v>
      </c>
      <c r="AF376" s="4" t="s">
        <v>1174</v>
      </c>
    </row>
    <row r="377" spans="1:35" ht="36" x14ac:dyDescent="0.3">
      <c r="A377" s="37" t="s">
        <v>1218</v>
      </c>
      <c r="B377" s="37"/>
      <c r="C377" s="48" t="s">
        <v>433</v>
      </c>
      <c r="D377" s="39"/>
      <c r="E377" s="39"/>
      <c r="F377" s="49" t="s">
        <v>70</v>
      </c>
      <c r="G377" s="50">
        <v>0.15</v>
      </c>
      <c r="H377" s="39"/>
      <c r="I377" s="62">
        <v>0</v>
      </c>
      <c r="J377" s="52">
        <v>88.8</v>
      </c>
      <c r="K377" s="53"/>
      <c r="L377" s="53"/>
      <c r="M377" s="52">
        <f>ROUND(ROUND(J377, 2)*I377, 2)</f>
        <v>0</v>
      </c>
      <c r="N377" s="53"/>
      <c r="O377" s="53"/>
      <c r="P377" s="52">
        <v>88.8</v>
      </c>
      <c r="Q377" s="53"/>
      <c r="R377" s="53"/>
      <c r="S377" s="52">
        <f>ROUND(ROUND(P377, 2)*I377, 2)</f>
        <v>0</v>
      </c>
      <c r="T377" s="53"/>
      <c r="U377" s="54"/>
      <c r="V377" s="9">
        <f>ROUND(ROUND(P377, 2)/1.2, 2)</f>
        <v>74</v>
      </c>
      <c r="Y377" s="9">
        <f>ROUND(S377 / 1.2, 2)</f>
        <v>0</v>
      </c>
      <c r="AD377" s="4" t="s">
        <v>1219</v>
      </c>
      <c r="AE377" s="4" t="s">
        <v>1220</v>
      </c>
      <c r="AF377" s="4" t="s">
        <v>436</v>
      </c>
    </row>
    <row r="378" spans="1:35" ht="36" x14ac:dyDescent="0.3">
      <c r="A378" s="43" t="s">
        <v>1221</v>
      </c>
      <c r="B378" s="43"/>
      <c r="C378" s="55" t="s">
        <v>433</v>
      </c>
      <c r="D378" s="45"/>
      <c r="E378" s="45"/>
      <c r="F378" s="56" t="s">
        <v>70</v>
      </c>
      <c r="G378" s="57">
        <v>0.15</v>
      </c>
      <c r="H378" s="45"/>
      <c r="I378" s="57">
        <v>3.15</v>
      </c>
      <c r="J378" s="59">
        <v>88.8</v>
      </c>
      <c r="K378" s="60"/>
      <c r="L378" s="60"/>
      <c r="M378" s="59">
        <f>ROUND(ROUND(J378, 2)*I378, 2)</f>
        <v>279.72000000000003</v>
      </c>
      <c r="N378" s="60"/>
      <c r="O378" s="60"/>
      <c r="P378" s="59">
        <v>88.8</v>
      </c>
      <c r="Q378" s="60"/>
      <c r="R378" s="60"/>
      <c r="S378" s="59">
        <f>ROUND(ROUND(P378, 2)*I378, 2)</f>
        <v>279.72000000000003</v>
      </c>
      <c r="T378" s="60"/>
      <c r="U378" s="61"/>
      <c r="V378" s="9">
        <f>ROUND(ROUND(P378, 2)/1.2, 2)</f>
        <v>74</v>
      </c>
      <c r="Y378" s="9">
        <f>ROUND(S378 / 1.2, 2)</f>
        <v>233.1</v>
      </c>
      <c r="AD378" s="4" t="s">
        <v>1222</v>
      </c>
      <c r="AE378" s="4" t="s">
        <v>1220</v>
      </c>
      <c r="AF378" s="4" t="s">
        <v>436</v>
      </c>
    </row>
    <row r="379" spans="1:35" ht="36" x14ac:dyDescent="0.3">
      <c r="A379" s="37" t="s">
        <v>1223</v>
      </c>
      <c r="B379" s="37" t="s">
        <v>1149</v>
      </c>
      <c r="C379" s="38" t="s">
        <v>1150</v>
      </c>
      <c r="D379" s="39"/>
      <c r="E379" s="39" t="s">
        <v>63</v>
      </c>
      <c r="F379" s="39" t="s">
        <v>64</v>
      </c>
      <c r="G379" s="40">
        <v>1</v>
      </c>
      <c r="H379" s="39"/>
      <c r="I379" s="41">
        <v>0</v>
      </c>
      <c r="J379" s="42">
        <f>IFERROR(ROUND(SUM(M381,M383)/I379, 2),0)</f>
        <v>0</v>
      </c>
      <c r="K379" s="42">
        <v>251</v>
      </c>
      <c r="L379" s="42">
        <f>J379+ROUND(K379, 2)</f>
        <v>251</v>
      </c>
      <c r="M379" s="42">
        <f>ROUND(J379*I379, 2)</f>
        <v>0</v>
      </c>
      <c r="N379" s="42">
        <f>ROUND(I379*ROUND(K379, 2), 2)</f>
        <v>0</v>
      </c>
      <c r="O379" s="42">
        <f>M379+N379</f>
        <v>0</v>
      </c>
      <c r="P379" s="42">
        <f>IFERROR(ROUND(SUM(S381,S383)/I379, 2),0)</f>
        <v>0</v>
      </c>
      <c r="Q379" s="42">
        <v>251</v>
      </c>
      <c r="R379" s="42">
        <f>P379+ROUND(Q379, 2)</f>
        <v>251</v>
      </c>
      <c r="S379" s="42">
        <f>ROUND(P379*I379, 2)</f>
        <v>0</v>
      </c>
      <c r="T379" s="42">
        <f>ROUND(I379*ROUND(Q379, 2), 2)</f>
        <v>0</v>
      </c>
      <c r="U379" s="42">
        <f>S379+T379</f>
        <v>0</v>
      </c>
      <c r="V379" s="9">
        <f>ROUND(P379 / 1.2, 2)</f>
        <v>0</v>
      </c>
      <c r="W379" s="9">
        <f>ROUND(Q379 / 1.2, 2)</f>
        <v>209.17</v>
      </c>
      <c r="X379" s="9">
        <f>ROUND(R379 / 1.2, 2)</f>
        <v>209.17</v>
      </c>
      <c r="Y379" s="9">
        <f>ROUND(S379 / 1.2, 2)</f>
        <v>0</v>
      </c>
      <c r="Z379" s="9">
        <f>ROUND(T379 / 1.2, 2)</f>
        <v>0</v>
      </c>
      <c r="AA379" s="9">
        <f>Y379+Z379</f>
        <v>0</v>
      </c>
      <c r="AD379" s="4">
        <v>271132196</v>
      </c>
      <c r="AE379" s="4">
        <v>16211517</v>
      </c>
      <c r="AG379" s="4" t="s">
        <v>1151</v>
      </c>
      <c r="AH379" s="4" t="s">
        <v>1152</v>
      </c>
      <c r="AI379" s="4" t="s">
        <v>67</v>
      </c>
    </row>
    <row r="380" spans="1:35" ht="36" x14ac:dyDescent="0.3">
      <c r="A380" s="43" t="s">
        <v>1224</v>
      </c>
      <c r="B380" s="43" t="s">
        <v>1149</v>
      </c>
      <c r="C380" s="44" t="s">
        <v>1150</v>
      </c>
      <c r="D380" s="45"/>
      <c r="E380" s="45"/>
      <c r="F380" s="45" t="s">
        <v>64</v>
      </c>
      <c r="G380" s="46">
        <v>1</v>
      </c>
      <c r="H380" s="45"/>
      <c r="I380" s="46">
        <v>76</v>
      </c>
      <c r="J380" s="47">
        <v>0</v>
      </c>
      <c r="K380" s="47">
        <v>251</v>
      </c>
      <c r="L380" s="47"/>
      <c r="M380" s="47">
        <v>0</v>
      </c>
      <c r="N380" s="47"/>
      <c r="O380" s="47"/>
      <c r="P380" s="47">
        <v>0</v>
      </c>
      <c r="Q380" s="47">
        <v>251</v>
      </c>
      <c r="R380" s="47"/>
      <c r="S380" s="47">
        <v>0</v>
      </c>
      <c r="T380" s="47"/>
      <c r="U380" s="47"/>
      <c r="V380" s="9"/>
      <c r="W380" s="9">
        <f>ROUND(Q380 / 1.2, 2)</f>
        <v>209.17</v>
      </c>
      <c r="X380" s="9" t="e">
        <f>ROUND(R380 / 1.2, 2)</f>
        <v>#VALUE!</v>
      </c>
      <c r="Y380" s="9"/>
      <c r="Z380" s="9" t="e">
        <f>ROUND(T380 / 1.2, 2)</f>
        <v>#VALUE!</v>
      </c>
      <c r="AA380" s="9"/>
      <c r="AD380" s="4">
        <v>206117312</v>
      </c>
      <c r="AE380" s="4">
        <v>16211517</v>
      </c>
      <c r="AG380" s="4" t="s">
        <v>1151</v>
      </c>
      <c r="AH380" s="4" t="s">
        <v>1152</v>
      </c>
      <c r="AI380" s="4"/>
    </row>
    <row r="381" spans="1:35" ht="90" x14ac:dyDescent="0.3">
      <c r="A381" s="37" t="s">
        <v>1225</v>
      </c>
      <c r="B381" s="37"/>
      <c r="C381" s="48" t="s">
        <v>1170</v>
      </c>
      <c r="D381" s="39"/>
      <c r="E381" s="39" t="s">
        <v>1226</v>
      </c>
      <c r="F381" s="49" t="s">
        <v>70</v>
      </c>
      <c r="G381" s="50">
        <v>0.3</v>
      </c>
      <c r="H381" s="39"/>
      <c r="I381" s="62">
        <v>0</v>
      </c>
      <c r="J381" s="52">
        <v>388.89</v>
      </c>
      <c r="K381" s="53"/>
      <c r="L381" s="53"/>
      <c r="M381" s="52">
        <f>ROUND(ROUND(J381, 2)*I381, 2)</f>
        <v>0</v>
      </c>
      <c r="N381" s="53"/>
      <c r="O381" s="53"/>
      <c r="P381" s="52">
        <v>388.89</v>
      </c>
      <c r="Q381" s="53"/>
      <c r="R381" s="53"/>
      <c r="S381" s="52">
        <f>ROUND(ROUND(P381, 2)*I381, 2)</f>
        <v>0</v>
      </c>
      <c r="T381" s="53"/>
      <c r="U381" s="54"/>
      <c r="V381" s="9">
        <f>ROUND(ROUND(P381, 2)/1.2, 2)</f>
        <v>324.08</v>
      </c>
      <c r="Y381" s="9">
        <f>ROUND(S381 / 1.2, 2)</f>
        <v>0</v>
      </c>
      <c r="AD381" s="4" t="s">
        <v>1227</v>
      </c>
      <c r="AE381" s="4" t="s">
        <v>1228</v>
      </c>
      <c r="AF381" s="4" t="s">
        <v>1174</v>
      </c>
    </row>
    <row r="382" spans="1:35" ht="90" x14ac:dyDescent="0.3">
      <c r="A382" s="43" t="s">
        <v>1229</v>
      </c>
      <c r="B382" s="43"/>
      <c r="C382" s="55" t="s">
        <v>1170</v>
      </c>
      <c r="D382" s="45"/>
      <c r="E382" s="45" t="s">
        <v>1226</v>
      </c>
      <c r="F382" s="56" t="s">
        <v>70</v>
      </c>
      <c r="G382" s="57">
        <v>0.3</v>
      </c>
      <c r="H382" s="45"/>
      <c r="I382" s="57">
        <v>22.8</v>
      </c>
      <c r="J382" s="59">
        <v>388.89</v>
      </c>
      <c r="K382" s="60"/>
      <c r="L382" s="60"/>
      <c r="M382" s="59">
        <f>ROUND(ROUND(J382, 2)*I382, 2)</f>
        <v>8866.69</v>
      </c>
      <c r="N382" s="60"/>
      <c r="O382" s="60"/>
      <c r="P382" s="59">
        <v>388.89</v>
      </c>
      <c r="Q382" s="60"/>
      <c r="R382" s="60"/>
      <c r="S382" s="59">
        <f>ROUND(ROUND(P382, 2)*I382, 2)</f>
        <v>8866.69</v>
      </c>
      <c r="T382" s="60"/>
      <c r="U382" s="61"/>
      <c r="V382" s="9">
        <f>ROUND(ROUND(P382, 2)/1.2, 2)</f>
        <v>324.08</v>
      </c>
      <c r="Y382" s="9">
        <f>ROUND(S382 / 1.2, 2)</f>
        <v>7388.91</v>
      </c>
      <c r="AD382" s="4" t="s">
        <v>1230</v>
      </c>
      <c r="AE382" s="4" t="s">
        <v>1228</v>
      </c>
      <c r="AF382" s="4" t="s">
        <v>1174</v>
      </c>
    </row>
    <row r="383" spans="1:35" ht="36" x14ac:dyDescent="0.3">
      <c r="A383" s="37" t="s">
        <v>1231</v>
      </c>
      <c r="B383" s="37"/>
      <c r="C383" s="48" t="s">
        <v>433</v>
      </c>
      <c r="D383" s="39"/>
      <c r="E383" s="39"/>
      <c r="F383" s="49" t="s">
        <v>70</v>
      </c>
      <c r="G383" s="50">
        <v>0.15</v>
      </c>
      <c r="H383" s="39"/>
      <c r="I383" s="62">
        <v>0</v>
      </c>
      <c r="J383" s="52">
        <v>88.8</v>
      </c>
      <c r="K383" s="53"/>
      <c r="L383" s="53"/>
      <c r="M383" s="52">
        <f>ROUND(ROUND(J383, 2)*I383, 2)</f>
        <v>0</v>
      </c>
      <c r="N383" s="53"/>
      <c r="O383" s="53"/>
      <c r="P383" s="52">
        <v>88.8</v>
      </c>
      <c r="Q383" s="53"/>
      <c r="R383" s="53"/>
      <c r="S383" s="52">
        <f>ROUND(ROUND(P383, 2)*I383, 2)</f>
        <v>0</v>
      </c>
      <c r="T383" s="53"/>
      <c r="U383" s="54"/>
      <c r="V383" s="9">
        <f>ROUND(ROUND(P383, 2)/1.2, 2)</f>
        <v>74</v>
      </c>
      <c r="Y383" s="9">
        <f>ROUND(S383 / 1.2, 2)</f>
        <v>0</v>
      </c>
      <c r="AD383" s="4" t="s">
        <v>1232</v>
      </c>
      <c r="AE383" s="4" t="s">
        <v>1233</v>
      </c>
      <c r="AF383" s="4" t="s">
        <v>436</v>
      </c>
    </row>
    <row r="384" spans="1:35" ht="36" x14ac:dyDescent="0.3">
      <c r="A384" s="43" t="s">
        <v>1234</v>
      </c>
      <c r="B384" s="43"/>
      <c r="C384" s="55" t="s">
        <v>433</v>
      </c>
      <c r="D384" s="45"/>
      <c r="E384" s="45"/>
      <c r="F384" s="56" t="s">
        <v>70</v>
      </c>
      <c r="G384" s="57">
        <v>0.15</v>
      </c>
      <c r="H384" s="45"/>
      <c r="I384" s="57">
        <v>11.4</v>
      </c>
      <c r="J384" s="59">
        <v>88.8</v>
      </c>
      <c r="K384" s="60"/>
      <c r="L384" s="60"/>
      <c r="M384" s="59">
        <f>ROUND(ROUND(J384, 2)*I384, 2)</f>
        <v>1012.32</v>
      </c>
      <c r="N384" s="60"/>
      <c r="O384" s="60"/>
      <c r="P384" s="59">
        <v>88.8</v>
      </c>
      <c r="Q384" s="60"/>
      <c r="R384" s="60"/>
      <c r="S384" s="59">
        <f>ROUND(ROUND(P384, 2)*I384, 2)</f>
        <v>1012.32</v>
      </c>
      <c r="T384" s="60"/>
      <c r="U384" s="61"/>
      <c r="V384" s="9">
        <f>ROUND(ROUND(P384, 2)/1.2, 2)</f>
        <v>74</v>
      </c>
      <c r="Y384" s="9">
        <f>ROUND(S384 / 1.2, 2)</f>
        <v>843.6</v>
      </c>
      <c r="AD384" s="4" t="s">
        <v>1235</v>
      </c>
      <c r="AE384" s="4" t="s">
        <v>1233</v>
      </c>
      <c r="AF384" s="4" t="s">
        <v>436</v>
      </c>
    </row>
    <row r="385" spans="1:35" ht="36" x14ac:dyDescent="0.3">
      <c r="A385" s="37" t="s">
        <v>1236</v>
      </c>
      <c r="B385" s="37" t="s">
        <v>1149</v>
      </c>
      <c r="C385" s="38" t="s">
        <v>1150</v>
      </c>
      <c r="D385" s="39"/>
      <c r="E385" s="39" t="s">
        <v>63</v>
      </c>
      <c r="F385" s="39" t="s">
        <v>64</v>
      </c>
      <c r="G385" s="40">
        <v>1</v>
      </c>
      <c r="H385" s="39"/>
      <c r="I385" s="41">
        <v>0</v>
      </c>
      <c r="J385" s="42">
        <f>IFERROR(ROUND(SUM(M387,M389)/I385, 2),0)</f>
        <v>0</v>
      </c>
      <c r="K385" s="42">
        <v>251</v>
      </c>
      <c r="L385" s="42">
        <f>J385+ROUND(K385, 2)</f>
        <v>251</v>
      </c>
      <c r="M385" s="42">
        <f>ROUND(J385*I385, 2)</f>
        <v>0</v>
      </c>
      <c r="N385" s="42">
        <f>ROUND(I385*ROUND(K385, 2), 2)</f>
        <v>0</v>
      </c>
      <c r="O385" s="42">
        <f>M385+N385</f>
        <v>0</v>
      </c>
      <c r="P385" s="42">
        <f>IFERROR(ROUND(SUM(S387,S389)/I385, 2),0)</f>
        <v>0</v>
      </c>
      <c r="Q385" s="42">
        <v>251</v>
      </c>
      <c r="R385" s="42">
        <f>P385+ROUND(Q385, 2)</f>
        <v>251</v>
      </c>
      <c r="S385" s="42">
        <f>ROUND(P385*I385, 2)</f>
        <v>0</v>
      </c>
      <c r="T385" s="42">
        <f>ROUND(I385*ROUND(Q385, 2), 2)</f>
        <v>0</v>
      </c>
      <c r="U385" s="42">
        <f>S385+T385</f>
        <v>0</v>
      </c>
      <c r="V385" s="9">
        <f>ROUND(P385 / 1.2, 2)</f>
        <v>0</v>
      </c>
      <c r="W385" s="9">
        <f>ROUND(Q385 / 1.2, 2)</f>
        <v>209.17</v>
      </c>
      <c r="X385" s="9">
        <f>ROUND(R385 / 1.2, 2)</f>
        <v>209.17</v>
      </c>
      <c r="Y385" s="9">
        <f>ROUND(S385 / 1.2, 2)</f>
        <v>0</v>
      </c>
      <c r="Z385" s="9">
        <f>ROUND(T385 / 1.2, 2)</f>
        <v>0</v>
      </c>
      <c r="AA385" s="9">
        <f>Y385+Z385</f>
        <v>0</v>
      </c>
      <c r="AD385" s="4">
        <v>271132197</v>
      </c>
      <c r="AE385" s="4">
        <v>16211518</v>
      </c>
      <c r="AG385" s="4" t="s">
        <v>1151</v>
      </c>
      <c r="AH385" s="4" t="s">
        <v>1152</v>
      </c>
      <c r="AI385" s="4" t="s">
        <v>67</v>
      </c>
    </row>
    <row r="386" spans="1:35" ht="36" x14ac:dyDescent="0.3">
      <c r="A386" s="43" t="s">
        <v>1237</v>
      </c>
      <c r="B386" s="43" t="s">
        <v>1149</v>
      </c>
      <c r="C386" s="44" t="s">
        <v>1150</v>
      </c>
      <c r="D386" s="45"/>
      <c r="E386" s="45"/>
      <c r="F386" s="45" t="s">
        <v>64</v>
      </c>
      <c r="G386" s="46">
        <v>1</v>
      </c>
      <c r="H386" s="45"/>
      <c r="I386" s="46">
        <v>10.8</v>
      </c>
      <c r="J386" s="47">
        <v>0</v>
      </c>
      <c r="K386" s="47">
        <v>251</v>
      </c>
      <c r="L386" s="47"/>
      <c r="M386" s="47">
        <v>0</v>
      </c>
      <c r="N386" s="47"/>
      <c r="O386" s="47"/>
      <c r="P386" s="47">
        <v>0</v>
      </c>
      <c r="Q386" s="47">
        <v>251</v>
      </c>
      <c r="R386" s="47"/>
      <c r="S386" s="47">
        <v>0</v>
      </c>
      <c r="T386" s="47"/>
      <c r="U386" s="47"/>
      <c r="V386" s="9"/>
      <c r="W386" s="9">
        <f>ROUND(Q386 / 1.2, 2)</f>
        <v>209.17</v>
      </c>
      <c r="X386" s="9" t="e">
        <f>ROUND(R386 / 1.2, 2)</f>
        <v>#VALUE!</v>
      </c>
      <c r="Y386" s="9"/>
      <c r="Z386" s="9" t="e">
        <f>ROUND(T386 / 1.2, 2)</f>
        <v>#VALUE!</v>
      </c>
      <c r="AA386" s="9"/>
      <c r="AD386" s="4">
        <v>206117313</v>
      </c>
      <c r="AE386" s="4">
        <v>16211518</v>
      </c>
      <c r="AG386" s="4" t="s">
        <v>1151</v>
      </c>
      <c r="AH386" s="4" t="s">
        <v>1152</v>
      </c>
      <c r="AI386" s="4"/>
    </row>
    <row r="387" spans="1:35" ht="90" x14ac:dyDescent="0.3">
      <c r="A387" s="37" t="s">
        <v>1238</v>
      </c>
      <c r="B387" s="37"/>
      <c r="C387" s="48" t="s">
        <v>1170</v>
      </c>
      <c r="D387" s="39"/>
      <c r="E387" s="39" t="s">
        <v>1200</v>
      </c>
      <c r="F387" s="49" t="s">
        <v>70</v>
      </c>
      <c r="G387" s="50">
        <v>0.3</v>
      </c>
      <c r="H387" s="39"/>
      <c r="I387" s="62">
        <v>0</v>
      </c>
      <c r="J387" s="52">
        <v>388.89</v>
      </c>
      <c r="K387" s="53"/>
      <c r="L387" s="53"/>
      <c r="M387" s="52">
        <f>ROUND(ROUND(J387, 2)*I387, 2)</f>
        <v>0</v>
      </c>
      <c r="N387" s="53"/>
      <c r="O387" s="53"/>
      <c r="P387" s="52">
        <v>388.89</v>
      </c>
      <c r="Q387" s="53"/>
      <c r="R387" s="53"/>
      <c r="S387" s="52">
        <f>ROUND(ROUND(P387, 2)*I387, 2)</f>
        <v>0</v>
      </c>
      <c r="T387" s="53"/>
      <c r="U387" s="54"/>
      <c r="V387" s="9">
        <f>ROUND(ROUND(P387, 2)/1.2, 2)</f>
        <v>324.08</v>
      </c>
      <c r="Y387" s="9">
        <f t="shared" ref="Y387:Y418" si="48">ROUND(S387 / 1.2, 2)</f>
        <v>0</v>
      </c>
      <c r="AD387" s="4" t="s">
        <v>1239</v>
      </c>
      <c r="AE387" s="4" t="s">
        <v>1240</v>
      </c>
      <c r="AF387" s="4" t="s">
        <v>1174</v>
      </c>
    </row>
    <row r="388" spans="1:35" ht="90" x14ac:dyDescent="0.3">
      <c r="A388" s="43" t="s">
        <v>1241</v>
      </c>
      <c r="B388" s="43"/>
      <c r="C388" s="55" t="s">
        <v>1170</v>
      </c>
      <c r="D388" s="45"/>
      <c r="E388" s="45" t="s">
        <v>1200</v>
      </c>
      <c r="F388" s="56" t="s">
        <v>70</v>
      </c>
      <c r="G388" s="57">
        <v>0.3</v>
      </c>
      <c r="H388" s="45"/>
      <c r="I388" s="57">
        <v>3.24</v>
      </c>
      <c r="J388" s="59">
        <v>388.89</v>
      </c>
      <c r="K388" s="60"/>
      <c r="L388" s="60"/>
      <c r="M388" s="59">
        <f>ROUND(ROUND(J388, 2)*I388, 2)</f>
        <v>1260</v>
      </c>
      <c r="N388" s="60"/>
      <c r="O388" s="60"/>
      <c r="P388" s="59">
        <v>388.89</v>
      </c>
      <c r="Q388" s="60"/>
      <c r="R388" s="60"/>
      <c r="S388" s="59">
        <f>ROUND(ROUND(P388, 2)*I388, 2)</f>
        <v>1260</v>
      </c>
      <c r="T388" s="60"/>
      <c r="U388" s="61"/>
      <c r="V388" s="9">
        <f>ROUND(ROUND(P388, 2)/1.2, 2)</f>
        <v>324.08</v>
      </c>
      <c r="Y388" s="9">
        <f t="shared" si="48"/>
        <v>1050</v>
      </c>
      <c r="AD388" s="4" t="s">
        <v>1242</v>
      </c>
      <c r="AE388" s="4" t="s">
        <v>1240</v>
      </c>
      <c r="AF388" s="4" t="s">
        <v>1174</v>
      </c>
    </row>
    <row r="389" spans="1:35" ht="36" x14ac:dyDescent="0.3">
      <c r="A389" s="37" t="s">
        <v>1243</v>
      </c>
      <c r="B389" s="37"/>
      <c r="C389" s="48" t="s">
        <v>433</v>
      </c>
      <c r="D389" s="39"/>
      <c r="E389" s="39"/>
      <c r="F389" s="49" t="s">
        <v>70</v>
      </c>
      <c r="G389" s="50">
        <v>0.15</v>
      </c>
      <c r="H389" s="39"/>
      <c r="I389" s="62">
        <v>0</v>
      </c>
      <c r="J389" s="52">
        <v>88.8</v>
      </c>
      <c r="K389" s="53"/>
      <c r="L389" s="53"/>
      <c r="M389" s="52">
        <f>ROUND(ROUND(J389, 2)*I389, 2)</f>
        <v>0</v>
      </c>
      <c r="N389" s="53"/>
      <c r="O389" s="53"/>
      <c r="P389" s="52">
        <v>88.8</v>
      </c>
      <c r="Q389" s="53"/>
      <c r="R389" s="53"/>
      <c r="S389" s="52">
        <f>ROUND(ROUND(P389, 2)*I389, 2)</f>
        <v>0</v>
      </c>
      <c r="T389" s="53"/>
      <c r="U389" s="54"/>
      <c r="V389" s="9">
        <f>ROUND(ROUND(P389, 2)/1.2, 2)</f>
        <v>74</v>
      </c>
      <c r="Y389" s="9">
        <f t="shared" si="48"/>
        <v>0</v>
      </c>
      <c r="AD389" s="4" t="s">
        <v>1244</v>
      </c>
      <c r="AE389" s="4" t="s">
        <v>1245</v>
      </c>
      <c r="AF389" s="4" t="s">
        <v>436</v>
      </c>
    </row>
    <row r="390" spans="1:35" ht="36" x14ac:dyDescent="0.3">
      <c r="A390" s="43" t="s">
        <v>1246</v>
      </c>
      <c r="B390" s="43"/>
      <c r="C390" s="55" t="s">
        <v>433</v>
      </c>
      <c r="D390" s="45"/>
      <c r="E390" s="45"/>
      <c r="F390" s="56" t="s">
        <v>70</v>
      </c>
      <c r="G390" s="57">
        <v>0.15</v>
      </c>
      <c r="H390" s="45"/>
      <c r="I390" s="57">
        <v>1.62</v>
      </c>
      <c r="J390" s="59">
        <v>88.8</v>
      </c>
      <c r="K390" s="60"/>
      <c r="L390" s="60"/>
      <c r="M390" s="59">
        <f>ROUND(ROUND(J390, 2)*I390, 2)</f>
        <v>143.86000000000001</v>
      </c>
      <c r="N390" s="60"/>
      <c r="O390" s="60"/>
      <c r="P390" s="59">
        <v>88.8</v>
      </c>
      <c r="Q390" s="60"/>
      <c r="R390" s="60"/>
      <c r="S390" s="59">
        <f>ROUND(ROUND(P390, 2)*I390, 2)</f>
        <v>143.86000000000001</v>
      </c>
      <c r="T390" s="60"/>
      <c r="U390" s="61"/>
      <c r="V390" s="9">
        <f>ROUND(ROUND(P390, 2)/1.2, 2)</f>
        <v>74</v>
      </c>
      <c r="Y390" s="9">
        <f t="shared" si="48"/>
        <v>119.88</v>
      </c>
      <c r="AD390" s="4" t="s">
        <v>1247</v>
      </c>
      <c r="AE390" s="4" t="s">
        <v>1245</v>
      </c>
      <c r="AF390" s="4" t="s">
        <v>436</v>
      </c>
    </row>
    <row r="391" spans="1:35" ht="36" x14ac:dyDescent="0.3">
      <c r="A391" s="25" t="s">
        <v>1248</v>
      </c>
      <c r="B391" s="25" t="s">
        <v>1249</v>
      </c>
      <c r="C391" s="26" t="s">
        <v>1250</v>
      </c>
      <c r="D391" s="27"/>
      <c r="E391" s="27" t="s">
        <v>1251</v>
      </c>
      <c r="F391" s="27" t="s">
        <v>64</v>
      </c>
      <c r="G391" s="28">
        <v>1</v>
      </c>
      <c r="H391" s="27"/>
      <c r="I391" s="28">
        <v>5404.01</v>
      </c>
      <c r="J391" s="29">
        <f>IFERROR(ROUND(SUM(M392,M393)/I391, 2),0)</f>
        <v>13.32</v>
      </c>
      <c r="K391" s="29">
        <v>428</v>
      </c>
      <c r="L391" s="29">
        <f>J391+ROUND(K391, 2)</f>
        <v>441.32</v>
      </c>
      <c r="M391" s="29">
        <f>ROUND(J391*I391, 2)</f>
        <v>71981.41</v>
      </c>
      <c r="N391" s="29">
        <f>ROUND(I391*ROUND(K391, 2), 2)</f>
        <v>2312916.2799999998</v>
      </c>
      <c r="O391" s="29">
        <f>M391+N391</f>
        <v>2384897.69</v>
      </c>
      <c r="P391" s="29">
        <f>IFERROR(ROUND(SUM(S392,S393)/I391, 2),0)</f>
        <v>13.32</v>
      </c>
      <c r="Q391" s="29">
        <v>428</v>
      </c>
      <c r="R391" s="29">
        <f>P391+ROUND(Q391, 2)</f>
        <v>441.32</v>
      </c>
      <c r="S391" s="29">
        <f>ROUND(P391*I391, 2)</f>
        <v>71981.41</v>
      </c>
      <c r="T391" s="29">
        <f>ROUND(I391*ROUND(Q391, 2), 2)</f>
        <v>2312916.2799999998</v>
      </c>
      <c r="U391" s="29">
        <f>S391+T391</f>
        <v>2384897.69</v>
      </c>
      <c r="V391" s="9">
        <f>ROUND(P391 / 1.2, 2)</f>
        <v>11.1</v>
      </c>
      <c r="W391" s="9">
        <f>ROUND(Q391 / 1.2, 2)</f>
        <v>356.67</v>
      </c>
      <c r="X391" s="9">
        <f>ROUND(R391 / 1.2, 2)</f>
        <v>367.77</v>
      </c>
      <c r="Y391" s="9">
        <f t="shared" si="48"/>
        <v>59984.51</v>
      </c>
      <c r="Z391" s="9">
        <f>ROUND(T391 / 1.2, 2)</f>
        <v>1927430.23</v>
      </c>
      <c r="AA391" s="9">
        <f>Y391+Z391</f>
        <v>1987414.74</v>
      </c>
      <c r="AD391" s="4">
        <v>271132115</v>
      </c>
      <c r="AE391" s="4">
        <v>19990349</v>
      </c>
      <c r="AG391" s="4" t="s">
        <v>1252</v>
      </c>
      <c r="AH391" s="4" t="s">
        <v>1253</v>
      </c>
      <c r="AI391" s="4" t="s">
        <v>67</v>
      </c>
    </row>
    <row r="392" spans="1:35" ht="108" x14ac:dyDescent="0.3">
      <c r="A392" s="25" t="s">
        <v>1254</v>
      </c>
      <c r="B392" s="25"/>
      <c r="C392" s="30" t="s">
        <v>1255</v>
      </c>
      <c r="D392" s="27"/>
      <c r="E392" s="27" t="s">
        <v>1256</v>
      </c>
      <c r="F392" s="31" t="s">
        <v>70</v>
      </c>
      <c r="G392" s="32">
        <v>0.3</v>
      </c>
      <c r="H392" s="27"/>
      <c r="I392" s="32">
        <v>1621.203</v>
      </c>
      <c r="J392" s="34">
        <v>0</v>
      </c>
      <c r="K392" s="35"/>
      <c r="L392" s="35"/>
      <c r="M392" s="34">
        <f>ROUND(ROUND(J392, 2)*I392, 2)</f>
        <v>0</v>
      </c>
      <c r="N392" s="35"/>
      <c r="O392" s="35"/>
      <c r="P392" s="34">
        <v>0</v>
      </c>
      <c r="Q392" s="35"/>
      <c r="R392" s="35"/>
      <c r="S392" s="34">
        <f>ROUND(ROUND(P392, 2)*I392, 2)</f>
        <v>0</v>
      </c>
      <c r="T392" s="35"/>
      <c r="U392" s="36"/>
      <c r="V392" s="9">
        <f>ROUND(ROUND(P392, 2)/1.2, 2)</f>
        <v>0</v>
      </c>
      <c r="Y392" s="9">
        <f t="shared" si="48"/>
        <v>0</v>
      </c>
      <c r="AD392" s="4" t="s">
        <v>1257</v>
      </c>
      <c r="AE392" s="4" t="s">
        <v>1258</v>
      </c>
      <c r="AF392" s="4" t="s">
        <v>1259</v>
      </c>
    </row>
    <row r="393" spans="1:35" ht="36" x14ac:dyDescent="0.3">
      <c r="A393" s="25" t="s">
        <v>1260</v>
      </c>
      <c r="B393" s="25"/>
      <c r="C393" s="30" t="s">
        <v>433</v>
      </c>
      <c r="D393" s="27"/>
      <c r="E393" s="27"/>
      <c r="F393" s="31" t="s">
        <v>70</v>
      </c>
      <c r="G393" s="32">
        <v>0.15</v>
      </c>
      <c r="H393" s="27"/>
      <c r="I393" s="32">
        <v>810.60199999999998</v>
      </c>
      <c r="J393" s="34">
        <v>88.8</v>
      </c>
      <c r="K393" s="35"/>
      <c r="L393" s="35"/>
      <c r="M393" s="34">
        <f>ROUND(ROUND(J393, 2)*I393, 2)</f>
        <v>71981.460000000006</v>
      </c>
      <c r="N393" s="35"/>
      <c r="O393" s="35"/>
      <c r="P393" s="34">
        <v>88.8</v>
      </c>
      <c r="Q393" s="35"/>
      <c r="R393" s="35"/>
      <c r="S393" s="34">
        <f>ROUND(ROUND(P393, 2)*I393, 2)</f>
        <v>71981.460000000006</v>
      </c>
      <c r="T393" s="35"/>
      <c r="U393" s="36"/>
      <c r="V393" s="9">
        <f>ROUND(ROUND(P393, 2)/1.2, 2)</f>
        <v>74</v>
      </c>
      <c r="Y393" s="9">
        <f t="shared" si="48"/>
        <v>59984.55</v>
      </c>
      <c r="AD393" s="4" t="s">
        <v>1261</v>
      </c>
      <c r="AE393" s="4" t="s">
        <v>1262</v>
      </c>
      <c r="AF393" s="4" t="s">
        <v>436</v>
      </c>
    </row>
    <row r="394" spans="1:35" ht="36" x14ac:dyDescent="0.3">
      <c r="A394" s="25" t="s">
        <v>1263</v>
      </c>
      <c r="B394" s="25" t="s">
        <v>1249</v>
      </c>
      <c r="C394" s="26" t="s">
        <v>1250</v>
      </c>
      <c r="D394" s="27"/>
      <c r="E394" s="27" t="s">
        <v>1264</v>
      </c>
      <c r="F394" s="27" t="s">
        <v>64</v>
      </c>
      <c r="G394" s="28">
        <v>1</v>
      </c>
      <c r="H394" s="27"/>
      <c r="I394" s="28">
        <v>8.4</v>
      </c>
      <c r="J394" s="29">
        <f>IFERROR(ROUND(SUM(M395,M396)/I394, 2),0)</f>
        <v>13.32</v>
      </c>
      <c r="K394" s="29">
        <v>428</v>
      </c>
      <c r="L394" s="29">
        <f>J394+ROUND(K394, 2)</f>
        <v>441.32</v>
      </c>
      <c r="M394" s="29">
        <f>ROUND(J394*I394, 2)</f>
        <v>111.89</v>
      </c>
      <c r="N394" s="29">
        <f>ROUND(I394*ROUND(K394, 2), 2)</f>
        <v>3595.2</v>
      </c>
      <c r="O394" s="29">
        <f>M394+N394</f>
        <v>3707.09</v>
      </c>
      <c r="P394" s="29">
        <f>IFERROR(ROUND(SUM(S395,S396)/I394, 2),0)</f>
        <v>13.32</v>
      </c>
      <c r="Q394" s="29">
        <v>428</v>
      </c>
      <c r="R394" s="29">
        <f>P394+ROUND(Q394, 2)</f>
        <v>441.32</v>
      </c>
      <c r="S394" s="29">
        <f>ROUND(P394*I394, 2)</f>
        <v>111.89</v>
      </c>
      <c r="T394" s="29">
        <f>ROUND(I394*ROUND(Q394, 2), 2)</f>
        <v>3595.2</v>
      </c>
      <c r="U394" s="29">
        <f>S394+T394</f>
        <v>3707.09</v>
      </c>
      <c r="V394" s="9">
        <f>ROUND(P394 / 1.2, 2)</f>
        <v>11.1</v>
      </c>
      <c r="W394" s="9">
        <f>ROUND(Q394 / 1.2, 2)</f>
        <v>356.67</v>
      </c>
      <c r="X394" s="9">
        <f>ROUND(R394 / 1.2, 2)</f>
        <v>367.77</v>
      </c>
      <c r="Y394" s="9">
        <f t="shared" si="48"/>
        <v>93.24</v>
      </c>
      <c r="Z394" s="9">
        <f>ROUND(T394 / 1.2, 2)</f>
        <v>2996</v>
      </c>
      <c r="AA394" s="9">
        <f>Y394+Z394</f>
        <v>3089.24</v>
      </c>
      <c r="AD394" s="4">
        <v>271132198</v>
      </c>
      <c r="AE394" s="4">
        <v>19990351</v>
      </c>
      <c r="AG394" s="4" t="s">
        <v>1252</v>
      </c>
      <c r="AH394" s="4" t="s">
        <v>1253</v>
      </c>
      <c r="AI394" s="4" t="s">
        <v>67</v>
      </c>
    </row>
    <row r="395" spans="1:35" ht="36" x14ac:dyDescent="0.3">
      <c r="A395" s="25" t="s">
        <v>1265</v>
      </c>
      <c r="B395" s="25"/>
      <c r="C395" s="30" t="s">
        <v>433</v>
      </c>
      <c r="D395" s="27"/>
      <c r="E395" s="27"/>
      <c r="F395" s="31" t="s">
        <v>70</v>
      </c>
      <c r="G395" s="32">
        <v>0.15</v>
      </c>
      <c r="H395" s="27"/>
      <c r="I395" s="32">
        <v>1.26</v>
      </c>
      <c r="J395" s="34">
        <v>88.8</v>
      </c>
      <c r="K395" s="35"/>
      <c r="L395" s="35"/>
      <c r="M395" s="34">
        <f>ROUND(ROUND(J395, 2)*I395, 2)</f>
        <v>111.89</v>
      </c>
      <c r="N395" s="35"/>
      <c r="O395" s="35"/>
      <c r="P395" s="34">
        <v>88.8</v>
      </c>
      <c r="Q395" s="35"/>
      <c r="R395" s="35"/>
      <c r="S395" s="34">
        <f>ROUND(ROUND(P395, 2)*I395, 2)</f>
        <v>111.89</v>
      </c>
      <c r="T395" s="35"/>
      <c r="U395" s="36"/>
      <c r="V395" s="9">
        <f>ROUND(ROUND(P395, 2)/1.2, 2)</f>
        <v>74</v>
      </c>
      <c r="Y395" s="9">
        <f t="shared" si="48"/>
        <v>93.24</v>
      </c>
      <c r="AD395" s="4" t="s">
        <v>1266</v>
      </c>
      <c r="AE395" s="4" t="s">
        <v>1267</v>
      </c>
      <c r="AF395" s="4" t="s">
        <v>436</v>
      </c>
    </row>
    <row r="396" spans="1:35" ht="108" x14ac:dyDescent="0.3">
      <c r="A396" s="25" t="s">
        <v>1268</v>
      </c>
      <c r="B396" s="25"/>
      <c r="C396" s="30" t="s">
        <v>1170</v>
      </c>
      <c r="D396" s="27"/>
      <c r="E396" s="27" t="s">
        <v>1269</v>
      </c>
      <c r="F396" s="31" t="s">
        <v>70</v>
      </c>
      <c r="G396" s="32">
        <v>0.3</v>
      </c>
      <c r="H396" s="27"/>
      <c r="I396" s="32">
        <v>2.52</v>
      </c>
      <c r="J396" s="34">
        <v>0</v>
      </c>
      <c r="K396" s="35"/>
      <c r="L396" s="35"/>
      <c r="M396" s="34">
        <f>ROUND(ROUND(J396, 2)*I396, 2)</f>
        <v>0</v>
      </c>
      <c r="N396" s="35"/>
      <c r="O396" s="35"/>
      <c r="P396" s="34">
        <v>0</v>
      </c>
      <c r="Q396" s="35"/>
      <c r="R396" s="35"/>
      <c r="S396" s="34">
        <f>ROUND(ROUND(P396, 2)*I396, 2)</f>
        <v>0</v>
      </c>
      <c r="T396" s="35"/>
      <c r="U396" s="36"/>
      <c r="V396" s="9">
        <f>ROUND(ROUND(P396, 2)/1.2, 2)</f>
        <v>0</v>
      </c>
      <c r="Y396" s="9">
        <f t="shared" si="48"/>
        <v>0</v>
      </c>
      <c r="AD396" s="4" t="s">
        <v>1270</v>
      </c>
      <c r="AE396" s="4" t="s">
        <v>1271</v>
      </c>
      <c r="AF396" s="4" t="s">
        <v>1174</v>
      </c>
    </row>
    <row r="397" spans="1:35" ht="36" x14ac:dyDescent="0.3">
      <c r="A397" s="25" t="s">
        <v>1272</v>
      </c>
      <c r="B397" s="25" t="s">
        <v>1249</v>
      </c>
      <c r="C397" s="26" t="s">
        <v>1250</v>
      </c>
      <c r="D397" s="27"/>
      <c r="E397" s="27" t="s">
        <v>1273</v>
      </c>
      <c r="F397" s="27" t="s">
        <v>64</v>
      </c>
      <c r="G397" s="28">
        <v>1</v>
      </c>
      <c r="H397" s="27"/>
      <c r="I397" s="28">
        <v>20.66</v>
      </c>
      <c r="J397" s="29">
        <f>IFERROR(ROUND(SUM(M398,M399)/I397, 2),0)</f>
        <v>13.32</v>
      </c>
      <c r="K397" s="29">
        <v>428</v>
      </c>
      <c r="L397" s="29">
        <f>J397+ROUND(K397, 2)</f>
        <v>441.32</v>
      </c>
      <c r="M397" s="29">
        <f>ROUND(J397*I397, 2)</f>
        <v>275.19</v>
      </c>
      <c r="N397" s="29">
        <f>ROUND(I397*ROUND(K397, 2), 2)</f>
        <v>8842.48</v>
      </c>
      <c r="O397" s="29">
        <f>M397+N397</f>
        <v>9117.67</v>
      </c>
      <c r="P397" s="29">
        <f>IFERROR(ROUND(SUM(S398,S399)/I397, 2),0)</f>
        <v>13.32</v>
      </c>
      <c r="Q397" s="29">
        <v>428</v>
      </c>
      <c r="R397" s="29">
        <f>P397+ROUND(Q397, 2)</f>
        <v>441.32</v>
      </c>
      <c r="S397" s="29">
        <f>ROUND(P397*I397, 2)</f>
        <v>275.19</v>
      </c>
      <c r="T397" s="29">
        <f>ROUND(I397*ROUND(Q397, 2), 2)</f>
        <v>8842.48</v>
      </c>
      <c r="U397" s="29">
        <f>S397+T397</f>
        <v>9117.67</v>
      </c>
      <c r="V397" s="9">
        <f>ROUND(P397 / 1.2, 2)</f>
        <v>11.1</v>
      </c>
      <c r="W397" s="9">
        <f>ROUND(Q397 / 1.2, 2)</f>
        <v>356.67</v>
      </c>
      <c r="X397" s="9">
        <f>ROUND(R397 / 1.2, 2)</f>
        <v>367.77</v>
      </c>
      <c r="Y397" s="9">
        <f t="shared" si="48"/>
        <v>229.33</v>
      </c>
      <c r="Z397" s="9">
        <f>ROUND(T397 / 1.2, 2)</f>
        <v>7368.73</v>
      </c>
      <c r="AA397" s="9">
        <f>Y397+Z397</f>
        <v>7598.06</v>
      </c>
      <c r="AD397" s="4">
        <v>271132199</v>
      </c>
      <c r="AE397" s="4">
        <v>19990352</v>
      </c>
      <c r="AG397" s="4" t="s">
        <v>1252</v>
      </c>
      <c r="AH397" s="4" t="s">
        <v>1253</v>
      </c>
      <c r="AI397" s="4" t="s">
        <v>67</v>
      </c>
    </row>
    <row r="398" spans="1:35" ht="36" x14ac:dyDescent="0.3">
      <c r="A398" s="25" t="s">
        <v>1274</v>
      </c>
      <c r="B398" s="25"/>
      <c r="C398" s="30" t="s">
        <v>433</v>
      </c>
      <c r="D398" s="27"/>
      <c r="E398" s="27"/>
      <c r="F398" s="31" t="s">
        <v>70</v>
      </c>
      <c r="G398" s="32">
        <v>0.15</v>
      </c>
      <c r="H398" s="27"/>
      <c r="I398" s="32">
        <v>3.0990000000000002</v>
      </c>
      <c r="J398" s="34">
        <v>88.8</v>
      </c>
      <c r="K398" s="35"/>
      <c r="L398" s="35"/>
      <c r="M398" s="34">
        <f>ROUND(ROUND(J398, 2)*I398, 2)</f>
        <v>275.19</v>
      </c>
      <c r="N398" s="35"/>
      <c r="O398" s="35"/>
      <c r="P398" s="34">
        <v>88.8</v>
      </c>
      <c r="Q398" s="35"/>
      <c r="R398" s="35"/>
      <c r="S398" s="34">
        <f>ROUND(ROUND(P398, 2)*I398, 2)</f>
        <v>275.19</v>
      </c>
      <c r="T398" s="35"/>
      <c r="U398" s="36"/>
      <c r="V398" s="9">
        <f>ROUND(ROUND(P398, 2)/1.2, 2)</f>
        <v>74</v>
      </c>
      <c r="Y398" s="9">
        <f t="shared" si="48"/>
        <v>229.33</v>
      </c>
      <c r="AD398" s="4" t="s">
        <v>1275</v>
      </c>
      <c r="AE398" s="4" t="s">
        <v>1276</v>
      </c>
      <c r="AF398" s="4" t="s">
        <v>436</v>
      </c>
    </row>
    <row r="399" spans="1:35" ht="108" x14ac:dyDescent="0.3">
      <c r="A399" s="25" t="s">
        <v>1277</v>
      </c>
      <c r="B399" s="25"/>
      <c r="C399" s="30" t="s">
        <v>1170</v>
      </c>
      <c r="D399" s="27"/>
      <c r="E399" s="27" t="s">
        <v>1278</v>
      </c>
      <c r="F399" s="31" t="s">
        <v>70</v>
      </c>
      <c r="G399" s="32">
        <v>0.3</v>
      </c>
      <c r="H399" s="27"/>
      <c r="I399" s="32">
        <v>6.1980000000000004</v>
      </c>
      <c r="J399" s="34">
        <v>0</v>
      </c>
      <c r="K399" s="35"/>
      <c r="L399" s="35"/>
      <c r="M399" s="34">
        <f>ROUND(ROUND(J399, 2)*I399, 2)</f>
        <v>0</v>
      </c>
      <c r="N399" s="35"/>
      <c r="O399" s="35"/>
      <c r="P399" s="34">
        <v>0</v>
      </c>
      <c r="Q399" s="35"/>
      <c r="R399" s="35"/>
      <c r="S399" s="34">
        <f>ROUND(ROUND(P399, 2)*I399, 2)</f>
        <v>0</v>
      </c>
      <c r="T399" s="35"/>
      <c r="U399" s="36"/>
      <c r="V399" s="9">
        <f>ROUND(ROUND(P399, 2)/1.2, 2)</f>
        <v>0</v>
      </c>
      <c r="Y399" s="9">
        <f t="shared" si="48"/>
        <v>0</v>
      </c>
      <c r="AD399" s="4" t="s">
        <v>1279</v>
      </c>
      <c r="AE399" s="4" t="s">
        <v>1280</v>
      </c>
      <c r="AF399" s="4" t="s">
        <v>1174</v>
      </c>
    </row>
    <row r="400" spans="1:35" ht="36" x14ac:dyDescent="0.3">
      <c r="A400" s="25" t="s">
        <v>1281</v>
      </c>
      <c r="B400" s="25" t="s">
        <v>1249</v>
      </c>
      <c r="C400" s="26" t="s">
        <v>1250</v>
      </c>
      <c r="D400" s="27"/>
      <c r="E400" s="27" t="s">
        <v>1282</v>
      </c>
      <c r="F400" s="27" t="s">
        <v>64</v>
      </c>
      <c r="G400" s="28">
        <v>1</v>
      </c>
      <c r="H400" s="27"/>
      <c r="I400" s="28">
        <v>10.39</v>
      </c>
      <c r="J400" s="29">
        <f>IFERROR(ROUND(SUM(M401,M402)/I400, 2),0)</f>
        <v>13.32</v>
      </c>
      <c r="K400" s="29">
        <v>428</v>
      </c>
      <c r="L400" s="29">
        <f>J400+ROUND(K400, 2)</f>
        <v>441.32</v>
      </c>
      <c r="M400" s="29">
        <f>ROUND(J400*I400, 2)</f>
        <v>138.38999999999999</v>
      </c>
      <c r="N400" s="29">
        <f>ROUND(I400*ROUND(K400, 2), 2)</f>
        <v>4446.92</v>
      </c>
      <c r="O400" s="29">
        <f>M400+N400</f>
        <v>4585.3100000000004</v>
      </c>
      <c r="P400" s="29">
        <f>IFERROR(ROUND(SUM(S401,S402)/I400, 2),0)</f>
        <v>13.32</v>
      </c>
      <c r="Q400" s="29">
        <v>428</v>
      </c>
      <c r="R400" s="29">
        <f>P400+ROUND(Q400, 2)</f>
        <v>441.32</v>
      </c>
      <c r="S400" s="29">
        <f>ROUND(P400*I400, 2)</f>
        <v>138.38999999999999</v>
      </c>
      <c r="T400" s="29">
        <f>ROUND(I400*ROUND(Q400, 2), 2)</f>
        <v>4446.92</v>
      </c>
      <c r="U400" s="29">
        <f>S400+T400</f>
        <v>4585.3100000000004</v>
      </c>
      <c r="V400" s="9">
        <f>ROUND(P400 / 1.2, 2)</f>
        <v>11.1</v>
      </c>
      <c r="W400" s="9">
        <f>ROUND(Q400 / 1.2, 2)</f>
        <v>356.67</v>
      </c>
      <c r="X400" s="9">
        <f>ROUND(R400 / 1.2, 2)</f>
        <v>367.77</v>
      </c>
      <c r="Y400" s="9">
        <f t="shared" si="48"/>
        <v>115.33</v>
      </c>
      <c r="Z400" s="9">
        <f>ROUND(T400 / 1.2, 2)</f>
        <v>3705.77</v>
      </c>
      <c r="AA400" s="9">
        <f>Y400+Z400</f>
        <v>3821.1</v>
      </c>
      <c r="AD400" s="4">
        <v>271132200</v>
      </c>
      <c r="AE400" s="4">
        <v>19990353</v>
      </c>
      <c r="AG400" s="4" t="s">
        <v>1252</v>
      </c>
      <c r="AH400" s="4" t="s">
        <v>1253</v>
      </c>
      <c r="AI400" s="4" t="s">
        <v>67</v>
      </c>
    </row>
    <row r="401" spans="1:35" ht="36" x14ac:dyDescent="0.3">
      <c r="A401" s="25" t="s">
        <v>1283</v>
      </c>
      <c r="B401" s="25"/>
      <c r="C401" s="30" t="s">
        <v>433</v>
      </c>
      <c r="D401" s="27"/>
      <c r="E401" s="27"/>
      <c r="F401" s="31" t="s">
        <v>70</v>
      </c>
      <c r="G401" s="32">
        <v>0.15</v>
      </c>
      <c r="H401" s="27"/>
      <c r="I401" s="32">
        <v>1.5589999999999999</v>
      </c>
      <c r="J401" s="34">
        <v>88.8</v>
      </c>
      <c r="K401" s="35"/>
      <c r="L401" s="35"/>
      <c r="M401" s="34">
        <f>ROUND(ROUND(J401, 2)*I401, 2)</f>
        <v>138.44</v>
      </c>
      <c r="N401" s="35"/>
      <c r="O401" s="35"/>
      <c r="P401" s="34">
        <v>88.8</v>
      </c>
      <c r="Q401" s="35"/>
      <c r="R401" s="35"/>
      <c r="S401" s="34">
        <f>ROUND(ROUND(P401, 2)*I401, 2)</f>
        <v>138.44</v>
      </c>
      <c r="T401" s="35"/>
      <c r="U401" s="36"/>
      <c r="V401" s="9">
        <f>ROUND(ROUND(P401, 2)/1.2, 2)</f>
        <v>74</v>
      </c>
      <c r="Y401" s="9">
        <f t="shared" si="48"/>
        <v>115.37</v>
      </c>
      <c r="AD401" s="4" t="s">
        <v>1284</v>
      </c>
      <c r="AE401" s="4" t="s">
        <v>1285</v>
      </c>
      <c r="AF401" s="4" t="s">
        <v>436</v>
      </c>
    </row>
    <row r="402" spans="1:35" ht="108" x14ac:dyDescent="0.3">
      <c r="A402" s="25" t="s">
        <v>1286</v>
      </c>
      <c r="B402" s="25"/>
      <c r="C402" s="30" t="s">
        <v>1170</v>
      </c>
      <c r="D402" s="27"/>
      <c r="E402" s="27" t="s">
        <v>1287</v>
      </c>
      <c r="F402" s="31" t="s">
        <v>70</v>
      </c>
      <c r="G402" s="32">
        <v>0.3</v>
      </c>
      <c r="H402" s="27"/>
      <c r="I402" s="32">
        <v>3.117</v>
      </c>
      <c r="J402" s="34">
        <v>0</v>
      </c>
      <c r="K402" s="35"/>
      <c r="L402" s="35"/>
      <c r="M402" s="34">
        <f>ROUND(ROUND(J402, 2)*I402, 2)</f>
        <v>0</v>
      </c>
      <c r="N402" s="35"/>
      <c r="O402" s="35"/>
      <c r="P402" s="34">
        <v>0</v>
      </c>
      <c r="Q402" s="35"/>
      <c r="R402" s="35"/>
      <c r="S402" s="34">
        <f>ROUND(ROUND(P402, 2)*I402, 2)</f>
        <v>0</v>
      </c>
      <c r="T402" s="35"/>
      <c r="U402" s="36"/>
      <c r="V402" s="9">
        <f>ROUND(ROUND(P402, 2)/1.2, 2)</f>
        <v>0</v>
      </c>
      <c r="Y402" s="9">
        <f t="shared" si="48"/>
        <v>0</v>
      </c>
      <c r="AD402" s="4" t="s">
        <v>1288</v>
      </c>
      <c r="AE402" s="4" t="s">
        <v>1289</v>
      </c>
      <c r="AF402" s="4" t="s">
        <v>1174</v>
      </c>
    </row>
    <row r="403" spans="1:35" ht="36" x14ac:dyDescent="0.3">
      <c r="A403" s="25" t="s">
        <v>1290</v>
      </c>
      <c r="B403" s="25" t="s">
        <v>1249</v>
      </c>
      <c r="C403" s="26" t="s">
        <v>1250</v>
      </c>
      <c r="D403" s="27"/>
      <c r="E403" s="27" t="s">
        <v>1291</v>
      </c>
      <c r="F403" s="27" t="s">
        <v>64</v>
      </c>
      <c r="G403" s="28">
        <v>1</v>
      </c>
      <c r="H403" s="27"/>
      <c r="I403" s="28">
        <v>5.0999999999999996</v>
      </c>
      <c r="J403" s="29">
        <f>IFERROR(ROUND(SUM(M404,M405)/I403, 2),0)</f>
        <v>13.32</v>
      </c>
      <c r="K403" s="29">
        <v>428</v>
      </c>
      <c r="L403" s="29">
        <f>J403+ROUND(K403, 2)</f>
        <v>441.32</v>
      </c>
      <c r="M403" s="29">
        <f>ROUND(J403*I403, 2)</f>
        <v>67.930000000000007</v>
      </c>
      <c r="N403" s="29">
        <f>ROUND(I403*ROUND(K403, 2), 2)</f>
        <v>2182.8000000000002</v>
      </c>
      <c r="O403" s="29">
        <f>M403+N403</f>
        <v>2250.73</v>
      </c>
      <c r="P403" s="29">
        <f>IFERROR(ROUND(SUM(S404,S405)/I403, 2),0)</f>
        <v>13.32</v>
      </c>
      <c r="Q403" s="29">
        <v>428</v>
      </c>
      <c r="R403" s="29">
        <f>P403+ROUND(Q403, 2)</f>
        <v>441.32</v>
      </c>
      <c r="S403" s="29">
        <f>ROUND(P403*I403, 2)</f>
        <v>67.930000000000007</v>
      </c>
      <c r="T403" s="29">
        <f>ROUND(I403*ROUND(Q403, 2), 2)</f>
        <v>2182.8000000000002</v>
      </c>
      <c r="U403" s="29">
        <f>S403+T403</f>
        <v>2250.73</v>
      </c>
      <c r="V403" s="9">
        <f>ROUND(P403 / 1.2, 2)</f>
        <v>11.1</v>
      </c>
      <c r="W403" s="9">
        <f>ROUND(Q403 / 1.2, 2)</f>
        <v>356.67</v>
      </c>
      <c r="X403" s="9">
        <f>ROUND(R403 / 1.2, 2)</f>
        <v>367.77</v>
      </c>
      <c r="Y403" s="9">
        <f t="shared" si="48"/>
        <v>56.61</v>
      </c>
      <c r="Z403" s="9">
        <f>ROUND(T403 / 1.2, 2)</f>
        <v>1819</v>
      </c>
      <c r="AA403" s="9">
        <f>Y403+Z403</f>
        <v>1875.61</v>
      </c>
      <c r="AD403" s="4">
        <v>271132201</v>
      </c>
      <c r="AE403" s="4">
        <v>19990354</v>
      </c>
      <c r="AG403" s="4" t="s">
        <v>1252</v>
      </c>
      <c r="AH403" s="4" t="s">
        <v>1253</v>
      </c>
      <c r="AI403" s="4" t="s">
        <v>67</v>
      </c>
    </row>
    <row r="404" spans="1:35" ht="36" x14ac:dyDescent="0.3">
      <c r="A404" s="25" t="s">
        <v>1292</v>
      </c>
      <c r="B404" s="25"/>
      <c r="C404" s="30" t="s">
        <v>433</v>
      </c>
      <c r="D404" s="27"/>
      <c r="E404" s="27"/>
      <c r="F404" s="31" t="s">
        <v>70</v>
      </c>
      <c r="G404" s="32">
        <v>0.15</v>
      </c>
      <c r="H404" s="27"/>
      <c r="I404" s="32">
        <v>0.76500000000000001</v>
      </c>
      <c r="J404" s="34">
        <v>88.8</v>
      </c>
      <c r="K404" s="35"/>
      <c r="L404" s="35"/>
      <c r="M404" s="34">
        <f>ROUND(ROUND(J404, 2)*I404, 2)</f>
        <v>67.930000000000007</v>
      </c>
      <c r="N404" s="35"/>
      <c r="O404" s="35"/>
      <c r="P404" s="34">
        <v>88.8</v>
      </c>
      <c r="Q404" s="35"/>
      <c r="R404" s="35"/>
      <c r="S404" s="34">
        <f>ROUND(ROUND(P404, 2)*I404, 2)</f>
        <v>67.930000000000007</v>
      </c>
      <c r="T404" s="35"/>
      <c r="U404" s="36"/>
      <c r="V404" s="9">
        <f>ROUND(ROUND(P404, 2)/1.2, 2)</f>
        <v>74</v>
      </c>
      <c r="Y404" s="9">
        <f t="shared" si="48"/>
        <v>56.61</v>
      </c>
      <c r="AD404" s="4" t="s">
        <v>1293</v>
      </c>
      <c r="AE404" s="4" t="s">
        <v>1294</v>
      </c>
      <c r="AF404" s="4" t="s">
        <v>436</v>
      </c>
    </row>
    <row r="405" spans="1:35" ht="108" x14ac:dyDescent="0.3">
      <c r="A405" s="25" t="s">
        <v>1295</v>
      </c>
      <c r="B405" s="25"/>
      <c r="C405" s="30" t="s">
        <v>1170</v>
      </c>
      <c r="D405" s="27"/>
      <c r="E405" s="27" t="s">
        <v>1296</v>
      </c>
      <c r="F405" s="31" t="s">
        <v>70</v>
      </c>
      <c r="G405" s="32">
        <v>0.3</v>
      </c>
      <c r="H405" s="27"/>
      <c r="I405" s="32">
        <v>1.53</v>
      </c>
      <c r="J405" s="34">
        <v>0</v>
      </c>
      <c r="K405" s="35"/>
      <c r="L405" s="35"/>
      <c r="M405" s="34">
        <f>ROUND(ROUND(J405, 2)*I405, 2)</f>
        <v>0</v>
      </c>
      <c r="N405" s="35"/>
      <c r="O405" s="35"/>
      <c r="P405" s="34">
        <v>0</v>
      </c>
      <c r="Q405" s="35"/>
      <c r="R405" s="35"/>
      <c r="S405" s="34">
        <f>ROUND(ROUND(P405, 2)*I405, 2)</f>
        <v>0</v>
      </c>
      <c r="T405" s="35"/>
      <c r="U405" s="36"/>
      <c r="V405" s="9">
        <f>ROUND(ROUND(P405, 2)/1.2, 2)</f>
        <v>0</v>
      </c>
      <c r="Y405" s="9">
        <f t="shared" si="48"/>
        <v>0</v>
      </c>
      <c r="AD405" s="4" t="s">
        <v>1297</v>
      </c>
      <c r="AE405" s="4" t="s">
        <v>1298</v>
      </c>
      <c r="AF405" s="4" t="s">
        <v>1174</v>
      </c>
    </row>
    <row r="406" spans="1:35" ht="36" x14ac:dyDescent="0.3">
      <c r="A406" s="25" t="s">
        <v>1299</v>
      </c>
      <c r="B406" s="25" t="s">
        <v>1249</v>
      </c>
      <c r="C406" s="26" t="s">
        <v>1250</v>
      </c>
      <c r="D406" s="27"/>
      <c r="E406" s="27" t="s">
        <v>1300</v>
      </c>
      <c r="F406" s="27" t="s">
        <v>64</v>
      </c>
      <c r="G406" s="28">
        <v>1</v>
      </c>
      <c r="H406" s="27"/>
      <c r="I406" s="28">
        <v>11.75</v>
      </c>
      <c r="J406" s="29">
        <f>IFERROR(ROUND(SUM(M407,M408)/I406, 2),0)</f>
        <v>13.32</v>
      </c>
      <c r="K406" s="29">
        <v>428</v>
      </c>
      <c r="L406" s="29">
        <f>J406+ROUND(K406, 2)</f>
        <v>441.32</v>
      </c>
      <c r="M406" s="29">
        <f>ROUND(J406*I406, 2)</f>
        <v>156.51</v>
      </c>
      <c r="N406" s="29">
        <f>ROUND(I406*ROUND(K406, 2), 2)</f>
        <v>5029</v>
      </c>
      <c r="O406" s="29">
        <f>M406+N406</f>
        <v>5185.51</v>
      </c>
      <c r="P406" s="29">
        <f>IFERROR(ROUND(SUM(S407,S408)/I406, 2),0)</f>
        <v>13.32</v>
      </c>
      <c r="Q406" s="29">
        <v>428</v>
      </c>
      <c r="R406" s="29">
        <f>P406+ROUND(Q406, 2)</f>
        <v>441.32</v>
      </c>
      <c r="S406" s="29">
        <f>ROUND(P406*I406, 2)</f>
        <v>156.51</v>
      </c>
      <c r="T406" s="29">
        <f>ROUND(I406*ROUND(Q406, 2), 2)</f>
        <v>5029</v>
      </c>
      <c r="U406" s="29">
        <f>S406+T406</f>
        <v>5185.51</v>
      </c>
      <c r="V406" s="9">
        <f>ROUND(P406 / 1.2, 2)</f>
        <v>11.1</v>
      </c>
      <c r="W406" s="9">
        <f>ROUND(Q406 / 1.2, 2)</f>
        <v>356.67</v>
      </c>
      <c r="X406" s="9">
        <f>ROUND(R406 / 1.2, 2)</f>
        <v>367.77</v>
      </c>
      <c r="Y406" s="9">
        <f t="shared" si="48"/>
        <v>130.43</v>
      </c>
      <c r="Z406" s="9">
        <f>ROUND(T406 / 1.2, 2)</f>
        <v>4190.83</v>
      </c>
      <c r="AA406" s="9">
        <f>Y406+Z406</f>
        <v>4321.26</v>
      </c>
      <c r="AD406" s="4">
        <v>271132202</v>
      </c>
      <c r="AE406" s="4">
        <v>19990355</v>
      </c>
      <c r="AG406" s="4" t="s">
        <v>1252</v>
      </c>
      <c r="AH406" s="4" t="s">
        <v>1253</v>
      </c>
      <c r="AI406" s="4" t="s">
        <v>67</v>
      </c>
    </row>
    <row r="407" spans="1:35" ht="36" x14ac:dyDescent="0.3">
      <c r="A407" s="25" t="s">
        <v>1301</v>
      </c>
      <c r="B407" s="25"/>
      <c r="C407" s="30" t="s">
        <v>433</v>
      </c>
      <c r="D407" s="27"/>
      <c r="E407" s="27"/>
      <c r="F407" s="31" t="s">
        <v>70</v>
      </c>
      <c r="G407" s="32">
        <v>0.15</v>
      </c>
      <c r="H407" s="27"/>
      <c r="I407" s="32">
        <v>1.7629999999999999</v>
      </c>
      <c r="J407" s="34">
        <v>88.8</v>
      </c>
      <c r="K407" s="35"/>
      <c r="L407" s="35"/>
      <c r="M407" s="34">
        <f>ROUND(ROUND(J407, 2)*I407, 2)</f>
        <v>156.55000000000001</v>
      </c>
      <c r="N407" s="35"/>
      <c r="O407" s="35"/>
      <c r="P407" s="34">
        <v>88.8</v>
      </c>
      <c r="Q407" s="35"/>
      <c r="R407" s="35"/>
      <c r="S407" s="34">
        <f>ROUND(ROUND(P407, 2)*I407, 2)</f>
        <v>156.55000000000001</v>
      </c>
      <c r="T407" s="35"/>
      <c r="U407" s="36"/>
      <c r="V407" s="9">
        <f>ROUND(ROUND(P407, 2)/1.2, 2)</f>
        <v>74</v>
      </c>
      <c r="Y407" s="9">
        <f t="shared" si="48"/>
        <v>130.46</v>
      </c>
      <c r="AD407" s="4" t="s">
        <v>1302</v>
      </c>
      <c r="AE407" s="4" t="s">
        <v>1303</v>
      </c>
      <c r="AF407" s="4" t="s">
        <v>436</v>
      </c>
    </row>
    <row r="408" spans="1:35" ht="108" x14ac:dyDescent="0.3">
      <c r="A408" s="25" t="s">
        <v>1304</v>
      </c>
      <c r="B408" s="25"/>
      <c r="C408" s="30" t="s">
        <v>1170</v>
      </c>
      <c r="D408" s="27"/>
      <c r="E408" s="27" t="s">
        <v>1305</v>
      </c>
      <c r="F408" s="31" t="s">
        <v>70</v>
      </c>
      <c r="G408" s="32">
        <v>0.3</v>
      </c>
      <c r="H408" s="27"/>
      <c r="I408" s="32">
        <v>3.5249999999999999</v>
      </c>
      <c r="J408" s="34">
        <v>0</v>
      </c>
      <c r="K408" s="35"/>
      <c r="L408" s="35"/>
      <c r="M408" s="34">
        <f>ROUND(ROUND(J408, 2)*I408, 2)</f>
        <v>0</v>
      </c>
      <c r="N408" s="35"/>
      <c r="O408" s="35"/>
      <c r="P408" s="34">
        <v>0</v>
      </c>
      <c r="Q408" s="35"/>
      <c r="R408" s="35"/>
      <c r="S408" s="34">
        <f>ROUND(ROUND(P408, 2)*I408, 2)</f>
        <v>0</v>
      </c>
      <c r="T408" s="35"/>
      <c r="U408" s="36"/>
      <c r="V408" s="9">
        <f>ROUND(ROUND(P408, 2)/1.2, 2)</f>
        <v>0</v>
      </c>
      <c r="Y408" s="9">
        <f t="shared" si="48"/>
        <v>0</v>
      </c>
      <c r="AD408" s="4" t="s">
        <v>1306</v>
      </c>
      <c r="AE408" s="4" t="s">
        <v>1307</v>
      </c>
      <c r="AF408" s="4" t="s">
        <v>1174</v>
      </c>
    </row>
    <row r="409" spans="1:35" ht="36" x14ac:dyDescent="0.3">
      <c r="A409" s="25" t="s">
        <v>1308</v>
      </c>
      <c r="B409" s="25" t="s">
        <v>1249</v>
      </c>
      <c r="C409" s="26" t="s">
        <v>1250</v>
      </c>
      <c r="D409" s="27"/>
      <c r="E409" s="27" t="s">
        <v>1309</v>
      </c>
      <c r="F409" s="27" t="s">
        <v>64</v>
      </c>
      <c r="G409" s="28">
        <v>1</v>
      </c>
      <c r="H409" s="27"/>
      <c r="I409" s="28">
        <v>78.400000000000006</v>
      </c>
      <c r="J409" s="29">
        <f>IFERROR(ROUND(SUM(M410,M411)/I409, 2),0)</f>
        <v>13.32</v>
      </c>
      <c r="K409" s="29">
        <v>428</v>
      </c>
      <c r="L409" s="29">
        <f>J409+ROUND(K409, 2)</f>
        <v>441.32</v>
      </c>
      <c r="M409" s="29">
        <f>ROUND(J409*I409, 2)</f>
        <v>1044.29</v>
      </c>
      <c r="N409" s="29">
        <f>ROUND(I409*ROUND(K409, 2), 2)</f>
        <v>33555.199999999997</v>
      </c>
      <c r="O409" s="29">
        <f>M409+N409</f>
        <v>34599.49</v>
      </c>
      <c r="P409" s="29">
        <f>IFERROR(ROUND(SUM(S410,S411)/I409, 2),0)</f>
        <v>13.32</v>
      </c>
      <c r="Q409" s="29">
        <v>428</v>
      </c>
      <c r="R409" s="29">
        <f>P409+ROUND(Q409, 2)</f>
        <v>441.32</v>
      </c>
      <c r="S409" s="29">
        <f>ROUND(P409*I409, 2)</f>
        <v>1044.29</v>
      </c>
      <c r="T409" s="29">
        <f>ROUND(I409*ROUND(Q409, 2), 2)</f>
        <v>33555.199999999997</v>
      </c>
      <c r="U409" s="29">
        <f>S409+T409</f>
        <v>34599.49</v>
      </c>
      <c r="V409" s="9">
        <f>ROUND(P409 / 1.2, 2)</f>
        <v>11.1</v>
      </c>
      <c r="W409" s="9">
        <f>ROUND(Q409 / 1.2, 2)</f>
        <v>356.67</v>
      </c>
      <c r="X409" s="9">
        <f>ROUND(R409 / 1.2, 2)</f>
        <v>367.77</v>
      </c>
      <c r="Y409" s="9">
        <f t="shared" si="48"/>
        <v>870.24</v>
      </c>
      <c r="Z409" s="9">
        <f>ROUND(T409 / 1.2, 2)</f>
        <v>27962.67</v>
      </c>
      <c r="AA409" s="9">
        <f>Y409+Z409</f>
        <v>28832.91</v>
      </c>
      <c r="AD409" s="4">
        <v>271132203</v>
      </c>
      <c r="AE409" s="4">
        <v>19990350</v>
      </c>
      <c r="AG409" s="4" t="s">
        <v>1252</v>
      </c>
      <c r="AH409" s="4" t="s">
        <v>1253</v>
      </c>
      <c r="AI409" s="4" t="s">
        <v>67</v>
      </c>
    </row>
    <row r="410" spans="1:35" ht="36" x14ac:dyDescent="0.3">
      <c r="A410" s="25" t="s">
        <v>1310</v>
      </c>
      <c r="B410" s="25"/>
      <c r="C410" s="30" t="s">
        <v>433</v>
      </c>
      <c r="D410" s="27"/>
      <c r="E410" s="27"/>
      <c r="F410" s="31" t="s">
        <v>70</v>
      </c>
      <c r="G410" s="32">
        <v>0.15</v>
      </c>
      <c r="H410" s="27"/>
      <c r="I410" s="32">
        <v>11.76</v>
      </c>
      <c r="J410" s="34">
        <v>88.8</v>
      </c>
      <c r="K410" s="35"/>
      <c r="L410" s="35"/>
      <c r="M410" s="34">
        <f>ROUND(ROUND(J410, 2)*I410, 2)</f>
        <v>1044.29</v>
      </c>
      <c r="N410" s="35"/>
      <c r="O410" s="35"/>
      <c r="P410" s="34">
        <v>88.8</v>
      </c>
      <c r="Q410" s="35"/>
      <c r="R410" s="35"/>
      <c r="S410" s="34">
        <f>ROUND(ROUND(P410, 2)*I410, 2)</f>
        <v>1044.29</v>
      </c>
      <c r="T410" s="35"/>
      <c r="U410" s="36"/>
      <c r="V410" s="9">
        <f>ROUND(ROUND(P410, 2)/1.2, 2)</f>
        <v>74</v>
      </c>
      <c r="Y410" s="9">
        <f t="shared" si="48"/>
        <v>870.24</v>
      </c>
      <c r="AD410" s="4" t="s">
        <v>1311</v>
      </c>
      <c r="AE410" s="4" t="s">
        <v>1312</v>
      </c>
      <c r="AF410" s="4" t="s">
        <v>436</v>
      </c>
    </row>
    <row r="411" spans="1:35" ht="108" x14ac:dyDescent="0.3">
      <c r="A411" s="25" t="s">
        <v>1313</v>
      </c>
      <c r="B411" s="25"/>
      <c r="C411" s="30" t="s">
        <v>1170</v>
      </c>
      <c r="D411" s="27"/>
      <c r="E411" s="27" t="s">
        <v>1314</v>
      </c>
      <c r="F411" s="31" t="s">
        <v>70</v>
      </c>
      <c r="G411" s="32">
        <v>0.3</v>
      </c>
      <c r="H411" s="27"/>
      <c r="I411" s="32">
        <v>23.52</v>
      </c>
      <c r="J411" s="34">
        <v>0</v>
      </c>
      <c r="K411" s="35"/>
      <c r="L411" s="35"/>
      <c r="M411" s="34">
        <f>ROUND(ROUND(J411, 2)*I411, 2)</f>
        <v>0</v>
      </c>
      <c r="N411" s="35"/>
      <c r="O411" s="35"/>
      <c r="P411" s="34">
        <v>0</v>
      </c>
      <c r="Q411" s="35"/>
      <c r="R411" s="35"/>
      <c r="S411" s="34">
        <f>ROUND(ROUND(P411, 2)*I411, 2)</f>
        <v>0</v>
      </c>
      <c r="T411" s="35"/>
      <c r="U411" s="36"/>
      <c r="V411" s="9">
        <f>ROUND(ROUND(P411, 2)/1.2, 2)</f>
        <v>0</v>
      </c>
      <c r="Y411" s="9">
        <f t="shared" si="48"/>
        <v>0</v>
      </c>
      <c r="AD411" s="4" t="s">
        <v>1315</v>
      </c>
      <c r="AE411" s="4" t="s">
        <v>1316</v>
      </c>
      <c r="AF411" s="4" t="s">
        <v>1174</v>
      </c>
    </row>
    <row r="412" spans="1:35" ht="36" x14ac:dyDescent="0.3">
      <c r="A412" s="25" t="s">
        <v>1317</v>
      </c>
      <c r="B412" s="25" t="s">
        <v>1249</v>
      </c>
      <c r="C412" s="26" t="s">
        <v>1250</v>
      </c>
      <c r="D412" s="27"/>
      <c r="E412" s="27" t="s">
        <v>1318</v>
      </c>
      <c r="F412" s="27" t="s">
        <v>64</v>
      </c>
      <c r="G412" s="28">
        <v>1</v>
      </c>
      <c r="H412" s="27"/>
      <c r="I412" s="28">
        <v>351.8</v>
      </c>
      <c r="J412" s="29">
        <f>IFERROR(ROUND(SUM(M413,M414)/I412, 2),0)</f>
        <v>13.32</v>
      </c>
      <c r="K412" s="29">
        <v>428</v>
      </c>
      <c r="L412" s="29">
        <f>J412+ROUND(K412, 2)</f>
        <v>441.32</v>
      </c>
      <c r="M412" s="29">
        <f>ROUND(J412*I412, 2)</f>
        <v>4685.9799999999996</v>
      </c>
      <c r="N412" s="29">
        <f>ROUND(I412*ROUND(K412, 2), 2)</f>
        <v>150570.4</v>
      </c>
      <c r="O412" s="29">
        <f>M412+N412</f>
        <v>155256.38</v>
      </c>
      <c r="P412" s="29">
        <f>IFERROR(ROUND(SUM(S413,S414)/I412, 2),0)</f>
        <v>13.32</v>
      </c>
      <c r="Q412" s="29">
        <v>428</v>
      </c>
      <c r="R412" s="29">
        <f>P412+ROUND(Q412, 2)</f>
        <v>441.32</v>
      </c>
      <c r="S412" s="29">
        <f>ROUND(P412*I412, 2)</f>
        <v>4685.9799999999996</v>
      </c>
      <c r="T412" s="29">
        <f>ROUND(I412*ROUND(Q412, 2), 2)</f>
        <v>150570.4</v>
      </c>
      <c r="U412" s="29">
        <f>S412+T412</f>
        <v>155256.38</v>
      </c>
      <c r="V412" s="9">
        <f>ROUND(P412 / 1.2, 2)</f>
        <v>11.1</v>
      </c>
      <c r="W412" s="9">
        <f>ROUND(Q412 / 1.2, 2)</f>
        <v>356.67</v>
      </c>
      <c r="X412" s="9">
        <f>ROUND(R412 / 1.2, 2)</f>
        <v>367.77</v>
      </c>
      <c r="Y412" s="9">
        <f t="shared" si="48"/>
        <v>3904.98</v>
      </c>
      <c r="Z412" s="9">
        <f>ROUND(T412 / 1.2, 2)</f>
        <v>125475.33</v>
      </c>
      <c r="AA412" s="9">
        <f>Y412+Z412</f>
        <v>129380.31</v>
      </c>
      <c r="AD412" s="4">
        <v>271132204</v>
      </c>
      <c r="AE412" s="4">
        <v>19990914</v>
      </c>
      <c r="AG412" s="4" t="s">
        <v>1252</v>
      </c>
      <c r="AH412" s="4" t="s">
        <v>1253</v>
      </c>
      <c r="AI412" s="4" t="s">
        <v>67</v>
      </c>
    </row>
    <row r="413" spans="1:35" ht="36" x14ac:dyDescent="0.3">
      <c r="A413" s="25" t="s">
        <v>1319</v>
      </c>
      <c r="B413" s="25"/>
      <c r="C413" s="30" t="s">
        <v>433</v>
      </c>
      <c r="D413" s="27"/>
      <c r="E413" s="27"/>
      <c r="F413" s="31" t="s">
        <v>70</v>
      </c>
      <c r="G413" s="32">
        <v>0.15</v>
      </c>
      <c r="H413" s="27"/>
      <c r="I413" s="32">
        <v>52.77</v>
      </c>
      <c r="J413" s="34">
        <v>88.8</v>
      </c>
      <c r="K413" s="35"/>
      <c r="L413" s="35"/>
      <c r="M413" s="34">
        <f>ROUND(ROUND(J413, 2)*I413, 2)</f>
        <v>4685.9799999999996</v>
      </c>
      <c r="N413" s="35"/>
      <c r="O413" s="35"/>
      <c r="P413" s="34">
        <v>88.8</v>
      </c>
      <c r="Q413" s="35"/>
      <c r="R413" s="35"/>
      <c r="S413" s="34">
        <f>ROUND(ROUND(P413, 2)*I413, 2)</f>
        <v>4685.9799999999996</v>
      </c>
      <c r="T413" s="35"/>
      <c r="U413" s="36"/>
      <c r="V413" s="9">
        <f>ROUND(ROUND(P413, 2)/1.2, 2)</f>
        <v>74</v>
      </c>
      <c r="Y413" s="9">
        <f t="shared" si="48"/>
        <v>3904.98</v>
      </c>
      <c r="AD413" s="4" t="s">
        <v>1320</v>
      </c>
      <c r="AE413" s="4" t="s">
        <v>1321</v>
      </c>
      <c r="AF413" s="4" t="s">
        <v>436</v>
      </c>
    </row>
    <row r="414" spans="1:35" ht="108" x14ac:dyDescent="0.3">
      <c r="A414" s="25" t="s">
        <v>1322</v>
      </c>
      <c r="B414" s="25"/>
      <c r="C414" s="30" t="s">
        <v>1170</v>
      </c>
      <c r="D414" s="27"/>
      <c r="E414" s="27" t="s">
        <v>1323</v>
      </c>
      <c r="F414" s="31" t="s">
        <v>70</v>
      </c>
      <c r="G414" s="32">
        <v>0.3</v>
      </c>
      <c r="H414" s="27"/>
      <c r="I414" s="32">
        <v>105.54</v>
      </c>
      <c r="J414" s="34">
        <v>0</v>
      </c>
      <c r="K414" s="35"/>
      <c r="L414" s="35"/>
      <c r="M414" s="34">
        <f>ROUND(ROUND(J414, 2)*I414, 2)</f>
        <v>0</v>
      </c>
      <c r="N414" s="35"/>
      <c r="O414" s="35"/>
      <c r="P414" s="34">
        <v>0</v>
      </c>
      <c r="Q414" s="35"/>
      <c r="R414" s="35"/>
      <c r="S414" s="34">
        <f>ROUND(ROUND(P414, 2)*I414, 2)</f>
        <v>0</v>
      </c>
      <c r="T414" s="35"/>
      <c r="U414" s="36"/>
      <c r="V414" s="9">
        <f>ROUND(ROUND(P414, 2)/1.2, 2)</f>
        <v>0</v>
      </c>
      <c r="Y414" s="9">
        <f t="shared" si="48"/>
        <v>0</v>
      </c>
      <c r="AD414" s="4" t="s">
        <v>1324</v>
      </c>
      <c r="AE414" s="4" t="s">
        <v>1325</v>
      </c>
      <c r="AF414" s="4" t="s">
        <v>1174</v>
      </c>
    </row>
    <row r="415" spans="1:35" ht="36" x14ac:dyDescent="0.3">
      <c r="A415" s="25" t="s">
        <v>1326</v>
      </c>
      <c r="B415" s="25" t="s">
        <v>1249</v>
      </c>
      <c r="C415" s="26" t="s">
        <v>1250</v>
      </c>
      <c r="D415" s="27"/>
      <c r="E415" s="27" t="s">
        <v>1327</v>
      </c>
      <c r="F415" s="27" t="s">
        <v>64</v>
      </c>
      <c r="G415" s="28">
        <v>1</v>
      </c>
      <c r="H415" s="27"/>
      <c r="I415" s="28">
        <v>2020.16</v>
      </c>
      <c r="J415" s="29">
        <f>IFERROR(ROUND(SUM(M416,M417)/I415, 2),0)</f>
        <v>13.32</v>
      </c>
      <c r="K415" s="29">
        <v>428</v>
      </c>
      <c r="L415" s="29">
        <f>J415+ROUND(K415, 2)</f>
        <v>441.32</v>
      </c>
      <c r="M415" s="29">
        <f>ROUND(J415*I415, 2)</f>
        <v>26908.53</v>
      </c>
      <c r="N415" s="29">
        <f>ROUND(I415*ROUND(K415, 2), 2)</f>
        <v>864628.48</v>
      </c>
      <c r="O415" s="29">
        <f>M415+N415</f>
        <v>891537.01</v>
      </c>
      <c r="P415" s="29">
        <f>IFERROR(ROUND(SUM(S416,S417)/I415, 2),0)</f>
        <v>13.32</v>
      </c>
      <c r="Q415" s="29">
        <v>428</v>
      </c>
      <c r="R415" s="29">
        <f>P415+ROUND(Q415, 2)</f>
        <v>441.32</v>
      </c>
      <c r="S415" s="29">
        <f>ROUND(P415*I415, 2)</f>
        <v>26908.53</v>
      </c>
      <c r="T415" s="29">
        <f>ROUND(I415*ROUND(Q415, 2), 2)</f>
        <v>864628.48</v>
      </c>
      <c r="U415" s="29">
        <f>S415+T415</f>
        <v>891537.01</v>
      </c>
      <c r="V415" s="9">
        <f>ROUND(P415 / 1.2, 2)</f>
        <v>11.1</v>
      </c>
      <c r="W415" s="9">
        <f>ROUND(Q415 / 1.2, 2)</f>
        <v>356.67</v>
      </c>
      <c r="X415" s="9">
        <f>ROUND(R415 / 1.2, 2)</f>
        <v>367.77</v>
      </c>
      <c r="Y415" s="9">
        <f t="shared" si="48"/>
        <v>22423.78</v>
      </c>
      <c r="Z415" s="9">
        <f>ROUND(T415 / 1.2, 2)</f>
        <v>720523.73</v>
      </c>
      <c r="AA415" s="9">
        <f>Y415+Z415</f>
        <v>742947.51</v>
      </c>
      <c r="AD415" s="4">
        <v>271132205</v>
      </c>
      <c r="AE415" s="4">
        <v>19990916</v>
      </c>
      <c r="AG415" s="4" t="s">
        <v>1252</v>
      </c>
      <c r="AH415" s="4" t="s">
        <v>1253</v>
      </c>
      <c r="AI415" s="4" t="s">
        <v>67</v>
      </c>
    </row>
    <row r="416" spans="1:35" ht="36" x14ac:dyDescent="0.3">
      <c r="A416" s="25" t="s">
        <v>1328</v>
      </c>
      <c r="B416" s="25"/>
      <c r="C416" s="30" t="s">
        <v>433</v>
      </c>
      <c r="D416" s="27"/>
      <c r="E416" s="27"/>
      <c r="F416" s="31" t="s">
        <v>70</v>
      </c>
      <c r="G416" s="32">
        <v>0.15</v>
      </c>
      <c r="H416" s="27"/>
      <c r="I416" s="32">
        <v>303.024</v>
      </c>
      <c r="J416" s="34">
        <v>88.8</v>
      </c>
      <c r="K416" s="35"/>
      <c r="L416" s="35"/>
      <c r="M416" s="34">
        <f>ROUND(ROUND(J416, 2)*I416, 2)</f>
        <v>26908.53</v>
      </c>
      <c r="N416" s="35"/>
      <c r="O416" s="35"/>
      <c r="P416" s="34">
        <v>88.8</v>
      </c>
      <c r="Q416" s="35"/>
      <c r="R416" s="35"/>
      <c r="S416" s="34">
        <f>ROUND(ROUND(P416, 2)*I416, 2)</f>
        <v>26908.53</v>
      </c>
      <c r="T416" s="35"/>
      <c r="U416" s="36"/>
      <c r="V416" s="9">
        <f>ROUND(ROUND(P416, 2)/1.2, 2)</f>
        <v>74</v>
      </c>
      <c r="Y416" s="9">
        <f t="shared" si="48"/>
        <v>22423.78</v>
      </c>
      <c r="AD416" s="4" t="s">
        <v>1329</v>
      </c>
      <c r="AE416" s="4" t="s">
        <v>1330</v>
      </c>
      <c r="AF416" s="4" t="s">
        <v>436</v>
      </c>
    </row>
    <row r="417" spans="1:35" ht="126" x14ac:dyDescent="0.3">
      <c r="A417" s="25" t="s">
        <v>1331</v>
      </c>
      <c r="B417" s="25"/>
      <c r="C417" s="30" t="s">
        <v>1185</v>
      </c>
      <c r="D417" s="27"/>
      <c r="E417" s="27" t="s">
        <v>1332</v>
      </c>
      <c r="F417" s="31" t="s">
        <v>70</v>
      </c>
      <c r="G417" s="32">
        <v>0.3</v>
      </c>
      <c r="H417" s="27"/>
      <c r="I417" s="32">
        <v>606.048</v>
      </c>
      <c r="J417" s="34">
        <v>0</v>
      </c>
      <c r="K417" s="35"/>
      <c r="L417" s="35"/>
      <c r="M417" s="34">
        <f>ROUND(ROUND(J417, 2)*I417, 2)</f>
        <v>0</v>
      </c>
      <c r="N417" s="35"/>
      <c r="O417" s="35"/>
      <c r="P417" s="34">
        <v>0</v>
      </c>
      <c r="Q417" s="35"/>
      <c r="R417" s="35"/>
      <c r="S417" s="34">
        <f>ROUND(ROUND(P417, 2)*I417, 2)</f>
        <v>0</v>
      </c>
      <c r="T417" s="35"/>
      <c r="U417" s="36"/>
      <c r="V417" s="9">
        <f>ROUND(ROUND(P417, 2)/1.2, 2)</f>
        <v>0</v>
      </c>
      <c r="Y417" s="9">
        <f t="shared" si="48"/>
        <v>0</v>
      </c>
      <c r="AD417" s="4" t="s">
        <v>1333</v>
      </c>
      <c r="AE417" s="4" t="s">
        <v>1334</v>
      </c>
      <c r="AF417" s="4" t="s">
        <v>1189</v>
      </c>
    </row>
    <row r="418" spans="1:35" ht="36" x14ac:dyDescent="0.3">
      <c r="A418" s="25" t="s">
        <v>1335</v>
      </c>
      <c r="B418" s="25" t="s">
        <v>1249</v>
      </c>
      <c r="C418" s="26" t="s">
        <v>1250</v>
      </c>
      <c r="D418" s="27"/>
      <c r="E418" s="27" t="s">
        <v>1336</v>
      </c>
      <c r="F418" s="27" t="s">
        <v>64</v>
      </c>
      <c r="G418" s="28">
        <v>1</v>
      </c>
      <c r="H418" s="27"/>
      <c r="I418" s="28">
        <v>141.44999999999999</v>
      </c>
      <c r="J418" s="29">
        <f>IFERROR(ROUND(SUM(M419,M420)/I418, 2),0)</f>
        <v>13.32</v>
      </c>
      <c r="K418" s="29">
        <v>428</v>
      </c>
      <c r="L418" s="29">
        <f>J418+ROUND(K418, 2)</f>
        <v>441.32</v>
      </c>
      <c r="M418" s="29">
        <f>ROUND(J418*I418, 2)</f>
        <v>1884.11</v>
      </c>
      <c r="N418" s="29">
        <f>ROUND(I418*ROUND(K418, 2), 2)</f>
        <v>60540.6</v>
      </c>
      <c r="O418" s="29">
        <f>M418+N418</f>
        <v>62424.71</v>
      </c>
      <c r="P418" s="29">
        <f>IFERROR(ROUND(SUM(S419,S420)/I418, 2),0)</f>
        <v>13.32</v>
      </c>
      <c r="Q418" s="29">
        <v>428</v>
      </c>
      <c r="R418" s="29">
        <f>P418+ROUND(Q418, 2)</f>
        <v>441.32</v>
      </c>
      <c r="S418" s="29">
        <f>ROUND(P418*I418, 2)</f>
        <v>1884.11</v>
      </c>
      <c r="T418" s="29">
        <f>ROUND(I418*ROUND(Q418, 2), 2)</f>
        <v>60540.6</v>
      </c>
      <c r="U418" s="29">
        <f>S418+T418</f>
        <v>62424.71</v>
      </c>
      <c r="V418" s="9">
        <f>ROUND(P418 / 1.2, 2)</f>
        <v>11.1</v>
      </c>
      <c r="W418" s="9">
        <f>ROUND(Q418 / 1.2, 2)</f>
        <v>356.67</v>
      </c>
      <c r="X418" s="9">
        <f>ROUND(R418 / 1.2, 2)</f>
        <v>367.77</v>
      </c>
      <c r="Y418" s="9">
        <f t="shared" si="48"/>
        <v>1570.09</v>
      </c>
      <c r="Z418" s="9">
        <f>ROUND(T418 / 1.2, 2)</f>
        <v>50450.5</v>
      </c>
      <c r="AA418" s="9">
        <f>Y418+Z418</f>
        <v>52020.59</v>
      </c>
      <c r="AD418" s="4">
        <v>271132206</v>
      </c>
      <c r="AE418" s="4">
        <v>19990917</v>
      </c>
      <c r="AG418" s="4" t="s">
        <v>1252</v>
      </c>
      <c r="AH418" s="4" t="s">
        <v>1253</v>
      </c>
      <c r="AI418" s="4" t="s">
        <v>67</v>
      </c>
    </row>
    <row r="419" spans="1:35" ht="36" x14ac:dyDescent="0.3">
      <c r="A419" s="25" t="s">
        <v>1337</v>
      </c>
      <c r="B419" s="25"/>
      <c r="C419" s="30" t="s">
        <v>433</v>
      </c>
      <c r="D419" s="27"/>
      <c r="E419" s="27"/>
      <c r="F419" s="31" t="s">
        <v>70</v>
      </c>
      <c r="G419" s="32">
        <v>0.15</v>
      </c>
      <c r="H419" s="27"/>
      <c r="I419" s="32">
        <v>21.218</v>
      </c>
      <c r="J419" s="34">
        <v>88.8</v>
      </c>
      <c r="K419" s="35"/>
      <c r="L419" s="35"/>
      <c r="M419" s="34">
        <f>ROUND(ROUND(J419, 2)*I419, 2)</f>
        <v>1884.16</v>
      </c>
      <c r="N419" s="35"/>
      <c r="O419" s="35"/>
      <c r="P419" s="34">
        <v>88.8</v>
      </c>
      <c r="Q419" s="35"/>
      <c r="R419" s="35"/>
      <c r="S419" s="34">
        <f>ROUND(ROUND(P419, 2)*I419, 2)</f>
        <v>1884.16</v>
      </c>
      <c r="T419" s="35"/>
      <c r="U419" s="36"/>
      <c r="V419" s="9">
        <f>ROUND(ROUND(P419, 2)/1.2, 2)</f>
        <v>74</v>
      </c>
      <c r="Y419" s="9">
        <f t="shared" ref="Y419:Y450" si="49">ROUND(S419 / 1.2, 2)</f>
        <v>1570.13</v>
      </c>
      <c r="AD419" s="4" t="s">
        <v>1338</v>
      </c>
      <c r="AE419" s="4" t="s">
        <v>1339</v>
      </c>
      <c r="AF419" s="4" t="s">
        <v>436</v>
      </c>
    </row>
    <row r="420" spans="1:35" ht="108" x14ac:dyDescent="0.3">
      <c r="A420" s="25" t="s">
        <v>1340</v>
      </c>
      <c r="B420" s="25"/>
      <c r="C420" s="30" t="s">
        <v>1170</v>
      </c>
      <c r="D420" s="27"/>
      <c r="E420" s="27" t="s">
        <v>1341</v>
      </c>
      <c r="F420" s="31" t="s">
        <v>70</v>
      </c>
      <c r="G420" s="32">
        <v>0.3</v>
      </c>
      <c r="H420" s="27"/>
      <c r="I420" s="32">
        <v>42.435000000000002</v>
      </c>
      <c r="J420" s="34">
        <v>0</v>
      </c>
      <c r="K420" s="35"/>
      <c r="L420" s="35"/>
      <c r="M420" s="34">
        <f>ROUND(ROUND(J420, 2)*I420, 2)</f>
        <v>0</v>
      </c>
      <c r="N420" s="35"/>
      <c r="O420" s="35"/>
      <c r="P420" s="34">
        <v>0</v>
      </c>
      <c r="Q420" s="35"/>
      <c r="R420" s="35"/>
      <c r="S420" s="34">
        <f>ROUND(ROUND(P420, 2)*I420, 2)</f>
        <v>0</v>
      </c>
      <c r="T420" s="35"/>
      <c r="U420" s="36"/>
      <c r="V420" s="9">
        <f>ROUND(ROUND(P420, 2)/1.2, 2)</f>
        <v>0</v>
      </c>
      <c r="Y420" s="9">
        <f t="shared" si="49"/>
        <v>0</v>
      </c>
      <c r="AD420" s="4" t="s">
        <v>1342</v>
      </c>
      <c r="AE420" s="4" t="s">
        <v>1343</v>
      </c>
      <c r="AF420" s="4" t="s">
        <v>1174</v>
      </c>
    </row>
    <row r="421" spans="1:35" ht="36" x14ac:dyDescent="0.3">
      <c r="A421" s="25" t="s">
        <v>1344</v>
      </c>
      <c r="B421" s="25" t="s">
        <v>1249</v>
      </c>
      <c r="C421" s="26" t="s">
        <v>1250</v>
      </c>
      <c r="D421" s="27"/>
      <c r="E421" s="27" t="s">
        <v>1345</v>
      </c>
      <c r="F421" s="27" t="s">
        <v>64</v>
      </c>
      <c r="G421" s="28">
        <v>1</v>
      </c>
      <c r="H421" s="27"/>
      <c r="I421" s="28">
        <v>25.11</v>
      </c>
      <c r="J421" s="29">
        <f>IFERROR(ROUND(SUM(M422,M423)/I421, 2),0)</f>
        <v>13.32</v>
      </c>
      <c r="K421" s="29">
        <v>428</v>
      </c>
      <c r="L421" s="29">
        <f>J421+ROUND(K421, 2)</f>
        <v>441.32</v>
      </c>
      <c r="M421" s="29">
        <f>ROUND(J421*I421, 2)</f>
        <v>334.47</v>
      </c>
      <c r="N421" s="29">
        <f>ROUND(I421*ROUND(K421, 2), 2)</f>
        <v>10747.08</v>
      </c>
      <c r="O421" s="29">
        <f>M421+N421</f>
        <v>11081.55</v>
      </c>
      <c r="P421" s="29">
        <f>IFERROR(ROUND(SUM(S422,S423)/I421, 2),0)</f>
        <v>13.32</v>
      </c>
      <c r="Q421" s="29">
        <v>428</v>
      </c>
      <c r="R421" s="29">
        <f>P421+ROUND(Q421, 2)</f>
        <v>441.32</v>
      </c>
      <c r="S421" s="29">
        <f>ROUND(P421*I421, 2)</f>
        <v>334.47</v>
      </c>
      <c r="T421" s="29">
        <f>ROUND(I421*ROUND(Q421, 2), 2)</f>
        <v>10747.08</v>
      </c>
      <c r="U421" s="29">
        <f>S421+T421</f>
        <v>11081.55</v>
      </c>
      <c r="V421" s="9">
        <f>ROUND(P421 / 1.2, 2)</f>
        <v>11.1</v>
      </c>
      <c r="W421" s="9">
        <f>ROUND(Q421 / 1.2, 2)</f>
        <v>356.67</v>
      </c>
      <c r="X421" s="9">
        <f>ROUND(R421 / 1.2, 2)</f>
        <v>367.77</v>
      </c>
      <c r="Y421" s="9">
        <f t="shared" si="49"/>
        <v>278.73</v>
      </c>
      <c r="Z421" s="9">
        <f>ROUND(T421 / 1.2, 2)</f>
        <v>8955.9</v>
      </c>
      <c r="AA421" s="9">
        <f>Y421+Z421</f>
        <v>9234.6299999999992</v>
      </c>
      <c r="AD421" s="4">
        <v>271132207</v>
      </c>
      <c r="AE421" s="4">
        <v>19990915</v>
      </c>
      <c r="AG421" s="4" t="s">
        <v>1252</v>
      </c>
      <c r="AH421" s="4" t="s">
        <v>1253</v>
      </c>
      <c r="AI421" s="4" t="s">
        <v>67</v>
      </c>
    </row>
    <row r="422" spans="1:35" ht="36" x14ac:dyDescent="0.3">
      <c r="A422" s="25" t="s">
        <v>1346</v>
      </c>
      <c r="B422" s="25"/>
      <c r="C422" s="30" t="s">
        <v>433</v>
      </c>
      <c r="D422" s="27"/>
      <c r="E422" s="27"/>
      <c r="F422" s="31" t="s">
        <v>70</v>
      </c>
      <c r="G422" s="32">
        <v>0.15</v>
      </c>
      <c r="H422" s="27"/>
      <c r="I422" s="32">
        <v>3.7669999999999999</v>
      </c>
      <c r="J422" s="34">
        <v>88.8</v>
      </c>
      <c r="K422" s="35"/>
      <c r="L422" s="35"/>
      <c r="M422" s="34">
        <f>ROUND(ROUND(J422, 2)*I422, 2)</f>
        <v>334.51</v>
      </c>
      <c r="N422" s="35"/>
      <c r="O422" s="35"/>
      <c r="P422" s="34">
        <v>88.8</v>
      </c>
      <c r="Q422" s="35"/>
      <c r="R422" s="35"/>
      <c r="S422" s="34">
        <f>ROUND(ROUND(P422, 2)*I422, 2)</f>
        <v>334.51</v>
      </c>
      <c r="T422" s="35"/>
      <c r="U422" s="36"/>
      <c r="V422" s="9">
        <f>ROUND(ROUND(P422, 2)/1.2, 2)</f>
        <v>74</v>
      </c>
      <c r="Y422" s="9">
        <f t="shared" si="49"/>
        <v>278.76</v>
      </c>
      <c r="AD422" s="4" t="s">
        <v>1347</v>
      </c>
      <c r="AE422" s="4" t="s">
        <v>1348</v>
      </c>
      <c r="AF422" s="4" t="s">
        <v>436</v>
      </c>
    </row>
    <row r="423" spans="1:35" ht="108" x14ac:dyDescent="0.3">
      <c r="A423" s="25" t="s">
        <v>1349</v>
      </c>
      <c r="B423" s="25"/>
      <c r="C423" s="30" t="s">
        <v>1170</v>
      </c>
      <c r="D423" s="27"/>
      <c r="E423" s="27" t="s">
        <v>1350</v>
      </c>
      <c r="F423" s="31" t="s">
        <v>70</v>
      </c>
      <c r="G423" s="32">
        <v>0.3</v>
      </c>
      <c r="H423" s="27"/>
      <c r="I423" s="32">
        <v>7.5330000000000004</v>
      </c>
      <c r="J423" s="34">
        <v>0</v>
      </c>
      <c r="K423" s="35"/>
      <c r="L423" s="35"/>
      <c r="M423" s="34">
        <f>ROUND(ROUND(J423, 2)*I423, 2)</f>
        <v>0</v>
      </c>
      <c r="N423" s="35"/>
      <c r="O423" s="35"/>
      <c r="P423" s="34">
        <v>0</v>
      </c>
      <c r="Q423" s="35"/>
      <c r="R423" s="35"/>
      <c r="S423" s="34">
        <f>ROUND(ROUND(P423, 2)*I423, 2)</f>
        <v>0</v>
      </c>
      <c r="T423" s="35"/>
      <c r="U423" s="36"/>
      <c r="V423" s="9">
        <f>ROUND(ROUND(P423, 2)/1.2, 2)</f>
        <v>0</v>
      </c>
      <c r="Y423" s="9">
        <f t="shared" si="49"/>
        <v>0</v>
      </c>
      <c r="AD423" s="4" t="s">
        <v>1351</v>
      </c>
      <c r="AE423" s="4" t="s">
        <v>1352</v>
      </c>
      <c r="AF423" s="4" t="s">
        <v>1174</v>
      </c>
    </row>
    <row r="424" spans="1:35" ht="36" x14ac:dyDescent="0.3">
      <c r="A424" s="25" t="s">
        <v>1353</v>
      </c>
      <c r="B424" s="25" t="s">
        <v>1249</v>
      </c>
      <c r="C424" s="26" t="s">
        <v>1250</v>
      </c>
      <c r="D424" s="27"/>
      <c r="E424" s="27" t="s">
        <v>1354</v>
      </c>
      <c r="F424" s="27" t="s">
        <v>64</v>
      </c>
      <c r="G424" s="28">
        <v>1</v>
      </c>
      <c r="H424" s="27"/>
      <c r="I424" s="28">
        <v>4509.45</v>
      </c>
      <c r="J424" s="29">
        <f>IFERROR(ROUND(SUM(M425,M426)/I424, 2),0)</f>
        <v>13.32</v>
      </c>
      <c r="K424" s="29">
        <v>428</v>
      </c>
      <c r="L424" s="29">
        <f>J424+ROUND(K424, 2)</f>
        <v>441.32</v>
      </c>
      <c r="M424" s="29">
        <f>ROUND(J424*I424, 2)</f>
        <v>60065.87</v>
      </c>
      <c r="N424" s="29">
        <f>ROUND(I424*ROUND(K424, 2), 2)</f>
        <v>1930044.6</v>
      </c>
      <c r="O424" s="29">
        <f>M424+N424</f>
        <v>1990110.47</v>
      </c>
      <c r="P424" s="29">
        <f>IFERROR(ROUND(SUM(S425,S426)/I424, 2),0)</f>
        <v>13.32</v>
      </c>
      <c r="Q424" s="29">
        <v>428</v>
      </c>
      <c r="R424" s="29">
        <f>P424+ROUND(Q424, 2)</f>
        <v>441.32</v>
      </c>
      <c r="S424" s="29">
        <f>ROUND(P424*I424, 2)</f>
        <v>60065.87</v>
      </c>
      <c r="T424" s="29">
        <f>ROUND(I424*ROUND(Q424, 2), 2)</f>
        <v>1930044.6</v>
      </c>
      <c r="U424" s="29">
        <f>S424+T424</f>
        <v>1990110.47</v>
      </c>
      <c r="V424" s="9">
        <f>ROUND(P424 / 1.2, 2)</f>
        <v>11.1</v>
      </c>
      <c r="W424" s="9">
        <f>ROUND(Q424 / 1.2, 2)</f>
        <v>356.67</v>
      </c>
      <c r="X424" s="9">
        <f>ROUND(R424 / 1.2, 2)</f>
        <v>367.77</v>
      </c>
      <c r="Y424" s="9">
        <f t="shared" si="49"/>
        <v>50054.89</v>
      </c>
      <c r="Z424" s="9">
        <f>ROUND(T424 / 1.2, 2)</f>
        <v>1608370.5</v>
      </c>
      <c r="AA424" s="9">
        <f>Y424+Z424</f>
        <v>1658425.39</v>
      </c>
      <c r="AD424" s="4">
        <v>271132208</v>
      </c>
      <c r="AE424" s="4">
        <v>19991512</v>
      </c>
      <c r="AG424" s="4" t="s">
        <v>1252</v>
      </c>
      <c r="AH424" s="4" t="s">
        <v>1253</v>
      </c>
      <c r="AI424" s="4" t="s">
        <v>67</v>
      </c>
    </row>
    <row r="425" spans="1:35" ht="36" x14ac:dyDescent="0.3">
      <c r="A425" s="25" t="s">
        <v>1355</v>
      </c>
      <c r="B425" s="25"/>
      <c r="C425" s="30" t="s">
        <v>433</v>
      </c>
      <c r="D425" s="27"/>
      <c r="E425" s="27"/>
      <c r="F425" s="31" t="s">
        <v>70</v>
      </c>
      <c r="G425" s="32">
        <v>0.15</v>
      </c>
      <c r="H425" s="27"/>
      <c r="I425" s="32">
        <v>676.41800000000001</v>
      </c>
      <c r="J425" s="34">
        <v>88.8</v>
      </c>
      <c r="K425" s="35"/>
      <c r="L425" s="35"/>
      <c r="M425" s="34">
        <f>ROUND(ROUND(J425, 2)*I425, 2)</f>
        <v>60065.919999999998</v>
      </c>
      <c r="N425" s="35"/>
      <c r="O425" s="35"/>
      <c r="P425" s="34">
        <v>88.8</v>
      </c>
      <c r="Q425" s="35"/>
      <c r="R425" s="35"/>
      <c r="S425" s="34">
        <f>ROUND(ROUND(P425, 2)*I425, 2)</f>
        <v>60065.919999999998</v>
      </c>
      <c r="T425" s="35"/>
      <c r="U425" s="36"/>
      <c r="V425" s="9">
        <f>ROUND(ROUND(P425, 2)/1.2, 2)</f>
        <v>74</v>
      </c>
      <c r="Y425" s="9">
        <f t="shared" si="49"/>
        <v>50054.93</v>
      </c>
      <c r="AD425" s="4" t="s">
        <v>1356</v>
      </c>
      <c r="AE425" s="4" t="s">
        <v>1357</v>
      </c>
      <c r="AF425" s="4" t="s">
        <v>436</v>
      </c>
    </row>
    <row r="426" spans="1:35" ht="108" x14ac:dyDescent="0.3">
      <c r="A426" s="25" t="s">
        <v>1358</v>
      </c>
      <c r="B426" s="25"/>
      <c r="C426" s="30" t="s">
        <v>1255</v>
      </c>
      <c r="D426" s="27"/>
      <c r="E426" s="27" t="s">
        <v>1256</v>
      </c>
      <c r="F426" s="31" t="s">
        <v>70</v>
      </c>
      <c r="G426" s="32">
        <v>0.3</v>
      </c>
      <c r="H426" s="27"/>
      <c r="I426" s="32">
        <v>1352.835</v>
      </c>
      <c r="J426" s="34">
        <v>0</v>
      </c>
      <c r="K426" s="35"/>
      <c r="L426" s="35"/>
      <c r="M426" s="34">
        <f>ROUND(ROUND(J426, 2)*I426, 2)</f>
        <v>0</v>
      </c>
      <c r="N426" s="35"/>
      <c r="O426" s="35"/>
      <c r="P426" s="34">
        <v>0</v>
      </c>
      <c r="Q426" s="35"/>
      <c r="R426" s="35"/>
      <c r="S426" s="34">
        <f>ROUND(ROUND(P426, 2)*I426, 2)</f>
        <v>0</v>
      </c>
      <c r="T426" s="35"/>
      <c r="U426" s="36"/>
      <c r="V426" s="9">
        <f>ROUND(ROUND(P426, 2)/1.2, 2)</f>
        <v>0</v>
      </c>
      <c r="Y426" s="9">
        <f t="shared" si="49"/>
        <v>0</v>
      </c>
      <c r="AD426" s="4" t="s">
        <v>1359</v>
      </c>
      <c r="AE426" s="4" t="s">
        <v>1360</v>
      </c>
      <c r="AF426" s="4" t="s">
        <v>1259</v>
      </c>
    </row>
    <row r="427" spans="1:35" ht="36" x14ac:dyDescent="0.3">
      <c r="A427" s="25" t="s">
        <v>1361</v>
      </c>
      <c r="B427" s="25" t="s">
        <v>1249</v>
      </c>
      <c r="C427" s="26" t="s">
        <v>1250</v>
      </c>
      <c r="D427" s="27"/>
      <c r="E427" s="27" t="s">
        <v>1362</v>
      </c>
      <c r="F427" s="27" t="s">
        <v>64</v>
      </c>
      <c r="G427" s="28">
        <v>1</v>
      </c>
      <c r="H427" s="27"/>
      <c r="I427" s="28">
        <v>8.64</v>
      </c>
      <c r="J427" s="29">
        <f>IFERROR(ROUND(SUM(M428,M429)/I427, 2),0)</f>
        <v>13.32</v>
      </c>
      <c r="K427" s="29">
        <v>428</v>
      </c>
      <c r="L427" s="29">
        <f>J427+ROUND(K427, 2)</f>
        <v>441.32</v>
      </c>
      <c r="M427" s="29">
        <f>ROUND(J427*I427, 2)</f>
        <v>115.08</v>
      </c>
      <c r="N427" s="29">
        <f>ROUND(I427*ROUND(K427, 2), 2)</f>
        <v>3697.92</v>
      </c>
      <c r="O427" s="29">
        <f>M427+N427</f>
        <v>3813</v>
      </c>
      <c r="P427" s="29">
        <f>IFERROR(ROUND(SUM(S428,S429)/I427, 2),0)</f>
        <v>13.32</v>
      </c>
      <c r="Q427" s="29">
        <v>428</v>
      </c>
      <c r="R427" s="29">
        <f>P427+ROUND(Q427, 2)</f>
        <v>441.32</v>
      </c>
      <c r="S427" s="29">
        <f>ROUND(P427*I427, 2)</f>
        <v>115.08</v>
      </c>
      <c r="T427" s="29">
        <f>ROUND(I427*ROUND(Q427, 2), 2)</f>
        <v>3697.92</v>
      </c>
      <c r="U427" s="29">
        <f>S427+T427</f>
        <v>3813</v>
      </c>
      <c r="V427" s="9">
        <f>ROUND(P427 / 1.2, 2)</f>
        <v>11.1</v>
      </c>
      <c r="W427" s="9">
        <f>ROUND(Q427 / 1.2, 2)</f>
        <v>356.67</v>
      </c>
      <c r="X427" s="9">
        <f>ROUND(R427 / 1.2, 2)</f>
        <v>367.77</v>
      </c>
      <c r="Y427" s="9">
        <f t="shared" si="49"/>
        <v>95.9</v>
      </c>
      <c r="Z427" s="9">
        <f>ROUND(T427 / 1.2, 2)</f>
        <v>3081.6</v>
      </c>
      <c r="AA427" s="9">
        <f>Y427+Z427</f>
        <v>3177.5</v>
      </c>
      <c r="AD427" s="4">
        <v>271132209</v>
      </c>
      <c r="AE427" s="4">
        <v>19991513</v>
      </c>
      <c r="AG427" s="4" t="s">
        <v>1252</v>
      </c>
      <c r="AH427" s="4" t="s">
        <v>1253</v>
      </c>
      <c r="AI427" s="4" t="s">
        <v>67</v>
      </c>
    </row>
    <row r="428" spans="1:35" ht="36" x14ac:dyDescent="0.3">
      <c r="A428" s="25" t="s">
        <v>1363</v>
      </c>
      <c r="B428" s="25"/>
      <c r="C428" s="30" t="s">
        <v>433</v>
      </c>
      <c r="D428" s="27"/>
      <c r="E428" s="27"/>
      <c r="F428" s="31" t="s">
        <v>70</v>
      </c>
      <c r="G428" s="32">
        <v>0.15</v>
      </c>
      <c r="H428" s="27"/>
      <c r="I428" s="32">
        <v>1.296</v>
      </c>
      <c r="J428" s="34">
        <v>88.8</v>
      </c>
      <c r="K428" s="35"/>
      <c r="L428" s="35"/>
      <c r="M428" s="34">
        <f>ROUND(ROUND(J428, 2)*I428, 2)</f>
        <v>115.08</v>
      </c>
      <c r="N428" s="35"/>
      <c r="O428" s="35"/>
      <c r="P428" s="34">
        <v>88.8</v>
      </c>
      <c r="Q428" s="35"/>
      <c r="R428" s="35"/>
      <c r="S428" s="34">
        <f>ROUND(ROUND(P428, 2)*I428, 2)</f>
        <v>115.08</v>
      </c>
      <c r="T428" s="35"/>
      <c r="U428" s="36"/>
      <c r="V428" s="9">
        <f>ROUND(ROUND(P428, 2)/1.2, 2)</f>
        <v>74</v>
      </c>
      <c r="Y428" s="9">
        <f t="shared" si="49"/>
        <v>95.9</v>
      </c>
      <c r="AD428" s="4" t="s">
        <v>1364</v>
      </c>
      <c r="AE428" s="4" t="s">
        <v>1365</v>
      </c>
      <c r="AF428" s="4" t="s">
        <v>436</v>
      </c>
    </row>
    <row r="429" spans="1:35" ht="108" x14ac:dyDescent="0.3">
      <c r="A429" s="25" t="s">
        <v>1366</v>
      </c>
      <c r="B429" s="25"/>
      <c r="C429" s="30" t="s">
        <v>1170</v>
      </c>
      <c r="D429" s="27"/>
      <c r="E429" s="27" t="s">
        <v>1269</v>
      </c>
      <c r="F429" s="31" t="s">
        <v>70</v>
      </c>
      <c r="G429" s="32">
        <v>0.3</v>
      </c>
      <c r="H429" s="27"/>
      <c r="I429" s="32">
        <v>2.5920000000000001</v>
      </c>
      <c r="J429" s="34">
        <v>0</v>
      </c>
      <c r="K429" s="35"/>
      <c r="L429" s="35"/>
      <c r="M429" s="34">
        <f>ROUND(ROUND(J429, 2)*I429, 2)</f>
        <v>0</v>
      </c>
      <c r="N429" s="35"/>
      <c r="O429" s="35"/>
      <c r="P429" s="34">
        <v>0</v>
      </c>
      <c r="Q429" s="35"/>
      <c r="R429" s="35"/>
      <c r="S429" s="34">
        <f>ROUND(ROUND(P429, 2)*I429, 2)</f>
        <v>0</v>
      </c>
      <c r="T429" s="35"/>
      <c r="U429" s="36"/>
      <c r="V429" s="9">
        <f>ROUND(ROUND(P429, 2)/1.2, 2)</f>
        <v>0</v>
      </c>
      <c r="Y429" s="9">
        <f t="shared" si="49"/>
        <v>0</v>
      </c>
      <c r="AD429" s="4" t="s">
        <v>1367</v>
      </c>
      <c r="AE429" s="4" t="s">
        <v>1368</v>
      </c>
      <c r="AF429" s="4" t="s">
        <v>1174</v>
      </c>
    </row>
    <row r="430" spans="1:35" ht="36" x14ac:dyDescent="0.3">
      <c r="A430" s="25" t="s">
        <v>1369</v>
      </c>
      <c r="B430" s="25" t="s">
        <v>1249</v>
      </c>
      <c r="C430" s="26" t="s">
        <v>1250</v>
      </c>
      <c r="D430" s="27"/>
      <c r="E430" s="27" t="s">
        <v>1370</v>
      </c>
      <c r="F430" s="27" t="s">
        <v>64</v>
      </c>
      <c r="G430" s="28">
        <v>1</v>
      </c>
      <c r="H430" s="27"/>
      <c r="I430" s="28">
        <v>34.68</v>
      </c>
      <c r="J430" s="29">
        <f>IFERROR(ROUND(SUM(M431,M432)/I430, 2),0)</f>
        <v>13.32</v>
      </c>
      <c r="K430" s="29">
        <v>428</v>
      </c>
      <c r="L430" s="29">
        <f>J430+ROUND(K430, 2)</f>
        <v>441.32</v>
      </c>
      <c r="M430" s="29">
        <f>ROUND(J430*I430, 2)</f>
        <v>461.94</v>
      </c>
      <c r="N430" s="29">
        <f>ROUND(I430*ROUND(K430, 2), 2)</f>
        <v>14843.04</v>
      </c>
      <c r="O430" s="29">
        <f>M430+N430</f>
        <v>15304.98</v>
      </c>
      <c r="P430" s="29">
        <f>IFERROR(ROUND(SUM(S431,S432)/I430, 2),0)</f>
        <v>13.32</v>
      </c>
      <c r="Q430" s="29">
        <v>428</v>
      </c>
      <c r="R430" s="29">
        <f>P430+ROUND(Q430, 2)</f>
        <v>441.32</v>
      </c>
      <c r="S430" s="29">
        <f>ROUND(P430*I430, 2)</f>
        <v>461.94</v>
      </c>
      <c r="T430" s="29">
        <f>ROUND(I430*ROUND(Q430, 2), 2)</f>
        <v>14843.04</v>
      </c>
      <c r="U430" s="29">
        <f>S430+T430</f>
        <v>15304.98</v>
      </c>
      <c r="V430" s="9">
        <f>ROUND(P430 / 1.2, 2)</f>
        <v>11.1</v>
      </c>
      <c r="W430" s="9">
        <f>ROUND(Q430 / 1.2, 2)</f>
        <v>356.67</v>
      </c>
      <c r="X430" s="9">
        <f>ROUND(R430 / 1.2, 2)</f>
        <v>367.77</v>
      </c>
      <c r="Y430" s="9">
        <f t="shared" si="49"/>
        <v>384.95</v>
      </c>
      <c r="Z430" s="9">
        <f>ROUND(T430 / 1.2, 2)</f>
        <v>12369.2</v>
      </c>
      <c r="AA430" s="9">
        <f>Y430+Z430</f>
        <v>12754.15</v>
      </c>
      <c r="AD430" s="4">
        <v>271132210</v>
      </c>
      <c r="AE430" s="4">
        <v>19991514</v>
      </c>
      <c r="AG430" s="4" t="s">
        <v>1252</v>
      </c>
      <c r="AH430" s="4" t="s">
        <v>1253</v>
      </c>
      <c r="AI430" s="4" t="s">
        <v>67</v>
      </c>
    </row>
    <row r="431" spans="1:35" ht="36" x14ac:dyDescent="0.3">
      <c r="A431" s="25" t="s">
        <v>1371</v>
      </c>
      <c r="B431" s="25"/>
      <c r="C431" s="30" t="s">
        <v>433</v>
      </c>
      <c r="D431" s="27"/>
      <c r="E431" s="27"/>
      <c r="F431" s="31" t="s">
        <v>70</v>
      </c>
      <c r="G431" s="32">
        <v>0.15</v>
      </c>
      <c r="H431" s="27"/>
      <c r="I431" s="32">
        <v>5.202</v>
      </c>
      <c r="J431" s="34">
        <v>88.8</v>
      </c>
      <c r="K431" s="35"/>
      <c r="L431" s="35"/>
      <c r="M431" s="34">
        <f>ROUND(ROUND(J431, 2)*I431, 2)</f>
        <v>461.94</v>
      </c>
      <c r="N431" s="35"/>
      <c r="O431" s="35"/>
      <c r="P431" s="34">
        <v>88.8</v>
      </c>
      <c r="Q431" s="35"/>
      <c r="R431" s="35"/>
      <c r="S431" s="34">
        <f>ROUND(ROUND(P431, 2)*I431, 2)</f>
        <v>461.94</v>
      </c>
      <c r="T431" s="35"/>
      <c r="U431" s="36"/>
      <c r="V431" s="9">
        <f>ROUND(ROUND(P431, 2)/1.2, 2)</f>
        <v>74</v>
      </c>
      <c r="Y431" s="9">
        <f t="shared" si="49"/>
        <v>384.95</v>
      </c>
      <c r="AD431" s="4" t="s">
        <v>1372</v>
      </c>
      <c r="AE431" s="4" t="s">
        <v>1373</v>
      </c>
      <c r="AF431" s="4" t="s">
        <v>436</v>
      </c>
    </row>
    <row r="432" spans="1:35" ht="108" x14ac:dyDescent="0.3">
      <c r="A432" s="25" t="s">
        <v>1374</v>
      </c>
      <c r="B432" s="25"/>
      <c r="C432" s="30" t="s">
        <v>1170</v>
      </c>
      <c r="D432" s="27"/>
      <c r="E432" s="27" t="s">
        <v>1278</v>
      </c>
      <c r="F432" s="31" t="s">
        <v>70</v>
      </c>
      <c r="G432" s="32">
        <v>0.3</v>
      </c>
      <c r="H432" s="27"/>
      <c r="I432" s="32">
        <v>10.404</v>
      </c>
      <c r="J432" s="34">
        <v>0</v>
      </c>
      <c r="K432" s="35"/>
      <c r="L432" s="35"/>
      <c r="M432" s="34">
        <f>ROUND(ROUND(J432, 2)*I432, 2)</f>
        <v>0</v>
      </c>
      <c r="N432" s="35"/>
      <c r="O432" s="35"/>
      <c r="P432" s="34">
        <v>0</v>
      </c>
      <c r="Q432" s="35"/>
      <c r="R432" s="35"/>
      <c r="S432" s="34">
        <f>ROUND(ROUND(P432, 2)*I432, 2)</f>
        <v>0</v>
      </c>
      <c r="T432" s="35"/>
      <c r="U432" s="36"/>
      <c r="V432" s="9">
        <f>ROUND(ROUND(P432, 2)/1.2, 2)</f>
        <v>0</v>
      </c>
      <c r="Y432" s="9">
        <f t="shared" si="49"/>
        <v>0</v>
      </c>
      <c r="AD432" s="4" t="s">
        <v>1375</v>
      </c>
      <c r="AE432" s="4" t="s">
        <v>1376</v>
      </c>
      <c r="AF432" s="4" t="s">
        <v>1174</v>
      </c>
    </row>
    <row r="433" spans="1:35" ht="36" x14ac:dyDescent="0.3">
      <c r="A433" s="25" t="s">
        <v>1377</v>
      </c>
      <c r="B433" s="25" t="s">
        <v>1249</v>
      </c>
      <c r="C433" s="26" t="s">
        <v>1250</v>
      </c>
      <c r="D433" s="27"/>
      <c r="E433" s="27" t="s">
        <v>1378</v>
      </c>
      <c r="F433" s="27" t="s">
        <v>64</v>
      </c>
      <c r="G433" s="28">
        <v>1</v>
      </c>
      <c r="H433" s="27"/>
      <c r="I433" s="28">
        <v>24.37</v>
      </c>
      <c r="J433" s="29">
        <f>IFERROR(ROUND(SUM(M434,M435)/I433, 2),0)</f>
        <v>13.32</v>
      </c>
      <c r="K433" s="29">
        <v>428</v>
      </c>
      <c r="L433" s="29">
        <f>J433+ROUND(K433, 2)</f>
        <v>441.32</v>
      </c>
      <c r="M433" s="29">
        <f>ROUND(J433*I433, 2)</f>
        <v>324.61</v>
      </c>
      <c r="N433" s="29">
        <f>ROUND(I433*ROUND(K433, 2), 2)</f>
        <v>10430.36</v>
      </c>
      <c r="O433" s="29">
        <f>M433+N433</f>
        <v>10754.97</v>
      </c>
      <c r="P433" s="29">
        <f>IFERROR(ROUND(SUM(S434,S435)/I433, 2),0)</f>
        <v>13.32</v>
      </c>
      <c r="Q433" s="29">
        <v>428</v>
      </c>
      <c r="R433" s="29">
        <f>P433+ROUND(Q433, 2)</f>
        <v>441.32</v>
      </c>
      <c r="S433" s="29">
        <f>ROUND(P433*I433, 2)</f>
        <v>324.61</v>
      </c>
      <c r="T433" s="29">
        <f>ROUND(I433*ROUND(Q433, 2), 2)</f>
        <v>10430.36</v>
      </c>
      <c r="U433" s="29">
        <f>S433+T433</f>
        <v>10754.97</v>
      </c>
      <c r="V433" s="9">
        <f>ROUND(P433 / 1.2, 2)</f>
        <v>11.1</v>
      </c>
      <c r="W433" s="9">
        <f>ROUND(Q433 / 1.2, 2)</f>
        <v>356.67</v>
      </c>
      <c r="X433" s="9">
        <f>ROUND(R433 / 1.2, 2)</f>
        <v>367.77</v>
      </c>
      <c r="Y433" s="9">
        <f t="shared" si="49"/>
        <v>270.51</v>
      </c>
      <c r="Z433" s="9">
        <f>ROUND(T433 / 1.2, 2)</f>
        <v>8691.9699999999993</v>
      </c>
      <c r="AA433" s="9">
        <f>Y433+Z433</f>
        <v>8962.48</v>
      </c>
      <c r="AD433" s="4">
        <v>271132211</v>
      </c>
      <c r="AE433" s="4">
        <v>19991515</v>
      </c>
      <c r="AG433" s="4" t="s">
        <v>1252</v>
      </c>
      <c r="AH433" s="4" t="s">
        <v>1253</v>
      </c>
      <c r="AI433" s="4" t="s">
        <v>67</v>
      </c>
    </row>
    <row r="434" spans="1:35" ht="36" x14ac:dyDescent="0.3">
      <c r="A434" s="25" t="s">
        <v>1379</v>
      </c>
      <c r="B434" s="25"/>
      <c r="C434" s="30" t="s">
        <v>433</v>
      </c>
      <c r="D434" s="27"/>
      <c r="E434" s="27"/>
      <c r="F434" s="31" t="s">
        <v>70</v>
      </c>
      <c r="G434" s="32">
        <v>0.15</v>
      </c>
      <c r="H434" s="27"/>
      <c r="I434" s="32">
        <v>3.6560000000000001</v>
      </c>
      <c r="J434" s="34">
        <v>88.8</v>
      </c>
      <c r="K434" s="35"/>
      <c r="L434" s="35"/>
      <c r="M434" s="34">
        <f>ROUND(ROUND(J434, 2)*I434, 2)</f>
        <v>324.64999999999998</v>
      </c>
      <c r="N434" s="35"/>
      <c r="O434" s="35"/>
      <c r="P434" s="34">
        <v>88.8</v>
      </c>
      <c r="Q434" s="35"/>
      <c r="R434" s="35"/>
      <c r="S434" s="34">
        <f>ROUND(ROUND(P434, 2)*I434, 2)</f>
        <v>324.64999999999998</v>
      </c>
      <c r="T434" s="35"/>
      <c r="U434" s="36"/>
      <c r="V434" s="9">
        <f>ROUND(ROUND(P434, 2)/1.2, 2)</f>
        <v>74</v>
      </c>
      <c r="Y434" s="9">
        <f t="shared" si="49"/>
        <v>270.54000000000002</v>
      </c>
      <c r="AD434" s="4" t="s">
        <v>1380</v>
      </c>
      <c r="AE434" s="4" t="s">
        <v>1381</v>
      </c>
      <c r="AF434" s="4" t="s">
        <v>436</v>
      </c>
    </row>
    <row r="435" spans="1:35" ht="108" x14ac:dyDescent="0.3">
      <c r="A435" s="25" t="s">
        <v>1382</v>
      </c>
      <c r="B435" s="25"/>
      <c r="C435" s="30" t="s">
        <v>1170</v>
      </c>
      <c r="D435" s="27"/>
      <c r="E435" s="27" t="s">
        <v>1287</v>
      </c>
      <c r="F435" s="31" t="s">
        <v>70</v>
      </c>
      <c r="G435" s="32">
        <v>0.3</v>
      </c>
      <c r="H435" s="27"/>
      <c r="I435" s="32">
        <v>7.3109999999999999</v>
      </c>
      <c r="J435" s="34">
        <v>0</v>
      </c>
      <c r="K435" s="35"/>
      <c r="L435" s="35"/>
      <c r="M435" s="34">
        <f>ROUND(ROUND(J435, 2)*I435, 2)</f>
        <v>0</v>
      </c>
      <c r="N435" s="35"/>
      <c r="O435" s="35"/>
      <c r="P435" s="34">
        <v>0</v>
      </c>
      <c r="Q435" s="35"/>
      <c r="R435" s="35"/>
      <c r="S435" s="34">
        <f>ROUND(ROUND(P435, 2)*I435, 2)</f>
        <v>0</v>
      </c>
      <c r="T435" s="35"/>
      <c r="U435" s="36"/>
      <c r="V435" s="9">
        <f>ROUND(ROUND(P435, 2)/1.2, 2)</f>
        <v>0</v>
      </c>
      <c r="Y435" s="9">
        <f t="shared" si="49"/>
        <v>0</v>
      </c>
      <c r="AD435" s="4" t="s">
        <v>1383</v>
      </c>
      <c r="AE435" s="4" t="s">
        <v>1384</v>
      </c>
      <c r="AF435" s="4" t="s">
        <v>1174</v>
      </c>
    </row>
    <row r="436" spans="1:35" ht="36" x14ac:dyDescent="0.3">
      <c r="A436" s="25" t="s">
        <v>1385</v>
      </c>
      <c r="B436" s="25" t="s">
        <v>1249</v>
      </c>
      <c r="C436" s="26" t="s">
        <v>1250</v>
      </c>
      <c r="D436" s="27"/>
      <c r="E436" s="27" t="s">
        <v>1386</v>
      </c>
      <c r="F436" s="27" t="s">
        <v>64</v>
      </c>
      <c r="G436" s="28">
        <v>1</v>
      </c>
      <c r="H436" s="27"/>
      <c r="I436" s="28">
        <v>4.95</v>
      </c>
      <c r="J436" s="29">
        <f>IFERROR(ROUND(SUM(M437,M438)/I436, 2),0)</f>
        <v>13.33</v>
      </c>
      <c r="K436" s="29">
        <v>428</v>
      </c>
      <c r="L436" s="29">
        <f>J436+ROUND(K436, 2)</f>
        <v>441.33</v>
      </c>
      <c r="M436" s="29">
        <f>ROUND(J436*I436, 2)</f>
        <v>65.98</v>
      </c>
      <c r="N436" s="29">
        <f>ROUND(I436*ROUND(K436, 2), 2)</f>
        <v>2118.6</v>
      </c>
      <c r="O436" s="29">
        <f>M436+N436</f>
        <v>2184.58</v>
      </c>
      <c r="P436" s="29">
        <f>IFERROR(ROUND(SUM(S437,S438)/I436, 2),0)</f>
        <v>13.33</v>
      </c>
      <c r="Q436" s="29">
        <v>428</v>
      </c>
      <c r="R436" s="29">
        <f>P436+ROUND(Q436, 2)</f>
        <v>441.33</v>
      </c>
      <c r="S436" s="29">
        <f>ROUND(P436*I436, 2)</f>
        <v>65.98</v>
      </c>
      <c r="T436" s="29">
        <f>ROUND(I436*ROUND(Q436, 2), 2)</f>
        <v>2118.6</v>
      </c>
      <c r="U436" s="29">
        <f>S436+T436</f>
        <v>2184.58</v>
      </c>
      <c r="V436" s="9">
        <f>ROUND(P436 / 1.2, 2)</f>
        <v>11.11</v>
      </c>
      <c r="W436" s="9">
        <f>ROUND(Q436 / 1.2, 2)</f>
        <v>356.67</v>
      </c>
      <c r="X436" s="9">
        <f>ROUND(R436 / 1.2, 2)</f>
        <v>367.78</v>
      </c>
      <c r="Y436" s="9">
        <f t="shared" si="49"/>
        <v>54.98</v>
      </c>
      <c r="Z436" s="9">
        <f>ROUND(T436 / 1.2, 2)</f>
        <v>1765.5</v>
      </c>
      <c r="AA436" s="9">
        <f>Y436+Z436</f>
        <v>1820.48</v>
      </c>
      <c r="AD436" s="4">
        <v>271132212</v>
      </c>
      <c r="AE436" s="4">
        <v>19992002</v>
      </c>
      <c r="AG436" s="4" t="s">
        <v>1252</v>
      </c>
      <c r="AH436" s="4" t="s">
        <v>1253</v>
      </c>
      <c r="AI436" s="4" t="s">
        <v>67</v>
      </c>
    </row>
    <row r="437" spans="1:35" ht="36" x14ac:dyDescent="0.3">
      <c r="A437" s="25" t="s">
        <v>1387</v>
      </c>
      <c r="B437" s="25"/>
      <c r="C437" s="30" t="s">
        <v>433</v>
      </c>
      <c r="D437" s="27"/>
      <c r="E437" s="27"/>
      <c r="F437" s="31" t="s">
        <v>70</v>
      </c>
      <c r="G437" s="32">
        <v>0.15</v>
      </c>
      <c r="H437" s="27"/>
      <c r="I437" s="32">
        <v>0.74299999999999999</v>
      </c>
      <c r="J437" s="34">
        <v>88.8</v>
      </c>
      <c r="K437" s="35"/>
      <c r="L437" s="35"/>
      <c r="M437" s="34">
        <f>ROUND(ROUND(J437, 2)*I437, 2)</f>
        <v>65.98</v>
      </c>
      <c r="N437" s="35"/>
      <c r="O437" s="35"/>
      <c r="P437" s="34">
        <v>88.8</v>
      </c>
      <c r="Q437" s="35"/>
      <c r="R437" s="35"/>
      <c r="S437" s="34">
        <f>ROUND(ROUND(P437, 2)*I437, 2)</f>
        <v>65.98</v>
      </c>
      <c r="T437" s="35"/>
      <c r="U437" s="36"/>
      <c r="V437" s="9">
        <f>ROUND(ROUND(P437, 2)/1.2, 2)</f>
        <v>74</v>
      </c>
      <c r="Y437" s="9">
        <f t="shared" si="49"/>
        <v>54.98</v>
      </c>
      <c r="AD437" s="4" t="s">
        <v>1388</v>
      </c>
      <c r="AE437" s="4" t="s">
        <v>1389</v>
      </c>
      <c r="AF437" s="4" t="s">
        <v>436</v>
      </c>
    </row>
    <row r="438" spans="1:35" ht="108" x14ac:dyDescent="0.3">
      <c r="A438" s="25" t="s">
        <v>1390</v>
      </c>
      <c r="B438" s="25"/>
      <c r="C438" s="30" t="s">
        <v>1170</v>
      </c>
      <c r="D438" s="27"/>
      <c r="E438" s="27" t="s">
        <v>1296</v>
      </c>
      <c r="F438" s="31" t="s">
        <v>70</v>
      </c>
      <c r="G438" s="32">
        <v>0.3</v>
      </c>
      <c r="H438" s="27"/>
      <c r="I438" s="32">
        <v>1.4850000000000001</v>
      </c>
      <c r="J438" s="34">
        <v>0</v>
      </c>
      <c r="K438" s="35"/>
      <c r="L438" s="35"/>
      <c r="M438" s="34">
        <f>ROUND(ROUND(J438, 2)*I438, 2)</f>
        <v>0</v>
      </c>
      <c r="N438" s="35"/>
      <c r="O438" s="35"/>
      <c r="P438" s="34">
        <v>0</v>
      </c>
      <c r="Q438" s="35"/>
      <c r="R438" s="35"/>
      <c r="S438" s="34">
        <f>ROUND(ROUND(P438, 2)*I438, 2)</f>
        <v>0</v>
      </c>
      <c r="T438" s="35"/>
      <c r="U438" s="36"/>
      <c r="V438" s="9">
        <f>ROUND(ROUND(P438, 2)/1.2, 2)</f>
        <v>0</v>
      </c>
      <c r="Y438" s="9">
        <f t="shared" si="49"/>
        <v>0</v>
      </c>
      <c r="AD438" s="4" t="s">
        <v>1391</v>
      </c>
      <c r="AE438" s="4" t="s">
        <v>1392</v>
      </c>
      <c r="AF438" s="4" t="s">
        <v>1174</v>
      </c>
    </row>
    <row r="439" spans="1:35" ht="36" x14ac:dyDescent="0.3">
      <c r="A439" s="25" t="s">
        <v>1393</v>
      </c>
      <c r="B439" s="25" t="s">
        <v>1249</v>
      </c>
      <c r="C439" s="26" t="s">
        <v>1250</v>
      </c>
      <c r="D439" s="27"/>
      <c r="E439" s="27" t="s">
        <v>1394</v>
      </c>
      <c r="F439" s="27" t="s">
        <v>64</v>
      </c>
      <c r="G439" s="28">
        <v>1</v>
      </c>
      <c r="H439" s="27"/>
      <c r="I439" s="28">
        <v>11.73</v>
      </c>
      <c r="J439" s="29">
        <f>IFERROR(ROUND(SUM(M440,M441)/I439, 2),0)</f>
        <v>13.32</v>
      </c>
      <c r="K439" s="29">
        <v>428</v>
      </c>
      <c r="L439" s="29">
        <f>J439+ROUND(K439, 2)</f>
        <v>441.32</v>
      </c>
      <c r="M439" s="29">
        <f>ROUND(J439*I439, 2)</f>
        <v>156.24</v>
      </c>
      <c r="N439" s="29">
        <f>ROUND(I439*ROUND(K439, 2), 2)</f>
        <v>5020.4399999999996</v>
      </c>
      <c r="O439" s="29">
        <f>M439+N439</f>
        <v>5176.68</v>
      </c>
      <c r="P439" s="29">
        <f>IFERROR(ROUND(SUM(S440,S441)/I439, 2),0)</f>
        <v>13.32</v>
      </c>
      <c r="Q439" s="29">
        <v>428</v>
      </c>
      <c r="R439" s="29">
        <f>P439+ROUND(Q439, 2)</f>
        <v>441.32</v>
      </c>
      <c r="S439" s="29">
        <f>ROUND(P439*I439, 2)</f>
        <v>156.24</v>
      </c>
      <c r="T439" s="29">
        <f>ROUND(I439*ROUND(Q439, 2), 2)</f>
        <v>5020.4399999999996</v>
      </c>
      <c r="U439" s="29">
        <f>S439+T439</f>
        <v>5176.68</v>
      </c>
      <c r="V439" s="9">
        <f>ROUND(P439 / 1.2, 2)</f>
        <v>11.1</v>
      </c>
      <c r="W439" s="9">
        <f>ROUND(Q439 / 1.2, 2)</f>
        <v>356.67</v>
      </c>
      <c r="X439" s="9">
        <f>ROUND(R439 / 1.2, 2)</f>
        <v>367.77</v>
      </c>
      <c r="Y439" s="9">
        <f t="shared" si="49"/>
        <v>130.19999999999999</v>
      </c>
      <c r="Z439" s="9">
        <f>ROUND(T439 / 1.2, 2)</f>
        <v>4183.7</v>
      </c>
      <c r="AA439" s="9">
        <f>Y439+Z439</f>
        <v>4313.8999999999996</v>
      </c>
      <c r="AD439" s="4">
        <v>271132213</v>
      </c>
      <c r="AE439" s="4">
        <v>19992003</v>
      </c>
      <c r="AG439" s="4" t="s">
        <v>1252</v>
      </c>
      <c r="AH439" s="4" t="s">
        <v>1253</v>
      </c>
      <c r="AI439" s="4" t="s">
        <v>67</v>
      </c>
    </row>
    <row r="440" spans="1:35" ht="36" x14ac:dyDescent="0.3">
      <c r="A440" s="25" t="s">
        <v>1395</v>
      </c>
      <c r="B440" s="25"/>
      <c r="C440" s="30" t="s">
        <v>433</v>
      </c>
      <c r="D440" s="27"/>
      <c r="E440" s="27"/>
      <c r="F440" s="31" t="s">
        <v>70</v>
      </c>
      <c r="G440" s="32">
        <v>0.15</v>
      </c>
      <c r="H440" s="27"/>
      <c r="I440" s="32">
        <v>1.76</v>
      </c>
      <c r="J440" s="34">
        <v>88.8</v>
      </c>
      <c r="K440" s="35"/>
      <c r="L440" s="35"/>
      <c r="M440" s="34">
        <f>ROUND(ROUND(J440, 2)*I440, 2)</f>
        <v>156.29</v>
      </c>
      <c r="N440" s="35"/>
      <c r="O440" s="35"/>
      <c r="P440" s="34">
        <v>88.8</v>
      </c>
      <c r="Q440" s="35"/>
      <c r="R440" s="35"/>
      <c r="S440" s="34">
        <f>ROUND(ROUND(P440, 2)*I440, 2)</f>
        <v>156.29</v>
      </c>
      <c r="T440" s="35"/>
      <c r="U440" s="36"/>
      <c r="V440" s="9">
        <f>ROUND(ROUND(P440, 2)/1.2, 2)</f>
        <v>74</v>
      </c>
      <c r="Y440" s="9">
        <f t="shared" si="49"/>
        <v>130.24</v>
      </c>
      <c r="AD440" s="4" t="s">
        <v>1396</v>
      </c>
      <c r="AE440" s="4" t="s">
        <v>1397</v>
      </c>
      <c r="AF440" s="4" t="s">
        <v>436</v>
      </c>
    </row>
    <row r="441" spans="1:35" ht="108" x14ac:dyDescent="0.3">
      <c r="A441" s="25" t="s">
        <v>1398</v>
      </c>
      <c r="B441" s="25"/>
      <c r="C441" s="30" t="s">
        <v>1170</v>
      </c>
      <c r="D441" s="27"/>
      <c r="E441" s="27" t="s">
        <v>1305</v>
      </c>
      <c r="F441" s="31" t="s">
        <v>70</v>
      </c>
      <c r="G441" s="32">
        <v>0.3</v>
      </c>
      <c r="H441" s="27"/>
      <c r="I441" s="32">
        <v>3.5190000000000001</v>
      </c>
      <c r="J441" s="34">
        <v>0</v>
      </c>
      <c r="K441" s="35"/>
      <c r="L441" s="35"/>
      <c r="M441" s="34">
        <f>ROUND(ROUND(J441, 2)*I441, 2)</f>
        <v>0</v>
      </c>
      <c r="N441" s="35"/>
      <c r="O441" s="35"/>
      <c r="P441" s="34">
        <v>0</v>
      </c>
      <c r="Q441" s="35"/>
      <c r="R441" s="35"/>
      <c r="S441" s="34">
        <f>ROUND(ROUND(P441, 2)*I441, 2)</f>
        <v>0</v>
      </c>
      <c r="T441" s="35"/>
      <c r="U441" s="36"/>
      <c r="V441" s="9">
        <f>ROUND(ROUND(P441, 2)/1.2, 2)</f>
        <v>0</v>
      </c>
      <c r="Y441" s="9">
        <f t="shared" si="49"/>
        <v>0</v>
      </c>
      <c r="AD441" s="4" t="s">
        <v>1399</v>
      </c>
      <c r="AE441" s="4" t="s">
        <v>1400</v>
      </c>
      <c r="AF441" s="4" t="s">
        <v>1174</v>
      </c>
    </row>
    <row r="442" spans="1:35" ht="36" x14ac:dyDescent="0.3">
      <c r="A442" s="25" t="s">
        <v>1401</v>
      </c>
      <c r="B442" s="25" t="s">
        <v>1249</v>
      </c>
      <c r="C442" s="26" t="s">
        <v>1250</v>
      </c>
      <c r="D442" s="27"/>
      <c r="E442" s="27" t="s">
        <v>1402</v>
      </c>
      <c r="F442" s="27" t="s">
        <v>64</v>
      </c>
      <c r="G442" s="28">
        <v>1</v>
      </c>
      <c r="H442" s="27"/>
      <c r="I442" s="28">
        <v>18.63</v>
      </c>
      <c r="J442" s="29">
        <f>IFERROR(ROUND(SUM(M443,M444)/I442, 2),0)</f>
        <v>13.32</v>
      </c>
      <c r="K442" s="29">
        <v>428</v>
      </c>
      <c r="L442" s="29">
        <f>J442+ROUND(K442, 2)</f>
        <v>441.32</v>
      </c>
      <c r="M442" s="29">
        <f>ROUND(J442*I442, 2)</f>
        <v>248.15</v>
      </c>
      <c r="N442" s="29">
        <f>ROUND(I442*ROUND(K442, 2), 2)</f>
        <v>7973.64</v>
      </c>
      <c r="O442" s="29">
        <f>M442+N442</f>
        <v>8221.7900000000009</v>
      </c>
      <c r="P442" s="29">
        <f>IFERROR(ROUND(SUM(S443,S444)/I442, 2),0)</f>
        <v>13.32</v>
      </c>
      <c r="Q442" s="29">
        <v>428</v>
      </c>
      <c r="R442" s="29">
        <f>P442+ROUND(Q442, 2)</f>
        <v>441.32</v>
      </c>
      <c r="S442" s="29">
        <f>ROUND(P442*I442, 2)</f>
        <v>248.15</v>
      </c>
      <c r="T442" s="29">
        <f>ROUND(I442*ROUND(Q442, 2), 2)</f>
        <v>7973.64</v>
      </c>
      <c r="U442" s="29">
        <f>S442+T442</f>
        <v>8221.7900000000009</v>
      </c>
      <c r="V442" s="9">
        <f>ROUND(P442 / 1.2, 2)</f>
        <v>11.1</v>
      </c>
      <c r="W442" s="9">
        <f>ROUND(Q442 / 1.2, 2)</f>
        <v>356.67</v>
      </c>
      <c r="X442" s="9">
        <f>ROUND(R442 / 1.2, 2)</f>
        <v>367.77</v>
      </c>
      <c r="Y442" s="9">
        <f t="shared" si="49"/>
        <v>206.79</v>
      </c>
      <c r="Z442" s="9">
        <f>ROUND(T442 / 1.2, 2)</f>
        <v>6644.7</v>
      </c>
      <c r="AA442" s="9">
        <f>Y442+Z442</f>
        <v>6851.49</v>
      </c>
      <c r="AD442" s="4">
        <v>271132214</v>
      </c>
      <c r="AE442" s="4">
        <v>19992004</v>
      </c>
      <c r="AG442" s="4" t="s">
        <v>1252</v>
      </c>
      <c r="AH442" s="4" t="s">
        <v>1253</v>
      </c>
      <c r="AI442" s="4" t="s">
        <v>67</v>
      </c>
    </row>
    <row r="443" spans="1:35" ht="36" x14ac:dyDescent="0.3">
      <c r="A443" s="25" t="s">
        <v>1403</v>
      </c>
      <c r="B443" s="25"/>
      <c r="C443" s="30" t="s">
        <v>433</v>
      </c>
      <c r="D443" s="27"/>
      <c r="E443" s="27"/>
      <c r="F443" s="31" t="s">
        <v>70</v>
      </c>
      <c r="G443" s="32">
        <v>0.15</v>
      </c>
      <c r="H443" s="27"/>
      <c r="I443" s="32">
        <v>2.7949999999999999</v>
      </c>
      <c r="J443" s="34">
        <v>88.8</v>
      </c>
      <c r="K443" s="35"/>
      <c r="L443" s="35"/>
      <c r="M443" s="34">
        <f>ROUND(ROUND(J443, 2)*I443, 2)</f>
        <v>248.2</v>
      </c>
      <c r="N443" s="35"/>
      <c r="O443" s="35"/>
      <c r="P443" s="34">
        <v>88.8</v>
      </c>
      <c r="Q443" s="35"/>
      <c r="R443" s="35"/>
      <c r="S443" s="34">
        <f>ROUND(ROUND(P443, 2)*I443, 2)</f>
        <v>248.2</v>
      </c>
      <c r="T443" s="35"/>
      <c r="U443" s="36"/>
      <c r="V443" s="9">
        <f>ROUND(ROUND(P443, 2)/1.2, 2)</f>
        <v>74</v>
      </c>
      <c r="Y443" s="9">
        <f t="shared" si="49"/>
        <v>206.83</v>
      </c>
      <c r="AD443" s="4" t="s">
        <v>1404</v>
      </c>
      <c r="AE443" s="4" t="s">
        <v>1405</v>
      </c>
      <c r="AF443" s="4" t="s">
        <v>436</v>
      </c>
    </row>
    <row r="444" spans="1:35" ht="108" x14ac:dyDescent="0.3">
      <c r="A444" s="25" t="s">
        <v>1406</v>
      </c>
      <c r="B444" s="25"/>
      <c r="C444" s="30" t="s">
        <v>1170</v>
      </c>
      <c r="D444" s="27"/>
      <c r="E444" s="27" t="s">
        <v>1350</v>
      </c>
      <c r="F444" s="31" t="s">
        <v>70</v>
      </c>
      <c r="G444" s="32">
        <v>0.3</v>
      </c>
      <c r="H444" s="27"/>
      <c r="I444" s="32">
        <v>5.5890000000000004</v>
      </c>
      <c r="J444" s="34">
        <v>0</v>
      </c>
      <c r="K444" s="35"/>
      <c r="L444" s="35"/>
      <c r="M444" s="34">
        <f>ROUND(ROUND(J444, 2)*I444, 2)</f>
        <v>0</v>
      </c>
      <c r="N444" s="35"/>
      <c r="O444" s="35"/>
      <c r="P444" s="34">
        <v>0</v>
      </c>
      <c r="Q444" s="35"/>
      <c r="R444" s="35"/>
      <c r="S444" s="34">
        <f>ROUND(ROUND(P444, 2)*I444, 2)</f>
        <v>0</v>
      </c>
      <c r="T444" s="35"/>
      <c r="U444" s="36"/>
      <c r="V444" s="9">
        <f>ROUND(ROUND(P444, 2)/1.2, 2)</f>
        <v>0</v>
      </c>
      <c r="Y444" s="9">
        <f t="shared" si="49"/>
        <v>0</v>
      </c>
      <c r="AD444" s="4" t="s">
        <v>1407</v>
      </c>
      <c r="AE444" s="4" t="s">
        <v>1408</v>
      </c>
      <c r="AF444" s="4" t="s">
        <v>1174</v>
      </c>
    </row>
    <row r="445" spans="1:35" ht="36" x14ac:dyDescent="0.3">
      <c r="A445" s="25" t="s">
        <v>1409</v>
      </c>
      <c r="B445" s="25" t="s">
        <v>1249</v>
      </c>
      <c r="C445" s="26" t="s">
        <v>1250</v>
      </c>
      <c r="D445" s="27"/>
      <c r="E445" s="27" t="s">
        <v>1410</v>
      </c>
      <c r="F445" s="27" t="s">
        <v>64</v>
      </c>
      <c r="G445" s="28">
        <v>1</v>
      </c>
      <c r="H445" s="27"/>
      <c r="I445" s="28">
        <v>390.43</v>
      </c>
      <c r="J445" s="29">
        <f>IFERROR(ROUND(SUM(M446,M447)/I445, 2),0)</f>
        <v>13.32</v>
      </c>
      <c r="K445" s="29">
        <v>428</v>
      </c>
      <c r="L445" s="29">
        <f>J445+ROUND(K445, 2)</f>
        <v>441.32</v>
      </c>
      <c r="M445" s="29">
        <f>ROUND(J445*I445, 2)</f>
        <v>5200.53</v>
      </c>
      <c r="N445" s="29">
        <f>ROUND(I445*ROUND(K445, 2), 2)</f>
        <v>167104.04</v>
      </c>
      <c r="O445" s="29">
        <f>M445+N445</f>
        <v>172304.57</v>
      </c>
      <c r="P445" s="29">
        <f>IFERROR(ROUND(SUM(S446,S447)/I445, 2),0)</f>
        <v>13.32</v>
      </c>
      <c r="Q445" s="29">
        <v>428</v>
      </c>
      <c r="R445" s="29">
        <f>P445+ROUND(Q445, 2)</f>
        <v>441.32</v>
      </c>
      <c r="S445" s="29">
        <f>ROUND(P445*I445, 2)</f>
        <v>5200.53</v>
      </c>
      <c r="T445" s="29">
        <f>ROUND(I445*ROUND(Q445, 2), 2)</f>
        <v>167104.04</v>
      </c>
      <c r="U445" s="29">
        <f>S445+T445</f>
        <v>172304.57</v>
      </c>
      <c r="V445" s="9">
        <f>ROUND(P445 / 1.2, 2)</f>
        <v>11.1</v>
      </c>
      <c r="W445" s="9">
        <f>ROUND(Q445 / 1.2, 2)</f>
        <v>356.67</v>
      </c>
      <c r="X445" s="9">
        <f>ROUND(R445 / 1.2, 2)</f>
        <v>367.77</v>
      </c>
      <c r="Y445" s="9">
        <f t="shared" si="49"/>
        <v>4333.78</v>
      </c>
      <c r="Z445" s="9">
        <f>ROUND(T445 / 1.2, 2)</f>
        <v>139253.37</v>
      </c>
      <c r="AA445" s="9">
        <f>Y445+Z445</f>
        <v>143587.15</v>
      </c>
      <c r="AD445" s="4">
        <v>271132215</v>
      </c>
      <c r="AE445" s="4">
        <v>19992001</v>
      </c>
      <c r="AG445" s="4" t="s">
        <v>1252</v>
      </c>
      <c r="AH445" s="4" t="s">
        <v>1253</v>
      </c>
      <c r="AI445" s="4" t="s">
        <v>67</v>
      </c>
    </row>
    <row r="446" spans="1:35" ht="36" x14ac:dyDescent="0.3">
      <c r="A446" s="25" t="s">
        <v>1411</v>
      </c>
      <c r="B446" s="25"/>
      <c r="C446" s="30" t="s">
        <v>433</v>
      </c>
      <c r="D446" s="27"/>
      <c r="E446" s="27"/>
      <c r="F446" s="31" t="s">
        <v>70</v>
      </c>
      <c r="G446" s="32">
        <v>0.15</v>
      </c>
      <c r="H446" s="27"/>
      <c r="I446" s="32">
        <v>58.564999999999998</v>
      </c>
      <c r="J446" s="34">
        <v>88.8</v>
      </c>
      <c r="K446" s="35"/>
      <c r="L446" s="35"/>
      <c r="M446" s="34">
        <f>ROUND(ROUND(J446, 2)*I446, 2)</f>
        <v>5200.57</v>
      </c>
      <c r="N446" s="35"/>
      <c r="O446" s="35"/>
      <c r="P446" s="34">
        <v>88.8</v>
      </c>
      <c r="Q446" s="35"/>
      <c r="R446" s="35"/>
      <c r="S446" s="34">
        <f>ROUND(ROUND(P446, 2)*I446, 2)</f>
        <v>5200.57</v>
      </c>
      <c r="T446" s="35"/>
      <c r="U446" s="36"/>
      <c r="V446" s="9">
        <f>ROUND(ROUND(P446, 2)/1.2, 2)</f>
        <v>74</v>
      </c>
      <c r="Y446" s="9">
        <f t="shared" si="49"/>
        <v>4333.8100000000004</v>
      </c>
      <c r="AD446" s="4" t="s">
        <v>1412</v>
      </c>
      <c r="AE446" s="4" t="s">
        <v>1413</v>
      </c>
      <c r="AF446" s="4" t="s">
        <v>436</v>
      </c>
    </row>
    <row r="447" spans="1:35" ht="108" x14ac:dyDescent="0.3">
      <c r="A447" s="25" t="s">
        <v>1414</v>
      </c>
      <c r="B447" s="25"/>
      <c r="C447" s="30" t="s">
        <v>1170</v>
      </c>
      <c r="D447" s="27"/>
      <c r="E447" s="27" t="s">
        <v>1323</v>
      </c>
      <c r="F447" s="31" t="s">
        <v>70</v>
      </c>
      <c r="G447" s="32">
        <v>0.3</v>
      </c>
      <c r="H447" s="27"/>
      <c r="I447" s="32">
        <v>117.129</v>
      </c>
      <c r="J447" s="34">
        <v>0</v>
      </c>
      <c r="K447" s="35"/>
      <c r="L447" s="35"/>
      <c r="M447" s="34">
        <f>ROUND(ROUND(J447, 2)*I447, 2)</f>
        <v>0</v>
      </c>
      <c r="N447" s="35"/>
      <c r="O447" s="35"/>
      <c r="P447" s="34">
        <v>0</v>
      </c>
      <c r="Q447" s="35"/>
      <c r="R447" s="35"/>
      <c r="S447" s="34">
        <f>ROUND(ROUND(P447, 2)*I447, 2)</f>
        <v>0</v>
      </c>
      <c r="T447" s="35"/>
      <c r="U447" s="36"/>
      <c r="V447" s="9">
        <f>ROUND(ROUND(P447, 2)/1.2, 2)</f>
        <v>0</v>
      </c>
      <c r="Y447" s="9">
        <f t="shared" si="49"/>
        <v>0</v>
      </c>
      <c r="AD447" s="4" t="s">
        <v>1415</v>
      </c>
      <c r="AE447" s="4" t="s">
        <v>1416</v>
      </c>
      <c r="AF447" s="4" t="s">
        <v>1174</v>
      </c>
    </row>
    <row r="448" spans="1:35" ht="36" x14ac:dyDescent="0.3">
      <c r="A448" s="25" t="s">
        <v>1417</v>
      </c>
      <c r="B448" s="25" t="s">
        <v>1249</v>
      </c>
      <c r="C448" s="26" t="s">
        <v>1250</v>
      </c>
      <c r="D448" s="27"/>
      <c r="E448" s="27" t="s">
        <v>1418</v>
      </c>
      <c r="F448" s="27" t="s">
        <v>64</v>
      </c>
      <c r="G448" s="28">
        <v>1</v>
      </c>
      <c r="H448" s="27"/>
      <c r="I448" s="28">
        <v>2002.74</v>
      </c>
      <c r="J448" s="29">
        <f>IFERROR(ROUND(SUM(M449,M450)/I448, 2),0)</f>
        <v>13.32</v>
      </c>
      <c r="K448" s="29">
        <v>428</v>
      </c>
      <c r="L448" s="29">
        <f>J448+ROUND(K448, 2)</f>
        <v>441.32</v>
      </c>
      <c r="M448" s="29">
        <f>ROUND(J448*I448, 2)</f>
        <v>26676.5</v>
      </c>
      <c r="N448" s="29">
        <f>ROUND(I448*ROUND(K448, 2), 2)</f>
        <v>857172.72</v>
      </c>
      <c r="O448" s="29">
        <f>M448+N448</f>
        <v>883849.22</v>
      </c>
      <c r="P448" s="29">
        <f>IFERROR(ROUND(SUM(S449,S450)/I448, 2),0)</f>
        <v>13.32</v>
      </c>
      <c r="Q448" s="29">
        <v>428</v>
      </c>
      <c r="R448" s="29">
        <f>P448+ROUND(Q448, 2)</f>
        <v>441.32</v>
      </c>
      <c r="S448" s="29">
        <f>ROUND(P448*I448, 2)</f>
        <v>26676.5</v>
      </c>
      <c r="T448" s="29">
        <f>ROUND(I448*ROUND(Q448, 2), 2)</f>
        <v>857172.72</v>
      </c>
      <c r="U448" s="29">
        <f>S448+T448</f>
        <v>883849.22</v>
      </c>
      <c r="V448" s="9">
        <f>ROUND(P448 / 1.2, 2)</f>
        <v>11.1</v>
      </c>
      <c r="W448" s="9">
        <f>ROUND(Q448 / 1.2, 2)</f>
        <v>356.67</v>
      </c>
      <c r="X448" s="9">
        <f>ROUND(R448 / 1.2, 2)</f>
        <v>367.77</v>
      </c>
      <c r="Y448" s="9">
        <f t="shared" si="49"/>
        <v>22230.42</v>
      </c>
      <c r="Z448" s="9">
        <f>ROUND(T448 / 1.2, 2)</f>
        <v>714310.6</v>
      </c>
      <c r="AA448" s="9">
        <f>Y448+Z448</f>
        <v>736541.02</v>
      </c>
      <c r="AD448" s="4">
        <v>271132216</v>
      </c>
      <c r="AE448" s="4">
        <v>19992005</v>
      </c>
      <c r="AG448" s="4" t="s">
        <v>1252</v>
      </c>
      <c r="AH448" s="4" t="s">
        <v>1253</v>
      </c>
      <c r="AI448" s="4" t="s">
        <v>67</v>
      </c>
    </row>
    <row r="449" spans="1:35" ht="36" x14ac:dyDescent="0.3">
      <c r="A449" s="25" t="s">
        <v>1419</v>
      </c>
      <c r="B449" s="25"/>
      <c r="C449" s="30" t="s">
        <v>433</v>
      </c>
      <c r="D449" s="27"/>
      <c r="E449" s="27"/>
      <c r="F449" s="31" t="s">
        <v>70</v>
      </c>
      <c r="G449" s="32">
        <v>0.15</v>
      </c>
      <c r="H449" s="27"/>
      <c r="I449" s="32">
        <v>300.411</v>
      </c>
      <c r="J449" s="34">
        <v>88.8</v>
      </c>
      <c r="K449" s="35"/>
      <c r="L449" s="35"/>
      <c r="M449" s="34">
        <f>ROUND(ROUND(J449, 2)*I449, 2)</f>
        <v>26676.5</v>
      </c>
      <c r="N449" s="35"/>
      <c r="O449" s="35"/>
      <c r="P449" s="34">
        <v>88.8</v>
      </c>
      <c r="Q449" s="35"/>
      <c r="R449" s="35"/>
      <c r="S449" s="34">
        <f>ROUND(ROUND(P449, 2)*I449, 2)</f>
        <v>26676.5</v>
      </c>
      <c r="T449" s="35"/>
      <c r="U449" s="36"/>
      <c r="V449" s="9">
        <f>ROUND(ROUND(P449, 2)/1.2, 2)</f>
        <v>74</v>
      </c>
      <c r="Y449" s="9">
        <f t="shared" si="49"/>
        <v>22230.42</v>
      </c>
      <c r="AD449" s="4" t="s">
        <v>1420</v>
      </c>
      <c r="AE449" s="4" t="s">
        <v>1421</v>
      </c>
      <c r="AF449" s="4" t="s">
        <v>436</v>
      </c>
    </row>
    <row r="450" spans="1:35" ht="126" x14ac:dyDescent="0.3">
      <c r="A450" s="25" t="s">
        <v>1422</v>
      </c>
      <c r="B450" s="25"/>
      <c r="C450" s="30" t="s">
        <v>1185</v>
      </c>
      <c r="D450" s="27"/>
      <c r="E450" s="27" t="s">
        <v>1332</v>
      </c>
      <c r="F450" s="31" t="s">
        <v>70</v>
      </c>
      <c r="G450" s="32">
        <v>0.3</v>
      </c>
      <c r="H450" s="27"/>
      <c r="I450" s="32">
        <v>600.822</v>
      </c>
      <c r="J450" s="34">
        <v>0</v>
      </c>
      <c r="K450" s="35"/>
      <c r="L450" s="35"/>
      <c r="M450" s="34">
        <f>ROUND(ROUND(J450, 2)*I450, 2)</f>
        <v>0</v>
      </c>
      <c r="N450" s="35"/>
      <c r="O450" s="35"/>
      <c r="P450" s="34">
        <v>0</v>
      </c>
      <c r="Q450" s="35"/>
      <c r="R450" s="35"/>
      <c r="S450" s="34">
        <f>ROUND(ROUND(P450, 2)*I450, 2)</f>
        <v>0</v>
      </c>
      <c r="T450" s="35"/>
      <c r="U450" s="36"/>
      <c r="V450" s="9">
        <f>ROUND(ROUND(P450, 2)/1.2, 2)</f>
        <v>0</v>
      </c>
      <c r="Y450" s="9">
        <f t="shared" si="49"/>
        <v>0</v>
      </c>
      <c r="AD450" s="4" t="s">
        <v>1423</v>
      </c>
      <c r="AE450" s="4" t="s">
        <v>1424</v>
      </c>
      <c r="AF450" s="4" t="s">
        <v>1189</v>
      </c>
    </row>
    <row r="451" spans="1:35" ht="36" x14ac:dyDescent="0.3">
      <c r="A451" s="25" t="s">
        <v>1425</v>
      </c>
      <c r="B451" s="25" t="s">
        <v>1249</v>
      </c>
      <c r="C451" s="26" t="s">
        <v>1250</v>
      </c>
      <c r="D451" s="27"/>
      <c r="E451" s="27" t="s">
        <v>1426</v>
      </c>
      <c r="F451" s="27" t="s">
        <v>64</v>
      </c>
      <c r="G451" s="28">
        <v>1</v>
      </c>
      <c r="H451" s="27"/>
      <c r="I451" s="28">
        <v>23.23</v>
      </c>
      <c r="J451" s="29">
        <f>IFERROR(ROUND(SUM(M452,M453)/I451, 2),0)</f>
        <v>13.32</v>
      </c>
      <c r="K451" s="29">
        <v>428</v>
      </c>
      <c r="L451" s="29">
        <f>J451+ROUND(K451, 2)</f>
        <v>441.32</v>
      </c>
      <c r="M451" s="29">
        <f>ROUND(J451*I451, 2)</f>
        <v>309.42</v>
      </c>
      <c r="N451" s="29">
        <f>ROUND(I451*ROUND(K451, 2), 2)</f>
        <v>9942.44</v>
      </c>
      <c r="O451" s="29">
        <f>M451+N451</f>
        <v>10251.86</v>
      </c>
      <c r="P451" s="29">
        <f>IFERROR(ROUND(SUM(S452,S453)/I451, 2),0)</f>
        <v>13.32</v>
      </c>
      <c r="Q451" s="29">
        <v>428</v>
      </c>
      <c r="R451" s="29">
        <f>P451+ROUND(Q451, 2)</f>
        <v>441.32</v>
      </c>
      <c r="S451" s="29">
        <f>ROUND(P451*I451, 2)</f>
        <v>309.42</v>
      </c>
      <c r="T451" s="29">
        <f>ROUND(I451*ROUND(Q451, 2), 2)</f>
        <v>9942.44</v>
      </c>
      <c r="U451" s="29">
        <f>S451+T451</f>
        <v>10251.86</v>
      </c>
      <c r="V451" s="9">
        <f>ROUND(P451 / 1.2, 2)</f>
        <v>11.1</v>
      </c>
      <c r="W451" s="9">
        <f>ROUND(Q451 / 1.2, 2)</f>
        <v>356.67</v>
      </c>
      <c r="X451" s="9">
        <f>ROUND(R451 / 1.2, 2)</f>
        <v>367.77</v>
      </c>
      <c r="Y451" s="9">
        <f t="shared" ref="Y451:Y482" si="50">ROUND(S451 / 1.2, 2)</f>
        <v>257.85000000000002</v>
      </c>
      <c r="Z451" s="9">
        <f>ROUND(T451 / 1.2, 2)</f>
        <v>8285.3700000000008</v>
      </c>
      <c r="AA451" s="9">
        <f>Y451+Z451</f>
        <v>8543.2199999999993</v>
      </c>
      <c r="AD451" s="4">
        <v>271132217</v>
      </c>
      <c r="AE451" s="4">
        <v>19992006</v>
      </c>
      <c r="AG451" s="4" t="s">
        <v>1252</v>
      </c>
      <c r="AH451" s="4" t="s">
        <v>1253</v>
      </c>
      <c r="AI451" s="4" t="s">
        <v>67</v>
      </c>
    </row>
    <row r="452" spans="1:35" ht="36" x14ac:dyDescent="0.3">
      <c r="A452" s="25" t="s">
        <v>1427</v>
      </c>
      <c r="B452" s="25"/>
      <c r="C452" s="30" t="s">
        <v>433</v>
      </c>
      <c r="D452" s="27"/>
      <c r="E452" s="27"/>
      <c r="F452" s="31" t="s">
        <v>70</v>
      </c>
      <c r="G452" s="32">
        <v>0.15</v>
      </c>
      <c r="H452" s="27"/>
      <c r="I452" s="32">
        <v>3.4849999999999999</v>
      </c>
      <c r="J452" s="34">
        <v>88.8</v>
      </c>
      <c r="K452" s="35"/>
      <c r="L452" s="35"/>
      <c r="M452" s="34">
        <f>ROUND(ROUND(J452, 2)*I452, 2)</f>
        <v>309.47000000000003</v>
      </c>
      <c r="N452" s="35"/>
      <c r="O452" s="35"/>
      <c r="P452" s="34">
        <v>88.8</v>
      </c>
      <c r="Q452" s="35"/>
      <c r="R452" s="35"/>
      <c r="S452" s="34">
        <f>ROUND(ROUND(P452, 2)*I452, 2)</f>
        <v>309.47000000000003</v>
      </c>
      <c r="T452" s="35"/>
      <c r="U452" s="36"/>
      <c r="V452" s="9">
        <f>ROUND(ROUND(P452, 2)/1.2, 2)</f>
        <v>74</v>
      </c>
      <c r="Y452" s="9">
        <f t="shared" si="50"/>
        <v>257.89</v>
      </c>
      <c r="AD452" s="4" t="s">
        <v>1428</v>
      </c>
      <c r="AE452" s="4" t="s">
        <v>1429</v>
      </c>
      <c r="AF452" s="4" t="s">
        <v>436</v>
      </c>
    </row>
    <row r="453" spans="1:35" ht="54" x14ac:dyDescent="0.3">
      <c r="A453" s="25" t="s">
        <v>1430</v>
      </c>
      <c r="B453" s="25"/>
      <c r="C453" s="30" t="s">
        <v>1431</v>
      </c>
      <c r="D453" s="27"/>
      <c r="E453" s="27" t="s">
        <v>1432</v>
      </c>
      <c r="F453" s="31" t="s">
        <v>70</v>
      </c>
      <c r="G453" s="32">
        <v>0.3</v>
      </c>
      <c r="H453" s="27"/>
      <c r="I453" s="32">
        <v>6.9690000000000003</v>
      </c>
      <c r="J453" s="34">
        <v>0</v>
      </c>
      <c r="K453" s="35"/>
      <c r="L453" s="35"/>
      <c r="M453" s="34">
        <f>ROUND(ROUND(J453, 2)*I453, 2)</f>
        <v>0</v>
      </c>
      <c r="N453" s="35"/>
      <c r="O453" s="35"/>
      <c r="P453" s="34">
        <v>0</v>
      </c>
      <c r="Q453" s="35"/>
      <c r="R453" s="35"/>
      <c r="S453" s="34">
        <f>ROUND(ROUND(P453, 2)*I453, 2)</f>
        <v>0</v>
      </c>
      <c r="T453" s="35"/>
      <c r="U453" s="36"/>
      <c r="V453" s="9">
        <f>ROUND(ROUND(P453, 2)/1.2, 2)</f>
        <v>0</v>
      </c>
      <c r="Y453" s="9">
        <f t="shared" si="50"/>
        <v>0</v>
      </c>
      <c r="AD453" s="4" t="s">
        <v>1433</v>
      </c>
      <c r="AE453" s="4" t="s">
        <v>1434</v>
      </c>
      <c r="AF453" s="4" t="s">
        <v>1435</v>
      </c>
    </row>
    <row r="454" spans="1:35" ht="36" x14ac:dyDescent="0.3">
      <c r="A454" s="25" t="s">
        <v>1436</v>
      </c>
      <c r="B454" s="25" t="s">
        <v>1249</v>
      </c>
      <c r="C454" s="26" t="s">
        <v>1250</v>
      </c>
      <c r="D454" s="27"/>
      <c r="E454" s="27" t="s">
        <v>1437</v>
      </c>
      <c r="F454" s="27" t="s">
        <v>64</v>
      </c>
      <c r="G454" s="28">
        <v>1</v>
      </c>
      <c r="H454" s="27"/>
      <c r="I454" s="28">
        <v>107.1</v>
      </c>
      <c r="J454" s="29">
        <f>IFERROR(ROUND(SUM(M455,M456)/I454, 2),0)</f>
        <v>13.32</v>
      </c>
      <c r="K454" s="29">
        <v>428</v>
      </c>
      <c r="L454" s="29">
        <f>J454+ROUND(K454, 2)</f>
        <v>441.32</v>
      </c>
      <c r="M454" s="29">
        <f>ROUND(J454*I454, 2)</f>
        <v>1426.57</v>
      </c>
      <c r="N454" s="29">
        <f>ROUND(I454*ROUND(K454, 2), 2)</f>
        <v>45838.8</v>
      </c>
      <c r="O454" s="29">
        <f>M454+N454</f>
        <v>47265.37</v>
      </c>
      <c r="P454" s="29">
        <f>IFERROR(ROUND(SUM(S455,S456)/I454, 2),0)</f>
        <v>13.32</v>
      </c>
      <c r="Q454" s="29">
        <v>428</v>
      </c>
      <c r="R454" s="29">
        <f>P454+ROUND(Q454, 2)</f>
        <v>441.32</v>
      </c>
      <c r="S454" s="29">
        <f>ROUND(P454*I454, 2)</f>
        <v>1426.57</v>
      </c>
      <c r="T454" s="29">
        <f>ROUND(I454*ROUND(Q454, 2), 2)</f>
        <v>45838.8</v>
      </c>
      <c r="U454" s="29">
        <f>S454+T454</f>
        <v>47265.37</v>
      </c>
      <c r="V454" s="9">
        <f>ROUND(P454 / 1.2, 2)</f>
        <v>11.1</v>
      </c>
      <c r="W454" s="9">
        <f>ROUND(Q454 / 1.2, 2)</f>
        <v>356.67</v>
      </c>
      <c r="X454" s="9">
        <f>ROUND(R454 / 1.2, 2)</f>
        <v>367.77</v>
      </c>
      <c r="Y454" s="9">
        <f t="shared" si="50"/>
        <v>1188.81</v>
      </c>
      <c r="Z454" s="9">
        <f>ROUND(T454 / 1.2, 2)</f>
        <v>38199</v>
      </c>
      <c r="AA454" s="9">
        <f>Y454+Z454</f>
        <v>39387.81</v>
      </c>
      <c r="AD454" s="4">
        <v>271132218</v>
      </c>
      <c r="AE454" s="4">
        <v>19992007</v>
      </c>
      <c r="AG454" s="4" t="s">
        <v>1252</v>
      </c>
      <c r="AH454" s="4" t="s">
        <v>1253</v>
      </c>
      <c r="AI454" s="4" t="s">
        <v>67</v>
      </c>
    </row>
    <row r="455" spans="1:35" ht="36" x14ac:dyDescent="0.3">
      <c r="A455" s="25" t="s">
        <v>1438</v>
      </c>
      <c r="B455" s="25"/>
      <c r="C455" s="30" t="s">
        <v>433</v>
      </c>
      <c r="D455" s="27"/>
      <c r="E455" s="27"/>
      <c r="F455" s="31" t="s">
        <v>70</v>
      </c>
      <c r="G455" s="32">
        <v>0.15</v>
      </c>
      <c r="H455" s="27"/>
      <c r="I455" s="32">
        <v>16.065000000000001</v>
      </c>
      <c r="J455" s="34">
        <v>88.8</v>
      </c>
      <c r="K455" s="35"/>
      <c r="L455" s="35"/>
      <c r="M455" s="34">
        <f>ROUND(ROUND(J455, 2)*I455, 2)</f>
        <v>1426.57</v>
      </c>
      <c r="N455" s="35"/>
      <c r="O455" s="35"/>
      <c r="P455" s="34">
        <v>88.8</v>
      </c>
      <c r="Q455" s="35"/>
      <c r="R455" s="35"/>
      <c r="S455" s="34">
        <f>ROUND(ROUND(P455, 2)*I455, 2)</f>
        <v>1426.57</v>
      </c>
      <c r="T455" s="35"/>
      <c r="U455" s="36"/>
      <c r="V455" s="9">
        <f>ROUND(ROUND(P455, 2)/1.2, 2)</f>
        <v>74</v>
      </c>
      <c r="Y455" s="9">
        <f t="shared" si="50"/>
        <v>1188.81</v>
      </c>
      <c r="AD455" s="4" t="s">
        <v>1439</v>
      </c>
      <c r="AE455" s="4" t="s">
        <v>1440</v>
      </c>
      <c r="AF455" s="4" t="s">
        <v>436</v>
      </c>
    </row>
    <row r="456" spans="1:35" ht="90" x14ac:dyDescent="0.3">
      <c r="A456" s="25" t="s">
        <v>1441</v>
      </c>
      <c r="B456" s="25"/>
      <c r="C456" s="30" t="s">
        <v>1170</v>
      </c>
      <c r="D456" s="27"/>
      <c r="E456" s="27" t="s">
        <v>1442</v>
      </c>
      <c r="F456" s="31" t="s">
        <v>70</v>
      </c>
      <c r="G456" s="32">
        <v>0.3</v>
      </c>
      <c r="H456" s="27"/>
      <c r="I456" s="32">
        <v>32.130000000000003</v>
      </c>
      <c r="J456" s="34">
        <v>0</v>
      </c>
      <c r="K456" s="35"/>
      <c r="L456" s="35"/>
      <c r="M456" s="34">
        <f>ROUND(ROUND(J456, 2)*I456, 2)</f>
        <v>0</v>
      </c>
      <c r="N456" s="35"/>
      <c r="O456" s="35"/>
      <c r="P456" s="34">
        <v>0</v>
      </c>
      <c r="Q456" s="35"/>
      <c r="R456" s="35"/>
      <c r="S456" s="34">
        <f>ROUND(ROUND(P456, 2)*I456, 2)</f>
        <v>0</v>
      </c>
      <c r="T456" s="35"/>
      <c r="U456" s="36"/>
      <c r="V456" s="9">
        <f>ROUND(ROUND(P456, 2)/1.2, 2)</f>
        <v>0</v>
      </c>
      <c r="Y456" s="9">
        <f t="shared" si="50"/>
        <v>0</v>
      </c>
      <c r="AD456" s="4" t="s">
        <v>1443</v>
      </c>
      <c r="AE456" s="4" t="s">
        <v>1444</v>
      </c>
      <c r="AF456" s="4" t="s">
        <v>1174</v>
      </c>
    </row>
    <row r="457" spans="1:35" ht="54" x14ac:dyDescent="0.3">
      <c r="A457" s="25" t="s">
        <v>1445</v>
      </c>
      <c r="B457" s="25" t="s">
        <v>1446</v>
      </c>
      <c r="C457" s="26" t="s">
        <v>1447</v>
      </c>
      <c r="D457" s="27"/>
      <c r="E457" s="27" t="s">
        <v>1448</v>
      </c>
      <c r="F457" s="27" t="s">
        <v>64</v>
      </c>
      <c r="G457" s="28">
        <v>1</v>
      </c>
      <c r="H457" s="27"/>
      <c r="I457" s="28">
        <v>205.88</v>
      </c>
      <c r="J457" s="29">
        <f>IFERROR(ROUND(SUM(M458,M459,M460,M461)/I457, 2),0)</f>
        <v>1072.18</v>
      </c>
      <c r="K457" s="29">
        <v>2364</v>
      </c>
      <c r="L457" s="29">
        <f>J457+ROUND(K457, 2)</f>
        <v>3436.18</v>
      </c>
      <c r="M457" s="29">
        <f>ROUND(J457*I457, 2)</f>
        <v>220740.42</v>
      </c>
      <c r="N457" s="29">
        <f>ROUND(I457*ROUND(K457, 2), 2)</f>
        <v>486700.32</v>
      </c>
      <c r="O457" s="29">
        <f>M457+N457</f>
        <v>707440.74</v>
      </c>
      <c r="P457" s="29">
        <f>IFERROR(ROUND(SUM(S458,S459,S460,S461)/I457, 2),0)</f>
        <v>1072.18</v>
      </c>
      <c r="Q457" s="29">
        <v>2364</v>
      </c>
      <c r="R457" s="29">
        <f>P457+ROUND(Q457, 2)</f>
        <v>3436.18</v>
      </c>
      <c r="S457" s="29">
        <f>ROUND(P457*I457, 2)</f>
        <v>220740.42</v>
      </c>
      <c r="T457" s="29">
        <f>ROUND(I457*ROUND(Q457, 2), 2)</f>
        <v>486700.32</v>
      </c>
      <c r="U457" s="29">
        <f>S457+T457</f>
        <v>707440.74</v>
      </c>
      <c r="V457" s="9">
        <f>ROUND(P457 / 1.2, 2)</f>
        <v>893.48</v>
      </c>
      <c r="W457" s="9">
        <f>ROUND(Q457 / 1.2, 2)</f>
        <v>1970</v>
      </c>
      <c r="X457" s="9">
        <f>ROUND(R457 / 1.2, 2)</f>
        <v>2863.48</v>
      </c>
      <c r="Y457" s="9">
        <f t="shared" si="50"/>
        <v>183950.35</v>
      </c>
      <c r="Z457" s="9">
        <f>ROUND(T457 / 1.2, 2)</f>
        <v>405583.6</v>
      </c>
      <c r="AA457" s="9">
        <f>Y457+Z457</f>
        <v>589533.94999999995</v>
      </c>
      <c r="AD457" s="4">
        <v>271132117</v>
      </c>
      <c r="AE457" s="4">
        <v>19977048</v>
      </c>
      <c r="AG457" s="4" t="s">
        <v>1449</v>
      </c>
      <c r="AH457" s="4" t="s">
        <v>1450</v>
      </c>
      <c r="AI457" s="4" t="s">
        <v>67</v>
      </c>
    </row>
    <row r="458" spans="1:35" ht="18" x14ac:dyDescent="0.3">
      <c r="A458" s="25" t="s">
        <v>1451</v>
      </c>
      <c r="B458" s="25"/>
      <c r="C458" s="30" t="s">
        <v>426</v>
      </c>
      <c r="D458" s="27"/>
      <c r="E458" s="27"/>
      <c r="F458" s="31" t="s">
        <v>70</v>
      </c>
      <c r="G458" s="32">
        <v>0.25</v>
      </c>
      <c r="H458" s="27"/>
      <c r="I458" s="33">
        <v>51.47</v>
      </c>
      <c r="J458" s="34">
        <v>40.270000000000003</v>
      </c>
      <c r="K458" s="35"/>
      <c r="L458" s="35"/>
      <c r="M458" s="34">
        <f>ROUND(ROUND(J458, 2)*I458, 2)</f>
        <v>2072.6999999999998</v>
      </c>
      <c r="N458" s="35"/>
      <c r="O458" s="35"/>
      <c r="P458" s="34">
        <v>40.270000000000003</v>
      </c>
      <c r="Q458" s="35"/>
      <c r="R458" s="35"/>
      <c r="S458" s="34">
        <f>ROUND(ROUND(P458, 2)*I458, 2)</f>
        <v>2072.6999999999998</v>
      </c>
      <c r="T458" s="35"/>
      <c r="U458" s="36"/>
      <c r="V458" s="9">
        <f>ROUND(ROUND(P458, 2)/1.2, 2)</f>
        <v>33.56</v>
      </c>
      <c r="Y458" s="9">
        <f t="shared" si="50"/>
        <v>1727.25</v>
      </c>
      <c r="AD458" s="4" t="s">
        <v>1452</v>
      </c>
      <c r="AE458" s="4" t="s">
        <v>1453</v>
      </c>
      <c r="AF458" s="4" t="s">
        <v>429</v>
      </c>
    </row>
    <row r="459" spans="1:35" ht="36" x14ac:dyDescent="0.3">
      <c r="A459" s="25" t="s">
        <v>1454</v>
      </c>
      <c r="B459" s="25"/>
      <c r="C459" s="30" t="s">
        <v>452</v>
      </c>
      <c r="D459" s="27"/>
      <c r="E459" s="27"/>
      <c r="F459" s="31" t="s">
        <v>70</v>
      </c>
      <c r="G459" s="32">
        <v>0.15</v>
      </c>
      <c r="H459" s="27"/>
      <c r="I459" s="32">
        <v>30.882000000000001</v>
      </c>
      <c r="J459" s="34">
        <v>68.400000000000006</v>
      </c>
      <c r="K459" s="35"/>
      <c r="L459" s="35"/>
      <c r="M459" s="34">
        <f>ROUND(ROUND(J459, 2)*I459, 2)</f>
        <v>2112.33</v>
      </c>
      <c r="N459" s="35"/>
      <c r="O459" s="35"/>
      <c r="P459" s="34">
        <v>68.400000000000006</v>
      </c>
      <c r="Q459" s="35"/>
      <c r="R459" s="35"/>
      <c r="S459" s="34">
        <f>ROUND(ROUND(P459, 2)*I459, 2)</f>
        <v>2112.33</v>
      </c>
      <c r="T459" s="35"/>
      <c r="U459" s="36"/>
      <c r="V459" s="9">
        <f>ROUND(ROUND(P459, 2)/1.2, 2)</f>
        <v>57</v>
      </c>
      <c r="Y459" s="9">
        <f t="shared" si="50"/>
        <v>1760.28</v>
      </c>
      <c r="AD459" s="4" t="s">
        <v>1455</v>
      </c>
      <c r="AE459" s="4" t="s">
        <v>1456</v>
      </c>
      <c r="AF459" s="4" t="s">
        <v>456</v>
      </c>
    </row>
    <row r="460" spans="1:35" ht="54" x14ac:dyDescent="0.3">
      <c r="A460" s="25" t="s">
        <v>1457</v>
      </c>
      <c r="B460" s="25"/>
      <c r="C460" s="17" t="s">
        <v>697</v>
      </c>
      <c r="D460" s="27"/>
      <c r="E460" s="27" t="s">
        <v>402</v>
      </c>
      <c r="F460" s="31" t="s">
        <v>70</v>
      </c>
      <c r="G460" s="32">
        <v>1.2</v>
      </c>
      <c r="H460" s="27"/>
      <c r="I460" s="33">
        <v>494.11200000000002</v>
      </c>
      <c r="J460" s="34">
        <v>16.96</v>
      </c>
      <c r="K460" s="35"/>
      <c r="L460" s="35"/>
      <c r="M460" s="34">
        <f>ROUND(ROUND(J460, 2)*I460, 2)</f>
        <v>8380.14</v>
      </c>
      <c r="N460" s="35"/>
      <c r="O460" s="35"/>
      <c r="P460" s="34">
        <v>16.96</v>
      </c>
      <c r="Q460" s="35"/>
      <c r="R460" s="35"/>
      <c r="S460" s="34">
        <f>ROUND(ROUND(P460, 2)*I460, 2)</f>
        <v>8380.14</v>
      </c>
      <c r="T460" s="35"/>
      <c r="U460" s="36"/>
      <c r="V460" s="9">
        <f>ROUND(ROUND(P460, 2)/1.2, 2)</f>
        <v>14.13</v>
      </c>
      <c r="Y460" s="9">
        <f t="shared" si="50"/>
        <v>6983.45</v>
      </c>
      <c r="AD460" s="4" t="s">
        <v>1458</v>
      </c>
      <c r="AE460" s="4" t="s">
        <v>1459</v>
      </c>
      <c r="AF460" s="4" t="s">
        <v>700</v>
      </c>
    </row>
    <row r="461" spans="1:35" ht="36" x14ac:dyDescent="0.3">
      <c r="A461" s="25" t="s">
        <v>1460</v>
      </c>
      <c r="B461" s="25"/>
      <c r="C461" s="17" t="s">
        <v>1461</v>
      </c>
      <c r="D461" s="27"/>
      <c r="E461" s="27" t="s">
        <v>1462</v>
      </c>
      <c r="F461" s="31" t="s">
        <v>64</v>
      </c>
      <c r="G461" s="32">
        <v>1.07</v>
      </c>
      <c r="H461" s="27"/>
      <c r="I461" s="33">
        <v>220.292</v>
      </c>
      <c r="J461" s="34">
        <v>945</v>
      </c>
      <c r="K461" s="35"/>
      <c r="L461" s="35"/>
      <c r="M461" s="34">
        <f>ROUND(ROUND(J461, 2)*I461, 2)</f>
        <v>208175.94</v>
      </c>
      <c r="N461" s="35"/>
      <c r="O461" s="35"/>
      <c r="P461" s="34">
        <v>945</v>
      </c>
      <c r="Q461" s="35"/>
      <c r="R461" s="35"/>
      <c r="S461" s="34">
        <f>ROUND(ROUND(P461, 2)*I461, 2)</f>
        <v>208175.94</v>
      </c>
      <c r="T461" s="35"/>
      <c r="U461" s="36"/>
      <c r="V461" s="9">
        <f>ROUND(ROUND(P461, 2)/1.2, 2)</f>
        <v>787.5</v>
      </c>
      <c r="Y461" s="9">
        <f t="shared" si="50"/>
        <v>173479.95</v>
      </c>
      <c r="AD461" s="4" t="s">
        <v>1463</v>
      </c>
      <c r="AE461" s="4" t="s">
        <v>1464</v>
      </c>
      <c r="AF461" s="4" t="s">
        <v>1465</v>
      </c>
    </row>
    <row r="462" spans="1:35" ht="54" x14ac:dyDescent="0.3">
      <c r="A462" s="25" t="s">
        <v>1466</v>
      </c>
      <c r="B462" s="25" t="s">
        <v>1446</v>
      </c>
      <c r="C462" s="26" t="s">
        <v>1447</v>
      </c>
      <c r="D462" s="27"/>
      <c r="E462" s="27" t="s">
        <v>1467</v>
      </c>
      <c r="F462" s="27" t="s">
        <v>64</v>
      </c>
      <c r="G462" s="28">
        <v>1</v>
      </c>
      <c r="H462" s="27"/>
      <c r="I462" s="28">
        <v>33.03</v>
      </c>
      <c r="J462" s="29">
        <f>IFERROR(ROUND(SUM(M463,M464,M465,M466)/I462, 2),0)</f>
        <v>1542.93</v>
      </c>
      <c r="K462" s="29">
        <v>2364</v>
      </c>
      <c r="L462" s="29">
        <f>J462+ROUND(K462, 2)</f>
        <v>3906.93</v>
      </c>
      <c r="M462" s="29">
        <f>ROUND(J462*I462, 2)</f>
        <v>50962.98</v>
      </c>
      <c r="N462" s="29">
        <f>ROUND(I462*ROUND(K462, 2), 2)</f>
        <v>78082.92</v>
      </c>
      <c r="O462" s="29">
        <f>M462+N462</f>
        <v>129045.9</v>
      </c>
      <c r="P462" s="29">
        <f>IFERROR(ROUND(SUM(S463,S464,S465,S466)/I462, 2),0)</f>
        <v>1542.93</v>
      </c>
      <c r="Q462" s="29">
        <v>2364</v>
      </c>
      <c r="R462" s="29">
        <f>P462+ROUND(Q462, 2)</f>
        <v>3906.93</v>
      </c>
      <c r="S462" s="29">
        <f>ROUND(P462*I462, 2)</f>
        <v>50962.98</v>
      </c>
      <c r="T462" s="29">
        <f>ROUND(I462*ROUND(Q462, 2), 2)</f>
        <v>78082.92</v>
      </c>
      <c r="U462" s="29">
        <f>S462+T462</f>
        <v>129045.9</v>
      </c>
      <c r="V462" s="9">
        <f>ROUND(P462 / 1.2, 2)</f>
        <v>1285.78</v>
      </c>
      <c r="W462" s="9">
        <f>ROUND(Q462 / 1.2, 2)</f>
        <v>1970</v>
      </c>
      <c r="X462" s="9">
        <f>ROUND(R462 / 1.2, 2)</f>
        <v>3255.78</v>
      </c>
      <c r="Y462" s="9">
        <f t="shared" si="50"/>
        <v>42469.15</v>
      </c>
      <c r="Z462" s="9">
        <f>ROUND(T462 / 1.2, 2)</f>
        <v>65069.1</v>
      </c>
      <c r="AA462" s="9">
        <f>Y462+Z462</f>
        <v>107538.25</v>
      </c>
      <c r="AD462" s="4">
        <v>271132219</v>
      </c>
      <c r="AE462" s="4">
        <v>19977049</v>
      </c>
      <c r="AG462" s="4" t="s">
        <v>1449</v>
      </c>
      <c r="AH462" s="4" t="s">
        <v>1450</v>
      </c>
      <c r="AI462" s="4" t="s">
        <v>67</v>
      </c>
    </row>
    <row r="463" spans="1:35" ht="54" x14ac:dyDescent="0.3">
      <c r="A463" s="25" t="s">
        <v>1468</v>
      </c>
      <c r="B463" s="25"/>
      <c r="C463" s="17" t="s">
        <v>676</v>
      </c>
      <c r="D463" s="27"/>
      <c r="E463" s="27" t="s">
        <v>1469</v>
      </c>
      <c r="F463" s="31" t="s">
        <v>64</v>
      </c>
      <c r="G463" s="32">
        <v>1.07</v>
      </c>
      <c r="H463" s="27"/>
      <c r="I463" s="33">
        <v>35.341999999999999</v>
      </c>
      <c r="J463" s="34">
        <v>1384.95</v>
      </c>
      <c r="K463" s="35"/>
      <c r="L463" s="35"/>
      <c r="M463" s="34">
        <f>ROUND(ROUND(J463, 2)*I463, 2)</f>
        <v>48946.9</v>
      </c>
      <c r="N463" s="35"/>
      <c r="O463" s="35"/>
      <c r="P463" s="34">
        <v>1384.95</v>
      </c>
      <c r="Q463" s="35"/>
      <c r="R463" s="35"/>
      <c r="S463" s="34">
        <f>ROUND(ROUND(P463, 2)*I463, 2)</f>
        <v>48946.9</v>
      </c>
      <c r="T463" s="35"/>
      <c r="U463" s="36"/>
      <c r="V463" s="9">
        <f>ROUND(ROUND(P463, 2)/1.2, 2)</f>
        <v>1154.1300000000001</v>
      </c>
      <c r="Y463" s="9">
        <f t="shared" si="50"/>
        <v>40789.08</v>
      </c>
      <c r="AD463" s="4" t="s">
        <v>1470</v>
      </c>
      <c r="AE463" s="4" t="s">
        <v>1471</v>
      </c>
      <c r="AF463" s="4" t="s">
        <v>680</v>
      </c>
    </row>
    <row r="464" spans="1:35" ht="54" x14ac:dyDescent="0.3">
      <c r="A464" s="25" t="s">
        <v>1472</v>
      </c>
      <c r="B464" s="25"/>
      <c r="C464" s="17" t="s">
        <v>697</v>
      </c>
      <c r="D464" s="27"/>
      <c r="E464" s="27" t="s">
        <v>402</v>
      </c>
      <c r="F464" s="31" t="s">
        <v>70</v>
      </c>
      <c r="G464" s="32">
        <v>1.2</v>
      </c>
      <c r="H464" s="27"/>
      <c r="I464" s="33">
        <v>79.272000000000006</v>
      </c>
      <c r="J464" s="34">
        <v>16.96</v>
      </c>
      <c r="K464" s="35"/>
      <c r="L464" s="35"/>
      <c r="M464" s="34">
        <f>ROUND(ROUND(J464, 2)*I464, 2)</f>
        <v>1344.45</v>
      </c>
      <c r="N464" s="35"/>
      <c r="O464" s="35"/>
      <c r="P464" s="34">
        <v>16.96</v>
      </c>
      <c r="Q464" s="35"/>
      <c r="R464" s="35"/>
      <c r="S464" s="34">
        <f>ROUND(ROUND(P464, 2)*I464, 2)</f>
        <v>1344.45</v>
      </c>
      <c r="T464" s="35"/>
      <c r="U464" s="36"/>
      <c r="V464" s="9">
        <f>ROUND(ROUND(P464, 2)/1.2, 2)</f>
        <v>14.13</v>
      </c>
      <c r="Y464" s="9">
        <f t="shared" si="50"/>
        <v>1120.3800000000001</v>
      </c>
      <c r="AD464" s="4" t="s">
        <v>1473</v>
      </c>
      <c r="AE464" s="4" t="s">
        <v>1474</v>
      </c>
      <c r="AF464" s="4" t="s">
        <v>700</v>
      </c>
    </row>
    <row r="465" spans="1:35" ht="36" x14ac:dyDescent="0.3">
      <c r="A465" s="25" t="s">
        <v>1475</v>
      </c>
      <c r="B465" s="25"/>
      <c r="C465" s="30" t="s">
        <v>452</v>
      </c>
      <c r="D465" s="27"/>
      <c r="E465" s="27"/>
      <c r="F465" s="31" t="s">
        <v>70</v>
      </c>
      <c r="G465" s="32">
        <v>0.15</v>
      </c>
      <c r="H465" s="27"/>
      <c r="I465" s="32">
        <v>4.9550000000000001</v>
      </c>
      <c r="J465" s="34">
        <v>68.400000000000006</v>
      </c>
      <c r="K465" s="35"/>
      <c r="L465" s="35"/>
      <c r="M465" s="34">
        <f>ROUND(ROUND(J465, 2)*I465, 2)</f>
        <v>338.92</v>
      </c>
      <c r="N465" s="35"/>
      <c r="O465" s="35"/>
      <c r="P465" s="34">
        <v>68.400000000000006</v>
      </c>
      <c r="Q465" s="35"/>
      <c r="R465" s="35"/>
      <c r="S465" s="34">
        <f>ROUND(ROUND(P465, 2)*I465, 2)</f>
        <v>338.92</v>
      </c>
      <c r="T465" s="35"/>
      <c r="U465" s="36"/>
      <c r="V465" s="9">
        <f>ROUND(ROUND(P465, 2)/1.2, 2)</f>
        <v>57</v>
      </c>
      <c r="Y465" s="9">
        <f t="shared" si="50"/>
        <v>282.43</v>
      </c>
      <c r="AD465" s="4" t="s">
        <v>1476</v>
      </c>
      <c r="AE465" s="4" t="s">
        <v>1477</v>
      </c>
      <c r="AF465" s="4" t="s">
        <v>456</v>
      </c>
    </row>
    <row r="466" spans="1:35" ht="18" x14ac:dyDescent="0.3">
      <c r="A466" s="25" t="s">
        <v>1478</v>
      </c>
      <c r="B466" s="25"/>
      <c r="C466" s="30" t="s">
        <v>426</v>
      </c>
      <c r="D466" s="27"/>
      <c r="E466" s="27"/>
      <c r="F466" s="31" t="s">
        <v>70</v>
      </c>
      <c r="G466" s="32">
        <v>0.25</v>
      </c>
      <c r="H466" s="27"/>
      <c r="I466" s="33">
        <v>8.2579999999999991</v>
      </c>
      <c r="J466" s="34">
        <v>40.270000000000003</v>
      </c>
      <c r="K466" s="35"/>
      <c r="L466" s="35"/>
      <c r="M466" s="34">
        <f>ROUND(ROUND(J466, 2)*I466, 2)</f>
        <v>332.55</v>
      </c>
      <c r="N466" s="35"/>
      <c r="O466" s="35"/>
      <c r="P466" s="34">
        <v>40.270000000000003</v>
      </c>
      <c r="Q466" s="35"/>
      <c r="R466" s="35"/>
      <c r="S466" s="34">
        <f>ROUND(ROUND(P466, 2)*I466, 2)</f>
        <v>332.55</v>
      </c>
      <c r="T466" s="35"/>
      <c r="U466" s="36"/>
      <c r="V466" s="9">
        <f>ROUND(ROUND(P466, 2)/1.2, 2)</f>
        <v>33.56</v>
      </c>
      <c r="Y466" s="9">
        <f t="shared" si="50"/>
        <v>277.13</v>
      </c>
      <c r="AD466" s="4" t="s">
        <v>1479</v>
      </c>
      <c r="AE466" s="4" t="s">
        <v>1480</v>
      </c>
      <c r="AF466" s="4" t="s">
        <v>429</v>
      </c>
    </row>
    <row r="467" spans="1:35" ht="54" x14ac:dyDescent="0.3">
      <c r="A467" s="25" t="s">
        <v>1481</v>
      </c>
      <c r="B467" s="25" t="s">
        <v>1446</v>
      </c>
      <c r="C467" s="26" t="s">
        <v>1447</v>
      </c>
      <c r="D467" s="27"/>
      <c r="E467" s="27" t="s">
        <v>1482</v>
      </c>
      <c r="F467" s="27" t="s">
        <v>64</v>
      </c>
      <c r="G467" s="28">
        <v>1</v>
      </c>
      <c r="H467" s="27"/>
      <c r="I467" s="28">
        <v>55.79</v>
      </c>
      <c r="J467" s="29">
        <f>IFERROR(ROUND(SUM(M468,M469,M470,M471)/I467, 2),0)</f>
        <v>1278.9000000000001</v>
      </c>
      <c r="K467" s="29">
        <v>2364</v>
      </c>
      <c r="L467" s="29">
        <f>J467+ROUND(K467, 2)</f>
        <v>3642.9</v>
      </c>
      <c r="M467" s="29">
        <f>ROUND(J467*I467, 2)</f>
        <v>71349.83</v>
      </c>
      <c r="N467" s="29">
        <f>ROUND(I467*ROUND(K467, 2), 2)</f>
        <v>131887.56</v>
      </c>
      <c r="O467" s="29">
        <f>M467+N467</f>
        <v>203237.39</v>
      </c>
      <c r="P467" s="29">
        <f>IFERROR(ROUND(SUM(S468,S469,S470,S471)/I467, 2),0)</f>
        <v>1278.9000000000001</v>
      </c>
      <c r="Q467" s="29">
        <v>2364</v>
      </c>
      <c r="R467" s="29">
        <f>P467+ROUND(Q467, 2)</f>
        <v>3642.9</v>
      </c>
      <c r="S467" s="29">
        <f>ROUND(P467*I467, 2)</f>
        <v>71349.83</v>
      </c>
      <c r="T467" s="29">
        <f>ROUND(I467*ROUND(Q467, 2), 2)</f>
        <v>131887.56</v>
      </c>
      <c r="U467" s="29">
        <f>S467+T467</f>
        <v>203237.39</v>
      </c>
      <c r="V467" s="9">
        <f>ROUND(P467 / 1.2, 2)</f>
        <v>1065.75</v>
      </c>
      <c r="W467" s="9">
        <f>ROUND(Q467 / 1.2, 2)</f>
        <v>1970</v>
      </c>
      <c r="X467" s="9">
        <f>ROUND(R467 / 1.2, 2)</f>
        <v>3035.75</v>
      </c>
      <c r="Y467" s="9">
        <f t="shared" si="50"/>
        <v>59458.19</v>
      </c>
      <c r="Z467" s="9">
        <f>ROUND(T467 / 1.2, 2)</f>
        <v>109906.3</v>
      </c>
      <c r="AA467" s="9">
        <f>Y467+Z467</f>
        <v>169364.49</v>
      </c>
      <c r="AD467" s="4">
        <v>271132220</v>
      </c>
      <c r="AE467" s="4">
        <v>19977050</v>
      </c>
      <c r="AG467" s="4" t="s">
        <v>1449</v>
      </c>
      <c r="AH467" s="4" t="s">
        <v>1450</v>
      </c>
      <c r="AI467" s="4" t="s">
        <v>67</v>
      </c>
    </row>
    <row r="468" spans="1:35" ht="36" x14ac:dyDescent="0.3">
      <c r="A468" s="25" t="s">
        <v>1483</v>
      </c>
      <c r="B468" s="25"/>
      <c r="C468" s="17" t="s">
        <v>1484</v>
      </c>
      <c r="D468" s="27"/>
      <c r="E468" s="27" t="s">
        <v>1485</v>
      </c>
      <c r="F468" s="31" t="s">
        <v>64</v>
      </c>
      <c r="G468" s="32">
        <v>1.07</v>
      </c>
      <c r="H468" s="27"/>
      <c r="I468" s="33">
        <v>59.695</v>
      </c>
      <c r="J468" s="34">
        <v>1138.2</v>
      </c>
      <c r="K468" s="35"/>
      <c r="L468" s="35"/>
      <c r="M468" s="34">
        <f>ROUND(ROUND(J468, 2)*I468, 2)</f>
        <v>67944.850000000006</v>
      </c>
      <c r="N468" s="35"/>
      <c r="O468" s="35"/>
      <c r="P468" s="34">
        <v>1138.2</v>
      </c>
      <c r="Q468" s="35"/>
      <c r="R468" s="35"/>
      <c r="S468" s="34">
        <f>ROUND(ROUND(P468, 2)*I468, 2)</f>
        <v>67944.850000000006</v>
      </c>
      <c r="T468" s="35"/>
      <c r="U468" s="36"/>
      <c r="V468" s="9">
        <f>ROUND(ROUND(P468, 2)/1.2, 2)</f>
        <v>948.5</v>
      </c>
      <c r="Y468" s="9">
        <f t="shared" si="50"/>
        <v>56620.71</v>
      </c>
      <c r="AD468" s="4" t="s">
        <v>1486</v>
      </c>
      <c r="AE468" s="4" t="s">
        <v>1487</v>
      </c>
      <c r="AF468" s="4" t="s">
        <v>1488</v>
      </c>
    </row>
    <row r="469" spans="1:35" ht="54" x14ac:dyDescent="0.3">
      <c r="A469" s="25" t="s">
        <v>1489</v>
      </c>
      <c r="B469" s="25"/>
      <c r="C469" s="17" t="s">
        <v>697</v>
      </c>
      <c r="D469" s="27"/>
      <c r="E469" s="27" t="s">
        <v>402</v>
      </c>
      <c r="F469" s="31" t="s">
        <v>70</v>
      </c>
      <c r="G469" s="32">
        <v>1.2</v>
      </c>
      <c r="H469" s="27"/>
      <c r="I469" s="33">
        <v>133.89599999999999</v>
      </c>
      <c r="J469" s="34">
        <v>16.96</v>
      </c>
      <c r="K469" s="35"/>
      <c r="L469" s="35"/>
      <c r="M469" s="34">
        <f>ROUND(ROUND(J469, 2)*I469, 2)</f>
        <v>2270.88</v>
      </c>
      <c r="N469" s="35"/>
      <c r="O469" s="35"/>
      <c r="P469" s="34">
        <v>16.96</v>
      </c>
      <c r="Q469" s="35"/>
      <c r="R469" s="35"/>
      <c r="S469" s="34">
        <f>ROUND(ROUND(P469, 2)*I469, 2)</f>
        <v>2270.88</v>
      </c>
      <c r="T469" s="35"/>
      <c r="U469" s="36"/>
      <c r="V469" s="9">
        <f>ROUND(ROUND(P469, 2)/1.2, 2)</f>
        <v>14.13</v>
      </c>
      <c r="Y469" s="9">
        <f t="shared" si="50"/>
        <v>1892.4</v>
      </c>
      <c r="AD469" s="4" t="s">
        <v>1490</v>
      </c>
      <c r="AE469" s="4" t="s">
        <v>1491</v>
      </c>
      <c r="AF469" s="4" t="s">
        <v>700</v>
      </c>
    </row>
    <row r="470" spans="1:35" ht="36" x14ac:dyDescent="0.3">
      <c r="A470" s="25" t="s">
        <v>1492</v>
      </c>
      <c r="B470" s="25"/>
      <c r="C470" s="30" t="s">
        <v>452</v>
      </c>
      <c r="D470" s="27"/>
      <c r="E470" s="27"/>
      <c r="F470" s="31" t="s">
        <v>70</v>
      </c>
      <c r="G470" s="32">
        <v>0.15</v>
      </c>
      <c r="H470" s="27"/>
      <c r="I470" s="32">
        <v>8.3689999999999998</v>
      </c>
      <c r="J470" s="34">
        <v>68.400000000000006</v>
      </c>
      <c r="K470" s="35"/>
      <c r="L470" s="35"/>
      <c r="M470" s="34">
        <f>ROUND(ROUND(J470, 2)*I470, 2)</f>
        <v>572.44000000000005</v>
      </c>
      <c r="N470" s="35"/>
      <c r="O470" s="35"/>
      <c r="P470" s="34">
        <v>68.400000000000006</v>
      </c>
      <c r="Q470" s="35"/>
      <c r="R470" s="35"/>
      <c r="S470" s="34">
        <f>ROUND(ROUND(P470, 2)*I470, 2)</f>
        <v>572.44000000000005</v>
      </c>
      <c r="T470" s="35"/>
      <c r="U470" s="36"/>
      <c r="V470" s="9">
        <f>ROUND(ROUND(P470, 2)/1.2, 2)</f>
        <v>57</v>
      </c>
      <c r="Y470" s="9">
        <f t="shared" si="50"/>
        <v>477.03</v>
      </c>
      <c r="AD470" s="4" t="s">
        <v>1493</v>
      </c>
      <c r="AE470" s="4" t="s">
        <v>1494</v>
      </c>
      <c r="AF470" s="4" t="s">
        <v>456</v>
      </c>
    </row>
    <row r="471" spans="1:35" ht="18" x14ac:dyDescent="0.3">
      <c r="A471" s="25" t="s">
        <v>1495</v>
      </c>
      <c r="B471" s="25"/>
      <c r="C471" s="30" t="s">
        <v>426</v>
      </c>
      <c r="D471" s="27"/>
      <c r="E471" s="27"/>
      <c r="F471" s="31" t="s">
        <v>70</v>
      </c>
      <c r="G471" s="32">
        <v>0.25</v>
      </c>
      <c r="H471" s="27"/>
      <c r="I471" s="33">
        <v>13.948</v>
      </c>
      <c r="J471" s="34">
        <v>40.270000000000003</v>
      </c>
      <c r="K471" s="35"/>
      <c r="L471" s="35"/>
      <c r="M471" s="34">
        <f>ROUND(ROUND(J471, 2)*I471, 2)</f>
        <v>561.69000000000005</v>
      </c>
      <c r="N471" s="35"/>
      <c r="O471" s="35"/>
      <c r="P471" s="34">
        <v>40.270000000000003</v>
      </c>
      <c r="Q471" s="35"/>
      <c r="R471" s="35"/>
      <c r="S471" s="34">
        <f>ROUND(ROUND(P471, 2)*I471, 2)</f>
        <v>561.69000000000005</v>
      </c>
      <c r="T471" s="35"/>
      <c r="U471" s="36"/>
      <c r="V471" s="9">
        <f>ROUND(ROUND(P471, 2)/1.2, 2)</f>
        <v>33.56</v>
      </c>
      <c r="Y471" s="9">
        <f t="shared" si="50"/>
        <v>468.08</v>
      </c>
      <c r="AD471" s="4" t="s">
        <v>1496</v>
      </c>
      <c r="AE471" s="4" t="s">
        <v>1497</v>
      </c>
      <c r="AF471" s="4" t="s">
        <v>429</v>
      </c>
    </row>
    <row r="472" spans="1:35" ht="54" x14ac:dyDescent="0.3">
      <c r="A472" s="25" t="s">
        <v>1498</v>
      </c>
      <c r="B472" s="25" t="s">
        <v>1446</v>
      </c>
      <c r="C472" s="26" t="s">
        <v>1447</v>
      </c>
      <c r="D472" s="27"/>
      <c r="E472" s="27" t="s">
        <v>1499</v>
      </c>
      <c r="F472" s="27" t="s">
        <v>64</v>
      </c>
      <c r="G472" s="28">
        <v>1</v>
      </c>
      <c r="H472" s="27"/>
      <c r="I472" s="28">
        <v>5.65</v>
      </c>
      <c r="J472" s="29">
        <f>IFERROR(ROUND(SUM(M473,M474,M475)/I472, 2),0)</f>
        <v>1141.78</v>
      </c>
      <c r="K472" s="29">
        <v>2364</v>
      </c>
      <c r="L472" s="29">
        <f>J472+ROUND(K472, 2)</f>
        <v>3505.78</v>
      </c>
      <c r="M472" s="29">
        <f>ROUND(J472*I472, 2)</f>
        <v>6451.06</v>
      </c>
      <c r="N472" s="29">
        <f>ROUND(I472*ROUND(K472, 2), 2)</f>
        <v>13356.6</v>
      </c>
      <c r="O472" s="29">
        <f>M472+N472</f>
        <v>19807.66</v>
      </c>
      <c r="P472" s="29">
        <f>IFERROR(ROUND(SUM(S473,S474,S475)/I472, 2),0)</f>
        <v>1141.78</v>
      </c>
      <c r="Q472" s="29">
        <v>2364</v>
      </c>
      <c r="R472" s="29">
        <f>P472+ROUND(Q472, 2)</f>
        <v>3505.78</v>
      </c>
      <c r="S472" s="29">
        <f>ROUND(P472*I472, 2)</f>
        <v>6451.06</v>
      </c>
      <c r="T472" s="29">
        <f>ROUND(I472*ROUND(Q472, 2), 2)</f>
        <v>13356.6</v>
      </c>
      <c r="U472" s="29">
        <f>S472+T472</f>
        <v>19807.66</v>
      </c>
      <c r="V472" s="9">
        <f>ROUND(P472 / 1.2, 2)</f>
        <v>951.48</v>
      </c>
      <c r="W472" s="9">
        <f>ROUND(Q472 / 1.2, 2)</f>
        <v>1970</v>
      </c>
      <c r="X472" s="9">
        <f>ROUND(R472 / 1.2, 2)</f>
        <v>2921.48</v>
      </c>
      <c r="Y472" s="9">
        <f t="shared" si="50"/>
        <v>5375.88</v>
      </c>
      <c r="Z472" s="9">
        <f>ROUND(T472 / 1.2, 2)</f>
        <v>11130.5</v>
      </c>
      <c r="AA472" s="9">
        <f>Y472+Z472</f>
        <v>16506.38</v>
      </c>
      <c r="AD472" s="4">
        <v>271132221</v>
      </c>
      <c r="AE472" s="4">
        <v>19977051</v>
      </c>
      <c r="AG472" s="4" t="s">
        <v>1449</v>
      </c>
      <c r="AH472" s="4" t="s">
        <v>1450</v>
      </c>
      <c r="AI472" s="4" t="s">
        <v>67</v>
      </c>
    </row>
    <row r="473" spans="1:35" ht="36" x14ac:dyDescent="0.3">
      <c r="A473" s="25" t="s">
        <v>1500</v>
      </c>
      <c r="B473" s="25"/>
      <c r="C473" s="17" t="s">
        <v>1501</v>
      </c>
      <c r="D473" s="27"/>
      <c r="E473" s="27" t="s">
        <v>1502</v>
      </c>
      <c r="F473" s="31" t="s">
        <v>64</v>
      </c>
      <c r="G473" s="32">
        <v>1.07</v>
      </c>
      <c r="H473" s="27"/>
      <c r="I473" s="33">
        <v>6.0460000000000003</v>
      </c>
      <c r="J473" s="34">
        <v>1019.55</v>
      </c>
      <c r="K473" s="35"/>
      <c r="L473" s="35"/>
      <c r="M473" s="34">
        <f>ROUND(ROUND(J473, 2)*I473, 2)</f>
        <v>6164.2</v>
      </c>
      <c r="N473" s="35"/>
      <c r="O473" s="35"/>
      <c r="P473" s="34">
        <v>1019.55</v>
      </c>
      <c r="Q473" s="35"/>
      <c r="R473" s="35"/>
      <c r="S473" s="34">
        <f>ROUND(ROUND(P473, 2)*I473, 2)</f>
        <v>6164.2</v>
      </c>
      <c r="T473" s="35"/>
      <c r="U473" s="36"/>
      <c r="V473" s="9">
        <f>ROUND(ROUND(P473, 2)/1.2, 2)</f>
        <v>849.63</v>
      </c>
      <c r="Y473" s="9">
        <f t="shared" si="50"/>
        <v>5136.83</v>
      </c>
      <c r="AD473" s="4" t="s">
        <v>1503</v>
      </c>
      <c r="AE473" s="4" t="s">
        <v>1504</v>
      </c>
      <c r="AF473" s="4" t="s">
        <v>1505</v>
      </c>
    </row>
    <row r="474" spans="1:35" ht="54" x14ac:dyDescent="0.3">
      <c r="A474" s="25" t="s">
        <v>1506</v>
      </c>
      <c r="B474" s="25"/>
      <c r="C474" s="17" t="s">
        <v>697</v>
      </c>
      <c r="D474" s="27"/>
      <c r="E474" s="27" t="s">
        <v>402</v>
      </c>
      <c r="F474" s="31" t="s">
        <v>70</v>
      </c>
      <c r="G474" s="32">
        <v>1.2</v>
      </c>
      <c r="H474" s="27"/>
      <c r="I474" s="33">
        <v>13.56</v>
      </c>
      <c r="J474" s="34">
        <v>16.96</v>
      </c>
      <c r="K474" s="35"/>
      <c r="L474" s="35"/>
      <c r="M474" s="34">
        <f>ROUND(ROUND(J474, 2)*I474, 2)</f>
        <v>229.98</v>
      </c>
      <c r="N474" s="35"/>
      <c r="O474" s="35"/>
      <c r="P474" s="34">
        <v>16.96</v>
      </c>
      <c r="Q474" s="35"/>
      <c r="R474" s="35"/>
      <c r="S474" s="34">
        <f>ROUND(ROUND(P474, 2)*I474, 2)</f>
        <v>229.98</v>
      </c>
      <c r="T474" s="35"/>
      <c r="U474" s="36"/>
      <c r="V474" s="9">
        <f>ROUND(ROUND(P474, 2)/1.2, 2)</f>
        <v>14.13</v>
      </c>
      <c r="Y474" s="9">
        <f t="shared" si="50"/>
        <v>191.65</v>
      </c>
      <c r="AD474" s="4" t="s">
        <v>1507</v>
      </c>
      <c r="AE474" s="4" t="s">
        <v>1508</v>
      </c>
      <c r="AF474" s="4" t="s">
        <v>700</v>
      </c>
    </row>
    <row r="475" spans="1:35" ht="18" x14ac:dyDescent="0.3">
      <c r="A475" s="25" t="s">
        <v>1509</v>
      </c>
      <c r="B475" s="25"/>
      <c r="C475" s="30" t="s">
        <v>426</v>
      </c>
      <c r="D475" s="27"/>
      <c r="E475" s="27"/>
      <c r="F475" s="31" t="s">
        <v>70</v>
      </c>
      <c r="G475" s="32">
        <v>0.25</v>
      </c>
      <c r="H475" s="27"/>
      <c r="I475" s="33">
        <v>1.413</v>
      </c>
      <c r="J475" s="34">
        <v>40.270000000000003</v>
      </c>
      <c r="K475" s="35"/>
      <c r="L475" s="35"/>
      <c r="M475" s="34">
        <f>ROUND(ROUND(J475, 2)*I475, 2)</f>
        <v>56.9</v>
      </c>
      <c r="N475" s="35"/>
      <c r="O475" s="35"/>
      <c r="P475" s="34">
        <v>40.270000000000003</v>
      </c>
      <c r="Q475" s="35"/>
      <c r="R475" s="35"/>
      <c r="S475" s="34">
        <f>ROUND(ROUND(P475, 2)*I475, 2)</f>
        <v>56.9</v>
      </c>
      <c r="T475" s="35"/>
      <c r="U475" s="36"/>
      <c r="V475" s="9">
        <f>ROUND(ROUND(P475, 2)/1.2, 2)</f>
        <v>33.56</v>
      </c>
      <c r="Y475" s="9">
        <f t="shared" si="50"/>
        <v>47.42</v>
      </c>
      <c r="AD475" s="4" t="s">
        <v>1510</v>
      </c>
      <c r="AE475" s="4" t="s">
        <v>1511</v>
      </c>
      <c r="AF475" s="4" t="s">
        <v>429</v>
      </c>
    </row>
    <row r="476" spans="1:35" ht="54" x14ac:dyDescent="0.3">
      <c r="A476" s="25" t="s">
        <v>1512</v>
      </c>
      <c r="B476" s="25" t="s">
        <v>1446</v>
      </c>
      <c r="C476" s="26" t="s">
        <v>1447</v>
      </c>
      <c r="D476" s="27"/>
      <c r="E476" s="27" t="s">
        <v>1513</v>
      </c>
      <c r="F476" s="27" t="s">
        <v>64</v>
      </c>
      <c r="G476" s="28">
        <v>1</v>
      </c>
      <c r="H476" s="27"/>
      <c r="I476" s="28">
        <v>8.18</v>
      </c>
      <c r="J476" s="29">
        <f>IFERROR(ROUND(SUM(M477,M478,M479,M480)/I476, 2),0)</f>
        <v>1278.96</v>
      </c>
      <c r="K476" s="29">
        <v>2364</v>
      </c>
      <c r="L476" s="29">
        <f>J476+ROUND(K476, 2)</f>
        <v>3642.96</v>
      </c>
      <c r="M476" s="29">
        <f>ROUND(J476*I476, 2)</f>
        <v>10461.89</v>
      </c>
      <c r="N476" s="29">
        <f>ROUND(I476*ROUND(K476, 2), 2)</f>
        <v>19337.52</v>
      </c>
      <c r="O476" s="29">
        <f>M476+N476</f>
        <v>29799.41</v>
      </c>
      <c r="P476" s="29">
        <f>IFERROR(ROUND(SUM(S477,S478,S479,S480)/I476, 2),0)</f>
        <v>1278.96</v>
      </c>
      <c r="Q476" s="29">
        <v>2364</v>
      </c>
      <c r="R476" s="29">
        <f>P476+ROUND(Q476, 2)</f>
        <v>3642.96</v>
      </c>
      <c r="S476" s="29">
        <f>ROUND(P476*I476, 2)</f>
        <v>10461.89</v>
      </c>
      <c r="T476" s="29">
        <f>ROUND(I476*ROUND(Q476, 2), 2)</f>
        <v>19337.52</v>
      </c>
      <c r="U476" s="29">
        <f>S476+T476</f>
        <v>29799.41</v>
      </c>
      <c r="V476" s="9">
        <f>ROUND(P476 / 1.2, 2)</f>
        <v>1065.8</v>
      </c>
      <c r="W476" s="9">
        <f>ROUND(Q476 / 1.2, 2)</f>
        <v>1970</v>
      </c>
      <c r="X476" s="9">
        <f>ROUND(R476 / 1.2, 2)</f>
        <v>3035.8</v>
      </c>
      <c r="Y476" s="9">
        <f t="shared" si="50"/>
        <v>8718.24</v>
      </c>
      <c r="Z476" s="9">
        <f>ROUND(T476 / 1.2, 2)</f>
        <v>16114.6</v>
      </c>
      <c r="AA476" s="9">
        <f>Y476+Z476</f>
        <v>24832.84</v>
      </c>
      <c r="AD476" s="4">
        <v>271132222</v>
      </c>
      <c r="AE476" s="4">
        <v>19977052</v>
      </c>
      <c r="AG476" s="4" t="s">
        <v>1449</v>
      </c>
      <c r="AH476" s="4" t="s">
        <v>1450</v>
      </c>
      <c r="AI476" s="4" t="s">
        <v>67</v>
      </c>
    </row>
    <row r="477" spans="1:35" ht="54" x14ac:dyDescent="0.3">
      <c r="A477" s="25" t="s">
        <v>1514</v>
      </c>
      <c r="B477" s="25"/>
      <c r="C477" s="17" t="s">
        <v>1484</v>
      </c>
      <c r="D477" s="27"/>
      <c r="E477" s="27" t="s">
        <v>1515</v>
      </c>
      <c r="F477" s="31" t="s">
        <v>64</v>
      </c>
      <c r="G477" s="32">
        <v>1.07</v>
      </c>
      <c r="H477" s="27"/>
      <c r="I477" s="33">
        <v>8.7530000000000001</v>
      </c>
      <c r="J477" s="34">
        <v>1138.2</v>
      </c>
      <c r="K477" s="35"/>
      <c r="L477" s="35"/>
      <c r="M477" s="34">
        <f>ROUND(ROUND(J477, 2)*I477, 2)</f>
        <v>9962.66</v>
      </c>
      <c r="N477" s="35"/>
      <c r="O477" s="35"/>
      <c r="P477" s="34">
        <v>1138.2</v>
      </c>
      <c r="Q477" s="35"/>
      <c r="R477" s="35"/>
      <c r="S477" s="34">
        <f>ROUND(ROUND(P477, 2)*I477, 2)</f>
        <v>9962.66</v>
      </c>
      <c r="T477" s="35"/>
      <c r="U477" s="36"/>
      <c r="V477" s="9">
        <f>ROUND(ROUND(P477, 2)/1.2, 2)</f>
        <v>948.5</v>
      </c>
      <c r="Y477" s="9">
        <f t="shared" si="50"/>
        <v>8302.2199999999993</v>
      </c>
      <c r="AD477" s="4" t="s">
        <v>1516</v>
      </c>
      <c r="AE477" s="4" t="s">
        <v>1517</v>
      </c>
      <c r="AF477" s="4" t="s">
        <v>1488</v>
      </c>
    </row>
    <row r="478" spans="1:35" ht="54" x14ac:dyDescent="0.3">
      <c r="A478" s="25" t="s">
        <v>1518</v>
      </c>
      <c r="B478" s="25"/>
      <c r="C478" s="17" t="s">
        <v>697</v>
      </c>
      <c r="D478" s="27"/>
      <c r="E478" s="27" t="s">
        <v>402</v>
      </c>
      <c r="F478" s="31" t="s">
        <v>70</v>
      </c>
      <c r="G478" s="32">
        <v>1.2</v>
      </c>
      <c r="H478" s="27"/>
      <c r="I478" s="33">
        <v>19.632000000000001</v>
      </c>
      <c r="J478" s="34">
        <v>16.96</v>
      </c>
      <c r="K478" s="35"/>
      <c r="L478" s="35"/>
      <c r="M478" s="34">
        <f>ROUND(ROUND(J478, 2)*I478, 2)</f>
        <v>332.96</v>
      </c>
      <c r="N478" s="35"/>
      <c r="O478" s="35"/>
      <c r="P478" s="34">
        <v>16.96</v>
      </c>
      <c r="Q478" s="35"/>
      <c r="R478" s="35"/>
      <c r="S478" s="34">
        <f>ROUND(ROUND(P478, 2)*I478, 2)</f>
        <v>332.96</v>
      </c>
      <c r="T478" s="35"/>
      <c r="U478" s="36"/>
      <c r="V478" s="9">
        <f>ROUND(ROUND(P478, 2)/1.2, 2)</f>
        <v>14.13</v>
      </c>
      <c r="Y478" s="9">
        <f t="shared" si="50"/>
        <v>277.47000000000003</v>
      </c>
      <c r="AD478" s="4" t="s">
        <v>1519</v>
      </c>
      <c r="AE478" s="4" t="s">
        <v>1520</v>
      </c>
      <c r="AF478" s="4" t="s">
        <v>700</v>
      </c>
    </row>
    <row r="479" spans="1:35" ht="36" x14ac:dyDescent="0.3">
      <c r="A479" s="25" t="s">
        <v>1521</v>
      </c>
      <c r="B479" s="25"/>
      <c r="C479" s="30" t="s">
        <v>452</v>
      </c>
      <c r="D479" s="27"/>
      <c r="E479" s="27"/>
      <c r="F479" s="31" t="s">
        <v>70</v>
      </c>
      <c r="G479" s="32">
        <v>0.15</v>
      </c>
      <c r="H479" s="27"/>
      <c r="I479" s="32">
        <v>1.2270000000000001</v>
      </c>
      <c r="J479" s="34">
        <v>68.400000000000006</v>
      </c>
      <c r="K479" s="35"/>
      <c r="L479" s="35"/>
      <c r="M479" s="34">
        <f>ROUND(ROUND(J479, 2)*I479, 2)</f>
        <v>83.93</v>
      </c>
      <c r="N479" s="35"/>
      <c r="O479" s="35"/>
      <c r="P479" s="34">
        <v>68.400000000000006</v>
      </c>
      <c r="Q479" s="35"/>
      <c r="R479" s="35"/>
      <c r="S479" s="34">
        <f>ROUND(ROUND(P479, 2)*I479, 2)</f>
        <v>83.93</v>
      </c>
      <c r="T479" s="35"/>
      <c r="U479" s="36"/>
      <c r="V479" s="9">
        <f>ROUND(ROUND(P479, 2)/1.2, 2)</f>
        <v>57</v>
      </c>
      <c r="Y479" s="9">
        <f t="shared" si="50"/>
        <v>69.94</v>
      </c>
      <c r="AD479" s="4" t="s">
        <v>1522</v>
      </c>
      <c r="AE479" s="4" t="s">
        <v>1523</v>
      </c>
      <c r="AF479" s="4" t="s">
        <v>456</v>
      </c>
    </row>
    <row r="480" spans="1:35" ht="18" x14ac:dyDescent="0.3">
      <c r="A480" s="25" t="s">
        <v>1524</v>
      </c>
      <c r="B480" s="25"/>
      <c r="C480" s="30" t="s">
        <v>426</v>
      </c>
      <c r="D480" s="27"/>
      <c r="E480" s="27"/>
      <c r="F480" s="31" t="s">
        <v>70</v>
      </c>
      <c r="G480" s="32">
        <v>0.25</v>
      </c>
      <c r="H480" s="27"/>
      <c r="I480" s="33">
        <v>2.0449999999999999</v>
      </c>
      <c r="J480" s="34">
        <v>40.270000000000003</v>
      </c>
      <c r="K480" s="35"/>
      <c r="L480" s="35"/>
      <c r="M480" s="34">
        <f>ROUND(ROUND(J480, 2)*I480, 2)</f>
        <v>82.35</v>
      </c>
      <c r="N480" s="35"/>
      <c r="O480" s="35"/>
      <c r="P480" s="34">
        <v>40.270000000000003</v>
      </c>
      <c r="Q480" s="35"/>
      <c r="R480" s="35"/>
      <c r="S480" s="34">
        <f>ROUND(ROUND(P480, 2)*I480, 2)</f>
        <v>82.35</v>
      </c>
      <c r="T480" s="35"/>
      <c r="U480" s="36"/>
      <c r="V480" s="9">
        <f>ROUND(ROUND(P480, 2)/1.2, 2)</f>
        <v>33.56</v>
      </c>
      <c r="Y480" s="9">
        <f t="shared" si="50"/>
        <v>68.63</v>
      </c>
      <c r="AD480" s="4" t="s">
        <v>1525</v>
      </c>
      <c r="AE480" s="4" t="s">
        <v>1526</v>
      </c>
      <c r="AF480" s="4" t="s">
        <v>429</v>
      </c>
    </row>
    <row r="481" spans="1:35" ht="54" x14ac:dyDescent="0.3">
      <c r="A481" s="25" t="s">
        <v>1527</v>
      </c>
      <c r="B481" s="25" t="s">
        <v>1446</v>
      </c>
      <c r="C481" s="26" t="s">
        <v>1447</v>
      </c>
      <c r="D481" s="27"/>
      <c r="E481" s="27" t="s">
        <v>1528</v>
      </c>
      <c r="F481" s="27" t="s">
        <v>64</v>
      </c>
      <c r="G481" s="28">
        <v>1</v>
      </c>
      <c r="H481" s="27"/>
      <c r="I481" s="28">
        <v>175.58</v>
      </c>
      <c r="J481" s="29">
        <f>IFERROR(ROUND(SUM(M482,M483,M484)/I481, 2),0)</f>
        <v>1532.67</v>
      </c>
      <c r="K481" s="29">
        <v>2364</v>
      </c>
      <c r="L481" s="29">
        <f>J481+ROUND(K481, 2)</f>
        <v>3896.67</v>
      </c>
      <c r="M481" s="29">
        <f>ROUND(J481*I481, 2)</f>
        <v>269106.2</v>
      </c>
      <c r="N481" s="29">
        <f>ROUND(I481*ROUND(K481, 2), 2)</f>
        <v>415071.12</v>
      </c>
      <c r="O481" s="29">
        <f>M481+N481</f>
        <v>684177.32</v>
      </c>
      <c r="P481" s="29">
        <f>IFERROR(ROUND(SUM(S482,S483,S484)/I481, 2),0)</f>
        <v>1532.67</v>
      </c>
      <c r="Q481" s="29">
        <v>2364</v>
      </c>
      <c r="R481" s="29">
        <f>P481+ROUND(Q481, 2)</f>
        <v>3896.67</v>
      </c>
      <c r="S481" s="29">
        <f>ROUND(P481*I481, 2)</f>
        <v>269106.2</v>
      </c>
      <c r="T481" s="29">
        <f>ROUND(I481*ROUND(Q481, 2), 2)</f>
        <v>415071.12</v>
      </c>
      <c r="U481" s="29">
        <f>S481+T481</f>
        <v>684177.32</v>
      </c>
      <c r="V481" s="9">
        <f>ROUND(P481 / 1.2, 2)</f>
        <v>1277.23</v>
      </c>
      <c r="W481" s="9">
        <f>ROUND(Q481 / 1.2, 2)</f>
        <v>1970</v>
      </c>
      <c r="X481" s="9">
        <f>ROUND(R481 / 1.2, 2)</f>
        <v>3247.23</v>
      </c>
      <c r="Y481" s="9">
        <f t="shared" si="50"/>
        <v>224255.17</v>
      </c>
      <c r="Z481" s="9">
        <f>ROUND(T481 / 1.2, 2)</f>
        <v>345892.6</v>
      </c>
      <c r="AA481" s="9">
        <f>Y481+Z481</f>
        <v>570147.77</v>
      </c>
      <c r="AD481" s="4">
        <v>271132223</v>
      </c>
      <c r="AE481" s="4">
        <v>19977069</v>
      </c>
      <c r="AG481" s="4" t="s">
        <v>1449</v>
      </c>
      <c r="AH481" s="4" t="s">
        <v>1450</v>
      </c>
      <c r="AI481" s="4" t="s">
        <v>67</v>
      </c>
    </row>
    <row r="482" spans="1:35" ht="36" x14ac:dyDescent="0.3">
      <c r="A482" s="25" t="s">
        <v>1529</v>
      </c>
      <c r="B482" s="25"/>
      <c r="C482" s="17" t="s">
        <v>676</v>
      </c>
      <c r="D482" s="27"/>
      <c r="E482" s="27" t="s">
        <v>1530</v>
      </c>
      <c r="F482" s="31" t="s">
        <v>64</v>
      </c>
      <c r="G482" s="32">
        <v>1.07</v>
      </c>
      <c r="H482" s="27"/>
      <c r="I482" s="33">
        <v>187.87100000000001</v>
      </c>
      <c r="J482" s="34">
        <v>1384.95</v>
      </c>
      <c r="K482" s="35"/>
      <c r="L482" s="35"/>
      <c r="M482" s="34">
        <f>ROUND(ROUND(J482, 2)*I482, 2)</f>
        <v>260191.94</v>
      </c>
      <c r="N482" s="35"/>
      <c r="O482" s="35"/>
      <c r="P482" s="34">
        <v>1384.95</v>
      </c>
      <c r="Q482" s="35"/>
      <c r="R482" s="35"/>
      <c r="S482" s="34">
        <f>ROUND(ROUND(P482, 2)*I482, 2)</f>
        <v>260191.94</v>
      </c>
      <c r="T482" s="35"/>
      <c r="U482" s="36"/>
      <c r="V482" s="9">
        <f>ROUND(ROUND(P482, 2)/1.2, 2)</f>
        <v>1154.1300000000001</v>
      </c>
      <c r="Y482" s="9">
        <f t="shared" si="50"/>
        <v>216826.62</v>
      </c>
      <c r="AD482" s="4" t="s">
        <v>1531</v>
      </c>
      <c r="AE482" s="4" t="s">
        <v>1532</v>
      </c>
      <c r="AF482" s="4" t="s">
        <v>680</v>
      </c>
    </row>
    <row r="483" spans="1:35" ht="54" x14ac:dyDescent="0.3">
      <c r="A483" s="25" t="s">
        <v>1533</v>
      </c>
      <c r="B483" s="25"/>
      <c r="C483" s="17" t="s">
        <v>697</v>
      </c>
      <c r="D483" s="27"/>
      <c r="E483" s="27" t="s">
        <v>402</v>
      </c>
      <c r="F483" s="31" t="s">
        <v>70</v>
      </c>
      <c r="G483" s="32">
        <v>1.2</v>
      </c>
      <c r="H483" s="27"/>
      <c r="I483" s="33">
        <v>421.392</v>
      </c>
      <c r="J483" s="34">
        <v>16.96</v>
      </c>
      <c r="K483" s="35"/>
      <c r="L483" s="35"/>
      <c r="M483" s="34">
        <f>ROUND(ROUND(J483, 2)*I483, 2)</f>
        <v>7146.81</v>
      </c>
      <c r="N483" s="35"/>
      <c r="O483" s="35"/>
      <c r="P483" s="34">
        <v>16.96</v>
      </c>
      <c r="Q483" s="35"/>
      <c r="R483" s="35"/>
      <c r="S483" s="34">
        <f>ROUND(ROUND(P483, 2)*I483, 2)</f>
        <v>7146.81</v>
      </c>
      <c r="T483" s="35"/>
      <c r="U483" s="36"/>
      <c r="V483" s="9">
        <f>ROUND(ROUND(P483, 2)/1.2, 2)</f>
        <v>14.13</v>
      </c>
      <c r="Y483" s="9">
        <f t="shared" ref="Y483:Y514" si="51">ROUND(S483 / 1.2, 2)</f>
        <v>5955.68</v>
      </c>
      <c r="AD483" s="4" t="s">
        <v>1534</v>
      </c>
      <c r="AE483" s="4" t="s">
        <v>1535</v>
      </c>
      <c r="AF483" s="4" t="s">
        <v>700</v>
      </c>
    </row>
    <row r="484" spans="1:35" ht="18" x14ac:dyDescent="0.3">
      <c r="A484" s="25" t="s">
        <v>1536</v>
      </c>
      <c r="B484" s="25"/>
      <c r="C484" s="30" t="s">
        <v>426</v>
      </c>
      <c r="D484" s="27"/>
      <c r="E484" s="27"/>
      <c r="F484" s="31" t="s">
        <v>70</v>
      </c>
      <c r="G484" s="32">
        <v>0.25</v>
      </c>
      <c r="H484" s="27"/>
      <c r="I484" s="33">
        <v>43.895000000000003</v>
      </c>
      <c r="J484" s="34">
        <v>40.270000000000003</v>
      </c>
      <c r="K484" s="35"/>
      <c r="L484" s="35"/>
      <c r="M484" s="34">
        <f>ROUND(ROUND(J484, 2)*I484, 2)</f>
        <v>1767.65</v>
      </c>
      <c r="N484" s="35"/>
      <c r="O484" s="35"/>
      <c r="P484" s="34">
        <v>40.270000000000003</v>
      </c>
      <c r="Q484" s="35"/>
      <c r="R484" s="35"/>
      <c r="S484" s="34">
        <f>ROUND(ROUND(P484, 2)*I484, 2)</f>
        <v>1767.65</v>
      </c>
      <c r="T484" s="35"/>
      <c r="U484" s="36"/>
      <c r="V484" s="9">
        <f>ROUND(ROUND(P484, 2)/1.2, 2)</f>
        <v>33.56</v>
      </c>
      <c r="Y484" s="9">
        <f t="shared" si="51"/>
        <v>1473.04</v>
      </c>
      <c r="AD484" s="4" t="s">
        <v>1537</v>
      </c>
      <c r="AE484" s="4" t="s">
        <v>1538</v>
      </c>
      <c r="AF484" s="4" t="s">
        <v>429</v>
      </c>
    </row>
    <row r="485" spans="1:35" ht="54" x14ac:dyDescent="0.3">
      <c r="A485" s="25" t="s">
        <v>1539</v>
      </c>
      <c r="B485" s="25" t="s">
        <v>1446</v>
      </c>
      <c r="C485" s="26" t="s">
        <v>1447</v>
      </c>
      <c r="D485" s="27"/>
      <c r="E485" s="27" t="s">
        <v>1540</v>
      </c>
      <c r="F485" s="27" t="s">
        <v>64</v>
      </c>
      <c r="G485" s="28">
        <v>1</v>
      </c>
      <c r="H485" s="27"/>
      <c r="I485" s="28">
        <v>400.4</v>
      </c>
      <c r="J485" s="29">
        <f>IFERROR(ROUND(SUM(M486,M487,M488,M489,M490)/I485, 2),0)</f>
        <v>1538.96</v>
      </c>
      <c r="K485" s="29">
        <v>2364</v>
      </c>
      <c r="L485" s="29">
        <f>J485+ROUND(K485, 2)</f>
        <v>3902.96</v>
      </c>
      <c r="M485" s="29">
        <f>ROUND(J485*I485, 2)</f>
        <v>616199.57999999996</v>
      </c>
      <c r="N485" s="29">
        <f>ROUND(I485*ROUND(K485, 2), 2)</f>
        <v>946545.6</v>
      </c>
      <c r="O485" s="29">
        <f>M485+N485</f>
        <v>1562745.18</v>
      </c>
      <c r="P485" s="29">
        <f>IFERROR(ROUND(SUM(S486,S487,S488,S489,S490)/I485, 2),0)</f>
        <v>1538.96</v>
      </c>
      <c r="Q485" s="29">
        <v>2364</v>
      </c>
      <c r="R485" s="29">
        <f>P485+ROUND(Q485, 2)</f>
        <v>3902.96</v>
      </c>
      <c r="S485" s="29">
        <f>ROUND(P485*I485, 2)</f>
        <v>616199.57999999996</v>
      </c>
      <c r="T485" s="29">
        <f>ROUND(I485*ROUND(Q485, 2), 2)</f>
        <v>946545.6</v>
      </c>
      <c r="U485" s="29">
        <f>S485+T485</f>
        <v>1562745.18</v>
      </c>
      <c r="V485" s="9">
        <f>ROUND(P485 / 1.2, 2)</f>
        <v>1282.47</v>
      </c>
      <c r="W485" s="9">
        <f>ROUND(Q485 / 1.2, 2)</f>
        <v>1970</v>
      </c>
      <c r="X485" s="9">
        <f>ROUND(R485 / 1.2, 2)</f>
        <v>3252.47</v>
      </c>
      <c r="Y485" s="9">
        <f t="shared" si="51"/>
        <v>513499.65</v>
      </c>
      <c r="Z485" s="9">
        <f>ROUND(T485 / 1.2, 2)</f>
        <v>788788</v>
      </c>
      <c r="AA485" s="9">
        <f>Y485+Z485</f>
        <v>1302287.6499999999</v>
      </c>
      <c r="AD485" s="4">
        <v>271132224</v>
      </c>
      <c r="AE485" s="4">
        <v>19977067</v>
      </c>
      <c r="AG485" s="4" t="s">
        <v>1449</v>
      </c>
      <c r="AH485" s="4" t="s">
        <v>1450</v>
      </c>
      <c r="AI485" s="4" t="s">
        <v>67</v>
      </c>
    </row>
    <row r="486" spans="1:35" ht="54" x14ac:dyDescent="0.3">
      <c r="A486" s="25" t="s">
        <v>1541</v>
      </c>
      <c r="B486" s="25"/>
      <c r="C486" s="17" t="s">
        <v>676</v>
      </c>
      <c r="D486" s="27"/>
      <c r="E486" s="27" t="s">
        <v>1542</v>
      </c>
      <c r="F486" s="31" t="s">
        <v>64</v>
      </c>
      <c r="G486" s="32">
        <v>1.07</v>
      </c>
      <c r="H486" s="27"/>
      <c r="I486" s="33">
        <v>428.428</v>
      </c>
      <c r="J486" s="34">
        <v>1384.95</v>
      </c>
      <c r="K486" s="35"/>
      <c r="L486" s="35"/>
      <c r="M486" s="34">
        <f>ROUND(ROUND(J486, 2)*I486, 2)</f>
        <v>593351.36</v>
      </c>
      <c r="N486" s="35"/>
      <c r="O486" s="35"/>
      <c r="P486" s="34">
        <v>1384.95</v>
      </c>
      <c r="Q486" s="35"/>
      <c r="R486" s="35"/>
      <c r="S486" s="34">
        <f>ROUND(ROUND(P486, 2)*I486, 2)</f>
        <v>593351.36</v>
      </c>
      <c r="T486" s="35"/>
      <c r="U486" s="36"/>
      <c r="V486" s="9">
        <f>ROUND(ROUND(P486, 2)/1.2, 2)</f>
        <v>1154.1300000000001</v>
      </c>
      <c r="Y486" s="9">
        <f t="shared" si="51"/>
        <v>494459.47</v>
      </c>
      <c r="AD486" s="4" t="s">
        <v>1543</v>
      </c>
      <c r="AE486" s="4" t="s">
        <v>1544</v>
      </c>
      <c r="AF486" s="4" t="s">
        <v>680</v>
      </c>
    </row>
    <row r="487" spans="1:35" ht="54" x14ac:dyDescent="0.3">
      <c r="A487" s="25" t="s">
        <v>1545</v>
      </c>
      <c r="B487" s="25"/>
      <c r="C487" s="17" t="s">
        <v>1546</v>
      </c>
      <c r="D487" s="27"/>
      <c r="E487" s="27" t="s">
        <v>1547</v>
      </c>
      <c r="F487" s="31" t="s">
        <v>87</v>
      </c>
      <c r="G487" s="32">
        <v>0.23</v>
      </c>
      <c r="H487" s="27"/>
      <c r="I487" s="33">
        <v>12.537000000000001</v>
      </c>
      <c r="J487" s="34">
        <v>96.24</v>
      </c>
      <c r="K487" s="35"/>
      <c r="L487" s="35"/>
      <c r="M487" s="34">
        <f>ROUND(ROUND(J487, 2)*I487, 2)</f>
        <v>1206.56</v>
      </c>
      <c r="N487" s="35"/>
      <c r="O487" s="35"/>
      <c r="P487" s="34">
        <v>96.24</v>
      </c>
      <c r="Q487" s="35"/>
      <c r="R487" s="35"/>
      <c r="S487" s="34">
        <f>ROUND(ROUND(P487, 2)*I487, 2)</f>
        <v>1206.56</v>
      </c>
      <c r="T487" s="35"/>
      <c r="U487" s="36"/>
      <c r="V487" s="9">
        <f>ROUND(ROUND(P487, 2)/1.2, 2)</f>
        <v>80.2</v>
      </c>
      <c r="Y487" s="9">
        <f t="shared" si="51"/>
        <v>1005.47</v>
      </c>
      <c r="AD487" s="4" t="s">
        <v>1548</v>
      </c>
      <c r="AE487" s="4" t="s">
        <v>1549</v>
      </c>
      <c r="AF487" s="4" t="s">
        <v>1550</v>
      </c>
    </row>
    <row r="488" spans="1:35" ht="54" x14ac:dyDescent="0.3">
      <c r="A488" s="25" t="s">
        <v>1551</v>
      </c>
      <c r="B488" s="25"/>
      <c r="C488" s="30" t="s">
        <v>1086</v>
      </c>
      <c r="D488" s="27"/>
      <c r="E488" s="27" t="s">
        <v>1552</v>
      </c>
      <c r="F488" s="31" t="s">
        <v>87</v>
      </c>
      <c r="G488" s="32">
        <v>0.23</v>
      </c>
      <c r="H488" s="27"/>
      <c r="I488" s="33">
        <v>13.444000000000001</v>
      </c>
      <c r="J488" s="34">
        <v>97.71</v>
      </c>
      <c r="K488" s="35"/>
      <c r="L488" s="35"/>
      <c r="M488" s="34">
        <f>ROUND(ROUND(J488, 2)*I488, 2)</f>
        <v>1313.61</v>
      </c>
      <c r="N488" s="35"/>
      <c r="O488" s="35"/>
      <c r="P488" s="34">
        <v>97.71</v>
      </c>
      <c r="Q488" s="35"/>
      <c r="R488" s="35"/>
      <c r="S488" s="34">
        <f>ROUND(ROUND(P488, 2)*I488, 2)</f>
        <v>1313.61</v>
      </c>
      <c r="T488" s="35"/>
      <c r="U488" s="36"/>
      <c r="V488" s="9">
        <f>ROUND(ROUND(P488, 2)/1.2, 2)</f>
        <v>81.430000000000007</v>
      </c>
      <c r="Y488" s="9">
        <f t="shared" si="51"/>
        <v>1094.68</v>
      </c>
      <c r="AD488" s="4" t="s">
        <v>1553</v>
      </c>
      <c r="AE488" s="4" t="s">
        <v>1554</v>
      </c>
      <c r="AF488" s="4" t="s">
        <v>1089</v>
      </c>
    </row>
    <row r="489" spans="1:35" ht="54" x14ac:dyDescent="0.3">
      <c r="A489" s="25" t="s">
        <v>1555</v>
      </c>
      <c r="B489" s="25"/>
      <c r="C489" s="17" t="s">
        <v>697</v>
      </c>
      <c r="D489" s="27"/>
      <c r="E489" s="27" t="s">
        <v>402</v>
      </c>
      <c r="F489" s="31" t="s">
        <v>70</v>
      </c>
      <c r="G489" s="32">
        <v>1.2</v>
      </c>
      <c r="H489" s="27"/>
      <c r="I489" s="33">
        <v>960.96</v>
      </c>
      <c r="J489" s="34">
        <v>16.96</v>
      </c>
      <c r="K489" s="35"/>
      <c r="L489" s="35"/>
      <c r="M489" s="34">
        <f>ROUND(ROUND(J489, 2)*I489, 2)</f>
        <v>16297.88</v>
      </c>
      <c r="N489" s="35"/>
      <c r="O489" s="35"/>
      <c r="P489" s="34">
        <v>16.96</v>
      </c>
      <c r="Q489" s="35"/>
      <c r="R489" s="35"/>
      <c r="S489" s="34">
        <f>ROUND(ROUND(P489, 2)*I489, 2)</f>
        <v>16297.88</v>
      </c>
      <c r="T489" s="35"/>
      <c r="U489" s="36"/>
      <c r="V489" s="9">
        <f>ROUND(ROUND(P489, 2)/1.2, 2)</f>
        <v>14.13</v>
      </c>
      <c r="Y489" s="9">
        <f t="shared" si="51"/>
        <v>13581.57</v>
      </c>
      <c r="AD489" s="4" t="s">
        <v>1556</v>
      </c>
      <c r="AE489" s="4" t="s">
        <v>1557</v>
      </c>
      <c r="AF489" s="4" t="s">
        <v>700</v>
      </c>
    </row>
    <row r="490" spans="1:35" ht="18" x14ac:dyDescent="0.3">
      <c r="A490" s="25" t="s">
        <v>1558</v>
      </c>
      <c r="B490" s="25"/>
      <c r="C490" s="30" t="s">
        <v>1123</v>
      </c>
      <c r="D490" s="27"/>
      <c r="E490" s="27" t="s">
        <v>1559</v>
      </c>
      <c r="F490" s="31" t="s">
        <v>70</v>
      </c>
      <c r="G490" s="32">
        <v>0.25</v>
      </c>
      <c r="H490" s="27"/>
      <c r="I490" s="33">
        <v>100.1</v>
      </c>
      <c r="J490" s="34">
        <v>40.270000000000003</v>
      </c>
      <c r="K490" s="35"/>
      <c r="L490" s="35"/>
      <c r="M490" s="34">
        <f>ROUND(ROUND(J490, 2)*I490, 2)</f>
        <v>4031.03</v>
      </c>
      <c r="N490" s="35"/>
      <c r="O490" s="35"/>
      <c r="P490" s="34">
        <v>40.270000000000003</v>
      </c>
      <c r="Q490" s="35"/>
      <c r="R490" s="35"/>
      <c r="S490" s="34">
        <f>ROUND(ROUND(P490, 2)*I490, 2)</f>
        <v>4031.03</v>
      </c>
      <c r="T490" s="35"/>
      <c r="U490" s="36"/>
      <c r="V490" s="9">
        <f>ROUND(ROUND(P490, 2)/1.2, 2)</f>
        <v>33.56</v>
      </c>
      <c r="Y490" s="9">
        <f t="shared" si="51"/>
        <v>3359.19</v>
      </c>
      <c r="AD490" s="4" t="s">
        <v>1560</v>
      </c>
      <c r="AE490" s="4" t="s">
        <v>1561</v>
      </c>
      <c r="AF490" s="4" t="s">
        <v>1127</v>
      </c>
    </row>
    <row r="491" spans="1:35" ht="54" x14ac:dyDescent="0.3">
      <c r="A491" s="25" t="s">
        <v>1562</v>
      </c>
      <c r="B491" s="25" t="s">
        <v>1446</v>
      </c>
      <c r="C491" s="26" t="s">
        <v>1447</v>
      </c>
      <c r="D491" s="27"/>
      <c r="E491" s="27" t="s">
        <v>1563</v>
      </c>
      <c r="F491" s="27" t="s">
        <v>64</v>
      </c>
      <c r="G491" s="28">
        <v>1</v>
      </c>
      <c r="H491" s="27"/>
      <c r="I491" s="28">
        <v>158.19</v>
      </c>
      <c r="J491" s="29">
        <f>IFERROR(ROUND(SUM(M492,M493,M494,M495,M496)/I491, 2),0)</f>
        <v>1077.02</v>
      </c>
      <c r="K491" s="29">
        <v>2364</v>
      </c>
      <c r="L491" s="29">
        <f>J491+ROUND(K491, 2)</f>
        <v>3441.02</v>
      </c>
      <c r="M491" s="29">
        <f>ROUND(J491*I491, 2)</f>
        <v>170373.79</v>
      </c>
      <c r="N491" s="29">
        <f>ROUND(I491*ROUND(K491, 2), 2)</f>
        <v>373961.16</v>
      </c>
      <c r="O491" s="29">
        <f>M491+N491</f>
        <v>544334.94999999995</v>
      </c>
      <c r="P491" s="29">
        <f>IFERROR(ROUND(SUM(S492,S493,S494,S495,S496)/I491, 2),0)</f>
        <v>1077.02</v>
      </c>
      <c r="Q491" s="29">
        <v>2364</v>
      </c>
      <c r="R491" s="29">
        <f>P491+ROUND(Q491, 2)</f>
        <v>3441.02</v>
      </c>
      <c r="S491" s="29">
        <f>ROUND(P491*I491, 2)</f>
        <v>170373.79</v>
      </c>
      <c r="T491" s="29">
        <f>ROUND(I491*ROUND(Q491, 2), 2)</f>
        <v>373961.16</v>
      </c>
      <c r="U491" s="29">
        <f>S491+T491</f>
        <v>544334.94999999995</v>
      </c>
      <c r="V491" s="9">
        <f>ROUND(P491 / 1.2, 2)</f>
        <v>897.52</v>
      </c>
      <c r="W491" s="9">
        <f>ROUND(Q491 / 1.2, 2)</f>
        <v>1970</v>
      </c>
      <c r="X491" s="9">
        <f>ROUND(R491 / 1.2, 2)</f>
        <v>2867.52</v>
      </c>
      <c r="Y491" s="9">
        <f t="shared" si="51"/>
        <v>141978.16</v>
      </c>
      <c r="Z491" s="9">
        <f>ROUND(T491 / 1.2, 2)</f>
        <v>311634.3</v>
      </c>
      <c r="AA491" s="9">
        <f>Y491+Z491</f>
        <v>453612.46</v>
      </c>
      <c r="AD491" s="4">
        <v>271132225</v>
      </c>
      <c r="AE491" s="4">
        <v>19988233</v>
      </c>
      <c r="AG491" s="4" t="s">
        <v>1449</v>
      </c>
      <c r="AH491" s="4" t="s">
        <v>1450</v>
      </c>
      <c r="AI491" s="4" t="s">
        <v>67</v>
      </c>
    </row>
    <row r="492" spans="1:35" ht="54" x14ac:dyDescent="0.3">
      <c r="A492" s="25" t="s">
        <v>1564</v>
      </c>
      <c r="B492" s="25"/>
      <c r="C492" s="17" t="s">
        <v>1461</v>
      </c>
      <c r="D492" s="27"/>
      <c r="E492" s="27" t="s">
        <v>1565</v>
      </c>
      <c r="F492" s="31" t="s">
        <v>64</v>
      </c>
      <c r="G492" s="32">
        <v>1.07</v>
      </c>
      <c r="H492" s="27"/>
      <c r="I492" s="33">
        <v>169.26300000000001</v>
      </c>
      <c r="J492" s="34">
        <v>945</v>
      </c>
      <c r="K492" s="35"/>
      <c r="L492" s="35"/>
      <c r="M492" s="34">
        <f>ROUND(ROUND(J492, 2)*I492, 2)</f>
        <v>159953.54</v>
      </c>
      <c r="N492" s="35"/>
      <c r="O492" s="35"/>
      <c r="P492" s="34">
        <v>945</v>
      </c>
      <c r="Q492" s="35"/>
      <c r="R492" s="35"/>
      <c r="S492" s="34">
        <f>ROUND(ROUND(P492, 2)*I492, 2)</f>
        <v>159953.54</v>
      </c>
      <c r="T492" s="35"/>
      <c r="U492" s="36"/>
      <c r="V492" s="9">
        <f>ROUND(ROUND(P492, 2)/1.2, 2)</f>
        <v>787.5</v>
      </c>
      <c r="Y492" s="9">
        <f t="shared" si="51"/>
        <v>133294.62</v>
      </c>
      <c r="AD492" s="4" t="s">
        <v>1566</v>
      </c>
      <c r="AE492" s="4" t="s">
        <v>1567</v>
      </c>
      <c r="AF492" s="4" t="s">
        <v>1465</v>
      </c>
    </row>
    <row r="493" spans="1:35" ht="72" x14ac:dyDescent="0.3">
      <c r="A493" s="25" t="s">
        <v>1568</v>
      </c>
      <c r="B493" s="25"/>
      <c r="C493" s="17" t="s">
        <v>1546</v>
      </c>
      <c r="D493" s="27"/>
      <c r="E493" s="27" t="s">
        <v>1569</v>
      </c>
      <c r="F493" s="31" t="s">
        <v>87</v>
      </c>
      <c r="G493" s="32">
        <v>0.23</v>
      </c>
      <c r="H493" s="27"/>
      <c r="I493" s="33">
        <v>7.9489999999999998</v>
      </c>
      <c r="J493" s="34">
        <v>96.24</v>
      </c>
      <c r="K493" s="35"/>
      <c r="L493" s="35"/>
      <c r="M493" s="34">
        <f>ROUND(ROUND(J493, 2)*I493, 2)</f>
        <v>765.01</v>
      </c>
      <c r="N493" s="35"/>
      <c r="O493" s="35"/>
      <c r="P493" s="34">
        <v>96.24</v>
      </c>
      <c r="Q493" s="35"/>
      <c r="R493" s="35"/>
      <c r="S493" s="34">
        <f>ROUND(ROUND(P493, 2)*I493, 2)</f>
        <v>765.01</v>
      </c>
      <c r="T493" s="35"/>
      <c r="U493" s="36"/>
      <c r="V493" s="9">
        <f>ROUND(ROUND(P493, 2)/1.2, 2)</f>
        <v>80.2</v>
      </c>
      <c r="Y493" s="9">
        <f t="shared" si="51"/>
        <v>637.51</v>
      </c>
      <c r="AD493" s="4" t="s">
        <v>1570</v>
      </c>
      <c r="AE493" s="4" t="s">
        <v>1571</v>
      </c>
      <c r="AF493" s="4" t="s">
        <v>1550</v>
      </c>
    </row>
    <row r="494" spans="1:35" ht="54" x14ac:dyDescent="0.3">
      <c r="A494" s="25" t="s">
        <v>1572</v>
      </c>
      <c r="B494" s="25"/>
      <c r="C494" s="17" t="s">
        <v>697</v>
      </c>
      <c r="D494" s="27"/>
      <c r="E494" s="27" t="s">
        <v>402</v>
      </c>
      <c r="F494" s="31" t="s">
        <v>70</v>
      </c>
      <c r="G494" s="32">
        <v>1.2</v>
      </c>
      <c r="H494" s="27"/>
      <c r="I494" s="33">
        <v>379.65600000000001</v>
      </c>
      <c r="J494" s="34">
        <v>16.96</v>
      </c>
      <c r="K494" s="35"/>
      <c r="L494" s="35"/>
      <c r="M494" s="34">
        <f>ROUND(ROUND(J494, 2)*I494, 2)</f>
        <v>6438.97</v>
      </c>
      <c r="N494" s="35"/>
      <c r="O494" s="35"/>
      <c r="P494" s="34">
        <v>16.96</v>
      </c>
      <c r="Q494" s="35"/>
      <c r="R494" s="35"/>
      <c r="S494" s="34">
        <f>ROUND(ROUND(P494, 2)*I494, 2)</f>
        <v>6438.97</v>
      </c>
      <c r="T494" s="35"/>
      <c r="U494" s="36"/>
      <c r="V494" s="9">
        <f>ROUND(ROUND(P494, 2)/1.2, 2)</f>
        <v>14.13</v>
      </c>
      <c r="Y494" s="9">
        <f t="shared" si="51"/>
        <v>5365.81</v>
      </c>
      <c r="AD494" s="4" t="s">
        <v>1573</v>
      </c>
      <c r="AE494" s="4" t="s">
        <v>1574</v>
      </c>
      <c r="AF494" s="4" t="s">
        <v>700</v>
      </c>
    </row>
    <row r="495" spans="1:35" ht="36" x14ac:dyDescent="0.3">
      <c r="A495" s="25" t="s">
        <v>1575</v>
      </c>
      <c r="B495" s="25"/>
      <c r="C495" s="30" t="s">
        <v>452</v>
      </c>
      <c r="D495" s="27"/>
      <c r="E495" s="27"/>
      <c r="F495" s="31" t="s">
        <v>70</v>
      </c>
      <c r="G495" s="32">
        <v>0.15</v>
      </c>
      <c r="H495" s="27"/>
      <c r="I495" s="32">
        <v>23.728999999999999</v>
      </c>
      <c r="J495" s="34">
        <v>68.400000000000006</v>
      </c>
      <c r="K495" s="35"/>
      <c r="L495" s="35"/>
      <c r="M495" s="34">
        <f>ROUND(ROUND(J495, 2)*I495, 2)</f>
        <v>1623.06</v>
      </c>
      <c r="N495" s="35"/>
      <c r="O495" s="35"/>
      <c r="P495" s="34">
        <v>68.400000000000006</v>
      </c>
      <c r="Q495" s="35"/>
      <c r="R495" s="35"/>
      <c r="S495" s="34">
        <f>ROUND(ROUND(P495, 2)*I495, 2)</f>
        <v>1623.06</v>
      </c>
      <c r="T495" s="35"/>
      <c r="U495" s="36"/>
      <c r="V495" s="9">
        <f>ROUND(ROUND(P495, 2)/1.2, 2)</f>
        <v>57</v>
      </c>
      <c r="Y495" s="9">
        <f t="shared" si="51"/>
        <v>1352.55</v>
      </c>
      <c r="AD495" s="4" t="s">
        <v>1576</v>
      </c>
      <c r="AE495" s="4" t="s">
        <v>1577</v>
      </c>
      <c r="AF495" s="4" t="s">
        <v>456</v>
      </c>
    </row>
    <row r="496" spans="1:35" ht="18" x14ac:dyDescent="0.3">
      <c r="A496" s="25" t="s">
        <v>1578</v>
      </c>
      <c r="B496" s="25"/>
      <c r="C496" s="30" t="s">
        <v>426</v>
      </c>
      <c r="D496" s="27"/>
      <c r="E496" s="27"/>
      <c r="F496" s="31" t="s">
        <v>70</v>
      </c>
      <c r="G496" s="32">
        <v>0.25</v>
      </c>
      <c r="H496" s="27"/>
      <c r="I496" s="33">
        <v>39.548000000000002</v>
      </c>
      <c r="J496" s="34">
        <v>40.270000000000003</v>
      </c>
      <c r="K496" s="35"/>
      <c r="L496" s="35"/>
      <c r="M496" s="34">
        <f>ROUND(ROUND(J496, 2)*I496, 2)</f>
        <v>1592.6</v>
      </c>
      <c r="N496" s="35"/>
      <c r="O496" s="35"/>
      <c r="P496" s="34">
        <v>40.270000000000003</v>
      </c>
      <c r="Q496" s="35"/>
      <c r="R496" s="35"/>
      <c r="S496" s="34">
        <f>ROUND(ROUND(P496, 2)*I496, 2)</f>
        <v>1592.6</v>
      </c>
      <c r="T496" s="35"/>
      <c r="U496" s="36"/>
      <c r="V496" s="9">
        <f>ROUND(ROUND(P496, 2)/1.2, 2)</f>
        <v>33.56</v>
      </c>
      <c r="Y496" s="9">
        <f t="shared" si="51"/>
        <v>1327.17</v>
      </c>
      <c r="AD496" s="4" t="s">
        <v>1579</v>
      </c>
      <c r="AE496" s="4" t="s">
        <v>1580</v>
      </c>
      <c r="AF496" s="4" t="s">
        <v>429</v>
      </c>
    </row>
    <row r="497" spans="1:35" ht="54" x14ac:dyDescent="0.3">
      <c r="A497" s="25" t="s">
        <v>1581</v>
      </c>
      <c r="B497" s="25" t="s">
        <v>1446</v>
      </c>
      <c r="C497" s="26" t="s">
        <v>1447</v>
      </c>
      <c r="D497" s="27"/>
      <c r="E497" s="27" t="s">
        <v>1582</v>
      </c>
      <c r="F497" s="27" t="s">
        <v>64</v>
      </c>
      <c r="G497" s="28">
        <v>1</v>
      </c>
      <c r="H497" s="27"/>
      <c r="I497" s="28">
        <v>15.27</v>
      </c>
      <c r="J497" s="29">
        <f>IFERROR(ROUND(SUM(M498,M499,M500,M501)/I497, 2),0)</f>
        <v>1542.94</v>
      </c>
      <c r="K497" s="29">
        <v>2364</v>
      </c>
      <c r="L497" s="29">
        <f>J497+ROUND(K497, 2)</f>
        <v>3906.94</v>
      </c>
      <c r="M497" s="29">
        <f>ROUND(J497*I497, 2)</f>
        <v>23560.69</v>
      </c>
      <c r="N497" s="29">
        <f>ROUND(I497*ROUND(K497, 2), 2)</f>
        <v>36098.28</v>
      </c>
      <c r="O497" s="29">
        <f>M497+N497</f>
        <v>59658.97</v>
      </c>
      <c r="P497" s="29">
        <f>IFERROR(ROUND(SUM(S498,S499,S500,S501)/I497, 2),0)</f>
        <v>1542.94</v>
      </c>
      <c r="Q497" s="29">
        <v>2364</v>
      </c>
      <c r="R497" s="29">
        <f>P497+ROUND(Q497, 2)</f>
        <v>3906.94</v>
      </c>
      <c r="S497" s="29">
        <f>ROUND(P497*I497, 2)</f>
        <v>23560.69</v>
      </c>
      <c r="T497" s="29">
        <f>ROUND(I497*ROUND(Q497, 2), 2)</f>
        <v>36098.28</v>
      </c>
      <c r="U497" s="29">
        <f>S497+T497</f>
        <v>59658.97</v>
      </c>
      <c r="V497" s="9">
        <f>ROUND(P497 / 1.2, 2)</f>
        <v>1285.78</v>
      </c>
      <c r="W497" s="9">
        <f>ROUND(Q497 / 1.2, 2)</f>
        <v>1970</v>
      </c>
      <c r="X497" s="9">
        <f>ROUND(R497 / 1.2, 2)</f>
        <v>3255.78</v>
      </c>
      <c r="Y497" s="9">
        <f t="shared" si="51"/>
        <v>19633.91</v>
      </c>
      <c r="Z497" s="9">
        <f>ROUND(T497 / 1.2, 2)</f>
        <v>30081.9</v>
      </c>
      <c r="AA497" s="9">
        <f>Y497+Z497</f>
        <v>49715.81</v>
      </c>
      <c r="AD497" s="4">
        <v>271132226</v>
      </c>
      <c r="AE497" s="4">
        <v>19988234</v>
      </c>
      <c r="AG497" s="4" t="s">
        <v>1449</v>
      </c>
      <c r="AH497" s="4" t="s">
        <v>1450</v>
      </c>
      <c r="AI497" s="4" t="s">
        <v>67</v>
      </c>
    </row>
    <row r="498" spans="1:35" ht="54" x14ac:dyDescent="0.3">
      <c r="A498" s="25" t="s">
        <v>1583</v>
      </c>
      <c r="B498" s="25"/>
      <c r="C498" s="17" t="s">
        <v>676</v>
      </c>
      <c r="D498" s="27"/>
      <c r="E498" s="27" t="s">
        <v>1469</v>
      </c>
      <c r="F498" s="31" t="s">
        <v>64</v>
      </c>
      <c r="G498" s="32">
        <v>1.07</v>
      </c>
      <c r="H498" s="27"/>
      <c r="I498" s="33">
        <v>16.338999999999999</v>
      </c>
      <c r="J498" s="34">
        <v>1384.95</v>
      </c>
      <c r="K498" s="35"/>
      <c r="L498" s="35"/>
      <c r="M498" s="34">
        <f>ROUND(ROUND(J498, 2)*I498, 2)</f>
        <v>22628.7</v>
      </c>
      <c r="N498" s="35"/>
      <c r="O498" s="35"/>
      <c r="P498" s="34">
        <v>1384.95</v>
      </c>
      <c r="Q498" s="35"/>
      <c r="R498" s="35"/>
      <c r="S498" s="34">
        <f>ROUND(ROUND(P498, 2)*I498, 2)</f>
        <v>22628.7</v>
      </c>
      <c r="T498" s="35"/>
      <c r="U498" s="36"/>
      <c r="V498" s="9">
        <f>ROUND(ROUND(P498, 2)/1.2, 2)</f>
        <v>1154.1300000000001</v>
      </c>
      <c r="Y498" s="9">
        <f t="shared" si="51"/>
        <v>18857.25</v>
      </c>
      <c r="AD498" s="4" t="s">
        <v>1584</v>
      </c>
      <c r="AE498" s="4" t="s">
        <v>1585</v>
      </c>
      <c r="AF498" s="4" t="s">
        <v>680</v>
      </c>
    </row>
    <row r="499" spans="1:35" ht="54" x14ac:dyDescent="0.3">
      <c r="A499" s="25" t="s">
        <v>1586</v>
      </c>
      <c r="B499" s="25"/>
      <c r="C499" s="17" t="s">
        <v>697</v>
      </c>
      <c r="D499" s="27"/>
      <c r="E499" s="27" t="s">
        <v>402</v>
      </c>
      <c r="F499" s="31" t="s">
        <v>70</v>
      </c>
      <c r="G499" s="32">
        <v>1.2</v>
      </c>
      <c r="H499" s="27"/>
      <c r="I499" s="33">
        <v>36.648000000000003</v>
      </c>
      <c r="J499" s="34">
        <v>16.96</v>
      </c>
      <c r="K499" s="35"/>
      <c r="L499" s="35"/>
      <c r="M499" s="34">
        <f>ROUND(ROUND(J499, 2)*I499, 2)</f>
        <v>621.54999999999995</v>
      </c>
      <c r="N499" s="35"/>
      <c r="O499" s="35"/>
      <c r="P499" s="34">
        <v>16.96</v>
      </c>
      <c r="Q499" s="35"/>
      <c r="R499" s="35"/>
      <c r="S499" s="34">
        <f>ROUND(ROUND(P499, 2)*I499, 2)</f>
        <v>621.54999999999995</v>
      </c>
      <c r="T499" s="35"/>
      <c r="U499" s="36"/>
      <c r="V499" s="9">
        <f>ROUND(ROUND(P499, 2)/1.2, 2)</f>
        <v>14.13</v>
      </c>
      <c r="Y499" s="9">
        <f t="shared" si="51"/>
        <v>517.96</v>
      </c>
      <c r="AD499" s="4" t="s">
        <v>1587</v>
      </c>
      <c r="AE499" s="4" t="s">
        <v>1588</v>
      </c>
      <c r="AF499" s="4" t="s">
        <v>700</v>
      </c>
    </row>
    <row r="500" spans="1:35" ht="36" x14ac:dyDescent="0.3">
      <c r="A500" s="25" t="s">
        <v>1589</v>
      </c>
      <c r="B500" s="25"/>
      <c r="C500" s="30" t="s">
        <v>452</v>
      </c>
      <c r="D500" s="27"/>
      <c r="E500" s="27"/>
      <c r="F500" s="31" t="s">
        <v>70</v>
      </c>
      <c r="G500" s="32">
        <v>0.15</v>
      </c>
      <c r="H500" s="27"/>
      <c r="I500" s="32">
        <v>2.2909999999999999</v>
      </c>
      <c r="J500" s="34">
        <v>68.400000000000006</v>
      </c>
      <c r="K500" s="35"/>
      <c r="L500" s="35"/>
      <c r="M500" s="34">
        <f>ROUND(ROUND(J500, 2)*I500, 2)</f>
        <v>156.69999999999999</v>
      </c>
      <c r="N500" s="35"/>
      <c r="O500" s="35"/>
      <c r="P500" s="34">
        <v>68.400000000000006</v>
      </c>
      <c r="Q500" s="35"/>
      <c r="R500" s="35"/>
      <c r="S500" s="34">
        <f>ROUND(ROUND(P500, 2)*I500, 2)</f>
        <v>156.69999999999999</v>
      </c>
      <c r="T500" s="35"/>
      <c r="U500" s="36"/>
      <c r="V500" s="9">
        <f>ROUND(ROUND(P500, 2)/1.2, 2)</f>
        <v>57</v>
      </c>
      <c r="Y500" s="9">
        <f t="shared" si="51"/>
        <v>130.58000000000001</v>
      </c>
      <c r="AD500" s="4" t="s">
        <v>1590</v>
      </c>
      <c r="AE500" s="4" t="s">
        <v>1591</v>
      </c>
      <c r="AF500" s="4" t="s">
        <v>456</v>
      </c>
    </row>
    <row r="501" spans="1:35" ht="18" x14ac:dyDescent="0.3">
      <c r="A501" s="25" t="s">
        <v>1592</v>
      </c>
      <c r="B501" s="25"/>
      <c r="C501" s="30" t="s">
        <v>426</v>
      </c>
      <c r="D501" s="27"/>
      <c r="E501" s="27"/>
      <c r="F501" s="31" t="s">
        <v>70</v>
      </c>
      <c r="G501" s="32">
        <v>0.25</v>
      </c>
      <c r="H501" s="27"/>
      <c r="I501" s="33">
        <v>3.8180000000000001</v>
      </c>
      <c r="J501" s="34">
        <v>40.270000000000003</v>
      </c>
      <c r="K501" s="35"/>
      <c r="L501" s="35"/>
      <c r="M501" s="34">
        <f>ROUND(ROUND(J501, 2)*I501, 2)</f>
        <v>153.75</v>
      </c>
      <c r="N501" s="35"/>
      <c r="O501" s="35"/>
      <c r="P501" s="34">
        <v>40.270000000000003</v>
      </c>
      <c r="Q501" s="35"/>
      <c r="R501" s="35"/>
      <c r="S501" s="34">
        <f>ROUND(ROUND(P501, 2)*I501, 2)</f>
        <v>153.75</v>
      </c>
      <c r="T501" s="35"/>
      <c r="U501" s="36"/>
      <c r="V501" s="9">
        <f>ROUND(ROUND(P501, 2)/1.2, 2)</f>
        <v>33.56</v>
      </c>
      <c r="Y501" s="9">
        <f t="shared" si="51"/>
        <v>128.13</v>
      </c>
      <c r="AD501" s="4" t="s">
        <v>1593</v>
      </c>
      <c r="AE501" s="4" t="s">
        <v>1594</v>
      </c>
      <c r="AF501" s="4" t="s">
        <v>429</v>
      </c>
    </row>
    <row r="502" spans="1:35" ht="54" x14ac:dyDescent="0.3">
      <c r="A502" s="25" t="s">
        <v>1595</v>
      </c>
      <c r="B502" s="25" t="s">
        <v>1446</v>
      </c>
      <c r="C502" s="26" t="s">
        <v>1447</v>
      </c>
      <c r="D502" s="27"/>
      <c r="E502" s="27" t="s">
        <v>1596</v>
      </c>
      <c r="F502" s="27" t="s">
        <v>64</v>
      </c>
      <c r="G502" s="28">
        <v>1</v>
      </c>
      <c r="H502" s="27"/>
      <c r="I502" s="28">
        <v>35.9</v>
      </c>
      <c r="J502" s="29">
        <f>IFERROR(ROUND(SUM(M503,M504,M505,M506)/I502, 2),0)</f>
        <v>1278.9100000000001</v>
      </c>
      <c r="K502" s="29">
        <v>2364</v>
      </c>
      <c r="L502" s="29">
        <f>J502+ROUND(K502, 2)</f>
        <v>3642.91</v>
      </c>
      <c r="M502" s="29">
        <f>ROUND(J502*I502, 2)</f>
        <v>45912.87</v>
      </c>
      <c r="N502" s="29">
        <f>ROUND(I502*ROUND(K502, 2), 2)</f>
        <v>84867.6</v>
      </c>
      <c r="O502" s="29">
        <f>M502+N502</f>
        <v>130780.47</v>
      </c>
      <c r="P502" s="29">
        <f>IFERROR(ROUND(SUM(S503,S504,S505,S506)/I502, 2),0)</f>
        <v>1278.9100000000001</v>
      </c>
      <c r="Q502" s="29">
        <v>2364</v>
      </c>
      <c r="R502" s="29">
        <f>P502+ROUND(Q502, 2)</f>
        <v>3642.91</v>
      </c>
      <c r="S502" s="29">
        <f>ROUND(P502*I502, 2)</f>
        <v>45912.87</v>
      </c>
      <c r="T502" s="29">
        <f>ROUND(I502*ROUND(Q502, 2), 2)</f>
        <v>84867.6</v>
      </c>
      <c r="U502" s="29">
        <f>S502+T502</f>
        <v>130780.47</v>
      </c>
      <c r="V502" s="9">
        <f>ROUND(P502 / 1.2, 2)</f>
        <v>1065.76</v>
      </c>
      <c r="W502" s="9">
        <f>ROUND(Q502 / 1.2, 2)</f>
        <v>1970</v>
      </c>
      <c r="X502" s="9">
        <f>ROUND(R502 / 1.2, 2)</f>
        <v>3035.76</v>
      </c>
      <c r="Y502" s="9">
        <f t="shared" si="51"/>
        <v>38260.730000000003</v>
      </c>
      <c r="Z502" s="9">
        <f>ROUND(T502 / 1.2, 2)</f>
        <v>70723</v>
      </c>
      <c r="AA502" s="9">
        <f>Y502+Z502</f>
        <v>108983.73</v>
      </c>
      <c r="AD502" s="4">
        <v>271132227</v>
      </c>
      <c r="AE502" s="4">
        <v>19989017</v>
      </c>
      <c r="AG502" s="4" t="s">
        <v>1449</v>
      </c>
      <c r="AH502" s="4" t="s">
        <v>1450</v>
      </c>
      <c r="AI502" s="4" t="s">
        <v>67</v>
      </c>
    </row>
    <row r="503" spans="1:35" ht="36" x14ac:dyDescent="0.3">
      <c r="A503" s="25" t="s">
        <v>1597</v>
      </c>
      <c r="B503" s="25"/>
      <c r="C503" s="17" t="s">
        <v>1484</v>
      </c>
      <c r="D503" s="27"/>
      <c r="E503" s="27" t="s">
        <v>1485</v>
      </c>
      <c r="F503" s="31" t="s">
        <v>64</v>
      </c>
      <c r="G503" s="32">
        <v>1.07</v>
      </c>
      <c r="H503" s="27"/>
      <c r="I503" s="33">
        <v>38.412999999999997</v>
      </c>
      <c r="J503" s="34">
        <v>1138.2</v>
      </c>
      <c r="K503" s="35"/>
      <c r="L503" s="35"/>
      <c r="M503" s="34">
        <f>ROUND(ROUND(J503, 2)*I503, 2)</f>
        <v>43721.68</v>
      </c>
      <c r="N503" s="35"/>
      <c r="O503" s="35"/>
      <c r="P503" s="34">
        <v>1138.2</v>
      </c>
      <c r="Q503" s="35"/>
      <c r="R503" s="35"/>
      <c r="S503" s="34">
        <f>ROUND(ROUND(P503, 2)*I503, 2)</f>
        <v>43721.68</v>
      </c>
      <c r="T503" s="35"/>
      <c r="U503" s="36"/>
      <c r="V503" s="9">
        <f>ROUND(ROUND(P503, 2)/1.2, 2)</f>
        <v>948.5</v>
      </c>
      <c r="Y503" s="9">
        <f t="shared" si="51"/>
        <v>36434.730000000003</v>
      </c>
      <c r="AD503" s="4" t="s">
        <v>1598</v>
      </c>
      <c r="AE503" s="4" t="s">
        <v>1599</v>
      </c>
      <c r="AF503" s="4" t="s">
        <v>1488</v>
      </c>
    </row>
    <row r="504" spans="1:35" ht="54" x14ac:dyDescent="0.3">
      <c r="A504" s="25" t="s">
        <v>1600</v>
      </c>
      <c r="B504" s="25"/>
      <c r="C504" s="17" t="s">
        <v>697</v>
      </c>
      <c r="D504" s="27"/>
      <c r="E504" s="27" t="s">
        <v>402</v>
      </c>
      <c r="F504" s="31" t="s">
        <v>70</v>
      </c>
      <c r="G504" s="32">
        <v>1.2</v>
      </c>
      <c r="H504" s="27"/>
      <c r="I504" s="33">
        <v>86.16</v>
      </c>
      <c r="J504" s="34">
        <v>16.96</v>
      </c>
      <c r="K504" s="35"/>
      <c r="L504" s="35"/>
      <c r="M504" s="34">
        <f>ROUND(ROUND(J504, 2)*I504, 2)</f>
        <v>1461.27</v>
      </c>
      <c r="N504" s="35"/>
      <c r="O504" s="35"/>
      <c r="P504" s="34">
        <v>16.96</v>
      </c>
      <c r="Q504" s="35"/>
      <c r="R504" s="35"/>
      <c r="S504" s="34">
        <f>ROUND(ROUND(P504, 2)*I504, 2)</f>
        <v>1461.27</v>
      </c>
      <c r="T504" s="35"/>
      <c r="U504" s="36"/>
      <c r="V504" s="9">
        <f>ROUND(ROUND(P504, 2)/1.2, 2)</f>
        <v>14.13</v>
      </c>
      <c r="Y504" s="9">
        <f t="shared" si="51"/>
        <v>1217.73</v>
      </c>
      <c r="AD504" s="4" t="s">
        <v>1601</v>
      </c>
      <c r="AE504" s="4" t="s">
        <v>1602</v>
      </c>
      <c r="AF504" s="4" t="s">
        <v>700</v>
      </c>
    </row>
    <row r="505" spans="1:35" ht="36" x14ac:dyDescent="0.3">
      <c r="A505" s="25" t="s">
        <v>1603</v>
      </c>
      <c r="B505" s="25"/>
      <c r="C505" s="30" t="s">
        <v>452</v>
      </c>
      <c r="D505" s="27"/>
      <c r="E505" s="27"/>
      <c r="F505" s="31" t="s">
        <v>70</v>
      </c>
      <c r="G505" s="32">
        <v>0.15</v>
      </c>
      <c r="H505" s="27"/>
      <c r="I505" s="32">
        <v>5.3849999999999998</v>
      </c>
      <c r="J505" s="34">
        <v>68.400000000000006</v>
      </c>
      <c r="K505" s="35"/>
      <c r="L505" s="35"/>
      <c r="M505" s="34">
        <f>ROUND(ROUND(J505, 2)*I505, 2)</f>
        <v>368.33</v>
      </c>
      <c r="N505" s="35"/>
      <c r="O505" s="35"/>
      <c r="P505" s="34">
        <v>68.400000000000006</v>
      </c>
      <c r="Q505" s="35"/>
      <c r="R505" s="35"/>
      <c r="S505" s="34">
        <f>ROUND(ROUND(P505, 2)*I505, 2)</f>
        <v>368.33</v>
      </c>
      <c r="T505" s="35"/>
      <c r="U505" s="36"/>
      <c r="V505" s="9">
        <f>ROUND(ROUND(P505, 2)/1.2, 2)</f>
        <v>57</v>
      </c>
      <c r="Y505" s="9">
        <f t="shared" si="51"/>
        <v>306.94</v>
      </c>
      <c r="AD505" s="4" t="s">
        <v>1604</v>
      </c>
      <c r="AE505" s="4" t="s">
        <v>1605</v>
      </c>
      <c r="AF505" s="4" t="s">
        <v>456</v>
      </c>
    </row>
    <row r="506" spans="1:35" ht="18" x14ac:dyDescent="0.3">
      <c r="A506" s="25" t="s">
        <v>1606</v>
      </c>
      <c r="B506" s="25"/>
      <c r="C506" s="30" t="s">
        <v>426</v>
      </c>
      <c r="D506" s="27"/>
      <c r="E506" s="27"/>
      <c r="F506" s="31" t="s">
        <v>70</v>
      </c>
      <c r="G506" s="32">
        <v>0.25</v>
      </c>
      <c r="H506" s="27"/>
      <c r="I506" s="33">
        <v>8.9749999999999996</v>
      </c>
      <c r="J506" s="34">
        <v>40.270000000000003</v>
      </c>
      <c r="K506" s="35"/>
      <c r="L506" s="35"/>
      <c r="M506" s="34">
        <f>ROUND(ROUND(J506, 2)*I506, 2)</f>
        <v>361.42</v>
      </c>
      <c r="N506" s="35"/>
      <c r="O506" s="35"/>
      <c r="P506" s="34">
        <v>40.270000000000003</v>
      </c>
      <c r="Q506" s="35"/>
      <c r="R506" s="35"/>
      <c r="S506" s="34">
        <f>ROUND(ROUND(P506, 2)*I506, 2)</f>
        <v>361.42</v>
      </c>
      <c r="T506" s="35"/>
      <c r="U506" s="36"/>
      <c r="V506" s="9">
        <f>ROUND(ROUND(P506, 2)/1.2, 2)</f>
        <v>33.56</v>
      </c>
      <c r="Y506" s="9">
        <f t="shared" si="51"/>
        <v>301.18</v>
      </c>
      <c r="AD506" s="4" t="s">
        <v>1607</v>
      </c>
      <c r="AE506" s="4" t="s">
        <v>1608</v>
      </c>
      <c r="AF506" s="4" t="s">
        <v>429</v>
      </c>
    </row>
    <row r="507" spans="1:35" ht="54" x14ac:dyDescent="0.3">
      <c r="A507" s="25" t="s">
        <v>1609</v>
      </c>
      <c r="B507" s="25" t="s">
        <v>1446</v>
      </c>
      <c r="C507" s="26" t="s">
        <v>1447</v>
      </c>
      <c r="D507" s="27"/>
      <c r="E507" s="27" t="s">
        <v>1610</v>
      </c>
      <c r="F507" s="27" t="s">
        <v>64</v>
      </c>
      <c r="G507" s="28">
        <v>1</v>
      </c>
      <c r="H507" s="27"/>
      <c r="I507" s="28">
        <v>5.75</v>
      </c>
      <c r="J507" s="29">
        <f>IFERROR(ROUND(SUM(M508,M509,M510,M511)/I507, 2),0)</f>
        <v>1152.05</v>
      </c>
      <c r="K507" s="29">
        <v>2364</v>
      </c>
      <c r="L507" s="29">
        <f>J507+ROUND(K507, 2)</f>
        <v>3516.05</v>
      </c>
      <c r="M507" s="29">
        <f>ROUND(J507*I507, 2)</f>
        <v>6624.29</v>
      </c>
      <c r="N507" s="29">
        <f>ROUND(I507*ROUND(K507, 2), 2)</f>
        <v>13593</v>
      </c>
      <c r="O507" s="29">
        <f>M507+N507</f>
        <v>20217.29</v>
      </c>
      <c r="P507" s="29">
        <f>IFERROR(ROUND(SUM(S508,S509,S510,S511)/I507, 2),0)</f>
        <v>1152.05</v>
      </c>
      <c r="Q507" s="29">
        <v>2364</v>
      </c>
      <c r="R507" s="29">
        <f>P507+ROUND(Q507, 2)</f>
        <v>3516.05</v>
      </c>
      <c r="S507" s="29">
        <f>ROUND(P507*I507, 2)</f>
        <v>6624.29</v>
      </c>
      <c r="T507" s="29">
        <f>ROUND(I507*ROUND(Q507, 2), 2)</f>
        <v>13593</v>
      </c>
      <c r="U507" s="29">
        <f>S507+T507</f>
        <v>20217.29</v>
      </c>
      <c r="V507" s="9">
        <f>ROUND(P507 / 1.2, 2)</f>
        <v>960.04</v>
      </c>
      <c r="W507" s="9">
        <f>ROUND(Q507 / 1.2, 2)</f>
        <v>1970</v>
      </c>
      <c r="X507" s="9">
        <f>ROUND(R507 / 1.2, 2)</f>
        <v>2930.04</v>
      </c>
      <c r="Y507" s="9">
        <f t="shared" si="51"/>
        <v>5520.24</v>
      </c>
      <c r="Z507" s="9">
        <f>ROUND(T507 / 1.2, 2)</f>
        <v>11327.5</v>
      </c>
      <c r="AA507" s="9">
        <f>Y507+Z507</f>
        <v>16847.740000000002</v>
      </c>
      <c r="AD507" s="4">
        <v>271132228</v>
      </c>
      <c r="AE507" s="4">
        <v>19989018</v>
      </c>
      <c r="AG507" s="4" t="s">
        <v>1449</v>
      </c>
      <c r="AH507" s="4" t="s">
        <v>1450</v>
      </c>
      <c r="AI507" s="4" t="s">
        <v>67</v>
      </c>
    </row>
    <row r="508" spans="1:35" ht="36" x14ac:dyDescent="0.3">
      <c r="A508" s="25" t="s">
        <v>1611</v>
      </c>
      <c r="B508" s="25"/>
      <c r="C508" s="17" t="s">
        <v>1501</v>
      </c>
      <c r="D508" s="27"/>
      <c r="E508" s="27" t="s">
        <v>1612</v>
      </c>
      <c r="F508" s="31" t="s">
        <v>64</v>
      </c>
      <c r="G508" s="32">
        <v>1.07</v>
      </c>
      <c r="H508" s="27"/>
      <c r="I508" s="33">
        <v>6.1529999999999996</v>
      </c>
      <c r="J508" s="34">
        <v>1019.55</v>
      </c>
      <c r="K508" s="35"/>
      <c r="L508" s="35"/>
      <c r="M508" s="34">
        <f>ROUND(ROUND(J508, 2)*I508, 2)</f>
        <v>6273.29</v>
      </c>
      <c r="N508" s="35"/>
      <c r="O508" s="35"/>
      <c r="P508" s="34">
        <v>1019.55</v>
      </c>
      <c r="Q508" s="35"/>
      <c r="R508" s="35"/>
      <c r="S508" s="34">
        <f>ROUND(ROUND(P508, 2)*I508, 2)</f>
        <v>6273.29</v>
      </c>
      <c r="T508" s="35"/>
      <c r="U508" s="36"/>
      <c r="V508" s="9">
        <f>ROUND(ROUND(P508, 2)/1.2, 2)</f>
        <v>849.63</v>
      </c>
      <c r="Y508" s="9">
        <f t="shared" si="51"/>
        <v>5227.74</v>
      </c>
      <c r="AD508" s="4" t="s">
        <v>1613</v>
      </c>
      <c r="AE508" s="4" t="s">
        <v>1614</v>
      </c>
      <c r="AF508" s="4" t="s">
        <v>1505</v>
      </c>
    </row>
    <row r="509" spans="1:35" ht="54" x14ac:dyDescent="0.3">
      <c r="A509" s="25" t="s">
        <v>1615</v>
      </c>
      <c r="B509" s="25"/>
      <c r="C509" s="17" t="s">
        <v>697</v>
      </c>
      <c r="D509" s="27"/>
      <c r="E509" s="27" t="s">
        <v>402</v>
      </c>
      <c r="F509" s="31" t="s">
        <v>70</v>
      </c>
      <c r="G509" s="32">
        <v>1.2</v>
      </c>
      <c r="H509" s="27"/>
      <c r="I509" s="33">
        <v>13.8</v>
      </c>
      <c r="J509" s="34">
        <v>16.96</v>
      </c>
      <c r="K509" s="35"/>
      <c r="L509" s="35"/>
      <c r="M509" s="34">
        <f>ROUND(ROUND(J509, 2)*I509, 2)</f>
        <v>234.05</v>
      </c>
      <c r="N509" s="35"/>
      <c r="O509" s="35"/>
      <c r="P509" s="34">
        <v>16.96</v>
      </c>
      <c r="Q509" s="35"/>
      <c r="R509" s="35"/>
      <c r="S509" s="34">
        <f>ROUND(ROUND(P509, 2)*I509, 2)</f>
        <v>234.05</v>
      </c>
      <c r="T509" s="35"/>
      <c r="U509" s="36"/>
      <c r="V509" s="9">
        <f>ROUND(ROUND(P509, 2)/1.2, 2)</f>
        <v>14.13</v>
      </c>
      <c r="Y509" s="9">
        <f t="shared" si="51"/>
        <v>195.04</v>
      </c>
      <c r="AD509" s="4" t="s">
        <v>1616</v>
      </c>
      <c r="AE509" s="4" t="s">
        <v>1617</v>
      </c>
      <c r="AF509" s="4" t="s">
        <v>700</v>
      </c>
    </row>
    <row r="510" spans="1:35" ht="36" x14ac:dyDescent="0.3">
      <c r="A510" s="25" t="s">
        <v>1618</v>
      </c>
      <c r="B510" s="25"/>
      <c r="C510" s="30" t="s">
        <v>452</v>
      </c>
      <c r="D510" s="27"/>
      <c r="E510" s="27"/>
      <c r="F510" s="31" t="s">
        <v>70</v>
      </c>
      <c r="G510" s="32">
        <v>0.15</v>
      </c>
      <c r="H510" s="27"/>
      <c r="I510" s="32">
        <v>0.86299999999999999</v>
      </c>
      <c r="J510" s="34">
        <v>68.400000000000006</v>
      </c>
      <c r="K510" s="35"/>
      <c r="L510" s="35"/>
      <c r="M510" s="34">
        <f>ROUND(ROUND(J510, 2)*I510, 2)</f>
        <v>59.03</v>
      </c>
      <c r="N510" s="35"/>
      <c r="O510" s="35"/>
      <c r="P510" s="34">
        <v>68.400000000000006</v>
      </c>
      <c r="Q510" s="35"/>
      <c r="R510" s="35"/>
      <c r="S510" s="34">
        <f>ROUND(ROUND(P510, 2)*I510, 2)</f>
        <v>59.03</v>
      </c>
      <c r="T510" s="35"/>
      <c r="U510" s="36"/>
      <c r="V510" s="9">
        <f>ROUND(ROUND(P510, 2)/1.2, 2)</f>
        <v>57</v>
      </c>
      <c r="Y510" s="9">
        <f t="shared" si="51"/>
        <v>49.19</v>
      </c>
      <c r="AD510" s="4" t="s">
        <v>1619</v>
      </c>
      <c r="AE510" s="4" t="s">
        <v>1620</v>
      </c>
      <c r="AF510" s="4" t="s">
        <v>456</v>
      </c>
    </row>
    <row r="511" spans="1:35" ht="18" x14ac:dyDescent="0.3">
      <c r="A511" s="25" t="s">
        <v>1621</v>
      </c>
      <c r="B511" s="25"/>
      <c r="C511" s="30" t="s">
        <v>426</v>
      </c>
      <c r="D511" s="27"/>
      <c r="E511" s="27"/>
      <c r="F511" s="31" t="s">
        <v>70</v>
      </c>
      <c r="G511" s="32">
        <v>0.25</v>
      </c>
      <c r="H511" s="27"/>
      <c r="I511" s="33">
        <v>1.4379999999999999</v>
      </c>
      <c r="J511" s="34">
        <v>40.270000000000003</v>
      </c>
      <c r="K511" s="35"/>
      <c r="L511" s="35"/>
      <c r="M511" s="34">
        <f>ROUND(ROUND(J511, 2)*I511, 2)</f>
        <v>57.91</v>
      </c>
      <c r="N511" s="35"/>
      <c r="O511" s="35"/>
      <c r="P511" s="34">
        <v>40.270000000000003</v>
      </c>
      <c r="Q511" s="35"/>
      <c r="R511" s="35"/>
      <c r="S511" s="34">
        <f>ROUND(ROUND(P511, 2)*I511, 2)</f>
        <v>57.91</v>
      </c>
      <c r="T511" s="35"/>
      <c r="U511" s="36"/>
      <c r="V511" s="9">
        <f>ROUND(ROUND(P511, 2)/1.2, 2)</f>
        <v>33.56</v>
      </c>
      <c r="Y511" s="9">
        <f t="shared" si="51"/>
        <v>48.26</v>
      </c>
      <c r="AD511" s="4" t="s">
        <v>1622</v>
      </c>
      <c r="AE511" s="4" t="s">
        <v>1623</v>
      </c>
      <c r="AF511" s="4" t="s">
        <v>429</v>
      </c>
    </row>
    <row r="512" spans="1:35" ht="54" x14ac:dyDescent="0.3">
      <c r="A512" s="25" t="s">
        <v>1624</v>
      </c>
      <c r="B512" s="25" t="s">
        <v>1446</v>
      </c>
      <c r="C512" s="26" t="s">
        <v>1447</v>
      </c>
      <c r="D512" s="27"/>
      <c r="E512" s="27" t="s">
        <v>1625</v>
      </c>
      <c r="F512" s="27" t="s">
        <v>64</v>
      </c>
      <c r="G512" s="28">
        <v>1</v>
      </c>
      <c r="H512" s="27"/>
      <c r="I512" s="28">
        <v>8.15</v>
      </c>
      <c r="J512" s="29">
        <f>IFERROR(ROUND(SUM(M513,M514,M515,M516)/I512, 2),0)</f>
        <v>1278.98</v>
      </c>
      <c r="K512" s="29">
        <v>2364</v>
      </c>
      <c r="L512" s="29">
        <f>J512+ROUND(K512, 2)</f>
        <v>3642.98</v>
      </c>
      <c r="M512" s="29">
        <f>ROUND(J512*I512, 2)</f>
        <v>10423.69</v>
      </c>
      <c r="N512" s="29">
        <f>ROUND(I512*ROUND(K512, 2), 2)</f>
        <v>19266.599999999999</v>
      </c>
      <c r="O512" s="29">
        <f>M512+N512</f>
        <v>29690.29</v>
      </c>
      <c r="P512" s="29">
        <f>IFERROR(ROUND(SUM(S513,S514,S515,S516)/I512, 2),0)</f>
        <v>1278.98</v>
      </c>
      <c r="Q512" s="29">
        <v>2364</v>
      </c>
      <c r="R512" s="29">
        <f>P512+ROUND(Q512, 2)</f>
        <v>3642.98</v>
      </c>
      <c r="S512" s="29">
        <f>ROUND(P512*I512, 2)</f>
        <v>10423.69</v>
      </c>
      <c r="T512" s="29">
        <f>ROUND(I512*ROUND(Q512, 2), 2)</f>
        <v>19266.599999999999</v>
      </c>
      <c r="U512" s="29">
        <f>S512+T512</f>
        <v>29690.29</v>
      </c>
      <c r="V512" s="9">
        <f>ROUND(P512 / 1.2, 2)</f>
        <v>1065.82</v>
      </c>
      <c r="W512" s="9">
        <f>ROUND(Q512 / 1.2, 2)</f>
        <v>1970</v>
      </c>
      <c r="X512" s="9">
        <f>ROUND(R512 / 1.2, 2)</f>
        <v>3035.82</v>
      </c>
      <c r="Y512" s="9">
        <f t="shared" si="51"/>
        <v>8686.41</v>
      </c>
      <c r="Z512" s="9">
        <f>ROUND(T512 / 1.2, 2)</f>
        <v>16055.5</v>
      </c>
      <c r="AA512" s="9">
        <f>Y512+Z512</f>
        <v>24741.91</v>
      </c>
      <c r="AD512" s="4">
        <v>271132229</v>
      </c>
      <c r="AE512" s="4">
        <v>19989019</v>
      </c>
      <c r="AG512" s="4" t="s">
        <v>1449</v>
      </c>
      <c r="AH512" s="4" t="s">
        <v>1450</v>
      </c>
      <c r="AI512" s="4" t="s">
        <v>67</v>
      </c>
    </row>
    <row r="513" spans="1:35" ht="54" x14ac:dyDescent="0.3">
      <c r="A513" s="25" t="s">
        <v>1626</v>
      </c>
      <c r="B513" s="25"/>
      <c r="C513" s="17" t="s">
        <v>1484</v>
      </c>
      <c r="D513" s="27"/>
      <c r="E513" s="27" t="s">
        <v>1515</v>
      </c>
      <c r="F513" s="31" t="s">
        <v>64</v>
      </c>
      <c r="G513" s="32">
        <v>1.07</v>
      </c>
      <c r="H513" s="27"/>
      <c r="I513" s="33">
        <v>8.7210000000000001</v>
      </c>
      <c r="J513" s="34">
        <v>1138.2</v>
      </c>
      <c r="K513" s="35"/>
      <c r="L513" s="35"/>
      <c r="M513" s="34">
        <f>ROUND(ROUND(J513, 2)*I513, 2)</f>
        <v>9926.24</v>
      </c>
      <c r="N513" s="35"/>
      <c r="O513" s="35"/>
      <c r="P513" s="34">
        <v>1138.2</v>
      </c>
      <c r="Q513" s="35"/>
      <c r="R513" s="35"/>
      <c r="S513" s="34">
        <f>ROUND(ROUND(P513, 2)*I513, 2)</f>
        <v>9926.24</v>
      </c>
      <c r="T513" s="35"/>
      <c r="U513" s="36"/>
      <c r="V513" s="9">
        <f>ROUND(ROUND(P513, 2)/1.2, 2)</f>
        <v>948.5</v>
      </c>
      <c r="Y513" s="9">
        <f t="shared" si="51"/>
        <v>8271.8700000000008</v>
      </c>
      <c r="AD513" s="4" t="s">
        <v>1627</v>
      </c>
      <c r="AE513" s="4" t="s">
        <v>1628</v>
      </c>
      <c r="AF513" s="4" t="s">
        <v>1488</v>
      </c>
    </row>
    <row r="514" spans="1:35" ht="54" x14ac:dyDescent="0.3">
      <c r="A514" s="25" t="s">
        <v>1629</v>
      </c>
      <c r="B514" s="25"/>
      <c r="C514" s="17" t="s">
        <v>697</v>
      </c>
      <c r="D514" s="27"/>
      <c r="E514" s="27" t="s">
        <v>402</v>
      </c>
      <c r="F514" s="31" t="s">
        <v>70</v>
      </c>
      <c r="G514" s="32">
        <v>1.2</v>
      </c>
      <c r="H514" s="27"/>
      <c r="I514" s="33">
        <v>19.559999999999999</v>
      </c>
      <c r="J514" s="34">
        <v>16.96</v>
      </c>
      <c r="K514" s="35"/>
      <c r="L514" s="35"/>
      <c r="M514" s="34">
        <f>ROUND(ROUND(J514, 2)*I514, 2)</f>
        <v>331.74</v>
      </c>
      <c r="N514" s="35"/>
      <c r="O514" s="35"/>
      <c r="P514" s="34">
        <v>16.96</v>
      </c>
      <c r="Q514" s="35"/>
      <c r="R514" s="35"/>
      <c r="S514" s="34">
        <f>ROUND(ROUND(P514, 2)*I514, 2)</f>
        <v>331.74</v>
      </c>
      <c r="T514" s="35"/>
      <c r="U514" s="36"/>
      <c r="V514" s="9">
        <f>ROUND(ROUND(P514, 2)/1.2, 2)</f>
        <v>14.13</v>
      </c>
      <c r="Y514" s="9">
        <f t="shared" si="51"/>
        <v>276.45</v>
      </c>
      <c r="AD514" s="4" t="s">
        <v>1630</v>
      </c>
      <c r="AE514" s="4" t="s">
        <v>1631</v>
      </c>
      <c r="AF514" s="4" t="s">
        <v>700</v>
      </c>
    </row>
    <row r="515" spans="1:35" ht="36" x14ac:dyDescent="0.3">
      <c r="A515" s="25" t="s">
        <v>1632</v>
      </c>
      <c r="B515" s="25"/>
      <c r="C515" s="30" t="s">
        <v>452</v>
      </c>
      <c r="D515" s="27"/>
      <c r="E515" s="27"/>
      <c r="F515" s="31" t="s">
        <v>70</v>
      </c>
      <c r="G515" s="32">
        <v>0.15</v>
      </c>
      <c r="H515" s="27"/>
      <c r="I515" s="32">
        <v>1.2230000000000001</v>
      </c>
      <c r="J515" s="34">
        <v>68.400000000000006</v>
      </c>
      <c r="K515" s="35"/>
      <c r="L515" s="35"/>
      <c r="M515" s="34">
        <f>ROUND(ROUND(J515, 2)*I515, 2)</f>
        <v>83.65</v>
      </c>
      <c r="N515" s="35"/>
      <c r="O515" s="35"/>
      <c r="P515" s="34">
        <v>68.400000000000006</v>
      </c>
      <c r="Q515" s="35"/>
      <c r="R515" s="35"/>
      <c r="S515" s="34">
        <f>ROUND(ROUND(P515, 2)*I515, 2)</f>
        <v>83.65</v>
      </c>
      <c r="T515" s="35"/>
      <c r="U515" s="36"/>
      <c r="V515" s="9">
        <f>ROUND(ROUND(P515, 2)/1.2, 2)</f>
        <v>57</v>
      </c>
      <c r="Y515" s="9">
        <f t="shared" ref="Y515:Y537" si="52">ROUND(S515 / 1.2, 2)</f>
        <v>69.709999999999994</v>
      </c>
      <c r="AD515" s="4" t="s">
        <v>1633</v>
      </c>
      <c r="AE515" s="4" t="s">
        <v>1634</v>
      </c>
      <c r="AF515" s="4" t="s">
        <v>456</v>
      </c>
    </row>
    <row r="516" spans="1:35" ht="18" x14ac:dyDescent="0.3">
      <c r="A516" s="25" t="s">
        <v>1635</v>
      </c>
      <c r="B516" s="25"/>
      <c r="C516" s="30" t="s">
        <v>426</v>
      </c>
      <c r="D516" s="27"/>
      <c r="E516" s="27"/>
      <c r="F516" s="31" t="s">
        <v>70</v>
      </c>
      <c r="G516" s="32">
        <v>0.25</v>
      </c>
      <c r="H516" s="27"/>
      <c r="I516" s="33">
        <v>2.0379999999999998</v>
      </c>
      <c r="J516" s="34">
        <v>40.270000000000003</v>
      </c>
      <c r="K516" s="35"/>
      <c r="L516" s="35"/>
      <c r="M516" s="34">
        <f>ROUND(ROUND(J516, 2)*I516, 2)</f>
        <v>82.07</v>
      </c>
      <c r="N516" s="35"/>
      <c r="O516" s="35"/>
      <c r="P516" s="34">
        <v>40.270000000000003</v>
      </c>
      <c r="Q516" s="35"/>
      <c r="R516" s="35"/>
      <c r="S516" s="34">
        <f>ROUND(ROUND(P516, 2)*I516, 2)</f>
        <v>82.07</v>
      </c>
      <c r="T516" s="35"/>
      <c r="U516" s="36"/>
      <c r="V516" s="9">
        <f>ROUND(ROUND(P516, 2)/1.2, 2)</f>
        <v>33.56</v>
      </c>
      <c r="Y516" s="9">
        <f t="shared" si="52"/>
        <v>68.39</v>
      </c>
      <c r="AD516" s="4" t="s">
        <v>1636</v>
      </c>
      <c r="AE516" s="4" t="s">
        <v>1637</v>
      </c>
      <c r="AF516" s="4" t="s">
        <v>429</v>
      </c>
    </row>
    <row r="517" spans="1:35" ht="54" x14ac:dyDescent="0.3">
      <c r="A517" s="25" t="s">
        <v>1638</v>
      </c>
      <c r="B517" s="25" t="s">
        <v>1446</v>
      </c>
      <c r="C517" s="26" t="s">
        <v>1447</v>
      </c>
      <c r="D517" s="27"/>
      <c r="E517" s="27" t="s">
        <v>1639</v>
      </c>
      <c r="F517" s="27" t="s">
        <v>64</v>
      </c>
      <c r="G517" s="28">
        <v>1</v>
      </c>
      <c r="H517" s="27"/>
      <c r="I517" s="28">
        <v>127.34</v>
      </c>
      <c r="J517" s="29">
        <f>IFERROR(ROUND(SUM(M518,M519,M520,M521)/I517, 2),0)</f>
        <v>1542.93</v>
      </c>
      <c r="K517" s="29">
        <v>2364</v>
      </c>
      <c r="L517" s="29">
        <f>J517+ROUND(K517, 2)</f>
        <v>3906.93</v>
      </c>
      <c r="M517" s="29">
        <f>ROUND(J517*I517, 2)</f>
        <v>196476.71</v>
      </c>
      <c r="N517" s="29">
        <f>ROUND(I517*ROUND(K517, 2), 2)</f>
        <v>301031.76</v>
      </c>
      <c r="O517" s="29">
        <f>M517+N517</f>
        <v>497508.47</v>
      </c>
      <c r="P517" s="29">
        <f>IFERROR(ROUND(SUM(S518,S519,S520,S521)/I517, 2),0)</f>
        <v>1542.93</v>
      </c>
      <c r="Q517" s="29">
        <v>2364</v>
      </c>
      <c r="R517" s="29">
        <f>P517+ROUND(Q517, 2)</f>
        <v>3906.93</v>
      </c>
      <c r="S517" s="29">
        <f>ROUND(P517*I517, 2)</f>
        <v>196476.71</v>
      </c>
      <c r="T517" s="29">
        <f>ROUND(I517*ROUND(Q517, 2), 2)</f>
        <v>301031.76</v>
      </c>
      <c r="U517" s="29">
        <f>S517+T517</f>
        <v>497508.47</v>
      </c>
      <c r="V517" s="9">
        <f>ROUND(P517 / 1.2, 2)</f>
        <v>1285.78</v>
      </c>
      <c r="W517" s="9">
        <f>ROUND(Q517 / 1.2, 2)</f>
        <v>1970</v>
      </c>
      <c r="X517" s="9">
        <f>ROUND(R517 / 1.2, 2)</f>
        <v>3255.78</v>
      </c>
      <c r="Y517" s="9">
        <f t="shared" si="52"/>
        <v>163730.59</v>
      </c>
      <c r="Z517" s="9">
        <f>ROUND(T517 / 1.2, 2)</f>
        <v>250859.8</v>
      </c>
      <c r="AA517" s="9">
        <f>Y517+Z517</f>
        <v>414590.39</v>
      </c>
      <c r="AD517" s="4">
        <v>271132230</v>
      </c>
      <c r="AE517" s="4">
        <v>19989020</v>
      </c>
      <c r="AG517" s="4" t="s">
        <v>1449</v>
      </c>
      <c r="AH517" s="4" t="s">
        <v>1450</v>
      </c>
      <c r="AI517" s="4" t="s">
        <v>67</v>
      </c>
    </row>
    <row r="518" spans="1:35" ht="36" x14ac:dyDescent="0.3">
      <c r="A518" s="25" t="s">
        <v>1640</v>
      </c>
      <c r="B518" s="25"/>
      <c r="C518" s="17" t="s">
        <v>676</v>
      </c>
      <c r="D518" s="27"/>
      <c r="E518" s="27" t="s">
        <v>1641</v>
      </c>
      <c r="F518" s="31" t="s">
        <v>64</v>
      </c>
      <c r="G518" s="32">
        <v>1.07</v>
      </c>
      <c r="H518" s="27"/>
      <c r="I518" s="33">
        <v>136.25399999999999</v>
      </c>
      <c r="J518" s="34">
        <v>1384.95</v>
      </c>
      <c r="K518" s="35"/>
      <c r="L518" s="35"/>
      <c r="M518" s="34">
        <f>ROUND(ROUND(J518, 2)*I518, 2)</f>
        <v>188704.98</v>
      </c>
      <c r="N518" s="35"/>
      <c r="O518" s="35"/>
      <c r="P518" s="34">
        <v>1384.95</v>
      </c>
      <c r="Q518" s="35"/>
      <c r="R518" s="35"/>
      <c r="S518" s="34">
        <f>ROUND(ROUND(P518, 2)*I518, 2)</f>
        <v>188704.98</v>
      </c>
      <c r="T518" s="35"/>
      <c r="U518" s="36"/>
      <c r="V518" s="9">
        <f>ROUND(ROUND(P518, 2)/1.2, 2)</f>
        <v>1154.1300000000001</v>
      </c>
      <c r="Y518" s="9">
        <f t="shared" si="52"/>
        <v>157254.15</v>
      </c>
      <c r="AD518" s="4" t="s">
        <v>1642</v>
      </c>
      <c r="AE518" s="4" t="s">
        <v>1643</v>
      </c>
      <c r="AF518" s="4" t="s">
        <v>680</v>
      </c>
    </row>
    <row r="519" spans="1:35" ht="54" x14ac:dyDescent="0.3">
      <c r="A519" s="25" t="s">
        <v>1644</v>
      </c>
      <c r="B519" s="25"/>
      <c r="C519" s="17" t="s">
        <v>697</v>
      </c>
      <c r="D519" s="27"/>
      <c r="E519" s="27" t="s">
        <v>402</v>
      </c>
      <c r="F519" s="31" t="s">
        <v>70</v>
      </c>
      <c r="G519" s="32">
        <v>1.2</v>
      </c>
      <c r="H519" s="27"/>
      <c r="I519" s="33">
        <v>305.61599999999999</v>
      </c>
      <c r="J519" s="34">
        <v>16.96</v>
      </c>
      <c r="K519" s="35"/>
      <c r="L519" s="35"/>
      <c r="M519" s="34">
        <f>ROUND(ROUND(J519, 2)*I519, 2)</f>
        <v>5183.25</v>
      </c>
      <c r="N519" s="35"/>
      <c r="O519" s="35"/>
      <c r="P519" s="34">
        <v>16.96</v>
      </c>
      <c r="Q519" s="35"/>
      <c r="R519" s="35"/>
      <c r="S519" s="34">
        <f>ROUND(ROUND(P519, 2)*I519, 2)</f>
        <v>5183.25</v>
      </c>
      <c r="T519" s="35"/>
      <c r="U519" s="36"/>
      <c r="V519" s="9">
        <f>ROUND(ROUND(P519, 2)/1.2, 2)</f>
        <v>14.13</v>
      </c>
      <c r="Y519" s="9">
        <f t="shared" si="52"/>
        <v>4319.38</v>
      </c>
      <c r="AD519" s="4" t="s">
        <v>1645</v>
      </c>
      <c r="AE519" s="4" t="s">
        <v>1646</v>
      </c>
      <c r="AF519" s="4" t="s">
        <v>700</v>
      </c>
    </row>
    <row r="520" spans="1:35" ht="36" x14ac:dyDescent="0.3">
      <c r="A520" s="25" t="s">
        <v>1647</v>
      </c>
      <c r="B520" s="25"/>
      <c r="C520" s="30" t="s">
        <v>452</v>
      </c>
      <c r="D520" s="27"/>
      <c r="E520" s="27"/>
      <c r="F520" s="31" t="s">
        <v>70</v>
      </c>
      <c r="G520" s="32">
        <v>0.15</v>
      </c>
      <c r="H520" s="27"/>
      <c r="I520" s="32">
        <v>19.100999999999999</v>
      </c>
      <c r="J520" s="34">
        <v>68.400000000000006</v>
      </c>
      <c r="K520" s="35"/>
      <c r="L520" s="35"/>
      <c r="M520" s="34">
        <f>ROUND(ROUND(J520, 2)*I520, 2)</f>
        <v>1306.51</v>
      </c>
      <c r="N520" s="35"/>
      <c r="O520" s="35"/>
      <c r="P520" s="34">
        <v>68.400000000000006</v>
      </c>
      <c r="Q520" s="35"/>
      <c r="R520" s="35"/>
      <c r="S520" s="34">
        <f>ROUND(ROUND(P520, 2)*I520, 2)</f>
        <v>1306.51</v>
      </c>
      <c r="T520" s="35"/>
      <c r="U520" s="36"/>
      <c r="V520" s="9">
        <f>ROUND(ROUND(P520, 2)/1.2, 2)</f>
        <v>57</v>
      </c>
      <c r="Y520" s="9">
        <f t="shared" si="52"/>
        <v>1088.76</v>
      </c>
      <c r="AD520" s="4" t="s">
        <v>1648</v>
      </c>
      <c r="AE520" s="4" t="s">
        <v>1649</v>
      </c>
      <c r="AF520" s="4" t="s">
        <v>456</v>
      </c>
    </row>
    <row r="521" spans="1:35" ht="18" x14ac:dyDescent="0.3">
      <c r="A521" s="25" t="s">
        <v>1650</v>
      </c>
      <c r="B521" s="25"/>
      <c r="C521" s="30" t="s">
        <v>426</v>
      </c>
      <c r="D521" s="27"/>
      <c r="E521" s="27"/>
      <c r="F521" s="31" t="s">
        <v>70</v>
      </c>
      <c r="G521" s="32">
        <v>0.25</v>
      </c>
      <c r="H521" s="27"/>
      <c r="I521" s="33">
        <v>31.835000000000001</v>
      </c>
      <c r="J521" s="34">
        <v>40.270000000000003</v>
      </c>
      <c r="K521" s="35"/>
      <c r="L521" s="35"/>
      <c r="M521" s="34">
        <f>ROUND(ROUND(J521, 2)*I521, 2)</f>
        <v>1282</v>
      </c>
      <c r="N521" s="35"/>
      <c r="O521" s="35"/>
      <c r="P521" s="34">
        <v>40.270000000000003</v>
      </c>
      <c r="Q521" s="35"/>
      <c r="R521" s="35"/>
      <c r="S521" s="34">
        <f>ROUND(ROUND(P521, 2)*I521, 2)</f>
        <v>1282</v>
      </c>
      <c r="T521" s="35"/>
      <c r="U521" s="36"/>
      <c r="V521" s="9">
        <f>ROUND(ROUND(P521, 2)/1.2, 2)</f>
        <v>33.56</v>
      </c>
      <c r="Y521" s="9">
        <f t="shared" si="52"/>
        <v>1068.33</v>
      </c>
      <c r="AD521" s="4" t="s">
        <v>1651</v>
      </c>
      <c r="AE521" s="4" t="s">
        <v>1652</v>
      </c>
      <c r="AF521" s="4" t="s">
        <v>429</v>
      </c>
    </row>
    <row r="522" spans="1:35" ht="54" x14ac:dyDescent="0.3">
      <c r="A522" s="25" t="s">
        <v>1653</v>
      </c>
      <c r="B522" s="25" t="s">
        <v>1446</v>
      </c>
      <c r="C522" s="26" t="s">
        <v>1447</v>
      </c>
      <c r="D522" s="27"/>
      <c r="E522" s="27" t="s">
        <v>1654</v>
      </c>
      <c r="F522" s="27" t="s">
        <v>64</v>
      </c>
      <c r="G522" s="28">
        <v>1</v>
      </c>
      <c r="H522" s="27"/>
      <c r="I522" s="28">
        <v>351.08</v>
      </c>
      <c r="J522" s="29">
        <f>IFERROR(ROUND(SUM(M523,M524,M525,M526,M527)/I522, 2),0)</f>
        <v>1554.28</v>
      </c>
      <c r="K522" s="29">
        <v>2364</v>
      </c>
      <c r="L522" s="29">
        <f>J522+ROUND(K522, 2)</f>
        <v>3918.28</v>
      </c>
      <c r="M522" s="29">
        <f>ROUND(J522*I522, 2)</f>
        <v>545676.62</v>
      </c>
      <c r="N522" s="29">
        <f>ROUND(I522*ROUND(K522, 2), 2)</f>
        <v>829953.12</v>
      </c>
      <c r="O522" s="29">
        <f>M522+N522</f>
        <v>1375629.74</v>
      </c>
      <c r="P522" s="29">
        <f>IFERROR(ROUND(SUM(S523,S524,S525,S526,S527)/I522, 2),0)</f>
        <v>1554.28</v>
      </c>
      <c r="Q522" s="29">
        <v>2364</v>
      </c>
      <c r="R522" s="29">
        <f>P522+ROUND(Q522, 2)</f>
        <v>3918.28</v>
      </c>
      <c r="S522" s="29">
        <f>ROUND(P522*I522, 2)</f>
        <v>545676.62</v>
      </c>
      <c r="T522" s="29">
        <f>ROUND(I522*ROUND(Q522, 2), 2)</f>
        <v>829953.12</v>
      </c>
      <c r="U522" s="29">
        <f>S522+T522</f>
        <v>1375629.74</v>
      </c>
      <c r="V522" s="9">
        <f>ROUND(P522 / 1.2, 2)</f>
        <v>1295.23</v>
      </c>
      <c r="W522" s="9">
        <f>ROUND(Q522 / 1.2, 2)</f>
        <v>1970</v>
      </c>
      <c r="X522" s="9">
        <f>ROUND(R522 / 1.2, 2)</f>
        <v>3265.23</v>
      </c>
      <c r="Y522" s="9">
        <f t="shared" si="52"/>
        <v>454730.52</v>
      </c>
      <c r="Z522" s="9">
        <f>ROUND(T522 / 1.2, 2)</f>
        <v>691627.6</v>
      </c>
      <c r="AA522" s="9">
        <f>Y522+Z522</f>
        <v>1146358.1200000001</v>
      </c>
      <c r="AD522" s="4">
        <v>271132231</v>
      </c>
      <c r="AE522" s="4">
        <v>19989016</v>
      </c>
      <c r="AG522" s="4" t="s">
        <v>1449</v>
      </c>
      <c r="AH522" s="4" t="s">
        <v>1450</v>
      </c>
      <c r="AI522" s="4" t="s">
        <v>67</v>
      </c>
    </row>
    <row r="523" spans="1:35" ht="54" x14ac:dyDescent="0.3">
      <c r="A523" s="25" t="s">
        <v>1655</v>
      </c>
      <c r="B523" s="25"/>
      <c r="C523" s="17" t="s">
        <v>676</v>
      </c>
      <c r="D523" s="27"/>
      <c r="E523" s="27" t="s">
        <v>1542</v>
      </c>
      <c r="F523" s="31" t="s">
        <v>64</v>
      </c>
      <c r="G523" s="32">
        <v>1.07</v>
      </c>
      <c r="H523" s="27"/>
      <c r="I523" s="33">
        <v>375.65600000000001</v>
      </c>
      <c r="J523" s="34">
        <v>1384.95</v>
      </c>
      <c r="K523" s="35"/>
      <c r="L523" s="35"/>
      <c r="M523" s="34">
        <f>ROUND(ROUND(J523, 2)*I523, 2)</f>
        <v>520264.78</v>
      </c>
      <c r="N523" s="35"/>
      <c r="O523" s="35"/>
      <c r="P523" s="34">
        <v>1384.95</v>
      </c>
      <c r="Q523" s="35"/>
      <c r="R523" s="35"/>
      <c r="S523" s="34">
        <f>ROUND(ROUND(P523, 2)*I523, 2)</f>
        <v>520264.78</v>
      </c>
      <c r="T523" s="35"/>
      <c r="U523" s="36"/>
      <c r="V523" s="9">
        <f>ROUND(ROUND(P523, 2)/1.2, 2)</f>
        <v>1154.1300000000001</v>
      </c>
      <c r="Y523" s="9">
        <f t="shared" si="52"/>
        <v>433553.98</v>
      </c>
      <c r="AD523" s="4" t="s">
        <v>1656</v>
      </c>
      <c r="AE523" s="4" t="s">
        <v>1657</v>
      </c>
      <c r="AF523" s="4" t="s">
        <v>680</v>
      </c>
    </row>
    <row r="524" spans="1:35" ht="54" x14ac:dyDescent="0.3">
      <c r="A524" s="25" t="s">
        <v>1658</v>
      </c>
      <c r="B524" s="25"/>
      <c r="C524" s="17" t="s">
        <v>1546</v>
      </c>
      <c r="D524" s="27"/>
      <c r="E524" s="27" t="s">
        <v>1552</v>
      </c>
      <c r="F524" s="31" t="s">
        <v>87</v>
      </c>
      <c r="G524" s="32">
        <v>0.23</v>
      </c>
      <c r="H524" s="27"/>
      <c r="I524" s="33">
        <v>17.728000000000002</v>
      </c>
      <c r="J524" s="34">
        <v>96.24</v>
      </c>
      <c r="K524" s="35"/>
      <c r="L524" s="35"/>
      <c r="M524" s="34">
        <f>ROUND(ROUND(J524, 2)*I524, 2)</f>
        <v>1706.14</v>
      </c>
      <c r="N524" s="35"/>
      <c r="O524" s="35"/>
      <c r="P524" s="34">
        <v>96.24</v>
      </c>
      <c r="Q524" s="35"/>
      <c r="R524" s="35"/>
      <c r="S524" s="34">
        <f>ROUND(ROUND(P524, 2)*I524, 2)</f>
        <v>1706.14</v>
      </c>
      <c r="T524" s="35"/>
      <c r="U524" s="36"/>
      <c r="V524" s="9">
        <f>ROUND(ROUND(P524, 2)/1.2, 2)</f>
        <v>80.2</v>
      </c>
      <c r="Y524" s="9">
        <f t="shared" si="52"/>
        <v>1421.78</v>
      </c>
      <c r="AD524" s="4" t="s">
        <v>1659</v>
      </c>
      <c r="AE524" s="4" t="s">
        <v>1660</v>
      </c>
      <c r="AF524" s="4" t="s">
        <v>1550</v>
      </c>
    </row>
    <row r="525" spans="1:35" ht="54" x14ac:dyDescent="0.3">
      <c r="A525" s="25" t="s">
        <v>1661</v>
      </c>
      <c r="B525" s="25"/>
      <c r="C525" s="17" t="s">
        <v>697</v>
      </c>
      <c r="D525" s="27"/>
      <c r="E525" s="27" t="s">
        <v>402</v>
      </c>
      <c r="F525" s="31" t="s">
        <v>70</v>
      </c>
      <c r="G525" s="32">
        <v>1.2</v>
      </c>
      <c r="H525" s="27"/>
      <c r="I525" s="33">
        <v>842.59199999999998</v>
      </c>
      <c r="J525" s="34">
        <v>16.96</v>
      </c>
      <c r="K525" s="35"/>
      <c r="L525" s="35"/>
      <c r="M525" s="34">
        <f>ROUND(ROUND(J525, 2)*I525, 2)</f>
        <v>14290.36</v>
      </c>
      <c r="N525" s="35"/>
      <c r="O525" s="35"/>
      <c r="P525" s="34">
        <v>16.96</v>
      </c>
      <c r="Q525" s="35"/>
      <c r="R525" s="35"/>
      <c r="S525" s="34">
        <f>ROUND(ROUND(P525, 2)*I525, 2)</f>
        <v>14290.36</v>
      </c>
      <c r="T525" s="35"/>
      <c r="U525" s="36"/>
      <c r="V525" s="9">
        <f>ROUND(ROUND(P525, 2)/1.2, 2)</f>
        <v>14.13</v>
      </c>
      <c r="Y525" s="9">
        <f t="shared" si="52"/>
        <v>11908.63</v>
      </c>
      <c r="AD525" s="4" t="s">
        <v>1662</v>
      </c>
      <c r="AE525" s="4" t="s">
        <v>1663</v>
      </c>
      <c r="AF525" s="4" t="s">
        <v>700</v>
      </c>
    </row>
    <row r="526" spans="1:35" ht="36" x14ac:dyDescent="0.3">
      <c r="A526" s="25" t="s">
        <v>1664</v>
      </c>
      <c r="B526" s="25"/>
      <c r="C526" s="30" t="s">
        <v>452</v>
      </c>
      <c r="D526" s="27"/>
      <c r="E526" s="27"/>
      <c r="F526" s="31" t="s">
        <v>70</v>
      </c>
      <c r="G526" s="32">
        <v>0.15</v>
      </c>
      <c r="H526" s="27"/>
      <c r="I526" s="32">
        <v>52.661999999999999</v>
      </c>
      <c r="J526" s="34">
        <v>68.400000000000006</v>
      </c>
      <c r="K526" s="35"/>
      <c r="L526" s="35"/>
      <c r="M526" s="34">
        <f>ROUND(ROUND(J526, 2)*I526, 2)</f>
        <v>3602.08</v>
      </c>
      <c r="N526" s="35"/>
      <c r="O526" s="35"/>
      <c r="P526" s="34">
        <v>68.400000000000006</v>
      </c>
      <c r="Q526" s="35"/>
      <c r="R526" s="35"/>
      <c r="S526" s="34">
        <f>ROUND(ROUND(P526, 2)*I526, 2)</f>
        <v>3602.08</v>
      </c>
      <c r="T526" s="35"/>
      <c r="U526" s="36"/>
      <c r="V526" s="9">
        <f>ROUND(ROUND(P526, 2)/1.2, 2)</f>
        <v>57</v>
      </c>
      <c r="Y526" s="9">
        <f t="shared" si="52"/>
        <v>3001.73</v>
      </c>
      <c r="AD526" s="4" t="s">
        <v>1665</v>
      </c>
      <c r="AE526" s="4" t="s">
        <v>1666</v>
      </c>
      <c r="AF526" s="4" t="s">
        <v>456</v>
      </c>
    </row>
    <row r="527" spans="1:35" ht="18" x14ac:dyDescent="0.3">
      <c r="A527" s="25" t="s">
        <v>1667</v>
      </c>
      <c r="B527" s="25"/>
      <c r="C527" s="30" t="s">
        <v>1668</v>
      </c>
      <c r="D527" s="27"/>
      <c r="E527" s="27" t="s">
        <v>1669</v>
      </c>
      <c r="F527" s="31" t="s">
        <v>70</v>
      </c>
      <c r="G527" s="32">
        <v>0.25</v>
      </c>
      <c r="H527" s="27"/>
      <c r="I527" s="33">
        <v>87.77</v>
      </c>
      <c r="J527" s="34">
        <v>66.23</v>
      </c>
      <c r="K527" s="35"/>
      <c r="L527" s="35"/>
      <c r="M527" s="34">
        <f>ROUND(ROUND(J527, 2)*I527, 2)</f>
        <v>5813.01</v>
      </c>
      <c r="N527" s="35"/>
      <c r="O527" s="35"/>
      <c r="P527" s="34">
        <v>66.23</v>
      </c>
      <c r="Q527" s="35"/>
      <c r="R527" s="35"/>
      <c r="S527" s="34">
        <f>ROUND(ROUND(P527, 2)*I527, 2)</f>
        <v>5813.01</v>
      </c>
      <c r="T527" s="35"/>
      <c r="U527" s="36"/>
      <c r="V527" s="9">
        <f>ROUND(ROUND(P527, 2)/1.2, 2)</f>
        <v>55.19</v>
      </c>
      <c r="Y527" s="9">
        <f t="shared" si="52"/>
        <v>4844.18</v>
      </c>
      <c r="AD527" s="4" t="s">
        <v>1670</v>
      </c>
      <c r="AE527" s="4" t="s">
        <v>1671</v>
      </c>
      <c r="AF527" s="4" t="s">
        <v>1672</v>
      </c>
    </row>
    <row r="528" spans="1:35" ht="54" x14ac:dyDescent="0.3">
      <c r="A528" s="25" t="s">
        <v>1673</v>
      </c>
      <c r="B528" s="25" t="s">
        <v>1674</v>
      </c>
      <c r="C528" s="26" t="s">
        <v>1675</v>
      </c>
      <c r="D528" s="27"/>
      <c r="E528" s="27" t="s">
        <v>1676</v>
      </c>
      <c r="F528" s="27" t="s">
        <v>64</v>
      </c>
      <c r="G528" s="28">
        <v>1</v>
      </c>
      <c r="H528" s="27"/>
      <c r="I528" s="28">
        <v>3.87</v>
      </c>
      <c r="J528" s="29">
        <f>IFERROR(ROUND(SUM(M529,M530,M531,M532)/I528, 2),0)</f>
        <v>2287.88</v>
      </c>
      <c r="K528" s="29">
        <v>2983</v>
      </c>
      <c r="L528" s="29">
        <f>J528+ROUND(K528, 2)</f>
        <v>5270.88</v>
      </c>
      <c r="M528" s="29">
        <f>ROUND(J528*I528, 2)</f>
        <v>8854.1</v>
      </c>
      <c r="N528" s="29">
        <f>ROUND(I528*ROUND(K528, 2), 2)</f>
        <v>11544.21</v>
      </c>
      <c r="O528" s="29">
        <f>M528+N528</f>
        <v>20398.310000000001</v>
      </c>
      <c r="P528" s="29">
        <f>IFERROR(ROUND(SUM(S529,S530,S531,S532)/I528, 2),0)</f>
        <v>2287.88</v>
      </c>
      <c r="Q528" s="29">
        <v>2983</v>
      </c>
      <c r="R528" s="29">
        <f>P528+ROUND(Q528, 2)</f>
        <v>5270.88</v>
      </c>
      <c r="S528" s="29">
        <f>ROUND(P528*I528, 2)</f>
        <v>8854.1</v>
      </c>
      <c r="T528" s="29">
        <f>ROUND(I528*ROUND(Q528, 2), 2)</f>
        <v>11544.21</v>
      </c>
      <c r="U528" s="29">
        <f>S528+T528</f>
        <v>20398.310000000001</v>
      </c>
      <c r="V528" s="9">
        <f>ROUND(P528 / 1.2, 2)</f>
        <v>1906.57</v>
      </c>
      <c r="W528" s="9">
        <f>ROUND(Q528 / 1.2, 2)</f>
        <v>2485.83</v>
      </c>
      <c r="X528" s="9">
        <f>ROUND(R528 / 1.2, 2)</f>
        <v>4392.3999999999996</v>
      </c>
      <c r="Y528" s="9">
        <f t="shared" si="52"/>
        <v>7378.42</v>
      </c>
      <c r="Z528" s="9">
        <f>ROUND(T528 / 1.2, 2)</f>
        <v>9620.18</v>
      </c>
      <c r="AA528" s="9">
        <f>Y528+Z528</f>
        <v>16998.599999999999</v>
      </c>
      <c r="AD528" s="4">
        <v>271132118</v>
      </c>
      <c r="AE528" s="4">
        <v>19977068</v>
      </c>
      <c r="AG528" s="4" t="s">
        <v>1677</v>
      </c>
      <c r="AH528" s="4" t="s">
        <v>1678</v>
      </c>
      <c r="AI528" s="4" t="s">
        <v>67</v>
      </c>
    </row>
    <row r="529" spans="1:35" ht="54" x14ac:dyDescent="0.3">
      <c r="A529" s="25" t="s">
        <v>1679</v>
      </c>
      <c r="B529" s="25"/>
      <c r="C529" s="30" t="s">
        <v>1680</v>
      </c>
      <c r="D529" s="27"/>
      <c r="E529" s="27" t="s">
        <v>1681</v>
      </c>
      <c r="F529" s="31" t="s">
        <v>64</v>
      </c>
      <c r="G529" s="32">
        <v>1.1000000000000001</v>
      </c>
      <c r="H529" s="27"/>
      <c r="I529" s="33">
        <v>4.2569999999999997</v>
      </c>
      <c r="J529" s="34">
        <v>2024.4</v>
      </c>
      <c r="K529" s="35"/>
      <c r="L529" s="35"/>
      <c r="M529" s="34">
        <f>ROUND(ROUND(J529, 2)*I529, 2)</f>
        <v>8617.8700000000008</v>
      </c>
      <c r="N529" s="35"/>
      <c r="O529" s="35"/>
      <c r="P529" s="34">
        <v>2024.4</v>
      </c>
      <c r="Q529" s="35"/>
      <c r="R529" s="35"/>
      <c r="S529" s="34">
        <f>ROUND(ROUND(P529, 2)*I529, 2)</f>
        <v>8617.8700000000008</v>
      </c>
      <c r="T529" s="35"/>
      <c r="U529" s="36"/>
      <c r="V529" s="9">
        <f>ROUND(ROUND(P529, 2)/1.2, 2)</f>
        <v>1687</v>
      </c>
      <c r="Y529" s="9">
        <f t="shared" si="52"/>
        <v>7181.56</v>
      </c>
      <c r="AD529" s="4" t="s">
        <v>1682</v>
      </c>
      <c r="AE529" s="4" t="s">
        <v>1683</v>
      </c>
      <c r="AF529" s="4" t="s">
        <v>1684</v>
      </c>
    </row>
    <row r="530" spans="1:35" ht="54" x14ac:dyDescent="0.3">
      <c r="A530" s="25" t="s">
        <v>1685</v>
      </c>
      <c r="B530" s="25"/>
      <c r="C530" s="17" t="s">
        <v>697</v>
      </c>
      <c r="D530" s="27"/>
      <c r="E530" s="27" t="s">
        <v>402</v>
      </c>
      <c r="F530" s="31" t="s">
        <v>70</v>
      </c>
      <c r="G530" s="32">
        <v>1.2</v>
      </c>
      <c r="H530" s="27"/>
      <c r="I530" s="33">
        <v>9.2880000000000003</v>
      </c>
      <c r="J530" s="34">
        <v>16.96</v>
      </c>
      <c r="K530" s="35"/>
      <c r="L530" s="35"/>
      <c r="M530" s="34">
        <f>ROUND(ROUND(J530, 2)*I530, 2)</f>
        <v>157.52000000000001</v>
      </c>
      <c r="N530" s="35"/>
      <c r="O530" s="35"/>
      <c r="P530" s="34">
        <v>16.96</v>
      </c>
      <c r="Q530" s="35"/>
      <c r="R530" s="35"/>
      <c r="S530" s="34">
        <f>ROUND(ROUND(P530, 2)*I530, 2)</f>
        <v>157.52000000000001</v>
      </c>
      <c r="T530" s="35"/>
      <c r="U530" s="36"/>
      <c r="V530" s="9">
        <f>ROUND(ROUND(P530, 2)/1.2, 2)</f>
        <v>14.13</v>
      </c>
      <c r="Y530" s="9">
        <f t="shared" si="52"/>
        <v>131.27000000000001</v>
      </c>
      <c r="AD530" s="4" t="s">
        <v>1686</v>
      </c>
      <c r="AE530" s="4" t="s">
        <v>1687</v>
      </c>
      <c r="AF530" s="4" t="s">
        <v>700</v>
      </c>
    </row>
    <row r="531" spans="1:35" ht="18" x14ac:dyDescent="0.3">
      <c r="A531" s="25" t="s">
        <v>1688</v>
      </c>
      <c r="B531" s="25"/>
      <c r="C531" s="30" t="s">
        <v>426</v>
      </c>
      <c r="D531" s="27"/>
      <c r="E531" s="27"/>
      <c r="F531" s="31" t="s">
        <v>70</v>
      </c>
      <c r="G531" s="32">
        <v>0.25</v>
      </c>
      <c r="H531" s="27"/>
      <c r="I531" s="33">
        <v>0.96799999999999997</v>
      </c>
      <c r="J531" s="34">
        <v>40.270000000000003</v>
      </c>
      <c r="K531" s="35"/>
      <c r="L531" s="35"/>
      <c r="M531" s="34">
        <f>ROUND(ROUND(J531, 2)*I531, 2)</f>
        <v>38.979999999999997</v>
      </c>
      <c r="N531" s="35"/>
      <c r="O531" s="35"/>
      <c r="P531" s="34">
        <v>40.270000000000003</v>
      </c>
      <c r="Q531" s="35"/>
      <c r="R531" s="35"/>
      <c r="S531" s="34">
        <f>ROUND(ROUND(P531, 2)*I531, 2)</f>
        <v>38.979999999999997</v>
      </c>
      <c r="T531" s="35"/>
      <c r="U531" s="36"/>
      <c r="V531" s="9">
        <f>ROUND(ROUND(P531, 2)/1.2, 2)</f>
        <v>33.56</v>
      </c>
      <c r="Y531" s="9">
        <f t="shared" si="52"/>
        <v>32.479999999999997</v>
      </c>
      <c r="AD531" s="4" t="s">
        <v>1689</v>
      </c>
      <c r="AE531" s="4" t="s">
        <v>1690</v>
      </c>
      <c r="AF531" s="4" t="s">
        <v>429</v>
      </c>
    </row>
    <row r="532" spans="1:35" ht="36" x14ac:dyDescent="0.3">
      <c r="A532" s="25" t="s">
        <v>1691</v>
      </c>
      <c r="B532" s="25"/>
      <c r="C532" s="30" t="s">
        <v>452</v>
      </c>
      <c r="D532" s="27"/>
      <c r="E532" s="27"/>
      <c r="F532" s="31" t="s">
        <v>70</v>
      </c>
      <c r="G532" s="32">
        <v>0.15</v>
      </c>
      <c r="H532" s="27"/>
      <c r="I532" s="32">
        <v>0.58099999999999996</v>
      </c>
      <c r="J532" s="34">
        <v>68.400000000000006</v>
      </c>
      <c r="K532" s="35"/>
      <c r="L532" s="35"/>
      <c r="M532" s="34">
        <f>ROUND(ROUND(J532, 2)*I532, 2)</f>
        <v>39.74</v>
      </c>
      <c r="N532" s="35"/>
      <c r="O532" s="35"/>
      <c r="P532" s="34">
        <v>68.400000000000006</v>
      </c>
      <c r="Q532" s="35"/>
      <c r="R532" s="35"/>
      <c r="S532" s="34">
        <f>ROUND(ROUND(P532, 2)*I532, 2)</f>
        <v>39.74</v>
      </c>
      <c r="T532" s="35"/>
      <c r="U532" s="36"/>
      <c r="V532" s="9">
        <f>ROUND(ROUND(P532, 2)/1.2, 2)</f>
        <v>57</v>
      </c>
      <c r="Y532" s="9">
        <f t="shared" si="52"/>
        <v>33.119999999999997</v>
      </c>
      <c r="AD532" s="4" t="s">
        <v>1692</v>
      </c>
      <c r="AE532" s="4" t="s">
        <v>1693</v>
      </c>
      <c r="AF532" s="4" t="s">
        <v>456</v>
      </c>
    </row>
    <row r="533" spans="1:35" ht="54" x14ac:dyDescent="0.3">
      <c r="A533" s="25" t="s">
        <v>1694</v>
      </c>
      <c r="B533" s="25" t="s">
        <v>1674</v>
      </c>
      <c r="C533" s="26" t="s">
        <v>1675</v>
      </c>
      <c r="D533" s="27"/>
      <c r="E533" s="27" t="s">
        <v>1695</v>
      </c>
      <c r="F533" s="27" t="s">
        <v>64</v>
      </c>
      <c r="G533" s="28">
        <v>1</v>
      </c>
      <c r="H533" s="27"/>
      <c r="I533" s="28">
        <v>4.41</v>
      </c>
      <c r="J533" s="29">
        <f>IFERROR(ROUND(SUM(M534,M535,M536,M537)/I533, 2),0)</f>
        <v>1002.54</v>
      </c>
      <c r="K533" s="29">
        <v>2983</v>
      </c>
      <c r="L533" s="29">
        <f>J533+ROUND(K533, 2)</f>
        <v>3985.54</v>
      </c>
      <c r="M533" s="29">
        <f>ROUND(J533*I533, 2)</f>
        <v>4421.2</v>
      </c>
      <c r="N533" s="29">
        <f>ROUND(I533*ROUND(K533, 2), 2)</f>
        <v>13155.03</v>
      </c>
      <c r="O533" s="29">
        <f>M533+N533</f>
        <v>17576.23</v>
      </c>
      <c r="P533" s="29">
        <f>IFERROR(ROUND(SUM(S534,S535,S536,S537)/I533, 2),0)</f>
        <v>1002.54</v>
      </c>
      <c r="Q533" s="29">
        <v>2983</v>
      </c>
      <c r="R533" s="29">
        <f>P533+ROUND(Q533, 2)</f>
        <v>3985.54</v>
      </c>
      <c r="S533" s="29">
        <f>ROUND(P533*I533, 2)</f>
        <v>4421.2</v>
      </c>
      <c r="T533" s="29">
        <f>ROUND(I533*ROUND(Q533, 2), 2)</f>
        <v>13155.03</v>
      </c>
      <c r="U533" s="29">
        <f>S533+T533</f>
        <v>17576.23</v>
      </c>
      <c r="V533" s="9">
        <f>ROUND(P533 / 1.2, 2)</f>
        <v>835.45</v>
      </c>
      <c r="W533" s="9">
        <f>ROUND(Q533 / 1.2, 2)</f>
        <v>2485.83</v>
      </c>
      <c r="X533" s="9">
        <f>ROUND(R533 / 1.2, 2)</f>
        <v>3321.28</v>
      </c>
      <c r="Y533" s="9">
        <f t="shared" si="52"/>
        <v>3684.33</v>
      </c>
      <c r="Z533" s="9">
        <f>ROUND(T533 / 1.2, 2)</f>
        <v>10962.53</v>
      </c>
      <c r="AA533" s="9">
        <f>Y533+Z533</f>
        <v>14646.86</v>
      </c>
      <c r="AD533" s="4">
        <v>271132232</v>
      </c>
      <c r="AE533" s="4">
        <v>19989082</v>
      </c>
      <c r="AG533" s="4" t="s">
        <v>1677</v>
      </c>
      <c r="AH533" s="4" t="s">
        <v>1678</v>
      </c>
      <c r="AI533" s="4" t="s">
        <v>67</v>
      </c>
    </row>
    <row r="534" spans="1:35" ht="36" x14ac:dyDescent="0.3">
      <c r="A534" s="25" t="s">
        <v>1696</v>
      </c>
      <c r="B534" s="25"/>
      <c r="C534" s="30" t="s">
        <v>452</v>
      </c>
      <c r="D534" s="27"/>
      <c r="E534" s="27"/>
      <c r="F534" s="31" t="s">
        <v>70</v>
      </c>
      <c r="G534" s="32">
        <v>0.15</v>
      </c>
      <c r="H534" s="27"/>
      <c r="I534" s="32">
        <v>0.66200000000000003</v>
      </c>
      <c r="J534" s="34">
        <v>68.400000000000006</v>
      </c>
      <c r="K534" s="35"/>
      <c r="L534" s="35"/>
      <c r="M534" s="34">
        <f>ROUND(ROUND(J534, 2)*I534, 2)</f>
        <v>45.28</v>
      </c>
      <c r="N534" s="35"/>
      <c r="O534" s="35"/>
      <c r="P534" s="34">
        <v>68.400000000000006</v>
      </c>
      <c r="Q534" s="35"/>
      <c r="R534" s="35"/>
      <c r="S534" s="34">
        <f>ROUND(ROUND(P534, 2)*I534, 2)</f>
        <v>45.28</v>
      </c>
      <c r="T534" s="35"/>
      <c r="U534" s="36"/>
      <c r="V534" s="9">
        <f>ROUND(ROUND(P534, 2)/1.2, 2)</f>
        <v>57</v>
      </c>
      <c r="Y534" s="9">
        <f t="shared" si="52"/>
        <v>37.729999999999997</v>
      </c>
      <c r="AD534" s="4" t="s">
        <v>1697</v>
      </c>
      <c r="AE534" s="4" t="s">
        <v>1698</v>
      </c>
      <c r="AF534" s="4" t="s">
        <v>456</v>
      </c>
    </row>
    <row r="535" spans="1:35" ht="18" x14ac:dyDescent="0.3">
      <c r="A535" s="25" t="s">
        <v>1699</v>
      </c>
      <c r="B535" s="25"/>
      <c r="C535" s="30" t="s">
        <v>1668</v>
      </c>
      <c r="D535" s="27"/>
      <c r="E535" s="27"/>
      <c r="F535" s="31" t="s">
        <v>70</v>
      </c>
      <c r="G535" s="32">
        <v>0.25</v>
      </c>
      <c r="H535" s="27"/>
      <c r="I535" s="33">
        <v>1.103</v>
      </c>
      <c r="J535" s="34">
        <v>66.23</v>
      </c>
      <c r="K535" s="35"/>
      <c r="L535" s="35"/>
      <c r="M535" s="34">
        <f>ROUND(ROUND(J535, 2)*I535, 2)</f>
        <v>73.05</v>
      </c>
      <c r="N535" s="35"/>
      <c r="O535" s="35"/>
      <c r="P535" s="34">
        <v>66.23</v>
      </c>
      <c r="Q535" s="35"/>
      <c r="R535" s="35"/>
      <c r="S535" s="34">
        <f>ROUND(ROUND(P535, 2)*I535, 2)</f>
        <v>73.05</v>
      </c>
      <c r="T535" s="35"/>
      <c r="U535" s="36"/>
      <c r="V535" s="9">
        <f>ROUND(ROUND(P535, 2)/1.2, 2)</f>
        <v>55.19</v>
      </c>
      <c r="Y535" s="9">
        <f t="shared" si="52"/>
        <v>60.88</v>
      </c>
      <c r="AD535" s="4" t="s">
        <v>1700</v>
      </c>
      <c r="AE535" s="4" t="s">
        <v>1701</v>
      </c>
      <c r="AF535" s="4" t="s">
        <v>1672</v>
      </c>
    </row>
    <row r="536" spans="1:35" ht="54" x14ac:dyDescent="0.3">
      <c r="A536" s="25" t="s">
        <v>1702</v>
      </c>
      <c r="B536" s="25"/>
      <c r="C536" s="17" t="s">
        <v>697</v>
      </c>
      <c r="D536" s="27"/>
      <c r="E536" s="27" t="s">
        <v>402</v>
      </c>
      <c r="F536" s="31" t="s">
        <v>70</v>
      </c>
      <c r="G536" s="32">
        <v>1.2</v>
      </c>
      <c r="H536" s="27"/>
      <c r="I536" s="33">
        <v>10.584</v>
      </c>
      <c r="J536" s="34">
        <v>16.96</v>
      </c>
      <c r="K536" s="35"/>
      <c r="L536" s="35"/>
      <c r="M536" s="34">
        <f>ROUND(ROUND(J536, 2)*I536, 2)</f>
        <v>179.5</v>
      </c>
      <c r="N536" s="35"/>
      <c r="O536" s="35"/>
      <c r="P536" s="34">
        <v>16.96</v>
      </c>
      <c r="Q536" s="35"/>
      <c r="R536" s="35"/>
      <c r="S536" s="34">
        <f>ROUND(ROUND(P536, 2)*I536, 2)</f>
        <v>179.5</v>
      </c>
      <c r="T536" s="35"/>
      <c r="U536" s="36"/>
      <c r="V536" s="9">
        <f>ROUND(ROUND(P536, 2)/1.2, 2)</f>
        <v>14.13</v>
      </c>
      <c r="Y536" s="9">
        <f t="shared" si="52"/>
        <v>149.58000000000001</v>
      </c>
      <c r="AD536" s="4" t="s">
        <v>1703</v>
      </c>
      <c r="AE536" s="4" t="s">
        <v>1704</v>
      </c>
      <c r="AF536" s="4" t="s">
        <v>700</v>
      </c>
    </row>
    <row r="537" spans="1:35" ht="54" x14ac:dyDescent="0.3">
      <c r="A537" s="25" t="s">
        <v>1705</v>
      </c>
      <c r="B537" s="25"/>
      <c r="C537" s="17" t="s">
        <v>512</v>
      </c>
      <c r="D537" s="27"/>
      <c r="E537" s="27" t="s">
        <v>1706</v>
      </c>
      <c r="F537" s="31" t="s">
        <v>64</v>
      </c>
      <c r="G537" s="32">
        <v>1.1000000000000001</v>
      </c>
      <c r="H537" s="27"/>
      <c r="I537" s="33">
        <v>4.851</v>
      </c>
      <c r="J537" s="34">
        <v>850</v>
      </c>
      <c r="K537" s="35"/>
      <c r="L537" s="35"/>
      <c r="M537" s="34">
        <f>ROUND(ROUND(J537, 2)*I537, 2)</f>
        <v>4123.3500000000004</v>
      </c>
      <c r="N537" s="35"/>
      <c r="O537" s="35"/>
      <c r="P537" s="34">
        <v>850</v>
      </c>
      <c r="Q537" s="35"/>
      <c r="R537" s="35"/>
      <c r="S537" s="34">
        <f>ROUND(ROUND(P537, 2)*I537, 2)</f>
        <v>4123.3500000000004</v>
      </c>
      <c r="T537" s="35"/>
      <c r="U537" s="36"/>
      <c r="V537" s="9">
        <f>ROUND(ROUND(P537, 2)/1.2, 2)</f>
        <v>708.33</v>
      </c>
      <c r="Y537" s="9">
        <f t="shared" si="52"/>
        <v>3436.13</v>
      </c>
      <c r="AD537" s="4" t="s">
        <v>1707</v>
      </c>
      <c r="AE537" s="4" t="s">
        <v>1708</v>
      </c>
      <c r="AF537" s="4" t="s">
        <v>516</v>
      </c>
    </row>
    <row r="538" spans="1:35" ht="17.100000000000001" customHeight="1" x14ac:dyDescent="0.3">
      <c r="A538" s="10" t="s">
        <v>1709</v>
      </c>
      <c r="B538" s="10" t="s">
        <v>1710</v>
      </c>
      <c r="C538" s="185" t="s">
        <v>1711</v>
      </c>
      <c r="D538" s="186"/>
      <c r="E538" s="186"/>
      <c r="F538" s="186"/>
      <c r="G538" s="186"/>
      <c r="H538" s="186"/>
      <c r="I538" s="187"/>
      <c r="M538" s="6">
        <f>SUM(M539,M543,M547,M551,M555,M558,M561,M564,M569,M574,M578,M582,M590,M595,M600,M605,M609)</f>
        <v>831273.41</v>
      </c>
      <c r="N538" s="6">
        <f>SUM(N539,N543,N547,N551,N555,N558,N561,N564,N569,N574,N578,N582,N590,N595,N600,N605,N609)</f>
        <v>4447571.79</v>
      </c>
      <c r="O538" s="6">
        <f>SUM(O539,O543,O547,O551,O555,O558,O561,O564,O569,O574,O578,O582,O590,O595,O600,O605,O609)</f>
        <v>5278845.2</v>
      </c>
      <c r="S538" s="6">
        <f>SUM(S539,S543,S547,S551,S555,S558,S561,S564,S569,S574,S578,S582,S590,S595,S600,S605,S609)</f>
        <v>759278.07999999996</v>
      </c>
      <c r="T538" s="6">
        <f>SUM(T539,T543,T547,T551,T555,T558,T561,T564,T569,T574,T578,T582,T590,T595,T600,T605,T609)</f>
        <v>4447571.79</v>
      </c>
      <c r="U538" s="6">
        <f>SUM(U539,U543,U547,U551,U555,U558,U561,U564,U569,U574,U578,U582,U590,U595,U600,U605,U609)</f>
        <v>5206849.87</v>
      </c>
      <c r="Y538" s="9">
        <f>SUM(Y539,Y543,Y547,Y551,Y555,Y558,Y561,Y564,Y569,Y574,Y578,Y582,Y590,Y595,Y600,Y605,Y609)</f>
        <v>632731.75</v>
      </c>
      <c r="Z538" s="9">
        <f>SUM(Z539,Z543,Z547,Z551,Z555,Z558,Z561,Z564,Z569,Z574,Z578,Z582,Z590,Z595,Z600,Z605,Z609)</f>
        <v>3706309.82</v>
      </c>
      <c r="AA538" s="9">
        <f>SUM(AA539,AA543,AA547,AA551,AA555,AA558,AA561,AA564,AA569,AA574,AA578,AA582,AA590,AA595,AA600,AA605,AA609)</f>
        <v>4339041.57</v>
      </c>
      <c r="AD538" s="4">
        <v>271132119</v>
      </c>
      <c r="AE538" s="4">
        <v>16225741</v>
      </c>
    </row>
    <row r="539" spans="1:35" ht="54" x14ac:dyDescent="0.3">
      <c r="A539" s="10" t="s">
        <v>1712</v>
      </c>
      <c r="B539" s="10" t="s">
        <v>1713</v>
      </c>
      <c r="C539" s="11" t="s">
        <v>1714</v>
      </c>
      <c r="D539" s="12"/>
      <c r="E539" s="12"/>
      <c r="F539" s="12" t="s">
        <v>64</v>
      </c>
      <c r="G539" s="13">
        <v>1</v>
      </c>
      <c r="H539" s="12"/>
      <c r="I539" s="13">
        <v>94.1</v>
      </c>
      <c r="J539" s="14">
        <f>IFERROR(ROUND(SUM(M540,M541,M542)/I539, 2),0)</f>
        <v>505.1</v>
      </c>
      <c r="K539" s="15">
        <v>2956</v>
      </c>
      <c r="L539" s="14">
        <f>J539+ROUND(K539, 2)</f>
        <v>3461.1</v>
      </c>
      <c r="M539" s="14">
        <f>ROUND(J539*I539, 2)</f>
        <v>47529.91</v>
      </c>
      <c r="N539" s="14">
        <f>ROUND(I539*ROUND(K539, 2), 2)</f>
        <v>278159.59999999998</v>
      </c>
      <c r="O539" s="14">
        <f>M539+N539</f>
        <v>325689.51</v>
      </c>
      <c r="P539" s="14">
        <f>IFERROR(ROUND(SUM(S540,S541,S542)/I539, 2),0)</f>
        <v>505.1</v>
      </c>
      <c r="Q539" s="16">
        <v>2956</v>
      </c>
      <c r="R539" s="14">
        <f>P539+ROUND(Q539, 2)</f>
        <v>3461.1</v>
      </c>
      <c r="S539" s="14">
        <f>ROUND(P539*I539, 2)</f>
        <v>47529.91</v>
      </c>
      <c r="T539" s="14">
        <f>ROUND(I539*ROUND(Q539, 2), 2)</f>
        <v>278159.59999999998</v>
      </c>
      <c r="U539" s="14">
        <f>S539+T539</f>
        <v>325689.51</v>
      </c>
      <c r="V539" s="9">
        <f>ROUND(P539 / 1.2, 2)</f>
        <v>420.92</v>
      </c>
      <c r="W539" s="9">
        <f>ROUND(Q539 / 1.2, 2)</f>
        <v>2463.33</v>
      </c>
      <c r="X539" s="9">
        <f>ROUND(R539 / 1.2, 2)</f>
        <v>2884.25</v>
      </c>
      <c r="Y539" s="9">
        <f>ROUND(S539 / 1.2, 2)</f>
        <v>39608.26</v>
      </c>
      <c r="Z539" s="9">
        <f>ROUND(T539 / 1.2, 2)</f>
        <v>231799.67</v>
      </c>
      <c r="AA539" s="9">
        <f>Y539+Z539</f>
        <v>271407.93</v>
      </c>
      <c r="AD539" s="4">
        <v>271132120</v>
      </c>
      <c r="AE539" s="4">
        <v>16225738</v>
      </c>
      <c r="AG539" s="4" t="s">
        <v>1715</v>
      </c>
      <c r="AH539" s="4" t="s">
        <v>1716</v>
      </c>
      <c r="AI539" s="4" t="s">
        <v>67</v>
      </c>
    </row>
    <row r="540" spans="1:35" ht="36" x14ac:dyDescent="0.3">
      <c r="A540" s="10" t="s">
        <v>1717</v>
      </c>
      <c r="B540" s="10"/>
      <c r="C540" s="24" t="s">
        <v>1718</v>
      </c>
      <c r="D540" s="12"/>
      <c r="E540" s="12" t="s">
        <v>949</v>
      </c>
      <c r="F540" s="18" t="s">
        <v>70</v>
      </c>
      <c r="G540" s="19">
        <v>1.8</v>
      </c>
      <c r="H540" s="12"/>
      <c r="I540" s="20">
        <v>6390</v>
      </c>
      <c r="J540" s="21">
        <v>6.8</v>
      </c>
      <c r="M540" s="22">
        <f>ROUND(ROUND(J540, 2)*I540, 2)</f>
        <v>43452</v>
      </c>
      <c r="P540" s="23">
        <v>6.8</v>
      </c>
      <c r="S540" s="22">
        <f>ROUND(ROUND(P540, 2)*I540, 2)</f>
        <v>43452</v>
      </c>
      <c r="V540" s="9">
        <f>ROUND(ROUND(P540, 2)/1.2, 2)</f>
        <v>5.67</v>
      </c>
      <c r="Y540" s="9">
        <f t="shared" ref="Y540:Y582" si="53">ROUND(S540 / 1.2, 2)</f>
        <v>36210</v>
      </c>
      <c r="AD540" s="4" t="s">
        <v>1719</v>
      </c>
      <c r="AE540" s="4" t="s">
        <v>1720</v>
      </c>
      <c r="AF540" s="4" t="s">
        <v>1721</v>
      </c>
    </row>
    <row r="541" spans="1:35" ht="18" x14ac:dyDescent="0.3">
      <c r="A541" s="10" t="s">
        <v>1722</v>
      </c>
      <c r="B541" s="10"/>
      <c r="C541" s="24" t="s">
        <v>1723</v>
      </c>
      <c r="D541" s="12"/>
      <c r="E541" s="12"/>
      <c r="F541" s="18" t="s">
        <v>87</v>
      </c>
      <c r="G541" s="19">
        <v>1</v>
      </c>
      <c r="H541" s="12"/>
      <c r="I541" s="19">
        <v>94.1</v>
      </c>
      <c r="J541" s="21">
        <v>18.34</v>
      </c>
      <c r="M541" s="22">
        <f>ROUND(ROUND(J541, 2)*I541, 2)</f>
        <v>1725.79</v>
      </c>
      <c r="P541" s="23">
        <v>18.34</v>
      </c>
      <c r="S541" s="22">
        <f>ROUND(ROUND(P541, 2)*I541, 2)</f>
        <v>1725.79</v>
      </c>
      <c r="V541" s="9">
        <f>ROUND(ROUND(P541, 2)/1.2, 2)</f>
        <v>15.28</v>
      </c>
      <c r="Y541" s="9">
        <f t="shared" si="53"/>
        <v>1438.16</v>
      </c>
      <c r="AD541" s="4" t="s">
        <v>1724</v>
      </c>
      <c r="AE541" s="4" t="s">
        <v>1725</v>
      </c>
      <c r="AF541" s="4" t="s">
        <v>1726</v>
      </c>
    </row>
    <row r="542" spans="1:35" ht="18" x14ac:dyDescent="0.3">
      <c r="A542" s="10" t="s">
        <v>1727</v>
      </c>
      <c r="B542" s="10"/>
      <c r="C542" s="24" t="s">
        <v>764</v>
      </c>
      <c r="D542" s="12"/>
      <c r="E542" s="12"/>
      <c r="F542" s="18" t="s">
        <v>70</v>
      </c>
      <c r="G542" s="19">
        <v>0.25</v>
      </c>
      <c r="H542" s="12"/>
      <c r="I542" s="19">
        <v>23.524999999999999</v>
      </c>
      <c r="J542" s="21">
        <v>100</v>
      </c>
      <c r="M542" s="22">
        <f>ROUND(ROUND(J542, 2)*I542, 2)</f>
        <v>2352.5</v>
      </c>
      <c r="P542" s="23">
        <v>100</v>
      </c>
      <c r="S542" s="22">
        <f>ROUND(ROUND(P542, 2)*I542, 2)</f>
        <v>2352.5</v>
      </c>
      <c r="V542" s="9">
        <f>ROUND(ROUND(P542, 2)/1.2, 2)</f>
        <v>83.33</v>
      </c>
      <c r="Y542" s="9">
        <f t="shared" si="53"/>
        <v>1960.42</v>
      </c>
      <c r="AD542" s="4" t="s">
        <v>1728</v>
      </c>
      <c r="AE542" s="4" t="s">
        <v>1729</v>
      </c>
      <c r="AF542" s="4" t="s">
        <v>767</v>
      </c>
    </row>
    <row r="543" spans="1:35" ht="54" x14ac:dyDescent="0.3">
      <c r="A543" s="10" t="s">
        <v>1730</v>
      </c>
      <c r="B543" s="10" t="s">
        <v>1731</v>
      </c>
      <c r="C543" s="11" t="s">
        <v>1732</v>
      </c>
      <c r="D543" s="12"/>
      <c r="E543" s="12" t="s">
        <v>1733</v>
      </c>
      <c r="F543" s="12" t="s">
        <v>64</v>
      </c>
      <c r="G543" s="13">
        <v>1</v>
      </c>
      <c r="H543" s="12"/>
      <c r="I543" s="13">
        <v>491</v>
      </c>
      <c r="J543" s="14">
        <f>IFERROR(ROUND(SUM(M544,M545,M546)/I543, 2),0)</f>
        <v>79.760000000000005</v>
      </c>
      <c r="K543" s="15">
        <v>1001</v>
      </c>
      <c r="L543" s="14">
        <f>J543+ROUND(K543, 2)</f>
        <v>1080.76</v>
      </c>
      <c r="M543" s="14">
        <f>ROUND(J543*I543, 2)</f>
        <v>39162.160000000003</v>
      </c>
      <c r="N543" s="14">
        <f>ROUND(I543*ROUND(K543, 2), 2)</f>
        <v>491491</v>
      </c>
      <c r="O543" s="14">
        <f>M543+N543</f>
        <v>530653.16</v>
      </c>
      <c r="P543" s="14">
        <f>IFERROR(ROUND(SUM(S544,S545,S546)/I543, 2),0)</f>
        <v>79.760000000000005</v>
      </c>
      <c r="Q543" s="16">
        <v>1001</v>
      </c>
      <c r="R543" s="14">
        <f>P543+ROUND(Q543, 2)</f>
        <v>1080.76</v>
      </c>
      <c r="S543" s="14">
        <f>ROUND(P543*I543, 2)</f>
        <v>39162.160000000003</v>
      </c>
      <c r="T543" s="14">
        <f>ROUND(I543*ROUND(Q543, 2), 2)</f>
        <v>491491</v>
      </c>
      <c r="U543" s="14">
        <f>S543+T543</f>
        <v>530653.16</v>
      </c>
      <c r="V543" s="9">
        <f>ROUND(P543 / 1.2, 2)</f>
        <v>66.47</v>
      </c>
      <c r="W543" s="9">
        <f>ROUND(Q543 / 1.2, 2)</f>
        <v>834.17</v>
      </c>
      <c r="X543" s="9">
        <f>ROUND(R543 / 1.2, 2)</f>
        <v>900.63</v>
      </c>
      <c r="Y543" s="9">
        <f t="shared" si="53"/>
        <v>32635.13</v>
      </c>
      <c r="Z543" s="9">
        <f>ROUND(T543 / 1.2, 2)</f>
        <v>409575.83</v>
      </c>
      <c r="AA543" s="9">
        <f>Y543+Z543</f>
        <v>442210.96</v>
      </c>
      <c r="AD543" s="4">
        <v>271132122</v>
      </c>
      <c r="AE543" s="4">
        <v>16225746</v>
      </c>
      <c r="AG543" s="4" t="s">
        <v>1734</v>
      </c>
      <c r="AH543" s="4" t="s">
        <v>1735</v>
      </c>
      <c r="AI543" s="4" t="s">
        <v>67</v>
      </c>
    </row>
    <row r="544" spans="1:35" ht="36" x14ac:dyDescent="0.3">
      <c r="A544" s="10" t="s">
        <v>1736</v>
      </c>
      <c r="B544" s="10"/>
      <c r="C544" s="17" t="s">
        <v>740</v>
      </c>
      <c r="D544" s="12"/>
      <c r="E544" s="12" t="s">
        <v>786</v>
      </c>
      <c r="F544" s="18" t="s">
        <v>70</v>
      </c>
      <c r="G544" s="19">
        <v>4.5</v>
      </c>
      <c r="H544" s="12"/>
      <c r="I544" s="19">
        <v>2209.5</v>
      </c>
      <c r="J544" s="21">
        <v>12.58</v>
      </c>
      <c r="M544" s="22">
        <f>ROUND(ROUND(J544, 2)*I544, 2)</f>
        <v>27795.51</v>
      </c>
      <c r="P544" s="23">
        <v>12.58</v>
      </c>
      <c r="S544" s="22">
        <f>ROUND(ROUND(P544, 2)*I544, 2)</f>
        <v>27795.51</v>
      </c>
      <c r="V544" s="9">
        <f>ROUND(ROUND(P544, 2)/1.2, 2)</f>
        <v>10.48</v>
      </c>
      <c r="Y544" s="9">
        <f t="shared" si="53"/>
        <v>23162.93</v>
      </c>
      <c r="AD544" s="4" t="s">
        <v>1737</v>
      </c>
      <c r="AE544" s="4" t="s">
        <v>1738</v>
      </c>
      <c r="AF544" s="4" t="s">
        <v>743</v>
      </c>
    </row>
    <row r="545" spans="1:35" ht="36" x14ac:dyDescent="0.3">
      <c r="A545" s="10" t="s">
        <v>1739</v>
      </c>
      <c r="B545" s="10"/>
      <c r="C545" s="24" t="s">
        <v>1740</v>
      </c>
      <c r="D545" s="12"/>
      <c r="E545" s="12"/>
      <c r="F545" s="18" t="s">
        <v>116</v>
      </c>
      <c r="G545" s="19">
        <v>0.3</v>
      </c>
      <c r="H545" s="12"/>
      <c r="I545" s="20">
        <v>66</v>
      </c>
      <c r="J545" s="21">
        <v>73.099999999999994</v>
      </c>
      <c r="M545" s="22">
        <f>ROUND(ROUND(J545, 2)*I545, 2)</f>
        <v>4824.6000000000004</v>
      </c>
      <c r="P545" s="23">
        <v>73.099999999999994</v>
      </c>
      <c r="S545" s="22">
        <f>ROUND(ROUND(P545, 2)*I545, 2)</f>
        <v>4824.6000000000004</v>
      </c>
      <c r="V545" s="9">
        <f>ROUND(ROUND(P545, 2)/1.2, 2)</f>
        <v>60.92</v>
      </c>
      <c r="Y545" s="9">
        <f t="shared" si="53"/>
        <v>4020.5</v>
      </c>
      <c r="AD545" s="4" t="s">
        <v>1741</v>
      </c>
      <c r="AE545" s="4" t="s">
        <v>1742</v>
      </c>
      <c r="AF545" s="4" t="s">
        <v>1743</v>
      </c>
    </row>
    <row r="546" spans="1:35" ht="36" x14ac:dyDescent="0.3">
      <c r="A546" s="10" t="s">
        <v>1744</v>
      </c>
      <c r="B546" s="10"/>
      <c r="C546" s="24" t="s">
        <v>433</v>
      </c>
      <c r="D546" s="12"/>
      <c r="E546" s="12"/>
      <c r="F546" s="18" t="s">
        <v>70</v>
      </c>
      <c r="G546" s="19">
        <v>0.15</v>
      </c>
      <c r="H546" s="12"/>
      <c r="I546" s="19">
        <v>73.650000000000006</v>
      </c>
      <c r="J546" s="21">
        <v>88.8</v>
      </c>
      <c r="M546" s="22">
        <f>ROUND(ROUND(J546, 2)*I546, 2)</f>
        <v>6540.12</v>
      </c>
      <c r="P546" s="23">
        <v>88.8</v>
      </c>
      <c r="S546" s="22">
        <f>ROUND(ROUND(P546, 2)*I546, 2)</f>
        <v>6540.12</v>
      </c>
      <c r="V546" s="9">
        <f>ROUND(ROUND(P546, 2)/1.2, 2)</f>
        <v>74</v>
      </c>
      <c r="Y546" s="9">
        <f t="shared" si="53"/>
        <v>5450.1</v>
      </c>
      <c r="AD546" s="4" t="s">
        <v>1745</v>
      </c>
      <c r="AE546" s="4" t="s">
        <v>1746</v>
      </c>
      <c r="AF546" s="4" t="s">
        <v>436</v>
      </c>
    </row>
    <row r="547" spans="1:35" ht="54" x14ac:dyDescent="0.3">
      <c r="A547" s="10" t="s">
        <v>1747</v>
      </c>
      <c r="B547" s="10" t="s">
        <v>1731</v>
      </c>
      <c r="C547" s="11" t="s">
        <v>1732</v>
      </c>
      <c r="D547" s="12"/>
      <c r="E547" s="12" t="s">
        <v>1748</v>
      </c>
      <c r="F547" s="12" t="s">
        <v>64</v>
      </c>
      <c r="G547" s="13">
        <v>1</v>
      </c>
      <c r="H547" s="12"/>
      <c r="I547" s="13">
        <v>491</v>
      </c>
      <c r="J547" s="14">
        <f>IFERROR(ROUND(SUM(M548,M549,M550)/I547, 2),0)</f>
        <v>79.760000000000005</v>
      </c>
      <c r="K547" s="15">
        <v>1001</v>
      </c>
      <c r="L547" s="14">
        <f>J547+ROUND(K547, 2)</f>
        <v>1080.76</v>
      </c>
      <c r="M547" s="14">
        <f>ROUND(J547*I547, 2)</f>
        <v>39162.160000000003</v>
      </c>
      <c r="N547" s="14">
        <f>ROUND(I547*ROUND(K547, 2), 2)</f>
        <v>491491</v>
      </c>
      <c r="O547" s="14">
        <f>M547+N547</f>
        <v>530653.16</v>
      </c>
      <c r="P547" s="14">
        <f>IFERROR(ROUND(SUM(S548,S549,S550)/I547, 2),0)</f>
        <v>79.760000000000005</v>
      </c>
      <c r="Q547" s="16">
        <v>1001</v>
      </c>
      <c r="R547" s="14">
        <f>P547+ROUND(Q547, 2)</f>
        <v>1080.76</v>
      </c>
      <c r="S547" s="14">
        <f>ROUND(P547*I547, 2)</f>
        <v>39162.160000000003</v>
      </c>
      <c r="T547" s="14">
        <f>ROUND(I547*ROUND(Q547, 2), 2)</f>
        <v>491491</v>
      </c>
      <c r="U547" s="14">
        <f>S547+T547</f>
        <v>530653.16</v>
      </c>
      <c r="V547" s="9">
        <f>ROUND(P547 / 1.2, 2)</f>
        <v>66.47</v>
      </c>
      <c r="W547" s="9">
        <f>ROUND(Q547 / 1.2, 2)</f>
        <v>834.17</v>
      </c>
      <c r="X547" s="9">
        <f>ROUND(R547 / 1.2, 2)</f>
        <v>900.63</v>
      </c>
      <c r="Y547" s="9">
        <f t="shared" si="53"/>
        <v>32635.13</v>
      </c>
      <c r="Z547" s="9">
        <f>ROUND(T547 / 1.2, 2)</f>
        <v>409575.83</v>
      </c>
      <c r="AA547" s="9">
        <f>Y547+Z547</f>
        <v>442210.96</v>
      </c>
      <c r="AD547" s="4">
        <v>271132233</v>
      </c>
      <c r="AE547" s="4">
        <v>16225747</v>
      </c>
      <c r="AG547" s="4" t="s">
        <v>1734</v>
      </c>
      <c r="AH547" s="4" t="s">
        <v>1735</v>
      </c>
      <c r="AI547" s="4" t="s">
        <v>67</v>
      </c>
    </row>
    <row r="548" spans="1:35" ht="36" x14ac:dyDescent="0.3">
      <c r="A548" s="10" t="s">
        <v>1749</v>
      </c>
      <c r="B548" s="10"/>
      <c r="C548" s="24" t="s">
        <v>433</v>
      </c>
      <c r="D548" s="12"/>
      <c r="E548" s="12"/>
      <c r="F548" s="18" t="s">
        <v>70</v>
      </c>
      <c r="G548" s="19">
        <v>0.15</v>
      </c>
      <c r="H548" s="12"/>
      <c r="I548" s="19">
        <v>73.650000000000006</v>
      </c>
      <c r="J548" s="21">
        <v>88.8</v>
      </c>
      <c r="M548" s="22">
        <f>ROUND(ROUND(J548, 2)*I548, 2)</f>
        <v>6540.12</v>
      </c>
      <c r="P548" s="23">
        <v>88.8</v>
      </c>
      <c r="S548" s="22">
        <f>ROUND(ROUND(P548, 2)*I548, 2)</f>
        <v>6540.12</v>
      </c>
      <c r="V548" s="9">
        <f>ROUND(ROUND(P548, 2)/1.2, 2)</f>
        <v>74</v>
      </c>
      <c r="Y548" s="9">
        <f t="shared" si="53"/>
        <v>5450.1</v>
      </c>
      <c r="AD548" s="4" t="s">
        <v>1750</v>
      </c>
      <c r="AE548" s="4" t="s">
        <v>1751</v>
      </c>
      <c r="AF548" s="4" t="s">
        <v>436</v>
      </c>
    </row>
    <row r="549" spans="1:35" ht="36" x14ac:dyDescent="0.3">
      <c r="A549" s="10" t="s">
        <v>1752</v>
      </c>
      <c r="B549" s="10"/>
      <c r="C549" s="24" t="s">
        <v>1740</v>
      </c>
      <c r="D549" s="12"/>
      <c r="E549" s="12"/>
      <c r="F549" s="18" t="s">
        <v>116</v>
      </c>
      <c r="G549" s="19">
        <v>0.3</v>
      </c>
      <c r="H549" s="12"/>
      <c r="I549" s="20">
        <v>66</v>
      </c>
      <c r="J549" s="21">
        <v>73.099999999999994</v>
      </c>
      <c r="M549" s="22">
        <f>ROUND(ROUND(J549, 2)*I549, 2)</f>
        <v>4824.6000000000004</v>
      </c>
      <c r="P549" s="23">
        <v>73.099999999999994</v>
      </c>
      <c r="S549" s="22">
        <f>ROUND(ROUND(P549, 2)*I549, 2)</f>
        <v>4824.6000000000004</v>
      </c>
      <c r="V549" s="9">
        <f>ROUND(ROUND(P549, 2)/1.2, 2)</f>
        <v>60.92</v>
      </c>
      <c r="Y549" s="9">
        <f t="shared" si="53"/>
        <v>4020.5</v>
      </c>
      <c r="AD549" s="4" t="s">
        <v>1753</v>
      </c>
      <c r="AE549" s="4" t="s">
        <v>1754</v>
      </c>
      <c r="AF549" s="4" t="s">
        <v>1743</v>
      </c>
    </row>
    <row r="550" spans="1:35" ht="36" x14ac:dyDescent="0.3">
      <c r="A550" s="10" t="s">
        <v>1755</v>
      </c>
      <c r="B550" s="10"/>
      <c r="C550" s="17" t="s">
        <v>740</v>
      </c>
      <c r="D550" s="12"/>
      <c r="E550" s="12" t="s">
        <v>821</v>
      </c>
      <c r="F550" s="18" t="s">
        <v>70</v>
      </c>
      <c r="G550" s="19">
        <v>4.5</v>
      </c>
      <c r="H550" s="12"/>
      <c r="I550" s="19">
        <v>2209.5</v>
      </c>
      <c r="J550" s="21">
        <v>12.58</v>
      </c>
      <c r="M550" s="22">
        <f>ROUND(ROUND(J550, 2)*I550, 2)</f>
        <v>27795.51</v>
      </c>
      <c r="P550" s="23">
        <v>12.58</v>
      </c>
      <c r="S550" s="22">
        <f>ROUND(ROUND(P550, 2)*I550, 2)</f>
        <v>27795.51</v>
      </c>
      <c r="V550" s="9">
        <f>ROUND(ROUND(P550, 2)/1.2, 2)</f>
        <v>10.48</v>
      </c>
      <c r="Y550" s="9">
        <f t="shared" si="53"/>
        <v>23162.93</v>
      </c>
      <c r="AD550" s="4" t="s">
        <v>1756</v>
      </c>
      <c r="AE550" s="4" t="s">
        <v>1757</v>
      </c>
      <c r="AF550" s="4" t="s">
        <v>743</v>
      </c>
    </row>
    <row r="551" spans="1:35" ht="54" x14ac:dyDescent="0.3">
      <c r="A551" s="25" t="s">
        <v>1758</v>
      </c>
      <c r="B551" s="25" t="s">
        <v>1731</v>
      </c>
      <c r="C551" s="26" t="s">
        <v>1732</v>
      </c>
      <c r="D551" s="27"/>
      <c r="E551" s="27" t="s">
        <v>1759</v>
      </c>
      <c r="F551" s="27" t="s">
        <v>64</v>
      </c>
      <c r="G551" s="28">
        <v>1</v>
      </c>
      <c r="H551" s="27"/>
      <c r="I551" s="28">
        <v>329.76</v>
      </c>
      <c r="J551" s="29">
        <f>IFERROR(ROUND(SUM(M552,M553,M554)/I551, 2),0)</f>
        <v>92.4</v>
      </c>
      <c r="K551" s="29">
        <v>1001</v>
      </c>
      <c r="L551" s="29">
        <f>J551+ROUND(K551, 2)</f>
        <v>1093.4000000000001</v>
      </c>
      <c r="M551" s="29">
        <f>ROUND(J551*I551, 2)</f>
        <v>30469.82</v>
      </c>
      <c r="N551" s="29">
        <f>ROUND(I551*ROUND(K551, 2), 2)</f>
        <v>330089.76</v>
      </c>
      <c r="O551" s="29">
        <f>M551+N551</f>
        <v>360559.58</v>
      </c>
      <c r="P551" s="29">
        <f>IFERROR(ROUND(SUM(S552,S553,S554)/I551, 2),0)</f>
        <v>92.4</v>
      </c>
      <c r="Q551" s="29">
        <v>1001</v>
      </c>
      <c r="R551" s="29">
        <f>P551+ROUND(Q551, 2)</f>
        <v>1093.4000000000001</v>
      </c>
      <c r="S551" s="29">
        <f>ROUND(P551*I551, 2)</f>
        <v>30469.82</v>
      </c>
      <c r="T551" s="29">
        <f>ROUND(I551*ROUND(Q551, 2), 2)</f>
        <v>330089.76</v>
      </c>
      <c r="U551" s="29">
        <f>S551+T551</f>
        <v>360559.58</v>
      </c>
      <c r="V551" s="9">
        <f>ROUND(P551 / 1.2, 2)</f>
        <v>77</v>
      </c>
      <c r="W551" s="9">
        <f>ROUND(Q551 / 1.2, 2)</f>
        <v>834.17</v>
      </c>
      <c r="X551" s="9">
        <f>ROUND(R551 / 1.2, 2)</f>
        <v>911.17</v>
      </c>
      <c r="Y551" s="9">
        <f t="shared" si="53"/>
        <v>25391.52</v>
      </c>
      <c r="Z551" s="9">
        <f>ROUND(T551 / 1.2, 2)</f>
        <v>275074.8</v>
      </c>
      <c r="AA551" s="9">
        <f>Y551+Z551</f>
        <v>300466.32</v>
      </c>
      <c r="AD551" s="4">
        <v>271132234</v>
      </c>
      <c r="AE551" s="4">
        <v>19821008</v>
      </c>
      <c r="AG551" s="4" t="s">
        <v>1734</v>
      </c>
      <c r="AH551" s="4" t="s">
        <v>1735</v>
      </c>
      <c r="AI551" s="4" t="s">
        <v>67</v>
      </c>
    </row>
    <row r="552" spans="1:35" ht="36" x14ac:dyDescent="0.3">
      <c r="A552" s="25" t="s">
        <v>1760</v>
      </c>
      <c r="B552" s="25"/>
      <c r="C552" s="30" t="s">
        <v>433</v>
      </c>
      <c r="D552" s="27"/>
      <c r="E552" s="27"/>
      <c r="F552" s="31" t="s">
        <v>70</v>
      </c>
      <c r="G552" s="32">
        <v>0.15</v>
      </c>
      <c r="H552" s="27"/>
      <c r="I552" s="32">
        <v>49.463999999999999</v>
      </c>
      <c r="J552" s="34">
        <v>88.8</v>
      </c>
      <c r="K552" s="35"/>
      <c r="L552" s="35"/>
      <c r="M552" s="34">
        <f>ROUND(ROUND(J552, 2)*I552, 2)</f>
        <v>4392.3999999999996</v>
      </c>
      <c r="N552" s="35"/>
      <c r="O552" s="35"/>
      <c r="P552" s="34">
        <v>88.8</v>
      </c>
      <c r="Q552" s="35"/>
      <c r="R552" s="35"/>
      <c r="S552" s="34">
        <f>ROUND(ROUND(P552, 2)*I552, 2)</f>
        <v>4392.3999999999996</v>
      </c>
      <c r="T552" s="35"/>
      <c r="U552" s="36"/>
      <c r="V552" s="9">
        <f>ROUND(ROUND(P552, 2)/1.2, 2)</f>
        <v>74</v>
      </c>
      <c r="Y552" s="9">
        <f t="shared" si="53"/>
        <v>3660.33</v>
      </c>
      <c r="AD552" s="4" t="s">
        <v>1761</v>
      </c>
      <c r="AE552" s="4" t="s">
        <v>1762</v>
      </c>
      <c r="AF552" s="4" t="s">
        <v>436</v>
      </c>
    </row>
    <row r="553" spans="1:35" ht="18" x14ac:dyDescent="0.3">
      <c r="A553" s="25" t="s">
        <v>1763</v>
      </c>
      <c r="B553" s="25"/>
      <c r="C553" s="30" t="s">
        <v>793</v>
      </c>
      <c r="D553" s="27"/>
      <c r="E553" s="27"/>
      <c r="F553" s="31" t="s">
        <v>116</v>
      </c>
      <c r="G553" s="32">
        <v>0.3</v>
      </c>
      <c r="H553" s="27"/>
      <c r="I553" s="32">
        <v>98.927999999999997</v>
      </c>
      <c r="J553" s="34">
        <v>73.099999999999994</v>
      </c>
      <c r="K553" s="35"/>
      <c r="L553" s="35"/>
      <c r="M553" s="34">
        <f>ROUND(ROUND(J553, 2)*I553, 2)</f>
        <v>7231.64</v>
      </c>
      <c r="N553" s="35"/>
      <c r="O553" s="35"/>
      <c r="P553" s="34">
        <v>73.099999999999994</v>
      </c>
      <c r="Q553" s="35"/>
      <c r="R553" s="35"/>
      <c r="S553" s="34">
        <f>ROUND(ROUND(P553, 2)*I553, 2)</f>
        <v>7231.64</v>
      </c>
      <c r="T553" s="35"/>
      <c r="U553" s="36"/>
      <c r="V553" s="9">
        <f>ROUND(ROUND(P553, 2)/1.2, 2)</f>
        <v>60.92</v>
      </c>
      <c r="Y553" s="9">
        <f t="shared" si="53"/>
        <v>6026.37</v>
      </c>
      <c r="AD553" s="4" t="s">
        <v>1764</v>
      </c>
      <c r="AE553" s="4" t="s">
        <v>1765</v>
      </c>
      <c r="AF553" s="4" t="s">
        <v>796</v>
      </c>
    </row>
    <row r="554" spans="1:35" ht="36" x14ac:dyDescent="0.3">
      <c r="A554" s="25" t="s">
        <v>1766</v>
      </c>
      <c r="B554" s="25"/>
      <c r="C554" s="17" t="s">
        <v>740</v>
      </c>
      <c r="D554" s="27"/>
      <c r="E554" s="27"/>
      <c r="F554" s="31" t="s">
        <v>70</v>
      </c>
      <c r="G554" s="32">
        <v>4.5</v>
      </c>
      <c r="H554" s="27"/>
      <c r="I554" s="32">
        <v>1483.92</v>
      </c>
      <c r="J554" s="34">
        <v>12.7</v>
      </c>
      <c r="K554" s="35"/>
      <c r="L554" s="35"/>
      <c r="M554" s="34">
        <f>ROUND(ROUND(J554, 2)*I554, 2)</f>
        <v>18845.78</v>
      </c>
      <c r="N554" s="35"/>
      <c r="O554" s="35"/>
      <c r="P554" s="34">
        <v>12.7</v>
      </c>
      <c r="Q554" s="35"/>
      <c r="R554" s="35"/>
      <c r="S554" s="34">
        <f>ROUND(ROUND(P554, 2)*I554, 2)</f>
        <v>18845.78</v>
      </c>
      <c r="T554" s="35"/>
      <c r="U554" s="36"/>
      <c r="V554" s="9">
        <f>ROUND(ROUND(P554, 2)/1.2, 2)</f>
        <v>10.58</v>
      </c>
      <c r="Y554" s="9">
        <f t="shared" si="53"/>
        <v>15704.82</v>
      </c>
      <c r="AD554" s="4" t="s">
        <v>1767</v>
      </c>
      <c r="AE554" s="4" t="s">
        <v>1768</v>
      </c>
      <c r="AF554" s="4" t="s">
        <v>743</v>
      </c>
    </row>
    <row r="555" spans="1:35" ht="54" x14ac:dyDescent="0.3">
      <c r="A555" s="25" t="s">
        <v>1769</v>
      </c>
      <c r="B555" s="25" t="s">
        <v>1731</v>
      </c>
      <c r="C555" s="26" t="s">
        <v>1732</v>
      </c>
      <c r="D555" s="27"/>
      <c r="E555" s="27" t="s">
        <v>1770</v>
      </c>
      <c r="F555" s="27" t="s">
        <v>64</v>
      </c>
      <c r="G555" s="28">
        <v>1</v>
      </c>
      <c r="H555" s="27"/>
      <c r="I555" s="28">
        <v>329.76</v>
      </c>
      <c r="J555" s="29">
        <f>IFERROR(ROUND(SUM(M556,M557)/I555, 2),0)</f>
        <v>70.47</v>
      </c>
      <c r="K555" s="29">
        <v>1001</v>
      </c>
      <c r="L555" s="29">
        <f>J555+ROUND(K555, 2)</f>
        <v>1071.47</v>
      </c>
      <c r="M555" s="29">
        <f>ROUND(J555*I555, 2)</f>
        <v>23238.19</v>
      </c>
      <c r="N555" s="29">
        <f>ROUND(I555*ROUND(K555, 2), 2)</f>
        <v>330089.76</v>
      </c>
      <c r="O555" s="29">
        <f>M555+N555</f>
        <v>353327.95</v>
      </c>
      <c r="P555" s="29">
        <f>IFERROR(ROUND(SUM(S556,S557)/I555, 2),0)</f>
        <v>70.47</v>
      </c>
      <c r="Q555" s="29">
        <v>1001</v>
      </c>
      <c r="R555" s="29">
        <f>P555+ROUND(Q555, 2)</f>
        <v>1071.47</v>
      </c>
      <c r="S555" s="29">
        <f>ROUND(P555*I555, 2)</f>
        <v>23238.19</v>
      </c>
      <c r="T555" s="29">
        <f>ROUND(I555*ROUND(Q555, 2), 2)</f>
        <v>330089.76</v>
      </c>
      <c r="U555" s="29">
        <f>S555+T555</f>
        <v>353327.95</v>
      </c>
      <c r="V555" s="9">
        <f>ROUND(P555 / 1.2, 2)</f>
        <v>58.73</v>
      </c>
      <c r="W555" s="9">
        <f>ROUND(Q555 / 1.2, 2)</f>
        <v>834.17</v>
      </c>
      <c r="X555" s="9">
        <f>ROUND(R555 / 1.2, 2)</f>
        <v>892.89</v>
      </c>
      <c r="Y555" s="9">
        <f t="shared" si="53"/>
        <v>19365.16</v>
      </c>
      <c r="Z555" s="9">
        <f>ROUND(T555 / 1.2, 2)</f>
        <v>275074.8</v>
      </c>
      <c r="AA555" s="9">
        <f>Y555+Z555</f>
        <v>294439.96000000002</v>
      </c>
      <c r="AD555" s="4">
        <v>271132235</v>
      </c>
      <c r="AE555" s="4">
        <v>19821009</v>
      </c>
      <c r="AG555" s="4" t="s">
        <v>1734</v>
      </c>
      <c r="AH555" s="4" t="s">
        <v>1735</v>
      </c>
      <c r="AI555" s="4" t="s">
        <v>67</v>
      </c>
    </row>
    <row r="556" spans="1:35" ht="36" x14ac:dyDescent="0.3">
      <c r="A556" s="25" t="s">
        <v>1771</v>
      </c>
      <c r="B556" s="25"/>
      <c r="C556" s="30" t="s">
        <v>433</v>
      </c>
      <c r="D556" s="27"/>
      <c r="E556" s="27"/>
      <c r="F556" s="31" t="s">
        <v>70</v>
      </c>
      <c r="G556" s="32">
        <v>0.15</v>
      </c>
      <c r="H556" s="27"/>
      <c r="I556" s="32">
        <v>49.463999999999999</v>
      </c>
      <c r="J556" s="34">
        <v>88.8</v>
      </c>
      <c r="K556" s="35"/>
      <c r="L556" s="35"/>
      <c r="M556" s="34">
        <f>ROUND(ROUND(J556, 2)*I556, 2)</f>
        <v>4392.3999999999996</v>
      </c>
      <c r="N556" s="35"/>
      <c r="O556" s="35"/>
      <c r="P556" s="34">
        <v>88.8</v>
      </c>
      <c r="Q556" s="35"/>
      <c r="R556" s="35"/>
      <c r="S556" s="34">
        <f>ROUND(ROUND(P556, 2)*I556, 2)</f>
        <v>4392.3999999999996</v>
      </c>
      <c r="T556" s="35"/>
      <c r="U556" s="36"/>
      <c r="V556" s="9">
        <f>ROUND(ROUND(P556, 2)/1.2, 2)</f>
        <v>74</v>
      </c>
      <c r="Y556" s="9">
        <f t="shared" si="53"/>
        <v>3660.33</v>
      </c>
      <c r="AD556" s="4" t="s">
        <v>1772</v>
      </c>
      <c r="AE556" s="4" t="s">
        <v>1773</v>
      </c>
      <c r="AF556" s="4" t="s">
        <v>436</v>
      </c>
    </row>
    <row r="557" spans="1:35" ht="36" x14ac:dyDescent="0.3">
      <c r="A557" s="25" t="s">
        <v>1774</v>
      </c>
      <c r="B557" s="25"/>
      <c r="C557" s="17" t="s">
        <v>740</v>
      </c>
      <c r="D557" s="27"/>
      <c r="E557" s="27"/>
      <c r="F557" s="31" t="s">
        <v>70</v>
      </c>
      <c r="G557" s="32">
        <v>4.5</v>
      </c>
      <c r="H557" s="27"/>
      <c r="I557" s="32">
        <v>1483.92</v>
      </c>
      <c r="J557" s="34">
        <v>12.7</v>
      </c>
      <c r="K557" s="35"/>
      <c r="L557" s="35"/>
      <c r="M557" s="34">
        <f>ROUND(ROUND(J557, 2)*I557, 2)</f>
        <v>18845.78</v>
      </c>
      <c r="N557" s="35"/>
      <c r="O557" s="35"/>
      <c r="P557" s="34">
        <v>12.7</v>
      </c>
      <c r="Q557" s="35"/>
      <c r="R557" s="35"/>
      <c r="S557" s="34">
        <f>ROUND(ROUND(P557, 2)*I557, 2)</f>
        <v>18845.78</v>
      </c>
      <c r="T557" s="35"/>
      <c r="U557" s="36"/>
      <c r="V557" s="9">
        <f>ROUND(ROUND(P557, 2)/1.2, 2)</f>
        <v>10.58</v>
      </c>
      <c r="Y557" s="9">
        <f t="shared" si="53"/>
        <v>15704.82</v>
      </c>
      <c r="AD557" s="4" t="s">
        <v>1775</v>
      </c>
      <c r="AE557" s="4" t="s">
        <v>1776</v>
      </c>
      <c r="AF557" s="4" t="s">
        <v>743</v>
      </c>
    </row>
    <row r="558" spans="1:35" ht="54" x14ac:dyDescent="0.3">
      <c r="A558" s="10" t="s">
        <v>1777</v>
      </c>
      <c r="B558" s="10" t="s">
        <v>1778</v>
      </c>
      <c r="C558" s="11" t="s">
        <v>1779</v>
      </c>
      <c r="D558" s="12"/>
      <c r="E558" s="12" t="s">
        <v>63</v>
      </c>
      <c r="F558" s="12" t="s">
        <v>64</v>
      </c>
      <c r="G558" s="13">
        <v>1</v>
      </c>
      <c r="H558" s="12"/>
      <c r="I558" s="13">
        <v>491</v>
      </c>
      <c r="J558" s="14">
        <f>IFERROR(ROUND(SUM(M559,M560)/I558, 2),0)</f>
        <v>290.51</v>
      </c>
      <c r="K558" s="15">
        <v>275</v>
      </c>
      <c r="L558" s="14">
        <f>J558+ROUND(K558, 2)</f>
        <v>565.51</v>
      </c>
      <c r="M558" s="14">
        <f>ROUND(J558*I558, 2)</f>
        <v>142640.41</v>
      </c>
      <c r="N558" s="14">
        <f>ROUND(I558*ROUND(K558, 2), 2)</f>
        <v>135025</v>
      </c>
      <c r="O558" s="14">
        <f>M558+N558</f>
        <v>277665.40999999997</v>
      </c>
      <c r="P558" s="14">
        <f>IFERROR(ROUND(SUM(S559,S560)/I558, 2),0)</f>
        <v>143.88</v>
      </c>
      <c r="Q558" s="16">
        <v>275</v>
      </c>
      <c r="R558" s="14">
        <f>P558+ROUND(Q558, 2)</f>
        <v>418.88</v>
      </c>
      <c r="S558" s="14">
        <f>ROUND(P558*I558, 2)</f>
        <v>70645.08</v>
      </c>
      <c r="T558" s="14">
        <f>ROUND(I558*ROUND(Q558, 2), 2)</f>
        <v>135025</v>
      </c>
      <c r="U558" s="14">
        <f>S558+T558</f>
        <v>205670.08</v>
      </c>
      <c r="V558" s="9">
        <f>ROUND(P558 / 1.2, 2)</f>
        <v>119.9</v>
      </c>
      <c r="W558" s="9">
        <f>ROUND(Q558 / 1.2, 2)</f>
        <v>229.17</v>
      </c>
      <c r="X558" s="9">
        <f>ROUND(R558 / 1.2, 2)</f>
        <v>349.07</v>
      </c>
      <c r="Y558" s="9">
        <f t="shared" si="53"/>
        <v>58870.9</v>
      </c>
      <c r="Z558" s="9">
        <f>ROUND(T558 / 1.2, 2)</f>
        <v>112520.83</v>
      </c>
      <c r="AA558" s="9">
        <f>Y558+Z558</f>
        <v>171391.73</v>
      </c>
      <c r="AD558" s="4">
        <v>271132124</v>
      </c>
      <c r="AE558" s="4">
        <v>16226151</v>
      </c>
      <c r="AG558" s="4" t="s">
        <v>1780</v>
      </c>
      <c r="AH558" s="4" t="s">
        <v>1781</v>
      </c>
      <c r="AI558" s="4" t="s">
        <v>67</v>
      </c>
    </row>
    <row r="559" spans="1:35" ht="18" x14ac:dyDescent="0.3">
      <c r="A559" s="10" t="s">
        <v>1782</v>
      </c>
      <c r="B559" s="10"/>
      <c r="C559" s="24" t="s">
        <v>1783</v>
      </c>
      <c r="D559" s="12"/>
      <c r="E559" s="12"/>
      <c r="F559" s="18" t="s">
        <v>70</v>
      </c>
      <c r="G559" s="19">
        <v>0.3</v>
      </c>
      <c r="H559" s="12"/>
      <c r="I559" s="19">
        <v>147.30000000000001</v>
      </c>
      <c r="J559" s="21">
        <v>938.78</v>
      </c>
      <c r="M559" s="22">
        <f>ROUND(ROUND(J559, 2)*I559, 2)</f>
        <v>138282.29</v>
      </c>
      <c r="P559" s="23">
        <v>450</v>
      </c>
      <c r="S559" s="22">
        <f>ROUND(ROUND(P559, 2)*I559, 2)</f>
        <v>66285</v>
      </c>
      <c r="V559" s="9">
        <f>ROUND(ROUND(P559, 2)/1.2, 2)</f>
        <v>375</v>
      </c>
      <c r="Y559" s="9">
        <f t="shared" si="53"/>
        <v>55237.5</v>
      </c>
      <c r="AD559" s="4" t="s">
        <v>1784</v>
      </c>
      <c r="AE559" s="4" t="s">
        <v>1785</v>
      </c>
      <c r="AF559" s="4" t="s">
        <v>1786</v>
      </c>
    </row>
    <row r="560" spans="1:35" ht="36" x14ac:dyDescent="0.3">
      <c r="A560" s="10" t="s">
        <v>1787</v>
      </c>
      <c r="B560" s="10"/>
      <c r="C560" s="24" t="s">
        <v>433</v>
      </c>
      <c r="D560" s="12"/>
      <c r="E560" s="12"/>
      <c r="F560" s="18" t="s">
        <v>70</v>
      </c>
      <c r="G560" s="19">
        <v>0.1</v>
      </c>
      <c r="H560" s="12"/>
      <c r="I560" s="19">
        <v>49.1</v>
      </c>
      <c r="J560" s="21">
        <v>88.8</v>
      </c>
      <c r="M560" s="22">
        <f>ROUND(ROUND(J560, 2)*I560, 2)</f>
        <v>4360.08</v>
      </c>
      <c r="P560" s="23">
        <v>88.8</v>
      </c>
      <c r="S560" s="22">
        <f>ROUND(ROUND(P560, 2)*I560, 2)</f>
        <v>4360.08</v>
      </c>
      <c r="V560" s="9">
        <f>ROUND(ROUND(P560, 2)/1.2, 2)</f>
        <v>74</v>
      </c>
      <c r="Y560" s="9">
        <f t="shared" si="53"/>
        <v>3633.4</v>
      </c>
      <c r="AD560" s="4" t="s">
        <v>1788</v>
      </c>
      <c r="AE560" s="4" t="s">
        <v>1789</v>
      </c>
      <c r="AF560" s="4" t="s">
        <v>436</v>
      </c>
    </row>
    <row r="561" spans="1:35" ht="54" x14ac:dyDescent="0.3">
      <c r="A561" s="25" t="s">
        <v>1790</v>
      </c>
      <c r="B561" s="25" t="s">
        <v>1778</v>
      </c>
      <c r="C561" s="26" t="s">
        <v>1779</v>
      </c>
      <c r="D561" s="27"/>
      <c r="E561" s="27" t="s">
        <v>81</v>
      </c>
      <c r="F561" s="27" t="s">
        <v>64</v>
      </c>
      <c r="G561" s="28">
        <v>1</v>
      </c>
      <c r="H561" s="27"/>
      <c r="I561" s="28">
        <v>329.76</v>
      </c>
      <c r="J561" s="29">
        <f>IFERROR(ROUND(SUM(M562,M563)/I561, 2),0)</f>
        <v>30.4</v>
      </c>
      <c r="K561" s="29">
        <v>303</v>
      </c>
      <c r="L561" s="29">
        <f>J561+ROUND(K561, 2)</f>
        <v>333.4</v>
      </c>
      <c r="M561" s="29">
        <f>ROUND(J561*I561, 2)</f>
        <v>10024.700000000001</v>
      </c>
      <c r="N561" s="29">
        <f>ROUND(I561*ROUND(K561, 2), 2)</f>
        <v>99917.28</v>
      </c>
      <c r="O561" s="29">
        <f>M561+N561</f>
        <v>109941.98</v>
      </c>
      <c r="P561" s="29">
        <f>IFERROR(ROUND(SUM(S562,S563)/I561, 2),0)</f>
        <v>30.4</v>
      </c>
      <c r="Q561" s="29">
        <v>303</v>
      </c>
      <c r="R561" s="29">
        <f>P561+ROUND(Q561, 2)</f>
        <v>333.4</v>
      </c>
      <c r="S561" s="29">
        <f>ROUND(P561*I561, 2)</f>
        <v>10024.700000000001</v>
      </c>
      <c r="T561" s="29">
        <f>ROUND(I561*ROUND(Q561, 2), 2)</f>
        <v>99917.28</v>
      </c>
      <c r="U561" s="29">
        <f>S561+T561</f>
        <v>109941.98</v>
      </c>
      <c r="V561" s="9">
        <f>ROUND(P561 / 1.2, 2)</f>
        <v>25.33</v>
      </c>
      <c r="W561" s="9">
        <f>ROUND(Q561 / 1.2, 2)</f>
        <v>252.5</v>
      </c>
      <c r="X561" s="9">
        <f>ROUND(R561 / 1.2, 2)</f>
        <v>277.83</v>
      </c>
      <c r="Y561" s="9">
        <f t="shared" si="53"/>
        <v>8353.92</v>
      </c>
      <c r="Z561" s="9">
        <f>ROUND(T561 / 1.2, 2)</f>
        <v>83264.399999999994</v>
      </c>
      <c r="AA561" s="9">
        <f>Y561+Z561</f>
        <v>91618.32</v>
      </c>
      <c r="AD561" s="4">
        <v>271132236</v>
      </c>
      <c r="AE561" s="4">
        <v>19821007</v>
      </c>
      <c r="AG561" s="4" t="s">
        <v>1780</v>
      </c>
      <c r="AH561" s="4" t="s">
        <v>1781</v>
      </c>
      <c r="AI561" s="4" t="s">
        <v>67</v>
      </c>
    </row>
    <row r="562" spans="1:35" ht="36" x14ac:dyDescent="0.3">
      <c r="A562" s="25" t="s">
        <v>1791</v>
      </c>
      <c r="B562" s="25"/>
      <c r="C562" s="30" t="s">
        <v>433</v>
      </c>
      <c r="D562" s="27"/>
      <c r="E562" s="27"/>
      <c r="F562" s="31" t="s">
        <v>70</v>
      </c>
      <c r="G562" s="32">
        <v>0.1</v>
      </c>
      <c r="H562" s="27"/>
      <c r="I562" s="32">
        <v>32.975999999999999</v>
      </c>
      <c r="J562" s="34">
        <v>88.8</v>
      </c>
      <c r="K562" s="35"/>
      <c r="L562" s="35"/>
      <c r="M562" s="34">
        <f>ROUND(ROUND(J562, 2)*I562, 2)</f>
        <v>2928.27</v>
      </c>
      <c r="N562" s="35"/>
      <c r="O562" s="35"/>
      <c r="P562" s="34">
        <v>88.8</v>
      </c>
      <c r="Q562" s="35"/>
      <c r="R562" s="35"/>
      <c r="S562" s="34">
        <f>ROUND(ROUND(P562, 2)*I562, 2)</f>
        <v>2928.27</v>
      </c>
      <c r="T562" s="35"/>
      <c r="U562" s="36"/>
      <c r="V562" s="9">
        <f>ROUND(ROUND(P562, 2)/1.2, 2)</f>
        <v>74</v>
      </c>
      <c r="Y562" s="9">
        <f t="shared" si="53"/>
        <v>2440.23</v>
      </c>
      <c r="AD562" s="4" t="s">
        <v>1792</v>
      </c>
      <c r="AE562" s="4" t="s">
        <v>1793</v>
      </c>
      <c r="AF562" s="4" t="s">
        <v>436</v>
      </c>
    </row>
    <row r="563" spans="1:35" ht="36" x14ac:dyDescent="0.3">
      <c r="A563" s="25" t="s">
        <v>1794</v>
      </c>
      <c r="B563" s="25"/>
      <c r="C563" s="30" t="s">
        <v>1795</v>
      </c>
      <c r="D563" s="27"/>
      <c r="E563" s="27"/>
      <c r="F563" s="31" t="s">
        <v>70</v>
      </c>
      <c r="G563" s="32">
        <v>0.3</v>
      </c>
      <c r="H563" s="27"/>
      <c r="I563" s="32">
        <v>98.927999999999997</v>
      </c>
      <c r="J563" s="34">
        <v>71.75</v>
      </c>
      <c r="K563" s="35"/>
      <c r="L563" s="35"/>
      <c r="M563" s="34">
        <f>ROUND(ROUND(J563, 2)*I563, 2)</f>
        <v>7098.08</v>
      </c>
      <c r="N563" s="35"/>
      <c r="O563" s="35"/>
      <c r="P563" s="34">
        <v>71.75</v>
      </c>
      <c r="Q563" s="35"/>
      <c r="R563" s="35"/>
      <c r="S563" s="34">
        <f>ROUND(ROUND(P563, 2)*I563, 2)</f>
        <v>7098.08</v>
      </c>
      <c r="T563" s="35"/>
      <c r="U563" s="36"/>
      <c r="V563" s="9">
        <f>ROUND(ROUND(P563, 2)/1.2, 2)</f>
        <v>59.79</v>
      </c>
      <c r="Y563" s="9">
        <f t="shared" si="53"/>
        <v>5915.07</v>
      </c>
      <c r="AD563" s="4" t="s">
        <v>1796</v>
      </c>
      <c r="AE563" s="4" t="s">
        <v>1797</v>
      </c>
      <c r="AF563" s="4" t="s">
        <v>1798</v>
      </c>
    </row>
    <row r="564" spans="1:35" ht="36" x14ac:dyDescent="0.3">
      <c r="A564" s="10" t="s">
        <v>1799</v>
      </c>
      <c r="B564" s="10" t="s">
        <v>1800</v>
      </c>
      <c r="C564" s="11" t="s">
        <v>1801</v>
      </c>
      <c r="D564" s="12"/>
      <c r="E564" s="12" t="s">
        <v>63</v>
      </c>
      <c r="F564" s="12" t="s">
        <v>64</v>
      </c>
      <c r="G564" s="13">
        <v>1</v>
      </c>
      <c r="H564" s="12"/>
      <c r="I564" s="13">
        <v>397</v>
      </c>
      <c r="J564" s="14">
        <f>IFERROR(ROUND(SUM(M565,M566,M567,M568)/I564, 2),0)</f>
        <v>263.11</v>
      </c>
      <c r="K564" s="15">
        <v>2541</v>
      </c>
      <c r="L564" s="14">
        <f>J564+ROUND(K564, 2)</f>
        <v>2804.11</v>
      </c>
      <c r="M564" s="14">
        <f>ROUND(J564*I564, 2)</f>
        <v>104454.67</v>
      </c>
      <c r="N564" s="14">
        <f>ROUND(I564*ROUND(K564, 2), 2)</f>
        <v>1008777</v>
      </c>
      <c r="O564" s="14">
        <f>M564+N564</f>
        <v>1113231.67</v>
      </c>
      <c r="P564" s="14">
        <f>IFERROR(ROUND(SUM(S565,S566,S567,S568)/I564, 2),0)</f>
        <v>263.11</v>
      </c>
      <c r="Q564" s="16">
        <v>2541</v>
      </c>
      <c r="R564" s="14">
        <f>P564+ROUND(Q564, 2)</f>
        <v>2804.11</v>
      </c>
      <c r="S564" s="14">
        <f>ROUND(P564*I564, 2)</f>
        <v>104454.67</v>
      </c>
      <c r="T564" s="14">
        <f>ROUND(I564*ROUND(Q564, 2), 2)</f>
        <v>1008777</v>
      </c>
      <c r="U564" s="14">
        <f>S564+T564</f>
        <v>1113231.67</v>
      </c>
      <c r="V564" s="9">
        <f>ROUND(P564 / 1.2, 2)</f>
        <v>219.26</v>
      </c>
      <c r="W564" s="9">
        <f>ROUND(Q564 / 1.2, 2)</f>
        <v>2117.5</v>
      </c>
      <c r="X564" s="9">
        <f>ROUND(R564 / 1.2, 2)</f>
        <v>2336.7600000000002</v>
      </c>
      <c r="Y564" s="9">
        <f t="shared" si="53"/>
        <v>87045.56</v>
      </c>
      <c r="Z564" s="9">
        <f>ROUND(T564 / 1.2, 2)</f>
        <v>840647.5</v>
      </c>
      <c r="AA564" s="9">
        <f>Y564+Z564</f>
        <v>927693.06</v>
      </c>
      <c r="AD564" s="4">
        <v>271132126</v>
      </c>
      <c r="AE564" s="4">
        <v>16226149</v>
      </c>
      <c r="AG564" s="4" t="s">
        <v>1802</v>
      </c>
      <c r="AH564" s="4" t="s">
        <v>1803</v>
      </c>
      <c r="AI564" s="4" t="s">
        <v>67</v>
      </c>
    </row>
    <row r="565" spans="1:35" ht="18" x14ac:dyDescent="0.3">
      <c r="A565" s="10" t="s">
        <v>1804</v>
      </c>
      <c r="B565" s="10"/>
      <c r="C565" s="24" t="s">
        <v>1805</v>
      </c>
      <c r="D565" s="12"/>
      <c r="E565" s="12"/>
      <c r="F565" s="18" t="s">
        <v>70</v>
      </c>
      <c r="G565" s="19">
        <v>0.35</v>
      </c>
      <c r="H565" s="12"/>
      <c r="I565" s="19">
        <v>138.94999999999999</v>
      </c>
      <c r="J565" s="21">
        <v>55</v>
      </c>
      <c r="M565" s="22">
        <f>ROUND(ROUND(J565, 2)*I565, 2)</f>
        <v>7642.25</v>
      </c>
      <c r="P565" s="23">
        <v>55</v>
      </c>
      <c r="S565" s="22">
        <f>ROUND(ROUND(P565, 2)*I565, 2)</f>
        <v>7642.25</v>
      </c>
      <c r="V565" s="9">
        <f>ROUND(ROUND(P565, 2)/1.2, 2)</f>
        <v>45.83</v>
      </c>
      <c r="Y565" s="9">
        <f t="shared" si="53"/>
        <v>6368.54</v>
      </c>
      <c r="AD565" s="4" t="s">
        <v>1806</v>
      </c>
      <c r="AE565" s="4" t="s">
        <v>1807</v>
      </c>
      <c r="AF565" s="4" t="s">
        <v>1808</v>
      </c>
    </row>
    <row r="566" spans="1:35" ht="18" x14ac:dyDescent="0.3">
      <c r="A566" s="10" t="s">
        <v>1809</v>
      </c>
      <c r="B566" s="10"/>
      <c r="C566" s="24" t="s">
        <v>1810</v>
      </c>
      <c r="D566" s="12"/>
      <c r="E566" s="12"/>
      <c r="F566" s="18" t="s">
        <v>116</v>
      </c>
      <c r="G566" s="19">
        <v>20</v>
      </c>
      <c r="H566" s="12"/>
      <c r="I566" s="19">
        <v>7940</v>
      </c>
      <c r="J566" s="21">
        <v>1.5</v>
      </c>
      <c r="M566" s="22">
        <f>ROUND(ROUND(J566, 2)*I566, 2)</f>
        <v>11910</v>
      </c>
      <c r="P566" s="23">
        <v>1.5</v>
      </c>
      <c r="S566" s="22">
        <f>ROUND(ROUND(P566, 2)*I566, 2)</f>
        <v>11910</v>
      </c>
      <c r="V566" s="9">
        <f>ROUND(ROUND(P566, 2)/1.2, 2)</f>
        <v>1.25</v>
      </c>
      <c r="Y566" s="9">
        <f t="shared" si="53"/>
        <v>9925</v>
      </c>
      <c r="AD566" s="4" t="s">
        <v>1811</v>
      </c>
      <c r="AE566" s="4" t="s">
        <v>1812</v>
      </c>
      <c r="AF566" s="4" t="s">
        <v>1813</v>
      </c>
    </row>
    <row r="567" spans="1:35" ht="36" x14ac:dyDescent="0.3">
      <c r="A567" s="10" t="s">
        <v>1814</v>
      </c>
      <c r="B567" s="10"/>
      <c r="C567" s="24" t="s">
        <v>1815</v>
      </c>
      <c r="D567" s="12"/>
      <c r="E567" s="12"/>
      <c r="F567" s="18" t="s">
        <v>64</v>
      </c>
      <c r="G567" s="19">
        <v>1.05</v>
      </c>
      <c r="H567" s="12"/>
      <c r="I567" s="19">
        <v>416.85</v>
      </c>
      <c r="J567" s="21">
        <v>135.53</v>
      </c>
      <c r="M567" s="22">
        <f>ROUND(ROUND(J567, 2)*I567, 2)</f>
        <v>56495.68</v>
      </c>
      <c r="P567" s="23">
        <v>135.53</v>
      </c>
      <c r="S567" s="22">
        <f>ROUND(ROUND(P567, 2)*I567, 2)</f>
        <v>56495.68</v>
      </c>
      <c r="V567" s="9">
        <f>ROUND(ROUND(P567, 2)/1.2, 2)</f>
        <v>112.94</v>
      </c>
      <c r="Y567" s="9">
        <f t="shared" si="53"/>
        <v>47079.73</v>
      </c>
      <c r="AD567" s="4" t="s">
        <v>1816</v>
      </c>
      <c r="AE567" s="4" t="s">
        <v>1817</v>
      </c>
      <c r="AF567" s="4" t="s">
        <v>1818</v>
      </c>
    </row>
    <row r="568" spans="1:35" ht="18" x14ac:dyDescent="0.3">
      <c r="A568" s="10" t="s">
        <v>1819</v>
      </c>
      <c r="B568" s="10"/>
      <c r="C568" s="24" t="s">
        <v>1820</v>
      </c>
      <c r="D568" s="12"/>
      <c r="E568" s="12"/>
      <c r="F568" s="18" t="s">
        <v>116</v>
      </c>
      <c r="G568" s="19">
        <v>0.6</v>
      </c>
      <c r="H568" s="12"/>
      <c r="I568" s="19">
        <v>238.2</v>
      </c>
      <c r="J568" s="21">
        <v>119.25</v>
      </c>
      <c r="M568" s="22">
        <f>ROUND(ROUND(J568, 2)*I568, 2)</f>
        <v>28405.35</v>
      </c>
      <c r="P568" s="23">
        <v>119.25</v>
      </c>
      <c r="S568" s="22">
        <f>ROUND(ROUND(P568, 2)*I568, 2)</f>
        <v>28405.35</v>
      </c>
      <c r="V568" s="9">
        <f>ROUND(ROUND(P568, 2)/1.2, 2)</f>
        <v>99.38</v>
      </c>
      <c r="Y568" s="9">
        <f t="shared" si="53"/>
        <v>23671.13</v>
      </c>
      <c r="AD568" s="4" t="s">
        <v>1821</v>
      </c>
      <c r="AE568" s="4" t="s">
        <v>1822</v>
      </c>
      <c r="AF568" s="4" t="s">
        <v>1823</v>
      </c>
    </row>
    <row r="569" spans="1:35" ht="36" x14ac:dyDescent="0.3">
      <c r="A569" s="25" t="s">
        <v>1824</v>
      </c>
      <c r="B569" s="25" t="s">
        <v>1800</v>
      </c>
      <c r="C569" s="26" t="s">
        <v>1801</v>
      </c>
      <c r="D569" s="27"/>
      <c r="E569" s="27" t="s">
        <v>81</v>
      </c>
      <c r="F569" s="27" t="s">
        <v>64</v>
      </c>
      <c r="G569" s="28">
        <v>1</v>
      </c>
      <c r="H569" s="27"/>
      <c r="I569" s="28">
        <v>260.04000000000002</v>
      </c>
      <c r="J569" s="29">
        <f>IFERROR(ROUND(SUM(M570,M571,M572,M573)/I569, 2),0)</f>
        <v>352.48</v>
      </c>
      <c r="K569" s="29">
        <v>2541</v>
      </c>
      <c r="L569" s="29">
        <f>J569+ROUND(K569, 2)</f>
        <v>2893.48</v>
      </c>
      <c r="M569" s="29">
        <f>ROUND(J569*I569, 2)</f>
        <v>91658.9</v>
      </c>
      <c r="N569" s="29">
        <f>ROUND(I569*ROUND(K569, 2), 2)</f>
        <v>660761.64</v>
      </c>
      <c r="O569" s="29">
        <f>M569+N569</f>
        <v>752420.54</v>
      </c>
      <c r="P569" s="29">
        <f>IFERROR(ROUND(SUM(S570,S571,S572,S573)/I569, 2),0)</f>
        <v>352.48</v>
      </c>
      <c r="Q569" s="29">
        <v>2541</v>
      </c>
      <c r="R569" s="29">
        <f>P569+ROUND(Q569, 2)</f>
        <v>2893.48</v>
      </c>
      <c r="S569" s="29">
        <f>ROUND(P569*I569, 2)</f>
        <v>91658.9</v>
      </c>
      <c r="T569" s="29">
        <f>ROUND(I569*ROUND(Q569, 2), 2)</f>
        <v>660761.64</v>
      </c>
      <c r="U569" s="29">
        <f>S569+T569</f>
        <v>752420.54</v>
      </c>
      <c r="V569" s="9">
        <f>ROUND(P569 / 1.2, 2)</f>
        <v>293.73</v>
      </c>
      <c r="W569" s="9">
        <f>ROUND(Q569 / 1.2, 2)</f>
        <v>2117.5</v>
      </c>
      <c r="X569" s="9">
        <f>ROUND(R569 / 1.2, 2)</f>
        <v>2411.23</v>
      </c>
      <c r="Y569" s="9">
        <f t="shared" si="53"/>
        <v>76382.42</v>
      </c>
      <c r="Z569" s="9">
        <f>ROUND(T569 / 1.2, 2)</f>
        <v>550634.69999999995</v>
      </c>
      <c r="AA569" s="9">
        <f>Y569+Z569</f>
        <v>627017.12</v>
      </c>
      <c r="AD569" s="4">
        <v>271132237</v>
      </c>
      <c r="AE569" s="4">
        <v>19822307</v>
      </c>
      <c r="AG569" s="4" t="s">
        <v>1802</v>
      </c>
      <c r="AH569" s="4" t="s">
        <v>1803</v>
      </c>
      <c r="AI569" s="4" t="s">
        <v>67</v>
      </c>
    </row>
    <row r="570" spans="1:35" ht="36" x14ac:dyDescent="0.3">
      <c r="A570" s="25" t="s">
        <v>1825</v>
      </c>
      <c r="B570" s="25"/>
      <c r="C570" s="30" t="s">
        <v>1815</v>
      </c>
      <c r="D570" s="27"/>
      <c r="E570" s="27"/>
      <c r="F570" s="31" t="s">
        <v>64</v>
      </c>
      <c r="G570" s="32">
        <v>1.05</v>
      </c>
      <c r="H570" s="27"/>
      <c r="I570" s="32">
        <v>273.04199999999997</v>
      </c>
      <c r="J570" s="34">
        <v>135.53</v>
      </c>
      <c r="K570" s="35"/>
      <c r="L570" s="35"/>
      <c r="M570" s="34">
        <f>ROUND(ROUND(J570, 2)*I570, 2)</f>
        <v>37005.379999999997</v>
      </c>
      <c r="N570" s="35"/>
      <c r="O570" s="35"/>
      <c r="P570" s="34">
        <v>135.53</v>
      </c>
      <c r="Q570" s="35"/>
      <c r="R570" s="35"/>
      <c r="S570" s="34">
        <f>ROUND(ROUND(P570, 2)*I570, 2)</f>
        <v>37005.379999999997</v>
      </c>
      <c r="T570" s="35"/>
      <c r="U570" s="36"/>
      <c r="V570" s="9">
        <f>ROUND(ROUND(P570, 2)/1.2, 2)</f>
        <v>112.94</v>
      </c>
      <c r="Y570" s="9">
        <f t="shared" si="53"/>
        <v>30837.82</v>
      </c>
      <c r="AD570" s="4" t="s">
        <v>1826</v>
      </c>
      <c r="AE570" s="4" t="s">
        <v>1827</v>
      </c>
      <c r="AF570" s="4" t="s">
        <v>1818</v>
      </c>
    </row>
    <row r="571" spans="1:35" ht="18" x14ac:dyDescent="0.3">
      <c r="A571" s="25" t="s">
        <v>1828</v>
      </c>
      <c r="B571" s="25"/>
      <c r="C571" s="30" t="s">
        <v>1829</v>
      </c>
      <c r="D571" s="27"/>
      <c r="E571" s="27"/>
      <c r="F571" s="31" t="s">
        <v>116</v>
      </c>
      <c r="G571" s="32">
        <v>2.2200000000000002</v>
      </c>
      <c r="H571" s="27"/>
      <c r="I571" s="32">
        <v>577.28899999999999</v>
      </c>
      <c r="J571" s="34">
        <v>80</v>
      </c>
      <c r="K571" s="35"/>
      <c r="L571" s="35"/>
      <c r="M571" s="34">
        <f>ROUND(ROUND(J571, 2)*I571, 2)</f>
        <v>46183.12</v>
      </c>
      <c r="N571" s="35"/>
      <c r="O571" s="35"/>
      <c r="P571" s="34">
        <v>80</v>
      </c>
      <c r="Q571" s="35"/>
      <c r="R571" s="35"/>
      <c r="S571" s="34">
        <f>ROUND(ROUND(P571, 2)*I571, 2)</f>
        <v>46183.12</v>
      </c>
      <c r="T571" s="35"/>
      <c r="U571" s="36"/>
      <c r="V571" s="9">
        <f>ROUND(ROUND(P571, 2)/1.2, 2)</f>
        <v>66.67</v>
      </c>
      <c r="Y571" s="9">
        <f t="shared" si="53"/>
        <v>38485.93</v>
      </c>
      <c r="AD571" s="4" t="s">
        <v>1830</v>
      </c>
      <c r="AE571" s="4" t="s">
        <v>1831</v>
      </c>
      <c r="AF571" s="4" t="s">
        <v>1832</v>
      </c>
    </row>
    <row r="572" spans="1:35" ht="18" x14ac:dyDescent="0.3">
      <c r="A572" s="25" t="s">
        <v>1833</v>
      </c>
      <c r="B572" s="25"/>
      <c r="C572" s="30" t="s">
        <v>1805</v>
      </c>
      <c r="D572" s="27"/>
      <c r="E572" s="27"/>
      <c r="F572" s="31" t="s">
        <v>70</v>
      </c>
      <c r="G572" s="32">
        <v>0.35</v>
      </c>
      <c r="H572" s="27"/>
      <c r="I572" s="32">
        <v>91.013999999999996</v>
      </c>
      <c r="J572" s="34">
        <v>55</v>
      </c>
      <c r="K572" s="35"/>
      <c r="L572" s="35"/>
      <c r="M572" s="34">
        <f>ROUND(ROUND(J572, 2)*I572, 2)</f>
        <v>5005.7700000000004</v>
      </c>
      <c r="N572" s="35"/>
      <c r="O572" s="35"/>
      <c r="P572" s="34">
        <v>55</v>
      </c>
      <c r="Q572" s="35"/>
      <c r="R572" s="35"/>
      <c r="S572" s="34">
        <f>ROUND(ROUND(P572, 2)*I572, 2)</f>
        <v>5005.7700000000004</v>
      </c>
      <c r="T572" s="35"/>
      <c r="U572" s="36"/>
      <c r="V572" s="9">
        <f>ROUND(ROUND(P572, 2)/1.2, 2)</f>
        <v>45.83</v>
      </c>
      <c r="Y572" s="9">
        <f t="shared" si="53"/>
        <v>4171.4799999999996</v>
      </c>
      <c r="AD572" s="4" t="s">
        <v>1834</v>
      </c>
      <c r="AE572" s="4" t="s">
        <v>1835</v>
      </c>
      <c r="AF572" s="4" t="s">
        <v>1808</v>
      </c>
    </row>
    <row r="573" spans="1:35" ht="36" x14ac:dyDescent="0.3">
      <c r="A573" s="25" t="s">
        <v>1836</v>
      </c>
      <c r="B573" s="25"/>
      <c r="C573" s="30" t="s">
        <v>433</v>
      </c>
      <c r="D573" s="27"/>
      <c r="E573" s="27"/>
      <c r="F573" s="31" t="s">
        <v>70</v>
      </c>
      <c r="G573" s="32">
        <v>0.15</v>
      </c>
      <c r="H573" s="27"/>
      <c r="I573" s="32">
        <v>39.006</v>
      </c>
      <c r="J573" s="34">
        <v>88.8</v>
      </c>
      <c r="K573" s="35"/>
      <c r="L573" s="35"/>
      <c r="M573" s="34">
        <f>ROUND(ROUND(J573, 2)*I573, 2)</f>
        <v>3463.73</v>
      </c>
      <c r="N573" s="35"/>
      <c r="O573" s="35"/>
      <c r="P573" s="34">
        <v>88.8</v>
      </c>
      <c r="Q573" s="35"/>
      <c r="R573" s="35"/>
      <c r="S573" s="34">
        <f>ROUND(ROUND(P573, 2)*I573, 2)</f>
        <v>3463.73</v>
      </c>
      <c r="T573" s="35"/>
      <c r="U573" s="36"/>
      <c r="V573" s="9">
        <f>ROUND(ROUND(P573, 2)/1.2, 2)</f>
        <v>74</v>
      </c>
      <c r="Y573" s="9">
        <f t="shared" si="53"/>
        <v>2886.44</v>
      </c>
      <c r="AD573" s="4" t="s">
        <v>1837</v>
      </c>
      <c r="AE573" s="4" t="s">
        <v>1838</v>
      </c>
      <c r="AF573" s="4" t="s">
        <v>436</v>
      </c>
    </row>
    <row r="574" spans="1:35" ht="36" x14ac:dyDescent="0.3">
      <c r="A574" s="25" t="s">
        <v>1839</v>
      </c>
      <c r="B574" s="25" t="s">
        <v>1840</v>
      </c>
      <c r="C574" s="26" t="s">
        <v>1841</v>
      </c>
      <c r="D574" s="27"/>
      <c r="E574" s="27" t="s">
        <v>1842</v>
      </c>
      <c r="F574" s="27" t="s">
        <v>64</v>
      </c>
      <c r="G574" s="28">
        <v>1</v>
      </c>
      <c r="H574" s="27"/>
      <c r="I574" s="28">
        <v>71.94</v>
      </c>
      <c r="J574" s="29">
        <f>IFERROR(ROUND(SUM(M575,M576,M577)/I574, 2),0)</f>
        <v>410.83</v>
      </c>
      <c r="K574" s="29">
        <v>1291</v>
      </c>
      <c r="L574" s="29">
        <f>J574+ROUND(K574, 2)</f>
        <v>1701.83</v>
      </c>
      <c r="M574" s="29">
        <f>ROUND(J574*I574, 2)</f>
        <v>29555.11</v>
      </c>
      <c r="N574" s="29">
        <f>ROUND(I574*ROUND(K574, 2), 2)</f>
        <v>92874.54</v>
      </c>
      <c r="O574" s="29">
        <f>M574+N574</f>
        <v>122429.65</v>
      </c>
      <c r="P574" s="29">
        <f>IFERROR(ROUND(SUM(S575,S576,S577)/I574, 2),0)</f>
        <v>410.83</v>
      </c>
      <c r="Q574" s="29">
        <v>1291</v>
      </c>
      <c r="R574" s="29">
        <f>P574+ROUND(Q574, 2)</f>
        <v>1701.83</v>
      </c>
      <c r="S574" s="29">
        <f>ROUND(P574*I574, 2)</f>
        <v>29555.11</v>
      </c>
      <c r="T574" s="29">
        <f>ROUND(I574*ROUND(Q574, 2), 2)</f>
        <v>92874.54</v>
      </c>
      <c r="U574" s="29">
        <f>S574+T574</f>
        <v>122429.65</v>
      </c>
      <c r="V574" s="9">
        <f>ROUND(P574 / 1.2, 2)</f>
        <v>342.36</v>
      </c>
      <c r="W574" s="9">
        <f>ROUND(Q574 / 1.2, 2)</f>
        <v>1075.83</v>
      </c>
      <c r="X574" s="9">
        <f>ROUND(R574 / 1.2, 2)</f>
        <v>1418.19</v>
      </c>
      <c r="Y574" s="9">
        <f t="shared" si="53"/>
        <v>24629.26</v>
      </c>
      <c r="Z574" s="9">
        <f>ROUND(T574 / 1.2, 2)</f>
        <v>77395.45</v>
      </c>
      <c r="AA574" s="9">
        <f>Y574+Z574</f>
        <v>102024.71</v>
      </c>
      <c r="AD574" s="4">
        <v>271132128</v>
      </c>
      <c r="AE574" s="4">
        <v>20181624</v>
      </c>
      <c r="AG574" s="4" t="s">
        <v>1843</v>
      </c>
      <c r="AH574" s="4" t="s">
        <v>1844</v>
      </c>
      <c r="AI574" s="4" t="s">
        <v>67</v>
      </c>
    </row>
    <row r="575" spans="1:35" ht="18" x14ac:dyDescent="0.3">
      <c r="A575" s="25" t="s">
        <v>1845</v>
      </c>
      <c r="B575" s="25"/>
      <c r="C575" s="30" t="s">
        <v>1846</v>
      </c>
      <c r="D575" s="27"/>
      <c r="E575" s="27"/>
      <c r="F575" s="31" t="s">
        <v>87</v>
      </c>
      <c r="G575" s="32">
        <v>1</v>
      </c>
      <c r="H575" s="27"/>
      <c r="I575" s="33">
        <v>516.29999999999995</v>
      </c>
      <c r="J575" s="34">
        <v>49.68</v>
      </c>
      <c r="K575" s="35"/>
      <c r="L575" s="35"/>
      <c r="M575" s="34">
        <f>ROUND(ROUND(J575, 2)*I575, 2)</f>
        <v>25649.78</v>
      </c>
      <c r="N575" s="35"/>
      <c r="O575" s="35"/>
      <c r="P575" s="34">
        <v>49.68</v>
      </c>
      <c r="Q575" s="35"/>
      <c r="R575" s="35"/>
      <c r="S575" s="34">
        <f>ROUND(ROUND(P575, 2)*I575, 2)</f>
        <v>25649.78</v>
      </c>
      <c r="T575" s="35"/>
      <c r="U575" s="36"/>
      <c r="V575" s="9">
        <f>ROUND(ROUND(P575, 2)/1.2, 2)</f>
        <v>41.4</v>
      </c>
      <c r="Y575" s="9">
        <f t="shared" si="53"/>
        <v>21374.82</v>
      </c>
      <c r="AD575" s="4" t="s">
        <v>1847</v>
      </c>
      <c r="AE575" s="4" t="s">
        <v>1848</v>
      </c>
      <c r="AF575" s="4" t="s">
        <v>1849</v>
      </c>
    </row>
    <row r="576" spans="1:35" ht="18" x14ac:dyDescent="0.3">
      <c r="A576" s="25" t="s">
        <v>1850</v>
      </c>
      <c r="B576" s="25"/>
      <c r="C576" s="30" t="s">
        <v>1851</v>
      </c>
      <c r="D576" s="27"/>
      <c r="E576" s="27"/>
      <c r="F576" s="31" t="s">
        <v>87</v>
      </c>
      <c r="G576" s="32">
        <v>1</v>
      </c>
      <c r="H576" s="27"/>
      <c r="I576" s="33">
        <v>98.3</v>
      </c>
      <c r="J576" s="34">
        <v>39.729999999999997</v>
      </c>
      <c r="K576" s="35"/>
      <c r="L576" s="35"/>
      <c r="M576" s="34">
        <f>ROUND(ROUND(J576, 2)*I576, 2)</f>
        <v>3905.46</v>
      </c>
      <c r="N576" s="35"/>
      <c r="O576" s="35"/>
      <c r="P576" s="34">
        <v>39.729999999999997</v>
      </c>
      <c r="Q576" s="35"/>
      <c r="R576" s="35"/>
      <c r="S576" s="34">
        <f>ROUND(ROUND(P576, 2)*I576, 2)</f>
        <v>3905.46</v>
      </c>
      <c r="T576" s="35"/>
      <c r="U576" s="36"/>
      <c r="V576" s="9">
        <f>ROUND(ROUND(P576, 2)/1.2, 2)</f>
        <v>33.11</v>
      </c>
      <c r="Y576" s="9">
        <f t="shared" si="53"/>
        <v>3254.55</v>
      </c>
      <c r="AD576" s="4" t="s">
        <v>1852</v>
      </c>
      <c r="AE576" s="4" t="s">
        <v>1853</v>
      </c>
      <c r="AF576" s="4" t="s">
        <v>1854</v>
      </c>
    </row>
    <row r="577" spans="1:35" ht="18" x14ac:dyDescent="0.3">
      <c r="A577" s="25" t="s">
        <v>1855</v>
      </c>
      <c r="B577" s="25"/>
      <c r="C577" s="30" t="s">
        <v>1856</v>
      </c>
      <c r="D577" s="27"/>
      <c r="E577" s="27"/>
      <c r="F577" s="31" t="s">
        <v>64</v>
      </c>
      <c r="G577" s="32">
        <v>1.1000000000000001</v>
      </c>
      <c r="H577" s="27"/>
      <c r="I577" s="32">
        <v>79.134</v>
      </c>
      <c r="J577" s="34">
        <v>0</v>
      </c>
      <c r="K577" s="35"/>
      <c r="L577" s="35"/>
      <c r="M577" s="34">
        <f>ROUND(ROUND(J577, 2)*I577, 2)</f>
        <v>0</v>
      </c>
      <c r="N577" s="35"/>
      <c r="O577" s="35"/>
      <c r="P577" s="34">
        <v>0</v>
      </c>
      <c r="Q577" s="35"/>
      <c r="R577" s="35"/>
      <c r="S577" s="34">
        <f>ROUND(ROUND(P577, 2)*I577, 2)</f>
        <v>0</v>
      </c>
      <c r="T577" s="35"/>
      <c r="U577" s="36"/>
      <c r="V577" s="9">
        <f>ROUND(ROUND(P577, 2)/1.2, 2)</f>
        <v>0</v>
      </c>
      <c r="Y577" s="9">
        <f t="shared" si="53"/>
        <v>0</v>
      </c>
      <c r="AD577" s="4" t="s">
        <v>1857</v>
      </c>
      <c r="AE577" s="4" t="s">
        <v>1858</v>
      </c>
      <c r="AF577" s="4" t="s">
        <v>1859</v>
      </c>
    </row>
    <row r="578" spans="1:35" ht="36" x14ac:dyDescent="0.3">
      <c r="A578" s="25" t="s">
        <v>1860</v>
      </c>
      <c r="B578" s="25" t="s">
        <v>1840</v>
      </c>
      <c r="C578" s="26" t="s">
        <v>1841</v>
      </c>
      <c r="D578" s="27"/>
      <c r="E578" s="27" t="s">
        <v>1861</v>
      </c>
      <c r="F578" s="27" t="s">
        <v>64</v>
      </c>
      <c r="G578" s="28">
        <v>1</v>
      </c>
      <c r="H578" s="27"/>
      <c r="I578" s="28">
        <v>73.87</v>
      </c>
      <c r="J578" s="29">
        <f>IFERROR(ROUND(SUM(M579,M580,M581)/I578, 2),0)</f>
        <v>248.27</v>
      </c>
      <c r="K578" s="29">
        <v>1291</v>
      </c>
      <c r="L578" s="29">
        <f>J578+ROUND(K578, 2)</f>
        <v>1539.27</v>
      </c>
      <c r="M578" s="29">
        <f>ROUND(J578*I578, 2)</f>
        <v>18339.7</v>
      </c>
      <c r="N578" s="29">
        <f>ROUND(I578*ROUND(K578, 2), 2)</f>
        <v>95366.17</v>
      </c>
      <c r="O578" s="29">
        <f>M578+N578</f>
        <v>113705.87</v>
      </c>
      <c r="P578" s="29">
        <f>IFERROR(ROUND(SUM(S579,S580,S581)/I578, 2),0)</f>
        <v>248.27</v>
      </c>
      <c r="Q578" s="29">
        <v>1291</v>
      </c>
      <c r="R578" s="29">
        <f>P578+ROUND(Q578, 2)</f>
        <v>1539.27</v>
      </c>
      <c r="S578" s="29">
        <f>ROUND(P578*I578, 2)</f>
        <v>18339.7</v>
      </c>
      <c r="T578" s="29">
        <f>ROUND(I578*ROUND(Q578, 2), 2)</f>
        <v>95366.17</v>
      </c>
      <c r="U578" s="29">
        <f>S578+T578</f>
        <v>113705.87</v>
      </c>
      <c r="V578" s="9">
        <f>ROUND(P578 / 1.2, 2)</f>
        <v>206.89</v>
      </c>
      <c r="W578" s="9">
        <f>ROUND(Q578 / 1.2, 2)</f>
        <v>1075.83</v>
      </c>
      <c r="X578" s="9">
        <f>ROUND(R578 / 1.2, 2)</f>
        <v>1282.73</v>
      </c>
      <c r="Y578" s="9">
        <f t="shared" si="53"/>
        <v>15283.08</v>
      </c>
      <c r="Z578" s="9">
        <f>ROUND(T578 / 1.2, 2)</f>
        <v>79471.81</v>
      </c>
      <c r="AA578" s="9">
        <f>Y578+Z578</f>
        <v>94754.89</v>
      </c>
      <c r="AD578" s="4">
        <v>271132238</v>
      </c>
      <c r="AE578" s="4">
        <v>20181618</v>
      </c>
      <c r="AG578" s="4" t="s">
        <v>1843</v>
      </c>
      <c r="AH578" s="4" t="s">
        <v>1844</v>
      </c>
      <c r="AI578" s="4" t="s">
        <v>67</v>
      </c>
    </row>
    <row r="579" spans="1:35" ht="18" x14ac:dyDescent="0.3">
      <c r="A579" s="25" t="s">
        <v>1862</v>
      </c>
      <c r="B579" s="25"/>
      <c r="C579" s="30" t="s">
        <v>1856</v>
      </c>
      <c r="D579" s="27"/>
      <c r="E579" s="27"/>
      <c r="F579" s="31" t="s">
        <v>64</v>
      </c>
      <c r="G579" s="32">
        <v>1.1000000000000001</v>
      </c>
      <c r="H579" s="27"/>
      <c r="I579" s="32">
        <v>81.257000000000005</v>
      </c>
      <c r="J579" s="34">
        <v>0</v>
      </c>
      <c r="K579" s="35"/>
      <c r="L579" s="35"/>
      <c r="M579" s="34">
        <f>ROUND(ROUND(J579, 2)*I579, 2)</f>
        <v>0</v>
      </c>
      <c r="N579" s="35"/>
      <c r="O579" s="35"/>
      <c r="P579" s="34">
        <v>0</v>
      </c>
      <c r="Q579" s="35"/>
      <c r="R579" s="35"/>
      <c r="S579" s="34">
        <f>ROUND(ROUND(P579, 2)*I579, 2)</f>
        <v>0</v>
      </c>
      <c r="T579" s="35"/>
      <c r="U579" s="36"/>
      <c r="V579" s="9">
        <f>ROUND(ROUND(P579, 2)/1.2, 2)</f>
        <v>0</v>
      </c>
      <c r="Y579" s="9">
        <f t="shared" si="53"/>
        <v>0</v>
      </c>
      <c r="AD579" s="4" t="s">
        <v>1863</v>
      </c>
      <c r="AE579" s="4" t="s">
        <v>1864</v>
      </c>
      <c r="AF579" s="4" t="s">
        <v>1859</v>
      </c>
    </row>
    <row r="580" spans="1:35" ht="18" x14ac:dyDescent="0.3">
      <c r="A580" s="25" t="s">
        <v>1865</v>
      </c>
      <c r="B580" s="25"/>
      <c r="C580" s="30" t="s">
        <v>1846</v>
      </c>
      <c r="D580" s="27"/>
      <c r="E580" s="27"/>
      <c r="F580" s="31" t="s">
        <v>87</v>
      </c>
      <c r="G580" s="32">
        <v>1</v>
      </c>
      <c r="H580" s="27"/>
      <c r="I580" s="33">
        <v>264.8</v>
      </c>
      <c r="J580" s="34">
        <v>49.68</v>
      </c>
      <c r="K580" s="35"/>
      <c r="L580" s="35"/>
      <c r="M580" s="34">
        <f>ROUND(ROUND(J580, 2)*I580, 2)</f>
        <v>13155.26</v>
      </c>
      <c r="N580" s="35"/>
      <c r="O580" s="35"/>
      <c r="P580" s="34">
        <v>49.68</v>
      </c>
      <c r="Q580" s="35"/>
      <c r="R580" s="35"/>
      <c r="S580" s="34">
        <f>ROUND(ROUND(P580, 2)*I580, 2)</f>
        <v>13155.26</v>
      </c>
      <c r="T580" s="35"/>
      <c r="U580" s="36"/>
      <c r="V580" s="9">
        <f>ROUND(ROUND(P580, 2)/1.2, 2)</f>
        <v>41.4</v>
      </c>
      <c r="Y580" s="9">
        <f t="shared" si="53"/>
        <v>10962.72</v>
      </c>
      <c r="AD580" s="4" t="s">
        <v>1866</v>
      </c>
      <c r="AE580" s="4" t="s">
        <v>1867</v>
      </c>
      <c r="AF580" s="4" t="s">
        <v>1849</v>
      </c>
    </row>
    <row r="581" spans="1:35" ht="18" x14ac:dyDescent="0.3">
      <c r="A581" s="25" t="s">
        <v>1868</v>
      </c>
      <c r="B581" s="25"/>
      <c r="C581" s="30" t="s">
        <v>1851</v>
      </c>
      <c r="D581" s="27"/>
      <c r="E581" s="27"/>
      <c r="F581" s="31" t="s">
        <v>87</v>
      </c>
      <c r="G581" s="32">
        <v>1</v>
      </c>
      <c r="H581" s="27"/>
      <c r="I581" s="33">
        <v>130.5</v>
      </c>
      <c r="J581" s="34">
        <v>39.729999999999997</v>
      </c>
      <c r="K581" s="35"/>
      <c r="L581" s="35"/>
      <c r="M581" s="34">
        <f>ROUND(ROUND(J581, 2)*I581, 2)</f>
        <v>5184.7700000000004</v>
      </c>
      <c r="N581" s="35"/>
      <c r="O581" s="35"/>
      <c r="P581" s="34">
        <v>39.729999999999997</v>
      </c>
      <c r="Q581" s="35"/>
      <c r="R581" s="35"/>
      <c r="S581" s="34">
        <f>ROUND(ROUND(P581, 2)*I581, 2)</f>
        <v>5184.7700000000004</v>
      </c>
      <c r="T581" s="35"/>
      <c r="U581" s="36"/>
      <c r="V581" s="9">
        <f>ROUND(ROUND(P581, 2)/1.2, 2)</f>
        <v>33.11</v>
      </c>
      <c r="Y581" s="9">
        <f t="shared" si="53"/>
        <v>4320.6400000000003</v>
      </c>
      <c r="AD581" s="4" t="s">
        <v>1869</v>
      </c>
      <c r="AE581" s="4" t="s">
        <v>1870</v>
      </c>
      <c r="AF581" s="4" t="s">
        <v>1854</v>
      </c>
    </row>
    <row r="582" spans="1:35" ht="36" x14ac:dyDescent="0.3">
      <c r="A582" s="37" t="s">
        <v>1871</v>
      </c>
      <c r="B582" s="37" t="s">
        <v>1872</v>
      </c>
      <c r="C582" s="38" t="s">
        <v>1873</v>
      </c>
      <c r="D582" s="39"/>
      <c r="E582" s="39" t="s">
        <v>63</v>
      </c>
      <c r="F582" s="39" t="s">
        <v>64</v>
      </c>
      <c r="G582" s="40">
        <v>1</v>
      </c>
      <c r="H582" s="39"/>
      <c r="I582" s="41">
        <v>0</v>
      </c>
      <c r="J582" s="42">
        <f>IFERROR(ROUND(SUM(M584,M586,M588)/I582, 2),0)</f>
        <v>0</v>
      </c>
      <c r="K582" s="42">
        <v>1477</v>
      </c>
      <c r="L582" s="42">
        <f>J582+ROUND(K582, 2)</f>
        <v>1477</v>
      </c>
      <c r="M582" s="42">
        <f>ROUND(J582*I582, 2)</f>
        <v>0</v>
      </c>
      <c r="N582" s="42">
        <f>ROUND(I582*ROUND(K582, 2), 2)</f>
        <v>0</v>
      </c>
      <c r="O582" s="42">
        <f>M582+N582</f>
        <v>0</v>
      </c>
      <c r="P582" s="42">
        <f>IFERROR(ROUND(SUM(S584,S586,S588)/I582, 2),0)</f>
        <v>0</v>
      </c>
      <c r="Q582" s="42">
        <v>1477</v>
      </c>
      <c r="R582" s="42">
        <f>P582+ROUND(Q582, 2)</f>
        <v>1477</v>
      </c>
      <c r="S582" s="42">
        <f>ROUND(P582*I582, 2)</f>
        <v>0</v>
      </c>
      <c r="T582" s="42">
        <f>ROUND(I582*ROUND(Q582, 2), 2)</f>
        <v>0</v>
      </c>
      <c r="U582" s="42">
        <f>S582+T582</f>
        <v>0</v>
      </c>
      <c r="V582" s="9">
        <f>ROUND(P582 / 1.2, 2)</f>
        <v>0</v>
      </c>
      <c r="W582" s="9">
        <f>ROUND(Q582 / 1.2, 2)</f>
        <v>1230.83</v>
      </c>
      <c r="X582" s="9">
        <f>ROUND(R582 / 1.2, 2)</f>
        <v>1230.83</v>
      </c>
      <c r="Y582" s="9">
        <f t="shared" si="53"/>
        <v>0</v>
      </c>
      <c r="Z582" s="9">
        <f>ROUND(T582 / 1.2, 2)</f>
        <v>0</v>
      </c>
      <c r="AA582" s="9">
        <f>Y582+Z582</f>
        <v>0</v>
      </c>
      <c r="AD582" s="4">
        <v>271132129</v>
      </c>
      <c r="AE582" s="4">
        <v>16230161</v>
      </c>
      <c r="AG582" s="4" t="s">
        <v>1874</v>
      </c>
      <c r="AH582" s="4" t="s">
        <v>1875</v>
      </c>
      <c r="AI582" s="4" t="s">
        <v>67</v>
      </c>
    </row>
    <row r="583" spans="1:35" ht="36" x14ac:dyDescent="0.3">
      <c r="A583" s="43" t="s">
        <v>1876</v>
      </c>
      <c r="B583" s="43" t="s">
        <v>1872</v>
      </c>
      <c r="C583" s="44" t="s">
        <v>1873</v>
      </c>
      <c r="D583" s="45"/>
      <c r="E583" s="45"/>
      <c r="F583" s="45" t="s">
        <v>64</v>
      </c>
      <c r="G583" s="46">
        <v>1</v>
      </c>
      <c r="H583" s="45"/>
      <c r="I583" s="46">
        <v>133.19999999999999</v>
      </c>
      <c r="J583" s="47">
        <v>0</v>
      </c>
      <c r="K583" s="47">
        <v>1477</v>
      </c>
      <c r="L583" s="47"/>
      <c r="M583" s="47">
        <v>0</v>
      </c>
      <c r="N583" s="47"/>
      <c r="O583" s="47"/>
      <c r="P583" s="47">
        <v>0</v>
      </c>
      <c r="Q583" s="47">
        <v>1477</v>
      </c>
      <c r="R583" s="47"/>
      <c r="S583" s="47">
        <v>0</v>
      </c>
      <c r="T583" s="47"/>
      <c r="U583" s="47"/>
      <c r="V583" s="9"/>
      <c r="W583" s="9">
        <f>ROUND(Q583 / 1.2, 2)</f>
        <v>1230.83</v>
      </c>
      <c r="X583" s="9" t="e">
        <f>ROUND(R583 / 1.2, 2)</f>
        <v>#VALUE!</v>
      </c>
      <c r="Y583" s="9"/>
      <c r="Z583" s="9" t="e">
        <f>ROUND(T583 / 1.2, 2)</f>
        <v>#VALUE!</v>
      </c>
      <c r="AA583" s="9"/>
      <c r="AD583" s="4">
        <v>220089282</v>
      </c>
      <c r="AE583" s="4">
        <v>16230161</v>
      </c>
      <c r="AG583" s="4" t="s">
        <v>1874</v>
      </c>
      <c r="AH583" s="4" t="s">
        <v>1875</v>
      </c>
      <c r="AI583" s="4"/>
    </row>
    <row r="584" spans="1:35" ht="18" x14ac:dyDescent="0.3">
      <c r="A584" s="37" t="s">
        <v>1877</v>
      </c>
      <c r="B584" s="37"/>
      <c r="C584" s="48" t="s">
        <v>1846</v>
      </c>
      <c r="D584" s="39"/>
      <c r="E584" s="39"/>
      <c r="F584" s="49" t="s">
        <v>87</v>
      </c>
      <c r="G584" s="50">
        <v>1</v>
      </c>
      <c r="H584" s="39"/>
      <c r="I584" s="51">
        <v>0</v>
      </c>
      <c r="J584" s="52">
        <v>54.18</v>
      </c>
      <c r="K584" s="53"/>
      <c r="L584" s="53"/>
      <c r="M584" s="52">
        <f t="shared" ref="M584:M589" si="54">ROUND(ROUND(J584, 2)*I584, 2)</f>
        <v>0</v>
      </c>
      <c r="N584" s="53"/>
      <c r="O584" s="53"/>
      <c r="P584" s="52">
        <v>54.18</v>
      </c>
      <c r="Q584" s="53"/>
      <c r="R584" s="53"/>
      <c r="S584" s="52">
        <f t="shared" ref="S584:S589" si="55">ROUND(ROUND(P584, 2)*I584, 2)</f>
        <v>0</v>
      </c>
      <c r="T584" s="53"/>
      <c r="U584" s="54"/>
      <c r="V584" s="9">
        <f t="shared" ref="V584:V589" si="56">ROUND(ROUND(P584, 2)/1.2, 2)</f>
        <v>45.15</v>
      </c>
      <c r="Y584" s="9">
        <f t="shared" ref="Y584:Y613" si="57">ROUND(S584 / 1.2, 2)</f>
        <v>0</v>
      </c>
      <c r="AD584" s="4" t="s">
        <v>1878</v>
      </c>
      <c r="AE584" s="4" t="s">
        <v>1879</v>
      </c>
      <c r="AF584" s="4" t="s">
        <v>1849</v>
      </c>
    </row>
    <row r="585" spans="1:35" ht="18" x14ac:dyDescent="0.3">
      <c r="A585" s="43" t="s">
        <v>1880</v>
      </c>
      <c r="B585" s="43"/>
      <c r="C585" s="55" t="s">
        <v>1846</v>
      </c>
      <c r="D585" s="45"/>
      <c r="E585" s="45"/>
      <c r="F585" s="56" t="s">
        <v>87</v>
      </c>
      <c r="G585" s="57">
        <v>1</v>
      </c>
      <c r="H585" s="45"/>
      <c r="I585" s="58">
        <v>956</v>
      </c>
      <c r="J585" s="59">
        <v>54.18</v>
      </c>
      <c r="K585" s="60"/>
      <c r="L585" s="60"/>
      <c r="M585" s="59">
        <f t="shared" si="54"/>
        <v>51796.08</v>
      </c>
      <c r="N585" s="60"/>
      <c r="O585" s="60"/>
      <c r="P585" s="59">
        <v>54.18</v>
      </c>
      <c r="Q585" s="60"/>
      <c r="R585" s="60"/>
      <c r="S585" s="59">
        <f t="shared" si="55"/>
        <v>51796.08</v>
      </c>
      <c r="T585" s="60"/>
      <c r="U585" s="61"/>
      <c r="V585" s="9">
        <f t="shared" si="56"/>
        <v>45.15</v>
      </c>
      <c r="Y585" s="9">
        <f t="shared" si="57"/>
        <v>43163.4</v>
      </c>
      <c r="AD585" s="4" t="s">
        <v>1881</v>
      </c>
      <c r="AE585" s="4" t="s">
        <v>1879</v>
      </c>
      <c r="AF585" s="4" t="s">
        <v>1849</v>
      </c>
    </row>
    <row r="586" spans="1:35" ht="18" x14ac:dyDescent="0.3">
      <c r="A586" s="37" t="s">
        <v>1882</v>
      </c>
      <c r="B586" s="37"/>
      <c r="C586" s="48" t="s">
        <v>1851</v>
      </c>
      <c r="D586" s="39"/>
      <c r="E586" s="39"/>
      <c r="F586" s="49" t="s">
        <v>87</v>
      </c>
      <c r="G586" s="50">
        <v>1</v>
      </c>
      <c r="H586" s="39"/>
      <c r="I586" s="51">
        <v>0</v>
      </c>
      <c r="J586" s="52">
        <v>43.33</v>
      </c>
      <c r="K586" s="53"/>
      <c r="L586" s="53"/>
      <c r="M586" s="52">
        <f t="shared" si="54"/>
        <v>0</v>
      </c>
      <c r="N586" s="53"/>
      <c r="O586" s="53"/>
      <c r="P586" s="52">
        <v>43.33</v>
      </c>
      <c r="Q586" s="53"/>
      <c r="R586" s="53"/>
      <c r="S586" s="52">
        <f t="shared" si="55"/>
        <v>0</v>
      </c>
      <c r="T586" s="53"/>
      <c r="U586" s="54"/>
      <c r="V586" s="9">
        <f t="shared" si="56"/>
        <v>36.11</v>
      </c>
      <c r="Y586" s="9">
        <f t="shared" si="57"/>
        <v>0</v>
      </c>
      <c r="AD586" s="4" t="s">
        <v>1883</v>
      </c>
      <c r="AE586" s="4" t="s">
        <v>1884</v>
      </c>
      <c r="AF586" s="4" t="s">
        <v>1854</v>
      </c>
    </row>
    <row r="587" spans="1:35" ht="18" x14ac:dyDescent="0.3">
      <c r="A587" s="43" t="s">
        <v>1885</v>
      </c>
      <c r="B587" s="43"/>
      <c r="C587" s="55" t="s">
        <v>1851</v>
      </c>
      <c r="D587" s="45"/>
      <c r="E587" s="45"/>
      <c r="F587" s="56" t="s">
        <v>87</v>
      </c>
      <c r="G587" s="57">
        <v>1</v>
      </c>
      <c r="H587" s="45"/>
      <c r="I587" s="58">
        <v>182</v>
      </c>
      <c r="J587" s="59">
        <v>43.33</v>
      </c>
      <c r="K587" s="60"/>
      <c r="L587" s="60"/>
      <c r="M587" s="59">
        <f t="shared" si="54"/>
        <v>7886.06</v>
      </c>
      <c r="N587" s="60"/>
      <c r="O587" s="60"/>
      <c r="P587" s="59">
        <v>43.33</v>
      </c>
      <c r="Q587" s="60"/>
      <c r="R587" s="60"/>
      <c r="S587" s="59">
        <f t="shared" si="55"/>
        <v>7886.06</v>
      </c>
      <c r="T587" s="60"/>
      <c r="U587" s="61"/>
      <c r="V587" s="9">
        <f t="shared" si="56"/>
        <v>36.11</v>
      </c>
      <c r="Y587" s="9">
        <f t="shared" si="57"/>
        <v>6571.72</v>
      </c>
      <c r="AD587" s="4" t="s">
        <v>1886</v>
      </c>
      <c r="AE587" s="4" t="s">
        <v>1884</v>
      </c>
      <c r="AF587" s="4" t="s">
        <v>1854</v>
      </c>
    </row>
    <row r="588" spans="1:35" ht="18" x14ac:dyDescent="0.3">
      <c r="A588" s="37" t="s">
        <v>1887</v>
      </c>
      <c r="B588" s="37"/>
      <c r="C588" s="48" t="s">
        <v>1888</v>
      </c>
      <c r="D588" s="39"/>
      <c r="E588" s="39"/>
      <c r="F588" s="49" t="s">
        <v>64</v>
      </c>
      <c r="G588" s="50">
        <v>1.1000000000000001</v>
      </c>
      <c r="H588" s="39"/>
      <c r="I588" s="51">
        <v>0</v>
      </c>
      <c r="J588" s="52">
        <v>312.73</v>
      </c>
      <c r="K588" s="53"/>
      <c r="L588" s="53"/>
      <c r="M588" s="52">
        <f t="shared" si="54"/>
        <v>0</v>
      </c>
      <c r="N588" s="53"/>
      <c r="O588" s="53"/>
      <c r="P588" s="52">
        <v>312.73</v>
      </c>
      <c r="Q588" s="53"/>
      <c r="R588" s="53"/>
      <c r="S588" s="52">
        <f t="shared" si="55"/>
        <v>0</v>
      </c>
      <c r="T588" s="53"/>
      <c r="U588" s="54"/>
      <c r="V588" s="9">
        <f t="shared" si="56"/>
        <v>260.61</v>
      </c>
      <c r="Y588" s="9">
        <f t="shared" si="57"/>
        <v>0</v>
      </c>
      <c r="AD588" s="4" t="s">
        <v>1889</v>
      </c>
      <c r="AE588" s="4" t="s">
        <v>1890</v>
      </c>
      <c r="AF588" s="4" t="s">
        <v>1891</v>
      </c>
    </row>
    <row r="589" spans="1:35" ht="18" x14ac:dyDescent="0.3">
      <c r="A589" s="43" t="s">
        <v>1892</v>
      </c>
      <c r="B589" s="43"/>
      <c r="C589" s="55" t="s">
        <v>1888</v>
      </c>
      <c r="D589" s="45"/>
      <c r="E589" s="45"/>
      <c r="F589" s="56" t="s">
        <v>64</v>
      </c>
      <c r="G589" s="57">
        <v>1.1000000000000001</v>
      </c>
      <c r="H589" s="45"/>
      <c r="I589" s="58">
        <v>146.52000000000001</v>
      </c>
      <c r="J589" s="59">
        <v>312.73</v>
      </c>
      <c r="K589" s="60"/>
      <c r="L589" s="60"/>
      <c r="M589" s="59">
        <f t="shared" si="54"/>
        <v>45821.2</v>
      </c>
      <c r="N589" s="60"/>
      <c r="O589" s="60"/>
      <c r="P589" s="59">
        <v>312.73</v>
      </c>
      <c r="Q589" s="60"/>
      <c r="R589" s="60"/>
      <c r="S589" s="59">
        <f t="shared" si="55"/>
        <v>45821.2</v>
      </c>
      <c r="T589" s="60"/>
      <c r="U589" s="61"/>
      <c r="V589" s="9">
        <f t="shared" si="56"/>
        <v>260.61</v>
      </c>
      <c r="Y589" s="9">
        <f t="shared" si="57"/>
        <v>38184.33</v>
      </c>
      <c r="AD589" s="4" t="s">
        <v>1893</v>
      </c>
      <c r="AE589" s="4" t="s">
        <v>1890</v>
      </c>
      <c r="AF589" s="4" t="s">
        <v>1891</v>
      </c>
    </row>
    <row r="590" spans="1:35" ht="36" x14ac:dyDescent="0.3">
      <c r="A590" s="25" t="s">
        <v>1894</v>
      </c>
      <c r="B590" s="25" t="s">
        <v>1872</v>
      </c>
      <c r="C590" s="26" t="s">
        <v>1873</v>
      </c>
      <c r="D590" s="27"/>
      <c r="E590" s="27" t="s">
        <v>1895</v>
      </c>
      <c r="F590" s="27" t="s">
        <v>64</v>
      </c>
      <c r="G590" s="28">
        <v>1</v>
      </c>
      <c r="H590" s="27"/>
      <c r="I590" s="28">
        <v>8.0399999999999991</v>
      </c>
      <c r="J590" s="29">
        <f>IFERROR(ROUND(SUM(M591,M592,M593,M594)/I590, 2),0)</f>
        <v>941.88</v>
      </c>
      <c r="K590" s="29">
        <v>1477</v>
      </c>
      <c r="L590" s="29">
        <f>J590+ROUND(K590, 2)</f>
        <v>2418.88</v>
      </c>
      <c r="M590" s="29">
        <f>ROUND(J590*I590, 2)</f>
        <v>7572.72</v>
      </c>
      <c r="N590" s="29">
        <f>ROUND(I590*ROUND(K590, 2), 2)</f>
        <v>11875.08</v>
      </c>
      <c r="O590" s="29">
        <f>M590+N590</f>
        <v>19447.8</v>
      </c>
      <c r="P590" s="29">
        <f>IFERROR(ROUND(SUM(S591,S592,S593,S594)/I590, 2),0)</f>
        <v>941.88</v>
      </c>
      <c r="Q590" s="29">
        <v>1477</v>
      </c>
      <c r="R590" s="29">
        <f>P590+ROUND(Q590, 2)</f>
        <v>2418.88</v>
      </c>
      <c r="S590" s="29">
        <f>ROUND(P590*I590, 2)</f>
        <v>7572.72</v>
      </c>
      <c r="T590" s="29">
        <f>ROUND(I590*ROUND(Q590, 2), 2)</f>
        <v>11875.08</v>
      </c>
      <c r="U590" s="29">
        <f>S590+T590</f>
        <v>19447.8</v>
      </c>
      <c r="V590" s="9">
        <f>ROUND(P590 / 1.2, 2)</f>
        <v>784.9</v>
      </c>
      <c r="W590" s="9">
        <f>ROUND(Q590 / 1.2, 2)</f>
        <v>1230.83</v>
      </c>
      <c r="X590" s="9">
        <f>ROUND(R590 / 1.2, 2)</f>
        <v>2015.73</v>
      </c>
      <c r="Y590" s="9">
        <f t="shared" si="57"/>
        <v>6310.6</v>
      </c>
      <c r="Z590" s="9">
        <f>ROUND(T590 / 1.2, 2)</f>
        <v>9895.9</v>
      </c>
      <c r="AA590" s="9">
        <f>Y590+Z590</f>
        <v>16206.5</v>
      </c>
      <c r="AD590" s="4">
        <v>271132239</v>
      </c>
      <c r="AE590" s="4">
        <v>19822309</v>
      </c>
      <c r="AG590" s="4" t="s">
        <v>1874</v>
      </c>
      <c r="AH590" s="4" t="s">
        <v>1875</v>
      </c>
      <c r="AI590" s="4" t="s">
        <v>67</v>
      </c>
    </row>
    <row r="591" spans="1:35" ht="18" x14ac:dyDescent="0.3">
      <c r="A591" s="25" t="s">
        <v>1896</v>
      </c>
      <c r="B591" s="25"/>
      <c r="C591" s="17" t="s">
        <v>1888</v>
      </c>
      <c r="D591" s="27"/>
      <c r="E591" s="27"/>
      <c r="F591" s="31" t="s">
        <v>64</v>
      </c>
      <c r="G591" s="32">
        <v>1.1000000000000001</v>
      </c>
      <c r="H591" s="27"/>
      <c r="I591" s="33">
        <v>17.687999999999999</v>
      </c>
      <c r="J591" s="34">
        <v>309.39999999999998</v>
      </c>
      <c r="K591" s="35"/>
      <c r="L591" s="35"/>
      <c r="M591" s="34">
        <f>ROUND(ROUND(J591, 2)*I591, 2)</f>
        <v>5472.67</v>
      </c>
      <c r="N591" s="35"/>
      <c r="O591" s="35"/>
      <c r="P591" s="34">
        <v>309.39999999999998</v>
      </c>
      <c r="Q591" s="35"/>
      <c r="R591" s="35"/>
      <c r="S591" s="34">
        <f>ROUND(ROUND(P591, 2)*I591, 2)</f>
        <v>5472.67</v>
      </c>
      <c r="T591" s="35"/>
      <c r="U591" s="36"/>
      <c r="V591" s="9">
        <f>ROUND(ROUND(P591, 2)/1.2, 2)</f>
        <v>257.83</v>
      </c>
      <c r="Y591" s="9">
        <f t="shared" si="57"/>
        <v>4560.5600000000004</v>
      </c>
      <c r="AD591" s="4" t="s">
        <v>1897</v>
      </c>
      <c r="AE591" s="4" t="s">
        <v>1898</v>
      </c>
      <c r="AF591" s="4" t="s">
        <v>1891</v>
      </c>
    </row>
    <row r="592" spans="1:35" ht="18" x14ac:dyDescent="0.3">
      <c r="A592" s="25" t="s">
        <v>1899</v>
      </c>
      <c r="B592" s="25"/>
      <c r="C592" s="30" t="s">
        <v>1846</v>
      </c>
      <c r="D592" s="27"/>
      <c r="E592" s="27"/>
      <c r="F592" s="31" t="s">
        <v>87</v>
      </c>
      <c r="G592" s="32">
        <v>1</v>
      </c>
      <c r="H592" s="27"/>
      <c r="I592" s="33">
        <v>32</v>
      </c>
      <c r="J592" s="34">
        <v>49.68</v>
      </c>
      <c r="K592" s="35"/>
      <c r="L592" s="35"/>
      <c r="M592" s="34">
        <f>ROUND(ROUND(J592, 2)*I592, 2)</f>
        <v>1589.76</v>
      </c>
      <c r="N592" s="35"/>
      <c r="O592" s="35"/>
      <c r="P592" s="34">
        <v>49.68</v>
      </c>
      <c r="Q592" s="35"/>
      <c r="R592" s="35"/>
      <c r="S592" s="34">
        <f>ROUND(ROUND(P592, 2)*I592, 2)</f>
        <v>1589.76</v>
      </c>
      <c r="T592" s="35"/>
      <c r="U592" s="36"/>
      <c r="V592" s="9">
        <f>ROUND(ROUND(P592, 2)/1.2, 2)</f>
        <v>41.4</v>
      </c>
      <c r="Y592" s="9">
        <f t="shared" si="57"/>
        <v>1324.8</v>
      </c>
      <c r="AD592" s="4" t="s">
        <v>1900</v>
      </c>
      <c r="AE592" s="4" t="s">
        <v>1901</v>
      </c>
      <c r="AF592" s="4" t="s">
        <v>1849</v>
      </c>
    </row>
    <row r="593" spans="1:35" ht="18" x14ac:dyDescent="0.3">
      <c r="A593" s="25" t="s">
        <v>1902</v>
      </c>
      <c r="B593" s="25"/>
      <c r="C593" s="30" t="s">
        <v>1851</v>
      </c>
      <c r="D593" s="27"/>
      <c r="E593" s="27"/>
      <c r="F593" s="31" t="s">
        <v>87</v>
      </c>
      <c r="G593" s="32">
        <v>1</v>
      </c>
      <c r="H593" s="27"/>
      <c r="I593" s="33">
        <v>6.4</v>
      </c>
      <c r="J593" s="34">
        <v>39.729999999999997</v>
      </c>
      <c r="K593" s="35"/>
      <c r="L593" s="35"/>
      <c r="M593" s="34">
        <f>ROUND(ROUND(J593, 2)*I593, 2)</f>
        <v>254.27</v>
      </c>
      <c r="N593" s="35"/>
      <c r="O593" s="35"/>
      <c r="P593" s="34">
        <v>39.729999999999997</v>
      </c>
      <c r="Q593" s="35"/>
      <c r="R593" s="35"/>
      <c r="S593" s="34">
        <f>ROUND(ROUND(P593, 2)*I593, 2)</f>
        <v>254.27</v>
      </c>
      <c r="T593" s="35"/>
      <c r="U593" s="36"/>
      <c r="V593" s="9">
        <f>ROUND(ROUND(P593, 2)/1.2, 2)</f>
        <v>33.11</v>
      </c>
      <c r="Y593" s="9">
        <f t="shared" si="57"/>
        <v>211.89</v>
      </c>
      <c r="AD593" s="4" t="s">
        <v>1903</v>
      </c>
      <c r="AE593" s="4" t="s">
        <v>1904</v>
      </c>
      <c r="AF593" s="4" t="s">
        <v>1854</v>
      </c>
    </row>
    <row r="594" spans="1:35" ht="18" x14ac:dyDescent="0.3">
      <c r="A594" s="25" t="s">
        <v>1905</v>
      </c>
      <c r="B594" s="25"/>
      <c r="C594" s="30" t="s">
        <v>1829</v>
      </c>
      <c r="D594" s="27"/>
      <c r="E594" s="27"/>
      <c r="F594" s="31" t="s">
        <v>116</v>
      </c>
      <c r="G594" s="32">
        <v>1</v>
      </c>
      <c r="H594" s="27"/>
      <c r="I594" s="33">
        <v>3.2</v>
      </c>
      <c r="J594" s="34">
        <v>80</v>
      </c>
      <c r="K594" s="35"/>
      <c r="L594" s="35"/>
      <c r="M594" s="34">
        <f>ROUND(ROUND(J594, 2)*I594, 2)</f>
        <v>256</v>
      </c>
      <c r="N594" s="35"/>
      <c r="O594" s="35"/>
      <c r="P594" s="34">
        <v>80</v>
      </c>
      <c r="Q594" s="35"/>
      <c r="R594" s="35"/>
      <c r="S594" s="34">
        <f>ROUND(ROUND(P594, 2)*I594, 2)</f>
        <v>256</v>
      </c>
      <c r="T594" s="35"/>
      <c r="U594" s="36"/>
      <c r="V594" s="9">
        <f>ROUND(ROUND(P594, 2)/1.2, 2)</f>
        <v>66.67</v>
      </c>
      <c r="Y594" s="9">
        <f t="shared" si="57"/>
        <v>213.33</v>
      </c>
      <c r="AD594" s="4" t="s">
        <v>1906</v>
      </c>
      <c r="AE594" s="4" t="s">
        <v>1907</v>
      </c>
      <c r="AF594" s="4" t="s">
        <v>1832</v>
      </c>
    </row>
    <row r="595" spans="1:35" ht="36" x14ac:dyDescent="0.3">
      <c r="A595" s="25" t="s">
        <v>1908</v>
      </c>
      <c r="B595" s="25" t="s">
        <v>1872</v>
      </c>
      <c r="C595" s="26" t="s">
        <v>1873</v>
      </c>
      <c r="D595" s="27"/>
      <c r="E595" s="27" t="s">
        <v>1909</v>
      </c>
      <c r="F595" s="27" t="s">
        <v>64</v>
      </c>
      <c r="G595" s="28">
        <v>1</v>
      </c>
      <c r="H595" s="27"/>
      <c r="I595" s="28">
        <v>204.12</v>
      </c>
      <c r="J595" s="29">
        <f>IFERROR(ROUND(SUM(M596,M597,M598,M599)/I595, 2),0)</f>
        <v>1004.46</v>
      </c>
      <c r="K595" s="29">
        <v>1477</v>
      </c>
      <c r="L595" s="29">
        <f>J595+ROUND(K595, 2)</f>
        <v>2481.46</v>
      </c>
      <c r="M595" s="29">
        <f>ROUND(J595*I595, 2)</f>
        <v>205030.38</v>
      </c>
      <c r="N595" s="29">
        <f>ROUND(I595*ROUND(K595, 2), 2)</f>
        <v>301485.24</v>
      </c>
      <c r="O595" s="29">
        <f>M595+N595</f>
        <v>506515.62</v>
      </c>
      <c r="P595" s="29">
        <f>IFERROR(ROUND(SUM(S596,S597,S598,S599)/I595, 2),0)</f>
        <v>1004.46</v>
      </c>
      <c r="Q595" s="29">
        <v>1477</v>
      </c>
      <c r="R595" s="29">
        <f>P595+ROUND(Q595, 2)</f>
        <v>2481.46</v>
      </c>
      <c r="S595" s="29">
        <f>ROUND(P595*I595, 2)</f>
        <v>205030.38</v>
      </c>
      <c r="T595" s="29">
        <f>ROUND(I595*ROUND(Q595, 2), 2)</f>
        <v>301485.24</v>
      </c>
      <c r="U595" s="29">
        <f>S595+T595</f>
        <v>506515.62</v>
      </c>
      <c r="V595" s="9">
        <f>ROUND(P595 / 1.2, 2)</f>
        <v>837.05</v>
      </c>
      <c r="W595" s="9">
        <f>ROUND(Q595 / 1.2, 2)</f>
        <v>1230.83</v>
      </c>
      <c r="X595" s="9">
        <f>ROUND(R595 / 1.2, 2)</f>
        <v>2067.88</v>
      </c>
      <c r="Y595" s="9">
        <f t="shared" si="57"/>
        <v>170858.65</v>
      </c>
      <c r="Z595" s="9">
        <f>ROUND(T595 / 1.2, 2)</f>
        <v>251237.7</v>
      </c>
      <c r="AA595" s="9">
        <f>Y595+Z595</f>
        <v>422096.35</v>
      </c>
      <c r="AD595" s="4">
        <v>271132240</v>
      </c>
      <c r="AE595" s="4">
        <v>19822308</v>
      </c>
      <c r="AG595" s="4" t="s">
        <v>1874</v>
      </c>
      <c r="AH595" s="4" t="s">
        <v>1875</v>
      </c>
      <c r="AI595" s="4" t="s">
        <v>67</v>
      </c>
    </row>
    <row r="596" spans="1:35" ht="18" x14ac:dyDescent="0.3">
      <c r="A596" s="25" t="s">
        <v>1910</v>
      </c>
      <c r="B596" s="25"/>
      <c r="C596" s="17" t="s">
        <v>1888</v>
      </c>
      <c r="D596" s="27"/>
      <c r="E596" s="27"/>
      <c r="F596" s="31" t="s">
        <v>64</v>
      </c>
      <c r="G596" s="32">
        <v>1.1000000000000001</v>
      </c>
      <c r="H596" s="27"/>
      <c r="I596" s="33">
        <v>449.06400000000002</v>
      </c>
      <c r="J596" s="34">
        <v>309.39999999999998</v>
      </c>
      <c r="K596" s="35"/>
      <c r="L596" s="35"/>
      <c r="M596" s="34">
        <f>ROUND(ROUND(J596, 2)*I596, 2)</f>
        <v>138940.4</v>
      </c>
      <c r="N596" s="35"/>
      <c r="O596" s="35"/>
      <c r="P596" s="34">
        <v>309.39999999999998</v>
      </c>
      <c r="Q596" s="35"/>
      <c r="R596" s="35"/>
      <c r="S596" s="34">
        <f>ROUND(ROUND(P596, 2)*I596, 2)</f>
        <v>138940.4</v>
      </c>
      <c r="T596" s="35"/>
      <c r="U596" s="36"/>
      <c r="V596" s="9">
        <f>ROUND(ROUND(P596, 2)/1.2, 2)</f>
        <v>257.83</v>
      </c>
      <c r="Y596" s="9">
        <f t="shared" si="57"/>
        <v>115783.67</v>
      </c>
      <c r="AD596" s="4" t="s">
        <v>1911</v>
      </c>
      <c r="AE596" s="4" t="s">
        <v>1912</v>
      </c>
      <c r="AF596" s="4" t="s">
        <v>1891</v>
      </c>
    </row>
    <row r="597" spans="1:35" ht="18" x14ac:dyDescent="0.3">
      <c r="A597" s="25" t="s">
        <v>1913</v>
      </c>
      <c r="B597" s="25"/>
      <c r="C597" s="30" t="s">
        <v>1846</v>
      </c>
      <c r="D597" s="27"/>
      <c r="E597" s="27"/>
      <c r="F597" s="31" t="s">
        <v>87</v>
      </c>
      <c r="G597" s="32">
        <v>1</v>
      </c>
      <c r="H597" s="27"/>
      <c r="I597" s="33">
        <v>1024</v>
      </c>
      <c r="J597" s="34">
        <v>49.68</v>
      </c>
      <c r="K597" s="35"/>
      <c r="L597" s="35"/>
      <c r="M597" s="34">
        <f>ROUND(ROUND(J597, 2)*I597, 2)</f>
        <v>50872.32</v>
      </c>
      <c r="N597" s="35"/>
      <c r="O597" s="35"/>
      <c r="P597" s="34">
        <v>49.68</v>
      </c>
      <c r="Q597" s="35"/>
      <c r="R597" s="35"/>
      <c r="S597" s="34">
        <f>ROUND(ROUND(P597, 2)*I597, 2)</f>
        <v>50872.32</v>
      </c>
      <c r="T597" s="35"/>
      <c r="U597" s="36"/>
      <c r="V597" s="9">
        <f>ROUND(ROUND(P597, 2)/1.2, 2)</f>
        <v>41.4</v>
      </c>
      <c r="Y597" s="9">
        <f t="shared" si="57"/>
        <v>42393.599999999999</v>
      </c>
      <c r="AD597" s="4" t="s">
        <v>1914</v>
      </c>
      <c r="AE597" s="4" t="s">
        <v>1915</v>
      </c>
      <c r="AF597" s="4" t="s">
        <v>1849</v>
      </c>
    </row>
    <row r="598" spans="1:35" ht="18" x14ac:dyDescent="0.3">
      <c r="A598" s="25" t="s">
        <v>1916</v>
      </c>
      <c r="B598" s="25"/>
      <c r="C598" s="30" t="s">
        <v>1851</v>
      </c>
      <c r="D598" s="27"/>
      <c r="E598" s="27"/>
      <c r="F598" s="31" t="s">
        <v>87</v>
      </c>
      <c r="G598" s="32">
        <v>1</v>
      </c>
      <c r="H598" s="27"/>
      <c r="I598" s="33">
        <v>204.8</v>
      </c>
      <c r="J598" s="34">
        <v>39.729999999999997</v>
      </c>
      <c r="K598" s="35"/>
      <c r="L598" s="35"/>
      <c r="M598" s="34">
        <f>ROUND(ROUND(J598, 2)*I598, 2)</f>
        <v>8136.7</v>
      </c>
      <c r="N598" s="35"/>
      <c r="O598" s="35"/>
      <c r="P598" s="34">
        <v>39.729999999999997</v>
      </c>
      <c r="Q598" s="35"/>
      <c r="R598" s="35"/>
      <c r="S598" s="34">
        <f>ROUND(ROUND(P598, 2)*I598, 2)</f>
        <v>8136.7</v>
      </c>
      <c r="T598" s="35"/>
      <c r="U598" s="36"/>
      <c r="V598" s="9">
        <f>ROUND(ROUND(P598, 2)/1.2, 2)</f>
        <v>33.11</v>
      </c>
      <c r="Y598" s="9">
        <f t="shared" si="57"/>
        <v>6780.58</v>
      </c>
      <c r="AD598" s="4" t="s">
        <v>1917</v>
      </c>
      <c r="AE598" s="4" t="s">
        <v>1918</v>
      </c>
      <c r="AF598" s="4" t="s">
        <v>1854</v>
      </c>
    </row>
    <row r="599" spans="1:35" ht="18" x14ac:dyDescent="0.3">
      <c r="A599" s="25" t="s">
        <v>1919</v>
      </c>
      <c r="B599" s="25"/>
      <c r="C599" s="30" t="s">
        <v>1829</v>
      </c>
      <c r="D599" s="27"/>
      <c r="E599" s="27"/>
      <c r="F599" s="31" t="s">
        <v>116</v>
      </c>
      <c r="G599" s="32">
        <v>1</v>
      </c>
      <c r="H599" s="27"/>
      <c r="I599" s="33">
        <v>88.5</v>
      </c>
      <c r="J599" s="34">
        <v>80</v>
      </c>
      <c r="K599" s="35"/>
      <c r="L599" s="35"/>
      <c r="M599" s="34">
        <f>ROUND(ROUND(J599, 2)*I599, 2)</f>
        <v>7080</v>
      </c>
      <c r="N599" s="35"/>
      <c r="O599" s="35"/>
      <c r="P599" s="34">
        <v>80</v>
      </c>
      <c r="Q599" s="35"/>
      <c r="R599" s="35"/>
      <c r="S599" s="34">
        <f>ROUND(ROUND(P599, 2)*I599, 2)</f>
        <v>7080</v>
      </c>
      <c r="T599" s="35"/>
      <c r="U599" s="36"/>
      <c r="V599" s="9">
        <f>ROUND(ROUND(P599, 2)/1.2, 2)</f>
        <v>66.67</v>
      </c>
      <c r="Y599" s="9">
        <f t="shared" si="57"/>
        <v>5900</v>
      </c>
      <c r="AD599" s="4" t="s">
        <v>1920</v>
      </c>
      <c r="AE599" s="4" t="s">
        <v>1921</v>
      </c>
      <c r="AF599" s="4" t="s">
        <v>1832</v>
      </c>
    </row>
    <row r="600" spans="1:35" ht="36" x14ac:dyDescent="0.3">
      <c r="A600" s="25" t="s">
        <v>1922</v>
      </c>
      <c r="B600" s="25" t="s">
        <v>1872</v>
      </c>
      <c r="C600" s="26" t="s">
        <v>1873</v>
      </c>
      <c r="D600" s="27"/>
      <c r="E600" s="27" t="s">
        <v>1923</v>
      </c>
      <c r="F600" s="27" t="s">
        <v>64</v>
      </c>
      <c r="G600" s="28">
        <v>1</v>
      </c>
      <c r="H600" s="27"/>
      <c r="I600" s="28">
        <v>55.13</v>
      </c>
      <c r="J600" s="29">
        <f>IFERROR(ROUND(SUM(M601,M602,M603,M604)/I600, 2),0)</f>
        <v>321.32</v>
      </c>
      <c r="K600" s="29">
        <v>1477</v>
      </c>
      <c r="L600" s="29">
        <f>J600+ROUND(K600, 2)</f>
        <v>1798.32</v>
      </c>
      <c r="M600" s="29">
        <f>ROUND(J600*I600, 2)</f>
        <v>17714.37</v>
      </c>
      <c r="N600" s="29">
        <f>ROUND(I600*ROUND(K600, 2), 2)</f>
        <v>81427.009999999995</v>
      </c>
      <c r="O600" s="29">
        <f>M600+N600</f>
        <v>99141.38</v>
      </c>
      <c r="P600" s="29">
        <f>IFERROR(ROUND(SUM(S601,S602,S603,S604)/I600, 2),0)</f>
        <v>321.32</v>
      </c>
      <c r="Q600" s="29">
        <v>1477</v>
      </c>
      <c r="R600" s="29">
        <f>P600+ROUND(Q600, 2)</f>
        <v>1798.32</v>
      </c>
      <c r="S600" s="29">
        <f>ROUND(P600*I600, 2)</f>
        <v>17714.37</v>
      </c>
      <c r="T600" s="29">
        <f>ROUND(I600*ROUND(Q600, 2), 2)</f>
        <v>81427.009999999995</v>
      </c>
      <c r="U600" s="29">
        <f>S600+T600</f>
        <v>99141.38</v>
      </c>
      <c r="V600" s="9">
        <f>ROUND(P600 / 1.2, 2)</f>
        <v>267.77</v>
      </c>
      <c r="W600" s="9">
        <f>ROUND(Q600 / 1.2, 2)</f>
        <v>1230.83</v>
      </c>
      <c r="X600" s="9">
        <f>ROUND(R600 / 1.2, 2)</f>
        <v>1498.6</v>
      </c>
      <c r="Y600" s="9">
        <f t="shared" si="57"/>
        <v>14761.98</v>
      </c>
      <c r="Z600" s="9">
        <f>ROUND(T600 / 1.2, 2)</f>
        <v>67855.839999999997</v>
      </c>
      <c r="AA600" s="9">
        <f>Y600+Z600</f>
        <v>82617.820000000007</v>
      </c>
      <c r="AD600" s="4">
        <v>271132241</v>
      </c>
      <c r="AE600" s="4">
        <v>19993569</v>
      </c>
      <c r="AG600" s="4" t="s">
        <v>1874</v>
      </c>
      <c r="AH600" s="4" t="s">
        <v>1875</v>
      </c>
      <c r="AI600" s="4" t="s">
        <v>67</v>
      </c>
    </row>
    <row r="601" spans="1:35" ht="18" x14ac:dyDescent="0.3">
      <c r="A601" s="25" t="s">
        <v>1924</v>
      </c>
      <c r="B601" s="25"/>
      <c r="C601" s="30" t="s">
        <v>1925</v>
      </c>
      <c r="D601" s="27"/>
      <c r="E601" s="27"/>
      <c r="F601" s="31" t="s">
        <v>64</v>
      </c>
      <c r="G601" s="32">
        <v>1.1000000000000001</v>
      </c>
      <c r="H601" s="27"/>
      <c r="I601" s="33">
        <v>121.286</v>
      </c>
      <c r="J601" s="34">
        <v>0</v>
      </c>
      <c r="K601" s="35"/>
      <c r="L601" s="35"/>
      <c r="M601" s="34">
        <f>ROUND(ROUND(J601, 2)*I601, 2)</f>
        <v>0</v>
      </c>
      <c r="N601" s="35"/>
      <c r="O601" s="35"/>
      <c r="P601" s="34">
        <v>0</v>
      </c>
      <c r="Q601" s="35"/>
      <c r="R601" s="35"/>
      <c r="S601" s="34">
        <f>ROUND(ROUND(P601, 2)*I601, 2)</f>
        <v>0</v>
      </c>
      <c r="T601" s="35"/>
      <c r="U601" s="36"/>
      <c r="V601" s="9">
        <f>ROUND(ROUND(P601, 2)/1.2, 2)</f>
        <v>0</v>
      </c>
      <c r="Y601" s="9">
        <f t="shared" si="57"/>
        <v>0</v>
      </c>
      <c r="AD601" s="4" t="s">
        <v>1926</v>
      </c>
      <c r="AE601" s="4" t="s">
        <v>1927</v>
      </c>
      <c r="AF601" s="4" t="s">
        <v>1928</v>
      </c>
    </row>
    <row r="602" spans="1:35" ht="18" x14ac:dyDescent="0.3">
      <c r="A602" s="25" t="s">
        <v>1929</v>
      </c>
      <c r="B602" s="25"/>
      <c r="C602" s="30" t="s">
        <v>1846</v>
      </c>
      <c r="D602" s="27"/>
      <c r="E602" s="27"/>
      <c r="F602" s="31" t="s">
        <v>87</v>
      </c>
      <c r="G602" s="32">
        <v>1</v>
      </c>
      <c r="H602" s="27"/>
      <c r="I602" s="33">
        <v>272</v>
      </c>
      <c r="J602" s="34">
        <v>49.68</v>
      </c>
      <c r="K602" s="35"/>
      <c r="L602" s="35"/>
      <c r="M602" s="34">
        <f>ROUND(ROUND(J602, 2)*I602, 2)</f>
        <v>13512.96</v>
      </c>
      <c r="N602" s="35"/>
      <c r="O602" s="35"/>
      <c r="P602" s="34">
        <v>49.68</v>
      </c>
      <c r="Q602" s="35"/>
      <c r="R602" s="35"/>
      <c r="S602" s="34">
        <f>ROUND(ROUND(P602, 2)*I602, 2)</f>
        <v>13512.96</v>
      </c>
      <c r="T602" s="35"/>
      <c r="U602" s="36"/>
      <c r="V602" s="9">
        <f>ROUND(ROUND(P602, 2)/1.2, 2)</f>
        <v>41.4</v>
      </c>
      <c r="Y602" s="9">
        <f t="shared" si="57"/>
        <v>11260.8</v>
      </c>
      <c r="AD602" s="4" t="s">
        <v>1930</v>
      </c>
      <c r="AE602" s="4" t="s">
        <v>1931</v>
      </c>
      <c r="AF602" s="4" t="s">
        <v>1849</v>
      </c>
    </row>
    <row r="603" spans="1:35" ht="18" x14ac:dyDescent="0.3">
      <c r="A603" s="25" t="s">
        <v>1932</v>
      </c>
      <c r="B603" s="25"/>
      <c r="C603" s="30" t="s">
        <v>1851</v>
      </c>
      <c r="D603" s="27"/>
      <c r="E603" s="27"/>
      <c r="F603" s="31" t="s">
        <v>87</v>
      </c>
      <c r="G603" s="32">
        <v>1</v>
      </c>
      <c r="H603" s="27"/>
      <c r="I603" s="33">
        <v>54.4</v>
      </c>
      <c r="J603" s="34">
        <v>39.729999999999997</v>
      </c>
      <c r="K603" s="35"/>
      <c r="L603" s="35"/>
      <c r="M603" s="34">
        <f>ROUND(ROUND(J603, 2)*I603, 2)</f>
        <v>2161.31</v>
      </c>
      <c r="N603" s="35"/>
      <c r="O603" s="35"/>
      <c r="P603" s="34">
        <v>39.729999999999997</v>
      </c>
      <c r="Q603" s="35"/>
      <c r="R603" s="35"/>
      <c r="S603" s="34">
        <f>ROUND(ROUND(P603, 2)*I603, 2)</f>
        <v>2161.31</v>
      </c>
      <c r="T603" s="35"/>
      <c r="U603" s="36"/>
      <c r="V603" s="9">
        <f>ROUND(ROUND(P603, 2)/1.2, 2)</f>
        <v>33.11</v>
      </c>
      <c r="Y603" s="9">
        <f t="shared" si="57"/>
        <v>1801.09</v>
      </c>
      <c r="AD603" s="4" t="s">
        <v>1933</v>
      </c>
      <c r="AE603" s="4" t="s">
        <v>1934</v>
      </c>
      <c r="AF603" s="4" t="s">
        <v>1854</v>
      </c>
    </row>
    <row r="604" spans="1:35" ht="18" x14ac:dyDescent="0.3">
      <c r="A604" s="25" t="s">
        <v>1935</v>
      </c>
      <c r="B604" s="25"/>
      <c r="C604" s="30" t="s">
        <v>1829</v>
      </c>
      <c r="D604" s="27"/>
      <c r="E604" s="27"/>
      <c r="F604" s="31" t="s">
        <v>116</v>
      </c>
      <c r="G604" s="32">
        <v>1</v>
      </c>
      <c r="H604" s="27"/>
      <c r="I604" s="33">
        <v>25.5</v>
      </c>
      <c r="J604" s="34">
        <v>80</v>
      </c>
      <c r="K604" s="35"/>
      <c r="L604" s="35"/>
      <c r="M604" s="34">
        <f>ROUND(ROUND(J604, 2)*I604, 2)</f>
        <v>2040</v>
      </c>
      <c r="N604" s="35"/>
      <c r="O604" s="35"/>
      <c r="P604" s="34">
        <v>80</v>
      </c>
      <c r="Q604" s="35"/>
      <c r="R604" s="35"/>
      <c r="S604" s="34">
        <f>ROUND(ROUND(P604, 2)*I604, 2)</f>
        <v>2040</v>
      </c>
      <c r="T604" s="35"/>
      <c r="U604" s="36"/>
      <c r="V604" s="9">
        <f>ROUND(ROUND(P604, 2)/1.2, 2)</f>
        <v>66.67</v>
      </c>
      <c r="Y604" s="9">
        <f t="shared" si="57"/>
        <v>1700</v>
      </c>
      <c r="AD604" s="4" t="s">
        <v>1936</v>
      </c>
      <c r="AE604" s="4" t="s">
        <v>1937</v>
      </c>
      <c r="AF604" s="4" t="s">
        <v>1832</v>
      </c>
    </row>
    <row r="605" spans="1:35" ht="36" x14ac:dyDescent="0.3">
      <c r="A605" s="25" t="s">
        <v>1938</v>
      </c>
      <c r="B605" s="25" t="s">
        <v>1872</v>
      </c>
      <c r="C605" s="26" t="s">
        <v>1873</v>
      </c>
      <c r="D605" s="27"/>
      <c r="E605" s="27" t="s">
        <v>1939</v>
      </c>
      <c r="F605" s="27" t="s">
        <v>64</v>
      </c>
      <c r="G605" s="28">
        <v>1</v>
      </c>
      <c r="H605" s="27"/>
      <c r="I605" s="28">
        <v>23.49</v>
      </c>
      <c r="J605" s="29">
        <f>IFERROR(ROUND(SUM(M606,M607,M608)/I605, 2),0)</f>
        <v>928.95</v>
      </c>
      <c r="K605" s="29">
        <v>1477</v>
      </c>
      <c r="L605" s="29">
        <f>J605+ROUND(K605, 2)</f>
        <v>2405.9499999999998</v>
      </c>
      <c r="M605" s="29">
        <f>ROUND(J605*I605, 2)</f>
        <v>21821.040000000001</v>
      </c>
      <c r="N605" s="29">
        <f>ROUND(I605*ROUND(K605, 2), 2)</f>
        <v>34694.730000000003</v>
      </c>
      <c r="O605" s="29">
        <f>M605+N605</f>
        <v>56515.77</v>
      </c>
      <c r="P605" s="29">
        <f>IFERROR(ROUND(SUM(S606,S607,S608)/I605, 2),0)</f>
        <v>928.95</v>
      </c>
      <c r="Q605" s="29">
        <v>1477</v>
      </c>
      <c r="R605" s="29">
        <f>P605+ROUND(Q605, 2)</f>
        <v>2405.9499999999998</v>
      </c>
      <c r="S605" s="29">
        <f>ROUND(P605*I605, 2)</f>
        <v>21821.040000000001</v>
      </c>
      <c r="T605" s="29">
        <f>ROUND(I605*ROUND(Q605, 2), 2)</f>
        <v>34694.730000000003</v>
      </c>
      <c r="U605" s="29">
        <f>S605+T605</f>
        <v>56515.77</v>
      </c>
      <c r="V605" s="9">
        <f>ROUND(P605 / 1.2, 2)</f>
        <v>774.13</v>
      </c>
      <c r="W605" s="9">
        <f>ROUND(Q605 / 1.2, 2)</f>
        <v>1230.83</v>
      </c>
      <c r="X605" s="9">
        <f>ROUND(R605 / 1.2, 2)</f>
        <v>2004.96</v>
      </c>
      <c r="Y605" s="9">
        <f t="shared" si="57"/>
        <v>18184.2</v>
      </c>
      <c r="Z605" s="9">
        <f>ROUND(T605 / 1.2, 2)</f>
        <v>28912.28</v>
      </c>
      <c r="AA605" s="9">
        <f>Y605+Z605</f>
        <v>47096.480000000003</v>
      </c>
      <c r="AD605" s="4">
        <v>271132242</v>
      </c>
      <c r="AE605" s="4">
        <v>19995862</v>
      </c>
      <c r="AG605" s="4" t="s">
        <v>1874</v>
      </c>
      <c r="AH605" s="4" t="s">
        <v>1875</v>
      </c>
      <c r="AI605" s="4" t="s">
        <v>67</v>
      </c>
    </row>
    <row r="606" spans="1:35" ht="18" x14ac:dyDescent="0.3">
      <c r="A606" s="25" t="s">
        <v>1940</v>
      </c>
      <c r="B606" s="25"/>
      <c r="C606" s="17" t="s">
        <v>1888</v>
      </c>
      <c r="D606" s="27"/>
      <c r="E606" s="27"/>
      <c r="F606" s="31" t="s">
        <v>64</v>
      </c>
      <c r="G606" s="32">
        <v>1.1000000000000001</v>
      </c>
      <c r="H606" s="27"/>
      <c r="I606" s="33">
        <v>51.677999999999997</v>
      </c>
      <c r="J606" s="34">
        <v>309.39999999999998</v>
      </c>
      <c r="K606" s="35"/>
      <c r="L606" s="35"/>
      <c r="M606" s="34">
        <f>ROUND(ROUND(J606, 2)*I606, 2)</f>
        <v>15989.17</v>
      </c>
      <c r="N606" s="35"/>
      <c r="O606" s="35"/>
      <c r="P606" s="34">
        <v>309.39999999999998</v>
      </c>
      <c r="Q606" s="35"/>
      <c r="R606" s="35"/>
      <c r="S606" s="34">
        <f>ROUND(ROUND(P606, 2)*I606, 2)</f>
        <v>15989.17</v>
      </c>
      <c r="T606" s="35"/>
      <c r="U606" s="36"/>
      <c r="V606" s="9">
        <f>ROUND(ROUND(P606, 2)/1.2, 2)</f>
        <v>257.83</v>
      </c>
      <c r="Y606" s="9">
        <f t="shared" si="57"/>
        <v>13324.31</v>
      </c>
      <c r="AD606" s="4" t="s">
        <v>1941</v>
      </c>
      <c r="AE606" s="4" t="s">
        <v>1942</v>
      </c>
      <c r="AF606" s="4" t="s">
        <v>1891</v>
      </c>
    </row>
    <row r="607" spans="1:35" ht="18" x14ac:dyDescent="0.3">
      <c r="A607" s="25" t="s">
        <v>1943</v>
      </c>
      <c r="B607" s="25"/>
      <c r="C607" s="30" t="s">
        <v>1846</v>
      </c>
      <c r="D607" s="27"/>
      <c r="E607" s="27"/>
      <c r="F607" s="31" t="s">
        <v>87</v>
      </c>
      <c r="G607" s="32">
        <v>1</v>
      </c>
      <c r="H607" s="27"/>
      <c r="I607" s="33">
        <v>84.2</v>
      </c>
      <c r="J607" s="34">
        <v>49.68</v>
      </c>
      <c r="K607" s="35"/>
      <c r="L607" s="35"/>
      <c r="M607" s="34">
        <f>ROUND(ROUND(J607, 2)*I607, 2)</f>
        <v>4183.0600000000004</v>
      </c>
      <c r="N607" s="35"/>
      <c r="O607" s="35"/>
      <c r="P607" s="34">
        <v>49.68</v>
      </c>
      <c r="Q607" s="35"/>
      <c r="R607" s="35"/>
      <c r="S607" s="34">
        <f>ROUND(ROUND(P607, 2)*I607, 2)</f>
        <v>4183.0600000000004</v>
      </c>
      <c r="T607" s="35"/>
      <c r="U607" s="36"/>
      <c r="V607" s="9">
        <f>ROUND(ROUND(P607, 2)/1.2, 2)</f>
        <v>41.4</v>
      </c>
      <c r="Y607" s="9">
        <f t="shared" si="57"/>
        <v>3485.88</v>
      </c>
      <c r="AD607" s="4" t="s">
        <v>1944</v>
      </c>
      <c r="AE607" s="4" t="s">
        <v>1945</v>
      </c>
      <c r="AF607" s="4" t="s">
        <v>1849</v>
      </c>
    </row>
    <row r="608" spans="1:35" ht="18" x14ac:dyDescent="0.3">
      <c r="A608" s="25" t="s">
        <v>1946</v>
      </c>
      <c r="B608" s="25"/>
      <c r="C608" s="30" t="s">
        <v>1851</v>
      </c>
      <c r="D608" s="27"/>
      <c r="E608" s="27"/>
      <c r="F608" s="31" t="s">
        <v>87</v>
      </c>
      <c r="G608" s="32">
        <v>1</v>
      </c>
      <c r="H608" s="27"/>
      <c r="I608" s="33">
        <v>41.5</v>
      </c>
      <c r="J608" s="34">
        <v>39.729999999999997</v>
      </c>
      <c r="K608" s="35"/>
      <c r="L608" s="35"/>
      <c r="M608" s="34">
        <f>ROUND(ROUND(J608, 2)*I608, 2)</f>
        <v>1648.8</v>
      </c>
      <c r="N608" s="35"/>
      <c r="O608" s="35"/>
      <c r="P608" s="34">
        <v>39.729999999999997</v>
      </c>
      <c r="Q608" s="35"/>
      <c r="R608" s="35"/>
      <c r="S608" s="34">
        <f>ROUND(ROUND(P608, 2)*I608, 2)</f>
        <v>1648.8</v>
      </c>
      <c r="T608" s="35"/>
      <c r="U608" s="36"/>
      <c r="V608" s="9">
        <f>ROUND(ROUND(P608, 2)/1.2, 2)</f>
        <v>33.11</v>
      </c>
      <c r="Y608" s="9">
        <f t="shared" si="57"/>
        <v>1374</v>
      </c>
      <c r="AD608" s="4" t="s">
        <v>1947</v>
      </c>
      <c r="AE608" s="4" t="s">
        <v>1948</v>
      </c>
      <c r="AF608" s="4" t="s">
        <v>1854</v>
      </c>
    </row>
    <row r="609" spans="1:35" ht="36" x14ac:dyDescent="0.3">
      <c r="A609" s="25" t="s">
        <v>1949</v>
      </c>
      <c r="B609" s="25" t="s">
        <v>1872</v>
      </c>
      <c r="C609" s="26" t="s">
        <v>1873</v>
      </c>
      <c r="D609" s="27"/>
      <c r="E609" s="27" t="s">
        <v>1950</v>
      </c>
      <c r="F609" s="27" t="s">
        <v>64</v>
      </c>
      <c r="G609" s="28">
        <v>1</v>
      </c>
      <c r="H609" s="27"/>
      <c r="I609" s="28">
        <v>2.74</v>
      </c>
      <c r="J609" s="29">
        <f>IFERROR(ROUND(SUM(M610,M611,M612,M613)/I609, 2),0)</f>
        <v>1058.0899999999999</v>
      </c>
      <c r="K609" s="29">
        <v>1477</v>
      </c>
      <c r="L609" s="29">
        <f>J609+ROUND(K609, 2)</f>
        <v>2535.09</v>
      </c>
      <c r="M609" s="29">
        <f>ROUND(J609*I609, 2)</f>
        <v>2899.17</v>
      </c>
      <c r="N609" s="29">
        <f>ROUND(I609*ROUND(K609, 2), 2)</f>
        <v>4046.98</v>
      </c>
      <c r="O609" s="29">
        <f>M609+N609</f>
        <v>6946.15</v>
      </c>
      <c r="P609" s="29">
        <f>IFERROR(ROUND(SUM(S610,S611,S612,S613)/I609, 2),0)</f>
        <v>1058.0899999999999</v>
      </c>
      <c r="Q609" s="29">
        <v>1477</v>
      </c>
      <c r="R609" s="29">
        <f>P609+ROUND(Q609, 2)</f>
        <v>2535.09</v>
      </c>
      <c r="S609" s="29">
        <f>ROUND(P609*I609, 2)</f>
        <v>2899.17</v>
      </c>
      <c r="T609" s="29">
        <f>ROUND(I609*ROUND(Q609, 2), 2)</f>
        <v>4046.98</v>
      </c>
      <c r="U609" s="29">
        <f>S609+T609</f>
        <v>6946.15</v>
      </c>
      <c r="V609" s="9">
        <f>ROUND(P609 / 1.2, 2)</f>
        <v>881.74</v>
      </c>
      <c r="W609" s="9">
        <f>ROUND(Q609 / 1.2, 2)</f>
        <v>1230.83</v>
      </c>
      <c r="X609" s="9">
        <f>ROUND(R609 / 1.2, 2)</f>
        <v>2112.58</v>
      </c>
      <c r="Y609" s="9">
        <f t="shared" si="57"/>
        <v>2415.98</v>
      </c>
      <c r="Z609" s="9">
        <f>ROUND(T609 / 1.2, 2)</f>
        <v>3372.48</v>
      </c>
      <c r="AA609" s="9">
        <f>Y609+Z609</f>
        <v>5788.46</v>
      </c>
      <c r="AD609" s="4">
        <v>271132243</v>
      </c>
      <c r="AE609" s="4">
        <v>19995863</v>
      </c>
      <c r="AG609" s="4" t="s">
        <v>1874</v>
      </c>
      <c r="AH609" s="4" t="s">
        <v>1875</v>
      </c>
      <c r="AI609" s="4" t="s">
        <v>67</v>
      </c>
    </row>
    <row r="610" spans="1:35" ht="18" x14ac:dyDescent="0.3">
      <c r="A610" s="25" t="s">
        <v>1951</v>
      </c>
      <c r="B610" s="25"/>
      <c r="C610" s="17" t="s">
        <v>1888</v>
      </c>
      <c r="D610" s="27"/>
      <c r="E610" s="27"/>
      <c r="F610" s="31" t="s">
        <v>64</v>
      </c>
      <c r="G610" s="32">
        <v>1.1000000000000001</v>
      </c>
      <c r="H610" s="27"/>
      <c r="I610" s="33">
        <v>6.0279999999999996</v>
      </c>
      <c r="J610" s="34">
        <v>309.39999999999998</v>
      </c>
      <c r="K610" s="35"/>
      <c r="L610" s="35"/>
      <c r="M610" s="34">
        <f>ROUND(ROUND(J610, 2)*I610, 2)</f>
        <v>1865.06</v>
      </c>
      <c r="N610" s="35"/>
      <c r="O610" s="35"/>
      <c r="P610" s="34">
        <v>309.39999999999998</v>
      </c>
      <c r="Q610" s="35"/>
      <c r="R610" s="35"/>
      <c r="S610" s="34">
        <f>ROUND(ROUND(P610, 2)*I610, 2)</f>
        <v>1865.06</v>
      </c>
      <c r="T610" s="35"/>
      <c r="U610" s="36"/>
      <c r="V610" s="9">
        <f>ROUND(ROUND(P610, 2)/1.2, 2)</f>
        <v>257.83</v>
      </c>
      <c r="Y610" s="9">
        <f t="shared" si="57"/>
        <v>1554.22</v>
      </c>
      <c r="AD610" s="4" t="s">
        <v>1952</v>
      </c>
      <c r="AE610" s="4" t="s">
        <v>1953</v>
      </c>
      <c r="AF610" s="4" t="s">
        <v>1891</v>
      </c>
    </row>
    <row r="611" spans="1:35" ht="18" x14ac:dyDescent="0.3">
      <c r="A611" s="25" t="s">
        <v>1954</v>
      </c>
      <c r="B611" s="25"/>
      <c r="C611" s="30" t="s">
        <v>1846</v>
      </c>
      <c r="D611" s="27"/>
      <c r="E611" s="27"/>
      <c r="F611" s="31" t="s">
        <v>87</v>
      </c>
      <c r="G611" s="32">
        <v>1</v>
      </c>
      <c r="H611" s="27"/>
      <c r="I611" s="33">
        <v>16</v>
      </c>
      <c r="J611" s="34">
        <v>49.68</v>
      </c>
      <c r="K611" s="35"/>
      <c r="L611" s="35"/>
      <c r="M611" s="34">
        <f>ROUND(ROUND(J611, 2)*I611, 2)</f>
        <v>794.88</v>
      </c>
      <c r="N611" s="35"/>
      <c r="O611" s="35"/>
      <c r="P611" s="34">
        <v>49.68</v>
      </c>
      <c r="Q611" s="35"/>
      <c r="R611" s="35"/>
      <c r="S611" s="34">
        <f>ROUND(ROUND(P611, 2)*I611, 2)</f>
        <v>794.88</v>
      </c>
      <c r="T611" s="35"/>
      <c r="U611" s="36"/>
      <c r="V611" s="9">
        <f>ROUND(ROUND(P611, 2)/1.2, 2)</f>
        <v>41.4</v>
      </c>
      <c r="Y611" s="9">
        <f t="shared" si="57"/>
        <v>662.4</v>
      </c>
      <c r="AD611" s="4" t="s">
        <v>1955</v>
      </c>
      <c r="AE611" s="4" t="s">
        <v>1956</v>
      </c>
      <c r="AF611" s="4" t="s">
        <v>1849</v>
      </c>
    </row>
    <row r="612" spans="1:35" ht="18" x14ac:dyDescent="0.3">
      <c r="A612" s="25" t="s">
        <v>1957</v>
      </c>
      <c r="B612" s="25"/>
      <c r="C612" s="30" t="s">
        <v>1851</v>
      </c>
      <c r="D612" s="27"/>
      <c r="E612" s="27"/>
      <c r="F612" s="31" t="s">
        <v>87</v>
      </c>
      <c r="G612" s="32">
        <v>1</v>
      </c>
      <c r="H612" s="27"/>
      <c r="I612" s="33">
        <v>2.8</v>
      </c>
      <c r="J612" s="34">
        <v>39.729999999999997</v>
      </c>
      <c r="K612" s="35"/>
      <c r="L612" s="35"/>
      <c r="M612" s="34">
        <f>ROUND(ROUND(J612, 2)*I612, 2)</f>
        <v>111.24</v>
      </c>
      <c r="N612" s="35"/>
      <c r="O612" s="35"/>
      <c r="P612" s="34">
        <v>39.729999999999997</v>
      </c>
      <c r="Q612" s="35"/>
      <c r="R612" s="35"/>
      <c r="S612" s="34">
        <f>ROUND(ROUND(P612, 2)*I612, 2)</f>
        <v>111.24</v>
      </c>
      <c r="T612" s="35"/>
      <c r="U612" s="36"/>
      <c r="V612" s="9">
        <f>ROUND(ROUND(P612, 2)/1.2, 2)</f>
        <v>33.11</v>
      </c>
      <c r="Y612" s="9">
        <f t="shared" si="57"/>
        <v>92.7</v>
      </c>
      <c r="AD612" s="4" t="s">
        <v>1958</v>
      </c>
      <c r="AE612" s="4" t="s">
        <v>1959</v>
      </c>
      <c r="AF612" s="4" t="s">
        <v>1854</v>
      </c>
    </row>
    <row r="613" spans="1:35" ht="18" x14ac:dyDescent="0.3">
      <c r="A613" s="25" t="s">
        <v>1960</v>
      </c>
      <c r="B613" s="25"/>
      <c r="C613" s="30" t="s">
        <v>1829</v>
      </c>
      <c r="D613" s="27"/>
      <c r="E613" s="27"/>
      <c r="F613" s="31" t="s">
        <v>116</v>
      </c>
      <c r="G613" s="32">
        <v>1</v>
      </c>
      <c r="H613" s="27"/>
      <c r="I613" s="33">
        <v>1.6</v>
      </c>
      <c r="J613" s="34">
        <v>80</v>
      </c>
      <c r="K613" s="35"/>
      <c r="L613" s="35"/>
      <c r="M613" s="34">
        <f>ROUND(ROUND(J613, 2)*I613, 2)</f>
        <v>128</v>
      </c>
      <c r="N613" s="35"/>
      <c r="O613" s="35"/>
      <c r="P613" s="34">
        <v>80</v>
      </c>
      <c r="Q613" s="35"/>
      <c r="R613" s="35"/>
      <c r="S613" s="34">
        <f>ROUND(ROUND(P613, 2)*I613, 2)</f>
        <v>128</v>
      </c>
      <c r="T613" s="35"/>
      <c r="U613" s="36"/>
      <c r="V613" s="9">
        <f>ROUND(ROUND(P613, 2)/1.2, 2)</f>
        <v>66.67</v>
      </c>
      <c r="Y613" s="9">
        <f t="shared" si="57"/>
        <v>106.67</v>
      </c>
      <c r="AD613" s="4" t="s">
        <v>1961</v>
      </c>
      <c r="AE613" s="4" t="s">
        <v>1962</v>
      </c>
      <c r="AF613" s="4" t="s">
        <v>1832</v>
      </c>
    </row>
    <row r="614" spans="1:35" ht="17.100000000000001" customHeight="1" x14ac:dyDescent="0.3">
      <c r="A614" s="25" t="s">
        <v>1963</v>
      </c>
      <c r="B614" s="25" t="s">
        <v>1964</v>
      </c>
      <c r="C614" s="182" t="s">
        <v>1965</v>
      </c>
      <c r="D614" s="183"/>
      <c r="E614" s="183"/>
      <c r="F614" s="183"/>
      <c r="G614" s="183"/>
      <c r="H614" s="183"/>
      <c r="I614" s="184"/>
      <c r="J614" s="35"/>
      <c r="K614" s="35"/>
      <c r="L614" s="35"/>
      <c r="M614" s="67">
        <f>SUM(M615,M617)</f>
        <v>1119590.1000000001</v>
      </c>
      <c r="N614" s="67">
        <f>SUM(N615,N617)</f>
        <v>142186</v>
      </c>
      <c r="O614" s="67">
        <f>SUM(O615,O617)</f>
        <v>1261776.1000000001</v>
      </c>
      <c r="P614" s="35"/>
      <c r="Q614" s="35"/>
      <c r="R614" s="35"/>
      <c r="S614" s="67">
        <f>SUM(S615,S617)</f>
        <v>1119590.1000000001</v>
      </c>
      <c r="T614" s="67">
        <f>SUM(T615,T617)</f>
        <v>142186</v>
      </c>
      <c r="U614" s="67">
        <f>SUM(U615,U617)</f>
        <v>1261776.1000000001</v>
      </c>
      <c r="Y614" s="9">
        <f>SUM(Y615,Y617)</f>
        <v>932991.75</v>
      </c>
      <c r="Z614" s="9">
        <f>SUM(Z615,Z617)</f>
        <v>118488.33</v>
      </c>
      <c r="AA614" s="9">
        <f>SUM(AA615,AA617)</f>
        <v>1051480.08</v>
      </c>
      <c r="AD614" s="4">
        <v>271132130</v>
      </c>
      <c r="AE614" s="4">
        <v>19996215</v>
      </c>
    </row>
    <row r="615" spans="1:35" ht="36" x14ac:dyDescent="0.3">
      <c r="A615" s="25" t="s">
        <v>1966</v>
      </c>
      <c r="B615" s="25" t="s">
        <v>1967</v>
      </c>
      <c r="C615" s="26" t="s">
        <v>1968</v>
      </c>
      <c r="D615" s="27"/>
      <c r="E615" s="27" t="s">
        <v>1969</v>
      </c>
      <c r="F615" s="27" t="s">
        <v>116</v>
      </c>
      <c r="G615" s="28">
        <v>1</v>
      </c>
      <c r="H615" s="27"/>
      <c r="I615" s="28">
        <v>7</v>
      </c>
      <c r="J615" s="29">
        <f>IFERROR(ROUND(SUM(M616)/I615, 2),0)</f>
        <v>16710.3</v>
      </c>
      <c r="K615" s="29">
        <v>2458</v>
      </c>
      <c r="L615" s="29">
        <f>J615+ROUND(K615, 2)</f>
        <v>19168.3</v>
      </c>
      <c r="M615" s="29">
        <f>ROUND(J615*I615, 2)</f>
        <v>116972.1</v>
      </c>
      <c r="N615" s="29">
        <f>ROUND(I615*ROUND(K615, 2), 2)</f>
        <v>17206</v>
      </c>
      <c r="O615" s="29">
        <f>M615+N615</f>
        <v>134178.1</v>
      </c>
      <c r="P615" s="29">
        <f>IFERROR(ROUND(SUM(S616)/I615, 2),0)</f>
        <v>16710.3</v>
      </c>
      <c r="Q615" s="29">
        <v>2458</v>
      </c>
      <c r="R615" s="29">
        <f>P615+ROUND(Q615, 2)</f>
        <v>19168.3</v>
      </c>
      <c r="S615" s="29">
        <f>ROUND(P615*I615, 2)</f>
        <v>116972.1</v>
      </c>
      <c r="T615" s="29">
        <f>ROUND(I615*ROUND(Q615, 2), 2)</f>
        <v>17206</v>
      </c>
      <c r="U615" s="29">
        <f>S615+T615</f>
        <v>134178.1</v>
      </c>
      <c r="V615" s="9">
        <f>ROUND(P615 / 1.2, 2)</f>
        <v>13925.25</v>
      </c>
      <c r="W615" s="9">
        <f>ROUND(Q615 / 1.2, 2)</f>
        <v>2048.33</v>
      </c>
      <c r="X615" s="9">
        <f>ROUND(R615 / 1.2, 2)</f>
        <v>15973.58</v>
      </c>
      <c r="Y615" s="9">
        <f>ROUND(S615 / 1.2, 2)</f>
        <v>97476.75</v>
      </c>
      <c r="Z615" s="9">
        <f>ROUND(T615 / 1.2, 2)</f>
        <v>14338.33</v>
      </c>
      <c r="AA615" s="9">
        <f>Y615+Z615</f>
        <v>111815.08</v>
      </c>
      <c r="AD615" s="4">
        <v>271132132</v>
      </c>
      <c r="AE615" s="4">
        <v>19996218</v>
      </c>
      <c r="AG615" s="4" t="s">
        <v>1970</v>
      </c>
      <c r="AH615" s="4" t="s">
        <v>1971</v>
      </c>
      <c r="AI615" s="4" t="s">
        <v>67</v>
      </c>
    </row>
    <row r="616" spans="1:35" ht="108" x14ac:dyDescent="0.3">
      <c r="A616" s="25" t="s">
        <v>1972</v>
      </c>
      <c r="B616" s="25"/>
      <c r="C616" s="17" t="s">
        <v>1973</v>
      </c>
      <c r="D616" s="27"/>
      <c r="E616" s="27" t="s">
        <v>1974</v>
      </c>
      <c r="F616" s="31" t="s">
        <v>116</v>
      </c>
      <c r="G616" s="32">
        <v>1</v>
      </c>
      <c r="H616" s="27"/>
      <c r="I616" s="33">
        <v>7</v>
      </c>
      <c r="J616" s="34">
        <v>16710.3</v>
      </c>
      <c r="K616" s="35"/>
      <c r="L616" s="35"/>
      <c r="M616" s="34">
        <f>ROUND(ROUND(J616, 2)*I616, 2)</f>
        <v>116972.1</v>
      </c>
      <c r="N616" s="35"/>
      <c r="O616" s="35"/>
      <c r="P616" s="34">
        <v>16710.3</v>
      </c>
      <c r="Q616" s="35"/>
      <c r="R616" s="35"/>
      <c r="S616" s="34">
        <f>ROUND(ROUND(P616, 2)*I616, 2)</f>
        <v>116972.1</v>
      </c>
      <c r="T616" s="35"/>
      <c r="U616" s="36"/>
      <c r="V616" s="9">
        <f>ROUND(ROUND(P616, 2)/1.2, 2)</f>
        <v>13925.25</v>
      </c>
      <c r="Y616" s="9">
        <f>ROUND(S616 / 1.2, 2)</f>
        <v>97476.75</v>
      </c>
      <c r="AD616" s="4" t="s">
        <v>1975</v>
      </c>
      <c r="AE616" s="4" t="s">
        <v>1976</v>
      </c>
      <c r="AF616" s="4" t="s">
        <v>1977</v>
      </c>
    </row>
    <row r="617" spans="1:35" ht="36" x14ac:dyDescent="0.3">
      <c r="A617" s="25" t="s">
        <v>1978</v>
      </c>
      <c r="B617" s="25" t="s">
        <v>1979</v>
      </c>
      <c r="C617" s="26" t="s">
        <v>1980</v>
      </c>
      <c r="D617" s="27"/>
      <c r="E617" s="27" t="s">
        <v>1981</v>
      </c>
      <c r="F617" s="27" t="s">
        <v>116</v>
      </c>
      <c r="G617" s="28">
        <v>1</v>
      </c>
      <c r="H617" s="27"/>
      <c r="I617" s="28">
        <v>60</v>
      </c>
      <c r="J617" s="29">
        <f>IFERROR(ROUND(SUM(M618)/I617, 2),0)</f>
        <v>16710.3</v>
      </c>
      <c r="K617" s="29">
        <v>2083</v>
      </c>
      <c r="L617" s="29">
        <f>J617+ROUND(K617, 2)</f>
        <v>18793.3</v>
      </c>
      <c r="M617" s="29">
        <f>ROUND(J617*I617, 2)</f>
        <v>1002618</v>
      </c>
      <c r="N617" s="29">
        <f>ROUND(I617*ROUND(K617, 2), 2)</f>
        <v>124980</v>
      </c>
      <c r="O617" s="29">
        <f>M617+N617</f>
        <v>1127598</v>
      </c>
      <c r="P617" s="29">
        <f>IFERROR(ROUND(SUM(S618)/I617, 2),0)</f>
        <v>16710.3</v>
      </c>
      <c r="Q617" s="29">
        <v>2083</v>
      </c>
      <c r="R617" s="29">
        <f>P617+ROUND(Q617, 2)</f>
        <v>18793.3</v>
      </c>
      <c r="S617" s="29">
        <f>ROUND(P617*I617, 2)</f>
        <v>1002618</v>
      </c>
      <c r="T617" s="29">
        <f>ROUND(I617*ROUND(Q617, 2), 2)</f>
        <v>124980</v>
      </c>
      <c r="U617" s="29">
        <f>S617+T617</f>
        <v>1127598</v>
      </c>
      <c r="V617" s="9">
        <f>ROUND(P617 / 1.2, 2)</f>
        <v>13925.25</v>
      </c>
      <c r="W617" s="9">
        <f>ROUND(Q617 / 1.2, 2)</f>
        <v>1735.83</v>
      </c>
      <c r="X617" s="9">
        <f>ROUND(R617 / 1.2, 2)</f>
        <v>15661.08</v>
      </c>
      <c r="Y617" s="9">
        <f>ROUND(S617 / 1.2, 2)</f>
        <v>835515</v>
      </c>
      <c r="Z617" s="9">
        <f>ROUND(T617 / 1.2, 2)</f>
        <v>104150</v>
      </c>
      <c r="AA617" s="9">
        <f>Y617+Z617</f>
        <v>939665</v>
      </c>
      <c r="AD617" s="4">
        <v>271132133</v>
      </c>
      <c r="AE617" s="4">
        <v>19996219</v>
      </c>
      <c r="AG617" s="4" t="s">
        <v>1982</v>
      </c>
      <c r="AH617" s="4" t="s">
        <v>1983</v>
      </c>
      <c r="AI617" s="4" t="s">
        <v>67</v>
      </c>
    </row>
    <row r="618" spans="1:35" ht="144" x14ac:dyDescent="0.3">
      <c r="A618" s="25" t="s">
        <v>1984</v>
      </c>
      <c r="B618" s="25"/>
      <c r="C618" s="17" t="s">
        <v>1985</v>
      </c>
      <c r="D618" s="27"/>
      <c r="E618" s="27" t="s">
        <v>1986</v>
      </c>
      <c r="F618" s="31" t="s">
        <v>116</v>
      </c>
      <c r="G618" s="32">
        <v>1</v>
      </c>
      <c r="H618" s="27"/>
      <c r="I618" s="33">
        <v>60</v>
      </c>
      <c r="J618" s="34">
        <v>16710.3</v>
      </c>
      <c r="K618" s="35"/>
      <c r="L618" s="35"/>
      <c r="M618" s="34">
        <f>ROUND(ROUND(J618, 2)*I618, 2)</f>
        <v>1002618</v>
      </c>
      <c r="N618" s="35"/>
      <c r="O618" s="35"/>
      <c r="P618" s="34">
        <v>16710.3</v>
      </c>
      <c r="Q618" s="35"/>
      <c r="R618" s="35"/>
      <c r="S618" s="34">
        <f>ROUND(ROUND(P618, 2)*I618, 2)</f>
        <v>1002618</v>
      </c>
      <c r="T618" s="35"/>
      <c r="U618" s="36"/>
      <c r="V618" s="9">
        <f>ROUND(ROUND(P618, 2)/1.2, 2)</f>
        <v>13925.25</v>
      </c>
      <c r="Y618" s="9">
        <f>ROUND(S618 / 1.2, 2)</f>
        <v>835515</v>
      </c>
      <c r="AD618" s="4" t="s">
        <v>1987</v>
      </c>
      <c r="AE618" s="4" t="s">
        <v>1988</v>
      </c>
      <c r="AF618" s="4" t="s">
        <v>1989</v>
      </c>
    </row>
    <row r="619" spans="1:35" ht="17.100000000000001" customHeight="1" x14ac:dyDescent="0.3">
      <c r="A619" s="10" t="s">
        <v>1990</v>
      </c>
      <c r="B619" s="10" t="s">
        <v>1991</v>
      </c>
      <c r="C619" s="185" t="s">
        <v>1992</v>
      </c>
      <c r="D619" s="186"/>
      <c r="E619" s="186"/>
      <c r="F619" s="186"/>
      <c r="G619" s="186"/>
      <c r="H619" s="186"/>
      <c r="I619" s="187"/>
      <c r="M619" s="6">
        <f>SUM(M620,M639)</f>
        <v>755106.06</v>
      </c>
      <c r="N619" s="6">
        <f>SUM(N620,N639)</f>
        <v>11173590</v>
      </c>
      <c r="O619" s="6">
        <f>SUM(O620,O639)</f>
        <v>11928696.060000001</v>
      </c>
      <c r="S619" s="6">
        <f>SUM(S620,S639)</f>
        <v>755106.06</v>
      </c>
      <c r="T619" s="6">
        <f>SUM(T620,T639)</f>
        <v>11173590</v>
      </c>
      <c r="U619" s="6">
        <f>SUM(U620,U639)</f>
        <v>11928696.060000001</v>
      </c>
      <c r="Y619" s="9">
        <f>SUM(Y620,Y639)</f>
        <v>629255.1</v>
      </c>
      <c r="Z619" s="9">
        <f>SUM(Z620,Z639)</f>
        <v>9311324.9700000007</v>
      </c>
      <c r="AA619" s="9">
        <f>SUM(AA620,AA639)</f>
        <v>9940580.0700000003</v>
      </c>
      <c r="AD619" s="4">
        <v>271132134</v>
      </c>
      <c r="AE619" s="4">
        <v>16230868</v>
      </c>
    </row>
    <row r="620" spans="1:35" ht="17.100000000000001" customHeight="1" x14ac:dyDescent="0.3">
      <c r="A620" s="10" t="s">
        <v>1993</v>
      </c>
      <c r="B620" s="10" t="s">
        <v>1994</v>
      </c>
      <c r="C620" s="185" t="s">
        <v>1995</v>
      </c>
      <c r="D620" s="186"/>
      <c r="E620" s="186"/>
      <c r="F620" s="186"/>
      <c r="G620" s="186"/>
      <c r="H620" s="186"/>
      <c r="I620" s="187"/>
      <c r="M620" s="6">
        <f>SUM(M621,M627,M630,M633,M636)</f>
        <v>672463.9</v>
      </c>
      <c r="N620" s="6">
        <f>SUM(N621,N627,N630,N633,N636)</f>
        <v>8293286.7999999998</v>
      </c>
      <c r="O620" s="6">
        <f>SUM(O621,O627,O630,O633,O636)</f>
        <v>8965750.6999999993</v>
      </c>
      <c r="S620" s="6">
        <f>SUM(S621,S627,S630,S633,S636)</f>
        <v>672463.9</v>
      </c>
      <c r="T620" s="6">
        <f>SUM(T621,T627,T630,T633,T636)</f>
        <v>8293286.7999999998</v>
      </c>
      <c r="U620" s="6">
        <f>SUM(U621,U627,U630,U633,U636)</f>
        <v>8965750.6999999993</v>
      </c>
      <c r="Y620" s="9">
        <f>SUM(Y621,Y627,Y630,Y633,Y636)</f>
        <v>560386.6</v>
      </c>
      <c r="Z620" s="9">
        <f>SUM(Z621,Z627,Z630,Z633,Z636)</f>
        <v>6911072.3300000001</v>
      </c>
      <c r="AA620" s="9">
        <f>SUM(AA621,AA627,AA630,AA633,AA636)</f>
        <v>7471458.9299999997</v>
      </c>
      <c r="AD620" s="4">
        <v>271132135</v>
      </c>
      <c r="AE620" s="4">
        <v>16230873</v>
      </c>
    </row>
    <row r="621" spans="1:35" ht="54" x14ac:dyDescent="0.3">
      <c r="A621" s="37" t="s">
        <v>1996</v>
      </c>
      <c r="B621" s="37" t="s">
        <v>1997</v>
      </c>
      <c r="C621" s="38" t="s">
        <v>1998</v>
      </c>
      <c r="D621" s="39"/>
      <c r="E621" s="39" t="s">
        <v>63</v>
      </c>
      <c r="F621" s="39" t="s">
        <v>64</v>
      </c>
      <c r="G621" s="40">
        <v>1</v>
      </c>
      <c r="H621" s="39"/>
      <c r="I621" s="41">
        <v>0</v>
      </c>
      <c r="J621" s="42">
        <f>IFERROR(ROUND(SUM(M623,M625)/I621, 2),0)</f>
        <v>0</v>
      </c>
      <c r="K621" s="42">
        <v>570</v>
      </c>
      <c r="L621" s="42">
        <f>J621+ROUND(K621, 2)</f>
        <v>570</v>
      </c>
      <c r="M621" s="42">
        <f>ROUND(J621*I621, 2)</f>
        <v>0</v>
      </c>
      <c r="N621" s="42">
        <f>ROUND(I621*ROUND(K621, 2), 2)</f>
        <v>0</v>
      </c>
      <c r="O621" s="42">
        <f>M621+N621</f>
        <v>0</v>
      </c>
      <c r="P621" s="42">
        <f>IFERROR(ROUND(SUM(S623,S625)/I621, 2),0)</f>
        <v>0</v>
      </c>
      <c r="Q621" s="42">
        <v>570</v>
      </c>
      <c r="R621" s="42">
        <f>P621+ROUND(Q621, 2)</f>
        <v>570</v>
      </c>
      <c r="S621" s="42">
        <f>ROUND(P621*I621, 2)</f>
        <v>0</v>
      </c>
      <c r="T621" s="42">
        <f>ROUND(I621*ROUND(Q621, 2), 2)</f>
        <v>0</v>
      </c>
      <c r="U621" s="42">
        <f>S621+T621</f>
        <v>0</v>
      </c>
      <c r="V621" s="9">
        <f>ROUND(P621 / 1.2, 2)</f>
        <v>0</v>
      </c>
      <c r="W621" s="9">
        <f>ROUND(Q621 / 1.2, 2)</f>
        <v>475</v>
      </c>
      <c r="X621" s="9">
        <f>ROUND(R621 / 1.2, 2)</f>
        <v>475</v>
      </c>
      <c r="Y621" s="9">
        <f>ROUND(S621 / 1.2, 2)</f>
        <v>0</v>
      </c>
      <c r="Z621" s="9">
        <f>ROUND(T621 / 1.2, 2)</f>
        <v>0</v>
      </c>
      <c r="AA621" s="9">
        <f>Y621+Z621</f>
        <v>0</v>
      </c>
      <c r="AD621" s="4">
        <v>271132137</v>
      </c>
      <c r="AE621" s="4">
        <v>16230872</v>
      </c>
      <c r="AG621" s="4" t="s">
        <v>1999</v>
      </c>
      <c r="AH621" s="4" t="s">
        <v>2000</v>
      </c>
      <c r="AI621" s="4" t="s">
        <v>67</v>
      </c>
    </row>
    <row r="622" spans="1:35" ht="54" x14ac:dyDescent="0.3">
      <c r="A622" s="43" t="s">
        <v>2001</v>
      </c>
      <c r="B622" s="43" t="s">
        <v>1997</v>
      </c>
      <c r="C622" s="44" t="s">
        <v>1998</v>
      </c>
      <c r="D622" s="45"/>
      <c r="E622" s="45"/>
      <c r="F622" s="45" t="s">
        <v>64</v>
      </c>
      <c r="G622" s="46">
        <v>1</v>
      </c>
      <c r="H622" s="45"/>
      <c r="I622" s="46">
        <v>3609.9</v>
      </c>
      <c r="J622" s="47">
        <v>0</v>
      </c>
      <c r="K622" s="47">
        <v>570</v>
      </c>
      <c r="L622" s="47"/>
      <c r="M622" s="47">
        <v>0</v>
      </c>
      <c r="N622" s="47"/>
      <c r="O622" s="47"/>
      <c r="P622" s="47">
        <v>0</v>
      </c>
      <c r="Q622" s="47">
        <v>570</v>
      </c>
      <c r="R622" s="47"/>
      <c r="S622" s="47">
        <v>0</v>
      </c>
      <c r="T622" s="47"/>
      <c r="U622" s="47"/>
      <c r="V622" s="9"/>
      <c r="W622" s="9">
        <f>ROUND(Q622 / 1.2, 2)</f>
        <v>475</v>
      </c>
      <c r="X622" s="9" t="e">
        <f>ROUND(R622 / 1.2, 2)</f>
        <v>#VALUE!</v>
      </c>
      <c r="Y622" s="9"/>
      <c r="Z622" s="9" t="e">
        <f>ROUND(T622 / 1.2, 2)</f>
        <v>#VALUE!</v>
      </c>
      <c r="AA622" s="9"/>
      <c r="AD622" s="4">
        <v>213493219</v>
      </c>
      <c r="AE622" s="4">
        <v>16230872</v>
      </c>
      <c r="AG622" s="4" t="s">
        <v>1999</v>
      </c>
      <c r="AH622" s="4" t="s">
        <v>2000</v>
      </c>
      <c r="AI622" s="4"/>
    </row>
    <row r="623" spans="1:35" ht="72" x14ac:dyDescent="0.3">
      <c r="A623" s="37" t="s">
        <v>2002</v>
      </c>
      <c r="B623" s="37"/>
      <c r="C623" s="48" t="s">
        <v>2003</v>
      </c>
      <c r="D623" s="39"/>
      <c r="E623" s="39" t="s">
        <v>2004</v>
      </c>
      <c r="F623" s="49" t="s">
        <v>70</v>
      </c>
      <c r="G623" s="50">
        <v>4.5</v>
      </c>
      <c r="H623" s="39"/>
      <c r="I623" s="62">
        <v>0</v>
      </c>
      <c r="J623" s="52">
        <v>12.58</v>
      </c>
      <c r="K623" s="53"/>
      <c r="L623" s="53"/>
      <c r="M623" s="52">
        <f>ROUND(ROUND(J623, 2)*I623, 2)</f>
        <v>0</v>
      </c>
      <c r="N623" s="53"/>
      <c r="O623" s="53"/>
      <c r="P623" s="52">
        <v>12.58</v>
      </c>
      <c r="Q623" s="53"/>
      <c r="R623" s="53"/>
      <c r="S623" s="52">
        <f>ROUND(ROUND(P623, 2)*I623, 2)</f>
        <v>0</v>
      </c>
      <c r="T623" s="53"/>
      <c r="U623" s="54"/>
      <c r="V623" s="9">
        <f>ROUND(ROUND(P623, 2)/1.2, 2)</f>
        <v>10.48</v>
      </c>
      <c r="Y623" s="9">
        <f t="shared" ref="Y623:Y638" si="58">ROUND(S623 / 1.2, 2)</f>
        <v>0</v>
      </c>
      <c r="AD623" s="4" t="s">
        <v>2005</v>
      </c>
      <c r="AE623" s="4" t="s">
        <v>2006</v>
      </c>
      <c r="AF623" s="4" t="s">
        <v>2007</v>
      </c>
    </row>
    <row r="624" spans="1:35" ht="72" x14ac:dyDescent="0.3">
      <c r="A624" s="43" t="s">
        <v>2008</v>
      </c>
      <c r="B624" s="43"/>
      <c r="C624" s="55" t="s">
        <v>2003</v>
      </c>
      <c r="D624" s="45"/>
      <c r="E624" s="45" t="s">
        <v>2004</v>
      </c>
      <c r="F624" s="56" t="s">
        <v>70</v>
      </c>
      <c r="G624" s="57">
        <v>4.5</v>
      </c>
      <c r="H624" s="45"/>
      <c r="I624" s="57">
        <v>16244.55</v>
      </c>
      <c r="J624" s="59">
        <v>12.58</v>
      </c>
      <c r="K624" s="60"/>
      <c r="L624" s="60"/>
      <c r="M624" s="59">
        <f>ROUND(ROUND(J624, 2)*I624, 2)</f>
        <v>204356.44</v>
      </c>
      <c r="N624" s="60"/>
      <c r="O624" s="60"/>
      <c r="P624" s="59">
        <v>12.58</v>
      </c>
      <c r="Q624" s="60"/>
      <c r="R624" s="60"/>
      <c r="S624" s="59">
        <f>ROUND(ROUND(P624, 2)*I624, 2)</f>
        <v>204356.44</v>
      </c>
      <c r="T624" s="60"/>
      <c r="U624" s="61"/>
      <c r="V624" s="9">
        <f>ROUND(ROUND(P624, 2)/1.2, 2)</f>
        <v>10.48</v>
      </c>
      <c r="Y624" s="9">
        <f t="shared" si="58"/>
        <v>170297.03</v>
      </c>
      <c r="AD624" s="4" t="s">
        <v>2009</v>
      </c>
      <c r="AE624" s="4" t="s">
        <v>2006</v>
      </c>
      <c r="AF624" s="4" t="s">
        <v>2007</v>
      </c>
    </row>
    <row r="625" spans="1:35" ht="18" x14ac:dyDescent="0.3">
      <c r="A625" s="37" t="s">
        <v>2010</v>
      </c>
      <c r="B625" s="37"/>
      <c r="C625" s="48" t="s">
        <v>764</v>
      </c>
      <c r="D625" s="39"/>
      <c r="E625" s="39"/>
      <c r="F625" s="49" t="s">
        <v>70</v>
      </c>
      <c r="G625" s="50">
        <v>0.15</v>
      </c>
      <c r="H625" s="39"/>
      <c r="I625" s="62">
        <v>0</v>
      </c>
      <c r="J625" s="52">
        <v>100</v>
      </c>
      <c r="K625" s="53"/>
      <c r="L625" s="53"/>
      <c r="M625" s="52">
        <f>ROUND(ROUND(J625, 2)*I625, 2)</f>
        <v>0</v>
      </c>
      <c r="N625" s="53"/>
      <c r="O625" s="53"/>
      <c r="P625" s="52">
        <v>100</v>
      </c>
      <c r="Q625" s="53"/>
      <c r="R625" s="53"/>
      <c r="S625" s="52">
        <f>ROUND(ROUND(P625, 2)*I625, 2)</f>
        <v>0</v>
      </c>
      <c r="T625" s="53"/>
      <c r="U625" s="54"/>
      <c r="V625" s="9">
        <f>ROUND(ROUND(P625, 2)/1.2, 2)</f>
        <v>83.33</v>
      </c>
      <c r="Y625" s="9">
        <f t="shared" si="58"/>
        <v>0</v>
      </c>
      <c r="AD625" s="4" t="s">
        <v>2011</v>
      </c>
      <c r="AE625" s="4" t="s">
        <v>2012</v>
      </c>
      <c r="AF625" s="4" t="s">
        <v>767</v>
      </c>
    </row>
    <row r="626" spans="1:35" ht="18" x14ac:dyDescent="0.3">
      <c r="A626" s="43" t="s">
        <v>2013</v>
      </c>
      <c r="B626" s="43"/>
      <c r="C626" s="55" t="s">
        <v>764</v>
      </c>
      <c r="D626" s="45"/>
      <c r="E626" s="45"/>
      <c r="F626" s="56" t="s">
        <v>70</v>
      </c>
      <c r="G626" s="57">
        <v>0.15</v>
      </c>
      <c r="H626" s="45"/>
      <c r="I626" s="57">
        <v>541.48500000000001</v>
      </c>
      <c r="J626" s="59">
        <v>100</v>
      </c>
      <c r="K626" s="60"/>
      <c r="L626" s="60"/>
      <c r="M626" s="59">
        <f>ROUND(ROUND(J626, 2)*I626, 2)</f>
        <v>54148.5</v>
      </c>
      <c r="N626" s="60"/>
      <c r="O626" s="60"/>
      <c r="P626" s="59">
        <v>100</v>
      </c>
      <c r="Q626" s="60"/>
      <c r="R626" s="60"/>
      <c r="S626" s="59">
        <f>ROUND(ROUND(P626, 2)*I626, 2)</f>
        <v>54148.5</v>
      </c>
      <c r="T626" s="60"/>
      <c r="U626" s="61"/>
      <c r="V626" s="9">
        <f>ROUND(ROUND(P626, 2)/1.2, 2)</f>
        <v>83.33</v>
      </c>
      <c r="Y626" s="9">
        <f t="shared" si="58"/>
        <v>45123.75</v>
      </c>
      <c r="AD626" s="4" t="s">
        <v>2014</v>
      </c>
      <c r="AE626" s="4" t="s">
        <v>2012</v>
      </c>
      <c r="AF626" s="4" t="s">
        <v>767</v>
      </c>
    </row>
    <row r="627" spans="1:35" ht="126" x14ac:dyDescent="0.3">
      <c r="A627" s="25" t="s">
        <v>2015</v>
      </c>
      <c r="B627" s="25" t="s">
        <v>2016</v>
      </c>
      <c r="C627" s="26" t="s">
        <v>2017</v>
      </c>
      <c r="D627" s="27"/>
      <c r="E627" s="27" t="s">
        <v>2018</v>
      </c>
      <c r="F627" s="27" t="s">
        <v>64</v>
      </c>
      <c r="G627" s="28">
        <v>1</v>
      </c>
      <c r="H627" s="27"/>
      <c r="I627" s="28">
        <v>2789.37</v>
      </c>
      <c r="J627" s="29">
        <f>IFERROR(ROUND(SUM(M628,M629)/I627, 2),0)</f>
        <v>72.150000000000006</v>
      </c>
      <c r="K627" s="29">
        <v>790</v>
      </c>
      <c r="L627" s="29">
        <f>J627+ROUND(K627, 2)</f>
        <v>862.15</v>
      </c>
      <c r="M627" s="29">
        <f>ROUND(J627*I627, 2)</f>
        <v>201253.05</v>
      </c>
      <c r="N627" s="29">
        <f>ROUND(I627*ROUND(K627, 2), 2)</f>
        <v>2203602.2999999998</v>
      </c>
      <c r="O627" s="29">
        <f>M627+N627</f>
        <v>2404855.35</v>
      </c>
      <c r="P627" s="29">
        <f>IFERROR(ROUND(SUM(S628,S629)/I627, 2),0)</f>
        <v>72.150000000000006</v>
      </c>
      <c r="Q627" s="29">
        <v>790</v>
      </c>
      <c r="R627" s="29">
        <f>P627+ROUND(Q627, 2)</f>
        <v>862.15</v>
      </c>
      <c r="S627" s="29">
        <f>ROUND(P627*I627, 2)</f>
        <v>201253.05</v>
      </c>
      <c r="T627" s="29">
        <f>ROUND(I627*ROUND(Q627, 2), 2)</f>
        <v>2203602.2999999998</v>
      </c>
      <c r="U627" s="29">
        <f>S627+T627</f>
        <v>2404855.35</v>
      </c>
      <c r="V627" s="9">
        <f>ROUND(P627 / 1.2, 2)</f>
        <v>60.13</v>
      </c>
      <c r="W627" s="9">
        <f>ROUND(Q627 / 1.2, 2)</f>
        <v>658.33</v>
      </c>
      <c r="X627" s="9">
        <f>ROUND(R627 / 1.2, 2)</f>
        <v>718.46</v>
      </c>
      <c r="Y627" s="9">
        <f t="shared" si="58"/>
        <v>167710.88</v>
      </c>
      <c r="Z627" s="9">
        <f>ROUND(T627 / 1.2, 2)</f>
        <v>1836335.25</v>
      </c>
      <c r="AA627" s="9">
        <f>Y627+Z627</f>
        <v>2004046.13</v>
      </c>
      <c r="AD627" s="4">
        <v>271132139</v>
      </c>
      <c r="AE627" s="4">
        <v>16680701</v>
      </c>
      <c r="AG627" s="4" t="s">
        <v>2019</v>
      </c>
      <c r="AH627" s="4" t="s">
        <v>2020</v>
      </c>
      <c r="AI627" s="4" t="s">
        <v>67</v>
      </c>
    </row>
    <row r="628" spans="1:35" ht="36" x14ac:dyDescent="0.3">
      <c r="A628" s="25" t="s">
        <v>2021</v>
      </c>
      <c r="B628" s="25"/>
      <c r="C628" s="17" t="s">
        <v>740</v>
      </c>
      <c r="D628" s="27"/>
      <c r="E628" s="27"/>
      <c r="F628" s="31" t="s">
        <v>70</v>
      </c>
      <c r="G628" s="32">
        <v>4.5</v>
      </c>
      <c r="H628" s="27"/>
      <c r="I628" s="32">
        <v>12552.165000000001</v>
      </c>
      <c r="J628" s="34">
        <v>12.7</v>
      </c>
      <c r="K628" s="35"/>
      <c r="L628" s="35"/>
      <c r="M628" s="34">
        <f>ROUND(ROUND(J628, 2)*I628, 2)</f>
        <v>159412.5</v>
      </c>
      <c r="N628" s="35"/>
      <c r="O628" s="35"/>
      <c r="P628" s="34">
        <v>12.7</v>
      </c>
      <c r="Q628" s="35"/>
      <c r="R628" s="35"/>
      <c r="S628" s="34">
        <f>ROUND(ROUND(P628, 2)*I628, 2)</f>
        <v>159412.5</v>
      </c>
      <c r="T628" s="35"/>
      <c r="U628" s="36"/>
      <c r="V628" s="9">
        <f>ROUND(ROUND(P628, 2)/1.2, 2)</f>
        <v>10.58</v>
      </c>
      <c r="Y628" s="9">
        <f t="shared" si="58"/>
        <v>132843.75</v>
      </c>
      <c r="AD628" s="4" t="s">
        <v>2022</v>
      </c>
      <c r="AE628" s="4" t="s">
        <v>2023</v>
      </c>
      <c r="AF628" s="4" t="s">
        <v>743</v>
      </c>
    </row>
    <row r="629" spans="1:35" ht="18" x14ac:dyDescent="0.3">
      <c r="A629" s="25" t="s">
        <v>2024</v>
      </c>
      <c r="B629" s="25"/>
      <c r="C629" s="30" t="s">
        <v>764</v>
      </c>
      <c r="D629" s="27"/>
      <c r="E629" s="27"/>
      <c r="F629" s="31" t="s">
        <v>70</v>
      </c>
      <c r="G629" s="32">
        <v>0.15</v>
      </c>
      <c r="H629" s="27"/>
      <c r="I629" s="32">
        <v>418.40600000000001</v>
      </c>
      <c r="J629" s="34">
        <v>100</v>
      </c>
      <c r="K629" s="35"/>
      <c r="L629" s="35"/>
      <c r="M629" s="34">
        <f>ROUND(ROUND(J629, 2)*I629, 2)</f>
        <v>41840.6</v>
      </c>
      <c r="N629" s="35"/>
      <c r="O629" s="35"/>
      <c r="P629" s="34">
        <v>100</v>
      </c>
      <c r="Q629" s="35"/>
      <c r="R629" s="35"/>
      <c r="S629" s="34">
        <f>ROUND(ROUND(P629, 2)*I629, 2)</f>
        <v>41840.6</v>
      </c>
      <c r="T629" s="35"/>
      <c r="U629" s="36"/>
      <c r="V629" s="9">
        <f>ROUND(ROUND(P629, 2)/1.2, 2)</f>
        <v>83.33</v>
      </c>
      <c r="Y629" s="9">
        <f t="shared" si="58"/>
        <v>34867.17</v>
      </c>
      <c r="AD629" s="4" t="s">
        <v>2025</v>
      </c>
      <c r="AE629" s="4" t="s">
        <v>2026</v>
      </c>
      <c r="AF629" s="4" t="s">
        <v>767</v>
      </c>
    </row>
    <row r="630" spans="1:35" ht="126" x14ac:dyDescent="0.3">
      <c r="A630" s="25" t="s">
        <v>2027</v>
      </c>
      <c r="B630" s="25" t="s">
        <v>2016</v>
      </c>
      <c r="C630" s="26" t="s">
        <v>2017</v>
      </c>
      <c r="D630" s="27"/>
      <c r="E630" s="27" t="s">
        <v>2028</v>
      </c>
      <c r="F630" s="27" t="s">
        <v>64</v>
      </c>
      <c r="G630" s="28">
        <v>1</v>
      </c>
      <c r="H630" s="27"/>
      <c r="I630" s="28">
        <v>3418.18</v>
      </c>
      <c r="J630" s="29">
        <f>IFERROR(ROUND(SUM(M631,M632)/I630, 2),0)</f>
        <v>72.150000000000006</v>
      </c>
      <c r="K630" s="29">
        <v>790</v>
      </c>
      <c r="L630" s="29">
        <f>J630+ROUND(K630, 2)</f>
        <v>862.15</v>
      </c>
      <c r="M630" s="29">
        <f>ROUND(J630*I630, 2)</f>
        <v>246621.69</v>
      </c>
      <c r="N630" s="29">
        <f>ROUND(I630*ROUND(K630, 2), 2)</f>
        <v>2700362.2</v>
      </c>
      <c r="O630" s="29">
        <f>M630+N630</f>
        <v>2946983.89</v>
      </c>
      <c r="P630" s="29">
        <f>IFERROR(ROUND(SUM(S631,S632)/I630, 2),0)</f>
        <v>72.150000000000006</v>
      </c>
      <c r="Q630" s="29">
        <v>790</v>
      </c>
      <c r="R630" s="29">
        <f>P630+ROUND(Q630, 2)</f>
        <v>862.15</v>
      </c>
      <c r="S630" s="29">
        <f>ROUND(P630*I630, 2)</f>
        <v>246621.69</v>
      </c>
      <c r="T630" s="29">
        <f>ROUND(I630*ROUND(Q630, 2), 2)</f>
        <v>2700362.2</v>
      </c>
      <c r="U630" s="29">
        <f>S630+T630</f>
        <v>2946983.89</v>
      </c>
      <c r="V630" s="9">
        <f>ROUND(P630 / 1.2, 2)</f>
        <v>60.13</v>
      </c>
      <c r="W630" s="9">
        <f>ROUND(Q630 / 1.2, 2)</f>
        <v>658.33</v>
      </c>
      <c r="X630" s="9">
        <f>ROUND(R630 / 1.2, 2)</f>
        <v>718.46</v>
      </c>
      <c r="Y630" s="9">
        <f t="shared" si="58"/>
        <v>205518.07999999999</v>
      </c>
      <c r="Z630" s="9">
        <f>ROUND(T630 / 1.2, 2)</f>
        <v>2250301.83</v>
      </c>
      <c r="AA630" s="9">
        <f>Y630+Z630</f>
        <v>2455819.91</v>
      </c>
      <c r="AD630" s="4">
        <v>271132244</v>
      </c>
      <c r="AE630" s="4">
        <v>19997129</v>
      </c>
      <c r="AG630" s="4" t="s">
        <v>2019</v>
      </c>
      <c r="AH630" s="4" t="s">
        <v>2020</v>
      </c>
      <c r="AI630" s="4" t="s">
        <v>67</v>
      </c>
    </row>
    <row r="631" spans="1:35" ht="18" x14ac:dyDescent="0.3">
      <c r="A631" s="25" t="s">
        <v>2029</v>
      </c>
      <c r="B631" s="25"/>
      <c r="C631" s="30" t="s">
        <v>764</v>
      </c>
      <c r="D631" s="27"/>
      <c r="E631" s="27"/>
      <c r="F631" s="31" t="s">
        <v>70</v>
      </c>
      <c r="G631" s="32">
        <v>0.15</v>
      </c>
      <c r="H631" s="27"/>
      <c r="I631" s="32">
        <v>512.72699999999998</v>
      </c>
      <c r="J631" s="34">
        <v>100</v>
      </c>
      <c r="K631" s="35"/>
      <c r="L631" s="35"/>
      <c r="M631" s="34">
        <f>ROUND(ROUND(J631, 2)*I631, 2)</f>
        <v>51272.7</v>
      </c>
      <c r="N631" s="35"/>
      <c r="O631" s="35"/>
      <c r="P631" s="34">
        <v>100</v>
      </c>
      <c r="Q631" s="35"/>
      <c r="R631" s="35"/>
      <c r="S631" s="34">
        <f>ROUND(ROUND(P631, 2)*I631, 2)</f>
        <v>51272.7</v>
      </c>
      <c r="T631" s="35"/>
      <c r="U631" s="36"/>
      <c r="V631" s="9">
        <f>ROUND(ROUND(P631, 2)/1.2, 2)</f>
        <v>83.33</v>
      </c>
      <c r="Y631" s="9">
        <f t="shared" si="58"/>
        <v>42727.25</v>
      </c>
      <c r="AD631" s="4" t="s">
        <v>2030</v>
      </c>
      <c r="AE631" s="4" t="s">
        <v>2031</v>
      </c>
      <c r="AF631" s="4" t="s">
        <v>767</v>
      </c>
    </row>
    <row r="632" spans="1:35" ht="36" x14ac:dyDescent="0.3">
      <c r="A632" s="25" t="s">
        <v>2032</v>
      </c>
      <c r="B632" s="25"/>
      <c r="C632" s="17" t="s">
        <v>740</v>
      </c>
      <c r="D632" s="27"/>
      <c r="E632" s="27"/>
      <c r="F632" s="31" t="s">
        <v>70</v>
      </c>
      <c r="G632" s="32">
        <v>4.5</v>
      </c>
      <c r="H632" s="27"/>
      <c r="I632" s="32">
        <v>15381.81</v>
      </c>
      <c r="J632" s="34">
        <v>12.7</v>
      </c>
      <c r="K632" s="35"/>
      <c r="L632" s="35"/>
      <c r="M632" s="34">
        <f>ROUND(ROUND(J632, 2)*I632, 2)</f>
        <v>195348.99</v>
      </c>
      <c r="N632" s="35"/>
      <c r="O632" s="35"/>
      <c r="P632" s="34">
        <v>12.7</v>
      </c>
      <c r="Q632" s="35"/>
      <c r="R632" s="35"/>
      <c r="S632" s="34">
        <f>ROUND(ROUND(P632, 2)*I632, 2)</f>
        <v>195348.99</v>
      </c>
      <c r="T632" s="35"/>
      <c r="U632" s="36"/>
      <c r="V632" s="9">
        <f>ROUND(ROUND(P632, 2)/1.2, 2)</f>
        <v>10.58</v>
      </c>
      <c r="Y632" s="9">
        <f t="shared" si="58"/>
        <v>162790.82999999999</v>
      </c>
      <c r="AD632" s="4" t="s">
        <v>2033</v>
      </c>
      <c r="AE632" s="4" t="s">
        <v>2034</v>
      </c>
      <c r="AF632" s="4" t="s">
        <v>743</v>
      </c>
    </row>
    <row r="633" spans="1:35" ht="144" x14ac:dyDescent="0.3">
      <c r="A633" s="25" t="s">
        <v>2035</v>
      </c>
      <c r="B633" s="25" t="s">
        <v>2036</v>
      </c>
      <c r="C633" s="26" t="s">
        <v>2037</v>
      </c>
      <c r="D633" s="27"/>
      <c r="E633" s="27" t="s">
        <v>2038</v>
      </c>
      <c r="F633" s="27" t="s">
        <v>64</v>
      </c>
      <c r="G633" s="28">
        <v>1</v>
      </c>
      <c r="H633" s="27"/>
      <c r="I633" s="28">
        <v>3418.18</v>
      </c>
      <c r="J633" s="29">
        <f>IFERROR(ROUND(SUM(M634,M635)/I633, 2),0)</f>
        <v>36.18</v>
      </c>
      <c r="K633" s="29">
        <v>546</v>
      </c>
      <c r="L633" s="29">
        <f>J633+ROUND(K633, 2)</f>
        <v>582.17999999999995</v>
      </c>
      <c r="M633" s="29">
        <f>ROUND(J633*I633, 2)</f>
        <v>123669.75</v>
      </c>
      <c r="N633" s="29">
        <f>ROUND(I633*ROUND(K633, 2), 2)</f>
        <v>1866326.28</v>
      </c>
      <c r="O633" s="29">
        <f>M633+N633</f>
        <v>1989996.03</v>
      </c>
      <c r="P633" s="29">
        <f>IFERROR(ROUND(SUM(S634,S635)/I633, 2),0)</f>
        <v>36.18</v>
      </c>
      <c r="Q633" s="29">
        <v>546</v>
      </c>
      <c r="R633" s="29">
        <f>P633+ROUND(Q633, 2)</f>
        <v>582.17999999999995</v>
      </c>
      <c r="S633" s="29">
        <f>ROUND(P633*I633, 2)</f>
        <v>123669.75</v>
      </c>
      <c r="T633" s="29">
        <f>ROUND(I633*ROUND(Q633, 2), 2)</f>
        <v>1866326.28</v>
      </c>
      <c r="U633" s="29">
        <f>S633+T633</f>
        <v>1989996.03</v>
      </c>
      <c r="V633" s="9">
        <f>ROUND(P633 / 1.2, 2)</f>
        <v>30.15</v>
      </c>
      <c r="W633" s="9">
        <f>ROUND(Q633 / 1.2, 2)</f>
        <v>455</v>
      </c>
      <c r="X633" s="9">
        <f>ROUND(R633 / 1.2, 2)</f>
        <v>485.15</v>
      </c>
      <c r="Y633" s="9">
        <f t="shared" si="58"/>
        <v>103058.13</v>
      </c>
      <c r="Z633" s="9">
        <f>ROUND(T633 / 1.2, 2)</f>
        <v>1555271.9</v>
      </c>
      <c r="AA633" s="9">
        <f>Y633+Z633</f>
        <v>1658330.03</v>
      </c>
      <c r="AD633" s="4">
        <v>271132140</v>
      </c>
      <c r="AE633" s="4">
        <v>19997514</v>
      </c>
      <c r="AG633" s="4" t="s">
        <v>2039</v>
      </c>
      <c r="AH633" s="4" t="s">
        <v>2040</v>
      </c>
      <c r="AI633" s="4" t="s">
        <v>67</v>
      </c>
    </row>
    <row r="634" spans="1:35" ht="54" x14ac:dyDescent="0.3">
      <c r="A634" s="25" t="s">
        <v>2041</v>
      </c>
      <c r="B634" s="25"/>
      <c r="C634" s="17" t="s">
        <v>2003</v>
      </c>
      <c r="D634" s="27"/>
      <c r="E634" s="27"/>
      <c r="F634" s="31" t="s">
        <v>70</v>
      </c>
      <c r="G634" s="32">
        <v>1.8</v>
      </c>
      <c r="H634" s="27"/>
      <c r="I634" s="32">
        <v>6152.7240000000002</v>
      </c>
      <c r="J634" s="34">
        <v>12.7</v>
      </c>
      <c r="K634" s="35"/>
      <c r="L634" s="35"/>
      <c r="M634" s="34">
        <f>ROUND(ROUND(J634, 2)*I634, 2)</f>
        <v>78139.59</v>
      </c>
      <c r="N634" s="35"/>
      <c r="O634" s="35"/>
      <c r="P634" s="34">
        <v>12.7</v>
      </c>
      <c r="Q634" s="35"/>
      <c r="R634" s="35"/>
      <c r="S634" s="34">
        <f>ROUND(ROUND(P634, 2)*I634, 2)</f>
        <v>78139.59</v>
      </c>
      <c r="T634" s="35"/>
      <c r="U634" s="36"/>
      <c r="V634" s="9">
        <f>ROUND(ROUND(P634, 2)/1.2, 2)</f>
        <v>10.58</v>
      </c>
      <c r="Y634" s="9">
        <f t="shared" si="58"/>
        <v>65116.33</v>
      </c>
      <c r="AD634" s="4" t="s">
        <v>2042</v>
      </c>
      <c r="AE634" s="4" t="s">
        <v>2043</v>
      </c>
      <c r="AF634" s="4" t="s">
        <v>2007</v>
      </c>
    </row>
    <row r="635" spans="1:35" ht="36" x14ac:dyDescent="0.3">
      <c r="A635" s="25" t="s">
        <v>2044</v>
      </c>
      <c r="B635" s="25"/>
      <c r="C635" s="30" t="s">
        <v>75</v>
      </c>
      <c r="D635" s="27"/>
      <c r="E635" s="27"/>
      <c r="F635" s="31" t="s">
        <v>70</v>
      </c>
      <c r="G635" s="32">
        <v>0.15</v>
      </c>
      <c r="H635" s="27"/>
      <c r="I635" s="32">
        <v>512.72699999999998</v>
      </c>
      <c r="J635" s="34">
        <v>88.8</v>
      </c>
      <c r="K635" s="35"/>
      <c r="L635" s="35"/>
      <c r="M635" s="34">
        <f>ROUND(ROUND(J635, 2)*I635, 2)</f>
        <v>45530.16</v>
      </c>
      <c r="N635" s="35"/>
      <c r="O635" s="35"/>
      <c r="P635" s="34">
        <v>88.8</v>
      </c>
      <c r="Q635" s="35"/>
      <c r="R635" s="35"/>
      <c r="S635" s="34">
        <f>ROUND(ROUND(P635, 2)*I635, 2)</f>
        <v>45530.16</v>
      </c>
      <c r="T635" s="35"/>
      <c r="U635" s="36"/>
      <c r="V635" s="9">
        <f>ROUND(ROUND(P635, 2)/1.2, 2)</f>
        <v>74</v>
      </c>
      <c r="Y635" s="9">
        <f t="shared" si="58"/>
        <v>37941.800000000003</v>
      </c>
      <c r="AD635" s="4" t="s">
        <v>2045</v>
      </c>
      <c r="AE635" s="4" t="s">
        <v>2046</v>
      </c>
      <c r="AF635" s="4" t="s">
        <v>78</v>
      </c>
    </row>
    <row r="636" spans="1:35" ht="144" x14ac:dyDescent="0.3">
      <c r="A636" s="25" t="s">
        <v>2047</v>
      </c>
      <c r="B636" s="25" t="s">
        <v>2036</v>
      </c>
      <c r="C636" s="26" t="s">
        <v>2037</v>
      </c>
      <c r="D636" s="27"/>
      <c r="E636" s="27" t="s">
        <v>2048</v>
      </c>
      <c r="F636" s="27" t="s">
        <v>64</v>
      </c>
      <c r="G636" s="28">
        <v>1</v>
      </c>
      <c r="H636" s="27"/>
      <c r="I636" s="28">
        <v>2789.37</v>
      </c>
      <c r="J636" s="29">
        <f>IFERROR(ROUND(SUM(M637,M638)/I636, 2),0)</f>
        <v>36.18</v>
      </c>
      <c r="K636" s="29">
        <v>546</v>
      </c>
      <c r="L636" s="29">
        <f>J636+ROUND(K636, 2)</f>
        <v>582.17999999999995</v>
      </c>
      <c r="M636" s="29">
        <f>ROUND(J636*I636, 2)</f>
        <v>100919.41</v>
      </c>
      <c r="N636" s="29">
        <f>ROUND(I636*ROUND(K636, 2), 2)</f>
        <v>1522996.02</v>
      </c>
      <c r="O636" s="29">
        <f>M636+N636</f>
        <v>1623915.43</v>
      </c>
      <c r="P636" s="29">
        <f>IFERROR(ROUND(SUM(S637,S638)/I636, 2),0)</f>
        <v>36.18</v>
      </c>
      <c r="Q636" s="29">
        <v>546</v>
      </c>
      <c r="R636" s="29">
        <f>P636+ROUND(Q636, 2)</f>
        <v>582.17999999999995</v>
      </c>
      <c r="S636" s="29">
        <f>ROUND(P636*I636, 2)</f>
        <v>100919.41</v>
      </c>
      <c r="T636" s="29">
        <f>ROUND(I636*ROUND(Q636, 2), 2)</f>
        <v>1522996.02</v>
      </c>
      <c r="U636" s="29">
        <f>S636+T636</f>
        <v>1623915.43</v>
      </c>
      <c r="V636" s="9">
        <f>ROUND(P636 / 1.2, 2)</f>
        <v>30.15</v>
      </c>
      <c r="W636" s="9">
        <f>ROUND(Q636 / 1.2, 2)</f>
        <v>455</v>
      </c>
      <c r="X636" s="9">
        <f>ROUND(R636 / 1.2, 2)</f>
        <v>485.15</v>
      </c>
      <c r="Y636" s="9">
        <f t="shared" si="58"/>
        <v>84099.51</v>
      </c>
      <c r="Z636" s="9">
        <f>ROUND(T636 / 1.2, 2)</f>
        <v>1269163.3500000001</v>
      </c>
      <c r="AA636" s="9">
        <f>Y636+Z636</f>
        <v>1353262.86</v>
      </c>
      <c r="AD636" s="4">
        <v>271132245</v>
      </c>
      <c r="AE636" s="4">
        <v>19997515</v>
      </c>
      <c r="AG636" s="4" t="s">
        <v>2039</v>
      </c>
      <c r="AH636" s="4" t="s">
        <v>2040</v>
      </c>
      <c r="AI636" s="4" t="s">
        <v>67</v>
      </c>
    </row>
    <row r="637" spans="1:35" ht="36" x14ac:dyDescent="0.3">
      <c r="A637" s="25" t="s">
        <v>2049</v>
      </c>
      <c r="B637" s="25"/>
      <c r="C637" s="30" t="s">
        <v>75</v>
      </c>
      <c r="D637" s="27"/>
      <c r="E637" s="27"/>
      <c r="F637" s="31" t="s">
        <v>70</v>
      </c>
      <c r="G637" s="32">
        <v>0.15</v>
      </c>
      <c r="H637" s="27"/>
      <c r="I637" s="32">
        <v>418.40600000000001</v>
      </c>
      <c r="J637" s="34">
        <v>88.8</v>
      </c>
      <c r="K637" s="35"/>
      <c r="L637" s="35"/>
      <c r="M637" s="34">
        <f>ROUND(ROUND(J637, 2)*I637, 2)</f>
        <v>37154.449999999997</v>
      </c>
      <c r="N637" s="35"/>
      <c r="O637" s="35"/>
      <c r="P637" s="34">
        <v>88.8</v>
      </c>
      <c r="Q637" s="35"/>
      <c r="R637" s="35"/>
      <c r="S637" s="34">
        <f>ROUND(ROUND(P637, 2)*I637, 2)</f>
        <v>37154.449999999997</v>
      </c>
      <c r="T637" s="35"/>
      <c r="U637" s="36"/>
      <c r="V637" s="9">
        <f>ROUND(ROUND(P637, 2)/1.2, 2)</f>
        <v>74</v>
      </c>
      <c r="Y637" s="9">
        <f t="shared" si="58"/>
        <v>30962.04</v>
      </c>
      <c r="AD637" s="4" t="s">
        <v>2050</v>
      </c>
      <c r="AE637" s="4" t="s">
        <v>2051</v>
      </c>
      <c r="AF637" s="4" t="s">
        <v>78</v>
      </c>
    </row>
    <row r="638" spans="1:35" ht="54" x14ac:dyDescent="0.3">
      <c r="A638" s="25" t="s">
        <v>2052</v>
      </c>
      <c r="B638" s="25"/>
      <c r="C638" s="17" t="s">
        <v>2003</v>
      </c>
      <c r="D638" s="27"/>
      <c r="E638" s="27"/>
      <c r="F638" s="31" t="s">
        <v>70</v>
      </c>
      <c r="G638" s="32">
        <v>1.8</v>
      </c>
      <c r="H638" s="27"/>
      <c r="I638" s="32">
        <v>5020.866</v>
      </c>
      <c r="J638" s="34">
        <v>12.7</v>
      </c>
      <c r="K638" s="35"/>
      <c r="L638" s="35"/>
      <c r="M638" s="34">
        <f>ROUND(ROUND(J638, 2)*I638, 2)</f>
        <v>63765</v>
      </c>
      <c r="N638" s="35"/>
      <c r="O638" s="35"/>
      <c r="P638" s="34">
        <v>12.7</v>
      </c>
      <c r="Q638" s="35"/>
      <c r="R638" s="35"/>
      <c r="S638" s="34">
        <f>ROUND(ROUND(P638, 2)*I638, 2)</f>
        <v>63765</v>
      </c>
      <c r="T638" s="35"/>
      <c r="U638" s="36"/>
      <c r="V638" s="9">
        <f>ROUND(ROUND(P638, 2)/1.2, 2)</f>
        <v>10.58</v>
      </c>
      <c r="Y638" s="9">
        <f t="shared" si="58"/>
        <v>53137.5</v>
      </c>
      <c r="AD638" s="4" t="s">
        <v>2053</v>
      </c>
      <c r="AE638" s="4" t="s">
        <v>2054</v>
      </c>
      <c r="AF638" s="4" t="s">
        <v>2007</v>
      </c>
    </row>
    <row r="639" spans="1:35" ht="17.100000000000001" customHeight="1" x14ac:dyDescent="0.3">
      <c r="A639" s="10" t="s">
        <v>2055</v>
      </c>
      <c r="B639" s="10" t="s">
        <v>2056</v>
      </c>
      <c r="C639" s="185" t="s">
        <v>2057</v>
      </c>
      <c r="D639" s="186"/>
      <c r="E639" s="186"/>
      <c r="F639" s="186"/>
      <c r="G639" s="186"/>
      <c r="H639" s="186"/>
      <c r="I639" s="187"/>
      <c r="M639" s="6">
        <f>SUM(M640,M646,M652,M658,M664,M670,M676,M682,M688,M691,M694,M697,M700,M703,M706,M709,M712,M715,M718,M721,M724,M727,M730,M733,M736,M739,M742,M745,M748,M751,M754,M757,M760,M763,M766,M769,M772,M775,M778,M781,M784,M787,M790,M793,M796,M799,M802)</f>
        <v>82642.16</v>
      </c>
      <c r="N639" s="6">
        <f>SUM(N640,N646,N652,N658,N664,N670,N676,N682,N688,N691,N694,N697,N700,N703,N706,N709,N712,N715,N718,N721,N724,N727,N730,N733,N736,N739,N742,N745,N748,N751,N754,N757,N760,N763,N766,N769,N772,N775,N778,N781,N784,N787,N790,N793,N796,N799,N802)</f>
        <v>2880303.2</v>
      </c>
      <c r="O639" s="6">
        <f>SUM(O640,O646,O652,O658,O664,O670,O676,O682,O688,O691,O694,O697,O700,O703,O706,O709,O712,O715,O718,O721,O724,O727,O730,O733,O736,O739,O742,O745,O748,O751,O754,O757,O760,O763,O766,O769,O772,O775,O778,O781,O784,O787,O790,O793,O796,O799,O802)</f>
        <v>2962945.36</v>
      </c>
      <c r="S639" s="6">
        <f>SUM(S640,S646,S652,S658,S664,S670,S676,S682,S688,S691,S694,S697,S700,S703,S706,S709,S712,S715,S718,S721,S724,S727,S730,S733,S736,S739,S742,S745,S748,S751,S754,S757,S760,S763,S766,S769,S772,S775,S778,S781,S784,S787,S790,S793,S796,S799,S802)</f>
        <v>82642.16</v>
      </c>
      <c r="T639" s="6">
        <f>SUM(T640,T646,T652,T658,T664,T670,T676,T682,T688,T691,T694,T697,T700,T703,T706,T709,T712,T715,T718,T721,T724,T727,T730,T733,T736,T739,T742,T745,T748,T751,T754,T757,T760,T763,T766,T769,T772,T775,T778,T781,T784,T787,T790,T793,T796,T799,T802)</f>
        <v>2880303.2</v>
      </c>
      <c r="U639" s="6">
        <f>SUM(U640,U646,U652,U658,U664,U670,U676,U682,U688,U691,U694,U697,U700,U703,U706,U709,U712,U715,U718,U721,U724,U727,U730,U733,U736,U739,U742,U745,U748,U751,U754,U757,U760,U763,U766,U769,U772,U775,U778,U781,U784,U787,U790,U793,U796,U799,U802)</f>
        <v>2962945.36</v>
      </c>
      <c r="Y639" s="9">
        <f>SUM(Y640,Y646,Y652,Y658,Y664,Y670,Y676,Y682,Y688,Y691,Y694,Y697,Y700,Y703,Y706,Y709,Y712,Y715,Y718,Y721,Y724,Y727,Y730,Y733,Y736,Y739,Y742,Y745,Y748,Y751,Y754,Y757,Y760,Y763,Y766,Y769,Y772,Y775,Y778,Y781,Y784,Y787,Y790,Y793,Y796,Y799,Y802)</f>
        <v>68868.5</v>
      </c>
      <c r="Z639" s="9">
        <f>SUM(Z640,Z646,Z652,Z658,Z664,Z670,Z676,Z682,Z688,Z691,Z694,Z697,Z700,Z703,Z706,Z709,Z712,Z715,Z718,Z721,Z724,Z727,Z730,Z733,Z736,Z739,Z742,Z745,Z748,Z751,Z754,Z757,Z760,Z763,Z766,Z769,Z772,Z775,Z778,Z781,Z784,Z787,Z790,Z793,Z796,Z799,Z802)</f>
        <v>2400252.64</v>
      </c>
      <c r="AA639" s="9">
        <f>SUM(AA640,AA646,AA652,AA658,AA664,AA670,AA676,AA682,AA688,AA691,AA694,AA697,AA700,AA703,AA706,AA709,AA712,AA715,AA718,AA721,AA724,AA727,AA730,AA733,AA736,AA739,AA742,AA745,AA748,AA751,AA754,AA757,AA760,AA763,AA766,AA769,AA772,AA775,AA778,AA781,AA784,AA787,AA790,AA793,AA796,AA799,AA802)</f>
        <v>2469121.14</v>
      </c>
      <c r="AD639" s="4">
        <v>271132141</v>
      </c>
      <c r="AE639" s="4">
        <v>16231514</v>
      </c>
    </row>
    <row r="640" spans="1:35" ht="54" x14ac:dyDescent="0.3">
      <c r="A640" s="37" t="s">
        <v>2058</v>
      </c>
      <c r="B640" s="37" t="s">
        <v>2059</v>
      </c>
      <c r="C640" s="38" t="s">
        <v>2060</v>
      </c>
      <c r="D640" s="39"/>
      <c r="E640" s="39" t="s">
        <v>63</v>
      </c>
      <c r="F640" s="39" t="s">
        <v>64</v>
      </c>
      <c r="G640" s="40">
        <v>1</v>
      </c>
      <c r="H640" s="39"/>
      <c r="I640" s="41">
        <v>0</v>
      </c>
      <c r="J640" s="42">
        <f>IFERROR(ROUND(SUM(M642,M644)/I640, 2),0)</f>
        <v>0</v>
      </c>
      <c r="K640" s="42">
        <v>278</v>
      </c>
      <c r="L640" s="42">
        <f>J640+ROUND(K640, 2)</f>
        <v>278</v>
      </c>
      <c r="M640" s="42">
        <f>ROUND(J640*I640, 2)</f>
        <v>0</v>
      </c>
      <c r="N640" s="42">
        <f>ROUND(I640*ROUND(K640, 2), 2)</f>
        <v>0</v>
      </c>
      <c r="O640" s="42">
        <f>M640+N640</f>
        <v>0</v>
      </c>
      <c r="P640" s="42">
        <f>IFERROR(ROUND(SUM(S642,S644)/I640, 2),0)</f>
        <v>0</v>
      </c>
      <c r="Q640" s="42">
        <v>278</v>
      </c>
      <c r="R640" s="42">
        <f>P640+ROUND(Q640, 2)</f>
        <v>278</v>
      </c>
      <c r="S640" s="42">
        <f>ROUND(P640*I640, 2)</f>
        <v>0</v>
      </c>
      <c r="T640" s="42">
        <f>ROUND(I640*ROUND(Q640, 2), 2)</f>
        <v>0</v>
      </c>
      <c r="U640" s="42">
        <f>S640+T640</f>
        <v>0</v>
      </c>
      <c r="V640" s="9">
        <f>ROUND(P640 / 1.2, 2)</f>
        <v>0</v>
      </c>
      <c r="W640" s="9">
        <f>ROUND(Q640 / 1.2, 2)</f>
        <v>231.67</v>
      </c>
      <c r="X640" s="9">
        <f>ROUND(R640 / 1.2, 2)</f>
        <v>231.67</v>
      </c>
      <c r="Y640" s="9">
        <f>ROUND(S640 / 1.2, 2)</f>
        <v>0</v>
      </c>
      <c r="Z640" s="9">
        <f>ROUND(T640 / 1.2, 2)</f>
        <v>0</v>
      </c>
      <c r="AA640" s="9">
        <f>Y640+Z640</f>
        <v>0</v>
      </c>
      <c r="AD640" s="4">
        <v>271132143</v>
      </c>
      <c r="AE640" s="4">
        <v>16231516</v>
      </c>
      <c r="AG640" s="4" t="s">
        <v>2061</v>
      </c>
      <c r="AH640" s="4" t="s">
        <v>2062</v>
      </c>
      <c r="AI640" s="4" t="s">
        <v>67</v>
      </c>
    </row>
    <row r="641" spans="1:35" ht="54" x14ac:dyDescent="0.3">
      <c r="A641" s="43" t="s">
        <v>2063</v>
      </c>
      <c r="B641" s="43" t="s">
        <v>2059</v>
      </c>
      <c r="C641" s="44" t="s">
        <v>2060</v>
      </c>
      <c r="D641" s="45"/>
      <c r="E641" s="45"/>
      <c r="F641" s="45" t="s">
        <v>64</v>
      </c>
      <c r="G641" s="46">
        <v>1</v>
      </c>
      <c r="H641" s="45"/>
      <c r="I641" s="46">
        <v>260.60000000000002</v>
      </c>
      <c r="J641" s="47">
        <v>0</v>
      </c>
      <c r="K641" s="47">
        <v>278</v>
      </c>
      <c r="L641" s="47"/>
      <c r="M641" s="47">
        <v>0</v>
      </c>
      <c r="N641" s="47"/>
      <c r="O641" s="47"/>
      <c r="P641" s="47">
        <v>0</v>
      </c>
      <c r="Q641" s="47">
        <v>278</v>
      </c>
      <c r="R641" s="47"/>
      <c r="S641" s="47">
        <v>0</v>
      </c>
      <c r="T641" s="47"/>
      <c r="U641" s="47"/>
      <c r="V641" s="9"/>
      <c r="W641" s="9">
        <f>ROUND(Q641 / 1.2, 2)</f>
        <v>231.67</v>
      </c>
      <c r="X641" s="9" t="e">
        <f>ROUND(R641 / 1.2, 2)</f>
        <v>#VALUE!</v>
      </c>
      <c r="Y641" s="9"/>
      <c r="Z641" s="9" t="e">
        <f>ROUND(T641 / 1.2, 2)</f>
        <v>#VALUE!</v>
      </c>
      <c r="AA641" s="9"/>
      <c r="AD641" s="4">
        <v>206485775</v>
      </c>
      <c r="AE641" s="4">
        <v>16231516</v>
      </c>
      <c r="AG641" s="4" t="s">
        <v>2061</v>
      </c>
      <c r="AH641" s="4" t="s">
        <v>2062</v>
      </c>
      <c r="AI641" s="4"/>
    </row>
    <row r="642" spans="1:35" ht="90" x14ac:dyDescent="0.3">
      <c r="A642" s="37" t="s">
        <v>2064</v>
      </c>
      <c r="B642" s="37"/>
      <c r="C642" s="48" t="s">
        <v>1170</v>
      </c>
      <c r="D642" s="39"/>
      <c r="E642" s="39" t="s">
        <v>2065</v>
      </c>
      <c r="F642" s="49" t="s">
        <v>70</v>
      </c>
      <c r="G642" s="50">
        <v>0.3</v>
      </c>
      <c r="H642" s="39"/>
      <c r="I642" s="51">
        <v>0</v>
      </c>
      <c r="J642" s="52">
        <v>388.89</v>
      </c>
      <c r="K642" s="53"/>
      <c r="L642" s="53"/>
      <c r="M642" s="52">
        <f>ROUND(ROUND(J642, 2)*I642, 2)</f>
        <v>0</v>
      </c>
      <c r="N642" s="53"/>
      <c r="O642" s="53"/>
      <c r="P642" s="52">
        <v>388.89</v>
      </c>
      <c r="Q642" s="53"/>
      <c r="R642" s="53"/>
      <c r="S642" s="52">
        <f>ROUND(ROUND(P642, 2)*I642, 2)</f>
        <v>0</v>
      </c>
      <c r="T642" s="53"/>
      <c r="U642" s="54"/>
      <c r="V642" s="9">
        <f>ROUND(ROUND(P642, 2)/1.2, 2)</f>
        <v>324.08</v>
      </c>
      <c r="Y642" s="9">
        <f>ROUND(S642 / 1.2, 2)</f>
        <v>0</v>
      </c>
      <c r="AD642" s="4" t="s">
        <v>2066</v>
      </c>
      <c r="AE642" s="4" t="s">
        <v>2067</v>
      </c>
      <c r="AF642" s="4" t="s">
        <v>1174</v>
      </c>
    </row>
    <row r="643" spans="1:35" ht="90" x14ac:dyDescent="0.3">
      <c r="A643" s="43" t="s">
        <v>2068</v>
      </c>
      <c r="B643" s="43"/>
      <c r="C643" s="55" t="s">
        <v>1170</v>
      </c>
      <c r="D643" s="45"/>
      <c r="E643" s="45" t="s">
        <v>2065</v>
      </c>
      <c r="F643" s="56" t="s">
        <v>70</v>
      </c>
      <c r="G643" s="57">
        <v>0.3</v>
      </c>
      <c r="H643" s="45"/>
      <c r="I643" s="58">
        <v>78.180000000000007</v>
      </c>
      <c r="J643" s="59">
        <v>388.89</v>
      </c>
      <c r="K643" s="60"/>
      <c r="L643" s="60"/>
      <c r="M643" s="59">
        <f>ROUND(ROUND(J643, 2)*I643, 2)</f>
        <v>30403.42</v>
      </c>
      <c r="N643" s="60"/>
      <c r="O643" s="60"/>
      <c r="P643" s="59">
        <v>388.89</v>
      </c>
      <c r="Q643" s="60"/>
      <c r="R643" s="60"/>
      <c r="S643" s="59">
        <f>ROUND(ROUND(P643, 2)*I643, 2)</f>
        <v>30403.42</v>
      </c>
      <c r="T643" s="60"/>
      <c r="U643" s="61"/>
      <c r="V643" s="9">
        <f>ROUND(ROUND(P643, 2)/1.2, 2)</f>
        <v>324.08</v>
      </c>
      <c r="Y643" s="9">
        <f>ROUND(S643 / 1.2, 2)</f>
        <v>25336.18</v>
      </c>
      <c r="AD643" s="4" t="s">
        <v>2069</v>
      </c>
      <c r="AE643" s="4" t="s">
        <v>2067</v>
      </c>
      <c r="AF643" s="4" t="s">
        <v>1174</v>
      </c>
    </row>
    <row r="644" spans="1:35" ht="36" x14ac:dyDescent="0.3">
      <c r="A644" s="37" t="s">
        <v>2070</v>
      </c>
      <c r="B644" s="37"/>
      <c r="C644" s="48" t="s">
        <v>433</v>
      </c>
      <c r="D644" s="39"/>
      <c r="E644" s="39"/>
      <c r="F644" s="49" t="s">
        <v>70</v>
      </c>
      <c r="G644" s="50">
        <v>0.15</v>
      </c>
      <c r="H644" s="39"/>
      <c r="I644" s="51">
        <v>0</v>
      </c>
      <c r="J644" s="52">
        <v>88.8</v>
      </c>
      <c r="K644" s="53"/>
      <c r="L644" s="53"/>
      <c r="M644" s="52">
        <f>ROUND(ROUND(J644, 2)*I644, 2)</f>
        <v>0</v>
      </c>
      <c r="N644" s="53"/>
      <c r="O644" s="53"/>
      <c r="P644" s="52">
        <v>88.8</v>
      </c>
      <c r="Q644" s="53"/>
      <c r="R644" s="53"/>
      <c r="S644" s="52">
        <f>ROUND(ROUND(P644, 2)*I644, 2)</f>
        <v>0</v>
      </c>
      <c r="T644" s="53"/>
      <c r="U644" s="54"/>
      <c r="V644" s="9">
        <f>ROUND(ROUND(P644, 2)/1.2, 2)</f>
        <v>74</v>
      </c>
      <c r="Y644" s="9">
        <f>ROUND(S644 / 1.2, 2)</f>
        <v>0</v>
      </c>
      <c r="AD644" s="4" t="s">
        <v>2071</v>
      </c>
      <c r="AE644" s="4" t="s">
        <v>2072</v>
      </c>
      <c r="AF644" s="4" t="s">
        <v>436</v>
      </c>
    </row>
    <row r="645" spans="1:35" ht="36" x14ac:dyDescent="0.3">
      <c r="A645" s="43" t="s">
        <v>2073</v>
      </c>
      <c r="B645" s="43"/>
      <c r="C645" s="55" t="s">
        <v>433</v>
      </c>
      <c r="D645" s="45"/>
      <c r="E645" s="45"/>
      <c r="F645" s="56" t="s">
        <v>70</v>
      </c>
      <c r="G645" s="57">
        <v>0.15</v>
      </c>
      <c r="H645" s="45"/>
      <c r="I645" s="58">
        <v>39.090000000000003</v>
      </c>
      <c r="J645" s="59">
        <v>88.8</v>
      </c>
      <c r="K645" s="60"/>
      <c r="L645" s="60"/>
      <c r="M645" s="59">
        <f>ROUND(ROUND(J645, 2)*I645, 2)</f>
        <v>3471.19</v>
      </c>
      <c r="N645" s="60"/>
      <c r="O645" s="60"/>
      <c r="P645" s="59">
        <v>88.8</v>
      </c>
      <c r="Q645" s="60"/>
      <c r="R645" s="60"/>
      <c r="S645" s="59">
        <f>ROUND(ROUND(P645, 2)*I645, 2)</f>
        <v>3471.19</v>
      </c>
      <c r="T645" s="60"/>
      <c r="U645" s="61"/>
      <c r="V645" s="9">
        <f>ROUND(ROUND(P645, 2)/1.2, 2)</f>
        <v>74</v>
      </c>
      <c r="Y645" s="9">
        <f>ROUND(S645 / 1.2, 2)</f>
        <v>2892.66</v>
      </c>
      <c r="AD645" s="4" t="s">
        <v>2074</v>
      </c>
      <c r="AE645" s="4" t="s">
        <v>2072</v>
      </c>
      <c r="AF645" s="4" t="s">
        <v>436</v>
      </c>
    </row>
    <row r="646" spans="1:35" ht="54" x14ac:dyDescent="0.3">
      <c r="A646" s="37" t="s">
        <v>2075</v>
      </c>
      <c r="B646" s="37" t="s">
        <v>2059</v>
      </c>
      <c r="C646" s="38" t="s">
        <v>2060</v>
      </c>
      <c r="D646" s="39"/>
      <c r="E646" s="39" t="s">
        <v>63</v>
      </c>
      <c r="F646" s="39" t="s">
        <v>64</v>
      </c>
      <c r="G646" s="40">
        <v>1</v>
      </c>
      <c r="H646" s="39"/>
      <c r="I646" s="41">
        <v>0</v>
      </c>
      <c r="J646" s="42">
        <f>IFERROR(ROUND(SUM(M648,M650)/I646, 2),0)</f>
        <v>0</v>
      </c>
      <c r="K646" s="42">
        <v>278</v>
      </c>
      <c r="L646" s="42">
        <f>J646+ROUND(K646, 2)</f>
        <v>278</v>
      </c>
      <c r="M646" s="42">
        <f>ROUND(J646*I646, 2)</f>
        <v>0</v>
      </c>
      <c r="N646" s="42">
        <f>ROUND(I646*ROUND(K646, 2), 2)</f>
        <v>0</v>
      </c>
      <c r="O646" s="42">
        <f>M646+N646</f>
        <v>0</v>
      </c>
      <c r="P646" s="42">
        <f>IFERROR(ROUND(SUM(S648,S650)/I646, 2),0)</f>
        <v>0</v>
      </c>
      <c r="Q646" s="42">
        <v>278</v>
      </c>
      <c r="R646" s="42">
        <f>P646+ROUND(Q646, 2)</f>
        <v>278</v>
      </c>
      <c r="S646" s="42">
        <f>ROUND(P646*I646, 2)</f>
        <v>0</v>
      </c>
      <c r="T646" s="42">
        <f>ROUND(I646*ROUND(Q646, 2), 2)</f>
        <v>0</v>
      </c>
      <c r="U646" s="42">
        <f>S646+T646</f>
        <v>0</v>
      </c>
      <c r="V646" s="9">
        <f>ROUND(P646 / 1.2, 2)</f>
        <v>0</v>
      </c>
      <c r="W646" s="9">
        <f>ROUND(Q646 / 1.2, 2)</f>
        <v>231.67</v>
      </c>
      <c r="X646" s="9">
        <f>ROUND(R646 / 1.2, 2)</f>
        <v>231.67</v>
      </c>
      <c r="Y646" s="9">
        <f>ROUND(S646 / 1.2, 2)</f>
        <v>0</v>
      </c>
      <c r="Z646" s="9">
        <f>ROUND(T646 / 1.2, 2)</f>
        <v>0</v>
      </c>
      <c r="AA646" s="9">
        <f>Y646+Z646</f>
        <v>0</v>
      </c>
      <c r="AD646" s="4">
        <v>271132246</v>
      </c>
      <c r="AE646" s="4">
        <v>16231523</v>
      </c>
      <c r="AG646" s="4" t="s">
        <v>2061</v>
      </c>
      <c r="AH646" s="4" t="s">
        <v>2062</v>
      </c>
      <c r="AI646" s="4" t="s">
        <v>67</v>
      </c>
    </row>
    <row r="647" spans="1:35" ht="54" x14ac:dyDescent="0.3">
      <c r="A647" s="43" t="s">
        <v>2076</v>
      </c>
      <c r="B647" s="43" t="s">
        <v>2059</v>
      </c>
      <c r="C647" s="44" t="s">
        <v>2060</v>
      </c>
      <c r="D647" s="45"/>
      <c r="E647" s="45"/>
      <c r="F647" s="45" t="s">
        <v>64</v>
      </c>
      <c r="G647" s="46">
        <v>1</v>
      </c>
      <c r="H647" s="45"/>
      <c r="I647" s="46">
        <v>45</v>
      </c>
      <c r="J647" s="47">
        <v>0</v>
      </c>
      <c r="K647" s="47">
        <v>278</v>
      </c>
      <c r="L647" s="47"/>
      <c r="M647" s="47">
        <v>0</v>
      </c>
      <c r="N647" s="47"/>
      <c r="O647" s="47"/>
      <c r="P647" s="47">
        <v>0</v>
      </c>
      <c r="Q647" s="47">
        <v>278</v>
      </c>
      <c r="R647" s="47"/>
      <c r="S647" s="47">
        <v>0</v>
      </c>
      <c r="T647" s="47"/>
      <c r="U647" s="47"/>
      <c r="V647" s="9"/>
      <c r="W647" s="9">
        <f>ROUND(Q647 / 1.2, 2)</f>
        <v>231.67</v>
      </c>
      <c r="X647" s="9" t="e">
        <f>ROUND(R647 / 1.2, 2)</f>
        <v>#VALUE!</v>
      </c>
      <c r="Y647" s="9"/>
      <c r="Z647" s="9" t="e">
        <f>ROUND(T647 / 1.2, 2)</f>
        <v>#VALUE!</v>
      </c>
      <c r="AA647" s="9"/>
      <c r="AD647" s="4">
        <v>220089303</v>
      </c>
      <c r="AE647" s="4">
        <v>16231523</v>
      </c>
      <c r="AG647" s="4" t="s">
        <v>2061</v>
      </c>
      <c r="AH647" s="4" t="s">
        <v>2062</v>
      </c>
      <c r="AI647" s="4"/>
    </row>
    <row r="648" spans="1:35" ht="36" x14ac:dyDescent="0.3">
      <c r="A648" s="37" t="s">
        <v>2077</v>
      </c>
      <c r="B648" s="37"/>
      <c r="C648" s="48" t="s">
        <v>433</v>
      </c>
      <c r="D648" s="39"/>
      <c r="E648" s="39"/>
      <c r="F648" s="49" t="s">
        <v>70</v>
      </c>
      <c r="G648" s="50">
        <v>0.15</v>
      </c>
      <c r="H648" s="39"/>
      <c r="I648" s="51">
        <v>0</v>
      </c>
      <c r="J648" s="52">
        <v>88.8</v>
      </c>
      <c r="K648" s="53"/>
      <c r="L648" s="53"/>
      <c r="M648" s="52">
        <f>ROUND(ROUND(J648, 2)*I648, 2)</f>
        <v>0</v>
      </c>
      <c r="N648" s="53"/>
      <c r="O648" s="53"/>
      <c r="P648" s="52">
        <v>88.8</v>
      </c>
      <c r="Q648" s="53"/>
      <c r="R648" s="53"/>
      <c r="S648" s="52">
        <f>ROUND(ROUND(P648, 2)*I648, 2)</f>
        <v>0</v>
      </c>
      <c r="T648" s="53"/>
      <c r="U648" s="54"/>
      <c r="V648" s="9">
        <f>ROUND(ROUND(P648, 2)/1.2, 2)</f>
        <v>74</v>
      </c>
      <c r="Y648" s="9">
        <f>ROUND(S648 / 1.2, 2)</f>
        <v>0</v>
      </c>
      <c r="AD648" s="4" t="s">
        <v>2078</v>
      </c>
      <c r="AE648" s="4" t="s">
        <v>2079</v>
      </c>
      <c r="AF648" s="4" t="s">
        <v>436</v>
      </c>
    </row>
    <row r="649" spans="1:35" ht="36" x14ac:dyDescent="0.3">
      <c r="A649" s="43" t="s">
        <v>2080</v>
      </c>
      <c r="B649" s="43"/>
      <c r="C649" s="55" t="s">
        <v>433</v>
      </c>
      <c r="D649" s="45"/>
      <c r="E649" s="45"/>
      <c r="F649" s="56" t="s">
        <v>70</v>
      </c>
      <c r="G649" s="57">
        <v>0.15</v>
      </c>
      <c r="H649" s="45"/>
      <c r="I649" s="58">
        <v>6.75</v>
      </c>
      <c r="J649" s="59">
        <v>88.8</v>
      </c>
      <c r="K649" s="60"/>
      <c r="L649" s="60"/>
      <c r="M649" s="59">
        <f>ROUND(ROUND(J649, 2)*I649, 2)</f>
        <v>599.4</v>
      </c>
      <c r="N649" s="60"/>
      <c r="O649" s="60"/>
      <c r="P649" s="59">
        <v>88.8</v>
      </c>
      <c r="Q649" s="60"/>
      <c r="R649" s="60"/>
      <c r="S649" s="59">
        <f>ROUND(ROUND(P649, 2)*I649, 2)</f>
        <v>599.4</v>
      </c>
      <c r="T649" s="60"/>
      <c r="U649" s="61"/>
      <c r="V649" s="9">
        <f>ROUND(ROUND(P649, 2)/1.2, 2)</f>
        <v>74</v>
      </c>
      <c r="Y649" s="9">
        <f>ROUND(S649 / 1.2, 2)</f>
        <v>499.5</v>
      </c>
      <c r="AD649" s="4" t="s">
        <v>2081</v>
      </c>
      <c r="AE649" s="4" t="s">
        <v>2079</v>
      </c>
      <c r="AF649" s="4" t="s">
        <v>436</v>
      </c>
    </row>
    <row r="650" spans="1:35" ht="54" x14ac:dyDescent="0.3">
      <c r="A650" s="37" t="s">
        <v>2082</v>
      </c>
      <c r="B650" s="37"/>
      <c r="C650" s="48" t="s">
        <v>2083</v>
      </c>
      <c r="D650" s="39"/>
      <c r="E650" s="39" t="s">
        <v>2084</v>
      </c>
      <c r="F650" s="49" t="s">
        <v>70</v>
      </c>
      <c r="G650" s="50">
        <v>0.3</v>
      </c>
      <c r="H650" s="39"/>
      <c r="I650" s="51">
        <v>0</v>
      </c>
      <c r="J650" s="52">
        <v>226.67</v>
      </c>
      <c r="K650" s="53"/>
      <c r="L650" s="53"/>
      <c r="M650" s="52">
        <f>ROUND(ROUND(J650, 2)*I650, 2)</f>
        <v>0</v>
      </c>
      <c r="N650" s="53"/>
      <c r="O650" s="53"/>
      <c r="P650" s="52">
        <v>226.67</v>
      </c>
      <c r="Q650" s="53"/>
      <c r="R650" s="53"/>
      <c r="S650" s="52">
        <f>ROUND(ROUND(P650, 2)*I650, 2)</f>
        <v>0</v>
      </c>
      <c r="T650" s="53"/>
      <c r="U650" s="54"/>
      <c r="V650" s="9">
        <f>ROUND(ROUND(P650, 2)/1.2, 2)</f>
        <v>188.89</v>
      </c>
      <c r="Y650" s="9">
        <f>ROUND(S650 / 1.2, 2)</f>
        <v>0</v>
      </c>
      <c r="AD650" s="4" t="s">
        <v>2085</v>
      </c>
      <c r="AE650" s="4" t="s">
        <v>2086</v>
      </c>
      <c r="AF650" s="4" t="s">
        <v>2087</v>
      </c>
    </row>
    <row r="651" spans="1:35" ht="54" x14ac:dyDescent="0.3">
      <c r="A651" s="43" t="s">
        <v>2088</v>
      </c>
      <c r="B651" s="43"/>
      <c r="C651" s="55" t="s">
        <v>2083</v>
      </c>
      <c r="D651" s="45"/>
      <c r="E651" s="45" t="s">
        <v>2084</v>
      </c>
      <c r="F651" s="56" t="s">
        <v>70</v>
      </c>
      <c r="G651" s="57">
        <v>0.3</v>
      </c>
      <c r="H651" s="45"/>
      <c r="I651" s="58">
        <v>13.5</v>
      </c>
      <c r="J651" s="59">
        <v>226.67</v>
      </c>
      <c r="K651" s="60"/>
      <c r="L651" s="60"/>
      <c r="M651" s="59">
        <f>ROUND(ROUND(J651, 2)*I651, 2)</f>
        <v>3060.05</v>
      </c>
      <c r="N651" s="60"/>
      <c r="O651" s="60"/>
      <c r="P651" s="59">
        <v>226.67</v>
      </c>
      <c r="Q651" s="60"/>
      <c r="R651" s="60"/>
      <c r="S651" s="59">
        <f>ROUND(ROUND(P651, 2)*I651, 2)</f>
        <v>3060.05</v>
      </c>
      <c r="T651" s="60"/>
      <c r="U651" s="61"/>
      <c r="V651" s="9">
        <f>ROUND(ROUND(P651, 2)/1.2, 2)</f>
        <v>188.89</v>
      </c>
      <c r="Y651" s="9">
        <f>ROUND(S651 / 1.2, 2)</f>
        <v>2550.04</v>
      </c>
      <c r="AD651" s="4" t="s">
        <v>2089</v>
      </c>
      <c r="AE651" s="4" t="s">
        <v>2086</v>
      </c>
      <c r="AF651" s="4" t="s">
        <v>2087</v>
      </c>
    </row>
    <row r="652" spans="1:35" ht="54" x14ac:dyDescent="0.3">
      <c r="A652" s="37" t="s">
        <v>2090</v>
      </c>
      <c r="B652" s="37" t="s">
        <v>2059</v>
      </c>
      <c r="C652" s="38" t="s">
        <v>2060</v>
      </c>
      <c r="D652" s="39"/>
      <c r="E652" s="39" t="s">
        <v>63</v>
      </c>
      <c r="F652" s="39" t="s">
        <v>64</v>
      </c>
      <c r="G652" s="40">
        <v>1</v>
      </c>
      <c r="H652" s="39"/>
      <c r="I652" s="41">
        <v>0</v>
      </c>
      <c r="J652" s="42">
        <f>IFERROR(ROUND(SUM(M654,M656)/I652, 2),0)</f>
        <v>0</v>
      </c>
      <c r="K652" s="42">
        <v>278</v>
      </c>
      <c r="L652" s="42">
        <f>J652+ROUND(K652, 2)</f>
        <v>278</v>
      </c>
      <c r="M652" s="42">
        <f>ROUND(J652*I652, 2)</f>
        <v>0</v>
      </c>
      <c r="N652" s="42">
        <f>ROUND(I652*ROUND(K652, 2), 2)</f>
        <v>0</v>
      </c>
      <c r="O652" s="42">
        <f>M652+N652</f>
        <v>0</v>
      </c>
      <c r="P652" s="42">
        <f>IFERROR(ROUND(SUM(S654,S656)/I652, 2),0)</f>
        <v>0</v>
      </c>
      <c r="Q652" s="42">
        <v>278</v>
      </c>
      <c r="R652" s="42">
        <f>P652+ROUND(Q652, 2)</f>
        <v>278</v>
      </c>
      <c r="S652" s="42">
        <f>ROUND(P652*I652, 2)</f>
        <v>0</v>
      </c>
      <c r="T652" s="42">
        <f>ROUND(I652*ROUND(Q652, 2), 2)</f>
        <v>0</v>
      </c>
      <c r="U652" s="42">
        <f>S652+T652</f>
        <v>0</v>
      </c>
      <c r="V652" s="9">
        <f>ROUND(P652 / 1.2, 2)</f>
        <v>0</v>
      </c>
      <c r="W652" s="9">
        <f>ROUND(Q652 / 1.2, 2)</f>
        <v>231.67</v>
      </c>
      <c r="X652" s="9">
        <f>ROUND(R652 / 1.2, 2)</f>
        <v>231.67</v>
      </c>
      <c r="Y652" s="9">
        <f>ROUND(S652 / 1.2, 2)</f>
        <v>0</v>
      </c>
      <c r="Z652" s="9">
        <f>ROUND(T652 / 1.2, 2)</f>
        <v>0</v>
      </c>
      <c r="AA652" s="9">
        <f>Y652+Z652</f>
        <v>0</v>
      </c>
      <c r="AD652" s="4">
        <v>271132247</v>
      </c>
      <c r="AE652" s="4">
        <v>16231517</v>
      </c>
      <c r="AG652" s="4" t="s">
        <v>2061</v>
      </c>
      <c r="AH652" s="4" t="s">
        <v>2062</v>
      </c>
      <c r="AI652" s="4" t="s">
        <v>67</v>
      </c>
    </row>
    <row r="653" spans="1:35" ht="54" x14ac:dyDescent="0.3">
      <c r="A653" s="43" t="s">
        <v>2091</v>
      </c>
      <c r="B653" s="43" t="s">
        <v>2059</v>
      </c>
      <c r="C653" s="44" t="s">
        <v>2060</v>
      </c>
      <c r="D653" s="45"/>
      <c r="E653" s="45"/>
      <c r="F653" s="45" t="s">
        <v>64</v>
      </c>
      <c r="G653" s="46">
        <v>1</v>
      </c>
      <c r="H653" s="45"/>
      <c r="I653" s="46">
        <v>1174.7</v>
      </c>
      <c r="J653" s="47">
        <v>0</v>
      </c>
      <c r="K653" s="47">
        <v>278</v>
      </c>
      <c r="L653" s="47"/>
      <c r="M653" s="47">
        <v>0</v>
      </c>
      <c r="N653" s="47"/>
      <c r="O653" s="47"/>
      <c r="P653" s="47">
        <v>0</v>
      </c>
      <c r="Q653" s="47">
        <v>278</v>
      </c>
      <c r="R653" s="47"/>
      <c r="S653" s="47">
        <v>0</v>
      </c>
      <c r="T653" s="47"/>
      <c r="U653" s="47"/>
      <c r="V653" s="9"/>
      <c r="W653" s="9">
        <f>ROUND(Q653 / 1.2, 2)</f>
        <v>231.67</v>
      </c>
      <c r="X653" s="9" t="e">
        <f>ROUND(R653 / 1.2, 2)</f>
        <v>#VALUE!</v>
      </c>
      <c r="Y653" s="9"/>
      <c r="Z653" s="9" t="e">
        <f>ROUND(T653 / 1.2, 2)</f>
        <v>#VALUE!</v>
      </c>
      <c r="AA653" s="9"/>
      <c r="AD653" s="4">
        <v>220089304</v>
      </c>
      <c r="AE653" s="4">
        <v>16231517</v>
      </c>
      <c r="AG653" s="4" t="s">
        <v>2061</v>
      </c>
      <c r="AH653" s="4" t="s">
        <v>2062</v>
      </c>
      <c r="AI653" s="4"/>
    </row>
    <row r="654" spans="1:35" ht="36" x14ac:dyDescent="0.3">
      <c r="A654" s="37" t="s">
        <v>2092</v>
      </c>
      <c r="B654" s="37"/>
      <c r="C654" s="48" t="s">
        <v>433</v>
      </c>
      <c r="D654" s="39"/>
      <c r="E654" s="39"/>
      <c r="F654" s="49" t="s">
        <v>70</v>
      </c>
      <c r="G654" s="50">
        <v>0.15</v>
      </c>
      <c r="H654" s="39"/>
      <c r="I654" s="51">
        <v>0</v>
      </c>
      <c r="J654" s="52">
        <v>88.8</v>
      </c>
      <c r="K654" s="53"/>
      <c r="L654" s="53"/>
      <c r="M654" s="52">
        <f>ROUND(ROUND(J654, 2)*I654, 2)</f>
        <v>0</v>
      </c>
      <c r="N654" s="53"/>
      <c r="O654" s="53"/>
      <c r="P654" s="52">
        <v>88.8</v>
      </c>
      <c r="Q654" s="53"/>
      <c r="R654" s="53"/>
      <c r="S654" s="52">
        <f>ROUND(ROUND(P654, 2)*I654, 2)</f>
        <v>0</v>
      </c>
      <c r="T654" s="53"/>
      <c r="U654" s="54"/>
      <c r="V654" s="9">
        <f>ROUND(ROUND(P654, 2)/1.2, 2)</f>
        <v>74</v>
      </c>
      <c r="Y654" s="9">
        <f>ROUND(S654 / 1.2, 2)</f>
        <v>0</v>
      </c>
      <c r="AD654" s="4" t="s">
        <v>2093</v>
      </c>
      <c r="AE654" s="4" t="s">
        <v>2094</v>
      </c>
      <c r="AF654" s="4" t="s">
        <v>436</v>
      </c>
    </row>
    <row r="655" spans="1:35" ht="36" x14ac:dyDescent="0.3">
      <c r="A655" s="43" t="s">
        <v>2095</v>
      </c>
      <c r="B655" s="43"/>
      <c r="C655" s="55" t="s">
        <v>433</v>
      </c>
      <c r="D655" s="45"/>
      <c r="E655" s="45"/>
      <c r="F655" s="56" t="s">
        <v>70</v>
      </c>
      <c r="G655" s="57">
        <v>0.15</v>
      </c>
      <c r="H655" s="45"/>
      <c r="I655" s="58">
        <v>176.20500000000001</v>
      </c>
      <c r="J655" s="59">
        <v>88.8</v>
      </c>
      <c r="K655" s="60"/>
      <c r="L655" s="60"/>
      <c r="M655" s="59">
        <f>ROUND(ROUND(J655, 2)*I655, 2)</f>
        <v>15647</v>
      </c>
      <c r="N655" s="60"/>
      <c r="O655" s="60"/>
      <c r="P655" s="59">
        <v>88.8</v>
      </c>
      <c r="Q655" s="60"/>
      <c r="R655" s="60"/>
      <c r="S655" s="59">
        <f>ROUND(ROUND(P655, 2)*I655, 2)</f>
        <v>15647</v>
      </c>
      <c r="T655" s="60"/>
      <c r="U655" s="61"/>
      <c r="V655" s="9">
        <f>ROUND(ROUND(P655, 2)/1.2, 2)</f>
        <v>74</v>
      </c>
      <c r="Y655" s="9">
        <f>ROUND(S655 / 1.2, 2)</f>
        <v>13039.17</v>
      </c>
      <c r="AD655" s="4" t="s">
        <v>2096</v>
      </c>
      <c r="AE655" s="4" t="s">
        <v>2094</v>
      </c>
      <c r="AF655" s="4" t="s">
        <v>436</v>
      </c>
    </row>
    <row r="656" spans="1:35" ht="54" x14ac:dyDescent="0.3">
      <c r="A656" s="37" t="s">
        <v>2097</v>
      </c>
      <c r="B656" s="37"/>
      <c r="C656" s="48" t="s">
        <v>2083</v>
      </c>
      <c r="D656" s="39"/>
      <c r="E656" s="39" t="s">
        <v>2098</v>
      </c>
      <c r="F656" s="49" t="s">
        <v>70</v>
      </c>
      <c r="G656" s="50">
        <v>0.3</v>
      </c>
      <c r="H656" s="39"/>
      <c r="I656" s="51">
        <v>0</v>
      </c>
      <c r="J656" s="52">
        <v>226.67</v>
      </c>
      <c r="K656" s="53"/>
      <c r="L656" s="53"/>
      <c r="M656" s="52">
        <f>ROUND(ROUND(J656, 2)*I656, 2)</f>
        <v>0</v>
      </c>
      <c r="N656" s="53"/>
      <c r="O656" s="53"/>
      <c r="P656" s="52">
        <v>226.67</v>
      </c>
      <c r="Q656" s="53"/>
      <c r="R656" s="53"/>
      <c r="S656" s="52">
        <f>ROUND(ROUND(P656, 2)*I656, 2)</f>
        <v>0</v>
      </c>
      <c r="T656" s="53"/>
      <c r="U656" s="54"/>
      <c r="V656" s="9">
        <f>ROUND(ROUND(P656, 2)/1.2, 2)</f>
        <v>188.89</v>
      </c>
      <c r="Y656" s="9">
        <f>ROUND(S656 / 1.2, 2)</f>
        <v>0</v>
      </c>
      <c r="AD656" s="4" t="s">
        <v>2099</v>
      </c>
      <c r="AE656" s="4" t="s">
        <v>2100</v>
      </c>
      <c r="AF656" s="4" t="s">
        <v>2087</v>
      </c>
    </row>
    <row r="657" spans="1:35" ht="54" x14ac:dyDescent="0.3">
      <c r="A657" s="43" t="s">
        <v>2101</v>
      </c>
      <c r="B657" s="43"/>
      <c r="C657" s="55" t="s">
        <v>2083</v>
      </c>
      <c r="D657" s="45"/>
      <c r="E657" s="45" t="s">
        <v>2098</v>
      </c>
      <c r="F657" s="56" t="s">
        <v>70</v>
      </c>
      <c r="G657" s="57">
        <v>0.3</v>
      </c>
      <c r="H657" s="45"/>
      <c r="I657" s="58">
        <v>352.41</v>
      </c>
      <c r="J657" s="59">
        <v>226.67</v>
      </c>
      <c r="K657" s="60"/>
      <c r="L657" s="60"/>
      <c r="M657" s="59">
        <f>ROUND(ROUND(J657, 2)*I657, 2)</f>
        <v>79880.77</v>
      </c>
      <c r="N657" s="60"/>
      <c r="O657" s="60"/>
      <c r="P657" s="59">
        <v>226.67</v>
      </c>
      <c r="Q657" s="60"/>
      <c r="R657" s="60"/>
      <c r="S657" s="59">
        <f>ROUND(ROUND(P657, 2)*I657, 2)</f>
        <v>79880.77</v>
      </c>
      <c r="T657" s="60"/>
      <c r="U657" s="61"/>
      <c r="V657" s="9">
        <f>ROUND(ROUND(P657, 2)/1.2, 2)</f>
        <v>188.89</v>
      </c>
      <c r="Y657" s="9">
        <f>ROUND(S657 / 1.2, 2)</f>
        <v>66567.31</v>
      </c>
      <c r="AD657" s="4" t="s">
        <v>2102</v>
      </c>
      <c r="AE657" s="4" t="s">
        <v>2100</v>
      </c>
      <c r="AF657" s="4" t="s">
        <v>2087</v>
      </c>
    </row>
    <row r="658" spans="1:35" ht="54" x14ac:dyDescent="0.3">
      <c r="A658" s="37" t="s">
        <v>2103</v>
      </c>
      <c r="B658" s="37" t="s">
        <v>2059</v>
      </c>
      <c r="C658" s="38" t="s">
        <v>2060</v>
      </c>
      <c r="D658" s="39"/>
      <c r="E658" s="39" t="s">
        <v>63</v>
      </c>
      <c r="F658" s="39" t="s">
        <v>64</v>
      </c>
      <c r="G658" s="40">
        <v>1</v>
      </c>
      <c r="H658" s="39"/>
      <c r="I658" s="41">
        <v>0</v>
      </c>
      <c r="J658" s="42">
        <f>IFERROR(ROUND(SUM(M660,M662)/I658, 2),0)</f>
        <v>0</v>
      </c>
      <c r="K658" s="42">
        <v>278</v>
      </c>
      <c r="L658" s="42">
        <f>J658+ROUND(K658, 2)</f>
        <v>278</v>
      </c>
      <c r="M658" s="42">
        <f>ROUND(J658*I658, 2)</f>
        <v>0</v>
      </c>
      <c r="N658" s="42">
        <f>ROUND(I658*ROUND(K658, 2), 2)</f>
        <v>0</v>
      </c>
      <c r="O658" s="42">
        <f>M658+N658</f>
        <v>0</v>
      </c>
      <c r="P658" s="42">
        <f>IFERROR(ROUND(SUM(S660,S662)/I658, 2),0)</f>
        <v>0</v>
      </c>
      <c r="Q658" s="42">
        <v>278</v>
      </c>
      <c r="R658" s="42">
        <f>P658+ROUND(Q658, 2)</f>
        <v>278</v>
      </c>
      <c r="S658" s="42">
        <f>ROUND(P658*I658, 2)</f>
        <v>0</v>
      </c>
      <c r="T658" s="42">
        <f>ROUND(I658*ROUND(Q658, 2), 2)</f>
        <v>0</v>
      </c>
      <c r="U658" s="42">
        <f>S658+T658</f>
        <v>0</v>
      </c>
      <c r="V658" s="9">
        <f>ROUND(P658 / 1.2, 2)</f>
        <v>0</v>
      </c>
      <c r="W658" s="9">
        <f>ROUND(Q658 / 1.2, 2)</f>
        <v>231.67</v>
      </c>
      <c r="X658" s="9">
        <f>ROUND(R658 / 1.2, 2)</f>
        <v>231.67</v>
      </c>
      <c r="Y658" s="9">
        <f>ROUND(S658 / 1.2, 2)</f>
        <v>0</v>
      </c>
      <c r="Z658" s="9">
        <f>ROUND(T658 / 1.2, 2)</f>
        <v>0</v>
      </c>
      <c r="AA658" s="9">
        <f>Y658+Z658</f>
        <v>0</v>
      </c>
      <c r="AD658" s="4">
        <v>271132248</v>
      </c>
      <c r="AE658" s="4">
        <v>16231518</v>
      </c>
      <c r="AG658" s="4" t="s">
        <v>2061</v>
      </c>
      <c r="AH658" s="4" t="s">
        <v>2062</v>
      </c>
      <c r="AI658" s="4" t="s">
        <v>67</v>
      </c>
    </row>
    <row r="659" spans="1:35" ht="54" x14ac:dyDescent="0.3">
      <c r="A659" s="43" t="s">
        <v>2104</v>
      </c>
      <c r="B659" s="43" t="s">
        <v>2059</v>
      </c>
      <c r="C659" s="44" t="s">
        <v>2060</v>
      </c>
      <c r="D659" s="45"/>
      <c r="E659" s="45"/>
      <c r="F659" s="45" t="s">
        <v>64</v>
      </c>
      <c r="G659" s="46">
        <v>1</v>
      </c>
      <c r="H659" s="45"/>
      <c r="I659" s="46">
        <v>127.1</v>
      </c>
      <c r="J659" s="47">
        <v>0</v>
      </c>
      <c r="K659" s="47">
        <v>278</v>
      </c>
      <c r="L659" s="47"/>
      <c r="M659" s="47">
        <v>0</v>
      </c>
      <c r="N659" s="47"/>
      <c r="O659" s="47"/>
      <c r="P659" s="47">
        <v>0</v>
      </c>
      <c r="Q659" s="47">
        <v>278</v>
      </c>
      <c r="R659" s="47"/>
      <c r="S659" s="47">
        <v>0</v>
      </c>
      <c r="T659" s="47"/>
      <c r="U659" s="47"/>
      <c r="V659" s="9"/>
      <c r="W659" s="9">
        <f>ROUND(Q659 / 1.2, 2)</f>
        <v>231.67</v>
      </c>
      <c r="X659" s="9" t="e">
        <f>ROUND(R659 / 1.2, 2)</f>
        <v>#VALUE!</v>
      </c>
      <c r="Y659" s="9"/>
      <c r="Z659" s="9" t="e">
        <f>ROUND(T659 / 1.2, 2)</f>
        <v>#VALUE!</v>
      </c>
      <c r="AA659" s="9"/>
      <c r="AD659" s="4">
        <v>220089305</v>
      </c>
      <c r="AE659" s="4">
        <v>16231518</v>
      </c>
      <c r="AG659" s="4" t="s">
        <v>2061</v>
      </c>
      <c r="AH659" s="4" t="s">
        <v>2062</v>
      </c>
      <c r="AI659" s="4"/>
    </row>
    <row r="660" spans="1:35" ht="36" x14ac:dyDescent="0.3">
      <c r="A660" s="37" t="s">
        <v>2105</v>
      </c>
      <c r="B660" s="37"/>
      <c r="C660" s="48" t="s">
        <v>433</v>
      </c>
      <c r="D660" s="39"/>
      <c r="E660" s="39"/>
      <c r="F660" s="49" t="s">
        <v>70</v>
      </c>
      <c r="G660" s="50">
        <v>0.15</v>
      </c>
      <c r="H660" s="39"/>
      <c r="I660" s="51">
        <v>0</v>
      </c>
      <c r="J660" s="52">
        <v>88.8</v>
      </c>
      <c r="K660" s="53"/>
      <c r="L660" s="53"/>
      <c r="M660" s="52">
        <f>ROUND(ROUND(J660, 2)*I660, 2)</f>
        <v>0</v>
      </c>
      <c r="N660" s="53"/>
      <c r="O660" s="53"/>
      <c r="P660" s="52">
        <v>88.8</v>
      </c>
      <c r="Q660" s="53"/>
      <c r="R660" s="53"/>
      <c r="S660" s="52">
        <f>ROUND(ROUND(P660, 2)*I660, 2)</f>
        <v>0</v>
      </c>
      <c r="T660" s="53"/>
      <c r="U660" s="54"/>
      <c r="V660" s="9">
        <f>ROUND(ROUND(P660, 2)/1.2, 2)</f>
        <v>74</v>
      </c>
      <c r="Y660" s="9">
        <f>ROUND(S660 / 1.2, 2)</f>
        <v>0</v>
      </c>
      <c r="AD660" s="4" t="s">
        <v>2106</v>
      </c>
      <c r="AE660" s="4" t="s">
        <v>2107</v>
      </c>
      <c r="AF660" s="4" t="s">
        <v>436</v>
      </c>
    </row>
    <row r="661" spans="1:35" ht="36" x14ac:dyDescent="0.3">
      <c r="A661" s="43" t="s">
        <v>2108</v>
      </c>
      <c r="B661" s="43"/>
      <c r="C661" s="55" t="s">
        <v>433</v>
      </c>
      <c r="D661" s="45"/>
      <c r="E661" s="45"/>
      <c r="F661" s="56" t="s">
        <v>70</v>
      </c>
      <c r="G661" s="57">
        <v>0.15</v>
      </c>
      <c r="H661" s="45"/>
      <c r="I661" s="58">
        <v>19.065000000000001</v>
      </c>
      <c r="J661" s="59">
        <v>88.8</v>
      </c>
      <c r="K661" s="60"/>
      <c r="L661" s="60"/>
      <c r="M661" s="59">
        <f>ROUND(ROUND(J661, 2)*I661, 2)</f>
        <v>1692.97</v>
      </c>
      <c r="N661" s="60"/>
      <c r="O661" s="60"/>
      <c r="P661" s="59">
        <v>88.8</v>
      </c>
      <c r="Q661" s="60"/>
      <c r="R661" s="60"/>
      <c r="S661" s="59">
        <f>ROUND(ROUND(P661, 2)*I661, 2)</f>
        <v>1692.97</v>
      </c>
      <c r="T661" s="60"/>
      <c r="U661" s="61"/>
      <c r="V661" s="9">
        <f>ROUND(ROUND(P661, 2)/1.2, 2)</f>
        <v>74</v>
      </c>
      <c r="Y661" s="9">
        <f>ROUND(S661 / 1.2, 2)</f>
        <v>1410.81</v>
      </c>
      <c r="AD661" s="4" t="s">
        <v>2109</v>
      </c>
      <c r="AE661" s="4" t="s">
        <v>2107</v>
      </c>
      <c r="AF661" s="4" t="s">
        <v>436</v>
      </c>
    </row>
    <row r="662" spans="1:35" ht="54" x14ac:dyDescent="0.3">
      <c r="A662" s="37" t="s">
        <v>2110</v>
      </c>
      <c r="B662" s="37"/>
      <c r="C662" s="48" t="s">
        <v>2083</v>
      </c>
      <c r="D662" s="39"/>
      <c r="E662" s="39" t="s">
        <v>2111</v>
      </c>
      <c r="F662" s="49" t="s">
        <v>70</v>
      </c>
      <c r="G662" s="50">
        <v>0.3</v>
      </c>
      <c r="H662" s="39"/>
      <c r="I662" s="51">
        <v>0</v>
      </c>
      <c r="J662" s="52">
        <v>226.67</v>
      </c>
      <c r="K662" s="53"/>
      <c r="L662" s="53"/>
      <c r="M662" s="52">
        <f>ROUND(ROUND(J662, 2)*I662, 2)</f>
        <v>0</v>
      </c>
      <c r="N662" s="53"/>
      <c r="O662" s="53"/>
      <c r="P662" s="52">
        <v>226.67</v>
      </c>
      <c r="Q662" s="53"/>
      <c r="R662" s="53"/>
      <c r="S662" s="52">
        <f>ROUND(ROUND(P662, 2)*I662, 2)</f>
        <v>0</v>
      </c>
      <c r="T662" s="53"/>
      <c r="U662" s="54"/>
      <c r="V662" s="9">
        <f>ROUND(ROUND(P662, 2)/1.2, 2)</f>
        <v>188.89</v>
      </c>
      <c r="Y662" s="9">
        <f>ROUND(S662 / 1.2, 2)</f>
        <v>0</v>
      </c>
      <c r="AD662" s="4" t="s">
        <v>2112</v>
      </c>
      <c r="AE662" s="4" t="s">
        <v>2113</v>
      </c>
      <c r="AF662" s="4" t="s">
        <v>2087</v>
      </c>
    </row>
    <row r="663" spans="1:35" ht="54" x14ac:dyDescent="0.3">
      <c r="A663" s="43" t="s">
        <v>2114</v>
      </c>
      <c r="B663" s="43"/>
      <c r="C663" s="55" t="s">
        <v>2083</v>
      </c>
      <c r="D663" s="45"/>
      <c r="E663" s="45" t="s">
        <v>2111</v>
      </c>
      <c r="F663" s="56" t="s">
        <v>70</v>
      </c>
      <c r="G663" s="57">
        <v>0.3</v>
      </c>
      <c r="H663" s="45"/>
      <c r="I663" s="58">
        <v>38.130000000000003</v>
      </c>
      <c r="J663" s="59">
        <v>226.67</v>
      </c>
      <c r="K663" s="60"/>
      <c r="L663" s="60"/>
      <c r="M663" s="59">
        <f>ROUND(ROUND(J663, 2)*I663, 2)</f>
        <v>8642.93</v>
      </c>
      <c r="N663" s="60"/>
      <c r="O663" s="60"/>
      <c r="P663" s="59">
        <v>226.67</v>
      </c>
      <c r="Q663" s="60"/>
      <c r="R663" s="60"/>
      <c r="S663" s="59">
        <f>ROUND(ROUND(P663, 2)*I663, 2)</f>
        <v>8642.93</v>
      </c>
      <c r="T663" s="60"/>
      <c r="U663" s="61"/>
      <c r="V663" s="9">
        <f>ROUND(ROUND(P663, 2)/1.2, 2)</f>
        <v>188.89</v>
      </c>
      <c r="Y663" s="9">
        <f>ROUND(S663 / 1.2, 2)</f>
        <v>7202.44</v>
      </c>
      <c r="AD663" s="4" t="s">
        <v>2115</v>
      </c>
      <c r="AE663" s="4" t="s">
        <v>2113</v>
      </c>
      <c r="AF663" s="4" t="s">
        <v>2087</v>
      </c>
    </row>
    <row r="664" spans="1:35" ht="54" x14ac:dyDescent="0.3">
      <c r="A664" s="37" t="s">
        <v>2116</v>
      </c>
      <c r="B664" s="37" t="s">
        <v>2059</v>
      </c>
      <c r="C664" s="38" t="s">
        <v>2060</v>
      </c>
      <c r="D664" s="39"/>
      <c r="E664" s="39" t="s">
        <v>63</v>
      </c>
      <c r="F664" s="39" t="s">
        <v>64</v>
      </c>
      <c r="G664" s="40">
        <v>1</v>
      </c>
      <c r="H664" s="39"/>
      <c r="I664" s="41">
        <v>0</v>
      </c>
      <c r="J664" s="42">
        <f>IFERROR(ROUND(SUM(M666,M668)/I664, 2),0)</f>
        <v>0</v>
      </c>
      <c r="K664" s="42">
        <v>278</v>
      </c>
      <c r="L664" s="42">
        <f>J664+ROUND(K664, 2)</f>
        <v>278</v>
      </c>
      <c r="M664" s="42">
        <f>ROUND(J664*I664, 2)</f>
        <v>0</v>
      </c>
      <c r="N664" s="42">
        <f>ROUND(I664*ROUND(K664, 2), 2)</f>
        <v>0</v>
      </c>
      <c r="O664" s="42">
        <f>M664+N664</f>
        <v>0</v>
      </c>
      <c r="P664" s="42">
        <f>IFERROR(ROUND(SUM(S666,S668)/I664, 2),0)</f>
        <v>0</v>
      </c>
      <c r="Q664" s="42">
        <v>278</v>
      </c>
      <c r="R664" s="42">
        <f>P664+ROUND(Q664, 2)</f>
        <v>278</v>
      </c>
      <c r="S664" s="42">
        <f>ROUND(P664*I664, 2)</f>
        <v>0</v>
      </c>
      <c r="T664" s="42">
        <f>ROUND(I664*ROUND(Q664, 2), 2)</f>
        <v>0</v>
      </c>
      <c r="U664" s="42">
        <f>S664+T664</f>
        <v>0</v>
      </c>
      <c r="V664" s="9">
        <f>ROUND(P664 / 1.2, 2)</f>
        <v>0</v>
      </c>
      <c r="W664" s="9">
        <f>ROUND(Q664 / 1.2, 2)</f>
        <v>231.67</v>
      </c>
      <c r="X664" s="9">
        <f>ROUND(R664 / 1.2, 2)</f>
        <v>231.67</v>
      </c>
      <c r="Y664" s="9">
        <f>ROUND(S664 / 1.2, 2)</f>
        <v>0</v>
      </c>
      <c r="Z664" s="9">
        <f>ROUND(T664 / 1.2, 2)</f>
        <v>0</v>
      </c>
      <c r="AA664" s="9">
        <f>Y664+Z664</f>
        <v>0</v>
      </c>
      <c r="AD664" s="4">
        <v>271132249</v>
      </c>
      <c r="AE664" s="4">
        <v>16231519</v>
      </c>
      <c r="AG664" s="4" t="s">
        <v>2061</v>
      </c>
      <c r="AH664" s="4" t="s">
        <v>2062</v>
      </c>
      <c r="AI664" s="4" t="s">
        <v>67</v>
      </c>
    </row>
    <row r="665" spans="1:35" ht="54" x14ac:dyDescent="0.3">
      <c r="A665" s="43" t="s">
        <v>2117</v>
      </c>
      <c r="B665" s="43" t="s">
        <v>2059</v>
      </c>
      <c r="C665" s="44" t="s">
        <v>2060</v>
      </c>
      <c r="D665" s="45"/>
      <c r="E665" s="45"/>
      <c r="F665" s="45" t="s">
        <v>64</v>
      </c>
      <c r="G665" s="46">
        <v>1</v>
      </c>
      <c r="H665" s="45"/>
      <c r="I665" s="46">
        <v>69.2</v>
      </c>
      <c r="J665" s="47">
        <v>0</v>
      </c>
      <c r="K665" s="47">
        <v>278</v>
      </c>
      <c r="L665" s="47"/>
      <c r="M665" s="47">
        <v>0</v>
      </c>
      <c r="N665" s="47"/>
      <c r="O665" s="47"/>
      <c r="P665" s="47">
        <v>0</v>
      </c>
      <c r="Q665" s="47">
        <v>278</v>
      </c>
      <c r="R665" s="47"/>
      <c r="S665" s="47">
        <v>0</v>
      </c>
      <c r="T665" s="47"/>
      <c r="U665" s="47"/>
      <c r="V665" s="9"/>
      <c r="W665" s="9">
        <f>ROUND(Q665 / 1.2, 2)</f>
        <v>231.67</v>
      </c>
      <c r="X665" s="9" t="e">
        <f>ROUND(R665 / 1.2, 2)</f>
        <v>#VALUE!</v>
      </c>
      <c r="Y665" s="9"/>
      <c r="Z665" s="9" t="e">
        <f>ROUND(T665 / 1.2, 2)</f>
        <v>#VALUE!</v>
      </c>
      <c r="AA665" s="9"/>
      <c r="AD665" s="4">
        <v>220089306</v>
      </c>
      <c r="AE665" s="4">
        <v>16231519</v>
      </c>
      <c r="AG665" s="4" t="s">
        <v>2061</v>
      </c>
      <c r="AH665" s="4" t="s">
        <v>2062</v>
      </c>
      <c r="AI665" s="4"/>
    </row>
    <row r="666" spans="1:35" ht="36" x14ac:dyDescent="0.3">
      <c r="A666" s="37" t="s">
        <v>2118</v>
      </c>
      <c r="B666" s="37"/>
      <c r="C666" s="48" t="s">
        <v>433</v>
      </c>
      <c r="D666" s="39"/>
      <c r="E666" s="39"/>
      <c r="F666" s="49" t="s">
        <v>70</v>
      </c>
      <c r="G666" s="50">
        <v>0.15</v>
      </c>
      <c r="H666" s="39"/>
      <c r="I666" s="51">
        <v>0</v>
      </c>
      <c r="J666" s="52">
        <v>88.8</v>
      </c>
      <c r="K666" s="53"/>
      <c r="L666" s="53"/>
      <c r="M666" s="52">
        <f>ROUND(ROUND(J666, 2)*I666, 2)</f>
        <v>0</v>
      </c>
      <c r="N666" s="53"/>
      <c r="O666" s="53"/>
      <c r="P666" s="52">
        <v>88.8</v>
      </c>
      <c r="Q666" s="53"/>
      <c r="R666" s="53"/>
      <c r="S666" s="52">
        <f>ROUND(ROUND(P666, 2)*I666, 2)</f>
        <v>0</v>
      </c>
      <c r="T666" s="53"/>
      <c r="U666" s="54"/>
      <c r="V666" s="9">
        <f>ROUND(ROUND(P666, 2)/1.2, 2)</f>
        <v>74</v>
      </c>
      <c r="Y666" s="9">
        <f>ROUND(S666 / 1.2, 2)</f>
        <v>0</v>
      </c>
      <c r="AD666" s="4" t="s">
        <v>2119</v>
      </c>
      <c r="AE666" s="4" t="s">
        <v>2120</v>
      </c>
      <c r="AF666" s="4" t="s">
        <v>436</v>
      </c>
    </row>
    <row r="667" spans="1:35" ht="36" x14ac:dyDescent="0.3">
      <c r="A667" s="43" t="s">
        <v>2121</v>
      </c>
      <c r="B667" s="43"/>
      <c r="C667" s="55" t="s">
        <v>433</v>
      </c>
      <c r="D667" s="45"/>
      <c r="E667" s="45"/>
      <c r="F667" s="56" t="s">
        <v>70</v>
      </c>
      <c r="G667" s="57">
        <v>0.15</v>
      </c>
      <c r="H667" s="45"/>
      <c r="I667" s="58">
        <v>10.38</v>
      </c>
      <c r="J667" s="59">
        <v>88.8</v>
      </c>
      <c r="K667" s="60"/>
      <c r="L667" s="60"/>
      <c r="M667" s="59">
        <f>ROUND(ROUND(J667, 2)*I667, 2)</f>
        <v>921.74</v>
      </c>
      <c r="N667" s="60"/>
      <c r="O667" s="60"/>
      <c r="P667" s="59">
        <v>88.8</v>
      </c>
      <c r="Q667" s="60"/>
      <c r="R667" s="60"/>
      <c r="S667" s="59">
        <f>ROUND(ROUND(P667, 2)*I667, 2)</f>
        <v>921.74</v>
      </c>
      <c r="T667" s="60"/>
      <c r="U667" s="61"/>
      <c r="V667" s="9">
        <f>ROUND(ROUND(P667, 2)/1.2, 2)</f>
        <v>74</v>
      </c>
      <c r="Y667" s="9">
        <f>ROUND(S667 / 1.2, 2)</f>
        <v>768.12</v>
      </c>
      <c r="AD667" s="4" t="s">
        <v>2122</v>
      </c>
      <c r="AE667" s="4" t="s">
        <v>2120</v>
      </c>
      <c r="AF667" s="4" t="s">
        <v>436</v>
      </c>
    </row>
    <row r="668" spans="1:35" ht="54" x14ac:dyDescent="0.3">
      <c r="A668" s="37" t="s">
        <v>2123</v>
      </c>
      <c r="B668" s="37"/>
      <c r="C668" s="48" t="s">
        <v>2083</v>
      </c>
      <c r="D668" s="39"/>
      <c r="E668" s="39" t="s">
        <v>2124</v>
      </c>
      <c r="F668" s="49" t="s">
        <v>70</v>
      </c>
      <c r="G668" s="50">
        <v>0.3</v>
      </c>
      <c r="H668" s="39"/>
      <c r="I668" s="51">
        <v>0</v>
      </c>
      <c r="J668" s="52">
        <v>226.67</v>
      </c>
      <c r="K668" s="53"/>
      <c r="L668" s="53"/>
      <c r="M668" s="52">
        <f>ROUND(ROUND(J668, 2)*I668, 2)</f>
        <v>0</v>
      </c>
      <c r="N668" s="53"/>
      <c r="O668" s="53"/>
      <c r="P668" s="52">
        <v>226.67</v>
      </c>
      <c r="Q668" s="53"/>
      <c r="R668" s="53"/>
      <c r="S668" s="52">
        <f>ROUND(ROUND(P668, 2)*I668, 2)</f>
        <v>0</v>
      </c>
      <c r="T668" s="53"/>
      <c r="U668" s="54"/>
      <c r="V668" s="9">
        <f>ROUND(ROUND(P668, 2)/1.2, 2)</f>
        <v>188.89</v>
      </c>
      <c r="Y668" s="9">
        <f>ROUND(S668 / 1.2, 2)</f>
        <v>0</v>
      </c>
      <c r="AD668" s="4" t="s">
        <v>2125</v>
      </c>
      <c r="AE668" s="4" t="s">
        <v>2126</v>
      </c>
      <c r="AF668" s="4" t="s">
        <v>2087</v>
      </c>
    </row>
    <row r="669" spans="1:35" ht="54" x14ac:dyDescent="0.3">
      <c r="A669" s="43" t="s">
        <v>2127</v>
      </c>
      <c r="B669" s="43"/>
      <c r="C669" s="55" t="s">
        <v>2083</v>
      </c>
      <c r="D669" s="45"/>
      <c r="E669" s="45" t="s">
        <v>2124</v>
      </c>
      <c r="F669" s="56" t="s">
        <v>70</v>
      </c>
      <c r="G669" s="57">
        <v>0.3</v>
      </c>
      <c r="H669" s="45"/>
      <c r="I669" s="58">
        <v>20.76</v>
      </c>
      <c r="J669" s="59">
        <v>226.67</v>
      </c>
      <c r="K669" s="60"/>
      <c r="L669" s="60"/>
      <c r="M669" s="59">
        <f>ROUND(ROUND(J669, 2)*I669, 2)</f>
        <v>4705.67</v>
      </c>
      <c r="N669" s="60"/>
      <c r="O669" s="60"/>
      <c r="P669" s="59">
        <v>226.67</v>
      </c>
      <c r="Q669" s="60"/>
      <c r="R669" s="60"/>
      <c r="S669" s="59">
        <f>ROUND(ROUND(P669, 2)*I669, 2)</f>
        <v>4705.67</v>
      </c>
      <c r="T669" s="60"/>
      <c r="U669" s="61"/>
      <c r="V669" s="9">
        <f>ROUND(ROUND(P669, 2)/1.2, 2)</f>
        <v>188.89</v>
      </c>
      <c r="Y669" s="9">
        <f>ROUND(S669 / 1.2, 2)</f>
        <v>3921.39</v>
      </c>
      <c r="AD669" s="4" t="s">
        <v>2128</v>
      </c>
      <c r="AE669" s="4" t="s">
        <v>2126</v>
      </c>
      <c r="AF669" s="4" t="s">
        <v>2087</v>
      </c>
    </row>
    <row r="670" spans="1:35" ht="54" x14ac:dyDescent="0.3">
      <c r="A670" s="37" t="s">
        <v>2129</v>
      </c>
      <c r="B670" s="37" t="s">
        <v>2059</v>
      </c>
      <c r="C670" s="38" t="s">
        <v>2060</v>
      </c>
      <c r="D670" s="39"/>
      <c r="E670" s="39" t="s">
        <v>63</v>
      </c>
      <c r="F670" s="39" t="s">
        <v>64</v>
      </c>
      <c r="G670" s="40">
        <v>1</v>
      </c>
      <c r="H670" s="39"/>
      <c r="I670" s="41">
        <v>0</v>
      </c>
      <c r="J670" s="42">
        <f>IFERROR(ROUND(SUM(M672,M674)/I670, 2),0)</f>
        <v>0</v>
      </c>
      <c r="K670" s="42">
        <v>278</v>
      </c>
      <c r="L670" s="42">
        <f>J670+ROUND(K670, 2)</f>
        <v>278</v>
      </c>
      <c r="M670" s="42">
        <f>ROUND(J670*I670, 2)</f>
        <v>0</v>
      </c>
      <c r="N670" s="42">
        <f>ROUND(I670*ROUND(K670, 2), 2)</f>
        <v>0</v>
      </c>
      <c r="O670" s="42">
        <f>M670+N670</f>
        <v>0</v>
      </c>
      <c r="P670" s="42">
        <f>IFERROR(ROUND(SUM(S672,S674)/I670, 2),0)</f>
        <v>0</v>
      </c>
      <c r="Q670" s="42">
        <v>278</v>
      </c>
      <c r="R670" s="42">
        <f>P670+ROUND(Q670, 2)</f>
        <v>278</v>
      </c>
      <c r="S670" s="42">
        <f>ROUND(P670*I670, 2)</f>
        <v>0</v>
      </c>
      <c r="T670" s="42">
        <f>ROUND(I670*ROUND(Q670, 2), 2)</f>
        <v>0</v>
      </c>
      <c r="U670" s="42">
        <f>S670+T670</f>
        <v>0</v>
      </c>
      <c r="V670" s="9">
        <f>ROUND(P670 / 1.2, 2)</f>
        <v>0</v>
      </c>
      <c r="W670" s="9">
        <f>ROUND(Q670 / 1.2, 2)</f>
        <v>231.67</v>
      </c>
      <c r="X670" s="9">
        <f>ROUND(R670 / 1.2, 2)</f>
        <v>231.67</v>
      </c>
      <c r="Y670" s="9">
        <f>ROUND(S670 / 1.2, 2)</f>
        <v>0</v>
      </c>
      <c r="Z670" s="9">
        <f>ROUND(T670 / 1.2, 2)</f>
        <v>0</v>
      </c>
      <c r="AA670" s="9">
        <f>Y670+Z670</f>
        <v>0</v>
      </c>
      <c r="AD670" s="4">
        <v>271132250</v>
      </c>
      <c r="AE670" s="4">
        <v>16231520</v>
      </c>
      <c r="AG670" s="4" t="s">
        <v>2061</v>
      </c>
      <c r="AH670" s="4" t="s">
        <v>2062</v>
      </c>
      <c r="AI670" s="4" t="s">
        <v>67</v>
      </c>
    </row>
    <row r="671" spans="1:35" ht="54" x14ac:dyDescent="0.3">
      <c r="A671" s="43" t="s">
        <v>2130</v>
      </c>
      <c r="B671" s="43" t="s">
        <v>2059</v>
      </c>
      <c r="C671" s="44" t="s">
        <v>2060</v>
      </c>
      <c r="D671" s="45"/>
      <c r="E671" s="45"/>
      <c r="F671" s="45" t="s">
        <v>64</v>
      </c>
      <c r="G671" s="46">
        <v>1</v>
      </c>
      <c r="H671" s="45"/>
      <c r="I671" s="46">
        <v>68.8</v>
      </c>
      <c r="J671" s="47">
        <v>0</v>
      </c>
      <c r="K671" s="47">
        <v>278</v>
      </c>
      <c r="L671" s="47"/>
      <c r="M671" s="47">
        <v>0</v>
      </c>
      <c r="N671" s="47"/>
      <c r="O671" s="47"/>
      <c r="P671" s="47">
        <v>0</v>
      </c>
      <c r="Q671" s="47">
        <v>278</v>
      </c>
      <c r="R671" s="47"/>
      <c r="S671" s="47">
        <v>0</v>
      </c>
      <c r="T671" s="47"/>
      <c r="U671" s="47"/>
      <c r="V671" s="9"/>
      <c r="W671" s="9">
        <f>ROUND(Q671 / 1.2, 2)</f>
        <v>231.67</v>
      </c>
      <c r="X671" s="9" t="e">
        <f>ROUND(R671 / 1.2, 2)</f>
        <v>#VALUE!</v>
      </c>
      <c r="Y671" s="9"/>
      <c r="Z671" s="9" t="e">
        <f>ROUND(T671 / 1.2, 2)</f>
        <v>#VALUE!</v>
      </c>
      <c r="AA671" s="9"/>
      <c r="AD671" s="4">
        <v>220089307</v>
      </c>
      <c r="AE671" s="4">
        <v>16231520</v>
      </c>
      <c r="AG671" s="4" t="s">
        <v>2061</v>
      </c>
      <c r="AH671" s="4" t="s">
        <v>2062</v>
      </c>
      <c r="AI671" s="4"/>
    </row>
    <row r="672" spans="1:35" ht="36" x14ac:dyDescent="0.3">
      <c r="A672" s="37" t="s">
        <v>2131</v>
      </c>
      <c r="B672" s="37"/>
      <c r="C672" s="48" t="s">
        <v>433</v>
      </c>
      <c r="D672" s="39"/>
      <c r="E672" s="39"/>
      <c r="F672" s="49" t="s">
        <v>70</v>
      </c>
      <c r="G672" s="50">
        <v>0.15</v>
      </c>
      <c r="H672" s="39"/>
      <c r="I672" s="51">
        <v>0</v>
      </c>
      <c r="J672" s="52">
        <v>88.8</v>
      </c>
      <c r="K672" s="53"/>
      <c r="L672" s="53"/>
      <c r="M672" s="52">
        <f>ROUND(ROUND(J672, 2)*I672, 2)</f>
        <v>0</v>
      </c>
      <c r="N672" s="53"/>
      <c r="O672" s="53"/>
      <c r="P672" s="52">
        <v>88.8</v>
      </c>
      <c r="Q672" s="53"/>
      <c r="R672" s="53"/>
      <c r="S672" s="52">
        <f>ROUND(ROUND(P672, 2)*I672, 2)</f>
        <v>0</v>
      </c>
      <c r="T672" s="53"/>
      <c r="U672" s="54"/>
      <c r="V672" s="9">
        <f>ROUND(ROUND(P672, 2)/1.2, 2)</f>
        <v>74</v>
      </c>
      <c r="Y672" s="9">
        <f>ROUND(S672 / 1.2, 2)</f>
        <v>0</v>
      </c>
      <c r="AD672" s="4" t="s">
        <v>2132</v>
      </c>
      <c r="AE672" s="4" t="s">
        <v>2133</v>
      </c>
      <c r="AF672" s="4" t="s">
        <v>436</v>
      </c>
    </row>
    <row r="673" spans="1:35" ht="36" x14ac:dyDescent="0.3">
      <c r="A673" s="43" t="s">
        <v>2134</v>
      </c>
      <c r="B673" s="43"/>
      <c r="C673" s="55" t="s">
        <v>433</v>
      </c>
      <c r="D673" s="45"/>
      <c r="E673" s="45"/>
      <c r="F673" s="56" t="s">
        <v>70</v>
      </c>
      <c r="G673" s="57">
        <v>0.15</v>
      </c>
      <c r="H673" s="45"/>
      <c r="I673" s="58">
        <v>10.32</v>
      </c>
      <c r="J673" s="59">
        <v>88.8</v>
      </c>
      <c r="K673" s="60"/>
      <c r="L673" s="60"/>
      <c r="M673" s="59">
        <f>ROUND(ROUND(J673, 2)*I673, 2)</f>
        <v>916.42</v>
      </c>
      <c r="N673" s="60"/>
      <c r="O673" s="60"/>
      <c r="P673" s="59">
        <v>88.8</v>
      </c>
      <c r="Q673" s="60"/>
      <c r="R673" s="60"/>
      <c r="S673" s="59">
        <f>ROUND(ROUND(P673, 2)*I673, 2)</f>
        <v>916.42</v>
      </c>
      <c r="T673" s="60"/>
      <c r="U673" s="61"/>
      <c r="V673" s="9">
        <f>ROUND(ROUND(P673, 2)/1.2, 2)</f>
        <v>74</v>
      </c>
      <c r="Y673" s="9">
        <f>ROUND(S673 / 1.2, 2)</f>
        <v>763.68</v>
      </c>
      <c r="AD673" s="4" t="s">
        <v>2135</v>
      </c>
      <c r="AE673" s="4" t="s">
        <v>2133</v>
      </c>
      <c r="AF673" s="4" t="s">
        <v>436</v>
      </c>
    </row>
    <row r="674" spans="1:35" ht="54" x14ac:dyDescent="0.3">
      <c r="A674" s="37" t="s">
        <v>2136</v>
      </c>
      <c r="B674" s="37"/>
      <c r="C674" s="48" t="s">
        <v>2083</v>
      </c>
      <c r="D674" s="39"/>
      <c r="E674" s="39" t="s">
        <v>2137</v>
      </c>
      <c r="F674" s="49" t="s">
        <v>70</v>
      </c>
      <c r="G674" s="50">
        <v>0.3</v>
      </c>
      <c r="H674" s="39"/>
      <c r="I674" s="51">
        <v>0</v>
      </c>
      <c r="J674" s="52">
        <v>226.67</v>
      </c>
      <c r="K674" s="53"/>
      <c r="L674" s="53"/>
      <c r="M674" s="52">
        <f>ROUND(ROUND(J674, 2)*I674, 2)</f>
        <v>0</v>
      </c>
      <c r="N674" s="53"/>
      <c r="O674" s="53"/>
      <c r="P674" s="52">
        <v>226.67</v>
      </c>
      <c r="Q674" s="53"/>
      <c r="R674" s="53"/>
      <c r="S674" s="52">
        <f>ROUND(ROUND(P674, 2)*I674, 2)</f>
        <v>0</v>
      </c>
      <c r="T674" s="53"/>
      <c r="U674" s="54"/>
      <c r="V674" s="9">
        <f>ROUND(ROUND(P674, 2)/1.2, 2)</f>
        <v>188.89</v>
      </c>
      <c r="Y674" s="9">
        <f>ROUND(S674 / 1.2, 2)</f>
        <v>0</v>
      </c>
      <c r="AD674" s="4" t="s">
        <v>2138</v>
      </c>
      <c r="AE674" s="4" t="s">
        <v>2139</v>
      </c>
      <c r="AF674" s="4" t="s">
        <v>2087</v>
      </c>
    </row>
    <row r="675" spans="1:35" ht="54" x14ac:dyDescent="0.3">
      <c r="A675" s="43" t="s">
        <v>2140</v>
      </c>
      <c r="B675" s="43"/>
      <c r="C675" s="55" t="s">
        <v>2083</v>
      </c>
      <c r="D675" s="45"/>
      <c r="E675" s="45" t="s">
        <v>2137</v>
      </c>
      <c r="F675" s="56" t="s">
        <v>70</v>
      </c>
      <c r="G675" s="57">
        <v>0.3</v>
      </c>
      <c r="H675" s="45"/>
      <c r="I675" s="58">
        <v>20.64</v>
      </c>
      <c r="J675" s="59">
        <v>226.67</v>
      </c>
      <c r="K675" s="60"/>
      <c r="L675" s="60"/>
      <c r="M675" s="59">
        <f>ROUND(ROUND(J675, 2)*I675, 2)</f>
        <v>4678.47</v>
      </c>
      <c r="N675" s="60"/>
      <c r="O675" s="60"/>
      <c r="P675" s="59">
        <v>226.67</v>
      </c>
      <c r="Q675" s="60"/>
      <c r="R675" s="60"/>
      <c r="S675" s="59">
        <f>ROUND(ROUND(P675, 2)*I675, 2)</f>
        <v>4678.47</v>
      </c>
      <c r="T675" s="60"/>
      <c r="U675" s="61"/>
      <c r="V675" s="9">
        <f>ROUND(ROUND(P675, 2)/1.2, 2)</f>
        <v>188.89</v>
      </c>
      <c r="Y675" s="9">
        <f>ROUND(S675 / 1.2, 2)</f>
        <v>3898.73</v>
      </c>
      <c r="AD675" s="4" t="s">
        <v>2141</v>
      </c>
      <c r="AE675" s="4" t="s">
        <v>2139</v>
      </c>
      <c r="AF675" s="4" t="s">
        <v>2087</v>
      </c>
    </row>
    <row r="676" spans="1:35" ht="54" x14ac:dyDescent="0.3">
      <c r="A676" s="37" t="s">
        <v>2142</v>
      </c>
      <c r="B676" s="37" t="s">
        <v>2059</v>
      </c>
      <c r="C676" s="38" t="s">
        <v>2060</v>
      </c>
      <c r="D676" s="39"/>
      <c r="E676" s="39" t="s">
        <v>63</v>
      </c>
      <c r="F676" s="39" t="s">
        <v>64</v>
      </c>
      <c r="G676" s="40">
        <v>1</v>
      </c>
      <c r="H676" s="39"/>
      <c r="I676" s="41">
        <v>0</v>
      </c>
      <c r="J676" s="42">
        <f>IFERROR(ROUND(SUM(M678,M680)/I676, 2),0)</f>
        <v>0</v>
      </c>
      <c r="K676" s="42">
        <v>278</v>
      </c>
      <c r="L676" s="42">
        <f>J676+ROUND(K676, 2)</f>
        <v>278</v>
      </c>
      <c r="M676" s="42">
        <f>ROUND(J676*I676, 2)</f>
        <v>0</v>
      </c>
      <c r="N676" s="42">
        <f>ROUND(I676*ROUND(K676, 2), 2)</f>
        <v>0</v>
      </c>
      <c r="O676" s="42">
        <f>M676+N676</f>
        <v>0</v>
      </c>
      <c r="P676" s="42">
        <f>IFERROR(ROUND(SUM(S678,S680)/I676, 2),0)</f>
        <v>0</v>
      </c>
      <c r="Q676" s="42">
        <v>278</v>
      </c>
      <c r="R676" s="42">
        <f>P676+ROUND(Q676, 2)</f>
        <v>278</v>
      </c>
      <c r="S676" s="42">
        <f>ROUND(P676*I676, 2)</f>
        <v>0</v>
      </c>
      <c r="T676" s="42">
        <f>ROUND(I676*ROUND(Q676, 2), 2)</f>
        <v>0</v>
      </c>
      <c r="U676" s="42">
        <f>S676+T676</f>
        <v>0</v>
      </c>
      <c r="V676" s="9">
        <f>ROUND(P676 / 1.2, 2)</f>
        <v>0</v>
      </c>
      <c r="W676" s="9">
        <f>ROUND(Q676 / 1.2, 2)</f>
        <v>231.67</v>
      </c>
      <c r="X676" s="9">
        <f>ROUND(R676 / 1.2, 2)</f>
        <v>231.67</v>
      </c>
      <c r="Y676" s="9">
        <f>ROUND(S676 / 1.2, 2)</f>
        <v>0</v>
      </c>
      <c r="Z676" s="9">
        <f>ROUND(T676 / 1.2, 2)</f>
        <v>0</v>
      </c>
      <c r="AA676" s="9">
        <f>Y676+Z676</f>
        <v>0</v>
      </c>
      <c r="AD676" s="4">
        <v>271132251</v>
      </c>
      <c r="AE676" s="4">
        <v>16231521</v>
      </c>
      <c r="AG676" s="4" t="s">
        <v>2061</v>
      </c>
      <c r="AH676" s="4" t="s">
        <v>2062</v>
      </c>
      <c r="AI676" s="4" t="s">
        <v>67</v>
      </c>
    </row>
    <row r="677" spans="1:35" ht="54" x14ac:dyDescent="0.3">
      <c r="A677" s="43" t="s">
        <v>2143</v>
      </c>
      <c r="B677" s="43" t="s">
        <v>2059</v>
      </c>
      <c r="C677" s="44" t="s">
        <v>2060</v>
      </c>
      <c r="D677" s="45"/>
      <c r="E677" s="45"/>
      <c r="F677" s="45" t="s">
        <v>64</v>
      </c>
      <c r="G677" s="46">
        <v>1</v>
      </c>
      <c r="H677" s="45"/>
      <c r="I677" s="46">
        <v>57</v>
      </c>
      <c r="J677" s="47">
        <v>0</v>
      </c>
      <c r="K677" s="47">
        <v>278</v>
      </c>
      <c r="L677" s="47"/>
      <c r="M677" s="47">
        <v>0</v>
      </c>
      <c r="N677" s="47"/>
      <c r="O677" s="47"/>
      <c r="P677" s="47">
        <v>0</v>
      </c>
      <c r="Q677" s="47">
        <v>278</v>
      </c>
      <c r="R677" s="47"/>
      <c r="S677" s="47">
        <v>0</v>
      </c>
      <c r="T677" s="47"/>
      <c r="U677" s="47"/>
      <c r="V677" s="9"/>
      <c r="W677" s="9">
        <f>ROUND(Q677 / 1.2, 2)</f>
        <v>231.67</v>
      </c>
      <c r="X677" s="9" t="e">
        <f>ROUND(R677 / 1.2, 2)</f>
        <v>#VALUE!</v>
      </c>
      <c r="Y677" s="9"/>
      <c r="Z677" s="9" t="e">
        <f>ROUND(T677 / 1.2, 2)</f>
        <v>#VALUE!</v>
      </c>
      <c r="AA677" s="9"/>
      <c r="AD677" s="4">
        <v>220089308</v>
      </c>
      <c r="AE677" s="4">
        <v>16231521</v>
      </c>
      <c r="AG677" s="4" t="s">
        <v>2061</v>
      </c>
      <c r="AH677" s="4" t="s">
        <v>2062</v>
      </c>
      <c r="AI677" s="4"/>
    </row>
    <row r="678" spans="1:35" ht="36" x14ac:dyDescent="0.3">
      <c r="A678" s="37" t="s">
        <v>2144</v>
      </c>
      <c r="B678" s="37"/>
      <c r="C678" s="48" t="s">
        <v>433</v>
      </c>
      <c r="D678" s="39"/>
      <c r="E678" s="39"/>
      <c r="F678" s="49" t="s">
        <v>70</v>
      </c>
      <c r="G678" s="50">
        <v>0.15</v>
      </c>
      <c r="H678" s="39"/>
      <c r="I678" s="51">
        <v>0</v>
      </c>
      <c r="J678" s="52">
        <v>88.8</v>
      </c>
      <c r="K678" s="53"/>
      <c r="L678" s="53"/>
      <c r="M678" s="52">
        <f>ROUND(ROUND(J678, 2)*I678, 2)</f>
        <v>0</v>
      </c>
      <c r="N678" s="53"/>
      <c r="O678" s="53"/>
      <c r="P678" s="52">
        <v>88.8</v>
      </c>
      <c r="Q678" s="53"/>
      <c r="R678" s="53"/>
      <c r="S678" s="52">
        <f>ROUND(ROUND(P678, 2)*I678, 2)</f>
        <v>0</v>
      </c>
      <c r="T678" s="53"/>
      <c r="U678" s="54"/>
      <c r="V678" s="9">
        <f>ROUND(ROUND(P678, 2)/1.2, 2)</f>
        <v>74</v>
      </c>
      <c r="Y678" s="9">
        <f>ROUND(S678 / 1.2, 2)</f>
        <v>0</v>
      </c>
      <c r="AD678" s="4" t="s">
        <v>2145</v>
      </c>
      <c r="AE678" s="4" t="s">
        <v>2146</v>
      </c>
      <c r="AF678" s="4" t="s">
        <v>436</v>
      </c>
    </row>
    <row r="679" spans="1:35" ht="36" x14ac:dyDescent="0.3">
      <c r="A679" s="43" t="s">
        <v>2147</v>
      </c>
      <c r="B679" s="43"/>
      <c r="C679" s="55" t="s">
        <v>433</v>
      </c>
      <c r="D679" s="45"/>
      <c r="E679" s="45"/>
      <c r="F679" s="56" t="s">
        <v>70</v>
      </c>
      <c r="G679" s="57">
        <v>0.15</v>
      </c>
      <c r="H679" s="45"/>
      <c r="I679" s="58">
        <v>8.5500000000000007</v>
      </c>
      <c r="J679" s="59">
        <v>88.8</v>
      </c>
      <c r="K679" s="60"/>
      <c r="L679" s="60"/>
      <c r="M679" s="59">
        <f>ROUND(ROUND(J679, 2)*I679, 2)</f>
        <v>759.24</v>
      </c>
      <c r="N679" s="60"/>
      <c r="O679" s="60"/>
      <c r="P679" s="59">
        <v>88.8</v>
      </c>
      <c r="Q679" s="60"/>
      <c r="R679" s="60"/>
      <c r="S679" s="59">
        <f>ROUND(ROUND(P679, 2)*I679, 2)</f>
        <v>759.24</v>
      </c>
      <c r="T679" s="60"/>
      <c r="U679" s="61"/>
      <c r="V679" s="9">
        <f>ROUND(ROUND(P679, 2)/1.2, 2)</f>
        <v>74</v>
      </c>
      <c r="Y679" s="9">
        <f>ROUND(S679 / 1.2, 2)</f>
        <v>632.70000000000005</v>
      </c>
      <c r="AD679" s="4" t="s">
        <v>2148</v>
      </c>
      <c r="AE679" s="4" t="s">
        <v>2146</v>
      </c>
      <c r="AF679" s="4" t="s">
        <v>436</v>
      </c>
    </row>
    <row r="680" spans="1:35" ht="54" x14ac:dyDescent="0.3">
      <c r="A680" s="37" t="s">
        <v>2149</v>
      </c>
      <c r="B680" s="37"/>
      <c r="C680" s="48" t="s">
        <v>2083</v>
      </c>
      <c r="D680" s="39"/>
      <c r="E680" s="39" t="s">
        <v>2150</v>
      </c>
      <c r="F680" s="49" t="s">
        <v>70</v>
      </c>
      <c r="G680" s="50">
        <v>0.3</v>
      </c>
      <c r="H680" s="39"/>
      <c r="I680" s="51">
        <v>0</v>
      </c>
      <c r="J680" s="52">
        <v>226.67</v>
      </c>
      <c r="K680" s="53"/>
      <c r="L680" s="53"/>
      <c r="M680" s="52">
        <f>ROUND(ROUND(J680, 2)*I680, 2)</f>
        <v>0</v>
      </c>
      <c r="N680" s="53"/>
      <c r="O680" s="53"/>
      <c r="P680" s="52">
        <v>226.67</v>
      </c>
      <c r="Q680" s="53"/>
      <c r="R680" s="53"/>
      <c r="S680" s="52">
        <f>ROUND(ROUND(P680, 2)*I680, 2)</f>
        <v>0</v>
      </c>
      <c r="T680" s="53"/>
      <c r="U680" s="54"/>
      <c r="V680" s="9">
        <f>ROUND(ROUND(P680, 2)/1.2, 2)</f>
        <v>188.89</v>
      </c>
      <c r="Y680" s="9">
        <f>ROUND(S680 / 1.2, 2)</f>
        <v>0</v>
      </c>
      <c r="AD680" s="4" t="s">
        <v>2151</v>
      </c>
      <c r="AE680" s="4" t="s">
        <v>2152</v>
      </c>
      <c r="AF680" s="4" t="s">
        <v>2087</v>
      </c>
    </row>
    <row r="681" spans="1:35" ht="54" x14ac:dyDescent="0.3">
      <c r="A681" s="43" t="s">
        <v>2153</v>
      </c>
      <c r="B681" s="43"/>
      <c r="C681" s="55" t="s">
        <v>2083</v>
      </c>
      <c r="D681" s="45"/>
      <c r="E681" s="45" t="s">
        <v>2150</v>
      </c>
      <c r="F681" s="56" t="s">
        <v>70</v>
      </c>
      <c r="G681" s="57">
        <v>0.3</v>
      </c>
      <c r="H681" s="45"/>
      <c r="I681" s="58">
        <v>17.100000000000001</v>
      </c>
      <c r="J681" s="59">
        <v>226.67</v>
      </c>
      <c r="K681" s="60"/>
      <c r="L681" s="60"/>
      <c r="M681" s="59">
        <f>ROUND(ROUND(J681, 2)*I681, 2)</f>
        <v>3876.06</v>
      </c>
      <c r="N681" s="60"/>
      <c r="O681" s="60"/>
      <c r="P681" s="59">
        <v>226.67</v>
      </c>
      <c r="Q681" s="60"/>
      <c r="R681" s="60"/>
      <c r="S681" s="59">
        <f>ROUND(ROUND(P681, 2)*I681, 2)</f>
        <v>3876.06</v>
      </c>
      <c r="T681" s="60"/>
      <c r="U681" s="61"/>
      <c r="V681" s="9">
        <f>ROUND(ROUND(P681, 2)/1.2, 2)</f>
        <v>188.89</v>
      </c>
      <c r="Y681" s="9">
        <f>ROUND(S681 / 1.2, 2)</f>
        <v>3230.05</v>
      </c>
      <c r="AD681" s="4" t="s">
        <v>2154</v>
      </c>
      <c r="AE681" s="4" t="s">
        <v>2152</v>
      </c>
      <c r="AF681" s="4" t="s">
        <v>2087</v>
      </c>
    </row>
    <row r="682" spans="1:35" ht="54" x14ac:dyDescent="0.3">
      <c r="A682" s="37" t="s">
        <v>2155</v>
      </c>
      <c r="B682" s="37" t="s">
        <v>2059</v>
      </c>
      <c r="C682" s="38" t="s">
        <v>2060</v>
      </c>
      <c r="D682" s="39"/>
      <c r="E682" s="39" t="s">
        <v>63</v>
      </c>
      <c r="F682" s="39" t="s">
        <v>64</v>
      </c>
      <c r="G682" s="40">
        <v>1</v>
      </c>
      <c r="H682" s="39"/>
      <c r="I682" s="41">
        <v>0</v>
      </c>
      <c r="J682" s="42">
        <f>IFERROR(ROUND(SUM(M684,M686)/I682, 2),0)</f>
        <v>0</v>
      </c>
      <c r="K682" s="42">
        <v>278</v>
      </c>
      <c r="L682" s="42">
        <f>J682+ROUND(K682, 2)</f>
        <v>278</v>
      </c>
      <c r="M682" s="42">
        <f>ROUND(J682*I682, 2)</f>
        <v>0</v>
      </c>
      <c r="N682" s="42">
        <f>ROUND(I682*ROUND(K682, 2), 2)</f>
        <v>0</v>
      </c>
      <c r="O682" s="42">
        <f>M682+N682</f>
        <v>0</v>
      </c>
      <c r="P682" s="42">
        <f>IFERROR(ROUND(SUM(S684,S686)/I682, 2),0)</f>
        <v>0</v>
      </c>
      <c r="Q682" s="42">
        <v>278</v>
      </c>
      <c r="R682" s="42">
        <f>P682+ROUND(Q682, 2)</f>
        <v>278</v>
      </c>
      <c r="S682" s="42">
        <f>ROUND(P682*I682, 2)</f>
        <v>0</v>
      </c>
      <c r="T682" s="42">
        <f>ROUND(I682*ROUND(Q682, 2), 2)</f>
        <v>0</v>
      </c>
      <c r="U682" s="42">
        <f>S682+T682</f>
        <v>0</v>
      </c>
      <c r="V682" s="9">
        <f>ROUND(P682 / 1.2, 2)</f>
        <v>0</v>
      </c>
      <c r="W682" s="9">
        <f>ROUND(Q682 / 1.2, 2)</f>
        <v>231.67</v>
      </c>
      <c r="X682" s="9">
        <f>ROUND(R682 / 1.2, 2)</f>
        <v>231.67</v>
      </c>
      <c r="Y682" s="9">
        <f>ROUND(S682 / 1.2, 2)</f>
        <v>0</v>
      </c>
      <c r="Z682" s="9">
        <f>ROUND(T682 / 1.2, 2)</f>
        <v>0</v>
      </c>
      <c r="AA682" s="9">
        <f>Y682+Z682</f>
        <v>0</v>
      </c>
      <c r="AD682" s="4">
        <v>271132252</v>
      </c>
      <c r="AE682" s="4">
        <v>16231522</v>
      </c>
      <c r="AG682" s="4" t="s">
        <v>2061</v>
      </c>
      <c r="AH682" s="4" t="s">
        <v>2062</v>
      </c>
      <c r="AI682" s="4" t="s">
        <v>67</v>
      </c>
    </row>
    <row r="683" spans="1:35" ht="54" x14ac:dyDescent="0.3">
      <c r="A683" s="43" t="s">
        <v>2156</v>
      </c>
      <c r="B683" s="43" t="s">
        <v>2059</v>
      </c>
      <c r="C683" s="44" t="s">
        <v>2060</v>
      </c>
      <c r="D683" s="45"/>
      <c r="E683" s="45"/>
      <c r="F683" s="45" t="s">
        <v>64</v>
      </c>
      <c r="G683" s="46">
        <v>1</v>
      </c>
      <c r="H683" s="45"/>
      <c r="I683" s="46">
        <v>25.5</v>
      </c>
      <c r="J683" s="47">
        <v>0</v>
      </c>
      <c r="K683" s="47">
        <v>278</v>
      </c>
      <c r="L683" s="47"/>
      <c r="M683" s="47">
        <v>0</v>
      </c>
      <c r="N683" s="47"/>
      <c r="O683" s="47"/>
      <c r="P683" s="47">
        <v>0</v>
      </c>
      <c r="Q683" s="47">
        <v>278</v>
      </c>
      <c r="R683" s="47"/>
      <c r="S683" s="47">
        <v>0</v>
      </c>
      <c r="T683" s="47"/>
      <c r="U683" s="47"/>
      <c r="V683" s="9"/>
      <c r="W683" s="9">
        <f>ROUND(Q683 / 1.2, 2)</f>
        <v>231.67</v>
      </c>
      <c r="X683" s="9" t="e">
        <f>ROUND(R683 / 1.2, 2)</f>
        <v>#VALUE!</v>
      </c>
      <c r="Y683" s="9"/>
      <c r="Z683" s="9" t="e">
        <f>ROUND(T683 / 1.2, 2)</f>
        <v>#VALUE!</v>
      </c>
      <c r="AA683" s="9"/>
      <c r="AD683" s="4">
        <v>220089309</v>
      </c>
      <c r="AE683" s="4">
        <v>16231522</v>
      </c>
      <c r="AG683" s="4" t="s">
        <v>2061</v>
      </c>
      <c r="AH683" s="4" t="s">
        <v>2062</v>
      </c>
      <c r="AI683" s="4"/>
    </row>
    <row r="684" spans="1:35" ht="36" x14ac:dyDescent="0.3">
      <c r="A684" s="37" t="s">
        <v>2157</v>
      </c>
      <c r="B684" s="37"/>
      <c r="C684" s="48" t="s">
        <v>433</v>
      </c>
      <c r="D684" s="39"/>
      <c r="E684" s="39"/>
      <c r="F684" s="49" t="s">
        <v>70</v>
      </c>
      <c r="G684" s="50">
        <v>0.15</v>
      </c>
      <c r="H684" s="39"/>
      <c r="I684" s="51">
        <v>0</v>
      </c>
      <c r="J684" s="52">
        <v>88.8</v>
      </c>
      <c r="K684" s="53"/>
      <c r="L684" s="53"/>
      <c r="M684" s="52">
        <f>ROUND(ROUND(J684, 2)*I684, 2)</f>
        <v>0</v>
      </c>
      <c r="N684" s="53"/>
      <c r="O684" s="53"/>
      <c r="P684" s="52">
        <v>88.8</v>
      </c>
      <c r="Q684" s="53"/>
      <c r="R684" s="53"/>
      <c r="S684" s="52">
        <f>ROUND(ROUND(P684, 2)*I684, 2)</f>
        <v>0</v>
      </c>
      <c r="T684" s="53"/>
      <c r="U684" s="54"/>
      <c r="V684" s="9">
        <f>ROUND(ROUND(P684, 2)/1.2, 2)</f>
        <v>74</v>
      </c>
      <c r="Y684" s="9">
        <f t="shared" ref="Y684:Y715" si="59">ROUND(S684 / 1.2, 2)</f>
        <v>0</v>
      </c>
      <c r="AD684" s="4" t="s">
        <v>2158</v>
      </c>
      <c r="AE684" s="4" t="s">
        <v>2159</v>
      </c>
      <c r="AF684" s="4" t="s">
        <v>436</v>
      </c>
    </row>
    <row r="685" spans="1:35" ht="36" x14ac:dyDescent="0.3">
      <c r="A685" s="43" t="s">
        <v>2160</v>
      </c>
      <c r="B685" s="43"/>
      <c r="C685" s="55" t="s">
        <v>433</v>
      </c>
      <c r="D685" s="45"/>
      <c r="E685" s="45"/>
      <c r="F685" s="56" t="s">
        <v>70</v>
      </c>
      <c r="G685" s="57">
        <v>0.15</v>
      </c>
      <c r="H685" s="45"/>
      <c r="I685" s="58">
        <v>3.8250000000000002</v>
      </c>
      <c r="J685" s="59">
        <v>88.8</v>
      </c>
      <c r="K685" s="60"/>
      <c r="L685" s="60"/>
      <c r="M685" s="59">
        <f>ROUND(ROUND(J685, 2)*I685, 2)</f>
        <v>339.66</v>
      </c>
      <c r="N685" s="60"/>
      <c r="O685" s="60"/>
      <c r="P685" s="59">
        <v>88.8</v>
      </c>
      <c r="Q685" s="60"/>
      <c r="R685" s="60"/>
      <c r="S685" s="59">
        <f>ROUND(ROUND(P685, 2)*I685, 2)</f>
        <v>339.66</v>
      </c>
      <c r="T685" s="60"/>
      <c r="U685" s="61"/>
      <c r="V685" s="9">
        <f>ROUND(ROUND(P685, 2)/1.2, 2)</f>
        <v>74</v>
      </c>
      <c r="Y685" s="9">
        <f t="shared" si="59"/>
        <v>283.05</v>
      </c>
      <c r="AD685" s="4" t="s">
        <v>2161</v>
      </c>
      <c r="AE685" s="4" t="s">
        <v>2159</v>
      </c>
      <c r="AF685" s="4" t="s">
        <v>436</v>
      </c>
    </row>
    <row r="686" spans="1:35" ht="54" x14ac:dyDescent="0.3">
      <c r="A686" s="37" t="s">
        <v>2162</v>
      </c>
      <c r="B686" s="37"/>
      <c r="C686" s="48" t="s">
        <v>2083</v>
      </c>
      <c r="D686" s="39"/>
      <c r="E686" s="39" t="s">
        <v>2163</v>
      </c>
      <c r="F686" s="49" t="s">
        <v>70</v>
      </c>
      <c r="G686" s="50">
        <v>0.3</v>
      </c>
      <c r="H686" s="39"/>
      <c r="I686" s="51">
        <v>0</v>
      </c>
      <c r="J686" s="52">
        <v>226.67</v>
      </c>
      <c r="K686" s="53"/>
      <c r="L686" s="53"/>
      <c r="M686" s="52">
        <f>ROUND(ROUND(J686, 2)*I686, 2)</f>
        <v>0</v>
      </c>
      <c r="N686" s="53"/>
      <c r="O686" s="53"/>
      <c r="P686" s="52">
        <v>226.67</v>
      </c>
      <c r="Q686" s="53"/>
      <c r="R686" s="53"/>
      <c r="S686" s="52">
        <f>ROUND(ROUND(P686, 2)*I686, 2)</f>
        <v>0</v>
      </c>
      <c r="T686" s="53"/>
      <c r="U686" s="54"/>
      <c r="V686" s="9">
        <f>ROUND(ROUND(P686, 2)/1.2, 2)</f>
        <v>188.89</v>
      </c>
      <c r="Y686" s="9">
        <f t="shared" si="59"/>
        <v>0</v>
      </c>
      <c r="AD686" s="4" t="s">
        <v>2164</v>
      </c>
      <c r="AE686" s="4" t="s">
        <v>2165</v>
      </c>
      <c r="AF686" s="4" t="s">
        <v>2087</v>
      </c>
    </row>
    <row r="687" spans="1:35" ht="54" x14ac:dyDescent="0.3">
      <c r="A687" s="43" t="s">
        <v>2166</v>
      </c>
      <c r="B687" s="43"/>
      <c r="C687" s="55" t="s">
        <v>2083</v>
      </c>
      <c r="D687" s="45"/>
      <c r="E687" s="45" t="s">
        <v>2163</v>
      </c>
      <c r="F687" s="56" t="s">
        <v>70</v>
      </c>
      <c r="G687" s="57">
        <v>0.3</v>
      </c>
      <c r="H687" s="45"/>
      <c r="I687" s="58">
        <v>7.65</v>
      </c>
      <c r="J687" s="59">
        <v>226.67</v>
      </c>
      <c r="K687" s="60"/>
      <c r="L687" s="60"/>
      <c r="M687" s="59">
        <f>ROUND(ROUND(J687, 2)*I687, 2)</f>
        <v>1734.03</v>
      </c>
      <c r="N687" s="60"/>
      <c r="O687" s="60"/>
      <c r="P687" s="59">
        <v>226.67</v>
      </c>
      <c r="Q687" s="60"/>
      <c r="R687" s="60"/>
      <c r="S687" s="59">
        <f>ROUND(ROUND(P687, 2)*I687, 2)</f>
        <v>1734.03</v>
      </c>
      <c r="T687" s="60"/>
      <c r="U687" s="61"/>
      <c r="V687" s="9">
        <f>ROUND(ROUND(P687, 2)/1.2, 2)</f>
        <v>188.89</v>
      </c>
      <c r="Y687" s="9">
        <f t="shared" si="59"/>
        <v>1445.03</v>
      </c>
      <c r="AD687" s="4" t="s">
        <v>2167</v>
      </c>
      <c r="AE687" s="4" t="s">
        <v>2165</v>
      </c>
      <c r="AF687" s="4" t="s">
        <v>2087</v>
      </c>
    </row>
    <row r="688" spans="1:35" ht="36" x14ac:dyDescent="0.3">
      <c r="A688" s="25" t="s">
        <v>2168</v>
      </c>
      <c r="B688" s="25" t="s">
        <v>2169</v>
      </c>
      <c r="C688" s="26" t="s">
        <v>2170</v>
      </c>
      <c r="D688" s="27"/>
      <c r="E688" s="27" t="s">
        <v>2171</v>
      </c>
      <c r="F688" s="27" t="s">
        <v>64</v>
      </c>
      <c r="G688" s="28">
        <v>1</v>
      </c>
      <c r="H688" s="27"/>
      <c r="I688" s="28">
        <v>0.85</v>
      </c>
      <c r="J688" s="29">
        <f>IFERROR(ROUND(SUM(M689,M690)/I688, 2),0)</f>
        <v>13.38</v>
      </c>
      <c r="K688" s="29">
        <v>464</v>
      </c>
      <c r="L688" s="29">
        <f>J688+ROUND(K688, 2)</f>
        <v>477.38</v>
      </c>
      <c r="M688" s="29">
        <f>ROUND(J688*I688, 2)</f>
        <v>11.37</v>
      </c>
      <c r="N688" s="29">
        <f>ROUND(I688*ROUND(K688, 2), 2)</f>
        <v>394.4</v>
      </c>
      <c r="O688" s="29">
        <f>M688+N688</f>
        <v>405.77</v>
      </c>
      <c r="P688" s="29">
        <f>IFERROR(ROUND(SUM(S689,S690)/I688, 2),0)</f>
        <v>13.38</v>
      </c>
      <c r="Q688" s="29">
        <v>464</v>
      </c>
      <c r="R688" s="29">
        <f>P688+ROUND(Q688, 2)</f>
        <v>477.38</v>
      </c>
      <c r="S688" s="29">
        <f>ROUND(P688*I688, 2)</f>
        <v>11.37</v>
      </c>
      <c r="T688" s="29">
        <f>ROUND(I688*ROUND(Q688, 2), 2)</f>
        <v>394.4</v>
      </c>
      <c r="U688" s="29">
        <f>S688+T688</f>
        <v>405.77</v>
      </c>
      <c r="V688" s="9">
        <f>ROUND(P688 / 1.2, 2)</f>
        <v>11.15</v>
      </c>
      <c r="W688" s="9">
        <f>ROUND(Q688 / 1.2, 2)</f>
        <v>386.67</v>
      </c>
      <c r="X688" s="9">
        <f>ROUND(R688 / 1.2, 2)</f>
        <v>397.82</v>
      </c>
      <c r="Y688" s="9">
        <f t="shared" si="59"/>
        <v>9.48</v>
      </c>
      <c r="Z688" s="9">
        <f>ROUND(T688 / 1.2, 2)</f>
        <v>328.67</v>
      </c>
      <c r="AA688" s="9">
        <f>Y688+Z688</f>
        <v>338.15</v>
      </c>
      <c r="AD688" s="4">
        <v>271132145</v>
      </c>
      <c r="AE688" s="4">
        <v>19999841</v>
      </c>
      <c r="AG688" s="4" t="s">
        <v>2172</v>
      </c>
      <c r="AH688" s="4" t="s">
        <v>2173</v>
      </c>
      <c r="AI688" s="4" t="s">
        <v>67</v>
      </c>
    </row>
    <row r="689" spans="1:35" ht="72" x14ac:dyDescent="0.3">
      <c r="A689" s="25" t="s">
        <v>2174</v>
      </c>
      <c r="B689" s="25"/>
      <c r="C689" s="30" t="s">
        <v>2175</v>
      </c>
      <c r="D689" s="27"/>
      <c r="E689" s="27" t="s">
        <v>2176</v>
      </c>
      <c r="F689" s="31" t="s">
        <v>70</v>
      </c>
      <c r="G689" s="32">
        <v>0.3</v>
      </c>
      <c r="H689" s="27"/>
      <c r="I689" s="32">
        <v>0.255</v>
      </c>
      <c r="J689" s="34">
        <v>0</v>
      </c>
      <c r="K689" s="35"/>
      <c r="L689" s="35"/>
      <c r="M689" s="34">
        <f>ROUND(ROUND(J689, 2)*I689, 2)</f>
        <v>0</v>
      </c>
      <c r="N689" s="35"/>
      <c r="O689" s="35"/>
      <c r="P689" s="34">
        <v>0</v>
      </c>
      <c r="Q689" s="35"/>
      <c r="R689" s="35"/>
      <c r="S689" s="34">
        <f>ROUND(ROUND(P689, 2)*I689, 2)</f>
        <v>0</v>
      </c>
      <c r="T689" s="35"/>
      <c r="U689" s="36"/>
      <c r="V689" s="9">
        <f>ROUND(ROUND(P689, 2)/1.2, 2)</f>
        <v>0</v>
      </c>
      <c r="Y689" s="9">
        <f t="shared" si="59"/>
        <v>0</v>
      </c>
      <c r="AD689" s="4" t="s">
        <v>2177</v>
      </c>
      <c r="AE689" s="4" t="s">
        <v>2178</v>
      </c>
      <c r="AF689" s="4" t="s">
        <v>2179</v>
      </c>
    </row>
    <row r="690" spans="1:35" ht="36" x14ac:dyDescent="0.3">
      <c r="A690" s="25" t="s">
        <v>2180</v>
      </c>
      <c r="B690" s="25"/>
      <c r="C690" s="30" t="s">
        <v>433</v>
      </c>
      <c r="D690" s="27"/>
      <c r="E690" s="27"/>
      <c r="F690" s="31" t="s">
        <v>70</v>
      </c>
      <c r="G690" s="32">
        <v>0.15</v>
      </c>
      <c r="H690" s="27"/>
      <c r="I690" s="32">
        <v>0.128</v>
      </c>
      <c r="J690" s="34">
        <v>88.8</v>
      </c>
      <c r="K690" s="35"/>
      <c r="L690" s="35"/>
      <c r="M690" s="34">
        <f>ROUND(ROUND(J690, 2)*I690, 2)</f>
        <v>11.37</v>
      </c>
      <c r="N690" s="35"/>
      <c r="O690" s="35"/>
      <c r="P690" s="34">
        <v>88.8</v>
      </c>
      <c r="Q690" s="35"/>
      <c r="R690" s="35"/>
      <c r="S690" s="34">
        <f>ROUND(ROUND(P690, 2)*I690, 2)</f>
        <v>11.37</v>
      </c>
      <c r="T690" s="35"/>
      <c r="U690" s="36"/>
      <c r="V690" s="9">
        <f>ROUND(ROUND(P690, 2)/1.2, 2)</f>
        <v>74</v>
      </c>
      <c r="Y690" s="9">
        <f t="shared" si="59"/>
        <v>9.48</v>
      </c>
      <c r="AD690" s="4" t="s">
        <v>2181</v>
      </c>
      <c r="AE690" s="4" t="s">
        <v>2182</v>
      </c>
      <c r="AF690" s="4" t="s">
        <v>436</v>
      </c>
    </row>
    <row r="691" spans="1:35" ht="36" x14ac:dyDescent="0.3">
      <c r="A691" s="25" t="s">
        <v>2183</v>
      </c>
      <c r="B691" s="25" t="s">
        <v>2169</v>
      </c>
      <c r="C691" s="26" t="s">
        <v>2170</v>
      </c>
      <c r="D691" s="27"/>
      <c r="E691" s="27" t="s">
        <v>2184</v>
      </c>
      <c r="F691" s="27" t="s">
        <v>64</v>
      </c>
      <c r="G691" s="28">
        <v>1</v>
      </c>
      <c r="H691" s="27"/>
      <c r="I691" s="28">
        <v>1.5</v>
      </c>
      <c r="J691" s="29">
        <f>IFERROR(ROUND(SUM(M692,M693)/I691, 2),0)</f>
        <v>13.32</v>
      </c>
      <c r="K691" s="29">
        <v>464</v>
      </c>
      <c r="L691" s="29">
        <f>J691+ROUND(K691, 2)</f>
        <v>477.32</v>
      </c>
      <c r="M691" s="29">
        <f>ROUND(J691*I691, 2)</f>
        <v>19.98</v>
      </c>
      <c r="N691" s="29">
        <f>ROUND(I691*ROUND(K691, 2), 2)</f>
        <v>696</v>
      </c>
      <c r="O691" s="29">
        <f>M691+N691</f>
        <v>715.98</v>
      </c>
      <c r="P691" s="29">
        <f>IFERROR(ROUND(SUM(S692,S693)/I691, 2),0)</f>
        <v>13.32</v>
      </c>
      <c r="Q691" s="29">
        <v>464</v>
      </c>
      <c r="R691" s="29">
        <f>P691+ROUND(Q691, 2)</f>
        <v>477.32</v>
      </c>
      <c r="S691" s="29">
        <f>ROUND(P691*I691, 2)</f>
        <v>19.98</v>
      </c>
      <c r="T691" s="29">
        <f>ROUND(I691*ROUND(Q691, 2), 2)</f>
        <v>696</v>
      </c>
      <c r="U691" s="29">
        <f>S691+T691</f>
        <v>715.98</v>
      </c>
      <c r="V691" s="9">
        <f>ROUND(P691 / 1.2, 2)</f>
        <v>11.1</v>
      </c>
      <c r="W691" s="9">
        <f>ROUND(Q691 / 1.2, 2)</f>
        <v>386.67</v>
      </c>
      <c r="X691" s="9">
        <f>ROUND(R691 / 1.2, 2)</f>
        <v>397.77</v>
      </c>
      <c r="Y691" s="9">
        <f t="shared" si="59"/>
        <v>16.649999999999999</v>
      </c>
      <c r="Z691" s="9">
        <f>ROUND(T691 / 1.2, 2)</f>
        <v>580</v>
      </c>
      <c r="AA691" s="9">
        <f>Y691+Z691</f>
        <v>596.65</v>
      </c>
      <c r="AD691" s="4">
        <v>271132253</v>
      </c>
      <c r="AE691" s="4">
        <v>19999842</v>
      </c>
      <c r="AG691" s="4" t="s">
        <v>2172</v>
      </c>
      <c r="AH691" s="4" t="s">
        <v>2173</v>
      </c>
      <c r="AI691" s="4" t="s">
        <v>67</v>
      </c>
    </row>
    <row r="692" spans="1:35" ht="36" x14ac:dyDescent="0.3">
      <c r="A692" s="25" t="s">
        <v>2185</v>
      </c>
      <c r="B692" s="25"/>
      <c r="C692" s="30" t="s">
        <v>433</v>
      </c>
      <c r="D692" s="27"/>
      <c r="E692" s="27"/>
      <c r="F692" s="31" t="s">
        <v>70</v>
      </c>
      <c r="G692" s="32">
        <v>0.15</v>
      </c>
      <c r="H692" s="27"/>
      <c r="I692" s="32">
        <v>0.22500000000000001</v>
      </c>
      <c r="J692" s="34">
        <v>88.8</v>
      </c>
      <c r="K692" s="35"/>
      <c r="L692" s="35"/>
      <c r="M692" s="34">
        <f>ROUND(ROUND(J692, 2)*I692, 2)</f>
        <v>19.98</v>
      </c>
      <c r="N692" s="35"/>
      <c r="O692" s="35"/>
      <c r="P692" s="34">
        <v>88.8</v>
      </c>
      <c r="Q692" s="35"/>
      <c r="R692" s="35"/>
      <c r="S692" s="34">
        <f>ROUND(ROUND(P692, 2)*I692, 2)</f>
        <v>19.98</v>
      </c>
      <c r="T692" s="35"/>
      <c r="U692" s="36"/>
      <c r="V692" s="9">
        <f>ROUND(ROUND(P692, 2)/1.2, 2)</f>
        <v>74</v>
      </c>
      <c r="Y692" s="9">
        <f t="shared" si="59"/>
        <v>16.649999999999999</v>
      </c>
      <c r="AD692" s="4" t="s">
        <v>2186</v>
      </c>
      <c r="AE692" s="4" t="s">
        <v>2187</v>
      </c>
      <c r="AF692" s="4" t="s">
        <v>436</v>
      </c>
    </row>
    <row r="693" spans="1:35" ht="72" x14ac:dyDescent="0.3">
      <c r="A693" s="25" t="s">
        <v>2188</v>
      </c>
      <c r="B693" s="25"/>
      <c r="C693" s="30" t="s">
        <v>2175</v>
      </c>
      <c r="D693" s="27"/>
      <c r="E693" s="27" t="s">
        <v>2189</v>
      </c>
      <c r="F693" s="31" t="s">
        <v>70</v>
      </c>
      <c r="G693" s="32">
        <v>0.3</v>
      </c>
      <c r="H693" s="27"/>
      <c r="I693" s="32">
        <v>0.45</v>
      </c>
      <c r="J693" s="34">
        <v>0</v>
      </c>
      <c r="K693" s="35"/>
      <c r="L693" s="35"/>
      <c r="M693" s="34">
        <f>ROUND(ROUND(J693, 2)*I693, 2)</f>
        <v>0</v>
      </c>
      <c r="N693" s="35"/>
      <c r="O693" s="35"/>
      <c r="P693" s="34">
        <v>0</v>
      </c>
      <c r="Q693" s="35"/>
      <c r="R693" s="35"/>
      <c r="S693" s="34">
        <f>ROUND(ROUND(P693, 2)*I693, 2)</f>
        <v>0</v>
      </c>
      <c r="T693" s="35"/>
      <c r="U693" s="36"/>
      <c r="V693" s="9">
        <f>ROUND(ROUND(P693, 2)/1.2, 2)</f>
        <v>0</v>
      </c>
      <c r="Y693" s="9">
        <f t="shared" si="59"/>
        <v>0</v>
      </c>
      <c r="AD693" s="4" t="s">
        <v>2190</v>
      </c>
      <c r="AE693" s="4" t="s">
        <v>2191</v>
      </c>
      <c r="AF693" s="4" t="s">
        <v>2179</v>
      </c>
    </row>
    <row r="694" spans="1:35" ht="36" x14ac:dyDescent="0.3">
      <c r="A694" s="25" t="s">
        <v>2192</v>
      </c>
      <c r="B694" s="25" t="s">
        <v>2169</v>
      </c>
      <c r="C694" s="26" t="s">
        <v>2170</v>
      </c>
      <c r="D694" s="27"/>
      <c r="E694" s="27" t="s">
        <v>2193</v>
      </c>
      <c r="F694" s="27" t="s">
        <v>64</v>
      </c>
      <c r="G694" s="28">
        <v>1</v>
      </c>
      <c r="H694" s="27"/>
      <c r="I694" s="28">
        <v>139.22</v>
      </c>
      <c r="J694" s="29">
        <f>IFERROR(ROUND(SUM(M695,M696)/I694, 2),0)</f>
        <v>13.32</v>
      </c>
      <c r="K694" s="29">
        <v>464</v>
      </c>
      <c r="L694" s="29">
        <f>J694+ROUND(K694, 2)</f>
        <v>477.32</v>
      </c>
      <c r="M694" s="29">
        <f>ROUND(J694*I694, 2)</f>
        <v>1854.41</v>
      </c>
      <c r="N694" s="29">
        <f>ROUND(I694*ROUND(K694, 2), 2)</f>
        <v>64598.080000000002</v>
      </c>
      <c r="O694" s="29">
        <f>M694+N694</f>
        <v>66452.490000000005</v>
      </c>
      <c r="P694" s="29">
        <f>IFERROR(ROUND(SUM(S695,S696)/I694, 2),0)</f>
        <v>13.32</v>
      </c>
      <c r="Q694" s="29">
        <v>464</v>
      </c>
      <c r="R694" s="29">
        <f>P694+ROUND(Q694, 2)</f>
        <v>477.32</v>
      </c>
      <c r="S694" s="29">
        <f>ROUND(P694*I694, 2)</f>
        <v>1854.41</v>
      </c>
      <c r="T694" s="29">
        <f>ROUND(I694*ROUND(Q694, 2), 2)</f>
        <v>64598.080000000002</v>
      </c>
      <c r="U694" s="29">
        <f>S694+T694</f>
        <v>66452.490000000005</v>
      </c>
      <c r="V694" s="9">
        <f>ROUND(P694 / 1.2, 2)</f>
        <v>11.1</v>
      </c>
      <c r="W694" s="9">
        <f>ROUND(Q694 / 1.2, 2)</f>
        <v>386.67</v>
      </c>
      <c r="X694" s="9">
        <f>ROUND(R694 / 1.2, 2)</f>
        <v>397.77</v>
      </c>
      <c r="Y694" s="9">
        <f t="shared" si="59"/>
        <v>1545.34</v>
      </c>
      <c r="Z694" s="9">
        <f>ROUND(T694 / 1.2, 2)</f>
        <v>53831.73</v>
      </c>
      <c r="AA694" s="9">
        <f>Y694+Z694</f>
        <v>55377.07</v>
      </c>
      <c r="AD694" s="4">
        <v>271132254</v>
      </c>
      <c r="AE694" s="4">
        <v>19999840</v>
      </c>
      <c r="AG694" s="4" t="s">
        <v>2172</v>
      </c>
      <c r="AH694" s="4" t="s">
        <v>2173</v>
      </c>
      <c r="AI694" s="4" t="s">
        <v>67</v>
      </c>
    </row>
    <row r="695" spans="1:35" ht="36" x14ac:dyDescent="0.3">
      <c r="A695" s="25" t="s">
        <v>2194</v>
      </c>
      <c r="B695" s="25"/>
      <c r="C695" s="30" t="s">
        <v>433</v>
      </c>
      <c r="D695" s="27"/>
      <c r="E695" s="27"/>
      <c r="F695" s="31" t="s">
        <v>70</v>
      </c>
      <c r="G695" s="32">
        <v>0.15</v>
      </c>
      <c r="H695" s="27"/>
      <c r="I695" s="32">
        <v>20.882999999999999</v>
      </c>
      <c r="J695" s="34">
        <v>88.8</v>
      </c>
      <c r="K695" s="35"/>
      <c r="L695" s="35"/>
      <c r="M695" s="34">
        <f>ROUND(ROUND(J695, 2)*I695, 2)</f>
        <v>1854.41</v>
      </c>
      <c r="N695" s="35"/>
      <c r="O695" s="35"/>
      <c r="P695" s="34">
        <v>88.8</v>
      </c>
      <c r="Q695" s="35"/>
      <c r="R695" s="35"/>
      <c r="S695" s="34">
        <f>ROUND(ROUND(P695, 2)*I695, 2)</f>
        <v>1854.41</v>
      </c>
      <c r="T695" s="35"/>
      <c r="U695" s="36"/>
      <c r="V695" s="9">
        <f>ROUND(ROUND(P695, 2)/1.2, 2)</f>
        <v>74</v>
      </c>
      <c r="Y695" s="9">
        <f t="shared" si="59"/>
        <v>1545.34</v>
      </c>
      <c r="AD695" s="4" t="s">
        <v>2195</v>
      </c>
      <c r="AE695" s="4" t="s">
        <v>2196</v>
      </c>
      <c r="AF695" s="4" t="s">
        <v>436</v>
      </c>
    </row>
    <row r="696" spans="1:35" ht="72" x14ac:dyDescent="0.3">
      <c r="A696" s="25" t="s">
        <v>2197</v>
      </c>
      <c r="B696" s="25"/>
      <c r="C696" s="30" t="s">
        <v>2175</v>
      </c>
      <c r="D696" s="27"/>
      <c r="E696" s="27" t="s">
        <v>2198</v>
      </c>
      <c r="F696" s="31" t="s">
        <v>70</v>
      </c>
      <c r="G696" s="32">
        <v>0.3</v>
      </c>
      <c r="H696" s="27"/>
      <c r="I696" s="32">
        <v>41.765999999999998</v>
      </c>
      <c r="J696" s="34">
        <v>0</v>
      </c>
      <c r="K696" s="35"/>
      <c r="L696" s="35"/>
      <c r="M696" s="34">
        <f>ROUND(ROUND(J696, 2)*I696, 2)</f>
        <v>0</v>
      </c>
      <c r="N696" s="35"/>
      <c r="O696" s="35"/>
      <c r="P696" s="34">
        <v>0</v>
      </c>
      <c r="Q696" s="35"/>
      <c r="R696" s="35"/>
      <c r="S696" s="34">
        <f>ROUND(ROUND(P696, 2)*I696, 2)</f>
        <v>0</v>
      </c>
      <c r="T696" s="35"/>
      <c r="U696" s="36"/>
      <c r="V696" s="9">
        <f>ROUND(ROUND(P696, 2)/1.2, 2)</f>
        <v>0</v>
      </c>
      <c r="Y696" s="9">
        <f t="shared" si="59"/>
        <v>0</v>
      </c>
      <c r="AD696" s="4" t="s">
        <v>2199</v>
      </c>
      <c r="AE696" s="4" t="s">
        <v>2200</v>
      </c>
      <c r="AF696" s="4" t="s">
        <v>2179</v>
      </c>
    </row>
    <row r="697" spans="1:35" ht="36" x14ac:dyDescent="0.3">
      <c r="A697" s="25" t="s">
        <v>2201</v>
      </c>
      <c r="B697" s="25" t="s">
        <v>2169</v>
      </c>
      <c r="C697" s="26" t="s">
        <v>2170</v>
      </c>
      <c r="D697" s="27"/>
      <c r="E697" s="27" t="s">
        <v>2202</v>
      </c>
      <c r="F697" s="27" t="s">
        <v>64</v>
      </c>
      <c r="G697" s="28">
        <v>1</v>
      </c>
      <c r="H697" s="27"/>
      <c r="I697" s="28">
        <v>143.96</v>
      </c>
      <c r="J697" s="29">
        <f>IFERROR(ROUND(SUM(M698,M699)/I697, 2),0)</f>
        <v>13.32</v>
      </c>
      <c r="K697" s="29">
        <v>464</v>
      </c>
      <c r="L697" s="29">
        <f>J697+ROUND(K697, 2)</f>
        <v>477.32</v>
      </c>
      <c r="M697" s="29">
        <f>ROUND(J697*I697, 2)</f>
        <v>1917.55</v>
      </c>
      <c r="N697" s="29">
        <f>ROUND(I697*ROUND(K697, 2), 2)</f>
        <v>66797.440000000002</v>
      </c>
      <c r="O697" s="29">
        <f>M697+N697</f>
        <v>68714.990000000005</v>
      </c>
      <c r="P697" s="29">
        <f>IFERROR(ROUND(SUM(S698,S699)/I697, 2),0)</f>
        <v>13.32</v>
      </c>
      <c r="Q697" s="29">
        <v>464</v>
      </c>
      <c r="R697" s="29">
        <f>P697+ROUND(Q697, 2)</f>
        <v>477.32</v>
      </c>
      <c r="S697" s="29">
        <f>ROUND(P697*I697, 2)</f>
        <v>1917.55</v>
      </c>
      <c r="T697" s="29">
        <f>ROUND(I697*ROUND(Q697, 2), 2)</f>
        <v>66797.440000000002</v>
      </c>
      <c r="U697" s="29">
        <f>S697+T697</f>
        <v>68714.990000000005</v>
      </c>
      <c r="V697" s="9">
        <f>ROUND(P697 / 1.2, 2)</f>
        <v>11.1</v>
      </c>
      <c r="W697" s="9">
        <f>ROUND(Q697 / 1.2, 2)</f>
        <v>386.67</v>
      </c>
      <c r="X697" s="9">
        <f>ROUND(R697 / 1.2, 2)</f>
        <v>397.77</v>
      </c>
      <c r="Y697" s="9">
        <f t="shared" si="59"/>
        <v>1597.96</v>
      </c>
      <c r="Z697" s="9">
        <f>ROUND(T697 / 1.2, 2)</f>
        <v>55664.53</v>
      </c>
      <c r="AA697" s="9">
        <f>Y697+Z697</f>
        <v>57262.49</v>
      </c>
      <c r="AD697" s="4">
        <v>271132255</v>
      </c>
      <c r="AE697" s="4">
        <v>19999843</v>
      </c>
      <c r="AG697" s="4" t="s">
        <v>2172</v>
      </c>
      <c r="AH697" s="4" t="s">
        <v>2173</v>
      </c>
      <c r="AI697" s="4" t="s">
        <v>67</v>
      </c>
    </row>
    <row r="698" spans="1:35" ht="36" x14ac:dyDescent="0.3">
      <c r="A698" s="25" t="s">
        <v>2203</v>
      </c>
      <c r="B698" s="25"/>
      <c r="C698" s="30" t="s">
        <v>433</v>
      </c>
      <c r="D698" s="27"/>
      <c r="E698" s="27"/>
      <c r="F698" s="31" t="s">
        <v>70</v>
      </c>
      <c r="G698" s="32">
        <v>0.15</v>
      </c>
      <c r="H698" s="27"/>
      <c r="I698" s="32">
        <v>21.594000000000001</v>
      </c>
      <c r="J698" s="34">
        <v>88.8</v>
      </c>
      <c r="K698" s="35"/>
      <c r="L698" s="35"/>
      <c r="M698" s="34">
        <f>ROUND(ROUND(J698, 2)*I698, 2)</f>
        <v>1917.55</v>
      </c>
      <c r="N698" s="35"/>
      <c r="O698" s="35"/>
      <c r="P698" s="34">
        <v>88.8</v>
      </c>
      <c r="Q698" s="35"/>
      <c r="R698" s="35"/>
      <c r="S698" s="34">
        <f>ROUND(ROUND(P698, 2)*I698, 2)</f>
        <v>1917.55</v>
      </c>
      <c r="T698" s="35"/>
      <c r="U698" s="36"/>
      <c r="V698" s="9">
        <f>ROUND(ROUND(P698, 2)/1.2, 2)</f>
        <v>74</v>
      </c>
      <c r="Y698" s="9">
        <f t="shared" si="59"/>
        <v>1597.96</v>
      </c>
      <c r="AD698" s="4" t="s">
        <v>2204</v>
      </c>
      <c r="AE698" s="4" t="s">
        <v>2205</v>
      </c>
      <c r="AF698" s="4" t="s">
        <v>436</v>
      </c>
    </row>
    <row r="699" spans="1:35" ht="54" x14ac:dyDescent="0.3">
      <c r="A699" s="25" t="s">
        <v>2206</v>
      </c>
      <c r="B699" s="25"/>
      <c r="C699" s="30" t="s">
        <v>2207</v>
      </c>
      <c r="D699" s="27"/>
      <c r="E699" s="27" t="s">
        <v>2208</v>
      </c>
      <c r="F699" s="31" t="s">
        <v>70</v>
      </c>
      <c r="G699" s="32">
        <v>0.3</v>
      </c>
      <c r="H699" s="27"/>
      <c r="I699" s="32">
        <v>43.188000000000002</v>
      </c>
      <c r="J699" s="34">
        <v>0</v>
      </c>
      <c r="K699" s="35"/>
      <c r="L699" s="35"/>
      <c r="M699" s="34">
        <f>ROUND(ROUND(J699, 2)*I699, 2)</f>
        <v>0</v>
      </c>
      <c r="N699" s="35"/>
      <c r="O699" s="35"/>
      <c r="P699" s="34">
        <v>0</v>
      </c>
      <c r="Q699" s="35"/>
      <c r="R699" s="35"/>
      <c r="S699" s="34">
        <f>ROUND(ROUND(P699, 2)*I699, 2)</f>
        <v>0</v>
      </c>
      <c r="T699" s="35"/>
      <c r="U699" s="36"/>
      <c r="V699" s="9">
        <f>ROUND(ROUND(P699, 2)/1.2, 2)</f>
        <v>0</v>
      </c>
      <c r="Y699" s="9">
        <f t="shared" si="59"/>
        <v>0</v>
      </c>
      <c r="AD699" s="4" t="s">
        <v>2209</v>
      </c>
      <c r="AE699" s="4" t="s">
        <v>2210</v>
      </c>
      <c r="AF699" s="4" t="s">
        <v>2211</v>
      </c>
    </row>
    <row r="700" spans="1:35" ht="36" x14ac:dyDescent="0.3">
      <c r="A700" s="25" t="s">
        <v>2212</v>
      </c>
      <c r="B700" s="25" t="s">
        <v>2169</v>
      </c>
      <c r="C700" s="26" t="s">
        <v>2170</v>
      </c>
      <c r="D700" s="27"/>
      <c r="E700" s="27" t="s">
        <v>2213</v>
      </c>
      <c r="F700" s="27" t="s">
        <v>64</v>
      </c>
      <c r="G700" s="28">
        <v>1</v>
      </c>
      <c r="H700" s="27"/>
      <c r="I700" s="28">
        <v>28.93</v>
      </c>
      <c r="J700" s="29">
        <f>IFERROR(ROUND(SUM(M701,M702)/I700, 2),0)</f>
        <v>13.32</v>
      </c>
      <c r="K700" s="29">
        <v>464</v>
      </c>
      <c r="L700" s="29">
        <f>J700+ROUND(K700, 2)</f>
        <v>477.32</v>
      </c>
      <c r="M700" s="29">
        <f>ROUND(J700*I700, 2)</f>
        <v>385.35</v>
      </c>
      <c r="N700" s="29">
        <f>ROUND(I700*ROUND(K700, 2), 2)</f>
        <v>13423.52</v>
      </c>
      <c r="O700" s="29">
        <f>M700+N700</f>
        <v>13808.87</v>
      </c>
      <c r="P700" s="29">
        <f>IFERROR(ROUND(SUM(S701,S702)/I700, 2),0)</f>
        <v>13.32</v>
      </c>
      <c r="Q700" s="29">
        <v>464</v>
      </c>
      <c r="R700" s="29">
        <f>P700+ROUND(Q700, 2)</f>
        <v>477.32</v>
      </c>
      <c r="S700" s="29">
        <f>ROUND(P700*I700, 2)</f>
        <v>385.35</v>
      </c>
      <c r="T700" s="29">
        <f>ROUND(I700*ROUND(Q700, 2), 2)</f>
        <v>13423.52</v>
      </c>
      <c r="U700" s="29">
        <f>S700+T700</f>
        <v>13808.87</v>
      </c>
      <c r="V700" s="9">
        <f>ROUND(P700 / 1.2, 2)</f>
        <v>11.1</v>
      </c>
      <c r="W700" s="9">
        <f>ROUND(Q700 / 1.2, 2)</f>
        <v>386.67</v>
      </c>
      <c r="X700" s="9">
        <f>ROUND(R700 / 1.2, 2)</f>
        <v>397.77</v>
      </c>
      <c r="Y700" s="9">
        <f t="shared" si="59"/>
        <v>321.13</v>
      </c>
      <c r="Z700" s="9">
        <f>ROUND(T700 / 1.2, 2)</f>
        <v>11186.27</v>
      </c>
      <c r="AA700" s="9">
        <f>Y700+Z700</f>
        <v>11507.4</v>
      </c>
      <c r="AD700" s="4">
        <v>271132256</v>
      </c>
      <c r="AE700" s="4">
        <v>19999844</v>
      </c>
      <c r="AG700" s="4" t="s">
        <v>2172</v>
      </c>
      <c r="AH700" s="4" t="s">
        <v>2173</v>
      </c>
      <c r="AI700" s="4" t="s">
        <v>67</v>
      </c>
    </row>
    <row r="701" spans="1:35" ht="36" x14ac:dyDescent="0.3">
      <c r="A701" s="25" t="s">
        <v>2214</v>
      </c>
      <c r="B701" s="25"/>
      <c r="C701" s="30" t="s">
        <v>433</v>
      </c>
      <c r="D701" s="27"/>
      <c r="E701" s="27"/>
      <c r="F701" s="31" t="s">
        <v>70</v>
      </c>
      <c r="G701" s="32">
        <v>0.15</v>
      </c>
      <c r="H701" s="27"/>
      <c r="I701" s="32">
        <v>4.34</v>
      </c>
      <c r="J701" s="34">
        <v>88.8</v>
      </c>
      <c r="K701" s="35"/>
      <c r="L701" s="35"/>
      <c r="M701" s="34">
        <f>ROUND(ROUND(J701, 2)*I701, 2)</f>
        <v>385.39</v>
      </c>
      <c r="N701" s="35"/>
      <c r="O701" s="35"/>
      <c r="P701" s="34">
        <v>88.8</v>
      </c>
      <c r="Q701" s="35"/>
      <c r="R701" s="35"/>
      <c r="S701" s="34">
        <f>ROUND(ROUND(P701, 2)*I701, 2)</f>
        <v>385.39</v>
      </c>
      <c r="T701" s="35"/>
      <c r="U701" s="36"/>
      <c r="V701" s="9">
        <f>ROUND(ROUND(P701, 2)/1.2, 2)</f>
        <v>74</v>
      </c>
      <c r="Y701" s="9">
        <f t="shared" si="59"/>
        <v>321.16000000000003</v>
      </c>
      <c r="AD701" s="4" t="s">
        <v>2215</v>
      </c>
      <c r="AE701" s="4" t="s">
        <v>2216</v>
      </c>
      <c r="AF701" s="4" t="s">
        <v>436</v>
      </c>
    </row>
    <row r="702" spans="1:35" ht="54" x14ac:dyDescent="0.3">
      <c r="A702" s="25" t="s">
        <v>2217</v>
      </c>
      <c r="B702" s="25"/>
      <c r="C702" s="30" t="s">
        <v>2207</v>
      </c>
      <c r="D702" s="27"/>
      <c r="E702" s="27" t="s">
        <v>2218</v>
      </c>
      <c r="F702" s="31" t="s">
        <v>70</v>
      </c>
      <c r="G702" s="32">
        <v>0.3</v>
      </c>
      <c r="H702" s="27"/>
      <c r="I702" s="32">
        <v>8.6790000000000003</v>
      </c>
      <c r="J702" s="34">
        <v>0</v>
      </c>
      <c r="K702" s="35"/>
      <c r="L702" s="35"/>
      <c r="M702" s="34">
        <f>ROUND(ROUND(J702, 2)*I702, 2)</f>
        <v>0</v>
      </c>
      <c r="N702" s="35"/>
      <c r="O702" s="35"/>
      <c r="P702" s="34">
        <v>0</v>
      </c>
      <c r="Q702" s="35"/>
      <c r="R702" s="35"/>
      <c r="S702" s="34">
        <f>ROUND(ROUND(P702, 2)*I702, 2)</f>
        <v>0</v>
      </c>
      <c r="T702" s="35"/>
      <c r="U702" s="36"/>
      <c r="V702" s="9">
        <f>ROUND(ROUND(P702, 2)/1.2, 2)</f>
        <v>0</v>
      </c>
      <c r="Y702" s="9">
        <f t="shared" si="59"/>
        <v>0</v>
      </c>
      <c r="AD702" s="4" t="s">
        <v>2219</v>
      </c>
      <c r="AE702" s="4" t="s">
        <v>2220</v>
      </c>
      <c r="AF702" s="4" t="s">
        <v>2211</v>
      </c>
    </row>
    <row r="703" spans="1:35" ht="36" x14ac:dyDescent="0.3">
      <c r="A703" s="25" t="s">
        <v>2221</v>
      </c>
      <c r="B703" s="25" t="s">
        <v>2169</v>
      </c>
      <c r="C703" s="26" t="s">
        <v>2170</v>
      </c>
      <c r="D703" s="27"/>
      <c r="E703" s="27" t="s">
        <v>2222</v>
      </c>
      <c r="F703" s="27" t="s">
        <v>64</v>
      </c>
      <c r="G703" s="28">
        <v>1</v>
      </c>
      <c r="H703" s="27"/>
      <c r="I703" s="28">
        <v>28.7</v>
      </c>
      <c r="J703" s="29">
        <f>IFERROR(ROUND(SUM(M704,M705)/I703, 2),0)</f>
        <v>13.32</v>
      </c>
      <c r="K703" s="29">
        <v>464</v>
      </c>
      <c r="L703" s="29">
        <f>J703+ROUND(K703, 2)</f>
        <v>477.32</v>
      </c>
      <c r="M703" s="29">
        <f>ROUND(J703*I703, 2)</f>
        <v>382.28</v>
      </c>
      <c r="N703" s="29">
        <f>ROUND(I703*ROUND(K703, 2), 2)</f>
        <v>13316.8</v>
      </c>
      <c r="O703" s="29">
        <f>M703+N703</f>
        <v>13699.08</v>
      </c>
      <c r="P703" s="29">
        <f>IFERROR(ROUND(SUM(S704,S705)/I703, 2),0)</f>
        <v>13.32</v>
      </c>
      <c r="Q703" s="29">
        <v>464</v>
      </c>
      <c r="R703" s="29">
        <f>P703+ROUND(Q703, 2)</f>
        <v>477.32</v>
      </c>
      <c r="S703" s="29">
        <f>ROUND(P703*I703, 2)</f>
        <v>382.28</v>
      </c>
      <c r="T703" s="29">
        <f>ROUND(I703*ROUND(Q703, 2), 2)</f>
        <v>13316.8</v>
      </c>
      <c r="U703" s="29">
        <f>S703+T703</f>
        <v>13699.08</v>
      </c>
      <c r="V703" s="9">
        <f>ROUND(P703 / 1.2, 2)</f>
        <v>11.1</v>
      </c>
      <c r="W703" s="9">
        <f>ROUND(Q703 / 1.2, 2)</f>
        <v>386.67</v>
      </c>
      <c r="X703" s="9">
        <f>ROUND(R703 / 1.2, 2)</f>
        <v>397.77</v>
      </c>
      <c r="Y703" s="9">
        <f t="shared" si="59"/>
        <v>318.57</v>
      </c>
      <c r="Z703" s="9">
        <f>ROUND(T703 / 1.2, 2)</f>
        <v>11097.33</v>
      </c>
      <c r="AA703" s="9">
        <f>Y703+Z703</f>
        <v>11415.9</v>
      </c>
      <c r="AD703" s="4">
        <v>271132257</v>
      </c>
      <c r="AE703" s="4">
        <v>19999845</v>
      </c>
      <c r="AG703" s="4" t="s">
        <v>2172</v>
      </c>
      <c r="AH703" s="4" t="s">
        <v>2173</v>
      </c>
      <c r="AI703" s="4" t="s">
        <v>67</v>
      </c>
    </row>
    <row r="704" spans="1:35" ht="36" x14ac:dyDescent="0.3">
      <c r="A704" s="25" t="s">
        <v>2223</v>
      </c>
      <c r="B704" s="25"/>
      <c r="C704" s="30" t="s">
        <v>433</v>
      </c>
      <c r="D704" s="27"/>
      <c r="E704" s="27"/>
      <c r="F704" s="31" t="s">
        <v>70</v>
      </c>
      <c r="G704" s="32">
        <v>0.15</v>
      </c>
      <c r="H704" s="27"/>
      <c r="I704" s="32">
        <v>4.3049999999999997</v>
      </c>
      <c r="J704" s="34">
        <v>88.8</v>
      </c>
      <c r="K704" s="35"/>
      <c r="L704" s="35"/>
      <c r="M704" s="34">
        <f>ROUND(ROUND(J704, 2)*I704, 2)</f>
        <v>382.28</v>
      </c>
      <c r="N704" s="35"/>
      <c r="O704" s="35"/>
      <c r="P704" s="34">
        <v>88.8</v>
      </c>
      <c r="Q704" s="35"/>
      <c r="R704" s="35"/>
      <c r="S704" s="34">
        <f>ROUND(ROUND(P704, 2)*I704, 2)</f>
        <v>382.28</v>
      </c>
      <c r="T704" s="35"/>
      <c r="U704" s="36"/>
      <c r="V704" s="9">
        <f>ROUND(ROUND(P704, 2)/1.2, 2)</f>
        <v>74</v>
      </c>
      <c r="Y704" s="9">
        <f t="shared" si="59"/>
        <v>318.57</v>
      </c>
      <c r="AD704" s="4" t="s">
        <v>2224</v>
      </c>
      <c r="AE704" s="4" t="s">
        <v>2225</v>
      </c>
      <c r="AF704" s="4" t="s">
        <v>436</v>
      </c>
    </row>
    <row r="705" spans="1:35" ht="54" x14ac:dyDescent="0.3">
      <c r="A705" s="25" t="s">
        <v>2226</v>
      </c>
      <c r="B705" s="25"/>
      <c r="C705" s="30" t="s">
        <v>2207</v>
      </c>
      <c r="D705" s="27"/>
      <c r="E705" s="27" t="s">
        <v>2227</v>
      </c>
      <c r="F705" s="31" t="s">
        <v>70</v>
      </c>
      <c r="G705" s="32">
        <v>0.3</v>
      </c>
      <c r="H705" s="27"/>
      <c r="I705" s="32">
        <v>8.61</v>
      </c>
      <c r="J705" s="34">
        <v>0</v>
      </c>
      <c r="K705" s="35"/>
      <c r="L705" s="35"/>
      <c r="M705" s="34">
        <f>ROUND(ROUND(J705, 2)*I705, 2)</f>
        <v>0</v>
      </c>
      <c r="N705" s="35"/>
      <c r="O705" s="35"/>
      <c r="P705" s="34">
        <v>0</v>
      </c>
      <c r="Q705" s="35"/>
      <c r="R705" s="35"/>
      <c r="S705" s="34">
        <f>ROUND(ROUND(P705, 2)*I705, 2)</f>
        <v>0</v>
      </c>
      <c r="T705" s="35"/>
      <c r="U705" s="36"/>
      <c r="V705" s="9">
        <f>ROUND(ROUND(P705, 2)/1.2, 2)</f>
        <v>0</v>
      </c>
      <c r="Y705" s="9">
        <f t="shared" si="59"/>
        <v>0</v>
      </c>
      <c r="AD705" s="4" t="s">
        <v>2228</v>
      </c>
      <c r="AE705" s="4" t="s">
        <v>2229</v>
      </c>
      <c r="AF705" s="4" t="s">
        <v>2211</v>
      </c>
    </row>
    <row r="706" spans="1:35" ht="36" x14ac:dyDescent="0.3">
      <c r="A706" s="25" t="s">
        <v>2230</v>
      </c>
      <c r="B706" s="25" t="s">
        <v>2169</v>
      </c>
      <c r="C706" s="26" t="s">
        <v>2170</v>
      </c>
      <c r="D706" s="27"/>
      <c r="E706" s="27" t="s">
        <v>2231</v>
      </c>
      <c r="F706" s="27" t="s">
        <v>64</v>
      </c>
      <c r="G706" s="28">
        <v>1</v>
      </c>
      <c r="H706" s="27"/>
      <c r="I706" s="28">
        <v>29.42</v>
      </c>
      <c r="J706" s="29">
        <f>IFERROR(ROUND(SUM(M707,M708)/I706, 2),0)</f>
        <v>13.32</v>
      </c>
      <c r="K706" s="29">
        <v>464</v>
      </c>
      <c r="L706" s="29">
        <f>J706+ROUND(K706, 2)</f>
        <v>477.32</v>
      </c>
      <c r="M706" s="29">
        <f>ROUND(J706*I706, 2)</f>
        <v>391.87</v>
      </c>
      <c r="N706" s="29">
        <f>ROUND(I706*ROUND(K706, 2), 2)</f>
        <v>13650.88</v>
      </c>
      <c r="O706" s="29">
        <f>M706+N706</f>
        <v>14042.75</v>
      </c>
      <c r="P706" s="29">
        <f>IFERROR(ROUND(SUM(S707,S708)/I706, 2),0)</f>
        <v>13.32</v>
      </c>
      <c r="Q706" s="29">
        <v>464</v>
      </c>
      <c r="R706" s="29">
        <f>P706+ROUND(Q706, 2)</f>
        <v>477.32</v>
      </c>
      <c r="S706" s="29">
        <f>ROUND(P706*I706, 2)</f>
        <v>391.87</v>
      </c>
      <c r="T706" s="29">
        <f>ROUND(I706*ROUND(Q706, 2), 2)</f>
        <v>13650.88</v>
      </c>
      <c r="U706" s="29">
        <f>S706+T706</f>
        <v>14042.75</v>
      </c>
      <c r="V706" s="9">
        <f>ROUND(P706 / 1.2, 2)</f>
        <v>11.1</v>
      </c>
      <c r="W706" s="9">
        <f>ROUND(Q706 / 1.2, 2)</f>
        <v>386.67</v>
      </c>
      <c r="X706" s="9">
        <f>ROUND(R706 / 1.2, 2)</f>
        <v>397.77</v>
      </c>
      <c r="Y706" s="9">
        <f t="shared" si="59"/>
        <v>326.56</v>
      </c>
      <c r="Z706" s="9">
        <f>ROUND(T706 / 1.2, 2)</f>
        <v>11375.73</v>
      </c>
      <c r="AA706" s="9">
        <f>Y706+Z706</f>
        <v>11702.29</v>
      </c>
      <c r="AD706" s="4">
        <v>271132258</v>
      </c>
      <c r="AE706" s="4">
        <v>19999846</v>
      </c>
      <c r="AG706" s="4" t="s">
        <v>2172</v>
      </c>
      <c r="AH706" s="4" t="s">
        <v>2173</v>
      </c>
      <c r="AI706" s="4" t="s">
        <v>67</v>
      </c>
    </row>
    <row r="707" spans="1:35" ht="36" x14ac:dyDescent="0.3">
      <c r="A707" s="25" t="s">
        <v>2232</v>
      </c>
      <c r="B707" s="25"/>
      <c r="C707" s="30" t="s">
        <v>433</v>
      </c>
      <c r="D707" s="27"/>
      <c r="E707" s="27"/>
      <c r="F707" s="31" t="s">
        <v>70</v>
      </c>
      <c r="G707" s="32">
        <v>0.15</v>
      </c>
      <c r="H707" s="27"/>
      <c r="I707" s="32">
        <v>4.4130000000000003</v>
      </c>
      <c r="J707" s="34">
        <v>88.8</v>
      </c>
      <c r="K707" s="35"/>
      <c r="L707" s="35"/>
      <c r="M707" s="34">
        <f>ROUND(ROUND(J707, 2)*I707, 2)</f>
        <v>391.87</v>
      </c>
      <c r="N707" s="35"/>
      <c r="O707" s="35"/>
      <c r="P707" s="34">
        <v>88.8</v>
      </c>
      <c r="Q707" s="35"/>
      <c r="R707" s="35"/>
      <c r="S707" s="34">
        <f>ROUND(ROUND(P707, 2)*I707, 2)</f>
        <v>391.87</v>
      </c>
      <c r="T707" s="35"/>
      <c r="U707" s="36"/>
      <c r="V707" s="9">
        <f>ROUND(ROUND(P707, 2)/1.2, 2)</f>
        <v>74</v>
      </c>
      <c r="Y707" s="9">
        <f t="shared" si="59"/>
        <v>326.56</v>
      </c>
      <c r="AD707" s="4" t="s">
        <v>2233</v>
      </c>
      <c r="AE707" s="4" t="s">
        <v>2234</v>
      </c>
      <c r="AF707" s="4" t="s">
        <v>436</v>
      </c>
    </row>
    <row r="708" spans="1:35" ht="54" x14ac:dyDescent="0.3">
      <c r="A708" s="25" t="s">
        <v>2235</v>
      </c>
      <c r="B708" s="25"/>
      <c r="C708" s="30" t="s">
        <v>2207</v>
      </c>
      <c r="D708" s="27"/>
      <c r="E708" s="27" t="s">
        <v>2236</v>
      </c>
      <c r="F708" s="31" t="s">
        <v>70</v>
      </c>
      <c r="G708" s="32">
        <v>0.3</v>
      </c>
      <c r="H708" s="27"/>
      <c r="I708" s="32">
        <v>8.8260000000000005</v>
      </c>
      <c r="J708" s="34">
        <v>0</v>
      </c>
      <c r="K708" s="35"/>
      <c r="L708" s="35"/>
      <c r="M708" s="34">
        <f>ROUND(ROUND(J708, 2)*I708, 2)</f>
        <v>0</v>
      </c>
      <c r="N708" s="35"/>
      <c r="O708" s="35"/>
      <c r="P708" s="34">
        <v>0</v>
      </c>
      <c r="Q708" s="35"/>
      <c r="R708" s="35"/>
      <c r="S708" s="34">
        <f>ROUND(ROUND(P708, 2)*I708, 2)</f>
        <v>0</v>
      </c>
      <c r="T708" s="35"/>
      <c r="U708" s="36"/>
      <c r="V708" s="9">
        <f>ROUND(ROUND(P708, 2)/1.2, 2)</f>
        <v>0</v>
      </c>
      <c r="Y708" s="9">
        <f t="shared" si="59"/>
        <v>0</v>
      </c>
      <c r="AD708" s="4" t="s">
        <v>2237</v>
      </c>
      <c r="AE708" s="4" t="s">
        <v>2238</v>
      </c>
      <c r="AF708" s="4" t="s">
        <v>2211</v>
      </c>
    </row>
    <row r="709" spans="1:35" ht="36" x14ac:dyDescent="0.3">
      <c r="A709" s="25" t="s">
        <v>2239</v>
      </c>
      <c r="B709" s="25" t="s">
        <v>2169</v>
      </c>
      <c r="C709" s="26" t="s">
        <v>2170</v>
      </c>
      <c r="D709" s="27"/>
      <c r="E709" s="27" t="s">
        <v>2240</v>
      </c>
      <c r="F709" s="27" t="s">
        <v>64</v>
      </c>
      <c r="G709" s="28">
        <v>1</v>
      </c>
      <c r="H709" s="27"/>
      <c r="I709" s="28">
        <v>316.79000000000002</v>
      </c>
      <c r="J709" s="29">
        <f>IFERROR(ROUND(SUM(M710,M711)/I709, 2),0)</f>
        <v>13.32</v>
      </c>
      <c r="K709" s="29">
        <v>464</v>
      </c>
      <c r="L709" s="29">
        <f>J709+ROUND(K709, 2)</f>
        <v>477.32</v>
      </c>
      <c r="M709" s="29">
        <f>ROUND(J709*I709, 2)</f>
        <v>4219.6400000000003</v>
      </c>
      <c r="N709" s="29">
        <f>ROUND(I709*ROUND(K709, 2), 2)</f>
        <v>146990.56</v>
      </c>
      <c r="O709" s="29">
        <f>M709+N709</f>
        <v>151210.20000000001</v>
      </c>
      <c r="P709" s="29">
        <f>IFERROR(ROUND(SUM(S710,S711)/I709, 2),0)</f>
        <v>13.32</v>
      </c>
      <c r="Q709" s="29">
        <v>464</v>
      </c>
      <c r="R709" s="29">
        <f>P709+ROUND(Q709, 2)</f>
        <v>477.32</v>
      </c>
      <c r="S709" s="29">
        <f>ROUND(P709*I709, 2)</f>
        <v>4219.6400000000003</v>
      </c>
      <c r="T709" s="29">
        <f>ROUND(I709*ROUND(Q709, 2), 2)</f>
        <v>146990.56</v>
      </c>
      <c r="U709" s="29">
        <f>S709+T709</f>
        <v>151210.20000000001</v>
      </c>
      <c r="V709" s="9">
        <f>ROUND(P709 / 1.2, 2)</f>
        <v>11.1</v>
      </c>
      <c r="W709" s="9">
        <f>ROUND(Q709 / 1.2, 2)</f>
        <v>386.67</v>
      </c>
      <c r="X709" s="9">
        <f>ROUND(R709 / 1.2, 2)</f>
        <v>397.77</v>
      </c>
      <c r="Y709" s="9">
        <f t="shared" si="59"/>
        <v>3516.37</v>
      </c>
      <c r="Z709" s="9">
        <f>ROUND(T709 / 1.2, 2)</f>
        <v>122492.13</v>
      </c>
      <c r="AA709" s="9">
        <f>Y709+Z709</f>
        <v>126008.5</v>
      </c>
      <c r="AD709" s="4">
        <v>271132259</v>
      </c>
      <c r="AE709" s="4">
        <v>20002013</v>
      </c>
      <c r="AG709" s="4" t="s">
        <v>2172</v>
      </c>
      <c r="AH709" s="4" t="s">
        <v>2173</v>
      </c>
      <c r="AI709" s="4" t="s">
        <v>67</v>
      </c>
    </row>
    <row r="710" spans="1:35" ht="36" x14ac:dyDescent="0.3">
      <c r="A710" s="25" t="s">
        <v>2241</v>
      </c>
      <c r="B710" s="25"/>
      <c r="C710" s="30" t="s">
        <v>433</v>
      </c>
      <c r="D710" s="27"/>
      <c r="E710" s="27"/>
      <c r="F710" s="31" t="s">
        <v>70</v>
      </c>
      <c r="G710" s="32">
        <v>0.15</v>
      </c>
      <c r="H710" s="27"/>
      <c r="I710" s="32">
        <v>47.518999999999998</v>
      </c>
      <c r="J710" s="34">
        <v>88.8</v>
      </c>
      <c r="K710" s="35"/>
      <c r="L710" s="35"/>
      <c r="M710" s="34">
        <f>ROUND(ROUND(J710, 2)*I710, 2)</f>
        <v>4219.6899999999996</v>
      </c>
      <c r="N710" s="35"/>
      <c r="O710" s="35"/>
      <c r="P710" s="34">
        <v>88.8</v>
      </c>
      <c r="Q710" s="35"/>
      <c r="R710" s="35"/>
      <c r="S710" s="34">
        <f>ROUND(ROUND(P710, 2)*I710, 2)</f>
        <v>4219.6899999999996</v>
      </c>
      <c r="T710" s="35"/>
      <c r="U710" s="36"/>
      <c r="V710" s="9">
        <f>ROUND(ROUND(P710, 2)/1.2, 2)</f>
        <v>74</v>
      </c>
      <c r="Y710" s="9">
        <f t="shared" si="59"/>
        <v>3516.41</v>
      </c>
      <c r="AD710" s="4" t="s">
        <v>2242</v>
      </c>
      <c r="AE710" s="4" t="s">
        <v>2243</v>
      </c>
      <c r="AF710" s="4" t="s">
        <v>436</v>
      </c>
    </row>
    <row r="711" spans="1:35" ht="90" x14ac:dyDescent="0.3">
      <c r="A711" s="25" t="s">
        <v>2244</v>
      </c>
      <c r="B711" s="25"/>
      <c r="C711" s="30" t="s">
        <v>2175</v>
      </c>
      <c r="D711" s="27"/>
      <c r="E711" s="27" t="s">
        <v>2245</v>
      </c>
      <c r="F711" s="31" t="s">
        <v>70</v>
      </c>
      <c r="G711" s="32">
        <v>0.3</v>
      </c>
      <c r="H711" s="27"/>
      <c r="I711" s="32">
        <v>95.037000000000006</v>
      </c>
      <c r="J711" s="34">
        <v>0</v>
      </c>
      <c r="K711" s="35"/>
      <c r="L711" s="35"/>
      <c r="M711" s="34">
        <f>ROUND(ROUND(J711, 2)*I711, 2)</f>
        <v>0</v>
      </c>
      <c r="N711" s="35"/>
      <c r="O711" s="35"/>
      <c r="P711" s="34">
        <v>0</v>
      </c>
      <c r="Q711" s="35"/>
      <c r="R711" s="35"/>
      <c r="S711" s="34">
        <f>ROUND(ROUND(P711, 2)*I711, 2)</f>
        <v>0</v>
      </c>
      <c r="T711" s="35"/>
      <c r="U711" s="36"/>
      <c r="V711" s="9">
        <f>ROUND(ROUND(P711, 2)/1.2, 2)</f>
        <v>0</v>
      </c>
      <c r="Y711" s="9">
        <f t="shared" si="59"/>
        <v>0</v>
      </c>
      <c r="AD711" s="4" t="s">
        <v>2246</v>
      </c>
      <c r="AE711" s="4" t="s">
        <v>2247</v>
      </c>
      <c r="AF711" s="4" t="s">
        <v>2179</v>
      </c>
    </row>
    <row r="712" spans="1:35" ht="36" x14ac:dyDescent="0.3">
      <c r="A712" s="25" t="s">
        <v>2248</v>
      </c>
      <c r="B712" s="25" t="s">
        <v>2169</v>
      </c>
      <c r="C712" s="26" t="s">
        <v>2170</v>
      </c>
      <c r="D712" s="27"/>
      <c r="E712" s="27" t="s">
        <v>2249</v>
      </c>
      <c r="F712" s="27" t="s">
        <v>64</v>
      </c>
      <c r="G712" s="28">
        <v>1</v>
      </c>
      <c r="H712" s="27"/>
      <c r="I712" s="28">
        <v>564.55999999999995</v>
      </c>
      <c r="J712" s="29">
        <f>IFERROR(ROUND(SUM(M713,M714)/I712, 2),0)</f>
        <v>13.32</v>
      </c>
      <c r="K712" s="29">
        <v>464</v>
      </c>
      <c r="L712" s="29">
        <f>J712+ROUND(K712, 2)</f>
        <v>477.32</v>
      </c>
      <c r="M712" s="29">
        <f>ROUND(J712*I712, 2)</f>
        <v>7519.94</v>
      </c>
      <c r="N712" s="29">
        <f>ROUND(I712*ROUND(K712, 2), 2)</f>
        <v>261955.84</v>
      </c>
      <c r="O712" s="29">
        <f>M712+N712</f>
        <v>269475.78000000003</v>
      </c>
      <c r="P712" s="29">
        <f>IFERROR(ROUND(SUM(S713,S714)/I712, 2),0)</f>
        <v>13.32</v>
      </c>
      <c r="Q712" s="29">
        <v>464</v>
      </c>
      <c r="R712" s="29">
        <f>P712+ROUND(Q712, 2)</f>
        <v>477.32</v>
      </c>
      <c r="S712" s="29">
        <f>ROUND(P712*I712, 2)</f>
        <v>7519.94</v>
      </c>
      <c r="T712" s="29">
        <f>ROUND(I712*ROUND(Q712, 2), 2)</f>
        <v>261955.84</v>
      </c>
      <c r="U712" s="29">
        <f>S712+T712</f>
        <v>269475.78000000003</v>
      </c>
      <c r="V712" s="9">
        <f>ROUND(P712 / 1.2, 2)</f>
        <v>11.1</v>
      </c>
      <c r="W712" s="9">
        <f>ROUND(Q712 / 1.2, 2)</f>
        <v>386.67</v>
      </c>
      <c r="X712" s="9">
        <f>ROUND(R712 / 1.2, 2)</f>
        <v>397.77</v>
      </c>
      <c r="Y712" s="9">
        <f t="shared" si="59"/>
        <v>6266.62</v>
      </c>
      <c r="Z712" s="9">
        <f>ROUND(T712 / 1.2, 2)</f>
        <v>218296.53</v>
      </c>
      <c r="AA712" s="9">
        <f>Y712+Z712</f>
        <v>224563.15</v>
      </c>
      <c r="AD712" s="4">
        <v>271132260</v>
      </c>
      <c r="AE712" s="4">
        <v>20002014</v>
      </c>
      <c r="AG712" s="4" t="s">
        <v>2172</v>
      </c>
      <c r="AH712" s="4" t="s">
        <v>2173</v>
      </c>
      <c r="AI712" s="4" t="s">
        <v>67</v>
      </c>
    </row>
    <row r="713" spans="1:35" ht="36" x14ac:dyDescent="0.3">
      <c r="A713" s="25" t="s">
        <v>2250</v>
      </c>
      <c r="B713" s="25"/>
      <c r="C713" s="30" t="s">
        <v>433</v>
      </c>
      <c r="D713" s="27"/>
      <c r="E713" s="27"/>
      <c r="F713" s="31" t="s">
        <v>70</v>
      </c>
      <c r="G713" s="32">
        <v>0.15</v>
      </c>
      <c r="H713" s="27"/>
      <c r="I713" s="32">
        <v>84.683999999999997</v>
      </c>
      <c r="J713" s="34">
        <v>88.8</v>
      </c>
      <c r="K713" s="35"/>
      <c r="L713" s="35"/>
      <c r="M713" s="34">
        <f>ROUND(ROUND(J713, 2)*I713, 2)</f>
        <v>7519.94</v>
      </c>
      <c r="N713" s="35"/>
      <c r="O713" s="35"/>
      <c r="P713" s="34">
        <v>88.8</v>
      </c>
      <c r="Q713" s="35"/>
      <c r="R713" s="35"/>
      <c r="S713" s="34">
        <f>ROUND(ROUND(P713, 2)*I713, 2)</f>
        <v>7519.94</v>
      </c>
      <c r="T713" s="35"/>
      <c r="U713" s="36"/>
      <c r="V713" s="9">
        <f>ROUND(ROUND(P713, 2)/1.2, 2)</f>
        <v>74</v>
      </c>
      <c r="Y713" s="9">
        <f t="shared" si="59"/>
        <v>6266.62</v>
      </c>
      <c r="AD713" s="4" t="s">
        <v>2251</v>
      </c>
      <c r="AE713" s="4" t="s">
        <v>2252</v>
      </c>
      <c r="AF713" s="4" t="s">
        <v>436</v>
      </c>
    </row>
    <row r="714" spans="1:35" ht="54" x14ac:dyDescent="0.3">
      <c r="A714" s="25" t="s">
        <v>2253</v>
      </c>
      <c r="B714" s="25"/>
      <c r="C714" s="30" t="s">
        <v>2207</v>
      </c>
      <c r="D714" s="27"/>
      <c r="E714" s="27" t="s">
        <v>2254</v>
      </c>
      <c r="F714" s="31" t="s">
        <v>70</v>
      </c>
      <c r="G714" s="32">
        <v>0.3</v>
      </c>
      <c r="H714" s="27"/>
      <c r="I714" s="32">
        <v>169.36799999999999</v>
      </c>
      <c r="J714" s="34">
        <v>0</v>
      </c>
      <c r="K714" s="35"/>
      <c r="L714" s="35"/>
      <c r="M714" s="34">
        <f>ROUND(ROUND(J714, 2)*I714, 2)</f>
        <v>0</v>
      </c>
      <c r="N714" s="35"/>
      <c r="O714" s="35"/>
      <c r="P714" s="34">
        <v>0</v>
      </c>
      <c r="Q714" s="35"/>
      <c r="R714" s="35"/>
      <c r="S714" s="34">
        <f>ROUND(ROUND(P714, 2)*I714, 2)</f>
        <v>0</v>
      </c>
      <c r="T714" s="35"/>
      <c r="U714" s="36"/>
      <c r="V714" s="9">
        <f>ROUND(ROUND(P714, 2)/1.2, 2)</f>
        <v>0</v>
      </c>
      <c r="Y714" s="9">
        <f t="shared" si="59"/>
        <v>0</v>
      </c>
      <c r="AD714" s="4" t="s">
        <v>2255</v>
      </c>
      <c r="AE714" s="4" t="s">
        <v>2256</v>
      </c>
      <c r="AF714" s="4" t="s">
        <v>2211</v>
      </c>
    </row>
    <row r="715" spans="1:35" ht="36" x14ac:dyDescent="0.3">
      <c r="A715" s="25" t="s">
        <v>2257</v>
      </c>
      <c r="B715" s="25" t="s">
        <v>2169</v>
      </c>
      <c r="C715" s="26" t="s">
        <v>2170</v>
      </c>
      <c r="D715" s="27"/>
      <c r="E715" s="27" t="s">
        <v>2258</v>
      </c>
      <c r="F715" s="27" t="s">
        <v>64</v>
      </c>
      <c r="G715" s="28">
        <v>1</v>
      </c>
      <c r="H715" s="27"/>
      <c r="I715" s="28">
        <v>32.17</v>
      </c>
      <c r="J715" s="29">
        <f>IFERROR(ROUND(SUM(M716,M717)/I715, 2),0)</f>
        <v>12</v>
      </c>
      <c r="K715" s="29">
        <v>464</v>
      </c>
      <c r="L715" s="29">
        <f>J715+ROUND(K715, 2)</f>
        <v>476</v>
      </c>
      <c r="M715" s="29">
        <f>ROUND(J715*I715, 2)</f>
        <v>386.04</v>
      </c>
      <c r="N715" s="29">
        <f>ROUND(I715*ROUND(K715, 2), 2)</f>
        <v>14926.88</v>
      </c>
      <c r="O715" s="29">
        <f>M715+N715</f>
        <v>15312.92</v>
      </c>
      <c r="P715" s="29">
        <f>IFERROR(ROUND(SUM(S716,S717)/I715, 2),0)</f>
        <v>12</v>
      </c>
      <c r="Q715" s="29">
        <v>464</v>
      </c>
      <c r="R715" s="29">
        <f>P715+ROUND(Q715, 2)</f>
        <v>476</v>
      </c>
      <c r="S715" s="29">
        <f>ROUND(P715*I715, 2)</f>
        <v>386.04</v>
      </c>
      <c r="T715" s="29">
        <f>ROUND(I715*ROUND(Q715, 2), 2)</f>
        <v>14926.88</v>
      </c>
      <c r="U715" s="29">
        <f>S715+T715</f>
        <v>15312.92</v>
      </c>
      <c r="V715" s="9">
        <f>ROUND(P715 / 1.2, 2)</f>
        <v>10</v>
      </c>
      <c r="W715" s="9">
        <f>ROUND(Q715 / 1.2, 2)</f>
        <v>386.67</v>
      </c>
      <c r="X715" s="9">
        <f>ROUND(R715 / 1.2, 2)</f>
        <v>396.67</v>
      </c>
      <c r="Y715" s="9">
        <f t="shared" si="59"/>
        <v>321.7</v>
      </c>
      <c r="Z715" s="9">
        <f>ROUND(T715 / 1.2, 2)</f>
        <v>12439.07</v>
      </c>
      <c r="AA715" s="9">
        <f>Y715+Z715</f>
        <v>12760.77</v>
      </c>
      <c r="AD715" s="4">
        <v>271132261</v>
      </c>
      <c r="AE715" s="4">
        <v>20002017</v>
      </c>
      <c r="AG715" s="4" t="s">
        <v>2172</v>
      </c>
      <c r="AH715" s="4" t="s">
        <v>2173</v>
      </c>
      <c r="AI715" s="4" t="s">
        <v>67</v>
      </c>
    </row>
    <row r="716" spans="1:35" ht="36" x14ac:dyDescent="0.3">
      <c r="A716" s="25" t="s">
        <v>2259</v>
      </c>
      <c r="B716" s="25"/>
      <c r="C716" s="30" t="s">
        <v>2260</v>
      </c>
      <c r="D716" s="27"/>
      <c r="E716" s="27"/>
      <c r="F716" s="31" t="s">
        <v>70</v>
      </c>
      <c r="G716" s="32">
        <v>0.15</v>
      </c>
      <c r="H716" s="27"/>
      <c r="I716" s="32">
        <v>4.8259999999999996</v>
      </c>
      <c r="J716" s="34">
        <v>80</v>
      </c>
      <c r="K716" s="35"/>
      <c r="L716" s="35"/>
      <c r="M716" s="34">
        <f>ROUND(ROUND(J716, 2)*I716, 2)</f>
        <v>386.08</v>
      </c>
      <c r="N716" s="35"/>
      <c r="O716" s="35"/>
      <c r="P716" s="34">
        <v>80</v>
      </c>
      <c r="Q716" s="35"/>
      <c r="R716" s="35"/>
      <c r="S716" s="34">
        <f>ROUND(ROUND(P716, 2)*I716, 2)</f>
        <v>386.08</v>
      </c>
      <c r="T716" s="35"/>
      <c r="U716" s="36"/>
      <c r="V716" s="9">
        <f>ROUND(ROUND(P716, 2)/1.2, 2)</f>
        <v>66.67</v>
      </c>
      <c r="Y716" s="9">
        <f t="shared" ref="Y716:Y747" si="60">ROUND(S716 / 1.2, 2)</f>
        <v>321.73</v>
      </c>
      <c r="AD716" s="4" t="s">
        <v>2261</v>
      </c>
      <c r="AE716" s="4" t="s">
        <v>2262</v>
      </c>
      <c r="AF716" s="4" t="s">
        <v>2263</v>
      </c>
    </row>
    <row r="717" spans="1:35" ht="72" x14ac:dyDescent="0.3">
      <c r="A717" s="25" t="s">
        <v>2264</v>
      </c>
      <c r="B717" s="25"/>
      <c r="C717" s="30" t="s">
        <v>2207</v>
      </c>
      <c r="D717" s="27"/>
      <c r="E717" s="27" t="s">
        <v>2265</v>
      </c>
      <c r="F717" s="31" t="s">
        <v>70</v>
      </c>
      <c r="G717" s="32">
        <v>0.3</v>
      </c>
      <c r="H717" s="27"/>
      <c r="I717" s="32">
        <v>9.6509999999999998</v>
      </c>
      <c r="J717" s="34">
        <v>0</v>
      </c>
      <c r="K717" s="35"/>
      <c r="L717" s="35"/>
      <c r="M717" s="34">
        <f>ROUND(ROUND(J717, 2)*I717, 2)</f>
        <v>0</v>
      </c>
      <c r="N717" s="35"/>
      <c r="O717" s="35"/>
      <c r="P717" s="34">
        <v>0</v>
      </c>
      <c r="Q717" s="35"/>
      <c r="R717" s="35"/>
      <c r="S717" s="34">
        <f>ROUND(ROUND(P717, 2)*I717, 2)</f>
        <v>0</v>
      </c>
      <c r="T717" s="35"/>
      <c r="U717" s="36"/>
      <c r="V717" s="9">
        <f>ROUND(ROUND(P717, 2)/1.2, 2)</f>
        <v>0</v>
      </c>
      <c r="Y717" s="9">
        <f t="shared" si="60"/>
        <v>0</v>
      </c>
      <c r="AD717" s="4" t="s">
        <v>2266</v>
      </c>
      <c r="AE717" s="4" t="s">
        <v>2267</v>
      </c>
      <c r="AF717" s="4" t="s">
        <v>2211</v>
      </c>
    </row>
    <row r="718" spans="1:35" ht="36" x14ac:dyDescent="0.3">
      <c r="A718" s="25" t="s">
        <v>2268</v>
      </c>
      <c r="B718" s="25" t="s">
        <v>2169</v>
      </c>
      <c r="C718" s="26" t="s">
        <v>2170</v>
      </c>
      <c r="D718" s="27"/>
      <c r="E718" s="27" t="s">
        <v>2269</v>
      </c>
      <c r="F718" s="27" t="s">
        <v>64</v>
      </c>
      <c r="G718" s="28">
        <v>1</v>
      </c>
      <c r="H718" s="27"/>
      <c r="I718" s="28">
        <v>38.729999999999997</v>
      </c>
      <c r="J718" s="29">
        <f>IFERROR(ROUND(SUM(M719,M720)/I718, 2),0)</f>
        <v>13.32</v>
      </c>
      <c r="K718" s="29">
        <v>464</v>
      </c>
      <c r="L718" s="29">
        <f>J718+ROUND(K718, 2)</f>
        <v>477.32</v>
      </c>
      <c r="M718" s="29">
        <f>ROUND(J718*I718, 2)</f>
        <v>515.88</v>
      </c>
      <c r="N718" s="29">
        <f>ROUND(I718*ROUND(K718, 2), 2)</f>
        <v>17970.72</v>
      </c>
      <c r="O718" s="29">
        <f>M718+N718</f>
        <v>18486.599999999999</v>
      </c>
      <c r="P718" s="29">
        <f>IFERROR(ROUND(SUM(S719,S720)/I718, 2),0)</f>
        <v>13.32</v>
      </c>
      <c r="Q718" s="29">
        <v>464</v>
      </c>
      <c r="R718" s="29">
        <f>P718+ROUND(Q718, 2)</f>
        <v>477.32</v>
      </c>
      <c r="S718" s="29">
        <f>ROUND(P718*I718, 2)</f>
        <v>515.88</v>
      </c>
      <c r="T718" s="29">
        <f>ROUND(I718*ROUND(Q718, 2), 2)</f>
        <v>17970.72</v>
      </c>
      <c r="U718" s="29">
        <f>S718+T718</f>
        <v>18486.599999999999</v>
      </c>
      <c r="V718" s="9">
        <f>ROUND(P718 / 1.2, 2)</f>
        <v>11.1</v>
      </c>
      <c r="W718" s="9">
        <f>ROUND(Q718 / 1.2, 2)</f>
        <v>386.67</v>
      </c>
      <c r="X718" s="9">
        <f>ROUND(R718 / 1.2, 2)</f>
        <v>397.77</v>
      </c>
      <c r="Y718" s="9">
        <f t="shared" si="60"/>
        <v>429.9</v>
      </c>
      <c r="Z718" s="9">
        <f>ROUND(T718 / 1.2, 2)</f>
        <v>14975.6</v>
      </c>
      <c r="AA718" s="9">
        <f>Y718+Z718</f>
        <v>15405.5</v>
      </c>
      <c r="AD718" s="4">
        <v>271132262</v>
      </c>
      <c r="AE718" s="4">
        <v>20002018</v>
      </c>
      <c r="AG718" s="4" t="s">
        <v>2172</v>
      </c>
      <c r="AH718" s="4" t="s">
        <v>2173</v>
      </c>
      <c r="AI718" s="4" t="s">
        <v>67</v>
      </c>
    </row>
    <row r="719" spans="1:35" ht="36" x14ac:dyDescent="0.3">
      <c r="A719" s="25" t="s">
        <v>2270</v>
      </c>
      <c r="B719" s="25"/>
      <c r="C719" s="30" t="s">
        <v>433</v>
      </c>
      <c r="D719" s="27"/>
      <c r="E719" s="27"/>
      <c r="F719" s="31" t="s">
        <v>70</v>
      </c>
      <c r="G719" s="32">
        <v>0.15</v>
      </c>
      <c r="H719" s="27"/>
      <c r="I719" s="32">
        <v>5.81</v>
      </c>
      <c r="J719" s="34">
        <v>88.8</v>
      </c>
      <c r="K719" s="35"/>
      <c r="L719" s="35"/>
      <c r="M719" s="34">
        <f>ROUND(ROUND(J719, 2)*I719, 2)</f>
        <v>515.92999999999995</v>
      </c>
      <c r="N719" s="35"/>
      <c r="O719" s="35"/>
      <c r="P719" s="34">
        <v>88.8</v>
      </c>
      <c r="Q719" s="35"/>
      <c r="R719" s="35"/>
      <c r="S719" s="34">
        <f>ROUND(ROUND(P719, 2)*I719, 2)</f>
        <v>515.92999999999995</v>
      </c>
      <c r="T719" s="35"/>
      <c r="U719" s="36"/>
      <c r="V719" s="9">
        <f>ROUND(ROUND(P719, 2)/1.2, 2)</f>
        <v>74</v>
      </c>
      <c r="Y719" s="9">
        <f t="shared" si="60"/>
        <v>429.94</v>
      </c>
      <c r="AD719" s="4" t="s">
        <v>2271</v>
      </c>
      <c r="AE719" s="4" t="s">
        <v>2272</v>
      </c>
      <c r="AF719" s="4" t="s">
        <v>436</v>
      </c>
    </row>
    <row r="720" spans="1:35" ht="54" x14ac:dyDescent="0.3">
      <c r="A720" s="25" t="s">
        <v>2273</v>
      </c>
      <c r="B720" s="25"/>
      <c r="C720" s="30" t="s">
        <v>2207</v>
      </c>
      <c r="D720" s="27"/>
      <c r="E720" s="27" t="s">
        <v>2274</v>
      </c>
      <c r="F720" s="31" t="s">
        <v>70</v>
      </c>
      <c r="G720" s="32">
        <v>0.3</v>
      </c>
      <c r="H720" s="27"/>
      <c r="I720" s="32">
        <v>11.619</v>
      </c>
      <c r="J720" s="34">
        <v>0</v>
      </c>
      <c r="K720" s="35"/>
      <c r="L720" s="35"/>
      <c r="M720" s="34">
        <f>ROUND(ROUND(J720, 2)*I720, 2)</f>
        <v>0</v>
      </c>
      <c r="N720" s="35"/>
      <c r="O720" s="35"/>
      <c r="P720" s="34">
        <v>0</v>
      </c>
      <c r="Q720" s="35"/>
      <c r="R720" s="35"/>
      <c r="S720" s="34">
        <f>ROUND(ROUND(P720, 2)*I720, 2)</f>
        <v>0</v>
      </c>
      <c r="T720" s="35"/>
      <c r="U720" s="36"/>
      <c r="V720" s="9">
        <f>ROUND(ROUND(P720, 2)/1.2, 2)</f>
        <v>0</v>
      </c>
      <c r="Y720" s="9">
        <f t="shared" si="60"/>
        <v>0</v>
      </c>
      <c r="AD720" s="4" t="s">
        <v>2275</v>
      </c>
      <c r="AE720" s="4" t="s">
        <v>2276</v>
      </c>
      <c r="AF720" s="4" t="s">
        <v>2211</v>
      </c>
    </row>
    <row r="721" spans="1:35" ht="36" x14ac:dyDescent="0.3">
      <c r="A721" s="25" t="s">
        <v>2277</v>
      </c>
      <c r="B721" s="25" t="s">
        <v>2169</v>
      </c>
      <c r="C721" s="26" t="s">
        <v>2170</v>
      </c>
      <c r="D721" s="27"/>
      <c r="E721" s="27" t="s">
        <v>2231</v>
      </c>
      <c r="F721" s="27" t="s">
        <v>64</v>
      </c>
      <c r="G721" s="28">
        <v>1</v>
      </c>
      <c r="H721" s="27"/>
      <c r="I721" s="28">
        <v>38.74</v>
      </c>
      <c r="J721" s="29">
        <f>IFERROR(ROUND(SUM(M722,M723)/I721, 2),0)</f>
        <v>13.32</v>
      </c>
      <c r="K721" s="29">
        <v>464</v>
      </c>
      <c r="L721" s="29">
        <f>J721+ROUND(K721, 2)</f>
        <v>477.32</v>
      </c>
      <c r="M721" s="29">
        <f>ROUND(J721*I721, 2)</f>
        <v>516.02</v>
      </c>
      <c r="N721" s="29">
        <f>ROUND(I721*ROUND(K721, 2), 2)</f>
        <v>17975.36</v>
      </c>
      <c r="O721" s="29">
        <f>M721+N721</f>
        <v>18491.38</v>
      </c>
      <c r="P721" s="29">
        <f>IFERROR(ROUND(SUM(S722,S723)/I721, 2),0)</f>
        <v>13.32</v>
      </c>
      <c r="Q721" s="29">
        <v>464</v>
      </c>
      <c r="R721" s="29">
        <f>P721+ROUND(Q721, 2)</f>
        <v>477.32</v>
      </c>
      <c r="S721" s="29">
        <f>ROUND(P721*I721, 2)</f>
        <v>516.02</v>
      </c>
      <c r="T721" s="29">
        <f>ROUND(I721*ROUND(Q721, 2), 2)</f>
        <v>17975.36</v>
      </c>
      <c r="U721" s="29">
        <f>S721+T721</f>
        <v>18491.38</v>
      </c>
      <c r="V721" s="9">
        <f>ROUND(P721 / 1.2, 2)</f>
        <v>11.1</v>
      </c>
      <c r="W721" s="9">
        <f>ROUND(Q721 / 1.2, 2)</f>
        <v>386.67</v>
      </c>
      <c r="X721" s="9">
        <f>ROUND(R721 / 1.2, 2)</f>
        <v>397.77</v>
      </c>
      <c r="Y721" s="9">
        <f t="shared" si="60"/>
        <v>430.02</v>
      </c>
      <c r="Z721" s="9">
        <f>ROUND(T721 / 1.2, 2)</f>
        <v>14979.47</v>
      </c>
      <c r="AA721" s="9">
        <f>Y721+Z721</f>
        <v>15409.49</v>
      </c>
      <c r="AD721" s="4">
        <v>271132263</v>
      </c>
      <c r="AE721" s="4">
        <v>20002019</v>
      </c>
      <c r="AG721" s="4" t="s">
        <v>2172</v>
      </c>
      <c r="AH721" s="4" t="s">
        <v>2173</v>
      </c>
      <c r="AI721" s="4" t="s">
        <v>67</v>
      </c>
    </row>
    <row r="722" spans="1:35" ht="36" x14ac:dyDescent="0.3">
      <c r="A722" s="25" t="s">
        <v>2278</v>
      </c>
      <c r="B722" s="25"/>
      <c r="C722" s="30" t="s">
        <v>433</v>
      </c>
      <c r="D722" s="27"/>
      <c r="E722" s="27"/>
      <c r="F722" s="31" t="s">
        <v>70</v>
      </c>
      <c r="G722" s="32">
        <v>0.15</v>
      </c>
      <c r="H722" s="27"/>
      <c r="I722" s="32">
        <v>5.8109999999999999</v>
      </c>
      <c r="J722" s="34">
        <v>88.8</v>
      </c>
      <c r="K722" s="35"/>
      <c r="L722" s="35"/>
      <c r="M722" s="34">
        <f>ROUND(ROUND(J722, 2)*I722, 2)</f>
        <v>516.02</v>
      </c>
      <c r="N722" s="35"/>
      <c r="O722" s="35"/>
      <c r="P722" s="34">
        <v>88.8</v>
      </c>
      <c r="Q722" s="35"/>
      <c r="R722" s="35"/>
      <c r="S722" s="34">
        <f>ROUND(ROUND(P722, 2)*I722, 2)</f>
        <v>516.02</v>
      </c>
      <c r="T722" s="35"/>
      <c r="U722" s="36"/>
      <c r="V722" s="9">
        <f>ROUND(ROUND(P722, 2)/1.2, 2)</f>
        <v>74</v>
      </c>
      <c r="Y722" s="9">
        <f t="shared" si="60"/>
        <v>430.02</v>
      </c>
      <c r="AD722" s="4" t="s">
        <v>2279</v>
      </c>
      <c r="AE722" s="4" t="s">
        <v>2280</v>
      </c>
      <c r="AF722" s="4" t="s">
        <v>436</v>
      </c>
    </row>
    <row r="723" spans="1:35" ht="72" x14ac:dyDescent="0.3">
      <c r="A723" s="25" t="s">
        <v>2281</v>
      </c>
      <c r="B723" s="25"/>
      <c r="C723" s="30" t="s">
        <v>2207</v>
      </c>
      <c r="D723" s="27"/>
      <c r="E723" s="27" t="s">
        <v>2282</v>
      </c>
      <c r="F723" s="31" t="s">
        <v>70</v>
      </c>
      <c r="G723" s="32">
        <v>0.3</v>
      </c>
      <c r="H723" s="27"/>
      <c r="I723" s="32">
        <v>11.622</v>
      </c>
      <c r="J723" s="34">
        <v>0</v>
      </c>
      <c r="K723" s="35"/>
      <c r="L723" s="35"/>
      <c r="M723" s="34">
        <f>ROUND(ROUND(J723, 2)*I723, 2)</f>
        <v>0</v>
      </c>
      <c r="N723" s="35"/>
      <c r="O723" s="35"/>
      <c r="P723" s="34">
        <v>0</v>
      </c>
      <c r="Q723" s="35"/>
      <c r="R723" s="35"/>
      <c r="S723" s="34">
        <f>ROUND(ROUND(P723, 2)*I723, 2)</f>
        <v>0</v>
      </c>
      <c r="T723" s="35"/>
      <c r="U723" s="36"/>
      <c r="V723" s="9">
        <f>ROUND(ROUND(P723, 2)/1.2, 2)</f>
        <v>0</v>
      </c>
      <c r="Y723" s="9">
        <f t="shared" si="60"/>
        <v>0</v>
      </c>
      <c r="AD723" s="4" t="s">
        <v>2283</v>
      </c>
      <c r="AE723" s="4" t="s">
        <v>2284</v>
      </c>
      <c r="AF723" s="4" t="s">
        <v>2211</v>
      </c>
    </row>
    <row r="724" spans="1:35" ht="36" x14ac:dyDescent="0.3">
      <c r="A724" s="25" t="s">
        <v>2285</v>
      </c>
      <c r="B724" s="25" t="s">
        <v>2169</v>
      </c>
      <c r="C724" s="26" t="s">
        <v>2170</v>
      </c>
      <c r="D724" s="27"/>
      <c r="E724" s="27" t="s">
        <v>2286</v>
      </c>
      <c r="F724" s="27" t="s">
        <v>64</v>
      </c>
      <c r="G724" s="28">
        <v>1</v>
      </c>
      <c r="H724" s="27"/>
      <c r="I724" s="28">
        <v>33.549999999999997</v>
      </c>
      <c r="J724" s="29">
        <f>IFERROR(ROUND(SUM(M725,M726)/I724, 2),0)</f>
        <v>13.32</v>
      </c>
      <c r="K724" s="29">
        <v>464</v>
      </c>
      <c r="L724" s="29">
        <f>J724+ROUND(K724, 2)</f>
        <v>477.32</v>
      </c>
      <c r="M724" s="29">
        <f>ROUND(J724*I724, 2)</f>
        <v>446.89</v>
      </c>
      <c r="N724" s="29">
        <f>ROUND(I724*ROUND(K724, 2), 2)</f>
        <v>15567.2</v>
      </c>
      <c r="O724" s="29">
        <f>M724+N724</f>
        <v>16014.09</v>
      </c>
      <c r="P724" s="29">
        <f>IFERROR(ROUND(SUM(S725,S726)/I724, 2),0)</f>
        <v>13.32</v>
      </c>
      <c r="Q724" s="29">
        <v>464</v>
      </c>
      <c r="R724" s="29">
        <f>P724+ROUND(Q724, 2)</f>
        <v>477.32</v>
      </c>
      <c r="S724" s="29">
        <f>ROUND(P724*I724, 2)</f>
        <v>446.89</v>
      </c>
      <c r="T724" s="29">
        <f>ROUND(I724*ROUND(Q724, 2), 2)</f>
        <v>15567.2</v>
      </c>
      <c r="U724" s="29">
        <f>S724+T724</f>
        <v>16014.09</v>
      </c>
      <c r="V724" s="9">
        <f>ROUND(P724 / 1.2, 2)</f>
        <v>11.1</v>
      </c>
      <c r="W724" s="9">
        <f>ROUND(Q724 / 1.2, 2)</f>
        <v>386.67</v>
      </c>
      <c r="X724" s="9">
        <f>ROUND(R724 / 1.2, 2)</f>
        <v>397.77</v>
      </c>
      <c r="Y724" s="9">
        <f t="shared" si="60"/>
        <v>372.41</v>
      </c>
      <c r="Z724" s="9">
        <f>ROUND(T724 / 1.2, 2)</f>
        <v>12972.67</v>
      </c>
      <c r="AA724" s="9">
        <f>Y724+Z724</f>
        <v>13345.08</v>
      </c>
      <c r="AD724" s="4">
        <v>271132264</v>
      </c>
      <c r="AE724" s="4">
        <v>20002015</v>
      </c>
      <c r="AG724" s="4" t="s">
        <v>2172</v>
      </c>
      <c r="AH724" s="4" t="s">
        <v>2173</v>
      </c>
      <c r="AI724" s="4" t="s">
        <v>67</v>
      </c>
    </row>
    <row r="725" spans="1:35" ht="36" x14ac:dyDescent="0.3">
      <c r="A725" s="25" t="s">
        <v>2287</v>
      </c>
      <c r="B725" s="25"/>
      <c r="C725" s="30" t="s">
        <v>433</v>
      </c>
      <c r="D725" s="27"/>
      <c r="E725" s="27"/>
      <c r="F725" s="31" t="s">
        <v>70</v>
      </c>
      <c r="G725" s="32">
        <v>0.15</v>
      </c>
      <c r="H725" s="27"/>
      <c r="I725" s="32">
        <v>5.0330000000000004</v>
      </c>
      <c r="J725" s="34">
        <v>88.8</v>
      </c>
      <c r="K725" s="35"/>
      <c r="L725" s="35"/>
      <c r="M725" s="34">
        <f>ROUND(ROUND(J725, 2)*I725, 2)</f>
        <v>446.93</v>
      </c>
      <c r="N725" s="35"/>
      <c r="O725" s="35"/>
      <c r="P725" s="34">
        <v>88.8</v>
      </c>
      <c r="Q725" s="35"/>
      <c r="R725" s="35"/>
      <c r="S725" s="34">
        <f>ROUND(ROUND(P725, 2)*I725, 2)</f>
        <v>446.93</v>
      </c>
      <c r="T725" s="35"/>
      <c r="U725" s="36"/>
      <c r="V725" s="9">
        <f>ROUND(ROUND(P725, 2)/1.2, 2)</f>
        <v>74</v>
      </c>
      <c r="Y725" s="9">
        <f t="shared" si="60"/>
        <v>372.44</v>
      </c>
      <c r="AD725" s="4" t="s">
        <v>2288</v>
      </c>
      <c r="AE725" s="4" t="s">
        <v>2289</v>
      </c>
      <c r="AF725" s="4" t="s">
        <v>436</v>
      </c>
    </row>
    <row r="726" spans="1:35" ht="54" x14ac:dyDescent="0.3">
      <c r="A726" s="25" t="s">
        <v>2290</v>
      </c>
      <c r="B726" s="25"/>
      <c r="C726" s="30" t="s">
        <v>2207</v>
      </c>
      <c r="D726" s="27"/>
      <c r="E726" s="27" t="s">
        <v>2291</v>
      </c>
      <c r="F726" s="31" t="s">
        <v>70</v>
      </c>
      <c r="G726" s="32">
        <v>0.3</v>
      </c>
      <c r="H726" s="27"/>
      <c r="I726" s="32">
        <v>10.065</v>
      </c>
      <c r="J726" s="34">
        <v>0</v>
      </c>
      <c r="K726" s="35"/>
      <c r="L726" s="35"/>
      <c r="M726" s="34">
        <f>ROUND(ROUND(J726, 2)*I726, 2)</f>
        <v>0</v>
      </c>
      <c r="N726" s="35"/>
      <c r="O726" s="35"/>
      <c r="P726" s="34">
        <v>0</v>
      </c>
      <c r="Q726" s="35"/>
      <c r="R726" s="35"/>
      <c r="S726" s="34">
        <f>ROUND(ROUND(P726, 2)*I726, 2)</f>
        <v>0</v>
      </c>
      <c r="T726" s="35"/>
      <c r="U726" s="36"/>
      <c r="V726" s="9">
        <f>ROUND(ROUND(P726, 2)/1.2, 2)</f>
        <v>0</v>
      </c>
      <c r="Y726" s="9">
        <f t="shared" si="60"/>
        <v>0</v>
      </c>
      <c r="AD726" s="4" t="s">
        <v>2292</v>
      </c>
      <c r="AE726" s="4" t="s">
        <v>2293</v>
      </c>
      <c r="AF726" s="4" t="s">
        <v>2211</v>
      </c>
    </row>
    <row r="727" spans="1:35" ht="36" x14ac:dyDescent="0.3">
      <c r="A727" s="25" t="s">
        <v>2294</v>
      </c>
      <c r="B727" s="25" t="s">
        <v>2169</v>
      </c>
      <c r="C727" s="26" t="s">
        <v>2170</v>
      </c>
      <c r="D727" s="27"/>
      <c r="E727" s="27" t="s">
        <v>2295</v>
      </c>
      <c r="F727" s="27" t="s">
        <v>64</v>
      </c>
      <c r="G727" s="28">
        <v>1</v>
      </c>
      <c r="H727" s="27"/>
      <c r="I727" s="28">
        <v>1504.31</v>
      </c>
      <c r="J727" s="29">
        <f>IFERROR(ROUND(SUM(M728,M729)/I727, 2),0)</f>
        <v>13.32</v>
      </c>
      <c r="K727" s="29">
        <v>464</v>
      </c>
      <c r="L727" s="29">
        <f>J727+ROUND(K727, 2)</f>
        <v>477.32</v>
      </c>
      <c r="M727" s="29">
        <f>ROUND(J727*I727, 2)</f>
        <v>20037.41</v>
      </c>
      <c r="N727" s="29">
        <f>ROUND(I727*ROUND(K727, 2), 2)</f>
        <v>697999.84</v>
      </c>
      <c r="O727" s="29">
        <f>M727+N727</f>
        <v>718037.25</v>
      </c>
      <c r="P727" s="29">
        <f>IFERROR(ROUND(SUM(S728,S729)/I727, 2),0)</f>
        <v>13.32</v>
      </c>
      <c r="Q727" s="29">
        <v>464</v>
      </c>
      <c r="R727" s="29">
        <f>P727+ROUND(Q727, 2)</f>
        <v>477.32</v>
      </c>
      <c r="S727" s="29">
        <f>ROUND(P727*I727, 2)</f>
        <v>20037.41</v>
      </c>
      <c r="T727" s="29">
        <f>ROUND(I727*ROUND(Q727, 2), 2)</f>
        <v>697999.84</v>
      </c>
      <c r="U727" s="29">
        <f>S727+T727</f>
        <v>718037.25</v>
      </c>
      <c r="V727" s="9">
        <f>ROUND(P727 / 1.2, 2)</f>
        <v>11.1</v>
      </c>
      <c r="W727" s="9">
        <f>ROUND(Q727 / 1.2, 2)</f>
        <v>386.67</v>
      </c>
      <c r="X727" s="9">
        <f>ROUND(R727 / 1.2, 2)</f>
        <v>397.77</v>
      </c>
      <c r="Y727" s="9">
        <f t="shared" si="60"/>
        <v>16697.84</v>
      </c>
      <c r="Z727" s="9">
        <f>ROUND(T727 / 1.2, 2)</f>
        <v>581666.53</v>
      </c>
      <c r="AA727" s="9">
        <f>Y727+Z727</f>
        <v>598364.37</v>
      </c>
      <c r="AD727" s="4">
        <v>271132265</v>
      </c>
      <c r="AE727" s="4">
        <v>20002016</v>
      </c>
      <c r="AG727" s="4" t="s">
        <v>2172</v>
      </c>
      <c r="AH727" s="4" t="s">
        <v>2173</v>
      </c>
      <c r="AI727" s="4" t="s">
        <v>67</v>
      </c>
    </row>
    <row r="728" spans="1:35" ht="36" x14ac:dyDescent="0.3">
      <c r="A728" s="25" t="s">
        <v>2296</v>
      </c>
      <c r="B728" s="25"/>
      <c r="C728" s="30" t="s">
        <v>433</v>
      </c>
      <c r="D728" s="27"/>
      <c r="E728" s="27"/>
      <c r="F728" s="31" t="s">
        <v>70</v>
      </c>
      <c r="G728" s="32">
        <v>0.15</v>
      </c>
      <c r="H728" s="27"/>
      <c r="I728" s="32">
        <v>225.64699999999999</v>
      </c>
      <c r="J728" s="34">
        <v>88.8</v>
      </c>
      <c r="K728" s="35"/>
      <c r="L728" s="35"/>
      <c r="M728" s="34">
        <f>ROUND(ROUND(J728, 2)*I728, 2)</f>
        <v>20037.45</v>
      </c>
      <c r="N728" s="35"/>
      <c r="O728" s="35"/>
      <c r="P728" s="34">
        <v>88.8</v>
      </c>
      <c r="Q728" s="35"/>
      <c r="R728" s="35"/>
      <c r="S728" s="34">
        <f>ROUND(ROUND(P728, 2)*I728, 2)</f>
        <v>20037.45</v>
      </c>
      <c r="T728" s="35"/>
      <c r="U728" s="36"/>
      <c r="V728" s="9">
        <f>ROUND(ROUND(P728, 2)/1.2, 2)</f>
        <v>74</v>
      </c>
      <c r="Y728" s="9">
        <f t="shared" si="60"/>
        <v>16697.88</v>
      </c>
      <c r="AD728" s="4" t="s">
        <v>2297</v>
      </c>
      <c r="AE728" s="4" t="s">
        <v>2298</v>
      </c>
      <c r="AF728" s="4" t="s">
        <v>436</v>
      </c>
    </row>
    <row r="729" spans="1:35" ht="90" x14ac:dyDescent="0.3">
      <c r="A729" s="25" t="s">
        <v>2299</v>
      </c>
      <c r="B729" s="25"/>
      <c r="C729" s="30" t="s">
        <v>2207</v>
      </c>
      <c r="D729" s="27"/>
      <c r="E729" s="27" t="s">
        <v>2300</v>
      </c>
      <c r="F729" s="31" t="s">
        <v>70</v>
      </c>
      <c r="G729" s="32">
        <v>0.3</v>
      </c>
      <c r="H729" s="27"/>
      <c r="I729" s="32">
        <v>451.29300000000001</v>
      </c>
      <c r="J729" s="34">
        <v>0</v>
      </c>
      <c r="K729" s="35"/>
      <c r="L729" s="35"/>
      <c r="M729" s="34">
        <f>ROUND(ROUND(J729, 2)*I729, 2)</f>
        <v>0</v>
      </c>
      <c r="N729" s="35"/>
      <c r="O729" s="35"/>
      <c r="P729" s="34">
        <v>0</v>
      </c>
      <c r="Q729" s="35"/>
      <c r="R729" s="35"/>
      <c r="S729" s="34">
        <f>ROUND(ROUND(P729, 2)*I729, 2)</f>
        <v>0</v>
      </c>
      <c r="T729" s="35"/>
      <c r="U729" s="36"/>
      <c r="V729" s="9">
        <f>ROUND(ROUND(P729, 2)/1.2, 2)</f>
        <v>0</v>
      </c>
      <c r="Y729" s="9">
        <f t="shared" si="60"/>
        <v>0</v>
      </c>
      <c r="AD729" s="4" t="s">
        <v>2301</v>
      </c>
      <c r="AE729" s="4" t="s">
        <v>2302</v>
      </c>
      <c r="AF729" s="4" t="s">
        <v>2211</v>
      </c>
    </row>
    <row r="730" spans="1:35" ht="36" x14ac:dyDescent="0.3">
      <c r="A730" s="25" t="s">
        <v>2303</v>
      </c>
      <c r="B730" s="25" t="s">
        <v>2169</v>
      </c>
      <c r="C730" s="26" t="s">
        <v>2170</v>
      </c>
      <c r="D730" s="27"/>
      <c r="E730" s="27" t="s">
        <v>2304</v>
      </c>
      <c r="F730" s="27" t="s">
        <v>64</v>
      </c>
      <c r="G730" s="28">
        <v>1</v>
      </c>
      <c r="H730" s="27"/>
      <c r="I730" s="28">
        <v>229.48</v>
      </c>
      <c r="J730" s="29">
        <f>IFERROR(ROUND(SUM(M731,M732)/I730, 2),0)</f>
        <v>13.32</v>
      </c>
      <c r="K730" s="29">
        <v>464</v>
      </c>
      <c r="L730" s="29">
        <f>J730+ROUND(K730, 2)</f>
        <v>477.32</v>
      </c>
      <c r="M730" s="29">
        <f>ROUND(J730*I730, 2)</f>
        <v>3056.67</v>
      </c>
      <c r="N730" s="29">
        <f>ROUND(I730*ROUND(K730, 2), 2)</f>
        <v>106478.72</v>
      </c>
      <c r="O730" s="29">
        <f>M730+N730</f>
        <v>109535.39</v>
      </c>
      <c r="P730" s="29">
        <f>IFERROR(ROUND(SUM(S731,S732)/I730, 2),0)</f>
        <v>13.32</v>
      </c>
      <c r="Q730" s="29">
        <v>464</v>
      </c>
      <c r="R730" s="29">
        <f>P730+ROUND(Q730, 2)</f>
        <v>477.32</v>
      </c>
      <c r="S730" s="29">
        <f>ROUND(P730*I730, 2)</f>
        <v>3056.67</v>
      </c>
      <c r="T730" s="29">
        <f>ROUND(I730*ROUND(Q730, 2), 2)</f>
        <v>106478.72</v>
      </c>
      <c r="U730" s="29">
        <f>S730+T730</f>
        <v>109535.39</v>
      </c>
      <c r="V730" s="9">
        <f>ROUND(P730 / 1.2, 2)</f>
        <v>11.1</v>
      </c>
      <c r="W730" s="9">
        <f>ROUND(Q730 / 1.2, 2)</f>
        <v>386.67</v>
      </c>
      <c r="X730" s="9">
        <f>ROUND(R730 / 1.2, 2)</f>
        <v>397.77</v>
      </c>
      <c r="Y730" s="9">
        <f t="shared" si="60"/>
        <v>2547.23</v>
      </c>
      <c r="Z730" s="9">
        <f>ROUND(T730 / 1.2, 2)</f>
        <v>88732.27</v>
      </c>
      <c r="AA730" s="9">
        <f>Y730+Z730</f>
        <v>91279.5</v>
      </c>
      <c r="AD730" s="4">
        <v>271132266</v>
      </c>
      <c r="AE730" s="4">
        <v>20002020</v>
      </c>
      <c r="AG730" s="4" t="s">
        <v>2172</v>
      </c>
      <c r="AH730" s="4" t="s">
        <v>2173</v>
      </c>
      <c r="AI730" s="4" t="s">
        <v>67</v>
      </c>
    </row>
    <row r="731" spans="1:35" ht="36" x14ac:dyDescent="0.3">
      <c r="A731" s="25" t="s">
        <v>2305</v>
      </c>
      <c r="B731" s="25"/>
      <c r="C731" s="30" t="s">
        <v>433</v>
      </c>
      <c r="D731" s="27"/>
      <c r="E731" s="27"/>
      <c r="F731" s="31" t="s">
        <v>70</v>
      </c>
      <c r="G731" s="32">
        <v>0.15</v>
      </c>
      <c r="H731" s="27"/>
      <c r="I731" s="32">
        <v>34.421999999999997</v>
      </c>
      <c r="J731" s="34">
        <v>88.8</v>
      </c>
      <c r="K731" s="35"/>
      <c r="L731" s="35"/>
      <c r="M731" s="34">
        <f>ROUND(ROUND(J731, 2)*I731, 2)</f>
        <v>3056.67</v>
      </c>
      <c r="N731" s="35"/>
      <c r="O731" s="35"/>
      <c r="P731" s="34">
        <v>88.8</v>
      </c>
      <c r="Q731" s="35"/>
      <c r="R731" s="35"/>
      <c r="S731" s="34">
        <f>ROUND(ROUND(P731, 2)*I731, 2)</f>
        <v>3056.67</v>
      </c>
      <c r="T731" s="35"/>
      <c r="U731" s="36"/>
      <c r="V731" s="9">
        <f>ROUND(ROUND(P731, 2)/1.2, 2)</f>
        <v>74</v>
      </c>
      <c r="Y731" s="9">
        <f t="shared" si="60"/>
        <v>2547.23</v>
      </c>
      <c r="AD731" s="4" t="s">
        <v>2306</v>
      </c>
      <c r="AE731" s="4" t="s">
        <v>2307</v>
      </c>
      <c r="AF731" s="4" t="s">
        <v>436</v>
      </c>
    </row>
    <row r="732" spans="1:35" ht="54" x14ac:dyDescent="0.3">
      <c r="A732" s="25" t="s">
        <v>2308</v>
      </c>
      <c r="B732" s="25"/>
      <c r="C732" s="30" t="s">
        <v>2175</v>
      </c>
      <c r="D732" s="27"/>
      <c r="E732" s="27" t="s">
        <v>2309</v>
      </c>
      <c r="F732" s="31" t="s">
        <v>70</v>
      </c>
      <c r="G732" s="32">
        <v>0.3</v>
      </c>
      <c r="H732" s="27"/>
      <c r="I732" s="32">
        <v>68.843999999999994</v>
      </c>
      <c r="J732" s="34">
        <v>0</v>
      </c>
      <c r="K732" s="35"/>
      <c r="L732" s="35"/>
      <c r="M732" s="34">
        <f>ROUND(ROUND(J732, 2)*I732, 2)</f>
        <v>0</v>
      </c>
      <c r="N732" s="35"/>
      <c r="O732" s="35"/>
      <c r="P732" s="34">
        <v>0</v>
      </c>
      <c r="Q732" s="35"/>
      <c r="R732" s="35"/>
      <c r="S732" s="34">
        <f>ROUND(ROUND(P732, 2)*I732, 2)</f>
        <v>0</v>
      </c>
      <c r="T732" s="35"/>
      <c r="U732" s="36"/>
      <c r="V732" s="9">
        <f>ROUND(ROUND(P732, 2)/1.2, 2)</f>
        <v>0</v>
      </c>
      <c r="Y732" s="9">
        <f t="shared" si="60"/>
        <v>0</v>
      </c>
      <c r="AD732" s="4" t="s">
        <v>2310</v>
      </c>
      <c r="AE732" s="4" t="s">
        <v>2311</v>
      </c>
      <c r="AF732" s="4" t="s">
        <v>2179</v>
      </c>
    </row>
    <row r="733" spans="1:35" ht="36" x14ac:dyDescent="0.3">
      <c r="A733" s="25" t="s">
        <v>2312</v>
      </c>
      <c r="B733" s="25" t="s">
        <v>2169</v>
      </c>
      <c r="C733" s="26" t="s">
        <v>2170</v>
      </c>
      <c r="D733" s="27"/>
      <c r="E733" s="27" t="s">
        <v>2313</v>
      </c>
      <c r="F733" s="27" t="s">
        <v>64</v>
      </c>
      <c r="G733" s="28">
        <v>1</v>
      </c>
      <c r="H733" s="27"/>
      <c r="I733" s="28">
        <v>16.88</v>
      </c>
      <c r="J733" s="29">
        <f>IFERROR(ROUND(SUM(M734,M735)/I733, 2),0)</f>
        <v>13.32</v>
      </c>
      <c r="K733" s="29">
        <v>464</v>
      </c>
      <c r="L733" s="29">
        <f>J733+ROUND(K733, 2)</f>
        <v>477.32</v>
      </c>
      <c r="M733" s="29">
        <f>ROUND(J733*I733, 2)</f>
        <v>224.84</v>
      </c>
      <c r="N733" s="29">
        <f>ROUND(I733*ROUND(K733, 2), 2)</f>
        <v>7832.32</v>
      </c>
      <c r="O733" s="29">
        <f>M733+N733</f>
        <v>8057.16</v>
      </c>
      <c r="P733" s="29">
        <f>IFERROR(ROUND(SUM(S734,S735)/I733, 2),0)</f>
        <v>13.32</v>
      </c>
      <c r="Q733" s="29">
        <v>464</v>
      </c>
      <c r="R733" s="29">
        <f>P733+ROUND(Q733, 2)</f>
        <v>477.32</v>
      </c>
      <c r="S733" s="29">
        <f>ROUND(P733*I733, 2)</f>
        <v>224.84</v>
      </c>
      <c r="T733" s="29">
        <f>ROUND(I733*ROUND(Q733, 2), 2)</f>
        <v>7832.32</v>
      </c>
      <c r="U733" s="29">
        <f>S733+T733</f>
        <v>8057.16</v>
      </c>
      <c r="V733" s="9">
        <f>ROUND(P733 / 1.2, 2)</f>
        <v>11.1</v>
      </c>
      <c r="W733" s="9">
        <f>ROUND(Q733 / 1.2, 2)</f>
        <v>386.67</v>
      </c>
      <c r="X733" s="9">
        <f>ROUND(R733 / 1.2, 2)</f>
        <v>397.77</v>
      </c>
      <c r="Y733" s="9">
        <f t="shared" si="60"/>
        <v>187.37</v>
      </c>
      <c r="Z733" s="9">
        <f>ROUND(T733 / 1.2, 2)</f>
        <v>6526.93</v>
      </c>
      <c r="AA733" s="9">
        <f>Y733+Z733</f>
        <v>6714.3</v>
      </c>
      <c r="AD733" s="4">
        <v>271132267</v>
      </c>
      <c r="AE733" s="4">
        <v>20002021</v>
      </c>
      <c r="AG733" s="4" t="s">
        <v>2172</v>
      </c>
      <c r="AH733" s="4" t="s">
        <v>2173</v>
      </c>
      <c r="AI733" s="4" t="s">
        <v>67</v>
      </c>
    </row>
    <row r="734" spans="1:35" ht="36" x14ac:dyDescent="0.3">
      <c r="A734" s="25" t="s">
        <v>2314</v>
      </c>
      <c r="B734" s="25"/>
      <c r="C734" s="30" t="s">
        <v>433</v>
      </c>
      <c r="D734" s="27"/>
      <c r="E734" s="27"/>
      <c r="F734" s="31" t="s">
        <v>70</v>
      </c>
      <c r="G734" s="32">
        <v>0.15</v>
      </c>
      <c r="H734" s="27"/>
      <c r="I734" s="32">
        <v>2.532</v>
      </c>
      <c r="J734" s="34">
        <v>88.8</v>
      </c>
      <c r="K734" s="35"/>
      <c r="L734" s="35"/>
      <c r="M734" s="34">
        <f>ROUND(ROUND(J734, 2)*I734, 2)</f>
        <v>224.84</v>
      </c>
      <c r="N734" s="35"/>
      <c r="O734" s="35"/>
      <c r="P734" s="34">
        <v>88.8</v>
      </c>
      <c r="Q734" s="35"/>
      <c r="R734" s="35"/>
      <c r="S734" s="34">
        <f>ROUND(ROUND(P734, 2)*I734, 2)</f>
        <v>224.84</v>
      </c>
      <c r="T734" s="35"/>
      <c r="U734" s="36"/>
      <c r="V734" s="9">
        <f>ROUND(ROUND(P734, 2)/1.2, 2)</f>
        <v>74</v>
      </c>
      <c r="Y734" s="9">
        <f t="shared" si="60"/>
        <v>187.37</v>
      </c>
      <c r="AD734" s="4" t="s">
        <v>2315</v>
      </c>
      <c r="AE734" s="4" t="s">
        <v>2316</v>
      </c>
      <c r="AF734" s="4" t="s">
        <v>436</v>
      </c>
    </row>
    <row r="735" spans="1:35" ht="54" x14ac:dyDescent="0.3">
      <c r="A735" s="25" t="s">
        <v>2317</v>
      </c>
      <c r="B735" s="25"/>
      <c r="C735" s="30" t="s">
        <v>2175</v>
      </c>
      <c r="D735" s="27"/>
      <c r="E735" s="27" t="s">
        <v>2318</v>
      </c>
      <c r="F735" s="31" t="s">
        <v>70</v>
      </c>
      <c r="G735" s="32">
        <v>0.3</v>
      </c>
      <c r="H735" s="27"/>
      <c r="I735" s="32">
        <v>5.0640000000000001</v>
      </c>
      <c r="J735" s="34">
        <v>0</v>
      </c>
      <c r="K735" s="35"/>
      <c r="L735" s="35"/>
      <c r="M735" s="34">
        <f>ROUND(ROUND(J735, 2)*I735, 2)</f>
        <v>0</v>
      </c>
      <c r="N735" s="35"/>
      <c r="O735" s="35"/>
      <c r="P735" s="34">
        <v>0</v>
      </c>
      <c r="Q735" s="35"/>
      <c r="R735" s="35"/>
      <c r="S735" s="34">
        <f>ROUND(ROUND(P735, 2)*I735, 2)</f>
        <v>0</v>
      </c>
      <c r="T735" s="35"/>
      <c r="U735" s="36"/>
      <c r="V735" s="9">
        <f>ROUND(ROUND(P735, 2)/1.2, 2)</f>
        <v>0</v>
      </c>
      <c r="Y735" s="9">
        <f t="shared" si="60"/>
        <v>0</v>
      </c>
      <c r="AD735" s="4" t="s">
        <v>2319</v>
      </c>
      <c r="AE735" s="4" t="s">
        <v>2320</v>
      </c>
      <c r="AF735" s="4" t="s">
        <v>2179</v>
      </c>
    </row>
    <row r="736" spans="1:35" ht="36" x14ac:dyDescent="0.3">
      <c r="A736" s="25" t="s">
        <v>2321</v>
      </c>
      <c r="B736" s="25" t="s">
        <v>2169</v>
      </c>
      <c r="C736" s="26" t="s">
        <v>2170</v>
      </c>
      <c r="D736" s="27"/>
      <c r="E736" s="27" t="s">
        <v>2322</v>
      </c>
      <c r="F736" s="27" t="s">
        <v>64</v>
      </c>
      <c r="G736" s="28">
        <v>1</v>
      </c>
      <c r="H736" s="27"/>
      <c r="I736" s="28">
        <v>107.24</v>
      </c>
      <c r="J736" s="29">
        <f>IFERROR(ROUND(SUM(M737,M738)/I736, 2),0)</f>
        <v>13.32</v>
      </c>
      <c r="K736" s="29">
        <v>464</v>
      </c>
      <c r="L736" s="29">
        <f>J736+ROUND(K736, 2)</f>
        <v>477.32</v>
      </c>
      <c r="M736" s="29">
        <f>ROUND(J736*I736, 2)</f>
        <v>1428.44</v>
      </c>
      <c r="N736" s="29">
        <f>ROUND(I736*ROUND(K736, 2), 2)</f>
        <v>49759.360000000001</v>
      </c>
      <c r="O736" s="29">
        <f>M736+N736</f>
        <v>51187.8</v>
      </c>
      <c r="P736" s="29">
        <f>IFERROR(ROUND(SUM(S737,S738)/I736, 2),0)</f>
        <v>13.32</v>
      </c>
      <c r="Q736" s="29">
        <v>464</v>
      </c>
      <c r="R736" s="29">
        <f>P736+ROUND(Q736, 2)</f>
        <v>477.32</v>
      </c>
      <c r="S736" s="29">
        <f>ROUND(P736*I736, 2)</f>
        <v>1428.44</v>
      </c>
      <c r="T736" s="29">
        <f>ROUND(I736*ROUND(Q736, 2), 2)</f>
        <v>49759.360000000001</v>
      </c>
      <c r="U736" s="29">
        <f>S736+T736</f>
        <v>51187.8</v>
      </c>
      <c r="V736" s="9">
        <f>ROUND(P736 / 1.2, 2)</f>
        <v>11.1</v>
      </c>
      <c r="W736" s="9">
        <f>ROUND(Q736 / 1.2, 2)</f>
        <v>386.67</v>
      </c>
      <c r="X736" s="9">
        <f>ROUND(R736 / 1.2, 2)</f>
        <v>397.77</v>
      </c>
      <c r="Y736" s="9">
        <f t="shared" si="60"/>
        <v>1190.3699999999999</v>
      </c>
      <c r="Z736" s="9">
        <f>ROUND(T736 / 1.2, 2)</f>
        <v>41466.129999999997</v>
      </c>
      <c r="AA736" s="9">
        <f>Y736+Z736</f>
        <v>42656.5</v>
      </c>
      <c r="AD736" s="4">
        <v>271132268</v>
      </c>
      <c r="AE736" s="4">
        <v>20002022</v>
      </c>
      <c r="AG736" s="4" t="s">
        <v>2172</v>
      </c>
      <c r="AH736" s="4" t="s">
        <v>2173</v>
      </c>
      <c r="AI736" s="4" t="s">
        <v>67</v>
      </c>
    </row>
    <row r="737" spans="1:35" ht="36" x14ac:dyDescent="0.3">
      <c r="A737" s="25" t="s">
        <v>2323</v>
      </c>
      <c r="B737" s="25"/>
      <c r="C737" s="30" t="s">
        <v>433</v>
      </c>
      <c r="D737" s="27"/>
      <c r="E737" s="27"/>
      <c r="F737" s="31" t="s">
        <v>70</v>
      </c>
      <c r="G737" s="32">
        <v>0.15</v>
      </c>
      <c r="H737" s="27"/>
      <c r="I737" s="32">
        <v>16.085999999999999</v>
      </c>
      <c r="J737" s="34">
        <v>88.8</v>
      </c>
      <c r="K737" s="35"/>
      <c r="L737" s="35"/>
      <c r="M737" s="34">
        <f>ROUND(ROUND(J737, 2)*I737, 2)</f>
        <v>1428.44</v>
      </c>
      <c r="N737" s="35"/>
      <c r="O737" s="35"/>
      <c r="P737" s="34">
        <v>88.8</v>
      </c>
      <c r="Q737" s="35"/>
      <c r="R737" s="35"/>
      <c r="S737" s="34">
        <f>ROUND(ROUND(P737, 2)*I737, 2)</f>
        <v>1428.44</v>
      </c>
      <c r="T737" s="35"/>
      <c r="U737" s="36"/>
      <c r="V737" s="9">
        <f>ROUND(ROUND(P737, 2)/1.2, 2)</f>
        <v>74</v>
      </c>
      <c r="Y737" s="9">
        <f t="shared" si="60"/>
        <v>1190.3699999999999</v>
      </c>
      <c r="AD737" s="4" t="s">
        <v>2324</v>
      </c>
      <c r="AE737" s="4" t="s">
        <v>2325</v>
      </c>
      <c r="AF737" s="4" t="s">
        <v>436</v>
      </c>
    </row>
    <row r="738" spans="1:35" ht="54" x14ac:dyDescent="0.3">
      <c r="A738" s="25" t="s">
        <v>2326</v>
      </c>
      <c r="B738" s="25"/>
      <c r="C738" s="30" t="s">
        <v>2207</v>
      </c>
      <c r="D738" s="27"/>
      <c r="E738" s="27" t="s">
        <v>2327</v>
      </c>
      <c r="F738" s="31" t="s">
        <v>70</v>
      </c>
      <c r="G738" s="32">
        <v>0.3</v>
      </c>
      <c r="H738" s="27"/>
      <c r="I738" s="32">
        <v>32.171999999999997</v>
      </c>
      <c r="J738" s="34">
        <v>0</v>
      </c>
      <c r="K738" s="35"/>
      <c r="L738" s="35"/>
      <c r="M738" s="34">
        <f>ROUND(ROUND(J738, 2)*I738, 2)</f>
        <v>0</v>
      </c>
      <c r="N738" s="35"/>
      <c r="O738" s="35"/>
      <c r="P738" s="34">
        <v>0</v>
      </c>
      <c r="Q738" s="35"/>
      <c r="R738" s="35"/>
      <c r="S738" s="34">
        <f>ROUND(ROUND(P738, 2)*I738, 2)</f>
        <v>0</v>
      </c>
      <c r="T738" s="35"/>
      <c r="U738" s="36"/>
      <c r="V738" s="9">
        <f>ROUND(ROUND(P738, 2)/1.2, 2)</f>
        <v>0</v>
      </c>
      <c r="Y738" s="9">
        <f t="shared" si="60"/>
        <v>0</v>
      </c>
      <c r="AD738" s="4" t="s">
        <v>2328</v>
      </c>
      <c r="AE738" s="4" t="s">
        <v>2329</v>
      </c>
      <c r="AF738" s="4" t="s">
        <v>2211</v>
      </c>
    </row>
    <row r="739" spans="1:35" ht="36" x14ac:dyDescent="0.3">
      <c r="A739" s="25" t="s">
        <v>2330</v>
      </c>
      <c r="B739" s="25" t="s">
        <v>2169</v>
      </c>
      <c r="C739" s="26" t="s">
        <v>2170</v>
      </c>
      <c r="D739" s="27"/>
      <c r="E739" s="27" t="s">
        <v>2331</v>
      </c>
      <c r="F739" s="27" t="s">
        <v>64</v>
      </c>
      <c r="G739" s="28">
        <v>1</v>
      </c>
      <c r="H739" s="27"/>
      <c r="I739" s="28">
        <v>3.42</v>
      </c>
      <c r="J739" s="29">
        <f>IFERROR(ROUND(SUM(M740,M741)/I739, 2),0)</f>
        <v>13.32</v>
      </c>
      <c r="K739" s="29">
        <v>464</v>
      </c>
      <c r="L739" s="29">
        <f>J739+ROUND(K739, 2)</f>
        <v>477.32</v>
      </c>
      <c r="M739" s="29">
        <f>ROUND(J739*I739, 2)</f>
        <v>45.55</v>
      </c>
      <c r="N739" s="29">
        <f>ROUND(I739*ROUND(K739, 2), 2)</f>
        <v>1586.88</v>
      </c>
      <c r="O739" s="29">
        <f>M739+N739</f>
        <v>1632.43</v>
      </c>
      <c r="P739" s="29">
        <f>IFERROR(ROUND(SUM(S740,S741)/I739, 2),0)</f>
        <v>13.32</v>
      </c>
      <c r="Q739" s="29">
        <v>464</v>
      </c>
      <c r="R739" s="29">
        <f>P739+ROUND(Q739, 2)</f>
        <v>477.32</v>
      </c>
      <c r="S739" s="29">
        <f>ROUND(P739*I739, 2)</f>
        <v>45.55</v>
      </c>
      <c r="T739" s="29">
        <f>ROUND(I739*ROUND(Q739, 2), 2)</f>
        <v>1586.88</v>
      </c>
      <c r="U739" s="29">
        <f>S739+T739</f>
        <v>1632.43</v>
      </c>
      <c r="V739" s="9">
        <f>ROUND(P739 / 1.2, 2)</f>
        <v>11.1</v>
      </c>
      <c r="W739" s="9">
        <f>ROUND(Q739 / 1.2, 2)</f>
        <v>386.67</v>
      </c>
      <c r="X739" s="9">
        <f>ROUND(R739 / 1.2, 2)</f>
        <v>397.77</v>
      </c>
      <c r="Y739" s="9">
        <f t="shared" si="60"/>
        <v>37.96</v>
      </c>
      <c r="Z739" s="9">
        <f>ROUND(T739 / 1.2, 2)</f>
        <v>1322.4</v>
      </c>
      <c r="AA739" s="9">
        <f>Y739+Z739</f>
        <v>1360.36</v>
      </c>
      <c r="AD739" s="4">
        <v>271132269</v>
      </c>
      <c r="AE739" s="4">
        <v>20002023</v>
      </c>
      <c r="AG739" s="4" t="s">
        <v>2172</v>
      </c>
      <c r="AH739" s="4" t="s">
        <v>2173</v>
      </c>
      <c r="AI739" s="4" t="s">
        <v>67</v>
      </c>
    </row>
    <row r="740" spans="1:35" ht="36" x14ac:dyDescent="0.3">
      <c r="A740" s="25" t="s">
        <v>2332</v>
      </c>
      <c r="B740" s="25"/>
      <c r="C740" s="30" t="s">
        <v>433</v>
      </c>
      <c r="D740" s="27"/>
      <c r="E740" s="27"/>
      <c r="F740" s="31" t="s">
        <v>70</v>
      </c>
      <c r="G740" s="32">
        <v>0.15</v>
      </c>
      <c r="H740" s="27"/>
      <c r="I740" s="32">
        <v>0.51300000000000001</v>
      </c>
      <c r="J740" s="34">
        <v>88.8</v>
      </c>
      <c r="K740" s="35"/>
      <c r="L740" s="35"/>
      <c r="M740" s="34">
        <f>ROUND(ROUND(J740, 2)*I740, 2)</f>
        <v>45.55</v>
      </c>
      <c r="N740" s="35"/>
      <c r="O740" s="35"/>
      <c r="P740" s="34">
        <v>88.8</v>
      </c>
      <c r="Q740" s="35"/>
      <c r="R740" s="35"/>
      <c r="S740" s="34">
        <f>ROUND(ROUND(P740, 2)*I740, 2)</f>
        <v>45.55</v>
      </c>
      <c r="T740" s="35"/>
      <c r="U740" s="36"/>
      <c r="V740" s="9">
        <f>ROUND(ROUND(P740, 2)/1.2, 2)</f>
        <v>74</v>
      </c>
      <c r="Y740" s="9">
        <f t="shared" si="60"/>
        <v>37.96</v>
      </c>
      <c r="AD740" s="4" t="s">
        <v>2333</v>
      </c>
      <c r="AE740" s="4" t="s">
        <v>2334</v>
      </c>
      <c r="AF740" s="4" t="s">
        <v>436</v>
      </c>
    </row>
    <row r="741" spans="1:35" ht="54" x14ac:dyDescent="0.3">
      <c r="A741" s="25" t="s">
        <v>2335</v>
      </c>
      <c r="B741" s="25"/>
      <c r="C741" s="30" t="s">
        <v>2207</v>
      </c>
      <c r="D741" s="27"/>
      <c r="E741" s="27" t="s">
        <v>2336</v>
      </c>
      <c r="F741" s="31" t="s">
        <v>70</v>
      </c>
      <c r="G741" s="32">
        <v>0.3</v>
      </c>
      <c r="H741" s="27"/>
      <c r="I741" s="32">
        <v>1.026</v>
      </c>
      <c r="J741" s="34">
        <v>0</v>
      </c>
      <c r="K741" s="35"/>
      <c r="L741" s="35"/>
      <c r="M741" s="34">
        <f>ROUND(ROUND(J741, 2)*I741, 2)</f>
        <v>0</v>
      </c>
      <c r="N741" s="35"/>
      <c r="O741" s="35"/>
      <c r="P741" s="34">
        <v>0</v>
      </c>
      <c r="Q741" s="35"/>
      <c r="R741" s="35"/>
      <c r="S741" s="34">
        <f>ROUND(ROUND(P741, 2)*I741, 2)</f>
        <v>0</v>
      </c>
      <c r="T741" s="35"/>
      <c r="U741" s="36"/>
      <c r="V741" s="9">
        <f>ROUND(ROUND(P741, 2)/1.2, 2)</f>
        <v>0</v>
      </c>
      <c r="Y741" s="9">
        <f t="shared" si="60"/>
        <v>0</v>
      </c>
      <c r="AD741" s="4" t="s">
        <v>2337</v>
      </c>
      <c r="AE741" s="4" t="s">
        <v>2338</v>
      </c>
      <c r="AF741" s="4" t="s">
        <v>2211</v>
      </c>
    </row>
    <row r="742" spans="1:35" ht="36" x14ac:dyDescent="0.3">
      <c r="A742" s="25" t="s">
        <v>2339</v>
      </c>
      <c r="B742" s="25" t="s">
        <v>2169</v>
      </c>
      <c r="C742" s="26" t="s">
        <v>2170</v>
      </c>
      <c r="D742" s="27"/>
      <c r="E742" s="27" t="s">
        <v>2340</v>
      </c>
      <c r="F742" s="27" t="s">
        <v>64</v>
      </c>
      <c r="G742" s="28">
        <v>1</v>
      </c>
      <c r="H742" s="27"/>
      <c r="I742" s="28">
        <v>92.54</v>
      </c>
      <c r="J742" s="29">
        <f>IFERROR(ROUND(SUM(M743,M744)/I742, 2),0)</f>
        <v>13.32</v>
      </c>
      <c r="K742" s="29">
        <v>464</v>
      </c>
      <c r="L742" s="29">
        <f>J742+ROUND(K742, 2)</f>
        <v>477.32</v>
      </c>
      <c r="M742" s="29">
        <f>ROUND(J742*I742, 2)</f>
        <v>1232.6300000000001</v>
      </c>
      <c r="N742" s="29">
        <f>ROUND(I742*ROUND(K742, 2), 2)</f>
        <v>42938.559999999998</v>
      </c>
      <c r="O742" s="29">
        <f>M742+N742</f>
        <v>44171.19</v>
      </c>
      <c r="P742" s="29">
        <f>IFERROR(ROUND(SUM(S743,S744)/I742, 2),0)</f>
        <v>13.32</v>
      </c>
      <c r="Q742" s="29">
        <v>464</v>
      </c>
      <c r="R742" s="29">
        <f>P742+ROUND(Q742, 2)</f>
        <v>477.32</v>
      </c>
      <c r="S742" s="29">
        <f>ROUND(P742*I742, 2)</f>
        <v>1232.6300000000001</v>
      </c>
      <c r="T742" s="29">
        <f>ROUND(I742*ROUND(Q742, 2), 2)</f>
        <v>42938.559999999998</v>
      </c>
      <c r="U742" s="29">
        <f>S742+T742</f>
        <v>44171.19</v>
      </c>
      <c r="V742" s="9">
        <f>ROUND(P742 / 1.2, 2)</f>
        <v>11.1</v>
      </c>
      <c r="W742" s="9">
        <f>ROUND(Q742 / 1.2, 2)</f>
        <v>386.67</v>
      </c>
      <c r="X742" s="9">
        <f>ROUND(R742 / 1.2, 2)</f>
        <v>397.77</v>
      </c>
      <c r="Y742" s="9">
        <f t="shared" si="60"/>
        <v>1027.19</v>
      </c>
      <c r="Z742" s="9">
        <f>ROUND(T742 / 1.2, 2)</f>
        <v>35782.129999999997</v>
      </c>
      <c r="AA742" s="9">
        <f>Y742+Z742</f>
        <v>36809.32</v>
      </c>
      <c r="AD742" s="4">
        <v>271132270</v>
      </c>
      <c r="AE742" s="4">
        <v>20002024</v>
      </c>
      <c r="AG742" s="4" t="s">
        <v>2172</v>
      </c>
      <c r="AH742" s="4" t="s">
        <v>2173</v>
      </c>
      <c r="AI742" s="4" t="s">
        <v>67</v>
      </c>
    </row>
    <row r="743" spans="1:35" ht="36" x14ac:dyDescent="0.3">
      <c r="A743" s="25" t="s">
        <v>2341</v>
      </c>
      <c r="B743" s="25"/>
      <c r="C743" s="30" t="s">
        <v>433</v>
      </c>
      <c r="D743" s="27"/>
      <c r="E743" s="27"/>
      <c r="F743" s="31" t="s">
        <v>70</v>
      </c>
      <c r="G743" s="32">
        <v>0.15</v>
      </c>
      <c r="H743" s="27"/>
      <c r="I743" s="32">
        <v>13.881</v>
      </c>
      <c r="J743" s="34">
        <v>88.8</v>
      </c>
      <c r="K743" s="35"/>
      <c r="L743" s="35"/>
      <c r="M743" s="34">
        <f>ROUND(ROUND(J743, 2)*I743, 2)</f>
        <v>1232.6300000000001</v>
      </c>
      <c r="N743" s="35"/>
      <c r="O743" s="35"/>
      <c r="P743" s="34">
        <v>88.8</v>
      </c>
      <c r="Q743" s="35"/>
      <c r="R743" s="35"/>
      <c r="S743" s="34">
        <f>ROUND(ROUND(P743, 2)*I743, 2)</f>
        <v>1232.6300000000001</v>
      </c>
      <c r="T743" s="35"/>
      <c r="U743" s="36"/>
      <c r="V743" s="9">
        <f>ROUND(ROUND(P743, 2)/1.2, 2)</f>
        <v>74</v>
      </c>
      <c r="Y743" s="9">
        <f t="shared" si="60"/>
        <v>1027.19</v>
      </c>
      <c r="AD743" s="4" t="s">
        <v>2342</v>
      </c>
      <c r="AE743" s="4" t="s">
        <v>2343</v>
      </c>
      <c r="AF743" s="4" t="s">
        <v>436</v>
      </c>
    </row>
    <row r="744" spans="1:35" ht="54" x14ac:dyDescent="0.3">
      <c r="A744" s="25" t="s">
        <v>2344</v>
      </c>
      <c r="B744" s="25"/>
      <c r="C744" s="30" t="s">
        <v>2207</v>
      </c>
      <c r="D744" s="27"/>
      <c r="E744" s="27" t="s">
        <v>2345</v>
      </c>
      <c r="F744" s="31" t="s">
        <v>70</v>
      </c>
      <c r="G744" s="32">
        <v>0.3</v>
      </c>
      <c r="H744" s="27"/>
      <c r="I744" s="32">
        <v>27.762</v>
      </c>
      <c r="J744" s="34">
        <v>0</v>
      </c>
      <c r="K744" s="35"/>
      <c r="L744" s="35"/>
      <c r="M744" s="34">
        <f>ROUND(ROUND(J744, 2)*I744, 2)</f>
        <v>0</v>
      </c>
      <c r="N744" s="35"/>
      <c r="O744" s="35"/>
      <c r="P744" s="34">
        <v>0</v>
      </c>
      <c r="Q744" s="35"/>
      <c r="R744" s="35"/>
      <c r="S744" s="34">
        <f>ROUND(ROUND(P744, 2)*I744, 2)</f>
        <v>0</v>
      </c>
      <c r="T744" s="35"/>
      <c r="U744" s="36"/>
      <c r="V744" s="9">
        <f>ROUND(ROUND(P744, 2)/1.2, 2)</f>
        <v>0</v>
      </c>
      <c r="Y744" s="9">
        <f t="shared" si="60"/>
        <v>0</v>
      </c>
      <c r="AD744" s="4" t="s">
        <v>2346</v>
      </c>
      <c r="AE744" s="4" t="s">
        <v>2347</v>
      </c>
      <c r="AF744" s="4" t="s">
        <v>2211</v>
      </c>
    </row>
    <row r="745" spans="1:35" ht="36" x14ac:dyDescent="0.3">
      <c r="A745" s="25" t="s">
        <v>2348</v>
      </c>
      <c r="B745" s="25" t="s">
        <v>2169</v>
      </c>
      <c r="C745" s="26" t="s">
        <v>2170</v>
      </c>
      <c r="D745" s="27"/>
      <c r="E745" s="27" t="s">
        <v>2349</v>
      </c>
      <c r="F745" s="27" t="s">
        <v>64</v>
      </c>
      <c r="G745" s="28">
        <v>1</v>
      </c>
      <c r="H745" s="27"/>
      <c r="I745" s="28">
        <v>67.19</v>
      </c>
      <c r="J745" s="29">
        <f>IFERROR(ROUND(SUM(M746,M747)/I745, 2),0)</f>
        <v>13.32</v>
      </c>
      <c r="K745" s="29">
        <v>464</v>
      </c>
      <c r="L745" s="29">
        <f>J745+ROUND(K745, 2)</f>
        <v>477.32</v>
      </c>
      <c r="M745" s="29">
        <f>ROUND(J745*I745, 2)</f>
        <v>894.97</v>
      </c>
      <c r="N745" s="29">
        <f>ROUND(I745*ROUND(K745, 2), 2)</f>
        <v>31176.16</v>
      </c>
      <c r="O745" s="29">
        <f>M745+N745</f>
        <v>32071.13</v>
      </c>
      <c r="P745" s="29">
        <f>IFERROR(ROUND(SUM(S746,S747)/I745, 2),0)</f>
        <v>13.32</v>
      </c>
      <c r="Q745" s="29">
        <v>464</v>
      </c>
      <c r="R745" s="29">
        <f>P745+ROUND(Q745, 2)</f>
        <v>477.32</v>
      </c>
      <c r="S745" s="29">
        <f>ROUND(P745*I745, 2)</f>
        <v>894.97</v>
      </c>
      <c r="T745" s="29">
        <f>ROUND(I745*ROUND(Q745, 2), 2)</f>
        <v>31176.16</v>
      </c>
      <c r="U745" s="29">
        <f>S745+T745</f>
        <v>32071.13</v>
      </c>
      <c r="V745" s="9">
        <f>ROUND(P745 / 1.2, 2)</f>
        <v>11.1</v>
      </c>
      <c r="W745" s="9">
        <f>ROUND(Q745 / 1.2, 2)</f>
        <v>386.67</v>
      </c>
      <c r="X745" s="9">
        <f>ROUND(R745 / 1.2, 2)</f>
        <v>397.77</v>
      </c>
      <c r="Y745" s="9">
        <f t="shared" si="60"/>
        <v>745.81</v>
      </c>
      <c r="Z745" s="9">
        <f>ROUND(T745 / 1.2, 2)</f>
        <v>25980.13</v>
      </c>
      <c r="AA745" s="9">
        <f>Y745+Z745</f>
        <v>26725.94</v>
      </c>
      <c r="AD745" s="4">
        <v>271132271</v>
      </c>
      <c r="AE745" s="4">
        <v>20002025</v>
      </c>
      <c r="AG745" s="4" t="s">
        <v>2172</v>
      </c>
      <c r="AH745" s="4" t="s">
        <v>2173</v>
      </c>
      <c r="AI745" s="4" t="s">
        <v>67</v>
      </c>
    </row>
    <row r="746" spans="1:35" ht="36" x14ac:dyDescent="0.3">
      <c r="A746" s="25" t="s">
        <v>2350</v>
      </c>
      <c r="B746" s="25"/>
      <c r="C746" s="30" t="s">
        <v>433</v>
      </c>
      <c r="D746" s="27"/>
      <c r="E746" s="27"/>
      <c r="F746" s="31" t="s">
        <v>70</v>
      </c>
      <c r="G746" s="32">
        <v>0.15</v>
      </c>
      <c r="H746" s="27"/>
      <c r="I746" s="32">
        <v>10.079000000000001</v>
      </c>
      <c r="J746" s="34">
        <v>88.8</v>
      </c>
      <c r="K746" s="35"/>
      <c r="L746" s="35"/>
      <c r="M746" s="34">
        <f>ROUND(ROUND(J746, 2)*I746, 2)</f>
        <v>895.02</v>
      </c>
      <c r="N746" s="35"/>
      <c r="O746" s="35"/>
      <c r="P746" s="34">
        <v>88.8</v>
      </c>
      <c r="Q746" s="35"/>
      <c r="R746" s="35"/>
      <c r="S746" s="34">
        <f>ROUND(ROUND(P746, 2)*I746, 2)</f>
        <v>895.02</v>
      </c>
      <c r="T746" s="35"/>
      <c r="U746" s="36"/>
      <c r="V746" s="9">
        <f>ROUND(ROUND(P746, 2)/1.2, 2)</f>
        <v>74</v>
      </c>
      <c r="Y746" s="9">
        <f t="shared" si="60"/>
        <v>745.85</v>
      </c>
      <c r="AD746" s="4" t="s">
        <v>2351</v>
      </c>
      <c r="AE746" s="4" t="s">
        <v>2352</v>
      </c>
      <c r="AF746" s="4" t="s">
        <v>436</v>
      </c>
    </row>
    <row r="747" spans="1:35" ht="36" x14ac:dyDescent="0.3">
      <c r="A747" s="25" t="s">
        <v>2353</v>
      </c>
      <c r="B747" s="25"/>
      <c r="C747" s="30" t="s">
        <v>2207</v>
      </c>
      <c r="D747" s="27"/>
      <c r="E747" s="27" t="s">
        <v>2354</v>
      </c>
      <c r="F747" s="31" t="s">
        <v>70</v>
      </c>
      <c r="G747" s="32">
        <v>0.3</v>
      </c>
      <c r="H747" s="27"/>
      <c r="I747" s="32">
        <v>20.157</v>
      </c>
      <c r="J747" s="34">
        <v>0</v>
      </c>
      <c r="K747" s="35"/>
      <c r="L747" s="35"/>
      <c r="M747" s="34">
        <f>ROUND(ROUND(J747, 2)*I747, 2)</f>
        <v>0</v>
      </c>
      <c r="N747" s="35"/>
      <c r="O747" s="35"/>
      <c r="P747" s="34">
        <v>0</v>
      </c>
      <c r="Q747" s="35"/>
      <c r="R747" s="35"/>
      <c r="S747" s="34">
        <f>ROUND(ROUND(P747, 2)*I747, 2)</f>
        <v>0</v>
      </c>
      <c r="T747" s="35"/>
      <c r="U747" s="36"/>
      <c r="V747" s="9">
        <f>ROUND(ROUND(P747, 2)/1.2, 2)</f>
        <v>0</v>
      </c>
      <c r="Y747" s="9">
        <f t="shared" si="60"/>
        <v>0</v>
      </c>
      <c r="AD747" s="4" t="s">
        <v>2355</v>
      </c>
      <c r="AE747" s="4" t="s">
        <v>2356</v>
      </c>
      <c r="AF747" s="4" t="s">
        <v>2211</v>
      </c>
    </row>
    <row r="748" spans="1:35" ht="36" x14ac:dyDescent="0.3">
      <c r="A748" s="25" t="s">
        <v>2357</v>
      </c>
      <c r="B748" s="25" t="s">
        <v>2169</v>
      </c>
      <c r="C748" s="26" t="s">
        <v>2170</v>
      </c>
      <c r="D748" s="27"/>
      <c r="E748" s="27" t="s">
        <v>2358</v>
      </c>
      <c r="F748" s="27" t="s">
        <v>64</v>
      </c>
      <c r="G748" s="28">
        <v>1</v>
      </c>
      <c r="H748" s="27"/>
      <c r="I748" s="28">
        <v>357.68</v>
      </c>
      <c r="J748" s="29">
        <f>IFERROR(ROUND(SUM(M749,M750)/I748, 2),0)</f>
        <v>13.32</v>
      </c>
      <c r="K748" s="29">
        <v>464</v>
      </c>
      <c r="L748" s="29">
        <f>J748+ROUND(K748, 2)</f>
        <v>477.32</v>
      </c>
      <c r="M748" s="29">
        <f>ROUND(J748*I748, 2)</f>
        <v>4764.3</v>
      </c>
      <c r="N748" s="29">
        <f>ROUND(I748*ROUND(K748, 2), 2)</f>
        <v>165963.51999999999</v>
      </c>
      <c r="O748" s="29">
        <f>M748+N748</f>
        <v>170727.82</v>
      </c>
      <c r="P748" s="29">
        <f>IFERROR(ROUND(SUM(S749,S750)/I748, 2),0)</f>
        <v>13.32</v>
      </c>
      <c r="Q748" s="29">
        <v>464</v>
      </c>
      <c r="R748" s="29">
        <f>P748+ROUND(Q748, 2)</f>
        <v>477.32</v>
      </c>
      <c r="S748" s="29">
        <f>ROUND(P748*I748, 2)</f>
        <v>4764.3</v>
      </c>
      <c r="T748" s="29">
        <f>ROUND(I748*ROUND(Q748, 2), 2)</f>
        <v>165963.51999999999</v>
      </c>
      <c r="U748" s="29">
        <f>S748+T748</f>
        <v>170727.82</v>
      </c>
      <c r="V748" s="9">
        <f>ROUND(P748 / 1.2, 2)</f>
        <v>11.1</v>
      </c>
      <c r="W748" s="9">
        <f>ROUND(Q748 / 1.2, 2)</f>
        <v>386.67</v>
      </c>
      <c r="X748" s="9">
        <f>ROUND(R748 / 1.2, 2)</f>
        <v>397.77</v>
      </c>
      <c r="Y748" s="9">
        <f t="shared" ref="Y748:Y779" si="61">ROUND(S748 / 1.2, 2)</f>
        <v>3970.25</v>
      </c>
      <c r="Z748" s="9">
        <f>ROUND(T748 / 1.2, 2)</f>
        <v>138302.93</v>
      </c>
      <c r="AA748" s="9">
        <f>Y748+Z748</f>
        <v>142273.18</v>
      </c>
      <c r="AD748" s="4">
        <v>271132272</v>
      </c>
      <c r="AE748" s="4">
        <v>20002274</v>
      </c>
      <c r="AG748" s="4" t="s">
        <v>2172</v>
      </c>
      <c r="AH748" s="4" t="s">
        <v>2173</v>
      </c>
      <c r="AI748" s="4" t="s">
        <v>67</v>
      </c>
    </row>
    <row r="749" spans="1:35" ht="36" x14ac:dyDescent="0.3">
      <c r="A749" s="25" t="s">
        <v>2359</v>
      </c>
      <c r="B749" s="25"/>
      <c r="C749" s="30" t="s">
        <v>433</v>
      </c>
      <c r="D749" s="27"/>
      <c r="E749" s="27"/>
      <c r="F749" s="31" t="s">
        <v>70</v>
      </c>
      <c r="G749" s="32">
        <v>0.15</v>
      </c>
      <c r="H749" s="27"/>
      <c r="I749" s="32">
        <v>53.652000000000001</v>
      </c>
      <c r="J749" s="34">
        <v>88.8</v>
      </c>
      <c r="K749" s="35"/>
      <c r="L749" s="35"/>
      <c r="M749" s="34">
        <f>ROUND(ROUND(J749, 2)*I749, 2)</f>
        <v>4764.3</v>
      </c>
      <c r="N749" s="35"/>
      <c r="O749" s="35"/>
      <c r="P749" s="34">
        <v>88.8</v>
      </c>
      <c r="Q749" s="35"/>
      <c r="R749" s="35"/>
      <c r="S749" s="34">
        <f>ROUND(ROUND(P749, 2)*I749, 2)</f>
        <v>4764.3</v>
      </c>
      <c r="T749" s="35"/>
      <c r="U749" s="36"/>
      <c r="V749" s="9">
        <f>ROUND(ROUND(P749, 2)/1.2, 2)</f>
        <v>74</v>
      </c>
      <c r="Y749" s="9">
        <f t="shared" si="61"/>
        <v>3970.25</v>
      </c>
      <c r="AD749" s="4" t="s">
        <v>2360</v>
      </c>
      <c r="AE749" s="4" t="s">
        <v>2361</v>
      </c>
      <c r="AF749" s="4" t="s">
        <v>436</v>
      </c>
    </row>
    <row r="750" spans="1:35" ht="72" x14ac:dyDescent="0.3">
      <c r="A750" s="25" t="s">
        <v>2362</v>
      </c>
      <c r="B750" s="25"/>
      <c r="C750" s="30" t="s">
        <v>2175</v>
      </c>
      <c r="D750" s="27"/>
      <c r="E750" s="27" t="s">
        <v>2198</v>
      </c>
      <c r="F750" s="31" t="s">
        <v>70</v>
      </c>
      <c r="G750" s="32">
        <v>0.3</v>
      </c>
      <c r="H750" s="27"/>
      <c r="I750" s="32">
        <v>107.304</v>
      </c>
      <c r="J750" s="34">
        <v>0</v>
      </c>
      <c r="K750" s="35"/>
      <c r="L750" s="35"/>
      <c r="M750" s="34">
        <f>ROUND(ROUND(J750, 2)*I750, 2)</f>
        <v>0</v>
      </c>
      <c r="N750" s="35"/>
      <c r="O750" s="35"/>
      <c r="P750" s="34">
        <v>0</v>
      </c>
      <c r="Q750" s="35"/>
      <c r="R750" s="35"/>
      <c r="S750" s="34">
        <f>ROUND(ROUND(P750, 2)*I750, 2)</f>
        <v>0</v>
      </c>
      <c r="T750" s="35"/>
      <c r="U750" s="36"/>
      <c r="V750" s="9">
        <f>ROUND(ROUND(P750, 2)/1.2, 2)</f>
        <v>0</v>
      </c>
      <c r="Y750" s="9">
        <f t="shared" si="61"/>
        <v>0</v>
      </c>
      <c r="AD750" s="4" t="s">
        <v>2363</v>
      </c>
      <c r="AE750" s="4" t="s">
        <v>2364</v>
      </c>
      <c r="AF750" s="4" t="s">
        <v>2179</v>
      </c>
    </row>
    <row r="751" spans="1:35" ht="36" x14ac:dyDescent="0.3">
      <c r="A751" s="25" t="s">
        <v>2365</v>
      </c>
      <c r="B751" s="25" t="s">
        <v>2169</v>
      </c>
      <c r="C751" s="26" t="s">
        <v>2170</v>
      </c>
      <c r="D751" s="27"/>
      <c r="E751" s="27" t="s">
        <v>2366</v>
      </c>
      <c r="F751" s="27" t="s">
        <v>64</v>
      </c>
      <c r="G751" s="28">
        <v>1</v>
      </c>
      <c r="H751" s="27"/>
      <c r="I751" s="28">
        <v>577.95000000000005</v>
      </c>
      <c r="J751" s="29">
        <f>IFERROR(ROUND(SUM(M752,M753)/I751, 2),0)</f>
        <v>13.32</v>
      </c>
      <c r="K751" s="29">
        <v>464</v>
      </c>
      <c r="L751" s="29">
        <f>J751+ROUND(K751, 2)</f>
        <v>477.32</v>
      </c>
      <c r="M751" s="29">
        <f>ROUND(J751*I751, 2)</f>
        <v>7698.29</v>
      </c>
      <c r="N751" s="29">
        <f>ROUND(I751*ROUND(K751, 2), 2)</f>
        <v>268168.8</v>
      </c>
      <c r="O751" s="29">
        <f>M751+N751</f>
        <v>275867.09000000003</v>
      </c>
      <c r="P751" s="29">
        <f>IFERROR(ROUND(SUM(S752,S753)/I751, 2),0)</f>
        <v>13.32</v>
      </c>
      <c r="Q751" s="29">
        <v>464</v>
      </c>
      <c r="R751" s="29">
        <f>P751+ROUND(Q751, 2)</f>
        <v>477.32</v>
      </c>
      <c r="S751" s="29">
        <f>ROUND(P751*I751, 2)</f>
        <v>7698.29</v>
      </c>
      <c r="T751" s="29">
        <f>ROUND(I751*ROUND(Q751, 2), 2)</f>
        <v>268168.8</v>
      </c>
      <c r="U751" s="29">
        <f>S751+T751</f>
        <v>275867.09000000003</v>
      </c>
      <c r="V751" s="9">
        <f>ROUND(P751 / 1.2, 2)</f>
        <v>11.1</v>
      </c>
      <c r="W751" s="9">
        <f>ROUND(Q751 / 1.2, 2)</f>
        <v>386.67</v>
      </c>
      <c r="X751" s="9">
        <f>ROUND(R751 / 1.2, 2)</f>
        <v>397.77</v>
      </c>
      <c r="Y751" s="9">
        <f t="shared" si="61"/>
        <v>6415.24</v>
      </c>
      <c r="Z751" s="9">
        <f>ROUND(T751 / 1.2, 2)</f>
        <v>223474</v>
      </c>
      <c r="AA751" s="9">
        <f>Y751+Z751</f>
        <v>229889.24</v>
      </c>
      <c r="AD751" s="4">
        <v>271132273</v>
      </c>
      <c r="AE751" s="4">
        <v>20002275</v>
      </c>
      <c r="AG751" s="4" t="s">
        <v>2172</v>
      </c>
      <c r="AH751" s="4" t="s">
        <v>2173</v>
      </c>
      <c r="AI751" s="4" t="s">
        <v>67</v>
      </c>
    </row>
    <row r="752" spans="1:35" ht="36" x14ac:dyDescent="0.3">
      <c r="A752" s="25" t="s">
        <v>2367</v>
      </c>
      <c r="B752" s="25"/>
      <c r="C752" s="30" t="s">
        <v>433</v>
      </c>
      <c r="D752" s="27"/>
      <c r="E752" s="27"/>
      <c r="F752" s="31" t="s">
        <v>70</v>
      </c>
      <c r="G752" s="32">
        <v>0.15</v>
      </c>
      <c r="H752" s="27"/>
      <c r="I752" s="32">
        <v>86.692999999999998</v>
      </c>
      <c r="J752" s="34">
        <v>88.8</v>
      </c>
      <c r="K752" s="35"/>
      <c r="L752" s="35"/>
      <c r="M752" s="34">
        <f>ROUND(ROUND(J752, 2)*I752, 2)</f>
        <v>7698.34</v>
      </c>
      <c r="N752" s="35"/>
      <c r="O752" s="35"/>
      <c r="P752" s="34">
        <v>88.8</v>
      </c>
      <c r="Q752" s="35"/>
      <c r="R752" s="35"/>
      <c r="S752" s="34">
        <f>ROUND(ROUND(P752, 2)*I752, 2)</f>
        <v>7698.34</v>
      </c>
      <c r="T752" s="35"/>
      <c r="U752" s="36"/>
      <c r="V752" s="9">
        <f>ROUND(ROUND(P752, 2)/1.2, 2)</f>
        <v>74</v>
      </c>
      <c r="Y752" s="9">
        <f t="shared" si="61"/>
        <v>6415.28</v>
      </c>
      <c r="AD752" s="4" t="s">
        <v>2368</v>
      </c>
      <c r="AE752" s="4" t="s">
        <v>2369</v>
      </c>
      <c r="AF752" s="4" t="s">
        <v>436</v>
      </c>
    </row>
    <row r="753" spans="1:35" ht="90" x14ac:dyDescent="0.3">
      <c r="A753" s="25" t="s">
        <v>2370</v>
      </c>
      <c r="B753" s="25"/>
      <c r="C753" s="30" t="s">
        <v>2175</v>
      </c>
      <c r="D753" s="27"/>
      <c r="E753" s="27" t="s">
        <v>2245</v>
      </c>
      <c r="F753" s="31" t="s">
        <v>70</v>
      </c>
      <c r="G753" s="32">
        <v>0.3</v>
      </c>
      <c r="H753" s="27"/>
      <c r="I753" s="32">
        <v>173.38499999999999</v>
      </c>
      <c r="J753" s="34">
        <v>0</v>
      </c>
      <c r="K753" s="35"/>
      <c r="L753" s="35"/>
      <c r="M753" s="34">
        <f>ROUND(ROUND(J753, 2)*I753, 2)</f>
        <v>0</v>
      </c>
      <c r="N753" s="35"/>
      <c r="O753" s="35"/>
      <c r="P753" s="34">
        <v>0</v>
      </c>
      <c r="Q753" s="35"/>
      <c r="R753" s="35"/>
      <c r="S753" s="34">
        <f>ROUND(ROUND(P753, 2)*I753, 2)</f>
        <v>0</v>
      </c>
      <c r="T753" s="35"/>
      <c r="U753" s="36"/>
      <c r="V753" s="9">
        <f>ROUND(ROUND(P753, 2)/1.2, 2)</f>
        <v>0</v>
      </c>
      <c r="Y753" s="9">
        <f t="shared" si="61"/>
        <v>0</v>
      </c>
      <c r="AD753" s="4" t="s">
        <v>2371</v>
      </c>
      <c r="AE753" s="4" t="s">
        <v>2372</v>
      </c>
      <c r="AF753" s="4" t="s">
        <v>2179</v>
      </c>
    </row>
    <row r="754" spans="1:35" ht="36" x14ac:dyDescent="0.3">
      <c r="A754" s="25" t="s">
        <v>2373</v>
      </c>
      <c r="B754" s="25" t="s">
        <v>2169</v>
      </c>
      <c r="C754" s="26" t="s">
        <v>2170</v>
      </c>
      <c r="D754" s="27"/>
      <c r="E754" s="27" t="s">
        <v>2374</v>
      </c>
      <c r="F754" s="27" t="s">
        <v>64</v>
      </c>
      <c r="G754" s="28">
        <v>1</v>
      </c>
      <c r="H754" s="27"/>
      <c r="I754" s="28">
        <v>0.73</v>
      </c>
      <c r="J754" s="29">
        <f>IFERROR(ROUND(SUM(M755,M756)/I754, 2),0)</f>
        <v>13.38</v>
      </c>
      <c r="K754" s="29">
        <v>464</v>
      </c>
      <c r="L754" s="29">
        <f>J754+ROUND(K754, 2)</f>
        <v>477.38</v>
      </c>
      <c r="M754" s="29">
        <f>ROUND(J754*I754, 2)</f>
        <v>9.77</v>
      </c>
      <c r="N754" s="29">
        <f>ROUND(I754*ROUND(K754, 2), 2)</f>
        <v>338.72</v>
      </c>
      <c r="O754" s="29">
        <f>M754+N754</f>
        <v>348.49</v>
      </c>
      <c r="P754" s="29">
        <f>IFERROR(ROUND(SUM(S755,S756)/I754, 2),0)</f>
        <v>13.38</v>
      </c>
      <c r="Q754" s="29">
        <v>464</v>
      </c>
      <c r="R754" s="29">
        <f>P754+ROUND(Q754, 2)</f>
        <v>477.38</v>
      </c>
      <c r="S754" s="29">
        <f>ROUND(P754*I754, 2)</f>
        <v>9.77</v>
      </c>
      <c r="T754" s="29">
        <f>ROUND(I754*ROUND(Q754, 2), 2)</f>
        <v>338.72</v>
      </c>
      <c r="U754" s="29">
        <f>S754+T754</f>
        <v>348.49</v>
      </c>
      <c r="V754" s="9">
        <f>ROUND(P754 / 1.2, 2)</f>
        <v>11.15</v>
      </c>
      <c r="W754" s="9">
        <f>ROUND(Q754 / 1.2, 2)</f>
        <v>386.67</v>
      </c>
      <c r="X754" s="9">
        <f>ROUND(R754 / 1.2, 2)</f>
        <v>397.82</v>
      </c>
      <c r="Y754" s="9">
        <f t="shared" si="61"/>
        <v>8.14</v>
      </c>
      <c r="Z754" s="9">
        <f>ROUND(T754 / 1.2, 2)</f>
        <v>282.27</v>
      </c>
      <c r="AA754" s="9">
        <f>Y754+Z754</f>
        <v>290.41000000000003</v>
      </c>
      <c r="AD754" s="4">
        <v>271132274</v>
      </c>
      <c r="AE754" s="4">
        <v>20002276</v>
      </c>
      <c r="AG754" s="4" t="s">
        <v>2172</v>
      </c>
      <c r="AH754" s="4" t="s">
        <v>2173</v>
      </c>
      <c r="AI754" s="4" t="s">
        <v>67</v>
      </c>
    </row>
    <row r="755" spans="1:35" ht="36" x14ac:dyDescent="0.3">
      <c r="A755" s="25" t="s">
        <v>2375</v>
      </c>
      <c r="B755" s="25"/>
      <c r="C755" s="30" t="s">
        <v>433</v>
      </c>
      <c r="D755" s="27"/>
      <c r="E755" s="27"/>
      <c r="F755" s="31" t="s">
        <v>70</v>
      </c>
      <c r="G755" s="32">
        <v>0.15</v>
      </c>
      <c r="H755" s="27"/>
      <c r="I755" s="32">
        <v>0.11</v>
      </c>
      <c r="J755" s="34">
        <v>88.8</v>
      </c>
      <c r="K755" s="35"/>
      <c r="L755" s="35"/>
      <c r="M755" s="34">
        <f>ROUND(ROUND(J755, 2)*I755, 2)</f>
        <v>9.77</v>
      </c>
      <c r="N755" s="35"/>
      <c r="O755" s="35"/>
      <c r="P755" s="34">
        <v>88.8</v>
      </c>
      <c r="Q755" s="35"/>
      <c r="R755" s="35"/>
      <c r="S755" s="34">
        <f>ROUND(ROUND(P755, 2)*I755, 2)</f>
        <v>9.77</v>
      </c>
      <c r="T755" s="35"/>
      <c r="U755" s="36"/>
      <c r="V755" s="9">
        <f>ROUND(ROUND(P755, 2)/1.2, 2)</f>
        <v>74</v>
      </c>
      <c r="Y755" s="9">
        <f t="shared" si="61"/>
        <v>8.14</v>
      </c>
      <c r="AD755" s="4" t="s">
        <v>2376</v>
      </c>
      <c r="AE755" s="4" t="s">
        <v>2377</v>
      </c>
      <c r="AF755" s="4" t="s">
        <v>436</v>
      </c>
    </row>
    <row r="756" spans="1:35" ht="72" x14ac:dyDescent="0.3">
      <c r="A756" s="25" t="s">
        <v>2378</v>
      </c>
      <c r="B756" s="25"/>
      <c r="C756" s="30" t="s">
        <v>2175</v>
      </c>
      <c r="D756" s="27"/>
      <c r="E756" s="27" t="s">
        <v>2176</v>
      </c>
      <c r="F756" s="31" t="s">
        <v>70</v>
      </c>
      <c r="G756" s="32">
        <v>0.3</v>
      </c>
      <c r="H756" s="27"/>
      <c r="I756" s="32">
        <v>0.219</v>
      </c>
      <c r="J756" s="34">
        <v>0</v>
      </c>
      <c r="K756" s="35"/>
      <c r="L756" s="35"/>
      <c r="M756" s="34">
        <f>ROUND(ROUND(J756, 2)*I756, 2)</f>
        <v>0</v>
      </c>
      <c r="N756" s="35"/>
      <c r="O756" s="35"/>
      <c r="P756" s="34">
        <v>0</v>
      </c>
      <c r="Q756" s="35"/>
      <c r="R756" s="35"/>
      <c r="S756" s="34">
        <f>ROUND(ROUND(P756, 2)*I756, 2)</f>
        <v>0</v>
      </c>
      <c r="T756" s="35"/>
      <c r="U756" s="36"/>
      <c r="V756" s="9">
        <f>ROUND(ROUND(P756, 2)/1.2, 2)</f>
        <v>0</v>
      </c>
      <c r="Y756" s="9">
        <f t="shared" si="61"/>
        <v>0</v>
      </c>
      <c r="AD756" s="4" t="s">
        <v>2379</v>
      </c>
      <c r="AE756" s="4" t="s">
        <v>2380</v>
      </c>
      <c r="AF756" s="4" t="s">
        <v>2179</v>
      </c>
    </row>
    <row r="757" spans="1:35" ht="36" x14ac:dyDescent="0.3">
      <c r="A757" s="25" t="s">
        <v>2381</v>
      </c>
      <c r="B757" s="25" t="s">
        <v>2169</v>
      </c>
      <c r="C757" s="26" t="s">
        <v>2170</v>
      </c>
      <c r="D757" s="27"/>
      <c r="E757" s="27" t="s">
        <v>2382</v>
      </c>
      <c r="F757" s="27" t="s">
        <v>64</v>
      </c>
      <c r="G757" s="28">
        <v>1</v>
      </c>
      <c r="H757" s="27"/>
      <c r="I757" s="28">
        <v>1.5</v>
      </c>
      <c r="J757" s="29">
        <f>IFERROR(ROUND(SUM(M758,M759)/I757, 2),0)</f>
        <v>13.32</v>
      </c>
      <c r="K757" s="29">
        <v>464</v>
      </c>
      <c r="L757" s="29">
        <f>J757+ROUND(K757, 2)</f>
        <v>477.32</v>
      </c>
      <c r="M757" s="29">
        <f>ROUND(J757*I757, 2)</f>
        <v>19.98</v>
      </c>
      <c r="N757" s="29">
        <f>ROUND(I757*ROUND(K757, 2), 2)</f>
        <v>696</v>
      </c>
      <c r="O757" s="29">
        <f>M757+N757</f>
        <v>715.98</v>
      </c>
      <c r="P757" s="29">
        <f>IFERROR(ROUND(SUM(S758,S759)/I757, 2),0)</f>
        <v>13.32</v>
      </c>
      <c r="Q757" s="29">
        <v>464</v>
      </c>
      <c r="R757" s="29">
        <f>P757+ROUND(Q757, 2)</f>
        <v>477.32</v>
      </c>
      <c r="S757" s="29">
        <f>ROUND(P757*I757, 2)</f>
        <v>19.98</v>
      </c>
      <c r="T757" s="29">
        <f>ROUND(I757*ROUND(Q757, 2), 2)</f>
        <v>696</v>
      </c>
      <c r="U757" s="29">
        <f>S757+T757</f>
        <v>715.98</v>
      </c>
      <c r="V757" s="9">
        <f>ROUND(P757 / 1.2, 2)</f>
        <v>11.1</v>
      </c>
      <c r="W757" s="9">
        <f>ROUND(Q757 / 1.2, 2)</f>
        <v>386.67</v>
      </c>
      <c r="X757" s="9">
        <f>ROUND(R757 / 1.2, 2)</f>
        <v>397.77</v>
      </c>
      <c r="Y757" s="9">
        <f t="shared" si="61"/>
        <v>16.649999999999999</v>
      </c>
      <c r="Z757" s="9">
        <f>ROUND(T757 / 1.2, 2)</f>
        <v>580</v>
      </c>
      <c r="AA757" s="9">
        <f>Y757+Z757</f>
        <v>596.65</v>
      </c>
      <c r="AD757" s="4">
        <v>271132275</v>
      </c>
      <c r="AE757" s="4">
        <v>20002277</v>
      </c>
      <c r="AG757" s="4" t="s">
        <v>2172</v>
      </c>
      <c r="AH757" s="4" t="s">
        <v>2173</v>
      </c>
      <c r="AI757" s="4" t="s">
        <v>67</v>
      </c>
    </row>
    <row r="758" spans="1:35" ht="36" x14ac:dyDescent="0.3">
      <c r="A758" s="25" t="s">
        <v>2383</v>
      </c>
      <c r="B758" s="25"/>
      <c r="C758" s="30" t="s">
        <v>433</v>
      </c>
      <c r="D758" s="27"/>
      <c r="E758" s="27"/>
      <c r="F758" s="31" t="s">
        <v>70</v>
      </c>
      <c r="G758" s="32">
        <v>0.15</v>
      </c>
      <c r="H758" s="27"/>
      <c r="I758" s="32">
        <v>0.22500000000000001</v>
      </c>
      <c r="J758" s="34">
        <v>88.8</v>
      </c>
      <c r="K758" s="35"/>
      <c r="L758" s="35"/>
      <c r="M758" s="34">
        <f>ROUND(ROUND(J758, 2)*I758, 2)</f>
        <v>19.98</v>
      </c>
      <c r="N758" s="35"/>
      <c r="O758" s="35"/>
      <c r="P758" s="34">
        <v>88.8</v>
      </c>
      <c r="Q758" s="35"/>
      <c r="R758" s="35"/>
      <c r="S758" s="34">
        <f>ROUND(ROUND(P758, 2)*I758, 2)</f>
        <v>19.98</v>
      </c>
      <c r="T758" s="35"/>
      <c r="U758" s="36"/>
      <c r="V758" s="9">
        <f>ROUND(ROUND(P758, 2)/1.2, 2)</f>
        <v>74</v>
      </c>
      <c r="Y758" s="9">
        <f t="shared" si="61"/>
        <v>16.649999999999999</v>
      </c>
      <c r="AD758" s="4" t="s">
        <v>2384</v>
      </c>
      <c r="AE758" s="4" t="s">
        <v>2385</v>
      </c>
      <c r="AF758" s="4" t="s">
        <v>436</v>
      </c>
    </row>
    <row r="759" spans="1:35" ht="72" x14ac:dyDescent="0.3">
      <c r="A759" s="25" t="s">
        <v>2386</v>
      </c>
      <c r="B759" s="25"/>
      <c r="C759" s="30" t="s">
        <v>2175</v>
      </c>
      <c r="D759" s="27"/>
      <c r="E759" s="27" t="s">
        <v>2189</v>
      </c>
      <c r="F759" s="31" t="s">
        <v>70</v>
      </c>
      <c r="G759" s="32">
        <v>0.3</v>
      </c>
      <c r="H759" s="27"/>
      <c r="I759" s="32">
        <v>0.45</v>
      </c>
      <c r="J759" s="34">
        <v>0</v>
      </c>
      <c r="K759" s="35"/>
      <c r="L759" s="35"/>
      <c r="M759" s="34">
        <f>ROUND(ROUND(J759, 2)*I759, 2)</f>
        <v>0</v>
      </c>
      <c r="N759" s="35"/>
      <c r="O759" s="35"/>
      <c r="P759" s="34">
        <v>0</v>
      </c>
      <c r="Q759" s="35"/>
      <c r="R759" s="35"/>
      <c r="S759" s="34">
        <f>ROUND(ROUND(P759, 2)*I759, 2)</f>
        <v>0</v>
      </c>
      <c r="T759" s="35"/>
      <c r="U759" s="36"/>
      <c r="V759" s="9">
        <f>ROUND(ROUND(P759, 2)/1.2, 2)</f>
        <v>0</v>
      </c>
      <c r="Y759" s="9">
        <f t="shared" si="61"/>
        <v>0</v>
      </c>
      <c r="AD759" s="4" t="s">
        <v>2387</v>
      </c>
      <c r="AE759" s="4" t="s">
        <v>2388</v>
      </c>
      <c r="AF759" s="4" t="s">
        <v>2179</v>
      </c>
    </row>
    <row r="760" spans="1:35" ht="36" x14ac:dyDescent="0.3">
      <c r="A760" s="25" t="s">
        <v>2389</v>
      </c>
      <c r="B760" s="25" t="s">
        <v>2169</v>
      </c>
      <c r="C760" s="26" t="s">
        <v>2170</v>
      </c>
      <c r="D760" s="27"/>
      <c r="E760" s="27" t="s">
        <v>2390</v>
      </c>
      <c r="F760" s="27" t="s">
        <v>64</v>
      </c>
      <c r="G760" s="28">
        <v>1</v>
      </c>
      <c r="H760" s="27"/>
      <c r="I760" s="28">
        <v>79.66</v>
      </c>
      <c r="J760" s="29">
        <f>IFERROR(ROUND(SUM(M761,M762)/I760, 2),0)</f>
        <v>13.32</v>
      </c>
      <c r="K760" s="29">
        <v>464</v>
      </c>
      <c r="L760" s="29">
        <f>J760+ROUND(K760, 2)</f>
        <v>477.32</v>
      </c>
      <c r="M760" s="29">
        <f>ROUND(J760*I760, 2)</f>
        <v>1061.07</v>
      </c>
      <c r="N760" s="29">
        <f>ROUND(I760*ROUND(K760, 2), 2)</f>
        <v>36962.239999999998</v>
      </c>
      <c r="O760" s="29">
        <f>M760+N760</f>
        <v>38023.31</v>
      </c>
      <c r="P760" s="29">
        <f>IFERROR(ROUND(SUM(S761,S762)/I760, 2),0)</f>
        <v>13.32</v>
      </c>
      <c r="Q760" s="29">
        <v>464</v>
      </c>
      <c r="R760" s="29">
        <f>P760+ROUND(Q760, 2)</f>
        <v>477.32</v>
      </c>
      <c r="S760" s="29">
        <f>ROUND(P760*I760, 2)</f>
        <v>1061.07</v>
      </c>
      <c r="T760" s="29">
        <f>ROUND(I760*ROUND(Q760, 2), 2)</f>
        <v>36962.239999999998</v>
      </c>
      <c r="U760" s="29">
        <f>S760+T760</f>
        <v>38023.31</v>
      </c>
      <c r="V760" s="9">
        <f>ROUND(P760 / 1.2, 2)</f>
        <v>11.1</v>
      </c>
      <c r="W760" s="9">
        <f>ROUND(Q760 / 1.2, 2)</f>
        <v>386.67</v>
      </c>
      <c r="X760" s="9">
        <f>ROUND(R760 / 1.2, 2)</f>
        <v>397.77</v>
      </c>
      <c r="Y760" s="9">
        <f t="shared" si="61"/>
        <v>884.23</v>
      </c>
      <c r="Z760" s="9">
        <f>ROUND(T760 / 1.2, 2)</f>
        <v>30801.87</v>
      </c>
      <c r="AA760" s="9">
        <f>Y760+Z760</f>
        <v>31686.1</v>
      </c>
      <c r="AD760" s="4">
        <v>271132276</v>
      </c>
      <c r="AE760" s="4">
        <v>20002410</v>
      </c>
      <c r="AG760" s="4" t="s">
        <v>2172</v>
      </c>
      <c r="AH760" s="4" t="s">
        <v>2173</v>
      </c>
      <c r="AI760" s="4" t="s">
        <v>67</v>
      </c>
    </row>
    <row r="761" spans="1:35" ht="36" x14ac:dyDescent="0.3">
      <c r="A761" s="25" t="s">
        <v>2391</v>
      </c>
      <c r="B761" s="25"/>
      <c r="C761" s="30" t="s">
        <v>433</v>
      </c>
      <c r="D761" s="27"/>
      <c r="E761" s="27"/>
      <c r="F761" s="31" t="s">
        <v>70</v>
      </c>
      <c r="G761" s="32">
        <v>0.15</v>
      </c>
      <c r="H761" s="27"/>
      <c r="I761" s="32">
        <v>11.949</v>
      </c>
      <c r="J761" s="34">
        <v>88.8</v>
      </c>
      <c r="K761" s="35"/>
      <c r="L761" s="35"/>
      <c r="M761" s="34">
        <f>ROUND(ROUND(J761, 2)*I761, 2)</f>
        <v>1061.07</v>
      </c>
      <c r="N761" s="35"/>
      <c r="O761" s="35"/>
      <c r="P761" s="34">
        <v>88.8</v>
      </c>
      <c r="Q761" s="35"/>
      <c r="R761" s="35"/>
      <c r="S761" s="34">
        <f>ROUND(ROUND(P761, 2)*I761, 2)</f>
        <v>1061.07</v>
      </c>
      <c r="T761" s="35"/>
      <c r="U761" s="36"/>
      <c r="V761" s="9">
        <f>ROUND(ROUND(P761, 2)/1.2, 2)</f>
        <v>74</v>
      </c>
      <c r="Y761" s="9">
        <f t="shared" si="61"/>
        <v>884.23</v>
      </c>
      <c r="AD761" s="4" t="s">
        <v>2392</v>
      </c>
      <c r="AE761" s="4" t="s">
        <v>2393</v>
      </c>
      <c r="AF761" s="4" t="s">
        <v>436</v>
      </c>
    </row>
    <row r="762" spans="1:35" ht="54" x14ac:dyDescent="0.3">
      <c r="A762" s="25" t="s">
        <v>2394</v>
      </c>
      <c r="B762" s="25"/>
      <c r="C762" s="30" t="s">
        <v>2207</v>
      </c>
      <c r="D762" s="27"/>
      <c r="E762" s="27" t="s">
        <v>2254</v>
      </c>
      <c r="F762" s="31" t="s">
        <v>70</v>
      </c>
      <c r="G762" s="32">
        <v>0.3</v>
      </c>
      <c r="H762" s="27"/>
      <c r="I762" s="32">
        <v>23.898</v>
      </c>
      <c r="J762" s="34">
        <v>0</v>
      </c>
      <c r="K762" s="35"/>
      <c r="L762" s="35"/>
      <c r="M762" s="34">
        <f>ROUND(ROUND(J762, 2)*I762, 2)</f>
        <v>0</v>
      </c>
      <c r="N762" s="35"/>
      <c r="O762" s="35"/>
      <c r="P762" s="34">
        <v>0</v>
      </c>
      <c r="Q762" s="35"/>
      <c r="R762" s="35"/>
      <c r="S762" s="34">
        <f>ROUND(ROUND(P762, 2)*I762, 2)</f>
        <v>0</v>
      </c>
      <c r="T762" s="35"/>
      <c r="U762" s="36"/>
      <c r="V762" s="9">
        <f>ROUND(ROUND(P762, 2)/1.2, 2)</f>
        <v>0</v>
      </c>
      <c r="Y762" s="9">
        <f t="shared" si="61"/>
        <v>0</v>
      </c>
      <c r="AD762" s="4" t="s">
        <v>2395</v>
      </c>
      <c r="AE762" s="4" t="s">
        <v>2396</v>
      </c>
      <c r="AF762" s="4" t="s">
        <v>2211</v>
      </c>
    </row>
    <row r="763" spans="1:35" ht="36" x14ac:dyDescent="0.3">
      <c r="A763" s="25" t="s">
        <v>2397</v>
      </c>
      <c r="B763" s="25" t="s">
        <v>2169</v>
      </c>
      <c r="C763" s="26" t="s">
        <v>2170</v>
      </c>
      <c r="D763" s="27"/>
      <c r="E763" s="27" t="s">
        <v>2398</v>
      </c>
      <c r="F763" s="27" t="s">
        <v>64</v>
      </c>
      <c r="G763" s="28">
        <v>1</v>
      </c>
      <c r="H763" s="27"/>
      <c r="I763" s="28">
        <v>80.790000000000006</v>
      </c>
      <c r="J763" s="29">
        <f>IFERROR(ROUND(SUM(M764,M765)/I763, 2),0)</f>
        <v>13.32</v>
      </c>
      <c r="K763" s="29">
        <v>464</v>
      </c>
      <c r="L763" s="29">
        <f>J763+ROUND(K763, 2)</f>
        <v>477.32</v>
      </c>
      <c r="M763" s="29">
        <f>ROUND(J763*I763, 2)</f>
        <v>1076.1199999999999</v>
      </c>
      <c r="N763" s="29">
        <f>ROUND(I763*ROUND(K763, 2), 2)</f>
        <v>37486.559999999998</v>
      </c>
      <c r="O763" s="29">
        <f>M763+N763</f>
        <v>38562.68</v>
      </c>
      <c r="P763" s="29">
        <f>IFERROR(ROUND(SUM(S764,S765)/I763, 2),0)</f>
        <v>13.32</v>
      </c>
      <c r="Q763" s="29">
        <v>464</v>
      </c>
      <c r="R763" s="29">
        <f>P763+ROUND(Q763, 2)</f>
        <v>477.32</v>
      </c>
      <c r="S763" s="29">
        <f>ROUND(P763*I763, 2)</f>
        <v>1076.1199999999999</v>
      </c>
      <c r="T763" s="29">
        <f>ROUND(I763*ROUND(Q763, 2), 2)</f>
        <v>37486.559999999998</v>
      </c>
      <c r="U763" s="29">
        <f>S763+T763</f>
        <v>38562.68</v>
      </c>
      <c r="V763" s="9">
        <f>ROUND(P763 / 1.2, 2)</f>
        <v>11.1</v>
      </c>
      <c r="W763" s="9">
        <f>ROUND(Q763 / 1.2, 2)</f>
        <v>386.67</v>
      </c>
      <c r="X763" s="9">
        <f>ROUND(R763 / 1.2, 2)</f>
        <v>397.77</v>
      </c>
      <c r="Y763" s="9">
        <f t="shared" si="61"/>
        <v>896.77</v>
      </c>
      <c r="Z763" s="9">
        <f>ROUND(T763 / 1.2, 2)</f>
        <v>31238.799999999999</v>
      </c>
      <c r="AA763" s="9">
        <f>Y763+Z763</f>
        <v>32135.57</v>
      </c>
      <c r="AD763" s="4">
        <v>271132277</v>
      </c>
      <c r="AE763" s="4">
        <v>20002411</v>
      </c>
      <c r="AG763" s="4" t="s">
        <v>2172</v>
      </c>
      <c r="AH763" s="4" t="s">
        <v>2173</v>
      </c>
      <c r="AI763" s="4" t="s">
        <v>67</v>
      </c>
    </row>
    <row r="764" spans="1:35" ht="36" x14ac:dyDescent="0.3">
      <c r="A764" s="25" t="s">
        <v>2399</v>
      </c>
      <c r="B764" s="25"/>
      <c r="C764" s="30" t="s">
        <v>433</v>
      </c>
      <c r="D764" s="27"/>
      <c r="E764" s="27"/>
      <c r="F764" s="31" t="s">
        <v>70</v>
      </c>
      <c r="G764" s="32">
        <v>0.15</v>
      </c>
      <c r="H764" s="27"/>
      <c r="I764" s="32">
        <v>12.119</v>
      </c>
      <c r="J764" s="34">
        <v>88.8</v>
      </c>
      <c r="K764" s="35"/>
      <c r="L764" s="35"/>
      <c r="M764" s="34">
        <f>ROUND(ROUND(J764, 2)*I764, 2)</f>
        <v>1076.17</v>
      </c>
      <c r="N764" s="35"/>
      <c r="O764" s="35"/>
      <c r="P764" s="34">
        <v>88.8</v>
      </c>
      <c r="Q764" s="35"/>
      <c r="R764" s="35"/>
      <c r="S764" s="34">
        <f>ROUND(ROUND(P764, 2)*I764, 2)</f>
        <v>1076.17</v>
      </c>
      <c r="T764" s="35"/>
      <c r="U764" s="36"/>
      <c r="V764" s="9">
        <f>ROUND(ROUND(P764, 2)/1.2, 2)</f>
        <v>74</v>
      </c>
      <c r="Y764" s="9">
        <f t="shared" si="61"/>
        <v>896.81</v>
      </c>
      <c r="AD764" s="4" t="s">
        <v>2400</v>
      </c>
      <c r="AE764" s="4" t="s">
        <v>2401</v>
      </c>
      <c r="AF764" s="4" t="s">
        <v>436</v>
      </c>
    </row>
    <row r="765" spans="1:35" ht="54" x14ac:dyDescent="0.3">
      <c r="A765" s="25" t="s">
        <v>2402</v>
      </c>
      <c r="B765" s="25"/>
      <c r="C765" s="30" t="s">
        <v>2207</v>
      </c>
      <c r="D765" s="27"/>
      <c r="E765" s="27" t="s">
        <v>2208</v>
      </c>
      <c r="F765" s="31" t="s">
        <v>70</v>
      </c>
      <c r="G765" s="32">
        <v>0.3</v>
      </c>
      <c r="H765" s="27"/>
      <c r="I765" s="32">
        <v>24.236999999999998</v>
      </c>
      <c r="J765" s="34">
        <v>0</v>
      </c>
      <c r="K765" s="35"/>
      <c r="L765" s="35"/>
      <c r="M765" s="34">
        <f>ROUND(ROUND(J765, 2)*I765, 2)</f>
        <v>0</v>
      </c>
      <c r="N765" s="35"/>
      <c r="O765" s="35"/>
      <c r="P765" s="34">
        <v>0</v>
      </c>
      <c r="Q765" s="35"/>
      <c r="R765" s="35"/>
      <c r="S765" s="34">
        <f>ROUND(ROUND(P765, 2)*I765, 2)</f>
        <v>0</v>
      </c>
      <c r="T765" s="35"/>
      <c r="U765" s="36"/>
      <c r="V765" s="9">
        <f>ROUND(ROUND(P765, 2)/1.2, 2)</f>
        <v>0</v>
      </c>
      <c r="Y765" s="9">
        <f t="shared" si="61"/>
        <v>0</v>
      </c>
      <c r="AD765" s="4" t="s">
        <v>2403</v>
      </c>
      <c r="AE765" s="4" t="s">
        <v>2404</v>
      </c>
      <c r="AF765" s="4" t="s">
        <v>2211</v>
      </c>
    </row>
    <row r="766" spans="1:35" ht="36" x14ac:dyDescent="0.3">
      <c r="A766" s="25" t="s">
        <v>2405</v>
      </c>
      <c r="B766" s="25" t="s">
        <v>2169</v>
      </c>
      <c r="C766" s="26" t="s">
        <v>2170</v>
      </c>
      <c r="D766" s="27"/>
      <c r="E766" s="27" t="s">
        <v>2406</v>
      </c>
      <c r="F766" s="27" t="s">
        <v>64</v>
      </c>
      <c r="G766" s="28">
        <v>1</v>
      </c>
      <c r="H766" s="27"/>
      <c r="I766" s="28">
        <v>26.92</v>
      </c>
      <c r="J766" s="29">
        <f>IFERROR(ROUND(SUM(M767,M768)/I766, 2),0)</f>
        <v>13.32</v>
      </c>
      <c r="K766" s="29">
        <v>464</v>
      </c>
      <c r="L766" s="29">
        <f>J766+ROUND(K766, 2)</f>
        <v>477.32</v>
      </c>
      <c r="M766" s="29">
        <f>ROUND(J766*I766, 2)</f>
        <v>358.57</v>
      </c>
      <c r="N766" s="29">
        <f>ROUND(I766*ROUND(K766, 2), 2)</f>
        <v>12490.88</v>
      </c>
      <c r="O766" s="29">
        <f>M766+N766</f>
        <v>12849.45</v>
      </c>
      <c r="P766" s="29">
        <f>IFERROR(ROUND(SUM(S767,S768)/I766, 2),0)</f>
        <v>13.32</v>
      </c>
      <c r="Q766" s="29">
        <v>464</v>
      </c>
      <c r="R766" s="29">
        <f>P766+ROUND(Q766, 2)</f>
        <v>477.32</v>
      </c>
      <c r="S766" s="29">
        <f>ROUND(P766*I766, 2)</f>
        <v>358.57</v>
      </c>
      <c r="T766" s="29">
        <f>ROUND(I766*ROUND(Q766, 2), 2)</f>
        <v>12490.88</v>
      </c>
      <c r="U766" s="29">
        <f>S766+T766</f>
        <v>12849.45</v>
      </c>
      <c r="V766" s="9">
        <f>ROUND(P766 / 1.2, 2)</f>
        <v>11.1</v>
      </c>
      <c r="W766" s="9">
        <f>ROUND(Q766 / 1.2, 2)</f>
        <v>386.67</v>
      </c>
      <c r="X766" s="9">
        <f>ROUND(R766 / 1.2, 2)</f>
        <v>397.77</v>
      </c>
      <c r="Y766" s="9">
        <f t="shared" si="61"/>
        <v>298.81</v>
      </c>
      <c r="Z766" s="9">
        <f>ROUND(T766 / 1.2, 2)</f>
        <v>10409.07</v>
      </c>
      <c r="AA766" s="9">
        <f>Y766+Z766</f>
        <v>10707.88</v>
      </c>
      <c r="AD766" s="4">
        <v>271132278</v>
      </c>
      <c r="AE766" s="4">
        <v>20002412</v>
      </c>
      <c r="AG766" s="4" t="s">
        <v>2172</v>
      </c>
      <c r="AH766" s="4" t="s">
        <v>2173</v>
      </c>
      <c r="AI766" s="4" t="s">
        <v>67</v>
      </c>
    </row>
    <row r="767" spans="1:35" ht="36" x14ac:dyDescent="0.3">
      <c r="A767" s="25" t="s">
        <v>2407</v>
      </c>
      <c r="B767" s="25"/>
      <c r="C767" s="30" t="s">
        <v>433</v>
      </c>
      <c r="D767" s="27"/>
      <c r="E767" s="27"/>
      <c r="F767" s="31" t="s">
        <v>70</v>
      </c>
      <c r="G767" s="32">
        <v>0.15</v>
      </c>
      <c r="H767" s="27"/>
      <c r="I767" s="32">
        <v>4.0380000000000003</v>
      </c>
      <c r="J767" s="34">
        <v>88.8</v>
      </c>
      <c r="K767" s="35"/>
      <c r="L767" s="35"/>
      <c r="M767" s="34">
        <f>ROUND(ROUND(J767, 2)*I767, 2)</f>
        <v>358.57</v>
      </c>
      <c r="N767" s="35"/>
      <c r="O767" s="35"/>
      <c r="P767" s="34">
        <v>88.8</v>
      </c>
      <c r="Q767" s="35"/>
      <c r="R767" s="35"/>
      <c r="S767" s="34">
        <f>ROUND(ROUND(P767, 2)*I767, 2)</f>
        <v>358.57</v>
      </c>
      <c r="T767" s="35"/>
      <c r="U767" s="36"/>
      <c r="V767" s="9">
        <f>ROUND(ROUND(P767, 2)/1.2, 2)</f>
        <v>74</v>
      </c>
      <c r="Y767" s="9">
        <f t="shared" si="61"/>
        <v>298.81</v>
      </c>
      <c r="AD767" s="4" t="s">
        <v>2408</v>
      </c>
      <c r="AE767" s="4" t="s">
        <v>2409</v>
      </c>
      <c r="AF767" s="4" t="s">
        <v>436</v>
      </c>
    </row>
    <row r="768" spans="1:35" ht="72" x14ac:dyDescent="0.3">
      <c r="A768" s="25" t="s">
        <v>2410</v>
      </c>
      <c r="B768" s="25"/>
      <c r="C768" s="30" t="s">
        <v>2207</v>
      </c>
      <c r="D768" s="27"/>
      <c r="E768" s="27" t="s">
        <v>2411</v>
      </c>
      <c r="F768" s="31" t="s">
        <v>70</v>
      </c>
      <c r="G768" s="32">
        <v>0.3</v>
      </c>
      <c r="H768" s="27"/>
      <c r="I768" s="32">
        <v>8.0760000000000005</v>
      </c>
      <c r="J768" s="34">
        <v>0</v>
      </c>
      <c r="K768" s="35"/>
      <c r="L768" s="35"/>
      <c r="M768" s="34">
        <f>ROUND(ROUND(J768, 2)*I768, 2)</f>
        <v>0</v>
      </c>
      <c r="N768" s="35"/>
      <c r="O768" s="35"/>
      <c r="P768" s="34">
        <v>0</v>
      </c>
      <c r="Q768" s="35"/>
      <c r="R768" s="35"/>
      <c r="S768" s="34">
        <f>ROUND(ROUND(P768, 2)*I768, 2)</f>
        <v>0</v>
      </c>
      <c r="T768" s="35"/>
      <c r="U768" s="36"/>
      <c r="V768" s="9">
        <f>ROUND(ROUND(P768, 2)/1.2, 2)</f>
        <v>0</v>
      </c>
      <c r="Y768" s="9">
        <f t="shared" si="61"/>
        <v>0</v>
      </c>
      <c r="AD768" s="4" t="s">
        <v>2412</v>
      </c>
      <c r="AE768" s="4" t="s">
        <v>2413</v>
      </c>
      <c r="AF768" s="4" t="s">
        <v>2211</v>
      </c>
    </row>
    <row r="769" spans="1:35" ht="36" x14ac:dyDescent="0.3">
      <c r="A769" s="25" t="s">
        <v>2414</v>
      </c>
      <c r="B769" s="25" t="s">
        <v>2169</v>
      </c>
      <c r="C769" s="26" t="s">
        <v>2170</v>
      </c>
      <c r="D769" s="27"/>
      <c r="E769" s="27" t="s">
        <v>2415</v>
      </c>
      <c r="F769" s="27" t="s">
        <v>64</v>
      </c>
      <c r="G769" s="28">
        <v>1</v>
      </c>
      <c r="H769" s="27"/>
      <c r="I769" s="28">
        <v>28.35</v>
      </c>
      <c r="J769" s="29">
        <f>IFERROR(ROUND(SUM(M770,M771)/I769, 2),0)</f>
        <v>13.32</v>
      </c>
      <c r="K769" s="29">
        <v>464</v>
      </c>
      <c r="L769" s="29">
        <f>J769+ROUND(K769, 2)</f>
        <v>477.32</v>
      </c>
      <c r="M769" s="29">
        <f>ROUND(J769*I769, 2)</f>
        <v>377.62</v>
      </c>
      <c r="N769" s="29">
        <f>ROUND(I769*ROUND(K769, 2), 2)</f>
        <v>13154.4</v>
      </c>
      <c r="O769" s="29">
        <f>M769+N769</f>
        <v>13532.02</v>
      </c>
      <c r="P769" s="29">
        <f>IFERROR(ROUND(SUM(S770,S771)/I769, 2),0)</f>
        <v>13.32</v>
      </c>
      <c r="Q769" s="29">
        <v>464</v>
      </c>
      <c r="R769" s="29">
        <f>P769+ROUND(Q769, 2)</f>
        <v>477.32</v>
      </c>
      <c r="S769" s="29">
        <f>ROUND(P769*I769, 2)</f>
        <v>377.62</v>
      </c>
      <c r="T769" s="29">
        <f>ROUND(I769*ROUND(Q769, 2), 2)</f>
        <v>13154.4</v>
      </c>
      <c r="U769" s="29">
        <f>S769+T769</f>
        <v>13532.02</v>
      </c>
      <c r="V769" s="9">
        <f>ROUND(P769 / 1.2, 2)</f>
        <v>11.1</v>
      </c>
      <c r="W769" s="9">
        <f>ROUND(Q769 / 1.2, 2)</f>
        <v>386.67</v>
      </c>
      <c r="X769" s="9">
        <f>ROUND(R769 / 1.2, 2)</f>
        <v>397.77</v>
      </c>
      <c r="Y769" s="9">
        <f t="shared" si="61"/>
        <v>314.68</v>
      </c>
      <c r="Z769" s="9">
        <f>ROUND(T769 / 1.2, 2)</f>
        <v>10962</v>
      </c>
      <c r="AA769" s="9">
        <f>Y769+Z769</f>
        <v>11276.68</v>
      </c>
      <c r="AD769" s="4">
        <v>271132279</v>
      </c>
      <c r="AE769" s="4">
        <v>20003313</v>
      </c>
      <c r="AG769" s="4" t="s">
        <v>2172</v>
      </c>
      <c r="AH769" s="4" t="s">
        <v>2173</v>
      </c>
      <c r="AI769" s="4" t="s">
        <v>67</v>
      </c>
    </row>
    <row r="770" spans="1:35" ht="36" x14ac:dyDescent="0.3">
      <c r="A770" s="25" t="s">
        <v>2416</v>
      </c>
      <c r="B770" s="25"/>
      <c r="C770" s="30" t="s">
        <v>433</v>
      </c>
      <c r="D770" s="27"/>
      <c r="E770" s="27"/>
      <c r="F770" s="31" t="s">
        <v>70</v>
      </c>
      <c r="G770" s="32">
        <v>0.15</v>
      </c>
      <c r="H770" s="27"/>
      <c r="I770" s="32">
        <v>4.2530000000000001</v>
      </c>
      <c r="J770" s="34">
        <v>88.8</v>
      </c>
      <c r="K770" s="35"/>
      <c r="L770" s="35"/>
      <c r="M770" s="34">
        <f>ROUND(ROUND(J770, 2)*I770, 2)</f>
        <v>377.67</v>
      </c>
      <c r="N770" s="35"/>
      <c r="O770" s="35"/>
      <c r="P770" s="34">
        <v>88.8</v>
      </c>
      <c r="Q770" s="35"/>
      <c r="R770" s="35"/>
      <c r="S770" s="34">
        <f>ROUND(ROUND(P770, 2)*I770, 2)</f>
        <v>377.67</v>
      </c>
      <c r="T770" s="35"/>
      <c r="U770" s="36"/>
      <c r="V770" s="9">
        <f>ROUND(ROUND(P770, 2)/1.2, 2)</f>
        <v>74</v>
      </c>
      <c r="Y770" s="9">
        <f t="shared" si="61"/>
        <v>314.73</v>
      </c>
      <c r="AD770" s="4" t="s">
        <v>2417</v>
      </c>
      <c r="AE770" s="4" t="s">
        <v>2418</v>
      </c>
      <c r="AF770" s="4" t="s">
        <v>436</v>
      </c>
    </row>
    <row r="771" spans="1:35" ht="54" x14ac:dyDescent="0.3">
      <c r="A771" s="25" t="s">
        <v>2419</v>
      </c>
      <c r="B771" s="25"/>
      <c r="C771" s="30" t="s">
        <v>2207</v>
      </c>
      <c r="D771" s="27"/>
      <c r="E771" s="27" t="s">
        <v>2420</v>
      </c>
      <c r="F771" s="31" t="s">
        <v>70</v>
      </c>
      <c r="G771" s="32">
        <v>0.3</v>
      </c>
      <c r="H771" s="27"/>
      <c r="I771" s="32">
        <v>8.5050000000000008</v>
      </c>
      <c r="J771" s="34">
        <v>0</v>
      </c>
      <c r="K771" s="35"/>
      <c r="L771" s="35"/>
      <c r="M771" s="34">
        <f>ROUND(ROUND(J771, 2)*I771, 2)</f>
        <v>0</v>
      </c>
      <c r="N771" s="35"/>
      <c r="O771" s="35"/>
      <c r="P771" s="34">
        <v>0</v>
      </c>
      <c r="Q771" s="35"/>
      <c r="R771" s="35"/>
      <c r="S771" s="34">
        <f>ROUND(ROUND(P771, 2)*I771, 2)</f>
        <v>0</v>
      </c>
      <c r="T771" s="35"/>
      <c r="U771" s="36"/>
      <c r="V771" s="9">
        <f>ROUND(ROUND(P771, 2)/1.2, 2)</f>
        <v>0</v>
      </c>
      <c r="Y771" s="9">
        <f t="shared" si="61"/>
        <v>0</v>
      </c>
      <c r="AD771" s="4" t="s">
        <v>2421</v>
      </c>
      <c r="AE771" s="4" t="s">
        <v>2422</v>
      </c>
      <c r="AF771" s="4" t="s">
        <v>2211</v>
      </c>
    </row>
    <row r="772" spans="1:35" ht="36" x14ac:dyDescent="0.3">
      <c r="A772" s="25" t="s">
        <v>2423</v>
      </c>
      <c r="B772" s="25" t="s">
        <v>2169</v>
      </c>
      <c r="C772" s="26" t="s">
        <v>2170</v>
      </c>
      <c r="D772" s="27"/>
      <c r="E772" s="27" t="s">
        <v>2424</v>
      </c>
      <c r="F772" s="27" t="s">
        <v>64</v>
      </c>
      <c r="G772" s="28">
        <v>1</v>
      </c>
      <c r="H772" s="27"/>
      <c r="I772" s="28">
        <v>26.03</v>
      </c>
      <c r="J772" s="29">
        <f>IFERROR(ROUND(SUM(M773,M774)/I772, 2),0)</f>
        <v>13.32</v>
      </c>
      <c r="K772" s="29">
        <v>464</v>
      </c>
      <c r="L772" s="29">
        <f>J772+ROUND(K772, 2)</f>
        <v>477.32</v>
      </c>
      <c r="M772" s="29">
        <f>ROUND(J772*I772, 2)</f>
        <v>346.72</v>
      </c>
      <c r="N772" s="29">
        <f>ROUND(I772*ROUND(K772, 2), 2)</f>
        <v>12077.92</v>
      </c>
      <c r="O772" s="29">
        <f>M772+N772</f>
        <v>12424.64</v>
      </c>
      <c r="P772" s="29">
        <f>IFERROR(ROUND(SUM(S773,S774)/I772, 2),0)</f>
        <v>13.32</v>
      </c>
      <c r="Q772" s="29">
        <v>464</v>
      </c>
      <c r="R772" s="29">
        <f>P772+ROUND(Q772, 2)</f>
        <v>477.32</v>
      </c>
      <c r="S772" s="29">
        <f>ROUND(P772*I772, 2)</f>
        <v>346.72</v>
      </c>
      <c r="T772" s="29">
        <f>ROUND(I772*ROUND(Q772, 2), 2)</f>
        <v>12077.92</v>
      </c>
      <c r="U772" s="29">
        <f>S772+T772</f>
        <v>12424.64</v>
      </c>
      <c r="V772" s="9">
        <f>ROUND(P772 / 1.2, 2)</f>
        <v>11.1</v>
      </c>
      <c r="W772" s="9">
        <f>ROUND(Q772 / 1.2, 2)</f>
        <v>386.67</v>
      </c>
      <c r="X772" s="9">
        <f>ROUND(R772 / 1.2, 2)</f>
        <v>397.77</v>
      </c>
      <c r="Y772" s="9">
        <f t="shared" si="61"/>
        <v>288.93</v>
      </c>
      <c r="Z772" s="9">
        <f>ROUND(T772 / 1.2, 2)</f>
        <v>10064.93</v>
      </c>
      <c r="AA772" s="9">
        <f>Y772+Z772</f>
        <v>10353.86</v>
      </c>
      <c r="AD772" s="4">
        <v>271132280</v>
      </c>
      <c r="AE772" s="4">
        <v>20003314</v>
      </c>
      <c r="AG772" s="4" t="s">
        <v>2172</v>
      </c>
      <c r="AH772" s="4" t="s">
        <v>2173</v>
      </c>
      <c r="AI772" s="4" t="s">
        <v>67</v>
      </c>
    </row>
    <row r="773" spans="1:35" ht="36" x14ac:dyDescent="0.3">
      <c r="A773" s="25" t="s">
        <v>2425</v>
      </c>
      <c r="B773" s="25"/>
      <c r="C773" s="30" t="s">
        <v>433</v>
      </c>
      <c r="D773" s="27"/>
      <c r="E773" s="27"/>
      <c r="F773" s="31" t="s">
        <v>70</v>
      </c>
      <c r="G773" s="32">
        <v>0.15</v>
      </c>
      <c r="H773" s="27"/>
      <c r="I773" s="32">
        <v>3.9049999999999998</v>
      </c>
      <c r="J773" s="34">
        <v>88.8</v>
      </c>
      <c r="K773" s="35"/>
      <c r="L773" s="35"/>
      <c r="M773" s="34">
        <f>ROUND(ROUND(J773, 2)*I773, 2)</f>
        <v>346.76</v>
      </c>
      <c r="N773" s="35"/>
      <c r="O773" s="35"/>
      <c r="P773" s="34">
        <v>88.8</v>
      </c>
      <c r="Q773" s="35"/>
      <c r="R773" s="35"/>
      <c r="S773" s="34">
        <f>ROUND(ROUND(P773, 2)*I773, 2)</f>
        <v>346.76</v>
      </c>
      <c r="T773" s="35"/>
      <c r="U773" s="36"/>
      <c r="V773" s="9">
        <f>ROUND(ROUND(P773, 2)/1.2, 2)</f>
        <v>74</v>
      </c>
      <c r="Y773" s="9">
        <f t="shared" si="61"/>
        <v>288.97000000000003</v>
      </c>
      <c r="AD773" s="4" t="s">
        <v>2426</v>
      </c>
      <c r="AE773" s="4" t="s">
        <v>2427</v>
      </c>
      <c r="AF773" s="4" t="s">
        <v>436</v>
      </c>
    </row>
    <row r="774" spans="1:35" ht="54" x14ac:dyDescent="0.3">
      <c r="A774" s="25" t="s">
        <v>2428</v>
      </c>
      <c r="B774" s="25"/>
      <c r="C774" s="30" t="s">
        <v>2207</v>
      </c>
      <c r="D774" s="27"/>
      <c r="E774" s="27" t="s">
        <v>2227</v>
      </c>
      <c r="F774" s="31" t="s">
        <v>70</v>
      </c>
      <c r="G774" s="32">
        <v>0.3</v>
      </c>
      <c r="H774" s="27"/>
      <c r="I774" s="32">
        <v>7.8090000000000002</v>
      </c>
      <c r="J774" s="34">
        <v>0</v>
      </c>
      <c r="K774" s="35"/>
      <c r="L774" s="35"/>
      <c r="M774" s="34">
        <f>ROUND(ROUND(J774, 2)*I774, 2)</f>
        <v>0</v>
      </c>
      <c r="N774" s="35"/>
      <c r="O774" s="35"/>
      <c r="P774" s="34">
        <v>0</v>
      </c>
      <c r="Q774" s="35"/>
      <c r="R774" s="35"/>
      <c r="S774" s="34">
        <f>ROUND(ROUND(P774, 2)*I774, 2)</f>
        <v>0</v>
      </c>
      <c r="T774" s="35"/>
      <c r="U774" s="36"/>
      <c r="V774" s="9">
        <f>ROUND(ROUND(P774, 2)/1.2, 2)</f>
        <v>0</v>
      </c>
      <c r="Y774" s="9">
        <f t="shared" si="61"/>
        <v>0</v>
      </c>
      <c r="AD774" s="4" t="s">
        <v>2429</v>
      </c>
      <c r="AE774" s="4" t="s">
        <v>2430</v>
      </c>
      <c r="AF774" s="4" t="s">
        <v>2211</v>
      </c>
    </row>
    <row r="775" spans="1:35" ht="36" x14ac:dyDescent="0.3">
      <c r="A775" s="25" t="s">
        <v>2431</v>
      </c>
      <c r="B775" s="25" t="s">
        <v>2169</v>
      </c>
      <c r="C775" s="26" t="s">
        <v>2170</v>
      </c>
      <c r="D775" s="27"/>
      <c r="E775" s="27" t="s">
        <v>2432</v>
      </c>
      <c r="F775" s="27" t="s">
        <v>64</v>
      </c>
      <c r="G775" s="28">
        <v>1</v>
      </c>
      <c r="H775" s="27"/>
      <c r="I775" s="28">
        <v>34.79</v>
      </c>
      <c r="J775" s="29">
        <f>IFERROR(ROUND(SUM(M776,M777)/I775, 2),0)</f>
        <v>13.32</v>
      </c>
      <c r="K775" s="29">
        <v>464</v>
      </c>
      <c r="L775" s="29">
        <f>J775+ROUND(K775, 2)</f>
        <v>477.32</v>
      </c>
      <c r="M775" s="29">
        <f>ROUND(J775*I775, 2)</f>
        <v>463.4</v>
      </c>
      <c r="N775" s="29">
        <f>ROUND(I775*ROUND(K775, 2), 2)</f>
        <v>16142.56</v>
      </c>
      <c r="O775" s="29">
        <f>M775+N775</f>
        <v>16605.96</v>
      </c>
      <c r="P775" s="29">
        <f>IFERROR(ROUND(SUM(S776,S777)/I775, 2),0)</f>
        <v>13.32</v>
      </c>
      <c r="Q775" s="29">
        <v>464</v>
      </c>
      <c r="R775" s="29">
        <f>P775+ROUND(Q775, 2)</f>
        <v>477.32</v>
      </c>
      <c r="S775" s="29">
        <f>ROUND(P775*I775, 2)</f>
        <v>463.4</v>
      </c>
      <c r="T775" s="29">
        <f>ROUND(I775*ROUND(Q775, 2), 2)</f>
        <v>16142.56</v>
      </c>
      <c r="U775" s="29">
        <f>S775+T775</f>
        <v>16605.96</v>
      </c>
      <c r="V775" s="9">
        <f>ROUND(P775 / 1.2, 2)</f>
        <v>11.1</v>
      </c>
      <c r="W775" s="9">
        <f>ROUND(Q775 / 1.2, 2)</f>
        <v>386.67</v>
      </c>
      <c r="X775" s="9">
        <f>ROUND(R775 / 1.2, 2)</f>
        <v>397.77</v>
      </c>
      <c r="Y775" s="9">
        <f t="shared" si="61"/>
        <v>386.17</v>
      </c>
      <c r="Z775" s="9">
        <f>ROUND(T775 / 1.2, 2)</f>
        <v>13452.13</v>
      </c>
      <c r="AA775" s="9">
        <f>Y775+Z775</f>
        <v>13838.3</v>
      </c>
      <c r="AD775" s="4">
        <v>271132281</v>
      </c>
      <c r="AE775" s="4">
        <v>20003315</v>
      </c>
      <c r="AG775" s="4" t="s">
        <v>2172</v>
      </c>
      <c r="AH775" s="4" t="s">
        <v>2173</v>
      </c>
      <c r="AI775" s="4" t="s">
        <v>67</v>
      </c>
    </row>
    <row r="776" spans="1:35" ht="36" x14ac:dyDescent="0.3">
      <c r="A776" s="25" t="s">
        <v>2433</v>
      </c>
      <c r="B776" s="25"/>
      <c r="C776" s="30" t="s">
        <v>433</v>
      </c>
      <c r="D776" s="27"/>
      <c r="E776" s="27"/>
      <c r="F776" s="31" t="s">
        <v>70</v>
      </c>
      <c r="G776" s="32">
        <v>0.15</v>
      </c>
      <c r="H776" s="27"/>
      <c r="I776" s="32">
        <v>5.2190000000000003</v>
      </c>
      <c r="J776" s="34">
        <v>88.8</v>
      </c>
      <c r="K776" s="35"/>
      <c r="L776" s="35"/>
      <c r="M776" s="34">
        <f>ROUND(ROUND(J776, 2)*I776, 2)</f>
        <v>463.45</v>
      </c>
      <c r="N776" s="35"/>
      <c r="O776" s="35"/>
      <c r="P776" s="34">
        <v>88.8</v>
      </c>
      <c r="Q776" s="35"/>
      <c r="R776" s="35"/>
      <c r="S776" s="34">
        <f>ROUND(ROUND(P776, 2)*I776, 2)</f>
        <v>463.45</v>
      </c>
      <c r="T776" s="35"/>
      <c r="U776" s="36"/>
      <c r="V776" s="9">
        <f>ROUND(ROUND(P776, 2)/1.2, 2)</f>
        <v>74</v>
      </c>
      <c r="Y776" s="9">
        <f t="shared" si="61"/>
        <v>386.21</v>
      </c>
      <c r="AD776" s="4" t="s">
        <v>2434</v>
      </c>
      <c r="AE776" s="4" t="s">
        <v>2435</v>
      </c>
      <c r="AF776" s="4" t="s">
        <v>436</v>
      </c>
    </row>
    <row r="777" spans="1:35" ht="54" x14ac:dyDescent="0.3">
      <c r="A777" s="25" t="s">
        <v>2436</v>
      </c>
      <c r="B777" s="25"/>
      <c r="C777" s="30" t="s">
        <v>2437</v>
      </c>
      <c r="D777" s="27"/>
      <c r="E777" s="27" t="s">
        <v>2274</v>
      </c>
      <c r="F777" s="31" t="s">
        <v>70</v>
      </c>
      <c r="G777" s="32">
        <v>0.3</v>
      </c>
      <c r="H777" s="27"/>
      <c r="I777" s="32">
        <v>10.436999999999999</v>
      </c>
      <c r="J777" s="34">
        <v>0</v>
      </c>
      <c r="K777" s="35"/>
      <c r="L777" s="35"/>
      <c r="M777" s="34">
        <f>ROUND(ROUND(J777, 2)*I777, 2)</f>
        <v>0</v>
      </c>
      <c r="N777" s="35"/>
      <c r="O777" s="35"/>
      <c r="P777" s="34">
        <v>0</v>
      </c>
      <c r="Q777" s="35"/>
      <c r="R777" s="35"/>
      <c r="S777" s="34">
        <f>ROUND(ROUND(P777, 2)*I777, 2)</f>
        <v>0</v>
      </c>
      <c r="T777" s="35"/>
      <c r="U777" s="36"/>
      <c r="V777" s="9">
        <f>ROUND(ROUND(P777, 2)/1.2, 2)</f>
        <v>0</v>
      </c>
      <c r="Y777" s="9">
        <f t="shared" si="61"/>
        <v>0</v>
      </c>
      <c r="AD777" s="4" t="s">
        <v>2438</v>
      </c>
      <c r="AE777" s="4" t="s">
        <v>2439</v>
      </c>
      <c r="AF777" s="4" t="s">
        <v>2440</v>
      </c>
    </row>
    <row r="778" spans="1:35" ht="36" x14ac:dyDescent="0.3">
      <c r="A778" s="25" t="s">
        <v>2441</v>
      </c>
      <c r="B778" s="25" t="s">
        <v>2169</v>
      </c>
      <c r="C778" s="26" t="s">
        <v>2170</v>
      </c>
      <c r="D778" s="27"/>
      <c r="E778" s="27" t="s">
        <v>2442</v>
      </c>
      <c r="F778" s="27" t="s">
        <v>64</v>
      </c>
      <c r="G778" s="28">
        <v>1</v>
      </c>
      <c r="H778" s="27"/>
      <c r="I778" s="28">
        <v>58.73</v>
      </c>
      <c r="J778" s="29">
        <f>IFERROR(ROUND(SUM(M779,M780)/I778, 2),0)</f>
        <v>13.32</v>
      </c>
      <c r="K778" s="29">
        <v>464</v>
      </c>
      <c r="L778" s="29">
        <f>J778+ROUND(K778, 2)</f>
        <v>477.32</v>
      </c>
      <c r="M778" s="29">
        <f>ROUND(J778*I778, 2)</f>
        <v>782.28</v>
      </c>
      <c r="N778" s="29">
        <f>ROUND(I778*ROUND(K778, 2), 2)</f>
        <v>27250.720000000001</v>
      </c>
      <c r="O778" s="29">
        <f>M778+N778</f>
        <v>28033</v>
      </c>
      <c r="P778" s="29">
        <f>IFERROR(ROUND(SUM(S779,S780)/I778, 2),0)</f>
        <v>13.32</v>
      </c>
      <c r="Q778" s="29">
        <v>464</v>
      </c>
      <c r="R778" s="29">
        <f>P778+ROUND(Q778, 2)</f>
        <v>477.32</v>
      </c>
      <c r="S778" s="29">
        <f>ROUND(P778*I778, 2)</f>
        <v>782.28</v>
      </c>
      <c r="T778" s="29">
        <f>ROUND(I778*ROUND(Q778, 2), 2)</f>
        <v>27250.720000000001</v>
      </c>
      <c r="U778" s="29">
        <f>S778+T778</f>
        <v>28033</v>
      </c>
      <c r="V778" s="9">
        <f>ROUND(P778 / 1.2, 2)</f>
        <v>11.1</v>
      </c>
      <c r="W778" s="9">
        <f>ROUND(Q778 / 1.2, 2)</f>
        <v>386.67</v>
      </c>
      <c r="X778" s="9">
        <f>ROUND(R778 / 1.2, 2)</f>
        <v>397.77</v>
      </c>
      <c r="Y778" s="9">
        <f t="shared" si="61"/>
        <v>651.9</v>
      </c>
      <c r="Z778" s="9">
        <f>ROUND(T778 / 1.2, 2)</f>
        <v>22708.93</v>
      </c>
      <c r="AA778" s="9">
        <f>Y778+Z778</f>
        <v>23360.83</v>
      </c>
      <c r="AD778" s="4">
        <v>271132282</v>
      </c>
      <c r="AE778" s="4">
        <v>20003316</v>
      </c>
      <c r="AG778" s="4" t="s">
        <v>2172</v>
      </c>
      <c r="AH778" s="4" t="s">
        <v>2173</v>
      </c>
      <c r="AI778" s="4" t="s">
        <v>67</v>
      </c>
    </row>
    <row r="779" spans="1:35" ht="36" x14ac:dyDescent="0.3">
      <c r="A779" s="25" t="s">
        <v>2443</v>
      </c>
      <c r="B779" s="25"/>
      <c r="C779" s="30" t="s">
        <v>433</v>
      </c>
      <c r="D779" s="27"/>
      <c r="E779" s="27"/>
      <c r="F779" s="31" t="s">
        <v>70</v>
      </c>
      <c r="G779" s="32">
        <v>0.15</v>
      </c>
      <c r="H779" s="27"/>
      <c r="I779" s="32">
        <v>8.81</v>
      </c>
      <c r="J779" s="34">
        <v>88.8</v>
      </c>
      <c r="K779" s="35"/>
      <c r="L779" s="35"/>
      <c r="M779" s="34">
        <f>ROUND(ROUND(J779, 2)*I779, 2)</f>
        <v>782.33</v>
      </c>
      <c r="N779" s="35"/>
      <c r="O779" s="35"/>
      <c r="P779" s="34">
        <v>88.8</v>
      </c>
      <c r="Q779" s="35"/>
      <c r="R779" s="35"/>
      <c r="S779" s="34">
        <f>ROUND(ROUND(P779, 2)*I779, 2)</f>
        <v>782.33</v>
      </c>
      <c r="T779" s="35"/>
      <c r="U779" s="36"/>
      <c r="V779" s="9">
        <f>ROUND(ROUND(P779, 2)/1.2, 2)</f>
        <v>74</v>
      </c>
      <c r="Y779" s="9">
        <f t="shared" si="61"/>
        <v>651.94000000000005</v>
      </c>
      <c r="AD779" s="4" t="s">
        <v>2444</v>
      </c>
      <c r="AE779" s="4" t="s">
        <v>2445</v>
      </c>
      <c r="AF779" s="4" t="s">
        <v>436</v>
      </c>
    </row>
    <row r="780" spans="1:35" ht="54" x14ac:dyDescent="0.3">
      <c r="A780" s="25" t="s">
        <v>2446</v>
      </c>
      <c r="B780" s="25"/>
      <c r="C780" s="30" t="s">
        <v>2207</v>
      </c>
      <c r="D780" s="27"/>
      <c r="E780" s="27" t="s">
        <v>2447</v>
      </c>
      <c r="F780" s="31" t="s">
        <v>70</v>
      </c>
      <c r="G780" s="32">
        <v>0.3</v>
      </c>
      <c r="H780" s="27"/>
      <c r="I780" s="32">
        <v>17.619</v>
      </c>
      <c r="J780" s="34">
        <v>0</v>
      </c>
      <c r="K780" s="35"/>
      <c r="L780" s="35"/>
      <c r="M780" s="34">
        <f>ROUND(ROUND(J780, 2)*I780, 2)</f>
        <v>0</v>
      </c>
      <c r="N780" s="35"/>
      <c r="O780" s="35"/>
      <c r="P780" s="34">
        <v>0</v>
      </c>
      <c r="Q780" s="35"/>
      <c r="R780" s="35"/>
      <c r="S780" s="34">
        <f>ROUND(ROUND(P780, 2)*I780, 2)</f>
        <v>0</v>
      </c>
      <c r="T780" s="35"/>
      <c r="U780" s="36"/>
      <c r="V780" s="9">
        <f>ROUND(ROUND(P780, 2)/1.2, 2)</f>
        <v>0</v>
      </c>
      <c r="Y780" s="9">
        <f t="shared" ref="Y780:Y804" si="62">ROUND(S780 / 1.2, 2)</f>
        <v>0</v>
      </c>
      <c r="AD780" s="4" t="s">
        <v>2448</v>
      </c>
      <c r="AE780" s="4" t="s">
        <v>2449</v>
      </c>
      <c r="AF780" s="4" t="s">
        <v>2211</v>
      </c>
    </row>
    <row r="781" spans="1:35" ht="36" x14ac:dyDescent="0.3">
      <c r="A781" s="25" t="s">
        <v>2450</v>
      </c>
      <c r="B781" s="25" t="s">
        <v>2169</v>
      </c>
      <c r="C781" s="26" t="s">
        <v>2170</v>
      </c>
      <c r="D781" s="27"/>
      <c r="E781" s="27" t="s">
        <v>2451</v>
      </c>
      <c r="F781" s="27" t="s">
        <v>64</v>
      </c>
      <c r="G781" s="28">
        <v>1</v>
      </c>
      <c r="H781" s="27"/>
      <c r="I781" s="28">
        <v>30.71</v>
      </c>
      <c r="J781" s="29">
        <f>IFERROR(ROUND(SUM(M782,M783)/I781, 2),0)</f>
        <v>13.32</v>
      </c>
      <c r="K781" s="29">
        <v>464</v>
      </c>
      <c r="L781" s="29">
        <f>J781+ROUND(K781, 2)</f>
        <v>477.32</v>
      </c>
      <c r="M781" s="29">
        <f>ROUND(J781*I781, 2)</f>
        <v>409.06</v>
      </c>
      <c r="N781" s="29">
        <f>ROUND(I781*ROUND(K781, 2), 2)</f>
        <v>14249.44</v>
      </c>
      <c r="O781" s="29">
        <f>M781+N781</f>
        <v>14658.5</v>
      </c>
      <c r="P781" s="29">
        <f>IFERROR(ROUND(SUM(S782,S783)/I781, 2),0)</f>
        <v>13.32</v>
      </c>
      <c r="Q781" s="29">
        <v>464</v>
      </c>
      <c r="R781" s="29">
        <f>P781+ROUND(Q781, 2)</f>
        <v>477.32</v>
      </c>
      <c r="S781" s="29">
        <f>ROUND(P781*I781, 2)</f>
        <v>409.06</v>
      </c>
      <c r="T781" s="29">
        <f>ROUND(I781*ROUND(Q781, 2), 2)</f>
        <v>14249.44</v>
      </c>
      <c r="U781" s="29">
        <f>S781+T781</f>
        <v>14658.5</v>
      </c>
      <c r="V781" s="9">
        <f>ROUND(P781 / 1.2, 2)</f>
        <v>11.1</v>
      </c>
      <c r="W781" s="9">
        <f>ROUND(Q781 / 1.2, 2)</f>
        <v>386.67</v>
      </c>
      <c r="X781" s="9">
        <f>ROUND(R781 / 1.2, 2)</f>
        <v>397.77</v>
      </c>
      <c r="Y781" s="9">
        <f t="shared" si="62"/>
        <v>340.88</v>
      </c>
      <c r="Z781" s="9">
        <f>ROUND(T781 / 1.2, 2)</f>
        <v>11874.53</v>
      </c>
      <c r="AA781" s="9">
        <f>Y781+Z781</f>
        <v>12215.41</v>
      </c>
      <c r="AD781" s="4">
        <v>271132283</v>
      </c>
      <c r="AE781" s="4">
        <v>20003311</v>
      </c>
      <c r="AG781" s="4" t="s">
        <v>2172</v>
      </c>
      <c r="AH781" s="4" t="s">
        <v>2173</v>
      </c>
      <c r="AI781" s="4" t="s">
        <v>67</v>
      </c>
    </row>
    <row r="782" spans="1:35" ht="36" x14ac:dyDescent="0.3">
      <c r="A782" s="25" t="s">
        <v>2452</v>
      </c>
      <c r="B782" s="25"/>
      <c r="C782" s="30" t="s">
        <v>433</v>
      </c>
      <c r="D782" s="27"/>
      <c r="E782" s="27"/>
      <c r="F782" s="31" t="s">
        <v>70</v>
      </c>
      <c r="G782" s="32">
        <v>0.15</v>
      </c>
      <c r="H782" s="27"/>
      <c r="I782" s="32">
        <v>4.6070000000000002</v>
      </c>
      <c r="J782" s="34">
        <v>88.8</v>
      </c>
      <c r="K782" s="35"/>
      <c r="L782" s="35"/>
      <c r="M782" s="34">
        <f>ROUND(ROUND(J782, 2)*I782, 2)</f>
        <v>409.1</v>
      </c>
      <c r="N782" s="35"/>
      <c r="O782" s="35"/>
      <c r="P782" s="34">
        <v>88.8</v>
      </c>
      <c r="Q782" s="35"/>
      <c r="R782" s="35"/>
      <c r="S782" s="34">
        <f>ROUND(ROUND(P782, 2)*I782, 2)</f>
        <v>409.1</v>
      </c>
      <c r="T782" s="35"/>
      <c r="U782" s="36"/>
      <c r="V782" s="9">
        <f>ROUND(ROUND(P782, 2)/1.2, 2)</f>
        <v>74</v>
      </c>
      <c r="Y782" s="9">
        <f t="shared" si="62"/>
        <v>340.92</v>
      </c>
      <c r="AD782" s="4" t="s">
        <v>2453</v>
      </c>
      <c r="AE782" s="4" t="s">
        <v>2454</v>
      </c>
      <c r="AF782" s="4" t="s">
        <v>436</v>
      </c>
    </row>
    <row r="783" spans="1:35" ht="54" x14ac:dyDescent="0.3">
      <c r="A783" s="25" t="s">
        <v>2455</v>
      </c>
      <c r="B783" s="25"/>
      <c r="C783" s="30" t="s">
        <v>2207</v>
      </c>
      <c r="D783" s="27"/>
      <c r="E783" s="27" t="s">
        <v>2291</v>
      </c>
      <c r="F783" s="31" t="s">
        <v>70</v>
      </c>
      <c r="G783" s="32">
        <v>0.3</v>
      </c>
      <c r="H783" s="27"/>
      <c r="I783" s="32">
        <v>9.2129999999999992</v>
      </c>
      <c r="J783" s="34">
        <v>0</v>
      </c>
      <c r="K783" s="35"/>
      <c r="L783" s="35"/>
      <c r="M783" s="34">
        <f>ROUND(ROUND(J783, 2)*I783, 2)</f>
        <v>0</v>
      </c>
      <c r="N783" s="35"/>
      <c r="O783" s="35"/>
      <c r="P783" s="34">
        <v>0</v>
      </c>
      <c r="Q783" s="35"/>
      <c r="R783" s="35"/>
      <c r="S783" s="34">
        <f>ROUND(ROUND(P783, 2)*I783, 2)</f>
        <v>0</v>
      </c>
      <c r="T783" s="35"/>
      <c r="U783" s="36"/>
      <c r="V783" s="9">
        <f>ROUND(ROUND(P783, 2)/1.2, 2)</f>
        <v>0</v>
      </c>
      <c r="Y783" s="9">
        <f t="shared" si="62"/>
        <v>0</v>
      </c>
      <c r="AD783" s="4" t="s">
        <v>2456</v>
      </c>
      <c r="AE783" s="4" t="s">
        <v>2457</v>
      </c>
      <c r="AF783" s="4" t="s">
        <v>2211</v>
      </c>
    </row>
    <row r="784" spans="1:35" ht="36" x14ac:dyDescent="0.3">
      <c r="A784" s="25" t="s">
        <v>2458</v>
      </c>
      <c r="B784" s="25" t="s">
        <v>2169</v>
      </c>
      <c r="C784" s="26" t="s">
        <v>2170</v>
      </c>
      <c r="D784" s="27"/>
      <c r="E784" s="27" t="s">
        <v>2459</v>
      </c>
      <c r="F784" s="27" t="s">
        <v>64</v>
      </c>
      <c r="G784" s="28">
        <v>1</v>
      </c>
      <c r="H784" s="27"/>
      <c r="I784" s="28">
        <v>1281.17</v>
      </c>
      <c r="J784" s="29">
        <f>IFERROR(ROUND(SUM(M785,M786)/I784, 2),0)</f>
        <v>13.32</v>
      </c>
      <c r="K784" s="29">
        <v>464</v>
      </c>
      <c r="L784" s="29">
        <f>J784+ROUND(K784, 2)</f>
        <v>477.32</v>
      </c>
      <c r="M784" s="29">
        <f>ROUND(J784*I784, 2)</f>
        <v>17065.18</v>
      </c>
      <c r="N784" s="29">
        <f>ROUND(I784*ROUND(K784, 2), 2)</f>
        <v>594462.88</v>
      </c>
      <c r="O784" s="29">
        <f>M784+N784</f>
        <v>611528.06000000006</v>
      </c>
      <c r="P784" s="29">
        <f>IFERROR(ROUND(SUM(S785,S786)/I784, 2),0)</f>
        <v>13.32</v>
      </c>
      <c r="Q784" s="29">
        <v>464</v>
      </c>
      <c r="R784" s="29">
        <f>P784+ROUND(Q784, 2)</f>
        <v>477.32</v>
      </c>
      <c r="S784" s="29">
        <f>ROUND(P784*I784, 2)</f>
        <v>17065.18</v>
      </c>
      <c r="T784" s="29">
        <f>ROUND(I784*ROUND(Q784, 2), 2)</f>
        <v>594462.88</v>
      </c>
      <c r="U784" s="29">
        <f>S784+T784</f>
        <v>611528.06000000006</v>
      </c>
      <c r="V784" s="9">
        <f>ROUND(P784 / 1.2, 2)</f>
        <v>11.1</v>
      </c>
      <c r="W784" s="9">
        <f>ROUND(Q784 / 1.2, 2)</f>
        <v>386.67</v>
      </c>
      <c r="X784" s="9">
        <f>ROUND(R784 / 1.2, 2)</f>
        <v>397.77</v>
      </c>
      <c r="Y784" s="9">
        <f t="shared" si="62"/>
        <v>14220.98</v>
      </c>
      <c r="Z784" s="9">
        <f>ROUND(T784 / 1.2, 2)</f>
        <v>495385.73</v>
      </c>
      <c r="AA784" s="9">
        <f>Y784+Z784</f>
        <v>509606.71</v>
      </c>
      <c r="AD784" s="4">
        <v>271132284</v>
      </c>
      <c r="AE784" s="4">
        <v>20003312</v>
      </c>
      <c r="AG784" s="4" t="s">
        <v>2172</v>
      </c>
      <c r="AH784" s="4" t="s">
        <v>2173</v>
      </c>
      <c r="AI784" s="4" t="s">
        <v>67</v>
      </c>
    </row>
    <row r="785" spans="1:35" ht="36" x14ac:dyDescent="0.3">
      <c r="A785" s="25" t="s">
        <v>2460</v>
      </c>
      <c r="B785" s="25"/>
      <c r="C785" s="30" t="s">
        <v>433</v>
      </c>
      <c r="D785" s="27"/>
      <c r="E785" s="27"/>
      <c r="F785" s="31" t="s">
        <v>70</v>
      </c>
      <c r="G785" s="32">
        <v>0.15</v>
      </c>
      <c r="H785" s="27"/>
      <c r="I785" s="32">
        <v>192.17599999999999</v>
      </c>
      <c r="J785" s="34">
        <v>88.8</v>
      </c>
      <c r="K785" s="35"/>
      <c r="L785" s="35"/>
      <c r="M785" s="34">
        <f>ROUND(ROUND(J785, 2)*I785, 2)</f>
        <v>17065.23</v>
      </c>
      <c r="N785" s="35"/>
      <c r="O785" s="35"/>
      <c r="P785" s="34">
        <v>88.8</v>
      </c>
      <c r="Q785" s="35"/>
      <c r="R785" s="35"/>
      <c r="S785" s="34">
        <f>ROUND(ROUND(P785, 2)*I785, 2)</f>
        <v>17065.23</v>
      </c>
      <c r="T785" s="35"/>
      <c r="U785" s="36"/>
      <c r="V785" s="9">
        <f>ROUND(ROUND(P785, 2)/1.2, 2)</f>
        <v>74</v>
      </c>
      <c r="Y785" s="9">
        <f t="shared" si="62"/>
        <v>14221.03</v>
      </c>
      <c r="AD785" s="4" t="s">
        <v>2461</v>
      </c>
      <c r="AE785" s="4" t="s">
        <v>2462</v>
      </c>
      <c r="AF785" s="4" t="s">
        <v>436</v>
      </c>
    </row>
    <row r="786" spans="1:35" ht="18" x14ac:dyDescent="0.3">
      <c r="A786" s="25" t="s">
        <v>2463</v>
      </c>
      <c r="B786" s="25"/>
      <c r="C786" s="30" t="s">
        <v>2175</v>
      </c>
      <c r="D786" s="27"/>
      <c r="E786" s="27"/>
      <c r="F786" s="31" t="s">
        <v>70</v>
      </c>
      <c r="G786" s="32">
        <v>0.3</v>
      </c>
      <c r="H786" s="27"/>
      <c r="I786" s="32">
        <v>384.351</v>
      </c>
      <c r="J786" s="34">
        <v>0</v>
      </c>
      <c r="K786" s="35"/>
      <c r="L786" s="35"/>
      <c r="M786" s="34">
        <f>ROUND(ROUND(J786, 2)*I786, 2)</f>
        <v>0</v>
      </c>
      <c r="N786" s="35"/>
      <c r="O786" s="35"/>
      <c r="P786" s="34">
        <v>0</v>
      </c>
      <c r="Q786" s="35"/>
      <c r="R786" s="35"/>
      <c r="S786" s="34">
        <f>ROUND(ROUND(P786, 2)*I786, 2)</f>
        <v>0</v>
      </c>
      <c r="T786" s="35"/>
      <c r="U786" s="36"/>
      <c r="V786" s="9">
        <f>ROUND(ROUND(P786, 2)/1.2, 2)</f>
        <v>0</v>
      </c>
      <c r="Y786" s="9">
        <f t="shared" si="62"/>
        <v>0</v>
      </c>
      <c r="AD786" s="4" t="s">
        <v>2464</v>
      </c>
      <c r="AE786" s="4" t="s">
        <v>2465</v>
      </c>
      <c r="AF786" s="4" t="s">
        <v>2179</v>
      </c>
    </row>
    <row r="787" spans="1:35" ht="36" x14ac:dyDescent="0.3">
      <c r="A787" s="25" t="s">
        <v>2466</v>
      </c>
      <c r="B787" s="25" t="s">
        <v>2169</v>
      </c>
      <c r="C787" s="26" t="s">
        <v>2170</v>
      </c>
      <c r="D787" s="27"/>
      <c r="E787" s="27" t="s">
        <v>2467</v>
      </c>
      <c r="F787" s="27" t="s">
        <v>64</v>
      </c>
      <c r="G787" s="28">
        <v>1</v>
      </c>
      <c r="H787" s="27"/>
      <c r="I787" s="28">
        <v>8.82</v>
      </c>
      <c r="J787" s="29">
        <f>IFERROR(ROUND(SUM(M788,M789)/I787, 2),0)</f>
        <v>13.32</v>
      </c>
      <c r="K787" s="29">
        <v>464</v>
      </c>
      <c r="L787" s="29">
        <f>J787+ROUND(K787, 2)</f>
        <v>477.32</v>
      </c>
      <c r="M787" s="29">
        <f>ROUND(J787*I787, 2)</f>
        <v>117.48</v>
      </c>
      <c r="N787" s="29">
        <f>ROUND(I787*ROUND(K787, 2), 2)</f>
        <v>4092.48</v>
      </c>
      <c r="O787" s="29">
        <f>M787+N787</f>
        <v>4209.96</v>
      </c>
      <c r="P787" s="29">
        <f>IFERROR(ROUND(SUM(S788,S789)/I787, 2),0)</f>
        <v>13.32</v>
      </c>
      <c r="Q787" s="29">
        <v>464</v>
      </c>
      <c r="R787" s="29">
        <f>P787+ROUND(Q787, 2)</f>
        <v>477.32</v>
      </c>
      <c r="S787" s="29">
        <f>ROUND(P787*I787, 2)</f>
        <v>117.48</v>
      </c>
      <c r="T787" s="29">
        <f>ROUND(I787*ROUND(Q787, 2), 2)</f>
        <v>4092.48</v>
      </c>
      <c r="U787" s="29">
        <f>S787+T787</f>
        <v>4209.96</v>
      </c>
      <c r="V787" s="9">
        <f>ROUND(P787 / 1.2, 2)</f>
        <v>11.1</v>
      </c>
      <c r="W787" s="9">
        <f>ROUND(Q787 / 1.2, 2)</f>
        <v>386.67</v>
      </c>
      <c r="X787" s="9">
        <f>ROUND(R787 / 1.2, 2)</f>
        <v>397.77</v>
      </c>
      <c r="Y787" s="9">
        <f t="shared" si="62"/>
        <v>97.9</v>
      </c>
      <c r="Z787" s="9">
        <f>ROUND(T787 / 1.2, 2)</f>
        <v>3410.4</v>
      </c>
      <c r="AA787" s="9">
        <f>Y787+Z787</f>
        <v>3508.3</v>
      </c>
      <c r="AD787" s="4">
        <v>271132285</v>
      </c>
      <c r="AE787" s="4">
        <v>20003317</v>
      </c>
      <c r="AG787" s="4" t="s">
        <v>2172</v>
      </c>
      <c r="AH787" s="4" t="s">
        <v>2173</v>
      </c>
      <c r="AI787" s="4" t="s">
        <v>67</v>
      </c>
    </row>
    <row r="788" spans="1:35" ht="36" x14ac:dyDescent="0.3">
      <c r="A788" s="25" t="s">
        <v>2468</v>
      </c>
      <c r="B788" s="25"/>
      <c r="C788" s="30" t="s">
        <v>433</v>
      </c>
      <c r="D788" s="27"/>
      <c r="E788" s="27"/>
      <c r="F788" s="31" t="s">
        <v>70</v>
      </c>
      <c r="G788" s="32">
        <v>0.15</v>
      </c>
      <c r="H788" s="27"/>
      <c r="I788" s="32">
        <v>1.323</v>
      </c>
      <c r="J788" s="34">
        <v>88.8</v>
      </c>
      <c r="K788" s="35"/>
      <c r="L788" s="35"/>
      <c r="M788" s="34">
        <f>ROUND(ROUND(J788, 2)*I788, 2)</f>
        <v>117.48</v>
      </c>
      <c r="N788" s="35"/>
      <c r="O788" s="35"/>
      <c r="P788" s="34">
        <v>88.8</v>
      </c>
      <c r="Q788" s="35"/>
      <c r="R788" s="35"/>
      <c r="S788" s="34">
        <f>ROUND(ROUND(P788, 2)*I788, 2)</f>
        <v>117.48</v>
      </c>
      <c r="T788" s="35"/>
      <c r="U788" s="36"/>
      <c r="V788" s="9">
        <f>ROUND(ROUND(P788, 2)/1.2, 2)</f>
        <v>74</v>
      </c>
      <c r="Y788" s="9">
        <f t="shared" si="62"/>
        <v>97.9</v>
      </c>
      <c r="AD788" s="4" t="s">
        <v>2469</v>
      </c>
      <c r="AE788" s="4" t="s">
        <v>2470</v>
      </c>
      <c r="AF788" s="4" t="s">
        <v>436</v>
      </c>
    </row>
    <row r="789" spans="1:35" ht="54" x14ac:dyDescent="0.3">
      <c r="A789" s="25" t="s">
        <v>2471</v>
      </c>
      <c r="B789" s="25"/>
      <c r="C789" s="30" t="s">
        <v>2175</v>
      </c>
      <c r="D789" s="27"/>
      <c r="E789" s="27" t="s">
        <v>2309</v>
      </c>
      <c r="F789" s="31" t="s">
        <v>70</v>
      </c>
      <c r="G789" s="32">
        <v>0.3</v>
      </c>
      <c r="H789" s="27"/>
      <c r="I789" s="32">
        <v>2.6459999999999999</v>
      </c>
      <c r="J789" s="34">
        <v>0</v>
      </c>
      <c r="K789" s="35"/>
      <c r="L789" s="35"/>
      <c r="M789" s="34">
        <f>ROUND(ROUND(J789, 2)*I789, 2)</f>
        <v>0</v>
      </c>
      <c r="N789" s="35"/>
      <c r="O789" s="35"/>
      <c r="P789" s="34">
        <v>0</v>
      </c>
      <c r="Q789" s="35"/>
      <c r="R789" s="35"/>
      <c r="S789" s="34">
        <f>ROUND(ROUND(P789, 2)*I789, 2)</f>
        <v>0</v>
      </c>
      <c r="T789" s="35"/>
      <c r="U789" s="36"/>
      <c r="V789" s="9">
        <f>ROUND(ROUND(P789, 2)/1.2, 2)</f>
        <v>0</v>
      </c>
      <c r="Y789" s="9">
        <f t="shared" si="62"/>
        <v>0</v>
      </c>
      <c r="AD789" s="4" t="s">
        <v>2472</v>
      </c>
      <c r="AE789" s="4" t="s">
        <v>2473</v>
      </c>
      <c r="AF789" s="4" t="s">
        <v>2179</v>
      </c>
    </row>
    <row r="790" spans="1:35" ht="36" x14ac:dyDescent="0.3">
      <c r="A790" s="25" t="s">
        <v>2474</v>
      </c>
      <c r="B790" s="25" t="s">
        <v>2169</v>
      </c>
      <c r="C790" s="26" t="s">
        <v>2170</v>
      </c>
      <c r="D790" s="27"/>
      <c r="E790" s="27" t="s">
        <v>2475</v>
      </c>
      <c r="F790" s="27" t="s">
        <v>64</v>
      </c>
      <c r="G790" s="28">
        <v>1</v>
      </c>
      <c r="H790" s="27"/>
      <c r="I790" s="28">
        <v>24.88</v>
      </c>
      <c r="J790" s="29">
        <f>IFERROR(ROUND(SUM(M791,M792)/I790, 2),0)</f>
        <v>13.32</v>
      </c>
      <c r="K790" s="29">
        <v>464</v>
      </c>
      <c r="L790" s="29">
        <f>J790+ROUND(K790, 2)</f>
        <v>477.32</v>
      </c>
      <c r="M790" s="29">
        <f>ROUND(J790*I790, 2)</f>
        <v>331.4</v>
      </c>
      <c r="N790" s="29">
        <f>ROUND(I790*ROUND(K790, 2), 2)</f>
        <v>11544.32</v>
      </c>
      <c r="O790" s="29">
        <f>M790+N790</f>
        <v>11875.72</v>
      </c>
      <c r="P790" s="29">
        <f>IFERROR(ROUND(SUM(S791,S792)/I790, 2),0)</f>
        <v>13.32</v>
      </c>
      <c r="Q790" s="29">
        <v>464</v>
      </c>
      <c r="R790" s="29">
        <f>P790+ROUND(Q790, 2)</f>
        <v>477.32</v>
      </c>
      <c r="S790" s="29">
        <f>ROUND(P790*I790, 2)</f>
        <v>331.4</v>
      </c>
      <c r="T790" s="29">
        <f>ROUND(I790*ROUND(Q790, 2), 2)</f>
        <v>11544.32</v>
      </c>
      <c r="U790" s="29">
        <f>S790+T790</f>
        <v>11875.72</v>
      </c>
      <c r="V790" s="9">
        <f>ROUND(P790 / 1.2, 2)</f>
        <v>11.1</v>
      </c>
      <c r="W790" s="9">
        <f>ROUND(Q790 / 1.2, 2)</f>
        <v>386.67</v>
      </c>
      <c r="X790" s="9">
        <f>ROUND(R790 / 1.2, 2)</f>
        <v>397.77</v>
      </c>
      <c r="Y790" s="9">
        <f t="shared" si="62"/>
        <v>276.17</v>
      </c>
      <c r="Z790" s="9">
        <f>ROUND(T790 / 1.2, 2)</f>
        <v>9620.27</v>
      </c>
      <c r="AA790" s="9">
        <f>Y790+Z790</f>
        <v>9896.44</v>
      </c>
      <c r="AD790" s="4">
        <v>271132286</v>
      </c>
      <c r="AE790" s="4">
        <v>20003318</v>
      </c>
      <c r="AG790" s="4" t="s">
        <v>2172</v>
      </c>
      <c r="AH790" s="4" t="s">
        <v>2173</v>
      </c>
      <c r="AI790" s="4" t="s">
        <v>67</v>
      </c>
    </row>
    <row r="791" spans="1:35" ht="36" x14ac:dyDescent="0.3">
      <c r="A791" s="25" t="s">
        <v>2476</v>
      </c>
      <c r="B791" s="25"/>
      <c r="C791" s="30" t="s">
        <v>433</v>
      </c>
      <c r="D791" s="27"/>
      <c r="E791" s="27"/>
      <c r="F791" s="31" t="s">
        <v>70</v>
      </c>
      <c r="G791" s="32">
        <v>0.15</v>
      </c>
      <c r="H791" s="27"/>
      <c r="I791" s="32">
        <v>3.7320000000000002</v>
      </c>
      <c r="J791" s="34">
        <v>88.8</v>
      </c>
      <c r="K791" s="35"/>
      <c r="L791" s="35"/>
      <c r="M791" s="34">
        <f>ROUND(ROUND(J791, 2)*I791, 2)</f>
        <v>331.4</v>
      </c>
      <c r="N791" s="35"/>
      <c r="O791" s="35"/>
      <c r="P791" s="34">
        <v>88.8</v>
      </c>
      <c r="Q791" s="35"/>
      <c r="R791" s="35"/>
      <c r="S791" s="34">
        <f>ROUND(ROUND(P791, 2)*I791, 2)</f>
        <v>331.4</v>
      </c>
      <c r="T791" s="35"/>
      <c r="U791" s="36"/>
      <c r="V791" s="9">
        <f>ROUND(ROUND(P791, 2)/1.2, 2)</f>
        <v>74</v>
      </c>
      <c r="Y791" s="9">
        <f t="shared" si="62"/>
        <v>276.17</v>
      </c>
      <c r="AD791" s="4" t="s">
        <v>2477</v>
      </c>
      <c r="AE791" s="4" t="s">
        <v>2478</v>
      </c>
      <c r="AF791" s="4" t="s">
        <v>436</v>
      </c>
    </row>
    <row r="792" spans="1:35" ht="72" x14ac:dyDescent="0.3">
      <c r="A792" s="25" t="s">
        <v>2479</v>
      </c>
      <c r="B792" s="25"/>
      <c r="C792" s="30" t="s">
        <v>2175</v>
      </c>
      <c r="D792" s="27"/>
      <c r="E792" s="27" t="s">
        <v>2480</v>
      </c>
      <c r="F792" s="31" t="s">
        <v>70</v>
      </c>
      <c r="G792" s="32">
        <v>0.3</v>
      </c>
      <c r="H792" s="27"/>
      <c r="I792" s="32">
        <v>7.4640000000000004</v>
      </c>
      <c r="J792" s="34">
        <v>0</v>
      </c>
      <c r="K792" s="35"/>
      <c r="L792" s="35"/>
      <c r="M792" s="34">
        <f>ROUND(ROUND(J792, 2)*I792, 2)</f>
        <v>0</v>
      </c>
      <c r="N792" s="35"/>
      <c r="O792" s="35"/>
      <c r="P792" s="34">
        <v>0</v>
      </c>
      <c r="Q792" s="35"/>
      <c r="R792" s="35"/>
      <c r="S792" s="34">
        <f>ROUND(ROUND(P792, 2)*I792, 2)</f>
        <v>0</v>
      </c>
      <c r="T792" s="35"/>
      <c r="U792" s="36"/>
      <c r="V792" s="9">
        <f>ROUND(ROUND(P792, 2)/1.2, 2)</f>
        <v>0</v>
      </c>
      <c r="Y792" s="9">
        <f t="shared" si="62"/>
        <v>0</v>
      </c>
      <c r="AD792" s="4" t="s">
        <v>2481</v>
      </c>
      <c r="AE792" s="4" t="s">
        <v>2482</v>
      </c>
      <c r="AF792" s="4" t="s">
        <v>2179</v>
      </c>
    </row>
    <row r="793" spans="1:35" ht="36" x14ac:dyDescent="0.3">
      <c r="A793" s="25" t="s">
        <v>2483</v>
      </c>
      <c r="B793" s="25" t="s">
        <v>2169</v>
      </c>
      <c r="C793" s="26" t="s">
        <v>2170</v>
      </c>
      <c r="D793" s="27"/>
      <c r="E793" s="27" t="s">
        <v>2484</v>
      </c>
      <c r="F793" s="27" t="s">
        <v>64</v>
      </c>
      <c r="G793" s="28">
        <v>1</v>
      </c>
      <c r="H793" s="27"/>
      <c r="I793" s="28">
        <v>28.85</v>
      </c>
      <c r="J793" s="29">
        <f>IFERROR(ROUND(SUM(M794,M795)/I793, 2),0)</f>
        <v>13.32</v>
      </c>
      <c r="K793" s="29">
        <v>464</v>
      </c>
      <c r="L793" s="29">
        <f>J793+ROUND(K793, 2)</f>
        <v>477.32</v>
      </c>
      <c r="M793" s="29">
        <f>ROUND(J793*I793, 2)</f>
        <v>384.28</v>
      </c>
      <c r="N793" s="29">
        <f>ROUND(I793*ROUND(K793, 2), 2)</f>
        <v>13386.4</v>
      </c>
      <c r="O793" s="29">
        <f>M793+N793</f>
        <v>13770.68</v>
      </c>
      <c r="P793" s="29">
        <f>IFERROR(ROUND(SUM(S794,S795)/I793, 2),0)</f>
        <v>13.32</v>
      </c>
      <c r="Q793" s="29">
        <v>464</v>
      </c>
      <c r="R793" s="29">
        <f>P793+ROUND(Q793, 2)</f>
        <v>477.32</v>
      </c>
      <c r="S793" s="29">
        <f>ROUND(P793*I793, 2)</f>
        <v>384.28</v>
      </c>
      <c r="T793" s="29">
        <f>ROUND(I793*ROUND(Q793, 2), 2)</f>
        <v>13386.4</v>
      </c>
      <c r="U793" s="29">
        <f>S793+T793</f>
        <v>13770.68</v>
      </c>
      <c r="V793" s="9">
        <f>ROUND(P793 / 1.2, 2)</f>
        <v>11.1</v>
      </c>
      <c r="W793" s="9">
        <f>ROUND(Q793 / 1.2, 2)</f>
        <v>386.67</v>
      </c>
      <c r="X793" s="9">
        <f>ROUND(R793 / 1.2, 2)</f>
        <v>397.77</v>
      </c>
      <c r="Y793" s="9">
        <f t="shared" si="62"/>
        <v>320.23</v>
      </c>
      <c r="Z793" s="9">
        <f>ROUND(T793 / 1.2, 2)</f>
        <v>11155.33</v>
      </c>
      <c r="AA793" s="9">
        <f>Y793+Z793</f>
        <v>11475.56</v>
      </c>
      <c r="AD793" s="4">
        <v>271132287</v>
      </c>
      <c r="AE793" s="4">
        <v>20003319</v>
      </c>
      <c r="AG793" s="4" t="s">
        <v>2172</v>
      </c>
      <c r="AH793" s="4" t="s">
        <v>2173</v>
      </c>
      <c r="AI793" s="4" t="s">
        <v>67</v>
      </c>
    </row>
    <row r="794" spans="1:35" ht="36" x14ac:dyDescent="0.3">
      <c r="A794" s="25" t="s">
        <v>2485</v>
      </c>
      <c r="B794" s="25"/>
      <c r="C794" s="30" t="s">
        <v>433</v>
      </c>
      <c r="D794" s="27"/>
      <c r="E794" s="27"/>
      <c r="F794" s="31" t="s">
        <v>70</v>
      </c>
      <c r="G794" s="32">
        <v>0.15</v>
      </c>
      <c r="H794" s="27"/>
      <c r="I794" s="32">
        <v>4.3280000000000003</v>
      </c>
      <c r="J794" s="34">
        <v>88.8</v>
      </c>
      <c r="K794" s="35"/>
      <c r="L794" s="35"/>
      <c r="M794" s="34">
        <f>ROUND(ROUND(J794, 2)*I794, 2)</f>
        <v>384.33</v>
      </c>
      <c r="N794" s="35"/>
      <c r="O794" s="35"/>
      <c r="P794" s="34">
        <v>88.8</v>
      </c>
      <c r="Q794" s="35"/>
      <c r="R794" s="35"/>
      <c r="S794" s="34">
        <f>ROUND(ROUND(P794, 2)*I794, 2)</f>
        <v>384.33</v>
      </c>
      <c r="T794" s="35"/>
      <c r="U794" s="36"/>
      <c r="V794" s="9">
        <f>ROUND(ROUND(P794, 2)/1.2, 2)</f>
        <v>74</v>
      </c>
      <c r="Y794" s="9">
        <f t="shared" si="62"/>
        <v>320.27999999999997</v>
      </c>
      <c r="AD794" s="4" t="s">
        <v>2486</v>
      </c>
      <c r="AE794" s="4" t="s">
        <v>2487</v>
      </c>
      <c r="AF794" s="4" t="s">
        <v>436</v>
      </c>
    </row>
    <row r="795" spans="1:35" ht="54" x14ac:dyDescent="0.3">
      <c r="A795" s="25" t="s">
        <v>2488</v>
      </c>
      <c r="B795" s="25"/>
      <c r="C795" s="30" t="s">
        <v>2207</v>
      </c>
      <c r="D795" s="27"/>
      <c r="E795" s="27" t="s">
        <v>2489</v>
      </c>
      <c r="F795" s="31" t="s">
        <v>70</v>
      </c>
      <c r="G795" s="32">
        <v>0.3</v>
      </c>
      <c r="H795" s="27"/>
      <c r="I795" s="32">
        <v>8.6549999999999994</v>
      </c>
      <c r="J795" s="34">
        <v>0</v>
      </c>
      <c r="K795" s="35"/>
      <c r="L795" s="35"/>
      <c r="M795" s="34">
        <f>ROUND(ROUND(J795, 2)*I795, 2)</f>
        <v>0</v>
      </c>
      <c r="N795" s="35"/>
      <c r="O795" s="35"/>
      <c r="P795" s="34">
        <v>0</v>
      </c>
      <c r="Q795" s="35"/>
      <c r="R795" s="35"/>
      <c r="S795" s="34">
        <f>ROUND(ROUND(P795, 2)*I795, 2)</f>
        <v>0</v>
      </c>
      <c r="T795" s="35"/>
      <c r="U795" s="36"/>
      <c r="V795" s="9">
        <f>ROUND(ROUND(P795, 2)/1.2, 2)</f>
        <v>0</v>
      </c>
      <c r="Y795" s="9">
        <f t="shared" si="62"/>
        <v>0</v>
      </c>
      <c r="AD795" s="4" t="s">
        <v>2490</v>
      </c>
      <c r="AE795" s="4" t="s">
        <v>2491</v>
      </c>
      <c r="AF795" s="4" t="s">
        <v>2211</v>
      </c>
    </row>
    <row r="796" spans="1:35" ht="36" x14ac:dyDescent="0.3">
      <c r="A796" s="25" t="s">
        <v>2492</v>
      </c>
      <c r="B796" s="25" t="s">
        <v>2169</v>
      </c>
      <c r="C796" s="26" t="s">
        <v>2170</v>
      </c>
      <c r="D796" s="27"/>
      <c r="E796" s="27" t="s">
        <v>2493</v>
      </c>
      <c r="F796" s="27" t="s">
        <v>64</v>
      </c>
      <c r="G796" s="28">
        <v>1</v>
      </c>
      <c r="H796" s="27"/>
      <c r="I796" s="28">
        <v>3.12</v>
      </c>
      <c r="J796" s="29">
        <f>IFERROR(ROUND(SUM(M797,M798)/I796, 2),0)</f>
        <v>13.32</v>
      </c>
      <c r="K796" s="29">
        <v>464</v>
      </c>
      <c r="L796" s="29">
        <f>J796+ROUND(K796, 2)</f>
        <v>477.32</v>
      </c>
      <c r="M796" s="29">
        <f>ROUND(J796*I796, 2)</f>
        <v>41.56</v>
      </c>
      <c r="N796" s="29">
        <f>ROUND(I796*ROUND(K796, 2), 2)</f>
        <v>1447.68</v>
      </c>
      <c r="O796" s="29">
        <f>M796+N796</f>
        <v>1489.24</v>
      </c>
      <c r="P796" s="29">
        <f>IFERROR(ROUND(SUM(S797,S798)/I796, 2),0)</f>
        <v>13.32</v>
      </c>
      <c r="Q796" s="29">
        <v>464</v>
      </c>
      <c r="R796" s="29">
        <f>P796+ROUND(Q796, 2)</f>
        <v>477.32</v>
      </c>
      <c r="S796" s="29">
        <f>ROUND(P796*I796, 2)</f>
        <v>41.56</v>
      </c>
      <c r="T796" s="29">
        <f>ROUND(I796*ROUND(Q796, 2), 2)</f>
        <v>1447.68</v>
      </c>
      <c r="U796" s="29">
        <f>S796+T796</f>
        <v>1489.24</v>
      </c>
      <c r="V796" s="9">
        <f>ROUND(P796 / 1.2, 2)</f>
        <v>11.1</v>
      </c>
      <c r="W796" s="9">
        <f>ROUND(Q796 / 1.2, 2)</f>
        <v>386.67</v>
      </c>
      <c r="X796" s="9">
        <f>ROUND(R796 / 1.2, 2)</f>
        <v>397.77</v>
      </c>
      <c r="Y796" s="9">
        <f t="shared" si="62"/>
        <v>34.630000000000003</v>
      </c>
      <c r="Z796" s="9">
        <f>ROUND(T796 / 1.2, 2)</f>
        <v>1206.4000000000001</v>
      </c>
      <c r="AA796" s="9">
        <f>Y796+Z796</f>
        <v>1241.03</v>
      </c>
      <c r="AD796" s="4">
        <v>271132288</v>
      </c>
      <c r="AE796" s="4">
        <v>20003320</v>
      </c>
      <c r="AG796" s="4" t="s">
        <v>2172</v>
      </c>
      <c r="AH796" s="4" t="s">
        <v>2173</v>
      </c>
      <c r="AI796" s="4" t="s">
        <v>67</v>
      </c>
    </row>
    <row r="797" spans="1:35" ht="36" x14ac:dyDescent="0.3">
      <c r="A797" s="25" t="s">
        <v>2494</v>
      </c>
      <c r="B797" s="25"/>
      <c r="C797" s="30" t="s">
        <v>433</v>
      </c>
      <c r="D797" s="27"/>
      <c r="E797" s="27"/>
      <c r="F797" s="31" t="s">
        <v>70</v>
      </c>
      <c r="G797" s="32">
        <v>0.15</v>
      </c>
      <c r="H797" s="27"/>
      <c r="I797" s="32">
        <v>0.46800000000000003</v>
      </c>
      <c r="J797" s="34">
        <v>88.8</v>
      </c>
      <c r="K797" s="35"/>
      <c r="L797" s="35"/>
      <c r="M797" s="34">
        <f>ROUND(ROUND(J797, 2)*I797, 2)</f>
        <v>41.56</v>
      </c>
      <c r="N797" s="35"/>
      <c r="O797" s="35"/>
      <c r="P797" s="34">
        <v>88.8</v>
      </c>
      <c r="Q797" s="35"/>
      <c r="R797" s="35"/>
      <c r="S797" s="34">
        <f>ROUND(ROUND(P797, 2)*I797, 2)</f>
        <v>41.56</v>
      </c>
      <c r="T797" s="35"/>
      <c r="U797" s="36"/>
      <c r="V797" s="9">
        <f>ROUND(ROUND(P797, 2)/1.2, 2)</f>
        <v>74</v>
      </c>
      <c r="Y797" s="9">
        <f t="shared" si="62"/>
        <v>34.630000000000003</v>
      </c>
      <c r="AD797" s="4" t="s">
        <v>2495</v>
      </c>
      <c r="AE797" s="4" t="s">
        <v>2496</v>
      </c>
      <c r="AF797" s="4" t="s">
        <v>436</v>
      </c>
    </row>
    <row r="798" spans="1:35" ht="54" x14ac:dyDescent="0.3">
      <c r="A798" s="25" t="s">
        <v>2497</v>
      </c>
      <c r="B798" s="25"/>
      <c r="C798" s="30" t="s">
        <v>2207</v>
      </c>
      <c r="D798" s="27"/>
      <c r="E798" s="27" t="s">
        <v>2336</v>
      </c>
      <c r="F798" s="31" t="s">
        <v>70</v>
      </c>
      <c r="G798" s="32">
        <v>0.3</v>
      </c>
      <c r="H798" s="27"/>
      <c r="I798" s="32">
        <v>0.93600000000000005</v>
      </c>
      <c r="J798" s="34">
        <v>0</v>
      </c>
      <c r="K798" s="35"/>
      <c r="L798" s="35"/>
      <c r="M798" s="34">
        <f>ROUND(ROUND(J798, 2)*I798, 2)</f>
        <v>0</v>
      </c>
      <c r="N798" s="35"/>
      <c r="O798" s="35"/>
      <c r="P798" s="34">
        <v>0</v>
      </c>
      <c r="Q798" s="35"/>
      <c r="R798" s="35"/>
      <c r="S798" s="34">
        <f>ROUND(ROUND(P798, 2)*I798, 2)</f>
        <v>0</v>
      </c>
      <c r="T798" s="35"/>
      <c r="U798" s="36"/>
      <c r="V798" s="9">
        <f>ROUND(ROUND(P798, 2)/1.2, 2)</f>
        <v>0</v>
      </c>
      <c r="Y798" s="9">
        <f t="shared" si="62"/>
        <v>0</v>
      </c>
      <c r="AD798" s="4" t="s">
        <v>2498</v>
      </c>
      <c r="AE798" s="4" t="s">
        <v>2499</v>
      </c>
      <c r="AF798" s="4" t="s">
        <v>2211</v>
      </c>
    </row>
    <row r="799" spans="1:35" ht="36" x14ac:dyDescent="0.3">
      <c r="A799" s="25" t="s">
        <v>2500</v>
      </c>
      <c r="B799" s="25" t="s">
        <v>2169</v>
      </c>
      <c r="C799" s="26" t="s">
        <v>2170</v>
      </c>
      <c r="D799" s="27"/>
      <c r="E799" s="27" t="s">
        <v>2501</v>
      </c>
      <c r="F799" s="27" t="s">
        <v>64</v>
      </c>
      <c r="G799" s="28">
        <v>1</v>
      </c>
      <c r="H799" s="27"/>
      <c r="I799" s="28">
        <v>83.7</v>
      </c>
      <c r="J799" s="29">
        <f>IFERROR(ROUND(SUM(M800,M801)/I799, 2),0)</f>
        <v>13.32</v>
      </c>
      <c r="K799" s="29">
        <v>464</v>
      </c>
      <c r="L799" s="29">
        <f>J799+ROUND(K799, 2)</f>
        <v>477.32</v>
      </c>
      <c r="M799" s="29">
        <f>ROUND(J799*I799, 2)</f>
        <v>1114.8800000000001</v>
      </c>
      <c r="N799" s="29">
        <f>ROUND(I799*ROUND(K799, 2), 2)</f>
        <v>38836.800000000003</v>
      </c>
      <c r="O799" s="29">
        <f>M799+N799</f>
        <v>39951.68</v>
      </c>
      <c r="P799" s="29">
        <f>IFERROR(ROUND(SUM(S800,S801)/I799, 2),0)</f>
        <v>13.32</v>
      </c>
      <c r="Q799" s="29">
        <v>464</v>
      </c>
      <c r="R799" s="29">
        <f>P799+ROUND(Q799, 2)</f>
        <v>477.32</v>
      </c>
      <c r="S799" s="29">
        <f>ROUND(P799*I799, 2)</f>
        <v>1114.8800000000001</v>
      </c>
      <c r="T799" s="29">
        <f>ROUND(I799*ROUND(Q799, 2), 2)</f>
        <v>38836.800000000003</v>
      </c>
      <c r="U799" s="29">
        <f>S799+T799</f>
        <v>39951.68</v>
      </c>
      <c r="V799" s="9">
        <f>ROUND(P799 / 1.2, 2)</f>
        <v>11.1</v>
      </c>
      <c r="W799" s="9">
        <f>ROUND(Q799 / 1.2, 2)</f>
        <v>386.67</v>
      </c>
      <c r="X799" s="9">
        <f>ROUND(R799 / 1.2, 2)</f>
        <v>397.77</v>
      </c>
      <c r="Y799" s="9">
        <f t="shared" si="62"/>
        <v>929.07</v>
      </c>
      <c r="Z799" s="9">
        <f>ROUND(T799 / 1.2, 2)</f>
        <v>32364</v>
      </c>
      <c r="AA799" s="9">
        <f>Y799+Z799</f>
        <v>33293.07</v>
      </c>
      <c r="AD799" s="4">
        <v>271132289</v>
      </c>
      <c r="AE799" s="4">
        <v>20003502</v>
      </c>
      <c r="AG799" s="4" t="s">
        <v>2172</v>
      </c>
      <c r="AH799" s="4" t="s">
        <v>2173</v>
      </c>
      <c r="AI799" s="4" t="s">
        <v>67</v>
      </c>
    </row>
    <row r="800" spans="1:35" ht="36" x14ac:dyDescent="0.3">
      <c r="A800" s="25" t="s">
        <v>2502</v>
      </c>
      <c r="B800" s="25"/>
      <c r="C800" s="30" t="s">
        <v>433</v>
      </c>
      <c r="D800" s="27"/>
      <c r="E800" s="27"/>
      <c r="F800" s="31" t="s">
        <v>70</v>
      </c>
      <c r="G800" s="32">
        <v>0.15</v>
      </c>
      <c r="H800" s="27"/>
      <c r="I800" s="32">
        <v>12.555</v>
      </c>
      <c r="J800" s="34">
        <v>88.8</v>
      </c>
      <c r="K800" s="35"/>
      <c r="L800" s="35"/>
      <c r="M800" s="34">
        <f>ROUND(ROUND(J800, 2)*I800, 2)</f>
        <v>1114.8800000000001</v>
      </c>
      <c r="N800" s="35"/>
      <c r="O800" s="35"/>
      <c r="P800" s="34">
        <v>88.8</v>
      </c>
      <c r="Q800" s="35"/>
      <c r="R800" s="35"/>
      <c r="S800" s="34">
        <f>ROUND(ROUND(P800, 2)*I800, 2)</f>
        <v>1114.8800000000001</v>
      </c>
      <c r="T800" s="35"/>
      <c r="U800" s="36"/>
      <c r="V800" s="9">
        <f>ROUND(ROUND(P800, 2)/1.2, 2)</f>
        <v>74</v>
      </c>
      <c r="Y800" s="9">
        <f t="shared" si="62"/>
        <v>929.07</v>
      </c>
      <c r="AD800" s="4" t="s">
        <v>2503</v>
      </c>
      <c r="AE800" s="4" t="s">
        <v>2504</v>
      </c>
      <c r="AF800" s="4" t="s">
        <v>436</v>
      </c>
    </row>
    <row r="801" spans="1:35" ht="36" x14ac:dyDescent="0.3">
      <c r="A801" s="25" t="s">
        <v>2505</v>
      </c>
      <c r="B801" s="25"/>
      <c r="C801" s="30" t="s">
        <v>2207</v>
      </c>
      <c r="D801" s="27"/>
      <c r="E801" s="27" t="s">
        <v>2506</v>
      </c>
      <c r="F801" s="31" t="s">
        <v>70</v>
      </c>
      <c r="G801" s="32">
        <v>0.3</v>
      </c>
      <c r="H801" s="27"/>
      <c r="I801" s="32">
        <v>25.11</v>
      </c>
      <c r="J801" s="34">
        <v>0</v>
      </c>
      <c r="K801" s="35"/>
      <c r="L801" s="35"/>
      <c r="M801" s="34">
        <f>ROUND(ROUND(J801, 2)*I801, 2)</f>
        <v>0</v>
      </c>
      <c r="N801" s="35"/>
      <c r="O801" s="35"/>
      <c r="P801" s="34">
        <v>0</v>
      </c>
      <c r="Q801" s="35"/>
      <c r="R801" s="35"/>
      <c r="S801" s="34">
        <f>ROUND(ROUND(P801, 2)*I801, 2)</f>
        <v>0</v>
      </c>
      <c r="T801" s="35"/>
      <c r="U801" s="36"/>
      <c r="V801" s="9">
        <f>ROUND(ROUND(P801, 2)/1.2, 2)</f>
        <v>0</v>
      </c>
      <c r="Y801" s="9">
        <f t="shared" si="62"/>
        <v>0</v>
      </c>
      <c r="AD801" s="4" t="s">
        <v>2507</v>
      </c>
      <c r="AE801" s="4" t="s">
        <v>2508</v>
      </c>
      <c r="AF801" s="4" t="s">
        <v>2211</v>
      </c>
    </row>
    <row r="802" spans="1:35" ht="36" x14ac:dyDescent="0.3">
      <c r="A802" s="25" t="s">
        <v>2509</v>
      </c>
      <c r="B802" s="25" t="s">
        <v>2169</v>
      </c>
      <c r="C802" s="26" t="s">
        <v>2170</v>
      </c>
      <c r="D802" s="27"/>
      <c r="E802" s="27" t="s">
        <v>2510</v>
      </c>
      <c r="F802" s="27" t="s">
        <v>64</v>
      </c>
      <c r="G802" s="28">
        <v>1</v>
      </c>
      <c r="H802" s="27"/>
      <c r="I802" s="28">
        <v>54.99</v>
      </c>
      <c r="J802" s="29">
        <f>IFERROR(ROUND(SUM(M803,M804)/I802, 2),0)</f>
        <v>13.32</v>
      </c>
      <c r="K802" s="29">
        <v>464</v>
      </c>
      <c r="L802" s="29">
        <f>J802+ROUND(K802, 2)</f>
        <v>477.32</v>
      </c>
      <c r="M802" s="29">
        <f>ROUND(J802*I802, 2)</f>
        <v>732.47</v>
      </c>
      <c r="N802" s="29">
        <f>ROUND(I802*ROUND(K802, 2), 2)</f>
        <v>25515.360000000001</v>
      </c>
      <c r="O802" s="29">
        <f>M802+N802</f>
        <v>26247.83</v>
      </c>
      <c r="P802" s="29">
        <f>IFERROR(ROUND(SUM(S803,S804)/I802, 2),0)</f>
        <v>13.32</v>
      </c>
      <c r="Q802" s="29">
        <v>464</v>
      </c>
      <c r="R802" s="29">
        <f>P802+ROUND(Q802, 2)</f>
        <v>477.32</v>
      </c>
      <c r="S802" s="29">
        <f>ROUND(P802*I802, 2)</f>
        <v>732.47</v>
      </c>
      <c r="T802" s="29">
        <f>ROUND(I802*ROUND(Q802, 2), 2)</f>
        <v>25515.360000000001</v>
      </c>
      <c r="U802" s="29">
        <f>S802+T802</f>
        <v>26247.83</v>
      </c>
      <c r="V802" s="9">
        <f>ROUND(P802 / 1.2, 2)</f>
        <v>11.1</v>
      </c>
      <c r="W802" s="9">
        <f>ROUND(Q802 / 1.2, 2)</f>
        <v>386.67</v>
      </c>
      <c r="X802" s="9">
        <f>ROUND(R802 / 1.2, 2)</f>
        <v>397.77</v>
      </c>
      <c r="Y802" s="9">
        <f t="shared" si="62"/>
        <v>610.39</v>
      </c>
      <c r="Z802" s="9">
        <f>ROUND(T802 / 1.2, 2)</f>
        <v>21262.799999999999</v>
      </c>
      <c r="AA802" s="9">
        <f>Y802+Z802</f>
        <v>21873.19</v>
      </c>
      <c r="AD802" s="4">
        <v>271132290</v>
      </c>
      <c r="AE802" s="4">
        <v>20003503</v>
      </c>
      <c r="AG802" s="4" t="s">
        <v>2172</v>
      </c>
      <c r="AH802" s="4" t="s">
        <v>2173</v>
      </c>
      <c r="AI802" s="4" t="s">
        <v>67</v>
      </c>
    </row>
    <row r="803" spans="1:35" ht="36" x14ac:dyDescent="0.3">
      <c r="A803" s="25" t="s">
        <v>2511</v>
      </c>
      <c r="B803" s="25"/>
      <c r="C803" s="30" t="s">
        <v>433</v>
      </c>
      <c r="D803" s="27"/>
      <c r="E803" s="27"/>
      <c r="F803" s="31" t="s">
        <v>70</v>
      </c>
      <c r="G803" s="32">
        <v>0.15</v>
      </c>
      <c r="H803" s="27"/>
      <c r="I803" s="32">
        <v>8.2490000000000006</v>
      </c>
      <c r="J803" s="34">
        <v>88.8</v>
      </c>
      <c r="K803" s="35"/>
      <c r="L803" s="35"/>
      <c r="M803" s="34">
        <f>ROUND(ROUND(J803, 2)*I803, 2)</f>
        <v>732.51</v>
      </c>
      <c r="N803" s="35"/>
      <c r="O803" s="35"/>
      <c r="P803" s="34">
        <v>88.8</v>
      </c>
      <c r="Q803" s="35"/>
      <c r="R803" s="35"/>
      <c r="S803" s="34">
        <f>ROUND(ROUND(P803, 2)*I803, 2)</f>
        <v>732.51</v>
      </c>
      <c r="T803" s="35"/>
      <c r="U803" s="36"/>
      <c r="V803" s="9">
        <f>ROUND(ROUND(P803, 2)/1.2, 2)</f>
        <v>74</v>
      </c>
      <c r="Y803" s="9">
        <f t="shared" si="62"/>
        <v>610.42999999999995</v>
      </c>
      <c r="AD803" s="4" t="s">
        <v>2512</v>
      </c>
      <c r="AE803" s="4" t="s">
        <v>2513</v>
      </c>
      <c r="AF803" s="4" t="s">
        <v>436</v>
      </c>
    </row>
    <row r="804" spans="1:35" ht="36" x14ac:dyDescent="0.3">
      <c r="A804" s="25" t="s">
        <v>2514</v>
      </c>
      <c r="B804" s="25"/>
      <c r="C804" s="30" t="s">
        <v>2207</v>
      </c>
      <c r="D804" s="27"/>
      <c r="E804" s="27" t="s">
        <v>2354</v>
      </c>
      <c r="F804" s="31" t="s">
        <v>70</v>
      </c>
      <c r="G804" s="32">
        <v>0.3</v>
      </c>
      <c r="H804" s="27"/>
      <c r="I804" s="32">
        <v>16.497</v>
      </c>
      <c r="J804" s="34">
        <v>0</v>
      </c>
      <c r="K804" s="35"/>
      <c r="L804" s="35"/>
      <c r="M804" s="34">
        <f>ROUND(ROUND(J804, 2)*I804, 2)</f>
        <v>0</v>
      </c>
      <c r="N804" s="35"/>
      <c r="O804" s="35"/>
      <c r="P804" s="34">
        <v>0</v>
      </c>
      <c r="Q804" s="35"/>
      <c r="R804" s="35"/>
      <c r="S804" s="34">
        <f>ROUND(ROUND(P804, 2)*I804, 2)</f>
        <v>0</v>
      </c>
      <c r="T804" s="35"/>
      <c r="U804" s="36"/>
      <c r="V804" s="9">
        <f>ROUND(ROUND(P804, 2)/1.2, 2)</f>
        <v>0</v>
      </c>
      <c r="Y804" s="9">
        <f t="shared" si="62"/>
        <v>0</v>
      </c>
      <c r="AD804" s="4" t="s">
        <v>2515</v>
      </c>
      <c r="AE804" s="4" t="s">
        <v>2516</v>
      </c>
      <c r="AF804" s="4" t="s">
        <v>2211</v>
      </c>
    </row>
    <row r="805" spans="1:35" ht="17.100000000000001" customHeight="1" x14ac:dyDescent="0.3">
      <c r="A805" s="25" t="s">
        <v>2517</v>
      </c>
      <c r="B805" s="25" t="s">
        <v>2518</v>
      </c>
      <c r="C805" s="182" t="s">
        <v>2519</v>
      </c>
      <c r="D805" s="183"/>
      <c r="E805" s="183"/>
      <c r="F805" s="183"/>
      <c r="G805" s="183"/>
      <c r="H805" s="183"/>
      <c r="I805" s="184"/>
      <c r="J805" s="35"/>
      <c r="K805" s="35"/>
      <c r="L805" s="35"/>
      <c r="M805" s="67">
        <f>SUM(M806,M808,M810,M812,M814,M816,M818,M820,M822,M824,M826,M840,M853,M865,M877)</f>
        <v>19360183.629999999</v>
      </c>
      <c r="N805" s="67">
        <f>SUM(N806,N808,N810,N812,N814,N816,N818,N820,N822,N824,N826,N840,N853,N865,N877)</f>
        <v>4064165.04</v>
      </c>
      <c r="O805" s="67">
        <f>SUM(O806,O808,O810,O812,O814,O816,O818,O820,O822,O824,O826,O840,O853,O865,O877)</f>
        <v>23424348.670000002</v>
      </c>
      <c r="P805" s="35"/>
      <c r="Q805" s="35"/>
      <c r="R805" s="35"/>
      <c r="S805" s="67">
        <f>SUM(S806,S808,S810,S812,S814,S816,S818,S820,S822,S824,S826,S840,S853,S865,S877)</f>
        <v>19360183.629999999</v>
      </c>
      <c r="T805" s="67">
        <f>SUM(T806,T808,T810,T812,T814,T816,T818,T820,T822,T824,T826,T840,T853,T865,T877)</f>
        <v>4064165.04</v>
      </c>
      <c r="U805" s="67">
        <f>SUM(U806,U808,U810,U812,U814,U816,U818,U820,U822,U824,U826,U840,U853,U865,U877)</f>
        <v>23424348.670000002</v>
      </c>
      <c r="Y805" s="9">
        <f>SUM(Y806,Y808,Y810,Y812,Y814,Y816,Y818,Y820,Y822,Y824,Y826,Y840,Y853,Y865,Y877)</f>
        <v>16133486.359999999</v>
      </c>
      <c r="Z805" s="9">
        <f>SUM(Z806,Z808,Z810,Z812,Z814,Z816,Z818,Z820,Z822,Z824,Z826,Z840,Z853,Z865,Z877)</f>
        <v>3386804.23</v>
      </c>
      <c r="AA805" s="9" t="e">
        <f>SUM(AA806,AA808,AA810,AA812,AA814,AA816,AA818,AA820,AA822,AA824,AA826,AA840,AA853,AA865,AA877)</f>
        <v>#VALUE!</v>
      </c>
      <c r="AD805" s="4">
        <v>271132146</v>
      </c>
      <c r="AE805" s="4">
        <v>16233244</v>
      </c>
    </row>
    <row r="806" spans="1:35" ht="36" x14ac:dyDescent="0.3">
      <c r="A806" s="25" t="s">
        <v>2520</v>
      </c>
      <c r="B806" s="25" t="s">
        <v>2521</v>
      </c>
      <c r="C806" s="26" t="s">
        <v>2522</v>
      </c>
      <c r="D806" s="27"/>
      <c r="E806" s="27" t="s">
        <v>2523</v>
      </c>
      <c r="F806" s="27" t="s">
        <v>64</v>
      </c>
      <c r="G806" s="28">
        <v>1</v>
      </c>
      <c r="H806" s="27"/>
      <c r="I806" s="28">
        <v>433.87</v>
      </c>
      <c r="J806" s="29">
        <f>IFERROR(ROUND(SUM(M807)/I806, 2),0)</f>
        <v>0</v>
      </c>
      <c r="K806" s="29">
        <v>837</v>
      </c>
      <c r="L806" s="29">
        <f>J806+ROUND(K806, 2)</f>
        <v>837</v>
      </c>
      <c r="M806" s="29">
        <f>ROUND(J806*I806, 2)</f>
        <v>0</v>
      </c>
      <c r="N806" s="29">
        <f>ROUND(I806*ROUND(K806, 2), 2)</f>
        <v>363149.19</v>
      </c>
      <c r="O806" s="29">
        <f>M806+N806</f>
        <v>363149.19</v>
      </c>
      <c r="P806" s="29">
        <f>IFERROR(ROUND(SUM(S807)/I806, 2),0)</f>
        <v>0</v>
      </c>
      <c r="Q806" s="29">
        <v>837</v>
      </c>
      <c r="R806" s="29">
        <f>P806+ROUND(Q806, 2)</f>
        <v>837</v>
      </c>
      <c r="S806" s="29">
        <f>ROUND(P806*I806, 2)</f>
        <v>0</v>
      </c>
      <c r="T806" s="29">
        <f>ROUND(I806*ROUND(Q806, 2), 2)</f>
        <v>363149.19</v>
      </c>
      <c r="U806" s="29">
        <f>S806+T806</f>
        <v>363149.19</v>
      </c>
      <c r="V806" s="9">
        <f>ROUND(P806 / 1.2, 2)</f>
        <v>0</v>
      </c>
      <c r="W806" s="9">
        <f>ROUND(Q806 / 1.2, 2)</f>
        <v>697.5</v>
      </c>
      <c r="X806" s="9">
        <f>ROUND(R806 / 1.2, 2)</f>
        <v>697.5</v>
      </c>
      <c r="Y806" s="9">
        <f>ROUND(S806 / 1.2, 2)</f>
        <v>0</v>
      </c>
      <c r="Z806" s="9">
        <f>ROUND(T806 / 1.2, 2)</f>
        <v>302624.33</v>
      </c>
      <c r="AA806" s="9">
        <f>Y806+Z806</f>
        <v>302624.33</v>
      </c>
      <c r="AD806" s="4">
        <v>271132148</v>
      </c>
      <c r="AE806" s="4">
        <v>16233248</v>
      </c>
      <c r="AG806" s="4" t="s">
        <v>2524</v>
      </c>
      <c r="AH806" s="4" t="s">
        <v>2525</v>
      </c>
      <c r="AI806" s="4" t="s">
        <v>67</v>
      </c>
    </row>
    <row r="807" spans="1:35" ht="108" x14ac:dyDescent="0.3">
      <c r="A807" s="25" t="s">
        <v>2526</v>
      </c>
      <c r="B807" s="25"/>
      <c r="C807" s="30" t="s">
        <v>2527</v>
      </c>
      <c r="D807" s="27"/>
      <c r="E807" s="27" t="s">
        <v>2528</v>
      </c>
      <c r="F807" s="31" t="s">
        <v>64</v>
      </c>
      <c r="G807" s="32">
        <v>1</v>
      </c>
      <c r="H807" s="27"/>
      <c r="I807" s="33">
        <v>433.87</v>
      </c>
      <c r="J807" s="34">
        <v>0</v>
      </c>
      <c r="K807" s="35"/>
      <c r="L807" s="35"/>
      <c r="M807" s="34">
        <f>ROUND(ROUND(J807, 2)*I807, 2)</f>
        <v>0</v>
      </c>
      <c r="N807" s="35"/>
      <c r="O807" s="35"/>
      <c r="P807" s="34">
        <v>0</v>
      </c>
      <c r="Q807" s="35"/>
      <c r="R807" s="35"/>
      <c r="S807" s="34">
        <f>ROUND(ROUND(P807, 2)*I807, 2)</f>
        <v>0</v>
      </c>
      <c r="T807" s="35"/>
      <c r="U807" s="36"/>
      <c r="V807" s="9">
        <f>ROUND(ROUND(P807, 2)/1.2, 2)</f>
        <v>0</v>
      </c>
      <c r="Y807" s="9">
        <f t="shared" ref="Y807:Y838" si="63">ROUND(S807 / 1.2, 2)</f>
        <v>0</v>
      </c>
      <c r="AD807" s="4" t="s">
        <v>2529</v>
      </c>
      <c r="AE807" s="4" t="s">
        <v>2530</v>
      </c>
      <c r="AF807" s="4" t="s">
        <v>2531</v>
      </c>
    </row>
    <row r="808" spans="1:35" ht="36" x14ac:dyDescent="0.3">
      <c r="A808" s="25" t="s">
        <v>2532</v>
      </c>
      <c r="B808" s="25" t="s">
        <v>2521</v>
      </c>
      <c r="C808" s="26" t="s">
        <v>2522</v>
      </c>
      <c r="D808" s="27"/>
      <c r="E808" s="27" t="s">
        <v>2533</v>
      </c>
      <c r="F808" s="27" t="s">
        <v>64</v>
      </c>
      <c r="G808" s="28">
        <v>1</v>
      </c>
      <c r="H808" s="27"/>
      <c r="I808" s="28">
        <v>1422.4</v>
      </c>
      <c r="J808" s="29">
        <f>IFERROR(ROUND(SUM(M809)/I808, 2),0)</f>
        <v>7126.9</v>
      </c>
      <c r="K808" s="29">
        <v>837</v>
      </c>
      <c r="L808" s="29">
        <f>J808+ROUND(K808, 2)</f>
        <v>7963.9</v>
      </c>
      <c r="M808" s="29">
        <f>ROUND(J808*I808, 2)</f>
        <v>10137302.560000001</v>
      </c>
      <c r="N808" s="29">
        <f>ROUND(I808*ROUND(K808, 2), 2)</f>
        <v>1190548.8</v>
      </c>
      <c r="O808" s="29">
        <f>M808+N808</f>
        <v>11327851.359999999</v>
      </c>
      <c r="P808" s="29">
        <f>IFERROR(ROUND(SUM(S809)/I808, 2),0)</f>
        <v>7126.9</v>
      </c>
      <c r="Q808" s="29">
        <v>837</v>
      </c>
      <c r="R808" s="29">
        <f>P808+ROUND(Q808, 2)</f>
        <v>7963.9</v>
      </c>
      <c r="S808" s="29">
        <f>ROUND(P808*I808, 2)</f>
        <v>10137302.560000001</v>
      </c>
      <c r="T808" s="29">
        <f>ROUND(I808*ROUND(Q808, 2), 2)</f>
        <v>1190548.8</v>
      </c>
      <c r="U808" s="29">
        <f>S808+T808</f>
        <v>11327851.359999999</v>
      </c>
      <c r="V808" s="9">
        <f>ROUND(P808 / 1.2, 2)</f>
        <v>5939.08</v>
      </c>
      <c r="W808" s="9">
        <f>ROUND(Q808 / 1.2, 2)</f>
        <v>697.5</v>
      </c>
      <c r="X808" s="9">
        <f>ROUND(R808 / 1.2, 2)</f>
        <v>6636.58</v>
      </c>
      <c r="Y808" s="9">
        <f t="shared" si="63"/>
        <v>8447752.1300000008</v>
      </c>
      <c r="Z808" s="9">
        <f>ROUND(T808 / 1.2, 2)</f>
        <v>992124</v>
      </c>
      <c r="AA808" s="9">
        <f>Y808+Z808</f>
        <v>9439876.1300000008</v>
      </c>
      <c r="AD808" s="4">
        <v>271132291</v>
      </c>
      <c r="AE808" s="4">
        <v>16236255</v>
      </c>
      <c r="AG808" s="4" t="s">
        <v>2524</v>
      </c>
      <c r="AH808" s="4" t="s">
        <v>2525</v>
      </c>
      <c r="AI808" s="4" t="s">
        <v>67</v>
      </c>
    </row>
    <row r="809" spans="1:35" ht="72" x14ac:dyDescent="0.3">
      <c r="A809" s="25" t="s">
        <v>2534</v>
      </c>
      <c r="B809" s="25"/>
      <c r="C809" s="30" t="s">
        <v>2535</v>
      </c>
      <c r="D809" s="27"/>
      <c r="E809" s="27" t="s">
        <v>2536</v>
      </c>
      <c r="F809" s="31" t="s">
        <v>64</v>
      </c>
      <c r="G809" s="32">
        <v>1.1000000000000001</v>
      </c>
      <c r="H809" s="27"/>
      <c r="I809" s="33">
        <v>1564.64</v>
      </c>
      <c r="J809" s="34">
        <v>6479</v>
      </c>
      <c r="K809" s="35"/>
      <c r="L809" s="35"/>
      <c r="M809" s="34">
        <f>ROUND(ROUND(J809, 2)*I809, 2)</f>
        <v>10137302.560000001</v>
      </c>
      <c r="N809" s="35"/>
      <c r="O809" s="35"/>
      <c r="P809" s="34">
        <v>6479</v>
      </c>
      <c r="Q809" s="35"/>
      <c r="R809" s="35"/>
      <c r="S809" s="34">
        <f>ROUND(ROUND(P809, 2)*I809, 2)</f>
        <v>10137302.560000001</v>
      </c>
      <c r="T809" s="35"/>
      <c r="U809" s="36"/>
      <c r="V809" s="9">
        <f>ROUND(ROUND(P809, 2)/1.2, 2)</f>
        <v>5399.17</v>
      </c>
      <c r="Y809" s="9">
        <f t="shared" si="63"/>
        <v>8447752.1300000008</v>
      </c>
      <c r="AD809" s="4" t="s">
        <v>2537</v>
      </c>
      <c r="AE809" s="4" t="s">
        <v>2538</v>
      </c>
      <c r="AF809" s="4" t="s">
        <v>2539</v>
      </c>
    </row>
    <row r="810" spans="1:35" ht="36" x14ac:dyDescent="0.3">
      <c r="A810" s="25" t="s">
        <v>2540</v>
      </c>
      <c r="B810" s="25" t="s">
        <v>2521</v>
      </c>
      <c r="C810" s="26" t="s">
        <v>2522</v>
      </c>
      <c r="D810" s="27"/>
      <c r="E810" s="27" t="s">
        <v>2541</v>
      </c>
      <c r="F810" s="27" t="s">
        <v>64</v>
      </c>
      <c r="G810" s="28">
        <v>1</v>
      </c>
      <c r="H810" s="27"/>
      <c r="I810" s="28">
        <v>34.450000000000003</v>
      </c>
      <c r="J810" s="29">
        <f>IFERROR(ROUND(SUM(M811)/I810, 2),0)</f>
        <v>855.89</v>
      </c>
      <c r="K810" s="29">
        <v>837</v>
      </c>
      <c r="L810" s="29">
        <f>J810+ROUND(K810, 2)</f>
        <v>1692.89</v>
      </c>
      <c r="M810" s="29">
        <f>ROUND(J810*I810, 2)</f>
        <v>29485.41</v>
      </c>
      <c r="N810" s="29">
        <f>ROUND(I810*ROUND(K810, 2), 2)</f>
        <v>28834.65</v>
      </c>
      <c r="O810" s="29">
        <f>M810+N810</f>
        <v>58320.06</v>
      </c>
      <c r="P810" s="29">
        <f>IFERROR(ROUND(SUM(S811)/I810, 2),0)</f>
        <v>855.89</v>
      </c>
      <c r="Q810" s="29">
        <v>837</v>
      </c>
      <c r="R810" s="29">
        <f>P810+ROUND(Q810, 2)</f>
        <v>1692.89</v>
      </c>
      <c r="S810" s="29">
        <f>ROUND(P810*I810, 2)</f>
        <v>29485.41</v>
      </c>
      <c r="T810" s="29">
        <f>ROUND(I810*ROUND(Q810, 2), 2)</f>
        <v>28834.65</v>
      </c>
      <c r="U810" s="29">
        <f>S810+T810</f>
        <v>58320.06</v>
      </c>
      <c r="V810" s="9">
        <f>ROUND(P810 / 1.2, 2)</f>
        <v>713.24</v>
      </c>
      <c r="W810" s="9">
        <f>ROUND(Q810 / 1.2, 2)</f>
        <v>697.5</v>
      </c>
      <c r="X810" s="9">
        <f>ROUND(R810 / 1.2, 2)</f>
        <v>1410.74</v>
      </c>
      <c r="Y810" s="9">
        <f t="shared" si="63"/>
        <v>24571.18</v>
      </c>
      <c r="Z810" s="9">
        <f>ROUND(T810 / 1.2, 2)</f>
        <v>24028.880000000001</v>
      </c>
      <c r="AA810" s="9">
        <f>Y810+Z810</f>
        <v>48600.06</v>
      </c>
      <c r="AD810" s="4">
        <v>271132292</v>
      </c>
      <c r="AE810" s="4">
        <v>16236256</v>
      </c>
      <c r="AG810" s="4" t="s">
        <v>2524</v>
      </c>
      <c r="AH810" s="4" t="s">
        <v>2525</v>
      </c>
      <c r="AI810" s="4" t="s">
        <v>67</v>
      </c>
    </row>
    <row r="811" spans="1:35" ht="90" x14ac:dyDescent="0.3">
      <c r="A811" s="25" t="s">
        <v>2542</v>
      </c>
      <c r="B811" s="25"/>
      <c r="C811" s="17" t="s">
        <v>2543</v>
      </c>
      <c r="D811" s="27"/>
      <c r="E811" s="27" t="s">
        <v>2544</v>
      </c>
      <c r="F811" s="31" t="s">
        <v>64</v>
      </c>
      <c r="G811" s="32">
        <v>1.1000000000000001</v>
      </c>
      <c r="H811" s="27"/>
      <c r="I811" s="33">
        <v>37.895000000000003</v>
      </c>
      <c r="J811" s="34">
        <v>778.08</v>
      </c>
      <c r="K811" s="35"/>
      <c r="L811" s="35"/>
      <c r="M811" s="34">
        <f>ROUND(ROUND(J811, 2)*I811, 2)</f>
        <v>29485.34</v>
      </c>
      <c r="N811" s="35"/>
      <c r="O811" s="35"/>
      <c r="P811" s="34">
        <v>778.08</v>
      </c>
      <c r="Q811" s="35"/>
      <c r="R811" s="35"/>
      <c r="S811" s="34">
        <f>ROUND(ROUND(P811, 2)*I811, 2)</f>
        <v>29485.34</v>
      </c>
      <c r="T811" s="35"/>
      <c r="U811" s="36"/>
      <c r="V811" s="9">
        <f>ROUND(ROUND(P811, 2)/1.2, 2)</f>
        <v>648.4</v>
      </c>
      <c r="Y811" s="9">
        <f t="shared" si="63"/>
        <v>24571.119999999999</v>
      </c>
      <c r="AD811" s="4" t="s">
        <v>2545</v>
      </c>
      <c r="AE811" s="4" t="s">
        <v>2546</v>
      </c>
      <c r="AF811" s="4" t="s">
        <v>2547</v>
      </c>
    </row>
    <row r="812" spans="1:35" ht="36" x14ac:dyDescent="0.3">
      <c r="A812" s="25" t="s">
        <v>2548</v>
      </c>
      <c r="B812" s="25" t="s">
        <v>2521</v>
      </c>
      <c r="C812" s="26" t="s">
        <v>2522</v>
      </c>
      <c r="D812" s="27"/>
      <c r="E812" s="27" t="s">
        <v>2501</v>
      </c>
      <c r="F812" s="27" t="s">
        <v>64</v>
      </c>
      <c r="G812" s="28">
        <v>1</v>
      </c>
      <c r="H812" s="27"/>
      <c r="I812" s="28">
        <v>83.7</v>
      </c>
      <c r="J812" s="29">
        <f>IFERROR(ROUND(SUM(M813)/I812, 2),0)</f>
        <v>902.98</v>
      </c>
      <c r="K812" s="29">
        <v>837</v>
      </c>
      <c r="L812" s="29">
        <f>J812+ROUND(K812, 2)</f>
        <v>1739.98</v>
      </c>
      <c r="M812" s="29">
        <f>ROUND(J812*I812, 2)</f>
        <v>75579.429999999993</v>
      </c>
      <c r="N812" s="29">
        <f>ROUND(I812*ROUND(K812, 2), 2)</f>
        <v>70056.899999999994</v>
      </c>
      <c r="O812" s="29">
        <f>M812+N812</f>
        <v>145636.32999999999</v>
      </c>
      <c r="P812" s="29">
        <f>IFERROR(ROUND(SUM(S813)/I812, 2),0)</f>
        <v>902.98</v>
      </c>
      <c r="Q812" s="29">
        <v>837</v>
      </c>
      <c r="R812" s="29">
        <f>P812+ROUND(Q812, 2)</f>
        <v>1739.98</v>
      </c>
      <c r="S812" s="29">
        <f>ROUND(P812*I812, 2)</f>
        <v>75579.429999999993</v>
      </c>
      <c r="T812" s="29">
        <f>ROUND(I812*ROUND(Q812, 2), 2)</f>
        <v>70056.899999999994</v>
      </c>
      <c r="U812" s="29">
        <f>S812+T812</f>
        <v>145636.32999999999</v>
      </c>
      <c r="V812" s="9">
        <f>ROUND(P812 / 1.2, 2)</f>
        <v>752.48</v>
      </c>
      <c r="W812" s="9">
        <f>ROUND(Q812 / 1.2, 2)</f>
        <v>697.5</v>
      </c>
      <c r="X812" s="9">
        <f>ROUND(R812 / 1.2, 2)</f>
        <v>1449.98</v>
      </c>
      <c r="Y812" s="9">
        <f t="shared" si="63"/>
        <v>62982.86</v>
      </c>
      <c r="Z812" s="9">
        <f>ROUND(T812 / 1.2, 2)</f>
        <v>58380.75</v>
      </c>
      <c r="AA812" s="9">
        <f>Y812+Z812</f>
        <v>121363.61</v>
      </c>
      <c r="AD812" s="4">
        <v>271132293</v>
      </c>
      <c r="AE812" s="4">
        <v>16238731</v>
      </c>
      <c r="AG812" s="4" t="s">
        <v>2524</v>
      </c>
      <c r="AH812" s="4" t="s">
        <v>2525</v>
      </c>
      <c r="AI812" s="4" t="s">
        <v>67</v>
      </c>
    </row>
    <row r="813" spans="1:35" ht="36" x14ac:dyDescent="0.3">
      <c r="A813" s="25" t="s">
        <v>2549</v>
      </c>
      <c r="B813" s="25"/>
      <c r="C813" s="17" t="s">
        <v>2550</v>
      </c>
      <c r="D813" s="27"/>
      <c r="E813" s="27"/>
      <c r="F813" s="31" t="s">
        <v>64</v>
      </c>
      <c r="G813" s="32">
        <v>1.1000000000000001</v>
      </c>
      <c r="H813" s="27"/>
      <c r="I813" s="33">
        <v>92.07</v>
      </c>
      <c r="J813" s="34">
        <v>820.89</v>
      </c>
      <c r="K813" s="35"/>
      <c r="L813" s="35"/>
      <c r="M813" s="34">
        <f>ROUND(ROUND(J813, 2)*I813, 2)</f>
        <v>75579.34</v>
      </c>
      <c r="N813" s="35"/>
      <c r="O813" s="35"/>
      <c r="P813" s="34">
        <v>820.89</v>
      </c>
      <c r="Q813" s="35"/>
      <c r="R813" s="35"/>
      <c r="S813" s="34">
        <f>ROUND(ROUND(P813, 2)*I813, 2)</f>
        <v>75579.34</v>
      </c>
      <c r="T813" s="35"/>
      <c r="U813" s="36"/>
      <c r="V813" s="9">
        <f>ROUND(ROUND(P813, 2)/1.2, 2)</f>
        <v>684.08</v>
      </c>
      <c r="Y813" s="9">
        <f t="shared" si="63"/>
        <v>62982.78</v>
      </c>
      <c r="AD813" s="4" t="s">
        <v>2551</v>
      </c>
      <c r="AE813" s="4" t="s">
        <v>2552</v>
      </c>
      <c r="AF813" s="4" t="s">
        <v>2553</v>
      </c>
    </row>
    <row r="814" spans="1:35" ht="36" x14ac:dyDescent="0.3">
      <c r="A814" s="25" t="s">
        <v>2554</v>
      </c>
      <c r="B814" s="25" t="s">
        <v>2521</v>
      </c>
      <c r="C814" s="26" t="s">
        <v>2522</v>
      </c>
      <c r="D814" s="27"/>
      <c r="E814" s="27" t="s">
        <v>2510</v>
      </c>
      <c r="F814" s="27" t="s">
        <v>64</v>
      </c>
      <c r="G814" s="28">
        <v>1</v>
      </c>
      <c r="H814" s="27"/>
      <c r="I814" s="28">
        <v>54.99</v>
      </c>
      <c r="J814" s="29">
        <f>IFERROR(ROUND(SUM(M815)/I814, 2),0)</f>
        <v>901.26</v>
      </c>
      <c r="K814" s="29">
        <v>837</v>
      </c>
      <c r="L814" s="29">
        <f>J814+ROUND(K814, 2)</f>
        <v>1738.26</v>
      </c>
      <c r="M814" s="29">
        <f>ROUND(J814*I814, 2)</f>
        <v>49560.29</v>
      </c>
      <c r="N814" s="29">
        <f>ROUND(I814*ROUND(K814, 2), 2)</f>
        <v>46026.63</v>
      </c>
      <c r="O814" s="29">
        <f>M814+N814</f>
        <v>95586.92</v>
      </c>
      <c r="P814" s="29">
        <f>IFERROR(ROUND(SUM(S815)/I814, 2),0)</f>
        <v>901.26</v>
      </c>
      <c r="Q814" s="29">
        <v>837</v>
      </c>
      <c r="R814" s="29">
        <f>P814+ROUND(Q814, 2)</f>
        <v>1738.26</v>
      </c>
      <c r="S814" s="29">
        <f>ROUND(P814*I814, 2)</f>
        <v>49560.29</v>
      </c>
      <c r="T814" s="29">
        <f>ROUND(I814*ROUND(Q814, 2), 2)</f>
        <v>46026.63</v>
      </c>
      <c r="U814" s="29">
        <f>S814+T814</f>
        <v>95586.92</v>
      </c>
      <c r="V814" s="9">
        <f>ROUND(P814 / 1.2, 2)</f>
        <v>751.05</v>
      </c>
      <c r="W814" s="9">
        <f>ROUND(Q814 / 1.2, 2)</f>
        <v>697.5</v>
      </c>
      <c r="X814" s="9">
        <f>ROUND(R814 / 1.2, 2)</f>
        <v>1448.55</v>
      </c>
      <c r="Y814" s="9">
        <f t="shared" si="63"/>
        <v>41300.239999999998</v>
      </c>
      <c r="Z814" s="9">
        <f>ROUND(T814 / 1.2, 2)</f>
        <v>38355.53</v>
      </c>
      <c r="AA814" s="9">
        <f>Y814+Z814</f>
        <v>79655.77</v>
      </c>
      <c r="AD814" s="4">
        <v>271132294</v>
      </c>
      <c r="AE814" s="4">
        <v>19825204</v>
      </c>
      <c r="AG814" s="4" t="s">
        <v>2524</v>
      </c>
      <c r="AH814" s="4" t="s">
        <v>2525</v>
      </c>
      <c r="AI814" s="4" t="s">
        <v>67</v>
      </c>
    </row>
    <row r="815" spans="1:35" ht="36" x14ac:dyDescent="0.3">
      <c r="A815" s="25" t="s">
        <v>2555</v>
      </c>
      <c r="B815" s="25"/>
      <c r="C815" s="17" t="s">
        <v>2556</v>
      </c>
      <c r="D815" s="27"/>
      <c r="E815" s="27"/>
      <c r="F815" s="31" t="s">
        <v>64</v>
      </c>
      <c r="G815" s="32">
        <v>1.1000000000000001</v>
      </c>
      <c r="H815" s="27"/>
      <c r="I815" s="33">
        <v>60.488999999999997</v>
      </c>
      <c r="J815" s="34">
        <v>819.33</v>
      </c>
      <c r="K815" s="35"/>
      <c r="L815" s="35"/>
      <c r="M815" s="34">
        <f>ROUND(ROUND(J815, 2)*I815, 2)</f>
        <v>49560.45</v>
      </c>
      <c r="N815" s="35"/>
      <c r="O815" s="35"/>
      <c r="P815" s="34">
        <v>819.33</v>
      </c>
      <c r="Q815" s="35"/>
      <c r="R815" s="35"/>
      <c r="S815" s="34">
        <f>ROUND(ROUND(P815, 2)*I815, 2)</f>
        <v>49560.45</v>
      </c>
      <c r="T815" s="35"/>
      <c r="U815" s="36"/>
      <c r="V815" s="9">
        <f>ROUND(ROUND(P815, 2)/1.2, 2)</f>
        <v>682.78</v>
      </c>
      <c r="Y815" s="9">
        <f t="shared" si="63"/>
        <v>41300.379999999997</v>
      </c>
      <c r="AD815" s="4" t="s">
        <v>2557</v>
      </c>
      <c r="AE815" s="4" t="s">
        <v>2558</v>
      </c>
      <c r="AF815" s="4" t="s">
        <v>2559</v>
      </c>
    </row>
    <row r="816" spans="1:35" ht="36" x14ac:dyDescent="0.3">
      <c r="A816" s="25" t="s">
        <v>2560</v>
      </c>
      <c r="B816" s="25" t="s">
        <v>2521</v>
      </c>
      <c r="C816" s="26" t="s">
        <v>2522</v>
      </c>
      <c r="D816" s="27"/>
      <c r="E816" s="27" t="s">
        <v>2561</v>
      </c>
      <c r="F816" s="27" t="s">
        <v>64</v>
      </c>
      <c r="G816" s="28">
        <v>1</v>
      </c>
      <c r="H816" s="27"/>
      <c r="I816" s="28">
        <v>388.35</v>
      </c>
      <c r="J816" s="29">
        <f>IFERROR(ROUND(SUM(M817)/I816, 2),0)</f>
        <v>0</v>
      </c>
      <c r="K816" s="29">
        <v>837</v>
      </c>
      <c r="L816" s="29">
        <f>J816+ROUND(K816, 2)</f>
        <v>837</v>
      </c>
      <c r="M816" s="29">
        <f>ROUND(J816*I816, 2)</f>
        <v>0</v>
      </c>
      <c r="N816" s="29">
        <f>ROUND(I816*ROUND(K816, 2), 2)</f>
        <v>325048.95</v>
      </c>
      <c r="O816" s="29">
        <f>M816+N816</f>
        <v>325048.95</v>
      </c>
      <c r="P816" s="29">
        <f>IFERROR(ROUND(SUM(S817)/I816, 2),0)</f>
        <v>0</v>
      </c>
      <c r="Q816" s="29">
        <v>837</v>
      </c>
      <c r="R816" s="29">
        <f>P816+ROUND(Q816, 2)</f>
        <v>837</v>
      </c>
      <c r="S816" s="29">
        <f>ROUND(P816*I816, 2)</f>
        <v>0</v>
      </c>
      <c r="T816" s="29">
        <f>ROUND(I816*ROUND(Q816, 2), 2)</f>
        <v>325048.95</v>
      </c>
      <c r="U816" s="29">
        <f>S816+T816</f>
        <v>325048.95</v>
      </c>
      <c r="V816" s="9">
        <f>ROUND(P816 / 1.2, 2)</f>
        <v>0</v>
      </c>
      <c r="W816" s="9">
        <f>ROUND(Q816 / 1.2, 2)</f>
        <v>697.5</v>
      </c>
      <c r="X816" s="9">
        <f>ROUND(R816 / 1.2, 2)</f>
        <v>697.5</v>
      </c>
      <c r="Y816" s="9">
        <f t="shared" si="63"/>
        <v>0</v>
      </c>
      <c r="Z816" s="9">
        <f>ROUND(T816 / 1.2, 2)</f>
        <v>270874.13</v>
      </c>
      <c r="AA816" s="9">
        <f>Y816+Z816</f>
        <v>270874.13</v>
      </c>
      <c r="AD816" s="4">
        <v>271132295</v>
      </c>
      <c r="AE816" s="4">
        <v>20004793</v>
      </c>
      <c r="AG816" s="4" t="s">
        <v>2524</v>
      </c>
      <c r="AH816" s="4" t="s">
        <v>2525</v>
      </c>
      <c r="AI816" s="4" t="s">
        <v>67</v>
      </c>
    </row>
    <row r="817" spans="1:35" ht="90" x14ac:dyDescent="0.3">
      <c r="A817" s="25" t="s">
        <v>2562</v>
      </c>
      <c r="B817" s="25"/>
      <c r="C817" s="30" t="s">
        <v>2527</v>
      </c>
      <c r="D817" s="27"/>
      <c r="E817" s="27" t="s">
        <v>2563</v>
      </c>
      <c r="F817" s="31" t="s">
        <v>64</v>
      </c>
      <c r="G817" s="32">
        <v>1</v>
      </c>
      <c r="H817" s="27"/>
      <c r="I817" s="33">
        <v>388.35</v>
      </c>
      <c r="J817" s="34">
        <v>0</v>
      </c>
      <c r="K817" s="35"/>
      <c r="L817" s="35"/>
      <c r="M817" s="34">
        <f>ROUND(ROUND(J817, 2)*I817, 2)</f>
        <v>0</v>
      </c>
      <c r="N817" s="35"/>
      <c r="O817" s="35"/>
      <c r="P817" s="34">
        <v>0</v>
      </c>
      <c r="Q817" s="35"/>
      <c r="R817" s="35"/>
      <c r="S817" s="34">
        <f>ROUND(ROUND(P817, 2)*I817, 2)</f>
        <v>0</v>
      </c>
      <c r="T817" s="35"/>
      <c r="U817" s="36"/>
      <c r="V817" s="9">
        <f>ROUND(ROUND(P817, 2)/1.2, 2)</f>
        <v>0</v>
      </c>
      <c r="Y817" s="9">
        <f t="shared" si="63"/>
        <v>0</v>
      </c>
      <c r="AD817" s="4" t="s">
        <v>2564</v>
      </c>
      <c r="AE817" s="4" t="s">
        <v>2565</v>
      </c>
      <c r="AF817" s="4" t="s">
        <v>2531</v>
      </c>
    </row>
    <row r="818" spans="1:35" ht="36" x14ac:dyDescent="0.3">
      <c r="A818" s="25" t="s">
        <v>2566</v>
      </c>
      <c r="B818" s="25" t="s">
        <v>2521</v>
      </c>
      <c r="C818" s="26" t="s">
        <v>2522</v>
      </c>
      <c r="D818" s="27"/>
      <c r="E818" s="27" t="s">
        <v>2567</v>
      </c>
      <c r="F818" s="27" t="s">
        <v>64</v>
      </c>
      <c r="G818" s="28">
        <v>1</v>
      </c>
      <c r="H818" s="27"/>
      <c r="I818" s="28">
        <v>1200.01</v>
      </c>
      <c r="J818" s="29">
        <f>IFERROR(ROUND(SUM(M819)/I818, 2),0)</f>
        <v>7126.9</v>
      </c>
      <c r="K818" s="29">
        <v>837</v>
      </c>
      <c r="L818" s="29">
        <f>J818+ROUND(K818, 2)</f>
        <v>7963.9</v>
      </c>
      <c r="M818" s="29">
        <f>ROUND(J818*I818, 2)</f>
        <v>8552351.2699999996</v>
      </c>
      <c r="N818" s="29">
        <f>ROUND(I818*ROUND(K818, 2), 2)</f>
        <v>1004408.37</v>
      </c>
      <c r="O818" s="29">
        <f>M818+N818</f>
        <v>9556759.6400000006</v>
      </c>
      <c r="P818" s="29">
        <f>IFERROR(ROUND(SUM(S819)/I818, 2),0)</f>
        <v>7126.9</v>
      </c>
      <c r="Q818" s="29">
        <v>837</v>
      </c>
      <c r="R818" s="29">
        <f>P818+ROUND(Q818, 2)</f>
        <v>7963.9</v>
      </c>
      <c r="S818" s="29">
        <f>ROUND(P818*I818, 2)</f>
        <v>8552351.2699999996</v>
      </c>
      <c r="T818" s="29">
        <f>ROUND(I818*ROUND(Q818, 2), 2)</f>
        <v>1004408.37</v>
      </c>
      <c r="U818" s="29">
        <f>S818+T818</f>
        <v>9556759.6400000006</v>
      </c>
      <c r="V818" s="9">
        <f>ROUND(P818 / 1.2, 2)</f>
        <v>5939.08</v>
      </c>
      <c r="W818" s="9">
        <f>ROUND(Q818 / 1.2, 2)</f>
        <v>697.5</v>
      </c>
      <c r="X818" s="9">
        <f>ROUND(R818 / 1.2, 2)</f>
        <v>6636.58</v>
      </c>
      <c r="Y818" s="9">
        <f t="shared" si="63"/>
        <v>7126959.3899999997</v>
      </c>
      <c r="Z818" s="9">
        <f>ROUND(T818 / 1.2, 2)</f>
        <v>837006.98</v>
      </c>
      <c r="AA818" s="9">
        <f>Y818+Z818</f>
        <v>7963966.3700000001</v>
      </c>
      <c r="AD818" s="4">
        <v>271132296</v>
      </c>
      <c r="AE818" s="4">
        <v>20004794</v>
      </c>
      <c r="AG818" s="4" t="s">
        <v>2524</v>
      </c>
      <c r="AH818" s="4" t="s">
        <v>2525</v>
      </c>
      <c r="AI818" s="4" t="s">
        <v>67</v>
      </c>
    </row>
    <row r="819" spans="1:35" ht="72" x14ac:dyDescent="0.3">
      <c r="A819" s="25" t="s">
        <v>2568</v>
      </c>
      <c r="B819" s="25"/>
      <c r="C819" s="30" t="s">
        <v>2535</v>
      </c>
      <c r="D819" s="27"/>
      <c r="E819" s="27" t="s">
        <v>2536</v>
      </c>
      <c r="F819" s="31" t="s">
        <v>64</v>
      </c>
      <c r="G819" s="32">
        <v>1.1000000000000001</v>
      </c>
      <c r="H819" s="27"/>
      <c r="I819" s="33">
        <v>1320.011</v>
      </c>
      <c r="J819" s="34">
        <v>6479</v>
      </c>
      <c r="K819" s="35"/>
      <c r="L819" s="35"/>
      <c r="M819" s="34">
        <f>ROUND(ROUND(J819, 2)*I819, 2)</f>
        <v>8552351.2699999996</v>
      </c>
      <c r="N819" s="35"/>
      <c r="O819" s="35"/>
      <c r="P819" s="34">
        <v>6479</v>
      </c>
      <c r="Q819" s="35"/>
      <c r="R819" s="35"/>
      <c r="S819" s="34">
        <f>ROUND(ROUND(P819, 2)*I819, 2)</f>
        <v>8552351.2699999996</v>
      </c>
      <c r="T819" s="35"/>
      <c r="U819" s="36"/>
      <c r="V819" s="9">
        <f>ROUND(ROUND(P819, 2)/1.2, 2)</f>
        <v>5399.17</v>
      </c>
      <c r="Y819" s="9">
        <f t="shared" si="63"/>
        <v>7126959.3899999997</v>
      </c>
      <c r="AD819" s="4" t="s">
        <v>2569</v>
      </c>
      <c r="AE819" s="4" t="s">
        <v>2570</v>
      </c>
      <c r="AF819" s="4" t="s">
        <v>2539</v>
      </c>
    </row>
    <row r="820" spans="1:35" ht="36" x14ac:dyDescent="0.3">
      <c r="A820" s="25" t="s">
        <v>2571</v>
      </c>
      <c r="B820" s="25" t="s">
        <v>2521</v>
      </c>
      <c r="C820" s="26" t="s">
        <v>2522</v>
      </c>
      <c r="D820" s="27"/>
      <c r="E820" s="27" t="s">
        <v>2572</v>
      </c>
      <c r="F820" s="27" t="s">
        <v>64</v>
      </c>
      <c r="G820" s="28">
        <v>1</v>
      </c>
      <c r="H820" s="27"/>
      <c r="I820" s="28">
        <v>163.46</v>
      </c>
      <c r="J820" s="29">
        <f>IFERROR(ROUND(SUM(M821)/I820, 2),0)</f>
        <v>855.89</v>
      </c>
      <c r="K820" s="29">
        <v>837</v>
      </c>
      <c r="L820" s="29">
        <f>J820+ROUND(K820, 2)</f>
        <v>1692.89</v>
      </c>
      <c r="M820" s="29">
        <f>ROUND(J820*I820, 2)</f>
        <v>139903.78</v>
      </c>
      <c r="N820" s="29">
        <f>ROUND(I820*ROUND(K820, 2), 2)</f>
        <v>136816.01999999999</v>
      </c>
      <c r="O820" s="29">
        <f>M820+N820</f>
        <v>276719.8</v>
      </c>
      <c r="P820" s="29">
        <f>IFERROR(ROUND(SUM(S821)/I820, 2),0)</f>
        <v>855.89</v>
      </c>
      <c r="Q820" s="29">
        <v>837</v>
      </c>
      <c r="R820" s="29">
        <f>P820+ROUND(Q820, 2)</f>
        <v>1692.89</v>
      </c>
      <c r="S820" s="29">
        <f>ROUND(P820*I820, 2)</f>
        <v>139903.78</v>
      </c>
      <c r="T820" s="29">
        <f>ROUND(I820*ROUND(Q820, 2), 2)</f>
        <v>136816.01999999999</v>
      </c>
      <c r="U820" s="29">
        <f>S820+T820</f>
        <v>276719.8</v>
      </c>
      <c r="V820" s="9">
        <f>ROUND(P820 / 1.2, 2)</f>
        <v>713.24</v>
      </c>
      <c r="W820" s="9">
        <f>ROUND(Q820 / 1.2, 2)</f>
        <v>697.5</v>
      </c>
      <c r="X820" s="9">
        <f>ROUND(R820 / 1.2, 2)</f>
        <v>1410.74</v>
      </c>
      <c r="Y820" s="9">
        <f t="shared" si="63"/>
        <v>116586.48</v>
      </c>
      <c r="Z820" s="9">
        <f>ROUND(T820 / 1.2, 2)</f>
        <v>114013.35</v>
      </c>
      <c r="AA820" s="9">
        <f>Y820+Z820</f>
        <v>230599.83</v>
      </c>
      <c r="AD820" s="4">
        <v>271132297</v>
      </c>
      <c r="AE820" s="4">
        <v>20004795</v>
      </c>
      <c r="AG820" s="4" t="s">
        <v>2524</v>
      </c>
      <c r="AH820" s="4" t="s">
        <v>2525</v>
      </c>
      <c r="AI820" s="4" t="s">
        <v>67</v>
      </c>
    </row>
    <row r="821" spans="1:35" ht="90" x14ac:dyDescent="0.3">
      <c r="A821" s="25" t="s">
        <v>2573</v>
      </c>
      <c r="B821" s="25"/>
      <c r="C821" s="17" t="s">
        <v>2543</v>
      </c>
      <c r="D821" s="27"/>
      <c r="E821" s="27" t="s">
        <v>2544</v>
      </c>
      <c r="F821" s="31" t="s">
        <v>64</v>
      </c>
      <c r="G821" s="32">
        <v>1.1000000000000001</v>
      </c>
      <c r="H821" s="27"/>
      <c r="I821" s="33">
        <v>179.80600000000001</v>
      </c>
      <c r="J821" s="34">
        <v>778.08</v>
      </c>
      <c r="K821" s="35"/>
      <c r="L821" s="35"/>
      <c r="M821" s="34">
        <f>ROUND(ROUND(J821, 2)*I821, 2)</f>
        <v>139903.45000000001</v>
      </c>
      <c r="N821" s="35"/>
      <c r="O821" s="35"/>
      <c r="P821" s="34">
        <v>778.08</v>
      </c>
      <c r="Q821" s="35"/>
      <c r="R821" s="35"/>
      <c r="S821" s="34">
        <f>ROUND(ROUND(P821, 2)*I821, 2)</f>
        <v>139903.45000000001</v>
      </c>
      <c r="T821" s="35"/>
      <c r="U821" s="36"/>
      <c r="V821" s="9">
        <f>ROUND(ROUND(P821, 2)/1.2, 2)</f>
        <v>648.4</v>
      </c>
      <c r="Y821" s="9">
        <f t="shared" si="63"/>
        <v>116586.21</v>
      </c>
      <c r="AD821" s="4" t="s">
        <v>2574</v>
      </c>
      <c r="AE821" s="4" t="s">
        <v>2575</v>
      </c>
      <c r="AF821" s="4" t="s">
        <v>2547</v>
      </c>
    </row>
    <row r="822" spans="1:35" ht="36" x14ac:dyDescent="0.3">
      <c r="A822" s="25" t="s">
        <v>2576</v>
      </c>
      <c r="B822" s="25" t="s">
        <v>2521</v>
      </c>
      <c r="C822" s="26" t="s">
        <v>2522</v>
      </c>
      <c r="D822" s="27"/>
      <c r="E822" s="27" t="s">
        <v>2340</v>
      </c>
      <c r="F822" s="27" t="s">
        <v>64</v>
      </c>
      <c r="G822" s="28">
        <v>1</v>
      </c>
      <c r="H822" s="27"/>
      <c r="I822" s="28">
        <v>92.54</v>
      </c>
      <c r="J822" s="29">
        <f>IFERROR(ROUND(SUM(M823)/I822, 2),0)</f>
        <v>902.98</v>
      </c>
      <c r="K822" s="29">
        <v>837</v>
      </c>
      <c r="L822" s="29">
        <f>J822+ROUND(K822, 2)</f>
        <v>1739.98</v>
      </c>
      <c r="M822" s="29">
        <f>ROUND(J822*I822, 2)</f>
        <v>83561.77</v>
      </c>
      <c r="N822" s="29">
        <f>ROUND(I822*ROUND(K822, 2), 2)</f>
        <v>77455.98</v>
      </c>
      <c r="O822" s="29">
        <f>M822+N822</f>
        <v>161017.75</v>
      </c>
      <c r="P822" s="29">
        <f>IFERROR(ROUND(SUM(S823)/I822, 2),0)</f>
        <v>902.98</v>
      </c>
      <c r="Q822" s="29">
        <v>837</v>
      </c>
      <c r="R822" s="29">
        <f>P822+ROUND(Q822, 2)</f>
        <v>1739.98</v>
      </c>
      <c r="S822" s="29">
        <f>ROUND(P822*I822, 2)</f>
        <v>83561.77</v>
      </c>
      <c r="T822" s="29">
        <f>ROUND(I822*ROUND(Q822, 2), 2)</f>
        <v>77455.98</v>
      </c>
      <c r="U822" s="29">
        <f>S822+T822</f>
        <v>161017.75</v>
      </c>
      <c r="V822" s="9">
        <f>ROUND(P822 / 1.2, 2)</f>
        <v>752.48</v>
      </c>
      <c r="W822" s="9">
        <f>ROUND(Q822 / 1.2, 2)</f>
        <v>697.5</v>
      </c>
      <c r="X822" s="9">
        <f>ROUND(R822 / 1.2, 2)</f>
        <v>1449.98</v>
      </c>
      <c r="Y822" s="9">
        <f t="shared" si="63"/>
        <v>69634.81</v>
      </c>
      <c r="Z822" s="9">
        <f>ROUND(T822 / 1.2, 2)</f>
        <v>64546.65</v>
      </c>
      <c r="AA822" s="9">
        <f>Y822+Z822</f>
        <v>134181.46</v>
      </c>
      <c r="AD822" s="4">
        <v>271132298</v>
      </c>
      <c r="AE822" s="4">
        <v>20004796</v>
      </c>
      <c r="AG822" s="4" t="s">
        <v>2524</v>
      </c>
      <c r="AH822" s="4" t="s">
        <v>2525</v>
      </c>
      <c r="AI822" s="4" t="s">
        <v>67</v>
      </c>
    </row>
    <row r="823" spans="1:35" ht="36" x14ac:dyDescent="0.3">
      <c r="A823" s="25" t="s">
        <v>2577</v>
      </c>
      <c r="B823" s="25"/>
      <c r="C823" s="17" t="s">
        <v>2550</v>
      </c>
      <c r="D823" s="27"/>
      <c r="E823" s="27"/>
      <c r="F823" s="31" t="s">
        <v>64</v>
      </c>
      <c r="G823" s="32">
        <v>1.1000000000000001</v>
      </c>
      <c r="H823" s="27"/>
      <c r="I823" s="33">
        <v>101.794</v>
      </c>
      <c r="J823" s="34">
        <v>820.89</v>
      </c>
      <c r="K823" s="35"/>
      <c r="L823" s="35"/>
      <c r="M823" s="34">
        <f>ROUND(ROUND(J823, 2)*I823, 2)</f>
        <v>83561.679999999993</v>
      </c>
      <c r="N823" s="35"/>
      <c r="O823" s="35"/>
      <c r="P823" s="34">
        <v>820.89</v>
      </c>
      <c r="Q823" s="35"/>
      <c r="R823" s="35"/>
      <c r="S823" s="34">
        <f>ROUND(ROUND(P823, 2)*I823, 2)</f>
        <v>83561.679999999993</v>
      </c>
      <c r="T823" s="35"/>
      <c r="U823" s="36"/>
      <c r="V823" s="9">
        <f>ROUND(ROUND(P823, 2)/1.2, 2)</f>
        <v>684.08</v>
      </c>
      <c r="Y823" s="9">
        <f t="shared" si="63"/>
        <v>69634.73</v>
      </c>
      <c r="AD823" s="4" t="s">
        <v>2578</v>
      </c>
      <c r="AE823" s="4" t="s">
        <v>2579</v>
      </c>
      <c r="AF823" s="4" t="s">
        <v>2553</v>
      </c>
    </row>
    <row r="824" spans="1:35" ht="36" x14ac:dyDescent="0.3">
      <c r="A824" s="25" t="s">
        <v>2580</v>
      </c>
      <c r="B824" s="25" t="s">
        <v>2521</v>
      </c>
      <c r="C824" s="26" t="s">
        <v>2522</v>
      </c>
      <c r="D824" s="27"/>
      <c r="E824" s="27" t="s">
        <v>2349</v>
      </c>
      <c r="F824" s="27" t="s">
        <v>64</v>
      </c>
      <c r="G824" s="28">
        <v>1</v>
      </c>
      <c r="H824" s="27"/>
      <c r="I824" s="28">
        <v>67.19</v>
      </c>
      <c r="J824" s="29">
        <f>IFERROR(ROUND(SUM(M825)/I824, 2),0)</f>
        <v>901.26</v>
      </c>
      <c r="K824" s="29">
        <v>837</v>
      </c>
      <c r="L824" s="29">
        <f>J824+ROUND(K824, 2)</f>
        <v>1738.26</v>
      </c>
      <c r="M824" s="29">
        <f>ROUND(J824*I824, 2)</f>
        <v>60555.66</v>
      </c>
      <c r="N824" s="29">
        <f>ROUND(I824*ROUND(K824, 2), 2)</f>
        <v>56238.03</v>
      </c>
      <c r="O824" s="29">
        <f>M824+N824</f>
        <v>116793.69</v>
      </c>
      <c r="P824" s="29">
        <f>IFERROR(ROUND(SUM(S825)/I824, 2),0)</f>
        <v>901.26</v>
      </c>
      <c r="Q824" s="29">
        <v>837</v>
      </c>
      <c r="R824" s="29">
        <f>P824+ROUND(Q824, 2)</f>
        <v>1738.26</v>
      </c>
      <c r="S824" s="29">
        <f>ROUND(P824*I824, 2)</f>
        <v>60555.66</v>
      </c>
      <c r="T824" s="29">
        <f>ROUND(I824*ROUND(Q824, 2), 2)</f>
        <v>56238.03</v>
      </c>
      <c r="U824" s="29">
        <f>S824+T824</f>
        <v>116793.69</v>
      </c>
      <c r="V824" s="9">
        <f>ROUND(P824 / 1.2, 2)</f>
        <v>751.05</v>
      </c>
      <c r="W824" s="9">
        <f>ROUND(Q824 / 1.2, 2)</f>
        <v>697.5</v>
      </c>
      <c r="X824" s="9">
        <f>ROUND(R824 / 1.2, 2)</f>
        <v>1448.55</v>
      </c>
      <c r="Y824" s="9">
        <f t="shared" si="63"/>
        <v>50463.05</v>
      </c>
      <c r="Z824" s="9">
        <f>ROUND(T824 / 1.2, 2)</f>
        <v>46865.03</v>
      </c>
      <c r="AA824" s="9">
        <f>Y824+Z824</f>
        <v>97328.08</v>
      </c>
      <c r="AD824" s="4">
        <v>271132299</v>
      </c>
      <c r="AE824" s="4">
        <v>20004797</v>
      </c>
      <c r="AG824" s="4" t="s">
        <v>2524</v>
      </c>
      <c r="AH824" s="4" t="s">
        <v>2525</v>
      </c>
      <c r="AI824" s="4" t="s">
        <v>67</v>
      </c>
    </row>
    <row r="825" spans="1:35" ht="36" x14ac:dyDescent="0.3">
      <c r="A825" s="25" t="s">
        <v>2581</v>
      </c>
      <c r="B825" s="25"/>
      <c r="C825" s="17" t="s">
        <v>2556</v>
      </c>
      <c r="D825" s="27"/>
      <c r="E825" s="27"/>
      <c r="F825" s="31" t="s">
        <v>64</v>
      </c>
      <c r="G825" s="32">
        <v>1.1000000000000001</v>
      </c>
      <c r="H825" s="27"/>
      <c r="I825" s="33">
        <v>73.909000000000006</v>
      </c>
      <c r="J825" s="34">
        <v>819.33</v>
      </c>
      <c r="K825" s="35"/>
      <c r="L825" s="35"/>
      <c r="M825" s="34">
        <f>ROUND(ROUND(J825, 2)*I825, 2)</f>
        <v>60555.86</v>
      </c>
      <c r="N825" s="35"/>
      <c r="O825" s="35"/>
      <c r="P825" s="34">
        <v>819.33</v>
      </c>
      <c r="Q825" s="35"/>
      <c r="R825" s="35"/>
      <c r="S825" s="34">
        <f>ROUND(ROUND(P825, 2)*I825, 2)</f>
        <v>60555.86</v>
      </c>
      <c r="T825" s="35"/>
      <c r="U825" s="36"/>
      <c r="V825" s="9">
        <f>ROUND(ROUND(P825, 2)/1.2, 2)</f>
        <v>682.78</v>
      </c>
      <c r="Y825" s="9">
        <f t="shared" si="63"/>
        <v>50463.22</v>
      </c>
      <c r="AD825" s="4" t="s">
        <v>2582</v>
      </c>
      <c r="AE825" s="4" t="s">
        <v>2583</v>
      </c>
      <c r="AF825" s="4" t="s">
        <v>2559</v>
      </c>
    </row>
    <row r="826" spans="1:35" ht="36" x14ac:dyDescent="0.3">
      <c r="A826" s="25" t="s">
        <v>2584</v>
      </c>
      <c r="B826" s="25" t="s">
        <v>2585</v>
      </c>
      <c r="C826" s="26" t="s">
        <v>2586</v>
      </c>
      <c r="D826" s="27"/>
      <c r="E826" s="27" t="s">
        <v>2587</v>
      </c>
      <c r="F826" s="27" t="s">
        <v>64</v>
      </c>
      <c r="G826" s="28">
        <v>1</v>
      </c>
      <c r="H826" s="27"/>
      <c r="I826" s="28">
        <v>37.700000000000003</v>
      </c>
      <c r="J826" s="29">
        <f>IFERROR(ROUND(SUM(M827,M828,M829,M830,M831,M832,M833,M834,M835,M836,M837,M838,M839)/I826, 2),0)</f>
        <v>614.67999999999995</v>
      </c>
      <c r="K826" s="29">
        <v>1199</v>
      </c>
      <c r="L826" s="29">
        <f>J826+ROUND(K826, 2)</f>
        <v>1813.68</v>
      </c>
      <c r="M826" s="29">
        <f>ROUND(J826*I826, 2)</f>
        <v>23173.439999999999</v>
      </c>
      <c r="N826" s="29">
        <f>ROUND(I826*ROUND(K826, 2), 2)</f>
        <v>45202.3</v>
      </c>
      <c r="O826" s="29">
        <f>M826+N826</f>
        <v>68375.740000000005</v>
      </c>
      <c r="P826" s="29">
        <f>IFERROR(ROUND(SUM(S827,S828,S829,S830,S831,S832,S833,S834,S835,S836,S837,S838,S839)/I826, 2),0)</f>
        <v>614.67999999999995</v>
      </c>
      <c r="Q826" s="29">
        <v>1199</v>
      </c>
      <c r="R826" s="29">
        <f>P826+ROUND(Q826, 2)</f>
        <v>1813.68</v>
      </c>
      <c r="S826" s="29">
        <f>ROUND(P826*I826, 2)</f>
        <v>23173.439999999999</v>
      </c>
      <c r="T826" s="29">
        <f>ROUND(I826*ROUND(Q826, 2), 2)</f>
        <v>45202.3</v>
      </c>
      <c r="U826" s="29">
        <f>S826+T826</f>
        <v>68375.740000000005</v>
      </c>
      <c r="V826" s="9">
        <f>ROUND(P826 / 1.2, 2)</f>
        <v>512.23</v>
      </c>
      <c r="W826" s="9">
        <f>ROUND(Q826 / 1.2, 2)</f>
        <v>999.17</v>
      </c>
      <c r="X826" s="9">
        <f>ROUND(R826 / 1.2, 2)</f>
        <v>1511.4</v>
      </c>
      <c r="Y826" s="9">
        <f t="shared" si="63"/>
        <v>19311.2</v>
      </c>
      <c r="Z826" s="9">
        <f>ROUND(T826 / 1.2, 2)</f>
        <v>37668.58</v>
      </c>
      <c r="AA826" s="9">
        <f>Y826+Z826</f>
        <v>56979.78</v>
      </c>
      <c r="AD826" s="4">
        <v>271132149</v>
      </c>
      <c r="AE826" s="4">
        <v>19825683</v>
      </c>
      <c r="AG826" s="4" t="s">
        <v>2588</v>
      </c>
      <c r="AH826" s="4" t="s">
        <v>2589</v>
      </c>
      <c r="AI826" s="4" t="s">
        <v>67</v>
      </c>
    </row>
    <row r="827" spans="1:35" ht="18" x14ac:dyDescent="0.3">
      <c r="A827" s="25" t="s">
        <v>2590</v>
      </c>
      <c r="B827" s="25"/>
      <c r="C827" s="30" t="s">
        <v>2591</v>
      </c>
      <c r="D827" s="27"/>
      <c r="E827" s="27"/>
      <c r="F827" s="31" t="s">
        <v>116</v>
      </c>
      <c r="G827" s="32">
        <v>15</v>
      </c>
      <c r="H827" s="27"/>
      <c r="I827" s="32">
        <v>565.5</v>
      </c>
      <c r="J827" s="34">
        <v>0.95</v>
      </c>
      <c r="K827" s="35"/>
      <c r="L827" s="35"/>
      <c r="M827" s="34">
        <f t="shared" ref="M827:M839" si="64">ROUND(ROUND(J827, 2)*I827, 2)</f>
        <v>537.23</v>
      </c>
      <c r="N827" s="35"/>
      <c r="O827" s="35"/>
      <c r="P827" s="34">
        <v>0.95</v>
      </c>
      <c r="Q827" s="35"/>
      <c r="R827" s="35"/>
      <c r="S827" s="34">
        <f t="shared" ref="S827:S839" si="65">ROUND(ROUND(P827, 2)*I827, 2)</f>
        <v>537.23</v>
      </c>
      <c r="T827" s="35"/>
      <c r="U827" s="36"/>
      <c r="V827" s="9">
        <f t="shared" ref="V827:V839" si="66">ROUND(ROUND(P827, 2)/1.2, 2)</f>
        <v>0.79</v>
      </c>
      <c r="Y827" s="9">
        <f t="shared" si="63"/>
        <v>447.69</v>
      </c>
      <c r="AD827" s="4" t="s">
        <v>2592</v>
      </c>
      <c r="AE827" s="4" t="s">
        <v>2593</v>
      </c>
      <c r="AF827" s="4" t="s">
        <v>2594</v>
      </c>
    </row>
    <row r="828" spans="1:35" ht="18" x14ac:dyDescent="0.3">
      <c r="A828" s="25" t="s">
        <v>2595</v>
      </c>
      <c r="B828" s="25"/>
      <c r="C828" s="30" t="s">
        <v>2596</v>
      </c>
      <c r="D828" s="27"/>
      <c r="E828" s="27"/>
      <c r="F828" s="31" t="s">
        <v>116</v>
      </c>
      <c r="G828" s="32">
        <v>30</v>
      </c>
      <c r="H828" s="27"/>
      <c r="I828" s="32">
        <v>1131</v>
      </c>
      <c r="J828" s="34">
        <v>0.28000000000000003</v>
      </c>
      <c r="K828" s="35"/>
      <c r="L828" s="35"/>
      <c r="M828" s="34">
        <f t="shared" si="64"/>
        <v>316.68</v>
      </c>
      <c r="N828" s="35"/>
      <c r="O828" s="35"/>
      <c r="P828" s="34">
        <v>0.28000000000000003</v>
      </c>
      <c r="Q828" s="35"/>
      <c r="R828" s="35"/>
      <c r="S828" s="34">
        <f t="shared" si="65"/>
        <v>316.68</v>
      </c>
      <c r="T828" s="35"/>
      <c r="U828" s="36"/>
      <c r="V828" s="9">
        <f t="shared" si="66"/>
        <v>0.23</v>
      </c>
      <c r="Y828" s="9">
        <f t="shared" si="63"/>
        <v>263.89999999999998</v>
      </c>
      <c r="AD828" s="4" t="s">
        <v>2597</v>
      </c>
      <c r="AE828" s="4" t="s">
        <v>2598</v>
      </c>
      <c r="AF828" s="4" t="s">
        <v>2599</v>
      </c>
    </row>
    <row r="829" spans="1:35" ht="18" x14ac:dyDescent="0.3">
      <c r="A829" s="25" t="s">
        <v>2600</v>
      </c>
      <c r="B829" s="25"/>
      <c r="C829" s="30" t="s">
        <v>1805</v>
      </c>
      <c r="D829" s="27"/>
      <c r="E829" s="27"/>
      <c r="F829" s="31" t="s">
        <v>70</v>
      </c>
      <c r="G829" s="32">
        <v>0.35</v>
      </c>
      <c r="H829" s="27"/>
      <c r="I829" s="32">
        <v>13.195</v>
      </c>
      <c r="J829" s="34">
        <v>55</v>
      </c>
      <c r="K829" s="35"/>
      <c r="L829" s="35"/>
      <c r="M829" s="34">
        <f t="shared" si="64"/>
        <v>725.73</v>
      </c>
      <c r="N829" s="35"/>
      <c r="O829" s="35"/>
      <c r="P829" s="34">
        <v>55</v>
      </c>
      <c r="Q829" s="35"/>
      <c r="R829" s="35"/>
      <c r="S829" s="34">
        <f t="shared" si="65"/>
        <v>725.73</v>
      </c>
      <c r="T829" s="35"/>
      <c r="U829" s="36"/>
      <c r="V829" s="9">
        <f t="shared" si="66"/>
        <v>45.83</v>
      </c>
      <c r="Y829" s="9">
        <f t="shared" si="63"/>
        <v>604.78</v>
      </c>
      <c r="AD829" s="4" t="s">
        <v>2601</v>
      </c>
      <c r="AE829" s="4" t="s">
        <v>2602</v>
      </c>
      <c r="AF829" s="4" t="s">
        <v>1808</v>
      </c>
    </row>
    <row r="830" spans="1:35" ht="18" x14ac:dyDescent="0.3">
      <c r="A830" s="25" t="s">
        <v>2603</v>
      </c>
      <c r="B830" s="25"/>
      <c r="C830" s="30" t="s">
        <v>2604</v>
      </c>
      <c r="D830" s="27"/>
      <c r="E830" s="27"/>
      <c r="F830" s="31" t="s">
        <v>116</v>
      </c>
      <c r="G830" s="32">
        <v>0.3</v>
      </c>
      <c r="H830" s="27"/>
      <c r="I830" s="32">
        <v>11.31</v>
      </c>
      <c r="J830" s="34">
        <v>5.6</v>
      </c>
      <c r="K830" s="35"/>
      <c r="L830" s="35"/>
      <c r="M830" s="34">
        <f t="shared" si="64"/>
        <v>63.34</v>
      </c>
      <c r="N830" s="35"/>
      <c r="O830" s="35"/>
      <c r="P830" s="34">
        <v>5.6</v>
      </c>
      <c r="Q830" s="35"/>
      <c r="R830" s="35"/>
      <c r="S830" s="34">
        <f t="shared" si="65"/>
        <v>63.34</v>
      </c>
      <c r="T830" s="35"/>
      <c r="U830" s="36"/>
      <c r="V830" s="9">
        <f t="shared" si="66"/>
        <v>4.67</v>
      </c>
      <c r="Y830" s="9">
        <f t="shared" si="63"/>
        <v>52.78</v>
      </c>
      <c r="AD830" s="4" t="s">
        <v>2605</v>
      </c>
      <c r="AE830" s="4" t="s">
        <v>2606</v>
      </c>
      <c r="AF830" s="4" t="s">
        <v>2607</v>
      </c>
    </row>
    <row r="831" spans="1:35" ht="36" x14ac:dyDescent="0.3">
      <c r="A831" s="25" t="s">
        <v>2608</v>
      </c>
      <c r="B831" s="25"/>
      <c r="C831" s="17" t="s">
        <v>2609</v>
      </c>
      <c r="D831" s="27"/>
      <c r="E831" s="27"/>
      <c r="F831" s="31" t="s">
        <v>116</v>
      </c>
      <c r="G831" s="32">
        <v>3.6</v>
      </c>
      <c r="H831" s="27"/>
      <c r="I831" s="32">
        <v>135.72</v>
      </c>
      <c r="J831" s="34">
        <v>15.9</v>
      </c>
      <c r="K831" s="35"/>
      <c r="L831" s="35"/>
      <c r="M831" s="34">
        <f t="shared" si="64"/>
        <v>2157.9499999999998</v>
      </c>
      <c r="N831" s="35"/>
      <c r="O831" s="35"/>
      <c r="P831" s="34">
        <v>15.9</v>
      </c>
      <c r="Q831" s="35"/>
      <c r="R831" s="35"/>
      <c r="S831" s="34">
        <f t="shared" si="65"/>
        <v>2157.9499999999998</v>
      </c>
      <c r="T831" s="35"/>
      <c r="U831" s="36"/>
      <c r="V831" s="9">
        <f t="shared" si="66"/>
        <v>13.25</v>
      </c>
      <c r="Y831" s="9">
        <f t="shared" si="63"/>
        <v>1798.29</v>
      </c>
      <c r="AD831" s="4" t="s">
        <v>2610</v>
      </c>
      <c r="AE831" s="4" t="s">
        <v>2611</v>
      </c>
      <c r="AF831" s="4" t="s">
        <v>2612</v>
      </c>
    </row>
    <row r="832" spans="1:35" ht="18" x14ac:dyDescent="0.3">
      <c r="A832" s="25" t="s">
        <v>2613</v>
      </c>
      <c r="B832" s="25"/>
      <c r="C832" s="30" t="s">
        <v>2614</v>
      </c>
      <c r="D832" s="27"/>
      <c r="E832" s="27"/>
      <c r="F832" s="31" t="s">
        <v>87</v>
      </c>
      <c r="G832" s="32">
        <v>0.3</v>
      </c>
      <c r="H832" s="27"/>
      <c r="I832" s="32">
        <v>11.31</v>
      </c>
      <c r="J832" s="34">
        <v>49.04</v>
      </c>
      <c r="K832" s="35"/>
      <c r="L832" s="35"/>
      <c r="M832" s="34">
        <f t="shared" si="64"/>
        <v>554.64</v>
      </c>
      <c r="N832" s="35"/>
      <c r="O832" s="35"/>
      <c r="P832" s="34">
        <v>49.04</v>
      </c>
      <c r="Q832" s="35"/>
      <c r="R832" s="35"/>
      <c r="S832" s="34">
        <f t="shared" si="65"/>
        <v>554.64</v>
      </c>
      <c r="T832" s="35"/>
      <c r="U832" s="36"/>
      <c r="V832" s="9">
        <f t="shared" si="66"/>
        <v>40.869999999999997</v>
      </c>
      <c r="Y832" s="9">
        <f t="shared" si="63"/>
        <v>462.2</v>
      </c>
      <c r="AD832" s="4" t="s">
        <v>2615</v>
      </c>
      <c r="AE832" s="4" t="s">
        <v>2616</v>
      </c>
      <c r="AF832" s="4" t="s">
        <v>2617</v>
      </c>
    </row>
    <row r="833" spans="1:35" ht="18" x14ac:dyDescent="0.3">
      <c r="A833" s="25" t="s">
        <v>2618</v>
      </c>
      <c r="B833" s="25"/>
      <c r="C833" s="30" t="s">
        <v>2619</v>
      </c>
      <c r="D833" s="27"/>
      <c r="E833" s="27"/>
      <c r="F833" s="31" t="s">
        <v>87</v>
      </c>
      <c r="G833" s="32">
        <v>4.7</v>
      </c>
      <c r="H833" s="27"/>
      <c r="I833" s="32">
        <v>177.19</v>
      </c>
      <c r="J833" s="34">
        <v>66.98</v>
      </c>
      <c r="K833" s="35"/>
      <c r="L833" s="35"/>
      <c r="M833" s="34">
        <f t="shared" si="64"/>
        <v>11868.19</v>
      </c>
      <c r="N833" s="35"/>
      <c r="O833" s="35"/>
      <c r="P833" s="34">
        <v>66.98</v>
      </c>
      <c r="Q833" s="35"/>
      <c r="R833" s="35"/>
      <c r="S833" s="34">
        <f t="shared" si="65"/>
        <v>11868.19</v>
      </c>
      <c r="T833" s="35"/>
      <c r="U833" s="36"/>
      <c r="V833" s="9">
        <f t="shared" si="66"/>
        <v>55.82</v>
      </c>
      <c r="Y833" s="9">
        <f t="shared" si="63"/>
        <v>9890.16</v>
      </c>
      <c r="AD833" s="4" t="s">
        <v>2620</v>
      </c>
      <c r="AE833" s="4" t="s">
        <v>2621</v>
      </c>
      <c r="AF833" s="4" t="s">
        <v>2622</v>
      </c>
    </row>
    <row r="834" spans="1:35" ht="18" x14ac:dyDescent="0.3">
      <c r="A834" s="25" t="s">
        <v>2623</v>
      </c>
      <c r="B834" s="25"/>
      <c r="C834" s="17" t="s">
        <v>2624</v>
      </c>
      <c r="D834" s="27"/>
      <c r="E834" s="27"/>
      <c r="F834" s="31" t="s">
        <v>116</v>
      </c>
      <c r="G834" s="32">
        <v>4.2</v>
      </c>
      <c r="H834" s="27"/>
      <c r="I834" s="32">
        <v>158.34</v>
      </c>
      <c r="J834" s="34">
        <v>5.41</v>
      </c>
      <c r="K834" s="35"/>
      <c r="L834" s="35"/>
      <c r="M834" s="34">
        <f t="shared" si="64"/>
        <v>856.62</v>
      </c>
      <c r="N834" s="35"/>
      <c r="O834" s="35"/>
      <c r="P834" s="34">
        <v>5.41</v>
      </c>
      <c r="Q834" s="35"/>
      <c r="R834" s="35"/>
      <c r="S834" s="34">
        <f t="shared" si="65"/>
        <v>856.62</v>
      </c>
      <c r="T834" s="35"/>
      <c r="U834" s="36"/>
      <c r="V834" s="9">
        <f t="shared" si="66"/>
        <v>4.51</v>
      </c>
      <c r="Y834" s="9">
        <f t="shared" si="63"/>
        <v>713.85</v>
      </c>
      <c r="AD834" s="4" t="s">
        <v>2625</v>
      </c>
      <c r="AE834" s="4" t="s">
        <v>2626</v>
      </c>
      <c r="AF834" s="4" t="s">
        <v>2627</v>
      </c>
    </row>
    <row r="835" spans="1:35" ht="18" x14ac:dyDescent="0.3">
      <c r="A835" s="25" t="s">
        <v>2628</v>
      </c>
      <c r="B835" s="25"/>
      <c r="C835" s="30" t="s">
        <v>2629</v>
      </c>
      <c r="D835" s="27"/>
      <c r="E835" s="27"/>
      <c r="F835" s="31" t="s">
        <v>87</v>
      </c>
      <c r="G835" s="32">
        <v>1.05</v>
      </c>
      <c r="H835" s="27"/>
      <c r="I835" s="32">
        <v>39.585000000000001</v>
      </c>
      <c r="J835" s="34">
        <v>4.5999999999999996</v>
      </c>
      <c r="K835" s="35"/>
      <c r="L835" s="35"/>
      <c r="M835" s="34">
        <f t="shared" si="64"/>
        <v>182.09</v>
      </c>
      <c r="N835" s="35"/>
      <c r="O835" s="35"/>
      <c r="P835" s="34">
        <v>4.5999999999999996</v>
      </c>
      <c r="Q835" s="35"/>
      <c r="R835" s="35"/>
      <c r="S835" s="34">
        <f t="shared" si="65"/>
        <v>182.09</v>
      </c>
      <c r="T835" s="35"/>
      <c r="U835" s="36"/>
      <c r="V835" s="9">
        <f t="shared" si="66"/>
        <v>3.83</v>
      </c>
      <c r="Y835" s="9">
        <f t="shared" si="63"/>
        <v>151.74</v>
      </c>
      <c r="AD835" s="4" t="s">
        <v>2630</v>
      </c>
      <c r="AE835" s="4" t="s">
        <v>2631</v>
      </c>
      <c r="AF835" s="4" t="s">
        <v>2632</v>
      </c>
    </row>
    <row r="836" spans="1:35" ht="18" x14ac:dyDescent="0.3">
      <c r="A836" s="25" t="s">
        <v>2633</v>
      </c>
      <c r="B836" s="25"/>
      <c r="C836" s="30" t="s">
        <v>2634</v>
      </c>
      <c r="D836" s="27"/>
      <c r="E836" s="27"/>
      <c r="F836" s="31" t="s">
        <v>87</v>
      </c>
      <c r="G836" s="32">
        <v>1.25</v>
      </c>
      <c r="H836" s="27"/>
      <c r="I836" s="32">
        <v>47.125</v>
      </c>
      <c r="J836" s="34">
        <v>2.8</v>
      </c>
      <c r="K836" s="35"/>
      <c r="L836" s="35"/>
      <c r="M836" s="34">
        <f t="shared" si="64"/>
        <v>131.94999999999999</v>
      </c>
      <c r="N836" s="35"/>
      <c r="O836" s="35"/>
      <c r="P836" s="34">
        <v>2.8</v>
      </c>
      <c r="Q836" s="35"/>
      <c r="R836" s="35"/>
      <c r="S836" s="34">
        <f t="shared" si="65"/>
        <v>131.94999999999999</v>
      </c>
      <c r="T836" s="35"/>
      <c r="U836" s="36"/>
      <c r="V836" s="9">
        <f t="shared" si="66"/>
        <v>2.33</v>
      </c>
      <c r="Y836" s="9">
        <f t="shared" si="63"/>
        <v>109.96</v>
      </c>
      <c r="AD836" s="4" t="s">
        <v>2635</v>
      </c>
      <c r="AE836" s="4" t="s">
        <v>2636</v>
      </c>
      <c r="AF836" s="4" t="s">
        <v>2637</v>
      </c>
    </row>
    <row r="837" spans="1:35" ht="36" x14ac:dyDescent="0.3">
      <c r="A837" s="25" t="s">
        <v>2638</v>
      </c>
      <c r="B837" s="25"/>
      <c r="C837" s="30" t="s">
        <v>433</v>
      </c>
      <c r="D837" s="27"/>
      <c r="E837" s="27"/>
      <c r="F837" s="31" t="s">
        <v>70</v>
      </c>
      <c r="G837" s="32">
        <v>0.1</v>
      </c>
      <c r="H837" s="27"/>
      <c r="I837" s="32">
        <v>3.77</v>
      </c>
      <c r="J837" s="34">
        <v>88.8</v>
      </c>
      <c r="K837" s="35"/>
      <c r="L837" s="35"/>
      <c r="M837" s="34">
        <f t="shared" si="64"/>
        <v>334.78</v>
      </c>
      <c r="N837" s="35"/>
      <c r="O837" s="35"/>
      <c r="P837" s="34">
        <v>88.8</v>
      </c>
      <c r="Q837" s="35"/>
      <c r="R837" s="35"/>
      <c r="S837" s="34">
        <f t="shared" si="65"/>
        <v>334.78</v>
      </c>
      <c r="T837" s="35"/>
      <c r="U837" s="36"/>
      <c r="V837" s="9">
        <f t="shared" si="66"/>
        <v>74</v>
      </c>
      <c r="Y837" s="9">
        <f t="shared" si="63"/>
        <v>278.98</v>
      </c>
      <c r="AD837" s="4" t="s">
        <v>2639</v>
      </c>
      <c r="AE837" s="4" t="s">
        <v>2640</v>
      </c>
      <c r="AF837" s="4" t="s">
        <v>436</v>
      </c>
    </row>
    <row r="838" spans="1:35" ht="36" x14ac:dyDescent="0.3">
      <c r="A838" s="25" t="s">
        <v>2641</v>
      </c>
      <c r="B838" s="25"/>
      <c r="C838" s="30" t="s">
        <v>1815</v>
      </c>
      <c r="D838" s="27"/>
      <c r="E838" s="27"/>
      <c r="F838" s="31" t="s">
        <v>64</v>
      </c>
      <c r="G838" s="32">
        <v>1.05</v>
      </c>
      <c r="H838" s="27"/>
      <c r="I838" s="32">
        <v>39.585000000000001</v>
      </c>
      <c r="J838" s="34">
        <v>135.53</v>
      </c>
      <c r="K838" s="35"/>
      <c r="L838" s="35"/>
      <c r="M838" s="34">
        <f t="shared" si="64"/>
        <v>5364.96</v>
      </c>
      <c r="N838" s="35"/>
      <c r="O838" s="35"/>
      <c r="P838" s="34">
        <v>135.53</v>
      </c>
      <c r="Q838" s="35"/>
      <c r="R838" s="35"/>
      <c r="S838" s="34">
        <f t="shared" si="65"/>
        <v>5364.96</v>
      </c>
      <c r="T838" s="35"/>
      <c r="U838" s="36"/>
      <c r="V838" s="9">
        <f t="shared" si="66"/>
        <v>112.94</v>
      </c>
      <c r="Y838" s="9">
        <f t="shared" si="63"/>
        <v>4470.8</v>
      </c>
      <c r="AD838" s="4" t="s">
        <v>2642</v>
      </c>
      <c r="AE838" s="4" t="s">
        <v>2643</v>
      </c>
      <c r="AF838" s="4" t="s">
        <v>1818</v>
      </c>
    </row>
    <row r="839" spans="1:35" ht="18" x14ac:dyDescent="0.3">
      <c r="A839" s="25" t="s">
        <v>2644</v>
      </c>
      <c r="B839" s="25"/>
      <c r="C839" s="30" t="s">
        <v>2645</v>
      </c>
      <c r="D839" s="27"/>
      <c r="E839" s="27"/>
      <c r="F839" s="31" t="s">
        <v>116</v>
      </c>
      <c r="G839" s="32">
        <v>0.75</v>
      </c>
      <c r="H839" s="27"/>
      <c r="I839" s="32">
        <v>28.274999999999999</v>
      </c>
      <c r="J839" s="34">
        <v>2.8</v>
      </c>
      <c r="K839" s="35"/>
      <c r="L839" s="35"/>
      <c r="M839" s="34">
        <f t="shared" si="64"/>
        <v>79.17</v>
      </c>
      <c r="N839" s="35"/>
      <c r="O839" s="35"/>
      <c r="P839" s="34">
        <v>2.8</v>
      </c>
      <c r="Q839" s="35"/>
      <c r="R839" s="35"/>
      <c r="S839" s="34">
        <f t="shared" si="65"/>
        <v>79.17</v>
      </c>
      <c r="T839" s="35"/>
      <c r="U839" s="36"/>
      <c r="V839" s="9">
        <f t="shared" si="66"/>
        <v>2.33</v>
      </c>
      <c r="Y839" s="9">
        <f t="shared" ref="Y839:Y870" si="67">ROUND(S839 / 1.2, 2)</f>
        <v>65.98</v>
      </c>
      <c r="AD839" s="4" t="s">
        <v>2646</v>
      </c>
      <c r="AE839" s="4" t="s">
        <v>2647</v>
      </c>
      <c r="AF839" s="4" t="s">
        <v>2648</v>
      </c>
    </row>
    <row r="840" spans="1:35" ht="36" x14ac:dyDescent="0.3">
      <c r="A840" s="25" t="s">
        <v>2649</v>
      </c>
      <c r="B840" s="25" t="s">
        <v>2585</v>
      </c>
      <c r="C840" s="26" t="s">
        <v>2586</v>
      </c>
      <c r="D840" s="27"/>
      <c r="E840" s="27" t="s">
        <v>2650</v>
      </c>
      <c r="F840" s="27" t="s">
        <v>64</v>
      </c>
      <c r="G840" s="28">
        <v>1</v>
      </c>
      <c r="H840" s="27"/>
      <c r="I840" s="28">
        <v>31.97</v>
      </c>
      <c r="J840" s="29">
        <f>IFERROR(ROUND(SUM(M841,M842,M843,M844,M845,M846,M847,M848,M849,M850,M851,M852)/I840, 2),0)</f>
        <v>470.69</v>
      </c>
      <c r="K840" s="29">
        <v>1199</v>
      </c>
      <c r="L840" s="29">
        <f>J840+ROUND(K840, 2)</f>
        <v>1669.69</v>
      </c>
      <c r="M840" s="29">
        <f>ROUND(J840*I840, 2)</f>
        <v>15047.96</v>
      </c>
      <c r="N840" s="29">
        <f>ROUND(I840*ROUND(K840, 2), 2)</f>
        <v>38332.03</v>
      </c>
      <c r="O840" s="29">
        <f>M840+N840</f>
        <v>53379.99</v>
      </c>
      <c r="P840" s="29">
        <f>IFERROR(ROUND(SUM(S841,S842,S843,S844,S845,S846,S847,S848,S849,S850,S851,S852)/I840, 2),0)</f>
        <v>470.69</v>
      </c>
      <c r="Q840" s="29">
        <v>1199</v>
      </c>
      <c r="R840" s="29">
        <f>P840+ROUND(Q840, 2)</f>
        <v>1669.69</v>
      </c>
      <c r="S840" s="29">
        <f>ROUND(P840*I840, 2)</f>
        <v>15047.96</v>
      </c>
      <c r="T840" s="29">
        <f>ROUND(I840*ROUND(Q840, 2), 2)</f>
        <v>38332.03</v>
      </c>
      <c r="U840" s="29">
        <f>S840+T840</f>
        <v>53379.99</v>
      </c>
      <c r="V840" s="9">
        <f>ROUND(P840 / 1.2, 2)</f>
        <v>392.24</v>
      </c>
      <c r="W840" s="9">
        <f>ROUND(Q840 / 1.2, 2)</f>
        <v>999.17</v>
      </c>
      <c r="X840" s="9">
        <f>ROUND(R840 / 1.2, 2)</f>
        <v>1391.41</v>
      </c>
      <c r="Y840" s="9">
        <f t="shared" si="67"/>
        <v>12539.97</v>
      </c>
      <c r="Z840" s="9">
        <f>ROUND(T840 / 1.2, 2)</f>
        <v>31943.360000000001</v>
      </c>
      <c r="AA840" s="9">
        <f>Y840+Z840</f>
        <v>44483.33</v>
      </c>
      <c r="AD840" s="4">
        <v>271132300</v>
      </c>
      <c r="AE840" s="4">
        <v>19825684</v>
      </c>
      <c r="AG840" s="4" t="s">
        <v>2588</v>
      </c>
      <c r="AH840" s="4" t="s">
        <v>2589</v>
      </c>
      <c r="AI840" s="4" t="s">
        <v>67</v>
      </c>
    </row>
    <row r="841" spans="1:35" ht="18" x14ac:dyDescent="0.3">
      <c r="A841" s="25" t="s">
        <v>2651</v>
      </c>
      <c r="B841" s="25"/>
      <c r="C841" s="30" t="s">
        <v>2645</v>
      </c>
      <c r="D841" s="27"/>
      <c r="E841" s="27"/>
      <c r="F841" s="31" t="s">
        <v>116</v>
      </c>
      <c r="G841" s="32">
        <v>0.75</v>
      </c>
      <c r="H841" s="27"/>
      <c r="I841" s="32">
        <v>23.978000000000002</v>
      </c>
      <c r="J841" s="34">
        <v>2.8</v>
      </c>
      <c r="K841" s="35"/>
      <c r="L841" s="35"/>
      <c r="M841" s="34">
        <f t="shared" ref="M841:M852" si="68">ROUND(ROUND(J841, 2)*I841, 2)</f>
        <v>67.14</v>
      </c>
      <c r="N841" s="35"/>
      <c r="O841" s="35"/>
      <c r="P841" s="34">
        <v>2.8</v>
      </c>
      <c r="Q841" s="35"/>
      <c r="R841" s="35"/>
      <c r="S841" s="34">
        <f t="shared" ref="S841:S852" si="69">ROUND(ROUND(P841, 2)*I841, 2)</f>
        <v>67.14</v>
      </c>
      <c r="T841" s="35"/>
      <c r="U841" s="36"/>
      <c r="V841" s="9">
        <f t="shared" ref="V841:V852" si="70">ROUND(ROUND(P841, 2)/1.2, 2)</f>
        <v>2.33</v>
      </c>
      <c r="Y841" s="9">
        <f t="shared" si="67"/>
        <v>55.95</v>
      </c>
      <c r="AD841" s="4" t="s">
        <v>2652</v>
      </c>
      <c r="AE841" s="4" t="s">
        <v>2653</v>
      </c>
      <c r="AF841" s="4" t="s">
        <v>2648</v>
      </c>
    </row>
    <row r="842" spans="1:35" ht="36" x14ac:dyDescent="0.3">
      <c r="A842" s="25" t="s">
        <v>2654</v>
      </c>
      <c r="B842" s="25"/>
      <c r="C842" s="30" t="s">
        <v>433</v>
      </c>
      <c r="D842" s="27"/>
      <c r="E842" s="27"/>
      <c r="F842" s="31" t="s">
        <v>70</v>
      </c>
      <c r="G842" s="32">
        <v>0.1</v>
      </c>
      <c r="H842" s="27"/>
      <c r="I842" s="32">
        <v>3.1970000000000001</v>
      </c>
      <c r="J842" s="34">
        <v>88.8</v>
      </c>
      <c r="K842" s="35"/>
      <c r="L842" s="35"/>
      <c r="M842" s="34">
        <f t="shared" si="68"/>
        <v>283.89</v>
      </c>
      <c r="N842" s="35"/>
      <c r="O842" s="35"/>
      <c r="P842" s="34">
        <v>88.8</v>
      </c>
      <c r="Q842" s="35"/>
      <c r="R842" s="35"/>
      <c r="S842" s="34">
        <f t="shared" si="69"/>
        <v>283.89</v>
      </c>
      <c r="T842" s="35"/>
      <c r="U842" s="36"/>
      <c r="V842" s="9">
        <f t="shared" si="70"/>
        <v>74</v>
      </c>
      <c r="Y842" s="9">
        <f t="shared" si="67"/>
        <v>236.58</v>
      </c>
      <c r="AD842" s="4" t="s">
        <v>2655</v>
      </c>
      <c r="AE842" s="4" t="s">
        <v>2656</v>
      </c>
      <c r="AF842" s="4" t="s">
        <v>436</v>
      </c>
    </row>
    <row r="843" spans="1:35" ht="18" x14ac:dyDescent="0.3">
      <c r="A843" s="25" t="s">
        <v>2657</v>
      </c>
      <c r="B843" s="25"/>
      <c r="C843" s="30" t="s">
        <v>2634</v>
      </c>
      <c r="D843" s="27"/>
      <c r="E843" s="27"/>
      <c r="F843" s="31" t="s">
        <v>87</v>
      </c>
      <c r="G843" s="32">
        <v>1.25</v>
      </c>
      <c r="H843" s="27"/>
      <c r="I843" s="32">
        <v>39.963000000000001</v>
      </c>
      <c r="J843" s="34">
        <v>2.8</v>
      </c>
      <c r="K843" s="35"/>
      <c r="L843" s="35"/>
      <c r="M843" s="34">
        <f t="shared" si="68"/>
        <v>111.9</v>
      </c>
      <c r="N843" s="35"/>
      <c r="O843" s="35"/>
      <c r="P843" s="34">
        <v>2.8</v>
      </c>
      <c r="Q843" s="35"/>
      <c r="R843" s="35"/>
      <c r="S843" s="34">
        <f t="shared" si="69"/>
        <v>111.9</v>
      </c>
      <c r="T843" s="35"/>
      <c r="U843" s="36"/>
      <c r="V843" s="9">
        <f t="shared" si="70"/>
        <v>2.33</v>
      </c>
      <c r="Y843" s="9">
        <f t="shared" si="67"/>
        <v>93.25</v>
      </c>
      <c r="AD843" s="4" t="s">
        <v>2658</v>
      </c>
      <c r="AE843" s="4" t="s">
        <v>2659</v>
      </c>
      <c r="AF843" s="4" t="s">
        <v>2637</v>
      </c>
    </row>
    <row r="844" spans="1:35" ht="18" x14ac:dyDescent="0.3">
      <c r="A844" s="25" t="s">
        <v>2660</v>
      </c>
      <c r="B844" s="25"/>
      <c r="C844" s="30" t="s">
        <v>2629</v>
      </c>
      <c r="D844" s="27"/>
      <c r="E844" s="27"/>
      <c r="F844" s="31" t="s">
        <v>87</v>
      </c>
      <c r="G844" s="32">
        <v>1.05</v>
      </c>
      <c r="H844" s="27"/>
      <c r="I844" s="32">
        <v>33.569000000000003</v>
      </c>
      <c r="J844" s="34">
        <v>4.5999999999999996</v>
      </c>
      <c r="K844" s="35"/>
      <c r="L844" s="35"/>
      <c r="M844" s="34">
        <f t="shared" si="68"/>
        <v>154.41999999999999</v>
      </c>
      <c r="N844" s="35"/>
      <c r="O844" s="35"/>
      <c r="P844" s="34">
        <v>4.5999999999999996</v>
      </c>
      <c r="Q844" s="35"/>
      <c r="R844" s="35"/>
      <c r="S844" s="34">
        <f t="shared" si="69"/>
        <v>154.41999999999999</v>
      </c>
      <c r="T844" s="35"/>
      <c r="U844" s="36"/>
      <c r="V844" s="9">
        <f t="shared" si="70"/>
        <v>3.83</v>
      </c>
      <c r="Y844" s="9">
        <f t="shared" si="67"/>
        <v>128.68</v>
      </c>
      <c r="AD844" s="4" t="s">
        <v>2661</v>
      </c>
      <c r="AE844" s="4" t="s">
        <v>2662</v>
      </c>
      <c r="AF844" s="4" t="s">
        <v>2632</v>
      </c>
    </row>
    <row r="845" spans="1:35" ht="18" x14ac:dyDescent="0.3">
      <c r="A845" s="25" t="s">
        <v>2663</v>
      </c>
      <c r="B845" s="25"/>
      <c r="C845" s="30" t="s">
        <v>1856</v>
      </c>
      <c r="D845" s="27"/>
      <c r="E845" s="27"/>
      <c r="F845" s="31" t="s">
        <v>64</v>
      </c>
      <c r="G845" s="32">
        <v>1.05</v>
      </c>
      <c r="H845" s="27"/>
      <c r="I845" s="32">
        <v>33.569000000000003</v>
      </c>
      <c r="J845" s="34">
        <v>0</v>
      </c>
      <c r="K845" s="35"/>
      <c r="L845" s="35"/>
      <c r="M845" s="34">
        <f t="shared" si="68"/>
        <v>0</v>
      </c>
      <c r="N845" s="35"/>
      <c r="O845" s="35"/>
      <c r="P845" s="34">
        <v>0</v>
      </c>
      <c r="Q845" s="35"/>
      <c r="R845" s="35"/>
      <c r="S845" s="34">
        <f t="shared" si="69"/>
        <v>0</v>
      </c>
      <c r="T845" s="35"/>
      <c r="U845" s="36"/>
      <c r="V845" s="9">
        <f t="shared" si="70"/>
        <v>0</v>
      </c>
      <c r="Y845" s="9">
        <f t="shared" si="67"/>
        <v>0</v>
      </c>
      <c r="AD845" s="4" t="s">
        <v>2664</v>
      </c>
      <c r="AE845" s="4" t="s">
        <v>2665</v>
      </c>
      <c r="AF845" s="4" t="s">
        <v>1859</v>
      </c>
    </row>
    <row r="846" spans="1:35" ht="18" x14ac:dyDescent="0.3">
      <c r="A846" s="25" t="s">
        <v>2666</v>
      </c>
      <c r="B846" s="25"/>
      <c r="C846" s="17" t="s">
        <v>2624</v>
      </c>
      <c r="D846" s="27"/>
      <c r="E846" s="27"/>
      <c r="F846" s="31" t="s">
        <v>116</v>
      </c>
      <c r="G846" s="32">
        <v>4.2</v>
      </c>
      <c r="H846" s="27"/>
      <c r="I846" s="32">
        <v>134.274</v>
      </c>
      <c r="J846" s="34">
        <v>5.41</v>
      </c>
      <c r="K846" s="35"/>
      <c r="L846" s="35"/>
      <c r="M846" s="34">
        <f t="shared" si="68"/>
        <v>726.42</v>
      </c>
      <c r="N846" s="35"/>
      <c r="O846" s="35"/>
      <c r="P846" s="34">
        <v>5.41</v>
      </c>
      <c r="Q846" s="35"/>
      <c r="R846" s="35"/>
      <c r="S846" s="34">
        <f t="shared" si="69"/>
        <v>726.42</v>
      </c>
      <c r="T846" s="35"/>
      <c r="U846" s="36"/>
      <c r="V846" s="9">
        <f t="shared" si="70"/>
        <v>4.51</v>
      </c>
      <c r="Y846" s="9">
        <f t="shared" si="67"/>
        <v>605.35</v>
      </c>
      <c r="AD846" s="4" t="s">
        <v>2667</v>
      </c>
      <c r="AE846" s="4" t="s">
        <v>2668</v>
      </c>
      <c r="AF846" s="4" t="s">
        <v>2627</v>
      </c>
    </row>
    <row r="847" spans="1:35" ht="18" x14ac:dyDescent="0.3">
      <c r="A847" s="25" t="s">
        <v>2669</v>
      </c>
      <c r="B847" s="25"/>
      <c r="C847" s="30" t="s">
        <v>2614</v>
      </c>
      <c r="D847" s="27"/>
      <c r="E847" s="27"/>
      <c r="F847" s="31" t="s">
        <v>87</v>
      </c>
      <c r="G847" s="32">
        <v>0.3</v>
      </c>
      <c r="H847" s="27"/>
      <c r="I847" s="32">
        <v>9.5909999999999993</v>
      </c>
      <c r="J847" s="34">
        <v>49.04</v>
      </c>
      <c r="K847" s="35"/>
      <c r="L847" s="35"/>
      <c r="M847" s="34">
        <f t="shared" si="68"/>
        <v>470.34</v>
      </c>
      <c r="N847" s="35"/>
      <c r="O847" s="35"/>
      <c r="P847" s="34">
        <v>49.04</v>
      </c>
      <c r="Q847" s="35"/>
      <c r="R847" s="35"/>
      <c r="S847" s="34">
        <f t="shared" si="69"/>
        <v>470.34</v>
      </c>
      <c r="T847" s="35"/>
      <c r="U847" s="36"/>
      <c r="V847" s="9">
        <f t="shared" si="70"/>
        <v>40.869999999999997</v>
      </c>
      <c r="Y847" s="9">
        <f t="shared" si="67"/>
        <v>391.95</v>
      </c>
      <c r="AD847" s="4" t="s">
        <v>2670</v>
      </c>
      <c r="AE847" s="4" t="s">
        <v>2671</v>
      </c>
      <c r="AF847" s="4" t="s">
        <v>2617</v>
      </c>
    </row>
    <row r="848" spans="1:35" ht="18" x14ac:dyDescent="0.3">
      <c r="A848" s="25" t="s">
        <v>2672</v>
      </c>
      <c r="B848" s="25"/>
      <c r="C848" s="30" t="s">
        <v>2619</v>
      </c>
      <c r="D848" s="27"/>
      <c r="E848" s="27"/>
      <c r="F848" s="31" t="s">
        <v>87</v>
      </c>
      <c r="G848" s="32">
        <v>4.7</v>
      </c>
      <c r="H848" s="27"/>
      <c r="I848" s="32">
        <v>150.25899999999999</v>
      </c>
      <c r="J848" s="34">
        <v>66.98</v>
      </c>
      <c r="K848" s="35"/>
      <c r="L848" s="35"/>
      <c r="M848" s="34">
        <f t="shared" si="68"/>
        <v>10064.35</v>
      </c>
      <c r="N848" s="35"/>
      <c r="O848" s="35"/>
      <c r="P848" s="34">
        <v>66.98</v>
      </c>
      <c r="Q848" s="35"/>
      <c r="R848" s="35"/>
      <c r="S848" s="34">
        <f t="shared" si="69"/>
        <v>10064.35</v>
      </c>
      <c r="T848" s="35"/>
      <c r="U848" s="36"/>
      <c r="V848" s="9">
        <f t="shared" si="70"/>
        <v>55.82</v>
      </c>
      <c r="Y848" s="9">
        <f t="shared" si="67"/>
        <v>8386.9599999999991</v>
      </c>
      <c r="AD848" s="4" t="s">
        <v>2673</v>
      </c>
      <c r="AE848" s="4" t="s">
        <v>2674</v>
      </c>
      <c r="AF848" s="4" t="s">
        <v>2622</v>
      </c>
    </row>
    <row r="849" spans="1:35" ht="36" x14ac:dyDescent="0.3">
      <c r="A849" s="25" t="s">
        <v>2675</v>
      </c>
      <c r="B849" s="25"/>
      <c r="C849" s="17" t="s">
        <v>2609</v>
      </c>
      <c r="D849" s="27"/>
      <c r="E849" s="27"/>
      <c r="F849" s="31" t="s">
        <v>116</v>
      </c>
      <c r="G849" s="32">
        <v>3.6</v>
      </c>
      <c r="H849" s="27"/>
      <c r="I849" s="32">
        <v>115.092</v>
      </c>
      <c r="J849" s="34">
        <v>15.9</v>
      </c>
      <c r="K849" s="35"/>
      <c r="L849" s="35"/>
      <c r="M849" s="34">
        <f t="shared" si="68"/>
        <v>1829.96</v>
      </c>
      <c r="N849" s="35"/>
      <c r="O849" s="35"/>
      <c r="P849" s="34">
        <v>15.9</v>
      </c>
      <c r="Q849" s="35"/>
      <c r="R849" s="35"/>
      <c r="S849" s="34">
        <f t="shared" si="69"/>
        <v>1829.96</v>
      </c>
      <c r="T849" s="35"/>
      <c r="U849" s="36"/>
      <c r="V849" s="9">
        <f t="shared" si="70"/>
        <v>13.25</v>
      </c>
      <c r="Y849" s="9">
        <f t="shared" si="67"/>
        <v>1524.97</v>
      </c>
      <c r="AD849" s="4" t="s">
        <v>2676</v>
      </c>
      <c r="AE849" s="4" t="s">
        <v>2677</v>
      </c>
      <c r="AF849" s="4" t="s">
        <v>2612</v>
      </c>
    </row>
    <row r="850" spans="1:35" ht="18" x14ac:dyDescent="0.3">
      <c r="A850" s="25" t="s">
        <v>2678</v>
      </c>
      <c r="B850" s="25"/>
      <c r="C850" s="30" t="s">
        <v>1805</v>
      </c>
      <c r="D850" s="27"/>
      <c r="E850" s="27"/>
      <c r="F850" s="31" t="s">
        <v>70</v>
      </c>
      <c r="G850" s="32">
        <v>0.35</v>
      </c>
      <c r="H850" s="27"/>
      <c r="I850" s="32">
        <v>11.19</v>
      </c>
      <c r="J850" s="34">
        <v>55</v>
      </c>
      <c r="K850" s="35"/>
      <c r="L850" s="35"/>
      <c r="M850" s="34">
        <f t="shared" si="68"/>
        <v>615.45000000000005</v>
      </c>
      <c r="N850" s="35"/>
      <c r="O850" s="35"/>
      <c r="P850" s="34">
        <v>55</v>
      </c>
      <c r="Q850" s="35"/>
      <c r="R850" s="35"/>
      <c r="S850" s="34">
        <f t="shared" si="69"/>
        <v>615.45000000000005</v>
      </c>
      <c r="T850" s="35"/>
      <c r="U850" s="36"/>
      <c r="V850" s="9">
        <f t="shared" si="70"/>
        <v>45.83</v>
      </c>
      <c r="Y850" s="9">
        <f t="shared" si="67"/>
        <v>512.88</v>
      </c>
      <c r="AD850" s="4" t="s">
        <v>2679</v>
      </c>
      <c r="AE850" s="4" t="s">
        <v>2680</v>
      </c>
      <c r="AF850" s="4" t="s">
        <v>1808</v>
      </c>
    </row>
    <row r="851" spans="1:35" ht="18" x14ac:dyDescent="0.3">
      <c r="A851" s="25" t="s">
        <v>2681</v>
      </c>
      <c r="B851" s="25"/>
      <c r="C851" s="30" t="s">
        <v>2596</v>
      </c>
      <c r="D851" s="27"/>
      <c r="E851" s="27"/>
      <c r="F851" s="31" t="s">
        <v>116</v>
      </c>
      <c r="G851" s="32">
        <v>30</v>
      </c>
      <c r="H851" s="27"/>
      <c r="I851" s="32">
        <v>959.1</v>
      </c>
      <c r="J851" s="34">
        <v>0.28000000000000003</v>
      </c>
      <c r="K851" s="35"/>
      <c r="L851" s="35"/>
      <c r="M851" s="34">
        <f t="shared" si="68"/>
        <v>268.55</v>
      </c>
      <c r="N851" s="35"/>
      <c r="O851" s="35"/>
      <c r="P851" s="34">
        <v>0.28000000000000003</v>
      </c>
      <c r="Q851" s="35"/>
      <c r="R851" s="35"/>
      <c r="S851" s="34">
        <f t="shared" si="69"/>
        <v>268.55</v>
      </c>
      <c r="T851" s="35"/>
      <c r="U851" s="36"/>
      <c r="V851" s="9">
        <f t="shared" si="70"/>
        <v>0.23</v>
      </c>
      <c r="Y851" s="9">
        <f t="shared" si="67"/>
        <v>223.79</v>
      </c>
      <c r="AD851" s="4" t="s">
        <v>2682</v>
      </c>
      <c r="AE851" s="4" t="s">
        <v>2683</v>
      </c>
      <c r="AF851" s="4" t="s">
        <v>2599</v>
      </c>
    </row>
    <row r="852" spans="1:35" ht="18" x14ac:dyDescent="0.3">
      <c r="A852" s="25" t="s">
        <v>2684</v>
      </c>
      <c r="B852" s="25"/>
      <c r="C852" s="30" t="s">
        <v>2591</v>
      </c>
      <c r="D852" s="27"/>
      <c r="E852" s="27"/>
      <c r="F852" s="31" t="s">
        <v>116</v>
      </c>
      <c r="G852" s="32">
        <v>15</v>
      </c>
      <c r="H852" s="27"/>
      <c r="I852" s="32">
        <v>479.55</v>
      </c>
      <c r="J852" s="34">
        <v>0.95</v>
      </c>
      <c r="K852" s="35"/>
      <c r="L852" s="35"/>
      <c r="M852" s="34">
        <f t="shared" si="68"/>
        <v>455.57</v>
      </c>
      <c r="N852" s="35"/>
      <c r="O852" s="35"/>
      <c r="P852" s="34">
        <v>0.95</v>
      </c>
      <c r="Q852" s="35"/>
      <c r="R852" s="35"/>
      <c r="S852" s="34">
        <f t="shared" si="69"/>
        <v>455.57</v>
      </c>
      <c r="T852" s="35"/>
      <c r="U852" s="36"/>
      <c r="V852" s="9">
        <f t="shared" si="70"/>
        <v>0.79</v>
      </c>
      <c r="Y852" s="9">
        <f t="shared" si="67"/>
        <v>379.64</v>
      </c>
      <c r="AD852" s="4" t="s">
        <v>2685</v>
      </c>
      <c r="AE852" s="4" t="s">
        <v>2686</v>
      </c>
      <c r="AF852" s="4" t="s">
        <v>2594</v>
      </c>
    </row>
    <row r="853" spans="1:35" ht="36" x14ac:dyDescent="0.3">
      <c r="A853" s="25" t="s">
        <v>2687</v>
      </c>
      <c r="B853" s="25" t="s">
        <v>2585</v>
      </c>
      <c r="C853" s="26" t="s">
        <v>2586</v>
      </c>
      <c r="D853" s="27"/>
      <c r="E853" s="27" t="s">
        <v>2688</v>
      </c>
      <c r="F853" s="27" t="s">
        <v>64</v>
      </c>
      <c r="G853" s="28">
        <v>1</v>
      </c>
      <c r="H853" s="27"/>
      <c r="I853" s="28">
        <v>246.36</v>
      </c>
      <c r="J853" s="29">
        <f>IFERROR(ROUND(SUM(M854,M855,M856,M857,M858,M859,M860,M861,M862,M863,M864)/I853, 2),0)</f>
        <v>586.54999999999995</v>
      </c>
      <c r="K853" s="29">
        <v>1199</v>
      </c>
      <c r="L853" s="29">
        <f>J853+ROUND(K853, 2)</f>
        <v>1785.55</v>
      </c>
      <c r="M853" s="29">
        <f>ROUND(J853*I853, 2)</f>
        <v>144502.46</v>
      </c>
      <c r="N853" s="29">
        <f>ROUND(I853*ROUND(K853, 2), 2)</f>
        <v>295385.64</v>
      </c>
      <c r="O853" s="29">
        <f>M853+N853</f>
        <v>439888.1</v>
      </c>
      <c r="P853" s="29">
        <f>IFERROR(ROUND(SUM(S854,S855,S856,S857,S858,S859,S860,S861,S862,S863,S864)/I853, 2),0)</f>
        <v>586.54999999999995</v>
      </c>
      <c r="Q853" s="29">
        <v>1199</v>
      </c>
      <c r="R853" s="29">
        <f>P853+ROUND(Q853, 2)</f>
        <v>1785.55</v>
      </c>
      <c r="S853" s="29">
        <f>ROUND(P853*I853, 2)</f>
        <v>144502.46</v>
      </c>
      <c r="T853" s="29">
        <f>ROUND(I853*ROUND(Q853, 2), 2)</f>
        <v>295385.64</v>
      </c>
      <c r="U853" s="29">
        <f>S853+T853</f>
        <v>439888.1</v>
      </c>
      <c r="V853" s="9">
        <f>ROUND(P853 / 1.2, 2)</f>
        <v>488.79</v>
      </c>
      <c r="W853" s="9">
        <f>ROUND(Q853 / 1.2, 2)</f>
        <v>999.17</v>
      </c>
      <c r="X853" s="9">
        <f>ROUND(R853 / 1.2, 2)</f>
        <v>1487.96</v>
      </c>
      <c r="Y853" s="9">
        <f t="shared" si="67"/>
        <v>120418.72</v>
      </c>
      <c r="Z853" s="9">
        <f>ROUND(T853 / 1.2, 2)</f>
        <v>246154.7</v>
      </c>
      <c r="AA853" s="9">
        <f>Y853+Z853</f>
        <v>366573.42</v>
      </c>
      <c r="AD853" s="4">
        <v>271132301</v>
      </c>
      <c r="AE853" s="4">
        <v>20004302</v>
      </c>
      <c r="AG853" s="4" t="s">
        <v>2588</v>
      </c>
      <c r="AH853" s="4" t="s">
        <v>2589</v>
      </c>
      <c r="AI853" s="4" t="s">
        <v>67</v>
      </c>
    </row>
    <row r="854" spans="1:35" ht="18" x14ac:dyDescent="0.3">
      <c r="A854" s="25" t="s">
        <v>2689</v>
      </c>
      <c r="B854" s="25"/>
      <c r="C854" s="30" t="s">
        <v>2645</v>
      </c>
      <c r="D854" s="27"/>
      <c r="E854" s="27"/>
      <c r="F854" s="31" t="s">
        <v>116</v>
      </c>
      <c r="G854" s="32">
        <v>0.75</v>
      </c>
      <c r="H854" s="27"/>
      <c r="I854" s="32">
        <v>184.77</v>
      </c>
      <c r="J854" s="34">
        <v>2.8</v>
      </c>
      <c r="K854" s="35"/>
      <c r="L854" s="35"/>
      <c r="M854" s="34">
        <f t="shared" ref="M854:M864" si="71">ROUND(ROUND(J854, 2)*I854, 2)</f>
        <v>517.36</v>
      </c>
      <c r="N854" s="35"/>
      <c r="O854" s="35"/>
      <c r="P854" s="34">
        <v>2.8</v>
      </c>
      <c r="Q854" s="35"/>
      <c r="R854" s="35"/>
      <c r="S854" s="34">
        <f t="shared" ref="S854:S864" si="72">ROUND(ROUND(P854, 2)*I854, 2)</f>
        <v>517.36</v>
      </c>
      <c r="T854" s="35"/>
      <c r="U854" s="36"/>
      <c r="V854" s="9">
        <f t="shared" ref="V854:V864" si="73">ROUND(ROUND(P854, 2)/1.2, 2)</f>
        <v>2.33</v>
      </c>
      <c r="Y854" s="9">
        <f t="shared" si="67"/>
        <v>431.13</v>
      </c>
      <c r="AD854" s="4" t="s">
        <v>2690</v>
      </c>
      <c r="AE854" s="4" t="s">
        <v>2691</v>
      </c>
      <c r="AF854" s="4" t="s">
        <v>2648</v>
      </c>
    </row>
    <row r="855" spans="1:35" ht="36" x14ac:dyDescent="0.3">
      <c r="A855" s="25" t="s">
        <v>2692</v>
      </c>
      <c r="B855" s="25"/>
      <c r="C855" s="30" t="s">
        <v>1815</v>
      </c>
      <c r="D855" s="27"/>
      <c r="E855" s="27"/>
      <c r="F855" s="31" t="s">
        <v>64</v>
      </c>
      <c r="G855" s="32">
        <v>1.05</v>
      </c>
      <c r="H855" s="27"/>
      <c r="I855" s="32">
        <v>258.678</v>
      </c>
      <c r="J855" s="34">
        <v>135.53</v>
      </c>
      <c r="K855" s="35"/>
      <c r="L855" s="35"/>
      <c r="M855" s="34">
        <f t="shared" si="71"/>
        <v>35058.629999999997</v>
      </c>
      <c r="N855" s="35"/>
      <c r="O855" s="35"/>
      <c r="P855" s="34">
        <v>135.53</v>
      </c>
      <c r="Q855" s="35"/>
      <c r="R855" s="35"/>
      <c r="S855" s="34">
        <f t="shared" si="72"/>
        <v>35058.629999999997</v>
      </c>
      <c r="T855" s="35"/>
      <c r="U855" s="36"/>
      <c r="V855" s="9">
        <f t="shared" si="73"/>
        <v>112.94</v>
      </c>
      <c r="Y855" s="9">
        <f t="shared" si="67"/>
        <v>29215.53</v>
      </c>
      <c r="AD855" s="4" t="s">
        <v>2693</v>
      </c>
      <c r="AE855" s="4" t="s">
        <v>2694</v>
      </c>
      <c r="AF855" s="4" t="s">
        <v>1818</v>
      </c>
    </row>
    <row r="856" spans="1:35" ht="18" x14ac:dyDescent="0.3">
      <c r="A856" s="25" t="s">
        <v>2695</v>
      </c>
      <c r="B856" s="25"/>
      <c r="C856" s="30" t="s">
        <v>2634</v>
      </c>
      <c r="D856" s="27"/>
      <c r="E856" s="27"/>
      <c r="F856" s="31" t="s">
        <v>87</v>
      </c>
      <c r="G856" s="32">
        <v>1.25</v>
      </c>
      <c r="H856" s="27"/>
      <c r="I856" s="32">
        <v>307.95</v>
      </c>
      <c r="J856" s="34">
        <v>2.8</v>
      </c>
      <c r="K856" s="35"/>
      <c r="L856" s="35"/>
      <c r="M856" s="34">
        <f t="shared" si="71"/>
        <v>862.26</v>
      </c>
      <c r="N856" s="35"/>
      <c r="O856" s="35"/>
      <c r="P856" s="34">
        <v>2.8</v>
      </c>
      <c r="Q856" s="35"/>
      <c r="R856" s="35"/>
      <c r="S856" s="34">
        <f t="shared" si="72"/>
        <v>862.26</v>
      </c>
      <c r="T856" s="35"/>
      <c r="U856" s="36"/>
      <c r="V856" s="9">
        <f t="shared" si="73"/>
        <v>2.33</v>
      </c>
      <c r="Y856" s="9">
        <f t="shared" si="67"/>
        <v>718.55</v>
      </c>
      <c r="AD856" s="4" t="s">
        <v>2696</v>
      </c>
      <c r="AE856" s="4" t="s">
        <v>2697</v>
      </c>
      <c r="AF856" s="4" t="s">
        <v>2637</v>
      </c>
    </row>
    <row r="857" spans="1:35" ht="18" x14ac:dyDescent="0.3">
      <c r="A857" s="25" t="s">
        <v>2698</v>
      </c>
      <c r="B857" s="25"/>
      <c r="C857" s="30" t="s">
        <v>2629</v>
      </c>
      <c r="D857" s="27"/>
      <c r="E857" s="27"/>
      <c r="F857" s="31" t="s">
        <v>87</v>
      </c>
      <c r="G857" s="32">
        <v>1.05</v>
      </c>
      <c r="H857" s="27"/>
      <c r="I857" s="32">
        <v>258.678</v>
      </c>
      <c r="J857" s="34">
        <v>4.5999999999999996</v>
      </c>
      <c r="K857" s="35"/>
      <c r="L857" s="35"/>
      <c r="M857" s="34">
        <f t="shared" si="71"/>
        <v>1189.92</v>
      </c>
      <c r="N857" s="35"/>
      <c r="O857" s="35"/>
      <c r="P857" s="34">
        <v>4.5999999999999996</v>
      </c>
      <c r="Q857" s="35"/>
      <c r="R857" s="35"/>
      <c r="S857" s="34">
        <f t="shared" si="72"/>
        <v>1189.92</v>
      </c>
      <c r="T857" s="35"/>
      <c r="U857" s="36"/>
      <c r="V857" s="9">
        <f t="shared" si="73"/>
        <v>3.83</v>
      </c>
      <c r="Y857" s="9">
        <f t="shared" si="67"/>
        <v>991.6</v>
      </c>
      <c r="AD857" s="4" t="s">
        <v>2699</v>
      </c>
      <c r="AE857" s="4" t="s">
        <v>2700</v>
      </c>
      <c r="AF857" s="4" t="s">
        <v>2632</v>
      </c>
    </row>
    <row r="858" spans="1:35" ht="18" x14ac:dyDescent="0.3">
      <c r="A858" s="25" t="s">
        <v>2701</v>
      </c>
      <c r="B858" s="25"/>
      <c r="C858" s="17" t="s">
        <v>2624</v>
      </c>
      <c r="D858" s="27"/>
      <c r="E858" s="27"/>
      <c r="F858" s="31" t="s">
        <v>116</v>
      </c>
      <c r="G858" s="32">
        <v>4.2</v>
      </c>
      <c r="H858" s="27"/>
      <c r="I858" s="32">
        <v>1034.712</v>
      </c>
      <c r="J858" s="34">
        <v>5.41</v>
      </c>
      <c r="K858" s="35"/>
      <c r="L858" s="35"/>
      <c r="M858" s="34">
        <f t="shared" si="71"/>
        <v>5597.79</v>
      </c>
      <c r="N858" s="35"/>
      <c r="O858" s="35"/>
      <c r="P858" s="34">
        <v>5.41</v>
      </c>
      <c r="Q858" s="35"/>
      <c r="R858" s="35"/>
      <c r="S858" s="34">
        <f t="shared" si="72"/>
        <v>5597.79</v>
      </c>
      <c r="T858" s="35"/>
      <c r="U858" s="36"/>
      <c r="V858" s="9">
        <f t="shared" si="73"/>
        <v>4.51</v>
      </c>
      <c r="Y858" s="9">
        <f t="shared" si="67"/>
        <v>4664.83</v>
      </c>
      <c r="AD858" s="4" t="s">
        <v>2702</v>
      </c>
      <c r="AE858" s="4" t="s">
        <v>2703</v>
      </c>
      <c r="AF858" s="4" t="s">
        <v>2627</v>
      </c>
    </row>
    <row r="859" spans="1:35" ht="18" x14ac:dyDescent="0.3">
      <c r="A859" s="25" t="s">
        <v>2704</v>
      </c>
      <c r="B859" s="25"/>
      <c r="C859" s="30" t="s">
        <v>2614</v>
      </c>
      <c r="D859" s="27"/>
      <c r="E859" s="27"/>
      <c r="F859" s="31" t="s">
        <v>87</v>
      </c>
      <c r="G859" s="32">
        <v>0.3</v>
      </c>
      <c r="H859" s="27"/>
      <c r="I859" s="32">
        <v>73.908000000000001</v>
      </c>
      <c r="J859" s="34">
        <v>49.04</v>
      </c>
      <c r="K859" s="35"/>
      <c r="L859" s="35"/>
      <c r="M859" s="34">
        <f t="shared" si="71"/>
        <v>3624.45</v>
      </c>
      <c r="N859" s="35"/>
      <c r="O859" s="35"/>
      <c r="P859" s="34">
        <v>49.04</v>
      </c>
      <c r="Q859" s="35"/>
      <c r="R859" s="35"/>
      <c r="S859" s="34">
        <f t="shared" si="72"/>
        <v>3624.45</v>
      </c>
      <c r="T859" s="35"/>
      <c r="U859" s="36"/>
      <c r="V859" s="9">
        <f t="shared" si="73"/>
        <v>40.869999999999997</v>
      </c>
      <c r="Y859" s="9">
        <f t="shared" si="67"/>
        <v>3020.38</v>
      </c>
      <c r="AD859" s="4" t="s">
        <v>2705</v>
      </c>
      <c r="AE859" s="4" t="s">
        <v>2706</v>
      </c>
      <c r="AF859" s="4" t="s">
        <v>2617</v>
      </c>
    </row>
    <row r="860" spans="1:35" ht="18" x14ac:dyDescent="0.3">
      <c r="A860" s="25" t="s">
        <v>2707</v>
      </c>
      <c r="B860" s="25"/>
      <c r="C860" s="30" t="s">
        <v>2619</v>
      </c>
      <c r="D860" s="27"/>
      <c r="E860" s="27"/>
      <c r="F860" s="31" t="s">
        <v>87</v>
      </c>
      <c r="G860" s="32">
        <v>4.7</v>
      </c>
      <c r="H860" s="27"/>
      <c r="I860" s="32">
        <v>1157.8920000000001</v>
      </c>
      <c r="J860" s="34">
        <v>66.98</v>
      </c>
      <c r="K860" s="35"/>
      <c r="L860" s="35"/>
      <c r="M860" s="34">
        <f t="shared" si="71"/>
        <v>77555.61</v>
      </c>
      <c r="N860" s="35"/>
      <c r="O860" s="35"/>
      <c r="P860" s="34">
        <v>66.98</v>
      </c>
      <c r="Q860" s="35"/>
      <c r="R860" s="35"/>
      <c r="S860" s="34">
        <f t="shared" si="72"/>
        <v>77555.61</v>
      </c>
      <c r="T860" s="35"/>
      <c r="U860" s="36"/>
      <c r="V860" s="9">
        <f t="shared" si="73"/>
        <v>55.82</v>
      </c>
      <c r="Y860" s="9">
        <f t="shared" si="67"/>
        <v>64629.68</v>
      </c>
      <c r="AD860" s="4" t="s">
        <v>2708</v>
      </c>
      <c r="AE860" s="4" t="s">
        <v>2709</v>
      </c>
      <c r="AF860" s="4" t="s">
        <v>2622</v>
      </c>
    </row>
    <row r="861" spans="1:35" ht="36" x14ac:dyDescent="0.3">
      <c r="A861" s="25" t="s">
        <v>2710</v>
      </c>
      <c r="B861" s="25"/>
      <c r="C861" s="17" t="s">
        <v>2609</v>
      </c>
      <c r="D861" s="27"/>
      <c r="E861" s="27"/>
      <c r="F861" s="31" t="s">
        <v>116</v>
      </c>
      <c r="G861" s="32">
        <v>3.6</v>
      </c>
      <c r="H861" s="27"/>
      <c r="I861" s="32">
        <v>886.89599999999996</v>
      </c>
      <c r="J861" s="34">
        <v>15.9</v>
      </c>
      <c r="K861" s="35"/>
      <c r="L861" s="35"/>
      <c r="M861" s="34">
        <f t="shared" si="71"/>
        <v>14101.65</v>
      </c>
      <c r="N861" s="35"/>
      <c r="O861" s="35"/>
      <c r="P861" s="34">
        <v>15.9</v>
      </c>
      <c r="Q861" s="35"/>
      <c r="R861" s="35"/>
      <c r="S861" s="34">
        <f t="shared" si="72"/>
        <v>14101.65</v>
      </c>
      <c r="T861" s="35"/>
      <c r="U861" s="36"/>
      <c r="V861" s="9">
        <f t="shared" si="73"/>
        <v>13.25</v>
      </c>
      <c r="Y861" s="9">
        <f t="shared" si="67"/>
        <v>11751.38</v>
      </c>
      <c r="AD861" s="4" t="s">
        <v>2711</v>
      </c>
      <c r="AE861" s="4" t="s">
        <v>2712</v>
      </c>
      <c r="AF861" s="4" t="s">
        <v>2612</v>
      </c>
    </row>
    <row r="862" spans="1:35" ht="18" x14ac:dyDescent="0.3">
      <c r="A862" s="25" t="s">
        <v>2713</v>
      </c>
      <c r="B862" s="25"/>
      <c r="C862" s="30" t="s">
        <v>2604</v>
      </c>
      <c r="D862" s="27"/>
      <c r="E862" s="27"/>
      <c r="F862" s="31" t="s">
        <v>116</v>
      </c>
      <c r="G862" s="32">
        <v>0.3</v>
      </c>
      <c r="H862" s="27"/>
      <c r="I862" s="32">
        <v>73.908000000000001</v>
      </c>
      <c r="J862" s="34">
        <v>5.6</v>
      </c>
      <c r="K862" s="35"/>
      <c r="L862" s="35"/>
      <c r="M862" s="34">
        <f t="shared" si="71"/>
        <v>413.88</v>
      </c>
      <c r="N862" s="35"/>
      <c r="O862" s="35"/>
      <c r="P862" s="34">
        <v>5.6</v>
      </c>
      <c r="Q862" s="35"/>
      <c r="R862" s="35"/>
      <c r="S862" s="34">
        <f t="shared" si="72"/>
        <v>413.88</v>
      </c>
      <c r="T862" s="35"/>
      <c r="U862" s="36"/>
      <c r="V862" s="9">
        <f t="shared" si="73"/>
        <v>4.67</v>
      </c>
      <c r="Y862" s="9">
        <f t="shared" si="67"/>
        <v>344.9</v>
      </c>
      <c r="AD862" s="4" t="s">
        <v>2714</v>
      </c>
      <c r="AE862" s="4" t="s">
        <v>2715</v>
      </c>
      <c r="AF862" s="4" t="s">
        <v>2607</v>
      </c>
    </row>
    <row r="863" spans="1:35" ht="18" x14ac:dyDescent="0.3">
      <c r="A863" s="25" t="s">
        <v>2716</v>
      </c>
      <c r="B863" s="25"/>
      <c r="C863" s="30" t="s">
        <v>2596</v>
      </c>
      <c r="D863" s="27"/>
      <c r="E863" s="27"/>
      <c r="F863" s="31" t="s">
        <v>116</v>
      </c>
      <c r="G863" s="32">
        <v>30</v>
      </c>
      <c r="H863" s="27"/>
      <c r="I863" s="32">
        <v>7390.8</v>
      </c>
      <c r="J863" s="34">
        <v>0.28000000000000003</v>
      </c>
      <c r="K863" s="35"/>
      <c r="L863" s="35"/>
      <c r="M863" s="34">
        <f t="shared" si="71"/>
        <v>2069.42</v>
      </c>
      <c r="N863" s="35"/>
      <c r="O863" s="35"/>
      <c r="P863" s="34">
        <v>0.28000000000000003</v>
      </c>
      <c r="Q863" s="35"/>
      <c r="R863" s="35"/>
      <c r="S863" s="34">
        <f t="shared" si="72"/>
        <v>2069.42</v>
      </c>
      <c r="T863" s="35"/>
      <c r="U863" s="36"/>
      <c r="V863" s="9">
        <f t="shared" si="73"/>
        <v>0.23</v>
      </c>
      <c r="Y863" s="9">
        <f t="shared" si="67"/>
        <v>1724.52</v>
      </c>
      <c r="AD863" s="4" t="s">
        <v>2717</v>
      </c>
      <c r="AE863" s="4" t="s">
        <v>2718</v>
      </c>
      <c r="AF863" s="4" t="s">
        <v>2599</v>
      </c>
    </row>
    <row r="864" spans="1:35" ht="18" x14ac:dyDescent="0.3">
      <c r="A864" s="25" t="s">
        <v>2719</v>
      </c>
      <c r="B864" s="25"/>
      <c r="C864" s="30" t="s">
        <v>2591</v>
      </c>
      <c r="D864" s="27"/>
      <c r="E864" s="27"/>
      <c r="F864" s="31" t="s">
        <v>116</v>
      </c>
      <c r="G864" s="32">
        <v>15</v>
      </c>
      <c r="H864" s="27"/>
      <c r="I864" s="32">
        <v>3695.4</v>
      </c>
      <c r="J864" s="34">
        <v>0.95</v>
      </c>
      <c r="K864" s="35"/>
      <c r="L864" s="35"/>
      <c r="M864" s="34">
        <f t="shared" si="71"/>
        <v>3510.63</v>
      </c>
      <c r="N864" s="35"/>
      <c r="O864" s="35"/>
      <c r="P864" s="34">
        <v>0.95</v>
      </c>
      <c r="Q864" s="35"/>
      <c r="R864" s="35"/>
      <c r="S864" s="34">
        <f t="shared" si="72"/>
        <v>3510.63</v>
      </c>
      <c r="T864" s="35"/>
      <c r="U864" s="36"/>
      <c r="V864" s="9">
        <f t="shared" si="73"/>
        <v>0.79</v>
      </c>
      <c r="Y864" s="9">
        <f t="shared" si="67"/>
        <v>2925.53</v>
      </c>
      <c r="AD864" s="4" t="s">
        <v>2720</v>
      </c>
      <c r="AE864" s="4" t="s">
        <v>2721</v>
      </c>
      <c r="AF864" s="4" t="s">
        <v>2594</v>
      </c>
    </row>
    <row r="865" spans="1:35" ht="36" x14ac:dyDescent="0.3">
      <c r="A865" s="25" t="s">
        <v>2722</v>
      </c>
      <c r="B865" s="25" t="s">
        <v>2585</v>
      </c>
      <c r="C865" s="26" t="s">
        <v>2586</v>
      </c>
      <c r="D865" s="27"/>
      <c r="E865" s="27" t="s">
        <v>2723</v>
      </c>
      <c r="F865" s="27" t="s">
        <v>64</v>
      </c>
      <c r="G865" s="28">
        <v>1</v>
      </c>
      <c r="H865" s="27"/>
      <c r="I865" s="28">
        <v>110.66</v>
      </c>
      <c r="J865" s="29">
        <f>IFERROR(ROUND(SUM(M866,M867,M868,M869,M870,M871,M872,M873,M874,M875,M876)/I865, 2),0)</f>
        <v>444.24</v>
      </c>
      <c r="K865" s="29">
        <v>1199</v>
      </c>
      <c r="L865" s="29">
        <f>J865+ROUND(K865, 2)</f>
        <v>1643.24</v>
      </c>
      <c r="M865" s="29">
        <f>ROUND(J865*I865, 2)</f>
        <v>49159.6</v>
      </c>
      <c r="N865" s="29">
        <f>ROUND(I865*ROUND(K865, 2), 2)</f>
        <v>132681.34</v>
      </c>
      <c r="O865" s="29">
        <f>M865+N865</f>
        <v>181840.94</v>
      </c>
      <c r="P865" s="29">
        <f>IFERROR(ROUND(SUM(S866,S867,S868,S869,S870,S871,S872,S873,S874,S875,S876)/I865, 2),0)</f>
        <v>444.24</v>
      </c>
      <c r="Q865" s="29">
        <v>1199</v>
      </c>
      <c r="R865" s="29">
        <f>P865+ROUND(Q865, 2)</f>
        <v>1643.24</v>
      </c>
      <c r="S865" s="29">
        <f>ROUND(P865*I865, 2)</f>
        <v>49159.6</v>
      </c>
      <c r="T865" s="29">
        <f>ROUND(I865*ROUND(Q865, 2), 2)</f>
        <v>132681.34</v>
      </c>
      <c r="U865" s="29">
        <f>S865+T865</f>
        <v>181840.94</v>
      </c>
      <c r="V865" s="9">
        <f>ROUND(P865 / 1.2, 2)</f>
        <v>370.2</v>
      </c>
      <c r="W865" s="9">
        <f>ROUND(Q865 / 1.2, 2)</f>
        <v>999.17</v>
      </c>
      <c r="X865" s="9">
        <f>ROUND(R865 / 1.2, 2)</f>
        <v>1369.37</v>
      </c>
      <c r="Y865" s="9">
        <f t="shared" si="67"/>
        <v>40966.33</v>
      </c>
      <c r="Z865" s="9">
        <f>ROUND(T865 / 1.2, 2)</f>
        <v>110567.78</v>
      </c>
      <c r="AA865" s="9">
        <f>Y865+Z865</f>
        <v>151534.10999999999</v>
      </c>
      <c r="AD865" s="4">
        <v>271132302</v>
      </c>
      <c r="AE865" s="4">
        <v>20004305</v>
      </c>
      <c r="AG865" s="4" t="s">
        <v>2588</v>
      </c>
      <c r="AH865" s="4" t="s">
        <v>2589</v>
      </c>
      <c r="AI865" s="4" t="s">
        <v>67</v>
      </c>
    </row>
    <row r="866" spans="1:35" ht="18" x14ac:dyDescent="0.3">
      <c r="A866" s="25" t="s">
        <v>2724</v>
      </c>
      <c r="B866" s="25"/>
      <c r="C866" s="30" t="s">
        <v>2645</v>
      </c>
      <c r="D866" s="27"/>
      <c r="E866" s="27"/>
      <c r="F866" s="31" t="s">
        <v>116</v>
      </c>
      <c r="G866" s="32">
        <v>0.75</v>
      </c>
      <c r="H866" s="27"/>
      <c r="I866" s="32">
        <v>82.995000000000005</v>
      </c>
      <c r="J866" s="34">
        <v>2.8</v>
      </c>
      <c r="K866" s="35"/>
      <c r="L866" s="35"/>
      <c r="M866" s="34">
        <f t="shared" ref="M866:M876" si="74">ROUND(ROUND(J866, 2)*I866, 2)</f>
        <v>232.39</v>
      </c>
      <c r="N866" s="35"/>
      <c r="O866" s="35"/>
      <c r="P866" s="34">
        <v>2.8</v>
      </c>
      <c r="Q866" s="35"/>
      <c r="R866" s="35"/>
      <c r="S866" s="34">
        <f t="shared" ref="S866:S876" si="75">ROUND(ROUND(P866, 2)*I866, 2)</f>
        <v>232.39</v>
      </c>
      <c r="T866" s="35"/>
      <c r="U866" s="36"/>
      <c r="V866" s="9">
        <f t="shared" ref="V866:V876" si="76">ROUND(ROUND(P866, 2)/1.2, 2)</f>
        <v>2.33</v>
      </c>
      <c r="Y866" s="9">
        <f t="shared" si="67"/>
        <v>193.66</v>
      </c>
      <c r="AD866" s="4" t="s">
        <v>2725</v>
      </c>
      <c r="AE866" s="4" t="s">
        <v>2726</v>
      </c>
      <c r="AF866" s="4" t="s">
        <v>2648</v>
      </c>
    </row>
    <row r="867" spans="1:35" ht="18" x14ac:dyDescent="0.3">
      <c r="A867" s="25" t="s">
        <v>2727</v>
      </c>
      <c r="B867" s="25"/>
      <c r="C867" s="30" t="s">
        <v>2634</v>
      </c>
      <c r="D867" s="27"/>
      <c r="E867" s="27"/>
      <c r="F867" s="31" t="s">
        <v>87</v>
      </c>
      <c r="G867" s="32">
        <v>1.25</v>
      </c>
      <c r="H867" s="27"/>
      <c r="I867" s="32">
        <v>138.32499999999999</v>
      </c>
      <c r="J867" s="34">
        <v>2.8</v>
      </c>
      <c r="K867" s="35"/>
      <c r="L867" s="35"/>
      <c r="M867" s="34">
        <f t="shared" si="74"/>
        <v>387.31</v>
      </c>
      <c r="N867" s="35"/>
      <c r="O867" s="35"/>
      <c r="P867" s="34">
        <v>2.8</v>
      </c>
      <c r="Q867" s="35"/>
      <c r="R867" s="35"/>
      <c r="S867" s="34">
        <f t="shared" si="75"/>
        <v>387.31</v>
      </c>
      <c r="T867" s="35"/>
      <c r="U867" s="36"/>
      <c r="V867" s="9">
        <f t="shared" si="76"/>
        <v>2.33</v>
      </c>
      <c r="Y867" s="9">
        <f t="shared" si="67"/>
        <v>322.76</v>
      </c>
      <c r="AD867" s="4" t="s">
        <v>2728</v>
      </c>
      <c r="AE867" s="4" t="s">
        <v>2729</v>
      </c>
      <c r="AF867" s="4" t="s">
        <v>2637</v>
      </c>
    </row>
    <row r="868" spans="1:35" ht="18" x14ac:dyDescent="0.3">
      <c r="A868" s="25" t="s">
        <v>2730</v>
      </c>
      <c r="B868" s="25"/>
      <c r="C868" s="30" t="s">
        <v>2629</v>
      </c>
      <c r="D868" s="27"/>
      <c r="E868" s="27"/>
      <c r="F868" s="31" t="s">
        <v>87</v>
      </c>
      <c r="G868" s="32">
        <v>1.05</v>
      </c>
      <c r="H868" s="27"/>
      <c r="I868" s="32">
        <v>116.193</v>
      </c>
      <c r="J868" s="34">
        <v>4.5999999999999996</v>
      </c>
      <c r="K868" s="35"/>
      <c r="L868" s="35"/>
      <c r="M868" s="34">
        <f t="shared" si="74"/>
        <v>534.49</v>
      </c>
      <c r="N868" s="35"/>
      <c r="O868" s="35"/>
      <c r="P868" s="34">
        <v>4.5999999999999996</v>
      </c>
      <c r="Q868" s="35"/>
      <c r="R868" s="35"/>
      <c r="S868" s="34">
        <f t="shared" si="75"/>
        <v>534.49</v>
      </c>
      <c r="T868" s="35"/>
      <c r="U868" s="36"/>
      <c r="V868" s="9">
        <f t="shared" si="76"/>
        <v>3.83</v>
      </c>
      <c r="Y868" s="9">
        <f t="shared" si="67"/>
        <v>445.41</v>
      </c>
      <c r="AD868" s="4" t="s">
        <v>2731</v>
      </c>
      <c r="AE868" s="4" t="s">
        <v>2732</v>
      </c>
      <c r="AF868" s="4" t="s">
        <v>2632</v>
      </c>
    </row>
    <row r="869" spans="1:35" ht="18" x14ac:dyDescent="0.3">
      <c r="A869" s="25" t="s">
        <v>2733</v>
      </c>
      <c r="B869" s="25"/>
      <c r="C869" s="30" t="s">
        <v>1856</v>
      </c>
      <c r="D869" s="27"/>
      <c r="E869" s="27"/>
      <c r="F869" s="31" t="s">
        <v>64</v>
      </c>
      <c r="G869" s="32">
        <v>1.05</v>
      </c>
      <c r="H869" s="27"/>
      <c r="I869" s="32">
        <v>116.193</v>
      </c>
      <c r="J869" s="34">
        <v>0</v>
      </c>
      <c r="K869" s="35"/>
      <c r="L869" s="35"/>
      <c r="M869" s="34">
        <f t="shared" si="74"/>
        <v>0</v>
      </c>
      <c r="N869" s="35"/>
      <c r="O869" s="35"/>
      <c r="P869" s="34">
        <v>0</v>
      </c>
      <c r="Q869" s="35"/>
      <c r="R869" s="35"/>
      <c r="S869" s="34">
        <f t="shared" si="75"/>
        <v>0</v>
      </c>
      <c r="T869" s="35"/>
      <c r="U869" s="36"/>
      <c r="V869" s="9">
        <f t="shared" si="76"/>
        <v>0</v>
      </c>
      <c r="Y869" s="9">
        <f t="shared" si="67"/>
        <v>0</v>
      </c>
      <c r="AD869" s="4" t="s">
        <v>2734</v>
      </c>
      <c r="AE869" s="4" t="s">
        <v>2735</v>
      </c>
      <c r="AF869" s="4" t="s">
        <v>1859</v>
      </c>
    </row>
    <row r="870" spans="1:35" ht="18" x14ac:dyDescent="0.3">
      <c r="A870" s="25" t="s">
        <v>2736</v>
      </c>
      <c r="B870" s="25"/>
      <c r="C870" s="17" t="s">
        <v>2624</v>
      </c>
      <c r="D870" s="27"/>
      <c r="E870" s="27"/>
      <c r="F870" s="31" t="s">
        <v>116</v>
      </c>
      <c r="G870" s="32">
        <v>4.2</v>
      </c>
      <c r="H870" s="27"/>
      <c r="I870" s="32">
        <v>464.77199999999999</v>
      </c>
      <c r="J870" s="34">
        <v>5.41</v>
      </c>
      <c r="K870" s="35"/>
      <c r="L870" s="35"/>
      <c r="M870" s="34">
        <f t="shared" si="74"/>
        <v>2514.42</v>
      </c>
      <c r="N870" s="35"/>
      <c r="O870" s="35"/>
      <c r="P870" s="34">
        <v>5.41</v>
      </c>
      <c r="Q870" s="35"/>
      <c r="R870" s="35"/>
      <c r="S870" s="34">
        <f t="shared" si="75"/>
        <v>2514.42</v>
      </c>
      <c r="T870" s="35"/>
      <c r="U870" s="36"/>
      <c r="V870" s="9">
        <f t="shared" si="76"/>
        <v>4.51</v>
      </c>
      <c r="Y870" s="9">
        <f t="shared" si="67"/>
        <v>2095.35</v>
      </c>
      <c r="AD870" s="4" t="s">
        <v>2737</v>
      </c>
      <c r="AE870" s="4" t="s">
        <v>2738</v>
      </c>
      <c r="AF870" s="4" t="s">
        <v>2627</v>
      </c>
    </row>
    <row r="871" spans="1:35" ht="18" x14ac:dyDescent="0.3">
      <c r="A871" s="25" t="s">
        <v>2739</v>
      </c>
      <c r="B871" s="25"/>
      <c r="C871" s="30" t="s">
        <v>2614</v>
      </c>
      <c r="D871" s="27"/>
      <c r="E871" s="27"/>
      <c r="F871" s="31" t="s">
        <v>87</v>
      </c>
      <c r="G871" s="32">
        <v>0.3</v>
      </c>
      <c r="H871" s="27"/>
      <c r="I871" s="32">
        <v>33.198</v>
      </c>
      <c r="J871" s="34">
        <v>49.04</v>
      </c>
      <c r="K871" s="35"/>
      <c r="L871" s="35"/>
      <c r="M871" s="34">
        <f t="shared" si="74"/>
        <v>1628.03</v>
      </c>
      <c r="N871" s="35"/>
      <c r="O871" s="35"/>
      <c r="P871" s="34">
        <v>49.04</v>
      </c>
      <c r="Q871" s="35"/>
      <c r="R871" s="35"/>
      <c r="S871" s="34">
        <f t="shared" si="75"/>
        <v>1628.03</v>
      </c>
      <c r="T871" s="35"/>
      <c r="U871" s="36"/>
      <c r="V871" s="9">
        <f t="shared" si="76"/>
        <v>40.869999999999997</v>
      </c>
      <c r="Y871" s="9">
        <f t="shared" ref="Y871:Y876" si="77">ROUND(S871 / 1.2, 2)</f>
        <v>1356.69</v>
      </c>
      <c r="AD871" s="4" t="s">
        <v>2740</v>
      </c>
      <c r="AE871" s="4" t="s">
        <v>2741</v>
      </c>
      <c r="AF871" s="4" t="s">
        <v>2617</v>
      </c>
    </row>
    <row r="872" spans="1:35" ht="18" x14ac:dyDescent="0.3">
      <c r="A872" s="25" t="s">
        <v>2742</v>
      </c>
      <c r="B872" s="25"/>
      <c r="C872" s="30" t="s">
        <v>2619</v>
      </c>
      <c r="D872" s="27"/>
      <c r="E872" s="27"/>
      <c r="F872" s="31" t="s">
        <v>87</v>
      </c>
      <c r="G872" s="32">
        <v>4.7</v>
      </c>
      <c r="H872" s="27"/>
      <c r="I872" s="32">
        <v>520.10199999999998</v>
      </c>
      <c r="J872" s="34">
        <v>66.98</v>
      </c>
      <c r="K872" s="35"/>
      <c r="L872" s="35"/>
      <c r="M872" s="34">
        <f t="shared" si="74"/>
        <v>34836.43</v>
      </c>
      <c r="N872" s="35"/>
      <c r="O872" s="35"/>
      <c r="P872" s="34">
        <v>66.98</v>
      </c>
      <c r="Q872" s="35"/>
      <c r="R872" s="35"/>
      <c r="S872" s="34">
        <f t="shared" si="75"/>
        <v>34836.43</v>
      </c>
      <c r="T872" s="35"/>
      <c r="U872" s="36"/>
      <c r="V872" s="9">
        <f t="shared" si="76"/>
        <v>55.82</v>
      </c>
      <c r="Y872" s="9">
        <f t="shared" si="77"/>
        <v>29030.36</v>
      </c>
      <c r="AD872" s="4" t="s">
        <v>2743</v>
      </c>
      <c r="AE872" s="4" t="s">
        <v>2744</v>
      </c>
      <c r="AF872" s="4" t="s">
        <v>2622</v>
      </c>
    </row>
    <row r="873" spans="1:35" ht="36" x14ac:dyDescent="0.3">
      <c r="A873" s="25" t="s">
        <v>2745</v>
      </c>
      <c r="B873" s="25"/>
      <c r="C873" s="17" t="s">
        <v>2609</v>
      </c>
      <c r="D873" s="27"/>
      <c r="E873" s="27"/>
      <c r="F873" s="31" t="s">
        <v>116</v>
      </c>
      <c r="G873" s="32">
        <v>3.6</v>
      </c>
      <c r="H873" s="27"/>
      <c r="I873" s="32">
        <v>398.37599999999998</v>
      </c>
      <c r="J873" s="34">
        <v>15.9</v>
      </c>
      <c r="K873" s="35"/>
      <c r="L873" s="35"/>
      <c r="M873" s="34">
        <f t="shared" si="74"/>
        <v>6334.18</v>
      </c>
      <c r="N873" s="35"/>
      <c r="O873" s="35"/>
      <c r="P873" s="34">
        <v>15.9</v>
      </c>
      <c r="Q873" s="35"/>
      <c r="R873" s="35"/>
      <c r="S873" s="34">
        <f t="shared" si="75"/>
        <v>6334.18</v>
      </c>
      <c r="T873" s="35"/>
      <c r="U873" s="36"/>
      <c r="V873" s="9">
        <f t="shared" si="76"/>
        <v>13.25</v>
      </c>
      <c r="Y873" s="9">
        <f t="shared" si="77"/>
        <v>5278.48</v>
      </c>
      <c r="AD873" s="4" t="s">
        <v>2746</v>
      </c>
      <c r="AE873" s="4" t="s">
        <v>2747</v>
      </c>
      <c r="AF873" s="4" t="s">
        <v>2612</v>
      </c>
    </row>
    <row r="874" spans="1:35" ht="18" x14ac:dyDescent="0.3">
      <c r="A874" s="25" t="s">
        <v>2748</v>
      </c>
      <c r="B874" s="25"/>
      <c r="C874" s="30" t="s">
        <v>2604</v>
      </c>
      <c r="D874" s="27"/>
      <c r="E874" s="27"/>
      <c r="F874" s="31" t="s">
        <v>116</v>
      </c>
      <c r="G874" s="32">
        <v>0.3</v>
      </c>
      <c r="H874" s="27"/>
      <c r="I874" s="32">
        <v>33.198</v>
      </c>
      <c r="J874" s="34">
        <v>5.6</v>
      </c>
      <c r="K874" s="35"/>
      <c r="L874" s="35"/>
      <c r="M874" s="34">
        <f t="shared" si="74"/>
        <v>185.91</v>
      </c>
      <c r="N874" s="35"/>
      <c r="O874" s="35"/>
      <c r="P874" s="34">
        <v>5.6</v>
      </c>
      <c r="Q874" s="35"/>
      <c r="R874" s="35"/>
      <c r="S874" s="34">
        <f t="shared" si="75"/>
        <v>185.91</v>
      </c>
      <c r="T874" s="35"/>
      <c r="U874" s="36"/>
      <c r="V874" s="9">
        <f t="shared" si="76"/>
        <v>4.67</v>
      </c>
      <c r="Y874" s="9">
        <f t="shared" si="77"/>
        <v>154.93</v>
      </c>
      <c r="AD874" s="4" t="s">
        <v>2749</v>
      </c>
      <c r="AE874" s="4" t="s">
        <v>2750</v>
      </c>
      <c r="AF874" s="4" t="s">
        <v>2607</v>
      </c>
    </row>
    <row r="875" spans="1:35" ht="18" x14ac:dyDescent="0.3">
      <c r="A875" s="25" t="s">
        <v>2751</v>
      </c>
      <c r="B875" s="25"/>
      <c r="C875" s="30" t="s">
        <v>2596</v>
      </c>
      <c r="D875" s="27"/>
      <c r="E875" s="27"/>
      <c r="F875" s="31" t="s">
        <v>116</v>
      </c>
      <c r="G875" s="32">
        <v>30</v>
      </c>
      <c r="H875" s="27"/>
      <c r="I875" s="32">
        <v>3319.8</v>
      </c>
      <c r="J875" s="34">
        <v>0.28000000000000003</v>
      </c>
      <c r="K875" s="35"/>
      <c r="L875" s="35"/>
      <c r="M875" s="34">
        <f t="shared" si="74"/>
        <v>929.54</v>
      </c>
      <c r="N875" s="35"/>
      <c r="O875" s="35"/>
      <c r="P875" s="34">
        <v>0.28000000000000003</v>
      </c>
      <c r="Q875" s="35"/>
      <c r="R875" s="35"/>
      <c r="S875" s="34">
        <f t="shared" si="75"/>
        <v>929.54</v>
      </c>
      <c r="T875" s="35"/>
      <c r="U875" s="36"/>
      <c r="V875" s="9">
        <f t="shared" si="76"/>
        <v>0.23</v>
      </c>
      <c r="Y875" s="9">
        <f t="shared" si="77"/>
        <v>774.62</v>
      </c>
      <c r="AD875" s="4" t="s">
        <v>2752</v>
      </c>
      <c r="AE875" s="4" t="s">
        <v>2753</v>
      </c>
      <c r="AF875" s="4" t="s">
        <v>2599</v>
      </c>
    </row>
    <row r="876" spans="1:35" ht="18" x14ac:dyDescent="0.3">
      <c r="A876" s="25" t="s">
        <v>2754</v>
      </c>
      <c r="B876" s="25"/>
      <c r="C876" s="30" t="s">
        <v>2591</v>
      </c>
      <c r="D876" s="27"/>
      <c r="E876" s="27"/>
      <c r="F876" s="31" t="s">
        <v>116</v>
      </c>
      <c r="G876" s="32">
        <v>15</v>
      </c>
      <c r="H876" s="27"/>
      <c r="I876" s="32">
        <v>1659.9</v>
      </c>
      <c r="J876" s="34">
        <v>0.95</v>
      </c>
      <c r="K876" s="35"/>
      <c r="L876" s="35"/>
      <c r="M876" s="34">
        <f t="shared" si="74"/>
        <v>1576.91</v>
      </c>
      <c r="N876" s="35"/>
      <c r="O876" s="35"/>
      <c r="P876" s="34">
        <v>0.95</v>
      </c>
      <c r="Q876" s="35"/>
      <c r="R876" s="35"/>
      <c r="S876" s="34">
        <f t="shared" si="75"/>
        <v>1576.91</v>
      </c>
      <c r="T876" s="35"/>
      <c r="U876" s="36"/>
      <c r="V876" s="9">
        <f t="shared" si="76"/>
        <v>0.79</v>
      </c>
      <c r="Y876" s="9">
        <f t="shared" si="77"/>
        <v>1314.09</v>
      </c>
      <c r="AD876" s="4" t="s">
        <v>2755</v>
      </c>
      <c r="AE876" s="4" t="s">
        <v>2756</v>
      </c>
      <c r="AF876" s="4" t="s">
        <v>2594</v>
      </c>
    </row>
    <row r="877" spans="1:35" ht="54" x14ac:dyDescent="0.3">
      <c r="A877" s="25" t="s">
        <v>2757</v>
      </c>
      <c r="B877" s="25" t="s">
        <v>2758</v>
      </c>
      <c r="C877" s="26" t="s">
        <v>2759</v>
      </c>
      <c r="D877" s="27"/>
      <c r="E877" s="27" t="s">
        <v>81</v>
      </c>
      <c r="F877" s="27" t="s">
        <v>64</v>
      </c>
      <c r="G877" s="28">
        <v>1</v>
      </c>
      <c r="H877" s="27"/>
      <c r="I877" s="28">
        <v>2099.0100000000002</v>
      </c>
      <c r="J877" s="29">
        <v>0</v>
      </c>
      <c r="K877" s="29">
        <v>121</v>
      </c>
      <c r="L877" s="29">
        <f>J877+ROUND(K877, 2)</f>
        <v>121</v>
      </c>
      <c r="M877" s="29">
        <v>0</v>
      </c>
      <c r="N877" s="29">
        <f>ROUND(I877*ROUND(K877, 2), 2)</f>
        <v>253980.21</v>
      </c>
      <c r="O877" s="29">
        <f>M877+N877</f>
        <v>253980.21</v>
      </c>
      <c r="P877" s="29">
        <v>0</v>
      </c>
      <c r="Q877" s="29">
        <v>121</v>
      </c>
      <c r="R877" s="29">
        <f>P877+ROUND(Q877, 2)</f>
        <v>121</v>
      </c>
      <c r="S877" s="29">
        <v>0</v>
      </c>
      <c r="T877" s="29">
        <f>ROUND(I877*ROUND(Q877, 2), 2)</f>
        <v>253980.21</v>
      </c>
      <c r="U877" s="29">
        <f>S877+T877</f>
        <v>253980.21</v>
      </c>
      <c r="V877" s="9"/>
      <c r="W877" s="9">
        <f>ROUND(Q877 / 1.2, 2)</f>
        <v>100.83</v>
      </c>
      <c r="X877" s="9">
        <f>ROUND(R877 / 1.2, 2)</f>
        <v>100.83</v>
      </c>
      <c r="Y877" s="9"/>
      <c r="Z877" s="9">
        <f>ROUND(T877 / 1.2, 2)</f>
        <v>211650.18</v>
      </c>
      <c r="AA877" s="9" t="e">
        <f>Y877+Z877</f>
        <v>#VALUE!</v>
      </c>
      <c r="AD877" s="4">
        <v>271132151</v>
      </c>
      <c r="AE877" s="4">
        <v>16236784</v>
      </c>
      <c r="AG877" s="4" t="s">
        <v>2760</v>
      </c>
      <c r="AH877" s="4" t="s">
        <v>2761</v>
      </c>
      <c r="AI877" s="4" t="s">
        <v>67</v>
      </c>
    </row>
    <row r="878" spans="1:35" ht="17.100000000000001" customHeight="1" x14ac:dyDescent="0.3">
      <c r="A878" s="25" t="s">
        <v>2762</v>
      </c>
      <c r="B878" s="25" t="s">
        <v>2763</v>
      </c>
      <c r="C878" s="182" t="s">
        <v>2764</v>
      </c>
      <c r="D878" s="183"/>
      <c r="E878" s="183"/>
      <c r="F878" s="183"/>
      <c r="G878" s="183"/>
      <c r="H878" s="183"/>
      <c r="I878" s="184"/>
      <c r="J878" s="35"/>
      <c r="K878" s="35"/>
      <c r="L878" s="35"/>
      <c r="M878" s="67">
        <f>SUM(M879,M900)</f>
        <v>0</v>
      </c>
      <c r="N878" s="67">
        <f>SUM(N879,N900)</f>
        <v>395791</v>
      </c>
      <c r="O878" s="67">
        <f>SUM(O879,O900)</f>
        <v>395791</v>
      </c>
      <c r="P878" s="35"/>
      <c r="Q878" s="35"/>
      <c r="R878" s="35"/>
      <c r="S878" s="67">
        <f>SUM(S879,S900)</f>
        <v>0</v>
      </c>
      <c r="T878" s="67">
        <f>SUM(T879,T900)</f>
        <v>395791</v>
      </c>
      <c r="U878" s="67">
        <f>SUM(U879,U900)</f>
        <v>395791</v>
      </c>
      <c r="Y878" s="9">
        <f>SUM(Y879,Y900)</f>
        <v>0</v>
      </c>
      <c r="Z878" s="9">
        <f>SUM(Z879,Z900)</f>
        <v>329825.83</v>
      </c>
      <c r="AA878" s="9">
        <f>SUM(AA879,AA900)</f>
        <v>329825.83</v>
      </c>
      <c r="AD878" s="4">
        <v>271132152</v>
      </c>
      <c r="AE878" s="4">
        <v>19827023</v>
      </c>
    </row>
    <row r="879" spans="1:35" ht="54" x14ac:dyDescent="0.3">
      <c r="A879" s="25" t="s">
        <v>2765</v>
      </c>
      <c r="B879" s="25" t="s">
        <v>2766</v>
      </c>
      <c r="C879" s="26" t="s">
        <v>2767</v>
      </c>
      <c r="D879" s="27"/>
      <c r="E879" s="27" t="s">
        <v>2768</v>
      </c>
      <c r="F879" s="27" t="s">
        <v>116</v>
      </c>
      <c r="G879" s="28">
        <v>1</v>
      </c>
      <c r="H879" s="27"/>
      <c r="I879" s="28">
        <v>66</v>
      </c>
      <c r="J879" s="29">
        <f>IFERROR(ROUND(SUM(M880,M881,M882,M883,M884,M885,M886,M887,M888,M889,M890,M891,M892,M893,M894,M895,M896,M897,M898,M899)/I879, 2),0)</f>
        <v>0</v>
      </c>
      <c r="K879" s="29">
        <v>3271</v>
      </c>
      <c r="L879" s="29">
        <f>J879+ROUND(K879, 2)</f>
        <v>3271</v>
      </c>
      <c r="M879" s="29">
        <f>ROUND(J879*I879, 2)</f>
        <v>0</v>
      </c>
      <c r="N879" s="29">
        <f>ROUND(I879*ROUND(K879, 2), 2)</f>
        <v>215886</v>
      </c>
      <c r="O879" s="29">
        <f>M879+N879</f>
        <v>215886</v>
      </c>
      <c r="P879" s="29">
        <f>IFERROR(ROUND(SUM(S880,S881,S882,S883,S884,S885,S886,S887,S888,S889,S890,S891,S892,S893,S894,S895,S896,S897,S898,S899)/I879, 2),0)</f>
        <v>0</v>
      </c>
      <c r="Q879" s="29">
        <v>3271</v>
      </c>
      <c r="R879" s="29">
        <f>P879+ROUND(Q879, 2)</f>
        <v>3271</v>
      </c>
      <c r="S879" s="29">
        <f>ROUND(P879*I879, 2)</f>
        <v>0</v>
      </c>
      <c r="T879" s="29">
        <f>ROUND(I879*ROUND(Q879, 2), 2)</f>
        <v>215886</v>
      </c>
      <c r="U879" s="29">
        <f>S879+T879</f>
        <v>215886</v>
      </c>
      <c r="V879" s="9">
        <f>ROUND(P879 / 1.2, 2)</f>
        <v>0</v>
      </c>
      <c r="W879" s="9">
        <f>ROUND(Q879 / 1.2, 2)</f>
        <v>2725.83</v>
      </c>
      <c r="X879" s="9">
        <f>ROUND(R879 / 1.2, 2)</f>
        <v>2725.83</v>
      </c>
      <c r="Y879" s="9">
        <f>ROUND(S879 / 1.2, 2)</f>
        <v>0</v>
      </c>
      <c r="Z879" s="9">
        <f>ROUND(T879 / 1.2, 2)</f>
        <v>179905</v>
      </c>
      <c r="AA879" s="9">
        <f>Y879+Z879</f>
        <v>179905</v>
      </c>
      <c r="AD879" s="4">
        <v>271132154</v>
      </c>
      <c r="AE879" s="4">
        <v>19830251</v>
      </c>
      <c r="AG879" s="4" t="s">
        <v>2769</v>
      </c>
      <c r="AH879" s="4" t="s">
        <v>2770</v>
      </c>
      <c r="AI879" s="4" t="s">
        <v>67</v>
      </c>
    </row>
    <row r="880" spans="1:35" ht="409.6" x14ac:dyDescent="0.3">
      <c r="A880" s="25" t="s">
        <v>2771</v>
      </c>
      <c r="B880" s="25"/>
      <c r="C880" s="30" t="s">
        <v>2772</v>
      </c>
      <c r="D880" s="27"/>
      <c r="E880" s="27" t="s">
        <v>2773</v>
      </c>
      <c r="F880" s="31" t="s">
        <v>116</v>
      </c>
      <c r="G880" s="32">
        <v>1</v>
      </c>
      <c r="H880" s="27"/>
      <c r="I880" s="33">
        <v>1</v>
      </c>
      <c r="J880" s="34">
        <v>0</v>
      </c>
      <c r="K880" s="35"/>
      <c r="L880" s="35"/>
      <c r="M880" s="34">
        <f t="shared" ref="M880:M899" si="78">ROUND(ROUND(J880, 2)*I880, 2)</f>
        <v>0</v>
      </c>
      <c r="N880" s="35"/>
      <c r="O880" s="35"/>
      <c r="P880" s="34">
        <v>0</v>
      </c>
      <c r="Q880" s="35"/>
      <c r="R880" s="35"/>
      <c r="S880" s="34">
        <f t="shared" ref="S880:S899" si="79">ROUND(ROUND(P880, 2)*I880, 2)</f>
        <v>0</v>
      </c>
      <c r="T880" s="35"/>
      <c r="U880" s="36"/>
      <c r="V880" s="9">
        <f t="shared" ref="V880:V899" si="80">ROUND(ROUND(P880, 2)/1.2, 2)</f>
        <v>0</v>
      </c>
      <c r="Y880" s="9">
        <f t="shared" ref="Y880:Y917" si="81">ROUND(S880 / 1.2, 2)</f>
        <v>0</v>
      </c>
      <c r="AD880" s="4" t="s">
        <v>2774</v>
      </c>
      <c r="AE880" s="4" t="s">
        <v>2775</v>
      </c>
      <c r="AF880" s="4" t="s">
        <v>2776</v>
      </c>
    </row>
    <row r="881" spans="1:32" ht="409.6" x14ac:dyDescent="0.3">
      <c r="A881" s="25" t="s">
        <v>2777</v>
      </c>
      <c r="B881" s="25"/>
      <c r="C881" s="30" t="s">
        <v>2778</v>
      </c>
      <c r="D881" s="27"/>
      <c r="E881" s="27" t="s">
        <v>2779</v>
      </c>
      <c r="F881" s="31" t="s">
        <v>116</v>
      </c>
      <c r="G881" s="32">
        <v>1</v>
      </c>
      <c r="H881" s="27"/>
      <c r="I881" s="33">
        <v>1</v>
      </c>
      <c r="J881" s="34">
        <v>0</v>
      </c>
      <c r="K881" s="35"/>
      <c r="L881" s="35"/>
      <c r="M881" s="34">
        <f t="shared" si="78"/>
        <v>0</v>
      </c>
      <c r="N881" s="35"/>
      <c r="O881" s="35"/>
      <c r="P881" s="34">
        <v>0</v>
      </c>
      <c r="Q881" s="35"/>
      <c r="R881" s="35"/>
      <c r="S881" s="34">
        <f t="shared" si="79"/>
        <v>0</v>
      </c>
      <c r="T881" s="35"/>
      <c r="U881" s="36"/>
      <c r="V881" s="9">
        <f t="shared" si="80"/>
        <v>0</v>
      </c>
      <c r="Y881" s="9">
        <f t="shared" si="81"/>
        <v>0</v>
      </c>
      <c r="AD881" s="4" t="s">
        <v>2780</v>
      </c>
      <c r="AE881" s="4" t="s">
        <v>2781</v>
      </c>
      <c r="AF881" s="4" t="s">
        <v>2782</v>
      </c>
    </row>
    <row r="882" spans="1:32" ht="396" x14ac:dyDescent="0.3">
      <c r="A882" s="25" t="s">
        <v>2783</v>
      </c>
      <c r="B882" s="25"/>
      <c r="C882" s="30" t="s">
        <v>2784</v>
      </c>
      <c r="D882" s="27"/>
      <c r="E882" s="27" t="s">
        <v>2785</v>
      </c>
      <c r="F882" s="31" t="s">
        <v>116</v>
      </c>
      <c r="G882" s="32">
        <v>1</v>
      </c>
      <c r="H882" s="27"/>
      <c r="I882" s="33">
        <v>10</v>
      </c>
      <c r="J882" s="34">
        <v>0</v>
      </c>
      <c r="K882" s="35"/>
      <c r="L882" s="35"/>
      <c r="M882" s="34">
        <f t="shared" si="78"/>
        <v>0</v>
      </c>
      <c r="N882" s="35"/>
      <c r="O882" s="35"/>
      <c r="P882" s="34">
        <v>0</v>
      </c>
      <c r="Q882" s="35"/>
      <c r="R882" s="35"/>
      <c r="S882" s="34">
        <f t="shared" si="79"/>
        <v>0</v>
      </c>
      <c r="T882" s="35"/>
      <c r="U882" s="36"/>
      <c r="V882" s="9">
        <f t="shared" si="80"/>
        <v>0</v>
      </c>
      <c r="Y882" s="9">
        <f t="shared" si="81"/>
        <v>0</v>
      </c>
      <c r="AD882" s="4" t="s">
        <v>2786</v>
      </c>
      <c r="AE882" s="4" t="s">
        <v>2787</v>
      </c>
      <c r="AF882" s="4" t="s">
        <v>2788</v>
      </c>
    </row>
    <row r="883" spans="1:32" ht="396" x14ac:dyDescent="0.3">
      <c r="A883" s="25" t="s">
        <v>2789</v>
      </c>
      <c r="B883" s="25"/>
      <c r="C883" s="30" t="s">
        <v>2790</v>
      </c>
      <c r="D883" s="27"/>
      <c r="E883" s="27" t="s">
        <v>2791</v>
      </c>
      <c r="F883" s="31" t="s">
        <v>116</v>
      </c>
      <c r="G883" s="32">
        <v>1</v>
      </c>
      <c r="H883" s="27"/>
      <c r="I883" s="33">
        <v>4</v>
      </c>
      <c r="J883" s="34">
        <v>0</v>
      </c>
      <c r="K883" s="35"/>
      <c r="L883" s="35"/>
      <c r="M883" s="34">
        <f t="shared" si="78"/>
        <v>0</v>
      </c>
      <c r="N883" s="35"/>
      <c r="O883" s="35"/>
      <c r="P883" s="34">
        <v>0</v>
      </c>
      <c r="Q883" s="35"/>
      <c r="R883" s="35"/>
      <c r="S883" s="34">
        <f t="shared" si="79"/>
        <v>0</v>
      </c>
      <c r="T883" s="35"/>
      <c r="U883" s="36"/>
      <c r="V883" s="9">
        <f t="shared" si="80"/>
        <v>0</v>
      </c>
      <c r="Y883" s="9">
        <f t="shared" si="81"/>
        <v>0</v>
      </c>
      <c r="AD883" s="4" t="s">
        <v>2792</v>
      </c>
      <c r="AE883" s="4" t="s">
        <v>2793</v>
      </c>
      <c r="AF883" s="4" t="s">
        <v>2794</v>
      </c>
    </row>
    <row r="884" spans="1:32" ht="409.6" x14ac:dyDescent="0.3">
      <c r="A884" s="25" t="s">
        <v>2795</v>
      </c>
      <c r="B884" s="25"/>
      <c r="C884" s="30" t="s">
        <v>2796</v>
      </c>
      <c r="D884" s="27"/>
      <c r="E884" s="27" t="s">
        <v>2797</v>
      </c>
      <c r="F884" s="31" t="s">
        <v>116</v>
      </c>
      <c r="G884" s="32">
        <v>1</v>
      </c>
      <c r="H884" s="27"/>
      <c r="I884" s="33">
        <v>1</v>
      </c>
      <c r="J884" s="34">
        <v>0</v>
      </c>
      <c r="K884" s="35"/>
      <c r="L884" s="35"/>
      <c r="M884" s="34">
        <f t="shared" si="78"/>
        <v>0</v>
      </c>
      <c r="N884" s="35"/>
      <c r="O884" s="35"/>
      <c r="P884" s="34">
        <v>0</v>
      </c>
      <c r="Q884" s="35"/>
      <c r="R884" s="35"/>
      <c r="S884" s="34">
        <f t="shared" si="79"/>
        <v>0</v>
      </c>
      <c r="T884" s="35"/>
      <c r="U884" s="36"/>
      <c r="V884" s="9">
        <f t="shared" si="80"/>
        <v>0</v>
      </c>
      <c r="Y884" s="9">
        <f t="shared" si="81"/>
        <v>0</v>
      </c>
      <c r="AD884" s="4" t="s">
        <v>2798</v>
      </c>
      <c r="AE884" s="4" t="s">
        <v>2799</v>
      </c>
      <c r="AF884" s="4" t="s">
        <v>2800</v>
      </c>
    </row>
    <row r="885" spans="1:32" ht="409.6" x14ac:dyDescent="0.3">
      <c r="A885" s="25" t="s">
        <v>2801</v>
      </c>
      <c r="B885" s="25"/>
      <c r="C885" s="30" t="s">
        <v>2802</v>
      </c>
      <c r="D885" s="27"/>
      <c r="E885" s="27" t="s">
        <v>2803</v>
      </c>
      <c r="F885" s="31" t="s">
        <v>116</v>
      </c>
      <c r="G885" s="32">
        <v>1</v>
      </c>
      <c r="H885" s="27"/>
      <c r="I885" s="33">
        <v>1</v>
      </c>
      <c r="J885" s="34">
        <v>0</v>
      </c>
      <c r="K885" s="35"/>
      <c r="L885" s="35"/>
      <c r="M885" s="34">
        <f t="shared" si="78"/>
        <v>0</v>
      </c>
      <c r="N885" s="35"/>
      <c r="O885" s="35"/>
      <c r="P885" s="34">
        <v>0</v>
      </c>
      <c r="Q885" s="35"/>
      <c r="R885" s="35"/>
      <c r="S885" s="34">
        <f t="shared" si="79"/>
        <v>0</v>
      </c>
      <c r="T885" s="35"/>
      <c r="U885" s="36"/>
      <c r="V885" s="9">
        <f t="shared" si="80"/>
        <v>0</v>
      </c>
      <c r="Y885" s="9">
        <f t="shared" si="81"/>
        <v>0</v>
      </c>
      <c r="AD885" s="4" t="s">
        <v>2804</v>
      </c>
      <c r="AE885" s="4" t="s">
        <v>2805</v>
      </c>
      <c r="AF885" s="4" t="s">
        <v>2806</v>
      </c>
    </row>
    <row r="886" spans="1:32" ht="409.6" x14ac:dyDescent="0.3">
      <c r="A886" s="25" t="s">
        <v>2807</v>
      </c>
      <c r="B886" s="25"/>
      <c r="C886" s="30" t="s">
        <v>2808</v>
      </c>
      <c r="D886" s="27"/>
      <c r="E886" s="27" t="s">
        <v>2809</v>
      </c>
      <c r="F886" s="31" t="s">
        <v>116</v>
      </c>
      <c r="G886" s="32">
        <v>1</v>
      </c>
      <c r="H886" s="27"/>
      <c r="I886" s="33">
        <v>6</v>
      </c>
      <c r="J886" s="34">
        <v>0</v>
      </c>
      <c r="K886" s="35"/>
      <c r="L886" s="35"/>
      <c r="M886" s="34">
        <f t="shared" si="78"/>
        <v>0</v>
      </c>
      <c r="N886" s="35"/>
      <c r="O886" s="35"/>
      <c r="P886" s="34">
        <v>0</v>
      </c>
      <c r="Q886" s="35"/>
      <c r="R886" s="35"/>
      <c r="S886" s="34">
        <f t="shared" si="79"/>
        <v>0</v>
      </c>
      <c r="T886" s="35"/>
      <c r="U886" s="36"/>
      <c r="V886" s="9">
        <f t="shared" si="80"/>
        <v>0</v>
      </c>
      <c r="Y886" s="9">
        <f t="shared" si="81"/>
        <v>0</v>
      </c>
      <c r="AD886" s="4" t="s">
        <v>2810</v>
      </c>
      <c r="AE886" s="4" t="s">
        <v>2811</v>
      </c>
      <c r="AF886" s="4" t="s">
        <v>2812</v>
      </c>
    </row>
    <row r="887" spans="1:32" ht="409.6" x14ac:dyDescent="0.3">
      <c r="A887" s="25" t="s">
        <v>2813</v>
      </c>
      <c r="B887" s="25"/>
      <c r="C887" s="30" t="s">
        <v>2814</v>
      </c>
      <c r="D887" s="27"/>
      <c r="E887" s="27" t="s">
        <v>2815</v>
      </c>
      <c r="F887" s="31" t="s">
        <v>116</v>
      </c>
      <c r="G887" s="32">
        <v>1</v>
      </c>
      <c r="H887" s="27"/>
      <c r="I887" s="33">
        <v>3</v>
      </c>
      <c r="J887" s="34">
        <v>0</v>
      </c>
      <c r="K887" s="35"/>
      <c r="L887" s="35"/>
      <c r="M887" s="34">
        <f t="shared" si="78"/>
        <v>0</v>
      </c>
      <c r="N887" s="35"/>
      <c r="O887" s="35"/>
      <c r="P887" s="34">
        <v>0</v>
      </c>
      <c r="Q887" s="35"/>
      <c r="R887" s="35"/>
      <c r="S887" s="34">
        <f t="shared" si="79"/>
        <v>0</v>
      </c>
      <c r="T887" s="35"/>
      <c r="U887" s="36"/>
      <c r="V887" s="9">
        <f t="shared" si="80"/>
        <v>0</v>
      </c>
      <c r="Y887" s="9">
        <f t="shared" si="81"/>
        <v>0</v>
      </c>
      <c r="AD887" s="4" t="s">
        <v>2816</v>
      </c>
      <c r="AE887" s="4" t="s">
        <v>2817</v>
      </c>
      <c r="AF887" s="4" t="s">
        <v>2818</v>
      </c>
    </row>
    <row r="888" spans="1:32" ht="396" x14ac:dyDescent="0.3">
      <c r="A888" s="25" t="s">
        <v>2819</v>
      </c>
      <c r="B888" s="25"/>
      <c r="C888" s="30" t="s">
        <v>2820</v>
      </c>
      <c r="D888" s="27"/>
      <c r="E888" s="27" t="s">
        <v>2821</v>
      </c>
      <c r="F888" s="31" t="s">
        <v>116</v>
      </c>
      <c r="G888" s="32">
        <v>1</v>
      </c>
      <c r="H888" s="27"/>
      <c r="I888" s="33">
        <v>10</v>
      </c>
      <c r="J888" s="34">
        <v>0</v>
      </c>
      <c r="K888" s="35"/>
      <c r="L888" s="35"/>
      <c r="M888" s="34">
        <f t="shared" si="78"/>
        <v>0</v>
      </c>
      <c r="N888" s="35"/>
      <c r="O888" s="35"/>
      <c r="P888" s="34">
        <v>0</v>
      </c>
      <c r="Q888" s="35"/>
      <c r="R888" s="35"/>
      <c r="S888" s="34">
        <f t="shared" si="79"/>
        <v>0</v>
      </c>
      <c r="T888" s="35"/>
      <c r="U888" s="36"/>
      <c r="V888" s="9">
        <f t="shared" si="80"/>
        <v>0</v>
      </c>
      <c r="Y888" s="9">
        <f t="shared" si="81"/>
        <v>0</v>
      </c>
      <c r="AD888" s="4" t="s">
        <v>2822</v>
      </c>
      <c r="AE888" s="4" t="s">
        <v>2823</v>
      </c>
      <c r="AF888" s="4" t="s">
        <v>2824</v>
      </c>
    </row>
    <row r="889" spans="1:32" ht="409.6" x14ac:dyDescent="0.3">
      <c r="A889" s="25" t="s">
        <v>2825</v>
      </c>
      <c r="B889" s="25"/>
      <c r="C889" s="30" t="s">
        <v>2826</v>
      </c>
      <c r="D889" s="27"/>
      <c r="E889" s="27" t="s">
        <v>2827</v>
      </c>
      <c r="F889" s="31" t="s">
        <v>116</v>
      </c>
      <c r="G889" s="32">
        <v>1</v>
      </c>
      <c r="H889" s="27"/>
      <c r="I889" s="33">
        <v>5</v>
      </c>
      <c r="J889" s="34">
        <v>0</v>
      </c>
      <c r="K889" s="35"/>
      <c r="L889" s="35"/>
      <c r="M889" s="34">
        <f t="shared" si="78"/>
        <v>0</v>
      </c>
      <c r="N889" s="35"/>
      <c r="O889" s="35"/>
      <c r="P889" s="34">
        <v>0</v>
      </c>
      <c r="Q889" s="35"/>
      <c r="R889" s="35"/>
      <c r="S889" s="34">
        <f t="shared" si="79"/>
        <v>0</v>
      </c>
      <c r="T889" s="35"/>
      <c r="U889" s="36"/>
      <c r="V889" s="9">
        <f t="shared" si="80"/>
        <v>0</v>
      </c>
      <c r="Y889" s="9">
        <f t="shared" si="81"/>
        <v>0</v>
      </c>
      <c r="AD889" s="4" t="s">
        <v>2828</v>
      </c>
      <c r="AE889" s="4" t="s">
        <v>2829</v>
      </c>
      <c r="AF889" s="4" t="s">
        <v>2830</v>
      </c>
    </row>
    <row r="890" spans="1:32" ht="409.6" x14ac:dyDescent="0.3">
      <c r="A890" s="25" t="s">
        <v>2831</v>
      </c>
      <c r="B890" s="25"/>
      <c r="C890" s="30" t="s">
        <v>2832</v>
      </c>
      <c r="D890" s="27"/>
      <c r="E890" s="27" t="s">
        <v>2833</v>
      </c>
      <c r="F890" s="31" t="s">
        <v>116</v>
      </c>
      <c r="G890" s="32">
        <v>1</v>
      </c>
      <c r="H890" s="27"/>
      <c r="I890" s="33">
        <v>1</v>
      </c>
      <c r="J890" s="34">
        <v>0</v>
      </c>
      <c r="K890" s="35"/>
      <c r="L890" s="35"/>
      <c r="M890" s="34">
        <f t="shared" si="78"/>
        <v>0</v>
      </c>
      <c r="N890" s="35"/>
      <c r="O890" s="35"/>
      <c r="P890" s="34">
        <v>0</v>
      </c>
      <c r="Q890" s="35"/>
      <c r="R890" s="35"/>
      <c r="S890" s="34">
        <f t="shared" si="79"/>
        <v>0</v>
      </c>
      <c r="T890" s="35"/>
      <c r="U890" s="36"/>
      <c r="V890" s="9">
        <f t="shared" si="80"/>
        <v>0</v>
      </c>
      <c r="Y890" s="9">
        <f t="shared" si="81"/>
        <v>0</v>
      </c>
      <c r="AD890" s="4" t="s">
        <v>2834</v>
      </c>
      <c r="AE890" s="4" t="s">
        <v>2835</v>
      </c>
      <c r="AF890" s="4" t="s">
        <v>2836</v>
      </c>
    </row>
    <row r="891" spans="1:32" ht="409.6" x14ac:dyDescent="0.3">
      <c r="A891" s="25" t="s">
        <v>2837</v>
      </c>
      <c r="B891" s="25"/>
      <c r="C891" s="30" t="s">
        <v>2838</v>
      </c>
      <c r="D891" s="27"/>
      <c r="E891" s="27" t="s">
        <v>2839</v>
      </c>
      <c r="F891" s="31" t="s">
        <v>116</v>
      </c>
      <c r="G891" s="32">
        <v>1</v>
      </c>
      <c r="H891" s="27"/>
      <c r="I891" s="33">
        <v>1</v>
      </c>
      <c r="J891" s="34">
        <v>0</v>
      </c>
      <c r="K891" s="35"/>
      <c r="L891" s="35"/>
      <c r="M891" s="34">
        <f t="shared" si="78"/>
        <v>0</v>
      </c>
      <c r="N891" s="35"/>
      <c r="O891" s="35"/>
      <c r="P891" s="34">
        <v>0</v>
      </c>
      <c r="Q891" s="35"/>
      <c r="R891" s="35"/>
      <c r="S891" s="34">
        <f t="shared" si="79"/>
        <v>0</v>
      </c>
      <c r="T891" s="35"/>
      <c r="U891" s="36"/>
      <c r="V891" s="9">
        <f t="shared" si="80"/>
        <v>0</v>
      </c>
      <c r="Y891" s="9">
        <f t="shared" si="81"/>
        <v>0</v>
      </c>
      <c r="AD891" s="4" t="s">
        <v>2840</v>
      </c>
      <c r="AE891" s="4" t="s">
        <v>2841</v>
      </c>
      <c r="AF891" s="4" t="s">
        <v>2842</v>
      </c>
    </row>
    <row r="892" spans="1:32" ht="396" x14ac:dyDescent="0.3">
      <c r="A892" s="25" t="s">
        <v>2843</v>
      </c>
      <c r="B892" s="25"/>
      <c r="C892" s="30" t="s">
        <v>2844</v>
      </c>
      <c r="D892" s="27"/>
      <c r="E892" s="27" t="s">
        <v>2845</v>
      </c>
      <c r="F892" s="31" t="s">
        <v>116</v>
      </c>
      <c r="G892" s="32">
        <v>1</v>
      </c>
      <c r="H892" s="27"/>
      <c r="I892" s="33">
        <v>4</v>
      </c>
      <c r="J892" s="34">
        <v>0</v>
      </c>
      <c r="K892" s="35"/>
      <c r="L892" s="35"/>
      <c r="M892" s="34">
        <f t="shared" si="78"/>
        <v>0</v>
      </c>
      <c r="N892" s="35"/>
      <c r="O892" s="35"/>
      <c r="P892" s="34">
        <v>0</v>
      </c>
      <c r="Q892" s="35"/>
      <c r="R892" s="35"/>
      <c r="S892" s="34">
        <f t="shared" si="79"/>
        <v>0</v>
      </c>
      <c r="T892" s="35"/>
      <c r="U892" s="36"/>
      <c r="V892" s="9">
        <f t="shared" si="80"/>
        <v>0</v>
      </c>
      <c r="Y892" s="9">
        <f t="shared" si="81"/>
        <v>0</v>
      </c>
      <c r="AD892" s="4" t="s">
        <v>2846</v>
      </c>
      <c r="AE892" s="4" t="s">
        <v>2847</v>
      </c>
      <c r="AF892" s="4" t="s">
        <v>2848</v>
      </c>
    </row>
    <row r="893" spans="1:32" ht="396" x14ac:dyDescent="0.3">
      <c r="A893" s="25" t="s">
        <v>2849</v>
      </c>
      <c r="B893" s="25"/>
      <c r="C893" s="30" t="s">
        <v>2850</v>
      </c>
      <c r="D893" s="27"/>
      <c r="E893" s="27" t="s">
        <v>2851</v>
      </c>
      <c r="F893" s="31" t="s">
        <v>116</v>
      </c>
      <c r="G893" s="32">
        <v>1</v>
      </c>
      <c r="H893" s="27"/>
      <c r="I893" s="33">
        <v>4</v>
      </c>
      <c r="J893" s="34">
        <v>0</v>
      </c>
      <c r="K893" s="35"/>
      <c r="L893" s="35"/>
      <c r="M893" s="34">
        <f t="shared" si="78"/>
        <v>0</v>
      </c>
      <c r="N893" s="35"/>
      <c r="O893" s="35"/>
      <c r="P893" s="34">
        <v>0</v>
      </c>
      <c r="Q893" s="35"/>
      <c r="R893" s="35"/>
      <c r="S893" s="34">
        <f t="shared" si="79"/>
        <v>0</v>
      </c>
      <c r="T893" s="35"/>
      <c r="U893" s="36"/>
      <c r="V893" s="9">
        <f t="shared" si="80"/>
        <v>0</v>
      </c>
      <c r="Y893" s="9">
        <f t="shared" si="81"/>
        <v>0</v>
      </c>
      <c r="AD893" s="4" t="s">
        <v>2852</v>
      </c>
      <c r="AE893" s="4" t="s">
        <v>2853</v>
      </c>
      <c r="AF893" s="4" t="s">
        <v>2854</v>
      </c>
    </row>
    <row r="894" spans="1:32" ht="409.6" x14ac:dyDescent="0.3">
      <c r="A894" s="25" t="s">
        <v>2855</v>
      </c>
      <c r="B894" s="25"/>
      <c r="C894" s="30" t="s">
        <v>2856</v>
      </c>
      <c r="D894" s="27"/>
      <c r="E894" s="27" t="s">
        <v>2857</v>
      </c>
      <c r="F894" s="31" t="s">
        <v>116</v>
      </c>
      <c r="G894" s="32">
        <v>1</v>
      </c>
      <c r="H894" s="27"/>
      <c r="I894" s="33">
        <v>3</v>
      </c>
      <c r="J894" s="34">
        <v>0</v>
      </c>
      <c r="K894" s="35"/>
      <c r="L894" s="35"/>
      <c r="M894" s="34">
        <f t="shared" si="78"/>
        <v>0</v>
      </c>
      <c r="N894" s="35"/>
      <c r="O894" s="35"/>
      <c r="P894" s="34">
        <v>0</v>
      </c>
      <c r="Q894" s="35"/>
      <c r="R894" s="35"/>
      <c r="S894" s="34">
        <f t="shared" si="79"/>
        <v>0</v>
      </c>
      <c r="T894" s="35"/>
      <c r="U894" s="36"/>
      <c r="V894" s="9">
        <f t="shared" si="80"/>
        <v>0</v>
      </c>
      <c r="Y894" s="9">
        <f t="shared" si="81"/>
        <v>0</v>
      </c>
      <c r="AD894" s="4" t="s">
        <v>2858</v>
      </c>
      <c r="AE894" s="4" t="s">
        <v>2859</v>
      </c>
      <c r="AF894" s="4" t="s">
        <v>2860</v>
      </c>
    </row>
    <row r="895" spans="1:32" ht="409.6" x14ac:dyDescent="0.3">
      <c r="A895" s="25" t="s">
        <v>2861</v>
      </c>
      <c r="B895" s="25"/>
      <c r="C895" s="30" t="s">
        <v>2862</v>
      </c>
      <c r="D895" s="27"/>
      <c r="E895" s="27" t="s">
        <v>2863</v>
      </c>
      <c r="F895" s="31" t="s">
        <v>116</v>
      </c>
      <c r="G895" s="32">
        <v>1</v>
      </c>
      <c r="H895" s="27"/>
      <c r="I895" s="33">
        <v>1</v>
      </c>
      <c r="J895" s="34">
        <v>0</v>
      </c>
      <c r="K895" s="35"/>
      <c r="L895" s="35"/>
      <c r="M895" s="34">
        <f t="shared" si="78"/>
        <v>0</v>
      </c>
      <c r="N895" s="35"/>
      <c r="O895" s="35"/>
      <c r="P895" s="34">
        <v>0</v>
      </c>
      <c r="Q895" s="35"/>
      <c r="R895" s="35"/>
      <c r="S895" s="34">
        <f t="shared" si="79"/>
        <v>0</v>
      </c>
      <c r="T895" s="35"/>
      <c r="U895" s="36"/>
      <c r="V895" s="9">
        <f t="shared" si="80"/>
        <v>0</v>
      </c>
      <c r="Y895" s="9">
        <f t="shared" si="81"/>
        <v>0</v>
      </c>
      <c r="AD895" s="4" t="s">
        <v>2864</v>
      </c>
      <c r="AE895" s="4" t="s">
        <v>2865</v>
      </c>
      <c r="AF895" s="4" t="s">
        <v>2866</v>
      </c>
    </row>
    <row r="896" spans="1:32" ht="409.6" x14ac:dyDescent="0.3">
      <c r="A896" s="25" t="s">
        <v>2867</v>
      </c>
      <c r="B896" s="25"/>
      <c r="C896" s="30" t="s">
        <v>2868</v>
      </c>
      <c r="D896" s="27"/>
      <c r="E896" s="27" t="s">
        <v>2869</v>
      </c>
      <c r="F896" s="31" t="s">
        <v>116</v>
      </c>
      <c r="G896" s="32">
        <v>1</v>
      </c>
      <c r="H896" s="27"/>
      <c r="I896" s="33">
        <v>1</v>
      </c>
      <c r="J896" s="34">
        <v>0</v>
      </c>
      <c r="K896" s="35"/>
      <c r="L896" s="35"/>
      <c r="M896" s="34">
        <f t="shared" si="78"/>
        <v>0</v>
      </c>
      <c r="N896" s="35"/>
      <c r="O896" s="35"/>
      <c r="P896" s="34">
        <v>0</v>
      </c>
      <c r="Q896" s="35"/>
      <c r="R896" s="35"/>
      <c r="S896" s="34">
        <f t="shared" si="79"/>
        <v>0</v>
      </c>
      <c r="T896" s="35"/>
      <c r="U896" s="36"/>
      <c r="V896" s="9">
        <f t="shared" si="80"/>
        <v>0</v>
      </c>
      <c r="Y896" s="9">
        <f t="shared" si="81"/>
        <v>0</v>
      </c>
      <c r="AD896" s="4" t="s">
        <v>2870</v>
      </c>
      <c r="AE896" s="4" t="s">
        <v>2871</v>
      </c>
      <c r="AF896" s="4" t="s">
        <v>2872</v>
      </c>
    </row>
    <row r="897" spans="1:35" ht="396" x14ac:dyDescent="0.3">
      <c r="A897" s="25" t="s">
        <v>2873</v>
      </c>
      <c r="B897" s="25"/>
      <c r="C897" s="30" t="s">
        <v>2874</v>
      </c>
      <c r="D897" s="27"/>
      <c r="E897" s="27" t="s">
        <v>2875</v>
      </c>
      <c r="F897" s="31" t="s">
        <v>116</v>
      </c>
      <c r="G897" s="32">
        <v>1</v>
      </c>
      <c r="H897" s="27"/>
      <c r="I897" s="33">
        <v>4</v>
      </c>
      <c r="J897" s="34">
        <v>0</v>
      </c>
      <c r="K897" s="35"/>
      <c r="L897" s="35"/>
      <c r="M897" s="34">
        <f t="shared" si="78"/>
        <v>0</v>
      </c>
      <c r="N897" s="35"/>
      <c r="O897" s="35"/>
      <c r="P897" s="34">
        <v>0</v>
      </c>
      <c r="Q897" s="35"/>
      <c r="R897" s="35"/>
      <c r="S897" s="34">
        <f t="shared" si="79"/>
        <v>0</v>
      </c>
      <c r="T897" s="35"/>
      <c r="U897" s="36"/>
      <c r="V897" s="9">
        <f t="shared" si="80"/>
        <v>0</v>
      </c>
      <c r="Y897" s="9">
        <f t="shared" si="81"/>
        <v>0</v>
      </c>
      <c r="AD897" s="4" t="s">
        <v>2876</v>
      </c>
      <c r="AE897" s="4" t="s">
        <v>2877</v>
      </c>
      <c r="AF897" s="4" t="s">
        <v>2878</v>
      </c>
    </row>
    <row r="898" spans="1:35" ht="409.6" x14ac:dyDescent="0.3">
      <c r="A898" s="25" t="s">
        <v>2879</v>
      </c>
      <c r="B898" s="25"/>
      <c r="C898" s="30" t="s">
        <v>2880</v>
      </c>
      <c r="D898" s="27"/>
      <c r="E898" s="27" t="s">
        <v>2881</v>
      </c>
      <c r="F898" s="31" t="s">
        <v>116</v>
      </c>
      <c r="G898" s="32">
        <v>1</v>
      </c>
      <c r="H898" s="27"/>
      <c r="I898" s="33">
        <v>1</v>
      </c>
      <c r="J898" s="34">
        <v>0</v>
      </c>
      <c r="K898" s="35"/>
      <c r="L898" s="35"/>
      <c r="M898" s="34">
        <f t="shared" si="78"/>
        <v>0</v>
      </c>
      <c r="N898" s="35"/>
      <c r="O898" s="35"/>
      <c r="P898" s="34">
        <v>0</v>
      </c>
      <c r="Q898" s="35"/>
      <c r="R898" s="35"/>
      <c r="S898" s="34">
        <f t="shared" si="79"/>
        <v>0</v>
      </c>
      <c r="T898" s="35"/>
      <c r="U898" s="36"/>
      <c r="V898" s="9">
        <f t="shared" si="80"/>
        <v>0</v>
      </c>
      <c r="Y898" s="9">
        <f t="shared" si="81"/>
        <v>0</v>
      </c>
      <c r="AD898" s="4" t="s">
        <v>2882</v>
      </c>
      <c r="AE898" s="4" t="s">
        <v>2883</v>
      </c>
      <c r="AF898" s="4" t="s">
        <v>2884</v>
      </c>
    </row>
    <row r="899" spans="1:35" ht="409.6" x14ac:dyDescent="0.3">
      <c r="A899" s="25" t="s">
        <v>2885</v>
      </c>
      <c r="B899" s="25"/>
      <c r="C899" s="30" t="s">
        <v>2886</v>
      </c>
      <c r="D899" s="27"/>
      <c r="E899" s="27" t="s">
        <v>2887</v>
      </c>
      <c r="F899" s="31" t="s">
        <v>116</v>
      </c>
      <c r="G899" s="32">
        <v>1</v>
      </c>
      <c r="H899" s="27"/>
      <c r="I899" s="33">
        <v>4</v>
      </c>
      <c r="J899" s="34">
        <v>0</v>
      </c>
      <c r="K899" s="35"/>
      <c r="L899" s="35"/>
      <c r="M899" s="34">
        <f t="shared" si="78"/>
        <v>0</v>
      </c>
      <c r="N899" s="35"/>
      <c r="O899" s="35"/>
      <c r="P899" s="34">
        <v>0</v>
      </c>
      <c r="Q899" s="35"/>
      <c r="R899" s="35"/>
      <c r="S899" s="34">
        <f t="shared" si="79"/>
        <v>0</v>
      </c>
      <c r="T899" s="35"/>
      <c r="U899" s="36"/>
      <c r="V899" s="9">
        <f t="shared" si="80"/>
        <v>0</v>
      </c>
      <c r="Y899" s="9">
        <f t="shared" si="81"/>
        <v>0</v>
      </c>
      <c r="AD899" s="4" t="s">
        <v>2888</v>
      </c>
      <c r="AE899" s="4" t="s">
        <v>2889</v>
      </c>
      <c r="AF899" s="4" t="s">
        <v>2890</v>
      </c>
    </row>
    <row r="900" spans="1:35" ht="54" x14ac:dyDescent="0.3">
      <c r="A900" s="25" t="s">
        <v>2891</v>
      </c>
      <c r="B900" s="25" t="s">
        <v>2766</v>
      </c>
      <c r="C900" s="26" t="s">
        <v>2767</v>
      </c>
      <c r="D900" s="27"/>
      <c r="E900" s="27" t="s">
        <v>2768</v>
      </c>
      <c r="F900" s="27" t="s">
        <v>116</v>
      </c>
      <c r="G900" s="28">
        <v>1</v>
      </c>
      <c r="H900" s="27"/>
      <c r="I900" s="28">
        <v>55</v>
      </c>
      <c r="J900" s="29">
        <f>IFERROR(ROUND(SUM(M901,M902,M903,M904,M905,M906,M907,M908,M909,M910,M911,M912,M913,M914,M915,M916,M917)/I900, 2),0)</f>
        <v>0</v>
      </c>
      <c r="K900" s="29">
        <v>3271</v>
      </c>
      <c r="L900" s="29">
        <f>J900+ROUND(K900, 2)</f>
        <v>3271</v>
      </c>
      <c r="M900" s="29">
        <f>ROUND(J900*I900, 2)</f>
        <v>0</v>
      </c>
      <c r="N900" s="29">
        <f>ROUND(I900*ROUND(K900, 2), 2)</f>
        <v>179905</v>
      </c>
      <c r="O900" s="29">
        <f>M900+N900</f>
        <v>179905</v>
      </c>
      <c r="P900" s="29">
        <f>IFERROR(ROUND(SUM(S901,S902,S903,S904,S905,S906,S907,S908,S909,S910,S911,S912,S913,S914,S915,S916,S917)/I900, 2),0)</f>
        <v>0</v>
      </c>
      <c r="Q900" s="29">
        <v>3271</v>
      </c>
      <c r="R900" s="29">
        <f>P900+ROUND(Q900, 2)</f>
        <v>3271</v>
      </c>
      <c r="S900" s="29">
        <f>ROUND(P900*I900, 2)</f>
        <v>0</v>
      </c>
      <c r="T900" s="29">
        <f>ROUND(I900*ROUND(Q900, 2), 2)</f>
        <v>179905</v>
      </c>
      <c r="U900" s="29">
        <f>S900+T900</f>
        <v>179905</v>
      </c>
      <c r="V900" s="9">
        <f>ROUND(P900 / 1.2, 2)</f>
        <v>0</v>
      </c>
      <c r="W900" s="9">
        <f>ROUND(Q900 / 1.2, 2)</f>
        <v>2725.83</v>
      </c>
      <c r="X900" s="9">
        <f>ROUND(R900 / 1.2, 2)</f>
        <v>2725.83</v>
      </c>
      <c r="Y900" s="9">
        <f t="shared" si="81"/>
        <v>0</v>
      </c>
      <c r="Z900" s="9">
        <f>ROUND(T900 / 1.2, 2)</f>
        <v>149920.82999999999</v>
      </c>
      <c r="AA900" s="9">
        <f>Y900+Z900</f>
        <v>149920.82999999999</v>
      </c>
      <c r="AD900" s="4">
        <v>271132303</v>
      </c>
      <c r="AE900" s="4">
        <v>19830252</v>
      </c>
      <c r="AG900" s="4" t="s">
        <v>2769</v>
      </c>
      <c r="AH900" s="4" t="s">
        <v>2770</v>
      </c>
      <c r="AI900" s="4" t="s">
        <v>67</v>
      </c>
    </row>
    <row r="901" spans="1:35" ht="409.6" x14ac:dyDescent="0.3">
      <c r="A901" s="25" t="s">
        <v>2892</v>
      </c>
      <c r="B901" s="25"/>
      <c r="C901" s="30" t="s">
        <v>2772</v>
      </c>
      <c r="D901" s="27"/>
      <c r="E901" s="27" t="s">
        <v>2893</v>
      </c>
      <c r="F901" s="31" t="s">
        <v>116</v>
      </c>
      <c r="G901" s="32">
        <v>1</v>
      </c>
      <c r="H901" s="27"/>
      <c r="I901" s="33">
        <v>3</v>
      </c>
      <c r="J901" s="34">
        <v>0</v>
      </c>
      <c r="K901" s="35"/>
      <c r="L901" s="35"/>
      <c r="M901" s="34">
        <f t="shared" ref="M901:M917" si="82">ROUND(ROUND(J901, 2)*I901, 2)</f>
        <v>0</v>
      </c>
      <c r="N901" s="35"/>
      <c r="O901" s="35"/>
      <c r="P901" s="34">
        <v>0</v>
      </c>
      <c r="Q901" s="35"/>
      <c r="R901" s="35"/>
      <c r="S901" s="34">
        <f t="shared" ref="S901:S917" si="83">ROUND(ROUND(P901, 2)*I901, 2)</f>
        <v>0</v>
      </c>
      <c r="T901" s="35"/>
      <c r="U901" s="36"/>
      <c r="V901" s="9">
        <f t="shared" ref="V901:V917" si="84">ROUND(ROUND(P901, 2)/1.2, 2)</f>
        <v>0</v>
      </c>
      <c r="Y901" s="9">
        <f t="shared" si="81"/>
        <v>0</v>
      </c>
      <c r="AD901" s="4" t="s">
        <v>2894</v>
      </c>
      <c r="AE901" s="4" t="s">
        <v>2895</v>
      </c>
      <c r="AF901" s="4" t="s">
        <v>2776</v>
      </c>
    </row>
    <row r="902" spans="1:35" ht="378" x14ac:dyDescent="0.3">
      <c r="A902" s="25" t="s">
        <v>2896</v>
      </c>
      <c r="B902" s="25"/>
      <c r="C902" s="30" t="s">
        <v>2897</v>
      </c>
      <c r="D902" s="27"/>
      <c r="E902" s="27" t="s">
        <v>2898</v>
      </c>
      <c r="F902" s="31" t="s">
        <v>116</v>
      </c>
      <c r="G902" s="32">
        <v>1</v>
      </c>
      <c r="H902" s="27"/>
      <c r="I902" s="33">
        <v>1</v>
      </c>
      <c r="J902" s="34">
        <v>0</v>
      </c>
      <c r="K902" s="35"/>
      <c r="L902" s="35"/>
      <c r="M902" s="34">
        <f t="shared" si="82"/>
        <v>0</v>
      </c>
      <c r="N902" s="35"/>
      <c r="O902" s="35"/>
      <c r="P902" s="34">
        <v>0</v>
      </c>
      <c r="Q902" s="35"/>
      <c r="R902" s="35"/>
      <c r="S902" s="34">
        <f t="shared" si="83"/>
        <v>0</v>
      </c>
      <c r="T902" s="35"/>
      <c r="U902" s="36"/>
      <c r="V902" s="9">
        <f t="shared" si="84"/>
        <v>0</v>
      </c>
      <c r="Y902" s="9">
        <f t="shared" si="81"/>
        <v>0</v>
      </c>
      <c r="AD902" s="4" t="s">
        <v>2899</v>
      </c>
      <c r="AE902" s="4" t="s">
        <v>2900</v>
      </c>
      <c r="AF902" s="4" t="s">
        <v>2901</v>
      </c>
    </row>
    <row r="903" spans="1:35" ht="342" x14ac:dyDescent="0.3">
      <c r="A903" s="25" t="s">
        <v>2902</v>
      </c>
      <c r="B903" s="25"/>
      <c r="C903" s="30" t="s">
        <v>2903</v>
      </c>
      <c r="D903" s="27"/>
      <c r="E903" s="27" t="s">
        <v>2904</v>
      </c>
      <c r="F903" s="31" t="s">
        <v>116</v>
      </c>
      <c r="G903" s="32">
        <v>1</v>
      </c>
      <c r="H903" s="27"/>
      <c r="I903" s="33">
        <v>2</v>
      </c>
      <c r="J903" s="34">
        <v>0</v>
      </c>
      <c r="K903" s="35"/>
      <c r="L903" s="35"/>
      <c r="M903" s="34">
        <f t="shared" si="82"/>
        <v>0</v>
      </c>
      <c r="N903" s="35"/>
      <c r="O903" s="35"/>
      <c r="P903" s="34">
        <v>0</v>
      </c>
      <c r="Q903" s="35"/>
      <c r="R903" s="35"/>
      <c r="S903" s="34">
        <f t="shared" si="83"/>
        <v>0</v>
      </c>
      <c r="T903" s="35"/>
      <c r="U903" s="36"/>
      <c r="V903" s="9">
        <f t="shared" si="84"/>
        <v>0</v>
      </c>
      <c r="Y903" s="9">
        <f t="shared" si="81"/>
        <v>0</v>
      </c>
      <c r="AD903" s="4" t="s">
        <v>2905</v>
      </c>
      <c r="AE903" s="4" t="s">
        <v>2906</v>
      </c>
      <c r="AF903" s="4" t="s">
        <v>2907</v>
      </c>
    </row>
    <row r="904" spans="1:35" ht="324" x14ac:dyDescent="0.3">
      <c r="A904" s="25" t="s">
        <v>2908</v>
      </c>
      <c r="B904" s="25"/>
      <c r="C904" s="30" t="s">
        <v>2784</v>
      </c>
      <c r="D904" s="27"/>
      <c r="E904" s="27" t="s">
        <v>2909</v>
      </c>
      <c r="F904" s="31" t="s">
        <v>116</v>
      </c>
      <c r="G904" s="32">
        <v>1</v>
      </c>
      <c r="H904" s="27"/>
      <c r="I904" s="33">
        <v>2</v>
      </c>
      <c r="J904" s="34">
        <v>0</v>
      </c>
      <c r="K904" s="35"/>
      <c r="L904" s="35"/>
      <c r="M904" s="34">
        <f t="shared" si="82"/>
        <v>0</v>
      </c>
      <c r="N904" s="35"/>
      <c r="O904" s="35"/>
      <c r="P904" s="34">
        <v>0</v>
      </c>
      <c r="Q904" s="35"/>
      <c r="R904" s="35"/>
      <c r="S904" s="34">
        <f t="shared" si="83"/>
        <v>0</v>
      </c>
      <c r="T904" s="35"/>
      <c r="U904" s="36"/>
      <c r="V904" s="9">
        <f t="shared" si="84"/>
        <v>0</v>
      </c>
      <c r="Y904" s="9">
        <f t="shared" si="81"/>
        <v>0</v>
      </c>
      <c r="AD904" s="4" t="s">
        <v>2910</v>
      </c>
      <c r="AE904" s="4" t="s">
        <v>2911</v>
      </c>
      <c r="AF904" s="4" t="s">
        <v>2788</v>
      </c>
    </row>
    <row r="905" spans="1:35" ht="342" x14ac:dyDescent="0.3">
      <c r="A905" s="25" t="s">
        <v>2912</v>
      </c>
      <c r="B905" s="25"/>
      <c r="C905" s="30" t="s">
        <v>2913</v>
      </c>
      <c r="D905" s="27"/>
      <c r="E905" s="27" t="s">
        <v>2914</v>
      </c>
      <c r="F905" s="31" t="s">
        <v>116</v>
      </c>
      <c r="G905" s="32">
        <v>1</v>
      </c>
      <c r="H905" s="27"/>
      <c r="I905" s="33">
        <v>3</v>
      </c>
      <c r="J905" s="34">
        <v>0</v>
      </c>
      <c r="K905" s="35"/>
      <c r="L905" s="35"/>
      <c r="M905" s="34">
        <f t="shared" si="82"/>
        <v>0</v>
      </c>
      <c r="N905" s="35"/>
      <c r="O905" s="35"/>
      <c r="P905" s="34">
        <v>0</v>
      </c>
      <c r="Q905" s="35"/>
      <c r="R905" s="35"/>
      <c r="S905" s="34">
        <f t="shared" si="83"/>
        <v>0</v>
      </c>
      <c r="T905" s="35"/>
      <c r="U905" s="36"/>
      <c r="V905" s="9">
        <f t="shared" si="84"/>
        <v>0</v>
      </c>
      <c r="Y905" s="9">
        <f t="shared" si="81"/>
        <v>0</v>
      </c>
      <c r="AD905" s="4" t="s">
        <v>2915</v>
      </c>
      <c r="AE905" s="4" t="s">
        <v>2916</v>
      </c>
      <c r="AF905" s="4" t="s">
        <v>2917</v>
      </c>
    </row>
    <row r="906" spans="1:35" ht="409.6" x14ac:dyDescent="0.3">
      <c r="A906" s="25" t="s">
        <v>2918</v>
      </c>
      <c r="B906" s="25"/>
      <c r="C906" s="30" t="s">
        <v>2796</v>
      </c>
      <c r="D906" s="27"/>
      <c r="E906" s="27" t="s">
        <v>2919</v>
      </c>
      <c r="F906" s="31" t="s">
        <v>116</v>
      </c>
      <c r="G906" s="32">
        <v>1</v>
      </c>
      <c r="H906" s="27"/>
      <c r="I906" s="33">
        <v>1</v>
      </c>
      <c r="J906" s="34">
        <v>0</v>
      </c>
      <c r="K906" s="35"/>
      <c r="L906" s="35"/>
      <c r="M906" s="34">
        <f t="shared" si="82"/>
        <v>0</v>
      </c>
      <c r="N906" s="35"/>
      <c r="O906" s="35"/>
      <c r="P906" s="34">
        <v>0</v>
      </c>
      <c r="Q906" s="35"/>
      <c r="R906" s="35"/>
      <c r="S906" s="34">
        <f t="shared" si="83"/>
        <v>0</v>
      </c>
      <c r="T906" s="35"/>
      <c r="U906" s="36"/>
      <c r="V906" s="9">
        <f t="shared" si="84"/>
        <v>0</v>
      </c>
      <c r="Y906" s="9">
        <f t="shared" si="81"/>
        <v>0</v>
      </c>
      <c r="AD906" s="4" t="s">
        <v>2920</v>
      </c>
      <c r="AE906" s="4" t="s">
        <v>2921</v>
      </c>
      <c r="AF906" s="4" t="s">
        <v>2800</v>
      </c>
    </row>
    <row r="907" spans="1:35" ht="396" x14ac:dyDescent="0.3">
      <c r="A907" s="25" t="s">
        <v>2922</v>
      </c>
      <c r="B907" s="25"/>
      <c r="C907" s="30" t="s">
        <v>2814</v>
      </c>
      <c r="D907" s="27"/>
      <c r="E907" s="27" t="s">
        <v>2923</v>
      </c>
      <c r="F907" s="31" t="s">
        <v>116</v>
      </c>
      <c r="G907" s="32">
        <v>1</v>
      </c>
      <c r="H907" s="27"/>
      <c r="I907" s="33">
        <v>2</v>
      </c>
      <c r="J907" s="34">
        <v>0</v>
      </c>
      <c r="K907" s="35"/>
      <c r="L907" s="35"/>
      <c r="M907" s="34">
        <f t="shared" si="82"/>
        <v>0</v>
      </c>
      <c r="N907" s="35"/>
      <c r="O907" s="35"/>
      <c r="P907" s="34">
        <v>0</v>
      </c>
      <c r="Q907" s="35"/>
      <c r="R907" s="35"/>
      <c r="S907" s="34">
        <f t="shared" si="83"/>
        <v>0</v>
      </c>
      <c r="T907" s="35"/>
      <c r="U907" s="36"/>
      <c r="V907" s="9">
        <f t="shared" si="84"/>
        <v>0</v>
      </c>
      <c r="Y907" s="9">
        <f t="shared" si="81"/>
        <v>0</v>
      </c>
      <c r="AD907" s="4" t="s">
        <v>2924</v>
      </c>
      <c r="AE907" s="4" t="s">
        <v>2925</v>
      </c>
      <c r="AF907" s="4" t="s">
        <v>2818</v>
      </c>
    </row>
    <row r="908" spans="1:35" ht="342" x14ac:dyDescent="0.3">
      <c r="A908" s="25" t="s">
        <v>2926</v>
      </c>
      <c r="B908" s="25"/>
      <c r="C908" s="30" t="s">
        <v>2927</v>
      </c>
      <c r="D908" s="27"/>
      <c r="E908" s="27" t="s">
        <v>2928</v>
      </c>
      <c r="F908" s="31" t="s">
        <v>116</v>
      </c>
      <c r="G908" s="32">
        <v>1</v>
      </c>
      <c r="H908" s="27"/>
      <c r="I908" s="33">
        <v>2</v>
      </c>
      <c r="J908" s="34">
        <v>0</v>
      </c>
      <c r="K908" s="35"/>
      <c r="L908" s="35"/>
      <c r="M908" s="34">
        <f t="shared" si="82"/>
        <v>0</v>
      </c>
      <c r="N908" s="35"/>
      <c r="O908" s="35"/>
      <c r="P908" s="34">
        <v>0</v>
      </c>
      <c r="Q908" s="35"/>
      <c r="R908" s="35"/>
      <c r="S908" s="34">
        <f t="shared" si="83"/>
        <v>0</v>
      </c>
      <c r="T908" s="35"/>
      <c r="U908" s="36"/>
      <c r="V908" s="9">
        <f t="shared" si="84"/>
        <v>0</v>
      </c>
      <c r="Y908" s="9">
        <f t="shared" si="81"/>
        <v>0</v>
      </c>
      <c r="AD908" s="4" t="s">
        <v>2929</v>
      </c>
      <c r="AE908" s="4" t="s">
        <v>2930</v>
      </c>
      <c r="AF908" s="4" t="s">
        <v>2931</v>
      </c>
    </row>
    <row r="909" spans="1:35" ht="378" x14ac:dyDescent="0.3">
      <c r="A909" s="25" t="s">
        <v>2932</v>
      </c>
      <c r="B909" s="25"/>
      <c r="C909" s="30" t="s">
        <v>2832</v>
      </c>
      <c r="D909" s="27"/>
      <c r="E909" s="27" t="s">
        <v>2933</v>
      </c>
      <c r="F909" s="31" t="s">
        <v>116</v>
      </c>
      <c r="G909" s="32">
        <v>1</v>
      </c>
      <c r="H909" s="27"/>
      <c r="I909" s="33">
        <v>5</v>
      </c>
      <c r="J909" s="34">
        <v>0</v>
      </c>
      <c r="K909" s="35"/>
      <c r="L909" s="35"/>
      <c r="M909" s="34">
        <f t="shared" si="82"/>
        <v>0</v>
      </c>
      <c r="N909" s="35"/>
      <c r="O909" s="35"/>
      <c r="P909" s="34">
        <v>0</v>
      </c>
      <c r="Q909" s="35"/>
      <c r="R909" s="35"/>
      <c r="S909" s="34">
        <f t="shared" si="83"/>
        <v>0</v>
      </c>
      <c r="T909" s="35"/>
      <c r="U909" s="36"/>
      <c r="V909" s="9">
        <f t="shared" si="84"/>
        <v>0</v>
      </c>
      <c r="Y909" s="9">
        <f t="shared" si="81"/>
        <v>0</v>
      </c>
      <c r="AD909" s="4" t="s">
        <v>2934</v>
      </c>
      <c r="AE909" s="4" t="s">
        <v>2935</v>
      </c>
      <c r="AF909" s="4" t="s">
        <v>2836</v>
      </c>
    </row>
    <row r="910" spans="1:35" ht="342" x14ac:dyDescent="0.3">
      <c r="A910" s="25" t="s">
        <v>2936</v>
      </c>
      <c r="B910" s="25"/>
      <c r="C910" s="30" t="s">
        <v>2838</v>
      </c>
      <c r="D910" s="27"/>
      <c r="E910" s="27" t="s">
        <v>2937</v>
      </c>
      <c r="F910" s="31" t="s">
        <v>116</v>
      </c>
      <c r="G910" s="32">
        <v>1</v>
      </c>
      <c r="H910" s="27"/>
      <c r="I910" s="33">
        <v>5</v>
      </c>
      <c r="J910" s="34">
        <v>0</v>
      </c>
      <c r="K910" s="35"/>
      <c r="L910" s="35"/>
      <c r="M910" s="34">
        <f t="shared" si="82"/>
        <v>0</v>
      </c>
      <c r="N910" s="35"/>
      <c r="O910" s="35"/>
      <c r="P910" s="34">
        <v>0</v>
      </c>
      <c r="Q910" s="35"/>
      <c r="R910" s="35"/>
      <c r="S910" s="34">
        <f t="shared" si="83"/>
        <v>0</v>
      </c>
      <c r="T910" s="35"/>
      <c r="U910" s="36"/>
      <c r="V910" s="9">
        <f t="shared" si="84"/>
        <v>0</v>
      </c>
      <c r="Y910" s="9">
        <f t="shared" si="81"/>
        <v>0</v>
      </c>
      <c r="AD910" s="4" t="s">
        <v>2938</v>
      </c>
      <c r="AE910" s="4" t="s">
        <v>2939</v>
      </c>
      <c r="AF910" s="4" t="s">
        <v>2842</v>
      </c>
    </row>
    <row r="911" spans="1:35" ht="360" x14ac:dyDescent="0.3">
      <c r="A911" s="25" t="s">
        <v>2940</v>
      </c>
      <c r="B911" s="25"/>
      <c r="C911" s="30" t="s">
        <v>2941</v>
      </c>
      <c r="D911" s="27"/>
      <c r="E911" s="27" t="s">
        <v>2942</v>
      </c>
      <c r="F911" s="31" t="s">
        <v>116</v>
      </c>
      <c r="G911" s="32">
        <v>1</v>
      </c>
      <c r="H911" s="27"/>
      <c r="I911" s="33">
        <v>15</v>
      </c>
      <c r="J911" s="34">
        <v>0</v>
      </c>
      <c r="K911" s="35"/>
      <c r="L911" s="35"/>
      <c r="M911" s="34">
        <f t="shared" si="82"/>
        <v>0</v>
      </c>
      <c r="N911" s="35"/>
      <c r="O911" s="35"/>
      <c r="P911" s="34">
        <v>0</v>
      </c>
      <c r="Q911" s="35"/>
      <c r="R911" s="35"/>
      <c r="S911" s="34">
        <f t="shared" si="83"/>
        <v>0</v>
      </c>
      <c r="T911" s="35"/>
      <c r="U911" s="36"/>
      <c r="V911" s="9">
        <f t="shared" si="84"/>
        <v>0</v>
      </c>
      <c r="Y911" s="9">
        <f t="shared" si="81"/>
        <v>0</v>
      </c>
      <c r="AD911" s="4" t="s">
        <v>2943</v>
      </c>
      <c r="AE911" s="4" t="s">
        <v>2944</v>
      </c>
      <c r="AF911" s="4" t="s">
        <v>2945</v>
      </c>
    </row>
    <row r="912" spans="1:35" ht="396" x14ac:dyDescent="0.3">
      <c r="A912" s="25" t="s">
        <v>2946</v>
      </c>
      <c r="B912" s="25"/>
      <c r="C912" s="30" t="s">
        <v>2844</v>
      </c>
      <c r="D912" s="27"/>
      <c r="E912" s="27" t="s">
        <v>2947</v>
      </c>
      <c r="F912" s="31" t="s">
        <v>116</v>
      </c>
      <c r="G912" s="32">
        <v>1</v>
      </c>
      <c r="H912" s="27"/>
      <c r="I912" s="33">
        <v>1</v>
      </c>
      <c r="J912" s="34">
        <v>0</v>
      </c>
      <c r="K912" s="35"/>
      <c r="L912" s="35"/>
      <c r="M912" s="34">
        <f t="shared" si="82"/>
        <v>0</v>
      </c>
      <c r="N912" s="35"/>
      <c r="O912" s="35"/>
      <c r="P912" s="34">
        <v>0</v>
      </c>
      <c r="Q912" s="35"/>
      <c r="R912" s="35"/>
      <c r="S912" s="34">
        <f t="shared" si="83"/>
        <v>0</v>
      </c>
      <c r="T912" s="35"/>
      <c r="U912" s="36"/>
      <c r="V912" s="9">
        <f t="shared" si="84"/>
        <v>0</v>
      </c>
      <c r="Y912" s="9">
        <f t="shared" si="81"/>
        <v>0</v>
      </c>
      <c r="AD912" s="4" t="s">
        <v>2948</v>
      </c>
      <c r="AE912" s="4" t="s">
        <v>2949</v>
      </c>
      <c r="AF912" s="4" t="s">
        <v>2848</v>
      </c>
    </row>
    <row r="913" spans="1:35" ht="342" x14ac:dyDescent="0.3">
      <c r="A913" s="25" t="s">
        <v>2950</v>
      </c>
      <c r="B913" s="25"/>
      <c r="C913" s="30" t="s">
        <v>2862</v>
      </c>
      <c r="D913" s="27"/>
      <c r="E913" s="27" t="s">
        <v>2951</v>
      </c>
      <c r="F913" s="31" t="s">
        <v>116</v>
      </c>
      <c r="G913" s="32">
        <v>1</v>
      </c>
      <c r="H913" s="27"/>
      <c r="I913" s="33">
        <v>2</v>
      </c>
      <c r="J913" s="34">
        <v>0</v>
      </c>
      <c r="K913" s="35"/>
      <c r="L913" s="35"/>
      <c r="M913" s="34">
        <f t="shared" si="82"/>
        <v>0</v>
      </c>
      <c r="N913" s="35"/>
      <c r="O913" s="35"/>
      <c r="P913" s="34">
        <v>0</v>
      </c>
      <c r="Q913" s="35"/>
      <c r="R913" s="35"/>
      <c r="S913" s="34">
        <f t="shared" si="83"/>
        <v>0</v>
      </c>
      <c r="T913" s="35"/>
      <c r="U913" s="36"/>
      <c r="V913" s="9">
        <f t="shared" si="84"/>
        <v>0</v>
      </c>
      <c r="Y913" s="9">
        <f t="shared" si="81"/>
        <v>0</v>
      </c>
      <c r="AD913" s="4" t="s">
        <v>2952</v>
      </c>
      <c r="AE913" s="4" t="s">
        <v>2953</v>
      </c>
      <c r="AF913" s="4" t="s">
        <v>2866</v>
      </c>
    </row>
    <row r="914" spans="1:35" ht="360" x14ac:dyDescent="0.3">
      <c r="A914" s="25" t="s">
        <v>2954</v>
      </c>
      <c r="B914" s="25"/>
      <c r="C914" s="30" t="s">
        <v>2868</v>
      </c>
      <c r="D914" s="27"/>
      <c r="E914" s="27" t="s">
        <v>2955</v>
      </c>
      <c r="F914" s="31" t="s">
        <v>116</v>
      </c>
      <c r="G914" s="32">
        <v>1</v>
      </c>
      <c r="H914" s="27"/>
      <c r="I914" s="33">
        <v>4</v>
      </c>
      <c r="J914" s="34">
        <v>0</v>
      </c>
      <c r="K914" s="35"/>
      <c r="L914" s="35"/>
      <c r="M914" s="34">
        <f t="shared" si="82"/>
        <v>0</v>
      </c>
      <c r="N914" s="35"/>
      <c r="O914" s="35"/>
      <c r="P914" s="34">
        <v>0</v>
      </c>
      <c r="Q914" s="35"/>
      <c r="R914" s="35"/>
      <c r="S914" s="34">
        <f t="shared" si="83"/>
        <v>0</v>
      </c>
      <c r="T914" s="35"/>
      <c r="U914" s="36"/>
      <c r="V914" s="9">
        <f t="shared" si="84"/>
        <v>0</v>
      </c>
      <c r="Y914" s="9">
        <f t="shared" si="81"/>
        <v>0</v>
      </c>
      <c r="AD914" s="4" t="s">
        <v>2956</v>
      </c>
      <c r="AE914" s="4" t="s">
        <v>2957</v>
      </c>
      <c r="AF914" s="4" t="s">
        <v>2872</v>
      </c>
    </row>
    <row r="915" spans="1:35" ht="378" x14ac:dyDescent="0.3">
      <c r="A915" s="25" t="s">
        <v>2958</v>
      </c>
      <c r="B915" s="25"/>
      <c r="C915" s="30" t="s">
        <v>2959</v>
      </c>
      <c r="D915" s="27"/>
      <c r="E915" s="27" t="s">
        <v>2960</v>
      </c>
      <c r="F915" s="31" t="s">
        <v>116</v>
      </c>
      <c r="G915" s="32">
        <v>1</v>
      </c>
      <c r="H915" s="27"/>
      <c r="I915" s="33">
        <v>4</v>
      </c>
      <c r="J915" s="34">
        <v>0</v>
      </c>
      <c r="K915" s="35"/>
      <c r="L915" s="35"/>
      <c r="M915" s="34">
        <f t="shared" si="82"/>
        <v>0</v>
      </c>
      <c r="N915" s="35"/>
      <c r="O915" s="35"/>
      <c r="P915" s="34">
        <v>0</v>
      </c>
      <c r="Q915" s="35"/>
      <c r="R915" s="35"/>
      <c r="S915" s="34">
        <f t="shared" si="83"/>
        <v>0</v>
      </c>
      <c r="T915" s="35"/>
      <c r="U915" s="36"/>
      <c r="V915" s="9">
        <f t="shared" si="84"/>
        <v>0</v>
      </c>
      <c r="Y915" s="9">
        <f t="shared" si="81"/>
        <v>0</v>
      </c>
      <c r="AD915" s="4" t="s">
        <v>2961</v>
      </c>
      <c r="AE915" s="4" t="s">
        <v>2962</v>
      </c>
      <c r="AF915" s="4" t="s">
        <v>2963</v>
      </c>
    </row>
    <row r="916" spans="1:35" ht="324" x14ac:dyDescent="0.3">
      <c r="A916" s="25" t="s">
        <v>2964</v>
      </c>
      <c r="B916" s="25"/>
      <c r="C916" s="30" t="s">
        <v>2874</v>
      </c>
      <c r="D916" s="27"/>
      <c r="E916" s="27" t="s">
        <v>2965</v>
      </c>
      <c r="F916" s="31" t="s">
        <v>116</v>
      </c>
      <c r="G916" s="32">
        <v>1</v>
      </c>
      <c r="H916" s="27"/>
      <c r="I916" s="33">
        <v>1</v>
      </c>
      <c r="J916" s="34">
        <v>0</v>
      </c>
      <c r="K916" s="35"/>
      <c r="L916" s="35"/>
      <c r="M916" s="34">
        <f t="shared" si="82"/>
        <v>0</v>
      </c>
      <c r="N916" s="35"/>
      <c r="O916" s="35"/>
      <c r="P916" s="34">
        <v>0</v>
      </c>
      <c r="Q916" s="35"/>
      <c r="R916" s="35"/>
      <c r="S916" s="34">
        <f t="shared" si="83"/>
        <v>0</v>
      </c>
      <c r="T916" s="35"/>
      <c r="U916" s="36"/>
      <c r="V916" s="9">
        <f t="shared" si="84"/>
        <v>0</v>
      </c>
      <c r="Y916" s="9">
        <f t="shared" si="81"/>
        <v>0</v>
      </c>
      <c r="AD916" s="4" t="s">
        <v>2966</v>
      </c>
      <c r="AE916" s="4" t="s">
        <v>2967</v>
      </c>
      <c r="AF916" s="4" t="s">
        <v>2878</v>
      </c>
    </row>
    <row r="917" spans="1:35" ht="324" x14ac:dyDescent="0.3">
      <c r="A917" s="25" t="s">
        <v>2968</v>
      </c>
      <c r="B917" s="25"/>
      <c r="C917" s="30" t="s">
        <v>2969</v>
      </c>
      <c r="D917" s="27"/>
      <c r="E917" s="27" t="s">
        <v>2970</v>
      </c>
      <c r="F917" s="31" t="s">
        <v>116</v>
      </c>
      <c r="G917" s="32">
        <v>1</v>
      </c>
      <c r="H917" s="27"/>
      <c r="I917" s="33">
        <v>2</v>
      </c>
      <c r="J917" s="34">
        <v>0</v>
      </c>
      <c r="K917" s="35"/>
      <c r="L917" s="35"/>
      <c r="M917" s="34">
        <f t="shared" si="82"/>
        <v>0</v>
      </c>
      <c r="N917" s="35"/>
      <c r="O917" s="35"/>
      <c r="P917" s="34">
        <v>0</v>
      </c>
      <c r="Q917" s="35"/>
      <c r="R917" s="35"/>
      <c r="S917" s="34">
        <f t="shared" si="83"/>
        <v>0</v>
      </c>
      <c r="T917" s="35"/>
      <c r="U917" s="36"/>
      <c r="V917" s="9">
        <f t="shared" si="84"/>
        <v>0</v>
      </c>
      <c r="Y917" s="9">
        <f t="shared" si="81"/>
        <v>0</v>
      </c>
      <c r="AD917" s="4" t="s">
        <v>2971</v>
      </c>
      <c r="AE917" s="4" t="s">
        <v>2972</v>
      </c>
      <c r="AF917" s="4" t="s">
        <v>2973</v>
      </c>
    </row>
    <row r="918" spans="1:35" ht="17.100000000000001" customHeight="1" x14ac:dyDescent="0.3">
      <c r="A918" s="25" t="s">
        <v>2974</v>
      </c>
      <c r="B918" s="25" t="s">
        <v>2975</v>
      </c>
      <c r="C918" s="182" t="s">
        <v>2976</v>
      </c>
      <c r="D918" s="183"/>
      <c r="E918" s="183"/>
      <c r="F918" s="183"/>
      <c r="G918" s="183"/>
      <c r="H918" s="183"/>
      <c r="I918" s="184"/>
      <c r="J918" s="35"/>
      <c r="K918" s="35"/>
      <c r="L918" s="35"/>
      <c r="M918" s="67">
        <f t="shared" ref="M918:O920" si="85">SUM(M919)</f>
        <v>0</v>
      </c>
      <c r="N918" s="67">
        <f t="shared" si="85"/>
        <v>1057732.71</v>
      </c>
      <c r="O918" s="67">
        <f t="shared" si="85"/>
        <v>1057732.71</v>
      </c>
      <c r="P918" s="35"/>
      <c r="Q918" s="35"/>
      <c r="R918" s="35"/>
      <c r="S918" s="67">
        <f t="shared" ref="S918:U920" si="86">SUM(S919)</f>
        <v>0</v>
      </c>
      <c r="T918" s="67">
        <f t="shared" si="86"/>
        <v>1057732.71</v>
      </c>
      <c r="U918" s="67">
        <f t="shared" si="86"/>
        <v>1057732.71</v>
      </c>
      <c r="Y918" s="9">
        <f t="shared" ref="Y918:AA920" si="87">SUM(Y919)</f>
        <v>0</v>
      </c>
      <c r="Z918" s="9">
        <f t="shared" si="87"/>
        <v>881443.93</v>
      </c>
      <c r="AA918" s="9" t="e">
        <f t="shared" si="87"/>
        <v>#VALUE!</v>
      </c>
      <c r="AD918" s="4">
        <v>271132155</v>
      </c>
      <c r="AE918" s="4">
        <v>16297775</v>
      </c>
    </row>
    <row r="919" spans="1:35" ht="17.100000000000001" customHeight="1" x14ac:dyDescent="0.3">
      <c r="A919" s="25" t="s">
        <v>2977</v>
      </c>
      <c r="B919" s="25" t="s">
        <v>2978</v>
      </c>
      <c r="C919" s="182" t="s">
        <v>2979</v>
      </c>
      <c r="D919" s="183"/>
      <c r="E919" s="183"/>
      <c r="F919" s="183"/>
      <c r="G919" s="183"/>
      <c r="H919" s="183"/>
      <c r="I919" s="184"/>
      <c r="J919" s="35"/>
      <c r="K919" s="35"/>
      <c r="L919" s="35"/>
      <c r="M919" s="67">
        <f t="shared" si="85"/>
        <v>0</v>
      </c>
      <c r="N919" s="67">
        <f t="shared" si="85"/>
        <v>1057732.71</v>
      </c>
      <c r="O919" s="67">
        <f t="shared" si="85"/>
        <v>1057732.71</v>
      </c>
      <c r="P919" s="35"/>
      <c r="Q919" s="35"/>
      <c r="R919" s="35"/>
      <c r="S919" s="67">
        <f t="shared" si="86"/>
        <v>0</v>
      </c>
      <c r="T919" s="67">
        <f t="shared" si="86"/>
        <v>1057732.71</v>
      </c>
      <c r="U919" s="67">
        <f t="shared" si="86"/>
        <v>1057732.71</v>
      </c>
      <c r="Y919" s="9">
        <f t="shared" si="87"/>
        <v>0</v>
      </c>
      <c r="Z919" s="9">
        <f t="shared" si="87"/>
        <v>881443.93</v>
      </c>
      <c r="AA919" s="9" t="e">
        <f t="shared" si="87"/>
        <v>#VALUE!</v>
      </c>
      <c r="AD919" s="4">
        <v>271132156</v>
      </c>
      <c r="AE919" s="4">
        <v>16297777</v>
      </c>
    </row>
    <row r="920" spans="1:35" ht="17.100000000000001" customHeight="1" x14ac:dyDescent="0.3">
      <c r="A920" s="25" t="s">
        <v>2980</v>
      </c>
      <c r="B920" s="25" t="s">
        <v>2981</v>
      </c>
      <c r="C920" s="182" t="s">
        <v>2982</v>
      </c>
      <c r="D920" s="183"/>
      <c r="E920" s="183"/>
      <c r="F920" s="183"/>
      <c r="G920" s="183"/>
      <c r="H920" s="183"/>
      <c r="I920" s="184"/>
      <c r="J920" s="35"/>
      <c r="K920" s="35"/>
      <c r="L920" s="35"/>
      <c r="M920" s="67">
        <f t="shared" si="85"/>
        <v>0</v>
      </c>
      <c r="N920" s="67">
        <f t="shared" si="85"/>
        <v>1057732.71</v>
      </c>
      <c r="O920" s="67">
        <f t="shared" si="85"/>
        <v>1057732.71</v>
      </c>
      <c r="P920" s="35"/>
      <c r="Q920" s="35"/>
      <c r="R920" s="35"/>
      <c r="S920" s="67">
        <f t="shared" si="86"/>
        <v>0</v>
      </c>
      <c r="T920" s="67">
        <f t="shared" si="86"/>
        <v>1057732.71</v>
      </c>
      <c r="U920" s="67">
        <f t="shared" si="86"/>
        <v>1057732.71</v>
      </c>
      <c r="Y920" s="9">
        <f t="shared" si="87"/>
        <v>0</v>
      </c>
      <c r="Z920" s="9">
        <f t="shared" si="87"/>
        <v>881443.93</v>
      </c>
      <c r="AA920" s="9" t="e">
        <f t="shared" si="87"/>
        <v>#VALUE!</v>
      </c>
      <c r="AD920" s="4">
        <v>271132157</v>
      </c>
      <c r="AE920" s="4">
        <v>16297776</v>
      </c>
    </row>
    <row r="921" spans="1:35" ht="90" x14ac:dyDescent="0.3">
      <c r="A921" s="25" t="s">
        <v>2983</v>
      </c>
      <c r="B921" s="25" t="s">
        <v>2984</v>
      </c>
      <c r="C921" s="26" t="s">
        <v>2985</v>
      </c>
      <c r="D921" s="27"/>
      <c r="E921" s="27" t="s">
        <v>2986</v>
      </c>
      <c r="F921" s="27" t="s">
        <v>64</v>
      </c>
      <c r="G921" s="28">
        <v>1</v>
      </c>
      <c r="H921" s="27"/>
      <c r="I921" s="28">
        <v>1348.65</v>
      </c>
      <c r="J921" s="29">
        <v>0</v>
      </c>
      <c r="K921" s="29">
        <v>784.29</v>
      </c>
      <c r="L921" s="29">
        <f>J921+ROUND(K921, 2)</f>
        <v>784.29</v>
      </c>
      <c r="M921" s="29">
        <v>0</v>
      </c>
      <c r="N921" s="29">
        <f>ROUND(I921*ROUND(K921, 2), 2)</f>
        <v>1057732.71</v>
      </c>
      <c r="O921" s="29">
        <f>M921+N921</f>
        <v>1057732.71</v>
      </c>
      <c r="P921" s="29">
        <v>0</v>
      </c>
      <c r="Q921" s="29">
        <v>784.29</v>
      </c>
      <c r="R921" s="29">
        <f>P921+ROUND(Q921, 2)</f>
        <v>784.29</v>
      </c>
      <c r="S921" s="29">
        <v>0</v>
      </c>
      <c r="T921" s="29">
        <f>ROUND(I921*ROUND(Q921, 2), 2)</f>
        <v>1057732.71</v>
      </c>
      <c r="U921" s="29">
        <f>S921+T921</f>
        <v>1057732.71</v>
      </c>
      <c r="V921" s="9"/>
      <c r="W921" s="9">
        <f>ROUND(Q921 / 1.2, 2)</f>
        <v>653.58000000000004</v>
      </c>
      <c r="X921" s="9">
        <f>ROUND(R921 / 1.2, 2)</f>
        <v>653.58000000000004</v>
      </c>
      <c r="Y921" s="9"/>
      <c r="Z921" s="9">
        <f>ROUND(T921 / 1.2, 2)</f>
        <v>881443.93</v>
      </c>
      <c r="AA921" s="9" t="e">
        <f>Y921+Z921</f>
        <v>#VALUE!</v>
      </c>
      <c r="AD921" s="4">
        <v>271132159</v>
      </c>
      <c r="AE921" s="4">
        <v>19825979</v>
      </c>
      <c r="AG921" s="4" t="s">
        <v>2987</v>
      </c>
      <c r="AH921" s="4" t="s">
        <v>2988</v>
      </c>
      <c r="AI921" s="4" t="s">
        <v>2989</v>
      </c>
    </row>
    <row r="922" spans="1:35" ht="24" customHeight="1" x14ac:dyDescent="0.3">
      <c r="A922" s="68"/>
      <c r="B922" s="68"/>
      <c r="C922" s="68"/>
      <c r="D922" s="69" t="s">
        <v>2990</v>
      </c>
      <c r="E922" s="68"/>
      <c r="F922" s="68"/>
      <c r="G922" s="68"/>
      <c r="H922" s="68"/>
      <c r="I922" s="68"/>
      <c r="J922" s="68"/>
      <c r="K922" s="68"/>
      <c r="L922" s="68"/>
      <c r="M922" s="70">
        <f>SUM(M8)</f>
        <v>48343925.43</v>
      </c>
      <c r="N922" s="70">
        <f>SUM(N8)</f>
        <v>97174132.930000007</v>
      </c>
      <c r="O922" s="70">
        <f>M922+N922</f>
        <v>145518058.36000001</v>
      </c>
      <c r="P922" s="68"/>
      <c r="Q922" s="68"/>
      <c r="R922" s="68"/>
      <c r="S922" s="70">
        <f>SUM(S8)</f>
        <v>55954680.140000001</v>
      </c>
      <c r="T922" s="70">
        <f>SUM(T8)</f>
        <v>97174132.930000007</v>
      </c>
      <c r="U922" s="70">
        <f>S922+T922</f>
        <v>153128813.06999999</v>
      </c>
      <c r="Y922" s="9">
        <f>SUM(Y8)</f>
        <v>46628900.259999998</v>
      </c>
      <c r="Z922" s="9">
        <f>SUM(Z8)</f>
        <v>80978444.120000005</v>
      </c>
      <c r="AA922" s="9">
        <f>Y922+Z922</f>
        <v>127607344.38</v>
      </c>
    </row>
  </sheetData>
  <sheetProtection password="C644" sheet="1" formatColumns="0" autoFilter="0"/>
  <autoFilter ref="A7:U7"/>
  <mergeCells count="45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102:I102"/>
    <mergeCell ref="C119:I119"/>
    <mergeCell ref="C209:I209"/>
    <mergeCell ref="C210:I210"/>
    <mergeCell ref="C324:I324"/>
    <mergeCell ref="C538:I538"/>
    <mergeCell ref="C878:I878"/>
    <mergeCell ref="C918:I918"/>
    <mergeCell ref="C919:I919"/>
    <mergeCell ref="C920:I920"/>
    <mergeCell ref="C614:I614"/>
    <mergeCell ref="C619:I619"/>
    <mergeCell ref="C620:I620"/>
    <mergeCell ref="C639:I639"/>
    <mergeCell ref="C805:I8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5"/>
  <sheetViews>
    <sheetView topLeftCell="A210" zoomScale="90" zoomScaleNormal="90" workbookViewId="0">
      <selection activeCell="C220" sqref="C220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5" width="38" customWidth="1"/>
    <col min="6" max="7" width="16.44140625" customWidth="1"/>
    <col min="8" max="8" width="16" customWidth="1"/>
    <col min="9" max="9" width="16.886718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886718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88671875" customWidth="1"/>
    <col min="21" max="21" width="23.6640625" customWidth="1"/>
    <col min="22" max="35" width="9.109375" hidden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2991</v>
      </c>
      <c r="H1" s="2" t="s">
        <v>2992</v>
      </c>
      <c r="I1" s="2" t="s">
        <v>2993</v>
      </c>
      <c r="J1" s="2" t="s">
        <v>2994</v>
      </c>
      <c r="K1" s="2" t="s">
        <v>2995</v>
      </c>
      <c r="L1" s="2" t="s">
        <v>2996</v>
      </c>
      <c r="M1" s="2" t="s">
        <v>2997</v>
      </c>
      <c r="N1" s="2" t="s">
        <v>2998</v>
      </c>
      <c r="O1" s="3"/>
      <c r="P1" s="3"/>
      <c r="Q1" s="3"/>
      <c r="R1" s="3"/>
      <c r="S1" s="3"/>
      <c r="T1" s="3"/>
      <c r="U1" s="3"/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</row>
    <row r="2" spans="1:35" ht="30.75" customHeight="1" x14ac:dyDescent="0.3">
      <c r="A2" s="195" t="s">
        <v>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</row>
    <row r="3" spans="1:35" ht="15" customHeight="1" x14ac:dyDescent="0.3">
      <c r="A3" s="196" t="s">
        <v>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</row>
    <row r="4" spans="1:35" ht="15" customHeight="1" x14ac:dyDescent="0.3">
      <c r="A4" s="197" t="s">
        <v>6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</row>
    <row r="5" spans="1:35" ht="40.65" customHeight="1" x14ac:dyDescent="0.3">
      <c r="A5" s="190" t="s">
        <v>25</v>
      </c>
      <c r="B5" s="190" t="s">
        <v>26</v>
      </c>
      <c r="C5" s="190" t="s">
        <v>27</v>
      </c>
      <c r="D5" s="190" t="s">
        <v>28</v>
      </c>
      <c r="E5" s="190" t="s">
        <v>29</v>
      </c>
      <c r="F5" s="190" t="s">
        <v>30</v>
      </c>
      <c r="G5" s="190" t="s">
        <v>31</v>
      </c>
      <c r="H5" s="190" t="s">
        <v>32</v>
      </c>
      <c r="I5" s="190" t="s">
        <v>33</v>
      </c>
      <c r="J5" s="198" t="s">
        <v>7</v>
      </c>
      <c r="K5" s="199"/>
      <c r="L5" s="199"/>
      <c r="M5" s="199"/>
      <c r="N5" s="199"/>
      <c r="O5" s="200"/>
      <c r="P5" s="201" t="s">
        <v>8</v>
      </c>
      <c r="Q5" s="202"/>
      <c r="R5" s="203"/>
      <c r="S5" s="201" t="s">
        <v>9</v>
      </c>
      <c r="T5" s="202"/>
      <c r="U5" s="203"/>
    </row>
    <row r="6" spans="1:35" ht="15.75" customHeight="1" x14ac:dyDescent="0.3">
      <c r="A6" s="204"/>
      <c r="B6" s="204"/>
      <c r="C6" s="204"/>
      <c r="D6" s="204"/>
      <c r="E6" s="204"/>
      <c r="F6" s="204"/>
      <c r="G6" s="204"/>
      <c r="H6" s="204"/>
      <c r="I6" s="204"/>
      <c r="J6" s="188" t="s">
        <v>34</v>
      </c>
      <c r="K6" s="189"/>
      <c r="L6" s="190" t="s">
        <v>34</v>
      </c>
      <c r="M6" s="188" t="s">
        <v>37</v>
      </c>
      <c r="N6" s="189"/>
      <c r="O6" s="190" t="s">
        <v>38</v>
      </c>
      <c r="P6" s="188" t="s">
        <v>34</v>
      </c>
      <c r="Q6" s="189"/>
      <c r="R6" s="190" t="s">
        <v>34</v>
      </c>
      <c r="S6" s="188" t="s">
        <v>37</v>
      </c>
      <c r="T6" s="189"/>
      <c r="U6" s="190" t="s">
        <v>38</v>
      </c>
    </row>
    <row r="7" spans="1:35" ht="31.35" customHeight="1" x14ac:dyDescent="0.3">
      <c r="A7" s="191"/>
      <c r="B7" s="191"/>
      <c r="C7" s="191"/>
      <c r="D7" s="191"/>
      <c r="E7" s="191"/>
      <c r="F7" s="191"/>
      <c r="G7" s="191"/>
      <c r="H7" s="191"/>
      <c r="I7" s="191"/>
      <c r="J7" s="5" t="s">
        <v>35</v>
      </c>
      <c r="K7" s="5" t="s">
        <v>36</v>
      </c>
      <c r="L7" s="191"/>
      <c r="M7" s="5" t="s">
        <v>35</v>
      </c>
      <c r="N7" s="5" t="s">
        <v>36</v>
      </c>
      <c r="O7" s="191"/>
      <c r="P7" s="5" t="s">
        <v>35</v>
      </c>
      <c r="Q7" s="5" t="s">
        <v>36</v>
      </c>
      <c r="R7" s="191"/>
      <c r="S7" s="5" t="s">
        <v>35</v>
      </c>
      <c r="T7" s="5" t="s">
        <v>36</v>
      </c>
      <c r="U7" s="191"/>
    </row>
    <row r="8" spans="1:35" ht="30" customHeight="1" x14ac:dyDescent="0.3">
      <c r="A8" s="192" t="s">
        <v>39</v>
      </c>
      <c r="B8" s="193"/>
      <c r="C8" s="193"/>
      <c r="D8" s="193"/>
      <c r="E8" s="193"/>
      <c r="F8" s="193"/>
      <c r="G8" s="193"/>
      <c r="H8" s="193"/>
      <c r="I8" s="194"/>
      <c r="J8" s="7"/>
      <c r="K8" s="7"/>
      <c r="L8" s="7"/>
      <c r="M8" s="8">
        <f>SUM(M9,M792)</f>
        <v>48343925.43</v>
      </c>
      <c r="N8" s="8">
        <f>SUM(N9,N792)</f>
        <v>97174132.930000007</v>
      </c>
      <c r="O8" s="8">
        <f>SUM(O9,O792)</f>
        <v>145518058.36000001</v>
      </c>
      <c r="P8" s="7"/>
      <c r="Q8" s="7"/>
      <c r="R8" s="7"/>
      <c r="S8" s="8">
        <f>SUM(S9,S792)</f>
        <v>55954680.140000001</v>
      </c>
      <c r="T8" s="8">
        <f>SUM(T9,T792)</f>
        <v>97174132.930000007</v>
      </c>
      <c r="U8" s="8">
        <f>SUM(U9,U792)</f>
        <v>153128813.06999999</v>
      </c>
      <c r="Y8" s="9">
        <f>SUM(Y9,Y792)</f>
        <v>46628900.259999998</v>
      </c>
      <c r="Z8" s="9">
        <f>SUM(Z9,Z792)</f>
        <v>80978444.120000005</v>
      </c>
      <c r="AA8" s="9" t="e">
        <f>SUM(AA9,AA792)</f>
        <v>#VALUE!</v>
      </c>
      <c r="AC8" s="4" t="s">
        <v>40</v>
      </c>
    </row>
    <row r="9" spans="1:35" ht="17.100000000000001" customHeight="1" x14ac:dyDescent="0.3">
      <c r="A9" s="10" t="s">
        <v>41</v>
      </c>
      <c r="B9" s="10" t="s">
        <v>42</v>
      </c>
      <c r="C9" s="185" t="s">
        <v>43</v>
      </c>
      <c r="D9" s="186"/>
      <c r="E9" s="186"/>
      <c r="F9" s="186"/>
      <c r="G9" s="186"/>
      <c r="H9" s="186"/>
      <c r="I9" s="187"/>
      <c r="M9" s="6">
        <f t="shared" ref="M9:O11" si="0">SUM(M10)</f>
        <v>48343925.43</v>
      </c>
      <c r="N9" s="6">
        <f t="shared" si="0"/>
        <v>96116400.219999999</v>
      </c>
      <c r="O9" s="6">
        <f t="shared" si="0"/>
        <v>144460325.65000001</v>
      </c>
      <c r="S9" s="6">
        <f t="shared" ref="S9:U11" si="1">SUM(S10)</f>
        <v>55954680.140000001</v>
      </c>
      <c r="T9" s="6">
        <f t="shared" si="1"/>
        <v>96116400.219999999</v>
      </c>
      <c r="U9" s="6">
        <f t="shared" si="1"/>
        <v>152071080.36000001</v>
      </c>
      <c r="Y9" s="9">
        <f t="shared" ref="Y9:AA11" si="2">SUM(Y10)</f>
        <v>46628900.259999998</v>
      </c>
      <c r="Z9" s="9">
        <f t="shared" si="2"/>
        <v>80097000.189999998</v>
      </c>
      <c r="AA9" s="9" t="e">
        <f t="shared" si="2"/>
        <v>#VALUE!</v>
      </c>
      <c r="AD9" s="4">
        <v>271132055</v>
      </c>
      <c r="AE9" s="4">
        <v>16194151</v>
      </c>
    </row>
    <row r="10" spans="1:35" ht="17.100000000000001" customHeight="1" x14ac:dyDescent="0.3">
      <c r="A10" s="10" t="s">
        <v>44</v>
      </c>
      <c r="B10" s="10" t="s">
        <v>45</v>
      </c>
      <c r="C10" s="185" t="s">
        <v>46</v>
      </c>
      <c r="D10" s="186"/>
      <c r="E10" s="186"/>
      <c r="F10" s="186"/>
      <c r="G10" s="186"/>
      <c r="H10" s="186"/>
      <c r="I10" s="187"/>
      <c r="M10" s="6">
        <f t="shared" si="0"/>
        <v>48343925.43</v>
      </c>
      <c r="N10" s="6">
        <f t="shared" si="0"/>
        <v>96116400.219999999</v>
      </c>
      <c r="O10" s="6">
        <f t="shared" si="0"/>
        <v>144460325.65000001</v>
      </c>
      <c r="S10" s="6">
        <f t="shared" si="1"/>
        <v>55954680.140000001</v>
      </c>
      <c r="T10" s="6">
        <f t="shared" si="1"/>
        <v>96116400.219999999</v>
      </c>
      <c r="U10" s="6">
        <f t="shared" si="1"/>
        <v>152071080.36000001</v>
      </c>
      <c r="Y10" s="9">
        <f t="shared" si="2"/>
        <v>46628900.259999998</v>
      </c>
      <c r="Z10" s="9">
        <f t="shared" si="2"/>
        <v>80097000.189999998</v>
      </c>
      <c r="AA10" s="9" t="e">
        <f t="shared" si="2"/>
        <v>#VALUE!</v>
      </c>
      <c r="AD10" s="4">
        <v>271132056</v>
      </c>
      <c r="AE10" s="4">
        <v>16194155</v>
      </c>
    </row>
    <row r="11" spans="1:35" ht="17.100000000000001" customHeight="1" x14ac:dyDescent="0.3">
      <c r="A11" s="10" t="s">
        <v>47</v>
      </c>
      <c r="B11" s="10" t="s">
        <v>48</v>
      </c>
      <c r="C11" s="185" t="s">
        <v>49</v>
      </c>
      <c r="D11" s="186"/>
      <c r="E11" s="186"/>
      <c r="F11" s="186"/>
      <c r="G11" s="186"/>
      <c r="H11" s="186"/>
      <c r="I11" s="187"/>
      <c r="M11" s="6">
        <f t="shared" si="0"/>
        <v>48343925.43</v>
      </c>
      <c r="N11" s="6">
        <f t="shared" si="0"/>
        <v>96116400.219999999</v>
      </c>
      <c r="O11" s="6">
        <f t="shared" si="0"/>
        <v>144460325.65000001</v>
      </c>
      <c r="S11" s="6">
        <f t="shared" si="1"/>
        <v>55954680.140000001</v>
      </c>
      <c r="T11" s="6">
        <f t="shared" si="1"/>
        <v>96116400.219999999</v>
      </c>
      <c r="U11" s="6">
        <f t="shared" si="1"/>
        <v>152071080.36000001</v>
      </c>
      <c r="Y11" s="9">
        <f t="shared" si="2"/>
        <v>46628900.259999998</v>
      </c>
      <c r="Z11" s="9">
        <f t="shared" si="2"/>
        <v>80097000.189999998</v>
      </c>
      <c r="AA11" s="9" t="e">
        <f t="shared" si="2"/>
        <v>#VALUE!</v>
      </c>
      <c r="AD11" s="4">
        <v>271132057</v>
      </c>
      <c r="AE11" s="4">
        <v>16194158</v>
      </c>
    </row>
    <row r="12" spans="1:35" ht="17.100000000000001" customHeight="1" x14ac:dyDescent="0.3">
      <c r="A12" s="10" t="s">
        <v>50</v>
      </c>
      <c r="B12" s="10" t="s">
        <v>51</v>
      </c>
      <c r="C12" s="185" t="s">
        <v>52</v>
      </c>
      <c r="D12" s="186"/>
      <c r="E12" s="186"/>
      <c r="F12" s="186"/>
      <c r="G12" s="186"/>
      <c r="H12" s="186"/>
      <c r="I12" s="187"/>
      <c r="M12" s="6">
        <f>SUM(M13,M164,M520,M679,M752)</f>
        <v>48343925.43</v>
      </c>
      <c r="N12" s="6">
        <f>SUM(N13,N164,N520,N679,N752)</f>
        <v>96116400.219999999</v>
      </c>
      <c r="O12" s="6">
        <f>SUM(O13,O164,O520,O679,O752)</f>
        <v>144460325.65000001</v>
      </c>
      <c r="S12" s="6">
        <f>SUM(S13,S164,S520,S679,S752)</f>
        <v>55954680.140000001</v>
      </c>
      <c r="T12" s="6">
        <f>SUM(T13,T164,T520,T679,T752)</f>
        <v>96116400.219999999</v>
      </c>
      <c r="U12" s="6">
        <f>SUM(U13,U164,U520,U679,U752)</f>
        <v>152071080.36000001</v>
      </c>
      <c r="Y12" s="9">
        <f>SUM(Y13,Y164,Y520,Y679,Y752)</f>
        <v>46628900.259999998</v>
      </c>
      <c r="Z12" s="9">
        <f>SUM(Z13,Z164,Z520,Z679,Z752)</f>
        <v>80097000.189999998</v>
      </c>
      <c r="AA12" s="9" t="e">
        <f>SUM(AA13,AA164,AA520,AA679,AA752)</f>
        <v>#VALUE!</v>
      </c>
      <c r="AD12" s="4">
        <v>271132058</v>
      </c>
      <c r="AE12" s="4">
        <v>16194162</v>
      </c>
    </row>
    <row r="13" spans="1:35" ht="17.100000000000001" customHeight="1" x14ac:dyDescent="0.3">
      <c r="A13" s="10" t="s">
        <v>53</v>
      </c>
      <c r="B13" s="10" t="s">
        <v>54</v>
      </c>
      <c r="C13" s="185" t="s">
        <v>55</v>
      </c>
      <c r="D13" s="186"/>
      <c r="E13" s="186"/>
      <c r="F13" s="186"/>
      <c r="G13" s="186"/>
      <c r="H13" s="186"/>
      <c r="I13" s="187"/>
      <c r="M13" s="6">
        <f>SUM(M14,M78,M93)</f>
        <v>14351684.9</v>
      </c>
      <c r="N13" s="6">
        <f>SUM(N14,N78,N93)</f>
        <v>20810202.670000002</v>
      </c>
      <c r="O13" s="6">
        <f>SUM(O14,O78,O93)</f>
        <v>35161887.57</v>
      </c>
      <c r="S13" s="6">
        <f>SUM(S14,S78,S93)</f>
        <v>22034434.940000001</v>
      </c>
      <c r="T13" s="6">
        <f>SUM(T14,T78,T93)</f>
        <v>20810202.670000002</v>
      </c>
      <c r="U13" s="6">
        <f>SUM(U14,U78,U93)</f>
        <v>42844637.609999999</v>
      </c>
      <c r="Y13" s="9">
        <f>SUM(Y14,Y78,Y93)</f>
        <v>18362029.149999999</v>
      </c>
      <c r="Z13" s="9">
        <f>SUM(Z14,Z78,Z93)</f>
        <v>17341835.559999999</v>
      </c>
      <c r="AA13" s="9">
        <f>SUM(AA14,AA78,AA93)</f>
        <v>35703864.710000001</v>
      </c>
      <c r="AD13" s="4">
        <v>271132059</v>
      </c>
      <c r="AE13" s="4">
        <v>16194163</v>
      </c>
    </row>
    <row r="14" spans="1:35" ht="17.100000000000001" customHeight="1" x14ac:dyDescent="0.3">
      <c r="A14" s="10" t="s">
        <v>56</v>
      </c>
      <c r="B14" s="10" t="s">
        <v>57</v>
      </c>
      <c r="C14" s="185" t="s">
        <v>58</v>
      </c>
      <c r="D14" s="186"/>
      <c r="E14" s="186"/>
      <c r="F14" s="186"/>
      <c r="G14" s="186"/>
      <c r="H14" s="186"/>
      <c r="I14" s="187"/>
      <c r="M14" s="6">
        <f>SUM(M15,M18,M22,M24,M32,M40,M46,M52,M58,M66,M72)</f>
        <v>9604555.7100000009</v>
      </c>
      <c r="N14" s="6">
        <f>SUM(N15,N18,N22,N24,N32,N40,N46,N52,N58,N66,N72)</f>
        <v>12124369.619999999</v>
      </c>
      <c r="O14" s="6">
        <f>SUM(O15,O18,O22,O24,O32,O40,O46,O52,O58,O66,O72)</f>
        <v>21728925.329999998</v>
      </c>
      <c r="S14" s="6">
        <f>SUM(S15,S18,S22,S24,S32,S40,S46,S52,S58,S66,S72)</f>
        <v>9604555.7100000009</v>
      </c>
      <c r="T14" s="6">
        <f>SUM(T15,T18,T22,T24,T32,T40,T46,T52,T58,T66,T72)</f>
        <v>12124369.619999999</v>
      </c>
      <c r="U14" s="6">
        <f>SUM(U15,U18,U22,U24,U32,U40,U46,U52,U58,U66,U72)</f>
        <v>21728925.329999998</v>
      </c>
      <c r="Y14" s="9">
        <f>SUM(Y15,Y18,Y22,Y24,Y32,Y40,Y46,Y52,Y58,Y66,Y72)</f>
        <v>8003796.4400000004</v>
      </c>
      <c r="Z14" s="9">
        <f>SUM(Z15,Z18,Z22,Z24,Z32,Z40,Z46,Z52,Z58,Z66,Z72)</f>
        <v>10103641.35</v>
      </c>
      <c r="AA14" s="9">
        <f>SUM(AA15,AA18,AA22,AA24,AA32,AA40,AA46,AA52,AA58,AA66,AA72)</f>
        <v>18107437.789999999</v>
      </c>
      <c r="AD14" s="4">
        <v>271132060</v>
      </c>
      <c r="AE14" s="4">
        <v>16194161</v>
      </c>
    </row>
    <row r="15" spans="1:35" ht="54" x14ac:dyDescent="0.3">
      <c r="A15" s="10" t="s">
        <v>59</v>
      </c>
      <c r="B15" s="10" t="s">
        <v>60</v>
      </c>
      <c r="C15" s="11" t="s">
        <v>61</v>
      </c>
      <c r="D15" s="12" t="s">
        <v>62</v>
      </c>
      <c r="E15" s="12" t="s">
        <v>63</v>
      </c>
      <c r="F15" s="12" t="s">
        <v>64</v>
      </c>
      <c r="G15" s="13">
        <v>1</v>
      </c>
      <c r="H15" s="13"/>
      <c r="I15" s="13">
        <v>4263.2</v>
      </c>
      <c r="J15" s="14">
        <f>IFERROR(ROUND(SUM(M16,M17)/I15, 2),0)</f>
        <v>177.36</v>
      </c>
      <c r="K15" s="15">
        <v>388</v>
      </c>
      <c r="L15" s="14">
        <f>J15+ROUND(K15, 2)</f>
        <v>565.36</v>
      </c>
      <c r="M15" s="14">
        <f>ROUND(J15*I15, 2)</f>
        <v>756121.15</v>
      </c>
      <c r="N15" s="14">
        <f>ROUND(I15*ROUND(K15, 2), 2)</f>
        <v>1654121.6</v>
      </c>
      <c r="O15" s="14">
        <f>M15+N15</f>
        <v>2410242.75</v>
      </c>
      <c r="P15" s="14">
        <f>IFERROR(ROUND(SUM(S16,S17)/I15, 2),0)</f>
        <v>177.36</v>
      </c>
      <c r="Q15" s="15">
        <v>388</v>
      </c>
      <c r="R15" s="14">
        <f>P15+ROUND(Q15, 2)</f>
        <v>565.36</v>
      </c>
      <c r="S15" s="14">
        <f>ROUND(P15*I15, 2)</f>
        <v>756121.15</v>
      </c>
      <c r="T15" s="14">
        <f>ROUND(I15*ROUND(Q15, 2), 2)</f>
        <v>1654121.6</v>
      </c>
      <c r="U15" s="14">
        <f>S15+T15</f>
        <v>2410242.75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630100.96</v>
      </c>
      <c r="Z15" s="9">
        <f>ROUND(T15 / 1.2, 2)</f>
        <v>1378434.67</v>
      </c>
      <c r="AA15" s="9">
        <f>Y15+Z15</f>
        <v>2008535.63</v>
      </c>
      <c r="AD15" s="4">
        <v>271132062</v>
      </c>
      <c r="AE15" s="4">
        <v>16194152</v>
      </c>
      <c r="AG15" s="4" t="s">
        <v>65</v>
      </c>
      <c r="AH15" s="4" t="s">
        <v>66</v>
      </c>
      <c r="AI15" s="4" t="s">
        <v>67</v>
      </c>
    </row>
    <row r="16" spans="1:35" ht="36" x14ac:dyDescent="0.3">
      <c r="A16" s="10" t="s">
        <v>68</v>
      </c>
      <c r="B16" s="10"/>
      <c r="C16" s="17" t="s">
        <v>69</v>
      </c>
      <c r="D16" s="12"/>
      <c r="E16" s="12"/>
      <c r="F16" s="18" t="s">
        <v>70</v>
      </c>
      <c r="G16" s="19">
        <v>1.6</v>
      </c>
      <c r="H16" s="20"/>
      <c r="I16" s="20">
        <v>68211.199999999997</v>
      </c>
      <c r="J16" s="21">
        <v>9.67</v>
      </c>
      <c r="M16" s="22">
        <f>ROUND(ROUND(J16, 2)*I16, 2)</f>
        <v>659602.30000000005</v>
      </c>
      <c r="P16" s="21">
        <v>9.67</v>
      </c>
      <c r="S16" s="22">
        <f>ROUND(ROUND(P16, 2)*I16, 2)</f>
        <v>659602.30000000005</v>
      </c>
      <c r="V16" s="9">
        <f>ROUND(ROUND(P16, 2)/1.2, 2)</f>
        <v>8.06</v>
      </c>
      <c r="Y16" s="9">
        <f t="shared" ref="Y16:Y47" si="3">ROUND(S16 / 1.2, 2)</f>
        <v>549668.57999999996</v>
      </c>
      <c r="AD16" s="4" t="s">
        <v>71</v>
      </c>
      <c r="AE16" s="4" t="s">
        <v>72</v>
      </c>
      <c r="AF16" s="4" t="s">
        <v>73</v>
      </c>
    </row>
    <row r="17" spans="1:35" ht="36" x14ac:dyDescent="0.3">
      <c r="A17" s="10" t="s">
        <v>74</v>
      </c>
      <c r="B17" s="10"/>
      <c r="C17" s="24" t="s">
        <v>75</v>
      </c>
      <c r="D17" s="12"/>
      <c r="E17" s="12"/>
      <c r="F17" s="18" t="s">
        <v>70</v>
      </c>
      <c r="G17" s="19">
        <v>0.255</v>
      </c>
      <c r="H17" s="20"/>
      <c r="I17" s="20">
        <v>1087.116</v>
      </c>
      <c r="J17" s="21">
        <v>88.8</v>
      </c>
      <c r="M17" s="22">
        <f>ROUND(ROUND(J17, 2)*I17, 2)</f>
        <v>96535.9</v>
      </c>
      <c r="P17" s="21">
        <v>88.8</v>
      </c>
      <c r="S17" s="22">
        <f>ROUND(ROUND(P17, 2)*I17, 2)</f>
        <v>96535.9</v>
      </c>
      <c r="V17" s="9">
        <f>ROUND(ROUND(P17, 2)/1.2, 2)</f>
        <v>74</v>
      </c>
      <c r="Y17" s="9">
        <f t="shared" si="3"/>
        <v>80446.58</v>
      </c>
      <c r="AD17" s="4" t="s">
        <v>76</v>
      </c>
      <c r="AE17" s="4" t="s">
        <v>77</v>
      </c>
      <c r="AF17" s="4" t="s">
        <v>78</v>
      </c>
    </row>
    <row r="18" spans="1:35" ht="54" x14ac:dyDescent="0.3">
      <c r="A18" s="10" t="s">
        <v>79</v>
      </c>
      <c r="B18" s="10" t="s">
        <v>60</v>
      </c>
      <c r="C18" s="11" t="s">
        <v>80</v>
      </c>
      <c r="D18" s="12" t="s">
        <v>62</v>
      </c>
      <c r="E18" s="12" t="s">
        <v>81</v>
      </c>
      <c r="F18" s="12" t="s">
        <v>64</v>
      </c>
      <c r="G18" s="13">
        <v>1</v>
      </c>
      <c r="H18" s="13"/>
      <c r="I18" s="13">
        <v>3740.2</v>
      </c>
      <c r="J18" s="14">
        <f>IFERROR(ROUND(SUM(M19,M20,M21)/I18, 2),0)</f>
        <v>180.67</v>
      </c>
      <c r="K18" s="15">
        <v>400</v>
      </c>
      <c r="L18" s="14">
        <f>J18+ROUND(K18, 2)</f>
        <v>580.66999999999996</v>
      </c>
      <c r="M18" s="14">
        <f>ROUND(J18*I18, 2)</f>
        <v>675741.93</v>
      </c>
      <c r="N18" s="14">
        <f>ROUND(I18*ROUND(K18, 2), 2)</f>
        <v>1496080</v>
      </c>
      <c r="O18" s="14">
        <f>M18+N18</f>
        <v>2171821.9300000002</v>
      </c>
      <c r="P18" s="14">
        <f>IFERROR(ROUND(SUM(S19,S20,S21)/I18, 2),0)</f>
        <v>180.67</v>
      </c>
      <c r="Q18" s="16">
        <v>400</v>
      </c>
      <c r="R18" s="14">
        <f>P18+ROUND(Q18, 2)</f>
        <v>580.66999999999996</v>
      </c>
      <c r="S18" s="14">
        <f>ROUND(P18*I18, 2)</f>
        <v>675741.93</v>
      </c>
      <c r="T18" s="14">
        <f>ROUND(I18*ROUND(Q18, 2), 2)</f>
        <v>1496080</v>
      </c>
      <c r="U18" s="14">
        <f>S18+T18</f>
        <v>2171821.9300000002</v>
      </c>
      <c r="V18" s="9">
        <f>ROUND(P18 / 1.2, 2)</f>
        <v>150.56</v>
      </c>
      <c r="W18" s="9">
        <f>ROUND(Q18 / 1.2, 2)</f>
        <v>333.33</v>
      </c>
      <c r="X18" s="9">
        <f>ROUND(R18 / 1.2, 2)</f>
        <v>483.89</v>
      </c>
      <c r="Y18" s="9">
        <f t="shared" si="3"/>
        <v>563118.28</v>
      </c>
      <c r="Z18" s="9">
        <f>ROUND(T18 / 1.2, 2)</f>
        <v>1246733.33</v>
      </c>
      <c r="AA18" s="9">
        <f>Y18+Z18</f>
        <v>1809851.61</v>
      </c>
      <c r="AD18" s="4">
        <v>271132160</v>
      </c>
      <c r="AE18" s="4">
        <v>19810509</v>
      </c>
      <c r="AG18" s="4" t="s">
        <v>65</v>
      </c>
      <c r="AH18" s="4" t="s">
        <v>66</v>
      </c>
      <c r="AI18" s="4" t="s">
        <v>67</v>
      </c>
    </row>
    <row r="19" spans="1:35" ht="36" x14ac:dyDescent="0.3">
      <c r="A19" s="10" t="s">
        <v>82</v>
      </c>
      <c r="B19" s="10"/>
      <c r="C19" s="24" t="s">
        <v>75</v>
      </c>
      <c r="D19" s="12"/>
      <c r="E19" s="12"/>
      <c r="F19" s="18" t="s">
        <v>70</v>
      </c>
      <c r="G19" s="19">
        <v>0.255</v>
      </c>
      <c r="H19" s="20"/>
      <c r="I19" s="20">
        <v>953.75099999999998</v>
      </c>
      <c r="J19" s="21">
        <v>88.8</v>
      </c>
      <c r="M19" s="22">
        <f>ROUND(ROUND(J19, 2)*I19, 2)</f>
        <v>84693.09</v>
      </c>
      <c r="P19" s="23">
        <v>88.8</v>
      </c>
      <c r="S19" s="22">
        <f>ROUND(ROUND(P19, 2)*I19, 2)</f>
        <v>84693.09</v>
      </c>
      <c r="V19" s="9">
        <f>ROUND(ROUND(P19, 2)/1.2, 2)</f>
        <v>74</v>
      </c>
      <c r="Y19" s="9">
        <f t="shared" si="3"/>
        <v>70577.58</v>
      </c>
      <c r="AD19" s="4" t="s">
        <v>83</v>
      </c>
      <c r="AE19" s="4" t="s">
        <v>84</v>
      </c>
      <c r="AF19" s="4" t="s">
        <v>78</v>
      </c>
    </row>
    <row r="20" spans="1:35" ht="18" x14ac:dyDescent="0.3">
      <c r="A20" s="10" t="s">
        <v>85</v>
      </c>
      <c r="B20" s="10"/>
      <c r="C20" s="24" t="s">
        <v>86</v>
      </c>
      <c r="D20" s="12"/>
      <c r="E20" s="12"/>
      <c r="F20" s="18" t="s">
        <v>87</v>
      </c>
      <c r="G20" s="19">
        <v>1</v>
      </c>
      <c r="H20" s="20"/>
      <c r="I20" s="20">
        <v>1880</v>
      </c>
      <c r="J20" s="21">
        <v>10.4</v>
      </c>
      <c r="M20" s="22">
        <f>ROUND(ROUND(J20, 2)*I20, 2)</f>
        <v>19552</v>
      </c>
      <c r="P20" s="23">
        <v>10.4</v>
      </c>
      <c r="S20" s="22">
        <f>ROUND(ROUND(P20, 2)*I20, 2)</f>
        <v>19552</v>
      </c>
      <c r="V20" s="9">
        <f>ROUND(ROUND(P20, 2)/1.2, 2)</f>
        <v>8.67</v>
      </c>
      <c r="Y20" s="9">
        <f t="shared" si="3"/>
        <v>16293.33</v>
      </c>
      <c r="AD20" s="4" t="s">
        <v>88</v>
      </c>
      <c r="AE20" s="4" t="s">
        <v>89</v>
      </c>
      <c r="AF20" s="4" t="s">
        <v>90</v>
      </c>
    </row>
    <row r="21" spans="1:35" ht="36" x14ac:dyDescent="0.3">
      <c r="A21" s="10" t="s">
        <v>91</v>
      </c>
      <c r="B21" s="10"/>
      <c r="C21" s="17" t="s">
        <v>69</v>
      </c>
      <c r="D21" s="12"/>
      <c r="E21" s="12"/>
      <c r="F21" s="18" t="s">
        <v>70</v>
      </c>
      <c r="G21" s="19">
        <v>1.6</v>
      </c>
      <c r="H21" s="20"/>
      <c r="I21" s="20">
        <v>59843.199999999997</v>
      </c>
      <c r="J21" s="21">
        <v>9.5500000000000007</v>
      </c>
      <c r="M21" s="22">
        <f>ROUND(ROUND(J21, 2)*I21, 2)</f>
        <v>571502.56000000006</v>
      </c>
      <c r="P21" s="23">
        <v>9.5500000000000007</v>
      </c>
      <c r="S21" s="22">
        <f>ROUND(ROUND(P21, 2)*I21, 2)</f>
        <v>571502.56000000006</v>
      </c>
      <c r="V21" s="9">
        <f>ROUND(ROUND(P21, 2)/1.2, 2)</f>
        <v>7.96</v>
      </c>
      <c r="Y21" s="9">
        <f t="shared" si="3"/>
        <v>476252.13</v>
      </c>
      <c r="AD21" s="4" t="s">
        <v>92</v>
      </c>
      <c r="AE21" s="4" t="s">
        <v>93</v>
      </c>
      <c r="AF21" s="4" t="s">
        <v>73</v>
      </c>
    </row>
    <row r="22" spans="1:35" ht="54" x14ac:dyDescent="0.3">
      <c r="A22" s="10" t="s">
        <v>94</v>
      </c>
      <c r="B22" s="10" t="s">
        <v>95</v>
      </c>
      <c r="C22" s="11" t="s">
        <v>96</v>
      </c>
      <c r="D22" s="12"/>
      <c r="E22" s="12" t="s">
        <v>97</v>
      </c>
      <c r="F22" s="12" t="s">
        <v>98</v>
      </c>
      <c r="G22" s="13">
        <v>1</v>
      </c>
      <c r="H22" s="13"/>
      <c r="I22" s="13">
        <v>2.88</v>
      </c>
      <c r="J22" s="14">
        <f>IFERROR(ROUND(SUM(M23)/I22, 2),0)</f>
        <v>12597</v>
      </c>
      <c r="K22" s="15">
        <v>54984</v>
      </c>
      <c r="L22" s="14">
        <f>J22+ROUND(K22, 2)</f>
        <v>67581</v>
      </c>
      <c r="M22" s="14">
        <f>ROUND(J22*I22, 2)</f>
        <v>36279.360000000001</v>
      </c>
      <c r="N22" s="14">
        <f>ROUND(I22*ROUND(K22, 2), 2)</f>
        <v>158353.92000000001</v>
      </c>
      <c r="O22" s="14">
        <f>M22+N22</f>
        <v>194633.28</v>
      </c>
      <c r="P22" s="14">
        <f>IFERROR(ROUND(SUM(S23)/I22, 2),0)</f>
        <v>12597</v>
      </c>
      <c r="Q22" s="16">
        <v>54984</v>
      </c>
      <c r="R22" s="14">
        <f>P22+ROUND(Q22, 2)</f>
        <v>67581</v>
      </c>
      <c r="S22" s="14">
        <f>ROUND(P22*I22, 2)</f>
        <v>36279.360000000001</v>
      </c>
      <c r="T22" s="14">
        <f>ROUND(I22*ROUND(Q22, 2), 2)</f>
        <v>158353.92000000001</v>
      </c>
      <c r="U22" s="14">
        <f>S22+T22</f>
        <v>194633.28</v>
      </c>
      <c r="V22" s="9">
        <f>ROUND(P22 / 1.2, 2)</f>
        <v>10497.5</v>
      </c>
      <c r="W22" s="9">
        <f>ROUND(Q22 / 1.2, 2)</f>
        <v>45820</v>
      </c>
      <c r="X22" s="9">
        <f>ROUND(R22 / 1.2, 2)</f>
        <v>56317.5</v>
      </c>
      <c r="Y22" s="9">
        <f t="shared" si="3"/>
        <v>30232.799999999999</v>
      </c>
      <c r="Z22" s="9">
        <f>ROUND(T22 / 1.2, 2)</f>
        <v>131961.60000000001</v>
      </c>
      <c r="AA22" s="9">
        <f>Y22+Z22</f>
        <v>162194.4</v>
      </c>
      <c r="AD22" s="4">
        <v>271132064</v>
      </c>
      <c r="AE22" s="4">
        <v>19810929</v>
      </c>
      <c r="AG22" s="4" t="s">
        <v>99</v>
      </c>
      <c r="AH22" s="4" t="s">
        <v>100</v>
      </c>
      <c r="AI22" s="4" t="s">
        <v>67</v>
      </c>
    </row>
    <row r="23" spans="1:35" ht="18" x14ac:dyDescent="0.3">
      <c r="A23" s="10" t="s">
        <v>101</v>
      </c>
      <c r="B23" s="10"/>
      <c r="C23" s="24" t="s">
        <v>102</v>
      </c>
      <c r="D23" s="12"/>
      <c r="E23" s="12"/>
      <c r="F23" s="18" t="s">
        <v>70</v>
      </c>
      <c r="G23" s="19">
        <v>1700</v>
      </c>
      <c r="H23" s="20"/>
      <c r="I23" s="20">
        <v>4896</v>
      </c>
      <c r="J23" s="21">
        <v>7.41</v>
      </c>
      <c r="M23" s="22">
        <f>ROUND(ROUND(J23, 2)*I23, 2)</f>
        <v>36279.360000000001</v>
      </c>
      <c r="P23" s="23">
        <v>7.41</v>
      </c>
      <c r="S23" s="22">
        <f>ROUND(ROUND(P23, 2)*I23, 2)</f>
        <v>36279.360000000001</v>
      </c>
      <c r="V23" s="9">
        <f>ROUND(ROUND(P23, 2)/1.2, 2)</f>
        <v>6.18</v>
      </c>
      <c r="Y23" s="9">
        <f t="shared" si="3"/>
        <v>30232.799999999999</v>
      </c>
      <c r="AD23" s="4" t="s">
        <v>103</v>
      </c>
      <c r="AE23" s="4" t="s">
        <v>104</v>
      </c>
      <c r="AF23" s="4" t="s">
        <v>105</v>
      </c>
    </row>
    <row r="24" spans="1:35" ht="54" x14ac:dyDescent="0.3">
      <c r="A24" s="10" t="s">
        <v>106</v>
      </c>
      <c r="B24" s="10" t="s">
        <v>107</v>
      </c>
      <c r="C24" s="11" t="s">
        <v>108</v>
      </c>
      <c r="D24" s="12"/>
      <c r="E24" s="12" t="s">
        <v>109</v>
      </c>
      <c r="F24" s="12" t="s">
        <v>64</v>
      </c>
      <c r="G24" s="13">
        <v>1</v>
      </c>
      <c r="H24" s="13"/>
      <c r="I24" s="13">
        <v>0</v>
      </c>
      <c r="J24" s="14">
        <f>IFERROR(ROUND(SUM(M25,M26,M27,M28,M29,M30,M31)/I24, 2),0)</f>
        <v>0</v>
      </c>
      <c r="K24" s="15">
        <v>855</v>
      </c>
      <c r="L24" s="14">
        <f>J24+ROUND(K24, 2)</f>
        <v>855</v>
      </c>
      <c r="M24" s="14">
        <f>ROUND(J24*I24, 2)</f>
        <v>0</v>
      </c>
      <c r="N24" s="14">
        <f>ROUND(I24*ROUND(K24, 2), 2)</f>
        <v>0</v>
      </c>
      <c r="O24" s="14">
        <f>M24+N24</f>
        <v>0</v>
      </c>
      <c r="P24" s="14">
        <f>IFERROR(ROUND(SUM(S25,S26,S27,S28,S29,S30,S31)/I24, 2),0)</f>
        <v>0</v>
      </c>
      <c r="Q24" s="15">
        <v>855</v>
      </c>
      <c r="R24" s="14">
        <f>P24+ROUND(Q24, 2)</f>
        <v>855</v>
      </c>
      <c r="S24" s="14">
        <f>ROUND(P24*I24, 2)</f>
        <v>0</v>
      </c>
      <c r="T24" s="14">
        <f>ROUND(I24*ROUND(Q24, 2), 2)</f>
        <v>0</v>
      </c>
      <c r="U24" s="14">
        <f>S24+T24</f>
        <v>0</v>
      </c>
      <c r="V24" s="9">
        <f>ROUND(P24 / 1.2, 2)</f>
        <v>0</v>
      </c>
      <c r="W24" s="9">
        <f>ROUND(Q24 / 1.2, 2)</f>
        <v>712.5</v>
      </c>
      <c r="X24" s="9">
        <f>ROUND(R24 / 1.2, 2)</f>
        <v>712.5</v>
      </c>
      <c r="Y24" s="9">
        <f t="shared" si="3"/>
        <v>0</v>
      </c>
      <c r="Z24" s="9">
        <f>ROUND(T24 / 1.2, 2)</f>
        <v>0</v>
      </c>
      <c r="AA24" s="9">
        <f>Y24+Z24</f>
        <v>0</v>
      </c>
      <c r="AD24" s="4">
        <v>271132066</v>
      </c>
      <c r="AE24" s="4">
        <v>17497283</v>
      </c>
      <c r="AG24" s="4" t="s">
        <v>110</v>
      </c>
      <c r="AH24" s="4" t="s">
        <v>111</v>
      </c>
      <c r="AI24" s="4" t="s">
        <v>67</v>
      </c>
    </row>
    <row r="25" spans="1:35" ht="18" x14ac:dyDescent="0.3">
      <c r="A25" s="10" t="s">
        <v>114</v>
      </c>
      <c r="B25" s="10"/>
      <c r="C25" s="24" t="s">
        <v>115</v>
      </c>
      <c r="D25" s="12"/>
      <c r="E25" s="12"/>
      <c r="F25" s="18" t="s">
        <v>116</v>
      </c>
      <c r="G25" s="19">
        <v>8</v>
      </c>
      <c r="H25" s="20"/>
      <c r="I25" s="20">
        <v>0</v>
      </c>
      <c r="J25" s="21">
        <v>2.5</v>
      </c>
      <c r="M25" s="22">
        <f t="shared" ref="M25:M31" si="4">ROUND(ROUND(J25, 2)*I25, 2)</f>
        <v>0</v>
      </c>
      <c r="P25" s="21">
        <v>2.5</v>
      </c>
      <c r="S25" s="22">
        <f t="shared" ref="S25:S31" si="5">ROUND(ROUND(P25, 2)*I25, 2)</f>
        <v>0</v>
      </c>
      <c r="V25" s="9">
        <f t="shared" ref="V25:V31" si="6">ROUND(ROUND(P25, 2)/1.2, 2)</f>
        <v>2.08</v>
      </c>
      <c r="Y25" s="9">
        <f t="shared" si="3"/>
        <v>0</v>
      </c>
      <c r="AD25" s="4" t="s">
        <v>117</v>
      </c>
      <c r="AE25" s="4" t="s">
        <v>118</v>
      </c>
      <c r="AF25" s="4" t="s">
        <v>119</v>
      </c>
    </row>
    <row r="26" spans="1:35" ht="18" x14ac:dyDescent="0.3">
      <c r="A26" s="10" t="s">
        <v>122</v>
      </c>
      <c r="B26" s="10"/>
      <c r="C26" s="24" t="s">
        <v>123</v>
      </c>
      <c r="D26" s="12"/>
      <c r="E26" s="12"/>
      <c r="F26" s="18" t="s">
        <v>70</v>
      </c>
      <c r="G26" s="19">
        <v>1E-3</v>
      </c>
      <c r="H26" s="20"/>
      <c r="I26" s="20">
        <v>0</v>
      </c>
      <c r="J26" s="21">
        <v>208.33</v>
      </c>
      <c r="M26" s="22">
        <f t="shared" si="4"/>
        <v>0</v>
      </c>
      <c r="P26" s="21">
        <v>208.33</v>
      </c>
      <c r="S26" s="22">
        <f t="shared" si="5"/>
        <v>0</v>
      </c>
      <c r="V26" s="9">
        <f t="shared" si="6"/>
        <v>173.61</v>
      </c>
      <c r="Y26" s="9">
        <f t="shared" si="3"/>
        <v>0</v>
      </c>
      <c r="AD26" s="4" t="s">
        <v>124</v>
      </c>
      <c r="AE26" s="4" t="s">
        <v>125</v>
      </c>
      <c r="AF26" s="4" t="s">
        <v>126</v>
      </c>
    </row>
    <row r="27" spans="1:35" ht="18" x14ac:dyDescent="0.3">
      <c r="A27" s="10" t="s">
        <v>129</v>
      </c>
      <c r="B27" s="10"/>
      <c r="C27" s="24" t="s">
        <v>130</v>
      </c>
      <c r="D27" s="12"/>
      <c r="E27" s="12"/>
      <c r="F27" s="18" t="s">
        <v>64</v>
      </c>
      <c r="G27" s="19">
        <v>1.1000000000000001</v>
      </c>
      <c r="H27" s="20"/>
      <c r="I27" s="20">
        <v>0</v>
      </c>
      <c r="J27" s="21">
        <v>155.01</v>
      </c>
      <c r="M27" s="22">
        <f t="shared" si="4"/>
        <v>0</v>
      </c>
      <c r="P27" s="21">
        <v>155.01</v>
      </c>
      <c r="S27" s="22">
        <f t="shared" si="5"/>
        <v>0</v>
      </c>
      <c r="V27" s="9">
        <f t="shared" si="6"/>
        <v>129.18</v>
      </c>
      <c r="Y27" s="9">
        <f t="shared" si="3"/>
        <v>0</v>
      </c>
      <c r="AD27" s="4" t="s">
        <v>131</v>
      </c>
      <c r="AE27" s="4" t="s">
        <v>132</v>
      </c>
      <c r="AF27" s="4" t="s">
        <v>133</v>
      </c>
    </row>
    <row r="28" spans="1:35" ht="18" x14ac:dyDescent="0.3">
      <c r="A28" s="10" t="s">
        <v>136</v>
      </c>
      <c r="B28" s="10"/>
      <c r="C28" s="24" t="s">
        <v>137</v>
      </c>
      <c r="D28" s="12"/>
      <c r="E28" s="12"/>
      <c r="F28" s="18" t="s">
        <v>70</v>
      </c>
      <c r="G28" s="19">
        <v>0.32</v>
      </c>
      <c r="H28" s="20"/>
      <c r="I28" s="20">
        <v>0</v>
      </c>
      <c r="J28" s="21">
        <v>7.5</v>
      </c>
      <c r="M28" s="22">
        <f t="shared" si="4"/>
        <v>0</v>
      </c>
      <c r="P28" s="21">
        <v>7.5</v>
      </c>
      <c r="S28" s="22">
        <f t="shared" si="5"/>
        <v>0</v>
      </c>
      <c r="V28" s="9">
        <f t="shared" si="6"/>
        <v>6.25</v>
      </c>
      <c r="Y28" s="9">
        <f t="shared" si="3"/>
        <v>0</v>
      </c>
      <c r="AD28" s="4" t="s">
        <v>138</v>
      </c>
      <c r="AE28" s="4" t="s">
        <v>139</v>
      </c>
      <c r="AF28" s="4" t="s">
        <v>140</v>
      </c>
    </row>
    <row r="29" spans="1:35" ht="18" x14ac:dyDescent="0.3">
      <c r="A29" s="10" t="s">
        <v>143</v>
      </c>
      <c r="B29" s="10"/>
      <c r="C29" s="24" t="s">
        <v>144</v>
      </c>
      <c r="D29" s="12"/>
      <c r="E29" s="12"/>
      <c r="F29" s="18" t="s">
        <v>98</v>
      </c>
      <c r="G29" s="19">
        <v>1E-3</v>
      </c>
      <c r="H29" s="20"/>
      <c r="I29" s="20">
        <v>0</v>
      </c>
      <c r="J29" s="21">
        <v>1600</v>
      </c>
      <c r="M29" s="22">
        <f t="shared" si="4"/>
        <v>0</v>
      </c>
      <c r="P29" s="21">
        <v>1600</v>
      </c>
      <c r="S29" s="22">
        <f t="shared" si="5"/>
        <v>0</v>
      </c>
      <c r="V29" s="9">
        <f t="shared" si="6"/>
        <v>1333.33</v>
      </c>
      <c r="Y29" s="9">
        <f t="shared" si="3"/>
        <v>0</v>
      </c>
      <c r="AD29" s="4" t="s">
        <v>145</v>
      </c>
      <c r="AE29" s="4" t="s">
        <v>146</v>
      </c>
      <c r="AF29" s="4" t="s">
        <v>147</v>
      </c>
    </row>
    <row r="30" spans="1:35" ht="18" x14ac:dyDescent="0.3">
      <c r="A30" s="10" t="s">
        <v>150</v>
      </c>
      <c r="B30" s="10"/>
      <c r="C30" s="24" t="s">
        <v>86</v>
      </c>
      <c r="D30" s="12"/>
      <c r="E30" s="12"/>
      <c r="F30" s="18" t="s">
        <v>87</v>
      </c>
      <c r="G30" s="19">
        <v>1</v>
      </c>
      <c r="H30" s="20"/>
      <c r="I30" s="20">
        <v>0</v>
      </c>
      <c r="J30" s="21">
        <v>10.4</v>
      </c>
      <c r="M30" s="22">
        <f t="shared" si="4"/>
        <v>0</v>
      </c>
      <c r="P30" s="21">
        <v>10.4</v>
      </c>
      <c r="S30" s="22">
        <f t="shared" si="5"/>
        <v>0</v>
      </c>
      <c r="V30" s="9">
        <f t="shared" si="6"/>
        <v>8.67</v>
      </c>
      <c r="Y30" s="9">
        <f t="shared" si="3"/>
        <v>0</v>
      </c>
      <c r="AD30" s="4" t="s">
        <v>151</v>
      </c>
      <c r="AE30" s="4" t="s">
        <v>152</v>
      </c>
      <c r="AF30" s="4" t="s">
        <v>90</v>
      </c>
    </row>
    <row r="31" spans="1:35" ht="36" x14ac:dyDescent="0.3">
      <c r="A31" s="10" t="s">
        <v>155</v>
      </c>
      <c r="B31" s="10"/>
      <c r="C31" s="24" t="s">
        <v>75</v>
      </c>
      <c r="D31" s="12"/>
      <c r="E31" s="12"/>
      <c r="F31" s="18" t="s">
        <v>70</v>
      </c>
      <c r="G31" s="19">
        <v>0.2</v>
      </c>
      <c r="H31" s="19"/>
      <c r="I31" s="19">
        <v>0</v>
      </c>
      <c r="J31" s="21">
        <v>88.8</v>
      </c>
      <c r="M31" s="22">
        <f t="shared" si="4"/>
        <v>0</v>
      </c>
      <c r="P31" s="21">
        <v>88.8</v>
      </c>
      <c r="S31" s="22">
        <f t="shared" si="5"/>
        <v>0</v>
      </c>
      <c r="V31" s="9">
        <f t="shared" si="6"/>
        <v>74</v>
      </c>
      <c r="Y31" s="9">
        <f t="shared" si="3"/>
        <v>0</v>
      </c>
      <c r="AD31" s="4" t="s">
        <v>156</v>
      </c>
      <c r="AE31" s="4" t="s">
        <v>157</v>
      </c>
      <c r="AF31" s="4" t="s">
        <v>78</v>
      </c>
    </row>
    <row r="32" spans="1:35" ht="36" x14ac:dyDescent="0.3">
      <c r="A32" s="10" t="s">
        <v>160</v>
      </c>
      <c r="B32" s="10" t="s">
        <v>107</v>
      </c>
      <c r="C32" s="11" t="s">
        <v>108</v>
      </c>
      <c r="D32" s="12"/>
      <c r="E32" s="12" t="s">
        <v>161</v>
      </c>
      <c r="F32" s="12" t="s">
        <v>64</v>
      </c>
      <c r="G32" s="13">
        <v>1</v>
      </c>
      <c r="H32" s="13"/>
      <c r="I32" s="13">
        <v>0</v>
      </c>
      <c r="J32" s="14">
        <f>IFERROR(ROUND(SUM(M33,M34,M35,M36,M37,M38,M39)/I32, 2),0)</f>
        <v>0</v>
      </c>
      <c r="K32" s="15">
        <v>855</v>
      </c>
      <c r="L32" s="14">
        <f>J32+ROUND(K32, 2)</f>
        <v>855</v>
      </c>
      <c r="M32" s="14">
        <f>ROUND(J32*I32, 2)</f>
        <v>0</v>
      </c>
      <c r="N32" s="14">
        <f>ROUND(I32*ROUND(K32, 2), 2)</f>
        <v>0</v>
      </c>
      <c r="O32" s="14">
        <f>M32+N32</f>
        <v>0</v>
      </c>
      <c r="P32" s="14">
        <f>IFERROR(ROUND(SUM(S33,S34,S35,S36,S37,S38,S39)/I32, 2),0)</f>
        <v>0</v>
      </c>
      <c r="Q32" s="15">
        <v>855</v>
      </c>
      <c r="R32" s="14">
        <f>P32+ROUND(Q32, 2)</f>
        <v>855</v>
      </c>
      <c r="S32" s="14">
        <f>ROUND(P32*I32, 2)</f>
        <v>0</v>
      </c>
      <c r="T32" s="14">
        <f>ROUND(I32*ROUND(Q32, 2), 2)</f>
        <v>0</v>
      </c>
      <c r="U32" s="14">
        <f>S32+T32</f>
        <v>0</v>
      </c>
      <c r="V32" s="9">
        <f>ROUND(P32 / 1.2, 2)</f>
        <v>0</v>
      </c>
      <c r="W32" s="9">
        <f>ROUND(Q32 / 1.2, 2)</f>
        <v>712.5</v>
      </c>
      <c r="X32" s="9">
        <f>ROUND(R32 / 1.2, 2)</f>
        <v>712.5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271132161</v>
      </c>
      <c r="AE32" s="4">
        <v>17497284</v>
      </c>
      <c r="AG32" s="4" t="s">
        <v>110</v>
      </c>
      <c r="AH32" s="4" t="s">
        <v>111</v>
      </c>
      <c r="AI32" s="4" t="s">
        <v>67</v>
      </c>
    </row>
    <row r="33" spans="1:35" ht="36" x14ac:dyDescent="0.3">
      <c r="A33" s="10" t="s">
        <v>164</v>
      </c>
      <c r="B33" s="10"/>
      <c r="C33" s="24" t="s">
        <v>75</v>
      </c>
      <c r="D33" s="12"/>
      <c r="E33" s="12"/>
      <c r="F33" s="18" t="s">
        <v>70</v>
      </c>
      <c r="G33" s="19">
        <v>0.2</v>
      </c>
      <c r="H33" s="19"/>
      <c r="I33" s="19">
        <v>0</v>
      </c>
      <c r="J33" s="21">
        <v>88.8</v>
      </c>
      <c r="M33" s="22">
        <f t="shared" ref="M33:M39" si="7">ROUND(ROUND(J33, 2)*I33, 2)</f>
        <v>0</v>
      </c>
      <c r="P33" s="21">
        <v>88.8</v>
      </c>
      <c r="S33" s="22">
        <f t="shared" ref="S33:S39" si="8">ROUND(ROUND(P33, 2)*I33, 2)</f>
        <v>0</v>
      </c>
      <c r="V33" s="9">
        <f t="shared" ref="V33:V39" si="9">ROUND(ROUND(P33, 2)/1.2, 2)</f>
        <v>74</v>
      </c>
      <c r="Y33" s="9">
        <f t="shared" si="3"/>
        <v>0</v>
      </c>
      <c r="AD33" s="4" t="s">
        <v>165</v>
      </c>
      <c r="AE33" s="4" t="s">
        <v>166</v>
      </c>
      <c r="AF33" s="4" t="s">
        <v>78</v>
      </c>
    </row>
    <row r="34" spans="1:35" ht="18" x14ac:dyDescent="0.3">
      <c r="A34" s="10" t="s">
        <v>169</v>
      </c>
      <c r="B34" s="10"/>
      <c r="C34" s="24" t="s">
        <v>86</v>
      </c>
      <c r="D34" s="12"/>
      <c r="E34" s="12"/>
      <c r="F34" s="18" t="s">
        <v>87</v>
      </c>
      <c r="G34" s="19">
        <v>1</v>
      </c>
      <c r="H34" s="20"/>
      <c r="I34" s="20">
        <v>0</v>
      </c>
      <c r="J34" s="21">
        <v>10.4</v>
      </c>
      <c r="M34" s="22">
        <f t="shared" si="7"/>
        <v>0</v>
      </c>
      <c r="P34" s="21">
        <v>10.4</v>
      </c>
      <c r="S34" s="22">
        <f t="shared" si="8"/>
        <v>0</v>
      </c>
      <c r="V34" s="9">
        <f t="shared" si="9"/>
        <v>8.67</v>
      </c>
      <c r="Y34" s="9">
        <f t="shared" si="3"/>
        <v>0</v>
      </c>
      <c r="AD34" s="4" t="s">
        <v>170</v>
      </c>
      <c r="AE34" s="4" t="s">
        <v>171</v>
      </c>
      <c r="AF34" s="4" t="s">
        <v>90</v>
      </c>
    </row>
    <row r="35" spans="1:35" ht="18" x14ac:dyDescent="0.3">
      <c r="A35" s="10" t="s">
        <v>174</v>
      </c>
      <c r="B35" s="10"/>
      <c r="C35" s="24" t="s">
        <v>144</v>
      </c>
      <c r="D35" s="12"/>
      <c r="E35" s="12"/>
      <c r="F35" s="18" t="s">
        <v>98</v>
      </c>
      <c r="G35" s="19">
        <v>1E-3</v>
      </c>
      <c r="H35" s="20"/>
      <c r="I35" s="20">
        <v>0</v>
      </c>
      <c r="J35" s="21">
        <v>1600</v>
      </c>
      <c r="M35" s="22">
        <f t="shared" si="7"/>
        <v>0</v>
      </c>
      <c r="P35" s="21">
        <v>1600</v>
      </c>
      <c r="S35" s="22">
        <f t="shared" si="8"/>
        <v>0</v>
      </c>
      <c r="V35" s="9">
        <f t="shared" si="9"/>
        <v>1333.33</v>
      </c>
      <c r="Y35" s="9">
        <f t="shared" si="3"/>
        <v>0</v>
      </c>
      <c r="AD35" s="4" t="s">
        <v>175</v>
      </c>
      <c r="AE35" s="4" t="s">
        <v>176</v>
      </c>
      <c r="AF35" s="4" t="s">
        <v>147</v>
      </c>
    </row>
    <row r="36" spans="1:35" ht="18" x14ac:dyDescent="0.3">
      <c r="A36" s="10" t="s">
        <v>179</v>
      </c>
      <c r="B36" s="10"/>
      <c r="C36" s="24" t="s">
        <v>137</v>
      </c>
      <c r="D36" s="12"/>
      <c r="E36" s="12"/>
      <c r="F36" s="18" t="s">
        <v>70</v>
      </c>
      <c r="G36" s="19">
        <v>0.32</v>
      </c>
      <c r="H36" s="20"/>
      <c r="I36" s="20">
        <v>0</v>
      </c>
      <c r="J36" s="21">
        <v>7.5</v>
      </c>
      <c r="M36" s="22">
        <f t="shared" si="7"/>
        <v>0</v>
      </c>
      <c r="P36" s="21">
        <v>7.5</v>
      </c>
      <c r="S36" s="22">
        <f t="shared" si="8"/>
        <v>0</v>
      </c>
      <c r="V36" s="9">
        <f t="shared" si="9"/>
        <v>6.25</v>
      </c>
      <c r="Y36" s="9">
        <f t="shared" si="3"/>
        <v>0</v>
      </c>
      <c r="AD36" s="4" t="s">
        <v>180</v>
      </c>
      <c r="AE36" s="4" t="s">
        <v>181</v>
      </c>
      <c r="AF36" s="4" t="s">
        <v>140</v>
      </c>
    </row>
    <row r="37" spans="1:35" ht="18" x14ac:dyDescent="0.3">
      <c r="A37" s="10" t="s">
        <v>184</v>
      </c>
      <c r="B37" s="10"/>
      <c r="C37" s="24" t="s">
        <v>130</v>
      </c>
      <c r="D37" s="12"/>
      <c r="E37" s="12"/>
      <c r="F37" s="18" t="s">
        <v>64</v>
      </c>
      <c r="G37" s="19">
        <v>1.1000000000000001</v>
      </c>
      <c r="H37" s="20"/>
      <c r="I37" s="20">
        <v>0</v>
      </c>
      <c r="J37" s="21">
        <v>155.01</v>
      </c>
      <c r="M37" s="22">
        <f t="shared" si="7"/>
        <v>0</v>
      </c>
      <c r="P37" s="21">
        <v>155.01</v>
      </c>
      <c r="S37" s="22">
        <f t="shared" si="8"/>
        <v>0</v>
      </c>
      <c r="V37" s="9">
        <f t="shared" si="9"/>
        <v>129.18</v>
      </c>
      <c r="Y37" s="9">
        <f t="shared" si="3"/>
        <v>0</v>
      </c>
      <c r="AD37" s="4" t="s">
        <v>185</v>
      </c>
      <c r="AE37" s="4" t="s">
        <v>186</v>
      </c>
      <c r="AF37" s="4" t="s">
        <v>133</v>
      </c>
    </row>
    <row r="38" spans="1:35" ht="18" x14ac:dyDescent="0.3">
      <c r="A38" s="10" t="s">
        <v>189</v>
      </c>
      <c r="B38" s="10"/>
      <c r="C38" s="24" t="s">
        <v>123</v>
      </c>
      <c r="D38" s="12"/>
      <c r="E38" s="12"/>
      <c r="F38" s="18" t="s">
        <v>70</v>
      </c>
      <c r="G38" s="19">
        <v>1E-3</v>
      </c>
      <c r="H38" s="20"/>
      <c r="I38" s="20">
        <v>0</v>
      </c>
      <c r="J38" s="21">
        <v>208.33</v>
      </c>
      <c r="M38" s="22">
        <f t="shared" si="7"/>
        <v>0</v>
      </c>
      <c r="P38" s="21">
        <v>208.33</v>
      </c>
      <c r="S38" s="22">
        <f t="shared" si="8"/>
        <v>0</v>
      </c>
      <c r="V38" s="9">
        <f t="shared" si="9"/>
        <v>173.61</v>
      </c>
      <c r="Y38" s="9">
        <f t="shared" si="3"/>
        <v>0</v>
      </c>
      <c r="AD38" s="4" t="s">
        <v>190</v>
      </c>
      <c r="AE38" s="4" t="s">
        <v>191</v>
      </c>
      <c r="AF38" s="4" t="s">
        <v>126</v>
      </c>
    </row>
    <row r="39" spans="1:35" ht="18" x14ac:dyDescent="0.3">
      <c r="A39" s="10" t="s">
        <v>194</v>
      </c>
      <c r="B39" s="10"/>
      <c r="C39" s="24" t="s">
        <v>115</v>
      </c>
      <c r="D39" s="12"/>
      <c r="E39" s="12"/>
      <c r="F39" s="18" t="s">
        <v>116</v>
      </c>
      <c r="G39" s="19">
        <v>8</v>
      </c>
      <c r="H39" s="20"/>
      <c r="I39" s="20">
        <v>0</v>
      </c>
      <c r="J39" s="21">
        <v>2.5</v>
      </c>
      <c r="M39" s="22">
        <f t="shared" si="7"/>
        <v>0</v>
      </c>
      <c r="P39" s="21">
        <v>2.5</v>
      </c>
      <c r="S39" s="22">
        <f t="shared" si="8"/>
        <v>0</v>
      </c>
      <c r="V39" s="9">
        <f t="shared" si="9"/>
        <v>2.08</v>
      </c>
      <c r="Y39" s="9">
        <f t="shared" si="3"/>
        <v>0</v>
      </c>
      <c r="AD39" s="4" t="s">
        <v>195</v>
      </c>
      <c r="AE39" s="4" t="s">
        <v>196</v>
      </c>
      <c r="AF39" s="4" t="s">
        <v>119</v>
      </c>
    </row>
    <row r="40" spans="1:35" ht="36" x14ac:dyDescent="0.3">
      <c r="A40" s="10" t="s">
        <v>199</v>
      </c>
      <c r="B40" s="10" t="s">
        <v>107</v>
      </c>
      <c r="C40" s="11" t="s">
        <v>200</v>
      </c>
      <c r="D40" s="12"/>
      <c r="E40" s="12" t="s">
        <v>201</v>
      </c>
      <c r="F40" s="12" t="s">
        <v>64</v>
      </c>
      <c r="G40" s="13">
        <v>1</v>
      </c>
      <c r="H40" s="13"/>
      <c r="I40" s="13">
        <v>239.9</v>
      </c>
      <c r="J40" s="14">
        <f>IFERROR(ROUND(SUM(M41,M42,M43,M44,M45)/I40, 2),0)</f>
        <v>878.71</v>
      </c>
      <c r="K40" s="15">
        <v>941</v>
      </c>
      <c r="L40" s="14">
        <f>J40+ROUND(K40, 2)</f>
        <v>1819.71</v>
      </c>
      <c r="M40" s="14">
        <f>ROUND(J40*I40, 2)</f>
        <v>210802.53</v>
      </c>
      <c r="N40" s="14">
        <f>ROUND(I40*ROUND(K40, 2), 2)</f>
        <v>225745.9</v>
      </c>
      <c r="O40" s="14">
        <f>M40+N40</f>
        <v>436548.43</v>
      </c>
      <c r="P40" s="14">
        <f>IFERROR(ROUND(SUM(S41,S42,S43,S44,S45)/I40, 2),0)</f>
        <v>878.71</v>
      </c>
      <c r="Q40" s="16">
        <v>941</v>
      </c>
      <c r="R40" s="14">
        <f>P40+ROUND(Q40, 2)</f>
        <v>1819.71</v>
      </c>
      <c r="S40" s="14">
        <f>ROUND(P40*I40, 2)</f>
        <v>210802.53</v>
      </c>
      <c r="T40" s="14">
        <f>ROUND(I40*ROUND(Q40, 2), 2)</f>
        <v>225745.9</v>
      </c>
      <c r="U40" s="14">
        <f>S40+T40</f>
        <v>436548.43</v>
      </c>
      <c r="V40" s="9">
        <f>ROUND(P40 / 1.2, 2)</f>
        <v>732.26</v>
      </c>
      <c r="W40" s="9">
        <f>ROUND(Q40 / 1.2, 2)</f>
        <v>784.17</v>
      </c>
      <c r="X40" s="9">
        <f>ROUND(R40 / 1.2, 2)</f>
        <v>1516.43</v>
      </c>
      <c r="Y40" s="9">
        <f t="shared" si="3"/>
        <v>175668.78</v>
      </c>
      <c r="Z40" s="9">
        <f>ROUND(T40 / 1.2, 2)</f>
        <v>188121.58</v>
      </c>
      <c r="AA40" s="9">
        <f>Y40+Z40</f>
        <v>363790.36</v>
      </c>
      <c r="AD40" s="4">
        <v>271132162</v>
      </c>
      <c r="AE40" s="4">
        <v>19810928</v>
      </c>
      <c r="AG40" s="4" t="s">
        <v>110</v>
      </c>
      <c r="AH40" s="4" t="s">
        <v>111</v>
      </c>
      <c r="AI40" s="4" t="s">
        <v>67</v>
      </c>
    </row>
    <row r="41" spans="1:35" ht="36" x14ac:dyDescent="0.3">
      <c r="A41" s="10" t="s">
        <v>202</v>
      </c>
      <c r="B41" s="10"/>
      <c r="C41" s="24" t="s">
        <v>75</v>
      </c>
      <c r="D41" s="12"/>
      <c r="E41" s="12"/>
      <c r="F41" s="18" t="s">
        <v>70</v>
      </c>
      <c r="G41" s="19">
        <v>0.2</v>
      </c>
      <c r="H41" s="19"/>
      <c r="I41" s="19">
        <v>47.98</v>
      </c>
      <c r="J41" s="21">
        <v>88.8</v>
      </c>
      <c r="M41" s="22">
        <f>ROUND(ROUND(J41, 2)*I41, 2)</f>
        <v>4260.62</v>
      </c>
      <c r="P41" s="23">
        <v>88.8</v>
      </c>
      <c r="S41" s="22">
        <f>ROUND(ROUND(P41, 2)*I41, 2)</f>
        <v>4260.62</v>
      </c>
      <c r="V41" s="9">
        <f>ROUND(ROUND(P41, 2)/1.2, 2)</f>
        <v>74</v>
      </c>
      <c r="Y41" s="9">
        <f t="shared" si="3"/>
        <v>3550.52</v>
      </c>
      <c r="AD41" s="4" t="s">
        <v>203</v>
      </c>
      <c r="AE41" s="4" t="s">
        <v>204</v>
      </c>
      <c r="AF41" s="4" t="s">
        <v>78</v>
      </c>
    </row>
    <row r="42" spans="1:35" ht="18" x14ac:dyDescent="0.3">
      <c r="A42" s="10" t="s">
        <v>205</v>
      </c>
      <c r="B42" s="10"/>
      <c r="C42" s="24" t="s">
        <v>86</v>
      </c>
      <c r="D42" s="12"/>
      <c r="E42" s="12"/>
      <c r="F42" s="18" t="s">
        <v>87</v>
      </c>
      <c r="G42" s="19">
        <v>1</v>
      </c>
      <c r="H42" s="20"/>
      <c r="I42" s="20">
        <v>94</v>
      </c>
      <c r="J42" s="21">
        <v>10.4</v>
      </c>
      <c r="M42" s="22">
        <f>ROUND(ROUND(J42, 2)*I42, 2)</f>
        <v>977.6</v>
      </c>
      <c r="P42" s="23">
        <v>10.4</v>
      </c>
      <c r="S42" s="22">
        <f>ROUND(ROUND(P42, 2)*I42, 2)</f>
        <v>977.6</v>
      </c>
      <c r="V42" s="9">
        <f>ROUND(ROUND(P42, 2)/1.2, 2)</f>
        <v>8.67</v>
      </c>
      <c r="Y42" s="9">
        <f t="shared" si="3"/>
        <v>814.67</v>
      </c>
      <c r="AD42" s="4" t="s">
        <v>206</v>
      </c>
      <c r="AE42" s="4" t="s">
        <v>207</v>
      </c>
      <c r="AF42" s="4" t="s">
        <v>90</v>
      </c>
    </row>
    <row r="43" spans="1:35" ht="18" x14ac:dyDescent="0.3">
      <c r="A43" s="10" t="s">
        <v>208</v>
      </c>
      <c r="B43" s="10"/>
      <c r="C43" s="24" t="s">
        <v>130</v>
      </c>
      <c r="D43" s="12"/>
      <c r="E43" s="12"/>
      <c r="F43" s="18" t="s">
        <v>64</v>
      </c>
      <c r="G43" s="19">
        <v>1.1000000000000001</v>
      </c>
      <c r="H43" s="20"/>
      <c r="I43" s="20">
        <v>263.89</v>
      </c>
      <c r="J43" s="21">
        <v>155.01</v>
      </c>
      <c r="M43" s="22">
        <f>ROUND(ROUND(J43, 2)*I43, 2)</f>
        <v>40905.589999999997</v>
      </c>
      <c r="P43" s="23">
        <v>155.01</v>
      </c>
      <c r="S43" s="22">
        <f>ROUND(ROUND(P43, 2)*I43, 2)</f>
        <v>40905.589999999997</v>
      </c>
      <c r="V43" s="9">
        <f>ROUND(ROUND(P43, 2)/1.2, 2)</f>
        <v>129.18</v>
      </c>
      <c r="Y43" s="9">
        <f t="shared" si="3"/>
        <v>34087.99</v>
      </c>
      <c r="AD43" s="4" t="s">
        <v>209</v>
      </c>
      <c r="AE43" s="4" t="s">
        <v>210</v>
      </c>
      <c r="AF43" s="4" t="s">
        <v>133</v>
      </c>
    </row>
    <row r="44" spans="1:35" ht="18" x14ac:dyDescent="0.3">
      <c r="A44" s="10" t="s">
        <v>211</v>
      </c>
      <c r="B44" s="10"/>
      <c r="C44" s="24" t="s">
        <v>212</v>
      </c>
      <c r="D44" s="12"/>
      <c r="E44" s="12"/>
      <c r="F44" s="18" t="s">
        <v>70</v>
      </c>
      <c r="G44" s="19">
        <v>1.8</v>
      </c>
      <c r="H44" s="20"/>
      <c r="I44" s="20">
        <v>25909.200000000001</v>
      </c>
      <c r="J44" s="21">
        <v>6.17</v>
      </c>
      <c r="M44" s="22">
        <f>ROUND(ROUND(J44, 2)*I44, 2)</f>
        <v>159859.76</v>
      </c>
      <c r="P44" s="23">
        <v>6.17</v>
      </c>
      <c r="S44" s="22">
        <f>ROUND(ROUND(P44, 2)*I44, 2)</f>
        <v>159859.76</v>
      </c>
      <c r="V44" s="9">
        <f>ROUND(ROUND(P44, 2)/1.2, 2)</f>
        <v>5.14</v>
      </c>
      <c r="Y44" s="9">
        <f t="shared" si="3"/>
        <v>133216.47</v>
      </c>
      <c r="AD44" s="4" t="s">
        <v>213</v>
      </c>
      <c r="AE44" s="4" t="s">
        <v>214</v>
      </c>
      <c r="AF44" s="4" t="s">
        <v>215</v>
      </c>
    </row>
    <row r="45" spans="1:35" ht="18" x14ac:dyDescent="0.3">
      <c r="A45" s="10" t="s">
        <v>216</v>
      </c>
      <c r="B45" s="10"/>
      <c r="C45" s="24" t="s">
        <v>115</v>
      </c>
      <c r="D45" s="12"/>
      <c r="E45" s="12"/>
      <c r="F45" s="18" t="s">
        <v>116</v>
      </c>
      <c r="G45" s="19">
        <v>8</v>
      </c>
      <c r="H45" s="20"/>
      <c r="I45" s="20">
        <v>1919.2</v>
      </c>
      <c r="J45" s="21">
        <v>2.5</v>
      </c>
      <c r="M45" s="22">
        <f>ROUND(ROUND(J45, 2)*I45, 2)</f>
        <v>4798</v>
      </c>
      <c r="P45" s="23">
        <v>2.5</v>
      </c>
      <c r="S45" s="22">
        <f>ROUND(ROUND(P45, 2)*I45, 2)</f>
        <v>4798</v>
      </c>
      <c r="V45" s="9">
        <f>ROUND(ROUND(P45, 2)/1.2, 2)</f>
        <v>2.08</v>
      </c>
      <c r="Y45" s="9">
        <f t="shared" si="3"/>
        <v>3998.33</v>
      </c>
      <c r="AD45" s="4" t="s">
        <v>217</v>
      </c>
      <c r="AE45" s="4" t="s">
        <v>218</v>
      </c>
      <c r="AF45" s="4" t="s">
        <v>119</v>
      </c>
    </row>
    <row r="46" spans="1:35" ht="36" x14ac:dyDescent="0.3">
      <c r="A46" s="10" t="s">
        <v>219</v>
      </c>
      <c r="B46" s="10" t="s">
        <v>107</v>
      </c>
      <c r="C46" s="11" t="s">
        <v>200</v>
      </c>
      <c r="D46" s="12"/>
      <c r="E46" s="12" t="s">
        <v>220</v>
      </c>
      <c r="F46" s="12" t="s">
        <v>64</v>
      </c>
      <c r="G46" s="13">
        <v>1</v>
      </c>
      <c r="H46" s="13"/>
      <c r="I46" s="13">
        <v>631.29999999999995</v>
      </c>
      <c r="J46" s="14">
        <f>IFERROR(ROUND(SUM(M47,M48,M49,M50,M51)/I46, 2),0)</f>
        <v>879.19</v>
      </c>
      <c r="K46" s="15">
        <v>941</v>
      </c>
      <c r="L46" s="14">
        <f>J46+ROUND(K46, 2)</f>
        <v>1820.19</v>
      </c>
      <c r="M46" s="14">
        <f>ROUND(J46*I46, 2)</f>
        <v>555032.65</v>
      </c>
      <c r="N46" s="14">
        <f>ROUND(I46*ROUND(K46, 2), 2)</f>
        <v>594053.30000000005</v>
      </c>
      <c r="O46" s="14">
        <f>M46+N46</f>
        <v>1149085.95</v>
      </c>
      <c r="P46" s="14">
        <f>IFERROR(ROUND(SUM(S47,S48,S49,S50,S51)/I46, 2),0)</f>
        <v>879.19</v>
      </c>
      <c r="Q46" s="16">
        <v>941</v>
      </c>
      <c r="R46" s="14">
        <f>P46+ROUND(Q46, 2)</f>
        <v>1820.19</v>
      </c>
      <c r="S46" s="14">
        <f>ROUND(P46*I46, 2)</f>
        <v>555032.65</v>
      </c>
      <c r="T46" s="14">
        <f>ROUND(I46*ROUND(Q46, 2), 2)</f>
        <v>594053.30000000005</v>
      </c>
      <c r="U46" s="14">
        <f>S46+T46</f>
        <v>1149085.95</v>
      </c>
      <c r="V46" s="9">
        <f>ROUND(P46 / 1.2, 2)</f>
        <v>732.66</v>
      </c>
      <c r="W46" s="9">
        <f>ROUND(Q46 / 1.2, 2)</f>
        <v>784.17</v>
      </c>
      <c r="X46" s="9">
        <f>ROUND(R46 / 1.2, 2)</f>
        <v>1516.83</v>
      </c>
      <c r="Y46" s="9">
        <f t="shared" si="3"/>
        <v>462527.21</v>
      </c>
      <c r="Z46" s="9">
        <f>ROUND(T46 / 1.2, 2)</f>
        <v>495044.42</v>
      </c>
      <c r="AA46" s="9">
        <f>Y46+Z46</f>
        <v>957571.63</v>
      </c>
      <c r="AD46" s="4">
        <v>271132163</v>
      </c>
      <c r="AE46" s="4">
        <v>20229446</v>
      </c>
      <c r="AG46" s="4" t="s">
        <v>110</v>
      </c>
      <c r="AH46" s="4" t="s">
        <v>111</v>
      </c>
      <c r="AI46" s="4" t="s">
        <v>67</v>
      </c>
    </row>
    <row r="47" spans="1:35" ht="36" x14ac:dyDescent="0.3">
      <c r="A47" s="10" t="s">
        <v>221</v>
      </c>
      <c r="B47" s="10"/>
      <c r="C47" s="24" t="s">
        <v>75</v>
      </c>
      <c r="D47" s="12"/>
      <c r="E47" s="12"/>
      <c r="F47" s="18" t="s">
        <v>70</v>
      </c>
      <c r="G47" s="19">
        <v>0.2</v>
      </c>
      <c r="H47" s="19"/>
      <c r="I47" s="19">
        <v>126.26</v>
      </c>
      <c r="J47" s="21">
        <v>88.8</v>
      </c>
      <c r="M47" s="22">
        <f>ROUND(ROUND(J47, 2)*I47, 2)</f>
        <v>11211.89</v>
      </c>
      <c r="P47" s="23">
        <v>88.8</v>
      </c>
      <c r="S47" s="22">
        <f>ROUND(ROUND(P47, 2)*I47, 2)</f>
        <v>11211.89</v>
      </c>
      <c r="V47" s="9">
        <f>ROUND(ROUND(P47, 2)/1.2, 2)</f>
        <v>74</v>
      </c>
      <c r="Y47" s="9">
        <f t="shared" si="3"/>
        <v>9343.24</v>
      </c>
      <c r="AD47" s="4" t="s">
        <v>222</v>
      </c>
      <c r="AE47" s="4" t="s">
        <v>223</v>
      </c>
      <c r="AF47" s="4" t="s">
        <v>78</v>
      </c>
    </row>
    <row r="48" spans="1:35" ht="18" x14ac:dyDescent="0.3">
      <c r="A48" s="10" t="s">
        <v>224</v>
      </c>
      <c r="B48" s="10"/>
      <c r="C48" s="24" t="s">
        <v>86</v>
      </c>
      <c r="D48" s="12"/>
      <c r="E48" s="12"/>
      <c r="F48" s="18" t="s">
        <v>87</v>
      </c>
      <c r="G48" s="19">
        <v>1</v>
      </c>
      <c r="H48" s="20"/>
      <c r="I48" s="20">
        <v>277</v>
      </c>
      <c r="J48" s="21">
        <v>10.4</v>
      </c>
      <c r="M48" s="22">
        <f>ROUND(ROUND(J48, 2)*I48, 2)</f>
        <v>2880.8</v>
      </c>
      <c r="P48" s="23">
        <v>10.4</v>
      </c>
      <c r="S48" s="22">
        <f>ROUND(ROUND(P48, 2)*I48, 2)</f>
        <v>2880.8</v>
      </c>
      <c r="V48" s="9">
        <f>ROUND(ROUND(P48, 2)/1.2, 2)</f>
        <v>8.67</v>
      </c>
      <c r="Y48" s="9">
        <f t="shared" ref="Y48:Y77" si="10">ROUND(S48 / 1.2, 2)</f>
        <v>2400.67</v>
      </c>
      <c r="AD48" s="4" t="s">
        <v>225</v>
      </c>
      <c r="AE48" s="4" t="s">
        <v>226</v>
      </c>
      <c r="AF48" s="4" t="s">
        <v>90</v>
      </c>
    </row>
    <row r="49" spans="1:35" ht="18" x14ac:dyDescent="0.3">
      <c r="A49" s="10" t="s">
        <v>227</v>
      </c>
      <c r="B49" s="10"/>
      <c r="C49" s="24" t="s">
        <v>130</v>
      </c>
      <c r="D49" s="12"/>
      <c r="E49" s="12"/>
      <c r="F49" s="18" t="s">
        <v>64</v>
      </c>
      <c r="G49" s="19">
        <v>1.1000000000000001</v>
      </c>
      <c r="H49" s="20"/>
      <c r="I49" s="20">
        <v>694.43</v>
      </c>
      <c r="J49" s="21">
        <v>155.01</v>
      </c>
      <c r="M49" s="22">
        <f>ROUND(ROUND(J49, 2)*I49, 2)</f>
        <v>107643.59</v>
      </c>
      <c r="P49" s="23">
        <v>155.01</v>
      </c>
      <c r="S49" s="22">
        <f>ROUND(ROUND(P49, 2)*I49, 2)</f>
        <v>107643.59</v>
      </c>
      <c r="V49" s="9">
        <f>ROUND(ROUND(P49, 2)/1.2, 2)</f>
        <v>129.18</v>
      </c>
      <c r="Y49" s="9">
        <f t="shared" si="10"/>
        <v>89702.99</v>
      </c>
      <c r="AD49" s="4" t="s">
        <v>228</v>
      </c>
      <c r="AE49" s="4" t="s">
        <v>229</v>
      </c>
      <c r="AF49" s="4" t="s">
        <v>133</v>
      </c>
    </row>
    <row r="50" spans="1:35" ht="18" x14ac:dyDescent="0.3">
      <c r="A50" s="10" t="s">
        <v>230</v>
      </c>
      <c r="B50" s="10"/>
      <c r="C50" s="24" t="s">
        <v>212</v>
      </c>
      <c r="D50" s="12"/>
      <c r="E50" s="12"/>
      <c r="F50" s="18" t="s">
        <v>70</v>
      </c>
      <c r="G50" s="19">
        <v>1.8</v>
      </c>
      <c r="H50" s="20"/>
      <c r="I50" s="20">
        <v>68180.399999999994</v>
      </c>
      <c r="J50" s="21">
        <v>6.17</v>
      </c>
      <c r="M50" s="22">
        <f>ROUND(ROUND(J50, 2)*I50, 2)</f>
        <v>420673.07</v>
      </c>
      <c r="P50" s="23">
        <v>6.17</v>
      </c>
      <c r="S50" s="22">
        <f>ROUND(ROUND(P50, 2)*I50, 2)</f>
        <v>420673.07</v>
      </c>
      <c r="V50" s="9">
        <f>ROUND(ROUND(P50, 2)/1.2, 2)</f>
        <v>5.14</v>
      </c>
      <c r="Y50" s="9">
        <f t="shared" si="10"/>
        <v>350560.89</v>
      </c>
      <c r="AD50" s="4" t="s">
        <v>231</v>
      </c>
      <c r="AE50" s="4" t="s">
        <v>232</v>
      </c>
      <c r="AF50" s="4" t="s">
        <v>215</v>
      </c>
    </row>
    <row r="51" spans="1:35" ht="18" x14ac:dyDescent="0.3">
      <c r="A51" s="10" t="s">
        <v>233</v>
      </c>
      <c r="B51" s="10"/>
      <c r="C51" s="24" t="s">
        <v>115</v>
      </c>
      <c r="D51" s="12"/>
      <c r="E51" s="12"/>
      <c r="F51" s="18" t="s">
        <v>116</v>
      </c>
      <c r="G51" s="19">
        <v>8</v>
      </c>
      <c r="H51" s="20"/>
      <c r="I51" s="20">
        <v>5050.3999999999996</v>
      </c>
      <c r="J51" s="21">
        <v>2.5</v>
      </c>
      <c r="M51" s="22">
        <f>ROUND(ROUND(J51, 2)*I51, 2)</f>
        <v>12626</v>
      </c>
      <c r="P51" s="23">
        <v>2.5</v>
      </c>
      <c r="S51" s="22">
        <f>ROUND(ROUND(P51, 2)*I51, 2)</f>
        <v>12626</v>
      </c>
      <c r="V51" s="9">
        <f>ROUND(ROUND(P51, 2)/1.2, 2)</f>
        <v>2.08</v>
      </c>
      <c r="Y51" s="9">
        <f t="shared" si="10"/>
        <v>10521.67</v>
      </c>
      <c r="AD51" s="4" t="s">
        <v>234</v>
      </c>
      <c r="AE51" s="4" t="s">
        <v>235</v>
      </c>
      <c r="AF51" s="4" t="s">
        <v>119</v>
      </c>
    </row>
    <row r="52" spans="1:35" ht="36" x14ac:dyDescent="0.3">
      <c r="A52" s="10" t="s">
        <v>236</v>
      </c>
      <c r="B52" s="10" t="s">
        <v>107</v>
      </c>
      <c r="C52" s="11" t="s">
        <v>200</v>
      </c>
      <c r="D52" s="12"/>
      <c r="E52" s="12" t="s">
        <v>237</v>
      </c>
      <c r="F52" s="12" t="s">
        <v>64</v>
      </c>
      <c r="G52" s="13">
        <v>1</v>
      </c>
      <c r="H52" s="13"/>
      <c r="I52" s="13">
        <v>34.5</v>
      </c>
      <c r="J52" s="14">
        <f>IFERROR(ROUND(SUM(M53,M54,M55,M56,M57)/I52, 2),0)</f>
        <v>768.25</v>
      </c>
      <c r="K52" s="15">
        <v>941</v>
      </c>
      <c r="L52" s="14">
        <f>J52+ROUND(K52, 2)</f>
        <v>1709.25</v>
      </c>
      <c r="M52" s="14">
        <f>ROUND(J52*I52, 2)</f>
        <v>26504.63</v>
      </c>
      <c r="N52" s="14">
        <f>ROUND(I52*ROUND(K52, 2), 2)</f>
        <v>32464.5</v>
      </c>
      <c r="O52" s="14">
        <f>M52+N52</f>
        <v>58969.13</v>
      </c>
      <c r="P52" s="14">
        <f>IFERROR(ROUND(SUM(S53,S54,S55,S56,S57)/I52, 2),0)</f>
        <v>768.25</v>
      </c>
      <c r="Q52" s="16">
        <v>941</v>
      </c>
      <c r="R52" s="14">
        <f>P52+ROUND(Q52, 2)</f>
        <v>1709.25</v>
      </c>
      <c r="S52" s="14">
        <f>ROUND(P52*I52, 2)</f>
        <v>26504.63</v>
      </c>
      <c r="T52" s="14">
        <f>ROUND(I52*ROUND(Q52, 2), 2)</f>
        <v>32464.5</v>
      </c>
      <c r="U52" s="14">
        <f>S52+T52</f>
        <v>58969.13</v>
      </c>
      <c r="V52" s="9">
        <f>ROUND(P52 / 1.2, 2)</f>
        <v>640.21</v>
      </c>
      <c r="W52" s="9">
        <f>ROUND(Q52 / 1.2, 2)</f>
        <v>784.17</v>
      </c>
      <c r="X52" s="9">
        <f>ROUND(R52 / 1.2, 2)</f>
        <v>1424.38</v>
      </c>
      <c r="Y52" s="9">
        <f t="shared" si="10"/>
        <v>22087.19</v>
      </c>
      <c r="Z52" s="9">
        <f>ROUND(T52 / 1.2, 2)</f>
        <v>27053.75</v>
      </c>
      <c r="AA52" s="9">
        <f>Y52+Z52</f>
        <v>49140.94</v>
      </c>
      <c r="AD52" s="4">
        <v>271132164</v>
      </c>
      <c r="AE52" s="4">
        <v>20229516</v>
      </c>
      <c r="AG52" s="4" t="s">
        <v>110</v>
      </c>
      <c r="AH52" s="4" t="s">
        <v>111</v>
      </c>
      <c r="AI52" s="4" t="s">
        <v>67</v>
      </c>
    </row>
    <row r="53" spans="1:35" ht="36" x14ac:dyDescent="0.3">
      <c r="A53" s="10" t="s">
        <v>238</v>
      </c>
      <c r="B53" s="10"/>
      <c r="C53" s="24" t="s">
        <v>75</v>
      </c>
      <c r="D53" s="12"/>
      <c r="E53" s="12"/>
      <c r="F53" s="18" t="s">
        <v>70</v>
      </c>
      <c r="G53" s="19">
        <v>0.2</v>
      </c>
      <c r="H53" s="19"/>
      <c r="I53" s="19">
        <v>6.9</v>
      </c>
      <c r="J53" s="21">
        <v>88.8</v>
      </c>
      <c r="M53" s="22">
        <f>ROUND(ROUND(J53, 2)*I53, 2)</f>
        <v>612.72</v>
      </c>
      <c r="P53" s="23">
        <v>88.8</v>
      </c>
      <c r="S53" s="22">
        <f>ROUND(ROUND(P53, 2)*I53, 2)</f>
        <v>612.72</v>
      </c>
      <c r="V53" s="9">
        <f>ROUND(ROUND(P53, 2)/1.2, 2)</f>
        <v>74</v>
      </c>
      <c r="Y53" s="9">
        <f t="shared" si="10"/>
        <v>510.6</v>
      </c>
      <c r="AD53" s="4" t="s">
        <v>239</v>
      </c>
      <c r="AE53" s="4" t="s">
        <v>240</v>
      </c>
      <c r="AF53" s="4" t="s">
        <v>78</v>
      </c>
    </row>
    <row r="54" spans="1:35" ht="18" x14ac:dyDescent="0.3">
      <c r="A54" s="10" t="s">
        <v>241</v>
      </c>
      <c r="B54" s="10"/>
      <c r="C54" s="24" t="s">
        <v>86</v>
      </c>
      <c r="D54" s="12"/>
      <c r="E54" s="12"/>
      <c r="F54" s="18" t="s">
        <v>87</v>
      </c>
      <c r="G54" s="19">
        <v>1</v>
      </c>
      <c r="H54" s="20"/>
      <c r="I54" s="20">
        <v>15.519</v>
      </c>
      <c r="J54" s="21">
        <v>10.4</v>
      </c>
      <c r="M54" s="22">
        <f>ROUND(ROUND(J54, 2)*I54, 2)</f>
        <v>161.4</v>
      </c>
      <c r="P54" s="23">
        <v>10.4</v>
      </c>
      <c r="S54" s="22">
        <f>ROUND(ROUND(P54, 2)*I54, 2)</f>
        <v>161.4</v>
      </c>
      <c r="V54" s="9">
        <f>ROUND(ROUND(P54, 2)/1.2, 2)</f>
        <v>8.67</v>
      </c>
      <c r="Y54" s="9">
        <f t="shared" si="10"/>
        <v>134.5</v>
      </c>
      <c r="AD54" s="4" t="s">
        <v>242</v>
      </c>
      <c r="AE54" s="4" t="s">
        <v>243</v>
      </c>
      <c r="AF54" s="4" t="s">
        <v>90</v>
      </c>
    </row>
    <row r="55" spans="1:35" ht="18" x14ac:dyDescent="0.3">
      <c r="A55" s="10" t="s">
        <v>244</v>
      </c>
      <c r="B55" s="10"/>
      <c r="C55" s="24" t="s">
        <v>130</v>
      </c>
      <c r="D55" s="12"/>
      <c r="E55" s="12"/>
      <c r="F55" s="18" t="s">
        <v>64</v>
      </c>
      <c r="G55" s="19">
        <v>1.1000000000000001</v>
      </c>
      <c r="H55" s="20"/>
      <c r="I55" s="20">
        <v>37.950000000000003</v>
      </c>
      <c r="J55" s="21">
        <v>155.01</v>
      </c>
      <c r="M55" s="22">
        <f>ROUND(ROUND(J55, 2)*I55, 2)</f>
        <v>5882.63</v>
      </c>
      <c r="P55" s="23">
        <v>155.01</v>
      </c>
      <c r="S55" s="22">
        <f>ROUND(ROUND(P55, 2)*I55, 2)</f>
        <v>5882.63</v>
      </c>
      <c r="V55" s="9">
        <f>ROUND(ROUND(P55, 2)/1.2, 2)</f>
        <v>129.18</v>
      </c>
      <c r="Y55" s="9">
        <f t="shared" si="10"/>
        <v>4902.1899999999996</v>
      </c>
      <c r="AD55" s="4" t="s">
        <v>245</v>
      </c>
      <c r="AE55" s="4" t="s">
        <v>246</v>
      </c>
      <c r="AF55" s="4" t="s">
        <v>133</v>
      </c>
    </row>
    <row r="56" spans="1:35" ht="18" x14ac:dyDescent="0.3">
      <c r="A56" s="10" t="s">
        <v>247</v>
      </c>
      <c r="B56" s="10"/>
      <c r="C56" s="24" t="s">
        <v>212</v>
      </c>
      <c r="D56" s="12"/>
      <c r="E56" s="12"/>
      <c r="F56" s="18" t="s">
        <v>70</v>
      </c>
      <c r="G56" s="19">
        <v>1.8</v>
      </c>
      <c r="H56" s="20"/>
      <c r="I56" s="20">
        <v>3105</v>
      </c>
      <c r="J56" s="21">
        <v>6.17</v>
      </c>
      <c r="M56" s="22">
        <f>ROUND(ROUND(J56, 2)*I56, 2)</f>
        <v>19157.849999999999</v>
      </c>
      <c r="P56" s="23">
        <v>6.17</v>
      </c>
      <c r="S56" s="22">
        <f>ROUND(ROUND(P56, 2)*I56, 2)</f>
        <v>19157.849999999999</v>
      </c>
      <c r="V56" s="9">
        <f>ROUND(ROUND(P56, 2)/1.2, 2)</f>
        <v>5.14</v>
      </c>
      <c r="Y56" s="9">
        <f t="shared" si="10"/>
        <v>15964.88</v>
      </c>
      <c r="AD56" s="4" t="s">
        <v>248</v>
      </c>
      <c r="AE56" s="4" t="s">
        <v>249</v>
      </c>
      <c r="AF56" s="4" t="s">
        <v>215</v>
      </c>
    </row>
    <row r="57" spans="1:35" ht="18" x14ac:dyDescent="0.3">
      <c r="A57" s="10" t="s">
        <v>250</v>
      </c>
      <c r="B57" s="10"/>
      <c r="C57" s="24" t="s">
        <v>115</v>
      </c>
      <c r="D57" s="12"/>
      <c r="E57" s="12"/>
      <c r="F57" s="18" t="s">
        <v>116</v>
      </c>
      <c r="G57" s="19">
        <v>8</v>
      </c>
      <c r="H57" s="20"/>
      <c r="I57" s="20">
        <v>276</v>
      </c>
      <c r="J57" s="21">
        <v>2.5</v>
      </c>
      <c r="M57" s="22">
        <f>ROUND(ROUND(J57, 2)*I57, 2)</f>
        <v>690</v>
      </c>
      <c r="P57" s="23">
        <v>2.5</v>
      </c>
      <c r="S57" s="22">
        <f>ROUND(ROUND(P57, 2)*I57, 2)</f>
        <v>690</v>
      </c>
      <c r="V57" s="9">
        <f>ROUND(ROUND(P57, 2)/1.2, 2)</f>
        <v>2.08</v>
      </c>
      <c r="Y57" s="9">
        <f t="shared" si="10"/>
        <v>575</v>
      </c>
      <c r="AD57" s="4" t="s">
        <v>251</v>
      </c>
      <c r="AE57" s="4" t="s">
        <v>252</v>
      </c>
      <c r="AF57" s="4" t="s">
        <v>119</v>
      </c>
    </row>
    <row r="58" spans="1:35" ht="36" x14ac:dyDescent="0.3">
      <c r="A58" s="10" t="s">
        <v>253</v>
      </c>
      <c r="B58" s="10" t="s">
        <v>254</v>
      </c>
      <c r="C58" s="11" t="s">
        <v>255</v>
      </c>
      <c r="D58" s="12"/>
      <c r="E58" s="12" t="s">
        <v>256</v>
      </c>
      <c r="F58" s="12" t="s">
        <v>64</v>
      </c>
      <c r="G58" s="13">
        <v>1</v>
      </c>
      <c r="H58" s="13"/>
      <c r="I58" s="13">
        <v>0</v>
      </c>
      <c r="J58" s="14">
        <f>IFERROR(ROUND(SUM(M59,M60,M61,M62,M63,M64,M65)/I58, 2),0)</f>
        <v>0</v>
      </c>
      <c r="K58" s="15">
        <v>922</v>
      </c>
      <c r="L58" s="14">
        <f>J58+ROUND(K58, 2)</f>
        <v>922</v>
      </c>
      <c r="M58" s="14">
        <f>ROUND(J58*I58, 2)</f>
        <v>0</v>
      </c>
      <c r="N58" s="14">
        <f>ROUND(I58*ROUND(K58, 2), 2)</f>
        <v>0</v>
      </c>
      <c r="O58" s="14">
        <f>M58+N58</f>
        <v>0</v>
      </c>
      <c r="P58" s="14">
        <f>IFERROR(ROUND(SUM(S59,S60,S61,S62,S63,S64,S65)/I58, 2),0)</f>
        <v>0</v>
      </c>
      <c r="Q58" s="15">
        <v>922</v>
      </c>
      <c r="R58" s="14">
        <f>P58+ROUND(Q58, 2)</f>
        <v>922</v>
      </c>
      <c r="S58" s="14">
        <f>ROUND(P58*I58, 2)</f>
        <v>0</v>
      </c>
      <c r="T58" s="14">
        <f>ROUND(I58*ROUND(Q58, 2), 2)</f>
        <v>0</v>
      </c>
      <c r="U58" s="14">
        <f>S58+T58</f>
        <v>0</v>
      </c>
      <c r="V58" s="9">
        <f>ROUND(P58 / 1.2, 2)</f>
        <v>0</v>
      </c>
      <c r="W58" s="9">
        <f>ROUND(Q58 / 1.2, 2)</f>
        <v>768.33</v>
      </c>
      <c r="X58" s="9">
        <f>ROUND(R58 / 1.2, 2)</f>
        <v>768.33</v>
      </c>
      <c r="Y58" s="9">
        <f t="shared" si="10"/>
        <v>0</v>
      </c>
      <c r="Z58" s="9">
        <f>ROUND(T58 / 1.2, 2)</f>
        <v>0</v>
      </c>
      <c r="AA58" s="9">
        <f>Y58+Z58</f>
        <v>0</v>
      </c>
      <c r="AD58" s="4">
        <v>271132067</v>
      </c>
      <c r="AE58" s="4">
        <v>17497285</v>
      </c>
      <c r="AG58" s="4" t="s">
        <v>257</v>
      </c>
      <c r="AH58" s="4" t="s">
        <v>258</v>
      </c>
      <c r="AI58" s="4" t="s">
        <v>67</v>
      </c>
    </row>
    <row r="59" spans="1:35" ht="18" x14ac:dyDescent="0.3">
      <c r="A59" s="10" t="s">
        <v>261</v>
      </c>
      <c r="B59" s="10"/>
      <c r="C59" s="24" t="s">
        <v>115</v>
      </c>
      <c r="D59" s="12"/>
      <c r="E59" s="12"/>
      <c r="F59" s="18" t="s">
        <v>116</v>
      </c>
      <c r="G59" s="19">
        <v>8</v>
      </c>
      <c r="H59" s="20"/>
      <c r="I59" s="20">
        <v>0</v>
      </c>
      <c r="J59" s="21">
        <v>2.5</v>
      </c>
      <c r="M59" s="22">
        <f t="shared" ref="M59:M65" si="11">ROUND(ROUND(J59, 2)*I59, 2)</f>
        <v>0</v>
      </c>
      <c r="P59" s="21">
        <v>2.5</v>
      </c>
      <c r="S59" s="22">
        <f t="shared" ref="S59:S65" si="12">ROUND(ROUND(P59, 2)*I59, 2)</f>
        <v>0</v>
      </c>
      <c r="V59" s="9">
        <f t="shared" ref="V59:V65" si="13">ROUND(ROUND(P59, 2)/1.2, 2)</f>
        <v>2.08</v>
      </c>
      <c r="Y59" s="9">
        <f t="shared" si="10"/>
        <v>0</v>
      </c>
      <c r="AD59" s="4" t="s">
        <v>262</v>
      </c>
      <c r="AE59" s="4" t="s">
        <v>263</v>
      </c>
      <c r="AF59" s="4" t="s">
        <v>119</v>
      </c>
    </row>
    <row r="60" spans="1:35" ht="18" x14ac:dyDescent="0.3">
      <c r="A60" s="10" t="s">
        <v>266</v>
      </c>
      <c r="B60" s="10"/>
      <c r="C60" s="24" t="s">
        <v>123</v>
      </c>
      <c r="D60" s="12"/>
      <c r="E60" s="12"/>
      <c r="F60" s="18" t="s">
        <v>70</v>
      </c>
      <c r="G60" s="19">
        <v>1E-3</v>
      </c>
      <c r="H60" s="20"/>
      <c r="I60" s="20">
        <v>0</v>
      </c>
      <c r="J60" s="21">
        <v>208.33</v>
      </c>
      <c r="M60" s="22">
        <f t="shared" si="11"/>
        <v>0</v>
      </c>
      <c r="P60" s="21">
        <v>208.33</v>
      </c>
      <c r="S60" s="22">
        <f t="shared" si="12"/>
        <v>0</v>
      </c>
      <c r="V60" s="9">
        <f t="shared" si="13"/>
        <v>173.61</v>
      </c>
      <c r="Y60" s="9">
        <f t="shared" si="10"/>
        <v>0</v>
      </c>
      <c r="AD60" s="4" t="s">
        <v>267</v>
      </c>
      <c r="AE60" s="4" t="s">
        <v>268</v>
      </c>
      <c r="AF60" s="4" t="s">
        <v>126</v>
      </c>
    </row>
    <row r="61" spans="1:35" ht="18" x14ac:dyDescent="0.3">
      <c r="A61" s="10" t="s">
        <v>271</v>
      </c>
      <c r="B61" s="10"/>
      <c r="C61" s="24" t="s">
        <v>130</v>
      </c>
      <c r="D61" s="12"/>
      <c r="E61" s="12"/>
      <c r="F61" s="18" t="s">
        <v>64</v>
      </c>
      <c r="G61" s="19">
        <v>1.1000000000000001</v>
      </c>
      <c r="H61" s="20"/>
      <c r="I61" s="20">
        <v>0</v>
      </c>
      <c r="J61" s="21">
        <v>155.01</v>
      </c>
      <c r="M61" s="22">
        <f t="shared" si="11"/>
        <v>0</v>
      </c>
      <c r="P61" s="21">
        <v>155.01</v>
      </c>
      <c r="S61" s="22">
        <f t="shared" si="12"/>
        <v>0</v>
      </c>
      <c r="V61" s="9">
        <f t="shared" si="13"/>
        <v>129.18</v>
      </c>
      <c r="Y61" s="9">
        <f t="shared" si="10"/>
        <v>0</v>
      </c>
      <c r="AD61" s="4" t="s">
        <v>272</v>
      </c>
      <c r="AE61" s="4" t="s">
        <v>273</v>
      </c>
      <c r="AF61" s="4" t="s">
        <v>133</v>
      </c>
    </row>
    <row r="62" spans="1:35" ht="18" x14ac:dyDescent="0.3">
      <c r="A62" s="10" t="s">
        <v>276</v>
      </c>
      <c r="B62" s="10"/>
      <c r="C62" s="24" t="s">
        <v>137</v>
      </c>
      <c r="D62" s="12"/>
      <c r="E62" s="12"/>
      <c r="F62" s="18" t="s">
        <v>70</v>
      </c>
      <c r="G62" s="19">
        <v>0.32</v>
      </c>
      <c r="H62" s="20"/>
      <c r="I62" s="20">
        <v>0</v>
      </c>
      <c r="J62" s="21">
        <v>7.5</v>
      </c>
      <c r="M62" s="22">
        <f t="shared" si="11"/>
        <v>0</v>
      </c>
      <c r="P62" s="21">
        <v>7.5</v>
      </c>
      <c r="S62" s="22">
        <f t="shared" si="12"/>
        <v>0</v>
      </c>
      <c r="V62" s="9">
        <f t="shared" si="13"/>
        <v>6.25</v>
      </c>
      <c r="Y62" s="9">
        <f t="shared" si="10"/>
        <v>0</v>
      </c>
      <c r="AD62" s="4" t="s">
        <v>277</v>
      </c>
      <c r="AE62" s="4" t="s">
        <v>278</v>
      </c>
      <c r="AF62" s="4" t="s">
        <v>140</v>
      </c>
    </row>
    <row r="63" spans="1:35" ht="18" x14ac:dyDescent="0.3">
      <c r="A63" s="10" t="s">
        <v>281</v>
      </c>
      <c r="B63" s="10"/>
      <c r="C63" s="24" t="s">
        <v>144</v>
      </c>
      <c r="D63" s="12"/>
      <c r="E63" s="12"/>
      <c r="F63" s="18" t="s">
        <v>98</v>
      </c>
      <c r="G63" s="19">
        <v>1E-3</v>
      </c>
      <c r="H63" s="20"/>
      <c r="I63" s="20">
        <v>0</v>
      </c>
      <c r="J63" s="21">
        <v>1600</v>
      </c>
      <c r="M63" s="22">
        <f t="shared" si="11"/>
        <v>0</v>
      </c>
      <c r="P63" s="21">
        <v>1600</v>
      </c>
      <c r="S63" s="22">
        <f t="shared" si="12"/>
        <v>0</v>
      </c>
      <c r="V63" s="9">
        <f t="shared" si="13"/>
        <v>1333.33</v>
      </c>
      <c r="Y63" s="9">
        <f t="shared" si="10"/>
        <v>0</v>
      </c>
      <c r="AD63" s="4" t="s">
        <v>282</v>
      </c>
      <c r="AE63" s="4" t="s">
        <v>283</v>
      </c>
      <c r="AF63" s="4" t="s">
        <v>147</v>
      </c>
    </row>
    <row r="64" spans="1:35" ht="18" x14ac:dyDescent="0.3">
      <c r="A64" s="10" t="s">
        <v>286</v>
      </c>
      <c r="B64" s="10"/>
      <c r="C64" s="24" t="s">
        <v>86</v>
      </c>
      <c r="D64" s="12"/>
      <c r="E64" s="12"/>
      <c r="F64" s="18" t="s">
        <v>87</v>
      </c>
      <c r="G64" s="19">
        <v>1</v>
      </c>
      <c r="H64" s="20"/>
      <c r="I64" s="20">
        <v>0</v>
      </c>
      <c r="J64" s="21">
        <v>10.4</v>
      </c>
      <c r="M64" s="22">
        <f t="shared" si="11"/>
        <v>0</v>
      </c>
      <c r="P64" s="21">
        <v>10.4</v>
      </c>
      <c r="S64" s="22">
        <f t="shared" si="12"/>
        <v>0</v>
      </c>
      <c r="V64" s="9">
        <f t="shared" si="13"/>
        <v>8.67</v>
      </c>
      <c r="Y64" s="9">
        <f t="shared" si="10"/>
        <v>0</v>
      </c>
      <c r="AD64" s="4" t="s">
        <v>287</v>
      </c>
      <c r="AE64" s="4" t="s">
        <v>288</v>
      </c>
      <c r="AF64" s="4" t="s">
        <v>90</v>
      </c>
    </row>
    <row r="65" spans="1:35" ht="36" x14ac:dyDescent="0.3">
      <c r="A65" s="10" t="s">
        <v>291</v>
      </c>
      <c r="B65" s="10"/>
      <c r="C65" s="24" t="s">
        <v>75</v>
      </c>
      <c r="D65" s="12"/>
      <c r="E65" s="12"/>
      <c r="F65" s="18" t="s">
        <v>70</v>
      </c>
      <c r="G65" s="19">
        <v>0.2</v>
      </c>
      <c r="H65" s="19"/>
      <c r="I65" s="19">
        <v>0</v>
      </c>
      <c r="J65" s="21">
        <v>88.8</v>
      </c>
      <c r="M65" s="22">
        <f t="shared" si="11"/>
        <v>0</v>
      </c>
      <c r="P65" s="21">
        <v>88.8</v>
      </c>
      <c r="S65" s="22">
        <f t="shared" si="12"/>
        <v>0</v>
      </c>
      <c r="V65" s="9">
        <f t="shared" si="13"/>
        <v>74</v>
      </c>
      <c r="Y65" s="9">
        <f t="shared" si="10"/>
        <v>0</v>
      </c>
      <c r="AD65" s="4" t="s">
        <v>292</v>
      </c>
      <c r="AE65" s="4" t="s">
        <v>293</v>
      </c>
      <c r="AF65" s="4" t="s">
        <v>78</v>
      </c>
    </row>
    <row r="66" spans="1:35" ht="36" x14ac:dyDescent="0.3">
      <c r="A66" s="10" t="s">
        <v>296</v>
      </c>
      <c r="B66" s="10" t="s">
        <v>254</v>
      </c>
      <c r="C66" s="11" t="s">
        <v>297</v>
      </c>
      <c r="D66" s="12"/>
      <c r="E66" s="12" t="s">
        <v>298</v>
      </c>
      <c r="F66" s="12" t="s">
        <v>64</v>
      </c>
      <c r="G66" s="13">
        <v>1</v>
      </c>
      <c r="H66" s="13"/>
      <c r="I66" s="13">
        <v>3586.9</v>
      </c>
      <c r="J66" s="14">
        <f>IFERROR(ROUND(SUM(M67,M68,M69,M70,M71)/I66, 2),0)</f>
        <v>935.6</v>
      </c>
      <c r="K66" s="15">
        <v>1014</v>
      </c>
      <c r="L66" s="14">
        <f>J66+ROUND(K66, 2)</f>
        <v>1949.6</v>
      </c>
      <c r="M66" s="14">
        <f>ROUND(J66*I66, 2)</f>
        <v>3355903.64</v>
      </c>
      <c r="N66" s="14">
        <f>ROUND(I66*ROUND(K66, 2), 2)</f>
        <v>3637116.6</v>
      </c>
      <c r="O66" s="14">
        <f>M66+N66</f>
        <v>6993020.2400000002</v>
      </c>
      <c r="P66" s="14">
        <f>IFERROR(ROUND(SUM(S67,S68,S69,S70,S71)/I66, 2),0)</f>
        <v>935.6</v>
      </c>
      <c r="Q66" s="16">
        <v>1014</v>
      </c>
      <c r="R66" s="14">
        <f>P66+ROUND(Q66, 2)</f>
        <v>1949.6</v>
      </c>
      <c r="S66" s="14">
        <f>ROUND(P66*I66, 2)</f>
        <v>3355903.64</v>
      </c>
      <c r="T66" s="14">
        <f>ROUND(I66*ROUND(Q66, 2), 2)</f>
        <v>3637116.6</v>
      </c>
      <c r="U66" s="14">
        <f>S66+T66</f>
        <v>6993020.2400000002</v>
      </c>
      <c r="V66" s="9">
        <f>ROUND(P66 / 1.2, 2)</f>
        <v>779.67</v>
      </c>
      <c r="W66" s="9">
        <f>ROUND(Q66 / 1.2, 2)</f>
        <v>845</v>
      </c>
      <c r="X66" s="9">
        <f>ROUND(R66 / 1.2, 2)</f>
        <v>1624.67</v>
      </c>
      <c r="Y66" s="9">
        <f t="shared" si="10"/>
        <v>2796586.37</v>
      </c>
      <c r="Z66" s="9">
        <f>ROUND(T66 / 1.2, 2)</f>
        <v>3030930.5</v>
      </c>
      <c r="AA66" s="9">
        <f>Y66+Z66</f>
        <v>5827516.8700000001</v>
      </c>
      <c r="AD66" s="4">
        <v>271132165</v>
      </c>
      <c r="AE66" s="4">
        <v>19811234</v>
      </c>
      <c r="AG66" s="4" t="s">
        <v>257</v>
      </c>
      <c r="AH66" s="4" t="s">
        <v>258</v>
      </c>
      <c r="AI66" s="4" t="s">
        <v>67</v>
      </c>
    </row>
    <row r="67" spans="1:35" ht="36" x14ac:dyDescent="0.3">
      <c r="A67" s="10" t="s">
        <v>299</v>
      </c>
      <c r="B67" s="10"/>
      <c r="C67" s="24" t="s">
        <v>75</v>
      </c>
      <c r="D67" s="12"/>
      <c r="E67" s="12"/>
      <c r="F67" s="18" t="s">
        <v>70</v>
      </c>
      <c r="G67" s="19">
        <v>0.2</v>
      </c>
      <c r="H67" s="19"/>
      <c r="I67" s="19">
        <v>717.38</v>
      </c>
      <c r="J67" s="21">
        <v>88.8</v>
      </c>
      <c r="M67" s="22">
        <f>ROUND(ROUND(J67, 2)*I67, 2)</f>
        <v>63703.34</v>
      </c>
      <c r="P67" s="23">
        <v>88.8</v>
      </c>
      <c r="S67" s="22">
        <f>ROUND(ROUND(P67, 2)*I67, 2)</f>
        <v>63703.34</v>
      </c>
      <c r="V67" s="9">
        <f>ROUND(ROUND(P67, 2)/1.2, 2)</f>
        <v>74</v>
      </c>
      <c r="Y67" s="9">
        <f t="shared" si="10"/>
        <v>53086.12</v>
      </c>
      <c r="AD67" s="4" t="s">
        <v>300</v>
      </c>
      <c r="AE67" s="4" t="s">
        <v>301</v>
      </c>
      <c r="AF67" s="4" t="s">
        <v>78</v>
      </c>
    </row>
    <row r="68" spans="1:35" ht="18" x14ac:dyDescent="0.3">
      <c r="A68" s="10" t="s">
        <v>302</v>
      </c>
      <c r="B68" s="10"/>
      <c r="C68" s="24" t="s">
        <v>86</v>
      </c>
      <c r="D68" s="12"/>
      <c r="E68" s="12"/>
      <c r="F68" s="18" t="s">
        <v>87</v>
      </c>
      <c r="G68" s="19">
        <v>1</v>
      </c>
      <c r="H68" s="20"/>
      <c r="I68" s="20">
        <v>1876</v>
      </c>
      <c r="J68" s="21">
        <v>10.4</v>
      </c>
      <c r="M68" s="22">
        <f>ROUND(ROUND(J68, 2)*I68, 2)</f>
        <v>19510.400000000001</v>
      </c>
      <c r="P68" s="23">
        <v>10.4</v>
      </c>
      <c r="S68" s="22">
        <f>ROUND(ROUND(P68, 2)*I68, 2)</f>
        <v>19510.400000000001</v>
      </c>
      <c r="V68" s="9">
        <f>ROUND(ROUND(P68, 2)/1.2, 2)</f>
        <v>8.67</v>
      </c>
      <c r="Y68" s="9">
        <f t="shared" si="10"/>
        <v>16258.67</v>
      </c>
      <c r="AD68" s="4" t="s">
        <v>303</v>
      </c>
      <c r="AE68" s="4" t="s">
        <v>304</v>
      </c>
      <c r="AF68" s="4" t="s">
        <v>90</v>
      </c>
    </row>
    <row r="69" spans="1:35" ht="18" x14ac:dyDescent="0.3">
      <c r="A69" s="10" t="s">
        <v>305</v>
      </c>
      <c r="B69" s="10"/>
      <c r="C69" s="24" t="s">
        <v>130</v>
      </c>
      <c r="D69" s="12"/>
      <c r="E69" s="12"/>
      <c r="F69" s="18" t="s">
        <v>64</v>
      </c>
      <c r="G69" s="19">
        <v>1.1000000000000001</v>
      </c>
      <c r="H69" s="20"/>
      <c r="I69" s="20">
        <v>3945.59</v>
      </c>
      <c r="J69" s="21">
        <v>155.01</v>
      </c>
      <c r="M69" s="22">
        <f>ROUND(ROUND(J69, 2)*I69, 2)</f>
        <v>611605.91</v>
      </c>
      <c r="P69" s="23">
        <v>155.01</v>
      </c>
      <c r="S69" s="22">
        <f>ROUND(ROUND(P69, 2)*I69, 2)</f>
        <v>611605.91</v>
      </c>
      <c r="V69" s="9">
        <f>ROUND(ROUND(P69, 2)/1.2, 2)</f>
        <v>129.18</v>
      </c>
      <c r="Y69" s="9">
        <f t="shared" si="10"/>
        <v>509671.59</v>
      </c>
      <c r="AD69" s="4" t="s">
        <v>306</v>
      </c>
      <c r="AE69" s="4" t="s">
        <v>307</v>
      </c>
      <c r="AF69" s="4" t="s">
        <v>133</v>
      </c>
    </row>
    <row r="70" spans="1:35" ht="18" x14ac:dyDescent="0.3">
      <c r="A70" s="10" t="s">
        <v>308</v>
      </c>
      <c r="B70" s="10"/>
      <c r="C70" s="24" t="s">
        <v>212</v>
      </c>
      <c r="D70" s="12"/>
      <c r="E70" s="12"/>
      <c r="F70" s="18" t="s">
        <v>70</v>
      </c>
      <c r="G70" s="19">
        <v>1.8</v>
      </c>
      <c r="H70" s="20"/>
      <c r="I70" s="20">
        <v>419667.3</v>
      </c>
      <c r="J70" s="21">
        <v>6.17</v>
      </c>
      <c r="M70" s="22">
        <f>ROUND(ROUND(J70, 2)*I70, 2)</f>
        <v>2589347.2400000002</v>
      </c>
      <c r="P70" s="23">
        <v>6.17</v>
      </c>
      <c r="S70" s="22">
        <f>ROUND(ROUND(P70, 2)*I70, 2)</f>
        <v>2589347.2400000002</v>
      </c>
      <c r="V70" s="9">
        <f>ROUND(ROUND(P70, 2)/1.2, 2)</f>
        <v>5.14</v>
      </c>
      <c r="Y70" s="9">
        <f t="shared" si="10"/>
        <v>2157789.37</v>
      </c>
      <c r="AD70" s="4" t="s">
        <v>309</v>
      </c>
      <c r="AE70" s="4" t="s">
        <v>310</v>
      </c>
      <c r="AF70" s="4" t="s">
        <v>215</v>
      </c>
    </row>
    <row r="71" spans="1:35" ht="18" x14ac:dyDescent="0.3">
      <c r="A71" s="10" t="s">
        <v>311</v>
      </c>
      <c r="B71" s="10"/>
      <c r="C71" s="24" t="s">
        <v>115</v>
      </c>
      <c r="D71" s="12"/>
      <c r="E71" s="12"/>
      <c r="F71" s="18" t="s">
        <v>116</v>
      </c>
      <c r="G71" s="19">
        <v>8</v>
      </c>
      <c r="H71" s="20"/>
      <c r="I71" s="20">
        <v>28695.200000000001</v>
      </c>
      <c r="J71" s="21">
        <v>2.5</v>
      </c>
      <c r="M71" s="22">
        <f>ROUND(ROUND(J71, 2)*I71, 2)</f>
        <v>71738</v>
      </c>
      <c r="P71" s="23">
        <v>2.5</v>
      </c>
      <c r="S71" s="22">
        <f>ROUND(ROUND(P71, 2)*I71, 2)</f>
        <v>71738</v>
      </c>
      <c r="V71" s="9">
        <f>ROUND(ROUND(P71, 2)/1.2, 2)</f>
        <v>2.08</v>
      </c>
      <c r="Y71" s="9">
        <f t="shared" si="10"/>
        <v>59781.67</v>
      </c>
      <c r="AD71" s="4" t="s">
        <v>312</v>
      </c>
      <c r="AE71" s="4" t="s">
        <v>313</v>
      </c>
      <c r="AF71" s="4" t="s">
        <v>119</v>
      </c>
    </row>
    <row r="72" spans="1:35" ht="36" x14ac:dyDescent="0.3">
      <c r="A72" s="10" t="s">
        <v>314</v>
      </c>
      <c r="B72" s="10" t="s">
        <v>254</v>
      </c>
      <c r="C72" s="11" t="s">
        <v>297</v>
      </c>
      <c r="D72" s="12"/>
      <c r="E72" s="12" t="s">
        <v>315</v>
      </c>
      <c r="F72" s="12" t="s">
        <v>64</v>
      </c>
      <c r="G72" s="13">
        <v>1</v>
      </c>
      <c r="H72" s="13"/>
      <c r="I72" s="13">
        <v>4266.7</v>
      </c>
      <c r="J72" s="14">
        <f>IFERROR(ROUND(SUM(M73,M74,M75,M76,M77)/I72, 2),0)</f>
        <v>934.72</v>
      </c>
      <c r="K72" s="15">
        <v>1014</v>
      </c>
      <c r="L72" s="14">
        <f>J72+ROUND(K72, 2)</f>
        <v>1948.72</v>
      </c>
      <c r="M72" s="14">
        <f>ROUND(J72*I72, 2)</f>
        <v>3988169.82</v>
      </c>
      <c r="N72" s="14">
        <f>ROUND(I72*ROUND(K72, 2), 2)</f>
        <v>4326433.8</v>
      </c>
      <c r="O72" s="14">
        <f>M72+N72</f>
        <v>8314603.6200000001</v>
      </c>
      <c r="P72" s="14">
        <f>IFERROR(ROUND(SUM(S73,S74,S75,S76,S77)/I72, 2),0)</f>
        <v>934.72</v>
      </c>
      <c r="Q72" s="16">
        <v>1014</v>
      </c>
      <c r="R72" s="14">
        <f>P72+ROUND(Q72, 2)</f>
        <v>1948.72</v>
      </c>
      <c r="S72" s="14">
        <f>ROUND(P72*I72, 2)</f>
        <v>3988169.82</v>
      </c>
      <c r="T72" s="14">
        <f>ROUND(I72*ROUND(Q72, 2), 2)</f>
        <v>4326433.8</v>
      </c>
      <c r="U72" s="14">
        <f>S72+T72</f>
        <v>8314603.6200000001</v>
      </c>
      <c r="V72" s="9">
        <f>ROUND(P72 / 1.2, 2)</f>
        <v>778.93</v>
      </c>
      <c r="W72" s="9">
        <f>ROUND(Q72 / 1.2, 2)</f>
        <v>845</v>
      </c>
      <c r="X72" s="9">
        <f>ROUND(R72 / 1.2, 2)</f>
        <v>1623.93</v>
      </c>
      <c r="Y72" s="9">
        <f t="shared" si="10"/>
        <v>3323474.85</v>
      </c>
      <c r="Z72" s="9">
        <f>ROUND(T72 / 1.2, 2)</f>
        <v>3605361.5</v>
      </c>
      <c r="AA72" s="9">
        <f>Y72+Z72</f>
        <v>6928836.3499999996</v>
      </c>
      <c r="AD72" s="4">
        <v>271132166</v>
      </c>
      <c r="AE72" s="4">
        <v>20229448</v>
      </c>
      <c r="AG72" s="4" t="s">
        <v>257</v>
      </c>
      <c r="AH72" s="4" t="s">
        <v>258</v>
      </c>
      <c r="AI72" s="4" t="s">
        <v>67</v>
      </c>
    </row>
    <row r="73" spans="1:35" ht="36" x14ac:dyDescent="0.3">
      <c r="A73" s="10" t="s">
        <v>316</v>
      </c>
      <c r="B73" s="10"/>
      <c r="C73" s="24" t="s">
        <v>75</v>
      </c>
      <c r="D73" s="12"/>
      <c r="E73" s="12"/>
      <c r="F73" s="18" t="s">
        <v>70</v>
      </c>
      <c r="G73" s="19">
        <v>0.2</v>
      </c>
      <c r="H73" s="19"/>
      <c r="I73" s="19">
        <v>853.34</v>
      </c>
      <c r="J73" s="21">
        <v>88.8</v>
      </c>
      <c r="M73" s="22">
        <f>ROUND(ROUND(J73, 2)*I73, 2)</f>
        <v>75776.59</v>
      </c>
      <c r="P73" s="23">
        <v>88.8</v>
      </c>
      <c r="S73" s="22">
        <f>ROUND(ROUND(P73, 2)*I73, 2)</f>
        <v>75776.59</v>
      </c>
      <c r="V73" s="9">
        <f>ROUND(ROUND(P73, 2)/1.2, 2)</f>
        <v>74</v>
      </c>
      <c r="Y73" s="9">
        <f t="shared" si="10"/>
        <v>63147.16</v>
      </c>
      <c r="AD73" s="4" t="s">
        <v>317</v>
      </c>
      <c r="AE73" s="4" t="s">
        <v>318</v>
      </c>
      <c r="AF73" s="4" t="s">
        <v>78</v>
      </c>
    </row>
    <row r="74" spans="1:35" ht="18" x14ac:dyDescent="0.3">
      <c r="A74" s="10" t="s">
        <v>319</v>
      </c>
      <c r="B74" s="10"/>
      <c r="C74" s="24" t="s">
        <v>86</v>
      </c>
      <c r="D74" s="12"/>
      <c r="E74" s="12"/>
      <c r="F74" s="18" t="s">
        <v>87</v>
      </c>
      <c r="G74" s="19">
        <v>1</v>
      </c>
      <c r="H74" s="20"/>
      <c r="I74" s="20">
        <v>1872</v>
      </c>
      <c r="J74" s="21">
        <v>10.4</v>
      </c>
      <c r="M74" s="22">
        <f>ROUND(ROUND(J74, 2)*I74, 2)</f>
        <v>19468.8</v>
      </c>
      <c r="P74" s="23">
        <v>10.4</v>
      </c>
      <c r="S74" s="22">
        <f>ROUND(ROUND(P74, 2)*I74, 2)</f>
        <v>19468.8</v>
      </c>
      <c r="V74" s="9">
        <f>ROUND(ROUND(P74, 2)/1.2, 2)</f>
        <v>8.67</v>
      </c>
      <c r="Y74" s="9">
        <f t="shared" si="10"/>
        <v>16224</v>
      </c>
      <c r="AD74" s="4" t="s">
        <v>320</v>
      </c>
      <c r="AE74" s="4" t="s">
        <v>321</v>
      </c>
      <c r="AF74" s="4" t="s">
        <v>90</v>
      </c>
    </row>
    <row r="75" spans="1:35" ht="18" x14ac:dyDescent="0.3">
      <c r="A75" s="10" t="s">
        <v>322</v>
      </c>
      <c r="B75" s="10"/>
      <c r="C75" s="24" t="s">
        <v>130</v>
      </c>
      <c r="D75" s="12"/>
      <c r="E75" s="12"/>
      <c r="F75" s="18" t="s">
        <v>64</v>
      </c>
      <c r="G75" s="19">
        <v>1.1000000000000001</v>
      </c>
      <c r="H75" s="20"/>
      <c r="I75" s="20">
        <v>4693.37</v>
      </c>
      <c r="J75" s="21">
        <v>155.01</v>
      </c>
      <c r="M75" s="22">
        <f>ROUND(ROUND(J75, 2)*I75, 2)</f>
        <v>727519.28</v>
      </c>
      <c r="P75" s="23">
        <v>155.01</v>
      </c>
      <c r="S75" s="22">
        <f>ROUND(ROUND(P75, 2)*I75, 2)</f>
        <v>727519.28</v>
      </c>
      <c r="V75" s="9">
        <f>ROUND(ROUND(P75, 2)/1.2, 2)</f>
        <v>129.18</v>
      </c>
      <c r="Y75" s="9">
        <f t="shared" si="10"/>
        <v>606266.06999999995</v>
      </c>
      <c r="AD75" s="4" t="s">
        <v>323</v>
      </c>
      <c r="AE75" s="4" t="s">
        <v>324</v>
      </c>
      <c r="AF75" s="4" t="s">
        <v>133</v>
      </c>
    </row>
    <row r="76" spans="1:35" ht="18" x14ac:dyDescent="0.3">
      <c r="A76" s="10" t="s">
        <v>325</v>
      </c>
      <c r="B76" s="10"/>
      <c r="C76" s="24" t="s">
        <v>212</v>
      </c>
      <c r="D76" s="12"/>
      <c r="E76" s="12"/>
      <c r="F76" s="18" t="s">
        <v>70</v>
      </c>
      <c r="G76" s="19">
        <v>1.8</v>
      </c>
      <c r="H76" s="20"/>
      <c r="I76" s="20">
        <v>499203.9</v>
      </c>
      <c r="J76" s="21">
        <v>6.17</v>
      </c>
      <c r="M76" s="22">
        <f>ROUND(ROUND(J76, 2)*I76, 2)</f>
        <v>3080088.06</v>
      </c>
      <c r="P76" s="23">
        <v>6.17</v>
      </c>
      <c r="S76" s="22">
        <f>ROUND(ROUND(P76, 2)*I76, 2)</f>
        <v>3080088.06</v>
      </c>
      <c r="V76" s="9">
        <f>ROUND(ROUND(P76, 2)/1.2, 2)</f>
        <v>5.14</v>
      </c>
      <c r="Y76" s="9">
        <f t="shared" si="10"/>
        <v>2566740.0499999998</v>
      </c>
      <c r="AD76" s="4" t="s">
        <v>326</v>
      </c>
      <c r="AE76" s="4" t="s">
        <v>327</v>
      </c>
      <c r="AF76" s="4" t="s">
        <v>215</v>
      </c>
    </row>
    <row r="77" spans="1:35" ht="18" x14ac:dyDescent="0.3">
      <c r="A77" s="10" t="s">
        <v>328</v>
      </c>
      <c r="B77" s="10"/>
      <c r="C77" s="24" t="s">
        <v>115</v>
      </c>
      <c r="D77" s="12"/>
      <c r="E77" s="12"/>
      <c r="F77" s="18" t="s">
        <v>116</v>
      </c>
      <c r="G77" s="19">
        <v>8</v>
      </c>
      <c r="H77" s="20"/>
      <c r="I77" s="20">
        <v>34133.599999999999</v>
      </c>
      <c r="J77" s="21">
        <v>2.5</v>
      </c>
      <c r="M77" s="22">
        <f>ROUND(ROUND(J77, 2)*I77, 2)</f>
        <v>85334</v>
      </c>
      <c r="P77" s="23">
        <v>2.5</v>
      </c>
      <c r="S77" s="22">
        <f>ROUND(ROUND(P77, 2)*I77, 2)</f>
        <v>85334</v>
      </c>
      <c r="V77" s="9">
        <f>ROUND(ROUND(P77, 2)/1.2, 2)</f>
        <v>2.08</v>
      </c>
      <c r="Y77" s="9">
        <f t="shared" si="10"/>
        <v>71111.67</v>
      </c>
      <c r="AD77" s="4" t="s">
        <v>329</v>
      </c>
      <c r="AE77" s="4" t="s">
        <v>330</v>
      </c>
      <c r="AF77" s="4" t="s">
        <v>119</v>
      </c>
    </row>
    <row r="78" spans="1:35" ht="17.100000000000001" customHeight="1" x14ac:dyDescent="0.3">
      <c r="A78" s="10" t="s">
        <v>331</v>
      </c>
      <c r="B78" s="10" t="s">
        <v>332</v>
      </c>
      <c r="C78" s="185" t="s">
        <v>333</v>
      </c>
      <c r="D78" s="186"/>
      <c r="E78" s="186"/>
      <c r="F78" s="186"/>
      <c r="G78" s="186"/>
      <c r="H78" s="186"/>
      <c r="I78" s="187"/>
      <c r="M78" s="6">
        <f>SUM(M79,M82,M85,M87,M89,M91)</f>
        <v>367766.24</v>
      </c>
      <c r="N78" s="6">
        <f>SUM(N79,N82,N85,N87,N89,N91)</f>
        <v>226361.93</v>
      </c>
      <c r="O78" s="6">
        <f>SUM(O79,O82,O85,O87,O89,O91)</f>
        <v>594128.17000000004</v>
      </c>
      <c r="S78" s="6">
        <f>SUM(S79,S82,S85,S87,S89,S91)</f>
        <v>367766.24</v>
      </c>
      <c r="T78" s="6">
        <f>SUM(T79,T82,T85,T87,T89,T91)</f>
        <v>226361.93</v>
      </c>
      <c r="U78" s="6">
        <f>SUM(U79,U82,U85,U87,U89,U91)</f>
        <v>594128.17000000004</v>
      </c>
      <c r="Y78" s="9">
        <f>SUM(Y79,Y82,Y85,Y87,Y89,Y91)</f>
        <v>306471.87</v>
      </c>
      <c r="Z78" s="9">
        <f>SUM(Z79,Z82,Z85,Z87,Z89,Z91)</f>
        <v>188634.95</v>
      </c>
      <c r="AA78" s="9">
        <f>SUM(AA79,AA82,AA85,AA87,AA89,AA91)</f>
        <v>495106.82</v>
      </c>
      <c r="AD78" s="4">
        <v>271132068</v>
      </c>
      <c r="AE78" s="4">
        <v>16194160</v>
      </c>
    </row>
    <row r="79" spans="1:35" ht="54" x14ac:dyDescent="0.3">
      <c r="A79" s="10" t="s">
        <v>334</v>
      </c>
      <c r="B79" s="10" t="s">
        <v>335</v>
      </c>
      <c r="C79" s="11" t="s">
        <v>336</v>
      </c>
      <c r="D79" s="12"/>
      <c r="E79" s="12" t="s">
        <v>63</v>
      </c>
      <c r="F79" s="12" t="s">
        <v>64</v>
      </c>
      <c r="G79" s="13">
        <v>1</v>
      </c>
      <c r="H79" s="13"/>
      <c r="I79" s="13">
        <v>236.7</v>
      </c>
      <c r="J79" s="14">
        <f>IFERROR(ROUND(SUM(M80,M81)/I79, 2),0)</f>
        <v>386.83</v>
      </c>
      <c r="K79" s="15">
        <v>324</v>
      </c>
      <c r="L79" s="14">
        <f>J79+ROUND(K79, 2)</f>
        <v>710.83</v>
      </c>
      <c r="M79" s="14">
        <f>ROUND(J79*I79, 2)</f>
        <v>91562.66</v>
      </c>
      <c r="N79" s="14">
        <f>ROUND(I79*ROUND(K79, 2), 2)</f>
        <v>76690.8</v>
      </c>
      <c r="O79" s="14">
        <f>M79+N79</f>
        <v>168253.46</v>
      </c>
      <c r="P79" s="14">
        <f>IFERROR(ROUND(SUM(S80,S81)/I79, 2),0)</f>
        <v>386.83</v>
      </c>
      <c r="Q79" s="15">
        <v>324</v>
      </c>
      <c r="R79" s="14">
        <f>P79+ROUND(Q79, 2)</f>
        <v>710.83</v>
      </c>
      <c r="S79" s="14">
        <f>ROUND(P79*I79, 2)</f>
        <v>91562.66</v>
      </c>
      <c r="T79" s="14">
        <f>ROUND(I79*ROUND(Q79, 2), 2)</f>
        <v>76690.8</v>
      </c>
      <c r="U79" s="14">
        <f>S79+T79</f>
        <v>168253.46</v>
      </c>
      <c r="V79" s="9">
        <f>ROUND(P79 / 1.2, 2)</f>
        <v>322.36</v>
      </c>
      <c r="W79" s="9">
        <f>ROUND(Q79 / 1.2, 2)</f>
        <v>270</v>
      </c>
      <c r="X79" s="9">
        <f>ROUND(R79 / 1.2, 2)</f>
        <v>592.36</v>
      </c>
      <c r="Y79" s="9">
        <f>ROUND(S79 / 1.2, 2)</f>
        <v>76302.22</v>
      </c>
      <c r="Z79" s="9">
        <f>ROUND(T79 / 1.2, 2)</f>
        <v>63909</v>
      </c>
      <c r="AA79" s="9">
        <f>Y79+Z79</f>
        <v>140211.22</v>
      </c>
      <c r="AD79" s="4">
        <v>271132070</v>
      </c>
      <c r="AE79" s="4">
        <v>16194157</v>
      </c>
      <c r="AG79" s="4" t="s">
        <v>337</v>
      </c>
      <c r="AH79" s="4" t="s">
        <v>338</v>
      </c>
      <c r="AI79" s="4" t="s">
        <v>67</v>
      </c>
    </row>
    <row r="80" spans="1:35" ht="18" x14ac:dyDescent="0.3">
      <c r="A80" s="10" t="s">
        <v>339</v>
      </c>
      <c r="B80" s="10"/>
      <c r="C80" s="24" t="s">
        <v>340</v>
      </c>
      <c r="D80" s="12"/>
      <c r="E80" s="12"/>
      <c r="F80" s="18" t="s">
        <v>70</v>
      </c>
      <c r="G80" s="19">
        <v>0.25</v>
      </c>
      <c r="H80" s="19"/>
      <c r="I80" s="19">
        <v>59.174999999999997</v>
      </c>
      <c r="J80" s="21">
        <v>210.3</v>
      </c>
      <c r="M80" s="22">
        <f>ROUND(ROUND(J80, 2)*I80, 2)</f>
        <v>12444.5</v>
      </c>
      <c r="P80" s="21">
        <v>210.3</v>
      </c>
      <c r="S80" s="22">
        <f>ROUND(ROUND(P80, 2)*I80, 2)</f>
        <v>12444.5</v>
      </c>
      <c r="V80" s="9">
        <f>ROUND(ROUND(P80, 2)/1.2, 2)</f>
        <v>175.25</v>
      </c>
      <c r="Y80" s="9">
        <f t="shared" ref="Y80:Y92" si="14">ROUND(S80 / 1.2, 2)</f>
        <v>10370.42</v>
      </c>
      <c r="AD80" s="4" t="s">
        <v>341</v>
      </c>
      <c r="AE80" s="4" t="s">
        <v>342</v>
      </c>
      <c r="AF80" s="4" t="s">
        <v>343</v>
      </c>
    </row>
    <row r="81" spans="1:35" ht="36" x14ac:dyDescent="0.3">
      <c r="A81" s="10" t="s">
        <v>344</v>
      </c>
      <c r="B81" s="10"/>
      <c r="C81" s="24" t="s">
        <v>345</v>
      </c>
      <c r="D81" s="12"/>
      <c r="E81" s="12"/>
      <c r="F81" s="18" t="s">
        <v>70</v>
      </c>
      <c r="G81" s="19">
        <v>2.5</v>
      </c>
      <c r="H81" s="19"/>
      <c r="I81" s="19">
        <v>591.75</v>
      </c>
      <c r="J81" s="21">
        <v>133.69999999999999</v>
      </c>
      <c r="M81" s="22">
        <f>ROUND(ROUND(J81, 2)*I81, 2)</f>
        <v>79116.98</v>
      </c>
      <c r="P81" s="21">
        <v>133.69999999999999</v>
      </c>
      <c r="S81" s="22">
        <f>ROUND(ROUND(P81, 2)*I81, 2)</f>
        <v>79116.98</v>
      </c>
      <c r="V81" s="9">
        <f>ROUND(ROUND(P81, 2)/1.2, 2)</f>
        <v>111.42</v>
      </c>
      <c r="Y81" s="9">
        <f t="shared" si="14"/>
        <v>65930.820000000007</v>
      </c>
      <c r="AD81" s="4" t="s">
        <v>346</v>
      </c>
      <c r="AE81" s="4" t="s">
        <v>347</v>
      </c>
      <c r="AF81" s="4" t="s">
        <v>348</v>
      </c>
    </row>
    <row r="82" spans="1:35" ht="54" x14ac:dyDescent="0.3">
      <c r="A82" s="10" t="s">
        <v>349</v>
      </c>
      <c r="B82" s="10" t="s">
        <v>335</v>
      </c>
      <c r="C82" s="11" t="s">
        <v>336</v>
      </c>
      <c r="D82" s="12"/>
      <c r="E82" s="12" t="s">
        <v>81</v>
      </c>
      <c r="F82" s="12" t="s">
        <v>64</v>
      </c>
      <c r="G82" s="13">
        <v>1</v>
      </c>
      <c r="H82" s="13"/>
      <c r="I82" s="13">
        <v>150.6</v>
      </c>
      <c r="J82" s="14">
        <f>IFERROR(ROUND(SUM(M83,M84)/I82, 2),0)</f>
        <v>406.08</v>
      </c>
      <c r="K82" s="15">
        <v>324</v>
      </c>
      <c r="L82" s="14">
        <f>J82+ROUND(K82, 2)</f>
        <v>730.08</v>
      </c>
      <c r="M82" s="14">
        <f>ROUND(J82*I82, 2)</f>
        <v>61155.65</v>
      </c>
      <c r="N82" s="14">
        <f>ROUND(I82*ROUND(K82, 2), 2)</f>
        <v>48794.400000000001</v>
      </c>
      <c r="O82" s="14">
        <f>M82+N82</f>
        <v>109950.05</v>
      </c>
      <c r="P82" s="14">
        <f>IFERROR(ROUND(SUM(S83,S84)/I82, 2),0)</f>
        <v>406.08</v>
      </c>
      <c r="Q82" s="16">
        <v>324</v>
      </c>
      <c r="R82" s="14">
        <f>P82+ROUND(Q82, 2)</f>
        <v>730.08</v>
      </c>
      <c r="S82" s="14">
        <f>ROUND(P82*I82, 2)</f>
        <v>61155.65</v>
      </c>
      <c r="T82" s="14">
        <f>ROUND(I82*ROUND(Q82, 2), 2)</f>
        <v>48794.400000000001</v>
      </c>
      <c r="U82" s="14">
        <f>S82+T82</f>
        <v>109950.05</v>
      </c>
      <c r="V82" s="9">
        <f>ROUND(P82 / 1.2, 2)</f>
        <v>338.4</v>
      </c>
      <c r="W82" s="9">
        <f>ROUND(Q82 / 1.2, 2)</f>
        <v>270</v>
      </c>
      <c r="X82" s="9">
        <f>ROUND(R82 / 1.2, 2)</f>
        <v>608.4</v>
      </c>
      <c r="Y82" s="9">
        <f t="shared" si="14"/>
        <v>50963.040000000001</v>
      </c>
      <c r="Z82" s="9">
        <f>ROUND(T82 / 1.2, 2)</f>
        <v>40662</v>
      </c>
      <c r="AA82" s="9">
        <f>Y82+Z82</f>
        <v>91625.04</v>
      </c>
      <c r="AD82" s="4">
        <v>271132167</v>
      </c>
      <c r="AE82" s="4">
        <v>19811382</v>
      </c>
      <c r="AG82" s="4" t="s">
        <v>337</v>
      </c>
      <c r="AH82" s="4" t="s">
        <v>338</v>
      </c>
      <c r="AI82" s="4" t="s">
        <v>67</v>
      </c>
    </row>
    <row r="83" spans="1:35" ht="36" x14ac:dyDescent="0.3">
      <c r="A83" s="10" t="s">
        <v>350</v>
      </c>
      <c r="B83" s="10"/>
      <c r="C83" s="24" t="s">
        <v>345</v>
      </c>
      <c r="D83" s="12"/>
      <c r="E83" s="12"/>
      <c r="F83" s="18" t="s">
        <v>70</v>
      </c>
      <c r="G83" s="19">
        <v>2.5</v>
      </c>
      <c r="H83" s="19"/>
      <c r="I83" s="19">
        <v>376.5</v>
      </c>
      <c r="J83" s="21">
        <v>141.4</v>
      </c>
      <c r="M83" s="22">
        <f>ROUND(ROUND(J83, 2)*I83, 2)</f>
        <v>53237.1</v>
      </c>
      <c r="P83" s="23">
        <v>141.4</v>
      </c>
      <c r="S83" s="22">
        <f>ROUND(ROUND(P83, 2)*I83, 2)</f>
        <v>53237.1</v>
      </c>
      <c r="V83" s="9">
        <f>ROUND(ROUND(P83, 2)/1.2, 2)</f>
        <v>117.83</v>
      </c>
      <c r="Y83" s="9">
        <f t="shared" si="14"/>
        <v>44364.25</v>
      </c>
      <c r="AD83" s="4" t="s">
        <v>351</v>
      </c>
      <c r="AE83" s="4" t="s">
        <v>352</v>
      </c>
      <c r="AF83" s="4" t="s">
        <v>348</v>
      </c>
    </row>
    <row r="84" spans="1:35" ht="18" x14ac:dyDescent="0.3">
      <c r="A84" s="10" t="s">
        <v>353</v>
      </c>
      <c r="B84" s="10"/>
      <c r="C84" s="24" t="s">
        <v>340</v>
      </c>
      <c r="D84" s="12"/>
      <c r="E84" s="12"/>
      <c r="F84" s="18" t="s">
        <v>70</v>
      </c>
      <c r="G84" s="19">
        <v>0.25</v>
      </c>
      <c r="H84" s="19"/>
      <c r="I84" s="19">
        <v>37.65</v>
      </c>
      <c r="J84" s="21">
        <v>210.3</v>
      </c>
      <c r="M84" s="22">
        <f>ROUND(ROUND(J84, 2)*I84, 2)</f>
        <v>7917.8</v>
      </c>
      <c r="P84" s="23">
        <v>210.3</v>
      </c>
      <c r="S84" s="22">
        <f>ROUND(ROUND(P84, 2)*I84, 2)</f>
        <v>7917.8</v>
      </c>
      <c r="V84" s="9">
        <f>ROUND(ROUND(P84, 2)/1.2, 2)</f>
        <v>175.25</v>
      </c>
      <c r="Y84" s="9">
        <f t="shared" si="14"/>
        <v>6598.17</v>
      </c>
      <c r="AD84" s="4" t="s">
        <v>354</v>
      </c>
      <c r="AE84" s="4" t="s">
        <v>355</v>
      </c>
      <c r="AF84" s="4" t="s">
        <v>343</v>
      </c>
    </row>
    <row r="85" spans="1:35" ht="36" x14ac:dyDescent="0.3">
      <c r="A85" s="10" t="s">
        <v>356</v>
      </c>
      <c r="B85" s="10" t="s">
        <v>357</v>
      </c>
      <c r="C85" s="11" t="s">
        <v>358</v>
      </c>
      <c r="D85" s="12"/>
      <c r="E85" s="12" t="s">
        <v>63</v>
      </c>
      <c r="F85" s="12" t="s">
        <v>64</v>
      </c>
      <c r="G85" s="13">
        <v>1</v>
      </c>
      <c r="H85" s="13"/>
      <c r="I85" s="13">
        <v>631.29999999999995</v>
      </c>
      <c r="J85" s="14">
        <f>IFERROR(ROUND(SUM(M86)/I85, 2),0)</f>
        <v>173.66</v>
      </c>
      <c r="K85" s="15">
        <v>56</v>
      </c>
      <c r="L85" s="14">
        <f>J85+ROUND(K85, 2)</f>
        <v>229.66</v>
      </c>
      <c r="M85" s="14">
        <f>ROUND(J85*I85, 2)</f>
        <v>109631.56</v>
      </c>
      <c r="N85" s="14">
        <f>ROUND(I85*ROUND(K85, 2), 2)</f>
        <v>35352.800000000003</v>
      </c>
      <c r="O85" s="14">
        <f>M85+N85</f>
        <v>144984.35999999999</v>
      </c>
      <c r="P85" s="14">
        <f>IFERROR(ROUND(SUM(S86)/I85, 2),0)</f>
        <v>173.66</v>
      </c>
      <c r="Q85" s="15">
        <v>56</v>
      </c>
      <c r="R85" s="14">
        <f>P85+ROUND(Q85, 2)</f>
        <v>229.66</v>
      </c>
      <c r="S85" s="14">
        <f>ROUND(P85*I85, 2)</f>
        <v>109631.56</v>
      </c>
      <c r="T85" s="14">
        <f>ROUND(I85*ROUND(Q85, 2), 2)</f>
        <v>35352.800000000003</v>
      </c>
      <c r="U85" s="14">
        <f>S85+T85</f>
        <v>144984.35999999999</v>
      </c>
      <c r="V85" s="9">
        <f>ROUND(P85 / 1.2, 2)</f>
        <v>144.72</v>
      </c>
      <c r="W85" s="9">
        <f>ROUND(Q85 / 1.2, 2)</f>
        <v>46.67</v>
      </c>
      <c r="X85" s="9">
        <f>ROUND(R85 / 1.2, 2)</f>
        <v>191.38</v>
      </c>
      <c r="Y85" s="9">
        <f t="shared" si="14"/>
        <v>91359.63</v>
      </c>
      <c r="Z85" s="9">
        <f>ROUND(T85 / 1.2, 2)</f>
        <v>29460.67</v>
      </c>
      <c r="AA85" s="9">
        <f>Y85+Z85</f>
        <v>120820.3</v>
      </c>
      <c r="AD85" s="4">
        <v>271132072</v>
      </c>
      <c r="AE85" s="4">
        <v>16676511</v>
      </c>
      <c r="AG85" s="4" t="s">
        <v>359</v>
      </c>
      <c r="AH85" s="4" t="s">
        <v>360</v>
      </c>
      <c r="AI85" s="4" t="s">
        <v>67</v>
      </c>
    </row>
    <row r="86" spans="1:35" ht="18" x14ac:dyDescent="0.3">
      <c r="A86" s="10" t="s">
        <v>361</v>
      </c>
      <c r="B86" s="10"/>
      <c r="C86" s="24" t="s">
        <v>362</v>
      </c>
      <c r="D86" s="12"/>
      <c r="E86" s="12" t="s">
        <v>363</v>
      </c>
      <c r="F86" s="18" t="s">
        <v>64</v>
      </c>
      <c r="G86" s="19">
        <v>1.03</v>
      </c>
      <c r="H86" s="19"/>
      <c r="I86" s="19">
        <v>650.23900000000003</v>
      </c>
      <c r="J86" s="21">
        <v>168.6</v>
      </c>
      <c r="M86" s="22">
        <f>ROUND(ROUND(J86, 2)*I86, 2)</f>
        <v>109630.3</v>
      </c>
      <c r="P86" s="21">
        <v>168.6</v>
      </c>
      <c r="S86" s="22">
        <f>ROUND(ROUND(P86, 2)*I86, 2)</f>
        <v>109630.3</v>
      </c>
      <c r="V86" s="9">
        <f>ROUND(ROUND(P86, 2)/1.2, 2)</f>
        <v>140.5</v>
      </c>
      <c r="Y86" s="9">
        <f t="shared" si="14"/>
        <v>91358.58</v>
      </c>
      <c r="AD86" s="4" t="s">
        <v>364</v>
      </c>
      <c r="AE86" s="4" t="s">
        <v>365</v>
      </c>
      <c r="AF86" s="4" t="s">
        <v>366</v>
      </c>
    </row>
    <row r="87" spans="1:35" ht="36" x14ac:dyDescent="0.3">
      <c r="A87" s="10" t="s">
        <v>367</v>
      </c>
      <c r="B87" s="10" t="s">
        <v>357</v>
      </c>
      <c r="C87" s="11" t="s">
        <v>358</v>
      </c>
      <c r="D87" s="12"/>
      <c r="E87" s="12" t="s">
        <v>81</v>
      </c>
      <c r="F87" s="12" t="s">
        <v>64</v>
      </c>
      <c r="G87" s="13">
        <v>1</v>
      </c>
      <c r="H87" s="13"/>
      <c r="I87" s="13">
        <v>248.8</v>
      </c>
      <c r="J87" s="14">
        <f>IFERROR(ROUND(SUM(M88)/I87, 2),0)</f>
        <v>173.66</v>
      </c>
      <c r="K87" s="15">
        <v>56</v>
      </c>
      <c r="L87" s="14">
        <f>J87+ROUND(K87, 2)</f>
        <v>229.66</v>
      </c>
      <c r="M87" s="14">
        <f>ROUND(J87*I87, 2)</f>
        <v>43206.61</v>
      </c>
      <c r="N87" s="14">
        <f>ROUND(I87*ROUND(K87, 2), 2)</f>
        <v>13932.8</v>
      </c>
      <c r="O87" s="14">
        <f>M87+N87</f>
        <v>57139.41</v>
      </c>
      <c r="P87" s="14">
        <f>IFERROR(ROUND(SUM(S88)/I87, 2),0)</f>
        <v>173.66</v>
      </c>
      <c r="Q87" s="16">
        <v>56</v>
      </c>
      <c r="R87" s="14">
        <f>P87+ROUND(Q87, 2)</f>
        <v>229.66</v>
      </c>
      <c r="S87" s="14">
        <f>ROUND(P87*I87, 2)</f>
        <v>43206.61</v>
      </c>
      <c r="T87" s="14">
        <f>ROUND(I87*ROUND(Q87, 2), 2)</f>
        <v>13932.8</v>
      </c>
      <c r="U87" s="14">
        <f>S87+T87</f>
        <v>57139.41</v>
      </c>
      <c r="V87" s="9">
        <f>ROUND(P87 / 1.2, 2)</f>
        <v>144.72</v>
      </c>
      <c r="W87" s="9">
        <f>ROUND(Q87 / 1.2, 2)</f>
        <v>46.67</v>
      </c>
      <c r="X87" s="9">
        <f>ROUND(R87 / 1.2, 2)</f>
        <v>191.38</v>
      </c>
      <c r="Y87" s="9">
        <f t="shared" si="14"/>
        <v>36005.51</v>
      </c>
      <c r="Z87" s="9">
        <f>ROUND(T87 / 1.2, 2)</f>
        <v>11610.67</v>
      </c>
      <c r="AA87" s="9">
        <f>Y87+Z87</f>
        <v>47616.18</v>
      </c>
      <c r="AD87" s="4">
        <v>271132168</v>
      </c>
      <c r="AE87" s="4">
        <v>19811550</v>
      </c>
      <c r="AG87" s="4" t="s">
        <v>359</v>
      </c>
      <c r="AH87" s="4" t="s">
        <v>360</v>
      </c>
      <c r="AI87" s="4" t="s">
        <v>67</v>
      </c>
    </row>
    <row r="88" spans="1:35" ht="18" x14ac:dyDescent="0.3">
      <c r="A88" s="10" t="s">
        <v>368</v>
      </c>
      <c r="B88" s="10"/>
      <c r="C88" s="24" t="s">
        <v>362</v>
      </c>
      <c r="D88" s="12"/>
      <c r="E88" s="12" t="s">
        <v>369</v>
      </c>
      <c r="F88" s="18" t="s">
        <v>64</v>
      </c>
      <c r="G88" s="19">
        <v>1.03</v>
      </c>
      <c r="H88" s="19"/>
      <c r="I88" s="19">
        <v>256.26400000000001</v>
      </c>
      <c r="J88" s="21">
        <v>168.6</v>
      </c>
      <c r="M88" s="22">
        <f>ROUND(ROUND(J88, 2)*I88, 2)</f>
        <v>43206.11</v>
      </c>
      <c r="P88" s="23">
        <v>168.6</v>
      </c>
      <c r="S88" s="22">
        <f>ROUND(ROUND(P88, 2)*I88, 2)</f>
        <v>43206.11</v>
      </c>
      <c r="V88" s="9">
        <f>ROUND(ROUND(P88, 2)/1.2, 2)</f>
        <v>140.5</v>
      </c>
      <c r="Y88" s="9">
        <f t="shared" si="14"/>
        <v>36005.089999999997</v>
      </c>
      <c r="AD88" s="4" t="s">
        <v>370</v>
      </c>
      <c r="AE88" s="4" t="s">
        <v>371</v>
      </c>
      <c r="AF88" s="4" t="s">
        <v>366</v>
      </c>
    </row>
    <row r="89" spans="1:35" ht="18" x14ac:dyDescent="0.3">
      <c r="A89" s="10" t="s">
        <v>372</v>
      </c>
      <c r="B89" s="10" t="s">
        <v>373</v>
      </c>
      <c r="C89" s="11" t="s">
        <v>374</v>
      </c>
      <c r="D89" s="12"/>
      <c r="E89" s="12" t="s">
        <v>63</v>
      </c>
      <c r="F89" s="12" t="s">
        <v>98</v>
      </c>
      <c r="G89" s="13">
        <v>1</v>
      </c>
      <c r="H89" s="13"/>
      <c r="I89" s="13">
        <v>0</v>
      </c>
      <c r="J89" s="14">
        <f>IFERROR(ROUND(SUM(M90)/I89, 2),0)</f>
        <v>0</v>
      </c>
      <c r="K89" s="15">
        <v>2157</v>
      </c>
      <c r="L89" s="14">
        <f>J89+ROUND(K89, 2)</f>
        <v>2157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IFERROR(ROUND(SUM(S90)/I89, 2),0)</f>
        <v>0</v>
      </c>
      <c r="Q89" s="15">
        <v>2157</v>
      </c>
      <c r="R89" s="14">
        <f>P89+ROUND(Q89, 2)</f>
        <v>2157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1797.5</v>
      </c>
      <c r="X89" s="9">
        <f>ROUND(R89 / 1.2, 2)</f>
        <v>1797.5</v>
      </c>
      <c r="Y89" s="9">
        <f t="shared" si="14"/>
        <v>0</v>
      </c>
      <c r="Z89" s="9">
        <f>ROUND(T89 / 1.2, 2)</f>
        <v>0</v>
      </c>
      <c r="AA89" s="9">
        <f>Y89+Z89</f>
        <v>0</v>
      </c>
      <c r="AD89" s="4">
        <v>271132074</v>
      </c>
      <c r="AE89" s="4">
        <v>16675472</v>
      </c>
      <c r="AG89" s="4" t="s">
        <v>375</v>
      </c>
      <c r="AH89" s="4" t="s">
        <v>376</v>
      </c>
      <c r="AI89" s="4" t="s">
        <v>67</v>
      </c>
    </row>
    <row r="90" spans="1:35" ht="18" x14ac:dyDescent="0.3">
      <c r="A90" s="10" t="s">
        <v>378</v>
      </c>
      <c r="B90" s="10"/>
      <c r="C90" s="24" t="s">
        <v>379</v>
      </c>
      <c r="D90" s="12"/>
      <c r="E90" s="12"/>
      <c r="F90" s="18" t="s">
        <v>98</v>
      </c>
      <c r="G90" s="19">
        <v>1.02</v>
      </c>
      <c r="H90" s="19"/>
      <c r="I90" s="19">
        <v>0</v>
      </c>
      <c r="J90" s="21">
        <v>2550</v>
      </c>
      <c r="M90" s="22">
        <f>ROUND(ROUND(J90, 2)*I90, 2)</f>
        <v>0</v>
      </c>
      <c r="P90" s="21">
        <v>2550</v>
      </c>
      <c r="S90" s="22">
        <f>ROUND(ROUND(P90, 2)*I90, 2)</f>
        <v>0</v>
      </c>
      <c r="V90" s="9">
        <f>ROUND(ROUND(P90, 2)/1.2, 2)</f>
        <v>2125</v>
      </c>
      <c r="Y90" s="9">
        <f t="shared" si="14"/>
        <v>0</v>
      </c>
      <c r="AD90" s="4" t="s">
        <v>380</v>
      </c>
      <c r="AE90" s="4" t="s">
        <v>381</v>
      </c>
      <c r="AF90" s="4" t="s">
        <v>382</v>
      </c>
    </row>
    <row r="91" spans="1:35" ht="36" x14ac:dyDescent="0.3">
      <c r="A91" s="10" t="s">
        <v>385</v>
      </c>
      <c r="B91" s="10" t="s">
        <v>373</v>
      </c>
      <c r="C91" s="11" t="s">
        <v>374</v>
      </c>
      <c r="D91" s="12"/>
      <c r="E91" s="12" t="s">
        <v>386</v>
      </c>
      <c r="F91" s="12" t="s">
        <v>98</v>
      </c>
      <c r="G91" s="13">
        <v>1</v>
      </c>
      <c r="H91" s="13"/>
      <c r="I91" s="13">
        <v>23.917999999999999</v>
      </c>
      <c r="J91" s="14">
        <f>IFERROR(ROUND(SUM(M92)/I91, 2),0)</f>
        <v>2600.96</v>
      </c>
      <c r="K91" s="15">
        <v>2157</v>
      </c>
      <c r="L91" s="14">
        <f>J91+ROUND(K91, 2)</f>
        <v>4757.96</v>
      </c>
      <c r="M91" s="14">
        <f>ROUND(J91*I91, 2)</f>
        <v>62209.760000000002</v>
      </c>
      <c r="N91" s="14">
        <f>ROUND(I91*ROUND(K91, 2), 2)</f>
        <v>51591.13</v>
      </c>
      <c r="O91" s="14">
        <f>M91+N91</f>
        <v>113800.89</v>
      </c>
      <c r="P91" s="14">
        <f>IFERROR(ROUND(SUM(S92)/I91, 2),0)</f>
        <v>2600.96</v>
      </c>
      <c r="Q91" s="16">
        <v>2157</v>
      </c>
      <c r="R91" s="14">
        <f>P91+ROUND(Q91, 2)</f>
        <v>4757.96</v>
      </c>
      <c r="S91" s="14">
        <f>ROUND(P91*I91, 2)</f>
        <v>62209.760000000002</v>
      </c>
      <c r="T91" s="14">
        <f>ROUND(I91*ROUND(Q91, 2), 2)</f>
        <v>51591.13</v>
      </c>
      <c r="U91" s="14">
        <f>S91+T91</f>
        <v>113800.89</v>
      </c>
      <c r="V91" s="9">
        <f>ROUND(P91 / 1.2, 2)</f>
        <v>2167.4699999999998</v>
      </c>
      <c r="W91" s="9">
        <f>ROUND(Q91 / 1.2, 2)</f>
        <v>1797.5</v>
      </c>
      <c r="X91" s="9">
        <f>ROUND(R91 / 1.2, 2)</f>
        <v>3964.97</v>
      </c>
      <c r="Y91" s="9">
        <f t="shared" si="14"/>
        <v>51841.47</v>
      </c>
      <c r="Z91" s="9">
        <f>ROUND(T91 / 1.2, 2)</f>
        <v>42992.61</v>
      </c>
      <c r="AA91" s="9">
        <f>Y91+Z91</f>
        <v>94834.08</v>
      </c>
      <c r="AD91" s="4">
        <v>271132169</v>
      </c>
      <c r="AE91" s="4">
        <v>19811691</v>
      </c>
      <c r="AG91" s="4" t="s">
        <v>375</v>
      </c>
      <c r="AH91" s="4" t="s">
        <v>376</v>
      </c>
      <c r="AI91" s="4" t="s">
        <v>67</v>
      </c>
    </row>
    <row r="92" spans="1:35" ht="18" x14ac:dyDescent="0.3">
      <c r="A92" s="10" t="s">
        <v>387</v>
      </c>
      <c r="B92" s="10"/>
      <c r="C92" s="24" t="s">
        <v>379</v>
      </c>
      <c r="D92" s="12"/>
      <c r="E92" s="12"/>
      <c r="F92" s="18" t="s">
        <v>98</v>
      </c>
      <c r="G92" s="19">
        <v>1.02</v>
      </c>
      <c r="H92" s="19"/>
      <c r="I92" s="19">
        <v>24.396000000000001</v>
      </c>
      <c r="J92" s="21">
        <v>2550</v>
      </c>
      <c r="M92" s="22">
        <f>ROUND(ROUND(J92, 2)*I92, 2)</f>
        <v>62209.8</v>
      </c>
      <c r="P92" s="23">
        <v>2550</v>
      </c>
      <c r="S92" s="22">
        <f>ROUND(ROUND(P92, 2)*I92, 2)</f>
        <v>62209.8</v>
      </c>
      <c r="V92" s="9">
        <f>ROUND(ROUND(P92, 2)/1.2, 2)</f>
        <v>2125</v>
      </c>
      <c r="Y92" s="9">
        <f t="shared" si="14"/>
        <v>51841.5</v>
      </c>
      <c r="AD92" s="4" t="s">
        <v>388</v>
      </c>
      <c r="AE92" s="4" t="s">
        <v>389</v>
      </c>
      <c r="AF92" s="4" t="s">
        <v>382</v>
      </c>
    </row>
    <row r="93" spans="1:35" ht="17.100000000000001" customHeight="1" x14ac:dyDescent="0.3">
      <c r="A93" s="10" t="s">
        <v>390</v>
      </c>
      <c r="B93" s="10" t="s">
        <v>391</v>
      </c>
      <c r="C93" s="185" t="s">
        <v>392</v>
      </c>
      <c r="D93" s="186"/>
      <c r="E93" s="186"/>
      <c r="F93" s="186"/>
      <c r="G93" s="186"/>
      <c r="H93" s="186"/>
      <c r="I93" s="187"/>
      <c r="M93" s="6">
        <f>SUM(M94,M100,M105,M108,M112,M116,M119,M122,M125,M127,M129,M134,M139,M144,M149,M154,M159)</f>
        <v>4379362.95</v>
      </c>
      <c r="N93" s="6">
        <f>SUM(N94,N100,N105,N108,N112,N116,N119,N122,N125,N127,N129,N134,N139,N144,N149,N154,N159)</f>
        <v>8459471.1199999992</v>
      </c>
      <c r="O93" s="6">
        <f>SUM(O94,O100,O105,O108,O112,O116,O119,O122,O125,O127,O129,O134,O139,O144,O149,O154,O159)</f>
        <v>12838834.07</v>
      </c>
      <c r="S93" s="6">
        <f>SUM(S94,S100,S105,S108,S112,S116,S119,S122,S125,S127,S129,S134,S139,S144,S149,S154,S159)</f>
        <v>12062112.99</v>
      </c>
      <c r="T93" s="6">
        <f>SUM(T94,T100,T105,T108,T112,T116,T119,T122,T125,T127,T129,T134,T139,T144,T149,T154,T159)</f>
        <v>8459471.1199999992</v>
      </c>
      <c r="U93" s="6">
        <f>SUM(U94,U100,U105,U108,U112,U116,U119,U122,U125,U127,U129,U134,U139,U144,U149,U154,U159)</f>
        <v>20521584.109999999</v>
      </c>
      <c r="Y93" s="9">
        <f>SUM(Y94,Y100,Y105,Y108,Y112,Y116,Y119,Y122,Y125,Y127,Y129,Y134,Y139,Y144,Y149,Y154,Y159)</f>
        <v>10051760.84</v>
      </c>
      <c r="Z93" s="9">
        <f>SUM(Z94,Z100,Z105,Z108,Z112,Z116,Z119,Z122,Z125,Z127,Z129,Z134,Z139,Z144,Z149,Z154,Z159)</f>
        <v>7049559.2599999998</v>
      </c>
      <c r="AA93" s="9">
        <f>SUM(AA94,AA100,AA105,AA108,AA112,AA116,AA119,AA122,AA125,AA127,AA129,AA134,AA139,AA144,AA149,AA154,AA159)</f>
        <v>17101320.100000001</v>
      </c>
      <c r="AD93" s="4">
        <v>271132075</v>
      </c>
      <c r="AE93" s="4">
        <v>16194150</v>
      </c>
    </row>
    <row r="94" spans="1:35" ht="54" x14ac:dyDescent="0.3">
      <c r="A94" s="10" t="s">
        <v>393</v>
      </c>
      <c r="B94" s="10" t="s">
        <v>394</v>
      </c>
      <c r="C94" s="11" t="s">
        <v>395</v>
      </c>
      <c r="D94" s="12"/>
      <c r="E94" s="12" t="s">
        <v>396</v>
      </c>
      <c r="F94" s="12" t="s">
        <v>64</v>
      </c>
      <c r="G94" s="13">
        <v>1</v>
      </c>
      <c r="H94" s="13"/>
      <c r="I94" s="13">
        <v>0</v>
      </c>
      <c r="J94" s="14">
        <f>IFERROR(ROUND(SUM(M95,M96,M97,M98,M99)/I94, 2),0)</f>
        <v>0</v>
      </c>
      <c r="K94" s="15">
        <v>1251</v>
      </c>
      <c r="L94" s="14">
        <f>J94+ROUND(K94, 2)</f>
        <v>1251</v>
      </c>
      <c r="M94" s="14">
        <f>ROUND(J94*I94, 2)</f>
        <v>0</v>
      </c>
      <c r="N94" s="14">
        <f>ROUND(I94*ROUND(K94, 2), 2)</f>
        <v>0</v>
      </c>
      <c r="O94" s="14">
        <f>M94+N94</f>
        <v>0</v>
      </c>
      <c r="P94" s="14">
        <f>IFERROR(ROUND(SUM(S95,S96,S97,S98,S99)/I94, 2),0)</f>
        <v>0</v>
      </c>
      <c r="Q94" s="15">
        <v>1251</v>
      </c>
      <c r="R94" s="14">
        <f>P94+ROUND(Q94, 2)</f>
        <v>1251</v>
      </c>
      <c r="S94" s="14">
        <f>ROUND(P94*I94, 2)</f>
        <v>0</v>
      </c>
      <c r="T94" s="14">
        <f>ROUND(I94*ROUND(Q94, 2), 2)</f>
        <v>0</v>
      </c>
      <c r="U94" s="14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271132077</v>
      </c>
      <c r="AE94" s="4">
        <v>16194165</v>
      </c>
      <c r="AG94" s="4" t="s">
        <v>397</v>
      </c>
      <c r="AH94" s="4" t="s">
        <v>398</v>
      </c>
      <c r="AI94" s="4" t="s">
        <v>67</v>
      </c>
    </row>
    <row r="95" spans="1:35" ht="54" x14ac:dyDescent="0.3">
      <c r="A95" s="10" t="s">
        <v>400</v>
      </c>
      <c r="B95" s="10"/>
      <c r="C95" s="17" t="s">
        <v>401</v>
      </c>
      <c r="D95" s="12"/>
      <c r="E95" s="12" t="s">
        <v>402</v>
      </c>
      <c r="F95" s="18" t="s">
        <v>70</v>
      </c>
      <c r="G95" s="19">
        <v>1.2</v>
      </c>
      <c r="H95" s="20"/>
      <c r="I95" s="20">
        <v>0</v>
      </c>
      <c r="J95" s="21">
        <v>12.33</v>
      </c>
      <c r="M95" s="22">
        <f>ROUND(ROUND(J95, 2)*I95, 2)</f>
        <v>0</v>
      </c>
      <c r="P95" s="21">
        <v>12.33</v>
      </c>
      <c r="S95" s="22">
        <f>ROUND(ROUND(P95, 2)*I95, 2)</f>
        <v>0</v>
      </c>
      <c r="V95" s="9">
        <f>ROUND(ROUND(P95, 2)/1.2, 2)</f>
        <v>10.28</v>
      </c>
      <c r="Y95" s="9">
        <f t="shared" ref="Y95:Y126" si="15">ROUND(S95 / 1.2, 2)</f>
        <v>0</v>
      </c>
      <c r="AD95" s="4" t="s">
        <v>403</v>
      </c>
      <c r="AE95" s="4" t="s">
        <v>404</v>
      </c>
      <c r="AF95" s="4" t="s">
        <v>405</v>
      </c>
    </row>
    <row r="96" spans="1:35" ht="72" x14ac:dyDescent="0.3">
      <c r="A96" s="10" t="s">
        <v>408</v>
      </c>
      <c r="B96" s="10"/>
      <c r="C96" s="24" t="s">
        <v>409</v>
      </c>
      <c r="D96" s="12"/>
      <c r="E96" s="12" t="s">
        <v>410</v>
      </c>
      <c r="F96" s="18" t="s">
        <v>64</v>
      </c>
      <c r="G96" s="19">
        <v>1.07</v>
      </c>
      <c r="H96" s="20"/>
      <c r="I96" s="20">
        <v>0</v>
      </c>
      <c r="J96" s="21">
        <v>1193</v>
      </c>
      <c r="M96" s="22">
        <f>ROUND(ROUND(J96, 2)*I96, 2)</f>
        <v>0</v>
      </c>
      <c r="P96" s="21">
        <v>1193</v>
      </c>
      <c r="S96" s="22">
        <f>ROUND(ROUND(P96, 2)*I96, 2)</f>
        <v>0</v>
      </c>
      <c r="V96" s="9">
        <f>ROUND(ROUND(P96, 2)/1.2, 2)</f>
        <v>994.17</v>
      </c>
      <c r="Y96" s="9">
        <f t="shared" si="15"/>
        <v>0</v>
      </c>
      <c r="AD96" s="4" t="s">
        <v>411</v>
      </c>
      <c r="AE96" s="4" t="s">
        <v>412</v>
      </c>
      <c r="AF96" s="4" t="s">
        <v>413</v>
      </c>
    </row>
    <row r="97" spans="1:35" ht="72" x14ac:dyDescent="0.3">
      <c r="A97" s="10" t="s">
        <v>416</v>
      </c>
      <c r="B97" s="10"/>
      <c r="C97" s="24" t="s">
        <v>417</v>
      </c>
      <c r="D97" s="12"/>
      <c r="E97" s="12" t="s">
        <v>418</v>
      </c>
      <c r="F97" s="18" t="s">
        <v>64</v>
      </c>
      <c r="G97" s="19">
        <v>1.07</v>
      </c>
      <c r="H97" s="20"/>
      <c r="I97" s="20">
        <v>0</v>
      </c>
      <c r="J97" s="21">
        <v>1374.45</v>
      </c>
      <c r="M97" s="22">
        <f>ROUND(ROUND(J97, 2)*I97, 2)</f>
        <v>0</v>
      </c>
      <c r="P97" s="21">
        <v>1290.02</v>
      </c>
      <c r="S97" s="22">
        <f>ROUND(ROUND(P97, 2)*I97, 2)</f>
        <v>0</v>
      </c>
      <c r="V97" s="9">
        <f>ROUND(ROUND(P97, 2)/1.2, 2)</f>
        <v>1075.02</v>
      </c>
      <c r="Y97" s="9">
        <f t="shared" si="15"/>
        <v>0</v>
      </c>
      <c r="AD97" s="4" t="s">
        <v>419</v>
      </c>
      <c r="AE97" s="4" t="s">
        <v>420</v>
      </c>
      <c r="AF97" s="4" t="s">
        <v>421</v>
      </c>
    </row>
    <row r="98" spans="1:35" ht="18" x14ac:dyDescent="0.3">
      <c r="A98" s="10" t="s">
        <v>425</v>
      </c>
      <c r="B98" s="10"/>
      <c r="C98" s="24" t="s">
        <v>426</v>
      </c>
      <c r="D98" s="12"/>
      <c r="E98" s="12"/>
      <c r="F98" s="18" t="s">
        <v>70</v>
      </c>
      <c r="G98" s="19">
        <v>0.25</v>
      </c>
      <c r="H98" s="20"/>
      <c r="I98" s="20">
        <v>0</v>
      </c>
      <c r="J98" s="21">
        <v>40.270000000000003</v>
      </c>
      <c r="M98" s="22">
        <f>ROUND(ROUND(J98, 2)*I98, 2)</f>
        <v>0</v>
      </c>
      <c r="P98" s="21">
        <v>40.270000000000003</v>
      </c>
      <c r="S98" s="22">
        <f>ROUND(ROUND(P98, 2)*I98, 2)</f>
        <v>0</v>
      </c>
      <c r="V98" s="9">
        <f>ROUND(ROUND(P98, 2)/1.2, 2)</f>
        <v>33.56</v>
      </c>
      <c r="Y98" s="9">
        <f t="shared" si="15"/>
        <v>0</v>
      </c>
      <c r="AD98" s="4" t="s">
        <v>427</v>
      </c>
      <c r="AE98" s="4" t="s">
        <v>428</v>
      </c>
      <c r="AF98" s="4" t="s">
        <v>429</v>
      </c>
    </row>
    <row r="99" spans="1:35" ht="36" x14ac:dyDescent="0.3">
      <c r="A99" s="10" t="s">
        <v>432</v>
      </c>
      <c r="B99" s="10"/>
      <c r="C99" s="24" t="s">
        <v>433</v>
      </c>
      <c r="D99" s="12"/>
      <c r="E99" s="12"/>
      <c r="F99" s="18" t="s">
        <v>70</v>
      </c>
      <c r="G99" s="19">
        <v>0.15</v>
      </c>
      <c r="H99" s="19"/>
      <c r="I99" s="19">
        <v>0</v>
      </c>
      <c r="J99" s="21">
        <v>88.8</v>
      </c>
      <c r="M99" s="22">
        <f>ROUND(ROUND(J99, 2)*I99, 2)</f>
        <v>0</v>
      </c>
      <c r="P99" s="21">
        <v>88.8</v>
      </c>
      <c r="S99" s="22">
        <f>ROUND(ROUND(P99, 2)*I99, 2)</f>
        <v>0</v>
      </c>
      <c r="V99" s="9">
        <f>ROUND(ROUND(P99, 2)/1.2, 2)</f>
        <v>74</v>
      </c>
      <c r="Y99" s="9">
        <f t="shared" si="15"/>
        <v>0</v>
      </c>
      <c r="AD99" s="4" t="s">
        <v>434</v>
      </c>
      <c r="AE99" s="4" t="s">
        <v>435</v>
      </c>
      <c r="AF99" s="4" t="s">
        <v>436</v>
      </c>
    </row>
    <row r="100" spans="1:35" ht="18" x14ac:dyDescent="0.3">
      <c r="A100" s="10" t="s">
        <v>439</v>
      </c>
      <c r="B100" s="10" t="s">
        <v>440</v>
      </c>
      <c r="C100" s="11" t="s">
        <v>441</v>
      </c>
      <c r="D100" s="12" t="s">
        <v>442</v>
      </c>
      <c r="E100" s="12" t="s">
        <v>63</v>
      </c>
      <c r="F100" s="12" t="s">
        <v>64</v>
      </c>
      <c r="G100" s="13">
        <v>1</v>
      </c>
      <c r="H100" s="13"/>
      <c r="I100" s="13">
        <v>538.29999999999995</v>
      </c>
      <c r="J100" s="14">
        <f>IFERROR(ROUND(SUM(M101,M102,M103,M104)/I100, 2),0)</f>
        <v>1573.04</v>
      </c>
      <c r="K100" s="15">
        <v>412</v>
      </c>
      <c r="L100" s="14">
        <f>J100+ROUND(K100, 2)</f>
        <v>1985.04</v>
      </c>
      <c r="M100" s="14">
        <f>ROUND(J100*I100, 2)</f>
        <v>846767.43</v>
      </c>
      <c r="N100" s="14">
        <f>ROUND(I100*ROUND(K100, 2), 2)</f>
        <v>221779.6</v>
      </c>
      <c r="O100" s="14">
        <f>M100+N100</f>
        <v>1068547.03</v>
      </c>
      <c r="P100" s="14">
        <f>IFERROR(ROUND(SUM(S101,S102,S103,S104)/I100, 2),0)</f>
        <v>1573.04</v>
      </c>
      <c r="Q100" s="15">
        <v>412</v>
      </c>
      <c r="R100" s="14">
        <f>P100+ROUND(Q100, 2)</f>
        <v>1985.04</v>
      </c>
      <c r="S100" s="14">
        <f>ROUND(P100*I100, 2)</f>
        <v>846767.43</v>
      </c>
      <c r="T100" s="14">
        <f>ROUND(I100*ROUND(Q100, 2), 2)</f>
        <v>221779.6</v>
      </c>
      <c r="U100" s="14">
        <f>S100+T100</f>
        <v>1068547.03</v>
      </c>
      <c r="V100" s="9">
        <f>ROUND(P100 / 1.2, 2)</f>
        <v>1310.87</v>
      </c>
      <c r="W100" s="9">
        <f>ROUND(Q100 / 1.2, 2)</f>
        <v>343.33</v>
      </c>
      <c r="X100" s="9">
        <f>ROUND(R100 / 1.2, 2)</f>
        <v>1654.2</v>
      </c>
      <c r="Y100" s="9">
        <f t="shared" si="15"/>
        <v>705639.53</v>
      </c>
      <c r="Z100" s="9">
        <f>ROUND(T100 / 1.2, 2)</f>
        <v>184816.33</v>
      </c>
      <c r="AA100" s="9">
        <f>Y100+Z100</f>
        <v>890455.86</v>
      </c>
      <c r="AD100" s="4">
        <v>271132078</v>
      </c>
      <c r="AE100" s="4">
        <v>16195443</v>
      </c>
      <c r="AG100" s="4" t="s">
        <v>443</v>
      </c>
      <c r="AH100" s="4" t="s">
        <v>444</v>
      </c>
      <c r="AI100" s="4" t="s">
        <v>67</v>
      </c>
    </row>
    <row r="101" spans="1:35" ht="54" x14ac:dyDescent="0.3">
      <c r="A101" s="10" t="s">
        <v>445</v>
      </c>
      <c r="B101" s="10"/>
      <c r="C101" s="24" t="s">
        <v>446</v>
      </c>
      <c r="D101" s="12"/>
      <c r="E101" s="12" t="s">
        <v>447</v>
      </c>
      <c r="F101" s="18" t="s">
        <v>70</v>
      </c>
      <c r="G101" s="19">
        <v>0.3</v>
      </c>
      <c r="H101" s="19"/>
      <c r="I101" s="19">
        <v>161.49</v>
      </c>
      <c r="J101" s="21">
        <v>220</v>
      </c>
      <c r="M101" s="22">
        <f>ROUND(ROUND(J101, 2)*I101, 2)</f>
        <v>35527.800000000003</v>
      </c>
      <c r="P101" s="21">
        <v>220</v>
      </c>
      <c r="S101" s="22">
        <f>ROUND(ROUND(P101, 2)*I101, 2)</f>
        <v>35527.800000000003</v>
      </c>
      <c r="V101" s="9">
        <f>ROUND(ROUND(P101, 2)/1.2, 2)</f>
        <v>183.33</v>
      </c>
      <c r="Y101" s="9">
        <f t="shared" si="15"/>
        <v>29606.5</v>
      </c>
      <c r="AD101" s="4" t="s">
        <v>448</v>
      </c>
      <c r="AE101" s="4" t="s">
        <v>449</v>
      </c>
      <c r="AF101" s="4" t="s">
        <v>450</v>
      </c>
    </row>
    <row r="102" spans="1:35" ht="36" x14ac:dyDescent="0.3">
      <c r="A102" s="10" t="s">
        <v>451</v>
      </c>
      <c r="B102" s="10"/>
      <c r="C102" s="24" t="s">
        <v>452</v>
      </c>
      <c r="D102" s="12"/>
      <c r="E102" s="12" t="s">
        <v>453</v>
      </c>
      <c r="F102" s="18" t="s">
        <v>70</v>
      </c>
      <c r="G102" s="19">
        <v>0.15</v>
      </c>
      <c r="H102" s="19"/>
      <c r="I102" s="19">
        <v>80.745000000000005</v>
      </c>
      <c r="J102" s="21">
        <v>68.400000000000006</v>
      </c>
      <c r="M102" s="22">
        <f>ROUND(ROUND(J102, 2)*I102, 2)</f>
        <v>5522.96</v>
      </c>
      <c r="P102" s="21">
        <v>68.400000000000006</v>
      </c>
      <c r="S102" s="22">
        <f>ROUND(ROUND(P102, 2)*I102, 2)</f>
        <v>5522.96</v>
      </c>
      <c r="V102" s="9">
        <f>ROUND(ROUND(P102, 2)/1.2, 2)</f>
        <v>57</v>
      </c>
      <c r="Y102" s="9">
        <f t="shared" si="15"/>
        <v>4602.47</v>
      </c>
      <c r="AD102" s="4" t="s">
        <v>454</v>
      </c>
      <c r="AE102" s="4" t="s">
        <v>455</v>
      </c>
      <c r="AF102" s="4" t="s">
        <v>456</v>
      </c>
    </row>
    <row r="103" spans="1:35" ht="72" x14ac:dyDescent="0.3">
      <c r="A103" s="10" t="s">
        <v>457</v>
      </c>
      <c r="B103" s="10"/>
      <c r="C103" s="17" t="s">
        <v>458</v>
      </c>
      <c r="D103" s="12"/>
      <c r="E103" s="12"/>
      <c r="F103" s="18" t="s">
        <v>87</v>
      </c>
      <c r="G103" s="19">
        <v>1</v>
      </c>
      <c r="H103" s="20"/>
      <c r="I103" s="20">
        <v>252</v>
      </c>
      <c r="J103" s="21">
        <v>51</v>
      </c>
      <c r="M103" s="22">
        <f>ROUND(ROUND(J103, 2)*I103, 2)</f>
        <v>12852</v>
      </c>
      <c r="P103" s="21">
        <v>51</v>
      </c>
      <c r="S103" s="22">
        <f>ROUND(ROUND(P103, 2)*I103, 2)</f>
        <v>12852</v>
      </c>
      <c r="V103" s="9">
        <f>ROUND(ROUND(P103, 2)/1.2, 2)</f>
        <v>42.5</v>
      </c>
      <c r="Y103" s="9">
        <f t="shared" si="15"/>
        <v>10710</v>
      </c>
      <c r="AD103" s="4" t="s">
        <v>459</v>
      </c>
      <c r="AE103" s="4" t="s">
        <v>460</v>
      </c>
      <c r="AF103" s="4" t="s">
        <v>461</v>
      </c>
    </row>
    <row r="104" spans="1:35" ht="54" x14ac:dyDescent="0.3">
      <c r="A104" s="10" t="s">
        <v>462</v>
      </c>
      <c r="B104" s="10"/>
      <c r="C104" s="17" t="s">
        <v>463</v>
      </c>
      <c r="D104" s="12"/>
      <c r="E104" s="12"/>
      <c r="F104" s="18" t="s">
        <v>64</v>
      </c>
      <c r="G104" s="19">
        <v>1.1000000000000001</v>
      </c>
      <c r="H104" s="20"/>
      <c r="I104" s="20">
        <v>592.13</v>
      </c>
      <c r="J104" s="21">
        <v>1339</v>
      </c>
      <c r="M104" s="22">
        <f>ROUND(ROUND(J104, 2)*I104, 2)</f>
        <v>792862.07</v>
      </c>
      <c r="P104" s="21">
        <v>1339</v>
      </c>
      <c r="S104" s="22">
        <f>ROUND(ROUND(P104, 2)*I104, 2)</f>
        <v>792862.07</v>
      </c>
      <c r="V104" s="9">
        <f>ROUND(ROUND(P104, 2)/1.2, 2)</f>
        <v>1115.83</v>
      </c>
      <c r="Y104" s="9">
        <f t="shared" si="15"/>
        <v>660718.39</v>
      </c>
      <c r="AD104" s="4" t="s">
        <v>464</v>
      </c>
      <c r="AE104" s="4" t="s">
        <v>465</v>
      </c>
      <c r="AF104" s="4" t="s">
        <v>466</v>
      </c>
    </row>
    <row r="105" spans="1:35" ht="18" x14ac:dyDescent="0.3">
      <c r="A105" s="10" t="s">
        <v>467</v>
      </c>
      <c r="B105" s="10" t="s">
        <v>468</v>
      </c>
      <c r="C105" s="11" t="s">
        <v>469</v>
      </c>
      <c r="D105" s="12"/>
      <c r="E105" s="12" t="s">
        <v>470</v>
      </c>
      <c r="F105" s="12" t="s">
        <v>87</v>
      </c>
      <c r="G105" s="13">
        <v>1</v>
      </c>
      <c r="H105" s="13"/>
      <c r="I105" s="13">
        <v>49.65</v>
      </c>
      <c r="J105" s="14">
        <f>IFERROR(ROUND(SUM(M106,M107)/I105, 2),0)</f>
        <v>104.52</v>
      </c>
      <c r="K105" s="15">
        <v>200</v>
      </c>
      <c r="L105" s="14">
        <f>J105+ROUND(K105, 2)</f>
        <v>304.52</v>
      </c>
      <c r="M105" s="14">
        <f>ROUND(J105*I105, 2)</f>
        <v>5189.42</v>
      </c>
      <c r="N105" s="14">
        <f>ROUND(I105*ROUND(K105, 2), 2)</f>
        <v>9930</v>
      </c>
      <c r="O105" s="14">
        <f>M105+N105</f>
        <v>15119.42</v>
      </c>
      <c r="P105" s="14">
        <f>IFERROR(ROUND(SUM(S106,S107)/I105, 2),0)</f>
        <v>104.52</v>
      </c>
      <c r="Q105" s="15">
        <v>200</v>
      </c>
      <c r="R105" s="14">
        <f>P105+ROUND(Q105, 2)</f>
        <v>304.52</v>
      </c>
      <c r="S105" s="14">
        <f>ROUND(P105*I105, 2)</f>
        <v>5189.42</v>
      </c>
      <c r="T105" s="14">
        <f>ROUND(I105*ROUND(Q105, 2), 2)</f>
        <v>9930</v>
      </c>
      <c r="U105" s="14">
        <f>S105+T105</f>
        <v>15119.42</v>
      </c>
      <c r="V105" s="9">
        <f>ROUND(P105 / 1.2, 2)</f>
        <v>87.1</v>
      </c>
      <c r="W105" s="9">
        <f>ROUND(Q105 / 1.2, 2)</f>
        <v>166.67</v>
      </c>
      <c r="X105" s="9">
        <f>ROUND(R105 / 1.2, 2)</f>
        <v>253.77</v>
      </c>
      <c r="Y105" s="9">
        <f t="shared" si="15"/>
        <v>4324.5200000000004</v>
      </c>
      <c r="Z105" s="9">
        <f>ROUND(T105 / 1.2, 2)</f>
        <v>8275</v>
      </c>
      <c r="AA105" s="9">
        <f>Y105+Z105</f>
        <v>12599.52</v>
      </c>
      <c r="AD105" s="4">
        <v>271132080</v>
      </c>
      <c r="AE105" s="4">
        <v>16296644</v>
      </c>
      <c r="AG105" s="4" t="s">
        <v>471</v>
      </c>
      <c r="AH105" s="4" t="s">
        <v>472</v>
      </c>
      <c r="AI105" s="4" t="s">
        <v>67</v>
      </c>
    </row>
    <row r="106" spans="1:35" ht="36" x14ac:dyDescent="0.3">
      <c r="A106" s="10" t="s">
        <v>474</v>
      </c>
      <c r="B106" s="10"/>
      <c r="C106" s="24" t="s">
        <v>475</v>
      </c>
      <c r="D106" s="12"/>
      <c r="E106" s="12"/>
      <c r="F106" s="18" t="s">
        <v>87</v>
      </c>
      <c r="G106" s="19">
        <v>1.05</v>
      </c>
      <c r="H106" s="20"/>
      <c r="I106" s="20">
        <v>52.133000000000003</v>
      </c>
      <c r="J106" s="21">
        <v>90.97</v>
      </c>
      <c r="M106" s="22">
        <f>ROUND(ROUND(J106, 2)*I106, 2)</f>
        <v>4742.54</v>
      </c>
      <c r="P106" s="21">
        <v>90.97</v>
      </c>
      <c r="S106" s="22">
        <f>ROUND(ROUND(P106, 2)*I106, 2)</f>
        <v>4742.54</v>
      </c>
      <c r="V106" s="9">
        <f>ROUND(ROUND(P106, 2)/1.2, 2)</f>
        <v>75.81</v>
      </c>
      <c r="Y106" s="9">
        <f t="shared" si="15"/>
        <v>3952.12</v>
      </c>
      <c r="AD106" s="4" t="s">
        <v>476</v>
      </c>
      <c r="AE106" s="4" t="s">
        <v>477</v>
      </c>
      <c r="AF106" s="4" t="s">
        <v>478</v>
      </c>
    </row>
    <row r="107" spans="1:35" ht="54" x14ac:dyDescent="0.3">
      <c r="A107" s="10" t="s">
        <v>481</v>
      </c>
      <c r="B107" s="10"/>
      <c r="C107" s="24" t="s">
        <v>482</v>
      </c>
      <c r="D107" s="12"/>
      <c r="E107" s="12" t="s">
        <v>483</v>
      </c>
      <c r="F107" s="18" t="s">
        <v>116</v>
      </c>
      <c r="G107" s="63">
        <v>0.09</v>
      </c>
      <c r="H107" s="19"/>
      <c r="I107" s="19">
        <v>4.4690000000000003</v>
      </c>
      <c r="J107" s="21">
        <v>100</v>
      </c>
      <c r="M107" s="22">
        <f>ROUND(ROUND(J107, 2)*I107, 2)</f>
        <v>446.9</v>
      </c>
      <c r="P107" s="21">
        <v>100</v>
      </c>
      <c r="S107" s="22">
        <f>ROUND(ROUND(P107, 2)*I107, 2)</f>
        <v>446.9</v>
      </c>
      <c r="V107" s="9">
        <f>ROUND(ROUND(P107, 2)/1.2, 2)</f>
        <v>83.33</v>
      </c>
      <c r="Y107" s="9">
        <f t="shared" si="15"/>
        <v>372.42</v>
      </c>
      <c r="AD107" s="4" t="s">
        <v>484</v>
      </c>
      <c r="AE107" s="4" t="s">
        <v>485</v>
      </c>
      <c r="AF107" s="4" t="s">
        <v>486</v>
      </c>
    </row>
    <row r="108" spans="1:35" ht="18" x14ac:dyDescent="0.3">
      <c r="A108" s="10" t="s">
        <v>489</v>
      </c>
      <c r="B108" s="10" t="s">
        <v>468</v>
      </c>
      <c r="C108" s="11" t="s">
        <v>469</v>
      </c>
      <c r="D108" s="12"/>
      <c r="E108" s="12" t="s">
        <v>490</v>
      </c>
      <c r="F108" s="12" t="s">
        <v>87</v>
      </c>
      <c r="G108" s="13">
        <v>1</v>
      </c>
      <c r="H108" s="13"/>
      <c r="I108" s="13">
        <v>63.14</v>
      </c>
      <c r="J108" s="14">
        <f>IFERROR(ROUND(SUM(M109,M110,M111)/I108, 2),0)</f>
        <v>198.82</v>
      </c>
      <c r="K108" s="15">
        <v>200</v>
      </c>
      <c r="L108" s="14">
        <f>J108+ROUND(K108, 2)</f>
        <v>398.82</v>
      </c>
      <c r="M108" s="14">
        <f>ROUND(J108*I108, 2)</f>
        <v>12553.49</v>
      </c>
      <c r="N108" s="14">
        <f>ROUND(I108*ROUND(K108, 2), 2)</f>
        <v>12628</v>
      </c>
      <c r="O108" s="14">
        <f>M108+N108</f>
        <v>25181.49</v>
      </c>
      <c r="P108" s="14">
        <f>IFERROR(ROUND(SUM(S109,S110,S111)/I108, 2),0)</f>
        <v>198.82</v>
      </c>
      <c r="Q108" s="16">
        <v>200</v>
      </c>
      <c r="R108" s="14">
        <f>P108+ROUND(Q108, 2)</f>
        <v>398.82</v>
      </c>
      <c r="S108" s="14">
        <f>ROUND(P108*I108, 2)</f>
        <v>12553.49</v>
      </c>
      <c r="T108" s="14">
        <f>ROUND(I108*ROUND(Q108, 2), 2)</f>
        <v>12628</v>
      </c>
      <c r="U108" s="14">
        <f>S108+T108</f>
        <v>25181.49</v>
      </c>
      <c r="V108" s="9">
        <f>ROUND(P108 / 1.2, 2)</f>
        <v>165.68</v>
      </c>
      <c r="W108" s="9">
        <f>ROUND(Q108 / 1.2, 2)</f>
        <v>166.67</v>
      </c>
      <c r="X108" s="9">
        <f>ROUND(R108 / 1.2, 2)</f>
        <v>332.35</v>
      </c>
      <c r="Y108" s="9">
        <f t="shared" si="15"/>
        <v>10461.24</v>
      </c>
      <c r="Z108" s="9">
        <f>ROUND(T108 / 1.2, 2)</f>
        <v>10523.33</v>
      </c>
      <c r="AA108" s="9">
        <f>Y108+Z108</f>
        <v>20984.57</v>
      </c>
      <c r="AD108" s="4">
        <v>271132170</v>
      </c>
      <c r="AE108" s="4">
        <v>19812816</v>
      </c>
      <c r="AG108" s="4" t="s">
        <v>471</v>
      </c>
      <c r="AH108" s="4" t="s">
        <v>472</v>
      </c>
      <c r="AI108" s="4" t="s">
        <v>67</v>
      </c>
    </row>
    <row r="109" spans="1:35" ht="54" x14ac:dyDescent="0.3">
      <c r="A109" s="10" t="s">
        <v>491</v>
      </c>
      <c r="B109" s="10"/>
      <c r="C109" s="24" t="s">
        <v>482</v>
      </c>
      <c r="D109" s="12"/>
      <c r="E109" s="12" t="s">
        <v>483</v>
      </c>
      <c r="F109" s="18" t="s">
        <v>116</v>
      </c>
      <c r="G109" s="63">
        <v>0.09</v>
      </c>
      <c r="H109" s="19"/>
      <c r="I109" s="19">
        <v>5.6829999999999998</v>
      </c>
      <c r="J109" s="21">
        <v>100</v>
      </c>
      <c r="M109" s="22">
        <f>ROUND(ROUND(J109, 2)*I109, 2)</f>
        <v>568.29999999999995</v>
      </c>
      <c r="P109" s="23">
        <v>100</v>
      </c>
      <c r="S109" s="22">
        <f>ROUND(ROUND(P109, 2)*I109, 2)</f>
        <v>568.29999999999995</v>
      </c>
      <c r="V109" s="9">
        <f>ROUND(ROUND(P109, 2)/1.2, 2)</f>
        <v>83.33</v>
      </c>
      <c r="Y109" s="9">
        <f t="shared" si="15"/>
        <v>473.58</v>
      </c>
      <c r="AD109" s="4" t="s">
        <v>492</v>
      </c>
      <c r="AE109" s="4" t="s">
        <v>493</v>
      </c>
      <c r="AF109" s="4" t="s">
        <v>486</v>
      </c>
    </row>
    <row r="110" spans="1:35" ht="54" x14ac:dyDescent="0.3">
      <c r="A110" s="10" t="s">
        <v>494</v>
      </c>
      <c r="B110" s="10"/>
      <c r="C110" s="17" t="s">
        <v>475</v>
      </c>
      <c r="D110" s="12"/>
      <c r="E110" s="12" t="s">
        <v>495</v>
      </c>
      <c r="F110" s="18" t="s">
        <v>87</v>
      </c>
      <c r="G110" s="19">
        <v>1.05</v>
      </c>
      <c r="H110" s="20"/>
      <c r="I110" s="20">
        <v>49.591999999999999</v>
      </c>
      <c r="J110" s="21">
        <v>90.21</v>
      </c>
      <c r="M110" s="22">
        <f>ROUND(ROUND(J110, 2)*I110, 2)</f>
        <v>4473.6899999999996</v>
      </c>
      <c r="P110" s="23">
        <v>90.21</v>
      </c>
      <c r="S110" s="22">
        <f>ROUND(ROUND(P110, 2)*I110, 2)</f>
        <v>4473.6899999999996</v>
      </c>
      <c r="V110" s="9">
        <f>ROUND(ROUND(P110, 2)/1.2, 2)</f>
        <v>75.180000000000007</v>
      </c>
      <c r="Y110" s="9">
        <f t="shared" si="15"/>
        <v>3728.08</v>
      </c>
      <c r="AD110" s="4" t="s">
        <v>496</v>
      </c>
      <c r="AE110" s="4" t="s">
        <v>497</v>
      </c>
      <c r="AF110" s="4" t="s">
        <v>478</v>
      </c>
    </row>
    <row r="111" spans="1:35" ht="54" x14ac:dyDescent="0.3">
      <c r="A111" s="10" t="s">
        <v>498</v>
      </c>
      <c r="B111" s="10"/>
      <c r="C111" s="17" t="s">
        <v>499</v>
      </c>
      <c r="D111" s="12"/>
      <c r="E111" s="12" t="s">
        <v>500</v>
      </c>
      <c r="F111" s="18" t="s">
        <v>87</v>
      </c>
      <c r="G111" s="19">
        <v>1.1000000000000001</v>
      </c>
      <c r="H111" s="20"/>
      <c r="I111" s="20">
        <v>17.501000000000001</v>
      </c>
      <c r="J111" s="21">
        <v>429.22</v>
      </c>
      <c r="M111" s="22">
        <f>ROUND(ROUND(J111, 2)*I111, 2)</f>
        <v>7511.78</v>
      </c>
      <c r="P111" s="23">
        <v>429.22</v>
      </c>
      <c r="S111" s="22">
        <f>ROUND(ROUND(P111, 2)*I111, 2)</f>
        <v>7511.78</v>
      </c>
      <c r="V111" s="9">
        <f>ROUND(ROUND(P111, 2)/1.2, 2)</f>
        <v>357.68</v>
      </c>
      <c r="Y111" s="9">
        <f t="shared" si="15"/>
        <v>6259.82</v>
      </c>
      <c r="AD111" s="4" t="s">
        <v>501</v>
      </c>
      <c r="AE111" s="4" t="s">
        <v>502</v>
      </c>
      <c r="AF111" s="4" t="s">
        <v>503</v>
      </c>
    </row>
    <row r="112" spans="1:35" ht="54" x14ac:dyDescent="0.3">
      <c r="A112" s="10" t="s">
        <v>504</v>
      </c>
      <c r="B112" s="10" t="s">
        <v>505</v>
      </c>
      <c r="C112" s="11" t="s">
        <v>506</v>
      </c>
      <c r="D112" s="12"/>
      <c r="E112" s="12" t="s">
        <v>507</v>
      </c>
      <c r="F112" s="12" t="s">
        <v>87</v>
      </c>
      <c r="G112" s="13">
        <v>1</v>
      </c>
      <c r="H112" s="13"/>
      <c r="I112" s="13">
        <v>0</v>
      </c>
      <c r="J112" s="14">
        <f>IFERROR(ROUND(SUM(M113,M114,M115)/I112, 2),0)</f>
        <v>0</v>
      </c>
      <c r="K112" s="15">
        <v>374</v>
      </c>
      <c r="L112" s="14">
        <f>J112+ROUND(K112, 2)</f>
        <v>374</v>
      </c>
      <c r="M112" s="14">
        <f>ROUND(J112*I112, 2)</f>
        <v>0</v>
      </c>
      <c r="N112" s="14">
        <f>ROUND(I112*ROUND(K112, 2), 2)</f>
        <v>0</v>
      </c>
      <c r="O112" s="14">
        <f>M112+N112</f>
        <v>0</v>
      </c>
      <c r="P112" s="14">
        <f>IFERROR(ROUND(SUM(S113,S114,S115)/I112, 2),0)</f>
        <v>0</v>
      </c>
      <c r="Q112" s="15">
        <v>374</v>
      </c>
      <c r="R112" s="14">
        <f>P112+ROUND(Q112, 2)</f>
        <v>374</v>
      </c>
      <c r="S112" s="14">
        <f>ROUND(P112*I112, 2)</f>
        <v>0</v>
      </c>
      <c r="T112" s="14">
        <f>ROUND(I112*ROUND(Q112, 2), 2)</f>
        <v>0</v>
      </c>
      <c r="U112" s="14">
        <f>S112+T112</f>
        <v>0</v>
      </c>
      <c r="V112" s="9">
        <f>ROUND(P112 / 1.2, 2)</f>
        <v>0</v>
      </c>
      <c r="W112" s="9">
        <f>ROUND(Q112 / 1.2, 2)</f>
        <v>311.67</v>
      </c>
      <c r="X112" s="9">
        <f>ROUND(R112 / 1.2, 2)</f>
        <v>311.67</v>
      </c>
      <c r="Y112" s="9">
        <f t="shared" si="15"/>
        <v>0</v>
      </c>
      <c r="Z112" s="9">
        <f>ROUND(T112 / 1.2, 2)</f>
        <v>0</v>
      </c>
      <c r="AA112" s="9">
        <f>Y112+Z112</f>
        <v>0</v>
      </c>
      <c r="AD112" s="4">
        <v>271132082</v>
      </c>
      <c r="AE112" s="4">
        <v>16293721</v>
      </c>
      <c r="AG112" s="4" t="s">
        <v>508</v>
      </c>
      <c r="AH112" s="4" t="s">
        <v>509</v>
      </c>
      <c r="AI112" s="4" t="s">
        <v>67</v>
      </c>
    </row>
    <row r="113" spans="1:35" ht="72" x14ac:dyDescent="0.3">
      <c r="A113" s="10" t="s">
        <v>511</v>
      </c>
      <c r="B113" s="10"/>
      <c r="C113" s="17" t="s">
        <v>512</v>
      </c>
      <c r="D113" s="12"/>
      <c r="E113" s="12" t="s">
        <v>513</v>
      </c>
      <c r="F113" s="18" t="s">
        <v>64</v>
      </c>
      <c r="G113" s="19">
        <v>0.11</v>
      </c>
      <c r="H113" s="19"/>
      <c r="I113" s="19">
        <v>0</v>
      </c>
      <c r="J113" s="21">
        <v>850</v>
      </c>
      <c r="M113" s="22">
        <f>ROUND(ROUND(J113, 2)*I113, 2)</f>
        <v>0</v>
      </c>
      <c r="P113" s="21">
        <v>850</v>
      </c>
      <c r="S113" s="22">
        <f>ROUND(ROUND(P113, 2)*I113, 2)</f>
        <v>0</v>
      </c>
      <c r="V113" s="9">
        <f>ROUND(ROUND(P113, 2)/1.2, 2)</f>
        <v>708.33</v>
      </c>
      <c r="Y113" s="9">
        <f t="shared" si="15"/>
        <v>0</v>
      </c>
      <c r="AD113" s="4" t="s">
        <v>514</v>
      </c>
      <c r="AE113" s="4" t="s">
        <v>515</v>
      </c>
      <c r="AF113" s="4" t="s">
        <v>516</v>
      </c>
    </row>
    <row r="114" spans="1:35" ht="18" x14ac:dyDescent="0.3">
      <c r="A114" s="10" t="s">
        <v>520</v>
      </c>
      <c r="B114" s="10"/>
      <c r="C114" s="24" t="s">
        <v>426</v>
      </c>
      <c r="D114" s="12"/>
      <c r="E114" s="12"/>
      <c r="F114" s="18" t="s">
        <v>70</v>
      </c>
      <c r="G114" s="19">
        <v>0.04</v>
      </c>
      <c r="H114" s="19"/>
      <c r="I114" s="19">
        <v>0</v>
      </c>
      <c r="J114" s="21">
        <v>40.270000000000003</v>
      </c>
      <c r="M114" s="22">
        <f>ROUND(ROUND(J114, 2)*I114, 2)</f>
        <v>0</v>
      </c>
      <c r="P114" s="21">
        <v>40.270000000000003</v>
      </c>
      <c r="S114" s="22">
        <f>ROUND(ROUND(P114, 2)*I114, 2)</f>
        <v>0</v>
      </c>
      <c r="V114" s="9">
        <f>ROUND(ROUND(P114, 2)/1.2, 2)</f>
        <v>33.56</v>
      </c>
      <c r="Y114" s="9">
        <f t="shared" si="15"/>
        <v>0</v>
      </c>
      <c r="AD114" s="4" t="s">
        <v>521</v>
      </c>
      <c r="AE114" s="4" t="s">
        <v>522</v>
      </c>
      <c r="AF114" s="4" t="s">
        <v>429</v>
      </c>
    </row>
    <row r="115" spans="1:35" ht="36" x14ac:dyDescent="0.3">
      <c r="A115" s="10" t="s">
        <v>525</v>
      </c>
      <c r="B115" s="10"/>
      <c r="C115" s="24" t="s">
        <v>433</v>
      </c>
      <c r="D115" s="12"/>
      <c r="E115" s="12"/>
      <c r="F115" s="18" t="s">
        <v>70</v>
      </c>
      <c r="G115" s="19">
        <v>1.4999999999999999E-2</v>
      </c>
      <c r="H115" s="19"/>
      <c r="I115" s="19">
        <v>0</v>
      </c>
      <c r="J115" s="21">
        <v>88.8</v>
      </c>
      <c r="M115" s="22">
        <f>ROUND(ROUND(J115, 2)*I115, 2)</f>
        <v>0</v>
      </c>
      <c r="P115" s="21">
        <v>88.8</v>
      </c>
      <c r="S115" s="22">
        <f>ROUND(ROUND(P115, 2)*I115, 2)</f>
        <v>0</v>
      </c>
      <c r="V115" s="9">
        <f>ROUND(ROUND(P115, 2)/1.2, 2)</f>
        <v>74</v>
      </c>
      <c r="Y115" s="9">
        <f t="shared" si="15"/>
        <v>0</v>
      </c>
      <c r="AD115" s="4" t="s">
        <v>526</v>
      </c>
      <c r="AE115" s="4" t="s">
        <v>527</v>
      </c>
      <c r="AF115" s="4" t="s">
        <v>436</v>
      </c>
    </row>
    <row r="116" spans="1:35" ht="36" x14ac:dyDescent="0.3">
      <c r="A116" s="10" t="s">
        <v>530</v>
      </c>
      <c r="B116" s="10" t="s">
        <v>531</v>
      </c>
      <c r="C116" s="11" t="s">
        <v>532</v>
      </c>
      <c r="D116" s="12"/>
      <c r="E116" s="12" t="s">
        <v>533</v>
      </c>
      <c r="F116" s="12" t="s">
        <v>87</v>
      </c>
      <c r="G116" s="13">
        <v>1</v>
      </c>
      <c r="H116" s="13"/>
      <c r="I116" s="13">
        <v>0</v>
      </c>
      <c r="J116" s="14">
        <f>IFERROR(ROUND(SUM(M117,M118)/I116, 2),0)</f>
        <v>0</v>
      </c>
      <c r="K116" s="15">
        <v>156</v>
      </c>
      <c r="L116" s="14">
        <f>J116+ROUND(K116, 2)</f>
        <v>156</v>
      </c>
      <c r="M116" s="14">
        <f>ROUND(J116*I116, 2)</f>
        <v>0</v>
      </c>
      <c r="N116" s="14">
        <f>ROUND(I116*ROUND(K116, 2), 2)</f>
        <v>0</v>
      </c>
      <c r="O116" s="14">
        <f>M116+N116</f>
        <v>0</v>
      </c>
      <c r="P116" s="14">
        <f>IFERROR(ROUND(SUM(S117,S118)/I116, 2),0)</f>
        <v>0</v>
      </c>
      <c r="Q116" s="15">
        <v>156</v>
      </c>
      <c r="R116" s="14">
        <f>P116+ROUND(Q116, 2)</f>
        <v>156</v>
      </c>
      <c r="S116" s="14">
        <f>ROUND(P116*I116, 2)</f>
        <v>0</v>
      </c>
      <c r="T116" s="14">
        <f>ROUND(I116*ROUND(Q116, 2), 2)</f>
        <v>0</v>
      </c>
      <c r="U116" s="14">
        <f>S116+T116</f>
        <v>0</v>
      </c>
      <c r="V116" s="9">
        <f>ROUND(P116 / 1.2, 2)</f>
        <v>0</v>
      </c>
      <c r="W116" s="9">
        <f>ROUND(Q116 / 1.2, 2)</f>
        <v>130</v>
      </c>
      <c r="X116" s="9">
        <f>ROUND(R116 / 1.2, 2)</f>
        <v>130</v>
      </c>
      <c r="Y116" s="9">
        <f t="shared" si="15"/>
        <v>0</v>
      </c>
      <c r="Z116" s="9">
        <f>ROUND(T116 / 1.2, 2)</f>
        <v>0</v>
      </c>
      <c r="AA116" s="9">
        <f>Y116+Z116</f>
        <v>0</v>
      </c>
      <c r="AD116" s="4">
        <v>271132084</v>
      </c>
      <c r="AE116" s="4">
        <v>16293719</v>
      </c>
      <c r="AG116" s="4" t="s">
        <v>534</v>
      </c>
      <c r="AH116" s="4" t="s">
        <v>535</v>
      </c>
      <c r="AI116" s="4" t="s">
        <v>67</v>
      </c>
    </row>
    <row r="117" spans="1:35" ht="54" x14ac:dyDescent="0.3">
      <c r="A117" s="10" t="s">
        <v>537</v>
      </c>
      <c r="B117" s="10"/>
      <c r="C117" s="24" t="s">
        <v>538</v>
      </c>
      <c r="D117" s="12"/>
      <c r="E117" s="12" t="s">
        <v>539</v>
      </c>
      <c r="F117" s="18" t="s">
        <v>87</v>
      </c>
      <c r="G117" s="19">
        <v>1</v>
      </c>
      <c r="H117" s="20"/>
      <c r="I117" s="20">
        <v>0</v>
      </c>
      <c r="J117" s="21">
        <v>172.74</v>
      </c>
      <c r="M117" s="22">
        <f>ROUND(ROUND(J117, 2)*I117, 2)</f>
        <v>0</v>
      </c>
      <c r="P117" s="21">
        <v>172.74</v>
      </c>
      <c r="S117" s="22">
        <f>ROUND(ROUND(P117, 2)*I117, 2)</f>
        <v>0</v>
      </c>
      <c r="V117" s="9">
        <f>ROUND(ROUND(P117, 2)/1.2, 2)</f>
        <v>143.94999999999999</v>
      </c>
      <c r="Y117" s="9">
        <f t="shared" si="15"/>
        <v>0</v>
      </c>
      <c r="AD117" s="4" t="s">
        <v>540</v>
      </c>
      <c r="AE117" s="4" t="s">
        <v>541</v>
      </c>
      <c r="AF117" s="4" t="s">
        <v>542</v>
      </c>
    </row>
    <row r="118" spans="1:35" ht="54" x14ac:dyDescent="0.3">
      <c r="A118" s="10" t="s">
        <v>545</v>
      </c>
      <c r="B118" s="10"/>
      <c r="C118" s="24" t="s">
        <v>482</v>
      </c>
      <c r="D118" s="12"/>
      <c r="E118" s="12" t="s">
        <v>483</v>
      </c>
      <c r="F118" s="18" t="s">
        <v>116</v>
      </c>
      <c r="G118" s="19">
        <v>0.09</v>
      </c>
      <c r="H118" s="20"/>
      <c r="I118" s="20">
        <v>0</v>
      </c>
      <c r="J118" s="21">
        <v>100</v>
      </c>
      <c r="M118" s="22">
        <f>ROUND(ROUND(J118, 2)*I118, 2)</f>
        <v>0</v>
      </c>
      <c r="P118" s="21">
        <v>100</v>
      </c>
      <c r="S118" s="22">
        <f>ROUND(ROUND(P118, 2)*I118, 2)</f>
        <v>0</v>
      </c>
      <c r="V118" s="9">
        <f>ROUND(ROUND(P118, 2)/1.2, 2)</f>
        <v>83.33</v>
      </c>
      <c r="Y118" s="9">
        <f t="shared" si="15"/>
        <v>0</v>
      </c>
      <c r="AD118" s="4" t="s">
        <v>546</v>
      </c>
      <c r="AE118" s="4" t="s">
        <v>547</v>
      </c>
      <c r="AF118" s="4" t="s">
        <v>486</v>
      </c>
    </row>
    <row r="119" spans="1:35" ht="36" x14ac:dyDescent="0.3">
      <c r="A119" s="10" t="s">
        <v>550</v>
      </c>
      <c r="B119" s="10" t="s">
        <v>551</v>
      </c>
      <c r="C119" s="11" t="s">
        <v>552</v>
      </c>
      <c r="D119" s="12"/>
      <c r="E119" s="12" t="s">
        <v>63</v>
      </c>
      <c r="F119" s="12" t="s">
        <v>64</v>
      </c>
      <c r="G119" s="13">
        <v>1</v>
      </c>
      <c r="H119" s="13"/>
      <c r="I119" s="13">
        <v>3721.92</v>
      </c>
      <c r="J119" s="14">
        <f>IFERROR(ROUND(SUM(M120,M121)/I119, 2),0)</f>
        <v>0</v>
      </c>
      <c r="K119" s="15">
        <v>661</v>
      </c>
      <c r="L119" s="14">
        <f>J119+ROUND(K119, 2)</f>
        <v>661</v>
      </c>
      <c r="M119" s="14">
        <f>ROUND(J119*I119, 2)</f>
        <v>0</v>
      </c>
      <c r="N119" s="14">
        <f>ROUND(I119*ROUND(K119, 2), 2)</f>
        <v>2460189.12</v>
      </c>
      <c r="O119" s="14">
        <f>M119+N119</f>
        <v>2460189.12</v>
      </c>
      <c r="P119" s="14">
        <f>IFERROR(ROUND(SUM(S120,S121)/I119, 2),0)</f>
        <v>2064.19</v>
      </c>
      <c r="Q119" s="15">
        <v>661</v>
      </c>
      <c r="R119" s="14">
        <f>P119+ROUND(Q119, 2)</f>
        <v>2725.19</v>
      </c>
      <c r="S119" s="14">
        <f>ROUND(P119*I119, 2)</f>
        <v>7682750.04</v>
      </c>
      <c r="T119" s="14">
        <f>ROUND(I119*ROUND(Q119, 2), 2)</f>
        <v>2460189.12</v>
      </c>
      <c r="U119" s="14">
        <f>S119+T119</f>
        <v>10142939.16</v>
      </c>
      <c r="V119" s="9">
        <f>ROUND(P119 / 1.2, 2)</f>
        <v>1720.16</v>
      </c>
      <c r="W119" s="9">
        <f>ROUND(Q119 / 1.2, 2)</f>
        <v>550.83000000000004</v>
      </c>
      <c r="X119" s="9">
        <f>ROUND(R119 / 1.2, 2)</f>
        <v>2270.9899999999998</v>
      </c>
      <c r="Y119" s="9">
        <f t="shared" si="15"/>
        <v>6402291.7000000002</v>
      </c>
      <c r="Z119" s="9">
        <f>ROUND(T119 / 1.2, 2)</f>
        <v>2050157.6</v>
      </c>
      <c r="AA119" s="9">
        <f>Y119+Z119</f>
        <v>8452449.3000000007</v>
      </c>
      <c r="AD119" s="4">
        <v>271132086</v>
      </c>
      <c r="AE119" s="4">
        <v>16296636</v>
      </c>
      <c r="AG119" s="4" t="s">
        <v>553</v>
      </c>
      <c r="AH119" s="4" t="s">
        <v>554</v>
      </c>
      <c r="AI119" s="4" t="s">
        <v>67</v>
      </c>
    </row>
    <row r="120" spans="1:35" ht="90" x14ac:dyDescent="0.3">
      <c r="A120" s="10" t="s">
        <v>556</v>
      </c>
      <c r="B120" s="10"/>
      <c r="C120" s="24" t="s">
        <v>557</v>
      </c>
      <c r="D120" s="12"/>
      <c r="E120" s="12" t="s">
        <v>558</v>
      </c>
      <c r="F120" s="18" t="s">
        <v>116</v>
      </c>
      <c r="G120" s="19">
        <v>1</v>
      </c>
      <c r="H120" s="20"/>
      <c r="I120" s="20">
        <v>433.65600000000001</v>
      </c>
      <c r="J120" s="21">
        <v>0</v>
      </c>
      <c r="M120" s="22">
        <f>ROUND(ROUND(J120, 2)*I120, 2)</f>
        <v>0</v>
      </c>
      <c r="P120" s="21">
        <v>4456</v>
      </c>
      <c r="S120" s="22">
        <f>ROUND(ROUND(P120, 2)*I120, 2)</f>
        <v>1932371.14</v>
      </c>
      <c r="V120" s="9">
        <f>ROUND(ROUND(P120, 2)/1.2, 2)</f>
        <v>3713.33</v>
      </c>
      <c r="Y120" s="9">
        <f t="shared" si="15"/>
        <v>1610309.28</v>
      </c>
      <c r="AD120" s="4" t="s">
        <v>559</v>
      </c>
      <c r="AE120" s="4" t="s">
        <v>560</v>
      </c>
      <c r="AF120" s="4" t="s">
        <v>561</v>
      </c>
    </row>
    <row r="121" spans="1:35" ht="90" x14ac:dyDescent="0.3">
      <c r="A121" s="10" t="s">
        <v>564</v>
      </c>
      <c r="B121" s="10"/>
      <c r="C121" s="24" t="s">
        <v>565</v>
      </c>
      <c r="D121" s="12"/>
      <c r="E121" s="12" t="s">
        <v>566</v>
      </c>
      <c r="F121" s="18" t="s">
        <v>64</v>
      </c>
      <c r="G121" s="19">
        <v>1.03</v>
      </c>
      <c r="H121" s="20"/>
      <c r="I121" s="20">
        <v>3833.578</v>
      </c>
      <c r="J121" s="21">
        <v>0</v>
      </c>
      <c r="M121" s="22">
        <f>ROUND(ROUND(J121, 2)*I121, 2)</f>
        <v>0</v>
      </c>
      <c r="P121" s="21">
        <v>1500</v>
      </c>
      <c r="S121" s="22">
        <f>ROUND(ROUND(P121, 2)*I121, 2)</f>
        <v>5750367</v>
      </c>
      <c r="V121" s="9">
        <f>ROUND(ROUND(P121, 2)/1.2, 2)</f>
        <v>1250</v>
      </c>
      <c r="Y121" s="9">
        <f t="shared" si="15"/>
        <v>4791972.5</v>
      </c>
      <c r="AD121" s="4" t="s">
        <v>567</v>
      </c>
      <c r="AE121" s="4" t="s">
        <v>568</v>
      </c>
      <c r="AF121" s="4" t="s">
        <v>569</v>
      </c>
    </row>
    <row r="122" spans="1:35" ht="36" x14ac:dyDescent="0.3">
      <c r="A122" s="10" t="s">
        <v>572</v>
      </c>
      <c r="B122" s="10" t="s">
        <v>551</v>
      </c>
      <c r="C122" s="11" t="s">
        <v>552</v>
      </c>
      <c r="D122" s="12"/>
      <c r="E122" s="12" t="s">
        <v>81</v>
      </c>
      <c r="F122" s="12" t="s">
        <v>64</v>
      </c>
      <c r="G122" s="13">
        <v>1</v>
      </c>
      <c r="H122" s="13"/>
      <c r="I122" s="13">
        <v>3457.16</v>
      </c>
      <c r="J122" s="14">
        <f>IFERROR(ROUND(SUM(M123,M124)/I122, 2),0)</f>
        <v>0</v>
      </c>
      <c r="K122" s="15">
        <v>661</v>
      </c>
      <c r="L122" s="14">
        <f>J122+ROUND(K122, 2)</f>
        <v>661</v>
      </c>
      <c r="M122" s="14">
        <f>ROUND(J122*I122, 2)</f>
        <v>0</v>
      </c>
      <c r="N122" s="14">
        <f>ROUND(I122*ROUND(K122, 2), 2)</f>
        <v>2285182.7599999998</v>
      </c>
      <c r="O122" s="14">
        <f>M122+N122</f>
        <v>2285182.7599999998</v>
      </c>
      <c r="P122" s="14">
        <f>IFERROR(ROUND(SUM(S123,S124)/I122, 2),0)</f>
        <v>0</v>
      </c>
      <c r="Q122" s="16">
        <v>661</v>
      </c>
      <c r="R122" s="14">
        <f>P122+ROUND(Q122, 2)</f>
        <v>661</v>
      </c>
      <c r="S122" s="14">
        <f>ROUND(P122*I122, 2)</f>
        <v>0</v>
      </c>
      <c r="T122" s="14">
        <f>ROUND(I122*ROUND(Q122, 2), 2)</f>
        <v>2285182.7599999998</v>
      </c>
      <c r="U122" s="14">
        <f>S122+T122</f>
        <v>2285182.7599999998</v>
      </c>
      <c r="V122" s="9">
        <f>ROUND(P122 / 1.2, 2)</f>
        <v>0</v>
      </c>
      <c r="W122" s="9">
        <f>ROUND(Q122 / 1.2, 2)</f>
        <v>550.83000000000004</v>
      </c>
      <c r="X122" s="9">
        <f>ROUND(R122 / 1.2, 2)</f>
        <v>550.83000000000004</v>
      </c>
      <c r="Y122" s="9">
        <f t="shared" si="15"/>
        <v>0</v>
      </c>
      <c r="Z122" s="9">
        <f>ROUND(T122 / 1.2, 2)</f>
        <v>1904318.97</v>
      </c>
      <c r="AA122" s="9">
        <f>Y122+Z122</f>
        <v>1904318.97</v>
      </c>
      <c r="AD122" s="4">
        <v>271132171</v>
      </c>
      <c r="AE122" s="4">
        <v>19813231</v>
      </c>
      <c r="AG122" s="4" t="s">
        <v>553</v>
      </c>
      <c r="AH122" s="4" t="s">
        <v>554</v>
      </c>
      <c r="AI122" s="4" t="s">
        <v>67</v>
      </c>
    </row>
    <row r="123" spans="1:35" ht="90" x14ac:dyDescent="0.3">
      <c r="A123" s="10" t="s">
        <v>573</v>
      </c>
      <c r="B123" s="10"/>
      <c r="C123" s="24" t="s">
        <v>565</v>
      </c>
      <c r="D123" s="12"/>
      <c r="E123" s="12" t="s">
        <v>574</v>
      </c>
      <c r="F123" s="18" t="s">
        <v>64</v>
      </c>
      <c r="G123" s="19">
        <v>1.03</v>
      </c>
      <c r="H123" s="20"/>
      <c r="I123" s="20">
        <v>3560.875</v>
      </c>
      <c r="J123" s="21">
        <v>0</v>
      </c>
      <c r="M123" s="22">
        <f>ROUND(ROUND(J123, 2)*I123, 2)</f>
        <v>0</v>
      </c>
      <c r="P123" s="23">
        <v>0</v>
      </c>
      <c r="S123" s="22">
        <f>ROUND(ROUND(P123, 2)*I123, 2)</f>
        <v>0</v>
      </c>
      <c r="V123" s="9">
        <f>ROUND(ROUND(P123, 2)/1.2, 2)</f>
        <v>0</v>
      </c>
      <c r="Y123" s="9">
        <f t="shared" si="15"/>
        <v>0</v>
      </c>
      <c r="AD123" s="4" t="s">
        <v>575</v>
      </c>
      <c r="AE123" s="4" t="s">
        <v>576</v>
      </c>
      <c r="AF123" s="4" t="s">
        <v>569</v>
      </c>
    </row>
    <row r="124" spans="1:35" ht="90" x14ac:dyDescent="0.3">
      <c r="A124" s="10" t="s">
        <v>577</v>
      </c>
      <c r="B124" s="10"/>
      <c r="C124" s="24" t="s">
        <v>557</v>
      </c>
      <c r="D124" s="12"/>
      <c r="E124" s="12" t="s">
        <v>558</v>
      </c>
      <c r="F124" s="18" t="s">
        <v>116</v>
      </c>
      <c r="G124" s="19">
        <v>1</v>
      </c>
      <c r="H124" s="20"/>
      <c r="I124" s="20">
        <v>408</v>
      </c>
      <c r="J124" s="21">
        <v>0</v>
      </c>
      <c r="M124" s="22">
        <f>ROUND(ROUND(J124, 2)*I124, 2)</f>
        <v>0</v>
      </c>
      <c r="P124" s="23">
        <v>0</v>
      </c>
      <c r="S124" s="22">
        <f>ROUND(ROUND(P124, 2)*I124, 2)</f>
        <v>0</v>
      </c>
      <c r="V124" s="9">
        <f>ROUND(ROUND(P124, 2)/1.2, 2)</f>
        <v>0</v>
      </c>
      <c r="Y124" s="9">
        <f t="shared" si="15"/>
        <v>0</v>
      </c>
      <c r="AD124" s="4" t="s">
        <v>578</v>
      </c>
      <c r="AE124" s="4" t="s">
        <v>579</v>
      </c>
      <c r="AF124" s="4" t="s">
        <v>561</v>
      </c>
    </row>
    <row r="125" spans="1:35" ht="36" x14ac:dyDescent="0.3">
      <c r="A125" s="10" t="s">
        <v>580</v>
      </c>
      <c r="B125" s="10" t="s">
        <v>581</v>
      </c>
      <c r="C125" s="11" t="s">
        <v>582</v>
      </c>
      <c r="D125" s="12"/>
      <c r="E125" s="12" t="s">
        <v>583</v>
      </c>
      <c r="F125" s="12" t="s">
        <v>87</v>
      </c>
      <c r="G125" s="13">
        <v>1</v>
      </c>
      <c r="H125" s="13"/>
      <c r="I125" s="13">
        <v>1560.93</v>
      </c>
      <c r="J125" s="14">
        <f>IFERROR(ROUND(SUM(M126)/I125, 2),0)</f>
        <v>379.23</v>
      </c>
      <c r="K125" s="15">
        <v>210</v>
      </c>
      <c r="L125" s="14">
        <f>J125+ROUND(K125, 2)</f>
        <v>589.23</v>
      </c>
      <c r="M125" s="14">
        <f>ROUND(J125*I125, 2)</f>
        <v>591951.48</v>
      </c>
      <c r="N125" s="14">
        <f>ROUND(I125*ROUND(K125, 2), 2)</f>
        <v>327795.3</v>
      </c>
      <c r="O125" s="14">
        <f>M125+N125</f>
        <v>919746.78</v>
      </c>
      <c r="P125" s="14">
        <f>IFERROR(ROUND(SUM(S126)/I125, 2),0)</f>
        <v>379.23</v>
      </c>
      <c r="Q125" s="16">
        <v>210</v>
      </c>
      <c r="R125" s="14">
        <f>P125+ROUND(Q125, 2)</f>
        <v>589.23</v>
      </c>
      <c r="S125" s="14">
        <f>ROUND(P125*I125, 2)</f>
        <v>591951.48</v>
      </c>
      <c r="T125" s="14">
        <f>ROUND(I125*ROUND(Q125, 2), 2)</f>
        <v>327795.3</v>
      </c>
      <c r="U125" s="14">
        <f>S125+T125</f>
        <v>919746.78</v>
      </c>
      <c r="V125" s="9">
        <f>ROUND(P125 / 1.2, 2)</f>
        <v>316.02999999999997</v>
      </c>
      <c r="W125" s="9">
        <f>ROUND(Q125 / 1.2, 2)</f>
        <v>175</v>
      </c>
      <c r="X125" s="9">
        <f>ROUND(R125 / 1.2, 2)</f>
        <v>491.03</v>
      </c>
      <c r="Y125" s="9">
        <f t="shared" si="15"/>
        <v>493292.9</v>
      </c>
      <c r="Z125" s="9">
        <f>ROUND(T125 / 1.2, 2)</f>
        <v>273162.75</v>
      </c>
      <c r="AA125" s="9">
        <f>Y125+Z125</f>
        <v>766455.65</v>
      </c>
      <c r="AD125" s="4">
        <v>271132088</v>
      </c>
      <c r="AE125" s="4">
        <v>19813576</v>
      </c>
      <c r="AG125" s="4" t="s">
        <v>584</v>
      </c>
      <c r="AH125" s="4" t="s">
        <v>585</v>
      </c>
      <c r="AI125" s="4" t="s">
        <v>67</v>
      </c>
    </row>
    <row r="126" spans="1:35" ht="72" x14ac:dyDescent="0.3">
      <c r="A126" s="10" t="s">
        <v>586</v>
      </c>
      <c r="B126" s="10"/>
      <c r="C126" s="24" t="s">
        <v>587</v>
      </c>
      <c r="D126" s="12"/>
      <c r="E126" s="12"/>
      <c r="F126" s="18" t="s">
        <v>87</v>
      </c>
      <c r="G126" s="19">
        <v>1.1000000000000001</v>
      </c>
      <c r="H126" s="20"/>
      <c r="I126" s="20">
        <v>1717.0229999999999</v>
      </c>
      <c r="J126" s="21">
        <v>344.75</v>
      </c>
      <c r="M126" s="22">
        <f>ROUND(ROUND(J126, 2)*I126, 2)</f>
        <v>591943.68000000005</v>
      </c>
      <c r="P126" s="23">
        <v>344.75</v>
      </c>
      <c r="S126" s="22">
        <f>ROUND(ROUND(P126, 2)*I126, 2)</f>
        <v>591943.68000000005</v>
      </c>
      <c r="V126" s="9">
        <f>ROUND(ROUND(P126, 2)/1.2, 2)</f>
        <v>287.29000000000002</v>
      </c>
      <c r="Y126" s="9">
        <f t="shared" si="15"/>
        <v>493286.40000000002</v>
      </c>
      <c r="AD126" s="4" t="s">
        <v>588</v>
      </c>
      <c r="AE126" s="4" t="s">
        <v>589</v>
      </c>
      <c r="AF126" s="4" t="s">
        <v>590</v>
      </c>
    </row>
    <row r="127" spans="1:35" ht="36" x14ac:dyDescent="0.3">
      <c r="A127" s="10" t="s">
        <v>591</v>
      </c>
      <c r="B127" s="10" t="s">
        <v>581</v>
      </c>
      <c r="C127" s="11" t="s">
        <v>582</v>
      </c>
      <c r="D127" s="12"/>
      <c r="E127" s="12" t="s">
        <v>533</v>
      </c>
      <c r="F127" s="12" t="s">
        <v>87</v>
      </c>
      <c r="G127" s="13">
        <v>1</v>
      </c>
      <c r="H127" s="13"/>
      <c r="I127" s="13">
        <v>1769.72</v>
      </c>
      <c r="J127" s="14">
        <f>IFERROR(ROUND(SUM(M128)/I127, 2),0)</f>
        <v>379.23</v>
      </c>
      <c r="K127" s="15">
        <v>210</v>
      </c>
      <c r="L127" s="14">
        <f>J127+ROUND(K127, 2)</f>
        <v>589.23</v>
      </c>
      <c r="M127" s="14">
        <f>ROUND(J127*I127, 2)</f>
        <v>671130.92</v>
      </c>
      <c r="N127" s="14">
        <f>ROUND(I127*ROUND(K127, 2), 2)</f>
        <v>371641.2</v>
      </c>
      <c r="O127" s="14">
        <f>M127+N127</f>
        <v>1042772.12</v>
      </c>
      <c r="P127" s="14">
        <f>IFERROR(ROUND(SUM(S128)/I127, 2),0)</f>
        <v>379.23</v>
      </c>
      <c r="Q127" s="16">
        <v>210</v>
      </c>
      <c r="R127" s="14">
        <f>P127+ROUND(Q127, 2)</f>
        <v>589.23</v>
      </c>
      <c r="S127" s="14">
        <f>ROUND(P127*I127, 2)</f>
        <v>671130.92</v>
      </c>
      <c r="T127" s="14">
        <f>ROUND(I127*ROUND(Q127, 2), 2)</f>
        <v>371641.2</v>
      </c>
      <c r="U127" s="14">
        <f>S127+T127</f>
        <v>1042772.12</v>
      </c>
      <c r="V127" s="9">
        <f>ROUND(P127 / 1.2, 2)</f>
        <v>316.02999999999997</v>
      </c>
      <c r="W127" s="9">
        <f>ROUND(Q127 / 1.2, 2)</f>
        <v>175</v>
      </c>
      <c r="X127" s="9">
        <f>ROUND(R127 / 1.2, 2)</f>
        <v>491.03</v>
      </c>
      <c r="Y127" s="9">
        <f t="shared" ref="Y127:Y163" si="16">ROUND(S127 / 1.2, 2)</f>
        <v>559275.77</v>
      </c>
      <c r="Z127" s="9">
        <f>ROUND(T127 / 1.2, 2)</f>
        <v>309701</v>
      </c>
      <c r="AA127" s="9">
        <f>Y127+Z127</f>
        <v>868976.77</v>
      </c>
      <c r="AD127" s="4">
        <v>271132172</v>
      </c>
      <c r="AE127" s="4">
        <v>19971569</v>
      </c>
      <c r="AG127" s="4" t="s">
        <v>584</v>
      </c>
      <c r="AH127" s="4" t="s">
        <v>585</v>
      </c>
      <c r="AI127" s="4" t="s">
        <v>67</v>
      </c>
    </row>
    <row r="128" spans="1:35" ht="72" x14ac:dyDescent="0.3">
      <c r="A128" s="10" t="s">
        <v>592</v>
      </c>
      <c r="B128" s="10"/>
      <c r="C128" s="24" t="s">
        <v>587</v>
      </c>
      <c r="D128" s="12"/>
      <c r="E128" s="12"/>
      <c r="F128" s="18" t="s">
        <v>87</v>
      </c>
      <c r="G128" s="19">
        <v>1.1000000000000001</v>
      </c>
      <c r="H128" s="20"/>
      <c r="I128" s="20">
        <v>1946.692</v>
      </c>
      <c r="J128" s="21">
        <v>344.75</v>
      </c>
      <c r="M128" s="22">
        <f>ROUND(ROUND(J128, 2)*I128, 2)</f>
        <v>671122.07</v>
      </c>
      <c r="P128" s="23">
        <v>344.75</v>
      </c>
      <c r="S128" s="22">
        <f>ROUND(ROUND(P128, 2)*I128, 2)</f>
        <v>671122.07</v>
      </c>
      <c r="V128" s="9">
        <f>ROUND(ROUND(P128, 2)/1.2, 2)</f>
        <v>287.29000000000002</v>
      </c>
      <c r="Y128" s="9">
        <f t="shared" si="16"/>
        <v>559268.39</v>
      </c>
      <c r="AD128" s="4" t="s">
        <v>593</v>
      </c>
      <c r="AE128" s="4" t="s">
        <v>594</v>
      </c>
      <c r="AF128" s="4" t="s">
        <v>590</v>
      </c>
    </row>
    <row r="129" spans="1:35" ht="36" x14ac:dyDescent="0.3">
      <c r="A129" s="10" t="s">
        <v>595</v>
      </c>
      <c r="B129" s="10" t="s">
        <v>596</v>
      </c>
      <c r="C129" s="11" t="s">
        <v>597</v>
      </c>
      <c r="D129" s="12"/>
      <c r="E129" s="12" t="s">
        <v>81</v>
      </c>
      <c r="F129" s="12" t="s">
        <v>87</v>
      </c>
      <c r="G129" s="13">
        <v>1</v>
      </c>
      <c r="H129" s="13"/>
      <c r="I129" s="13">
        <v>137.82</v>
      </c>
      <c r="J129" s="14">
        <f>IFERROR(ROUND(SUM(M130,M131,M132,M133)/I129, 2),0)</f>
        <v>375.74</v>
      </c>
      <c r="K129" s="15">
        <v>473</v>
      </c>
      <c r="L129" s="14">
        <f>J129+ROUND(K129, 2)</f>
        <v>848.74</v>
      </c>
      <c r="M129" s="14">
        <f>ROUND(J129*I129, 2)</f>
        <v>51784.49</v>
      </c>
      <c r="N129" s="14">
        <f>ROUND(I129*ROUND(K129, 2), 2)</f>
        <v>65188.86</v>
      </c>
      <c r="O129" s="14">
        <f>M129+N129</f>
        <v>116973.35</v>
      </c>
      <c r="P129" s="14">
        <f>IFERROR(ROUND(SUM(S130,S131,S132,S133)/I129, 2),0)</f>
        <v>375.74</v>
      </c>
      <c r="Q129" s="16">
        <v>473</v>
      </c>
      <c r="R129" s="14">
        <f>P129+ROUND(Q129, 2)</f>
        <v>848.74</v>
      </c>
      <c r="S129" s="14">
        <f>ROUND(P129*I129, 2)</f>
        <v>51784.49</v>
      </c>
      <c r="T129" s="14">
        <f>ROUND(I129*ROUND(Q129, 2), 2)</f>
        <v>65188.86</v>
      </c>
      <c r="U129" s="14">
        <f>S129+T129</f>
        <v>116973.35</v>
      </c>
      <c r="V129" s="9">
        <f>ROUND(P129 / 1.2, 2)</f>
        <v>313.12</v>
      </c>
      <c r="W129" s="9">
        <f>ROUND(Q129 / 1.2, 2)</f>
        <v>394.17</v>
      </c>
      <c r="X129" s="9">
        <f>ROUND(R129 / 1.2, 2)</f>
        <v>707.28</v>
      </c>
      <c r="Y129" s="9">
        <f t="shared" si="16"/>
        <v>43153.74</v>
      </c>
      <c r="Z129" s="9">
        <f>ROUND(T129 / 1.2, 2)</f>
        <v>54324.05</v>
      </c>
      <c r="AA129" s="9">
        <f>Y129+Z129</f>
        <v>97477.79</v>
      </c>
      <c r="AD129" s="4">
        <v>271132090</v>
      </c>
      <c r="AE129" s="4">
        <v>19813577</v>
      </c>
      <c r="AG129" s="4" t="s">
        <v>598</v>
      </c>
      <c r="AH129" s="4" t="s">
        <v>599</v>
      </c>
      <c r="AI129" s="4" t="s">
        <v>67</v>
      </c>
    </row>
    <row r="130" spans="1:35" ht="54" x14ac:dyDescent="0.3">
      <c r="A130" s="10" t="s">
        <v>600</v>
      </c>
      <c r="B130" s="10"/>
      <c r="C130" s="17" t="s">
        <v>601</v>
      </c>
      <c r="D130" s="12"/>
      <c r="E130" s="12" t="s">
        <v>402</v>
      </c>
      <c r="F130" s="18" t="s">
        <v>70</v>
      </c>
      <c r="G130" s="19">
        <v>0.7</v>
      </c>
      <c r="H130" s="20"/>
      <c r="I130" s="20">
        <v>96.474000000000004</v>
      </c>
      <c r="J130" s="21">
        <v>16.96</v>
      </c>
      <c r="M130" s="22">
        <f>ROUND(ROUND(J130, 2)*I130, 2)</f>
        <v>1636.2</v>
      </c>
      <c r="P130" s="23">
        <v>16.96</v>
      </c>
      <c r="S130" s="22">
        <f>ROUND(ROUND(P130, 2)*I130, 2)</f>
        <v>1636.2</v>
      </c>
      <c r="V130" s="9">
        <f>ROUND(ROUND(P130, 2)/1.2, 2)</f>
        <v>14.13</v>
      </c>
      <c r="Y130" s="9">
        <f t="shared" si="16"/>
        <v>1363.5</v>
      </c>
      <c r="AD130" s="4" t="s">
        <v>602</v>
      </c>
      <c r="AE130" s="4" t="s">
        <v>603</v>
      </c>
      <c r="AF130" s="4" t="s">
        <v>604</v>
      </c>
    </row>
    <row r="131" spans="1:35" ht="72" x14ac:dyDescent="0.3">
      <c r="A131" s="10" t="s">
        <v>605</v>
      </c>
      <c r="B131" s="10"/>
      <c r="C131" s="24" t="s">
        <v>606</v>
      </c>
      <c r="D131" s="12"/>
      <c r="E131" s="12" t="s">
        <v>607</v>
      </c>
      <c r="F131" s="18" t="s">
        <v>116</v>
      </c>
      <c r="G131" s="19">
        <v>1.84</v>
      </c>
      <c r="H131" s="20"/>
      <c r="I131" s="20">
        <v>253.589</v>
      </c>
      <c r="J131" s="21">
        <v>196</v>
      </c>
      <c r="M131" s="22">
        <f>ROUND(ROUND(J131, 2)*I131, 2)</f>
        <v>49703.44</v>
      </c>
      <c r="P131" s="23">
        <v>196</v>
      </c>
      <c r="S131" s="22">
        <f>ROUND(ROUND(P131, 2)*I131, 2)</f>
        <v>49703.44</v>
      </c>
      <c r="V131" s="9">
        <f>ROUND(ROUND(P131, 2)/1.2, 2)</f>
        <v>163.33000000000001</v>
      </c>
      <c r="Y131" s="9">
        <f t="shared" si="16"/>
        <v>41419.53</v>
      </c>
      <c r="AD131" s="4" t="s">
        <v>608</v>
      </c>
      <c r="AE131" s="4" t="s">
        <v>609</v>
      </c>
      <c r="AF131" s="4" t="s">
        <v>610</v>
      </c>
    </row>
    <row r="132" spans="1:35" ht="54" x14ac:dyDescent="0.3">
      <c r="A132" s="10" t="s">
        <v>611</v>
      </c>
      <c r="B132" s="10"/>
      <c r="C132" s="24" t="s">
        <v>612</v>
      </c>
      <c r="D132" s="12"/>
      <c r="E132" s="12" t="s">
        <v>613</v>
      </c>
      <c r="F132" s="18" t="s">
        <v>70</v>
      </c>
      <c r="G132" s="19">
        <v>0.04</v>
      </c>
      <c r="H132" s="19"/>
      <c r="I132" s="19">
        <v>5.5129999999999999</v>
      </c>
      <c r="J132" s="21">
        <v>47.44</v>
      </c>
      <c r="M132" s="22">
        <f>ROUND(ROUND(J132, 2)*I132, 2)</f>
        <v>261.54000000000002</v>
      </c>
      <c r="P132" s="23">
        <v>47.44</v>
      </c>
      <c r="S132" s="22">
        <f>ROUND(ROUND(P132, 2)*I132, 2)</f>
        <v>261.54000000000002</v>
      </c>
      <c r="V132" s="9">
        <f>ROUND(ROUND(P132, 2)/1.2, 2)</f>
        <v>39.53</v>
      </c>
      <c r="Y132" s="9">
        <f t="shared" si="16"/>
        <v>217.95</v>
      </c>
      <c r="AD132" s="4" t="s">
        <v>614</v>
      </c>
      <c r="AE132" s="4" t="s">
        <v>615</v>
      </c>
      <c r="AF132" s="4" t="s">
        <v>616</v>
      </c>
    </row>
    <row r="133" spans="1:35" ht="36" x14ac:dyDescent="0.3">
      <c r="A133" s="10" t="s">
        <v>617</v>
      </c>
      <c r="B133" s="10"/>
      <c r="C133" s="24" t="s">
        <v>433</v>
      </c>
      <c r="D133" s="12"/>
      <c r="E133" s="12"/>
      <c r="F133" s="18" t="s">
        <v>70</v>
      </c>
      <c r="G133" s="19">
        <v>1.4999999999999999E-2</v>
      </c>
      <c r="H133" s="19"/>
      <c r="I133" s="19">
        <v>2.0670000000000002</v>
      </c>
      <c r="J133" s="21">
        <v>88.8</v>
      </c>
      <c r="M133" s="22">
        <f>ROUND(ROUND(J133, 2)*I133, 2)</f>
        <v>183.55</v>
      </c>
      <c r="P133" s="23">
        <v>88.8</v>
      </c>
      <c r="S133" s="22">
        <f>ROUND(ROUND(P133, 2)*I133, 2)</f>
        <v>183.55</v>
      </c>
      <c r="V133" s="9">
        <f>ROUND(ROUND(P133, 2)/1.2, 2)</f>
        <v>74</v>
      </c>
      <c r="Y133" s="9">
        <f t="shared" si="16"/>
        <v>152.96</v>
      </c>
      <c r="AD133" s="4" t="s">
        <v>618</v>
      </c>
      <c r="AE133" s="4" t="s">
        <v>619</v>
      </c>
      <c r="AF133" s="4" t="s">
        <v>436</v>
      </c>
    </row>
    <row r="134" spans="1:35" ht="36" x14ac:dyDescent="0.3">
      <c r="A134" s="10" t="s">
        <v>620</v>
      </c>
      <c r="B134" s="10" t="s">
        <v>596</v>
      </c>
      <c r="C134" s="11" t="s">
        <v>597</v>
      </c>
      <c r="D134" s="12"/>
      <c r="E134" s="12" t="s">
        <v>81</v>
      </c>
      <c r="F134" s="12" t="s">
        <v>87</v>
      </c>
      <c r="G134" s="13">
        <v>1</v>
      </c>
      <c r="H134" s="13"/>
      <c r="I134" s="13">
        <v>23.84</v>
      </c>
      <c r="J134" s="14">
        <f>IFERROR(ROUND(SUM(M135,M136,M137,M138)/I134, 2),0)</f>
        <v>844.86</v>
      </c>
      <c r="K134" s="15">
        <v>473</v>
      </c>
      <c r="L134" s="14">
        <f>J134+ROUND(K134, 2)</f>
        <v>1317.86</v>
      </c>
      <c r="M134" s="14">
        <f>ROUND(J134*I134, 2)</f>
        <v>20141.46</v>
      </c>
      <c r="N134" s="14">
        <f>ROUND(I134*ROUND(K134, 2), 2)</f>
        <v>11276.32</v>
      </c>
      <c r="O134" s="14">
        <f>M134+N134</f>
        <v>31417.78</v>
      </c>
      <c r="P134" s="14">
        <f>IFERROR(ROUND(SUM(S135,S136,S137,S138)/I134, 2),0)</f>
        <v>844.86</v>
      </c>
      <c r="Q134" s="16">
        <v>473</v>
      </c>
      <c r="R134" s="14">
        <f>P134+ROUND(Q134, 2)</f>
        <v>1317.86</v>
      </c>
      <c r="S134" s="14">
        <f>ROUND(P134*I134, 2)</f>
        <v>20141.46</v>
      </c>
      <c r="T134" s="14">
        <f>ROUND(I134*ROUND(Q134, 2), 2)</f>
        <v>11276.32</v>
      </c>
      <c r="U134" s="14">
        <f>S134+T134</f>
        <v>31417.78</v>
      </c>
      <c r="V134" s="9">
        <f>ROUND(P134 / 1.2, 2)</f>
        <v>704.05</v>
      </c>
      <c r="W134" s="9">
        <f>ROUND(Q134 / 1.2, 2)</f>
        <v>394.17</v>
      </c>
      <c r="X134" s="9">
        <f>ROUND(R134 / 1.2, 2)</f>
        <v>1098.22</v>
      </c>
      <c r="Y134" s="9">
        <f t="shared" si="16"/>
        <v>16784.55</v>
      </c>
      <c r="Z134" s="9">
        <f>ROUND(T134 / 1.2, 2)</f>
        <v>9396.93</v>
      </c>
      <c r="AA134" s="9">
        <f>Y134+Z134</f>
        <v>26181.48</v>
      </c>
      <c r="AD134" s="4">
        <v>271132173</v>
      </c>
      <c r="AE134" s="4">
        <v>19820657</v>
      </c>
      <c r="AG134" s="4" t="s">
        <v>598</v>
      </c>
      <c r="AH134" s="4" t="s">
        <v>599</v>
      </c>
      <c r="AI134" s="4" t="s">
        <v>67</v>
      </c>
    </row>
    <row r="135" spans="1:35" ht="36" x14ac:dyDescent="0.3">
      <c r="A135" s="10" t="s">
        <v>621</v>
      </c>
      <c r="B135" s="10"/>
      <c r="C135" s="24" t="s">
        <v>433</v>
      </c>
      <c r="D135" s="12"/>
      <c r="E135" s="12"/>
      <c r="F135" s="18" t="s">
        <v>70</v>
      </c>
      <c r="G135" s="19">
        <v>1.4999999999999999E-2</v>
      </c>
      <c r="H135" s="19"/>
      <c r="I135" s="19">
        <v>0.35799999999999998</v>
      </c>
      <c r="J135" s="21">
        <v>88.8</v>
      </c>
      <c r="M135" s="22">
        <f>ROUND(ROUND(J135, 2)*I135, 2)</f>
        <v>31.79</v>
      </c>
      <c r="P135" s="23">
        <v>88.8</v>
      </c>
      <c r="S135" s="22">
        <f>ROUND(ROUND(P135, 2)*I135, 2)</f>
        <v>31.79</v>
      </c>
      <c r="V135" s="9">
        <f>ROUND(ROUND(P135, 2)/1.2, 2)</f>
        <v>74</v>
      </c>
      <c r="Y135" s="9">
        <f t="shared" si="16"/>
        <v>26.49</v>
      </c>
      <c r="AD135" s="4" t="s">
        <v>622</v>
      </c>
      <c r="AE135" s="4" t="s">
        <v>623</v>
      </c>
      <c r="AF135" s="4" t="s">
        <v>436</v>
      </c>
    </row>
    <row r="136" spans="1:35" ht="18" x14ac:dyDescent="0.3">
      <c r="A136" s="10" t="s">
        <v>624</v>
      </c>
      <c r="B136" s="10"/>
      <c r="C136" s="24" t="s">
        <v>612</v>
      </c>
      <c r="D136" s="12"/>
      <c r="E136" s="12"/>
      <c r="F136" s="18" t="s">
        <v>70</v>
      </c>
      <c r="G136" s="19">
        <v>0.04</v>
      </c>
      <c r="H136" s="19"/>
      <c r="I136" s="19">
        <v>0.95399999999999996</v>
      </c>
      <c r="J136" s="21">
        <v>47.44</v>
      </c>
      <c r="M136" s="22">
        <f>ROUND(ROUND(J136, 2)*I136, 2)</f>
        <v>45.26</v>
      </c>
      <c r="P136" s="23">
        <v>47.44</v>
      </c>
      <c r="S136" s="22">
        <f>ROUND(ROUND(P136, 2)*I136, 2)</f>
        <v>45.26</v>
      </c>
      <c r="V136" s="9">
        <f>ROUND(ROUND(P136, 2)/1.2, 2)</f>
        <v>39.53</v>
      </c>
      <c r="Y136" s="9">
        <f t="shared" si="16"/>
        <v>37.72</v>
      </c>
      <c r="AD136" s="4" t="s">
        <v>625</v>
      </c>
      <c r="AE136" s="4" t="s">
        <v>626</v>
      </c>
      <c r="AF136" s="4" t="s">
        <v>616</v>
      </c>
    </row>
    <row r="137" spans="1:35" ht="90" x14ac:dyDescent="0.3">
      <c r="A137" s="10" t="s">
        <v>627</v>
      </c>
      <c r="B137" s="10"/>
      <c r="C137" s="24" t="s">
        <v>628</v>
      </c>
      <c r="D137" s="12"/>
      <c r="E137" s="12" t="s">
        <v>629</v>
      </c>
      <c r="F137" s="18" t="s">
        <v>116</v>
      </c>
      <c r="G137" s="19">
        <v>1.84</v>
      </c>
      <c r="H137" s="20"/>
      <c r="I137" s="20">
        <v>43.866</v>
      </c>
      <c r="J137" s="21">
        <v>450.95</v>
      </c>
      <c r="M137" s="22">
        <f>ROUND(ROUND(J137, 2)*I137, 2)</f>
        <v>19781.37</v>
      </c>
      <c r="P137" s="23">
        <v>450.95</v>
      </c>
      <c r="S137" s="22">
        <f>ROUND(ROUND(P137, 2)*I137, 2)</f>
        <v>19781.37</v>
      </c>
      <c r="V137" s="9">
        <f>ROUND(ROUND(P137, 2)/1.2, 2)</f>
        <v>375.79</v>
      </c>
      <c r="Y137" s="9">
        <f t="shared" si="16"/>
        <v>16484.48</v>
      </c>
      <c r="AD137" s="4" t="s">
        <v>630</v>
      </c>
      <c r="AE137" s="4" t="s">
        <v>631</v>
      </c>
      <c r="AF137" s="4" t="s">
        <v>632</v>
      </c>
    </row>
    <row r="138" spans="1:35" ht="54" x14ac:dyDescent="0.3">
      <c r="A138" s="10" t="s">
        <v>633</v>
      </c>
      <c r="B138" s="10"/>
      <c r="C138" s="17" t="s">
        <v>601</v>
      </c>
      <c r="D138" s="12"/>
      <c r="E138" s="12" t="s">
        <v>402</v>
      </c>
      <c r="F138" s="18" t="s">
        <v>70</v>
      </c>
      <c r="G138" s="19">
        <v>0.7</v>
      </c>
      <c r="H138" s="20"/>
      <c r="I138" s="20">
        <v>16.687999999999999</v>
      </c>
      <c r="J138" s="21">
        <v>16.96</v>
      </c>
      <c r="M138" s="22">
        <f>ROUND(ROUND(J138, 2)*I138, 2)</f>
        <v>283.02999999999997</v>
      </c>
      <c r="P138" s="23">
        <v>16.96</v>
      </c>
      <c r="S138" s="22">
        <f>ROUND(ROUND(P138, 2)*I138, 2)</f>
        <v>283.02999999999997</v>
      </c>
      <c r="V138" s="9">
        <f>ROUND(ROUND(P138, 2)/1.2, 2)</f>
        <v>14.13</v>
      </c>
      <c r="Y138" s="9">
        <f t="shared" si="16"/>
        <v>235.86</v>
      </c>
      <c r="AD138" s="4" t="s">
        <v>634</v>
      </c>
      <c r="AE138" s="4" t="s">
        <v>635</v>
      </c>
      <c r="AF138" s="4" t="s">
        <v>604</v>
      </c>
    </row>
    <row r="139" spans="1:35" ht="36" x14ac:dyDescent="0.3">
      <c r="A139" s="10" t="s">
        <v>636</v>
      </c>
      <c r="B139" s="10" t="s">
        <v>596</v>
      </c>
      <c r="C139" s="11" t="s">
        <v>597</v>
      </c>
      <c r="D139" s="12"/>
      <c r="E139" s="12" t="s">
        <v>507</v>
      </c>
      <c r="F139" s="12" t="s">
        <v>87</v>
      </c>
      <c r="G139" s="13">
        <v>1</v>
      </c>
      <c r="H139" s="13"/>
      <c r="I139" s="13">
        <v>216.92</v>
      </c>
      <c r="J139" s="14">
        <f>IFERROR(ROUND(SUM(M140,M141,M142,M143)/I139, 2),0)</f>
        <v>375.74</v>
      </c>
      <c r="K139" s="15">
        <v>473</v>
      </c>
      <c r="L139" s="14">
        <f>J139+ROUND(K139, 2)</f>
        <v>848.74</v>
      </c>
      <c r="M139" s="14">
        <f>ROUND(J139*I139, 2)</f>
        <v>81505.52</v>
      </c>
      <c r="N139" s="14">
        <f>ROUND(I139*ROUND(K139, 2), 2)</f>
        <v>102603.16</v>
      </c>
      <c r="O139" s="14">
        <f>M139+N139</f>
        <v>184108.68</v>
      </c>
      <c r="P139" s="14">
        <f>IFERROR(ROUND(SUM(S140,S141,S142,S143)/I139, 2),0)</f>
        <v>375.74</v>
      </c>
      <c r="Q139" s="16">
        <v>473</v>
      </c>
      <c r="R139" s="14">
        <f>P139+ROUND(Q139, 2)</f>
        <v>848.74</v>
      </c>
      <c r="S139" s="14">
        <f>ROUND(P139*I139, 2)</f>
        <v>81505.52</v>
      </c>
      <c r="T139" s="14">
        <f>ROUND(I139*ROUND(Q139, 2), 2)</f>
        <v>102603.16</v>
      </c>
      <c r="U139" s="14">
        <f>S139+T139</f>
        <v>184108.68</v>
      </c>
      <c r="V139" s="9">
        <f>ROUND(P139 / 1.2, 2)</f>
        <v>313.12</v>
      </c>
      <c r="W139" s="9">
        <f>ROUND(Q139 / 1.2, 2)</f>
        <v>394.17</v>
      </c>
      <c r="X139" s="9">
        <f>ROUND(R139 / 1.2, 2)</f>
        <v>707.28</v>
      </c>
      <c r="Y139" s="9">
        <f t="shared" si="16"/>
        <v>67921.27</v>
      </c>
      <c r="Z139" s="9">
        <f>ROUND(T139 / 1.2, 2)</f>
        <v>85502.63</v>
      </c>
      <c r="AA139" s="9">
        <f>Y139+Z139</f>
        <v>153423.9</v>
      </c>
      <c r="AD139" s="4">
        <v>271132174</v>
      </c>
      <c r="AE139" s="4">
        <v>19972701</v>
      </c>
      <c r="AG139" s="4" t="s">
        <v>598</v>
      </c>
      <c r="AH139" s="4" t="s">
        <v>599</v>
      </c>
      <c r="AI139" s="4" t="s">
        <v>67</v>
      </c>
    </row>
    <row r="140" spans="1:35" ht="36" x14ac:dyDescent="0.3">
      <c r="A140" s="10" t="s">
        <v>637</v>
      </c>
      <c r="B140" s="10"/>
      <c r="C140" s="24" t="s">
        <v>433</v>
      </c>
      <c r="D140" s="12"/>
      <c r="E140" s="12"/>
      <c r="F140" s="18" t="s">
        <v>70</v>
      </c>
      <c r="G140" s="19">
        <v>1.4999999999999999E-2</v>
      </c>
      <c r="H140" s="19"/>
      <c r="I140" s="19">
        <v>3.254</v>
      </c>
      <c r="J140" s="21">
        <v>88.8</v>
      </c>
      <c r="M140" s="22">
        <f>ROUND(ROUND(J140, 2)*I140, 2)</f>
        <v>288.95999999999998</v>
      </c>
      <c r="P140" s="23">
        <v>88.8</v>
      </c>
      <c r="S140" s="22">
        <f>ROUND(ROUND(P140, 2)*I140, 2)</f>
        <v>288.95999999999998</v>
      </c>
      <c r="V140" s="9">
        <f>ROUND(ROUND(P140, 2)/1.2, 2)</f>
        <v>74</v>
      </c>
      <c r="Y140" s="9">
        <f t="shared" si="16"/>
        <v>240.8</v>
      </c>
      <c r="AD140" s="4" t="s">
        <v>638</v>
      </c>
      <c r="AE140" s="4" t="s">
        <v>639</v>
      </c>
      <c r="AF140" s="4" t="s">
        <v>436</v>
      </c>
    </row>
    <row r="141" spans="1:35" ht="54" x14ac:dyDescent="0.3">
      <c r="A141" s="10" t="s">
        <v>640</v>
      </c>
      <c r="B141" s="10"/>
      <c r="C141" s="24" t="s">
        <v>612</v>
      </c>
      <c r="D141" s="12"/>
      <c r="E141" s="12" t="s">
        <v>641</v>
      </c>
      <c r="F141" s="18" t="s">
        <v>70</v>
      </c>
      <c r="G141" s="19">
        <v>0.04</v>
      </c>
      <c r="H141" s="19"/>
      <c r="I141" s="19">
        <v>8.6769999999999996</v>
      </c>
      <c r="J141" s="21">
        <v>47.44</v>
      </c>
      <c r="M141" s="22">
        <f>ROUND(ROUND(J141, 2)*I141, 2)</f>
        <v>411.64</v>
      </c>
      <c r="P141" s="23">
        <v>47.44</v>
      </c>
      <c r="S141" s="22">
        <f>ROUND(ROUND(P141, 2)*I141, 2)</f>
        <v>411.64</v>
      </c>
      <c r="V141" s="9">
        <f>ROUND(ROUND(P141, 2)/1.2, 2)</f>
        <v>39.53</v>
      </c>
      <c r="Y141" s="9">
        <f t="shared" si="16"/>
        <v>343.03</v>
      </c>
      <c r="AD141" s="4" t="s">
        <v>642</v>
      </c>
      <c r="AE141" s="4" t="s">
        <v>643</v>
      </c>
      <c r="AF141" s="4" t="s">
        <v>616</v>
      </c>
    </row>
    <row r="142" spans="1:35" ht="54" x14ac:dyDescent="0.3">
      <c r="A142" s="10" t="s">
        <v>644</v>
      </c>
      <c r="B142" s="10"/>
      <c r="C142" s="24" t="s">
        <v>606</v>
      </c>
      <c r="D142" s="12"/>
      <c r="E142" s="12" t="s">
        <v>645</v>
      </c>
      <c r="F142" s="18" t="s">
        <v>116</v>
      </c>
      <c r="G142" s="19">
        <v>1.84</v>
      </c>
      <c r="H142" s="20"/>
      <c r="I142" s="20">
        <v>399.13299999999998</v>
      </c>
      <c r="J142" s="21">
        <v>196</v>
      </c>
      <c r="M142" s="22">
        <f>ROUND(ROUND(J142, 2)*I142, 2)</f>
        <v>78230.070000000007</v>
      </c>
      <c r="P142" s="23">
        <v>196</v>
      </c>
      <c r="S142" s="22">
        <f>ROUND(ROUND(P142, 2)*I142, 2)</f>
        <v>78230.070000000007</v>
      </c>
      <c r="V142" s="9">
        <f>ROUND(ROUND(P142, 2)/1.2, 2)</f>
        <v>163.33000000000001</v>
      </c>
      <c r="Y142" s="9">
        <f t="shared" si="16"/>
        <v>65191.73</v>
      </c>
      <c r="AD142" s="4" t="s">
        <v>646</v>
      </c>
      <c r="AE142" s="4" t="s">
        <v>647</v>
      </c>
      <c r="AF142" s="4" t="s">
        <v>610</v>
      </c>
    </row>
    <row r="143" spans="1:35" ht="72" x14ac:dyDescent="0.3">
      <c r="A143" s="10" t="s">
        <v>648</v>
      </c>
      <c r="B143" s="10"/>
      <c r="C143" s="17" t="s">
        <v>601</v>
      </c>
      <c r="D143" s="12"/>
      <c r="E143" s="12" t="s">
        <v>649</v>
      </c>
      <c r="F143" s="18" t="s">
        <v>70</v>
      </c>
      <c r="G143" s="19">
        <v>0.7</v>
      </c>
      <c r="H143" s="20"/>
      <c r="I143" s="20">
        <v>151.84399999999999</v>
      </c>
      <c r="J143" s="21">
        <v>16.96</v>
      </c>
      <c r="M143" s="22">
        <f>ROUND(ROUND(J143, 2)*I143, 2)</f>
        <v>2575.27</v>
      </c>
      <c r="P143" s="23">
        <v>16.96</v>
      </c>
      <c r="S143" s="22">
        <f>ROUND(ROUND(P143, 2)*I143, 2)</f>
        <v>2575.27</v>
      </c>
      <c r="V143" s="9">
        <f>ROUND(ROUND(P143, 2)/1.2, 2)</f>
        <v>14.13</v>
      </c>
      <c r="Y143" s="9">
        <f t="shared" si="16"/>
        <v>2146.06</v>
      </c>
      <c r="AD143" s="4" t="s">
        <v>650</v>
      </c>
      <c r="AE143" s="4" t="s">
        <v>651</v>
      </c>
      <c r="AF143" s="4" t="s">
        <v>604</v>
      </c>
    </row>
    <row r="144" spans="1:35" ht="54" x14ac:dyDescent="0.3">
      <c r="A144" s="10" t="s">
        <v>652</v>
      </c>
      <c r="B144" s="10" t="s">
        <v>653</v>
      </c>
      <c r="C144" s="11" t="s">
        <v>654</v>
      </c>
      <c r="D144" s="12"/>
      <c r="E144" s="12" t="s">
        <v>655</v>
      </c>
      <c r="F144" s="12" t="s">
        <v>64</v>
      </c>
      <c r="G144" s="13">
        <v>1</v>
      </c>
      <c r="H144" s="13"/>
      <c r="I144" s="13">
        <v>25.81</v>
      </c>
      <c r="J144" s="14">
        <f>IFERROR(ROUND(SUM(M145,M146,M147,M148)/I144, 2),0)</f>
        <v>1520.2</v>
      </c>
      <c r="K144" s="15">
        <v>1655</v>
      </c>
      <c r="L144" s="14">
        <f>J144+ROUND(K144, 2)</f>
        <v>3175.2</v>
      </c>
      <c r="M144" s="14">
        <f>ROUND(J144*I144, 2)</f>
        <v>39236.36</v>
      </c>
      <c r="N144" s="14">
        <f>ROUND(I144*ROUND(K144, 2), 2)</f>
        <v>42715.55</v>
      </c>
      <c r="O144" s="14">
        <f>M144+N144</f>
        <v>81951.91</v>
      </c>
      <c r="P144" s="14">
        <f>IFERROR(ROUND(SUM(S145,S146,S147,S148)/I144, 2),0)</f>
        <v>1520.2</v>
      </c>
      <c r="Q144" s="16">
        <v>1655</v>
      </c>
      <c r="R144" s="14">
        <f>P144+ROUND(Q144, 2)</f>
        <v>3175.2</v>
      </c>
      <c r="S144" s="14">
        <f>ROUND(P144*I144, 2)</f>
        <v>39236.36</v>
      </c>
      <c r="T144" s="14">
        <f>ROUND(I144*ROUND(Q144, 2), 2)</f>
        <v>42715.55</v>
      </c>
      <c r="U144" s="14">
        <f>S144+T144</f>
        <v>81951.91</v>
      </c>
      <c r="V144" s="9">
        <f>ROUND(P144 / 1.2, 2)</f>
        <v>1266.83</v>
      </c>
      <c r="W144" s="9">
        <f>ROUND(Q144 / 1.2, 2)</f>
        <v>1379.17</v>
      </c>
      <c r="X144" s="9">
        <f>ROUND(R144 / 1.2, 2)</f>
        <v>2646</v>
      </c>
      <c r="Y144" s="9">
        <f t="shared" si="16"/>
        <v>32696.97</v>
      </c>
      <c r="Z144" s="9">
        <f>ROUND(T144 / 1.2, 2)</f>
        <v>35596.29</v>
      </c>
      <c r="AA144" s="9">
        <f>Y144+Z144</f>
        <v>68293.259999999995</v>
      </c>
      <c r="AD144" s="4">
        <v>271132092</v>
      </c>
      <c r="AE144" s="4">
        <v>19973764</v>
      </c>
      <c r="AG144" s="4" t="s">
        <v>656</v>
      </c>
      <c r="AH144" s="4" t="s">
        <v>657</v>
      </c>
      <c r="AI144" s="4" t="s">
        <v>67</v>
      </c>
    </row>
    <row r="145" spans="1:35" ht="54" x14ac:dyDescent="0.3">
      <c r="A145" s="10" t="s">
        <v>658</v>
      </c>
      <c r="B145" s="10"/>
      <c r="C145" s="17" t="s">
        <v>401</v>
      </c>
      <c r="D145" s="12"/>
      <c r="E145" s="12" t="s">
        <v>402</v>
      </c>
      <c r="F145" s="18" t="s">
        <v>70</v>
      </c>
      <c r="G145" s="19">
        <v>7</v>
      </c>
      <c r="H145" s="19"/>
      <c r="I145" s="19">
        <v>180.67</v>
      </c>
      <c r="J145" s="21">
        <v>16.96</v>
      </c>
      <c r="M145" s="22">
        <f>ROUND(ROUND(J145, 2)*I145, 2)</f>
        <v>3064.16</v>
      </c>
      <c r="P145" s="23">
        <v>16.96</v>
      </c>
      <c r="S145" s="22">
        <f>ROUND(ROUND(P145, 2)*I145, 2)</f>
        <v>3064.16</v>
      </c>
      <c r="V145" s="9">
        <f>ROUND(ROUND(P145, 2)/1.2, 2)</f>
        <v>14.13</v>
      </c>
      <c r="Y145" s="9">
        <f t="shared" si="16"/>
        <v>2553.4699999999998</v>
      </c>
      <c r="AD145" s="4" t="s">
        <v>659</v>
      </c>
      <c r="AE145" s="4" t="s">
        <v>660</v>
      </c>
      <c r="AF145" s="4" t="s">
        <v>405</v>
      </c>
    </row>
    <row r="146" spans="1:35" ht="18" x14ac:dyDescent="0.3">
      <c r="A146" s="10" t="s">
        <v>661</v>
      </c>
      <c r="B146" s="10"/>
      <c r="C146" s="24" t="s">
        <v>612</v>
      </c>
      <c r="D146" s="12"/>
      <c r="E146" s="12"/>
      <c r="F146" s="18" t="s">
        <v>70</v>
      </c>
      <c r="G146" s="19">
        <v>0.25</v>
      </c>
      <c r="H146" s="20"/>
      <c r="I146" s="20">
        <v>6.4530000000000003</v>
      </c>
      <c r="J146" s="21">
        <v>47.44</v>
      </c>
      <c r="M146" s="22">
        <f>ROUND(ROUND(J146, 2)*I146, 2)</f>
        <v>306.13</v>
      </c>
      <c r="P146" s="23">
        <v>47.44</v>
      </c>
      <c r="S146" s="22">
        <f>ROUND(ROUND(P146, 2)*I146, 2)</f>
        <v>306.13</v>
      </c>
      <c r="V146" s="9">
        <f>ROUND(ROUND(P146, 2)/1.2, 2)</f>
        <v>39.53</v>
      </c>
      <c r="Y146" s="9">
        <f t="shared" si="16"/>
        <v>255.11</v>
      </c>
      <c r="AD146" s="4" t="s">
        <v>662</v>
      </c>
      <c r="AE146" s="4" t="s">
        <v>663</v>
      </c>
      <c r="AF146" s="4" t="s">
        <v>616</v>
      </c>
    </row>
    <row r="147" spans="1:35" ht="36" x14ac:dyDescent="0.3">
      <c r="A147" s="10" t="s">
        <v>664</v>
      </c>
      <c r="B147" s="10"/>
      <c r="C147" s="24" t="s">
        <v>433</v>
      </c>
      <c r="D147" s="12"/>
      <c r="E147" s="12"/>
      <c r="F147" s="18" t="s">
        <v>70</v>
      </c>
      <c r="G147" s="19">
        <v>0.15</v>
      </c>
      <c r="H147" s="19"/>
      <c r="I147" s="19">
        <v>3.8719999999999999</v>
      </c>
      <c r="J147" s="21">
        <v>88.8</v>
      </c>
      <c r="M147" s="22">
        <f>ROUND(ROUND(J147, 2)*I147, 2)</f>
        <v>343.83</v>
      </c>
      <c r="P147" s="23">
        <v>88.8</v>
      </c>
      <c r="S147" s="22">
        <f>ROUND(ROUND(P147, 2)*I147, 2)</f>
        <v>343.83</v>
      </c>
      <c r="V147" s="9">
        <f>ROUND(ROUND(P147, 2)/1.2, 2)</f>
        <v>74</v>
      </c>
      <c r="Y147" s="9">
        <f t="shared" si="16"/>
        <v>286.52999999999997</v>
      </c>
      <c r="AD147" s="4" t="s">
        <v>665</v>
      </c>
      <c r="AE147" s="4" t="s">
        <v>666</v>
      </c>
      <c r="AF147" s="4" t="s">
        <v>436</v>
      </c>
    </row>
    <row r="148" spans="1:35" ht="54" x14ac:dyDescent="0.3">
      <c r="A148" s="10" t="s">
        <v>667</v>
      </c>
      <c r="B148" s="10"/>
      <c r="C148" s="17" t="s">
        <v>668</v>
      </c>
      <c r="D148" s="12"/>
      <c r="E148" s="12" t="s">
        <v>669</v>
      </c>
      <c r="F148" s="18" t="s">
        <v>64</v>
      </c>
      <c r="G148" s="19">
        <v>1.07</v>
      </c>
      <c r="H148" s="20"/>
      <c r="I148" s="20">
        <v>27.617000000000001</v>
      </c>
      <c r="J148" s="21">
        <v>1286.25</v>
      </c>
      <c r="M148" s="22">
        <f>ROUND(ROUND(J148, 2)*I148, 2)</f>
        <v>35522.370000000003</v>
      </c>
      <c r="P148" s="23">
        <v>1286.25</v>
      </c>
      <c r="S148" s="22">
        <f>ROUND(ROUND(P148, 2)*I148, 2)</f>
        <v>35522.370000000003</v>
      </c>
      <c r="V148" s="9">
        <f>ROUND(ROUND(P148, 2)/1.2, 2)</f>
        <v>1071.8800000000001</v>
      </c>
      <c r="Y148" s="9">
        <f t="shared" si="16"/>
        <v>29601.98</v>
      </c>
      <c r="AD148" s="4" t="s">
        <v>670</v>
      </c>
      <c r="AE148" s="4" t="s">
        <v>671</v>
      </c>
      <c r="AF148" s="4" t="s">
        <v>672</v>
      </c>
    </row>
    <row r="149" spans="1:35" ht="54" x14ac:dyDescent="0.3">
      <c r="A149" s="10" t="s">
        <v>673</v>
      </c>
      <c r="B149" s="10" t="s">
        <v>653</v>
      </c>
      <c r="C149" s="11" t="s">
        <v>654</v>
      </c>
      <c r="D149" s="12"/>
      <c r="E149" s="12" t="s">
        <v>674</v>
      </c>
      <c r="F149" s="12" t="s">
        <v>64</v>
      </c>
      <c r="G149" s="13">
        <v>1</v>
      </c>
      <c r="H149" s="13"/>
      <c r="I149" s="13">
        <v>46.37</v>
      </c>
      <c r="J149" s="14">
        <f>IFERROR(ROUND(SUM(M150,M151,M152,M153)/I149, 2),0)</f>
        <v>1625.8</v>
      </c>
      <c r="K149" s="15">
        <v>1655</v>
      </c>
      <c r="L149" s="14">
        <f>J149+ROUND(K149, 2)</f>
        <v>3280.8</v>
      </c>
      <c r="M149" s="14">
        <f>ROUND(J149*I149, 2)</f>
        <v>75388.350000000006</v>
      </c>
      <c r="N149" s="14">
        <f>ROUND(I149*ROUND(K149, 2), 2)</f>
        <v>76742.350000000006</v>
      </c>
      <c r="O149" s="14">
        <f>M149+N149</f>
        <v>152130.70000000001</v>
      </c>
      <c r="P149" s="14">
        <f>IFERROR(ROUND(SUM(S150,S151,S152,S153)/I149, 2),0)</f>
        <v>1625.8</v>
      </c>
      <c r="Q149" s="16">
        <v>1655</v>
      </c>
      <c r="R149" s="14">
        <f>P149+ROUND(Q149, 2)</f>
        <v>3280.8</v>
      </c>
      <c r="S149" s="14">
        <f>ROUND(P149*I149, 2)</f>
        <v>75388.350000000006</v>
      </c>
      <c r="T149" s="14">
        <f>ROUND(I149*ROUND(Q149, 2), 2)</f>
        <v>76742.350000000006</v>
      </c>
      <c r="U149" s="14">
        <f>S149+T149</f>
        <v>152130.70000000001</v>
      </c>
      <c r="V149" s="9">
        <f>ROUND(P149 / 1.2, 2)</f>
        <v>1354.83</v>
      </c>
      <c r="W149" s="9">
        <f>ROUND(Q149 / 1.2, 2)</f>
        <v>1379.17</v>
      </c>
      <c r="X149" s="9">
        <f>ROUND(R149 / 1.2, 2)</f>
        <v>2734</v>
      </c>
      <c r="Y149" s="9">
        <f t="shared" si="16"/>
        <v>62823.63</v>
      </c>
      <c r="Z149" s="9">
        <f>ROUND(T149 / 1.2, 2)</f>
        <v>63951.96</v>
      </c>
      <c r="AA149" s="9">
        <f>Y149+Z149</f>
        <v>126775.59</v>
      </c>
      <c r="AD149" s="4">
        <v>271132175</v>
      </c>
      <c r="AE149" s="4">
        <v>19987963</v>
      </c>
      <c r="AG149" s="4" t="s">
        <v>656</v>
      </c>
      <c r="AH149" s="4" t="s">
        <v>657</v>
      </c>
      <c r="AI149" s="4" t="s">
        <v>67</v>
      </c>
    </row>
    <row r="150" spans="1:35" ht="54" x14ac:dyDescent="0.3">
      <c r="A150" s="10" t="s">
        <v>675</v>
      </c>
      <c r="B150" s="10"/>
      <c r="C150" s="17" t="s">
        <v>676</v>
      </c>
      <c r="D150" s="12"/>
      <c r="E150" s="12" t="s">
        <v>677</v>
      </c>
      <c r="F150" s="18" t="s">
        <v>64</v>
      </c>
      <c r="G150" s="19">
        <v>1.07</v>
      </c>
      <c r="H150" s="20"/>
      <c r="I150" s="20">
        <v>49.616</v>
      </c>
      <c r="J150" s="21">
        <v>1384.95</v>
      </c>
      <c r="M150" s="22">
        <f>ROUND(ROUND(J150, 2)*I150, 2)</f>
        <v>68715.679999999993</v>
      </c>
      <c r="P150" s="23">
        <v>1384.95</v>
      </c>
      <c r="S150" s="22">
        <f>ROUND(ROUND(P150, 2)*I150, 2)</f>
        <v>68715.679999999993</v>
      </c>
      <c r="V150" s="9">
        <f>ROUND(ROUND(P150, 2)/1.2, 2)</f>
        <v>1154.1300000000001</v>
      </c>
      <c r="Y150" s="9">
        <f t="shared" si="16"/>
        <v>57263.07</v>
      </c>
      <c r="AD150" s="4" t="s">
        <v>678</v>
      </c>
      <c r="AE150" s="4" t="s">
        <v>679</v>
      </c>
      <c r="AF150" s="4" t="s">
        <v>680</v>
      </c>
    </row>
    <row r="151" spans="1:35" ht="36" x14ac:dyDescent="0.3">
      <c r="A151" s="10" t="s">
        <v>681</v>
      </c>
      <c r="B151" s="10"/>
      <c r="C151" s="24" t="s">
        <v>433</v>
      </c>
      <c r="D151" s="12"/>
      <c r="E151" s="12"/>
      <c r="F151" s="18" t="s">
        <v>70</v>
      </c>
      <c r="G151" s="19">
        <v>0.15</v>
      </c>
      <c r="H151" s="19"/>
      <c r="I151" s="19">
        <v>6.9560000000000004</v>
      </c>
      <c r="J151" s="21">
        <v>88.8</v>
      </c>
      <c r="M151" s="22">
        <f>ROUND(ROUND(J151, 2)*I151, 2)</f>
        <v>617.69000000000005</v>
      </c>
      <c r="P151" s="23">
        <v>88.8</v>
      </c>
      <c r="S151" s="22">
        <f>ROUND(ROUND(P151, 2)*I151, 2)</f>
        <v>617.69000000000005</v>
      </c>
      <c r="V151" s="9">
        <f>ROUND(ROUND(P151, 2)/1.2, 2)</f>
        <v>74</v>
      </c>
      <c r="Y151" s="9">
        <f t="shared" si="16"/>
        <v>514.74</v>
      </c>
      <c r="AD151" s="4" t="s">
        <v>682</v>
      </c>
      <c r="AE151" s="4" t="s">
        <v>683</v>
      </c>
      <c r="AF151" s="4" t="s">
        <v>436</v>
      </c>
    </row>
    <row r="152" spans="1:35" ht="18" x14ac:dyDescent="0.3">
      <c r="A152" s="10" t="s">
        <v>684</v>
      </c>
      <c r="B152" s="10"/>
      <c r="C152" s="24" t="s">
        <v>612</v>
      </c>
      <c r="D152" s="12"/>
      <c r="E152" s="12"/>
      <c r="F152" s="18" t="s">
        <v>70</v>
      </c>
      <c r="G152" s="19">
        <v>0.25</v>
      </c>
      <c r="H152" s="20"/>
      <c r="I152" s="20">
        <v>11.593</v>
      </c>
      <c r="J152" s="21">
        <v>47.44</v>
      </c>
      <c r="M152" s="22">
        <f>ROUND(ROUND(J152, 2)*I152, 2)</f>
        <v>549.97</v>
      </c>
      <c r="P152" s="23">
        <v>47.44</v>
      </c>
      <c r="S152" s="22">
        <f>ROUND(ROUND(P152, 2)*I152, 2)</f>
        <v>549.97</v>
      </c>
      <c r="V152" s="9">
        <f>ROUND(ROUND(P152, 2)/1.2, 2)</f>
        <v>39.53</v>
      </c>
      <c r="Y152" s="9">
        <f t="shared" si="16"/>
        <v>458.31</v>
      </c>
      <c r="AD152" s="4" t="s">
        <v>685</v>
      </c>
      <c r="AE152" s="4" t="s">
        <v>686</v>
      </c>
      <c r="AF152" s="4" t="s">
        <v>616</v>
      </c>
    </row>
    <row r="153" spans="1:35" ht="54" x14ac:dyDescent="0.3">
      <c r="A153" s="10" t="s">
        <v>687</v>
      </c>
      <c r="B153" s="10"/>
      <c r="C153" s="17" t="s">
        <v>401</v>
      </c>
      <c r="D153" s="12"/>
      <c r="E153" s="12" t="s">
        <v>402</v>
      </c>
      <c r="F153" s="18" t="s">
        <v>70</v>
      </c>
      <c r="G153" s="19">
        <v>7</v>
      </c>
      <c r="H153" s="19"/>
      <c r="I153" s="19">
        <v>324.58999999999997</v>
      </c>
      <c r="J153" s="21">
        <v>16.96</v>
      </c>
      <c r="M153" s="22">
        <f>ROUND(ROUND(J153, 2)*I153, 2)</f>
        <v>5505.05</v>
      </c>
      <c r="P153" s="23">
        <v>16.96</v>
      </c>
      <c r="S153" s="22">
        <f>ROUND(ROUND(P153, 2)*I153, 2)</f>
        <v>5505.05</v>
      </c>
      <c r="V153" s="9">
        <f>ROUND(ROUND(P153, 2)/1.2, 2)</f>
        <v>14.13</v>
      </c>
      <c r="Y153" s="9">
        <f t="shared" si="16"/>
        <v>4587.54</v>
      </c>
      <c r="AD153" s="4" t="s">
        <v>688</v>
      </c>
      <c r="AE153" s="4" t="s">
        <v>689</v>
      </c>
      <c r="AF153" s="4" t="s">
        <v>405</v>
      </c>
    </row>
    <row r="154" spans="1:35" ht="54" x14ac:dyDescent="0.3">
      <c r="A154" s="10" t="s">
        <v>690</v>
      </c>
      <c r="B154" s="10" t="s">
        <v>691</v>
      </c>
      <c r="C154" s="11" t="s">
        <v>692</v>
      </c>
      <c r="D154" s="12"/>
      <c r="E154" s="12" t="s">
        <v>693</v>
      </c>
      <c r="F154" s="12" t="s">
        <v>64</v>
      </c>
      <c r="G154" s="13">
        <v>1</v>
      </c>
      <c r="H154" s="13"/>
      <c r="I154" s="13">
        <v>335.84</v>
      </c>
      <c r="J154" s="14">
        <f>IFERROR(ROUND(SUM(M155,M156,M157,M158)/I154, 2),0)</f>
        <v>2235.0700000000002</v>
      </c>
      <c r="K154" s="15">
        <v>2785</v>
      </c>
      <c r="L154" s="14">
        <f>J154+ROUND(K154, 2)</f>
        <v>5020.07</v>
      </c>
      <c r="M154" s="14">
        <f>ROUND(J154*I154, 2)</f>
        <v>750625.91</v>
      </c>
      <c r="N154" s="14">
        <f>ROUND(I154*ROUND(K154, 2), 2)</f>
        <v>935314.4</v>
      </c>
      <c r="O154" s="14">
        <f>M154+N154</f>
        <v>1685940.31</v>
      </c>
      <c r="P154" s="14">
        <f>IFERROR(ROUND(SUM(S155,S156,S157,S158)/I154, 2),0)</f>
        <v>2235.0700000000002</v>
      </c>
      <c r="Q154" s="16">
        <v>2785</v>
      </c>
      <c r="R154" s="14">
        <f>P154+ROUND(Q154, 2)</f>
        <v>5020.07</v>
      </c>
      <c r="S154" s="14">
        <f>ROUND(P154*I154, 2)</f>
        <v>750625.91</v>
      </c>
      <c r="T154" s="14">
        <f>ROUND(I154*ROUND(Q154, 2), 2)</f>
        <v>935314.4</v>
      </c>
      <c r="U154" s="14">
        <f>S154+T154</f>
        <v>1685940.31</v>
      </c>
      <c r="V154" s="9">
        <f>ROUND(P154 / 1.2, 2)</f>
        <v>1862.56</v>
      </c>
      <c r="W154" s="9">
        <f>ROUND(Q154 / 1.2, 2)</f>
        <v>2320.83</v>
      </c>
      <c r="X154" s="9">
        <f>ROUND(R154 / 1.2, 2)</f>
        <v>4183.3900000000003</v>
      </c>
      <c r="Y154" s="9">
        <f t="shared" si="16"/>
        <v>625521.59</v>
      </c>
      <c r="Z154" s="9">
        <f>ROUND(T154 / 1.2, 2)</f>
        <v>779428.67</v>
      </c>
      <c r="AA154" s="9">
        <f>Y154+Z154</f>
        <v>1404950.26</v>
      </c>
      <c r="AD154" s="4">
        <v>271132093</v>
      </c>
      <c r="AE154" s="4">
        <v>19973763</v>
      </c>
      <c r="AG154" s="4" t="s">
        <v>694</v>
      </c>
      <c r="AH154" s="4" t="s">
        <v>695</v>
      </c>
      <c r="AI154" s="4" t="s">
        <v>67</v>
      </c>
    </row>
    <row r="155" spans="1:35" ht="54" x14ac:dyDescent="0.3">
      <c r="A155" s="10" t="s">
        <v>696</v>
      </c>
      <c r="B155" s="10"/>
      <c r="C155" s="17" t="s">
        <v>697</v>
      </c>
      <c r="D155" s="12"/>
      <c r="E155" s="12" t="s">
        <v>402</v>
      </c>
      <c r="F155" s="18" t="s">
        <v>70</v>
      </c>
      <c r="G155" s="19">
        <v>1.2</v>
      </c>
      <c r="H155" s="20"/>
      <c r="I155" s="20">
        <v>806.01599999999996</v>
      </c>
      <c r="J155" s="21">
        <v>16.96</v>
      </c>
      <c r="M155" s="22">
        <f>ROUND(ROUND(J155, 2)*I155, 2)</f>
        <v>13670.03</v>
      </c>
      <c r="P155" s="23">
        <v>16.96</v>
      </c>
      <c r="S155" s="22">
        <f>ROUND(ROUND(P155, 2)*I155, 2)</f>
        <v>13670.03</v>
      </c>
      <c r="V155" s="9">
        <f>ROUND(ROUND(P155, 2)/1.2, 2)</f>
        <v>14.13</v>
      </c>
      <c r="Y155" s="9">
        <f t="shared" si="16"/>
        <v>11391.69</v>
      </c>
      <c r="AD155" s="4" t="s">
        <v>698</v>
      </c>
      <c r="AE155" s="4" t="s">
        <v>699</v>
      </c>
      <c r="AF155" s="4" t="s">
        <v>700</v>
      </c>
    </row>
    <row r="156" spans="1:35" ht="54" x14ac:dyDescent="0.3">
      <c r="A156" s="10" t="s">
        <v>701</v>
      </c>
      <c r="B156" s="10"/>
      <c r="C156" s="24" t="s">
        <v>702</v>
      </c>
      <c r="D156" s="12"/>
      <c r="E156" s="12" t="s">
        <v>703</v>
      </c>
      <c r="F156" s="18" t="s">
        <v>64</v>
      </c>
      <c r="G156" s="19">
        <v>1.2</v>
      </c>
      <c r="H156" s="20"/>
      <c r="I156" s="20">
        <v>403.00799999999998</v>
      </c>
      <c r="J156" s="21">
        <v>1809.15</v>
      </c>
      <c r="M156" s="22">
        <f>ROUND(ROUND(J156, 2)*I156, 2)</f>
        <v>729101.92</v>
      </c>
      <c r="P156" s="23">
        <v>1809.15</v>
      </c>
      <c r="S156" s="22">
        <f>ROUND(ROUND(P156, 2)*I156, 2)</f>
        <v>729101.92</v>
      </c>
      <c r="V156" s="9">
        <f>ROUND(ROUND(P156, 2)/1.2, 2)</f>
        <v>1507.63</v>
      </c>
      <c r="Y156" s="9">
        <f t="shared" si="16"/>
        <v>607584.93000000005</v>
      </c>
      <c r="AD156" s="4" t="s">
        <v>704</v>
      </c>
      <c r="AE156" s="4" t="s">
        <v>705</v>
      </c>
      <c r="AF156" s="4" t="s">
        <v>706</v>
      </c>
    </row>
    <row r="157" spans="1:35" ht="18" x14ac:dyDescent="0.3">
      <c r="A157" s="10" t="s">
        <v>707</v>
      </c>
      <c r="B157" s="10"/>
      <c r="C157" s="24" t="s">
        <v>426</v>
      </c>
      <c r="D157" s="12"/>
      <c r="E157" s="12"/>
      <c r="F157" s="18" t="s">
        <v>70</v>
      </c>
      <c r="G157" s="19">
        <v>0.25</v>
      </c>
      <c r="H157" s="20"/>
      <c r="I157" s="20">
        <v>83.96</v>
      </c>
      <c r="J157" s="21">
        <v>40.270000000000003</v>
      </c>
      <c r="M157" s="22">
        <f>ROUND(ROUND(J157, 2)*I157, 2)</f>
        <v>3381.07</v>
      </c>
      <c r="P157" s="23">
        <v>40.270000000000003</v>
      </c>
      <c r="S157" s="22">
        <f>ROUND(ROUND(P157, 2)*I157, 2)</f>
        <v>3381.07</v>
      </c>
      <c r="V157" s="9">
        <f>ROUND(ROUND(P157, 2)/1.2, 2)</f>
        <v>33.56</v>
      </c>
      <c r="Y157" s="9">
        <f t="shared" si="16"/>
        <v>2817.56</v>
      </c>
      <c r="AD157" s="4" t="s">
        <v>708</v>
      </c>
      <c r="AE157" s="4" t="s">
        <v>709</v>
      </c>
      <c r="AF157" s="4" t="s">
        <v>429</v>
      </c>
    </row>
    <row r="158" spans="1:35" ht="36" x14ac:dyDescent="0.3">
      <c r="A158" s="10" t="s">
        <v>710</v>
      </c>
      <c r="B158" s="10"/>
      <c r="C158" s="24" t="s">
        <v>433</v>
      </c>
      <c r="D158" s="12"/>
      <c r="E158" s="12"/>
      <c r="F158" s="18" t="s">
        <v>70</v>
      </c>
      <c r="G158" s="19">
        <v>0.15</v>
      </c>
      <c r="H158" s="19"/>
      <c r="I158" s="19">
        <v>50.375999999999998</v>
      </c>
      <c r="J158" s="21">
        <v>88.8</v>
      </c>
      <c r="M158" s="22">
        <f>ROUND(ROUND(J158, 2)*I158, 2)</f>
        <v>4473.3900000000003</v>
      </c>
      <c r="P158" s="23">
        <v>88.8</v>
      </c>
      <c r="S158" s="22">
        <f>ROUND(ROUND(P158, 2)*I158, 2)</f>
        <v>4473.3900000000003</v>
      </c>
      <c r="V158" s="9">
        <f>ROUND(ROUND(P158, 2)/1.2, 2)</f>
        <v>74</v>
      </c>
      <c r="Y158" s="9">
        <f t="shared" si="16"/>
        <v>3727.83</v>
      </c>
      <c r="AD158" s="4" t="s">
        <v>711</v>
      </c>
      <c r="AE158" s="4" t="s">
        <v>712</v>
      </c>
      <c r="AF158" s="4" t="s">
        <v>436</v>
      </c>
    </row>
    <row r="159" spans="1:35" ht="54" x14ac:dyDescent="0.3">
      <c r="A159" s="10" t="s">
        <v>713</v>
      </c>
      <c r="B159" s="10" t="s">
        <v>691</v>
      </c>
      <c r="C159" s="11" t="s">
        <v>692</v>
      </c>
      <c r="D159" s="12"/>
      <c r="E159" s="12" t="s">
        <v>714</v>
      </c>
      <c r="F159" s="12" t="s">
        <v>64</v>
      </c>
      <c r="G159" s="13">
        <v>1</v>
      </c>
      <c r="H159" s="13"/>
      <c r="I159" s="13">
        <v>551.70000000000005</v>
      </c>
      <c r="J159" s="14">
        <f>IFERROR(ROUND(SUM(M160,M161,M162,M163)/I159, 2),0)</f>
        <v>2235.0700000000002</v>
      </c>
      <c r="K159" s="15">
        <v>2785</v>
      </c>
      <c r="L159" s="14">
        <f>J159+ROUND(K159, 2)</f>
        <v>5020.07</v>
      </c>
      <c r="M159" s="14">
        <f>ROUND(J159*I159, 2)</f>
        <v>1233088.1200000001</v>
      </c>
      <c r="N159" s="14">
        <f>ROUND(I159*ROUND(K159, 2), 2)</f>
        <v>1536484.5</v>
      </c>
      <c r="O159" s="14">
        <f>M159+N159</f>
        <v>2769572.62</v>
      </c>
      <c r="P159" s="14">
        <f>IFERROR(ROUND(SUM(S160,S161,S162,S163)/I159, 2),0)</f>
        <v>2235.0700000000002</v>
      </c>
      <c r="Q159" s="16">
        <v>2785</v>
      </c>
      <c r="R159" s="14">
        <f>P159+ROUND(Q159, 2)</f>
        <v>5020.07</v>
      </c>
      <c r="S159" s="14">
        <f>ROUND(P159*I159, 2)</f>
        <v>1233088.1200000001</v>
      </c>
      <c r="T159" s="14">
        <f>ROUND(I159*ROUND(Q159, 2), 2)</f>
        <v>1536484.5</v>
      </c>
      <c r="U159" s="14">
        <f>S159+T159</f>
        <v>2769572.62</v>
      </c>
      <c r="V159" s="9">
        <f>ROUND(P159 / 1.2, 2)</f>
        <v>1862.56</v>
      </c>
      <c r="W159" s="9">
        <f>ROUND(Q159 / 1.2, 2)</f>
        <v>2320.83</v>
      </c>
      <c r="X159" s="9">
        <f>ROUND(R159 / 1.2, 2)</f>
        <v>4183.3900000000003</v>
      </c>
      <c r="Y159" s="9">
        <f t="shared" si="16"/>
        <v>1027573.43</v>
      </c>
      <c r="Z159" s="9">
        <f>ROUND(T159 / 1.2, 2)</f>
        <v>1280403.75</v>
      </c>
      <c r="AA159" s="9">
        <f>Y159+Z159</f>
        <v>2307977.1800000002</v>
      </c>
      <c r="AD159" s="4">
        <v>271132176</v>
      </c>
      <c r="AE159" s="4">
        <v>19973766</v>
      </c>
      <c r="AG159" s="4" t="s">
        <v>694</v>
      </c>
      <c r="AH159" s="4" t="s">
        <v>695</v>
      </c>
      <c r="AI159" s="4" t="s">
        <v>67</v>
      </c>
    </row>
    <row r="160" spans="1:35" ht="36" x14ac:dyDescent="0.3">
      <c r="A160" s="10" t="s">
        <v>715</v>
      </c>
      <c r="B160" s="10"/>
      <c r="C160" s="24" t="s">
        <v>433</v>
      </c>
      <c r="D160" s="12"/>
      <c r="E160" s="12"/>
      <c r="F160" s="18" t="s">
        <v>70</v>
      </c>
      <c r="G160" s="19">
        <v>0.15</v>
      </c>
      <c r="H160" s="19"/>
      <c r="I160" s="19">
        <v>82.754999999999995</v>
      </c>
      <c r="J160" s="21">
        <v>88.8</v>
      </c>
      <c r="M160" s="22">
        <f>ROUND(ROUND(J160, 2)*I160, 2)</f>
        <v>7348.64</v>
      </c>
      <c r="P160" s="23">
        <v>88.8</v>
      </c>
      <c r="S160" s="22">
        <f>ROUND(ROUND(P160, 2)*I160, 2)</f>
        <v>7348.64</v>
      </c>
      <c r="V160" s="9">
        <f>ROUND(ROUND(P160, 2)/1.2, 2)</f>
        <v>74</v>
      </c>
      <c r="Y160" s="9">
        <f t="shared" si="16"/>
        <v>6123.87</v>
      </c>
      <c r="AD160" s="4" t="s">
        <v>716</v>
      </c>
      <c r="AE160" s="4" t="s">
        <v>717</v>
      </c>
      <c r="AF160" s="4" t="s">
        <v>436</v>
      </c>
    </row>
    <row r="161" spans="1:35" ht="18" x14ac:dyDescent="0.3">
      <c r="A161" s="10" t="s">
        <v>718</v>
      </c>
      <c r="B161" s="10"/>
      <c r="C161" s="24" t="s">
        <v>426</v>
      </c>
      <c r="D161" s="12"/>
      <c r="E161" s="12"/>
      <c r="F161" s="18" t="s">
        <v>70</v>
      </c>
      <c r="G161" s="19">
        <v>0.25</v>
      </c>
      <c r="H161" s="20"/>
      <c r="I161" s="20">
        <v>137.92500000000001</v>
      </c>
      <c r="J161" s="21">
        <v>40.270000000000003</v>
      </c>
      <c r="M161" s="22">
        <f>ROUND(ROUND(J161, 2)*I161, 2)</f>
        <v>5554.24</v>
      </c>
      <c r="P161" s="23">
        <v>40.270000000000003</v>
      </c>
      <c r="S161" s="22">
        <f>ROUND(ROUND(P161, 2)*I161, 2)</f>
        <v>5554.24</v>
      </c>
      <c r="V161" s="9">
        <f>ROUND(ROUND(P161, 2)/1.2, 2)</f>
        <v>33.56</v>
      </c>
      <c r="Y161" s="9">
        <f t="shared" si="16"/>
        <v>4628.53</v>
      </c>
      <c r="AD161" s="4" t="s">
        <v>719</v>
      </c>
      <c r="AE161" s="4" t="s">
        <v>720</v>
      </c>
      <c r="AF161" s="4" t="s">
        <v>429</v>
      </c>
    </row>
    <row r="162" spans="1:35" ht="54" x14ac:dyDescent="0.3">
      <c r="A162" s="10" t="s">
        <v>721</v>
      </c>
      <c r="B162" s="10"/>
      <c r="C162" s="24" t="s">
        <v>702</v>
      </c>
      <c r="D162" s="12"/>
      <c r="E162" s="12" t="s">
        <v>703</v>
      </c>
      <c r="F162" s="18" t="s">
        <v>64</v>
      </c>
      <c r="G162" s="19">
        <v>1.2</v>
      </c>
      <c r="H162" s="20"/>
      <c r="I162" s="20">
        <v>662.04</v>
      </c>
      <c r="J162" s="21">
        <v>1809.15</v>
      </c>
      <c r="M162" s="22">
        <f>ROUND(ROUND(J162, 2)*I162, 2)</f>
        <v>1197729.67</v>
      </c>
      <c r="P162" s="23">
        <v>1809.15</v>
      </c>
      <c r="S162" s="22">
        <f>ROUND(ROUND(P162, 2)*I162, 2)</f>
        <v>1197729.67</v>
      </c>
      <c r="V162" s="9">
        <f>ROUND(ROUND(P162, 2)/1.2, 2)</f>
        <v>1507.63</v>
      </c>
      <c r="Y162" s="9">
        <f t="shared" si="16"/>
        <v>998108.06</v>
      </c>
      <c r="AD162" s="4" t="s">
        <v>722</v>
      </c>
      <c r="AE162" s="4" t="s">
        <v>723</v>
      </c>
      <c r="AF162" s="4" t="s">
        <v>706</v>
      </c>
    </row>
    <row r="163" spans="1:35" ht="54" x14ac:dyDescent="0.3">
      <c r="A163" s="10" t="s">
        <v>724</v>
      </c>
      <c r="B163" s="10"/>
      <c r="C163" s="17" t="s">
        <v>697</v>
      </c>
      <c r="D163" s="12"/>
      <c r="E163" s="12" t="s">
        <v>402</v>
      </c>
      <c r="F163" s="18" t="s">
        <v>70</v>
      </c>
      <c r="G163" s="19">
        <v>1.2</v>
      </c>
      <c r="H163" s="20"/>
      <c r="I163" s="20">
        <v>1324.08</v>
      </c>
      <c r="J163" s="21">
        <v>16.96</v>
      </c>
      <c r="M163" s="22">
        <f>ROUND(ROUND(J163, 2)*I163, 2)</f>
        <v>22456.400000000001</v>
      </c>
      <c r="P163" s="23">
        <v>16.96</v>
      </c>
      <c r="S163" s="22">
        <f>ROUND(ROUND(P163, 2)*I163, 2)</f>
        <v>22456.400000000001</v>
      </c>
      <c r="V163" s="9">
        <f>ROUND(ROUND(P163, 2)/1.2, 2)</f>
        <v>14.13</v>
      </c>
      <c r="Y163" s="9">
        <f t="shared" si="16"/>
        <v>18713.669999999998</v>
      </c>
      <c r="AD163" s="4" t="s">
        <v>725</v>
      </c>
      <c r="AE163" s="4" t="s">
        <v>726</v>
      </c>
      <c r="AF163" s="4" t="s">
        <v>700</v>
      </c>
    </row>
    <row r="164" spans="1:35" ht="17.100000000000001" customHeight="1" x14ac:dyDescent="0.3">
      <c r="A164" s="10" t="s">
        <v>727</v>
      </c>
      <c r="B164" s="10" t="s">
        <v>728</v>
      </c>
      <c r="C164" s="185" t="s">
        <v>729</v>
      </c>
      <c r="D164" s="186"/>
      <c r="E164" s="186"/>
      <c r="F164" s="186"/>
      <c r="G164" s="186"/>
      <c r="H164" s="186"/>
      <c r="I164" s="187"/>
      <c r="M164" s="6">
        <f>SUM(M165,M262,M443,M515)</f>
        <v>13876950.84</v>
      </c>
      <c r="N164" s="6">
        <f>SUM(N165,N262,N443,N515)</f>
        <v>59672651.509999998</v>
      </c>
      <c r="O164" s="6">
        <f>SUM(O165,O262,O443,O515)</f>
        <v>73549602.349999994</v>
      </c>
      <c r="S164" s="6">
        <f>SUM(S165,S262,S443,S515)</f>
        <v>13804955.51</v>
      </c>
      <c r="T164" s="6">
        <f>SUM(T165,T262,T443,T515)</f>
        <v>59672651.509999998</v>
      </c>
      <c r="U164" s="6">
        <f>SUM(U165,U262,U443,U515)</f>
        <v>73477607.019999996</v>
      </c>
      <c r="Y164" s="9">
        <f>SUM(Y165,Y262,Y443,Y515)</f>
        <v>11504129.65</v>
      </c>
      <c r="Z164" s="9">
        <f>SUM(Z165,Z262,Z443,Z515)</f>
        <v>49727209.600000001</v>
      </c>
      <c r="AA164" s="9">
        <f>SUM(AA165,AA262,AA443,AA515)</f>
        <v>61231339.25</v>
      </c>
      <c r="AD164" s="4">
        <v>271132094</v>
      </c>
      <c r="AE164" s="4">
        <v>16211408</v>
      </c>
    </row>
    <row r="165" spans="1:35" ht="17.100000000000001" customHeight="1" x14ac:dyDescent="0.3">
      <c r="A165" s="10" t="s">
        <v>730</v>
      </c>
      <c r="B165" s="10" t="s">
        <v>731</v>
      </c>
      <c r="C165" s="185" t="s">
        <v>732</v>
      </c>
      <c r="D165" s="186"/>
      <c r="E165" s="186"/>
      <c r="F165" s="186"/>
      <c r="G165" s="186"/>
      <c r="H165" s="186"/>
      <c r="I165" s="187"/>
      <c r="M165" s="6">
        <f>SUM(M166,M169,M173,M178,M181,M185,M188,M192,M195,M199,M202,M206,M209,M212,M215,M218,M221,M226,M231,M236,M241,M246,M250,M254,M258)</f>
        <v>9465851.8200000003</v>
      </c>
      <c r="N165" s="6">
        <f>SUM(N166,N169,N173,N178,N181,N185,N188,N192,N195,N199,N202,N206,N209,N212,N215,N218,N221,N226,N231,N236,N241,N246,N250,N254,N258)</f>
        <v>44797200.280000001</v>
      </c>
      <c r="O165" s="6">
        <f>SUM(O166,O169,O173,O178,O181,O185,O188,O192,O195,O199,O202,O206,O209,O212,O215,O218,O221,O226,O231,O236,O241,O246,O250,O254,O258)</f>
        <v>54263052.100000001</v>
      </c>
      <c r="S165" s="6">
        <f>SUM(S166,S169,S173,S178,S181,S185,S188,S192,S195,S199,S202,S206,S209,S212,S215,S218,S221,S226,S231,S236,S241,S246,S250,S254,S258)</f>
        <v>9465851.8200000003</v>
      </c>
      <c r="T165" s="6">
        <f>SUM(T166,T169,T173,T178,T181,T185,T188,T192,T195,T199,T202,T206,T209,T212,T215,T218,T221,T226,T231,T236,T241,T246,T250,T254,T258)</f>
        <v>44797200.280000001</v>
      </c>
      <c r="U165" s="6">
        <f>SUM(U166,U169,U173,U178,U181,U185,U188,U192,U195,U199,U202,U206,U209,U212,U215,U218,U221,U226,U231,U236,U241,U246,U250,U254,U258)</f>
        <v>54263052.100000001</v>
      </c>
      <c r="Y165" s="9">
        <f>SUM(Y166,Y169,Y173,Y178,Y181,Y185,Y188,Y192,Y195,Y199,Y202,Y206,Y209,Y212,Y215,Y218,Y221,Y226,Y231,Y236,Y241,Y246,Y250,Y254,Y258)</f>
        <v>7888209.8600000003</v>
      </c>
      <c r="Z165" s="9">
        <f>SUM(Z166,Z169,Z173,Z178,Z181,Z185,Z188,Z192,Z195,Z199,Z202,Z206,Z209,Z212,Z215,Z218,Z221,Z226,Z231,Z236,Z241,Z246,Z250,Z254,Z258)</f>
        <v>37331000.240000002</v>
      </c>
      <c r="AA165" s="9">
        <f>SUM(AA166,AA169,AA173,AA178,AA181,AA185,AA188,AA192,AA195,AA199,AA202,AA206,AA209,AA212,AA215,AA218,AA221,AA226,AA231,AA236,AA241,AA246,AA250,AA254,AA258)</f>
        <v>45219210.100000001</v>
      </c>
      <c r="AD165" s="4">
        <v>271132095</v>
      </c>
      <c r="AE165" s="4">
        <v>16211414</v>
      </c>
    </row>
    <row r="166" spans="1:35" ht="54" x14ac:dyDescent="0.3">
      <c r="A166" s="10" t="s">
        <v>733</v>
      </c>
      <c r="B166" s="10" t="s">
        <v>734</v>
      </c>
      <c r="C166" s="11" t="s">
        <v>735</v>
      </c>
      <c r="D166" s="12"/>
      <c r="E166" s="12" t="s">
        <v>736</v>
      </c>
      <c r="F166" s="12" t="s">
        <v>87</v>
      </c>
      <c r="G166" s="13">
        <v>1</v>
      </c>
      <c r="H166" s="13"/>
      <c r="I166" s="13">
        <v>3871.86</v>
      </c>
      <c r="J166" s="14">
        <f>IFERROR(ROUND(SUM(M167,M168)/I166, 2),0)</f>
        <v>11.51</v>
      </c>
      <c r="K166" s="15">
        <v>28</v>
      </c>
      <c r="L166" s="14">
        <f>J166+ROUND(K166, 2)</f>
        <v>39.51</v>
      </c>
      <c r="M166" s="14">
        <f>ROUND(J166*I166, 2)</f>
        <v>44565.11</v>
      </c>
      <c r="N166" s="14">
        <f>ROUND(I166*ROUND(K166, 2), 2)</f>
        <v>108412.08</v>
      </c>
      <c r="O166" s="14">
        <f>M166+N166</f>
        <v>152977.19</v>
      </c>
      <c r="P166" s="14">
        <f>IFERROR(ROUND(SUM(S167,S168)/I166, 2),0)</f>
        <v>11.51</v>
      </c>
      <c r="Q166" s="16">
        <v>28</v>
      </c>
      <c r="R166" s="14">
        <f>P166+ROUND(Q166, 2)</f>
        <v>39.51</v>
      </c>
      <c r="S166" s="14">
        <f>ROUND(P166*I166, 2)</f>
        <v>44565.11</v>
      </c>
      <c r="T166" s="14">
        <f>ROUND(I166*ROUND(Q166, 2), 2)</f>
        <v>108412.08</v>
      </c>
      <c r="U166" s="14">
        <f>S166+T166</f>
        <v>152977.19</v>
      </c>
      <c r="V166" s="9">
        <f>ROUND(P166 / 1.2, 2)</f>
        <v>9.59</v>
      </c>
      <c r="W166" s="9">
        <f>ROUND(Q166 / 1.2, 2)</f>
        <v>23.33</v>
      </c>
      <c r="X166" s="9">
        <f>ROUND(R166 / 1.2, 2)</f>
        <v>32.93</v>
      </c>
      <c r="Y166" s="9">
        <f>ROUND(S166 / 1.2, 2)</f>
        <v>37137.589999999997</v>
      </c>
      <c r="Z166" s="9">
        <f>ROUND(T166 / 1.2, 2)</f>
        <v>90343.4</v>
      </c>
      <c r="AA166" s="9">
        <f>Y166+Z166</f>
        <v>127480.99</v>
      </c>
      <c r="AD166" s="4">
        <v>271132097</v>
      </c>
      <c r="AE166" s="4">
        <v>19813870</v>
      </c>
      <c r="AG166" s="4" t="s">
        <v>737</v>
      </c>
      <c r="AH166" s="4" t="s">
        <v>738</v>
      </c>
      <c r="AI166" s="4" t="s">
        <v>67</v>
      </c>
    </row>
    <row r="167" spans="1:35" ht="36" x14ac:dyDescent="0.3">
      <c r="A167" s="10" t="s">
        <v>739</v>
      </c>
      <c r="B167" s="10"/>
      <c r="C167" s="17" t="s">
        <v>740</v>
      </c>
      <c r="D167" s="12"/>
      <c r="E167" s="12"/>
      <c r="F167" s="18" t="s">
        <v>70</v>
      </c>
      <c r="G167" s="19">
        <v>0.3</v>
      </c>
      <c r="H167" s="20"/>
      <c r="I167" s="20">
        <v>1161.558</v>
      </c>
      <c r="J167" s="21">
        <v>12.7</v>
      </c>
      <c r="M167" s="22">
        <f>ROUND(ROUND(J167, 2)*I167, 2)</f>
        <v>14751.79</v>
      </c>
      <c r="P167" s="23">
        <v>12.7</v>
      </c>
      <c r="S167" s="22">
        <f>ROUND(ROUND(P167, 2)*I167, 2)</f>
        <v>14751.79</v>
      </c>
      <c r="V167" s="9">
        <f>ROUND(ROUND(P167, 2)/1.2, 2)</f>
        <v>10.58</v>
      </c>
      <c r="Y167" s="9">
        <f t="shared" ref="Y167:Y198" si="17">ROUND(S167 / 1.2, 2)</f>
        <v>12293.16</v>
      </c>
      <c r="AD167" s="4" t="s">
        <v>741</v>
      </c>
      <c r="AE167" s="4" t="s">
        <v>742</v>
      </c>
      <c r="AF167" s="4" t="s">
        <v>743</v>
      </c>
    </row>
    <row r="168" spans="1:35" ht="18" x14ac:dyDescent="0.3">
      <c r="A168" s="10" t="s">
        <v>744</v>
      </c>
      <c r="B168" s="10"/>
      <c r="C168" s="24" t="s">
        <v>745</v>
      </c>
      <c r="D168" s="12"/>
      <c r="E168" s="12"/>
      <c r="F168" s="18" t="s">
        <v>87</v>
      </c>
      <c r="G168" s="19">
        <v>1.1000000000000001</v>
      </c>
      <c r="H168" s="20"/>
      <c r="I168" s="20">
        <v>4259.0460000000003</v>
      </c>
      <c r="J168" s="21">
        <v>7</v>
      </c>
      <c r="M168" s="22">
        <f>ROUND(ROUND(J168, 2)*I168, 2)</f>
        <v>29813.32</v>
      </c>
      <c r="P168" s="23">
        <v>7</v>
      </c>
      <c r="S168" s="22">
        <f>ROUND(ROUND(P168, 2)*I168, 2)</f>
        <v>29813.32</v>
      </c>
      <c r="V168" s="9">
        <f>ROUND(ROUND(P168, 2)/1.2, 2)</f>
        <v>5.83</v>
      </c>
      <c r="Y168" s="9">
        <f t="shared" si="17"/>
        <v>24844.43</v>
      </c>
      <c r="AD168" s="4" t="s">
        <v>746</v>
      </c>
      <c r="AE168" s="4" t="s">
        <v>747</v>
      </c>
      <c r="AF168" s="4" t="s">
        <v>748</v>
      </c>
    </row>
    <row r="169" spans="1:35" ht="54" x14ac:dyDescent="0.3">
      <c r="A169" s="10" t="s">
        <v>749</v>
      </c>
      <c r="B169" s="10" t="s">
        <v>750</v>
      </c>
      <c r="C169" s="11" t="s">
        <v>751</v>
      </c>
      <c r="D169" s="12"/>
      <c r="E169" s="12" t="s">
        <v>63</v>
      </c>
      <c r="F169" s="12" t="s">
        <v>64</v>
      </c>
      <c r="G169" s="13">
        <v>1</v>
      </c>
      <c r="H169" s="13"/>
      <c r="I169" s="13">
        <v>0</v>
      </c>
      <c r="J169" s="14">
        <f>IFERROR(ROUND(SUM(M170,M171,M172)/I169, 2),0)</f>
        <v>0</v>
      </c>
      <c r="K169" s="15">
        <v>826</v>
      </c>
      <c r="L169" s="14">
        <f>J169+ROUND(K169, 2)</f>
        <v>826</v>
      </c>
      <c r="M169" s="14">
        <f>ROUND(J169*I169, 2)</f>
        <v>0</v>
      </c>
      <c r="N169" s="14">
        <f>ROUND(I169*ROUND(K169, 2), 2)</f>
        <v>0</v>
      </c>
      <c r="O169" s="14">
        <f>M169+N169</f>
        <v>0</v>
      </c>
      <c r="P169" s="14">
        <f>IFERROR(ROUND(SUM(S170,S171,S172)/I169, 2),0)</f>
        <v>0</v>
      </c>
      <c r="Q169" s="15">
        <v>826</v>
      </c>
      <c r="R169" s="14">
        <f>P169+ROUND(Q169, 2)</f>
        <v>826</v>
      </c>
      <c r="S169" s="14">
        <f>ROUND(P169*I169, 2)</f>
        <v>0</v>
      </c>
      <c r="T169" s="14">
        <f>ROUND(I169*ROUND(Q169, 2), 2)</f>
        <v>0</v>
      </c>
      <c r="U169" s="14">
        <f>S169+T169</f>
        <v>0</v>
      </c>
      <c r="V169" s="9">
        <f>ROUND(P169 / 1.2, 2)</f>
        <v>0</v>
      </c>
      <c r="W169" s="9">
        <f>ROUND(Q169 / 1.2, 2)</f>
        <v>688.33</v>
      </c>
      <c r="X169" s="9">
        <f>ROUND(R169 / 1.2, 2)</f>
        <v>688.33</v>
      </c>
      <c r="Y169" s="9">
        <f t="shared" si="17"/>
        <v>0</v>
      </c>
      <c r="Z169" s="9">
        <f>ROUND(T169 / 1.2, 2)</f>
        <v>0</v>
      </c>
      <c r="AA169" s="9">
        <f>Y169+Z169</f>
        <v>0</v>
      </c>
      <c r="AD169" s="4">
        <v>271132099</v>
      </c>
      <c r="AE169" s="4">
        <v>16677750</v>
      </c>
      <c r="AG169" s="4" t="s">
        <v>752</v>
      </c>
      <c r="AH169" s="4" t="s">
        <v>753</v>
      </c>
      <c r="AI169" s="4" t="s">
        <v>67</v>
      </c>
    </row>
    <row r="170" spans="1:35" ht="36" x14ac:dyDescent="0.3">
      <c r="A170" s="10" t="s">
        <v>755</v>
      </c>
      <c r="B170" s="10"/>
      <c r="C170" s="17" t="s">
        <v>756</v>
      </c>
      <c r="D170" s="12"/>
      <c r="E170" s="12" t="s">
        <v>757</v>
      </c>
      <c r="F170" s="18" t="s">
        <v>70</v>
      </c>
      <c r="G170" s="19">
        <v>1</v>
      </c>
      <c r="H170" s="20"/>
      <c r="I170" s="20">
        <v>0</v>
      </c>
      <c r="J170" s="21">
        <v>7.59</v>
      </c>
      <c r="M170" s="22">
        <f>ROUND(ROUND(J170, 2)*I170, 2)</f>
        <v>0</v>
      </c>
      <c r="P170" s="21">
        <v>7.59</v>
      </c>
      <c r="S170" s="22">
        <f>ROUND(ROUND(P170, 2)*I170, 2)</f>
        <v>0</v>
      </c>
      <c r="V170" s="9">
        <f>ROUND(ROUND(P170, 2)/1.2, 2)</f>
        <v>6.33</v>
      </c>
      <c r="Y170" s="9">
        <f t="shared" si="17"/>
        <v>0</v>
      </c>
      <c r="AD170" s="4" t="s">
        <v>758</v>
      </c>
      <c r="AE170" s="4" t="s">
        <v>759</v>
      </c>
      <c r="AF170" s="4" t="s">
        <v>760</v>
      </c>
    </row>
    <row r="171" spans="1:35" ht="18" x14ac:dyDescent="0.3">
      <c r="A171" s="10" t="s">
        <v>763</v>
      </c>
      <c r="B171" s="10"/>
      <c r="C171" s="24" t="s">
        <v>764</v>
      </c>
      <c r="D171" s="12"/>
      <c r="E171" s="12"/>
      <c r="F171" s="18" t="s">
        <v>70</v>
      </c>
      <c r="G171" s="19">
        <v>0.25</v>
      </c>
      <c r="H171" s="19"/>
      <c r="I171" s="19">
        <v>0</v>
      </c>
      <c r="J171" s="21">
        <v>100</v>
      </c>
      <c r="M171" s="22">
        <f>ROUND(ROUND(J171, 2)*I171, 2)</f>
        <v>0</v>
      </c>
      <c r="P171" s="21">
        <v>100</v>
      </c>
      <c r="S171" s="22">
        <f>ROUND(ROUND(P171, 2)*I171, 2)</f>
        <v>0</v>
      </c>
      <c r="V171" s="9">
        <f>ROUND(ROUND(P171, 2)/1.2, 2)</f>
        <v>83.33</v>
      </c>
      <c r="Y171" s="9">
        <f t="shared" si="17"/>
        <v>0</v>
      </c>
      <c r="AD171" s="4" t="s">
        <v>765</v>
      </c>
      <c r="AE171" s="4" t="s">
        <v>766</v>
      </c>
      <c r="AF171" s="4" t="s">
        <v>767</v>
      </c>
    </row>
    <row r="172" spans="1:35" ht="18" x14ac:dyDescent="0.3">
      <c r="A172" s="10" t="s">
        <v>770</v>
      </c>
      <c r="B172" s="10"/>
      <c r="C172" s="24" t="s">
        <v>771</v>
      </c>
      <c r="D172" s="12"/>
      <c r="E172" s="12"/>
      <c r="F172" s="18" t="s">
        <v>87</v>
      </c>
      <c r="G172" s="19">
        <v>1.05</v>
      </c>
      <c r="H172" s="20"/>
      <c r="I172" s="20">
        <v>0</v>
      </c>
      <c r="J172" s="21">
        <v>15.76</v>
      </c>
      <c r="M172" s="22">
        <f>ROUND(ROUND(J172, 2)*I172, 2)</f>
        <v>0</v>
      </c>
      <c r="P172" s="21">
        <v>15.76</v>
      </c>
      <c r="S172" s="22">
        <f>ROUND(ROUND(P172, 2)*I172, 2)</f>
        <v>0</v>
      </c>
      <c r="V172" s="9">
        <f>ROUND(ROUND(P172, 2)/1.2, 2)</f>
        <v>13.13</v>
      </c>
      <c r="Y172" s="9">
        <f t="shared" si="17"/>
        <v>0</v>
      </c>
      <c r="AD172" s="4" t="s">
        <v>772</v>
      </c>
      <c r="AE172" s="4" t="s">
        <v>773</v>
      </c>
      <c r="AF172" s="4" t="s">
        <v>774</v>
      </c>
    </row>
    <row r="173" spans="1:35" ht="54" x14ac:dyDescent="0.3">
      <c r="A173" s="10" t="s">
        <v>777</v>
      </c>
      <c r="B173" s="10" t="s">
        <v>778</v>
      </c>
      <c r="C173" s="11" t="s">
        <v>779</v>
      </c>
      <c r="D173" s="12"/>
      <c r="E173" s="12" t="s">
        <v>780</v>
      </c>
      <c r="F173" s="12" t="s">
        <v>64</v>
      </c>
      <c r="G173" s="13">
        <v>1</v>
      </c>
      <c r="H173" s="13"/>
      <c r="I173" s="13">
        <v>0</v>
      </c>
      <c r="J173" s="14">
        <f>IFERROR(ROUND(SUM(M174,M175,M176,M177)/I173, 2),0)</f>
        <v>0</v>
      </c>
      <c r="K173" s="15">
        <v>329</v>
      </c>
      <c r="L173" s="14">
        <f>J173+ROUND(K173, 2)</f>
        <v>329</v>
      </c>
      <c r="M173" s="14">
        <f>ROUND(J173*I173, 2)</f>
        <v>0</v>
      </c>
      <c r="N173" s="14">
        <f>ROUND(I173*ROUND(K173, 2), 2)</f>
        <v>0</v>
      </c>
      <c r="O173" s="14">
        <f>M173+N173</f>
        <v>0</v>
      </c>
      <c r="P173" s="14">
        <f>IFERROR(ROUND(SUM(S174,S175,S176,S177)/I173, 2),0)</f>
        <v>0</v>
      </c>
      <c r="Q173" s="15">
        <v>329</v>
      </c>
      <c r="R173" s="14">
        <f>P173+ROUND(Q173, 2)</f>
        <v>329</v>
      </c>
      <c r="S173" s="14">
        <f>ROUND(P173*I173, 2)</f>
        <v>0</v>
      </c>
      <c r="T173" s="14">
        <f>ROUND(I173*ROUND(Q173, 2), 2)</f>
        <v>0</v>
      </c>
      <c r="U173" s="14">
        <f>S173+T173</f>
        <v>0</v>
      </c>
      <c r="V173" s="9">
        <f>ROUND(P173 / 1.2, 2)</f>
        <v>0</v>
      </c>
      <c r="W173" s="9">
        <f>ROUND(Q173 / 1.2, 2)</f>
        <v>274.17</v>
      </c>
      <c r="X173" s="9">
        <f>ROUND(R173 / 1.2, 2)</f>
        <v>274.17</v>
      </c>
      <c r="Y173" s="9">
        <f t="shared" si="17"/>
        <v>0</v>
      </c>
      <c r="Z173" s="9">
        <f>ROUND(T173 / 1.2, 2)</f>
        <v>0</v>
      </c>
      <c r="AA173" s="9">
        <f>Y173+Z173</f>
        <v>0</v>
      </c>
      <c r="AD173" s="4">
        <v>271132101</v>
      </c>
      <c r="AE173" s="4">
        <v>16211417</v>
      </c>
      <c r="AG173" s="4" t="s">
        <v>781</v>
      </c>
      <c r="AH173" s="4" t="s">
        <v>782</v>
      </c>
      <c r="AI173" s="4" t="s">
        <v>67</v>
      </c>
    </row>
    <row r="174" spans="1:35" ht="36" x14ac:dyDescent="0.3">
      <c r="A174" s="10" t="s">
        <v>785</v>
      </c>
      <c r="B174" s="10"/>
      <c r="C174" s="17" t="s">
        <v>740</v>
      </c>
      <c r="D174" s="12"/>
      <c r="E174" s="12" t="s">
        <v>786</v>
      </c>
      <c r="F174" s="18" t="s">
        <v>70</v>
      </c>
      <c r="G174" s="19">
        <v>1.8</v>
      </c>
      <c r="H174" s="19"/>
      <c r="I174" s="19">
        <v>0</v>
      </c>
      <c r="J174" s="21">
        <v>12.58</v>
      </c>
      <c r="M174" s="22">
        <f>ROUND(ROUND(J174, 2)*I174, 2)</f>
        <v>0</v>
      </c>
      <c r="P174" s="21">
        <v>12.58</v>
      </c>
      <c r="S174" s="22">
        <f>ROUND(ROUND(P174, 2)*I174, 2)</f>
        <v>0</v>
      </c>
      <c r="V174" s="9">
        <f>ROUND(ROUND(P174, 2)/1.2, 2)</f>
        <v>10.48</v>
      </c>
      <c r="Y174" s="9">
        <f t="shared" si="17"/>
        <v>0</v>
      </c>
      <c r="AD174" s="4" t="s">
        <v>787</v>
      </c>
      <c r="AE174" s="4" t="s">
        <v>788</v>
      </c>
      <c r="AF174" s="4" t="s">
        <v>789</v>
      </c>
    </row>
    <row r="175" spans="1:35" ht="18" x14ac:dyDescent="0.3">
      <c r="A175" s="10" t="s">
        <v>792</v>
      </c>
      <c r="B175" s="10"/>
      <c r="C175" s="24" t="s">
        <v>793</v>
      </c>
      <c r="D175" s="12"/>
      <c r="E175" s="12"/>
      <c r="F175" s="18" t="s">
        <v>116</v>
      </c>
      <c r="G175" s="19">
        <v>0.3</v>
      </c>
      <c r="H175" s="20"/>
      <c r="I175" s="20">
        <v>0</v>
      </c>
      <c r="J175" s="21">
        <v>73.099999999999994</v>
      </c>
      <c r="M175" s="22">
        <f>ROUND(ROUND(J175, 2)*I175, 2)</f>
        <v>0</v>
      </c>
      <c r="P175" s="21">
        <v>73.099999999999994</v>
      </c>
      <c r="S175" s="22">
        <f>ROUND(ROUND(P175, 2)*I175, 2)</f>
        <v>0</v>
      </c>
      <c r="V175" s="9">
        <f>ROUND(ROUND(P175, 2)/1.2, 2)</f>
        <v>60.92</v>
      </c>
      <c r="Y175" s="9">
        <f t="shared" si="17"/>
        <v>0</v>
      </c>
      <c r="AD175" s="4" t="s">
        <v>794</v>
      </c>
      <c r="AE175" s="4" t="s">
        <v>795</v>
      </c>
      <c r="AF175" s="4" t="s">
        <v>796</v>
      </c>
    </row>
    <row r="176" spans="1:35" ht="18" x14ac:dyDescent="0.3">
      <c r="A176" s="10" t="s">
        <v>799</v>
      </c>
      <c r="B176" s="10"/>
      <c r="C176" s="24" t="s">
        <v>800</v>
      </c>
      <c r="D176" s="12"/>
      <c r="E176" s="12"/>
      <c r="F176" s="18" t="s">
        <v>87</v>
      </c>
      <c r="G176" s="19">
        <v>1</v>
      </c>
      <c r="H176" s="20"/>
      <c r="I176" s="20">
        <v>0</v>
      </c>
      <c r="J176" s="21">
        <v>7</v>
      </c>
      <c r="M176" s="22">
        <f>ROUND(ROUND(J176, 2)*I176, 2)</f>
        <v>0</v>
      </c>
      <c r="P176" s="21">
        <v>7</v>
      </c>
      <c r="S176" s="22">
        <f>ROUND(ROUND(P176, 2)*I176, 2)</f>
        <v>0</v>
      </c>
      <c r="V176" s="9">
        <f>ROUND(ROUND(P176, 2)/1.2, 2)</f>
        <v>5.83</v>
      </c>
      <c r="Y176" s="9">
        <f t="shared" si="17"/>
        <v>0</v>
      </c>
      <c r="AD176" s="4" t="s">
        <v>801</v>
      </c>
      <c r="AE176" s="4" t="s">
        <v>802</v>
      </c>
      <c r="AF176" s="4" t="s">
        <v>803</v>
      </c>
    </row>
    <row r="177" spans="1:35" ht="36" x14ac:dyDescent="0.3">
      <c r="A177" s="10" t="s">
        <v>806</v>
      </c>
      <c r="B177" s="10"/>
      <c r="C177" s="24" t="s">
        <v>433</v>
      </c>
      <c r="D177" s="12"/>
      <c r="E177" s="12"/>
      <c r="F177" s="18" t="s">
        <v>70</v>
      </c>
      <c r="G177" s="19">
        <v>0.15</v>
      </c>
      <c r="H177" s="19"/>
      <c r="I177" s="19">
        <v>0</v>
      </c>
      <c r="J177" s="21">
        <v>88.8</v>
      </c>
      <c r="M177" s="22">
        <f>ROUND(ROUND(J177, 2)*I177, 2)</f>
        <v>0</v>
      </c>
      <c r="P177" s="21">
        <v>88.8</v>
      </c>
      <c r="S177" s="22">
        <f>ROUND(ROUND(P177, 2)*I177, 2)</f>
        <v>0</v>
      </c>
      <c r="V177" s="9">
        <f>ROUND(ROUND(P177, 2)/1.2, 2)</f>
        <v>74</v>
      </c>
      <c r="Y177" s="9">
        <f t="shared" si="17"/>
        <v>0</v>
      </c>
      <c r="AD177" s="4" t="s">
        <v>807</v>
      </c>
      <c r="AE177" s="4" t="s">
        <v>808</v>
      </c>
      <c r="AF177" s="4" t="s">
        <v>436</v>
      </c>
    </row>
    <row r="178" spans="1:35" ht="54" x14ac:dyDescent="0.3">
      <c r="A178" s="10" t="s">
        <v>811</v>
      </c>
      <c r="B178" s="10" t="s">
        <v>778</v>
      </c>
      <c r="C178" s="11" t="s">
        <v>779</v>
      </c>
      <c r="D178" s="12"/>
      <c r="E178" s="12" t="s">
        <v>812</v>
      </c>
      <c r="F178" s="12" t="s">
        <v>64</v>
      </c>
      <c r="G178" s="13">
        <v>1</v>
      </c>
      <c r="H178" s="13"/>
      <c r="I178" s="13">
        <v>0</v>
      </c>
      <c r="J178" s="14">
        <f>IFERROR(ROUND(SUM(M179,M180)/I178, 2),0)</f>
        <v>0</v>
      </c>
      <c r="K178" s="15">
        <v>329</v>
      </c>
      <c r="L178" s="14">
        <f>J178+ROUND(K178, 2)</f>
        <v>329</v>
      </c>
      <c r="M178" s="14">
        <f>ROUND(J178*I178, 2)</f>
        <v>0</v>
      </c>
      <c r="N178" s="14">
        <f>ROUND(I178*ROUND(K178, 2), 2)</f>
        <v>0</v>
      </c>
      <c r="O178" s="14">
        <f>M178+N178</f>
        <v>0</v>
      </c>
      <c r="P178" s="14">
        <f>IFERROR(ROUND(SUM(S179,S180)/I178, 2),0)</f>
        <v>0</v>
      </c>
      <c r="Q178" s="15">
        <v>329</v>
      </c>
      <c r="R178" s="14">
        <f>P178+ROUND(Q178, 2)</f>
        <v>329</v>
      </c>
      <c r="S178" s="14">
        <f>ROUND(P178*I178, 2)</f>
        <v>0</v>
      </c>
      <c r="T178" s="14">
        <f>ROUND(I178*ROUND(Q178, 2), 2)</f>
        <v>0</v>
      </c>
      <c r="U178" s="14">
        <f>S178+T178</f>
        <v>0</v>
      </c>
      <c r="V178" s="9">
        <f>ROUND(P178 / 1.2, 2)</f>
        <v>0</v>
      </c>
      <c r="W178" s="9">
        <f>ROUND(Q178 / 1.2, 2)</f>
        <v>274.17</v>
      </c>
      <c r="X178" s="9">
        <f>ROUND(R178 / 1.2, 2)</f>
        <v>274.17</v>
      </c>
      <c r="Y178" s="9">
        <f t="shared" si="17"/>
        <v>0</v>
      </c>
      <c r="Z178" s="9">
        <f>ROUND(T178 / 1.2, 2)</f>
        <v>0</v>
      </c>
      <c r="AA178" s="9">
        <f>Y178+Z178</f>
        <v>0</v>
      </c>
      <c r="AD178" s="4">
        <v>271132177</v>
      </c>
      <c r="AE178" s="4">
        <v>16211418</v>
      </c>
      <c r="AG178" s="4" t="s">
        <v>781</v>
      </c>
      <c r="AH178" s="4" t="s">
        <v>782</v>
      </c>
      <c r="AI178" s="4" t="s">
        <v>67</v>
      </c>
    </row>
    <row r="179" spans="1:35" ht="36" x14ac:dyDescent="0.3">
      <c r="A179" s="10" t="s">
        <v>815</v>
      </c>
      <c r="B179" s="10"/>
      <c r="C179" s="24" t="s">
        <v>433</v>
      </c>
      <c r="D179" s="12"/>
      <c r="E179" s="12"/>
      <c r="F179" s="18" t="s">
        <v>70</v>
      </c>
      <c r="G179" s="19">
        <v>0.15</v>
      </c>
      <c r="H179" s="19"/>
      <c r="I179" s="19">
        <v>0</v>
      </c>
      <c r="J179" s="21">
        <v>88.8</v>
      </c>
      <c r="M179" s="22">
        <f>ROUND(ROUND(J179, 2)*I179, 2)</f>
        <v>0</v>
      </c>
      <c r="P179" s="21">
        <v>88.8</v>
      </c>
      <c r="S179" s="22">
        <f>ROUND(ROUND(P179, 2)*I179, 2)</f>
        <v>0</v>
      </c>
      <c r="V179" s="9">
        <f>ROUND(ROUND(P179, 2)/1.2, 2)</f>
        <v>74</v>
      </c>
      <c r="Y179" s="9">
        <f t="shared" si="17"/>
        <v>0</v>
      </c>
      <c r="AD179" s="4" t="s">
        <v>816</v>
      </c>
      <c r="AE179" s="4" t="s">
        <v>817</v>
      </c>
      <c r="AF179" s="4" t="s">
        <v>436</v>
      </c>
    </row>
    <row r="180" spans="1:35" ht="36" x14ac:dyDescent="0.3">
      <c r="A180" s="10" t="s">
        <v>820</v>
      </c>
      <c r="B180" s="10"/>
      <c r="C180" s="17" t="s">
        <v>740</v>
      </c>
      <c r="D180" s="12"/>
      <c r="E180" s="12" t="s">
        <v>821</v>
      </c>
      <c r="F180" s="18" t="s">
        <v>70</v>
      </c>
      <c r="G180" s="19">
        <v>1.8</v>
      </c>
      <c r="H180" s="19"/>
      <c r="I180" s="19">
        <v>0</v>
      </c>
      <c r="J180" s="21">
        <v>12.58</v>
      </c>
      <c r="M180" s="22">
        <f>ROUND(ROUND(J180, 2)*I180, 2)</f>
        <v>0</v>
      </c>
      <c r="P180" s="21">
        <v>12.58</v>
      </c>
      <c r="S180" s="22">
        <f>ROUND(ROUND(P180, 2)*I180, 2)</f>
        <v>0</v>
      </c>
      <c r="V180" s="9">
        <f>ROUND(ROUND(P180, 2)/1.2, 2)</f>
        <v>10.48</v>
      </c>
      <c r="Y180" s="9">
        <f t="shared" si="17"/>
        <v>0</v>
      </c>
      <c r="AD180" s="4" t="s">
        <v>822</v>
      </c>
      <c r="AE180" s="4" t="s">
        <v>823</v>
      </c>
      <c r="AF180" s="4" t="s">
        <v>789</v>
      </c>
    </row>
    <row r="181" spans="1:35" ht="36" x14ac:dyDescent="0.3">
      <c r="A181" s="10" t="s">
        <v>826</v>
      </c>
      <c r="B181" s="10" t="s">
        <v>827</v>
      </c>
      <c r="C181" s="11" t="s">
        <v>828</v>
      </c>
      <c r="D181" s="12"/>
      <c r="E181" s="12" t="s">
        <v>829</v>
      </c>
      <c r="F181" s="12" t="s">
        <v>64</v>
      </c>
      <c r="G181" s="13">
        <v>1</v>
      </c>
      <c r="H181" s="13"/>
      <c r="I181" s="13">
        <v>8128.4</v>
      </c>
      <c r="J181" s="14">
        <f>IFERROR(ROUND(SUM(M182,M183,M184)/I181, 2),0)</f>
        <v>58.11</v>
      </c>
      <c r="K181" s="15">
        <v>508</v>
      </c>
      <c r="L181" s="14">
        <f>J181+ROUND(K181, 2)</f>
        <v>566.11</v>
      </c>
      <c r="M181" s="14">
        <f>ROUND(J181*I181, 2)</f>
        <v>472341.32</v>
      </c>
      <c r="N181" s="14">
        <f>ROUND(I181*ROUND(K181, 2), 2)</f>
        <v>4129227.2</v>
      </c>
      <c r="O181" s="14">
        <f>M181+N181</f>
        <v>4601568.5199999996</v>
      </c>
      <c r="P181" s="14">
        <f>IFERROR(ROUND(SUM(S182,S183,S184)/I181, 2),0)</f>
        <v>58.11</v>
      </c>
      <c r="Q181" s="16">
        <v>508</v>
      </c>
      <c r="R181" s="14">
        <f>P181+ROUND(Q181, 2)</f>
        <v>566.11</v>
      </c>
      <c r="S181" s="14">
        <f>ROUND(P181*I181, 2)</f>
        <v>472341.32</v>
      </c>
      <c r="T181" s="14">
        <f>ROUND(I181*ROUND(Q181, 2), 2)</f>
        <v>4129227.2</v>
      </c>
      <c r="U181" s="14">
        <f>S181+T181</f>
        <v>4601568.5199999996</v>
      </c>
      <c r="V181" s="9">
        <f>ROUND(P181 / 1.2, 2)</f>
        <v>48.43</v>
      </c>
      <c r="W181" s="9">
        <f>ROUND(Q181 / 1.2, 2)</f>
        <v>423.33</v>
      </c>
      <c r="X181" s="9">
        <f>ROUND(R181 / 1.2, 2)</f>
        <v>471.76</v>
      </c>
      <c r="Y181" s="9">
        <f t="shared" si="17"/>
        <v>393617.77</v>
      </c>
      <c r="Z181" s="9">
        <f>ROUND(T181 / 1.2, 2)</f>
        <v>3441022.67</v>
      </c>
      <c r="AA181" s="9">
        <f>Y181+Z181</f>
        <v>3834640.44</v>
      </c>
      <c r="AD181" s="4">
        <v>271132103</v>
      </c>
      <c r="AE181" s="4">
        <v>19976869</v>
      </c>
      <c r="AG181" s="4" t="s">
        <v>830</v>
      </c>
      <c r="AH181" s="4" t="s">
        <v>831</v>
      </c>
      <c r="AI181" s="4" t="s">
        <v>67</v>
      </c>
    </row>
    <row r="182" spans="1:35" ht="36" x14ac:dyDescent="0.3">
      <c r="A182" s="10" t="s">
        <v>832</v>
      </c>
      <c r="B182" s="10"/>
      <c r="C182" s="17" t="s">
        <v>740</v>
      </c>
      <c r="D182" s="12"/>
      <c r="E182" s="12"/>
      <c r="F182" s="18" t="s">
        <v>70</v>
      </c>
      <c r="G182" s="19">
        <v>1.8</v>
      </c>
      <c r="H182" s="19"/>
      <c r="I182" s="19">
        <v>14631.12</v>
      </c>
      <c r="J182" s="21">
        <v>12.7</v>
      </c>
      <c r="M182" s="22">
        <f>ROUND(ROUND(J182, 2)*I182, 2)</f>
        <v>185815.22</v>
      </c>
      <c r="P182" s="23">
        <v>12.7</v>
      </c>
      <c r="S182" s="22">
        <f>ROUND(ROUND(P182, 2)*I182, 2)</f>
        <v>185815.22</v>
      </c>
      <c r="V182" s="9">
        <f>ROUND(ROUND(P182, 2)/1.2, 2)</f>
        <v>10.58</v>
      </c>
      <c r="Y182" s="9">
        <f t="shared" si="17"/>
        <v>154846.01999999999</v>
      </c>
      <c r="AD182" s="4" t="s">
        <v>833</v>
      </c>
      <c r="AE182" s="4" t="s">
        <v>834</v>
      </c>
      <c r="AF182" s="4" t="s">
        <v>789</v>
      </c>
    </row>
    <row r="183" spans="1:35" ht="18" x14ac:dyDescent="0.3">
      <c r="A183" s="10" t="s">
        <v>835</v>
      </c>
      <c r="B183" s="10"/>
      <c r="C183" s="24" t="s">
        <v>793</v>
      </c>
      <c r="D183" s="12"/>
      <c r="E183" s="12"/>
      <c r="F183" s="18" t="s">
        <v>116</v>
      </c>
      <c r="G183" s="19">
        <v>0.3</v>
      </c>
      <c r="H183" s="19"/>
      <c r="I183" s="19">
        <v>2438.52</v>
      </c>
      <c r="J183" s="21">
        <v>73.099999999999994</v>
      </c>
      <c r="M183" s="22">
        <f>ROUND(ROUND(J183, 2)*I183, 2)</f>
        <v>178255.81</v>
      </c>
      <c r="P183" s="23">
        <v>73.099999999999994</v>
      </c>
      <c r="S183" s="22">
        <f>ROUND(ROUND(P183, 2)*I183, 2)</f>
        <v>178255.81</v>
      </c>
      <c r="V183" s="9">
        <f>ROUND(ROUND(P183, 2)/1.2, 2)</f>
        <v>60.92</v>
      </c>
      <c r="Y183" s="9">
        <f t="shared" si="17"/>
        <v>148546.51</v>
      </c>
      <c r="AD183" s="4" t="s">
        <v>836</v>
      </c>
      <c r="AE183" s="4" t="s">
        <v>837</v>
      </c>
      <c r="AF183" s="4" t="s">
        <v>796</v>
      </c>
    </row>
    <row r="184" spans="1:35" ht="36" x14ac:dyDescent="0.3">
      <c r="A184" s="10" t="s">
        <v>838</v>
      </c>
      <c r="B184" s="10"/>
      <c r="C184" s="24" t="s">
        <v>433</v>
      </c>
      <c r="D184" s="12"/>
      <c r="E184" s="12"/>
      <c r="F184" s="18" t="s">
        <v>70</v>
      </c>
      <c r="G184" s="19">
        <v>0.15</v>
      </c>
      <c r="H184" s="19"/>
      <c r="I184" s="19">
        <v>1219.26</v>
      </c>
      <c r="J184" s="21">
        <v>88.8</v>
      </c>
      <c r="M184" s="22">
        <f>ROUND(ROUND(J184, 2)*I184, 2)</f>
        <v>108270.29</v>
      </c>
      <c r="P184" s="23">
        <v>88.8</v>
      </c>
      <c r="S184" s="22">
        <f>ROUND(ROUND(P184, 2)*I184, 2)</f>
        <v>108270.29</v>
      </c>
      <c r="V184" s="9">
        <f>ROUND(ROUND(P184, 2)/1.2, 2)</f>
        <v>74</v>
      </c>
      <c r="Y184" s="9">
        <f t="shared" si="17"/>
        <v>90225.24</v>
      </c>
      <c r="AD184" s="4" t="s">
        <v>839</v>
      </c>
      <c r="AE184" s="4" t="s">
        <v>840</v>
      </c>
      <c r="AF184" s="4" t="s">
        <v>436</v>
      </c>
    </row>
    <row r="185" spans="1:35" ht="54" x14ac:dyDescent="0.3">
      <c r="A185" s="10" t="s">
        <v>841</v>
      </c>
      <c r="B185" s="10" t="s">
        <v>827</v>
      </c>
      <c r="C185" s="11" t="s">
        <v>828</v>
      </c>
      <c r="D185" s="12"/>
      <c r="E185" s="12" t="s">
        <v>842</v>
      </c>
      <c r="F185" s="12" t="s">
        <v>64</v>
      </c>
      <c r="G185" s="13">
        <v>1</v>
      </c>
      <c r="H185" s="13"/>
      <c r="I185" s="13">
        <v>8128.4</v>
      </c>
      <c r="J185" s="14">
        <f>IFERROR(ROUND(SUM(M186,M187)/I185, 2),0)</f>
        <v>73.319999999999993</v>
      </c>
      <c r="K185" s="15">
        <v>508</v>
      </c>
      <c r="L185" s="14">
        <f>J185+ROUND(K185, 2)</f>
        <v>581.32000000000005</v>
      </c>
      <c r="M185" s="14">
        <f>ROUND(J185*I185, 2)</f>
        <v>595974.29</v>
      </c>
      <c r="N185" s="14">
        <f>ROUND(I185*ROUND(K185, 2), 2)</f>
        <v>4129227.2</v>
      </c>
      <c r="O185" s="14">
        <f>M185+N185</f>
        <v>4725201.49</v>
      </c>
      <c r="P185" s="14">
        <f>IFERROR(ROUND(SUM(S186,S187)/I185, 2),0)</f>
        <v>73.319999999999993</v>
      </c>
      <c r="Q185" s="16">
        <v>508</v>
      </c>
      <c r="R185" s="14">
        <f>P185+ROUND(Q185, 2)</f>
        <v>581.32000000000005</v>
      </c>
      <c r="S185" s="14">
        <f>ROUND(P185*I185, 2)</f>
        <v>595974.29</v>
      </c>
      <c r="T185" s="14">
        <f>ROUND(I185*ROUND(Q185, 2), 2)</f>
        <v>4129227.2</v>
      </c>
      <c r="U185" s="14">
        <f>S185+T185</f>
        <v>4725201.49</v>
      </c>
      <c r="V185" s="9">
        <f>ROUND(P185 / 1.2, 2)</f>
        <v>61.1</v>
      </c>
      <c r="W185" s="9">
        <f>ROUND(Q185 / 1.2, 2)</f>
        <v>423.33</v>
      </c>
      <c r="X185" s="9">
        <f>ROUND(R185 / 1.2, 2)</f>
        <v>484.43</v>
      </c>
      <c r="Y185" s="9">
        <f t="shared" si="17"/>
        <v>496645.24</v>
      </c>
      <c r="Z185" s="9">
        <f>ROUND(T185 / 1.2, 2)</f>
        <v>3441022.67</v>
      </c>
      <c r="AA185" s="9">
        <f>Y185+Z185</f>
        <v>3937667.91</v>
      </c>
      <c r="AD185" s="4">
        <v>271132178</v>
      </c>
      <c r="AE185" s="4">
        <v>19976870</v>
      </c>
      <c r="AG185" s="4" t="s">
        <v>830</v>
      </c>
      <c r="AH185" s="4" t="s">
        <v>831</v>
      </c>
      <c r="AI185" s="4" t="s">
        <v>67</v>
      </c>
    </row>
    <row r="186" spans="1:35" ht="36" x14ac:dyDescent="0.3">
      <c r="A186" s="10" t="s">
        <v>843</v>
      </c>
      <c r="B186" s="10"/>
      <c r="C186" s="24" t="s">
        <v>433</v>
      </c>
      <c r="D186" s="12"/>
      <c r="E186" s="12"/>
      <c r="F186" s="18" t="s">
        <v>70</v>
      </c>
      <c r="G186" s="19">
        <v>0.15</v>
      </c>
      <c r="H186" s="19"/>
      <c r="I186" s="19">
        <v>1219.26</v>
      </c>
      <c r="J186" s="21">
        <v>88.8</v>
      </c>
      <c r="M186" s="22">
        <f>ROUND(ROUND(J186, 2)*I186, 2)</f>
        <v>108270.29</v>
      </c>
      <c r="P186" s="23">
        <v>88.8</v>
      </c>
      <c r="S186" s="22">
        <f>ROUND(ROUND(P186, 2)*I186, 2)</f>
        <v>108270.29</v>
      </c>
      <c r="V186" s="9">
        <f>ROUND(ROUND(P186, 2)/1.2, 2)</f>
        <v>74</v>
      </c>
      <c r="Y186" s="9">
        <f t="shared" si="17"/>
        <v>90225.24</v>
      </c>
      <c r="AD186" s="4" t="s">
        <v>844</v>
      </c>
      <c r="AE186" s="4" t="s">
        <v>845</v>
      </c>
      <c r="AF186" s="4" t="s">
        <v>436</v>
      </c>
    </row>
    <row r="187" spans="1:35" ht="36" x14ac:dyDescent="0.3">
      <c r="A187" s="10" t="s">
        <v>846</v>
      </c>
      <c r="B187" s="10"/>
      <c r="C187" s="24" t="s">
        <v>847</v>
      </c>
      <c r="D187" s="12"/>
      <c r="E187" s="12"/>
      <c r="F187" s="18" t="s">
        <v>70</v>
      </c>
      <c r="G187" s="19">
        <v>1</v>
      </c>
      <c r="H187" s="19"/>
      <c r="I187" s="19">
        <v>8128.4</v>
      </c>
      <c r="J187" s="21">
        <v>60</v>
      </c>
      <c r="M187" s="22">
        <f>ROUND(ROUND(J187, 2)*I187, 2)</f>
        <v>487704</v>
      </c>
      <c r="P187" s="23">
        <v>60</v>
      </c>
      <c r="S187" s="22">
        <f>ROUND(ROUND(P187, 2)*I187, 2)</f>
        <v>487704</v>
      </c>
      <c r="V187" s="9">
        <f>ROUND(ROUND(P187, 2)/1.2, 2)</f>
        <v>50</v>
      </c>
      <c r="Y187" s="9">
        <f t="shared" si="17"/>
        <v>406420</v>
      </c>
      <c r="AD187" s="4" t="s">
        <v>848</v>
      </c>
      <c r="AE187" s="4" t="s">
        <v>849</v>
      </c>
      <c r="AF187" s="4" t="s">
        <v>850</v>
      </c>
    </row>
    <row r="188" spans="1:35" ht="36" x14ac:dyDescent="0.3">
      <c r="A188" s="10" t="s">
        <v>851</v>
      </c>
      <c r="B188" s="10" t="s">
        <v>827</v>
      </c>
      <c r="C188" s="11" t="s">
        <v>828</v>
      </c>
      <c r="D188" s="12"/>
      <c r="E188" s="12" t="s">
        <v>852</v>
      </c>
      <c r="F188" s="12" t="s">
        <v>64</v>
      </c>
      <c r="G188" s="13">
        <v>1</v>
      </c>
      <c r="H188" s="13"/>
      <c r="I188" s="13">
        <v>7374</v>
      </c>
      <c r="J188" s="14">
        <f>IFERROR(ROUND(SUM(M189,M190,M191)/I188, 2),0)</f>
        <v>58.11</v>
      </c>
      <c r="K188" s="15">
        <v>508</v>
      </c>
      <c r="L188" s="14">
        <f>J188+ROUND(K188, 2)</f>
        <v>566.11</v>
      </c>
      <c r="M188" s="14">
        <f>ROUND(J188*I188, 2)</f>
        <v>428503.14</v>
      </c>
      <c r="N188" s="14">
        <f>ROUND(I188*ROUND(K188, 2), 2)</f>
        <v>3745992</v>
      </c>
      <c r="O188" s="14">
        <f>M188+N188</f>
        <v>4174495.14</v>
      </c>
      <c r="P188" s="14">
        <f>IFERROR(ROUND(SUM(S189,S190,S191)/I188, 2),0)</f>
        <v>58.11</v>
      </c>
      <c r="Q188" s="16">
        <v>508</v>
      </c>
      <c r="R188" s="14">
        <f>P188+ROUND(Q188, 2)</f>
        <v>566.11</v>
      </c>
      <c r="S188" s="14">
        <f>ROUND(P188*I188, 2)</f>
        <v>428503.14</v>
      </c>
      <c r="T188" s="14">
        <f>ROUND(I188*ROUND(Q188, 2), 2)</f>
        <v>3745992</v>
      </c>
      <c r="U188" s="14">
        <f>S188+T188</f>
        <v>4174495.14</v>
      </c>
      <c r="V188" s="9">
        <f>ROUND(P188 / 1.2, 2)</f>
        <v>48.43</v>
      </c>
      <c r="W188" s="9">
        <f>ROUND(Q188 / 1.2, 2)</f>
        <v>423.33</v>
      </c>
      <c r="X188" s="9">
        <f>ROUND(R188 / 1.2, 2)</f>
        <v>471.76</v>
      </c>
      <c r="Y188" s="9">
        <f t="shared" si="17"/>
        <v>357085.95</v>
      </c>
      <c r="Z188" s="9">
        <f>ROUND(T188 / 1.2, 2)</f>
        <v>3121660</v>
      </c>
      <c r="AA188" s="9">
        <f>Y188+Z188</f>
        <v>3478745.95</v>
      </c>
      <c r="AD188" s="4">
        <v>271132179</v>
      </c>
      <c r="AE188" s="4">
        <v>19976875</v>
      </c>
      <c r="AG188" s="4" t="s">
        <v>830</v>
      </c>
      <c r="AH188" s="4" t="s">
        <v>831</v>
      </c>
      <c r="AI188" s="4" t="s">
        <v>67</v>
      </c>
    </row>
    <row r="189" spans="1:35" ht="36" x14ac:dyDescent="0.3">
      <c r="A189" s="10" t="s">
        <v>853</v>
      </c>
      <c r="B189" s="10"/>
      <c r="C189" s="24" t="s">
        <v>433</v>
      </c>
      <c r="D189" s="12"/>
      <c r="E189" s="12"/>
      <c r="F189" s="18" t="s">
        <v>70</v>
      </c>
      <c r="G189" s="19">
        <v>0.15</v>
      </c>
      <c r="H189" s="19"/>
      <c r="I189" s="19">
        <v>1106.0999999999999</v>
      </c>
      <c r="J189" s="21">
        <v>88.8</v>
      </c>
      <c r="M189" s="22">
        <f>ROUND(ROUND(J189, 2)*I189, 2)</f>
        <v>98221.68</v>
      </c>
      <c r="P189" s="23">
        <v>88.8</v>
      </c>
      <c r="S189" s="22">
        <f>ROUND(ROUND(P189, 2)*I189, 2)</f>
        <v>98221.68</v>
      </c>
      <c r="V189" s="9">
        <f>ROUND(ROUND(P189, 2)/1.2, 2)</f>
        <v>74</v>
      </c>
      <c r="Y189" s="9">
        <f t="shared" si="17"/>
        <v>81851.399999999994</v>
      </c>
      <c r="AD189" s="4" t="s">
        <v>854</v>
      </c>
      <c r="AE189" s="4" t="s">
        <v>855</v>
      </c>
      <c r="AF189" s="4" t="s">
        <v>436</v>
      </c>
    </row>
    <row r="190" spans="1:35" ht="18" x14ac:dyDescent="0.3">
      <c r="A190" s="10" t="s">
        <v>856</v>
      </c>
      <c r="B190" s="10"/>
      <c r="C190" s="24" t="s">
        <v>793</v>
      </c>
      <c r="D190" s="12"/>
      <c r="E190" s="12"/>
      <c r="F190" s="18" t="s">
        <v>116</v>
      </c>
      <c r="G190" s="19">
        <v>0.3</v>
      </c>
      <c r="H190" s="19"/>
      <c r="I190" s="19">
        <v>2212.1999999999998</v>
      </c>
      <c r="J190" s="21">
        <v>73.099999999999994</v>
      </c>
      <c r="M190" s="22">
        <f>ROUND(ROUND(J190, 2)*I190, 2)</f>
        <v>161711.82</v>
      </c>
      <c r="P190" s="23">
        <v>73.099999999999994</v>
      </c>
      <c r="S190" s="22">
        <f>ROUND(ROUND(P190, 2)*I190, 2)</f>
        <v>161711.82</v>
      </c>
      <c r="V190" s="9">
        <f>ROUND(ROUND(P190, 2)/1.2, 2)</f>
        <v>60.92</v>
      </c>
      <c r="Y190" s="9">
        <f t="shared" si="17"/>
        <v>134759.85</v>
      </c>
      <c r="AD190" s="4" t="s">
        <v>857</v>
      </c>
      <c r="AE190" s="4" t="s">
        <v>858</v>
      </c>
      <c r="AF190" s="4" t="s">
        <v>796</v>
      </c>
    </row>
    <row r="191" spans="1:35" ht="36" x14ac:dyDescent="0.3">
      <c r="A191" s="10" t="s">
        <v>859</v>
      </c>
      <c r="B191" s="10"/>
      <c r="C191" s="17" t="s">
        <v>740</v>
      </c>
      <c r="D191" s="12"/>
      <c r="E191" s="12"/>
      <c r="F191" s="18" t="s">
        <v>70</v>
      </c>
      <c r="G191" s="19">
        <v>1.8</v>
      </c>
      <c r="H191" s="19"/>
      <c r="I191" s="19">
        <v>13273.2</v>
      </c>
      <c r="J191" s="21">
        <v>12.7</v>
      </c>
      <c r="M191" s="22">
        <f>ROUND(ROUND(J191, 2)*I191, 2)</f>
        <v>168569.64</v>
      </c>
      <c r="P191" s="23">
        <v>12.7</v>
      </c>
      <c r="S191" s="22">
        <f>ROUND(ROUND(P191, 2)*I191, 2)</f>
        <v>168569.64</v>
      </c>
      <c r="V191" s="9">
        <f>ROUND(ROUND(P191, 2)/1.2, 2)</f>
        <v>10.58</v>
      </c>
      <c r="Y191" s="9">
        <f t="shared" si="17"/>
        <v>140474.70000000001</v>
      </c>
      <c r="AD191" s="4" t="s">
        <v>860</v>
      </c>
      <c r="AE191" s="4" t="s">
        <v>861</v>
      </c>
      <c r="AF191" s="4" t="s">
        <v>789</v>
      </c>
    </row>
    <row r="192" spans="1:35" ht="54" x14ac:dyDescent="0.3">
      <c r="A192" s="10" t="s">
        <v>862</v>
      </c>
      <c r="B192" s="10" t="s">
        <v>827</v>
      </c>
      <c r="C192" s="11" t="s">
        <v>828</v>
      </c>
      <c r="D192" s="12"/>
      <c r="E192" s="12" t="s">
        <v>863</v>
      </c>
      <c r="F192" s="12" t="s">
        <v>64</v>
      </c>
      <c r="G192" s="13">
        <v>1</v>
      </c>
      <c r="H192" s="13"/>
      <c r="I192" s="13">
        <v>7374</v>
      </c>
      <c r="J192" s="14">
        <f>IFERROR(ROUND(SUM(M193,M194)/I192, 2),0)</f>
        <v>73.319999999999993</v>
      </c>
      <c r="K192" s="15">
        <v>508</v>
      </c>
      <c r="L192" s="14">
        <f>J192+ROUND(K192, 2)</f>
        <v>581.32000000000005</v>
      </c>
      <c r="M192" s="14">
        <f>ROUND(J192*I192, 2)</f>
        <v>540661.68000000005</v>
      </c>
      <c r="N192" s="14">
        <f>ROUND(I192*ROUND(K192, 2), 2)</f>
        <v>3745992</v>
      </c>
      <c r="O192" s="14">
        <f>M192+N192</f>
        <v>4286653.68</v>
      </c>
      <c r="P192" s="14">
        <f>IFERROR(ROUND(SUM(S193,S194)/I192, 2),0)</f>
        <v>73.319999999999993</v>
      </c>
      <c r="Q192" s="16">
        <v>508</v>
      </c>
      <c r="R192" s="14">
        <f>P192+ROUND(Q192, 2)</f>
        <v>581.32000000000005</v>
      </c>
      <c r="S192" s="14">
        <f>ROUND(P192*I192, 2)</f>
        <v>540661.68000000005</v>
      </c>
      <c r="T192" s="14">
        <f>ROUND(I192*ROUND(Q192, 2), 2)</f>
        <v>3745992</v>
      </c>
      <c r="U192" s="14">
        <f>S192+T192</f>
        <v>4286653.68</v>
      </c>
      <c r="V192" s="9">
        <f>ROUND(P192 / 1.2, 2)</f>
        <v>61.1</v>
      </c>
      <c r="W192" s="9">
        <f>ROUND(Q192 / 1.2, 2)</f>
        <v>423.33</v>
      </c>
      <c r="X192" s="9">
        <f>ROUND(R192 / 1.2, 2)</f>
        <v>484.43</v>
      </c>
      <c r="Y192" s="9">
        <f t="shared" si="17"/>
        <v>450551.4</v>
      </c>
      <c r="Z192" s="9">
        <f>ROUND(T192 / 1.2, 2)</f>
        <v>3121660</v>
      </c>
      <c r="AA192" s="9">
        <f>Y192+Z192</f>
        <v>3572211.4</v>
      </c>
      <c r="AD192" s="4">
        <v>271132180</v>
      </c>
      <c r="AE192" s="4">
        <v>19976876</v>
      </c>
      <c r="AG192" s="4" t="s">
        <v>830</v>
      </c>
      <c r="AH192" s="4" t="s">
        <v>831</v>
      </c>
      <c r="AI192" s="4" t="s">
        <v>67</v>
      </c>
    </row>
    <row r="193" spans="1:35" ht="36" x14ac:dyDescent="0.3">
      <c r="A193" s="10" t="s">
        <v>864</v>
      </c>
      <c r="B193" s="10"/>
      <c r="C193" s="24" t="s">
        <v>433</v>
      </c>
      <c r="D193" s="12"/>
      <c r="E193" s="12"/>
      <c r="F193" s="18" t="s">
        <v>70</v>
      </c>
      <c r="G193" s="19">
        <v>0.15</v>
      </c>
      <c r="H193" s="19"/>
      <c r="I193" s="19">
        <v>1106.0999999999999</v>
      </c>
      <c r="J193" s="21">
        <v>88.8</v>
      </c>
      <c r="M193" s="22">
        <f>ROUND(ROUND(J193, 2)*I193, 2)</f>
        <v>98221.68</v>
      </c>
      <c r="P193" s="23">
        <v>88.8</v>
      </c>
      <c r="S193" s="22">
        <f>ROUND(ROUND(P193, 2)*I193, 2)</f>
        <v>98221.68</v>
      </c>
      <c r="V193" s="9">
        <f>ROUND(ROUND(P193, 2)/1.2, 2)</f>
        <v>74</v>
      </c>
      <c r="Y193" s="9">
        <f t="shared" si="17"/>
        <v>81851.399999999994</v>
      </c>
      <c r="AD193" s="4" t="s">
        <v>865</v>
      </c>
      <c r="AE193" s="4" t="s">
        <v>866</v>
      </c>
      <c r="AF193" s="4" t="s">
        <v>436</v>
      </c>
    </row>
    <row r="194" spans="1:35" ht="36" x14ac:dyDescent="0.3">
      <c r="A194" s="10" t="s">
        <v>867</v>
      </c>
      <c r="B194" s="10"/>
      <c r="C194" s="24" t="s">
        <v>847</v>
      </c>
      <c r="D194" s="12"/>
      <c r="E194" s="12"/>
      <c r="F194" s="18" t="s">
        <v>70</v>
      </c>
      <c r="G194" s="19">
        <v>1</v>
      </c>
      <c r="H194" s="19"/>
      <c r="I194" s="19">
        <v>7374</v>
      </c>
      <c r="J194" s="21">
        <v>60</v>
      </c>
      <c r="M194" s="22">
        <f>ROUND(ROUND(J194, 2)*I194, 2)</f>
        <v>442440</v>
      </c>
      <c r="P194" s="23">
        <v>60</v>
      </c>
      <c r="S194" s="22">
        <f>ROUND(ROUND(P194, 2)*I194, 2)</f>
        <v>442440</v>
      </c>
      <c r="V194" s="9">
        <f>ROUND(ROUND(P194, 2)/1.2, 2)</f>
        <v>50</v>
      </c>
      <c r="Y194" s="9">
        <f t="shared" si="17"/>
        <v>368700</v>
      </c>
      <c r="AD194" s="4" t="s">
        <v>868</v>
      </c>
      <c r="AE194" s="4" t="s">
        <v>869</v>
      </c>
      <c r="AF194" s="4" t="s">
        <v>850</v>
      </c>
    </row>
    <row r="195" spans="1:35" ht="36" x14ac:dyDescent="0.3">
      <c r="A195" s="10" t="s">
        <v>870</v>
      </c>
      <c r="B195" s="10" t="s">
        <v>827</v>
      </c>
      <c r="C195" s="11" t="s">
        <v>828</v>
      </c>
      <c r="D195" s="12"/>
      <c r="E195" s="12" t="s">
        <v>871</v>
      </c>
      <c r="F195" s="12" t="s">
        <v>64</v>
      </c>
      <c r="G195" s="13">
        <v>1</v>
      </c>
      <c r="H195" s="13"/>
      <c r="I195" s="13">
        <v>982.8</v>
      </c>
      <c r="J195" s="14">
        <f>IFERROR(ROUND(SUM(M196,M197,M198)/I195, 2),0)</f>
        <v>81.25</v>
      </c>
      <c r="K195" s="15">
        <v>508</v>
      </c>
      <c r="L195" s="14">
        <f>J195+ROUND(K195, 2)</f>
        <v>589.25</v>
      </c>
      <c r="M195" s="14">
        <f>ROUND(J195*I195, 2)</f>
        <v>79852.5</v>
      </c>
      <c r="N195" s="14">
        <f>ROUND(I195*ROUND(K195, 2), 2)</f>
        <v>499262.4</v>
      </c>
      <c r="O195" s="14">
        <f>M195+N195</f>
        <v>579114.9</v>
      </c>
      <c r="P195" s="14">
        <f>IFERROR(ROUND(SUM(S196,S197,S198)/I195, 2),0)</f>
        <v>81.25</v>
      </c>
      <c r="Q195" s="16">
        <v>508</v>
      </c>
      <c r="R195" s="14">
        <f>P195+ROUND(Q195, 2)</f>
        <v>589.25</v>
      </c>
      <c r="S195" s="14">
        <f>ROUND(P195*I195, 2)</f>
        <v>79852.5</v>
      </c>
      <c r="T195" s="14">
        <f>ROUND(I195*ROUND(Q195, 2), 2)</f>
        <v>499262.4</v>
      </c>
      <c r="U195" s="14">
        <f>S195+T195</f>
        <v>579114.9</v>
      </c>
      <c r="V195" s="9">
        <f>ROUND(P195 / 1.2, 2)</f>
        <v>67.709999999999994</v>
      </c>
      <c r="W195" s="9">
        <f>ROUND(Q195 / 1.2, 2)</f>
        <v>423.33</v>
      </c>
      <c r="X195" s="9">
        <f>ROUND(R195 / 1.2, 2)</f>
        <v>491.04</v>
      </c>
      <c r="Y195" s="9">
        <f t="shared" si="17"/>
        <v>66543.75</v>
      </c>
      <c r="Z195" s="9">
        <f>ROUND(T195 / 1.2, 2)</f>
        <v>416052</v>
      </c>
      <c r="AA195" s="9">
        <f>Y195+Z195</f>
        <v>482595.75</v>
      </c>
      <c r="AD195" s="4">
        <v>271132181</v>
      </c>
      <c r="AE195" s="4">
        <v>19976868</v>
      </c>
      <c r="AG195" s="4" t="s">
        <v>830</v>
      </c>
      <c r="AH195" s="4" t="s">
        <v>831</v>
      </c>
      <c r="AI195" s="4" t="s">
        <v>67</v>
      </c>
    </row>
    <row r="196" spans="1:35" ht="36" x14ac:dyDescent="0.3">
      <c r="A196" s="10" t="s">
        <v>872</v>
      </c>
      <c r="B196" s="10"/>
      <c r="C196" s="24" t="s">
        <v>433</v>
      </c>
      <c r="D196" s="12"/>
      <c r="E196" s="12"/>
      <c r="F196" s="18" t="s">
        <v>70</v>
      </c>
      <c r="G196" s="19">
        <v>0.15</v>
      </c>
      <c r="H196" s="19"/>
      <c r="I196" s="19">
        <v>147.41999999999999</v>
      </c>
      <c r="J196" s="21">
        <v>88.8</v>
      </c>
      <c r="M196" s="22">
        <f>ROUND(ROUND(J196, 2)*I196, 2)</f>
        <v>13090.9</v>
      </c>
      <c r="P196" s="23">
        <v>88.8</v>
      </c>
      <c r="S196" s="22">
        <f>ROUND(ROUND(P196, 2)*I196, 2)</f>
        <v>13090.9</v>
      </c>
      <c r="V196" s="9">
        <f>ROUND(ROUND(P196, 2)/1.2, 2)</f>
        <v>74</v>
      </c>
      <c r="Y196" s="9">
        <f t="shared" si="17"/>
        <v>10909.08</v>
      </c>
      <c r="AD196" s="4" t="s">
        <v>873</v>
      </c>
      <c r="AE196" s="4" t="s">
        <v>874</v>
      </c>
      <c r="AF196" s="4" t="s">
        <v>436</v>
      </c>
    </row>
    <row r="197" spans="1:35" ht="18" x14ac:dyDescent="0.3">
      <c r="A197" s="10" t="s">
        <v>875</v>
      </c>
      <c r="B197" s="10"/>
      <c r="C197" s="24" t="s">
        <v>793</v>
      </c>
      <c r="D197" s="12"/>
      <c r="E197" s="12"/>
      <c r="F197" s="18" t="s">
        <v>116</v>
      </c>
      <c r="G197" s="19">
        <v>0.3</v>
      </c>
      <c r="H197" s="19"/>
      <c r="I197" s="19">
        <v>294.83999999999997</v>
      </c>
      <c r="J197" s="21">
        <v>73.099999999999994</v>
      </c>
      <c r="M197" s="22">
        <f>ROUND(ROUND(J197, 2)*I197, 2)</f>
        <v>21552.799999999999</v>
      </c>
      <c r="P197" s="23">
        <v>73.099999999999994</v>
      </c>
      <c r="S197" s="22">
        <f>ROUND(ROUND(P197, 2)*I197, 2)</f>
        <v>21552.799999999999</v>
      </c>
      <c r="V197" s="9">
        <f>ROUND(ROUND(P197, 2)/1.2, 2)</f>
        <v>60.92</v>
      </c>
      <c r="Y197" s="9">
        <f t="shared" si="17"/>
        <v>17960.669999999998</v>
      </c>
      <c r="AD197" s="4" t="s">
        <v>876</v>
      </c>
      <c r="AE197" s="4" t="s">
        <v>877</v>
      </c>
      <c r="AF197" s="4" t="s">
        <v>796</v>
      </c>
    </row>
    <row r="198" spans="1:35" ht="18" x14ac:dyDescent="0.3">
      <c r="A198" s="10" t="s">
        <v>878</v>
      </c>
      <c r="B198" s="10"/>
      <c r="C198" s="24" t="s">
        <v>879</v>
      </c>
      <c r="D198" s="12"/>
      <c r="E198" s="12"/>
      <c r="F198" s="18" t="s">
        <v>70</v>
      </c>
      <c r="G198" s="19">
        <v>2</v>
      </c>
      <c r="H198" s="19"/>
      <c r="I198" s="19">
        <v>1965.6</v>
      </c>
      <c r="J198" s="21">
        <v>23</v>
      </c>
      <c r="M198" s="22">
        <f>ROUND(ROUND(J198, 2)*I198, 2)</f>
        <v>45208.800000000003</v>
      </c>
      <c r="P198" s="23">
        <v>23</v>
      </c>
      <c r="S198" s="22">
        <f>ROUND(ROUND(P198, 2)*I198, 2)</f>
        <v>45208.800000000003</v>
      </c>
      <c r="V198" s="9">
        <f>ROUND(ROUND(P198, 2)/1.2, 2)</f>
        <v>19.170000000000002</v>
      </c>
      <c r="Y198" s="9">
        <f t="shared" si="17"/>
        <v>37674</v>
      </c>
      <c r="AD198" s="4" t="s">
        <v>880</v>
      </c>
      <c r="AE198" s="4" t="s">
        <v>881</v>
      </c>
      <c r="AF198" s="4" t="s">
        <v>882</v>
      </c>
    </row>
    <row r="199" spans="1:35" ht="54" x14ac:dyDescent="0.3">
      <c r="A199" s="10" t="s">
        <v>883</v>
      </c>
      <c r="B199" s="10" t="s">
        <v>827</v>
      </c>
      <c r="C199" s="11" t="s">
        <v>828</v>
      </c>
      <c r="D199" s="12"/>
      <c r="E199" s="12" t="s">
        <v>884</v>
      </c>
      <c r="F199" s="12" t="s">
        <v>64</v>
      </c>
      <c r="G199" s="13">
        <v>1</v>
      </c>
      <c r="H199" s="13"/>
      <c r="I199" s="13">
        <v>982.8</v>
      </c>
      <c r="J199" s="14">
        <f>IFERROR(ROUND(SUM(M200,M201)/I199, 2),0)</f>
        <v>59.32</v>
      </c>
      <c r="K199" s="15">
        <v>508</v>
      </c>
      <c r="L199" s="14">
        <f>J199+ROUND(K199, 2)</f>
        <v>567.32000000000005</v>
      </c>
      <c r="M199" s="14">
        <f>ROUND(J199*I199, 2)</f>
        <v>58299.7</v>
      </c>
      <c r="N199" s="14">
        <f>ROUND(I199*ROUND(K199, 2), 2)</f>
        <v>499262.4</v>
      </c>
      <c r="O199" s="14">
        <f>M199+N199</f>
        <v>557562.1</v>
      </c>
      <c r="P199" s="14">
        <f>IFERROR(ROUND(SUM(S200,S201)/I199, 2),0)</f>
        <v>59.32</v>
      </c>
      <c r="Q199" s="16">
        <v>508</v>
      </c>
      <c r="R199" s="14">
        <f>P199+ROUND(Q199, 2)</f>
        <v>567.32000000000005</v>
      </c>
      <c r="S199" s="14">
        <f>ROUND(P199*I199, 2)</f>
        <v>58299.7</v>
      </c>
      <c r="T199" s="14">
        <f>ROUND(I199*ROUND(Q199, 2), 2)</f>
        <v>499262.4</v>
      </c>
      <c r="U199" s="14">
        <f>S199+T199</f>
        <v>557562.1</v>
      </c>
      <c r="V199" s="9">
        <f>ROUND(P199 / 1.2, 2)</f>
        <v>49.43</v>
      </c>
      <c r="W199" s="9">
        <f>ROUND(Q199 / 1.2, 2)</f>
        <v>423.33</v>
      </c>
      <c r="X199" s="9">
        <f>ROUND(R199 / 1.2, 2)</f>
        <v>472.77</v>
      </c>
      <c r="Y199" s="9">
        <f t="shared" ref="Y199:Y230" si="18">ROUND(S199 / 1.2, 2)</f>
        <v>48583.08</v>
      </c>
      <c r="Z199" s="9">
        <f>ROUND(T199 / 1.2, 2)</f>
        <v>416052</v>
      </c>
      <c r="AA199" s="9">
        <f>Y199+Z199</f>
        <v>464635.08</v>
      </c>
      <c r="AD199" s="4">
        <v>271132182</v>
      </c>
      <c r="AE199" s="4">
        <v>19976871</v>
      </c>
      <c r="AG199" s="4" t="s">
        <v>830</v>
      </c>
      <c r="AH199" s="4" t="s">
        <v>831</v>
      </c>
      <c r="AI199" s="4" t="s">
        <v>67</v>
      </c>
    </row>
    <row r="200" spans="1:35" ht="36" x14ac:dyDescent="0.3">
      <c r="A200" s="10" t="s">
        <v>885</v>
      </c>
      <c r="B200" s="10"/>
      <c r="C200" s="24" t="s">
        <v>433</v>
      </c>
      <c r="D200" s="12"/>
      <c r="E200" s="12"/>
      <c r="F200" s="18" t="s">
        <v>70</v>
      </c>
      <c r="G200" s="19">
        <v>0.15</v>
      </c>
      <c r="H200" s="19"/>
      <c r="I200" s="19">
        <v>147.41999999999999</v>
      </c>
      <c r="J200" s="21">
        <v>88.8</v>
      </c>
      <c r="M200" s="22">
        <f>ROUND(ROUND(J200, 2)*I200, 2)</f>
        <v>13090.9</v>
      </c>
      <c r="P200" s="23">
        <v>88.8</v>
      </c>
      <c r="S200" s="22">
        <f>ROUND(ROUND(P200, 2)*I200, 2)</f>
        <v>13090.9</v>
      </c>
      <c r="V200" s="9">
        <f>ROUND(ROUND(P200, 2)/1.2, 2)</f>
        <v>74</v>
      </c>
      <c r="Y200" s="9">
        <f t="shared" si="18"/>
        <v>10909.08</v>
      </c>
      <c r="AD200" s="4" t="s">
        <v>886</v>
      </c>
      <c r="AE200" s="4" t="s">
        <v>887</v>
      </c>
      <c r="AF200" s="4" t="s">
        <v>436</v>
      </c>
    </row>
    <row r="201" spans="1:35" ht="18" x14ac:dyDescent="0.3">
      <c r="A201" s="10" t="s">
        <v>888</v>
      </c>
      <c r="B201" s="10"/>
      <c r="C201" s="24" t="s">
        <v>879</v>
      </c>
      <c r="D201" s="12"/>
      <c r="E201" s="12"/>
      <c r="F201" s="18" t="s">
        <v>70</v>
      </c>
      <c r="G201" s="19">
        <v>2</v>
      </c>
      <c r="H201" s="19"/>
      <c r="I201" s="19">
        <v>1965.6</v>
      </c>
      <c r="J201" s="21">
        <v>23</v>
      </c>
      <c r="M201" s="22">
        <f>ROUND(ROUND(J201, 2)*I201, 2)</f>
        <v>45208.800000000003</v>
      </c>
      <c r="P201" s="23">
        <v>23</v>
      </c>
      <c r="S201" s="22">
        <f>ROUND(ROUND(P201, 2)*I201, 2)</f>
        <v>45208.800000000003</v>
      </c>
      <c r="V201" s="9">
        <f>ROUND(ROUND(P201, 2)/1.2, 2)</f>
        <v>19.170000000000002</v>
      </c>
      <c r="Y201" s="9">
        <f t="shared" si="18"/>
        <v>37674</v>
      </c>
      <c r="AD201" s="4" t="s">
        <v>889</v>
      </c>
      <c r="AE201" s="4" t="s">
        <v>890</v>
      </c>
      <c r="AF201" s="4" t="s">
        <v>882</v>
      </c>
    </row>
    <row r="202" spans="1:35" ht="36" x14ac:dyDescent="0.3">
      <c r="A202" s="10" t="s">
        <v>891</v>
      </c>
      <c r="B202" s="10" t="s">
        <v>827</v>
      </c>
      <c r="C202" s="11" t="s">
        <v>828</v>
      </c>
      <c r="D202" s="12"/>
      <c r="E202" s="12" t="s">
        <v>892</v>
      </c>
      <c r="F202" s="12" t="s">
        <v>64</v>
      </c>
      <c r="G202" s="13">
        <v>1</v>
      </c>
      <c r="H202" s="13"/>
      <c r="I202" s="13">
        <v>726.6</v>
      </c>
      <c r="J202" s="14">
        <f>IFERROR(ROUND(SUM(M203,M204,M205)/I202, 2),0)</f>
        <v>81.25</v>
      </c>
      <c r="K202" s="15">
        <v>508</v>
      </c>
      <c r="L202" s="14">
        <f>J202+ROUND(K202, 2)</f>
        <v>589.25</v>
      </c>
      <c r="M202" s="14">
        <f>ROUND(J202*I202, 2)</f>
        <v>59036.25</v>
      </c>
      <c r="N202" s="14">
        <f>ROUND(I202*ROUND(K202, 2), 2)</f>
        <v>369112.8</v>
      </c>
      <c r="O202" s="14">
        <f>M202+N202</f>
        <v>428149.05</v>
      </c>
      <c r="P202" s="14">
        <f>IFERROR(ROUND(SUM(S203,S204,S205)/I202, 2),0)</f>
        <v>81.25</v>
      </c>
      <c r="Q202" s="16">
        <v>508</v>
      </c>
      <c r="R202" s="14">
        <f>P202+ROUND(Q202, 2)</f>
        <v>589.25</v>
      </c>
      <c r="S202" s="14">
        <f>ROUND(P202*I202, 2)</f>
        <v>59036.25</v>
      </c>
      <c r="T202" s="14">
        <f>ROUND(I202*ROUND(Q202, 2), 2)</f>
        <v>369112.8</v>
      </c>
      <c r="U202" s="14">
        <f>S202+T202</f>
        <v>428149.05</v>
      </c>
      <c r="V202" s="9">
        <f>ROUND(P202 / 1.2, 2)</f>
        <v>67.709999999999994</v>
      </c>
      <c r="W202" s="9">
        <f>ROUND(Q202 / 1.2, 2)</f>
        <v>423.33</v>
      </c>
      <c r="X202" s="9">
        <f>ROUND(R202 / 1.2, 2)</f>
        <v>491.04</v>
      </c>
      <c r="Y202" s="9">
        <f t="shared" si="18"/>
        <v>49196.88</v>
      </c>
      <c r="Z202" s="9">
        <f>ROUND(T202 / 1.2, 2)</f>
        <v>307594</v>
      </c>
      <c r="AA202" s="9">
        <f>Y202+Z202</f>
        <v>356790.88</v>
      </c>
      <c r="AD202" s="4">
        <v>271132183</v>
      </c>
      <c r="AE202" s="4">
        <v>19976874</v>
      </c>
      <c r="AG202" s="4" t="s">
        <v>830</v>
      </c>
      <c r="AH202" s="4" t="s">
        <v>831</v>
      </c>
      <c r="AI202" s="4" t="s">
        <v>67</v>
      </c>
    </row>
    <row r="203" spans="1:35" ht="36" x14ac:dyDescent="0.3">
      <c r="A203" s="10" t="s">
        <v>893</v>
      </c>
      <c r="B203" s="10"/>
      <c r="C203" s="24" t="s">
        <v>433</v>
      </c>
      <c r="D203" s="12"/>
      <c r="E203" s="12"/>
      <c r="F203" s="18" t="s">
        <v>70</v>
      </c>
      <c r="G203" s="19">
        <v>0.15</v>
      </c>
      <c r="H203" s="19"/>
      <c r="I203" s="19">
        <v>108.99</v>
      </c>
      <c r="J203" s="21">
        <v>88.8</v>
      </c>
      <c r="M203" s="22">
        <f>ROUND(ROUND(J203, 2)*I203, 2)</f>
        <v>9678.31</v>
      </c>
      <c r="P203" s="23">
        <v>88.8</v>
      </c>
      <c r="S203" s="22">
        <f>ROUND(ROUND(P203, 2)*I203, 2)</f>
        <v>9678.31</v>
      </c>
      <c r="V203" s="9">
        <f>ROUND(ROUND(P203, 2)/1.2, 2)</f>
        <v>74</v>
      </c>
      <c r="Y203" s="9">
        <f t="shared" si="18"/>
        <v>8065.26</v>
      </c>
      <c r="AD203" s="4" t="s">
        <v>894</v>
      </c>
      <c r="AE203" s="4" t="s">
        <v>895</v>
      </c>
      <c r="AF203" s="4" t="s">
        <v>436</v>
      </c>
    </row>
    <row r="204" spans="1:35" ht="18" x14ac:dyDescent="0.3">
      <c r="A204" s="10" t="s">
        <v>896</v>
      </c>
      <c r="B204" s="10"/>
      <c r="C204" s="24" t="s">
        <v>793</v>
      </c>
      <c r="D204" s="12"/>
      <c r="E204" s="12"/>
      <c r="F204" s="18" t="s">
        <v>116</v>
      </c>
      <c r="G204" s="19">
        <v>0.3</v>
      </c>
      <c r="H204" s="19"/>
      <c r="I204" s="19">
        <v>217.98</v>
      </c>
      <c r="J204" s="21">
        <v>73.099999999999994</v>
      </c>
      <c r="M204" s="22">
        <f>ROUND(ROUND(J204, 2)*I204, 2)</f>
        <v>15934.34</v>
      </c>
      <c r="P204" s="23">
        <v>73.099999999999994</v>
      </c>
      <c r="S204" s="22">
        <f>ROUND(ROUND(P204, 2)*I204, 2)</f>
        <v>15934.34</v>
      </c>
      <c r="V204" s="9">
        <f>ROUND(ROUND(P204, 2)/1.2, 2)</f>
        <v>60.92</v>
      </c>
      <c r="Y204" s="9">
        <f t="shared" si="18"/>
        <v>13278.62</v>
      </c>
      <c r="AD204" s="4" t="s">
        <v>897</v>
      </c>
      <c r="AE204" s="4" t="s">
        <v>898</v>
      </c>
      <c r="AF204" s="4" t="s">
        <v>796</v>
      </c>
    </row>
    <row r="205" spans="1:35" ht="18" x14ac:dyDescent="0.3">
      <c r="A205" s="10" t="s">
        <v>899</v>
      </c>
      <c r="B205" s="10"/>
      <c r="C205" s="24" t="s">
        <v>879</v>
      </c>
      <c r="D205" s="12"/>
      <c r="E205" s="12"/>
      <c r="F205" s="18" t="s">
        <v>70</v>
      </c>
      <c r="G205" s="19">
        <v>2</v>
      </c>
      <c r="H205" s="19"/>
      <c r="I205" s="19">
        <v>1453.2</v>
      </c>
      <c r="J205" s="21">
        <v>23</v>
      </c>
      <c r="M205" s="22">
        <f>ROUND(ROUND(J205, 2)*I205, 2)</f>
        <v>33423.599999999999</v>
      </c>
      <c r="P205" s="23">
        <v>23</v>
      </c>
      <c r="S205" s="22">
        <f>ROUND(ROUND(P205, 2)*I205, 2)</f>
        <v>33423.599999999999</v>
      </c>
      <c r="V205" s="9">
        <f>ROUND(ROUND(P205, 2)/1.2, 2)</f>
        <v>19.170000000000002</v>
      </c>
      <c r="Y205" s="9">
        <f t="shared" si="18"/>
        <v>27853</v>
      </c>
      <c r="AD205" s="4" t="s">
        <v>900</v>
      </c>
      <c r="AE205" s="4" t="s">
        <v>901</v>
      </c>
      <c r="AF205" s="4" t="s">
        <v>882</v>
      </c>
    </row>
    <row r="206" spans="1:35" ht="54" x14ac:dyDescent="0.3">
      <c r="A206" s="10" t="s">
        <v>902</v>
      </c>
      <c r="B206" s="10" t="s">
        <v>827</v>
      </c>
      <c r="C206" s="11" t="s">
        <v>828</v>
      </c>
      <c r="D206" s="12"/>
      <c r="E206" s="12" t="s">
        <v>903</v>
      </c>
      <c r="F206" s="12" t="s">
        <v>64</v>
      </c>
      <c r="G206" s="13">
        <v>1</v>
      </c>
      <c r="H206" s="13"/>
      <c r="I206" s="13">
        <v>726.6</v>
      </c>
      <c r="J206" s="14">
        <f>IFERROR(ROUND(SUM(M207,M208)/I206, 2),0)</f>
        <v>59.32</v>
      </c>
      <c r="K206" s="15">
        <v>508</v>
      </c>
      <c r="L206" s="14">
        <f>J206+ROUND(K206, 2)</f>
        <v>567.32000000000005</v>
      </c>
      <c r="M206" s="14">
        <f>ROUND(J206*I206, 2)</f>
        <v>43101.91</v>
      </c>
      <c r="N206" s="14">
        <f>ROUND(I206*ROUND(K206, 2), 2)</f>
        <v>369112.8</v>
      </c>
      <c r="O206" s="14">
        <f>M206+N206</f>
        <v>412214.71</v>
      </c>
      <c r="P206" s="14">
        <f>IFERROR(ROUND(SUM(S207,S208)/I206, 2),0)</f>
        <v>59.32</v>
      </c>
      <c r="Q206" s="16">
        <v>508</v>
      </c>
      <c r="R206" s="14">
        <f>P206+ROUND(Q206, 2)</f>
        <v>567.32000000000005</v>
      </c>
      <c r="S206" s="14">
        <f>ROUND(P206*I206, 2)</f>
        <v>43101.91</v>
      </c>
      <c r="T206" s="14">
        <f>ROUND(I206*ROUND(Q206, 2), 2)</f>
        <v>369112.8</v>
      </c>
      <c r="U206" s="14">
        <f>S206+T206</f>
        <v>412214.71</v>
      </c>
      <c r="V206" s="9">
        <f>ROUND(P206 / 1.2, 2)</f>
        <v>49.43</v>
      </c>
      <c r="W206" s="9">
        <f>ROUND(Q206 / 1.2, 2)</f>
        <v>423.33</v>
      </c>
      <c r="X206" s="9">
        <f>ROUND(R206 / 1.2, 2)</f>
        <v>472.77</v>
      </c>
      <c r="Y206" s="9">
        <f t="shared" si="18"/>
        <v>35918.26</v>
      </c>
      <c r="Z206" s="9">
        <f>ROUND(T206 / 1.2, 2)</f>
        <v>307594</v>
      </c>
      <c r="AA206" s="9">
        <f>Y206+Z206</f>
        <v>343512.26</v>
      </c>
      <c r="AD206" s="4">
        <v>271132184</v>
      </c>
      <c r="AE206" s="4">
        <v>19976877</v>
      </c>
      <c r="AG206" s="4" t="s">
        <v>830</v>
      </c>
      <c r="AH206" s="4" t="s">
        <v>831</v>
      </c>
      <c r="AI206" s="4" t="s">
        <v>67</v>
      </c>
    </row>
    <row r="207" spans="1:35" ht="36" x14ac:dyDescent="0.3">
      <c r="A207" s="10" t="s">
        <v>904</v>
      </c>
      <c r="B207" s="10"/>
      <c r="C207" s="24" t="s">
        <v>433</v>
      </c>
      <c r="D207" s="12"/>
      <c r="E207" s="12"/>
      <c r="F207" s="18" t="s">
        <v>70</v>
      </c>
      <c r="G207" s="19">
        <v>0.15</v>
      </c>
      <c r="H207" s="19"/>
      <c r="I207" s="19">
        <v>108.99</v>
      </c>
      <c r="J207" s="21">
        <v>88.8</v>
      </c>
      <c r="M207" s="22">
        <f>ROUND(ROUND(J207, 2)*I207, 2)</f>
        <v>9678.31</v>
      </c>
      <c r="P207" s="23">
        <v>88.8</v>
      </c>
      <c r="S207" s="22">
        <f>ROUND(ROUND(P207, 2)*I207, 2)</f>
        <v>9678.31</v>
      </c>
      <c r="V207" s="9">
        <f>ROUND(ROUND(P207, 2)/1.2, 2)</f>
        <v>74</v>
      </c>
      <c r="Y207" s="9">
        <f t="shared" si="18"/>
        <v>8065.26</v>
      </c>
      <c r="AD207" s="4" t="s">
        <v>905</v>
      </c>
      <c r="AE207" s="4" t="s">
        <v>906</v>
      </c>
      <c r="AF207" s="4" t="s">
        <v>436</v>
      </c>
    </row>
    <row r="208" spans="1:35" ht="18" x14ac:dyDescent="0.3">
      <c r="A208" s="10" t="s">
        <v>907</v>
      </c>
      <c r="B208" s="10"/>
      <c r="C208" s="24" t="s">
        <v>879</v>
      </c>
      <c r="D208" s="12"/>
      <c r="E208" s="12"/>
      <c r="F208" s="18" t="s">
        <v>70</v>
      </c>
      <c r="G208" s="19">
        <v>2</v>
      </c>
      <c r="H208" s="19"/>
      <c r="I208" s="19">
        <v>1453.2</v>
      </c>
      <c r="J208" s="21">
        <v>23</v>
      </c>
      <c r="M208" s="22">
        <f>ROUND(ROUND(J208, 2)*I208, 2)</f>
        <v>33423.599999999999</v>
      </c>
      <c r="P208" s="23">
        <v>23</v>
      </c>
      <c r="S208" s="22">
        <f>ROUND(ROUND(P208, 2)*I208, 2)</f>
        <v>33423.599999999999</v>
      </c>
      <c r="V208" s="9">
        <f>ROUND(ROUND(P208, 2)/1.2, 2)</f>
        <v>19.170000000000002</v>
      </c>
      <c r="Y208" s="9">
        <f t="shared" si="18"/>
        <v>27853</v>
      </c>
      <c r="AD208" s="4" t="s">
        <v>908</v>
      </c>
      <c r="AE208" s="4" t="s">
        <v>909</v>
      </c>
      <c r="AF208" s="4" t="s">
        <v>882</v>
      </c>
    </row>
    <row r="209" spans="1:35" ht="36" x14ac:dyDescent="0.3">
      <c r="A209" s="10" t="s">
        <v>910</v>
      </c>
      <c r="B209" s="10" t="s">
        <v>827</v>
      </c>
      <c r="C209" s="11" t="s">
        <v>828</v>
      </c>
      <c r="D209" s="12"/>
      <c r="E209" s="12" t="s">
        <v>911</v>
      </c>
      <c r="F209" s="12" t="s">
        <v>64</v>
      </c>
      <c r="G209" s="13">
        <v>1</v>
      </c>
      <c r="H209" s="13"/>
      <c r="I209" s="13">
        <v>8128.4</v>
      </c>
      <c r="J209" s="14">
        <f>IFERROR(ROUND(SUM(M210,M211)/I209, 2),0)</f>
        <v>36.18</v>
      </c>
      <c r="K209" s="15">
        <v>508</v>
      </c>
      <c r="L209" s="14">
        <f>J209+ROUND(K209, 2)</f>
        <v>544.17999999999995</v>
      </c>
      <c r="M209" s="14">
        <f>ROUND(J209*I209, 2)</f>
        <v>294085.51</v>
      </c>
      <c r="N209" s="14">
        <f>ROUND(I209*ROUND(K209, 2), 2)</f>
        <v>4129227.2</v>
      </c>
      <c r="O209" s="14">
        <f>M209+N209</f>
        <v>4423312.71</v>
      </c>
      <c r="P209" s="14">
        <f>IFERROR(ROUND(SUM(S210,S211)/I209, 2),0)</f>
        <v>36.18</v>
      </c>
      <c r="Q209" s="16">
        <v>508</v>
      </c>
      <c r="R209" s="14">
        <f>P209+ROUND(Q209, 2)</f>
        <v>544.17999999999995</v>
      </c>
      <c r="S209" s="14">
        <f>ROUND(P209*I209, 2)</f>
        <v>294085.51</v>
      </c>
      <c r="T209" s="14">
        <f>ROUND(I209*ROUND(Q209, 2), 2)</f>
        <v>4129227.2</v>
      </c>
      <c r="U209" s="14">
        <f>S209+T209</f>
        <v>4423312.71</v>
      </c>
      <c r="V209" s="9">
        <f>ROUND(P209 / 1.2, 2)</f>
        <v>30.15</v>
      </c>
      <c r="W209" s="9">
        <f>ROUND(Q209 / 1.2, 2)</f>
        <v>423.33</v>
      </c>
      <c r="X209" s="9">
        <f>ROUND(R209 / 1.2, 2)</f>
        <v>453.48</v>
      </c>
      <c r="Y209" s="9">
        <f t="shared" si="18"/>
        <v>245071.26</v>
      </c>
      <c r="Z209" s="9">
        <f>ROUND(T209 / 1.2, 2)</f>
        <v>3441022.67</v>
      </c>
      <c r="AA209" s="9">
        <f>Y209+Z209</f>
        <v>3686093.93</v>
      </c>
      <c r="AD209" s="4">
        <v>271132304</v>
      </c>
      <c r="AE209" s="4">
        <v>20421042</v>
      </c>
      <c r="AG209" s="4" t="s">
        <v>830</v>
      </c>
      <c r="AH209" s="4" t="s">
        <v>831</v>
      </c>
      <c r="AI209" s="4" t="s">
        <v>67</v>
      </c>
    </row>
    <row r="210" spans="1:35" ht="36" x14ac:dyDescent="0.3">
      <c r="A210" s="10" t="s">
        <v>912</v>
      </c>
      <c r="B210" s="10"/>
      <c r="C210" s="24" t="s">
        <v>433</v>
      </c>
      <c r="D210" s="12"/>
      <c r="E210" s="12"/>
      <c r="F210" s="18" t="s">
        <v>70</v>
      </c>
      <c r="G210" s="19">
        <v>0.15</v>
      </c>
      <c r="H210" s="19"/>
      <c r="I210" s="19">
        <v>1219.26</v>
      </c>
      <c r="J210" s="21">
        <v>88.8</v>
      </c>
      <c r="M210" s="22">
        <f>ROUND(ROUND(J210, 2)*I210, 2)</f>
        <v>108270.29</v>
      </c>
      <c r="P210" s="23">
        <v>88.8</v>
      </c>
      <c r="S210" s="22">
        <f>ROUND(ROUND(P210, 2)*I210, 2)</f>
        <v>108270.29</v>
      </c>
      <c r="V210" s="9">
        <f>ROUND(ROUND(P210, 2)/1.2, 2)</f>
        <v>74</v>
      </c>
      <c r="Y210" s="9">
        <f t="shared" si="18"/>
        <v>90225.24</v>
      </c>
      <c r="AD210" s="4" t="s">
        <v>913</v>
      </c>
      <c r="AE210" s="4" t="s">
        <v>914</v>
      </c>
      <c r="AF210" s="4" t="s">
        <v>436</v>
      </c>
    </row>
    <row r="211" spans="1:35" ht="36" x14ac:dyDescent="0.3">
      <c r="A211" s="10" t="s">
        <v>915</v>
      </c>
      <c r="B211" s="10"/>
      <c r="C211" s="17" t="s">
        <v>740</v>
      </c>
      <c r="D211" s="12"/>
      <c r="E211" s="12"/>
      <c r="F211" s="18" t="s">
        <v>70</v>
      </c>
      <c r="G211" s="19">
        <v>1.8</v>
      </c>
      <c r="H211" s="19"/>
      <c r="I211" s="19">
        <v>14631.12</v>
      </c>
      <c r="J211" s="21">
        <v>12.7</v>
      </c>
      <c r="M211" s="22">
        <f>ROUND(ROUND(J211, 2)*I211, 2)</f>
        <v>185815.22</v>
      </c>
      <c r="P211" s="23">
        <v>12.7</v>
      </c>
      <c r="S211" s="22">
        <f>ROUND(ROUND(P211, 2)*I211, 2)</f>
        <v>185815.22</v>
      </c>
      <c r="V211" s="9">
        <f>ROUND(ROUND(P211, 2)/1.2, 2)</f>
        <v>10.58</v>
      </c>
      <c r="Y211" s="9">
        <f t="shared" si="18"/>
        <v>154846.01999999999</v>
      </c>
      <c r="AD211" s="4" t="s">
        <v>916</v>
      </c>
      <c r="AE211" s="4" t="s">
        <v>917</v>
      </c>
      <c r="AF211" s="4" t="s">
        <v>789</v>
      </c>
    </row>
    <row r="212" spans="1:35" ht="36" x14ac:dyDescent="0.3">
      <c r="A212" s="10" t="s">
        <v>918</v>
      </c>
      <c r="B212" s="10" t="s">
        <v>827</v>
      </c>
      <c r="C212" s="11" t="s">
        <v>828</v>
      </c>
      <c r="D212" s="12"/>
      <c r="E212" s="12" t="s">
        <v>919</v>
      </c>
      <c r="F212" s="12" t="s">
        <v>64</v>
      </c>
      <c r="G212" s="13">
        <v>1</v>
      </c>
      <c r="H212" s="13"/>
      <c r="I212" s="13">
        <v>7374</v>
      </c>
      <c r="J212" s="14">
        <f>IFERROR(ROUND(SUM(M213,M214)/I212, 2),0)</f>
        <v>36.18</v>
      </c>
      <c r="K212" s="15">
        <v>508</v>
      </c>
      <c r="L212" s="14">
        <f>J212+ROUND(K212, 2)</f>
        <v>544.17999999999995</v>
      </c>
      <c r="M212" s="14">
        <f>ROUND(J212*I212, 2)</f>
        <v>266791.32</v>
      </c>
      <c r="N212" s="14">
        <f>ROUND(I212*ROUND(K212, 2), 2)</f>
        <v>3745992</v>
      </c>
      <c r="O212" s="14">
        <f>M212+N212</f>
        <v>4012783.32</v>
      </c>
      <c r="P212" s="14">
        <f>IFERROR(ROUND(SUM(S213,S214)/I212, 2),0)</f>
        <v>36.18</v>
      </c>
      <c r="Q212" s="16">
        <v>508</v>
      </c>
      <c r="R212" s="14">
        <f>P212+ROUND(Q212, 2)</f>
        <v>544.17999999999995</v>
      </c>
      <c r="S212" s="14">
        <f>ROUND(P212*I212, 2)</f>
        <v>266791.32</v>
      </c>
      <c r="T212" s="14">
        <f>ROUND(I212*ROUND(Q212, 2), 2)</f>
        <v>3745992</v>
      </c>
      <c r="U212" s="14">
        <f>S212+T212</f>
        <v>4012783.32</v>
      </c>
      <c r="V212" s="9">
        <f>ROUND(P212 / 1.2, 2)</f>
        <v>30.15</v>
      </c>
      <c r="W212" s="9">
        <f>ROUND(Q212 / 1.2, 2)</f>
        <v>423.33</v>
      </c>
      <c r="X212" s="9">
        <f>ROUND(R212 / 1.2, 2)</f>
        <v>453.48</v>
      </c>
      <c r="Y212" s="9">
        <f t="shared" si="18"/>
        <v>222326.1</v>
      </c>
      <c r="Z212" s="9">
        <f>ROUND(T212 / 1.2, 2)</f>
        <v>3121660</v>
      </c>
      <c r="AA212" s="9">
        <f>Y212+Z212</f>
        <v>3343986.1</v>
      </c>
      <c r="AD212" s="4">
        <v>271132305</v>
      </c>
      <c r="AE212" s="4">
        <v>20421047</v>
      </c>
      <c r="AG212" s="4" t="s">
        <v>830</v>
      </c>
      <c r="AH212" s="4" t="s">
        <v>831</v>
      </c>
      <c r="AI212" s="4" t="s">
        <v>67</v>
      </c>
    </row>
    <row r="213" spans="1:35" ht="36" x14ac:dyDescent="0.3">
      <c r="A213" s="10" t="s">
        <v>920</v>
      </c>
      <c r="B213" s="10"/>
      <c r="C213" s="24" t="s">
        <v>433</v>
      </c>
      <c r="D213" s="12"/>
      <c r="E213" s="12"/>
      <c r="F213" s="18" t="s">
        <v>70</v>
      </c>
      <c r="G213" s="19">
        <v>0.15</v>
      </c>
      <c r="H213" s="19"/>
      <c r="I213" s="19">
        <v>1106.0999999999999</v>
      </c>
      <c r="J213" s="21">
        <v>88.8</v>
      </c>
      <c r="M213" s="22">
        <f>ROUND(ROUND(J213, 2)*I213, 2)</f>
        <v>98221.68</v>
      </c>
      <c r="P213" s="23">
        <v>88.8</v>
      </c>
      <c r="S213" s="22">
        <f>ROUND(ROUND(P213, 2)*I213, 2)</f>
        <v>98221.68</v>
      </c>
      <c r="V213" s="9">
        <f>ROUND(ROUND(P213, 2)/1.2, 2)</f>
        <v>74</v>
      </c>
      <c r="Y213" s="9">
        <f t="shared" si="18"/>
        <v>81851.399999999994</v>
      </c>
      <c r="AD213" s="4" t="s">
        <v>921</v>
      </c>
      <c r="AE213" s="4" t="s">
        <v>922</v>
      </c>
      <c r="AF213" s="4" t="s">
        <v>436</v>
      </c>
    </row>
    <row r="214" spans="1:35" ht="36" x14ac:dyDescent="0.3">
      <c r="A214" s="10" t="s">
        <v>923</v>
      </c>
      <c r="B214" s="10"/>
      <c r="C214" s="17" t="s">
        <v>740</v>
      </c>
      <c r="D214" s="12"/>
      <c r="E214" s="12"/>
      <c r="F214" s="18" t="s">
        <v>70</v>
      </c>
      <c r="G214" s="19">
        <v>1.8</v>
      </c>
      <c r="H214" s="19"/>
      <c r="I214" s="19">
        <v>13273.2</v>
      </c>
      <c r="J214" s="21">
        <v>12.7</v>
      </c>
      <c r="M214" s="22">
        <f>ROUND(ROUND(J214, 2)*I214, 2)</f>
        <v>168569.64</v>
      </c>
      <c r="P214" s="23">
        <v>12.7</v>
      </c>
      <c r="S214" s="22">
        <f>ROUND(ROUND(P214, 2)*I214, 2)</f>
        <v>168569.64</v>
      </c>
      <c r="V214" s="9">
        <f>ROUND(ROUND(P214, 2)/1.2, 2)</f>
        <v>10.58</v>
      </c>
      <c r="Y214" s="9">
        <f t="shared" si="18"/>
        <v>140474.70000000001</v>
      </c>
      <c r="AD214" s="4" t="s">
        <v>924</v>
      </c>
      <c r="AE214" s="4" t="s">
        <v>925</v>
      </c>
      <c r="AF214" s="4" t="s">
        <v>789</v>
      </c>
    </row>
    <row r="215" spans="1:35" ht="36" x14ac:dyDescent="0.3">
      <c r="A215" s="10" t="s">
        <v>926</v>
      </c>
      <c r="B215" s="10" t="s">
        <v>827</v>
      </c>
      <c r="C215" s="11" t="s">
        <v>828</v>
      </c>
      <c r="D215" s="12"/>
      <c r="E215" s="12" t="s">
        <v>927</v>
      </c>
      <c r="F215" s="12" t="s">
        <v>64</v>
      </c>
      <c r="G215" s="13">
        <v>1</v>
      </c>
      <c r="H215" s="13"/>
      <c r="I215" s="13">
        <v>982.8</v>
      </c>
      <c r="J215" s="14">
        <f>IFERROR(ROUND(SUM(M216,M217)/I215, 2),0)</f>
        <v>59.32</v>
      </c>
      <c r="K215" s="15">
        <v>508</v>
      </c>
      <c r="L215" s="14">
        <f>J215+ROUND(K215, 2)</f>
        <v>567.32000000000005</v>
      </c>
      <c r="M215" s="14">
        <f>ROUND(J215*I215, 2)</f>
        <v>58299.7</v>
      </c>
      <c r="N215" s="14">
        <f>ROUND(I215*ROUND(K215, 2), 2)</f>
        <v>499262.4</v>
      </c>
      <c r="O215" s="14">
        <f>M215+N215</f>
        <v>557562.1</v>
      </c>
      <c r="P215" s="14">
        <f>IFERROR(ROUND(SUM(S216,S217)/I215, 2),0)</f>
        <v>59.32</v>
      </c>
      <c r="Q215" s="16">
        <v>508</v>
      </c>
      <c r="R215" s="14">
        <f>P215+ROUND(Q215, 2)</f>
        <v>567.32000000000005</v>
      </c>
      <c r="S215" s="14">
        <f>ROUND(P215*I215, 2)</f>
        <v>58299.7</v>
      </c>
      <c r="T215" s="14">
        <f>ROUND(I215*ROUND(Q215, 2), 2)</f>
        <v>499262.4</v>
      </c>
      <c r="U215" s="14">
        <f>S215+T215</f>
        <v>557562.1</v>
      </c>
      <c r="V215" s="9">
        <f>ROUND(P215 / 1.2, 2)</f>
        <v>49.43</v>
      </c>
      <c r="W215" s="9">
        <f>ROUND(Q215 / 1.2, 2)</f>
        <v>423.33</v>
      </c>
      <c r="X215" s="9">
        <f>ROUND(R215 / 1.2, 2)</f>
        <v>472.77</v>
      </c>
      <c r="Y215" s="9">
        <f t="shared" si="18"/>
        <v>48583.08</v>
      </c>
      <c r="Z215" s="9">
        <f>ROUND(T215 / 1.2, 2)</f>
        <v>416052</v>
      </c>
      <c r="AA215" s="9">
        <f>Y215+Z215</f>
        <v>464635.08</v>
      </c>
      <c r="AD215" s="4">
        <v>271132306</v>
      </c>
      <c r="AE215" s="4">
        <v>20421041</v>
      </c>
      <c r="AG215" s="4" t="s">
        <v>830</v>
      </c>
      <c r="AH215" s="4" t="s">
        <v>831</v>
      </c>
      <c r="AI215" s="4" t="s">
        <v>67</v>
      </c>
    </row>
    <row r="216" spans="1:35" ht="36" x14ac:dyDescent="0.3">
      <c r="A216" s="10" t="s">
        <v>928</v>
      </c>
      <c r="B216" s="10"/>
      <c r="C216" s="24" t="s">
        <v>433</v>
      </c>
      <c r="D216" s="12"/>
      <c r="E216" s="12"/>
      <c r="F216" s="18" t="s">
        <v>70</v>
      </c>
      <c r="G216" s="19">
        <v>0.15</v>
      </c>
      <c r="H216" s="19"/>
      <c r="I216" s="19">
        <v>147.41999999999999</v>
      </c>
      <c r="J216" s="21">
        <v>88.8</v>
      </c>
      <c r="M216" s="22">
        <f>ROUND(ROUND(J216, 2)*I216, 2)</f>
        <v>13090.9</v>
      </c>
      <c r="P216" s="23">
        <v>88.8</v>
      </c>
      <c r="S216" s="22">
        <f>ROUND(ROUND(P216, 2)*I216, 2)</f>
        <v>13090.9</v>
      </c>
      <c r="V216" s="9">
        <f>ROUND(ROUND(P216, 2)/1.2, 2)</f>
        <v>74</v>
      </c>
      <c r="Y216" s="9">
        <f t="shared" si="18"/>
        <v>10909.08</v>
      </c>
      <c r="AD216" s="4" t="s">
        <v>929</v>
      </c>
      <c r="AE216" s="4" t="s">
        <v>930</v>
      </c>
      <c r="AF216" s="4" t="s">
        <v>436</v>
      </c>
    </row>
    <row r="217" spans="1:35" ht="18" x14ac:dyDescent="0.3">
      <c r="A217" s="10" t="s">
        <v>931</v>
      </c>
      <c r="B217" s="10"/>
      <c r="C217" s="24" t="s">
        <v>879</v>
      </c>
      <c r="D217" s="12"/>
      <c r="E217" s="12"/>
      <c r="F217" s="18" t="s">
        <v>70</v>
      </c>
      <c r="G217" s="19">
        <v>2</v>
      </c>
      <c r="H217" s="19"/>
      <c r="I217" s="19">
        <v>1965.6</v>
      </c>
      <c r="J217" s="21">
        <v>23</v>
      </c>
      <c r="M217" s="22">
        <f>ROUND(ROUND(J217, 2)*I217, 2)</f>
        <v>45208.800000000003</v>
      </c>
      <c r="P217" s="23">
        <v>23</v>
      </c>
      <c r="S217" s="22">
        <f>ROUND(ROUND(P217, 2)*I217, 2)</f>
        <v>45208.800000000003</v>
      </c>
      <c r="V217" s="9">
        <f>ROUND(ROUND(P217, 2)/1.2, 2)</f>
        <v>19.170000000000002</v>
      </c>
      <c r="Y217" s="9">
        <f t="shared" si="18"/>
        <v>37674</v>
      </c>
      <c r="AD217" s="4" t="s">
        <v>932</v>
      </c>
      <c r="AE217" s="4" t="s">
        <v>933</v>
      </c>
      <c r="AF217" s="4" t="s">
        <v>882</v>
      </c>
    </row>
    <row r="218" spans="1:35" ht="36" x14ac:dyDescent="0.3">
      <c r="A218" s="10" t="s">
        <v>934</v>
      </c>
      <c r="B218" s="10" t="s">
        <v>827</v>
      </c>
      <c r="C218" s="11" t="s">
        <v>828</v>
      </c>
      <c r="D218" s="12"/>
      <c r="E218" s="12" t="s">
        <v>892</v>
      </c>
      <c r="F218" s="12" t="s">
        <v>64</v>
      </c>
      <c r="G218" s="13">
        <v>1</v>
      </c>
      <c r="H218" s="13"/>
      <c r="I218" s="13">
        <v>726.6</v>
      </c>
      <c r="J218" s="14">
        <f>IFERROR(ROUND(SUM(M219,M220)/I218, 2),0)</f>
        <v>59.32</v>
      </c>
      <c r="K218" s="15">
        <v>508</v>
      </c>
      <c r="L218" s="14">
        <f>J218+ROUND(K218, 2)</f>
        <v>567.32000000000005</v>
      </c>
      <c r="M218" s="14">
        <f>ROUND(J218*I218, 2)</f>
        <v>43101.91</v>
      </c>
      <c r="N218" s="14">
        <f>ROUND(I218*ROUND(K218, 2), 2)</f>
        <v>369112.8</v>
      </c>
      <c r="O218" s="14">
        <f>M218+N218</f>
        <v>412214.71</v>
      </c>
      <c r="P218" s="14">
        <f>IFERROR(ROUND(SUM(S219,S220)/I218, 2),0)</f>
        <v>59.32</v>
      </c>
      <c r="Q218" s="16">
        <v>508</v>
      </c>
      <c r="R218" s="14">
        <f>P218+ROUND(Q218, 2)</f>
        <v>567.32000000000005</v>
      </c>
      <c r="S218" s="14">
        <f>ROUND(P218*I218, 2)</f>
        <v>43101.91</v>
      </c>
      <c r="T218" s="14">
        <f>ROUND(I218*ROUND(Q218, 2), 2)</f>
        <v>369112.8</v>
      </c>
      <c r="U218" s="14">
        <f>S218+T218</f>
        <v>412214.71</v>
      </c>
      <c r="V218" s="9">
        <f>ROUND(P218 / 1.2, 2)</f>
        <v>49.43</v>
      </c>
      <c r="W218" s="9">
        <f>ROUND(Q218 / 1.2, 2)</f>
        <v>423.33</v>
      </c>
      <c r="X218" s="9">
        <f>ROUND(R218 / 1.2, 2)</f>
        <v>472.77</v>
      </c>
      <c r="Y218" s="9">
        <f t="shared" si="18"/>
        <v>35918.26</v>
      </c>
      <c r="Z218" s="9">
        <f>ROUND(T218 / 1.2, 2)</f>
        <v>307594</v>
      </c>
      <c r="AA218" s="9">
        <f>Y218+Z218</f>
        <v>343512.26</v>
      </c>
      <c r="AD218" s="4">
        <v>271132307</v>
      </c>
      <c r="AE218" s="4">
        <v>20421051</v>
      </c>
      <c r="AG218" s="4" t="s">
        <v>830</v>
      </c>
      <c r="AH218" s="4" t="s">
        <v>831</v>
      </c>
      <c r="AI218" s="4" t="s">
        <v>67</v>
      </c>
    </row>
    <row r="219" spans="1:35" ht="36" x14ac:dyDescent="0.3">
      <c r="A219" s="10" t="s">
        <v>935</v>
      </c>
      <c r="B219" s="10"/>
      <c r="C219" s="24" t="s">
        <v>433</v>
      </c>
      <c r="D219" s="12"/>
      <c r="E219" s="12"/>
      <c r="F219" s="18" t="s">
        <v>70</v>
      </c>
      <c r="G219" s="19">
        <v>0.15</v>
      </c>
      <c r="H219" s="19"/>
      <c r="I219" s="19">
        <v>108.99</v>
      </c>
      <c r="J219" s="21">
        <v>88.8</v>
      </c>
      <c r="M219" s="22">
        <f>ROUND(ROUND(J219, 2)*I219, 2)</f>
        <v>9678.31</v>
      </c>
      <c r="P219" s="23">
        <v>88.8</v>
      </c>
      <c r="S219" s="22">
        <f>ROUND(ROUND(P219, 2)*I219, 2)</f>
        <v>9678.31</v>
      </c>
      <c r="V219" s="9">
        <f>ROUND(ROUND(P219, 2)/1.2, 2)</f>
        <v>74</v>
      </c>
      <c r="Y219" s="9">
        <f t="shared" si="18"/>
        <v>8065.26</v>
      </c>
      <c r="AD219" s="4" t="s">
        <v>936</v>
      </c>
      <c r="AE219" s="4" t="s">
        <v>937</v>
      </c>
      <c r="AF219" s="4" t="s">
        <v>436</v>
      </c>
    </row>
    <row r="220" spans="1:35" ht="18" x14ac:dyDescent="0.3">
      <c r="A220" s="10" t="s">
        <v>938</v>
      </c>
      <c r="B220" s="10"/>
      <c r="C220" s="24" t="s">
        <v>879</v>
      </c>
      <c r="D220" s="12"/>
      <c r="E220" s="12"/>
      <c r="F220" s="18" t="s">
        <v>70</v>
      </c>
      <c r="G220" s="19">
        <v>2</v>
      </c>
      <c r="H220" s="19"/>
      <c r="I220" s="19">
        <v>1453.2</v>
      </c>
      <c r="J220" s="21">
        <v>23</v>
      </c>
      <c r="M220" s="22">
        <f>ROUND(ROUND(J220, 2)*I220, 2)</f>
        <v>33423.599999999999</v>
      </c>
      <c r="P220" s="23">
        <v>23</v>
      </c>
      <c r="S220" s="22">
        <f>ROUND(ROUND(P220, 2)*I220, 2)</f>
        <v>33423.599999999999</v>
      </c>
      <c r="V220" s="9">
        <f>ROUND(ROUND(P220, 2)/1.2, 2)</f>
        <v>19.170000000000002</v>
      </c>
      <c r="Y220" s="9">
        <f t="shared" si="18"/>
        <v>27853</v>
      </c>
      <c r="AD220" s="4" t="s">
        <v>939</v>
      </c>
      <c r="AE220" s="4" t="s">
        <v>940</v>
      </c>
      <c r="AF220" s="4" t="s">
        <v>882</v>
      </c>
    </row>
    <row r="221" spans="1:35" ht="72" x14ac:dyDescent="0.3">
      <c r="A221" s="10" t="s">
        <v>941</v>
      </c>
      <c r="B221" s="10" t="s">
        <v>942</v>
      </c>
      <c r="C221" s="11" t="s">
        <v>943</v>
      </c>
      <c r="D221" s="12"/>
      <c r="E221" s="12" t="s">
        <v>63</v>
      </c>
      <c r="F221" s="12" t="s">
        <v>64</v>
      </c>
      <c r="G221" s="13">
        <v>1</v>
      </c>
      <c r="H221" s="13"/>
      <c r="I221" s="13">
        <v>0</v>
      </c>
      <c r="J221" s="14">
        <f>IFERROR(ROUND(SUM(M222,M223,M224,M225)/I221, 2),0)</f>
        <v>0</v>
      </c>
      <c r="K221" s="15">
        <v>873</v>
      </c>
      <c r="L221" s="14">
        <f>J221+ROUND(K221, 2)</f>
        <v>873</v>
      </c>
      <c r="M221" s="14">
        <f>ROUND(J221*I221, 2)</f>
        <v>0</v>
      </c>
      <c r="N221" s="14">
        <f>ROUND(I221*ROUND(K221, 2), 2)</f>
        <v>0</v>
      </c>
      <c r="O221" s="14">
        <f>M221+N221</f>
        <v>0</v>
      </c>
      <c r="P221" s="14">
        <f>IFERROR(ROUND(SUM(S222,S223,S224,S225)/I221, 2),0)</f>
        <v>0</v>
      </c>
      <c r="Q221" s="15">
        <v>873</v>
      </c>
      <c r="R221" s="14">
        <f>P221+ROUND(Q221, 2)</f>
        <v>873</v>
      </c>
      <c r="S221" s="14">
        <f>ROUND(P221*I221, 2)</f>
        <v>0</v>
      </c>
      <c r="T221" s="14">
        <f>ROUND(I221*ROUND(Q221, 2), 2)</f>
        <v>0</v>
      </c>
      <c r="U221" s="14">
        <f>S221+T221</f>
        <v>0</v>
      </c>
      <c r="V221" s="9">
        <f>ROUND(P221 / 1.2, 2)</f>
        <v>0</v>
      </c>
      <c r="W221" s="9">
        <f>ROUND(Q221 / 1.2, 2)</f>
        <v>727.5</v>
      </c>
      <c r="X221" s="9">
        <f>ROUND(R221 / 1.2, 2)</f>
        <v>727.5</v>
      </c>
      <c r="Y221" s="9">
        <f t="shared" si="18"/>
        <v>0</v>
      </c>
      <c r="Z221" s="9">
        <f>ROUND(T221 / 1.2, 2)</f>
        <v>0</v>
      </c>
      <c r="AA221" s="9">
        <f>Y221+Z221</f>
        <v>0</v>
      </c>
      <c r="AD221" s="4">
        <v>271132105</v>
      </c>
      <c r="AE221" s="4">
        <v>16678913</v>
      </c>
      <c r="AG221" s="4" t="s">
        <v>944</v>
      </c>
      <c r="AH221" s="4" t="s">
        <v>945</v>
      </c>
      <c r="AI221" s="4" t="s">
        <v>67</v>
      </c>
    </row>
    <row r="222" spans="1:35" ht="36" x14ac:dyDescent="0.3">
      <c r="A222" s="10" t="s">
        <v>947</v>
      </c>
      <c r="B222" s="10"/>
      <c r="C222" s="24" t="s">
        <v>948</v>
      </c>
      <c r="D222" s="12"/>
      <c r="E222" s="12" t="s">
        <v>949</v>
      </c>
      <c r="F222" s="18" t="s">
        <v>70</v>
      </c>
      <c r="G222" s="19">
        <v>1.3</v>
      </c>
      <c r="H222" s="20"/>
      <c r="I222" s="20">
        <v>0</v>
      </c>
      <c r="J222" s="21">
        <v>8.6</v>
      </c>
      <c r="M222" s="22">
        <f>ROUND(ROUND(J222, 2)*I222, 2)</f>
        <v>0</v>
      </c>
      <c r="P222" s="21">
        <v>8.6</v>
      </c>
      <c r="S222" s="22">
        <f>ROUND(ROUND(P222, 2)*I222, 2)</f>
        <v>0</v>
      </c>
      <c r="V222" s="9">
        <f>ROUND(ROUND(P222, 2)/1.2, 2)</f>
        <v>7.17</v>
      </c>
      <c r="Y222" s="9">
        <f t="shared" si="18"/>
        <v>0</v>
      </c>
      <c r="AD222" s="4" t="s">
        <v>950</v>
      </c>
      <c r="AE222" s="4" t="s">
        <v>951</v>
      </c>
      <c r="AF222" s="4" t="s">
        <v>952</v>
      </c>
    </row>
    <row r="223" spans="1:35" ht="18" x14ac:dyDescent="0.3">
      <c r="A223" s="10" t="s">
        <v>955</v>
      </c>
      <c r="B223" s="10"/>
      <c r="C223" s="24" t="s">
        <v>956</v>
      </c>
      <c r="D223" s="12"/>
      <c r="E223" s="12"/>
      <c r="F223" s="18" t="s">
        <v>64</v>
      </c>
      <c r="G223" s="19">
        <v>1.1000000000000001</v>
      </c>
      <c r="H223" s="19"/>
      <c r="I223" s="19">
        <v>0</v>
      </c>
      <c r="J223" s="21">
        <v>26</v>
      </c>
      <c r="M223" s="22">
        <f>ROUND(ROUND(J223, 2)*I223, 2)</f>
        <v>0</v>
      </c>
      <c r="P223" s="21">
        <v>26</v>
      </c>
      <c r="S223" s="22">
        <f>ROUND(ROUND(P223, 2)*I223, 2)</f>
        <v>0</v>
      </c>
      <c r="V223" s="9">
        <f>ROUND(ROUND(P223, 2)/1.2, 2)</f>
        <v>21.67</v>
      </c>
      <c r="Y223" s="9">
        <f t="shared" si="18"/>
        <v>0</v>
      </c>
      <c r="AD223" s="4" t="s">
        <v>957</v>
      </c>
      <c r="AE223" s="4" t="s">
        <v>958</v>
      </c>
      <c r="AF223" s="4" t="s">
        <v>959</v>
      </c>
    </row>
    <row r="224" spans="1:35" ht="18" x14ac:dyDescent="0.3">
      <c r="A224" s="10" t="s">
        <v>962</v>
      </c>
      <c r="B224" s="10"/>
      <c r="C224" s="24" t="s">
        <v>771</v>
      </c>
      <c r="D224" s="12"/>
      <c r="E224" s="12"/>
      <c r="F224" s="18" t="s">
        <v>87</v>
      </c>
      <c r="G224" s="19">
        <v>1</v>
      </c>
      <c r="H224" s="20"/>
      <c r="I224" s="20">
        <v>0</v>
      </c>
      <c r="J224" s="21">
        <v>15.76</v>
      </c>
      <c r="M224" s="22">
        <f>ROUND(ROUND(J224, 2)*I224, 2)</f>
        <v>0</v>
      </c>
      <c r="P224" s="21">
        <v>15.76</v>
      </c>
      <c r="S224" s="22">
        <f>ROUND(ROUND(P224, 2)*I224, 2)</f>
        <v>0</v>
      </c>
      <c r="V224" s="9">
        <f>ROUND(ROUND(P224, 2)/1.2, 2)</f>
        <v>13.13</v>
      </c>
      <c r="Y224" s="9">
        <f t="shared" si="18"/>
        <v>0</v>
      </c>
      <c r="AD224" s="4" t="s">
        <v>963</v>
      </c>
      <c r="AE224" s="4" t="s">
        <v>964</v>
      </c>
      <c r="AF224" s="4" t="s">
        <v>774</v>
      </c>
    </row>
    <row r="225" spans="1:35" ht="18" x14ac:dyDescent="0.3">
      <c r="A225" s="10" t="s">
        <v>967</v>
      </c>
      <c r="B225" s="10"/>
      <c r="C225" s="24" t="s">
        <v>764</v>
      </c>
      <c r="D225" s="12"/>
      <c r="E225" s="12"/>
      <c r="F225" s="18" t="s">
        <v>70</v>
      </c>
      <c r="G225" s="19">
        <v>0.25</v>
      </c>
      <c r="H225" s="19"/>
      <c r="I225" s="19">
        <v>0</v>
      </c>
      <c r="J225" s="21">
        <v>100</v>
      </c>
      <c r="M225" s="22">
        <f>ROUND(ROUND(J225, 2)*I225, 2)</f>
        <v>0</v>
      </c>
      <c r="P225" s="21">
        <v>100</v>
      </c>
      <c r="S225" s="22">
        <f>ROUND(ROUND(P225, 2)*I225, 2)</f>
        <v>0</v>
      </c>
      <c r="V225" s="9">
        <f>ROUND(ROUND(P225, 2)/1.2, 2)</f>
        <v>83.33</v>
      </c>
      <c r="Y225" s="9">
        <f t="shared" si="18"/>
        <v>0</v>
      </c>
      <c r="AD225" s="4" t="s">
        <v>968</v>
      </c>
      <c r="AE225" s="4" t="s">
        <v>969</v>
      </c>
      <c r="AF225" s="4" t="s">
        <v>767</v>
      </c>
    </row>
    <row r="226" spans="1:35" ht="72" x14ac:dyDescent="0.3">
      <c r="A226" s="10" t="s">
        <v>972</v>
      </c>
      <c r="B226" s="10" t="s">
        <v>973</v>
      </c>
      <c r="C226" s="11" t="s">
        <v>974</v>
      </c>
      <c r="D226" s="12"/>
      <c r="E226" s="12" t="s">
        <v>975</v>
      </c>
      <c r="F226" s="12" t="s">
        <v>64</v>
      </c>
      <c r="G226" s="13">
        <v>1</v>
      </c>
      <c r="H226" s="13"/>
      <c r="I226" s="13">
        <v>174.8</v>
      </c>
      <c r="J226" s="14">
        <f>IFERROR(ROUND(SUM(M227,M228,M229,M230)/I226, 2),0)</f>
        <v>516.55999999999995</v>
      </c>
      <c r="K226" s="15">
        <v>1067</v>
      </c>
      <c r="L226" s="14">
        <f>J226+ROUND(K226, 2)</f>
        <v>1583.56</v>
      </c>
      <c r="M226" s="14">
        <f>ROUND(J226*I226, 2)</f>
        <v>90294.69</v>
      </c>
      <c r="N226" s="14">
        <f>ROUND(I226*ROUND(K226, 2), 2)</f>
        <v>186511.6</v>
      </c>
      <c r="O226" s="14">
        <f>M226+N226</f>
        <v>276806.28999999998</v>
      </c>
      <c r="P226" s="14">
        <f>IFERROR(ROUND(SUM(S227,S228,S229,S230)/I226, 2),0)</f>
        <v>516.55999999999995</v>
      </c>
      <c r="Q226" s="16">
        <v>1067</v>
      </c>
      <c r="R226" s="14">
        <f>P226+ROUND(Q226, 2)</f>
        <v>1583.56</v>
      </c>
      <c r="S226" s="14">
        <f>ROUND(P226*I226, 2)</f>
        <v>90294.69</v>
      </c>
      <c r="T226" s="14">
        <f>ROUND(I226*ROUND(Q226, 2), 2)</f>
        <v>186511.6</v>
      </c>
      <c r="U226" s="14">
        <f>S226+T226</f>
        <v>276806.28999999998</v>
      </c>
      <c r="V226" s="9">
        <f>ROUND(P226 / 1.2, 2)</f>
        <v>430.47</v>
      </c>
      <c r="W226" s="9">
        <f>ROUND(Q226 / 1.2, 2)</f>
        <v>889.17</v>
      </c>
      <c r="X226" s="9">
        <f>ROUND(R226 / 1.2, 2)</f>
        <v>1319.63</v>
      </c>
      <c r="Y226" s="9">
        <f t="shared" si="18"/>
        <v>75245.58</v>
      </c>
      <c r="Z226" s="9">
        <f>ROUND(T226 / 1.2, 2)</f>
        <v>155426.32999999999</v>
      </c>
      <c r="AA226" s="9">
        <f>Y226+Z226</f>
        <v>230671.91</v>
      </c>
      <c r="AD226" s="4">
        <v>271132106</v>
      </c>
      <c r="AE226" s="4">
        <v>16211497</v>
      </c>
      <c r="AG226" s="4" t="s">
        <v>976</v>
      </c>
      <c r="AH226" s="4" t="s">
        <v>977</v>
      </c>
      <c r="AI226" s="4" t="s">
        <v>67</v>
      </c>
    </row>
    <row r="227" spans="1:35" ht="18" x14ac:dyDescent="0.3">
      <c r="A227" s="10" t="s">
        <v>978</v>
      </c>
      <c r="B227" s="10"/>
      <c r="C227" s="24" t="s">
        <v>948</v>
      </c>
      <c r="D227" s="12"/>
      <c r="E227" s="12"/>
      <c r="F227" s="18" t="s">
        <v>70</v>
      </c>
      <c r="G227" s="19">
        <v>1.3</v>
      </c>
      <c r="H227" s="20"/>
      <c r="I227" s="20">
        <v>9089.6</v>
      </c>
      <c r="J227" s="21">
        <v>8.6</v>
      </c>
      <c r="M227" s="22">
        <f>ROUND(ROUND(J227, 2)*I227, 2)</f>
        <v>78170.559999999998</v>
      </c>
      <c r="P227" s="23">
        <v>8.6</v>
      </c>
      <c r="S227" s="22">
        <f>ROUND(ROUND(P227, 2)*I227, 2)</f>
        <v>78170.559999999998</v>
      </c>
      <c r="V227" s="9">
        <f>ROUND(ROUND(P227, 2)/1.2, 2)</f>
        <v>7.17</v>
      </c>
      <c r="Y227" s="9">
        <f t="shared" si="18"/>
        <v>65142.13</v>
      </c>
      <c r="AD227" s="4" t="s">
        <v>979</v>
      </c>
      <c r="AE227" s="4" t="s">
        <v>980</v>
      </c>
      <c r="AF227" s="4" t="s">
        <v>952</v>
      </c>
    </row>
    <row r="228" spans="1:35" ht="18" x14ac:dyDescent="0.3">
      <c r="A228" s="10" t="s">
        <v>981</v>
      </c>
      <c r="B228" s="10"/>
      <c r="C228" s="24" t="s">
        <v>956</v>
      </c>
      <c r="D228" s="12"/>
      <c r="E228" s="12"/>
      <c r="F228" s="18" t="s">
        <v>64</v>
      </c>
      <c r="G228" s="19">
        <v>1.1000000000000001</v>
      </c>
      <c r="H228" s="19"/>
      <c r="I228" s="19">
        <v>192.28</v>
      </c>
      <c r="J228" s="21">
        <v>26</v>
      </c>
      <c r="M228" s="22">
        <f>ROUND(ROUND(J228, 2)*I228, 2)</f>
        <v>4999.28</v>
      </c>
      <c r="P228" s="23">
        <v>26</v>
      </c>
      <c r="S228" s="22">
        <f>ROUND(ROUND(P228, 2)*I228, 2)</f>
        <v>4999.28</v>
      </c>
      <c r="V228" s="9">
        <f>ROUND(ROUND(P228, 2)/1.2, 2)</f>
        <v>21.67</v>
      </c>
      <c r="Y228" s="9">
        <f t="shared" si="18"/>
        <v>4166.07</v>
      </c>
      <c r="AD228" s="4" t="s">
        <v>982</v>
      </c>
      <c r="AE228" s="4" t="s">
        <v>983</v>
      </c>
      <c r="AF228" s="4" t="s">
        <v>959</v>
      </c>
    </row>
    <row r="229" spans="1:35" ht="18" x14ac:dyDescent="0.3">
      <c r="A229" s="10" t="s">
        <v>984</v>
      </c>
      <c r="B229" s="10"/>
      <c r="C229" s="24" t="s">
        <v>771</v>
      </c>
      <c r="D229" s="12"/>
      <c r="E229" s="12"/>
      <c r="F229" s="18" t="s">
        <v>87</v>
      </c>
      <c r="G229" s="19">
        <v>1</v>
      </c>
      <c r="H229" s="20"/>
      <c r="I229" s="20">
        <v>174.8</v>
      </c>
      <c r="J229" s="21">
        <v>15.76</v>
      </c>
      <c r="M229" s="22">
        <f>ROUND(ROUND(J229, 2)*I229, 2)</f>
        <v>2754.85</v>
      </c>
      <c r="P229" s="23">
        <v>15.76</v>
      </c>
      <c r="S229" s="22">
        <f>ROUND(ROUND(P229, 2)*I229, 2)</f>
        <v>2754.85</v>
      </c>
      <c r="V229" s="9">
        <f>ROUND(ROUND(P229, 2)/1.2, 2)</f>
        <v>13.13</v>
      </c>
      <c r="Y229" s="9">
        <f t="shared" si="18"/>
        <v>2295.71</v>
      </c>
      <c r="AD229" s="4" t="s">
        <v>985</v>
      </c>
      <c r="AE229" s="4" t="s">
        <v>986</v>
      </c>
      <c r="AF229" s="4" t="s">
        <v>774</v>
      </c>
    </row>
    <row r="230" spans="1:35" ht="18" x14ac:dyDescent="0.3">
      <c r="A230" s="10" t="s">
        <v>987</v>
      </c>
      <c r="B230" s="10"/>
      <c r="C230" s="24" t="s">
        <v>764</v>
      </c>
      <c r="D230" s="12"/>
      <c r="E230" s="12"/>
      <c r="F230" s="18" t="s">
        <v>70</v>
      </c>
      <c r="G230" s="19">
        <v>0.25</v>
      </c>
      <c r="H230" s="19"/>
      <c r="I230" s="19">
        <v>43.7</v>
      </c>
      <c r="J230" s="21">
        <v>100</v>
      </c>
      <c r="M230" s="22">
        <f>ROUND(ROUND(J230, 2)*I230, 2)</f>
        <v>4370</v>
      </c>
      <c r="P230" s="23">
        <v>100</v>
      </c>
      <c r="S230" s="22">
        <f>ROUND(ROUND(P230, 2)*I230, 2)</f>
        <v>4370</v>
      </c>
      <c r="V230" s="9">
        <f>ROUND(ROUND(P230, 2)/1.2, 2)</f>
        <v>83.33</v>
      </c>
      <c r="Y230" s="9">
        <f t="shared" si="18"/>
        <v>3641.67</v>
      </c>
      <c r="AD230" s="4" t="s">
        <v>988</v>
      </c>
      <c r="AE230" s="4" t="s">
        <v>989</v>
      </c>
      <c r="AF230" s="4" t="s">
        <v>767</v>
      </c>
    </row>
    <row r="231" spans="1:35" ht="72" x14ac:dyDescent="0.3">
      <c r="A231" s="10" t="s">
        <v>990</v>
      </c>
      <c r="B231" s="10" t="s">
        <v>973</v>
      </c>
      <c r="C231" s="11" t="s">
        <v>974</v>
      </c>
      <c r="D231" s="12"/>
      <c r="E231" s="12" t="s">
        <v>991</v>
      </c>
      <c r="F231" s="12" t="s">
        <v>64</v>
      </c>
      <c r="G231" s="13">
        <v>1</v>
      </c>
      <c r="H231" s="13"/>
      <c r="I231" s="13">
        <v>808</v>
      </c>
      <c r="J231" s="14">
        <f>IFERROR(ROUND(SUM(M232,M233,M234,M235)/I231, 2),0)</f>
        <v>504.88</v>
      </c>
      <c r="K231" s="15">
        <v>1067</v>
      </c>
      <c r="L231" s="14">
        <f>J231+ROUND(K231, 2)</f>
        <v>1571.88</v>
      </c>
      <c r="M231" s="14">
        <f>ROUND(J231*I231, 2)</f>
        <v>407943.04</v>
      </c>
      <c r="N231" s="14">
        <f>ROUND(I231*ROUND(K231, 2), 2)</f>
        <v>862136</v>
      </c>
      <c r="O231" s="14">
        <f>M231+N231</f>
        <v>1270079.04</v>
      </c>
      <c r="P231" s="14">
        <f>IFERROR(ROUND(SUM(S232,S233,S234,S235)/I231, 2),0)</f>
        <v>504.88</v>
      </c>
      <c r="Q231" s="16">
        <v>1067</v>
      </c>
      <c r="R231" s="14">
        <f>P231+ROUND(Q231, 2)</f>
        <v>1571.88</v>
      </c>
      <c r="S231" s="14">
        <f>ROUND(P231*I231, 2)</f>
        <v>407943.04</v>
      </c>
      <c r="T231" s="14">
        <f>ROUND(I231*ROUND(Q231, 2), 2)</f>
        <v>862136</v>
      </c>
      <c r="U231" s="14">
        <f>S231+T231</f>
        <v>1270079.04</v>
      </c>
      <c r="V231" s="9">
        <f>ROUND(P231 / 1.2, 2)</f>
        <v>420.73</v>
      </c>
      <c r="W231" s="9">
        <f>ROUND(Q231 / 1.2, 2)</f>
        <v>889.17</v>
      </c>
      <c r="X231" s="9">
        <f>ROUND(R231 / 1.2, 2)</f>
        <v>1309.9000000000001</v>
      </c>
      <c r="Y231" s="9">
        <f t="shared" ref="Y231:Y261" si="19">ROUND(S231 / 1.2, 2)</f>
        <v>339952.53</v>
      </c>
      <c r="Z231" s="9">
        <f>ROUND(T231 / 1.2, 2)</f>
        <v>718446.67</v>
      </c>
      <c r="AA231" s="9">
        <f>Y231+Z231</f>
        <v>1058399.2</v>
      </c>
      <c r="AD231" s="4">
        <v>271132185</v>
      </c>
      <c r="AE231" s="4">
        <v>19976809</v>
      </c>
      <c r="AG231" s="4" t="s">
        <v>976</v>
      </c>
      <c r="AH231" s="4" t="s">
        <v>977</v>
      </c>
      <c r="AI231" s="4" t="s">
        <v>67</v>
      </c>
    </row>
    <row r="232" spans="1:35" ht="36" x14ac:dyDescent="0.3">
      <c r="A232" s="10" t="s">
        <v>992</v>
      </c>
      <c r="B232" s="10"/>
      <c r="C232" s="24" t="s">
        <v>433</v>
      </c>
      <c r="D232" s="12"/>
      <c r="E232" s="12"/>
      <c r="F232" s="18" t="s">
        <v>70</v>
      </c>
      <c r="G232" s="19">
        <v>0.15</v>
      </c>
      <c r="H232" s="19"/>
      <c r="I232" s="19">
        <v>121.2</v>
      </c>
      <c r="J232" s="21">
        <v>88.8</v>
      </c>
      <c r="M232" s="22">
        <f>ROUND(ROUND(J232, 2)*I232, 2)</f>
        <v>10762.56</v>
      </c>
      <c r="P232" s="23">
        <v>88.8</v>
      </c>
      <c r="S232" s="22">
        <f>ROUND(ROUND(P232, 2)*I232, 2)</f>
        <v>10762.56</v>
      </c>
      <c r="V232" s="9">
        <f>ROUND(ROUND(P232, 2)/1.2, 2)</f>
        <v>74</v>
      </c>
      <c r="Y232" s="9">
        <f t="shared" si="19"/>
        <v>8968.7999999999993</v>
      </c>
      <c r="AD232" s="4" t="s">
        <v>993</v>
      </c>
      <c r="AE232" s="4" t="s">
        <v>994</v>
      </c>
      <c r="AF232" s="4" t="s">
        <v>436</v>
      </c>
    </row>
    <row r="233" spans="1:35" ht="18" x14ac:dyDescent="0.3">
      <c r="A233" s="10" t="s">
        <v>995</v>
      </c>
      <c r="B233" s="10"/>
      <c r="C233" s="24" t="s">
        <v>771</v>
      </c>
      <c r="D233" s="12"/>
      <c r="E233" s="12"/>
      <c r="F233" s="18" t="s">
        <v>87</v>
      </c>
      <c r="G233" s="19">
        <v>1</v>
      </c>
      <c r="H233" s="20"/>
      <c r="I233" s="20">
        <v>808</v>
      </c>
      <c r="J233" s="21">
        <v>15.76</v>
      </c>
      <c r="M233" s="22">
        <f>ROUND(ROUND(J233, 2)*I233, 2)</f>
        <v>12734.08</v>
      </c>
      <c r="P233" s="23">
        <v>15.76</v>
      </c>
      <c r="S233" s="22">
        <f>ROUND(ROUND(P233, 2)*I233, 2)</f>
        <v>12734.08</v>
      </c>
      <c r="V233" s="9">
        <f>ROUND(ROUND(P233, 2)/1.2, 2)</f>
        <v>13.13</v>
      </c>
      <c r="Y233" s="9">
        <f t="shared" si="19"/>
        <v>10611.73</v>
      </c>
      <c r="AD233" s="4" t="s">
        <v>996</v>
      </c>
      <c r="AE233" s="4" t="s">
        <v>997</v>
      </c>
      <c r="AF233" s="4" t="s">
        <v>774</v>
      </c>
    </row>
    <row r="234" spans="1:35" ht="18" x14ac:dyDescent="0.3">
      <c r="A234" s="10" t="s">
        <v>998</v>
      </c>
      <c r="B234" s="10"/>
      <c r="C234" s="24" t="s">
        <v>956</v>
      </c>
      <c r="D234" s="12"/>
      <c r="E234" s="12"/>
      <c r="F234" s="18" t="s">
        <v>64</v>
      </c>
      <c r="G234" s="19">
        <v>1.1000000000000001</v>
      </c>
      <c r="H234" s="19"/>
      <c r="I234" s="19">
        <v>888.8</v>
      </c>
      <c r="J234" s="21">
        <v>26</v>
      </c>
      <c r="M234" s="22">
        <f>ROUND(ROUND(J234, 2)*I234, 2)</f>
        <v>23108.799999999999</v>
      </c>
      <c r="P234" s="23">
        <v>26</v>
      </c>
      <c r="S234" s="22">
        <f>ROUND(ROUND(P234, 2)*I234, 2)</f>
        <v>23108.799999999999</v>
      </c>
      <c r="V234" s="9">
        <f>ROUND(ROUND(P234, 2)/1.2, 2)</f>
        <v>21.67</v>
      </c>
      <c r="Y234" s="9">
        <f t="shared" si="19"/>
        <v>19257.330000000002</v>
      </c>
      <c r="AD234" s="4" t="s">
        <v>999</v>
      </c>
      <c r="AE234" s="4" t="s">
        <v>1000</v>
      </c>
      <c r="AF234" s="4" t="s">
        <v>959</v>
      </c>
    </row>
    <row r="235" spans="1:35" ht="18" x14ac:dyDescent="0.3">
      <c r="A235" s="10" t="s">
        <v>1001</v>
      </c>
      <c r="B235" s="10"/>
      <c r="C235" s="24" t="s">
        <v>948</v>
      </c>
      <c r="D235" s="12"/>
      <c r="E235" s="12"/>
      <c r="F235" s="18" t="s">
        <v>70</v>
      </c>
      <c r="G235" s="19">
        <v>1.3</v>
      </c>
      <c r="H235" s="20"/>
      <c r="I235" s="20">
        <v>42016</v>
      </c>
      <c r="J235" s="21">
        <v>8.6</v>
      </c>
      <c r="M235" s="22">
        <f>ROUND(ROUND(J235, 2)*I235, 2)</f>
        <v>361337.59999999998</v>
      </c>
      <c r="P235" s="23">
        <v>8.6</v>
      </c>
      <c r="S235" s="22">
        <f>ROUND(ROUND(P235, 2)*I235, 2)</f>
        <v>361337.59999999998</v>
      </c>
      <c r="V235" s="9">
        <f>ROUND(ROUND(P235, 2)/1.2, 2)</f>
        <v>7.17</v>
      </c>
      <c r="Y235" s="9">
        <f t="shared" si="19"/>
        <v>301114.67</v>
      </c>
      <c r="AD235" s="4" t="s">
        <v>1002</v>
      </c>
      <c r="AE235" s="4" t="s">
        <v>1003</v>
      </c>
      <c r="AF235" s="4" t="s">
        <v>952</v>
      </c>
    </row>
    <row r="236" spans="1:35" ht="72" x14ac:dyDescent="0.3">
      <c r="A236" s="10" t="s">
        <v>1004</v>
      </c>
      <c r="B236" s="10" t="s">
        <v>973</v>
      </c>
      <c r="C236" s="11" t="s">
        <v>974</v>
      </c>
      <c r="D236" s="12"/>
      <c r="E236" s="12" t="s">
        <v>1005</v>
      </c>
      <c r="F236" s="12" t="s">
        <v>64</v>
      </c>
      <c r="G236" s="13">
        <v>1</v>
      </c>
      <c r="H236" s="13"/>
      <c r="I236" s="13">
        <v>154.19999999999999</v>
      </c>
      <c r="J236" s="14">
        <f>IFERROR(ROUND(SUM(M237,M238,M239,M240)/I236, 2),0)</f>
        <v>516.55999999999995</v>
      </c>
      <c r="K236" s="15">
        <v>1067</v>
      </c>
      <c r="L236" s="14">
        <f>J236+ROUND(K236, 2)</f>
        <v>1583.56</v>
      </c>
      <c r="M236" s="14">
        <f>ROUND(J236*I236, 2)</f>
        <v>79653.55</v>
      </c>
      <c r="N236" s="14">
        <f>ROUND(I236*ROUND(K236, 2), 2)</f>
        <v>164531.4</v>
      </c>
      <c r="O236" s="14">
        <f>M236+N236</f>
        <v>244184.95</v>
      </c>
      <c r="P236" s="14">
        <f>IFERROR(ROUND(SUM(S237,S238,S239,S240)/I236, 2),0)</f>
        <v>516.55999999999995</v>
      </c>
      <c r="Q236" s="16">
        <v>1067</v>
      </c>
      <c r="R236" s="14">
        <f>P236+ROUND(Q236, 2)</f>
        <v>1583.56</v>
      </c>
      <c r="S236" s="14">
        <f>ROUND(P236*I236, 2)</f>
        <v>79653.55</v>
      </c>
      <c r="T236" s="14">
        <f>ROUND(I236*ROUND(Q236, 2), 2)</f>
        <v>164531.4</v>
      </c>
      <c r="U236" s="14">
        <f>S236+T236</f>
        <v>244184.95</v>
      </c>
      <c r="V236" s="9">
        <f>ROUND(P236 / 1.2, 2)</f>
        <v>430.47</v>
      </c>
      <c r="W236" s="9">
        <f>ROUND(Q236 / 1.2, 2)</f>
        <v>889.17</v>
      </c>
      <c r="X236" s="9">
        <f>ROUND(R236 / 1.2, 2)</f>
        <v>1319.63</v>
      </c>
      <c r="Y236" s="9">
        <f t="shared" si="19"/>
        <v>66377.960000000006</v>
      </c>
      <c r="Z236" s="9">
        <f>ROUND(T236 / 1.2, 2)</f>
        <v>137109.5</v>
      </c>
      <c r="AA236" s="9">
        <f>Y236+Z236</f>
        <v>203487.46</v>
      </c>
      <c r="AD236" s="4">
        <v>271132186</v>
      </c>
      <c r="AE236" s="4">
        <v>19976810</v>
      </c>
      <c r="AG236" s="4" t="s">
        <v>976</v>
      </c>
      <c r="AH236" s="4" t="s">
        <v>977</v>
      </c>
      <c r="AI236" s="4" t="s">
        <v>67</v>
      </c>
    </row>
    <row r="237" spans="1:35" ht="18" x14ac:dyDescent="0.3">
      <c r="A237" s="10" t="s">
        <v>1006</v>
      </c>
      <c r="B237" s="10"/>
      <c r="C237" s="24" t="s">
        <v>764</v>
      </c>
      <c r="D237" s="12"/>
      <c r="E237" s="12"/>
      <c r="F237" s="18" t="s">
        <v>70</v>
      </c>
      <c r="G237" s="19">
        <v>0.25</v>
      </c>
      <c r="H237" s="19"/>
      <c r="I237" s="19">
        <v>38.549999999999997</v>
      </c>
      <c r="J237" s="21">
        <v>100</v>
      </c>
      <c r="M237" s="22">
        <f>ROUND(ROUND(J237, 2)*I237, 2)</f>
        <v>3855</v>
      </c>
      <c r="P237" s="23">
        <v>100</v>
      </c>
      <c r="S237" s="22">
        <f>ROUND(ROUND(P237, 2)*I237, 2)</f>
        <v>3855</v>
      </c>
      <c r="V237" s="9">
        <f>ROUND(ROUND(P237, 2)/1.2, 2)</f>
        <v>83.33</v>
      </c>
      <c r="Y237" s="9">
        <f t="shared" si="19"/>
        <v>3212.5</v>
      </c>
      <c r="AD237" s="4" t="s">
        <v>1007</v>
      </c>
      <c r="AE237" s="4" t="s">
        <v>1008</v>
      </c>
      <c r="AF237" s="4" t="s">
        <v>767</v>
      </c>
    </row>
    <row r="238" spans="1:35" ht="18" x14ac:dyDescent="0.3">
      <c r="A238" s="10" t="s">
        <v>1009</v>
      </c>
      <c r="B238" s="10"/>
      <c r="C238" s="24" t="s">
        <v>771</v>
      </c>
      <c r="D238" s="12"/>
      <c r="E238" s="12"/>
      <c r="F238" s="18" t="s">
        <v>87</v>
      </c>
      <c r="G238" s="19">
        <v>1</v>
      </c>
      <c r="H238" s="20"/>
      <c r="I238" s="20">
        <v>154.19999999999999</v>
      </c>
      <c r="J238" s="21">
        <v>15.76</v>
      </c>
      <c r="M238" s="22">
        <f>ROUND(ROUND(J238, 2)*I238, 2)</f>
        <v>2430.19</v>
      </c>
      <c r="P238" s="23">
        <v>15.76</v>
      </c>
      <c r="S238" s="22">
        <f>ROUND(ROUND(P238, 2)*I238, 2)</f>
        <v>2430.19</v>
      </c>
      <c r="V238" s="9">
        <f>ROUND(ROUND(P238, 2)/1.2, 2)</f>
        <v>13.13</v>
      </c>
      <c r="Y238" s="9">
        <f t="shared" si="19"/>
        <v>2025.16</v>
      </c>
      <c r="AD238" s="4" t="s">
        <v>1010</v>
      </c>
      <c r="AE238" s="4" t="s">
        <v>1011</v>
      </c>
      <c r="AF238" s="4" t="s">
        <v>774</v>
      </c>
    </row>
    <row r="239" spans="1:35" ht="18" x14ac:dyDescent="0.3">
      <c r="A239" s="10" t="s">
        <v>1012</v>
      </c>
      <c r="B239" s="10"/>
      <c r="C239" s="24" t="s">
        <v>956</v>
      </c>
      <c r="D239" s="12"/>
      <c r="E239" s="12"/>
      <c r="F239" s="18" t="s">
        <v>64</v>
      </c>
      <c r="G239" s="19">
        <v>1.1000000000000001</v>
      </c>
      <c r="H239" s="19"/>
      <c r="I239" s="19">
        <v>169.62</v>
      </c>
      <c r="J239" s="21">
        <v>26</v>
      </c>
      <c r="M239" s="22">
        <f>ROUND(ROUND(J239, 2)*I239, 2)</f>
        <v>4410.12</v>
      </c>
      <c r="P239" s="23">
        <v>26</v>
      </c>
      <c r="S239" s="22">
        <f>ROUND(ROUND(P239, 2)*I239, 2)</f>
        <v>4410.12</v>
      </c>
      <c r="V239" s="9">
        <f>ROUND(ROUND(P239, 2)/1.2, 2)</f>
        <v>21.67</v>
      </c>
      <c r="Y239" s="9">
        <f t="shared" si="19"/>
        <v>3675.1</v>
      </c>
      <c r="AD239" s="4" t="s">
        <v>1013</v>
      </c>
      <c r="AE239" s="4" t="s">
        <v>1014</v>
      </c>
      <c r="AF239" s="4" t="s">
        <v>959</v>
      </c>
    </row>
    <row r="240" spans="1:35" ht="18" x14ac:dyDescent="0.3">
      <c r="A240" s="10" t="s">
        <v>1015</v>
      </c>
      <c r="B240" s="10"/>
      <c r="C240" s="24" t="s">
        <v>948</v>
      </c>
      <c r="D240" s="12"/>
      <c r="E240" s="12"/>
      <c r="F240" s="18" t="s">
        <v>70</v>
      </c>
      <c r="G240" s="19">
        <v>1.3</v>
      </c>
      <c r="H240" s="20"/>
      <c r="I240" s="20">
        <v>8018.4</v>
      </c>
      <c r="J240" s="21">
        <v>8.6</v>
      </c>
      <c r="M240" s="22">
        <f>ROUND(ROUND(J240, 2)*I240, 2)</f>
        <v>68958.240000000005</v>
      </c>
      <c r="P240" s="23">
        <v>8.6</v>
      </c>
      <c r="S240" s="22">
        <f>ROUND(ROUND(P240, 2)*I240, 2)</f>
        <v>68958.240000000005</v>
      </c>
      <c r="V240" s="9">
        <f>ROUND(ROUND(P240, 2)/1.2, 2)</f>
        <v>7.17</v>
      </c>
      <c r="Y240" s="9">
        <f t="shared" si="19"/>
        <v>57465.2</v>
      </c>
      <c r="AD240" s="4" t="s">
        <v>1016</v>
      </c>
      <c r="AE240" s="4" t="s">
        <v>1017</v>
      </c>
      <c r="AF240" s="4" t="s">
        <v>952</v>
      </c>
    </row>
    <row r="241" spans="1:35" ht="72" x14ac:dyDescent="0.3">
      <c r="A241" s="10" t="s">
        <v>1018</v>
      </c>
      <c r="B241" s="10" t="s">
        <v>973</v>
      </c>
      <c r="C241" s="11" t="s">
        <v>974</v>
      </c>
      <c r="D241" s="12"/>
      <c r="E241" s="12" t="s">
        <v>1019</v>
      </c>
      <c r="F241" s="12" t="s">
        <v>64</v>
      </c>
      <c r="G241" s="13">
        <v>1</v>
      </c>
      <c r="H241" s="13"/>
      <c r="I241" s="13">
        <v>572.4</v>
      </c>
      <c r="J241" s="14">
        <f>IFERROR(ROUND(SUM(M242,M243,M244,M245)/I241, 2),0)</f>
        <v>504.88</v>
      </c>
      <c r="K241" s="15">
        <v>1067</v>
      </c>
      <c r="L241" s="14">
        <f>J241+ROUND(K241, 2)</f>
        <v>1571.88</v>
      </c>
      <c r="M241" s="14">
        <f>ROUND(J241*I241, 2)</f>
        <v>288993.31</v>
      </c>
      <c r="N241" s="14">
        <f>ROUND(I241*ROUND(K241, 2), 2)</f>
        <v>610750.80000000005</v>
      </c>
      <c r="O241" s="14">
        <f>M241+N241</f>
        <v>899744.11</v>
      </c>
      <c r="P241" s="14">
        <f>IFERROR(ROUND(SUM(S242,S243,S244,S245)/I241, 2),0)</f>
        <v>504.88</v>
      </c>
      <c r="Q241" s="16">
        <v>1067</v>
      </c>
      <c r="R241" s="14">
        <f>P241+ROUND(Q241, 2)</f>
        <v>1571.88</v>
      </c>
      <c r="S241" s="14">
        <f>ROUND(P241*I241, 2)</f>
        <v>288993.31</v>
      </c>
      <c r="T241" s="14">
        <f>ROUND(I241*ROUND(Q241, 2), 2)</f>
        <v>610750.80000000005</v>
      </c>
      <c r="U241" s="14">
        <f>S241+T241</f>
        <v>899744.11</v>
      </c>
      <c r="V241" s="9">
        <f>ROUND(P241 / 1.2, 2)</f>
        <v>420.73</v>
      </c>
      <c r="W241" s="9">
        <f>ROUND(Q241 / 1.2, 2)</f>
        <v>889.17</v>
      </c>
      <c r="X241" s="9">
        <f>ROUND(R241 / 1.2, 2)</f>
        <v>1309.9000000000001</v>
      </c>
      <c r="Y241" s="9">
        <f t="shared" si="19"/>
        <v>240827.76</v>
      </c>
      <c r="Z241" s="9">
        <f>ROUND(T241 / 1.2, 2)</f>
        <v>508959</v>
      </c>
      <c r="AA241" s="9">
        <f>Y241+Z241</f>
        <v>749786.76</v>
      </c>
      <c r="AD241" s="4">
        <v>271132187</v>
      </c>
      <c r="AE241" s="4">
        <v>19976811</v>
      </c>
      <c r="AG241" s="4" t="s">
        <v>976</v>
      </c>
      <c r="AH241" s="4" t="s">
        <v>977</v>
      </c>
      <c r="AI241" s="4" t="s">
        <v>67</v>
      </c>
    </row>
    <row r="242" spans="1:35" ht="36" x14ac:dyDescent="0.3">
      <c r="A242" s="10" t="s">
        <v>1020</v>
      </c>
      <c r="B242" s="10"/>
      <c r="C242" s="24" t="s">
        <v>433</v>
      </c>
      <c r="D242" s="12"/>
      <c r="E242" s="12"/>
      <c r="F242" s="18" t="s">
        <v>70</v>
      </c>
      <c r="G242" s="19">
        <v>0.15</v>
      </c>
      <c r="H242" s="19"/>
      <c r="I242" s="19">
        <v>85.86</v>
      </c>
      <c r="J242" s="21">
        <v>88.8</v>
      </c>
      <c r="M242" s="22">
        <f>ROUND(ROUND(J242, 2)*I242, 2)</f>
        <v>7624.37</v>
      </c>
      <c r="P242" s="23">
        <v>88.8</v>
      </c>
      <c r="S242" s="22">
        <f>ROUND(ROUND(P242, 2)*I242, 2)</f>
        <v>7624.37</v>
      </c>
      <c r="V242" s="9">
        <f>ROUND(ROUND(P242, 2)/1.2, 2)</f>
        <v>74</v>
      </c>
      <c r="Y242" s="9">
        <f t="shared" si="19"/>
        <v>6353.64</v>
      </c>
      <c r="AD242" s="4" t="s">
        <v>1021</v>
      </c>
      <c r="AE242" s="4" t="s">
        <v>1022</v>
      </c>
      <c r="AF242" s="4" t="s">
        <v>436</v>
      </c>
    </row>
    <row r="243" spans="1:35" ht="18" x14ac:dyDescent="0.3">
      <c r="A243" s="10" t="s">
        <v>1023</v>
      </c>
      <c r="B243" s="10"/>
      <c r="C243" s="24" t="s">
        <v>771</v>
      </c>
      <c r="D243" s="12"/>
      <c r="E243" s="12"/>
      <c r="F243" s="18" t="s">
        <v>87</v>
      </c>
      <c r="G243" s="19">
        <v>1</v>
      </c>
      <c r="H243" s="20"/>
      <c r="I243" s="20">
        <v>572.4</v>
      </c>
      <c r="J243" s="21">
        <v>15.76</v>
      </c>
      <c r="M243" s="22">
        <f>ROUND(ROUND(J243, 2)*I243, 2)</f>
        <v>9021.02</v>
      </c>
      <c r="P243" s="23">
        <v>15.76</v>
      </c>
      <c r="S243" s="22">
        <f>ROUND(ROUND(P243, 2)*I243, 2)</f>
        <v>9021.02</v>
      </c>
      <c r="V243" s="9">
        <f>ROUND(ROUND(P243, 2)/1.2, 2)</f>
        <v>13.13</v>
      </c>
      <c r="Y243" s="9">
        <f t="shared" si="19"/>
        <v>7517.52</v>
      </c>
      <c r="AD243" s="4" t="s">
        <v>1024</v>
      </c>
      <c r="AE243" s="4" t="s">
        <v>1025</v>
      </c>
      <c r="AF243" s="4" t="s">
        <v>774</v>
      </c>
    </row>
    <row r="244" spans="1:35" ht="18" x14ac:dyDescent="0.3">
      <c r="A244" s="10" t="s">
        <v>1026</v>
      </c>
      <c r="B244" s="10"/>
      <c r="C244" s="24" t="s">
        <v>956</v>
      </c>
      <c r="D244" s="12"/>
      <c r="E244" s="12"/>
      <c r="F244" s="18" t="s">
        <v>64</v>
      </c>
      <c r="G244" s="19">
        <v>1.1000000000000001</v>
      </c>
      <c r="H244" s="19"/>
      <c r="I244" s="19">
        <v>629.64</v>
      </c>
      <c r="J244" s="21">
        <v>26</v>
      </c>
      <c r="M244" s="22">
        <f>ROUND(ROUND(J244, 2)*I244, 2)</f>
        <v>16370.64</v>
      </c>
      <c r="P244" s="23">
        <v>26</v>
      </c>
      <c r="S244" s="22">
        <f>ROUND(ROUND(P244, 2)*I244, 2)</f>
        <v>16370.64</v>
      </c>
      <c r="V244" s="9">
        <f>ROUND(ROUND(P244, 2)/1.2, 2)</f>
        <v>21.67</v>
      </c>
      <c r="Y244" s="9">
        <f t="shared" si="19"/>
        <v>13642.2</v>
      </c>
      <c r="AD244" s="4" t="s">
        <v>1027</v>
      </c>
      <c r="AE244" s="4" t="s">
        <v>1028</v>
      </c>
      <c r="AF244" s="4" t="s">
        <v>959</v>
      </c>
    </row>
    <row r="245" spans="1:35" ht="18" x14ac:dyDescent="0.3">
      <c r="A245" s="10" t="s">
        <v>1029</v>
      </c>
      <c r="B245" s="10"/>
      <c r="C245" s="24" t="s">
        <v>948</v>
      </c>
      <c r="D245" s="12"/>
      <c r="E245" s="12"/>
      <c r="F245" s="18" t="s">
        <v>70</v>
      </c>
      <c r="G245" s="19">
        <v>1.3</v>
      </c>
      <c r="H245" s="20"/>
      <c r="I245" s="20">
        <v>29764.799999999999</v>
      </c>
      <c r="J245" s="21">
        <v>8.6</v>
      </c>
      <c r="M245" s="22">
        <f>ROUND(ROUND(J245, 2)*I245, 2)</f>
        <v>255977.28</v>
      </c>
      <c r="P245" s="23">
        <v>8.6</v>
      </c>
      <c r="S245" s="22">
        <f>ROUND(ROUND(P245, 2)*I245, 2)</f>
        <v>255977.28</v>
      </c>
      <c r="V245" s="9">
        <f>ROUND(ROUND(P245, 2)/1.2, 2)</f>
        <v>7.17</v>
      </c>
      <c r="Y245" s="9">
        <f t="shared" si="19"/>
        <v>213314.4</v>
      </c>
      <c r="AD245" s="4" t="s">
        <v>1030</v>
      </c>
      <c r="AE245" s="4" t="s">
        <v>1031</v>
      </c>
      <c r="AF245" s="4" t="s">
        <v>952</v>
      </c>
    </row>
    <row r="246" spans="1:35" ht="54" x14ac:dyDescent="0.3">
      <c r="A246" s="10" t="s">
        <v>1032</v>
      </c>
      <c r="B246" s="10" t="s">
        <v>1033</v>
      </c>
      <c r="C246" s="11" t="s">
        <v>1034</v>
      </c>
      <c r="D246" s="12"/>
      <c r="E246" s="12" t="s">
        <v>975</v>
      </c>
      <c r="F246" s="12" t="s">
        <v>64</v>
      </c>
      <c r="G246" s="13">
        <v>1</v>
      </c>
      <c r="H246" s="13"/>
      <c r="I246" s="13">
        <v>3617.6</v>
      </c>
      <c r="J246" s="14">
        <f>IFERROR(ROUND(SUM(M247,M248,M249)/I246, 2),0)</f>
        <v>368.76</v>
      </c>
      <c r="K246" s="15">
        <v>1073</v>
      </c>
      <c r="L246" s="14">
        <f>J246+ROUND(K246, 2)</f>
        <v>1441.76</v>
      </c>
      <c r="M246" s="14">
        <f>ROUND(J246*I246, 2)</f>
        <v>1334026.18</v>
      </c>
      <c r="N246" s="14">
        <f>ROUND(I246*ROUND(K246, 2), 2)</f>
        <v>3881684.8</v>
      </c>
      <c r="O246" s="14">
        <f>M246+N246</f>
        <v>5215710.9800000004</v>
      </c>
      <c r="P246" s="14">
        <f>IFERROR(ROUND(SUM(S247,S248,S249)/I246, 2),0)</f>
        <v>368.76</v>
      </c>
      <c r="Q246" s="16">
        <v>1073</v>
      </c>
      <c r="R246" s="14">
        <f>P246+ROUND(Q246, 2)</f>
        <v>1441.76</v>
      </c>
      <c r="S246" s="14">
        <f>ROUND(P246*I246, 2)</f>
        <v>1334026.18</v>
      </c>
      <c r="T246" s="14">
        <f>ROUND(I246*ROUND(Q246, 2), 2)</f>
        <v>3881684.8</v>
      </c>
      <c r="U246" s="14">
        <f>S246+T246</f>
        <v>5215710.9800000004</v>
      </c>
      <c r="V246" s="9">
        <f>ROUND(P246 / 1.2, 2)</f>
        <v>307.3</v>
      </c>
      <c r="W246" s="9">
        <f>ROUND(Q246 / 1.2, 2)</f>
        <v>894.17</v>
      </c>
      <c r="X246" s="9">
        <f>ROUND(R246 / 1.2, 2)</f>
        <v>1201.47</v>
      </c>
      <c r="Y246" s="9">
        <f t="shared" si="19"/>
        <v>1111688.48</v>
      </c>
      <c r="Z246" s="9">
        <f>ROUND(T246 / 1.2, 2)</f>
        <v>3234737.33</v>
      </c>
      <c r="AA246" s="9">
        <f>Y246+Z246</f>
        <v>4346425.8099999996</v>
      </c>
      <c r="AD246" s="4">
        <v>271132108</v>
      </c>
      <c r="AE246" s="4">
        <v>19976797</v>
      </c>
      <c r="AG246" s="4" t="s">
        <v>1035</v>
      </c>
      <c r="AH246" s="4" t="s">
        <v>1036</v>
      </c>
      <c r="AI246" s="4" t="s">
        <v>67</v>
      </c>
    </row>
    <row r="247" spans="1:35" ht="36" x14ac:dyDescent="0.3">
      <c r="A247" s="10" t="s">
        <v>1037</v>
      </c>
      <c r="B247" s="10"/>
      <c r="C247" s="17" t="s">
        <v>756</v>
      </c>
      <c r="D247" s="12"/>
      <c r="E247" s="12"/>
      <c r="F247" s="18" t="s">
        <v>70</v>
      </c>
      <c r="G247" s="19">
        <v>1</v>
      </c>
      <c r="H247" s="20"/>
      <c r="I247" s="20">
        <v>144704</v>
      </c>
      <c r="J247" s="21">
        <v>8.1999999999999993</v>
      </c>
      <c r="M247" s="22">
        <f>ROUND(ROUND(J247, 2)*I247, 2)</f>
        <v>1186572.8</v>
      </c>
      <c r="P247" s="23">
        <v>8.1999999999999993</v>
      </c>
      <c r="S247" s="22">
        <f>ROUND(ROUND(P247, 2)*I247, 2)</f>
        <v>1186572.8</v>
      </c>
      <c r="V247" s="9">
        <f>ROUND(ROUND(P247, 2)/1.2, 2)</f>
        <v>6.83</v>
      </c>
      <c r="Y247" s="9">
        <f t="shared" si="19"/>
        <v>988810.67</v>
      </c>
      <c r="AD247" s="4" t="s">
        <v>1038</v>
      </c>
      <c r="AE247" s="4" t="s">
        <v>1039</v>
      </c>
      <c r="AF247" s="4" t="s">
        <v>760</v>
      </c>
    </row>
    <row r="248" spans="1:35" ht="18" x14ac:dyDescent="0.3">
      <c r="A248" s="10" t="s">
        <v>1040</v>
      </c>
      <c r="B248" s="10"/>
      <c r="C248" s="24" t="s">
        <v>771</v>
      </c>
      <c r="D248" s="12"/>
      <c r="E248" s="12"/>
      <c r="F248" s="18" t="s">
        <v>87</v>
      </c>
      <c r="G248" s="19">
        <v>1</v>
      </c>
      <c r="H248" s="20"/>
      <c r="I248" s="20">
        <v>3617.6</v>
      </c>
      <c r="J248" s="21">
        <v>15.76</v>
      </c>
      <c r="M248" s="22">
        <f>ROUND(ROUND(J248, 2)*I248, 2)</f>
        <v>57013.38</v>
      </c>
      <c r="P248" s="23">
        <v>15.76</v>
      </c>
      <c r="S248" s="22">
        <f>ROUND(ROUND(P248, 2)*I248, 2)</f>
        <v>57013.38</v>
      </c>
      <c r="V248" s="9">
        <f>ROUND(ROUND(P248, 2)/1.2, 2)</f>
        <v>13.13</v>
      </c>
      <c r="Y248" s="9">
        <f t="shared" si="19"/>
        <v>47511.15</v>
      </c>
      <c r="AD248" s="4" t="s">
        <v>1041</v>
      </c>
      <c r="AE248" s="4" t="s">
        <v>1042</v>
      </c>
      <c r="AF248" s="4" t="s">
        <v>774</v>
      </c>
    </row>
    <row r="249" spans="1:35" ht="18" x14ac:dyDescent="0.3">
      <c r="A249" s="10" t="s">
        <v>1043</v>
      </c>
      <c r="B249" s="10"/>
      <c r="C249" s="24" t="s">
        <v>764</v>
      </c>
      <c r="D249" s="12"/>
      <c r="E249" s="12"/>
      <c r="F249" s="18" t="s">
        <v>70</v>
      </c>
      <c r="G249" s="19">
        <v>0.25</v>
      </c>
      <c r="H249" s="19"/>
      <c r="I249" s="19">
        <v>904.4</v>
      </c>
      <c r="J249" s="21">
        <v>100</v>
      </c>
      <c r="M249" s="22">
        <f>ROUND(ROUND(J249, 2)*I249, 2)</f>
        <v>90440</v>
      </c>
      <c r="P249" s="23">
        <v>100</v>
      </c>
      <c r="S249" s="22">
        <f>ROUND(ROUND(P249, 2)*I249, 2)</f>
        <v>90440</v>
      </c>
      <c r="V249" s="9">
        <f>ROUND(ROUND(P249, 2)/1.2, 2)</f>
        <v>83.33</v>
      </c>
      <c r="Y249" s="9">
        <f t="shared" si="19"/>
        <v>75366.67</v>
      </c>
      <c r="AD249" s="4" t="s">
        <v>1044</v>
      </c>
      <c r="AE249" s="4" t="s">
        <v>1045</v>
      </c>
      <c r="AF249" s="4" t="s">
        <v>767</v>
      </c>
    </row>
    <row r="250" spans="1:35" ht="54" x14ac:dyDescent="0.3">
      <c r="A250" s="10" t="s">
        <v>1046</v>
      </c>
      <c r="B250" s="10" t="s">
        <v>1033</v>
      </c>
      <c r="C250" s="11" t="s">
        <v>1034</v>
      </c>
      <c r="D250" s="12"/>
      <c r="E250" s="12" t="s">
        <v>991</v>
      </c>
      <c r="F250" s="12" t="s">
        <v>64</v>
      </c>
      <c r="G250" s="13">
        <v>1</v>
      </c>
      <c r="H250" s="13"/>
      <c r="I250" s="13">
        <v>4510.8</v>
      </c>
      <c r="J250" s="14">
        <f>IFERROR(ROUND(SUM(M251,M252,M253)/I250, 2),0)</f>
        <v>357.08</v>
      </c>
      <c r="K250" s="15">
        <v>1073</v>
      </c>
      <c r="L250" s="14">
        <f>J250+ROUND(K250, 2)</f>
        <v>1430.08</v>
      </c>
      <c r="M250" s="14">
        <f>ROUND(J250*I250, 2)</f>
        <v>1610716.46</v>
      </c>
      <c r="N250" s="14">
        <f>ROUND(I250*ROUND(K250, 2), 2)</f>
        <v>4840088.4000000004</v>
      </c>
      <c r="O250" s="14">
        <f>M250+N250</f>
        <v>6450804.8600000003</v>
      </c>
      <c r="P250" s="14">
        <f>IFERROR(ROUND(SUM(S251,S252,S253)/I250, 2),0)</f>
        <v>357.08</v>
      </c>
      <c r="Q250" s="16">
        <v>1073</v>
      </c>
      <c r="R250" s="14">
        <f>P250+ROUND(Q250, 2)</f>
        <v>1430.08</v>
      </c>
      <c r="S250" s="14">
        <f>ROUND(P250*I250, 2)</f>
        <v>1610716.46</v>
      </c>
      <c r="T250" s="14">
        <f>ROUND(I250*ROUND(Q250, 2), 2)</f>
        <v>4840088.4000000004</v>
      </c>
      <c r="U250" s="14">
        <f>S250+T250</f>
        <v>6450804.8600000003</v>
      </c>
      <c r="V250" s="9">
        <f>ROUND(P250 / 1.2, 2)</f>
        <v>297.57</v>
      </c>
      <c r="W250" s="9">
        <f>ROUND(Q250 / 1.2, 2)</f>
        <v>894.17</v>
      </c>
      <c r="X250" s="9">
        <f>ROUND(R250 / 1.2, 2)</f>
        <v>1191.73</v>
      </c>
      <c r="Y250" s="9">
        <f t="shared" si="19"/>
        <v>1342263.72</v>
      </c>
      <c r="Z250" s="9">
        <f>ROUND(T250 / 1.2, 2)</f>
        <v>4033407</v>
      </c>
      <c r="AA250" s="9">
        <f>Y250+Z250</f>
        <v>5375670.7199999997</v>
      </c>
      <c r="AD250" s="4">
        <v>271132188</v>
      </c>
      <c r="AE250" s="4">
        <v>19976798</v>
      </c>
      <c r="AG250" s="4" t="s">
        <v>1035</v>
      </c>
      <c r="AH250" s="4" t="s">
        <v>1036</v>
      </c>
      <c r="AI250" s="4" t="s">
        <v>67</v>
      </c>
    </row>
    <row r="251" spans="1:35" ht="36" x14ac:dyDescent="0.3">
      <c r="A251" s="10" t="s">
        <v>1047</v>
      </c>
      <c r="B251" s="10"/>
      <c r="C251" s="24" t="s">
        <v>433</v>
      </c>
      <c r="D251" s="12"/>
      <c r="E251" s="12"/>
      <c r="F251" s="18" t="s">
        <v>70</v>
      </c>
      <c r="G251" s="19">
        <v>0.15</v>
      </c>
      <c r="H251" s="20"/>
      <c r="I251" s="20">
        <v>676.62</v>
      </c>
      <c r="J251" s="21">
        <v>88.8</v>
      </c>
      <c r="M251" s="22">
        <f>ROUND(ROUND(J251, 2)*I251, 2)</f>
        <v>60083.86</v>
      </c>
      <c r="P251" s="23">
        <v>88.8</v>
      </c>
      <c r="S251" s="22">
        <f>ROUND(ROUND(P251, 2)*I251, 2)</f>
        <v>60083.86</v>
      </c>
      <c r="V251" s="9">
        <f>ROUND(ROUND(P251, 2)/1.2, 2)</f>
        <v>74</v>
      </c>
      <c r="Y251" s="9">
        <f t="shared" si="19"/>
        <v>50069.88</v>
      </c>
      <c r="AD251" s="4" t="s">
        <v>1048</v>
      </c>
      <c r="AE251" s="4" t="s">
        <v>1049</v>
      </c>
      <c r="AF251" s="4" t="s">
        <v>436</v>
      </c>
    </row>
    <row r="252" spans="1:35" ht="18" x14ac:dyDescent="0.3">
      <c r="A252" s="10" t="s">
        <v>1050</v>
      </c>
      <c r="B252" s="10"/>
      <c r="C252" s="24" t="s">
        <v>771</v>
      </c>
      <c r="D252" s="12"/>
      <c r="E252" s="12"/>
      <c r="F252" s="18" t="s">
        <v>87</v>
      </c>
      <c r="G252" s="19">
        <v>1</v>
      </c>
      <c r="H252" s="20"/>
      <c r="I252" s="20">
        <v>4510.8</v>
      </c>
      <c r="J252" s="21">
        <v>15.76</v>
      </c>
      <c r="M252" s="22">
        <f>ROUND(ROUND(J252, 2)*I252, 2)</f>
        <v>71090.210000000006</v>
      </c>
      <c r="P252" s="23">
        <v>15.76</v>
      </c>
      <c r="S252" s="22">
        <f>ROUND(ROUND(P252, 2)*I252, 2)</f>
        <v>71090.210000000006</v>
      </c>
      <c r="V252" s="9">
        <f>ROUND(ROUND(P252, 2)/1.2, 2)</f>
        <v>13.13</v>
      </c>
      <c r="Y252" s="9">
        <f t="shared" si="19"/>
        <v>59241.84</v>
      </c>
      <c r="AD252" s="4" t="s">
        <v>1051</v>
      </c>
      <c r="AE252" s="4" t="s">
        <v>1052</v>
      </c>
      <c r="AF252" s="4" t="s">
        <v>774</v>
      </c>
    </row>
    <row r="253" spans="1:35" ht="36" x14ac:dyDescent="0.3">
      <c r="A253" s="10" t="s">
        <v>1053</v>
      </c>
      <c r="B253" s="10"/>
      <c r="C253" s="17" t="s">
        <v>756</v>
      </c>
      <c r="D253" s="12"/>
      <c r="E253" s="12"/>
      <c r="F253" s="18" t="s">
        <v>70</v>
      </c>
      <c r="G253" s="19">
        <v>1</v>
      </c>
      <c r="H253" s="20"/>
      <c r="I253" s="20">
        <v>180432</v>
      </c>
      <c r="J253" s="21">
        <v>8.1999999999999993</v>
      </c>
      <c r="M253" s="22">
        <f>ROUND(ROUND(J253, 2)*I253, 2)</f>
        <v>1479542.4</v>
      </c>
      <c r="P253" s="23">
        <v>8.1999999999999993</v>
      </c>
      <c r="S253" s="22">
        <f>ROUND(ROUND(P253, 2)*I253, 2)</f>
        <v>1479542.4</v>
      </c>
      <c r="V253" s="9">
        <f>ROUND(ROUND(P253, 2)/1.2, 2)</f>
        <v>6.83</v>
      </c>
      <c r="Y253" s="9">
        <f t="shared" si="19"/>
        <v>1232952</v>
      </c>
      <c r="AD253" s="4" t="s">
        <v>1054</v>
      </c>
      <c r="AE253" s="4" t="s">
        <v>1055</v>
      </c>
      <c r="AF253" s="4" t="s">
        <v>760</v>
      </c>
    </row>
    <row r="254" spans="1:35" ht="54" x14ac:dyDescent="0.3">
      <c r="A254" s="10" t="s">
        <v>1056</v>
      </c>
      <c r="B254" s="10" t="s">
        <v>1033</v>
      </c>
      <c r="C254" s="11" t="s">
        <v>1034</v>
      </c>
      <c r="D254" s="12"/>
      <c r="E254" s="12" t="s">
        <v>1005</v>
      </c>
      <c r="F254" s="12" t="s">
        <v>64</v>
      </c>
      <c r="G254" s="13">
        <v>1</v>
      </c>
      <c r="H254" s="13"/>
      <c r="I254" s="13">
        <v>3125.2</v>
      </c>
      <c r="J254" s="14">
        <f>IFERROR(ROUND(SUM(M255,M256,M257)/I254, 2),0)</f>
        <v>368.76</v>
      </c>
      <c r="K254" s="15">
        <v>1073</v>
      </c>
      <c r="L254" s="14">
        <f>J254+ROUND(K254, 2)</f>
        <v>1441.76</v>
      </c>
      <c r="M254" s="14">
        <f>ROUND(J254*I254, 2)</f>
        <v>1152448.75</v>
      </c>
      <c r="N254" s="14">
        <f>ROUND(I254*ROUND(K254, 2), 2)</f>
        <v>3353339.6</v>
      </c>
      <c r="O254" s="14">
        <f>M254+N254</f>
        <v>4505788.3499999996</v>
      </c>
      <c r="P254" s="14">
        <f>IFERROR(ROUND(SUM(S255,S256,S257)/I254, 2),0)</f>
        <v>368.76</v>
      </c>
      <c r="Q254" s="16">
        <v>1073</v>
      </c>
      <c r="R254" s="14">
        <f>P254+ROUND(Q254, 2)</f>
        <v>1441.76</v>
      </c>
      <c r="S254" s="14">
        <f>ROUND(P254*I254, 2)</f>
        <v>1152448.75</v>
      </c>
      <c r="T254" s="14">
        <f>ROUND(I254*ROUND(Q254, 2), 2)</f>
        <v>3353339.6</v>
      </c>
      <c r="U254" s="14">
        <f>S254+T254</f>
        <v>4505788.3499999996</v>
      </c>
      <c r="V254" s="9">
        <f>ROUND(P254 / 1.2, 2)</f>
        <v>307.3</v>
      </c>
      <c r="W254" s="9">
        <f>ROUND(Q254 / 1.2, 2)</f>
        <v>894.17</v>
      </c>
      <c r="X254" s="9">
        <f>ROUND(R254 / 1.2, 2)</f>
        <v>1201.47</v>
      </c>
      <c r="Y254" s="9">
        <f t="shared" si="19"/>
        <v>960373.96</v>
      </c>
      <c r="Z254" s="9">
        <f>ROUND(T254 / 1.2, 2)</f>
        <v>2794449.67</v>
      </c>
      <c r="AA254" s="9">
        <f>Y254+Z254</f>
        <v>3754823.63</v>
      </c>
      <c r="AD254" s="4">
        <v>271132189</v>
      </c>
      <c r="AE254" s="4">
        <v>19976799</v>
      </c>
      <c r="AG254" s="4" t="s">
        <v>1035</v>
      </c>
      <c r="AH254" s="4" t="s">
        <v>1036</v>
      </c>
      <c r="AI254" s="4" t="s">
        <v>67</v>
      </c>
    </row>
    <row r="255" spans="1:35" ht="18" x14ac:dyDescent="0.3">
      <c r="A255" s="10" t="s">
        <v>1057</v>
      </c>
      <c r="B255" s="10"/>
      <c r="C255" s="24" t="s">
        <v>764</v>
      </c>
      <c r="D255" s="12"/>
      <c r="E255" s="12"/>
      <c r="F255" s="18" t="s">
        <v>70</v>
      </c>
      <c r="G255" s="19">
        <v>0.25</v>
      </c>
      <c r="H255" s="19"/>
      <c r="I255" s="19">
        <v>781.3</v>
      </c>
      <c r="J255" s="21">
        <v>100</v>
      </c>
      <c r="M255" s="22">
        <f>ROUND(ROUND(J255, 2)*I255, 2)</f>
        <v>78130</v>
      </c>
      <c r="P255" s="23">
        <v>100</v>
      </c>
      <c r="S255" s="22">
        <f>ROUND(ROUND(P255, 2)*I255, 2)</f>
        <v>78130</v>
      </c>
      <c r="V255" s="9">
        <f>ROUND(ROUND(P255, 2)/1.2, 2)</f>
        <v>83.33</v>
      </c>
      <c r="Y255" s="9">
        <f t="shared" si="19"/>
        <v>65108.33</v>
      </c>
      <c r="AD255" s="4" t="s">
        <v>1058</v>
      </c>
      <c r="AE255" s="4" t="s">
        <v>1059</v>
      </c>
      <c r="AF255" s="4" t="s">
        <v>767</v>
      </c>
    </row>
    <row r="256" spans="1:35" ht="18" x14ac:dyDescent="0.3">
      <c r="A256" s="10" t="s">
        <v>1060</v>
      </c>
      <c r="B256" s="10"/>
      <c r="C256" s="24" t="s">
        <v>771</v>
      </c>
      <c r="D256" s="12"/>
      <c r="E256" s="12"/>
      <c r="F256" s="18" t="s">
        <v>87</v>
      </c>
      <c r="G256" s="19">
        <v>1</v>
      </c>
      <c r="H256" s="20"/>
      <c r="I256" s="20">
        <v>3125.2</v>
      </c>
      <c r="J256" s="21">
        <v>15.76</v>
      </c>
      <c r="M256" s="22">
        <f>ROUND(ROUND(J256, 2)*I256, 2)</f>
        <v>49253.15</v>
      </c>
      <c r="P256" s="23">
        <v>15.76</v>
      </c>
      <c r="S256" s="22">
        <f>ROUND(ROUND(P256, 2)*I256, 2)</f>
        <v>49253.15</v>
      </c>
      <c r="V256" s="9">
        <f>ROUND(ROUND(P256, 2)/1.2, 2)</f>
        <v>13.13</v>
      </c>
      <c r="Y256" s="9">
        <f t="shared" si="19"/>
        <v>41044.29</v>
      </c>
      <c r="AD256" s="4" t="s">
        <v>1061</v>
      </c>
      <c r="AE256" s="4" t="s">
        <v>1062</v>
      </c>
      <c r="AF256" s="4" t="s">
        <v>774</v>
      </c>
    </row>
    <row r="257" spans="1:35" ht="36" x14ac:dyDescent="0.3">
      <c r="A257" s="10" t="s">
        <v>1063</v>
      </c>
      <c r="B257" s="10"/>
      <c r="C257" s="17" t="s">
        <v>756</v>
      </c>
      <c r="D257" s="12"/>
      <c r="E257" s="12"/>
      <c r="F257" s="18" t="s">
        <v>70</v>
      </c>
      <c r="G257" s="19">
        <v>1</v>
      </c>
      <c r="H257" s="20"/>
      <c r="I257" s="20">
        <v>125008</v>
      </c>
      <c r="J257" s="21">
        <v>8.1999999999999993</v>
      </c>
      <c r="M257" s="22">
        <f>ROUND(ROUND(J257, 2)*I257, 2)</f>
        <v>1025065.6</v>
      </c>
      <c r="P257" s="23">
        <v>8.1999999999999993</v>
      </c>
      <c r="S257" s="22">
        <f>ROUND(ROUND(P257, 2)*I257, 2)</f>
        <v>1025065.6</v>
      </c>
      <c r="V257" s="9">
        <f>ROUND(ROUND(P257, 2)/1.2, 2)</f>
        <v>6.83</v>
      </c>
      <c r="Y257" s="9">
        <f t="shared" si="19"/>
        <v>854221.33</v>
      </c>
      <c r="AD257" s="4" t="s">
        <v>1064</v>
      </c>
      <c r="AE257" s="4" t="s">
        <v>1065</v>
      </c>
      <c r="AF257" s="4" t="s">
        <v>760</v>
      </c>
    </row>
    <row r="258" spans="1:35" ht="54" x14ac:dyDescent="0.3">
      <c r="A258" s="10" t="s">
        <v>1066</v>
      </c>
      <c r="B258" s="10" t="s">
        <v>1033</v>
      </c>
      <c r="C258" s="11" t="s">
        <v>1034</v>
      </c>
      <c r="D258" s="12"/>
      <c r="E258" s="12" t="s">
        <v>1019</v>
      </c>
      <c r="F258" s="12" t="s">
        <v>64</v>
      </c>
      <c r="G258" s="13">
        <v>1</v>
      </c>
      <c r="H258" s="13"/>
      <c r="I258" s="13">
        <v>4248.8</v>
      </c>
      <c r="J258" s="14">
        <f>IFERROR(ROUND(SUM(M259,M260,M261)/I258, 2),0)</f>
        <v>357.08</v>
      </c>
      <c r="K258" s="15">
        <v>1073</v>
      </c>
      <c r="L258" s="14">
        <f>J258+ROUND(K258, 2)</f>
        <v>1430.08</v>
      </c>
      <c r="M258" s="14">
        <f>ROUND(J258*I258, 2)</f>
        <v>1517161.5</v>
      </c>
      <c r="N258" s="14">
        <f>ROUND(I258*ROUND(K258, 2), 2)</f>
        <v>4558962.4000000004</v>
      </c>
      <c r="O258" s="14">
        <f>M258+N258</f>
        <v>6076123.9000000004</v>
      </c>
      <c r="P258" s="14">
        <f>IFERROR(ROUND(SUM(S259,S260,S261)/I258, 2),0)</f>
        <v>357.08</v>
      </c>
      <c r="Q258" s="16">
        <v>1073</v>
      </c>
      <c r="R258" s="14">
        <f>P258+ROUND(Q258, 2)</f>
        <v>1430.08</v>
      </c>
      <c r="S258" s="14">
        <f>ROUND(P258*I258, 2)</f>
        <v>1517161.5</v>
      </c>
      <c r="T258" s="14">
        <f>ROUND(I258*ROUND(Q258, 2), 2)</f>
        <v>4558962.4000000004</v>
      </c>
      <c r="U258" s="14">
        <f>S258+T258</f>
        <v>6076123.9000000004</v>
      </c>
      <c r="V258" s="9">
        <f>ROUND(P258 / 1.2, 2)</f>
        <v>297.57</v>
      </c>
      <c r="W258" s="9">
        <f>ROUND(Q258 / 1.2, 2)</f>
        <v>894.17</v>
      </c>
      <c r="X258" s="9">
        <f>ROUND(R258 / 1.2, 2)</f>
        <v>1191.73</v>
      </c>
      <c r="Y258" s="9">
        <f t="shared" si="19"/>
        <v>1264301.25</v>
      </c>
      <c r="Z258" s="9">
        <f>ROUND(T258 / 1.2, 2)</f>
        <v>3799135.33</v>
      </c>
      <c r="AA258" s="9">
        <f>Y258+Z258</f>
        <v>5063436.58</v>
      </c>
      <c r="AD258" s="4">
        <v>271132190</v>
      </c>
      <c r="AE258" s="4">
        <v>19976800</v>
      </c>
      <c r="AG258" s="4" t="s">
        <v>1035</v>
      </c>
      <c r="AH258" s="4" t="s">
        <v>1036</v>
      </c>
      <c r="AI258" s="4" t="s">
        <v>67</v>
      </c>
    </row>
    <row r="259" spans="1:35" ht="36" x14ac:dyDescent="0.3">
      <c r="A259" s="10" t="s">
        <v>1067</v>
      </c>
      <c r="B259" s="10"/>
      <c r="C259" s="24" t="s">
        <v>433</v>
      </c>
      <c r="D259" s="12"/>
      <c r="E259" s="12"/>
      <c r="F259" s="18" t="s">
        <v>70</v>
      </c>
      <c r="G259" s="19">
        <v>0.15</v>
      </c>
      <c r="H259" s="20"/>
      <c r="I259" s="20">
        <v>637.32000000000005</v>
      </c>
      <c r="J259" s="21">
        <v>88.8</v>
      </c>
      <c r="M259" s="22">
        <f>ROUND(ROUND(J259, 2)*I259, 2)</f>
        <v>56594.02</v>
      </c>
      <c r="P259" s="23">
        <v>88.8</v>
      </c>
      <c r="S259" s="22">
        <f>ROUND(ROUND(P259, 2)*I259, 2)</f>
        <v>56594.02</v>
      </c>
      <c r="V259" s="9">
        <f>ROUND(ROUND(P259, 2)/1.2, 2)</f>
        <v>74</v>
      </c>
      <c r="Y259" s="9">
        <f t="shared" si="19"/>
        <v>47161.68</v>
      </c>
      <c r="AD259" s="4" t="s">
        <v>1068</v>
      </c>
      <c r="AE259" s="4" t="s">
        <v>1069</v>
      </c>
      <c r="AF259" s="4" t="s">
        <v>436</v>
      </c>
    </row>
    <row r="260" spans="1:35" ht="18" x14ac:dyDescent="0.3">
      <c r="A260" s="10" t="s">
        <v>1070</v>
      </c>
      <c r="B260" s="10"/>
      <c r="C260" s="24" t="s">
        <v>771</v>
      </c>
      <c r="D260" s="12"/>
      <c r="E260" s="12"/>
      <c r="F260" s="18" t="s">
        <v>87</v>
      </c>
      <c r="G260" s="19">
        <v>1</v>
      </c>
      <c r="H260" s="20"/>
      <c r="I260" s="20">
        <v>4248.8</v>
      </c>
      <c r="J260" s="21">
        <v>15.76</v>
      </c>
      <c r="M260" s="22">
        <f>ROUND(ROUND(J260, 2)*I260, 2)</f>
        <v>66961.09</v>
      </c>
      <c r="P260" s="23">
        <v>15.76</v>
      </c>
      <c r="S260" s="22">
        <f>ROUND(ROUND(P260, 2)*I260, 2)</f>
        <v>66961.09</v>
      </c>
      <c r="V260" s="9">
        <f>ROUND(ROUND(P260, 2)/1.2, 2)</f>
        <v>13.13</v>
      </c>
      <c r="Y260" s="9">
        <f t="shared" si="19"/>
        <v>55800.91</v>
      </c>
      <c r="AD260" s="4" t="s">
        <v>1071</v>
      </c>
      <c r="AE260" s="4" t="s">
        <v>1072</v>
      </c>
      <c r="AF260" s="4" t="s">
        <v>774</v>
      </c>
    </row>
    <row r="261" spans="1:35" ht="36" x14ac:dyDescent="0.3">
      <c r="A261" s="10" t="s">
        <v>1073</v>
      </c>
      <c r="B261" s="10"/>
      <c r="C261" s="17" t="s">
        <v>756</v>
      </c>
      <c r="D261" s="12"/>
      <c r="E261" s="12"/>
      <c r="F261" s="18" t="s">
        <v>70</v>
      </c>
      <c r="G261" s="19">
        <v>1</v>
      </c>
      <c r="H261" s="20"/>
      <c r="I261" s="20">
        <v>169952</v>
      </c>
      <c r="J261" s="21">
        <v>8.1999999999999993</v>
      </c>
      <c r="M261" s="22">
        <f>ROUND(ROUND(J261, 2)*I261, 2)</f>
        <v>1393606.4</v>
      </c>
      <c r="P261" s="23">
        <v>8.1999999999999993</v>
      </c>
      <c r="S261" s="22">
        <f>ROUND(ROUND(P261, 2)*I261, 2)</f>
        <v>1393606.4</v>
      </c>
      <c r="V261" s="9">
        <f>ROUND(ROUND(P261, 2)/1.2, 2)</f>
        <v>6.83</v>
      </c>
      <c r="Y261" s="9">
        <f t="shared" si="19"/>
        <v>1161338.67</v>
      </c>
      <c r="AD261" s="4" t="s">
        <v>1074</v>
      </c>
      <c r="AE261" s="4" t="s">
        <v>1075</v>
      </c>
      <c r="AF261" s="4" t="s">
        <v>760</v>
      </c>
    </row>
    <row r="262" spans="1:35" ht="17.100000000000001" customHeight="1" x14ac:dyDescent="0.3">
      <c r="A262" s="10" t="s">
        <v>1076</v>
      </c>
      <c r="B262" s="10" t="s">
        <v>1077</v>
      </c>
      <c r="C262" s="185" t="s">
        <v>1078</v>
      </c>
      <c r="D262" s="186"/>
      <c r="E262" s="186"/>
      <c r="F262" s="186"/>
      <c r="G262" s="186"/>
      <c r="H262" s="186"/>
      <c r="I262" s="187"/>
      <c r="M262" s="6">
        <f>SUM(M263,M269,M275,M278,M281,M284,M287,M290,M293,M296,M299,M302,M305,M308,M311,M314,M317,M320,M323,M326,M329,M332,M335,M338,M341,M344,M347,M350,M353,M356,M359,M362,M367,M372,M377,M381,M386,M390,M396,M402,M407,M412,M417,M422,M427,M433,M438)</f>
        <v>2460235.5099999998</v>
      </c>
      <c r="N262" s="6">
        <f>SUM(N263,N269,N275,N278,N281,N284,N287,N290,N293,N296,N299,N302,N305,N308,N311,N314,N317,N320,N323,N326,N329,N332,N335,N338,N341,N344,N347,N350,N353,N356,N359,N362,N367,N372,N377,N381,N386,N390,N396,N402,N407,N412,N417,N422,N427,N433,N438)</f>
        <v>10285693.439999999</v>
      </c>
      <c r="O262" s="6">
        <f>SUM(O263,O269,O275,O278,O281,O284,O287,O290,O293,O296,O299,O302,O305,O308,O311,O314,O317,O320,O323,O326,O329,O332,O335,O338,O341,O344,O347,O350,O353,O356,O359,O362,O367,O372,O377,O381,O386,O390,O396,O402,O407,O412,O417,O422,O427,O433,O438)</f>
        <v>12745928.949999999</v>
      </c>
      <c r="S262" s="6">
        <f>SUM(S263,S269,S275,S278,S281,S284,S287,S290,S293,S296,S299,S302,S305,S308,S311,S314,S317,S320,S323,S326,S329,S332,S335,S338,S341,S344,S347,S350,S353,S356,S359,S362,S367,S372,S377,S381,S386,S390,S396,S402,S407,S412,S417,S422,S427,S433,S438)</f>
        <v>2460235.5099999998</v>
      </c>
      <c r="T262" s="6">
        <f>SUM(T263,T269,T275,T278,T281,T284,T287,T290,T293,T296,T299,T302,T305,T308,T311,T314,T317,T320,T323,T326,T329,T332,T335,T338,T341,T344,T347,T350,T353,T356,T359,T362,T367,T372,T377,T381,T386,T390,T396,T402,T407,T412,T417,T422,T427,T433,T438)</f>
        <v>10285693.439999999</v>
      </c>
      <c r="U262" s="6">
        <f>SUM(U263,U269,U275,U278,U281,U284,U287,U290,U293,U296,U299,U302,U305,U308,U311,U314,U317,U320,U323,U326,U329,U332,U335,U338,U341,U344,U347,U350,U353,U356,U359,U362,U367,U372,U377,U381,U386,U390,U396,U402,U407,U412,U417,U422,U427,U433,U438)</f>
        <v>12745928.949999999</v>
      </c>
      <c r="Y262" s="9">
        <f>SUM(Y263,Y269,Y275,Y278,Y281,Y284,Y287,Y290,Y293,Y296,Y299,Y302,Y305,Y308,Y311,Y314,Y317,Y320,Y323,Y326,Y329,Y332,Y335,Y338,Y341,Y344,Y347,Y350,Y353,Y356,Y359,Y362,Y367,Y372,Y377,Y381,Y386,Y390,Y396,Y402,Y407,Y412,Y417,Y422,Y427,Y433,Y438)</f>
        <v>2050196.29</v>
      </c>
      <c r="Z262" s="9">
        <f>SUM(Z263,Z269,Z275,Z278,Z281,Z284,Z287,Z290,Z293,Z296,Z299,Z302,Z305,Z308,Z311,Z314,Z317,Z320,Z323,Z326,Z329,Z332,Z335,Z338,Z341,Z344,Z347,Z350,Z353,Z356,Z359,Z362,Z367,Z372,Z377,Z381,Z386,Z390,Z396,Z402,Z407,Z412,Z417,Z422,Z427,Z433,Z438)</f>
        <v>8571411.2100000009</v>
      </c>
      <c r="AA262" s="9">
        <f>SUM(AA263,AA269,AA275,AA278,AA281,AA284,AA287,AA290,AA293,AA296,AA299,AA302,AA305,AA308,AA311,AA314,AA317,AA320,AA323,AA326,AA329,AA332,AA335,AA338,AA341,AA344,AA347,AA350,AA353,AA356,AA359,AA362,AA367,AA372,AA377,AA381,AA386,AA390,AA396,AA402,AA407,AA412,AA417,AA422,AA427,AA433,AA438)</f>
        <v>10621607.5</v>
      </c>
      <c r="AD262" s="4">
        <v>271132109</v>
      </c>
      <c r="AE262" s="4">
        <v>16211525</v>
      </c>
    </row>
    <row r="263" spans="1:35" ht="54" x14ac:dyDescent="0.3">
      <c r="A263" s="10" t="s">
        <v>1079</v>
      </c>
      <c r="B263" s="10" t="s">
        <v>1080</v>
      </c>
      <c r="C263" s="11" t="s">
        <v>1081</v>
      </c>
      <c r="D263" s="12"/>
      <c r="E263" s="12" t="s">
        <v>63</v>
      </c>
      <c r="F263" s="12" t="s">
        <v>64</v>
      </c>
      <c r="G263" s="13">
        <v>1</v>
      </c>
      <c r="H263" s="13"/>
      <c r="I263" s="13">
        <v>0</v>
      </c>
      <c r="J263" s="14">
        <f>IFERROR(ROUND(SUM(M264,M265,M266,M267,M268)/I263, 2),0)</f>
        <v>0</v>
      </c>
      <c r="K263" s="15">
        <v>1869</v>
      </c>
      <c r="L263" s="14">
        <f>J263+ROUND(K263, 2)</f>
        <v>1869</v>
      </c>
      <c r="M263" s="14">
        <f>ROUND(J263*I263, 2)</f>
        <v>0</v>
      </c>
      <c r="N263" s="14">
        <f>ROUND(I263*ROUND(K263, 2), 2)</f>
        <v>0</v>
      </c>
      <c r="O263" s="14">
        <f>M263+N263</f>
        <v>0</v>
      </c>
      <c r="P263" s="14">
        <f>IFERROR(ROUND(SUM(S264,S265,S266,S267,S268)/I263, 2),0)</f>
        <v>0</v>
      </c>
      <c r="Q263" s="15">
        <v>1869</v>
      </c>
      <c r="R263" s="14">
        <f>P263+ROUND(Q263, 2)</f>
        <v>1869</v>
      </c>
      <c r="S263" s="14">
        <f>ROUND(P263*I263, 2)</f>
        <v>0</v>
      </c>
      <c r="T263" s="14">
        <f>ROUND(I263*ROUND(Q263, 2), 2)</f>
        <v>0</v>
      </c>
      <c r="U263" s="14">
        <f>S263+T263</f>
        <v>0</v>
      </c>
      <c r="V263" s="9">
        <f>ROUND(P263 / 1.2, 2)</f>
        <v>0</v>
      </c>
      <c r="W263" s="9">
        <f>ROUND(Q263 / 1.2, 2)</f>
        <v>1557.5</v>
      </c>
      <c r="X263" s="9">
        <f>ROUND(R263 / 1.2, 2)</f>
        <v>1557.5</v>
      </c>
      <c r="Y263" s="9">
        <f>ROUND(S263 / 1.2, 2)</f>
        <v>0</v>
      </c>
      <c r="Z263" s="9">
        <f>ROUND(T263 / 1.2, 2)</f>
        <v>0</v>
      </c>
      <c r="AA263" s="9">
        <f>Y263+Z263</f>
        <v>0</v>
      </c>
      <c r="AD263" s="4">
        <v>271132111</v>
      </c>
      <c r="AE263" s="4">
        <v>16211621</v>
      </c>
      <c r="AG263" s="4" t="s">
        <v>1082</v>
      </c>
      <c r="AH263" s="4" t="s">
        <v>1083</v>
      </c>
      <c r="AI263" s="4" t="s">
        <v>67</v>
      </c>
    </row>
    <row r="264" spans="1:35" ht="36" x14ac:dyDescent="0.3">
      <c r="A264" s="10" t="s">
        <v>1085</v>
      </c>
      <c r="B264" s="10"/>
      <c r="C264" s="24" t="s">
        <v>1086</v>
      </c>
      <c r="D264" s="12"/>
      <c r="E264" s="12"/>
      <c r="F264" s="18" t="s">
        <v>87</v>
      </c>
      <c r="G264" s="19">
        <v>0.23</v>
      </c>
      <c r="H264" s="20"/>
      <c r="I264" s="20">
        <v>0</v>
      </c>
      <c r="J264" s="21">
        <v>97.71</v>
      </c>
      <c r="M264" s="22">
        <f>ROUND(ROUND(J264, 2)*I264, 2)</f>
        <v>0</v>
      </c>
      <c r="P264" s="21">
        <v>97.71</v>
      </c>
      <c r="S264" s="22">
        <f>ROUND(ROUND(P264, 2)*I264, 2)</f>
        <v>0</v>
      </c>
      <c r="V264" s="9">
        <f>ROUND(ROUND(P264, 2)/1.2, 2)</f>
        <v>81.430000000000007</v>
      </c>
      <c r="Y264" s="9">
        <f t="shared" ref="Y264:Y295" si="20">ROUND(S264 / 1.2, 2)</f>
        <v>0</v>
      </c>
      <c r="AD264" s="4" t="s">
        <v>1087</v>
      </c>
      <c r="AE264" s="4" t="s">
        <v>1088</v>
      </c>
      <c r="AF264" s="4" t="s">
        <v>1089</v>
      </c>
    </row>
    <row r="265" spans="1:35" ht="54" x14ac:dyDescent="0.3">
      <c r="A265" s="10" t="s">
        <v>1092</v>
      </c>
      <c r="B265" s="10"/>
      <c r="C265" s="17" t="s">
        <v>601</v>
      </c>
      <c r="D265" s="12"/>
      <c r="E265" s="12" t="s">
        <v>402</v>
      </c>
      <c r="F265" s="18" t="s">
        <v>70</v>
      </c>
      <c r="G265" s="19">
        <v>1.2</v>
      </c>
      <c r="H265" s="20"/>
      <c r="I265" s="20">
        <v>0</v>
      </c>
      <c r="J265" s="21">
        <v>12.33</v>
      </c>
      <c r="M265" s="22">
        <f>ROUND(ROUND(J265, 2)*I265, 2)</f>
        <v>0</v>
      </c>
      <c r="P265" s="21">
        <v>12.33</v>
      </c>
      <c r="S265" s="22">
        <f>ROUND(ROUND(P265, 2)*I265, 2)</f>
        <v>0</v>
      </c>
      <c r="V265" s="9">
        <f>ROUND(ROUND(P265, 2)/1.2, 2)</f>
        <v>10.28</v>
      </c>
      <c r="Y265" s="9">
        <f t="shared" si="20"/>
        <v>0</v>
      </c>
      <c r="AD265" s="4" t="s">
        <v>1093</v>
      </c>
      <c r="AE265" s="4" t="s">
        <v>1094</v>
      </c>
      <c r="AF265" s="4" t="s">
        <v>604</v>
      </c>
    </row>
    <row r="266" spans="1:35" ht="90" x14ac:dyDescent="0.3">
      <c r="A266" s="10" t="s">
        <v>1097</v>
      </c>
      <c r="B266" s="10"/>
      <c r="C266" s="17" t="s">
        <v>1098</v>
      </c>
      <c r="D266" s="12"/>
      <c r="E266" s="12" t="s">
        <v>1099</v>
      </c>
      <c r="F266" s="18" t="s">
        <v>64</v>
      </c>
      <c r="G266" s="19">
        <v>1.07</v>
      </c>
      <c r="H266" s="20"/>
      <c r="I266" s="20">
        <v>0</v>
      </c>
      <c r="J266" s="21">
        <v>1279.95</v>
      </c>
      <c r="M266" s="22">
        <f>ROUND(ROUND(J266, 2)*I266, 2)</f>
        <v>0</v>
      </c>
      <c r="P266" s="21">
        <v>637.79999999999995</v>
      </c>
      <c r="S266" s="22">
        <f>ROUND(ROUND(P266, 2)*I266, 2)</f>
        <v>0</v>
      </c>
      <c r="V266" s="9">
        <f>ROUND(ROUND(P266, 2)/1.2, 2)</f>
        <v>531.5</v>
      </c>
      <c r="Y266" s="9">
        <f t="shared" si="20"/>
        <v>0</v>
      </c>
      <c r="AD266" s="4" t="s">
        <v>1100</v>
      </c>
      <c r="AE266" s="4" t="s">
        <v>1101</v>
      </c>
      <c r="AF266" s="4" t="s">
        <v>1102</v>
      </c>
    </row>
    <row r="267" spans="1:35" ht="18" x14ac:dyDescent="0.3">
      <c r="A267" s="10" t="s">
        <v>1105</v>
      </c>
      <c r="B267" s="10"/>
      <c r="C267" s="24" t="s">
        <v>426</v>
      </c>
      <c r="D267" s="12"/>
      <c r="E267" s="12"/>
      <c r="F267" s="18" t="s">
        <v>70</v>
      </c>
      <c r="G267" s="19">
        <v>0.25</v>
      </c>
      <c r="H267" s="20"/>
      <c r="I267" s="20">
        <v>0</v>
      </c>
      <c r="J267" s="21">
        <v>40.270000000000003</v>
      </c>
      <c r="M267" s="22">
        <f>ROUND(ROUND(J267, 2)*I267, 2)</f>
        <v>0</v>
      </c>
      <c r="P267" s="21">
        <v>40.270000000000003</v>
      </c>
      <c r="S267" s="22">
        <f>ROUND(ROUND(P267, 2)*I267, 2)</f>
        <v>0</v>
      </c>
      <c r="V267" s="9">
        <f>ROUND(ROUND(P267, 2)/1.2, 2)</f>
        <v>33.56</v>
      </c>
      <c r="Y267" s="9">
        <f t="shared" si="20"/>
        <v>0</v>
      </c>
      <c r="AD267" s="4" t="s">
        <v>1106</v>
      </c>
      <c r="AE267" s="4" t="s">
        <v>1107</v>
      </c>
      <c r="AF267" s="4" t="s">
        <v>429</v>
      </c>
    </row>
    <row r="268" spans="1:35" ht="36" x14ac:dyDescent="0.3">
      <c r="A268" s="10" t="s">
        <v>1110</v>
      </c>
      <c r="B268" s="10"/>
      <c r="C268" s="24" t="s">
        <v>452</v>
      </c>
      <c r="D268" s="12"/>
      <c r="E268" s="12"/>
      <c r="F268" s="18" t="s">
        <v>70</v>
      </c>
      <c r="G268" s="19">
        <v>0.15</v>
      </c>
      <c r="H268" s="19"/>
      <c r="I268" s="19">
        <v>0</v>
      </c>
      <c r="J268" s="21">
        <v>68.400000000000006</v>
      </c>
      <c r="M268" s="22">
        <f>ROUND(ROUND(J268, 2)*I268, 2)</f>
        <v>0</v>
      </c>
      <c r="P268" s="21">
        <v>68.400000000000006</v>
      </c>
      <c r="S268" s="22">
        <f>ROUND(ROUND(P268, 2)*I268, 2)</f>
        <v>0</v>
      </c>
      <c r="V268" s="9">
        <f>ROUND(ROUND(P268, 2)/1.2, 2)</f>
        <v>57</v>
      </c>
      <c r="Y268" s="9">
        <f t="shared" si="20"/>
        <v>0</v>
      </c>
      <c r="AD268" s="4" t="s">
        <v>1111</v>
      </c>
      <c r="AE268" s="4" t="s">
        <v>1112</v>
      </c>
      <c r="AF268" s="4" t="s">
        <v>456</v>
      </c>
    </row>
    <row r="269" spans="1:35" ht="54" x14ac:dyDescent="0.3">
      <c r="A269" s="10" t="s">
        <v>1115</v>
      </c>
      <c r="B269" s="10" t="s">
        <v>1080</v>
      </c>
      <c r="C269" s="11" t="s">
        <v>1081</v>
      </c>
      <c r="D269" s="12"/>
      <c r="E269" s="12" t="s">
        <v>63</v>
      </c>
      <c r="F269" s="12" t="s">
        <v>64</v>
      </c>
      <c r="G269" s="13">
        <v>1</v>
      </c>
      <c r="H269" s="13"/>
      <c r="I269" s="13">
        <v>0</v>
      </c>
      <c r="J269" s="14">
        <f>IFERROR(ROUND(SUM(M270,M271,M272,M273,M274)/I269, 2),0)</f>
        <v>0</v>
      </c>
      <c r="K269" s="15">
        <v>1869</v>
      </c>
      <c r="L269" s="14">
        <f>J269+ROUND(K269, 2)</f>
        <v>1869</v>
      </c>
      <c r="M269" s="14">
        <f>ROUND(J269*I269, 2)</f>
        <v>0</v>
      </c>
      <c r="N269" s="14">
        <f>ROUND(I269*ROUND(K269, 2), 2)</f>
        <v>0</v>
      </c>
      <c r="O269" s="14">
        <f>M269+N269</f>
        <v>0</v>
      </c>
      <c r="P269" s="14">
        <f>IFERROR(ROUND(SUM(S270,S271,S272,S273,S274)/I269, 2),0)</f>
        <v>0</v>
      </c>
      <c r="Q269" s="15">
        <v>1869</v>
      </c>
      <c r="R269" s="14">
        <f>P269+ROUND(Q269, 2)</f>
        <v>1869</v>
      </c>
      <c r="S269" s="14">
        <f>ROUND(P269*I269, 2)</f>
        <v>0</v>
      </c>
      <c r="T269" s="14">
        <f>ROUND(I269*ROUND(Q269, 2), 2)</f>
        <v>0</v>
      </c>
      <c r="U269" s="14">
        <f>S269+T269</f>
        <v>0</v>
      </c>
      <c r="V269" s="9">
        <f>ROUND(P269 / 1.2, 2)</f>
        <v>0</v>
      </c>
      <c r="W269" s="9">
        <f>ROUND(Q269 / 1.2, 2)</f>
        <v>1557.5</v>
      </c>
      <c r="X269" s="9">
        <f>ROUND(R269 / 1.2, 2)</f>
        <v>1557.5</v>
      </c>
      <c r="Y269" s="9">
        <f t="shared" si="20"/>
        <v>0</v>
      </c>
      <c r="Z269" s="9">
        <f>ROUND(T269 / 1.2, 2)</f>
        <v>0</v>
      </c>
      <c r="AA269" s="9">
        <f>Y269+Z269</f>
        <v>0</v>
      </c>
      <c r="AD269" s="4">
        <v>271132191</v>
      </c>
      <c r="AE269" s="4">
        <v>16211622</v>
      </c>
      <c r="AG269" s="4" t="s">
        <v>1082</v>
      </c>
      <c r="AH269" s="4" t="s">
        <v>1083</v>
      </c>
      <c r="AI269" s="4" t="s">
        <v>67</v>
      </c>
    </row>
    <row r="270" spans="1:35" ht="36" x14ac:dyDescent="0.3">
      <c r="A270" s="10" t="s">
        <v>1117</v>
      </c>
      <c r="B270" s="10"/>
      <c r="C270" s="24" t="s">
        <v>452</v>
      </c>
      <c r="D270" s="12"/>
      <c r="E270" s="12"/>
      <c r="F270" s="18" t="s">
        <v>70</v>
      </c>
      <c r="G270" s="19">
        <v>0.15</v>
      </c>
      <c r="H270" s="19"/>
      <c r="I270" s="19">
        <v>0</v>
      </c>
      <c r="J270" s="21">
        <v>68.400000000000006</v>
      </c>
      <c r="M270" s="22">
        <f>ROUND(ROUND(J270, 2)*I270, 2)</f>
        <v>0</v>
      </c>
      <c r="P270" s="21">
        <v>68.400000000000006</v>
      </c>
      <c r="S270" s="22">
        <f>ROUND(ROUND(P270, 2)*I270, 2)</f>
        <v>0</v>
      </c>
      <c r="V270" s="9">
        <f>ROUND(ROUND(P270, 2)/1.2, 2)</f>
        <v>57</v>
      </c>
      <c r="Y270" s="9">
        <f t="shared" si="20"/>
        <v>0</v>
      </c>
      <c r="AD270" s="4" t="s">
        <v>1118</v>
      </c>
      <c r="AE270" s="4" t="s">
        <v>1119</v>
      </c>
      <c r="AF270" s="4" t="s">
        <v>456</v>
      </c>
    </row>
    <row r="271" spans="1:35" ht="18" x14ac:dyDescent="0.3">
      <c r="A271" s="10" t="s">
        <v>1122</v>
      </c>
      <c r="B271" s="10"/>
      <c r="C271" s="24" t="s">
        <v>1123</v>
      </c>
      <c r="D271" s="12"/>
      <c r="E271" s="12" t="s">
        <v>1124</v>
      </c>
      <c r="F271" s="18" t="s">
        <v>70</v>
      </c>
      <c r="G271" s="19">
        <v>0.25</v>
      </c>
      <c r="H271" s="20"/>
      <c r="I271" s="20">
        <v>0</v>
      </c>
      <c r="J271" s="21">
        <v>40.270000000000003</v>
      </c>
      <c r="M271" s="22">
        <f>ROUND(ROUND(J271, 2)*I271, 2)</f>
        <v>0</v>
      </c>
      <c r="P271" s="21">
        <v>40.270000000000003</v>
      </c>
      <c r="S271" s="22">
        <f>ROUND(ROUND(P271, 2)*I271, 2)</f>
        <v>0</v>
      </c>
      <c r="V271" s="9">
        <f>ROUND(ROUND(P271, 2)/1.2, 2)</f>
        <v>33.56</v>
      </c>
      <c r="Y271" s="9">
        <f t="shared" si="20"/>
        <v>0</v>
      </c>
      <c r="AD271" s="4" t="s">
        <v>1125</v>
      </c>
      <c r="AE271" s="4" t="s">
        <v>1126</v>
      </c>
      <c r="AF271" s="4" t="s">
        <v>1127</v>
      </c>
    </row>
    <row r="272" spans="1:35" ht="72" x14ac:dyDescent="0.3">
      <c r="A272" s="10" t="s">
        <v>1130</v>
      </c>
      <c r="B272" s="10"/>
      <c r="C272" s="24" t="s">
        <v>1131</v>
      </c>
      <c r="D272" s="12"/>
      <c r="E272" s="12" t="s">
        <v>1132</v>
      </c>
      <c r="F272" s="18" t="s">
        <v>64</v>
      </c>
      <c r="G272" s="19">
        <v>1.07</v>
      </c>
      <c r="H272" s="20"/>
      <c r="I272" s="20">
        <v>0</v>
      </c>
      <c r="J272" s="21">
        <v>1374.45</v>
      </c>
      <c r="M272" s="22">
        <f>ROUND(ROUND(J272, 2)*I272, 2)</f>
        <v>0</v>
      </c>
      <c r="P272" s="21">
        <v>837.4</v>
      </c>
      <c r="S272" s="22">
        <f>ROUND(ROUND(P272, 2)*I272, 2)</f>
        <v>0</v>
      </c>
      <c r="V272" s="9">
        <f>ROUND(ROUND(P272, 2)/1.2, 2)</f>
        <v>697.83</v>
      </c>
      <c r="Y272" s="9">
        <f t="shared" si="20"/>
        <v>0</v>
      </c>
      <c r="AD272" s="4" t="s">
        <v>1133</v>
      </c>
      <c r="AE272" s="4" t="s">
        <v>1134</v>
      </c>
      <c r="AF272" s="4" t="s">
        <v>1135</v>
      </c>
    </row>
    <row r="273" spans="1:35" ht="54" x14ac:dyDescent="0.3">
      <c r="A273" s="10" t="s">
        <v>1138</v>
      </c>
      <c r="B273" s="10"/>
      <c r="C273" s="17" t="s">
        <v>601</v>
      </c>
      <c r="D273" s="12"/>
      <c r="E273" s="12" t="s">
        <v>402</v>
      </c>
      <c r="F273" s="18" t="s">
        <v>70</v>
      </c>
      <c r="G273" s="19">
        <v>1.2</v>
      </c>
      <c r="H273" s="20"/>
      <c r="I273" s="20">
        <v>0</v>
      </c>
      <c r="J273" s="21">
        <v>12.33</v>
      </c>
      <c r="M273" s="22">
        <f>ROUND(ROUND(J273, 2)*I273, 2)</f>
        <v>0</v>
      </c>
      <c r="P273" s="21">
        <v>12.33</v>
      </c>
      <c r="S273" s="22">
        <f>ROUND(ROUND(P273, 2)*I273, 2)</f>
        <v>0</v>
      </c>
      <c r="V273" s="9">
        <f>ROUND(ROUND(P273, 2)/1.2, 2)</f>
        <v>10.28</v>
      </c>
      <c r="Y273" s="9">
        <f t="shared" si="20"/>
        <v>0</v>
      </c>
      <c r="AD273" s="4" t="s">
        <v>1139</v>
      </c>
      <c r="AE273" s="4" t="s">
        <v>1140</v>
      </c>
      <c r="AF273" s="4" t="s">
        <v>604</v>
      </c>
    </row>
    <row r="274" spans="1:35" ht="36" x14ac:dyDescent="0.3">
      <c r="A274" s="10" t="s">
        <v>1143</v>
      </c>
      <c r="B274" s="10"/>
      <c r="C274" s="24" t="s">
        <v>1086</v>
      </c>
      <c r="D274" s="12"/>
      <c r="E274" s="12"/>
      <c r="F274" s="18" t="s">
        <v>87</v>
      </c>
      <c r="G274" s="19">
        <v>0.23</v>
      </c>
      <c r="H274" s="20"/>
      <c r="I274" s="20">
        <v>0</v>
      </c>
      <c r="J274" s="21">
        <v>97.71</v>
      </c>
      <c r="M274" s="22">
        <f>ROUND(ROUND(J274, 2)*I274, 2)</f>
        <v>0</v>
      </c>
      <c r="P274" s="21">
        <v>97.71</v>
      </c>
      <c r="S274" s="22">
        <f>ROUND(ROUND(P274, 2)*I274, 2)</f>
        <v>0</v>
      </c>
      <c r="V274" s="9">
        <f>ROUND(ROUND(P274, 2)/1.2, 2)</f>
        <v>81.430000000000007</v>
      </c>
      <c r="Y274" s="9">
        <f t="shared" si="20"/>
        <v>0</v>
      </c>
      <c r="AD274" s="4" t="s">
        <v>1144</v>
      </c>
      <c r="AE274" s="4" t="s">
        <v>1145</v>
      </c>
      <c r="AF274" s="4" t="s">
        <v>1089</v>
      </c>
    </row>
    <row r="275" spans="1:35" ht="36" x14ac:dyDescent="0.3">
      <c r="A275" s="10" t="s">
        <v>1148</v>
      </c>
      <c r="B275" s="10" t="s">
        <v>1149</v>
      </c>
      <c r="C275" s="11" t="s">
        <v>1150</v>
      </c>
      <c r="D275" s="12"/>
      <c r="E275" s="12" t="s">
        <v>63</v>
      </c>
      <c r="F275" s="12" t="s">
        <v>64</v>
      </c>
      <c r="G275" s="13">
        <v>1</v>
      </c>
      <c r="H275" s="13"/>
      <c r="I275" s="13">
        <v>0</v>
      </c>
      <c r="J275" s="14">
        <f>IFERROR(ROUND(SUM(M276,M277)/I275, 2),0)</f>
        <v>0</v>
      </c>
      <c r="K275" s="15">
        <v>251</v>
      </c>
      <c r="L275" s="14">
        <f>J275+ROUND(K275, 2)</f>
        <v>251</v>
      </c>
      <c r="M275" s="14">
        <f>ROUND(J275*I275, 2)</f>
        <v>0</v>
      </c>
      <c r="N275" s="14">
        <f>ROUND(I275*ROUND(K275, 2), 2)</f>
        <v>0</v>
      </c>
      <c r="O275" s="14">
        <f>M275+N275</f>
        <v>0</v>
      </c>
      <c r="P275" s="14">
        <f>IFERROR(ROUND(SUM(S276,S277)/I275, 2),0)</f>
        <v>0</v>
      </c>
      <c r="Q275" s="15">
        <v>251</v>
      </c>
      <c r="R275" s="14">
        <f>P275+ROUND(Q275, 2)</f>
        <v>251</v>
      </c>
      <c r="S275" s="14">
        <f>ROUND(P275*I275, 2)</f>
        <v>0</v>
      </c>
      <c r="T275" s="14">
        <f>ROUND(I275*ROUND(Q275, 2), 2)</f>
        <v>0</v>
      </c>
      <c r="U275" s="14">
        <f>S275+T275</f>
        <v>0</v>
      </c>
      <c r="V275" s="9">
        <f>ROUND(P275 / 1.2, 2)</f>
        <v>0</v>
      </c>
      <c r="W275" s="9">
        <f>ROUND(Q275 / 1.2, 2)</f>
        <v>209.17</v>
      </c>
      <c r="X275" s="9">
        <f>ROUND(R275 / 1.2, 2)</f>
        <v>209.17</v>
      </c>
      <c r="Y275" s="9">
        <f t="shared" si="20"/>
        <v>0</v>
      </c>
      <c r="Z275" s="9">
        <f>ROUND(T275 / 1.2, 2)</f>
        <v>0</v>
      </c>
      <c r="AA275" s="9">
        <f>Y275+Z275</f>
        <v>0</v>
      </c>
      <c r="AD275" s="4">
        <v>271132113</v>
      </c>
      <c r="AE275" s="4">
        <v>16211512</v>
      </c>
      <c r="AG275" s="4" t="s">
        <v>1151</v>
      </c>
      <c r="AH275" s="4" t="s">
        <v>1152</v>
      </c>
      <c r="AI275" s="4" t="s">
        <v>67</v>
      </c>
    </row>
    <row r="276" spans="1:35" ht="36" x14ac:dyDescent="0.3">
      <c r="A276" s="10" t="s">
        <v>1154</v>
      </c>
      <c r="B276" s="10"/>
      <c r="C276" s="24" t="s">
        <v>433</v>
      </c>
      <c r="D276" s="12"/>
      <c r="E276" s="12"/>
      <c r="F276" s="18" t="s">
        <v>70</v>
      </c>
      <c r="G276" s="19">
        <v>0.15</v>
      </c>
      <c r="H276" s="19"/>
      <c r="I276" s="19">
        <v>0</v>
      </c>
      <c r="J276" s="21">
        <v>88.8</v>
      </c>
      <c r="M276" s="22">
        <f>ROUND(ROUND(J276, 2)*I276, 2)</f>
        <v>0</v>
      </c>
      <c r="P276" s="21">
        <v>88.8</v>
      </c>
      <c r="S276" s="22">
        <f>ROUND(ROUND(P276, 2)*I276, 2)</f>
        <v>0</v>
      </c>
      <c r="V276" s="9">
        <f>ROUND(ROUND(P276, 2)/1.2, 2)</f>
        <v>74</v>
      </c>
      <c r="Y276" s="9">
        <f t="shared" si="20"/>
        <v>0</v>
      </c>
      <c r="AD276" s="4" t="s">
        <v>1155</v>
      </c>
      <c r="AE276" s="4" t="s">
        <v>1156</v>
      </c>
      <c r="AF276" s="4" t="s">
        <v>436</v>
      </c>
    </row>
    <row r="277" spans="1:35" ht="90" x14ac:dyDescent="0.3">
      <c r="A277" s="10" t="s">
        <v>1159</v>
      </c>
      <c r="B277" s="10"/>
      <c r="C277" s="24" t="s">
        <v>1160</v>
      </c>
      <c r="D277" s="12"/>
      <c r="E277" s="12" t="s">
        <v>1161</v>
      </c>
      <c r="F277" s="18" t="s">
        <v>70</v>
      </c>
      <c r="G277" s="19">
        <v>0.3</v>
      </c>
      <c r="H277" s="19"/>
      <c r="I277" s="19">
        <v>0</v>
      </c>
      <c r="J277" s="21">
        <v>252.47</v>
      </c>
      <c r="M277" s="22">
        <f>ROUND(ROUND(J277, 2)*I277, 2)</f>
        <v>0</v>
      </c>
      <c r="P277" s="21">
        <v>252.47</v>
      </c>
      <c r="S277" s="22">
        <f>ROUND(ROUND(P277, 2)*I277, 2)</f>
        <v>0</v>
      </c>
      <c r="V277" s="9">
        <f>ROUND(ROUND(P277, 2)/1.2, 2)</f>
        <v>210.39</v>
      </c>
      <c r="Y277" s="9">
        <f t="shared" si="20"/>
        <v>0</v>
      </c>
      <c r="AD277" s="4" t="s">
        <v>1162</v>
      </c>
      <c r="AE277" s="4" t="s">
        <v>1163</v>
      </c>
      <c r="AF277" s="4" t="s">
        <v>1164</v>
      </c>
    </row>
    <row r="278" spans="1:35" ht="36" x14ac:dyDescent="0.3">
      <c r="A278" s="10" t="s">
        <v>1167</v>
      </c>
      <c r="B278" s="10" t="s">
        <v>1149</v>
      </c>
      <c r="C278" s="11" t="s">
        <v>1150</v>
      </c>
      <c r="D278" s="12"/>
      <c r="E278" s="12" t="s">
        <v>63</v>
      </c>
      <c r="F278" s="12" t="s">
        <v>64</v>
      </c>
      <c r="G278" s="13">
        <v>1</v>
      </c>
      <c r="H278" s="13"/>
      <c r="I278" s="13">
        <v>0</v>
      </c>
      <c r="J278" s="14">
        <f>IFERROR(ROUND(SUM(M279,M280)/I278, 2),0)</f>
        <v>0</v>
      </c>
      <c r="K278" s="15">
        <v>251</v>
      </c>
      <c r="L278" s="14">
        <f>J278+ROUND(K278, 2)</f>
        <v>251</v>
      </c>
      <c r="M278" s="14">
        <f>ROUND(J278*I278, 2)</f>
        <v>0</v>
      </c>
      <c r="N278" s="14">
        <f>ROUND(I278*ROUND(K278, 2), 2)</f>
        <v>0</v>
      </c>
      <c r="O278" s="14">
        <f>M278+N278</f>
        <v>0</v>
      </c>
      <c r="P278" s="14">
        <f>IFERROR(ROUND(SUM(S279,S280)/I278, 2),0)</f>
        <v>0</v>
      </c>
      <c r="Q278" s="15">
        <v>251</v>
      </c>
      <c r="R278" s="14">
        <f>P278+ROUND(Q278, 2)</f>
        <v>251</v>
      </c>
      <c r="S278" s="14">
        <f>ROUND(P278*I278, 2)</f>
        <v>0</v>
      </c>
      <c r="T278" s="14">
        <f>ROUND(I278*ROUND(Q278, 2), 2)</f>
        <v>0</v>
      </c>
      <c r="U278" s="14">
        <f>S278+T278</f>
        <v>0</v>
      </c>
      <c r="V278" s="9">
        <f>ROUND(P278 / 1.2, 2)</f>
        <v>0</v>
      </c>
      <c r="W278" s="9">
        <f>ROUND(Q278 / 1.2, 2)</f>
        <v>209.17</v>
      </c>
      <c r="X278" s="9">
        <f>ROUND(R278 / 1.2, 2)</f>
        <v>209.17</v>
      </c>
      <c r="Y278" s="9">
        <f t="shared" si="20"/>
        <v>0</v>
      </c>
      <c r="Z278" s="9">
        <f>ROUND(T278 / 1.2, 2)</f>
        <v>0</v>
      </c>
      <c r="AA278" s="9">
        <f>Y278+Z278</f>
        <v>0</v>
      </c>
      <c r="AD278" s="4">
        <v>271132192</v>
      </c>
      <c r="AE278" s="4">
        <v>16211513</v>
      </c>
      <c r="AG278" s="4" t="s">
        <v>1151</v>
      </c>
      <c r="AH278" s="4" t="s">
        <v>1152</v>
      </c>
      <c r="AI278" s="4" t="s">
        <v>67</v>
      </c>
    </row>
    <row r="279" spans="1:35" ht="90" x14ac:dyDescent="0.3">
      <c r="A279" s="10" t="s">
        <v>1169</v>
      </c>
      <c r="B279" s="10"/>
      <c r="C279" s="24" t="s">
        <v>1170</v>
      </c>
      <c r="D279" s="12"/>
      <c r="E279" s="12" t="s">
        <v>1171</v>
      </c>
      <c r="F279" s="18" t="s">
        <v>70</v>
      </c>
      <c r="G279" s="19">
        <v>0.3</v>
      </c>
      <c r="H279" s="19"/>
      <c r="I279" s="19">
        <v>0</v>
      </c>
      <c r="J279" s="21">
        <v>388.89</v>
      </c>
      <c r="M279" s="22">
        <f>ROUND(ROUND(J279, 2)*I279, 2)</f>
        <v>0</v>
      </c>
      <c r="P279" s="21">
        <v>388.89</v>
      </c>
      <c r="S279" s="22">
        <f>ROUND(ROUND(P279, 2)*I279, 2)</f>
        <v>0</v>
      </c>
      <c r="V279" s="9">
        <f>ROUND(ROUND(P279, 2)/1.2, 2)</f>
        <v>324.08</v>
      </c>
      <c r="Y279" s="9">
        <f t="shared" si="20"/>
        <v>0</v>
      </c>
      <c r="AD279" s="4" t="s">
        <v>1172</v>
      </c>
      <c r="AE279" s="4" t="s">
        <v>1173</v>
      </c>
      <c r="AF279" s="4" t="s">
        <v>1174</v>
      </c>
    </row>
    <row r="280" spans="1:35" ht="36" x14ac:dyDescent="0.3">
      <c r="A280" s="10" t="s">
        <v>1177</v>
      </c>
      <c r="B280" s="10"/>
      <c r="C280" s="24" t="s">
        <v>433</v>
      </c>
      <c r="D280" s="12"/>
      <c r="E280" s="12"/>
      <c r="F280" s="18" t="s">
        <v>70</v>
      </c>
      <c r="G280" s="19">
        <v>0.15</v>
      </c>
      <c r="H280" s="19"/>
      <c r="I280" s="19">
        <v>0</v>
      </c>
      <c r="J280" s="21">
        <v>88.8</v>
      </c>
      <c r="M280" s="22">
        <f>ROUND(ROUND(J280, 2)*I280, 2)</f>
        <v>0</v>
      </c>
      <c r="P280" s="21">
        <v>88.8</v>
      </c>
      <c r="S280" s="22">
        <f>ROUND(ROUND(P280, 2)*I280, 2)</f>
        <v>0</v>
      </c>
      <c r="V280" s="9">
        <f>ROUND(ROUND(P280, 2)/1.2, 2)</f>
        <v>74</v>
      </c>
      <c r="Y280" s="9">
        <f t="shared" si="20"/>
        <v>0</v>
      </c>
      <c r="AD280" s="4" t="s">
        <v>1178</v>
      </c>
      <c r="AE280" s="4" t="s">
        <v>1179</v>
      </c>
      <c r="AF280" s="4" t="s">
        <v>436</v>
      </c>
    </row>
    <row r="281" spans="1:35" ht="36" x14ac:dyDescent="0.3">
      <c r="A281" s="10" t="s">
        <v>1182</v>
      </c>
      <c r="B281" s="10" t="s">
        <v>1149</v>
      </c>
      <c r="C281" s="11" t="s">
        <v>1150</v>
      </c>
      <c r="D281" s="12"/>
      <c r="E281" s="12" t="s">
        <v>63</v>
      </c>
      <c r="F281" s="12" t="s">
        <v>64</v>
      </c>
      <c r="G281" s="13">
        <v>1</v>
      </c>
      <c r="H281" s="13"/>
      <c r="I281" s="13">
        <v>0</v>
      </c>
      <c r="J281" s="14">
        <f>IFERROR(ROUND(SUM(M282,M283)/I281, 2),0)</f>
        <v>0</v>
      </c>
      <c r="K281" s="15">
        <v>251</v>
      </c>
      <c r="L281" s="14">
        <f>J281+ROUND(K281, 2)</f>
        <v>251</v>
      </c>
      <c r="M281" s="14">
        <f>ROUND(J281*I281, 2)</f>
        <v>0</v>
      </c>
      <c r="N281" s="14">
        <f>ROUND(I281*ROUND(K281, 2), 2)</f>
        <v>0</v>
      </c>
      <c r="O281" s="14">
        <f>M281+N281</f>
        <v>0</v>
      </c>
      <c r="P281" s="14">
        <f>IFERROR(ROUND(SUM(S282,S283)/I281, 2),0)</f>
        <v>0</v>
      </c>
      <c r="Q281" s="15">
        <v>251</v>
      </c>
      <c r="R281" s="14">
        <f>P281+ROUND(Q281, 2)</f>
        <v>251</v>
      </c>
      <c r="S281" s="14">
        <f>ROUND(P281*I281, 2)</f>
        <v>0</v>
      </c>
      <c r="T281" s="14">
        <f>ROUND(I281*ROUND(Q281, 2), 2)</f>
        <v>0</v>
      </c>
      <c r="U281" s="14">
        <f>S281+T281</f>
        <v>0</v>
      </c>
      <c r="V281" s="9">
        <f>ROUND(P281 / 1.2, 2)</f>
        <v>0</v>
      </c>
      <c r="W281" s="9">
        <f>ROUND(Q281 / 1.2, 2)</f>
        <v>209.17</v>
      </c>
      <c r="X281" s="9">
        <f>ROUND(R281 / 1.2, 2)</f>
        <v>209.17</v>
      </c>
      <c r="Y281" s="9">
        <f t="shared" si="20"/>
        <v>0</v>
      </c>
      <c r="Z281" s="9">
        <f>ROUND(T281 / 1.2, 2)</f>
        <v>0</v>
      </c>
      <c r="AA281" s="9">
        <f>Y281+Z281</f>
        <v>0</v>
      </c>
      <c r="AD281" s="4">
        <v>271132193</v>
      </c>
      <c r="AE281" s="4">
        <v>16211514</v>
      </c>
      <c r="AG281" s="4" t="s">
        <v>1151</v>
      </c>
      <c r="AH281" s="4" t="s">
        <v>1152</v>
      </c>
      <c r="AI281" s="4" t="s">
        <v>67</v>
      </c>
    </row>
    <row r="282" spans="1:35" ht="54" x14ac:dyDescent="0.3">
      <c r="A282" s="10" t="s">
        <v>1184</v>
      </c>
      <c r="B282" s="10"/>
      <c r="C282" s="24" t="s">
        <v>1185</v>
      </c>
      <c r="D282" s="12"/>
      <c r="E282" s="12" t="s">
        <v>1186</v>
      </c>
      <c r="F282" s="18" t="s">
        <v>70</v>
      </c>
      <c r="G282" s="19">
        <v>0.3</v>
      </c>
      <c r="H282" s="19"/>
      <c r="I282" s="19">
        <v>0</v>
      </c>
      <c r="J282" s="21">
        <v>0</v>
      </c>
      <c r="M282" s="22">
        <f>ROUND(ROUND(J282, 2)*I282, 2)</f>
        <v>0</v>
      </c>
      <c r="P282" s="21">
        <v>0</v>
      </c>
      <c r="S282" s="22">
        <f>ROUND(ROUND(P282, 2)*I282, 2)</f>
        <v>0</v>
      </c>
      <c r="V282" s="9">
        <f>ROUND(ROUND(P282, 2)/1.2, 2)</f>
        <v>0</v>
      </c>
      <c r="Y282" s="9">
        <f t="shared" si="20"/>
        <v>0</v>
      </c>
      <c r="AD282" s="4" t="s">
        <v>1187</v>
      </c>
      <c r="AE282" s="4" t="s">
        <v>1188</v>
      </c>
      <c r="AF282" s="4" t="s">
        <v>1189</v>
      </c>
    </row>
    <row r="283" spans="1:35" ht="36" x14ac:dyDescent="0.3">
      <c r="A283" s="10" t="s">
        <v>1192</v>
      </c>
      <c r="B283" s="10"/>
      <c r="C283" s="24" t="s">
        <v>433</v>
      </c>
      <c r="D283" s="12"/>
      <c r="E283" s="12"/>
      <c r="F283" s="18" t="s">
        <v>70</v>
      </c>
      <c r="G283" s="19">
        <v>0.15</v>
      </c>
      <c r="H283" s="19"/>
      <c r="I283" s="19">
        <v>0</v>
      </c>
      <c r="J283" s="21">
        <v>88.8</v>
      </c>
      <c r="M283" s="22">
        <f>ROUND(ROUND(J283, 2)*I283, 2)</f>
        <v>0</v>
      </c>
      <c r="P283" s="21">
        <v>88.8</v>
      </c>
      <c r="S283" s="22">
        <f>ROUND(ROUND(P283, 2)*I283, 2)</f>
        <v>0</v>
      </c>
      <c r="V283" s="9">
        <f>ROUND(ROUND(P283, 2)/1.2, 2)</f>
        <v>74</v>
      </c>
      <c r="Y283" s="9">
        <f t="shared" si="20"/>
        <v>0</v>
      </c>
      <c r="AD283" s="4" t="s">
        <v>1193</v>
      </c>
      <c r="AE283" s="4" t="s">
        <v>1194</v>
      </c>
      <c r="AF283" s="4" t="s">
        <v>436</v>
      </c>
    </row>
    <row r="284" spans="1:35" ht="36" x14ac:dyDescent="0.3">
      <c r="A284" s="10" t="s">
        <v>1197</v>
      </c>
      <c r="B284" s="10" t="s">
        <v>1149</v>
      </c>
      <c r="C284" s="11" t="s">
        <v>1150</v>
      </c>
      <c r="D284" s="12"/>
      <c r="E284" s="12" t="s">
        <v>63</v>
      </c>
      <c r="F284" s="12" t="s">
        <v>64</v>
      </c>
      <c r="G284" s="13">
        <v>1</v>
      </c>
      <c r="H284" s="13"/>
      <c r="I284" s="13">
        <v>0</v>
      </c>
      <c r="J284" s="14">
        <f>IFERROR(ROUND(SUM(M285,M286)/I284, 2),0)</f>
        <v>0</v>
      </c>
      <c r="K284" s="15">
        <v>251</v>
      </c>
      <c r="L284" s="14">
        <f>J284+ROUND(K284, 2)</f>
        <v>251</v>
      </c>
      <c r="M284" s="14">
        <f>ROUND(J284*I284, 2)</f>
        <v>0</v>
      </c>
      <c r="N284" s="14">
        <f>ROUND(I284*ROUND(K284, 2), 2)</f>
        <v>0</v>
      </c>
      <c r="O284" s="14">
        <f>M284+N284</f>
        <v>0</v>
      </c>
      <c r="P284" s="14">
        <f>IFERROR(ROUND(SUM(S285,S286)/I284, 2),0)</f>
        <v>0</v>
      </c>
      <c r="Q284" s="15">
        <v>251</v>
      </c>
      <c r="R284" s="14">
        <f>P284+ROUND(Q284, 2)</f>
        <v>251</v>
      </c>
      <c r="S284" s="14">
        <f>ROUND(P284*I284, 2)</f>
        <v>0</v>
      </c>
      <c r="T284" s="14">
        <f>ROUND(I284*ROUND(Q284, 2), 2)</f>
        <v>0</v>
      </c>
      <c r="U284" s="14">
        <f>S284+T284</f>
        <v>0</v>
      </c>
      <c r="V284" s="9">
        <f>ROUND(P284 / 1.2, 2)</f>
        <v>0</v>
      </c>
      <c r="W284" s="9">
        <f>ROUND(Q284 / 1.2, 2)</f>
        <v>209.17</v>
      </c>
      <c r="X284" s="9">
        <f>ROUND(R284 / 1.2, 2)</f>
        <v>209.17</v>
      </c>
      <c r="Y284" s="9">
        <f t="shared" si="20"/>
        <v>0</v>
      </c>
      <c r="Z284" s="9">
        <f>ROUND(T284 / 1.2, 2)</f>
        <v>0</v>
      </c>
      <c r="AA284" s="9">
        <f>Y284+Z284</f>
        <v>0</v>
      </c>
      <c r="AD284" s="4">
        <v>271132194</v>
      </c>
      <c r="AE284" s="4">
        <v>16211515</v>
      </c>
      <c r="AG284" s="4" t="s">
        <v>1151</v>
      </c>
      <c r="AH284" s="4" t="s">
        <v>1152</v>
      </c>
      <c r="AI284" s="4" t="s">
        <v>67</v>
      </c>
    </row>
    <row r="285" spans="1:35" ht="90" x14ac:dyDescent="0.3">
      <c r="A285" s="10" t="s">
        <v>1199</v>
      </c>
      <c r="B285" s="10"/>
      <c r="C285" s="24" t="s">
        <v>1170</v>
      </c>
      <c r="D285" s="12"/>
      <c r="E285" s="12" t="s">
        <v>1200</v>
      </c>
      <c r="F285" s="18" t="s">
        <v>70</v>
      </c>
      <c r="G285" s="19">
        <v>0.3</v>
      </c>
      <c r="H285" s="19"/>
      <c r="I285" s="19">
        <v>0</v>
      </c>
      <c r="J285" s="21">
        <v>388.89</v>
      </c>
      <c r="M285" s="22">
        <f>ROUND(ROUND(J285, 2)*I285, 2)</f>
        <v>0</v>
      </c>
      <c r="P285" s="21">
        <v>388.89</v>
      </c>
      <c r="S285" s="22">
        <f>ROUND(ROUND(P285, 2)*I285, 2)</f>
        <v>0</v>
      </c>
      <c r="V285" s="9">
        <f>ROUND(ROUND(P285, 2)/1.2, 2)</f>
        <v>324.08</v>
      </c>
      <c r="Y285" s="9">
        <f t="shared" si="20"/>
        <v>0</v>
      </c>
      <c r="AD285" s="4" t="s">
        <v>1201</v>
      </c>
      <c r="AE285" s="4" t="s">
        <v>1202</v>
      </c>
      <c r="AF285" s="4" t="s">
        <v>1174</v>
      </c>
    </row>
    <row r="286" spans="1:35" ht="36" x14ac:dyDescent="0.3">
      <c r="A286" s="10" t="s">
        <v>1205</v>
      </c>
      <c r="B286" s="10"/>
      <c r="C286" s="24" t="s">
        <v>433</v>
      </c>
      <c r="D286" s="12"/>
      <c r="E286" s="12"/>
      <c r="F286" s="18" t="s">
        <v>70</v>
      </c>
      <c r="G286" s="19">
        <v>0.15</v>
      </c>
      <c r="H286" s="19"/>
      <c r="I286" s="19">
        <v>0</v>
      </c>
      <c r="J286" s="21">
        <v>88.8</v>
      </c>
      <c r="M286" s="22">
        <f>ROUND(ROUND(J286, 2)*I286, 2)</f>
        <v>0</v>
      </c>
      <c r="P286" s="21">
        <v>88.8</v>
      </c>
      <c r="S286" s="22">
        <f>ROUND(ROUND(P286, 2)*I286, 2)</f>
        <v>0</v>
      </c>
      <c r="V286" s="9">
        <f>ROUND(ROUND(P286, 2)/1.2, 2)</f>
        <v>74</v>
      </c>
      <c r="Y286" s="9">
        <f t="shared" si="20"/>
        <v>0</v>
      </c>
      <c r="AD286" s="4" t="s">
        <v>1206</v>
      </c>
      <c r="AE286" s="4" t="s">
        <v>1207</v>
      </c>
      <c r="AF286" s="4" t="s">
        <v>436</v>
      </c>
    </row>
    <row r="287" spans="1:35" ht="36" x14ac:dyDescent="0.3">
      <c r="A287" s="10" t="s">
        <v>1210</v>
      </c>
      <c r="B287" s="10" t="s">
        <v>1149</v>
      </c>
      <c r="C287" s="11" t="s">
        <v>1150</v>
      </c>
      <c r="D287" s="12"/>
      <c r="E287" s="12" t="s">
        <v>63</v>
      </c>
      <c r="F287" s="12" t="s">
        <v>64</v>
      </c>
      <c r="G287" s="13">
        <v>1</v>
      </c>
      <c r="H287" s="13"/>
      <c r="I287" s="13">
        <v>0</v>
      </c>
      <c r="J287" s="14">
        <f>IFERROR(ROUND(SUM(M288,M289)/I287, 2),0)</f>
        <v>0</v>
      </c>
      <c r="K287" s="15">
        <v>251</v>
      </c>
      <c r="L287" s="14">
        <f>J287+ROUND(K287, 2)</f>
        <v>251</v>
      </c>
      <c r="M287" s="14">
        <f>ROUND(J287*I287, 2)</f>
        <v>0</v>
      </c>
      <c r="N287" s="14">
        <f>ROUND(I287*ROUND(K287, 2), 2)</f>
        <v>0</v>
      </c>
      <c r="O287" s="14">
        <f>M287+N287</f>
        <v>0</v>
      </c>
      <c r="P287" s="14">
        <f>IFERROR(ROUND(SUM(S288,S289)/I287, 2),0)</f>
        <v>0</v>
      </c>
      <c r="Q287" s="15">
        <v>251</v>
      </c>
      <c r="R287" s="14">
        <f>P287+ROUND(Q287, 2)</f>
        <v>251</v>
      </c>
      <c r="S287" s="14">
        <f>ROUND(P287*I287, 2)</f>
        <v>0</v>
      </c>
      <c r="T287" s="14">
        <f>ROUND(I287*ROUND(Q287, 2), 2)</f>
        <v>0</v>
      </c>
      <c r="U287" s="14">
        <f>S287+T287</f>
        <v>0</v>
      </c>
      <c r="V287" s="9">
        <f>ROUND(P287 / 1.2, 2)</f>
        <v>0</v>
      </c>
      <c r="W287" s="9">
        <f>ROUND(Q287 / 1.2, 2)</f>
        <v>209.17</v>
      </c>
      <c r="X287" s="9">
        <f>ROUND(R287 / 1.2, 2)</f>
        <v>209.17</v>
      </c>
      <c r="Y287" s="9">
        <f t="shared" si="20"/>
        <v>0</v>
      </c>
      <c r="Z287" s="9">
        <f>ROUND(T287 / 1.2, 2)</f>
        <v>0</v>
      </c>
      <c r="AA287" s="9">
        <f>Y287+Z287</f>
        <v>0</v>
      </c>
      <c r="AD287" s="4">
        <v>271132195</v>
      </c>
      <c r="AE287" s="4">
        <v>16211516</v>
      </c>
      <c r="AG287" s="4" t="s">
        <v>1151</v>
      </c>
      <c r="AH287" s="4" t="s">
        <v>1152</v>
      </c>
      <c r="AI287" s="4" t="s">
        <v>67</v>
      </c>
    </row>
    <row r="288" spans="1:35" ht="90" x14ac:dyDescent="0.3">
      <c r="A288" s="10" t="s">
        <v>1212</v>
      </c>
      <c r="B288" s="10"/>
      <c r="C288" s="24" t="s">
        <v>1170</v>
      </c>
      <c r="D288" s="12"/>
      <c r="E288" s="12" t="s">
        <v>1213</v>
      </c>
      <c r="F288" s="18" t="s">
        <v>70</v>
      </c>
      <c r="G288" s="19">
        <v>0.3</v>
      </c>
      <c r="H288" s="19"/>
      <c r="I288" s="19">
        <v>0</v>
      </c>
      <c r="J288" s="21">
        <v>388.89</v>
      </c>
      <c r="M288" s="22">
        <f>ROUND(ROUND(J288, 2)*I288, 2)</f>
        <v>0</v>
      </c>
      <c r="P288" s="21">
        <v>388.89</v>
      </c>
      <c r="S288" s="22">
        <f>ROUND(ROUND(P288, 2)*I288, 2)</f>
        <v>0</v>
      </c>
      <c r="V288" s="9">
        <f>ROUND(ROUND(P288, 2)/1.2, 2)</f>
        <v>324.08</v>
      </c>
      <c r="Y288" s="9">
        <f t="shared" si="20"/>
        <v>0</v>
      </c>
      <c r="AD288" s="4" t="s">
        <v>1214</v>
      </c>
      <c r="AE288" s="4" t="s">
        <v>1215</v>
      </c>
      <c r="AF288" s="4" t="s">
        <v>1174</v>
      </c>
    </row>
    <row r="289" spans="1:35" ht="36" x14ac:dyDescent="0.3">
      <c r="A289" s="10" t="s">
        <v>1218</v>
      </c>
      <c r="B289" s="10"/>
      <c r="C289" s="24" t="s">
        <v>433</v>
      </c>
      <c r="D289" s="12"/>
      <c r="E289" s="12"/>
      <c r="F289" s="18" t="s">
        <v>70</v>
      </c>
      <c r="G289" s="19">
        <v>0.15</v>
      </c>
      <c r="H289" s="19"/>
      <c r="I289" s="19">
        <v>0</v>
      </c>
      <c r="J289" s="21">
        <v>88.8</v>
      </c>
      <c r="M289" s="22">
        <f>ROUND(ROUND(J289, 2)*I289, 2)</f>
        <v>0</v>
      </c>
      <c r="P289" s="21">
        <v>88.8</v>
      </c>
      <c r="S289" s="22">
        <f>ROUND(ROUND(P289, 2)*I289, 2)</f>
        <v>0</v>
      </c>
      <c r="V289" s="9">
        <f>ROUND(ROUND(P289, 2)/1.2, 2)</f>
        <v>74</v>
      </c>
      <c r="Y289" s="9">
        <f t="shared" si="20"/>
        <v>0</v>
      </c>
      <c r="AD289" s="4" t="s">
        <v>1219</v>
      </c>
      <c r="AE289" s="4" t="s">
        <v>1220</v>
      </c>
      <c r="AF289" s="4" t="s">
        <v>436</v>
      </c>
    </row>
    <row r="290" spans="1:35" ht="36" x14ac:dyDescent="0.3">
      <c r="A290" s="10" t="s">
        <v>1223</v>
      </c>
      <c r="B290" s="10" t="s">
        <v>1149</v>
      </c>
      <c r="C290" s="11" t="s">
        <v>1150</v>
      </c>
      <c r="D290" s="12"/>
      <c r="E290" s="12" t="s">
        <v>63</v>
      </c>
      <c r="F290" s="12" t="s">
        <v>64</v>
      </c>
      <c r="G290" s="13">
        <v>1</v>
      </c>
      <c r="H290" s="13"/>
      <c r="I290" s="13">
        <v>0</v>
      </c>
      <c r="J290" s="14">
        <f>IFERROR(ROUND(SUM(M291,M292)/I290, 2),0)</f>
        <v>0</v>
      </c>
      <c r="K290" s="15">
        <v>251</v>
      </c>
      <c r="L290" s="14">
        <f>J290+ROUND(K290, 2)</f>
        <v>251</v>
      </c>
      <c r="M290" s="14">
        <f>ROUND(J290*I290, 2)</f>
        <v>0</v>
      </c>
      <c r="N290" s="14">
        <f>ROUND(I290*ROUND(K290, 2), 2)</f>
        <v>0</v>
      </c>
      <c r="O290" s="14">
        <f>M290+N290</f>
        <v>0</v>
      </c>
      <c r="P290" s="14">
        <f>IFERROR(ROUND(SUM(S291,S292)/I290, 2),0)</f>
        <v>0</v>
      </c>
      <c r="Q290" s="15">
        <v>251</v>
      </c>
      <c r="R290" s="14">
        <f>P290+ROUND(Q290, 2)</f>
        <v>251</v>
      </c>
      <c r="S290" s="14">
        <f>ROUND(P290*I290, 2)</f>
        <v>0</v>
      </c>
      <c r="T290" s="14">
        <f>ROUND(I290*ROUND(Q290, 2), 2)</f>
        <v>0</v>
      </c>
      <c r="U290" s="14">
        <f>S290+T290</f>
        <v>0</v>
      </c>
      <c r="V290" s="9">
        <f>ROUND(P290 / 1.2, 2)</f>
        <v>0</v>
      </c>
      <c r="W290" s="9">
        <f>ROUND(Q290 / 1.2, 2)</f>
        <v>209.17</v>
      </c>
      <c r="X290" s="9">
        <f>ROUND(R290 / 1.2, 2)</f>
        <v>209.17</v>
      </c>
      <c r="Y290" s="9">
        <f t="shared" si="20"/>
        <v>0</v>
      </c>
      <c r="Z290" s="9">
        <f>ROUND(T290 / 1.2, 2)</f>
        <v>0</v>
      </c>
      <c r="AA290" s="9">
        <f>Y290+Z290</f>
        <v>0</v>
      </c>
      <c r="AD290" s="4">
        <v>271132196</v>
      </c>
      <c r="AE290" s="4">
        <v>16211517</v>
      </c>
      <c r="AG290" s="4" t="s">
        <v>1151</v>
      </c>
      <c r="AH290" s="4" t="s">
        <v>1152</v>
      </c>
      <c r="AI290" s="4" t="s">
        <v>67</v>
      </c>
    </row>
    <row r="291" spans="1:35" ht="90" x14ac:dyDescent="0.3">
      <c r="A291" s="10" t="s">
        <v>1225</v>
      </c>
      <c r="B291" s="10"/>
      <c r="C291" s="24" t="s">
        <v>1170</v>
      </c>
      <c r="D291" s="12"/>
      <c r="E291" s="12" t="s">
        <v>1226</v>
      </c>
      <c r="F291" s="18" t="s">
        <v>70</v>
      </c>
      <c r="G291" s="19">
        <v>0.3</v>
      </c>
      <c r="H291" s="19"/>
      <c r="I291" s="19">
        <v>0</v>
      </c>
      <c r="J291" s="21">
        <v>388.89</v>
      </c>
      <c r="M291" s="22">
        <f>ROUND(ROUND(J291, 2)*I291, 2)</f>
        <v>0</v>
      </c>
      <c r="P291" s="21">
        <v>388.89</v>
      </c>
      <c r="S291" s="22">
        <f>ROUND(ROUND(P291, 2)*I291, 2)</f>
        <v>0</v>
      </c>
      <c r="V291" s="9">
        <f>ROUND(ROUND(P291, 2)/1.2, 2)</f>
        <v>324.08</v>
      </c>
      <c r="Y291" s="9">
        <f t="shared" si="20"/>
        <v>0</v>
      </c>
      <c r="AD291" s="4" t="s">
        <v>1227</v>
      </c>
      <c r="AE291" s="4" t="s">
        <v>1228</v>
      </c>
      <c r="AF291" s="4" t="s">
        <v>1174</v>
      </c>
    </row>
    <row r="292" spans="1:35" ht="36" x14ac:dyDescent="0.3">
      <c r="A292" s="10" t="s">
        <v>1231</v>
      </c>
      <c r="B292" s="10"/>
      <c r="C292" s="24" t="s">
        <v>433</v>
      </c>
      <c r="D292" s="12"/>
      <c r="E292" s="12"/>
      <c r="F292" s="18" t="s">
        <v>70</v>
      </c>
      <c r="G292" s="19">
        <v>0.15</v>
      </c>
      <c r="H292" s="19"/>
      <c r="I292" s="19">
        <v>0</v>
      </c>
      <c r="J292" s="21">
        <v>88.8</v>
      </c>
      <c r="M292" s="22">
        <f>ROUND(ROUND(J292, 2)*I292, 2)</f>
        <v>0</v>
      </c>
      <c r="P292" s="21">
        <v>88.8</v>
      </c>
      <c r="S292" s="22">
        <f>ROUND(ROUND(P292, 2)*I292, 2)</f>
        <v>0</v>
      </c>
      <c r="V292" s="9">
        <f>ROUND(ROUND(P292, 2)/1.2, 2)</f>
        <v>74</v>
      </c>
      <c r="Y292" s="9">
        <f t="shared" si="20"/>
        <v>0</v>
      </c>
      <c r="AD292" s="4" t="s">
        <v>1232</v>
      </c>
      <c r="AE292" s="4" t="s">
        <v>1233</v>
      </c>
      <c r="AF292" s="4" t="s">
        <v>436</v>
      </c>
    </row>
    <row r="293" spans="1:35" ht="36" x14ac:dyDescent="0.3">
      <c r="A293" s="10" t="s">
        <v>1236</v>
      </c>
      <c r="B293" s="10" t="s">
        <v>1149</v>
      </c>
      <c r="C293" s="11" t="s">
        <v>1150</v>
      </c>
      <c r="D293" s="12"/>
      <c r="E293" s="12" t="s">
        <v>63</v>
      </c>
      <c r="F293" s="12" t="s">
        <v>64</v>
      </c>
      <c r="G293" s="13">
        <v>1</v>
      </c>
      <c r="H293" s="13"/>
      <c r="I293" s="13">
        <v>0</v>
      </c>
      <c r="J293" s="14">
        <f>IFERROR(ROUND(SUM(M294,M295)/I293, 2),0)</f>
        <v>0</v>
      </c>
      <c r="K293" s="15">
        <v>251</v>
      </c>
      <c r="L293" s="14">
        <f>J293+ROUND(K293, 2)</f>
        <v>251</v>
      </c>
      <c r="M293" s="14">
        <f>ROUND(J293*I293, 2)</f>
        <v>0</v>
      </c>
      <c r="N293" s="14">
        <f>ROUND(I293*ROUND(K293, 2), 2)</f>
        <v>0</v>
      </c>
      <c r="O293" s="14">
        <f>M293+N293</f>
        <v>0</v>
      </c>
      <c r="P293" s="14">
        <f>IFERROR(ROUND(SUM(S294,S295)/I293, 2),0)</f>
        <v>0</v>
      </c>
      <c r="Q293" s="15">
        <v>251</v>
      </c>
      <c r="R293" s="14">
        <f>P293+ROUND(Q293, 2)</f>
        <v>251</v>
      </c>
      <c r="S293" s="14">
        <f>ROUND(P293*I293, 2)</f>
        <v>0</v>
      </c>
      <c r="T293" s="14">
        <f>ROUND(I293*ROUND(Q293, 2), 2)</f>
        <v>0</v>
      </c>
      <c r="U293" s="14">
        <f>S293+T293</f>
        <v>0</v>
      </c>
      <c r="V293" s="9">
        <f>ROUND(P293 / 1.2, 2)</f>
        <v>0</v>
      </c>
      <c r="W293" s="9">
        <f>ROUND(Q293 / 1.2, 2)</f>
        <v>209.17</v>
      </c>
      <c r="X293" s="9">
        <f>ROUND(R293 / 1.2, 2)</f>
        <v>209.17</v>
      </c>
      <c r="Y293" s="9">
        <f t="shared" si="20"/>
        <v>0</v>
      </c>
      <c r="Z293" s="9">
        <f>ROUND(T293 / 1.2, 2)</f>
        <v>0</v>
      </c>
      <c r="AA293" s="9">
        <f>Y293+Z293</f>
        <v>0</v>
      </c>
      <c r="AD293" s="4">
        <v>271132197</v>
      </c>
      <c r="AE293" s="4">
        <v>16211518</v>
      </c>
      <c r="AG293" s="4" t="s">
        <v>1151</v>
      </c>
      <c r="AH293" s="4" t="s">
        <v>1152</v>
      </c>
      <c r="AI293" s="4" t="s">
        <v>67</v>
      </c>
    </row>
    <row r="294" spans="1:35" ht="90" x14ac:dyDescent="0.3">
      <c r="A294" s="10" t="s">
        <v>1238</v>
      </c>
      <c r="B294" s="10"/>
      <c r="C294" s="24" t="s">
        <v>1170</v>
      </c>
      <c r="D294" s="12"/>
      <c r="E294" s="12" t="s">
        <v>1200</v>
      </c>
      <c r="F294" s="18" t="s">
        <v>70</v>
      </c>
      <c r="G294" s="19">
        <v>0.3</v>
      </c>
      <c r="H294" s="19"/>
      <c r="I294" s="19">
        <v>0</v>
      </c>
      <c r="J294" s="21">
        <v>388.89</v>
      </c>
      <c r="M294" s="22">
        <f>ROUND(ROUND(J294, 2)*I294, 2)</f>
        <v>0</v>
      </c>
      <c r="P294" s="21">
        <v>388.89</v>
      </c>
      <c r="S294" s="22">
        <f>ROUND(ROUND(P294, 2)*I294, 2)</f>
        <v>0</v>
      </c>
      <c r="V294" s="9">
        <f>ROUND(ROUND(P294, 2)/1.2, 2)</f>
        <v>324.08</v>
      </c>
      <c r="Y294" s="9">
        <f t="shared" si="20"/>
        <v>0</v>
      </c>
      <c r="AD294" s="4" t="s">
        <v>1239</v>
      </c>
      <c r="AE294" s="4" t="s">
        <v>1240</v>
      </c>
      <c r="AF294" s="4" t="s">
        <v>1174</v>
      </c>
    </row>
    <row r="295" spans="1:35" ht="36" x14ac:dyDescent="0.3">
      <c r="A295" s="10" t="s">
        <v>1243</v>
      </c>
      <c r="B295" s="10"/>
      <c r="C295" s="24" t="s">
        <v>433</v>
      </c>
      <c r="D295" s="12"/>
      <c r="E295" s="12"/>
      <c r="F295" s="18" t="s">
        <v>70</v>
      </c>
      <c r="G295" s="19">
        <v>0.15</v>
      </c>
      <c r="H295" s="19"/>
      <c r="I295" s="19">
        <v>0</v>
      </c>
      <c r="J295" s="21">
        <v>88.8</v>
      </c>
      <c r="M295" s="22">
        <f>ROUND(ROUND(J295, 2)*I295, 2)</f>
        <v>0</v>
      </c>
      <c r="P295" s="21">
        <v>88.8</v>
      </c>
      <c r="S295" s="22">
        <f>ROUND(ROUND(P295, 2)*I295, 2)</f>
        <v>0</v>
      </c>
      <c r="V295" s="9">
        <f>ROUND(ROUND(P295, 2)/1.2, 2)</f>
        <v>74</v>
      </c>
      <c r="Y295" s="9">
        <f t="shared" si="20"/>
        <v>0</v>
      </c>
      <c r="AD295" s="4" t="s">
        <v>1244</v>
      </c>
      <c r="AE295" s="4" t="s">
        <v>1245</v>
      </c>
      <c r="AF295" s="4" t="s">
        <v>436</v>
      </c>
    </row>
    <row r="296" spans="1:35" ht="36" x14ac:dyDescent="0.3">
      <c r="A296" s="10" t="s">
        <v>1248</v>
      </c>
      <c r="B296" s="10" t="s">
        <v>1249</v>
      </c>
      <c r="C296" s="11" t="s">
        <v>1250</v>
      </c>
      <c r="D296" s="12"/>
      <c r="E296" s="12" t="s">
        <v>1251</v>
      </c>
      <c r="F296" s="12" t="s">
        <v>64</v>
      </c>
      <c r="G296" s="13">
        <v>1</v>
      </c>
      <c r="H296" s="13"/>
      <c r="I296" s="13">
        <v>5404.01</v>
      </c>
      <c r="J296" s="14">
        <f>IFERROR(ROUND(SUM(M297,M298)/I296, 2),0)</f>
        <v>13.32</v>
      </c>
      <c r="K296" s="15">
        <v>428</v>
      </c>
      <c r="L296" s="14">
        <f>J296+ROUND(K296, 2)</f>
        <v>441.32</v>
      </c>
      <c r="M296" s="14">
        <f>ROUND(J296*I296, 2)</f>
        <v>71981.41</v>
      </c>
      <c r="N296" s="14">
        <f>ROUND(I296*ROUND(K296, 2), 2)</f>
        <v>2312916.2799999998</v>
      </c>
      <c r="O296" s="14">
        <f>M296+N296</f>
        <v>2384897.69</v>
      </c>
      <c r="P296" s="14">
        <f>IFERROR(ROUND(SUM(S297,S298)/I296, 2),0)</f>
        <v>13.32</v>
      </c>
      <c r="Q296" s="16">
        <v>428</v>
      </c>
      <c r="R296" s="14">
        <f>P296+ROUND(Q296, 2)</f>
        <v>441.32</v>
      </c>
      <c r="S296" s="14">
        <f>ROUND(P296*I296, 2)</f>
        <v>71981.41</v>
      </c>
      <c r="T296" s="14">
        <f>ROUND(I296*ROUND(Q296, 2), 2)</f>
        <v>2312916.2799999998</v>
      </c>
      <c r="U296" s="14">
        <f>S296+T296</f>
        <v>2384897.69</v>
      </c>
      <c r="V296" s="9">
        <f>ROUND(P296 / 1.2, 2)</f>
        <v>11.1</v>
      </c>
      <c r="W296" s="9">
        <f>ROUND(Q296 / 1.2, 2)</f>
        <v>356.67</v>
      </c>
      <c r="X296" s="9">
        <f>ROUND(R296 / 1.2, 2)</f>
        <v>367.77</v>
      </c>
      <c r="Y296" s="9">
        <f t="shared" ref="Y296:Y327" si="21">ROUND(S296 / 1.2, 2)</f>
        <v>59984.51</v>
      </c>
      <c r="Z296" s="9">
        <f>ROUND(T296 / 1.2, 2)</f>
        <v>1927430.23</v>
      </c>
      <c r="AA296" s="9">
        <f>Y296+Z296</f>
        <v>1987414.74</v>
      </c>
      <c r="AD296" s="4">
        <v>271132115</v>
      </c>
      <c r="AE296" s="4">
        <v>19990349</v>
      </c>
      <c r="AG296" s="4" t="s">
        <v>1252</v>
      </c>
      <c r="AH296" s="4" t="s">
        <v>1253</v>
      </c>
      <c r="AI296" s="4" t="s">
        <v>67</v>
      </c>
    </row>
    <row r="297" spans="1:35" ht="108" x14ac:dyDescent="0.3">
      <c r="A297" s="10" t="s">
        <v>1254</v>
      </c>
      <c r="B297" s="10"/>
      <c r="C297" s="24" t="s">
        <v>1255</v>
      </c>
      <c r="D297" s="12"/>
      <c r="E297" s="12" t="s">
        <v>1256</v>
      </c>
      <c r="F297" s="18" t="s">
        <v>70</v>
      </c>
      <c r="G297" s="19">
        <v>0.3</v>
      </c>
      <c r="H297" s="19"/>
      <c r="I297" s="19">
        <v>1621.203</v>
      </c>
      <c r="J297" s="21">
        <v>0</v>
      </c>
      <c r="M297" s="22">
        <f>ROUND(ROUND(J297, 2)*I297, 2)</f>
        <v>0</v>
      </c>
      <c r="P297" s="23">
        <v>0</v>
      </c>
      <c r="S297" s="22">
        <f>ROUND(ROUND(P297, 2)*I297, 2)</f>
        <v>0</v>
      </c>
      <c r="V297" s="9">
        <f>ROUND(ROUND(P297, 2)/1.2, 2)</f>
        <v>0</v>
      </c>
      <c r="Y297" s="9">
        <f t="shared" si="21"/>
        <v>0</v>
      </c>
      <c r="AD297" s="4" t="s">
        <v>1257</v>
      </c>
      <c r="AE297" s="4" t="s">
        <v>1258</v>
      </c>
      <c r="AF297" s="4" t="s">
        <v>1259</v>
      </c>
    </row>
    <row r="298" spans="1:35" ht="36" x14ac:dyDescent="0.3">
      <c r="A298" s="10" t="s">
        <v>1260</v>
      </c>
      <c r="B298" s="10"/>
      <c r="C298" s="24" t="s">
        <v>433</v>
      </c>
      <c r="D298" s="12"/>
      <c r="E298" s="12"/>
      <c r="F298" s="18" t="s">
        <v>70</v>
      </c>
      <c r="G298" s="19">
        <v>0.15</v>
      </c>
      <c r="H298" s="19"/>
      <c r="I298" s="19">
        <v>810.60199999999998</v>
      </c>
      <c r="J298" s="21">
        <v>88.8</v>
      </c>
      <c r="M298" s="22">
        <f>ROUND(ROUND(J298, 2)*I298, 2)</f>
        <v>71981.460000000006</v>
      </c>
      <c r="P298" s="23">
        <v>88.8</v>
      </c>
      <c r="S298" s="22">
        <f>ROUND(ROUND(P298, 2)*I298, 2)</f>
        <v>71981.460000000006</v>
      </c>
      <c r="V298" s="9">
        <f>ROUND(ROUND(P298, 2)/1.2, 2)</f>
        <v>74</v>
      </c>
      <c r="Y298" s="9">
        <f t="shared" si="21"/>
        <v>59984.55</v>
      </c>
      <c r="AD298" s="4" t="s">
        <v>1261</v>
      </c>
      <c r="AE298" s="4" t="s">
        <v>1262</v>
      </c>
      <c r="AF298" s="4" t="s">
        <v>436</v>
      </c>
    </row>
    <row r="299" spans="1:35" ht="36" x14ac:dyDescent="0.3">
      <c r="A299" s="10" t="s">
        <v>1263</v>
      </c>
      <c r="B299" s="10" t="s">
        <v>1249</v>
      </c>
      <c r="C299" s="11" t="s">
        <v>1250</v>
      </c>
      <c r="D299" s="12"/>
      <c r="E299" s="12" t="s">
        <v>1264</v>
      </c>
      <c r="F299" s="12" t="s">
        <v>64</v>
      </c>
      <c r="G299" s="13">
        <v>1</v>
      </c>
      <c r="H299" s="13"/>
      <c r="I299" s="13">
        <v>8.4</v>
      </c>
      <c r="J299" s="14">
        <f>IFERROR(ROUND(SUM(M300,M301)/I299, 2),0)</f>
        <v>13.32</v>
      </c>
      <c r="K299" s="15">
        <v>428</v>
      </c>
      <c r="L299" s="14">
        <f>J299+ROUND(K299, 2)</f>
        <v>441.32</v>
      </c>
      <c r="M299" s="14">
        <f>ROUND(J299*I299, 2)</f>
        <v>111.89</v>
      </c>
      <c r="N299" s="14">
        <f>ROUND(I299*ROUND(K299, 2), 2)</f>
        <v>3595.2</v>
      </c>
      <c r="O299" s="14">
        <f>M299+N299</f>
        <v>3707.09</v>
      </c>
      <c r="P299" s="14">
        <f>IFERROR(ROUND(SUM(S300,S301)/I299, 2),0)</f>
        <v>13.32</v>
      </c>
      <c r="Q299" s="16">
        <v>428</v>
      </c>
      <c r="R299" s="14">
        <f>P299+ROUND(Q299, 2)</f>
        <v>441.32</v>
      </c>
      <c r="S299" s="14">
        <f>ROUND(P299*I299, 2)</f>
        <v>111.89</v>
      </c>
      <c r="T299" s="14">
        <f>ROUND(I299*ROUND(Q299, 2), 2)</f>
        <v>3595.2</v>
      </c>
      <c r="U299" s="14">
        <f>S299+T299</f>
        <v>3707.09</v>
      </c>
      <c r="V299" s="9">
        <f>ROUND(P299 / 1.2, 2)</f>
        <v>11.1</v>
      </c>
      <c r="W299" s="9">
        <f>ROUND(Q299 / 1.2, 2)</f>
        <v>356.67</v>
      </c>
      <c r="X299" s="9">
        <f>ROUND(R299 / 1.2, 2)</f>
        <v>367.77</v>
      </c>
      <c r="Y299" s="9">
        <f t="shared" si="21"/>
        <v>93.24</v>
      </c>
      <c r="Z299" s="9">
        <f>ROUND(T299 / 1.2, 2)</f>
        <v>2996</v>
      </c>
      <c r="AA299" s="9">
        <f>Y299+Z299</f>
        <v>3089.24</v>
      </c>
      <c r="AD299" s="4">
        <v>271132198</v>
      </c>
      <c r="AE299" s="4">
        <v>19990351</v>
      </c>
      <c r="AG299" s="4" t="s">
        <v>1252</v>
      </c>
      <c r="AH299" s="4" t="s">
        <v>1253</v>
      </c>
      <c r="AI299" s="4" t="s">
        <v>67</v>
      </c>
    </row>
    <row r="300" spans="1:35" ht="36" x14ac:dyDescent="0.3">
      <c r="A300" s="10" t="s">
        <v>1265</v>
      </c>
      <c r="B300" s="10"/>
      <c r="C300" s="24" t="s">
        <v>433</v>
      </c>
      <c r="D300" s="12"/>
      <c r="E300" s="12"/>
      <c r="F300" s="18" t="s">
        <v>70</v>
      </c>
      <c r="G300" s="19">
        <v>0.15</v>
      </c>
      <c r="H300" s="19"/>
      <c r="I300" s="19">
        <v>1.26</v>
      </c>
      <c r="J300" s="21">
        <v>88.8</v>
      </c>
      <c r="M300" s="22">
        <f>ROUND(ROUND(J300, 2)*I300, 2)</f>
        <v>111.89</v>
      </c>
      <c r="P300" s="23">
        <v>88.8</v>
      </c>
      <c r="S300" s="22">
        <f>ROUND(ROUND(P300, 2)*I300, 2)</f>
        <v>111.89</v>
      </c>
      <c r="V300" s="9">
        <f>ROUND(ROUND(P300, 2)/1.2, 2)</f>
        <v>74</v>
      </c>
      <c r="Y300" s="9">
        <f t="shared" si="21"/>
        <v>93.24</v>
      </c>
      <c r="AD300" s="4" t="s">
        <v>1266</v>
      </c>
      <c r="AE300" s="4" t="s">
        <v>1267</v>
      </c>
      <c r="AF300" s="4" t="s">
        <v>436</v>
      </c>
    </row>
    <row r="301" spans="1:35" ht="108" x14ac:dyDescent="0.3">
      <c r="A301" s="10" t="s">
        <v>1268</v>
      </c>
      <c r="B301" s="10"/>
      <c r="C301" s="24" t="s">
        <v>1170</v>
      </c>
      <c r="D301" s="12"/>
      <c r="E301" s="12" t="s">
        <v>1269</v>
      </c>
      <c r="F301" s="18" t="s">
        <v>70</v>
      </c>
      <c r="G301" s="19">
        <v>0.3</v>
      </c>
      <c r="H301" s="19"/>
      <c r="I301" s="19">
        <v>2.52</v>
      </c>
      <c r="J301" s="21">
        <v>0</v>
      </c>
      <c r="M301" s="22">
        <f>ROUND(ROUND(J301, 2)*I301, 2)</f>
        <v>0</v>
      </c>
      <c r="P301" s="23">
        <v>0</v>
      </c>
      <c r="S301" s="22">
        <f>ROUND(ROUND(P301, 2)*I301, 2)</f>
        <v>0</v>
      </c>
      <c r="V301" s="9">
        <f>ROUND(ROUND(P301, 2)/1.2, 2)</f>
        <v>0</v>
      </c>
      <c r="Y301" s="9">
        <f t="shared" si="21"/>
        <v>0</v>
      </c>
      <c r="AD301" s="4" t="s">
        <v>1270</v>
      </c>
      <c r="AE301" s="4" t="s">
        <v>1271</v>
      </c>
      <c r="AF301" s="4" t="s">
        <v>1174</v>
      </c>
    </row>
    <row r="302" spans="1:35" ht="36" x14ac:dyDescent="0.3">
      <c r="A302" s="10" t="s">
        <v>1272</v>
      </c>
      <c r="B302" s="10" t="s">
        <v>1249</v>
      </c>
      <c r="C302" s="11" t="s">
        <v>1250</v>
      </c>
      <c r="D302" s="12"/>
      <c r="E302" s="12" t="s">
        <v>1273</v>
      </c>
      <c r="F302" s="12" t="s">
        <v>64</v>
      </c>
      <c r="G302" s="13">
        <v>1</v>
      </c>
      <c r="H302" s="13"/>
      <c r="I302" s="13">
        <v>20.66</v>
      </c>
      <c r="J302" s="14">
        <f>IFERROR(ROUND(SUM(M303,M304)/I302, 2),0)</f>
        <v>13.32</v>
      </c>
      <c r="K302" s="15">
        <v>428</v>
      </c>
      <c r="L302" s="14">
        <f>J302+ROUND(K302, 2)</f>
        <v>441.32</v>
      </c>
      <c r="M302" s="14">
        <f>ROUND(J302*I302, 2)</f>
        <v>275.19</v>
      </c>
      <c r="N302" s="14">
        <f>ROUND(I302*ROUND(K302, 2), 2)</f>
        <v>8842.48</v>
      </c>
      <c r="O302" s="14">
        <f>M302+N302</f>
        <v>9117.67</v>
      </c>
      <c r="P302" s="14">
        <f>IFERROR(ROUND(SUM(S303,S304)/I302, 2),0)</f>
        <v>13.32</v>
      </c>
      <c r="Q302" s="16">
        <v>428</v>
      </c>
      <c r="R302" s="14">
        <f>P302+ROUND(Q302, 2)</f>
        <v>441.32</v>
      </c>
      <c r="S302" s="14">
        <f>ROUND(P302*I302, 2)</f>
        <v>275.19</v>
      </c>
      <c r="T302" s="14">
        <f>ROUND(I302*ROUND(Q302, 2), 2)</f>
        <v>8842.48</v>
      </c>
      <c r="U302" s="14">
        <f>S302+T302</f>
        <v>9117.67</v>
      </c>
      <c r="V302" s="9">
        <f>ROUND(P302 / 1.2, 2)</f>
        <v>11.1</v>
      </c>
      <c r="W302" s="9">
        <f>ROUND(Q302 / 1.2, 2)</f>
        <v>356.67</v>
      </c>
      <c r="X302" s="9">
        <f>ROUND(R302 / 1.2, 2)</f>
        <v>367.77</v>
      </c>
      <c r="Y302" s="9">
        <f t="shared" si="21"/>
        <v>229.33</v>
      </c>
      <c r="Z302" s="9">
        <f>ROUND(T302 / 1.2, 2)</f>
        <v>7368.73</v>
      </c>
      <c r="AA302" s="9">
        <f>Y302+Z302</f>
        <v>7598.06</v>
      </c>
      <c r="AD302" s="4">
        <v>271132199</v>
      </c>
      <c r="AE302" s="4">
        <v>19990352</v>
      </c>
      <c r="AG302" s="4" t="s">
        <v>1252</v>
      </c>
      <c r="AH302" s="4" t="s">
        <v>1253</v>
      </c>
      <c r="AI302" s="4" t="s">
        <v>67</v>
      </c>
    </row>
    <row r="303" spans="1:35" ht="36" x14ac:dyDescent="0.3">
      <c r="A303" s="10" t="s">
        <v>1274</v>
      </c>
      <c r="B303" s="10"/>
      <c r="C303" s="24" t="s">
        <v>433</v>
      </c>
      <c r="D303" s="12"/>
      <c r="E303" s="12"/>
      <c r="F303" s="18" t="s">
        <v>70</v>
      </c>
      <c r="G303" s="19">
        <v>0.15</v>
      </c>
      <c r="H303" s="19"/>
      <c r="I303" s="19">
        <v>3.0990000000000002</v>
      </c>
      <c r="J303" s="21">
        <v>88.8</v>
      </c>
      <c r="M303" s="22">
        <f>ROUND(ROUND(J303, 2)*I303, 2)</f>
        <v>275.19</v>
      </c>
      <c r="P303" s="23">
        <v>88.8</v>
      </c>
      <c r="S303" s="22">
        <f>ROUND(ROUND(P303, 2)*I303, 2)</f>
        <v>275.19</v>
      </c>
      <c r="V303" s="9">
        <f>ROUND(ROUND(P303, 2)/1.2, 2)</f>
        <v>74</v>
      </c>
      <c r="Y303" s="9">
        <f t="shared" si="21"/>
        <v>229.33</v>
      </c>
      <c r="AD303" s="4" t="s">
        <v>1275</v>
      </c>
      <c r="AE303" s="4" t="s">
        <v>1276</v>
      </c>
      <c r="AF303" s="4" t="s">
        <v>436</v>
      </c>
    </row>
    <row r="304" spans="1:35" ht="108" x14ac:dyDescent="0.3">
      <c r="A304" s="10" t="s">
        <v>1277</v>
      </c>
      <c r="B304" s="10"/>
      <c r="C304" s="24" t="s">
        <v>1170</v>
      </c>
      <c r="D304" s="12"/>
      <c r="E304" s="12" t="s">
        <v>1278</v>
      </c>
      <c r="F304" s="18" t="s">
        <v>70</v>
      </c>
      <c r="G304" s="19">
        <v>0.3</v>
      </c>
      <c r="H304" s="19"/>
      <c r="I304" s="19">
        <v>6.1980000000000004</v>
      </c>
      <c r="J304" s="21">
        <v>0</v>
      </c>
      <c r="M304" s="22">
        <f>ROUND(ROUND(J304, 2)*I304, 2)</f>
        <v>0</v>
      </c>
      <c r="P304" s="23">
        <v>0</v>
      </c>
      <c r="S304" s="22">
        <f>ROUND(ROUND(P304, 2)*I304, 2)</f>
        <v>0</v>
      </c>
      <c r="V304" s="9">
        <f>ROUND(ROUND(P304, 2)/1.2, 2)</f>
        <v>0</v>
      </c>
      <c r="Y304" s="9">
        <f t="shared" si="21"/>
        <v>0</v>
      </c>
      <c r="AD304" s="4" t="s">
        <v>1279</v>
      </c>
      <c r="AE304" s="4" t="s">
        <v>1280</v>
      </c>
      <c r="AF304" s="4" t="s">
        <v>1174</v>
      </c>
    </row>
    <row r="305" spans="1:35" ht="36" x14ac:dyDescent="0.3">
      <c r="A305" s="10" t="s">
        <v>1281</v>
      </c>
      <c r="B305" s="10" t="s">
        <v>1249</v>
      </c>
      <c r="C305" s="11" t="s">
        <v>1250</v>
      </c>
      <c r="D305" s="12"/>
      <c r="E305" s="12" t="s">
        <v>1282</v>
      </c>
      <c r="F305" s="12" t="s">
        <v>64</v>
      </c>
      <c r="G305" s="13">
        <v>1</v>
      </c>
      <c r="H305" s="13"/>
      <c r="I305" s="13">
        <v>10.39</v>
      </c>
      <c r="J305" s="14">
        <f>IFERROR(ROUND(SUM(M306,M307)/I305, 2),0)</f>
        <v>13.32</v>
      </c>
      <c r="K305" s="15">
        <v>428</v>
      </c>
      <c r="L305" s="14">
        <f>J305+ROUND(K305, 2)</f>
        <v>441.32</v>
      </c>
      <c r="M305" s="14">
        <f>ROUND(J305*I305, 2)</f>
        <v>138.38999999999999</v>
      </c>
      <c r="N305" s="14">
        <f>ROUND(I305*ROUND(K305, 2), 2)</f>
        <v>4446.92</v>
      </c>
      <c r="O305" s="14">
        <f>M305+N305</f>
        <v>4585.3100000000004</v>
      </c>
      <c r="P305" s="14">
        <f>IFERROR(ROUND(SUM(S306,S307)/I305, 2),0)</f>
        <v>13.32</v>
      </c>
      <c r="Q305" s="16">
        <v>428</v>
      </c>
      <c r="R305" s="14">
        <f>P305+ROUND(Q305, 2)</f>
        <v>441.32</v>
      </c>
      <c r="S305" s="14">
        <f>ROUND(P305*I305, 2)</f>
        <v>138.38999999999999</v>
      </c>
      <c r="T305" s="14">
        <f>ROUND(I305*ROUND(Q305, 2), 2)</f>
        <v>4446.92</v>
      </c>
      <c r="U305" s="14">
        <f>S305+T305</f>
        <v>4585.3100000000004</v>
      </c>
      <c r="V305" s="9">
        <f>ROUND(P305 / 1.2, 2)</f>
        <v>11.1</v>
      </c>
      <c r="W305" s="9">
        <f>ROUND(Q305 / 1.2, 2)</f>
        <v>356.67</v>
      </c>
      <c r="X305" s="9">
        <f>ROUND(R305 / 1.2, 2)</f>
        <v>367.77</v>
      </c>
      <c r="Y305" s="9">
        <f t="shared" si="21"/>
        <v>115.33</v>
      </c>
      <c r="Z305" s="9">
        <f>ROUND(T305 / 1.2, 2)</f>
        <v>3705.77</v>
      </c>
      <c r="AA305" s="9">
        <f>Y305+Z305</f>
        <v>3821.1</v>
      </c>
      <c r="AD305" s="4">
        <v>271132200</v>
      </c>
      <c r="AE305" s="4">
        <v>19990353</v>
      </c>
      <c r="AG305" s="4" t="s">
        <v>1252</v>
      </c>
      <c r="AH305" s="4" t="s">
        <v>1253</v>
      </c>
      <c r="AI305" s="4" t="s">
        <v>67</v>
      </c>
    </row>
    <row r="306" spans="1:35" ht="36" x14ac:dyDescent="0.3">
      <c r="A306" s="10" t="s">
        <v>1283</v>
      </c>
      <c r="B306" s="10"/>
      <c r="C306" s="24" t="s">
        <v>433</v>
      </c>
      <c r="D306" s="12"/>
      <c r="E306" s="12"/>
      <c r="F306" s="18" t="s">
        <v>70</v>
      </c>
      <c r="G306" s="19">
        <v>0.15</v>
      </c>
      <c r="H306" s="19"/>
      <c r="I306" s="19">
        <v>1.5589999999999999</v>
      </c>
      <c r="J306" s="21">
        <v>88.8</v>
      </c>
      <c r="M306" s="22">
        <f>ROUND(ROUND(J306, 2)*I306, 2)</f>
        <v>138.44</v>
      </c>
      <c r="P306" s="23">
        <v>88.8</v>
      </c>
      <c r="S306" s="22">
        <f>ROUND(ROUND(P306, 2)*I306, 2)</f>
        <v>138.44</v>
      </c>
      <c r="V306" s="9">
        <f>ROUND(ROUND(P306, 2)/1.2, 2)</f>
        <v>74</v>
      </c>
      <c r="Y306" s="9">
        <f t="shared" si="21"/>
        <v>115.37</v>
      </c>
      <c r="AD306" s="4" t="s">
        <v>1284</v>
      </c>
      <c r="AE306" s="4" t="s">
        <v>1285</v>
      </c>
      <c r="AF306" s="4" t="s">
        <v>436</v>
      </c>
    </row>
    <row r="307" spans="1:35" ht="108" x14ac:dyDescent="0.3">
      <c r="A307" s="10" t="s">
        <v>1286</v>
      </c>
      <c r="B307" s="10"/>
      <c r="C307" s="24" t="s">
        <v>1170</v>
      </c>
      <c r="D307" s="12"/>
      <c r="E307" s="12" t="s">
        <v>1287</v>
      </c>
      <c r="F307" s="18" t="s">
        <v>70</v>
      </c>
      <c r="G307" s="19">
        <v>0.3</v>
      </c>
      <c r="H307" s="19"/>
      <c r="I307" s="19">
        <v>3.117</v>
      </c>
      <c r="J307" s="21">
        <v>0</v>
      </c>
      <c r="M307" s="22">
        <f>ROUND(ROUND(J307, 2)*I307, 2)</f>
        <v>0</v>
      </c>
      <c r="P307" s="23">
        <v>0</v>
      </c>
      <c r="S307" s="22">
        <f>ROUND(ROUND(P307, 2)*I307, 2)</f>
        <v>0</v>
      </c>
      <c r="V307" s="9">
        <f>ROUND(ROUND(P307, 2)/1.2, 2)</f>
        <v>0</v>
      </c>
      <c r="Y307" s="9">
        <f t="shared" si="21"/>
        <v>0</v>
      </c>
      <c r="AD307" s="4" t="s">
        <v>1288</v>
      </c>
      <c r="AE307" s="4" t="s">
        <v>1289</v>
      </c>
      <c r="AF307" s="4" t="s">
        <v>1174</v>
      </c>
    </row>
    <row r="308" spans="1:35" ht="36" x14ac:dyDescent="0.3">
      <c r="A308" s="10" t="s">
        <v>1290</v>
      </c>
      <c r="B308" s="10" t="s">
        <v>1249</v>
      </c>
      <c r="C308" s="11" t="s">
        <v>1250</v>
      </c>
      <c r="D308" s="12"/>
      <c r="E308" s="12" t="s">
        <v>1291</v>
      </c>
      <c r="F308" s="12" t="s">
        <v>64</v>
      </c>
      <c r="G308" s="13">
        <v>1</v>
      </c>
      <c r="H308" s="13"/>
      <c r="I308" s="13">
        <v>5.0999999999999996</v>
      </c>
      <c r="J308" s="14">
        <f>IFERROR(ROUND(SUM(M309,M310)/I308, 2),0)</f>
        <v>13.32</v>
      </c>
      <c r="K308" s="15">
        <v>428</v>
      </c>
      <c r="L308" s="14">
        <f>J308+ROUND(K308, 2)</f>
        <v>441.32</v>
      </c>
      <c r="M308" s="14">
        <f>ROUND(J308*I308, 2)</f>
        <v>67.930000000000007</v>
      </c>
      <c r="N308" s="14">
        <f>ROUND(I308*ROUND(K308, 2), 2)</f>
        <v>2182.8000000000002</v>
      </c>
      <c r="O308" s="14">
        <f>M308+N308</f>
        <v>2250.73</v>
      </c>
      <c r="P308" s="14">
        <f>IFERROR(ROUND(SUM(S309,S310)/I308, 2),0)</f>
        <v>13.32</v>
      </c>
      <c r="Q308" s="16">
        <v>428</v>
      </c>
      <c r="R308" s="14">
        <f>P308+ROUND(Q308, 2)</f>
        <v>441.32</v>
      </c>
      <c r="S308" s="14">
        <f>ROUND(P308*I308, 2)</f>
        <v>67.930000000000007</v>
      </c>
      <c r="T308" s="14">
        <f>ROUND(I308*ROUND(Q308, 2), 2)</f>
        <v>2182.8000000000002</v>
      </c>
      <c r="U308" s="14">
        <f>S308+T308</f>
        <v>2250.73</v>
      </c>
      <c r="V308" s="9">
        <f>ROUND(P308 / 1.2, 2)</f>
        <v>11.1</v>
      </c>
      <c r="W308" s="9">
        <f>ROUND(Q308 / 1.2, 2)</f>
        <v>356.67</v>
      </c>
      <c r="X308" s="9">
        <f>ROUND(R308 / 1.2, 2)</f>
        <v>367.77</v>
      </c>
      <c r="Y308" s="9">
        <f t="shared" si="21"/>
        <v>56.61</v>
      </c>
      <c r="Z308" s="9">
        <f>ROUND(T308 / 1.2, 2)</f>
        <v>1819</v>
      </c>
      <c r="AA308" s="9">
        <f>Y308+Z308</f>
        <v>1875.61</v>
      </c>
      <c r="AD308" s="4">
        <v>271132201</v>
      </c>
      <c r="AE308" s="4">
        <v>19990354</v>
      </c>
      <c r="AG308" s="4" t="s">
        <v>1252</v>
      </c>
      <c r="AH308" s="4" t="s">
        <v>1253</v>
      </c>
      <c r="AI308" s="4" t="s">
        <v>67</v>
      </c>
    </row>
    <row r="309" spans="1:35" ht="36" x14ac:dyDescent="0.3">
      <c r="A309" s="10" t="s">
        <v>1292</v>
      </c>
      <c r="B309" s="10"/>
      <c r="C309" s="24" t="s">
        <v>433</v>
      </c>
      <c r="D309" s="12"/>
      <c r="E309" s="12"/>
      <c r="F309" s="18" t="s">
        <v>70</v>
      </c>
      <c r="G309" s="19">
        <v>0.15</v>
      </c>
      <c r="H309" s="19"/>
      <c r="I309" s="19">
        <v>0.76500000000000001</v>
      </c>
      <c r="J309" s="21">
        <v>88.8</v>
      </c>
      <c r="M309" s="22">
        <f>ROUND(ROUND(J309, 2)*I309, 2)</f>
        <v>67.930000000000007</v>
      </c>
      <c r="P309" s="23">
        <v>88.8</v>
      </c>
      <c r="S309" s="22">
        <f>ROUND(ROUND(P309, 2)*I309, 2)</f>
        <v>67.930000000000007</v>
      </c>
      <c r="V309" s="9">
        <f>ROUND(ROUND(P309, 2)/1.2, 2)</f>
        <v>74</v>
      </c>
      <c r="Y309" s="9">
        <f t="shared" si="21"/>
        <v>56.61</v>
      </c>
      <c r="AD309" s="4" t="s">
        <v>1293</v>
      </c>
      <c r="AE309" s="4" t="s">
        <v>1294</v>
      </c>
      <c r="AF309" s="4" t="s">
        <v>436</v>
      </c>
    </row>
    <row r="310" spans="1:35" ht="108" x14ac:dyDescent="0.3">
      <c r="A310" s="10" t="s">
        <v>1295</v>
      </c>
      <c r="B310" s="10"/>
      <c r="C310" s="24" t="s">
        <v>1170</v>
      </c>
      <c r="D310" s="12"/>
      <c r="E310" s="12" t="s">
        <v>1296</v>
      </c>
      <c r="F310" s="18" t="s">
        <v>70</v>
      </c>
      <c r="G310" s="19">
        <v>0.3</v>
      </c>
      <c r="H310" s="19"/>
      <c r="I310" s="19">
        <v>1.53</v>
      </c>
      <c r="J310" s="21">
        <v>0</v>
      </c>
      <c r="M310" s="22">
        <f>ROUND(ROUND(J310, 2)*I310, 2)</f>
        <v>0</v>
      </c>
      <c r="P310" s="23">
        <v>0</v>
      </c>
      <c r="S310" s="22">
        <f>ROUND(ROUND(P310, 2)*I310, 2)</f>
        <v>0</v>
      </c>
      <c r="V310" s="9">
        <f>ROUND(ROUND(P310, 2)/1.2, 2)</f>
        <v>0</v>
      </c>
      <c r="Y310" s="9">
        <f t="shared" si="21"/>
        <v>0</v>
      </c>
      <c r="AD310" s="4" t="s">
        <v>1297</v>
      </c>
      <c r="AE310" s="4" t="s">
        <v>1298</v>
      </c>
      <c r="AF310" s="4" t="s">
        <v>1174</v>
      </c>
    </row>
    <row r="311" spans="1:35" ht="36" x14ac:dyDescent="0.3">
      <c r="A311" s="10" t="s">
        <v>1299</v>
      </c>
      <c r="B311" s="10" t="s">
        <v>1249</v>
      </c>
      <c r="C311" s="11" t="s">
        <v>1250</v>
      </c>
      <c r="D311" s="12"/>
      <c r="E311" s="12" t="s">
        <v>1300</v>
      </c>
      <c r="F311" s="12" t="s">
        <v>64</v>
      </c>
      <c r="G311" s="13">
        <v>1</v>
      </c>
      <c r="H311" s="13"/>
      <c r="I311" s="13">
        <v>11.75</v>
      </c>
      <c r="J311" s="14">
        <f>IFERROR(ROUND(SUM(M312,M313)/I311, 2),0)</f>
        <v>13.32</v>
      </c>
      <c r="K311" s="15">
        <v>428</v>
      </c>
      <c r="L311" s="14">
        <f>J311+ROUND(K311, 2)</f>
        <v>441.32</v>
      </c>
      <c r="M311" s="14">
        <f>ROUND(J311*I311, 2)</f>
        <v>156.51</v>
      </c>
      <c r="N311" s="14">
        <f>ROUND(I311*ROUND(K311, 2), 2)</f>
        <v>5029</v>
      </c>
      <c r="O311" s="14">
        <f>M311+N311</f>
        <v>5185.51</v>
      </c>
      <c r="P311" s="14">
        <f>IFERROR(ROUND(SUM(S312,S313)/I311, 2),0)</f>
        <v>13.32</v>
      </c>
      <c r="Q311" s="16">
        <v>428</v>
      </c>
      <c r="R311" s="14">
        <f>P311+ROUND(Q311, 2)</f>
        <v>441.32</v>
      </c>
      <c r="S311" s="14">
        <f>ROUND(P311*I311, 2)</f>
        <v>156.51</v>
      </c>
      <c r="T311" s="14">
        <f>ROUND(I311*ROUND(Q311, 2), 2)</f>
        <v>5029</v>
      </c>
      <c r="U311" s="14">
        <f>S311+T311</f>
        <v>5185.51</v>
      </c>
      <c r="V311" s="9">
        <f>ROUND(P311 / 1.2, 2)</f>
        <v>11.1</v>
      </c>
      <c r="W311" s="9">
        <f>ROUND(Q311 / 1.2, 2)</f>
        <v>356.67</v>
      </c>
      <c r="X311" s="9">
        <f>ROUND(R311 / 1.2, 2)</f>
        <v>367.77</v>
      </c>
      <c r="Y311" s="9">
        <f t="shared" si="21"/>
        <v>130.43</v>
      </c>
      <c r="Z311" s="9">
        <f>ROUND(T311 / 1.2, 2)</f>
        <v>4190.83</v>
      </c>
      <c r="AA311" s="9">
        <f>Y311+Z311</f>
        <v>4321.26</v>
      </c>
      <c r="AD311" s="4">
        <v>271132202</v>
      </c>
      <c r="AE311" s="4">
        <v>19990355</v>
      </c>
      <c r="AG311" s="4" t="s">
        <v>1252</v>
      </c>
      <c r="AH311" s="4" t="s">
        <v>1253</v>
      </c>
      <c r="AI311" s="4" t="s">
        <v>67</v>
      </c>
    </row>
    <row r="312" spans="1:35" ht="36" x14ac:dyDescent="0.3">
      <c r="A312" s="10" t="s">
        <v>1301</v>
      </c>
      <c r="B312" s="10"/>
      <c r="C312" s="24" t="s">
        <v>433</v>
      </c>
      <c r="D312" s="12"/>
      <c r="E312" s="12"/>
      <c r="F312" s="18" t="s">
        <v>70</v>
      </c>
      <c r="G312" s="19">
        <v>0.15</v>
      </c>
      <c r="H312" s="19"/>
      <c r="I312" s="19">
        <v>1.7629999999999999</v>
      </c>
      <c r="J312" s="21">
        <v>88.8</v>
      </c>
      <c r="M312" s="22">
        <f>ROUND(ROUND(J312, 2)*I312, 2)</f>
        <v>156.55000000000001</v>
      </c>
      <c r="P312" s="23">
        <v>88.8</v>
      </c>
      <c r="S312" s="22">
        <f>ROUND(ROUND(P312, 2)*I312, 2)</f>
        <v>156.55000000000001</v>
      </c>
      <c r="V312" s="9">
        <f>ROUND(ROUND(P312, 2)/1.2, 2)</f>
        <v>74</v>
      </c>
      <c r="Y312" s="9">
        <f t="shared" si="21"/>
        <v>130.46</v>
      </c>
      <c r="AD312" s="4" t="s">
        <v>1302</v>
      </c>
      <c r="AE312" s="4" t="s">
        <v>1303</v>
      </c>
      <c r="AF312" s="4" t="s">
        <v>436</v>
      </c>
    </row>
    <row r="313" spans="1:35" ht="108" x14ac:dyDescent="0.3">
      <c r="A313" s="10" t="s">
        <v>1304</v>
      </c>
      <c r="B313" s="10"/>
      <c r="C313" s="24" t="s">
        <v>1170</v>
      </c>
      <c r="D313" s="12"/>
      <c r="E313" s="12" t="s">
        <v>1305</v>
      </c>
      <c r="F313" s="18" t="s">
        <v>70</v>
      </c>
      <c r="G313" s="19">
        <v>0.3</v>
      </c>
      <c r="H313" s="19"/>
      <c r="I313" s="19">
        <v>3.5249999999999999</v>
      </c>
      <c r="J313" s="21">
        <v>0</v>
      </c>
      <c r="M313" s="22">
        <f>ROUND(ROUND(J313, 2)*I313, 2)</f>
        <v>0</v>
      </c>
      <c r="P313" s="23">
        <v>0</v>
      </c>
      <c r="S313" s="22">
        <f>ROUND(ROUND(P313, 2)*I313, 2)</f>
        <v>0</v>
      </c>
      <c r="V313" s="9">
        <f>ROUND(ROUND(P313, 2)/1.2, 2)</f>
        <v>0</v>
      </c>
      <c r="Y313" s="9">
        <f t="shared" si="21"/>
        <v>0</v>
      </c>
      <c r="AD313" s="4" t="s">
        <v>1306</v>
      </c>
      <c r="AE313" s="4" t="s">
        <v>1307</v>
      </c>
      <c r="AF313" s="4" t="s">
        <v>1174</v>
      </c>
    </row>
    <row r="314" spans="1:35" ht="36" x14ac:dyDescent="0.3">
      <c r="A314" s="10" t="s">
        <v>1308</v>
      </c>
      <c r="B314" s="10" t="s">
        <v>1249</v>
      </c>
      <c r="C314" s="11" t="s">
        <v>1250</v>
      </c>
      <c r="D314" s="12"/>
      <c r="E314" s="12" t="s">
        <v>1309</v>
      </c>
      <c r="F314" s="12" t="s">
        <v>64</v>
      </c>
      <c r="G314" s="13">
        <v>1</v>
      </c>
      <c r="H314" s="13"/>
      <c r="I314" s="13">
        <v>78.400000000000006</v>
      </c>
      <c r="J314" s="14">
        <f>IFERROR(ROUND(SUM(M315,M316)/I314, 2),0)</f>
        <v>13.32</v>
      </c>
      <c r="K314" s="15">
        <v>428</v>
      </c>
      <c r="L314" s="14">
        <f>J314+ROUND(K314, 2)</f>
        <v>441.32</v>
      </c>
      <c r="M314" s="14">
        <f>ROUND(J314*I314, 2)</f>
        <v>1044.29</v>
      </c>
      <c r="N314" s="14">
        <f>ROUND(I314*ROUND(K314, 2), 2)</f>
        <v>33555.199999999997</v>
      </c>
      <c r="O314" s="14">
        <f>M314+N314</f>
        <v>34599.49</v>
      </c>
      <c r="P314" s="14">
        <f>IFERROR(ROUND(SUM(S315,S316)/I314, 2),0)</f>
        <v>13.32</v>
      </c>
      <c r="Q314" s="16">
        <v>428</v>
      </c>
      <c r="R314" s="14">
        <f>P314+ROUND(Q314, 2)</f>
        <v>441.32</v>
      </c>
      <c r="S314" s="14">
        <f>ROUND(P314*I314, 2)</f>
        <v>1044.29</v>
      </c>
      <c r="T314" s="14">
        <f>ROUND(I314*ROUND(Q314, 2), 2)</f>
        <v>33555.199999999997</v>
      </c>
      <c r="U314" s="14">
        <f>S314+T314</f>
        <v>34599.49</v>
      </c>
      <c r="V314" s="9">
        <f>ROUND(P314 / 1.2, 2)</f>
        <v>11.1</v>
      </c>
      <c r="W314" s="9">
        <f>ROUND(Q314 / 1.2, 2)</f>
        <v>356.67</v>
      </c>
      <c r="X314" s="9">
        <f>ROUND(R314 / 1.2, 2)</f>
        <v>367.77</v>
      </c>
      <c r="Y314" s="9">
        <f t="shared" si="21"/>
        <v>870.24</v>
      </c>
      <c r="Z314" s="9">
        <f>ROUND(T314 / 1.2, 2)</f>
        <v>27962.67</v>
      </c>
      <c r="AA314" s="9">
        <f>Y314+Z314</f>
        <v>28832.91</v>
      </c>
      <c r="AD314" s="4">
        <v>271132203</v>
      </c>
      <c r="AE314" s="4">
        <v>19990350</v>
      </c>
      <c r="AG314" s="4" t="s">
        <v>1252</v>
      </c>
      <c r="AH314" s="4" t="s">
        <v>1253</v>
      </c>
      <c r="AI314" s="4" t="s">
        <v>67</v>
      </c>
    </row>
    <row r="315" spans="1:35" ht="36" x14ac:dyDescent="0.3">
      <c r="A315" s="10" t="s">
        <v>1310</v>
      </c>
      <c r="B315" s="10"/>
      <c r="C315" s="24" t="s">
        <v>433</v>
      </c>
      <c r="D315" s="12"/>
      <c r="E315" s="12"/>
      <c r="F315" s="18" t="s">
        <v>70</v>
      </c>
      <c r="G315" s="19">
        <v>0.15</v>
      </c>
      <c r="H315" s="19"/>
      <c r="I315" s="19">
        <v>11.76</v>
      </c>
      <c r="J315" s="21">
        <v>88.8</v>
      </c>
      <c r="M315" s="22">
        <f>ROUND(ROUND(J315, 2)*I315, 2)</f>
        <v>1044.29</v>
      </c>
      <c r="P315" s="23">
        <v>88.8</v>
      </c>
      <c r="S315" s="22">
        <f>ROUND(ROUND(P315, 2)*I315, 2)</f>
        <v>1044.29</v>
      </c>
      <c r="V315" s="9">
        <f>ROUND(ROUND(P315, 2)/1.2, 2)</f>
        <v>74</v>
      </c>
      <c r="Y315" s="9">
        <f t="shared" si="21"/>
        <v>870.24</v>
      </c>
      <c r="AD315" s="4" t="s">
        <v>1311</v>
      </c>
      <c r="AE315" s="4" t="s">
        <v>1312</v>
      </c>
      <c r="AF315" s="4" t="s">
        <v>436</v>
      </c>
    </row>
    <row r="316" spans="1:35" ht="108" x14ac:dyDescent="0.3">
      <c r="A316" s="10" t="s">
        <v>1313</v>
      </c>
      <c r="B316" s="10"/>
      <c r="C316" s="24" t="s">
        <v>1170</v>
      </c>
      <c r="D316" s="12"/>
      <c r="E316" s="12" t="s">
        <v>1314</v>
      </c>
      <c r="F316" s="18" t="s">
        <v>70</v>
      </c>
      <c r="G316" s="19">
        <v>0.3</v>
      </c>
      <c r="H316" s="19"/>
      <c r="I316" s="19">
        <v>23.52</v>
      </c>
      <c r="J316" s="21">
        <v>0</v>
      </c>
      <c r="M316" s="22">
        <f>ROUND(ROUND(J316, 2)*I316, 2)</f>
        <v>0</v>
      </c>
      <c r="P316" s="23">
        <v>0</v>
      </c>
      <c r="S316" s="22">
        <f>ROUND(ROUND(P316, 2)*I316, 2)</f>
        <v>0</v>
      </c>
      <c r="V316" s="9">
        <f>ROUND(ROUND(P316, 2)/1.2, 2)</f>
        <v>0</v>
      </c>
      <c r="Y316" s="9">
        <f t="shared" si="21"/>
        <v>0</v>
      </c>
      <c r="AD316" s="4" t="s">
        <v>1315</v>
      </c>
      <c r="AE316" s="4" t="s">
        <v>1316</v>
      </c>
      <c r="AF316" s="4" t="s">
        <v>1174</v>
      </c>
    </row>
    <row r="317" spans="1:35" ht="36" x14ac:dyDescent="0.3">
      <c r="A317" s="10" t="s">
        <v>1317</v>
      </c>
      <c r="B317" s="10" t="s">
        <v>1249</v>
      </c>
      <c r="C317" s="11" t="s">
        <v>1250</v>
      </c>
      <c r="D317" s="12"/>
      <c r="E317" s="12" t="s">
        <v>1318</v>
      </c>
      <c r="F317" s="12" t="s">
        <v>64</v>
      </c>
      <c r="G317" s="13">
        <v>1</v>
      </c>
      <c r="H317" s="13"/>
      <c r="I317" s="13">
        <v>351.8</v>
      </c>
      <c r="J317" s="14">
        <f>IFERROR(ROUND(SUM(M318,M319)/I317, 2),0)</f>
        <v>13.32</v>
      </c>
      <c r="K317" s="15">
        <v>428</v>
      </c>
      <c r="L317" s="14">
        <f>J317+ROUND(K317, 2)</f>
        <v>441.32</v>
      </c>
      <c r="M317" s="14">
        <f>ROUND(J317*I317, 2)</f>
        <v>4685.9799999999996</v>
      </c>
      <c r="N317" s="14">
        <f>ROUND(I317*ROUND(K317, 2), 2)</f>
        <v>150570.4</v>
      </c>
      <c r="O317" s="14">
        <f>M317+N317</f>
        <v>155256.38</v>
      </c>
      <c r="P317" s="14">
        <f>IFERROR(ROUND(SUM(S318,S319)/I317, 2),0)</f>
        <v>13.32</v>
      </c>
      <c r="Q317" s="16">
        <v>428</v>
      </c>
      <c r="R317" s="14">
        <f>P317+ROUND(Q317, 2)</f>
        <v>441.32</v>
      </c>
      <c r="S317" s="14">
        <f>ROUND(P317*I317, 2)</f>
        <v>4685.9799999999996</v>
      </c>
      <c r="T317" s="14">
        <f>ROUND(I317*ROUND(Q317, 2), 2)</f>
        <v>150570.4</v>
      </c>
      <c r="U317" s="14">
        <f>S317+T317</f>
        <v>155256.38</v>
      </c>
      <c r="V317" s="9">
        <f>ROUND(P317 / 1.2, 2)</f>
        <v>11.1</v>
      </c>
      <c r="W317" s="9">
        <f>ROUND(Q317 / 1.2, 2)</f>
        <v>356.67</v>
      </c>
      <c r="X317" s="9">
        <f>ROUND(R317 / 1.2, 2)</f>
        <v>367.77</v>
      </c>
      <c r="Y317" s="9">
        <f t="shared" si="21"/>
        <v>3904.98</v>
      </c>
      <c r="Z317" s="9">
        <f>ROUND(T317 / 1.2, 2)</f>
        <v>125475.33</v>
      </c>
      <c r="AA317" s="9">
        <f>Y317+Z317</f>
        <v>129380.31</v>
      </c>
      <c r="AD317" s="4">
        <v>271132204</v>
      </c>
      <c r="AE317" s="4">
        <v>19990914</v>
      </c>
      <c r="AG317" s="4" t="s">
        <v>1252</v>
      </c>
      <c r="AH317" s="4" t="s">
        <v>1253</v>
      </c>
      <c r="AI317" s="4" t="s">
        <v>67</v>
      </c>
    </row>
    <row r="318" spans="1:35" ht="36" x14ac:dyDescent="0.3">
      <c r="A318" s="10" t="s">
        <v>1319</v>
      </c>
      <c r="B318" s="10"/>
      <c r="C318" s="24" t="s">
        <v>433</v>
      </c>
      <c r="D318" s="12"/>
      <c r="E318" s="12"/>
      <c r="F318" s="18" t="s">
        <v>70</v>
      </c>
      <c r="G318" s="19">
        <v>0.15</v>
      </c>
      <c r="H318" s="19"/>
      <c r="I318" s="19">
        <v>52.77</v>
      </c>
      <c r="J318" s="21">
        <v>88.8</v>
      </c>
      <c r="M318" s="22">
        <f>ROUND(ROUND(J318, 2)*I318, 2)</f>
        <v>4685.9799999999996</v>
      </c>
      <c r="P318" s="23">
        <v>88.8</v>
      </c>
      <c r="S318" s="22">
        <f>ROUND(ROUND(P318, 2)*I318, 2)</f>
        <v>4685.9799999999996</v>
      </c>
      <c r="V318" s="9">
        <f>ROUND(ROUND(P318, 2)/1.2, 2)</f>
        <v>74</v>
      </c>
      <c r="Y318" s="9">
        <f t="shared" si="21"/>
        <v>3904.98</v>
      </c>
      <c r="AD318" s="4" t="s">
        <v>1320</v>
      </c>
      <c r="AE318" s="4" t="s">
        <v>1321</v>
      </c>
      <c r="AF318" s="4" t="s">
        <v>436</v>
      </c>
    </row>
    <row r="319" spans="1:35" ht="108" x14ac:dyDescent="0.3">
      <c r="A319" s="10" t="s">
        <v>1322</v>
      </c>
      <c r="B319" s="10"/>
      <c r="C319" s="24" t="s">
        <v>1170</v>
      </c>
      <c r="D319" s="12"/>
      <c r="E319" s="12" t="s">
        <v>1323</v>
      </c>
      <c r="F319" s="18" t="s">
        <v>70</v>
      </c>
      <c r="G319" s="19">
        <v>0.3</v>
      </c>
      <c r="H319" s="19"/>
      <c r="I319" s="19">
        <v>105.54</v>
      </c>
      <c r="J319" s="21">
        <v>0</v>
      </c>
      <c r="M319" s="22">
        <f>ROUND(ROUND(J319, 2)*I319, 2)</f>
        <v>0</v>
      </c>
      <c r="P319" s="23">
        <v>0</v>
      </c>
      <c r="S319" s="22">
        <f>ROUND(ROUND(P319, 2)*I319, 2)</f>
        <v>0</v>
      </c>
      <c r="V319" s="9">
        <f>ROUND(ROUND(P319, 2)/1.2, 2)</f>
        <v>0</v>
      </c>
      <c r="Y319" s="9">
        <f t="shared" si="21"/>
        <v>0</v>
      </c>
      <c r="AD319" s="4" t="s">
        <v>1324</v>
      </c>
      <c r="AE319" s="4" t="s">
        <v>1325</v>
      </c>
      <c r="AF319" s="4" t="s">
        <v>1174</v>
      </c>
    </row>
    <row r="320" spans="1:35" ht="36" x14ac:dyDescent="0.3">
      <c r="A320" s="10" t="s">
        <v>1326</v>
      </c>
      <c r="B320" s="10" t="s">
        <v>1249</v>
      </c>
      <c r="C320" s="11" t="s">
        <v>1250</v>
      </c>
      <c r="D320" s="12"/>
      <c r="E320" s="12" t="s">
        <v>1327</v>
      </c>
      <c r="F320" s="12" t="s">
        <v>64</v>
      </c>
      <c r="G320" s="13">
        <v>1</v>
      </c>
      <c r="H320" s="13"/>
      <c r="I320" s="13">
        <v>2020.16</v>
      </c>
      <c r="J320" s="14">
        <f>IFERROR(ROUND(SUM(M321,M322)/I320, 2),0)</f>
        <v>13.32</v>
      </c>
      <c r="K320" s="15">
        <v>428</v>
      </c>
      <c r="L320" s="14">
        <f>J320+ROUND(K320, 2)</f>
        <v>441.32</v>
      </c>
      <c r="M320" s="14">
        <f>ROUND(J320*I320, 2)</f>
        <v>26908.53</v>
      </c>
      <c r="N320" s="14">
        <f>ROUND(I320*ROUND(K320, 2), 2)</f>
        <v>864628.48</v>
      </c>
      <c r="O320" s="14">
        <f>M320+N320</f>
        <v>891537.01</v>
      </c>
      <c r="P320" s="14">
        <f>IFERROR(ROUND(SUM(S321,S322)/I320, 2),0)</f>
        <v>13.32</v>
      </c>
      <c r="Q320" s="16">
        <v>428</v>
      </c>
      <c r="R320" s="14">
        <f>P320+ROUND(Q320, 2)</f>
        <v>441.32</v>
      </c>
      <c r="S320" s="14">
        <f>ROUND(P320*I320, 2)</f>
        <v>26908.53</v>
      </c>
      <c r="T320" s="14">
        <f>ROUND(I320*ROUND(Q320, 2), 2)</f>
        <v>864628.48</v>
      </c>
      <c r="U320" s="14">
        <f>S320+T320</f>
        <v>891537.01</v>
      </c>
      <c r="V320" s="9">
        <f>ROUND(P320 / 1.2, 2)</f>
        <v>11.1</v>
      </c>
      <c r="W320" s="9">
        <f>ROUND(Q320 / 1.2, 2)</f>
        <v>356.67</v>
      </c>
      <c r="X320" s="9">
        <f>ROUND(R320 / 1.2, 2)</f>
        <v>367.77</v>
      </c>
      <c r="Y320" s="9">
        <f t="shared" si="21"/>
        <v>22423.78</v>
      </c>
      <c r="Z320" s="9">
        <f>ROUND(T320 / 1.2, 2)</f>
        <v>720523.73</v>
      </c>
      <c r="AA320" s="9">
        <f>Y320+Z320</f>
        <v>742947.51</v>
      </c>
      <c r="AD320" s="4">
        <v>271132205</v>
      </c>
      <c r="AE320" s="4">
        <v>19990916</v>
      </c>
      <c r="AG320" s="4" t="s">
        <v>1252</v>
      </c>
      <c r="AH320" s="4" t="s">
        <v>1253</v>
      </c>
      <c r="AI320" s="4" t="s">
        <v>67</v>
      </c>
    </row>
    <row r="321" spans="1:35" ht="36" x14ac:dyDescent="0.3">
      <c r="A321" s="10" t="s">
        <v>1328</v>
      </c>
      <c r="B321" s="10"/>
      <c r="C321" s="24" t="s">
        <v>433</v>
      </c>
      <c r="D321" s="12"/>
      <c r="E321" s="12"/>
      <c r="F321" s="18" t="s">
        <v>70</v>
      </c>
      <c r="G321" s="19">
        <v>0.15</v>
      </c>
      <c r="H321" s="19"/>
      <c r="I321" s="19">
        <v>303.024</v>
      </c>
      <c r="J321" s="21">
        <v>88.8</v>
      </c>
      <c r="M321" s="22">
        <f>ROUND(ROUND(J321, 2)*I321, 2)</f>
        <v>26908.53</v>
      </c>
      <c r="P321" s="23">
        <v>88.8</v>
      </c>
      <c r="S321" s="22">
        <f>ROUND(ROUND(P321, 2)*I321, 2)</f>
        <v>26908.53</v>
      </c>
      <c r="V321" s="9">
        <f>ROUND(ROUND(P321, 2)/1.2, 2)</f>
        <v>74</v>
      </c>
      <c r="Y321" s="9">
        <f t="shared" si="21"/>
        <v>22423.78</v>
      </c>
      <c r="AD321" s="4" t="s">
        <v>1329</v>
      </c>
      <c r="AE321" s="4" t="s">
        <v>1330</v>
      </c>
      <c r="AF321" s="4" t="s">
        <v>436</v>
      </c>
    </row>
    <row r="322" spans="1:35" ht="126" x14ac:dyDescent="0.3">
      <c r="A322" s="10" t="s">
        <v>1331</v>
      </c>
      <c r="B322" s="10"/>
      <c r="C322" s="24" t="s">
        <v>1185</v>
      </c>
      <c r="D322" s="12"/>
      <c r="E322" s="12" t="s">
        <v>1332</v>
      </c>
      <c r="F322" s="18" t="s">
        <v>70</v>
      </c>
      <c r="G322" s="19">
        <v>0.3</v>
      </c>
      <c r="H322" s="19"/>
      <c r="I322" s="19">
        <v>606.048</v>
      </c>
      <c r="J322" s="21">
        <v>0</v>
      </c>
      <c r="M322" s="22">
        <f>ROUND(ROUND(J322, 2)*I322, 2)</f>
        <v>0</v>
      </c>
      <c r="P322" s="23">
        <v>0</v>
      </c>
      <c r="S322" s="22">
        <f>ROUND(ROUND(P322, 2)*I322, 2)</f>
        <v>0</v>
      </c>
      <c r="V322" s="9">
        <f>ROUND(ROUND(P322, 2)/1.2, 2)</f>
        <v>0</v>
      </c>
      <c r="Y322" s="9">
        <f t="shared" si="21"/>
        <v>0</v>
      </c>
      <c r="AD322" s="4" t="s">
        <v>1333</v>
      </c>
      <c r="AE322" s="4" t="s">
        <v>1334</v>
      </c>
      <c r="AF322" s="4" t="s">
        <v>1189</v>
      </c>
    </row>
    <row r="323" spans="1:35" ht="36" x14ac:dyDescent="0.3">
      <c r="A323" s="10" t="s">
        <v>1335</v>
      </c>
      <c r="B323" s="10" t="s">
        <v>1249</v>
      </c>
      <c r="C323" s="11" t="s">
        <v>1250</v>
      </c>
      <c r="D323" s="12"/>
      <c r="E323" s="12" t="s">
        <v>1336</v>
      </c>
      <c r="F323" s="12" t="s">
        <v>64</v>
      </c>
      <c r="G323" s="13">
        <v>1</v>
      </c>
      <c r="H323" s="13"/>
      <c r="I323" s="13">
        <v>141.44999999999999</v>
      </c>
      <c r="J323" s="14">
        <f>IFERROR(ROUND(SUM(M324,M325)/I323, 2),0)</f>
        <v>13.32</v>
      </c>
      <c r="K323" s="15">
        <v>428</v>
      </c>
      <c r="L323" s="14">
        <f>J323+ROUND(K323, 2)</f>
        <v>441.32</v>
      </c>
      <c r="M323" s="14">
        <f>ROUND(J323*I323, 2)</f>
        <v>1884.11</v>
      </c>
      <c r="N323" s="14">
        <f>ROUND(I323*ROUND(K323, 2), 2)</f>
        <v>60540.6</v>
      </c>
      <c r="O323" s="14">
        <f>M323+N323</f>
        <v>62424.71</v>
      </c>
      <c r="P323" s="14">
        <f>IFERROR(ROUND(SUM(S324,S325)/I323, 2),0)</f>
        <v>13.32</v>
      </c>
      <c r="Q323" s="16">
        <v>428</v>
      </c>
      <c r="R323" s="14">
        <f>P323+ROUND(Q323, 2)</f>
        <v>441.32</v>
      </c>
      <c r="S323" s="14">
        <f>ROUND(P323*I323, 2)</f>
        <v>1884.11</v>
      </c>
      <c r="T323" s="14">
        <f>ROUND(I323*ROUND(Q323, 2), 2)</f>
        <v>60540.6</v>
      </c>
      <c r="U323" s="14">
        <f>S323+T323</f>
        <v>62424.71</v>
      </c>
      <c r="V323" s="9">
        <f>ROUND(P323 / 1.2, 2)</f>
        <v>11.1</v>
      </c>
      <c r="W323" s="9">
        <f>ROUND(Q323 / 1.2, 2)</f>
        <v>356.67</v>
      </c>
      <c r="X323" s="9">
        <f>ROUND(R323 / 1.2, 2)</f>
        <v>367.77</v>
      </c>
      <c r="Y323" s="9">
        <f t="shared" si="21"/>
        <v>1570.09</v>
      </c>
      <c r="Z323" s="9">
        <f>ROUND(T323 / 1.2, 2)</f>
        <v>50450.5</v>
      </c>
      <c r="AA323" s="9">
        <f>Y323+Z323</f>
        <v>52020.59</v>
      </c>
      <c r="AD323" s="4">
        <v>271132206</v>
      </c>
      <c r="AE323" s="4">
        <v>19990917</v>
      </c>
      <c r="AG323" s="4" t="s">
        <v>1252</v>
      </c>
      <c r="AH323" s="4" t="s">
        <v>1253</v>
      </c>
      <c r="AI323" s="4" t="s">
        <v>67</v>
      </c>
    </row>
    <row r="324" spans="1:35" ht="36" x14ac:dyDescent="0.3">
      <c r="A324" s="10" t="s">
        <v>1337</v>
      </c>
      <c r="B324" s="10"/>
      <c r="C324" s="24" t="s">
        <v>433</v>
      </c>
      <c r="D324" s="12"/>
      <c r="E324" s="12"/>
      <c r="F324" s="18" t="s">
        <v>70</v>
      </c>
      <c r="G324" s="19">
        <v>0.15</v>
      </c>
      <c r="H324" s="19"/>
      <c r="I324" s="19">
        <v>21.218</v>
      </c>
      <c r="J324" s="21">
        <v>88.8</v>
      </c>
      <c r="M324" s="22">
        <f>ROUND(ROUND(J324, 2)*I324, 2)</f>
        <v>1884.16</v>
      </c>
      <c r="P324" s="23">
        <v>88.8</v>
      </c>
      <c r="S324" s="22">
        <f>ROUND(ROUND(P324, 2)*I324, 2)</f>
        <v>1884.16</v>
      </c>
      <c r="V324" s="9">
        <f>ROUND(ROUND(P324, 2)/1.2, 2)</f>
        <v>74</v>
      </c>
      <c r="Y324" s="9">
        <f t="shared" si="21"/>
        <v>1570.13</v>
      </c>
      <c r="AD324" s="4" t="s">
        <v>1338</v>
      </c>
      <c r="AE324" s="4" t="s">
        <v>1339</v>
      </c>
      <c r="AF324" s="4" t="s">
        <v>436</v>
      </c>
    </row>
    <row r="325" spans="1:35" ht="108" x14ac:dyDescent="0.3">
      <c r="A325" s="10" t="s">
        <v>1340</v>
      </c>
      <c r="B325" s="10"/>
      <c r="C325" s="24" t="s">
        <v>1170</v>
      </c>
      <c r="D325" s="12"/>
      <c r="E325" s="12" t="s">
        <v>1341</v>
      </c>
      <c r="F325" s="18" t="s">
        <v>70</v>
      </c>
      <c r="G325" s="19">
        <v>0.3</v>
      </c>
      <c r="H325" s="19"/>
      <c r="I325" s="19">
        <v>42.435000000000002</v>
      </c>
      <c r="J325" s="21">
        <v>0</v>
      </c>
      <c r="M325" s="22">
        <f>ROUND(ROUND(J325, 2)*I325, 2)</f>
        <v>0</v>
      </c>
      <c r="P325" s="23">
        <v>0</v>
      </c>
      <c r="S325" s="22">
        <f>ROUND(ROUND(P325, 2)*I325, 2)</f>
        <v>0</v>
      </c>
      <c r="V325" s="9">
        <f>ROUND(ROUND(P325, 2)/1.2, 2)</f>
        <v>0</v>
      </c>
      <c r="Y325" s="9">
        <f t="shared" si="21"/>
        <v>0</v>
      </c>
      <c r="AD325" s="4" t="s">
        <v>1342</v>
      </c>
      <c r="AE325" s="4" t="s">
        <v>1343</v>
      </c>
      <c r="AF325" s="4" t="s">
        <v>1174</v>
      </c>
    </row>
    <row r="326" spans="1:35" ht="36" x14ac:dyDescent="0.3">
      <c r="A326" s="10" t="s">
        <v>1344</v>
      </c>
      <c r="B326" s="10" t="s">
        <v>1249</v>
      </c>
      <c r="C326" s="11" t="s">
        <v>1250</v>
      </c>
      <c r="D326" s="12"/>
      <c r="E326" s="12" t="s">
        <v>1345</v>
      </c>
      <c r="F326" s="12" t="s">
        <v>64</v>
      </c>
      <c r="G326" s="13">
        <v>1</v>
      </c>
      <c r="H326" s="13"/>
      <c r="I326" s="13">
        <v>25.11</v>
      </c>
      <c r="J326" s="14">
        <f>IFERROR(ROUND(SUM(M327,M328)/I326, 2),0)</f>
        <v>13.32</v>
      </c>
      <c r="K326" s="15">
        <v>428</v>
      </c>
      <c r="L326" s="14">
        <f>J326+ROUND(K326, 2)</f>
        <v>441.32</v>
      </c>
      <c r="M326" s="14">
        <f>ROUND(J326*I326, 2)</f>
        <v>334.47</v>
      </c>
      <c r="N326" s="14">
        <f>ROUND(I326*ROUND(K326, 2), 2)</f>
        <v>10747.08</v>
      </c>
      <c r="O326" s="14">
        <f>M326+N326</f>
        <v>11081.55</v>
      </c>
      <c r="P326" s="14">
        <f>IFERROR(ROUND(SUM(S327,S328)/I326, 2),0)</f>
        <v>13.32</v>
      </c>
      <c r="Q326" s="16">
        <v>428</v>
      </c>
      <c r="R326" s="14">
        <f>P326+ROUND(Q326, 2)</f>
        <v>441.32</v>
      </c>
      <c r="S326" s="14">
        <f>ROUND(P326*I326, 2)</f>
        <v>334.47</v>
      </c>
      <c r="T326" s="14">
        <f>ROUND(I326*ROUND(Q326, 2), 2)</f>
        <v>10747.08</v>
      </c>
      <c r="U326" s="14">
        <f>S326+T326</f>
        <v>11081.55</v>
      </c>
      <c r="V326" s="9">
        <f>ROUND(P326 / 1.2, 2)</f>
        <v>11.1</v>
      </c>
      <c r="W326" s="9">
        <f>ROUND(Q326 / 1.2, 2)</f>
        <v>356.67</v>
      </c>
      <c r="X326" s="9">
        <f>ROUND(R326 / 1.2, 2)</f>
        <v>367.77</v>
      </c>
      <c r="Y326" s="9">
        <f t="shared" si="21"/>
        <v>278.73</v>
      </c>
      <c r="Z326" s="9">
        <f>ROUND(T326 / 1.2, 2)</f>
        <v>8955.9</v>
      </c>
      <c r="AA326" s="9">
        <f>Y326+Z326</f>
        <v>9234.6299999999992</v>
      </c>
      <c r="AD326" s="4">
        <v>271132207</v>
      </c>
      <c r="AE326" s="4">
        <v>19990915</v>
      </c>
      <c r="AG326" s="4" t="s">
        <v>1252</v>
      </c>
      <c r="AH326" s="4" t="s">
        <v>1253</v>
      </c>
      <c r="AI326" s="4" t="s">
        <v>67</v>
      </c>
    </row>
    <row r="327" spans="1:35" ht="36" x14ac:dyDescent="0.3">
      <c r="A327" s="10" t="s">
        <v>1346</v>
      </c>
      <c r="B327" s="10"/>
      <c r="C327" s="24" t="s">
        <v>433</v>
      </c>
      <c r="D327" s="12"/>
      <c r="E327" s="12"/>
      <c r="F327" s="18" t="s">
        <v>70</v>
      </c>
      <c r="G327" s="19">
        <v>0.15</v>
      </c>
      <c r="H327" s="19"/>
      <c r="I327" s="19">
        <v>3.7669999999999999</v>
      </c>
      <c r="J327" s="21">
        <v>88.8</v>
      </c>
      <c r="M327" s="22">
        <f>ROUND(ROUND(J327, 2)*I327, 2)</f>
        <v>334.51</v>
      </c>
      <c r="P327" s="23">
        <v>88.8</v>
      </c>
      <c r="S327" s="22">
        <f>ROUND(ROUND(P327, 2)*I327, 2)</f>
        <v>334.51</v>
      </c>
      <c r="V327" s="9">
        <f>ROUND(ROUND(P327, 2)/1.2, 2)</f>
        <v>74</v>
      </c>
      <c r="Y327" s="9">
        <f t="shared" si="21"/>
        <v>278.76</v>
      </c>
      <c r="AD327" s="4" t="s">
        <v>1347</v>
      </c>
      <c r="AE327" s="4" t="s">
        <v>1348</v>
      </c>
      <c r="AF327" s="4" t="s">
        <v>436</v>
      </c>
    </row>
    <row r="328" spans="1:35" ht="108" x14ac:dyDescent="0.3">
      <c r="A328" s="10" t="s">
        <v>1349</v>
      </c>
      <c r="B328" s="10"/>
      <c r="C328" s="24" t="s">
        <v>1170</v>
      </c>
      <c r="D328" s="12"/>
      <c r="E328" s="12" t="s">
        <v>1350</v>
      </c>
      <c r="F328" s="18" t="s">
        <v>70</v>
      </c>
      <c r="G328" s="19">
        <v>0.3</v>
      </c>
      <c r="H328" s="19"/>
      <c r="I328" s="19">
        <v>7.5330000000000004</v>
      </c>
      <c r="J328" s="21">
        <v>0</v>
      </c>
      <c r="M328" s="22">
        <f>ROUND(ROUND(J328, 2)*I328, 2)</f>
        <v>0</v>
      </c>
      <c r="P328" s="23">
        <v>0</v>
      </c>
      <c r="S328" s="22">
        <f>ROUND(ROUND(P328, 2)*I328, 2)</f>
        <v>0</v>
      </c>
      <c r="V328" s="9">
        <f>ROUND(ROUND(P328, 2)/1.2, 2)</f>
        <v>0</v>
      </c>
      <c r="Y328" s="9">
        <f t="shared" ref="Y328:Y359" si="22">ROUND(S328 / 1.2, 2)</f>
        <v>0</v>
      </c>
      <c r="AD328" s="4" t="s">
        <v>1351</v>
      </c>
      <c r="AE328" s="4" t="s">
        <v>1352</v>
      </c>
      <c r="AF328" s="4" t="s">
        <v>1174</v>
      </c>
    </row>
    <row r="329" spans="1:35" ht="36" x14ac:dyDescent="0.3">
      <c r="A329" s="10" t="s">
        <v>1353</v>
      </c>
      <c r="B329" s="10" t="s">
        <v>1249</v>
      </c>
      <c r="C329" s="11" t="s">
        <v>1250</v>
      </c>
      <c r="D329" s="12"/>
      <c r="E329" s="12" t="s">
        <v>1354</v>
      </c>
      <c r="F329" s="12" t="s">
        <v>64</v>
      </c>
      <c r="G329" s="13">
        <v>1</v>
      </c>
      <c r="H329" s="13"/>
      <c r="I329" s="13">
        <v>4509.45</v>
      </c>
      <c r="J329" s="14">
        <f>IFERROR(ROUND(SUM(M330,M331)/I329, 2),0)</f>
        <v>13.32</v>
      </c>
      <c r="K329" s="15">
        <v>428</v>
      </c>
      <c r="L329" s="14">
        <f>J329+ROUND(K329, 2)</f>
        <v>441.32</v>
      </c>
      <c r="M329" s="14">
        <f>ROUND(J329*I329, 2)</f>
        <v>60065.87</v>
      </c>
      <c r="N329" s="14">
        <f>ROUND(I329*ROUND(K329, 2), 2)</f>
        <v>1930044.6</v>
      </c>
      <c r="O329" s="14">
        <f>M329+N329</f>
        <v>1990110.47</v>
      </c>
      <c r="P329" s="14">
        <f>IFERROR(ROUND(SUM(S330,S331)/I329, 2),0)</f>
        <v>13.32</v>
      </c>
      <c r="Q329" s="16">
        <v>428</v>
      </c>
      <c r="R329" s="14">
        <f>P329+ROUND(Q329, 2)</f>
        <v>441.32</v>
      </c>
      <c r="S329" s="14">
        <f>ROUND(P329*I329, 2)</f>
        <v>60065.87</v>
      </c>
      <c r="T329" s="14">
        <f>ROUND(I329*ROUND(Q329, 2), 2)</f>
        <v>1930044.6</v>
      </c>
      <c r="U329" s="14">
        <f>S329+T329</f>
        <v>1990110.47</v>
      </c>
      <c r="V329" s="9">
        <f>ROUND(P329 / 1.2, 2)</f>
        <v>11.1</v>
      </c>
      <c r="W329" s="9">
        <f>ROUND(Q329 / 1.2, 2)</f>
        <v>356.67</v>
      </c>
      <c r="X329" s="9">
        <f>ROUND(R329 / 1.2, 2)</f>
        <v>367.77</v>
      </c>
      <c r="Y329" s="9">
        <f t="shared" si="22"/>
        <v>50054.89</v>
      </c>
      <c r="Z329" s="9">
        <f>ROUND(T329 / 1.2, 2)</f>
        <v>1608370.5</v>
      </c>
      <c r="AA329" s="9">
        <f>Y329+Z329</f>
        <v>1658425.39</v>
      </c>
      <c r="AD329" s="4">
        <v>271132208</v>
      </c>
      <c r="AE329" s="4">
        <v>19991512</v>
      </c>
      <c r="AG329" s="4" t="s">
        <v>1252</v>
      </c>
      <c r="AH329" s="4" t="s">
        <v>1253</v>
      </c>
      <c r="AI329" s="4" t="s">
        <v>67</v>
      </c>
    </row>
    <row r="330" spans="1:35" ht="36" x14ac:dyDescent="0.3">
      <c r="A330" s="10" t="s">
        <v>1355</v>
      </c>
      <c r="B330" s="10"/>
      <c r="C330" s="24" t="s">
        <v>433</v>
      </c>
      <c r="D330" s="12"/>
      <c r="E330" s="12"/>
      <c r="F330" s="18" t="s">
        <v>70</v>
      </c>
      <c r="G330" s="19">
        <v>0.15</v>
      </c>
      <c r="H330" s="19"/>
      <c r="I330" s="19">
        <v>676.41800000000001</v>
      </c>
      <c r="J330" s="21">
        <v>88.8</v>
      </c>
      <c r="M330" s="22">
        <f>ROUND(ROUND(J330, 2)*I330, 2)</f>
        <v>60065.919999999998</v>
      </c>
      <c r="P330" s="23">
        <v>88.8</v>
      </c>
      <c r="S330" s="22">
        <f>ROUND(ROUND(P330, 2)*I330, 2)</f>
        <v>60065.919999999998</v>
      </c>
      <c r="V330" s="9">
        <f>ROUND(ROUND(P330, 2)/1.2, 2)</f>
        <v>74</v>
      </c>
      <c r="Y330" s="9">
        <f t="shared" si="22"/>
        <v>50054.93</v>
      </c>
      <c r="AD330" s="4" t="s">
        <v>1356</v>
      </c>
      <c r="AE330" s="4" t="s">
        <v>1357</v>
      </c>
      <c r="AF330" s="4" t="s">
        <v>436</v>
      </c>
    </row>
    <row r="331" spans="1:35" ht="108" x14ac:dyDescent="0.3">
      <c r="A331" s="10" t="s">
        <v>1358</v>
      </c>
      <c r="B331" s="10"/>
      <c r="C331" s="24" t="s">
        <v>1255</v>
      </c>
      <c r="D331" s="12"/>
      <c r="E331" s="12" t="s">
        <v>1256</v>
      </c>
      <c r="F331" s="18" t="s">
        <v>70</v>
      </c>
      <c r="G331" s="19">
        <v>0.3</v>
      </c>
      <c r="H331" s="19"/>
      <c r="I331" s="19">
        <v>1352.835</v>
      </c>
      <c r="J331" s="21">
        <v>0</v>
      </c>
      <c r="M331" s="22">
        <f>ROUND(ROUND(J331, 2)*I331, 2)</f>
        <v>0</v>
      </c>
      <c r="P331" s="23">
        <v>0</v>
      </c>
      <c r="S331" s="22">
        <f>ROUND(ROUND(P331, 2)*I331, 2)</f>
        <v>0</v>
      </c>
      <c r="V331" s="9">
        <f>ROUND(ROUND(P331, 2)/1.2, 2)</f>
        <v>0</v>
      </c>
      <c r="Y331" s="9">
        <f t="shared" si="22"/>
        <v>0</v>
      </c>
      <c r="AD331" s="4" t="s">
        <v>1359</v>
      </c>
      <c r="AE331" s="4" t="s">
        <v>1360</v>
      </c>
      <c r="AF331" s="4" t="s">
        <v>1259</v>
      </c>
    </row>
    <row r="332" spans="1:35" ht="36" x14ac:dyDescent="0.3">
      <c r="A332" s="10" t="s">
        <v>1361</v>
      </c>
      <c r="B332" s="10" t="s">
        <v>1249</v>
      </c>
      <c r="C332" s="11" t="s">
        <v>1250</v>
      </c>
      <c r="D332" s="12"/>
      <c r="E332" s="12" t="s">
        <v>1362</v>
      </c>
      <c r="F332" s="12" t="s">
        <v>64</v>
      </c>
      <c r="G332" s="13">
        <v>1</v>
      </c>
      <c r="H332" s="13"/>
      <c r="I332" s="13">
        <v>8.64</v>
      </c>
      <c r="J332" s="14">
        <f>IFERROR(ROUND(SUM(M333,M334)/I332, 2),0)</f>
        <v>13.32</v>
      </c>
      <c r="K332" s="15">
        <v>428</v>
      </c>
      <c r="L332" s="14">
        <f>J332+ROUND(K332, 2)</f>
        <v>441.32</v>
      </c>
      <c r="M332" s="14">
        <f>ROUND(J332*I332, 2)</f>
        <v>115.08</v>
      </c>
      <c r="N332" s="14">
        <f>ROUND(I332*ROUND(K332, 2), 2)</f>
        <v>3697.92</v>
      </c>
      <c r="O332" s="14">
        <f>M332+N332</f>
        <v>3813</v>
      </c>
      <c r="P332" s="14">
        <f>IFERROR(ROUND(SUM(S333,S334)/I332, 2),0)</f>
        <v>13.32</v>
      </c>
      <c r="Q332" s="16">
        <v>428</v>
      </c>
      <c r="R332" s="14">
        <f>P332+ROUND(Q332, 2)</f>
        <v>441.32</v>
      </c>
      <c r="S332" s="14">
        <f>ROUND(P332*I332, 2)</f>
        <v>115.08</v>
      </c>
      <c r="T332" s="14">
        <f>ROUND(I332*ROUND(Q332, 2), 2)</f>
        <v>3697.92</v>
      </c>
      <c r="U332" s="14">
        <f>S332+T332</f>
        <v>3813</v>
      </c>
      <c r="V332" s="9">
        <f>ROUND(P332 / 1.2, 2)</f>
        <v>11.1</v>
      </c>
      <c r="W332" s="9">
        <f>ROUND(Q332 / 1.2, 2)</f>
        <v>356.67</v>
      </c>
      <c r="X332" s="9">
        <f>ROUND(R332 / 1.2, 2)</f>
        <v>367.77</v>
      </c>
      <c r="Y332" s="9">
        <f t="shared" si="22"/>
        <v>95.9</v>
      </c>
      <c r="Z332" s="9">
        <f>ROUND(T332 / 1.2, 2)</f>
        <v>3081.6</v>
      </c>
      <c r="AA332" s="9">
        <f>Y332+Z332</f>
        <v>3177.5</v>
      </c>
      <c r="AD332" s="4">
        <v>271132209</v>
      </c>
      <c r="AE332" s="4">
        <v>19991513</v>
      </c>
      <c r="AG332" s="4" t="s">
        <v>1252</v>
      </c>
      <c r="AH332" s="4" t="s">
        <v>1253</v>
      </c>
      <c r="AI332" s="4" t="s">
        <v>67</v>
      </c>
    </row>
    <row r="333" spans="1:35" ht="36" x14ac:dyDescent="0.3">
      <c r="A333" s="10" t="s">
        <v>1363</v>
      </c>
      <c r="B333" s="10"/>
      <c r="C333" s="24" t="s">
        <v>433</v>
      </c>
      <c r="D333" s="12"/>
      <c r="E333" s="12"/>
      <c r="F333" s="18" t="s">
        <v>70</v>
      </c>
      <c r="G333" s="19">
        <v>0.15</v>
      </c>
      <c r="H333" s="19"/>
      <c r="I333" s="19">
        <v>1.296</v>
      </c>
      <c r="J333" s="21">
        <v>88.8</v>
      </c>
      <c r="M333" s="22">
        <f>ROUND(ROUND(J333, 2)*I333, 2)</f>
        <v>115.08</v>
      </c>
      <c r="P333" s="23">
        <v>88.8</v>
      </c>
      <c r="S333" s="22">
        <f>ROUND(ROUND(P333, 2)*I333, 2)</f>
        <v>115.08</v>
      </c>
      <c r="V333" s="9">
        <f>ROUND(ROUND(P333, 2)/1.2, 2)</f>
        <v>74</v>
      </c>
      <c r="Y333" s="9">
        <f t="shared" si="22"/>
        <v>95.9</v>
      </c>
      <c r="AD333" s="4" t="s">
        <v>1364</v>
      </c>
      <c r="AE333" s="4" t="s">
        <v>1365</v>
      </c>
      <c r="AF333" s="4" t="s">
        <v>436</v>
      </c>
    </row>
    <row r="334" spans="1:35" ht="108" x14ac:dyDescent="0.3">
      <c r="A334" s="10" t="s">
        <v>1366</v>
      </c>
      <c r="B334" s="10"/>
      <c r="C334" s="24" t="s">
        <v>1170</v>
      </c>
      <c r="D334" s="12"/>
      <c r="E334" s="12" t="s">
        <v>1269</v>
      </c>
      <c r="F334" s="18" t="s">
        <v>70</v>
      </c>
      <c r="G334" s="19">
        <v>0.3</v>
      </c>
      <c r="H334" s="19"/>
      <c r="I334" s="19">
        <v>2.5920000000000001</v>
      </c>
      <c r="J334" s="21">
        <v>0</v>
      </c>
      <c r="M334" s="22">
        <f>ROUND(ROUND(J334, 2)*I334, 2)</f>
        <v>0</v>
      </c>
      <c r="P334" s="23">
        <v>0</v>
      </c>
      <c r="S334" s="22">
        <f>ROUND(ROUND(P334, 2)*I334, 2)</f>
        <v>0</v>
      </c>
      <c r="V334" s="9">
        <f>ROUND(ROUND(P334, 2)/1.2, 2)</f>
        <v>0</v>
      </c>
      <c r="Y334" s="9">
        <f t="shared" si="22"/>
        <v>0</v>
      </c>
      <c r="AD334" s="4" t="s">
        <v>1367</v>
      </c>
      <c r="AE334" s="4" t="s">
        <v>1368</v>
      </c>
      <c r="AF334" s="4" t="s">
        <v>1174</v>
      </c>
    </row>
    <row r="335" spans="1:35" ht="36" x14ac:dyDescent="0.3">
      <c r="A335" s="10" t="s">
        <v>1369</v>
      </c>
      <c r="B335" s="10" t="s">
        <v>1249</v>
      </c>
      <c r="C335" s="11" t="s">
        <v>1250</v>
      </c>
      <c r="D335" s="12"/>
      <c r="E335" s="12" t="s">
        <v>1370</v>
      </c>
      <c r="F335" s="12" t="s">
        <v>64</v>
      </c>
      <c r="G335" s="13">
        <v>1</v>
      </c>
      <c r="H335" s="13"/>
      <c r="I335" s="13">
        <v>34.68</v>
      </c>
      <c r="J335" s="14">
        <f>IFERROR(ROUND(SUM(M336,M337)/I335, 2),0)</f>
        <v>13.32</v>
      </c>
      <c r="K335" s="15">
        <v>428</v>
      </c>
      <c r="L335" s="14">
        <f>J335+ROUND(K335, 2)</f>
        <v>441.32</v>
      </c>
      <c r="M335" s="14">
        <f>ROUND(J335*I335, 2)</f>
        <v>461.94</v>
      </c>
      <c r="N335" s="14">
        <f>ROUND(I335*ROUND(K335, 2), 2)</f>
        <v>14843.04</v>
      </c>
      <c r="O335" s="14">
        <f>M335+N335</f>
        <v>15304.98</v>
      </c>
      <c r="P335" s="14">
        <f>IFERROR(ROUND(SUM(S336,S337)/I335, 2),0)</f>
        <v>13.32</v>
      </c>
      <c r="Q335" s="16">
        <v>428</v>
      </c>
      <c r="R335" s="14">
        <f>P335+ROUND(Q335, 2)</f>
        <v>441.32</v>
      </c>
      <c r="S335" s="14">
        <f>ROUND(P335*I335, 2)</f>
        <v>461.94</v>
      </c>
      <c r="T335" s="14">
        <f>ROUND(I335*ROUND(Q335, 2), 2)</f>
        <v>14843.04</v>
      </c>
      <c r="U335" s="14">
        <f>S335+T335</f>
        <v>15304.98</v>
      </c>
      <c r="V335" s="9">
        <f>ROUND(P335 / 1.2, 2)</f>
        <v>11.1</v>
      </c>
      <c r="W335" s="9">
        <f>ROUND(Q335 / 1.2, 2)</f>
        <v>356.67</v>
      </c>
      <c r="X335" s="9">
        <f>ROUND(R335 / 1.2, 2)</f>
        <v>367.77</v>
      </c>
      <c r="Y335" s="9">
        <f t="shared" si="22"/>
        <v>384.95</v>
      </c>
      <c r="Z335" s="9">
        <f>ROUND(T335 / 1.2, 2)</f>
        <v>12369.2</v>
      </c>
      <c r="AA335" s="9">
        <f>Y335+Z335</f>
        <v>12754.15</v>
      </c>
      <c r="AD335" s="4">
        <v>271132210</v>
      </c>
      <c r="AE335" s="4">
        <v>19991514</v>
      </c>
      <c r="AG335" s="4" t="s">
        <v>1252</v>
      </c>
      <c r="AH335" s="4" t="s">
        <v>1253</v>
      </c>
      <c r="AI335" s="4" t="s">
        <v>67</v>
      </c>
    </row>
    <row r="336" spans="1:35" ht="36" x14ac:dyDescent="0.3">
      <c r="A336" s="10" t="s">
        <v>1371</v>
      </c>
      <c r="B336" s="10"/>
      <c r="C336" s="24" t="s">
        <v>433</v>
      </c>
      <c r="D336" s="12"/>
      <c r="E336" s="12"/>
      <c r="F336" s="18" t="s">
        <v>70</v>
      </c>
      <c r="G336" s="19">
        <v>0.15</v>
      </c>
      <c r="H336" s="19"/>
      <c r="I336" s="19">
        <v>5.202</v>
      </c>
      <c r="J336" s="21">
        <v>88.8</v>
      </c>
      <c r="M336" s="22">
        <f>ROUND(ROUND(J336, 2)*I336, 2)</f>
        <v>461.94</v>
      </c>
      <c r="P336" s="23">
        <v>88.8</v>
      </c>
      <c r="S336" s="22">
        <f>ROUND(ROUND(P336, 2)*I336, 2)</f>
        <v>461.94</v>
      </c>
      <c r="V336" s="9">
        <f>ROUND(ROUND(P336, 2)/1.2, 2)</f>
        <v>74</v>
      </c>
      <c r="Y336" s="9">
        <f t="shared" si="22"/>
        <v>384.95</v>
      </c>
      <c r="AD336" s="4" t="s">
        <v>1372</v>
      </c>
      <c r="AE336" s="4" t="s">
        <v>1373</v>
      </c>
      <c r="AF336" s="4" t="s">
        <v>436</v>
      </c>
    </row>
    <row r="337" spans="1:35" ht="108" x14ac:dyDescent="0.3">
      <c r="A337" s="10" t="s">
        <v>1374</v>
      </c>
      <c r="B337" s="10"/>
      <c r="C337" s="24" t="s">
        <v>1170</v>
      </c>
      <c r="D337" s="12"/>
      <c r="E337" s="12" t="s">
        <v>1278</v>
      </c>
      <c r="F337" s="18" t="s">
        <v>70</v>
      </c>
      <c r="G337" s="19">
        <v>0.3</v>
      </c>
      <c r="H337" s="19"/>
      <c r="I337" s="19">
        <v>10.404</v>
      </c>
      <c r="J337" s="21">
        <v>0</v>
      </c>
      <c r="M337" s="22">
        <f>ROUND(ROUND(J337, 2)*I337, 2)</f>
        <v>0</v>
      </c>
      <c r="P337" s="23">
        <v>0</v>
      </c>
      <c r="S337" s="22">
        <f>ROUND(ROUND(P337, 2)*I337, 2)</f>
        <v>0</v>
      </c>
      <c r="V337" s="9">
        <f>ROUND(ROUND(P337, 2)/1.2, 2)</f>
        <v>0</v>
      </c>
      <c r="Y337" s="9">
        <f t="shared" si="22"/>
        <v>0</v>
      </c>
      <c r="AD337" s="4" t="s">
        <v>1375</v>
      </c>
      <c r="AE337" s="4" t="s">
        <v>1376</v>
      </c>
      <c r="AF337" s="4" t="s">
        <v>1174</v>
      </c>
    </row>
    <row r="338" spans="1:35" ht="36" x14ac:dyDescent="0.3">
      <c r="A338" s="10" t="s">
        <v>1377</v>
      </c>
      <c r="B338" s="10" t="s">
        <v>1249</v>
      </c>
      <c r="C338" s="11" t="s">
        <v>1250</v>
      </c>
      <c r="D338" s="12"/>
      <c r="E338" s="12" t="s">
        <v>1378</v>
      </c>
      <c r="F338" s="12" t="s">
        <v>64</v>
      </c>
      <c r="G338" s="13">
        <v>1</v>
      </c>
      <c r="H338" s="13"/>
      <c r="I338" s="13">
        <v>24.37</v>
      </c>
      <c r="J338" s="14">
        <f>IFERROR(ROUND(SUM(M339,M340)/I338, 2),0)</f>
        <v>13.32</v>
      </c>
      <c r="K338" s="15">
        <v>428</v>
      </c>
      <c r="L338" s="14">
        <f>J338+ROUND(K338, 2)</f>
        <v>441.32</v>
      </c>
      <c r="M338" s="14">
        <f>ROUND(J338*I338, 2)</f>
        <v>324.61</v>
      </c>
      <c r="N338" s="14">
        <f>ROUND(I338*ROUND(K338, 2), 2)</f>
        <v>10430.36</v>
      </c>
      <c r="O338" s="14">
        <f>M338+N338</f>
        <v>10754.97</v>
      </c>
      <c r="P338" s="14">
        <f>IFERROR(ROUND(SUM(S339,S340)/I338, 2),0)</f>
        <v>13.32</v>
      </c>
      <c r="Q338" s="16">
        <v>428</v>
      </c>
      <c r="R338" s="14">
        <f>P338+ROUND(Q338, 2)</f>
        <v>441.32</v>
      </c>
      <c r="S338" s="14">
        <f>ROUND(P338*I338, 2)</f>
        <v>324.61</v>
      </c>
      <c r="T338" s="14">
        <f>ROUND(I338*ROUND(Q338, 2), 2)</f>
        <v>10430.36</v>
      </c>
      <c r="U338" s="14">
        <f>S338+T338</f>
        <v>10754.97</v>
      </c>
      <c r="V338" s="9">
        <f>ROUND(P338 / 1.2, 2)</f>
        <v>11.1</v>
      </c>
      <c r="W338" s="9">
        <f>ROUND(Q338 / 1.2, 2)</f>
        <v>356.67</v>
      </c>
      <c r="X338" s="9">
        <f>ROUND(R338 / 1.2, 2)</f>
        <v>367.77</v>
      </c>
      <c r="Y338" s="9">
        <f t="shared" si="22"/>
        <v>270.51</v>
      </c>
      <c r="Z338" s="9">
        <f>ROUND(T338 / 1.2, 2)</f>
        <v>8691.9699999999993</v>
      </c>
      <c r="AA338" s="9">
        <f>Y338+Z338</f>
        <v>8962.48</v>
      </c>
      <c r="AD338" s="4">
        <v>271132211</v>
      </c>
      <c r="AE338" s="4">
        <v>19991515</v>
      </c>
      <c r="AG338" s="4" t="s">
        <v>1252</v>
      </c>
      <c r="AH338" s="4" t="s">
        <v>1253</v>
      </c>
      <c r="AI338" s="4" t="s">
        <v>67</v>
      </c>
    </row>
    <row r="339" spans="1:35" ht="36" x14ac:dyDescent="0.3">
      <c r="A339" s="10" t="s">
        <v>1379</v>
      </c>
      <c r="B339" s="10"/>
      <c r="C339" s="24" t="s">
        <v>433</v>
      </c>
      <c r="D339" s="12"/>
      <c r="E339" s="12"/>
      <c r="F339" s="18" t="s">
        <v>70</v>
      </c>
      <c r="G339" s="19">
        <v>0.15</v>
      </c>
      <c r="H339" s="19"/>
      <c r="I339" s="19">
        <v>3.6560000000000001</v>
      </c>
      <c r="J339" s="21">
        <v>88.8</v>
      </c>
      <c r="M339" s="22">
        <f>ROUND(ROUND(J339, 2)*I339, 2)</f>
        <v>324.64999999999998</v>
      </c>
      <c r="P339" s="23">
        <v>88.8</v>
      </c>
      <c r="S339" s="22">
        <f>ROUND(ROUND(P339, 2)*I339, 2)</f>
        <v>324.64999999999998</v>
      </c>
      <c r="V339" s="9">
        <f>ROUND(ROUND(P339, 2)/1.2, 2)</f>
        <v>74</v>
      </c>
      <c r="Y339" s="9">
        <f t="shared" si="22"/>
        <v>270.54000000000002</v>
      </c>
      <c r="AD339" s="4" t="s">
        <v>1380</v>
      </c>
      <c r="AE339" s="4" t="s">
        <v>1381</v>
      </c>
      <c r="AF339" s="4" t="s">
        <v>436</v>
      </c>
    </row>
    <row r="340" spans="1:35" ht="108" x14ac:dyDescent="0.3">
      <c r="A340" s="10" t="s">
        <v>1382</v>
      </c>
      <c r="B340" s="10"/>
      <c r="C340" s="24" t="s">
        <v>1170</v>
      </c>
      <c r="D340" s="12"/>
      <c r="E340" s="12" t="s">
        <v>1287</v>
      </c>
      <c r="F340" s="18" t="s">
        <v>70</v>
      </c>
      <c r="G340" s="19">
        <v>0.3</v>
      </c>
      <c r="H340" s="19"/>
      <c r="I340" s="19">
        <v>7.3109999999999999</v>
      </c>
      <c r="J340" s="21">
        <v>0</v>
      </c>
      <c r="M340" s="22">
        <f>ROUND(ROUND(J340, 2)*I340, 2)</f>
        <v>0</v>
      </c>
      <c r="P340" s="23">
        <v>0</v>
      </c>
      <c r="S340" s="22">
        <f>ROUND(ROUND(P340, 2)*I340, 2)</f>
        <v>0</v>
      </c>
      <c r="V340" s="9">
        <f>ROUND(ROUND(P340, 2)/1.2, 2)</f>
        <v>0</v>
      </c>
      <c r="Y340" s="9">
        <f t="shared" si="22"/>
        <v>0</v>
      </c>
      <c r="AD340" s="4" t="s">
        <v>1383</v>
      </c>
      <c r="AE340" s="4" t="s">
        <v>1384</v>
      </c>
      <c r="AF340" s="4" t="s">
        <v>1174</v>
      </c>
    </row>
    <row r="341" spans="1:35" ht="36" x14ac:dyDescent="0.3">
      <c r="A341" s="10" t="s">
        <v>1385</v>
      </c>
      <c r="B341" s="10" t="s">
        <v>1249</v>
      </c>
      <c r="C341" s="11" t="s">
        <v>1250</v>
      </c>
      <c r="D341" s="12"/>
      <c r="E341" s="12" t="s">
        <v>1386</v>
      </c>
      <c r="F341" s="12" t="s">
        <v>64</v>
      </c>
      <c r="G341" s="13">
        <v>1</v>
      </c>
      <c r="H341" s="13"/>
      <c r="I341" s="13">
        <v>4.95</v>
      </c>
      <c r="J341" s="14">
        <f>IFERROR(ROUND(SUM(M342,M343)/I341, 2),0)</f>
        <v>13.33</v>
      </c>
      <c r="K341" s="15">
        <v>428</v>
      </c>
      <c r="L341" s="14">
        <f>J341+ROUND(K341, 2)</f>
        <v>441.33</v>
      </c>
      <c r="M341" s="14">
        <f>ROUND(J341*I341, 2)</f>
        <v>65.98</v>
      </c>
      <c r="N341" s="14">
        <f>ROUND(I341*ROUND(K341, 2), 2)</f>
        <v>2118.6</v>
      </c>
      <c r="O341" s="14">
        <f>M341+N341</f>
        <v>2184.58</v>
      </c>
      <c r="P341" s="14">
        <f>IFERROR(ROUND(SUM(S342,S343)/I341, 2),0)</f>
        <v>13.33</v>
      </c>
      <c r="Q341" s="16">
        <v>428</v>
      </c>
      <c r="R341" s="14">
        <f>P341+ROUND(Q341, 2)</f>
        <v>441.33</v>
      </c>
      <c r="S341" s="14">
        <f>ROUND(P341*I341, 2)</f>
        <v>65.98</v>
      </c>
      <c r="T341" s="14">
        <f>ROUND(I341*ROUND(Q341, 2), 2)</f>
        <v>2118.6</v>
      </c>
      <c r="U341" s="14">
        <f>S341+T341</f>
        <v>2184.58</v>
      </c>
      <c r="V341" s="9">
        <f>ROUND(P341 / 1.2, 2)</f>
        <v>11.11</v>
      </c>
      <c r="W341" s="9">
        <f>ROUND(Q341 / 1.2, 2)</f>
        <v>356.67</v>
      </c>
      <c r="X341" s="9">
        <f>ROUND(R341 / 1.2, 2)</f>
        <v>367.78</v>
      </c>
      <c r="Y341" s="9">
        <f t="shared" si="22"/>
        <v>54.98</v>
      </c>
      <c r="Z341" s="9">
        <f>ROUND(T341 / 1.2, 2)</f>
        <v>1765.5</v>
      </c>
      <c r="AA341" s="9">
        <f>Y341+Z341</f>
        <v>1820.48</v>
      </c>
      <c r="AD341" s="4">
        <v>271132212</v>
      </c>
      <c r="AE341" s="4">
        <v>19992002</v>
      </c>
      <c r="AG341" s="4" t="s">
        <v>1252</v>
      </c>
      <c r="AH341" s="4" t="s">
        <v>1253</v>
      </c>
      <c r="AI341" s="4" t="s">
        <v>67</v>
      </c>
    </row>
    <row r="342" spans="1:35" ht="36" x14ac:dyDescent="0.3">
      <c r="A342" s="10" t="s">
        <v>1387</v>
      </c>
      <c r="B342" s="10"/>
      <c r="C342" s="24" t="s">
        <v>433</v>
      </c>
      <c r="D342" s="12"/>
      <c r="E342" s="12"/>
      <c r="F342" s="18" t="s">
        <v>70</v>
      </c>
      <c r="G342" s="19">
        <v>0.15</v>
      </c>
      <c r="H342" s="19"/>
      <c r="I342" s="19">
        <v>0.74299999999999999</v>
      </c>
      <c r="J342" s="21">
        <v>88.8</v>
      </c>
      <c r="M342" s="22">
        <f>ROUND(ROUND(J342, 2)*I342, 2)</f>
        <v>65.98</v>
      </c>
      <c r="P342" s="23">
        <v>88.8</v>
      </c>
      <c r="S342" s="22">
        <f>ROUND(ROUND(P342, 2)*I342, 2)</f>
        <v>65.98</v>
      </c>
      <c r="V342" s="9">
        <f>ROUND(ROUND(P342, 2)/1.2, 2)</f>
        <v>74</v>
      </c>
      <c r="Y342" s="9">
        <f t="shared" si="22"/>
        <v>54.98</v>
      </c>
      <c r="AD342" s="4" t="s">
        <v>1388</v>
      </c>
      <c r="AE342" s="4" t="s">
        <v>1389</v>
      </c>
      <c r="AF342" s="4" t="s">
        <v>436</v>
      </c>
    </row>
    <row r="343" spans="1:35" ht="108" x14ac:dyDescent="0.3">
      <c r="A343" s="10" t="s">
        <v>1390</v>
      </c>
      <c r="B343" s="10"/>
      <c r="C343" s="24" t="s">
        <v>1170</v>
      </c>
      <c r="D343" s="12"/>
      <c r="E343" s="12" t="s">
        <v>1296</v>
      </c>
      <c r="F343" s="18" t="s">
        <v>70</v>
      </c>
      <c r="G343" s="19">
        <v>0.3</v>
      </c>
      <c r="H343" s="19"/>
      <c r="I343" s="19">
        <v>1.4850000000000001</v>
      </c>
      <c r="J343" s="21">
        <v>0</v>
      </c>
      <c r="M343" s="22">
        <f>ROUND(ROUND(J343, 2)*I343, 2)</f>
        <v>0</v>
      </c>
      <c r="P343" s="23">
        <v>0</v>
      </c>
      <c r="S343" s="22">
        <f>ROUND(ROUND(P343, 2)*I343, 2)</f>
        <v>0</v>
      </c>
      <c r="V343" s="9">
        <f>ROUND(ROUND(P343, 2)/1.2, 2)</f>
        <v>0</v>
      </c>
      <c r="Y343" s="9">
        <f t="shared" si="22"/>
        <v>0</v>
      </c>
      <c r="AD343" s="4" t="s">
        <v>1391</v>
      </c>
      <c r="AE343" s="4" t="s">
        <v>1392</v>
      </c>
      <c r="AF343" s="4" t="s">
        <v>1174</v>
      </c>
    </row>
    <row r="344" spans="1:35" ht="36" x14ac:dyDescent="0.3">
      <c r="A344" s="10" t="s">
        <v>1393</v>
      </c>
      <c r="B344" s="10" t="s">
        <v>1249</v>
      </c>
      <c r="C344" s="11" t="s">
        <v>1250</v>
      </c>
      <c r="D344" s="12"/>
      <c r="E344" s="12" t="s">
        <v>1394</v>
      </c>
      <c r="F344" s="12" t="s">
        <v>64</v>
      </c>
      <c r="G344" s="13">
        <v>1</v>
      </c>
      <c r="H344" s="13"/>
      <c r="I344" s="13">
        <v>11.73</v>
      </c>
      <c r="J344" s="14">
        <f>IFERROR(ROUND(SUM(M345,M346)/I344, 2),0)</f>
        <v>13.32</v>
      </c>
      <c r="K344" s="15">
        <v>428</v>
      </c>
      <c r="L344" s="14">
        <f>J344+ROUND(K344, 2)</f>
        <v>441.32</v>
      </c>
      <c r="M344" s="14">
        <f>ROUND(J344*I344, 2)</f>
        <v>156.24</v>
      </c>
      <c r="N344" s="14">
        <f>ROUND(I344*ROUND(K344, 2), 2)</f>
        <v>5020.4399999999996</v>
      </c>
      <c r="O344" s="14">
        <f>M344+N344</f>
        <v>5176.68</v>
      </c>
      <c r="P344" s="14">
        <f>IFERROR(ROUND(SUM(S345,S346)/I344, 2),0)</f>
        <v>13.32</v>
      </c>
      <c r="Q344" s="16">
        <v>428</v>
      </c>
      <c r="R344" s="14">
        <f>P344+ROUND(Q344, 2)</f>
        <v>441.32</v>
      </c>
      <c r="S344" s="14">
        <f>ROUND(P344*I344, 2)</f>
        <v>156.24</v>
      </c>
      <c r="T344" s="14">
        <f>ROUND(I344*ROUND(Q344, 2), 2)</f>
        <v>5020.4399999999996</v>
      </c>
      <c r="U344" s="14">
        <f>S344+T344</f>
        <v>5176.68</v>
      </c>
      <c r="V344" s="9">
        <f>ROUND(P344 / 1.2, 2)</f>
        <v>11.1</v>
      </c>
      <c r="W344" s="9">
        <f>ROUND(Q344 / 1.2, 2)</f>
        <v>356.67</v>
      </c>
      <c r="X344" s="9">
        <f>ROUND(R344 / 1.2, 2)</f>
        <v>367.77</v>
      </c>
      <c r="Y344" s="9">
        <f t="shared" si="22"/>
        <v>130.19999999999999</v>
      </c>
      <c r="Z344" s="9">
        <f>ROUND(T344 / 1.2, 2)</f>
        <v>4183.7</v>
      </c>
      <c r="AA344" s="9">
        <f>Y344+Z344</f>
        <v>4313.8999999999996</v>
      </c>
      <c r="AD344" s="4">
        <v>271132213</v>
      </c>
      <c r="AE344" s="4">
        <v>19992003</v>
      </c>
      <c r="AG344" s="4" t="s">
        <v>1252</v>
      </c>
      <c r="AH344" s="4" t="s">
        <v>1253</v>
      </c>
      <c r="AI344" s="4" t="s">
        <v>67</v>
      </c>
    </row>
    <row r="345" spans="1:35" ht="36" x14ac:dyDescent="0.3">
      <c r="A345" s="10" t="s">
        <v>1395</v>
      </c>
      <c r="B345" s="10"/>
      <c r="C345" s="24" t="s">
        <v>433</v>
      </c>
      <c r="D345" s="12"/>
      <c r="E345" s="12"/>
      <c r="F345" s="18" t="s">
        <v>70</v>
      </c>
      <c r="G345" s="19">
        <v>0.15</v>
      </c>
      <c r="H345" s="19"/>
      <c r="I345" s="19">
        <v>1.76</v>
      </c>
      <c r="J345" s="21">
        <v>88.8</v>
      </c>
      <c r="M345" s="22">
        <f>ROUND(ROUND(J345, 2)*I345, 2)</f>
        <v>156.29</v>
      </c>
      <c r="P345" s="23">
        <v>88.8</v>
      </c>
      <c r="S345" s="22">
        <f>ROUND(ROUND(P345, 2)*I345, 2)</f>
        <v>156.29</v>
      </c>
      <c r="V345" s="9">
        <f>ROUND(ROUND(P345, 2)/1.2, 2)</f>
        <v>74</v>
      </c>
      <c r="Y345" s="9">
        <f t="shared" si="22"/>
        <v>130.24</v>
      </c>
      <c r="AD345" s="4" t="s">
        <v>1396</v>
      </c>
      <c r="AE345" s="4" t="s">
        <v>1397</v>
      </c>
      <c r="AF345" s="4" t="s">
        <v>436</v>
      </c>
    </row>
    <row r="346" spans="1:35" ht="108" x14ac:dyDescent="0.3">
      <c r="A346" s="10" t="s">
        <v>1398</v>
      </c>
      <c r="B346" s="10"/>
      <c r="C346" s="24" t="s">
        <v>1170</v>
      </c>
      <c r="D346" s="12"/>
      <c r="E346" s="12" t="s">
        <v>1305</v>
      </c>
      <c r="F346" s="18" t="s">
        <v>70</v>
      </c>
      <c r="G346" s="19">
        <v>0.3</v>
      </c>
      <c r="H346" s="19"/>
      <c r="I346" s="19">
        <v>3.5190000000000001</v>
      </c>
      <c r="J346" s="21">
        <v>0</v>
      </c>
      <c r="M346" s="22">
        <f>ROUND(ROUND(J346, 2)*I346, 2)</f>
        <v>0</v>
      </c>
      <c r="P346" s="23">
        <v>0</v>
      </c>
      <c r="S346" s="22">
        <f>ROUND(ROUND(P346, 2)*I346, 2)</f>
        <v>0</v>
      </c>
      <c r="V346" s="9">
        <f>ROUND(ROUND(P346, 2)/1.2, 2)</f>
        <v>0</v>
      </c>
      <c r="Y346" s="9">
        <f t="shared" si="22"/>
        <v>0</v>
      </c>
      <c r="AD346" s="4" t="s">
        <v>1399</v>
      </c>
      <c r="AE346" s="4" t="s">
        <v>1400</v>
      </c>
      <c r="AF346" s="4" t="s">
        <v>1174</v>
      </c>
    </row>
    <row r="347" spans="1:35" ht="36" x14ac:dyDescent="0.3">
      <c r="A347" s="10" t="s">
        <v>1401</v>
      </c>
      <c r="B347" s="10" t="s">
        <v>1249</v>
      </c>
      <c r="C347" s="11" t="s">
        <v>1250</v>
      </c>
      <c r="D347" s="12"/>
      <c r="E347" s="12" t="s">
        <v>1402</v>
      </c>
      <c r="F347" s="12" t="s">
        <v>64</v>
      </c>
      <c r="G347" s="13">
        <v>1</v>
      </c>
      <c r="H347" s="13"/>
      <c r="I347" s="13">
        <v>18.63</v>
      </c>
      <c r="J347" s="14">
        <f>IFERROR(ROUND(SUM(M348,M349)/I347, 2),0)</f>
        <v>13.32</v>
      </c>
      <c r="K347" s="15">
        <v>428</v>
      </c>
      <c r="L347" s="14">
        <f>J347+ROUND(K347, 2)</f>
        <v>441.32</v>
      </c>
      <c r="M347" s="14">
        <f>ROUND(J347*I347, 2)</f>
        <v>248.15</v>
      </c>
      <c r="N347" s="14">
        <f>ROUND(I347*ROUND(K347, 2), 2)</f>
        <v>7973.64</v>
      </c>
      <c r="O347" s="14">
        <f>M347+N347</f>
        <v>8221.7900000000009</v>
      </c>
      <c r="P347" s="14">
        <f>IFERROR(ROUND(SUM(S348,S349)/I347, 2),0)</f>
        <v>13.32</v>
      </c>
      <c r="Q347" s="16">
        <v>428</v>
      </c>
      <c r="R347" s="14">
        <f>P347+ROUND(Q347, 2)</f>
        <v>441.32</v>
      </c>
      <c r="S347" s="14">
        <f>ROUND(P347*I347, 2)</f>
        <v>248.15</v>
      </c>
      <c r="T347" s="14">
        <f>ROUND(I347*ROUND(Q347, 2), 2)</f>
        <v>7973.64</v>
      </c>
      <c r="U347" s="14">
        <f>S347+T347</f>
        <v>8221.7900000000009</v>
      </c>
      <c r="V347" s="9">
        <f>ROUND(P347 / 1.2, 2)</f>
        <v>11.1</v>
      </c>
      <c r="W347" s="9">
        <f>ROUND(Q347 / 1.2, 2)</f>
        <v>356.67</v>
      </c>
      <c r="X347" s="9">
        <f>ROUND(R347 / 1.2, 2)</f>
        <v>367.77</v>
      </c>
      <c r="Y347" s="9">
        <f t="shared" si="22"/>
        <v>206.79</v>
      </c>
      <c r="Z347" s="9">
        <f>ROUND(T347 / 1.2, 2)</f>
        <v>6644.7</v>
      </c>
      <c r="AA347" s="9">
        <f>Y347+Z347</f>
        <v>6851.49</v>
      </c>
      <c r="AD347" s="4">
        <v>271132214</v>
      </c>
      <c r="AE347" s="4">
        <v>19992004</v>
      </c>
      <c r="AG347" s="4" t="s">
        <v>1252</v>
      </c>
      <c r="AH347" s="4" t="s">
        <v>1253</v>
      </c>
      <c r="AI347" s="4" t="s">
        <v>67</v>
      </c>
    </row>
    <row r="348" spans="1:35" ht="36" x14ac:dyDescent="0.3">
      <c r="A348" s="10" t="s">
        <v>1403</v>
      </c>
      <c r="B348" s="10"/>
      <c r="C348" s="24" t="s">
        <v>433</v>
      </c>
      <c r="D348" s="12"/>
      <c r="E348" s="12"/>
      <c r="F348" s="18" t="s">
        <v>70</v>
      </c>
      <c r="G348" s="19">
        <v>0.15</v>
      </c>
      <c r="H348" s="19"/>
      <c r="I348" s="19">
        <v>2.7949999999999999</v>
      </c>
      <c r="J348" s="21">
        <v>88.8</v>
      </c>
      <c r="M348" s="22">
        <f>ROUND(ROUND(J348, 2)*I348, 2)</f>
        <v>248.2</v>
      </c>
      <c r="P348" s="23">
        <v>88.8</v>
      </c>
      <c r="S348" s="22">
        <f>ROUND(ROUND(P348, 2)*I348, 2)</f>
        <v>248.2</v>
      </c>
      <c r="V348" s="9">
        <f>ROUND(ROUND(P348, 2)/1.2, 2)</f>
        <v>74</v>
      </c>
      <c r="Y348" s="9">
        <f t="shared" si="22"/>
        <v>206.83</v>
      </c>
      <c r="AD348" s="4" t="s">
        <v>1404</v>
      </c>
      <c r="AE348" s="4" t="s">
        <v>1405</v>
      </c>
      <c r="AF348" s="4" t="s">
        <v>436</v>
      </c>
    </row>
    <row r="349" spans="1:35" ht="108" x14ac:dyDescent="0.3">
      <c r="A349" s="10" t="s">
        <v>1406</v>
      </c>
      <c r="B349" s="10"/>
      <c r="C349" s="24" t="s">
        <v>1170</v>
      </c>
      <c r="D349" s="12"/>
      <c r="E349" s="12" t="s">
        <v>1350</v>
      </c>
      <c r="F349" s="18" t="s">
        <v>70</v>
      </c>
      <c r="G349" s="19">
        <v>0.3</v>
      </c>
      <c r="H349" s="19"/>
      <c r="I349" s="19">
        <v>5.5890000000000004</v>
      </c>
      <c r="J349" s="21">
        <v>0</v>
      </c>
      <c r="M349" s="22">
        <f>ROUND(ROUND(J349, 2)*I349, 2)</f>
        <v>0</v>
      </c>
      <c r="P349" s="23">
        <v>0</v>
      </c>
      <c r="S349" s="22">
        <f>ROUND(ROUND(P349, 2)*I349, 2)</f>
        <v>0</v>
      </c>
      <c r="V349" s="9">
        <f>ROUND(ROUND(P349, 2)/1.2, 2)</f>
        <v>0</v>
      </c>
      <c r="Y349" s="9">
        <f t="shared" si="22"/>
        <v>0</v>
      </c>
      <c r="AD349" s="4" t="s">
        <v>1407</v>
      </c>
      <c r="AE349" s="4" t="s">
        <v>1408</v>
      </c>
      <c r="AF349" s="4" t="s">
        <v>1174</v>
      </c>
    </row>
    <row r="350" spans="1:35" ht="36" x14ac:dyDescent="0.3">
      <c r="A350" s="10" t="s">
        <v>1409</v>
      </c>
      <c r="B350" s="10" t="s">
        <v>1249</v>
      </c>
      <c r="C350" s="11" t="s">
        <v>1250</v>
      </c>
      <c r="D350" s="12"/>
      <c r="E350" s="12" t="s">
        <v>1410</v>
      </c>
      <c r="F350" s="12" t="s">
        <v>64</v>
      </c>
      <c r="G350" s="13">
        <v>1</v>
      </c>
      <c r="H350" s="13"/>
      <c r="I350" s="13">
        <v>390.43</v>
      </c>
      <c r="J350" s="14">
        <f>IFERROR(ROUND(SUM(M351,M352)/I350, 2),0)</f>
        <v>13.32</v>
      </c>
      <c r="K350" s="15">
        <v>428</v>
      </c>
      <c r="L350" s="14">
        <f>J350+ROUND(K350, 2)</f>
        <v>441.32</v>
      </c>
      <c r="M350" s="14">
        <f>ROUND(J350*I350, 2)</f>
        <v>5200.53</v>
      </c>
      <c r="N350" s="14">
        <f>ROUND(I350*ROUND(K350, 2), 2)</f>
        <v>167104.04</v>
      </c>
      <c r="O350" s="14">
        <f>M350+N350</f>
        <v>172304.57</v>
      </c>
      <c r="P350" s="14">
        <f>IFERROR(ROUND(SUM(S351,S352)/I350, 2),0)</f>
        <v>13.32</v>
      </c>
      <c r="Q350" s="16">
        <v>428</v>
      </c>
      <c r="R350" s="14">
        <f>P350+ROUND(Q350, 2)</f>
        <v>441.32</v>
      </c>
      <c r="S350" s="14">
        <f>ROUND(P350*I350, 2)</f>
        <v>5200.53</v>
      </c>
      <c r="T350" s="14">
        <f>ROUND(I350*ROUND(Q350, 2), 2)</f>
        <v>167104.04</v>
      </c>
      <c r="U350" s="14">
        <f>S350+T350</f>
        <v>172304.57</v>
      </c>
      <c r="V350" s="9">
        <f>ROUND(P350 / 1.2, 2)</f>
        <v>11.1</v>
      </c>
      <c r="W350" s="9">
        <f>ROUND(Q350 / 1.2, 2)</f>
        <v>356.67</v>
      </c>
      <c r="X350" s="9">
        <f>ROUND(R350 / 1.2, 2)</f>
        <v>367.77</v>
      </c>
      <c r="Y350" s="9">
        <f t="shared" si="22"/>
        <v>4333.78</v>
      </c>
      <c r="Z350" s="9">
        <f>ROUND(T350 / 1.2, 2)</f>
        <v>139253.37</v>
      </c>
      <c r="AA350" s="9">
        <f>Y350+Z350</f>
        <v>143587.15</v>
      </c>
      <c r="AD350" s="4">
        <v>271132215</v>
      </c>
      <c r="AE350" s="4">
        <v>19992001</v>
      </c>
      <c r="AG350" s="4" t="s">
        <v>1252</v>
      </c>
      <c r="AH350" s="4" t="s">
        <v>1253</v>
      </c>
      <c r="AI350" s="4" t="s">
        <v>67</v>
      </c>
    </row>
    <row r="351" spans="1:35" ht="36" x14ac:dyDescent="0.3">
      <c r="A351" s="10" t="s">
        <v>1411</v>
      </c>
      <c r="B351" s="10"/>
      <c r="C351" s="24" t="s">
        <v>433</v>
      </c>
      <c r="D351" s="12"/>
      <c r="E351" s="12"/>
      <c r="F351" s="18" t="s">
        <v>70</v>
      </c>
      <c r="G351" s="19">
        <v>0.15</v>
      </c>
      <c r="H351" s="19"/>
      <c r="I351" s="19">
        <v>58.564999999999998</v>
      </c>
      <c r="J351" s="21">
        <v>88.8</v>
      </c>
      <c r="M351" s="22">
        <f>ROUND(ROUND(J351, 2)*I351, 2)</f>
        <v>5200.57</v>
      </c>
      <c r="P351" s="23">
        <v>88.8</v>
      </c>
      <c r="S351" s="22">
        <f>ROUND(ROUND(P351, 2)*I351, 2)</f>
        <v>5200.57</v>
      </c>
      <c r="V351" s="9">
        <f>ROUND(ROUND(P351, 2)/1.2, 2)</f>
        <v>74</v>
      </c>
      <c r="Y351" s="9">
        <f t="shared" si="22"/>
        <v>4333.8100000000004</v>
      </c>
      <c r="AD351" s="4" t="s">
        <v>1412</v>
      </c>
      <c r="AE351" s="4" t="s">
        <v>1413</v>
      </c>
      <c r="AF351" s="4" t="s">
        <v>436</v>
      </c>
    </row>
    <row r="352" spans="1:35" ht="108" x14ac:dyDescent="0.3">
      <c r="A352" s="10" t="s">
        <v>1414</v>
      </c>
      <c r="B352" s="10"/>
      <c r="C352" s="24" t="s">
        <v>1170</v>
      </c>
      <c r="D352" s="12"/>
      <c r="E352" s="12" t="s">
        <v>1323</v>
      </c>
      <c r="F352" s="18" t="s">
        <v>70</v>
      </c>
      <c r="G352" s="19">
        <v>0.3</v>
      </c>
      <c r="H352" s="19"/>
      <c r="I352" s="19">
        <v>117.129</v>
      </c>
      <c r="J352" s="21">
        <v>0</v>
      </c>
      <c r="M352" s="22">
        <f>ROUND(ROUND(J352, 2)*I352, 2)</f>
        <v>0</v>
      </c>
      <c r="P352" s="23">
        <v>0</v>
      </c>
      <c r="S352" s="22">
        <f>ROUND(ROUND(P352, 2)*I352, 2)</f>
        <v>0</v>
      </c>
      <c r="V352" s="9">
        <f>ROUND(ROUND(P352, 2)/1.2, 2)</f>
        <v>0</v>
      </c>
      <c r="Y352" s="9">
        <f t="shared" si="22"/>
        <v>0</v>
      </c>
      <c r="AD352" s="4" t="s">
        <v>1415</v>
      </c>
      <c r="AE352" s="4" t="s">
        <v>1416</v>
      </c>
      <c r="AF352" s="4" t="s">
        <v>1174</v>
      </c>
    </row>
    <row r="353" spans="1:35" ht="36" x14ac:dyDescent="0.3">
      <c r="A353" s="10" t="s">
        <v>1417</v>
      </c>
      <c r="B353" s="10" t="s">
        <v>1249</v>
      </c>
      <c r="C353" s="11" t="s">
        <v>1250</v>
      </c>
      <c r="D353" s="12"/>
      <c r="E353" s="12" t="s">
        <v>1418</v>
      </c>
      <c r="F353" s="12" t="s">
        <v>64</v>
      </c>
      <c r="G353" s="13">
        <v>1</v>
      </c>
      <c r="H353" s="13"/>
      <c r="I353" s="13">
        <v>2002.74</v>
      </c>
      <c r="J353" s="14">
        <f>IFERROR(ROUND(SUM(M354,M355)/I353, 2),0)</f>
        <v>13.32</v>
      </c>
      <c r="K353" s="15">
        <v>428</v>
      </c>
      <c r="L353" s="14">
        <f>J353+ROUND(K353, 2)</f>
        <v>441.32</v>
      </c>
      <c r="M353" s="14">
        <f>ROUND(J353*I353, 2)</f>
        <v>26676.5</v>
      </c>
      <c r="N353" s="14">
        <f>ROUND(I353*ROUND(K353, 2), 2)</f>
        <v>857172.72</v>
      </c>
      <c r="O353" s="14">
        <f>M353+N353</f>
        <v>883849.22</v>
      </c>
      <c r="P353" s="14">
        <f>IFERROR(ROUND(SUM(S354,S355)/I353, 2),0)</f>
        <v>13.32</v>
      </c>
      <c r="Q353" s="16">
        <v>428</v>
      </c>
      <c r="R353" s="14">
        <f>P353+ROUND(Q353, 2)</f>
        <v>441.32</v>
      </c>
      <c r="S353" s="14">
        <f>ROUND(P353*I353, 2)</f>
        <v>26676.5</v>
      </c>
      <c r="T353" s="14">
        <f>ROUND(I353*ROUND(Q353, 2), 2)</f>
        <v>857172.72</v>
      </c>
      <c r="U353" s="14">
        <f>S353+T353</f>
        <v>883849.22</v>
      </c>
      <c r="V353" s="9">
        <f>ROUND(P353 / 1.2, 2)</f>
        <v>11.1</v>
      </c>
      <c r="W353" s="9">
        <f>ROUND(Q353 / 1.2, 2)</f>
        <v>356.67</v>
      </c>
      <c r="X353" s="9">
        <f>ROUND(R353 / 1.2, 2)</f>
        <v>367.77</v>
      </c>
      <c r="Y353" s="9">
        <f t="shared" si="22"/>
        <v>22230.42</v>
      </c>
      <c r="Z353" s="9">
        <f>ROUND(T353 / 1.2, 2)</f>
        <v>714310.6</v>
      </c>
      <c r="AA353" s="9">
        <f>Y353+Z353</f>
        <v>736541.02</v>
      </c>
      <c r="AD353" s="4">
        <v>271132216</v>
      </c>
      <c r="AE353" s="4">
        <v>19992005</v>
      </c>
      <c r="AG353" s="4" t="s">
        <v>1252</v>
      </c>
      <c r="AH353" s="4" t="s">
        <v>1253</v>
      </c>
      <c r="AI353" s="4" t="s">
        <v>67</v>
      </c>
    </row>
    <row r="354" spans="1:35" ht="36" x14ac:dyDescent="0.3">
      <c r="A354" s="10" t="s">
        <v>1419</v>
      </c>
      <c r="B354" s="10"/>
      <c r="C354" s="24" t="s">
        <v>433</v>
      </c>
      <c r="D354" s="12"/>
      <c r="E354" s="12"/>
      <c r="F354" s="18" t="s">
        <v>70</v>
      </c>
      <c r="G354" s="19">
        <v>0.15</v>
      </c>
      <c r="H354" s="19"/>
      <c r="I354" s="19">
        <v>300.411</v>
      </c>
      <c r="J354" s="21">
        <v>88.8</v>
      </c>
      <c r="M354" s="22">
        <f>ROUND(ROUND(J354, 2)*I354, 2)</f>
        <v>26676.5</v>
      </c>
      <c r="P354" s="23">
        <v>88.8</v>
      </c>
      <c r="S354" s="22">
        <f>ROUND(ROUND(P354, 2)*I354, 2)</f>
        <v>26676.5</v>
      </c>
      <c r="V354" s="9">
        <f>ROUND(ROUND(P354, 2)/1.2, 2)</f>
        <v>74</v>
      </c>
      <c r="Y354" s="9">
        <f t="shared" si="22"/>
        <v>22230.42</v>
      </c>
      <c r="AD354" s="4" t="s">
        <v>1420</v>
      </c>
      <c r="AE354" s="4" t="s">
        <v>1421</v>
      </c>
      <c r="AF354" s="4" t="s">
        <v>436</v>
      </c>
    </row>
    <row r="355" spans="1:35" ht="126" x14ac:dyDescent="0.3">
      <c r="A355" s="10" t="s">
        <v>1422</v>
      </c>
      <c r="B355" s="10"/>
      <c r="C355" s="24" t="s">
        <v>1185</v>
      </c>
      <c r="D355" s="12"/>
      <c r="E355" s="12" t="s">
        <v>1332</v>
      </c>
      <c r="F355" s="18" t="s">
        <v>70</v>
      </c>
      <c r="G355" s="19">
        <v>0.3</v>
      </c>
      <c r="H355" s="19"/>
      <c r="I355" s="19">
        <v>600.822</v>
      </c>
      <c r="J355" s="21">
        <v>0</v>
      </c>
      <c r="M355" s="22">
        <f>ROUND(ROUND(J355, 2)*I355, 2)</f>
        <v>0</v>
      </c>
      <c r="P355" s="23">
        <v>0</v>
      </c>
      <c r="S355" s="22">
        <f>ROUND(ROUND(P355, 2)*I355, 2)</f>
        <v>0</v>
      </c>
      <c r="V355" s="9">
        <f>ROUND(ROUND(P355, 2)/1.2, 2)</f>
        <v>0</v>
      </c>
      <c r="Y355" s="9">
        <f t="shared" si="22"/>
        <v>0</v>
      </c>
      <c r="AD355" s="4" t="s">
        <v>1423</v>
      </c>
      <c r="AE355" s="4" t="s">
        <v>1424</v>
      </c>
      <c r="AF355" s="4" t="s">
        <v>1189</v>
      </c>
    </row>
    <row r="356" spans="1:35" ht="36" x14ac:dyDescent="0.3">
      <c r="A356" s="10" t="s">
        <v>1425</v>
      </c>
      <c r="B356" s="10" t="s">
        <v>1249</v>
      </c>
      <c r="C356" s="11" t="s">
        <v>1250</v>
      </c>
      <c r="D356" s="12"/>
      <c r="E356" s="12" t="s">
        <v>1426</v>
      </c>
      <c r="F356" s="12" t="s">
        <v>64</v>
      </c>
      <c r="G356" s="13">
        <v>1</v>
      </c>
      <c r="H356" s="13"/>
      <c r="I356" s="13">
        <v>23.23</v>
      </c>
      <c r="J356" s="14">
        <f>IFERROR(ROUND(SUM(M357,M358)/I356, 2),0)</f>
        <v>13.32</v>
      </c>
      <c r="K356" s="15">
        <v>428</v>
      </c>
      <c r="L356" s="14">
        <f>J356+ROUND(K356, 2)</f>
        <v>441.32</v>
      </c>
      <c r="M356" s="14">
        <f>ROUND(J356*I356, 2)</f>
        <v>309.42</v>
      </c>
      <c r="N356" s="14">
        <f>ROUND(I356*ROUND(K356, 2), 2)</f>
        <v>9942.44</v>
      </c>
      <c r="O356" s="14">
        <f>M356+N356</f>
        <v>10251.86</v>
      </c>
      <c r="P356" s="14">
        <f>IFERROR(ROUND(SUM(S357,S358)/I356, 2),0)</f>
        <v>13.32</v>
      </c>
      <c r="Q356" s="16">
        <v>428</v>
      </c>
      <c r="R356" s="14">
        <f>P356+ROUND(Q356, 2)</f>
        <v>441.32</v>
      </c>
      <c r="S356" s="14">
        <f>ROUND(P356*I356, 2)</f>
        <v>309.42</v>
      </c>
      <c r="T356" s="14">
        <f>ROUND(I356*ROUND(Q356, 2), 2)</f>
        <v>9942.44</v>
      </c>
      <c r="U356" s="14">
        <f>S356+T356</f>
        <v>10251.86</v>
      </c>
      <c r="V356" s="9">
        <f>ROUND(P356 / 1.2, 2)</f>
        <v>11.1</v>
      </c>
      <c r="W356" s="9">
        <f>ROUND(Q356 / 1.2, 2)</f>
        <v>356.67</v>
      </c>
      <c r="X356" s="9">
        <f>ROUND(R356 / 1.2, 2)</f>
        <v>367.77</v>
      </c>
      <c r="Y356" s="9">
        <f t="shared" si="22"/>
        <v>257.85000000000002</v>
      </c>
      <c r="Z356" s="9">
        <f>ROUND(T356 / 1.2, 2)</f>
        <v>8285.3700000000008</v>
      </c>
      <c r="AA356" s="9">
        <f>Y356+Z356</f>
        <v>8543.2199999999993</v>
      </c>
      <c r="AD356" s="4">
        <v>271132217</v>
      </c>
      <c r="AE356" s="4">
        <v>19992006</v>
      </c>
      <c r="AG356" s="4" t="s">
        <v>1252</v>
      </c>
      <c r="AH356" s="4" t="s">
        <v>1253</v>
      </c>
      <c r="AI356" s="4" t="s">
        <v>67</v>
      </c>
    </row>
    <row r="357" spans="1:35" ht="36" x14ac:dyDescent="0.3">
      <c r="A357" s="10" t="s">
        <v>1427</v>
      </c>
      <c r="B357" s="10"/>
      <c r="C357" s="24" t="s">
        <v>433</v>
      </c>
      <c r="D357" s="12"/>
      <c r="E357" s="12"/>
      <c r="F357" s="18" t="s">
        <v>70</v>
      </c>
      <c r="G357" s="19">
        <v>0.15</v>
      </c>
      <c r="H357" s="19"/>
      <c r="I357" s="19">
        <v>3.4849999999999999</v>
      </c>
      <c r="J357" s="21">
        <v>88.8</v>
      </c>
      <c r="M357" s="22">
        <f>ROUND(ROUND(J357, 2)*I357, 2)</f>
        <v>309.47000000000003</v>
      </c>
      <c r="P357" s="23">
        <v>88.8</v>
      </c>
      <c r="S357" s="22">
        <f>ROUND(ROUND(P357, 2)*I357, 2)</f>
        <v>309.47000000000003</v>
      </c>
      <c r="V357" s="9">
        <f>ROUND(ROUND(P357, 2)/1.2, 2)</f>
        <v>74</v>
      </c>
      <c r="Y357" s="9">
        <f t="shared" si="22"/>
        <v>257.89</v>
      </c>
      <c r="AD357" s="4" t="s">
        <v>1428</v>
      </c>
      <c r="AE357" s="4" t="s">
        <v>1429</v>
      </c>
      <c r="AF357" s="4" t="s">
        <v>436</v>
      </c>
    </row>
    <row r="358" spans="1:35" ht="54" x14ac:dyDescent="0.3">
      <c r="A358" s="10" t="s">
        <v>1430</v>
      </c>
      <c r="B358" s="10"/>
      <c r="C358" s="24" t="s">
        <v>1431</v>
      </c>
      <c r="D358" s="12"/>
      <c r="E358" s="12" t="s">
        <v>1432</v>
      </c>
      <c r="F358" s="18" t="s">
        <v>70</v>
      </c>
      <c r="G358" s="19">
        <v>0.3</v>
      </c>
      <c r="H358" s="19"/>
      <c r="I358" s="19">
        <v>6.9690000000000003</v>
      </c>
      <c r="J358" s="21">
        <v>0</v>
      </c>
      <c r="M358" s="22">
        <f>ROUND(ROUND(J358, 2)*I358, 2)</f>
        <v>0</v>
      </c>
      <c r="P358" s="23">
        <v>0</v>
      </c>
      <c r="S358" s="22">
        <f>ROUND(ROUND(P358, 2)*I358, 2)</f>
        <v>0</v>
      </c>
      <c r="V358" s="9">
        <f>ROUND(ROUND(P358, 2)/1.2, 2)</f>
        <v>0</v>
      </c>
      <c r="Y358" s="9">
        <f t="shared" si="22"/>
        <v>0</v>
      </c>
      <c r="AD358" s="4" t="s">
        <v>1433</v>
      </c>
      <c r="AE358" s="4" t="s">
        <v>1434</v>
      </c>
      <c r="AF358" s="4" t="s">
        <v>1435</v>
      </c>
    </row>
    <row r="359" spans="1:35" ht="36" x14ac:dyDescent="0.3">
      <c r="A359" s="10" t="s">
        <v>1436</v>
      </c>
      <c r="B359" s="10" t="s">
        <v>1249</v>
      </c>
      <c r="C359" s="11" t="s">
        <v>1250</v>
      </c>
      <c r="D359" s="12"/>
      <c r="E359" s="12" t="s">
        <v>1437</v>
      </c>
      <c r="F359" s="12" t="s">
        <v>64</v>
      </c>
      <c r="G359" s="13">
        <v>1</v>
      </c>
      <c r="H359" s="13"/>
      <c r="I359" s="13">
        <v>107.1</v>
      </c>
      <c r="J359" s="14">
        <f>IFERROR(ROUND(SUM(M360,M361)/I359, 2),0)</f>
        <v>13.32</v>
      </c>
      <c r="K359" s="15">
        <v>428</v>
      </c>
      <c r="L359" s="14">
        <f>J359+ROUND(K359, 2)</f>
        <v>441.32</v>
      </c>
      <c r="M359" s="14">
        <f>ROUND(J359*I359, 2)</f>
        <v>1426.57</v>
      </c>
      <c r="N359" s="14">
        <f>ROUND(I359*ROUND(K359, 2), 2)</f>
        <v>45838.8</v>
      </c>
      <c r="O359" s="14">
        <f>M359+N359</f>
        <v>47265.37</v>
      </c>
      <c r="P359" s="14">
        <f>IFERROR(ROUND(SUM(S360,S361)/I359, 2),0)</f>
        <v>13.32</v>
      </c>
      <c r="Q359" s="16">
        <v>428</v>
      </c>
      <c r="R359" s="14">
        <f>P359+ROUND(Q359, 2)</f>
        <v>441.32</v>
      </c>
      <c r="S359" s="14">
        <f>ROUND(P359*I359, 2)</f>
        <v>1426.57</v>
      </c>
      <c r="T359" s="14">
        <f>ROUND(I359*ROUND(Q359, 2), 2)</f>
        <v>45838.8</v>
      </c>
      <c r="U359" s="14">
        <f>S359+T359</f>
        <v>47265.37</v>
      </c>
      <c r="V359" s="9">
        <f>ROUND(P359 / 1.2, 2)</f>
        <v>11.1</v>
      </c>
      <c r="W359" s="9">
        <f>ROUND(Q359 / 1.2, 2)</f>
        <v>356.67</v>
      </c>
      <c r="X359" s="9">
        <f>ROUND(R359 / 1.2, 2)</f>
        <v>367.77</v>
      </c>
      <c r="Y359" s="9">
        <f t="shared" si="22"/>
        <v>1188.81</v>
      </c>
      <c r="Z359" s="9">
        <f>ROUND(T359 / 1.2, 2)</f>
        <v>38199</v>
      </c>
      <c r="AA359" s="9">
        <f>Y359+Z359</f>
        <v>39387.81</v>
      </c>
      <c r="AD359" s="4">
        <v>271132218</v>
      </c>
      <c r="AE359" s="4">
        <v>19992007</v>
      </c>
      <c r="AG359" s="4" t="s">
        <v>1252</v>
      </c>
      <c r="AH359" s="4" t="s">
        <v>1253</v>
      </c>
      <c r="AI359" s="4" t="s">
        <v>67</v>
      </c>
    </row>
    <row r="360" spans="1:35" ht="36" x14ac:dyDescent="0.3">
      <c r="A360" s="10" t="s">
        <v>1438</v>
      </c>
      <c r="B360" s="10"/>
      <c r="C360" s="24" t="s">
        <v>433</v>
      </c>
      <c r="D360" s="12"/>
      <c r="E360" s="12"/>
      <c r="F360" s="18" t="s">
        <v>70</v>
      </c>
      <c r="G360" s="19">
        <v>0.15</v>
      </c>
      <c r="H360" s="19"/>
      <c r="I360" s="19">
        <v>16.065000000000001</v>
      </c>
      <c r="J360" s="21">
        <v>88.8</v>
      </c>
      <c r="M360" s="22">
        <f>ROUND(ROUND(J360, 2)*I360, 2)</f>
        <v>1426.57</v>
      </c>
      <c r="P360" s="23">
        <v>88.8</v>
      </c>
      <c r="S360" s="22">
        <f>ROUND(ROUND(P360, 2)*I360, 2)</f>
        <v>1426.57</v>
      </c>
      <c r="V360" s="9">
        <f>ROUND(ROUND(P360, 2)/1.2, 2)</f>
        <v>74</v>
      </c>
      <c r="Y360" s="9">
        <f t="shared" ref="Y360:Y391" si="23">ROUND(S360 / 1.2, 2)</f>
        <v>1188.81</v>
      </c>
      <c r="AD360" s="4" t="s">
        <v>1439</v>
      </c>
      <c r="AE360" s="4" t="s">
        <v>1440</v>
      </c>
      <c r="AF360" s="4" t="s">
        <v>436</v>
      </c>
    </row>
    <row r="361" spans="1:35" ht="90" x14ac:dyDescent="0.3">
      <c r="A361" s="10" t="s">
        <v>1441</v>
      </c>
      <c r="B361" s="10"/>
      <c r="C361" s="24" t="s">
        <v>1170</v>
      </c>
      <c r="D361" s="12"/>
      <c r="E361" s="12" t="s">
        <v>1442</v>
      </c>
      <c r="F361" s="18" t="s">
        <v>70</v>
      </c>
      <c r="G361" s="19">
        <v>0.3</v>
      </c>
      <c r="H361" s="19"/>
      <c r="I361" s="19">
        <v>32.130000000000003</v>
      </c>
      <c r="J361" s="21">
        <v>0</v>
      </c>
      <c r="M361" s="22">
        <f>ROUND(ROUND(J361, 2)*I361, 2)</f>
        <v>0</v>
      </c>
      <c r="P361" s="23">
        <v>0</v>
      </c>
      <c r="S361" s="22">
        <f>ROUND(ROUND(P361, 2)*I361, 2)</f>
        <v>0</v>
      </c>
      <c r="V361" s="9">
        <f>ROUND(ROUND(P361, 2)/1.2, 2)</f>
        <v>0</v>
      </c>
      <c r="Y361" s="9">
        <f t="shared" si="23"/>
        <v>0</v>
      </c>
      <c r="AD361" s="4" t="s">
        <v>1443</v>
      </c>
      <c r="AE361" s="4" t="s">
        <v>1444</v>
      </c>
      <c r="AF361" s="4" t="s">
        <v>1174</v>
      </c>
    </row>
    <row r="362" spans="1:35" ht="54" x14ac:dyDescent="0.3">
      <c r="A362" s="10" t="s">
        <v>1445</v>
      </c>
      <c r="B362" s="10" t="s">
        <v>1446</v>
      </c>
      <c r="C362" s="11" t="s">
        <v>1447</v>
      </c>
      <c r="D362" s="12"/>
      <c r="E362" s="12" t="s">
        <v>1448</v>
      </c>
      <c r="F362" s="12" t="s">
        <v>64</v>
      </c>
      <c r="G362" s="13">
        <v>1</v>
      </c>
      <c r="H362" s="13"/>
      <c r="I362" s="13">
        <v>205.88</v>
      </c>
      <c r="J362" s="14">
        <f>IFERROR(ROUND(SUM(M363,M364,M365,M366)/I362, 2),0)</f>
        <v>1072.18</v>
      </c>
      <c r="K362" s="15">
        <v>2364</v>
      </c>
      <c r="L362" s="14">
        <f>J362+ROUND(K362, 2)</f>
        <v>3436.18</v>
      </c>
      <c r="M362" s="14">
        <f>ROUND(J362*I362, 2)</f>
        <v>220740.42</v>
      </c>
      <c r="N362" s="14">
        <f>ROUND(I362*ROUND(K362, 2), 2)</f>
        <v>486700.32</v>
      </c>
      <c r="O362" s="14">
        <f>M362+N362</f>
        <v>707440.74</v>
      </c>
      <c r="P362" s="14">
        <f>IFERROR(ROUND(SUM(S363,S364,S365,S366)/I362, 2),0)</f>
        <v>1072.18</v>
      </c>
      <c r="Q362" s="16">
        <v>2364</v>
      </c>
      <c r="R362" s="14">
        <f>P362+ROUND(Q362, 2)</f>
        <v>3436.18</v>
      </c>
      <c r="S362" s="14">
        <f>ROUND(P362*I362, 2)</f>
        <v>220740.42</v>
      </c>
      <c r="T362" s="14">
        <f>ROUND(I362*ROUND(Q362, 2), 2)</f>
        <v>486700.32</v>
      </c>
      <c r="U362" s="14">
        <f>S362+T362</f>
        <v>707440.74</v>
      </c>
      <c r="V362" s="9">
        <f>ROUND(P362 / 1.2, 2)</f>
        <v>893.48</v>
      </c>
      <c r="W362" s="9">
        <f>ROUND(Q362 / 1.2, 2)</f>
        <v>1970</v>
      </c>
      <c r="X362" s="9">
        <f>ROUND(R362 / 1.2, 2)</f>
        <v>2863.48</v>
      </c>
      <c r="Y362" s="9">
        <f t="shared" si="23"/>
        <v>183950.35</v>
      </c>
      <c r="Z362" s="9">
        <f>ROUND(T362 / 1.2, 2)</f>
        <v>405583.6</v>
      </c>
      <c r="AA362" s="9">
        <f>Y362+Z362</f>
        <v>589533.94999999995</v>
      </c>
      <c r="AD362" s="4">
        <v>271132117</v>
      </c>
      <c r="AE362" s="4">
        <v>19977048</v>
      </c>
      <c r="AG362" s="4" t="s">
        <v>1449</v>
      </c>
      <c r="AH362" s="4" t="s">
        <v>1450</v>
      </c>
      <c r="AI362" s="4" t="s">
        <v>67</v>
      </c>
    </row>
    <row r="363" spans="1:35" ht="18" x14ac:dyDescent="0.3">
      <c r="A363" s="10" t="s">
        <v>1451</v>
      </c>
      <c r="B363" s="10"/>
      <c r="C363" s="24" t="s">
        <v>426</v>
      </c>
      <c r="D363" s="12"/>
      <c r="E363" s="12"/>
      <c r="F363" s="18" t="s">
        <v>70</v>
      </c>
      <c r="G363" s="19">
        <v>0.25</v>
      </c>
      <c r="H363" s="20"/>
      <c r="I363" s="20">
        <v>51.47</v>
      </c>
      <c r="J363" s="21">
        <v>40.270000000000003</v>
      </c>
      <c r="M363" s="22">
        <f>ROUND(ROUND(J363, 2)*I363, 2)</f>
        <v>2072.6999999999998</v>
      </c>
      <c r="P363" s="23">
        <v>40.270000000000003</v>
      </c>
      <c r="S363" s="22">
        <f>ROUND(ROUND(P363, 2)*I363, 2)</f>
        <v>2072.6999999999998</v>
      </c>
      <c r="V363" s="9">
        <f>ROUND(ROUND(P363, 2)/1.2, 2)</f>
        <v>33.56</v>
      </c>
      <c r="Y363" s="9">
        <f t="shared" si="23"/>
        <v>1727.25</v>
      </c>
      <c r="AD363" s="4" t="s">
        <v>1452</v>
      </c>
      <c r="AE363" s="4" t="s">
        <v>1453</v>
      </c>
      <c r="AF363" s="4" t="s">
        <v>429</v>
      </c>
    </row>
    <row r="364" spans="1:35" ht="36" x14ac:dyDescent="0.3">
      <c r="A364" s="10" t="s">
        <v>1454</v>
      </c>
      <c r="B364" s="10"/>
      <c r="C364" s="24" t="s">
        <v>452</v>
      </c>
      <c r="D364" s="12"/>
      <c r="E364" s="12"/>
      <c r="F364" s="18" t="s">
        <v>70</v>
      </c>
      <c r="G364" s="19">
        <v>0.15</v>
      </c>
      <c r="H364" s="19"/>
      <c r="I364" s="19">
        <v>30.882000000000001</v>
      </c>
      <c r="J364" s="21">
        <v>68.400000000000006</v>
      </c>
      <c r="M364" s="22">
        <f>ROUND(ROUND(J364, 2)*I364, 2)</f>
        <v>2112.33</v>
      </c>
      <c r="P364" s="23">
        <v>68.400000000000006</v>
      </c>
      <c r="S364" s="22">
        <f>ROUND(ROUND(P364, 2)*I364, 2)</f>
        <v>2112.33</v>
      </c>
      <c r="V364" s="9">
        <f>ROUND(ROUND(P364, 2)/1.2, 2)</f>
        <v>57</v>
      </c>
      <c r="Y364" s="9">
        <f t="shared" si="23"/>
        <v>1760.28</v>
      </c>
      <c r="AD364" s="4" t="s">
        <v>1455</v>
      </c>
      <c r="AE364" s="4" t="s">
        <v>1456</v>
      </c>
      <c r="AF364" s="4" t="s">
        <v>456</v>
      </c>
    </row>
    <row r="365" spans="1:35" ht="54" x14ac:dyDescent="0.3">
      <c r="A365" s="10" t="s">
        <v>1457</v>
      </c>
      <c r="B365" s="10"/>
      <c r="C365" s="17" t="s">
        <v>697</v>
      </c>
      <c r="D365" s="12"/>
      <c r="E365" s="12" t="s">
        <v>402</v>
      </c>
      <c r="F365" s="18" t="s">
        <v>70</v>
      </c>
      <c r="G365" s="19">
        <v>1.2</v>
      </c>
      <c r="H365" s="20"/>
      <c r="I365" s="20">
        <v>494.11200000000002</v>
      </c>
      <c r="J365" s="21">
        <v>16.96</v>
      </c>
      <c r="M365" s="22">
        <f>ROUND(ROUND(J365, 2)*I365, 2)</f>
        <v>8380.14</v>
      </c>
      <c r="P365" s="23">
        <v>16.96</v>
      </c>
      <c r="S365" s="22">
        <f>ROUND(ROUND(P365, 2)*I365, 2)</f>
        <v>8380.14</v>
      </c>
      <c r="V365" s="9">
        <f>ROUND(ROUND(P365, 2)/1.2, 2)</f>
        <v>14.13</v>
      </c>
      <c r="Y365" s="9">
        <f t="shared" si="23"/>
        <v>6983.45</v>
      </c>
      <c r="AD365" s="4" t="s">
        <v>1458</v>
      </c>
      <c r="AE365" s="4" t="s">
        <v>1459</v>
      </c>
      <c r="AF365" s="4" t="s">
        <v>700</v>
      </c>
    </row>
    <row r="366" spans="1:35" ht="36" x14ac:dyDescent="0.3">
      <c r="A366" s="10" t="s">
        <v>1460</v>
      </c>
      <c r="B366" s="10"/>
      <c r="C366" s="17" t="s">
        <v>1461</v>
      </c>
      <c r="D366" s="12"/>
      <c r="E366" s="12" t="s">
        <v>1462</v>
      </c>
      <c r="F366" s="18" t="s">
        <v>64</v>
      </c>
      <c r="G366" s="19">
        <v>1.07</v>
      </c>
      <c r="H366" s="20"/>
      <c r="I366" s="20">
        <v>220.292</v>
      </c>
      <c r="J366" s="21">
        <v>945</v>
      </c>
      <c r="M366" s="22">
        <f>ROUND(ROUND(J366, 2)*I366, 2)</f>
        <v>208175.94</v>
      </c>
      <c r="P366" s="23">
        <v>945</v>
      </c>
      <c r="S366" s="22">
        <f>ROUND(ROUND(P366, 2)*I366, 2)</f>
        <v>208175.94</v>
      </c>
      <c r="V366" s="9">
        <f>ROUND(ROUND(P366, 2)/1.2, 2)</f>
        <v>787.5</v>
      </c>
      <c r="Y366" s="9">
        <f t="shared" si="23"/>
        <v>173479.95</v>
      </c>
      <c r="AD366" s="4" t="s">
        <v>1463</v>
      </c>
      <c r="AE366" s="4" t="s">
        <v>1464</v>
      </c>
      <c r="AF366" s="4" t="s">
        <v>1465</v>
      </c>
    </row>
    <row r="367" spans="1:35" ht="54" x14ac:dyDescent="0.3">
      <c r="A367" s="10" t="s">
        <v>1466</v>
      </c>
      <c r="B367" s="10" t="s">
        <v>1446</v>
      </c>
      <c r="C367" s="11" t="s">
        <v>1447</v>
      </c>
      <c r="D367" s="12"/>
      <c r="E367" s="12" t="s">
        <v>1467</v>
      </c>
      <c r="F367" s="12" t="s">
        <v>64</v>
      </c>
      <c r="G367" s="13">
        <v>1</v>
      </c>
      <c r="H367" s="13"/>
      <c r="I367" s="13">
        <v>33.03</v>
      </c>
      <c r="J367" s="14">
        <f>IFERROR(ROUND(SUM(M368,M369,M370,M371)/I367, 2),0)</f>
        <v>1542.93</v>
      </c>
      <c r="K367" s="15">
        <v>2364</v>
      </c>
      <c r="L367" s="14">
        <f>J367+ROUND(K367, 2)</f>
        <v>3906.93</v>
      </c>
      <c r="M367" s="14">
        <f>ROUND(J367*I367, 2)</f>
        <v>50962.98</v>
      </c>
      <c r="N367" s="14">
        <f>ROUND(I367*ROUND(K367, 2), 2)</f>
        <v>78082.92</v>
      </c>
      <c r="O367" s="14">
        <f>M367+N367</f>
        <v>129045.9</v>
      </c>
      <c r="P367" s="14">
        <f>IFERROR(ROUND(SUM(S368,S369,S370,S371)/I367, 2),0)</f>
        <v>1542.93</v>
      </c>
      <c r="Q367" s="16">
        <v>2364</v>
      </c>
      <c r="R367" s="14">
        <f>P367+ROUND(Q367, 2)</f>
        <v>3906.93</v>
      </c>
      <c r="S367" s="14">
        <f>ROUND(P367*I367, 2)</f>
        <v>50962.98</v>
      </c>
      <c r="T367" s="14">
        <f>ROUND(I367*ROUND(Q367, 2), 2)</f>
        <v>78082.92</v>
      </c>
      <c r="U367" s="14">
        <f>S367+T367</f>
        <v>129045.9</v>
      </c>
      <c r="V367" s="9">
        <f>ROUND(P367 / 1.2, 2)</f>
        <v>1285.78</v>
      </c>
      <c r="W367" s="9">
        <f>ROUND(Q367 / 1.2, 2)</f>
        <v>1970</v>
      </c>
      <c r="X367" s="9">
        <f>ROUND(R367 / 1.2, 2)</f>
        <v>3255.78</v>
      </c>
      <c r="Y367" s="9">
        <f t="shared" si="23"/>
        <v>42469.15</v>
      </c>
      <c r="Z367" s="9">
        <f>ROUND(T367 / 1.2, 2)</f>
        <v>65069.1</v>
      </c>
      <c r="AA367" s="9">
        <f>Y367+Z367</f>
        <v>107538.25</v>
      </c>
      <c r="AD367" s="4">
        <v>271132219</v>
      </c>
      <c r="AE367" s="4">
        <v>19977049</v>
      </c>
      <c r="AG367" s="4" t="s">
        <v>1449</v>
      </c>
      <c r="AH367" s="4" t="s">
        <v>1450</v>
      </c>
      <c r="AI367" s="4" t="s">
        <v>67</v>
      </c>
    </row>
    <row r="368" spans="1:35" ht="54" x14ac:dyDescent="0.3">
      <c r="A368" s="10" t="s">
        <v>1468</v>
      </c>
      <c r="B368" s="10"/>
      <c r="C368" s="17" t="s">
        <v>676</v>
      </c>
      <c r="D368" s="12"/>
      <c r="E368" s="12" t="s">
        <v>1469</v>
      </c>
      <c r="F368" s="18" t="s">
        <v>64</v>
      </c>
      <c r="G368" s="19">
        <v>1.07</v>
      </c>
      <c r="H368" s="20"/>
      <c r="I368" s="20">
        <v>35.341999999999999</v>
      </c>
      <c r="J368" s="21">
        <v>1384.95</v>
      </c>
      <c r="M368" s="22">
        <f>ROUND(ROUND(J368, 2)*I368, 2)</f>
        <v>48946.9</v>
      </c>
      <c r="P368" s="23">
        <v>1384.95</v>
      </c>
      <c r="S368" s="22">
        <f>ROUND(ROUND(P368, 2)*I368, 2)</f>
        <v>48946.9</v>
      </c>
      <c r="V368" s="9">
        <f>ROUND(ROUND(P368, 2)/1.2, 2)</f>
        <v>1154.1300000000001</v>
      </c>
      <c r="Y368" s="9">
        <f t="shared" si="23"/>
        <v>40789.08</v>
      </c>
      <c r="AD368" s="4" t="s">
        <v>1470</v>
      </c>
      <c r="AE368" s="4" t="s">
        <v>1471</v>
      </c>
      <c r="AF368" s="4" t="s">
        <v>680</v>
      </c>
    </row>
    <row r="369" spans="1:35" ht="54" x14ac:dyDescent="0.3">
      <c r="A369" s="10" t="s">
        <v>1472</v>
      </c>
      <c r="B369" s="10"/>
      <c r="C369" s="17" t="s">
        <v>697</v>
      </c>
      <c r="D369" s="12"/>
      <c r="E369" s="12" t="s">
        <v>402</v>
      </c>
      <c r="F369" s="18" t="s">
        <v>70</v>
      </c>
      <c r="G369" s="19">
        <v>1.2</v>
      </c>
      <c r="H369" s="20"/>
      <c r="I369" s="20">
        <v>79.272000000000006</v>
      </c>
      <c r="J369" s="21">
        <v>16.96</v>
      </c>
      <c r="M369" s="22">
        <f>ROUND(ROUND(J369, 2)*I369, 2)</f>
        <v>1344.45</v>
      </c>
      <c r="P369" s="23">
        <v>16.96</v>
      </c>
      <c r="S369" s="22">
        <f>ROUND(ROUND(P369, 2)*I369, 2)</f>
        <v>1344.45</v>
      </c>
      <c r="V369" s="9">
        <f>ROUND(ROUND(P369, 2)/1.2, 2)</f>
        <v>14.13</v>
      </c>
      <c r="Y369" s="9">
        <f t="shared" si="23"/>
        <v>1120.3800000000001</v>
      </c>
      <c r="AD369" s="4" t="s">
        <v>1473</v>
      </c>
      <c r="AE369" s="4" t="s">
        <v>1474</v>
      </c>
      <c r="AF369" s="4" t="s">
        <v>700</v>
      </c>
    </row>
    <row r="370" spans="1:35" ht="36" x14ac:dyDescent="0.3">
      <c r="A370" s="10" t="s">
        <v>1475</v>
      </c>
      <c r="B370" s="10"/>
      <c r="C370" s="24" t="s">
        <v>452</v>
      </c>
      <c r="D370" s="12"/>
      <c r="E370" s="12"/>
      <c r="F370" s="18" t="s">
        <v>70</v>
      </c>
      <c r="G370" s="19">
        <v>0.15</v>
      </c>
      <c r="H370" s="19"/>
      <c r="I370" s="19">
        <v>4.9550000000000001</v>
      </c>
      <c r="J370" s="21">
        <v>68.400000000000006</v>
      </c>
      <c r="M370" s="22">
        <f>ROUND(ROUND(J370, 2)*I370, 2)</f>
        <v>338.92</v>
      </c>
      <c r="P370" s="23">
        <v>68.400000000000006</v>
      </c>
      <c r="S370" s="22">
        <f>ROUND(ROUND(P370, 2)*I370, 2)</f>
        <v>338.92</v>
      </c>
      <c r="V370" s="9">
        <f>ROUND(ROUND(P370, 2)/1.2, 2)</f>
        <v>57</v>
      </c>
      <c r="Y370" s="9">
        <f t="shared" si="23"/>
        <v>282.43</v>
      </c>
      <c r="AD370" s="4" t="s">
        <v>1476</v>
      </c>
      <c r="AE370" s="4" t="s">
        <v>1477</v>
      </c>
      <c r="AF370" s="4" t="s">
        <v>456</v>
      </c>
    </row>
    <row r="371" spans="1:35" ht="18" x14ac:dyDescent="0.3">
      <c r="A371" s="10" t="s">
        <v>1478</v>
      </c>
      <c r="B371" s="10"/>
      <c r="C371" s="24" t="s">
        <v>426</v>
      </c>
      <c r="D371" s="12"/>
      <c r="E371" s="12"/>
      <c r="F371" s="18" t="s">
        <v>70</v>
      </c>
      <c r="G371" s="19">
        <v>0.25</v>
      </c>
      <c r="H371" s="20"/>
      <c r="I371" s="20">
        <v>8.2579999999999991</v>
      </c>
      <c r="J371" s="21">
        <v>40.270000000000003</v>
      </c>
      <c r="M371" s="22">
        <f>ROUND(ROUND(J371, 2)*I371, 2)</f>
        <v>332.55</v>
      </c>
      <c r="P371" s="23">
        <v>40.270000000000003</v>
      </c>
      <c r="S371" s="22">
        <f>ROUND(ROUND(P371, 2)*I371, 2)</f>
        <v>332.55</v>
      </c>
      <c r="V371" s="9">
        <f>ROUND(ROUND(P371, 2)/1.2, 2)</f>
        <v>33.56</v>
      </c>
      <c r="Y371" s="9">
        <f t="shared" si="23"/>
        <v>277.13</v>
      </c>
      <c r="AD371" s="4" t="s">
        <v>1479</v>
      </c>
      <c r="AE371" s="4" t="s">
        <v>1480</v>
      </c>
      <c r="AF371" s="4" t="s">
        <v>429</v>
      </c>
    </row>
    <row r="372" spans="1:35" ht="54" x14ac:dyDescent="0.3">
      <c r="A372" s="10" t="s">
        <v>1481</v>
      </c>
      <c r="B372" s="10" t="s">
        <v>1446</v>
      </c>
      <c r="C372" s="11" t="s">
        <v>1447</v>
      </c>
      <c r="D372" s="12"/>
      <c r="E372" s="12" t="s">
        <v>1482</v>
      </c>
      <c r="F372" s="12" t="s">
        <v>64</v>
      </c>
      <c r="G372" s="13">
        <v>1</v>
      </c>
      <c r="H372" s="13"/>
      <c r="I372" s="13">
        <v>55.79</v>
      </c>
      <c r="J372" s="14">
        <f>IFERROR(ROUND(SUM(M373,M374,M375,M376)/I372, 2),0)</f>
        <v>1278.9000000000001</v>
      </c>
      <c r="K372" s="15">
        <v>2364</v>
      </c>
      <c r="L372" s="14">
        <f>J372+ROUND(K372, 2)</f>
        <v>3642.9</v>
      </c>
      <c r="M372" s="14">
        <f>ROUND(J372*I372, 2)</f>
        <v>71349.83</v>
      </c>
      <c r="N372" s="14">
        <f>ROUND(I372*ROUND(K372, 2), 2)</f>
        <v>131887.56</v>
      </c>
      <c r="O372" s="14">
        <f>M372+N372</f>
        <v>203237.39</v>
      </c>
      <c r="P372" s="14">
        <f>IFERROR(ROUND(SUM(S373,S374,S375,S376)/I372, 2),0)</f>
        <v>1278.9000000000001</v>
      </c>
      <c r="Q372" s="16">
        <v>2364</v>
      </c>
      <c r="R372" s="14">
        <f>P372+ROUND(Q372, 2)</f>
        <v>3642.9</v>
      </c>
      <c r="S372" s="14">
        <f>ROUND(P372*I372, 2)</f>
        <v>71349.83</v>
      </c>
      <c r="T372" s="14">
        <f>ROUND(I372*ROUND(Q372, 2), 2)</f>
        <v>131887.56</v>
      </c>
      <c r="U372" s="14">
        <f>S372+T372</f>
        <v>203237.39</v>
      </c>
      <c r="V372" s="9">
        <f>ROUND(P372 / 1.2, 2)</f>
        <v>1065.75</v>
      </c>
      <c r="W372" s="9">
        <f>ROUND(Q372 / 1.2, 2)</f>
        <v>1970</v>
      </c>
      <c r="X372" s="9">
        <f>ROUND(R372 / 1.2, 2)</f>
        <v>3035.75</v>
      </c>
      <c r="Y372" s="9">
        <f t="shared" si="23"/>
        <v>59458.19</v>
      </c>
      <c r="Z372" s="9">
        <f>ROUND(T372 / 1.2, 2)</f>
        <v>109906.3</v>
      </c>
      <c r="AA372" s="9">
        <f>Y372+Z372</f>
        <v>169364.49</v>
      </c>
      <c r="AD372" s="4">
        <v>271132220</v>
      </c>
      <c r="AE372" s="4">
        <v>19977050</v>
      </c>
      <c r="AG372" s="4" t="s">
        <v>1449</v>
      </c>
      <c r="AH372" s="4" t="s">
        <v>1450</v>
      </c>
      <c r="AI372" s="4" t="s">
        <v>67</v>
      </c>
    </row>
    <row r="373" spans="1:35" ht="36" x14ac:dyDescent="0.3">
      <c r="A373" s="10" t="s">
        <v>1483</v>
      </c>
      <c r="B373" s="10"/>
      <c r="C373" s="17" t="s">
        <v>1484</v>
      </c>
      <c r="D373" s="12"/>
      <c r="E373" s="12" t="s">
        <v>1485</v>
      </c>
      <c r="F373" s="18" t="s">
        <v>64</v>
      </c>
      <c r="G373" s="19">
        <v>1.07</v>
      </c>
      <c r="H373" s="20"/>
      <c r="I373" s="20">
        <v>59.695</v>
      </c>
      <c r="J373" s="21">
        <v>1138.2</v>
      </c>
      <c r="M373" s="22">
        <f>ROUND(ROUND(J373, 2)*I373, 2)</f>
        <v>67944.850000000006</v>
      </c>
      <c r="P373" s="23">
        <v>1138.2</v>
      </c>
      <c r="S373" s="22">
        <f>ROUND(ROUND(P373, 2)*I373, 2)</f>
        <v>67944.850000000006</v>
      </c>
      <c r="V373" s="9">
        <f>ROUND(ROUND(P373, 2)/1.2, 2)</f>
        <v>948.5</v>
      </c>
      <c r="Y373" s="9">
        <f t="shared" si="23"/>
        <v>56620.71</v>
      </c>
      <c r="AD373" s="4" t="s">
        <v>1486</v>
      </c>
      <c r="AE373" s="4" t="s">
        <v>1487</v>
      </c>
      <c r="AF373" s="4" t="s">
        <v>1488</v>
      </c>
    </row>
    <row r="374" spans="1:35" ht="54" x14ac:dyDescent="0.3">
      <c r="A374" s="10" t="s">
        <v>1489</v>
      </c>
      <c r="B374" s="10"/>
      <c r="C374" s="17" t="s">
        <v>697</v>
      </c>
      <c r="D374" s="12"/>
      <c r="E374" s="12" t="s">
        <v>402</v>
      </c>
      <c r="F374" s="18" t="s">
        <v>70</v>
      </c>
      <c r="G374" s="19">
        <v>1.2</v>
      </c>
      <c r="H374" s="20"/>
      <c r="I374" s="20">
        <v>133.89599999999999</v>
      </c>
      <c r="J374" s="21">
        <v>16.96</v>
      </c>
      <c r="M374" s="22">
        <f>ROUND(ROUND(J374, 2)*I374, 2)</f>
        <v>2270.88</v>
      </c>
      <c r="P374" s="23">
        <v>16.96</v>
      </c>
      <c r="S374" s="22">
        <f>ROUND(ROUND(P374, 2)*I374, 2)</f>
        <v>2270.88</v>
      </c>
      <c r="V374" s="9">
        <f>ROUND(ROUND(P374, 2)/1.2, 2)</f>
        <v>14.13</v>
      </c>
      <c r="Y374" s="9">
        <f t="shared" si="23"/>
        <v>1892.4</v>
      </c>
      <c r="AD374" s="4" t="s">
        <v>1490</v>
      </c>
      <c r="AE374" s="4" t="s">
        <v>1491</v>
      </c>
      <c r="AF374" s="4" t="s">
        <v>700</v>
      </c>
    </row>
    <row r="375" spans="1:35" ht="36" x14ac:dyDescent="0.3">
      <c r="A375" s="10" t="s">
        <v>1492</v>
      </c>
      <c r="B375" s="10"/>
      <c r="C375" s="24" t="s">
        <v>452</v>
      </c>
      <c r="D375" s="12"/>
      <c r="E375" s="12"/>
      <c r="F375" s="18" t="s">
        <v>70</v>
      </c>
      <c r="G375" s="19">
        <v>0.15</v>
      </c>
      <c r="H375" s="19"/>
      <c r="I375" s="19">
        <v>8.3689999999999998</v>
      </c>
      <c r="J375" s="21">
        <v>68.400000000000006</v>
      </c>
      <c r="M375" s="22">
        <f>ROUND(ROUND(J375, 2)*I375, 2)</f>
        <v>572.44000000000005</v>
      </c>
      <c r="P375" s="23">
        <v>68.400000000000006</v>
      </c>
      <c r="S375" s="22">
        <f>ROUND(ROUND(P375, 2)*I375, 2)</f>
        <v>572.44000000000005</v>
      </c>
      <c r="V375" s="9">
        <f>ROUND(ROUND(P375, 2)/1.2, 2)</f>
        <v>57</v>
      </c>
      <c r="Y375" s="9">
        <f t="shared" si="23"/>
        <v>477.03</v>
      </c>
      <c r="AD375" s="4" t="s">
        <v>1493</v>
      </c>
      <c r="AE375" s="4" t="s">
        <v>1494</v>
      </c>
      <c r="AF375" s="4" t="s">
        <v>456</v>
      </c>
    </row>
    <row r="376" spans="1:35" ht="18" x14ac:dyDescent="0.3">
      <c r="A376" s="10" t="s">
        <v>1495</v>
      </c>
      <c r="B376" s="10"/>
      <c r="C376" s="24" t="s">
        <v>426</v>
      </c>
      <c r="D376" s="12"/>
      <c r="E376" s="12"/>
      <c r="F376" s="18" t="s">
        <v>70</v>
      </c>
      <c r="G376" s="19">
        <v>0.25</v>
      </c>
      <c r="H376" s="20"/>
      <c r="I376" s="20">
        <v>13.948</v>
      </c>
      <c r="J376" s="21">
        <v>40.270000000000003</v>
      </c>
      <c r="M376" s="22">
        <f>ROUND(ROUND(J376, 2)*I376, 2)</f>
        <v>561.69000000000005</v>
      </c>
      <c r="P376" s="23">
        <v>40.270000000000003</v>
      </c>
      <c r="S376" s="22">
        <f>ROUND(ROUND(P376, 2)*I376, 2)</f>
        <v>561.69000000000005</v>
      </c>
      <c r="V376" s="9">
        <f>ROUND(ROUND(P376, 2)/1.2, 2)</f>
        <v>33.56</v>
      </c>
      <c r="Y376" s="9">
        <f t="shared" si="23"/>
        <v>468.08</v>
      </c>
      <c r="AD376" s="4" t="s">
        <v>1496</v>
      </c>
      <c r="AE376" s="4" t="s">
        <v>1497</v>
      </c>
      <c r="AF376" s="4" t="s">
        <v>429</v>
      </c>
    </row>
    <row r="377" spans="1:35" ht="54" x14ac:dyDescent="0.3">
      <c r="A377" s="10" t="s">
        <v>1498</v>
      </c>
      <c r="B377" s="10" t="s">
        <v>1446</v>
      </c>
      <c r="C377" s="11" t="s">
        <v>1447</v>
      </c>
      <c r="D377" s="12"/>
      <c r="E377" s="12" t="s">
        <v>1499</v>
      </c>
      <c r="F377" s="12" t="s">
        <v>64</v>
      </c>
      <c r="G377" s="13">
        <v>1</v>
      </c>
      <c r="H377" s="13"/>
      <c r="I377" s="13">
        <v>5.65</v>
      </c>
      <c r="J377" s="14">
        <f>IFERROR(ROUND(SUM(M378,M379,M380)/I377, 2),0)</f>
        <v>1141.78</v>
      </c>
      <c r="K377" s="15">
        <v>2364</v>
      </c>
      <c r="L377" s="14">
        <f>J377+ROUND(K377, 2)</f>
        <v>3505.78</v>
      </c>
      <c r="M377" s="14">
        <f>ROUND(J377*I377, 2)</f>
        <v>6451.06</v>
      </c>
      <c r="N377" s="14">
        <f>ROUND(I377*ROUND(K377, 2), 2)</f>
        <v>13356.6</v>
      </c>
      <c r="O377" s="14">
        <f>M377+N377</f>
        <v>19807.66</v>
      </c>
      <c r="P377" s="14">
        <f>IFERROR(ROUND(SUM(S378,S379,S380)/I377, 2),0)</f>
        <v>1141.78</v>
      </c>
      <c r="Q377" s="16">
        <v>2364</v>
      </c>
      <c r="R377" s="14">
        <f>P377+ROUND(Q377, 2)</f>
        <v>3505.78</v>
      </c>
      <c r="S377" s="14">
        <f>ROUND(P377*I377, 2)</f>
        <v>6451.06</v>
      </c>
      <c r="T377" s="14">
        <f>ROUND(I377*ROUND(Q377, 2), 2)</f>
        <v>13356.6</v>
      </c>
      <c r="U377" s="14">
        <f>S377+T377</f>
        <v>19807.66</v>
      </c>
      <c r="V377" s="9">
        <f>ROUND(P377 / 1.2, 2)</f>
        <v>951.48</v>
      </c>
      <c r="W377" s="9">
        <f>ROUND(Q377 / 1.2, 2)</f>
        <v>1970</v>
      </c>
      <c r="X377" s="9">
        <f>ROUND(R377 / 1.2, 2)</f>
        <v>2921.48</v>
      </c>
      <c r="Y377" s="9">
        <f t="shared" si="23"/>
        <v>5375.88</v>
      </c>
      <c r="Z377" s="9">
        <f>ROUND(T377 / 1.2, 2)</f>
        <v>11130.5</v>
      </c>
      <c r="AA377" s="9">
        <f>Y377+Z377</f>
        <v>16506.38</v>
      </c>
      <c r="AD377" s="4">
        <v>271132221</v>
      </c>
      <c r="AE377" s="4">
        <v>19977051</v>
      </c>
      <c r="AG377" s="4" t="s">
        <v>1449</v>
      </c>
      <c r="AH377" s="4" t="s">
        <v>1450</v>
      </c>
      <c r="AI377" s="4" t="s">
        <v>67</v>
      </c>
    </row>
    <row r="378" spans="1:35" ht="36" x14ac:dyDescent="0.3">
      <c r="A378" s="10" t="s">
        <v>1500</v>
      </c>
      <c r="B378" s="10"/>
      <c r="C378" s="17" t="s">
        <v>1501</v>
      </c>
      <c r="D378" s="12"/>
      <c r="E378" s="12" t="s">
        <v>1502</v>
      </c>
      <c r="F378" s="18" t="s">
        <v>64</v>
      </c>
      <c r="G378" s="19">
        <v>1.07</v>
      </c>
      <c r="H378" s="20"/>
      <c r="I378" s="20">
        <v>6.0460000000000003</v>
      </c>
      <c r="J378" s="21">
        <v>1019.55</v>
      </c>
      <c r="M378" s="22">
        <f>ROUND(ROUND(J378, 2)*I378, 2)</f>
        <v>6164.2</v>
      </c>
      <c r="P378" s="23">
        <v>1019.55</v>
      </c>
      <c r="S378" s="22">
        <f>ROUND(ROUND(P378, 2)*I378, 2)</f>
        <v>6164.2</v>
      </c>
      <c r="V378" s="9">
        <f>ROUND(ROUND(P378, 2)/1.2, 2)</f>
        <v>849.63</v>
      </c>
      <c r="Y378" s="9">
        <f t="shared" si="23"/>
        <v>5136.83</v>
      </c>
      <c r="AD378" s="4" t="s">
        <v>1503</v>
      </c>
      <c r="AE378" s="4" t="s">
        <v>1504</v>
      </c>
      <c r="AF378" s="4" t="s">
        <v>1505</v>
      </c>
    </row>
    <row r="379" spans="1:35" ht="54" x14ac:dyDescent="0.3">
      <c r="A379" s="10" t="s">
        <v>1506</v>
      </c>
      <c r="B379" s="10"/>
      <c r="C379" s="17" t="s">
        <v>697</v>
      </c>
      <c r="D379" s="12"/>
      <c r="E379" s="12" t="s">
        <v>402</v>
      </c>
      <c r="F379" s="18" t="s">
        <v>70</v>
      </c>
      <c r="G379" s="19">
        <v>1.2</v>
      </c>
      <c r="H379" s="20"/>
      <c r="I379" s="20">
        <v>13.56</v>
      </c>
      <c r="J379" s="21">
        <v>16.96</v>
      </c>
      <c r="M379" s="22">
        <f>ROUND(ROUND(J379, 2)*I379, 2)</f>
        <v>229.98</v>
      </c>
      <c r="P379" s="23">
        <v>16.96</v>
      </c>
      <c r="S379" s="22">
        <f>ROUND(ROUND(P379, 2)*I379, 2)</f>
        <v>229.98</v>
      </c>
      <c r="V379" s="9">
        <f>ROUND(ROUND(P379, 2)/1.2, 2)</f>
        <v>14.13</v>
      </c>
      <c r="Y379" s="9">
        <f t="shared" si="23"/>
        <v>191.65</v>
      </c>
      <c r="AD379" s="4" t="s">
        <v>1507</v>
      </c>
      <c r="AE379" s="4" t="s">
        <v>1508</v>
      </c>
      <c r="AF379" s="4" t="s">
        <v>700</v>
      </c>
    </row>
    <row r="380" spans="1:35" ht="18" x14ac:dyDescent="0.3">
      <c r="A380" s="10" t="s">
        <v>1509</v>
      </c>
      <c r="B380" s="10"/>
      <c r="C380" s="24" t="s">
        <v>426</v>
      </c>
      <c r="D380" s="12"/>
      <c r="E380" s="12"/>
      <c r="F380" s="18" t="s">
        <v>70</v>
      </c>
      <c r="G380" s="19">
        <v>0.25</v>
      </c>
      <c r="H380" s="20"/>
      <c r="I380" s="20">
        <v>1.413</v>
      </c>
      <c r="J380" s="21">
        <v>40.270000000000003</v>
      </c>
      <c r="M380" s="22">
        <f>ROUND(ROUND(J380, 2)*I380, 2)</f>
        <v>56.9</v>
      </c>
      <c r="P380" s="23">
        <v>40.270000000000003</v>
      </c>
      <c r="S380" s="22">
        <f>ROUND(ROUND(P380, 2)*I380, 2)</f>
        <v>56.9</v>
      </c>
      <c r="V380" s="9">
        <f>ROUND(ROUND(P380, 2)/1.2, 2)</f>
        <v>33.56</v>
      </c>
      <c r="Y380" s="9">
        <f t="shared" si="23"/>
        <v>47.42</v>
      </c>
      <c r="AD380" s="4" t="s">
        <v>1510</v>
      </c>
      <c r="AE380" s="4" t="s">
        <v>1511</v>
      </c>
      <c r="AF380" s="4" t="s">
        <v>429</v>
      </c>
    </row>
    <row r="381" spans="1:35" ht="54" x14ac:dyDescent="0.3">
      <c r="A381" s="10" t="s">
        <v>1512</v>
      </c>
      <c r="B381" s="10" t="s">
        <v>1446</v>
      </c>
      <c r="C381" s="11" t="s">
        <v>1447</v>
      </c>
      <c r="D381" s="12"/>
      <c r="E381" s="12" t="s">
        <v>1513</v>
      </c>
      <c r="F381" s="12" t="s">
        <v>64</v>
      </c>
      <c r="G381" s="13">
        <v>1</v>
      </c>
      <c r="H381" s="13"/>
      <c r="I381" s="13">
        <v>8.18</v>
      </c>
      <c r="J381" s="14">
        <f>IFERROR(ROUND(SUM(M382,M383,M384,M385)/I381, 2),0)</f>
        <v>1278.96</v>
      </c>
      <c r="K381" s="15">
        <v>2364</v>
      </c>
      <c r="L381" s="14">
        <f>J381+ROUND(K381, 2)</f>
        <v>3642.96</v>
      </c>
      <c r="M381" s="14">
        <f>ROUND(J381*I381, 2)</f>
        <v>10461.89</v>
      </c>
      <c r="N381" s="14">
        <f>ROUND(I381*ROUND(K381, 2), 2)</f>
        <v>19337.52</v>
      </c>
      <c r="O381" s="14">
        <f>M381+N381</f>
        <v>29799.41</v>
      </c>
      <c r="P381" s="14">
        <f>IFERROR(ROUND(SUM(S382,S383,S384,S385)/I381, 2),0)</f>
        <v>1278.96</v>
      </c>
      <c r="Q381" s="16">
        <v>2364</v>
      </c>
      <c r="R381" s="14">
        <f>P381+ROUND(Q381, 2)</f>
        <v>3642.96</v>
      </c>
      <c r="S381" s="14">
        <f>ROUND(P381*I381, 2)</f>
        <v>10461.89</v>
      </c>
      <c r="T381" s="14">
        <f>ROUND(I381*ROUND(Q381, 2), 2)</f>
        <v>19337.52</v>
      </c>
      <c r="U381" s="14">
        <f>S381+T381</f>
        <v>29799.41</v>
      </c>
      <c r="V381" s="9">
        <f>ROUND(P381 / 1.2, 2)</f>
        <v>1065.8</v>
      </c>
      <c r="W381" s="9">
        <f>ROUND(Q381 / 1.2, 2)</f>
        <v>1970</v>
      </c>
      <c r="X381" s="9">
        <f>ROUND(R381 / 1.2, 2)</f>
        <v>3035.8</v>
      </c>
      <c r="Y381" s="9">
        <f t="shared" si="23"/>
        <v>8718.24</v>
      </c>
      <c r="Z381" s="9">
        <f>ROUND(T381 / 1.2, 2)</f>
        <v>16114.6</v>
      </c>
      <c r="AA381" s="9">
        <f>Y381+Z381</f>
        <v>24832.84</v>
      </c>
      <c r="AD381" s="4">
        <v>271132222</v>
      </c>
      <c r="AE381" s="4">
        <v>19977052</v>
      </c>
      <c r="AG381" s="4" t="s">
        <v>1449</v>
      </c>
      <c r="AH381" s="4" t="s">
        <v>1450</v>
      </c>
      <c r="AI381" s="4" t="s">
        <v>67</v>
      </c>
    </row>
    <row r="382" spans="1:35" ht="54" x14ac:dyDescent="0.3">
      <c r="A382" s="10" t="s">
        <v>1514</v>
      </c>
      <c r="B382" s="10"/>
      <c r="C382" s="17" t="s">
        <v>1484</v>
      </c>
      <c r="D382" s="12"/>
      <c r="E382" s="12" t="s">
        <v>1515</v>
      </c>
      <c r="F382" s="18" t="s">
        <v>64</v>
      </c>
      <c r="G382" s="19">
        <v>1.07</v>
      </c>
      <c r="H382" s="20"/>
      <c r="I382" s="20">
        <v>8.7530000000000001</v>
      </c>
      <c r="J382" s="21">
        <v>1138.2</v>
      </c>
      <c r="M382" s="22">
        <f>ROUND(ROUND(J382, 2)*I382, 2)</f>
        <v>9962.66</v>
      </c>
      <c r="P382" s="23">
        <v>1138.2</v>
      </c>
      <c r="S382" s="22">
        <f>ROUND(ROUND(P382, 2)*I382, 2)</f>
        <v>9962.66</v>
      </c>
      <c r="V382" s="9">
        <f>ROUND(ROUND(P382, 2)/1.2, 2)</f>
        <v>948.5</v>
      </c>
      <c r="Y382" s="9">
        <f t="shared" si="23"/>
        <v>8302.2199999999993</v>
      </c>
      <c r="AD382" s="4" t="s">
        <v>1516</v>
      </c>
      <c r="AE382" s="4" t="s">
        <v>1517</v>
      </c>
      <c r="AF382" s="4" t="s">
        <v>1488</v>
      </c>
    </row>
    <row r="383" spans="1:35" ht="54" x14ac:dyDescent="0.3">
      <c r="A383" s="10" t="s">
        <v>1518</v>
      </c>
      <c r="B383" s="10"/>
      <c r="C383" s="17" t="s">
        <v>697</v>
      </c>
      <c r="D383" s="12"/>
      <c r="E383" s="12" t="s">
        <v>402</v>
      </c>
      <c r="F383" s="18" t="s">
        <v>70</v>
      </c>
      <c r="G383" s="19">
        <v>1.2</v>
      </c>
      <c r="H383" s="20"/>
      <c r="I383" s="20">
        <v>19.632000000000001</v>
      </c>
      <c r="J383" s="21">
        <v>16.96</v>
      </c>
      <c r="M383" s="22">
        <f>ROUND(ROUND(J383, 2)*I383, 2)</f>
        <v>332.96</v>
      </c>
      <c r="P383" s="23">
        <v>16.96</v>
      </c>
      <c r="S383" s="22">
        <f>ROUND(ROUND(P383, 2)*I383, 2)</f>
        <v>332.96</v>
      </c>
      <c r="V383" s="9">
        <f>ROUND(ROUND(P383, 2)/1.2, 2)</f>
        <v>14.13</v>
      </c>
      <c r="Y383" s="9">
        <f t="shared" si="23"/>
        <v>277.47000000000003</v>
      </c>
      <c r="AD383" s="4" t="s">
        <v>1519</v>
      </c>
      <c r="AE383" s="4" t="s">
        <v>1520</v>
      </c>
      <c r="AF383" s="4" t="s">
        <v>700</v>
      </c>
    </row>
    <row r="384" spans="1:35" ht="36" x14ac:dyDescent="0.3">
      <c r="A384" s="10" t="s">
        <v>1521</v>
      </c>
      <c r="B384" s="10"/>
      <c r="C384" s="24" t="s">
        <v>452</v>
      </c>
      <c r="D384" s="12"/>
      <c r="E384" s="12"/>
      <c r="F384" s="18" t="s">
        <v>70</v>
      </c>
      <c r="G384" s="19">
        <v>0.15</v>
      </c>
      <c r="H384" s="19"/>
      <c r="I384" s="19">
        <v>1.2270000000000001</v>
      </c>
      <c r="J384" s="21">
        <v>68.400000000000006</v>
      </c>
      <c r="M384" s="22">
        <f>ROUND(ROUND(J384, 2)*I384, 2)</f>
        <v>83.93</v>
      </c>
      <c r="P384" s="23">
        <v>68.400000000000006</v>
      </c>
      <c r="S384" s="22">
        <f>ROUND(ROUND(P384, 2)*I384, 2)</f>
        <v>83.93</v>
      </c>
      <c r="V384" s="9">
        <f>ROUND(ROUND(P384, 2)/1.2, 2)</f>
        <v>57</v>
      </c>
      <c r="Y384" s="9">
        <f t="shared" si="23"/>
        <v>69.94</v>
      </c>
      <c r="AD384" s="4" t="s">
        <v>1522</v>
      </c>
      <c r="AE384" s="4" t="s">
        <v>1523</v>
      </c>
      <c r="AF384" s="4" t="s">
        <v>456</v>
      </c>
    </row>
    <row r="385" spans="1:35" ht="18" x14ac:dyDescent="0.3">
      <c r="A385" s="10" t="s">
        <v>1524</v>
      </c>
      <c r="B385" s="10"/>
      <c r="C385" s="24" t="s">
        <v>426</v>
      </c>
      <c r="D385" s="12"/>
      <c r="E385" s="12"/>
      <c r="F385" s="18" t="s">
        <v>70</v>
      </c>
      <c r="G385" s="19">
        <v>0.25</v>
      </c>
      <c r="H385" s="20"/>
      <c r="I385" s="20">
        <v>2.0449999999999999</v>
      </c>
      <c r="J385" s="21">
        <v>40.270000000000003</v>
      </c>
      <c r="M385" s="22">
        <f>ROUND(ROUND(J385, 2)*I385, 2)</f>
        <v>82.35</v>
      </c>
      <c r="P385" s="23">
        <v>40.270000000000003</v>
      </c>
      <c r="S385" s="22">
        <f>ROUND(ROUND(P385, 2)*I385, 2)</f>
        <v>82.35</v>
      </c>
      <c r="V385" s="9">
        <f>ROUND(ROUND(P385, 2)/1.2, 2)</f>
        <v>33.56</v>
      </c>
      <c r="Y385" s="9">
        <f t="shared" si="23"/>
        <v>68.63</v>
      </c>
      <c r="AD385" s="4" t="s">
        <v>1525</v>
      </c>
      <c r="AE385" s="4" t="s">
        <v>1526</v>
      </c>
      <c r="AF385" s="4" t="s">
        <v>429</v>
      </c>
    </row>
    <row r="386" spans="1:35" ht="54" x14ac:dyDescent="0.3">
      <c r="A386" s="10" t="s">
        <v>1527</v>
      </c>
      <c r="B386" s="10" t="s">
        <v>1446</v>
      </c>
      <c r="C386" s="11" t="s">
        <v>1447</v>
      </c>
      <c r="D386" s="12"/>
      <c r="E386" s="12" t="s">
        <v>1528</v>
      </c>
      <c r="F386" s="12" t="s">
        <v>64</v>
      </c>
      <c r="G386" s="13">
        <v>1</v>
      </c>
      <c r="H386" s="13"/>
      <c r="I386" s="13">
        <v>175.58</v>
      </c>
      <c r="J386" s="14">
        <f>IFERROR(ROUND(SUM(M387,M388,M389)/I386, 2),0)</f>
        <v>1532.67</v>
      </c>
      <c r="K386" s="15">
        <v>2364</v>
      </c>
      <c r="L386" s="14">
        <f>J386+ROUND(K386, 2)</f>
        <v>3896.67</v>
      </c>
      <c r="M386" s="14">
        <f>ROUND(J386*I386, 2)</f>
        <v>269106.2</v>
      </c>
      <c r="N386" s="14">
        <f>ROUND(I386*ROUND(K386, 2), 2)</f>
        <v>415071.12</v>
      </c>
      <c r="O386" s="14">
        <f>M386+N386</f>
        <v>684177.32</v>
      </c>
      <c r="P386" s="14">
        <f>IFERROR(ROUND(SUM(S387,S388,S389)/I386, 2),0)</f>
        <v>1532.67</v>
      </c>
      <c r="Q386" s="16">
        <v>2364</v>
      </c>
      <c r="R386" s="14">
        <f>P386+ROUND(Q386, 2)</f>
        <v>3896.67</v>
      </c>
      <c r="S386" s="14">
        <f>ROUND(P386*I386, 2)</f>
        <v>269106.2</v>
      </c>
      <c r="T386" s="14">
        <f>ROUND(I386*ROUND(Q386, 2), 2)</f>
        <v>415071.12</v>
      </c>
      <c r="U386" s="14">
        <f>S386+T386</f>
        <v>684177.32</v>
      </c>
      <c r="V386" s="9">
        <f>ROUND(P386 / 1.2, 2)</f>
        <v>1277.23</v>
      </c>
      <c r="W386" s="9">
        <f>ROUND(Q386 / 1.2, 2)</f>
        <v>1970</v>
      </c>
      <c r="X386" s="9">
        <f>ROUND(R386 / 1.2, 2)</f>
        <v>3247.23</v>
      </c>
      <c r="Y386" s="9">
        <f t="shared" si="23"/>
        <v>224255.17</v>
      </c>
      <c r="Z386" s="9">
        <f>ROUND(T386 / 1.2, 2)</f>
        <v>345892.6</v>
      </c>
      <c r="AA386" s="9">
        <f>Y386+Z386</f>
        <v>570147.77</v>
      </c>
      <c r="AD386" s="4">
        <v>271132223</v>
      </c>
      <c r="AE386" s="4">
        <v>19977069</v>
      </c>
      <c r="AG386" s="4" t="s">
        <v>1449</v>
      </c>
      <c r="AH386" s="4" t="s">
        <v>1450</v>
      </c>
      <c r="AI386" s="4" t="s">
        <v>67</v>
      </c>
    </row>
    <row r="387" spans="1:35" ht="36" x14ac:dyDescent="0.3">
      <c r="A387" s="10" t="s">
        <v>1529</v>
      </c>
      <c r="B387" s="10"/>
      <c r="C387" s="17" t="s">
        <v>676</v>
      </c>
      <c r="D387" s="12"/>
      <c r="E387" s="12" t="s">
        <v>1530</v>
      </c>
      <c r="F387" s="18" t="s">
        <v>64</v>
      </c>
      <c r="G387" s="19">
        <v>1.07</v>
      </c>
      <c r="H387" s="20"/>
      <c r="I387" s="20">
        <v>187.87100000000001</v>
      </c>
      <c r="J387" s="21">
        <v>1384.95</v>
      </c>
      <c r="M387" s="22">
        <f>ROUND(ROUND(J387, 2)*I387, 2)</f>
        <v>260191.94</v>
      </c>
      <c r="P387" s="23">
        <v>1384.95</v>
      </c>
      <c r="S387" s="22">
        <f>ROUND(ROUND(P387, 2)*I387, 2)</f>
        <v>260191.94</v>
      </c>
      <c r="V387" s="9">
        <f>ROUND(ROUND(P387, 2)/1.2, 2)</f>
        <v>1154.1300000000001</v>
      </c>
      <c r="Y387" s="9">
        <f t="shared" si="23"/>
        <v>216826.62</v>
      </c>
      <c r="AD387" s="4" t="s">
        <v>1531</v>
      </c>
      <c r="AE387" s="4" t="s">
        <v>1532</v>
      </c>
      <c r="AF387" s="4" t="s">
        <v>680</v>
      </c>
    </row>
    <row r="388" spans="1:35" ht="54" x14ac:dyDescent="0.3">
      <c r="A388" s="10" t="s">
        <v>1533</v>
      </c>
      <c r="B388" s="10"/>
      <c r="C388" s="17" t="s">
        <v>697</v>
      </c>
      <c r="D388" s="12"/>
      <c r="E388" s="12" t="s">
        <v>402</v>
      </c>
      <c r="F388" s="18" t="s">
        <v>70</v>
      </c>
      <c r="G388" s="19">
        <v>1.2</v>
      </c>
      <c r="H388" s="20"/>
      <c r="I388" s="20">
        <v>421.392</v>
      </c>
      <c r="J388" s="21">
        <v>16.96</v>
      </c>
      <c r="M388" s="22">
        <f>ROUND(ROUND(J388, 2)*I388, 2)</f>
        <v>7146.81</v>
      </c>
      <c r="P388" s="23">
        <v>16.96</v>
      </c>
      <c r="S388" s="22">
        <f>ROUND(ROUND(P388, 2)*I388, 2)</f>
        <v>7146.81</v>
      </c>
      <c r="V388" s="9">
        <f>ROUND(ROUND(P388, 2)/1.2, 2)</f>
        <v>14.13</v>
      </c>
      <c r="Y388" s="9">
        <f t="shared" si="23"/>
        <v>5955.68</v>
      </c>
      <c r="AD388" s="4" t="s">
        <v>1534</v>
      </c>
      <c r="AE388" s="4" t="s">
        <v>1535</v>
      </c>
      <c r="AF388" s="4" t="s">
        <v>700</v>
      </c>
    </row>
    <row r="389" spans="1:35" ht="18" x14ac:dyDescent="0.3">
      <c r="A389" s="10" t="s">
        <v>1536</v>
      </c>
      <c r="B389" s="10"/>
      <c r="C389" s="24" t="s">
        <v>426</v>
      </c>
      <c r="D389" s="12"/>
      <c r="E389" s="12"/>
      <c r="F389" s="18" t="s">
        <v>70</v>
      </c>
      <c r="G389" s="19">
        <v>0.25</v>
      </c>
      <c r="H389" s="20"/>
      <c r="I389" s="20">
        <v>43.895000000000003</v>
      </c>
      <c r="J389" s="21">
        <v>40.270000000000003</v>
      </c>
      <c r="M389" s="22">
        <f>ROUND(ROUND(J389, 2)*I389, 2)</f>
        <v>1767.65</v>
      </c>
      <c r="P389" s="23">
        <v>40.270000000000003</v>
      </c>
      <c r="S389" s="22">
        <f>ROUND(ROUND(P389, 2)*I389, 2)</f>
        <v>1767.65</v>
      </c>
      <c r="V389" s="9">
        <f>ROUND(ROUND(P389, 2)/1.2, 2)</f>
        <v>33.56</v>
      </c>
      <c r="Y389" s="9">
        <f t="shared" si="23"/>
        <v>1473.04</v>
      </c>
      <c r="AD389" s="4" t="s">
        <v>1537</v>
      </c>
      <c r="AE389" s="4" t="s">
        <v>1538</v>
      </c>
      <c r="AF389" s="4" t="s">
        <v>429</v>
      </c>
    </row>
    <row r="390" spans="1:35" ht="54" x14ac:dyDescent="0.3">
      <c r="A390" s="10" t="s">
        <v>1539</v>
      </c>
      <c r="B390" s="10" t="s">
        <v>1446</v>
      </c>
      <c r="C390" s="11" t="s">
        <v>1447</v>
      </c>
      <c r="D390" s="12"/>
      <c r="E390" s="12" t="s">
        <v>1540</v>
      </c>
      <c r="F390" s="12" t="s">
        <v>64</v>
      </c>
      <c r="G390" s="13">
        <v>1</v>
      </c>
      <c r="H390" s="13"/>
      <c r="I390" s="13">
        <v>400.4</v>
      </c>
      <c r="J390" s="14">
        <f>IFERROR(ROUND(SUM(M391,M392,M393,M394,M395)/I390, 2),0)</f>
        <v>1538.96</v>
      </c>
      <c r="K390" s="15">
        <v>2364</v>
      </c>
      <c r="L390" s="14">
        <f>J390+ROUND(K390, 2)</f>
        <v>3902.96</v>
      </c>
      <c r="M390" s="14">
        <f>ROUND(J390*I390, 2)</f>
        <v>616199.57999999996</v>
      </c>
      <c r="N390" s="14">
        <f>ROUND(I390*ROUND(K390, 2), 2)</f>
        <v>946545.6</v>
      </c>
      <c r="O390" s="14">
        <f>M390+N390</f>
        <v>1562745.18</v>
      </c>
      <c r="P390" s="14">
        <f>IFERROR(ROUND(SUM(S391,S392,S393,S394,S395)/I390, 2),0)</f>
        <v>1538.96</v>
      </c>
      <c r="Q390" s="16">
        <v>2364</v>
      </c>
      <c r="R390" s="14">
        <f>P390+ROUND(Q390, 2)</f>
        <v>3902.96</v>
      </c>
      <c r="S390" s="14">
        <f>ROUND(P390*I390, 2)</f>
        <v>616199.57999999996</v>
      </c>
      <c r="T390" s="14">
        <f>ROUND(I390*ROUND(Q390, 2), 2)</f>
        <v>946545.6</v>
      </c>
      <c r="U390" s="14">
        <f>S390+T390</f>
        <v>1562745.18</v>
      </c>
      <c r="V390" s="9">
        <f>ROUND(P390 / 1.2, 2)</f>
        <v>1282.47</v>
      </c>
      <c r="W390" s="9">
        <f>ROUND(Q390 / 1.2, 2)</f>
        <v>1970</v>
      </c>
      <c r="X390" s="9">
        <f>ROUND(R390 / 1.2, 2)</f>
        <v>3252.47</v>
      </c>
      <c r="Y390" s="9">
        <f t="shared" si="23"/>
        <v>513499.65</v>
      </c>
      <c r="Z390" s="9">
        <f>ROUND(T390 / 1.2, 2)</f>
        <v>788788</v>
      </c>
      <c r="AA390" s="9">
        <f>Y390+Z390</f>
        <v>1302287.6499999999</v>
      </c>
      <c r="AD390" s="4">
        <v>271132224</v>
      </c>
      <c r="AE390" s="4">
        <v>19977067</v>
      </c>
      <c r="AG390" s="4" t="s">
        <v>1449</v>
      </c>
      <c r="AH390" s="4" t="s">
        <v>1450</v>
      </c>
      <c r="AI390" s="4" t="s">
        <v>67</v>
      </c>
    </row>
    <row r="391" spans="1:35" ht="54" x14ac:dyDescent="0.3">
      <c r="A391" s="10" t="s">
        <v>1541</v>
      </c>
      <c r="B391" s="10"/>
      <c r="C391" s="17" t="s">
        <v>676</v>
      </c>
      <c r="D391" s="12"/>
      <c r="E391" s="12" t="s">
        <v>1542</v>
      </c>
      <c r="F391" s="18" t="s">
        <v>64</v>
      </c>
      <c r="G391" s="19">
        <v>1.07</v>
      </c>
      <c r="H391" s="20"/>
      <c r="I391" s="20">
        <v>428.428</v>
      </c>
      <c r="J391" s="21">
        <v>1384.95</v>
      </c>
      <c r="M391" s="22">
        <f>ROUND(ROUND(J391, 2)*I391, 2)</f>
        <v>593351.36</v>
      </c>
      <c r="P391" s="23">
        <v>1384.95</v>
      </c>
      <c r="S391" s="22">
        <f>ROUND(ROUND(P391, 2)*I391, 2)</f>
        <v>593351.36</v>
      </c>
      <c r="V391" s="9">
        <f>ROUND(ROUND(P391, 2)/1.2, 2)</f>
        <v>1154.1300000000001</v>
      </c>
      <c r="Y391" s="9">
        <f t="shared" si="23"/>
        <v>494459.47</v>
      </c>
      <c r="AD391" s="4" t="s">
        <v>1543</v>
      </c>
      <c r="AE391" s="4" t="s">
        <v>1544</v>
      </c>
      <c r="AF391" s="4" t="s">
        <v>680</v>
      </c>
    </row>
    <row r="392" spans="1:35" ht="54" x14ac:dyDescent="0.3">
      <c r="A392" s="10" t="s">
        <v>1545</v>
      </c>
      <c r="B392" s="10"/>
      <c r="C392" s="17" t="s">
        <v>1546</v>
      </c>
      <c r="D392" s="12"/>
      <c r="E392" s="12" t="s">
        <v>1547</v>
      </c>
      <c r="F392" s="18" t="s">
        <v>87</v>
      </c>
      <c r="G392" s="19">
        <v>0.23</v>
      </c>
      <c r="H392" s="20"/>
      <c r="I392" s="20">
        <v>12.537000000000001</v>
      </c>
      <c r="J392" s="21">
        <v>96.24</v>
      </c>
      <c r="M392" s="22">
        <f>ROUND(ROUND(J392, 2)*I392, 2)</f>
        <v>1206.56</v>
      </c>
      <c r="P392" s="23">
        <v>96.24</v>
      </c>
      <c r="S392" s="22">
        <f>ROUND(ROUND(P392, 2)*I392, 2)</f>
        <v>1206.56</v>
      </c>
      <c r="V392" s="9">
        <f>ROUND(ROUND(P392, 2)/1.2, 2)</f>
        <v>80.2</v>
      </c>
      <c r="Y392" s="9">
        <f t="shared" ref="Y392:Y423" si="24">ROUND(S392 / 1.2, 2)</f>
        <v>1005.47</v>
      </c>
      <c r="AD392" s="4" t="s">
        <v>1548</v>
      </c>
      <c r="AE392" s="4" t="s">
        <v>1549</v>
      </c>
      <c r="AF392" s="4" t="s">
        <v>1550</v>
      </c>
    </row>
    <row r="393" spans="1:35" ht="54" x14ac:dyDescent="0.3">
      <c r="A393" s="10" t="s">
        <v>1551</v>
      </c>
      <c r="B393" s="10"/>
      <c r="C393" s="24" t="s">
        <v>1086</v>
      </c>
      <c r="D393" s="12"/>
      <c r="E393" s="12" t="s">
        <v>1552</v>
      </c>
      <c r="F393" s="18" t="s">
        <v>87</v>
      </c>
      <c r="G393" s="19">
        <v>0.23</v>
      </c>
      <c r="H393" s="20"/>
      <c r="I393" s="20">
        <v>13.444000000000001</v>
      </c>
      <c r="J393" s="21">
        <v>97.71</v>
      </c>
      <c r="M393" s="22">
        <f>ROUND(ROUND(J393, 2)*I393, 2)</f>
        <v>1313.61</v>
      </c>
      <c r="P393" s="23">
        <v>97.71</v>
      </c>
      <c r="S393" s="22">
        <f>ROUND(ROUND(P393, 2)*I393, 2)</f>
        <v>1313.61</v>
      </c>
      <c r="V393" s="9">
        <f>ROUND(ROUND(P393, 2)/1.2, 2)</f>
        <v>81.430000000000007</v>
      </c>
      <c r="Y393" s="9">
        <f t="shared" si="24"/>
        <v>1094.68</v>
      </c>
      <c r="AD393" s="4" t="s">
        <v>1553</v>
      </c>
      <c r="AE393" s="4" t="s">
        <v>1554</v>
      </c>
      <c r="AF393" s="4" t="s">
        <v>1089</v>
      </c>
    </row>
    <row r="394" spans="1:35" ht="54" x14ac:dyDescent="0.3">
      <c r="A394" s="10" t="s">
        <v>1555</v>
      </c>
      <c r="B394" s="10"/>
      <c r="C394" s="17" t="s">
        <v>697</v>
      </c>
      <c r="D394" s="12"/>
      <c r="E394" s="12" t="s">
        <v>402</v>
      </c>
      <c r="F394" s="18" t="s">
        <v>70</v>
      </c>
      <c r="G394" s="19">
        <v>1.2</v>
      </c>
      <c r="H394" s="20"/>
      <c r="I394" s="20">
        <v>960.96</v>
      </c>
      <c r="J394" s="21">
        <v>16.96</v>
      </c>
      <c r="M394" s="22">
        <f>ROUND(ROUND(J394, 2)*I394, 2)</f>
        <v>16297.88</v>
      </c>
      <c r="P394" s="23">
        <v>16.96</v>
      </c>
      <c r="S394" s="22">
        <f>ROUND(ROUND(P394, 2)*I394, 2)</f>
        <v>16297.88</v>
      </c>
      <c r="V394" s="9">
        <f>ROUND(ROUND(P394, 2)/1.2, 2)</f>
        <v>14.13</v>
      </c>
      <c r="Y394" s="9">
        <f t="shared" si="24"/>
        <v>13581.57</v>
      </c>
      <c r="AD394" s="4" t="s">
        <v>1556</v>
      </c>
      <c r="AE394" s="4" t="s">
        <v>1557</v>
      </c>
      <c r="AF394" s="4" t="s">
        <v>700</v>
      </c>
    </row>
    <row r="395" spans="1:35" ht="18" x14ac:dyDescent="0.3">
      <c r="A395" s="10" t="s">
        <v>1558</v>
      </c>
      <c r="B395" s="10"/>
      <c r="C395" s="24" t="s">
        <v>1123</v>
      </c>
      <c r="D395" s="12"/>
      <c r="E395" s="12" t="s">
        <v>1559</v>
      </c>
      <c r="F395" s="18" t="s">
        <v>70</v>
      </c>
      <c r="G395" s="19">
        <v>0.25</v>
      </c>
      <c r="H395" s="20"/>
      <c r="I395" s="20">
        <v>100.1</v>
      </c>
      <c r="J395" s="21">
        <v>40.270000000000003</v>
      </c>
      <c r="M395" s="22">
        <f>ROUND(ROUND(J395, 2)*I395, 2)</f>
        <v>4031.03</v>
      </c>
      <c r="P395" s="23">
        <v>40.270000000000003</v>
      </c>
      <c r="S395" s="22">
        <f>ROUND(ROUND(P395, 2)*I395, 2)</f>
        <v>4031.03</v>
      </c>
      <c r="V395" s="9">
        <f>ROUND(ROUND(P395, 2)/1.2, 2)</f>
        <v>33.56</v>
      </c>
      <c r="Y395" s="9">
        <f t="shared" si="24"/>
        <v>3359.19</v>
      </c>
      <c r="AD395" s="4" t="s">
        <v>1560</v>
      </c>
      <c r="AE395" s="4" t="s">
        <v>1561</v>
      </c>
      <c r="AF395" s="4" t="s">
        <v>1127</v>
      </c>
    </row>
    <row r="396" spans="1:35" ht="54" x14ac:dyDescent="0.3">
      <c r="A396" s="10" t="s">
        <v>1562</v>
      </c>
      <c r="B396" s="10" t="s">
        <v>1446</v>
      </c>
      <c r="C396" s="11" t="s">
        <v>1447</v>
      </c>
      <c r="D396" s="12"/>
      <c r="E396" s="12" t="s">
        <v>1563</v>
      </c>
      <c r="F396" s="12" t="s">
        <v>64</v>
      </c>
      <c r="G396" s="13">
        <v>1</v>
      </c>
      <c r="H396" s="13"/>
      <c r="I396" s="13">
        <v>158.19</v>
      </c>
      <c r="J396" s="14">
        <f>IFERROR(ROUND(SUM(M397,M398,M399,M400,M401)/I396, 2),0)</f>
        <v>1077.02</v>
      </c>
      <c r="K396" s="15">
        <v>2364</v>
      </c>
      <c r="L396" s="14">
        <f>J396+ROUND(K396, 2)</f>
        <v>3441.02</v>
      </c>
      <c r="M396" s="14">
        <f>ROUND(J396*I396, 2)</f>
        <v>170373.79</v>
      </c>
      <c r="N396" s="14">
        <f>ROUND(I396*ROUND(K396, 2), 2)</f>
        <v>373961.16</v>
      </c>
      <c r="O396" s="14">
        <f>M396+N396</f>
        <v>544334.94999999995</v>
      </c>
      <c r="P396" s="14">
        <f>IFERROR(ROUND(SUM(S397,S398,S399,S400,S401)/I396, 2),0)</f>
        <v>1077.02</v>
      </c>
      <c r="Q396" s="16">
        <v>2364</v>
      </c>
      <c r="R396" s="14">
        <f>P396+ROUND(Q396, 2)</f>
        <v>3441.02</v>
      </c>
      <c r="S396" s="14">
        <f>ROUND(P396*I396, 2)</f>
        <v>170373.79</v>
      </c>
      <c r="T396" s="14">
        <f>ROUND(I396*ROUND(Q396, 2), 2)</f>
        <v>373961.16</v>
      </c>
      <c r="U396" s="14">
        <f>S396+T396</f>
        <v>544334.94999999995</v>
      </c>
      <c r="V396" s="9">
        <f>ROUND(P396 / 1.2, 2)</f>
        <v>897.52</v>
      </c>
      <c r="W396" s="9">
        <f>ROUND(Q396 / 1.2, 2)</f>
        <v>1970</v>
      </c>
      <c r="X396" s="9">
        <f>ROUND(R396 / 1.2, 2)</f>
        <v>2867.52</v>
      </c>
      <c r="Y396" s="9">
        <f t="shared" si="24"/>
        <v>141978.16</v>
      </c>
      <c r="Z396" s="9">
        <f>ROUND(T396 / 1.2, 2)</f>
        <v>311634.3</v>
      </c>
      <c r="AA396" s="9">
        <f>Y396+Z396</f>
        <v>453612.46</v>
      </c>
      <c r="AD396" s="4">
        <v>271132225</v>
      </c>
      <c r="AE396" s="4">
        <v>19988233</v>
      </c>
      <c r="AG396" s="4" t="s">
        <v>1449</v>
      </c>
      <c r="AH396" s="4" t="s">
        <v>1450</v>
      </c>
      <c r="AI396" s="4" t="s">
        <v>67</v>
      </c>
    </row>
    <row r="397" spans="1:35" ht="54" x14ac:dyDescent="0.3">
      <c r="A397" s="10" t="s">
        <v>1564</v>
      </c>
      <c r="B397" s="10"/>
      <c r="C397" s="17" t="s">
        <v>1461</v>
      </c>
      <c r="D397" s="12"/>
      <c r="E397" s="12" t="s">
        <v>1565</v>
      </c>
      <c r="F397" s="18" t="s">
        <v>64</v>
      </c>
      <c r="G397" s="19">
        <v>1.07</v>
      </c>
      <c r="H397" s="20"/>
      <c r="I397" s="20">
        <v>169.26300000000001</v>
      </c>
      <c r="J397" s="21">
        <v>945</v>
      </c>
      <c r="M397" s="22">
        <f>ROUND(ROUND(J397, 2)*I397, 2)</f>
        <v>159953.54</v>
      </c>
      <c r="P397" s="23">
        <v>945</v>
      </c>
      <c r="S397" s="22">
        <f>ROUND(ROUND(P397, 2)*I397, 2)</f>
        <v>159953.54</v>
      </c>
      <c r="V397" s="9">
        <f>ROUND(ROUND(P397, 2)/1.2, 2)</f>
        <v>787.5</v>
      </c>
      <c r="Y397" s="9">
        <f t="shared" si="24"/>
        <v>133294.62</v>
      </c>
      <c r="AD397" s="4" t="s">
        <v>1566</v>
      </c>
      <c r="AE397" s="4" t="s">
        <v>1567</v>
      </c>
      <c r="AF397" s="4" t="s">
        <v>1465</v>
      </c>
    </row>
    <row r="398" spans="1:35" ht="72" x14ac:dyDescent="0.3">
      <c r="A398" s="10" t="s">
        <v>1568</v>
      </c>
      <c r="B398" s="10"/>
      <c r="C398" s="17" t="s">
        <v>1546</v>
      </c>
      <c r="D398" s="12"/>
      <c r="E398" s="12" t="s">
        <v>1569</v>
      </c>
      <c r="F398" s="18" t="s">
        <v>87</v>
      </c>
      <c r="G398" s="19">
        <v>0.23</v>
      </c>
      <c r="H398" s="20"/>
      <c r="I398" s="20">
        <v>7.9489999999999998</v>
      </c>
      <c r="J398" s="21">
        <v>96.24</v>
      </c>
      <c r="M398" s="22">
        <f>ROUND(ROUND(J398, 2)*I398, 2)</f>
        <v>765.01</v>
      </c>
      <c r="P398" s="23">
        <v>96.24</v>
      </c>
      <c r="S398" s="22">
        <f>ROUND(ROUND(P398, 2)*I398, 2)</f>
        <v>765.01</v>
      </c>
      <c r="V398" s="9">
        <f>ROUND(ROUND(P398, 2)/1.2, 2)</f>
        <v>80.2</v>
      </c>
      <c r="Y398" s="9">
        <f t="shared" si="24"/>
        <v>637.51</v>
      </c>
      <c r="AD398" s="4" t="s">
        <v>1570</v>
      </c>
      <c r="AE398" s="4" t="s">
        <v>1571</v>
      </c>
      <c r="AF398" s="4" t="s">
        <v>1550</v>
      </c>
    </row>
    <row r="399" spans="1:35" ht="54" x14ac:dyDescent="0.3">
      <c r="A399" s="10" t="s">
        <v>1572</v>
      </c>
      <c r="B399" s="10"/>
      <c r="C399" s="17" t="s">
        <v>697</v>
      </c>
      <c r="D399" s="12"/>
      <c r="E399" s="12" t="s">
        <v>402</v>
      </c>
      <c r="F399" s="18" t="s">
        <v>70</v>
      </c>
      <c r="G399" s="19">
        <v>1.2</v>
      </c>
      <c r="H399" s="20"/>
      <c r="I399" s="20">
        <v>379.65600000000001</v>
      </c>
      <c r="J399" s="21">
        <v>16.96</v>
      </c>
      <c r="M399" s="22">
        <f>ROUND(ROUND(J399, 2)*I399, 2)</f>
        <v>6438.97</v>
      </c>
      <c r="P399" s="23">
        <v>16.96</v>
      </c>
      <c r="S399" s="22">
        <f>ROUND(ROUND(P399, 2)*I399, 2)</f>
        <v>6438.97</v>
      </c>
      <c r="V399" s="9">
        <f>ROUND(ROUND(P399, 2)/1.2, 2)</f>
        <v>14.13</v>
      </c>
      <c r="Y399" s="9">
        <f t="shared" si="24"/>
        <v>5365.81</v>
      </c>
      <c r="AD399" s="4" t="s">
        <v>1573</v>
      </c>
      <c r="AE399" s="4" t="s">
        <v>1574</v>
      </c>
      <c r="AF399" s="4" t="s">
        <v>700</v>
      </c>
    </row>
    <row r="400" spans="1:35" ht="36" x14ac:dyDescent="0.3">
      <c r="A400" s="10" t="s">
        <v>1575</v>
      </c>
      <c r="B400" s="10"/>
      <c r="C400" s="24" t="s">
        <v>452</v>
      </c>
      <c r="D400" s="12"/>
      <c r="E400" s="12"/>
      <c r="F400" s="18" t="s">
        <v>70</v>
      </c>
      <c r="G400" s="19">
        <v>0.15</v>
      </c>
      <c r="H400" s="19"/>
      <c r="I400" s="19">
        <v>23.728999999999999</v>
      </c>
      <c r="J400" s="21">
        <v>68.400000000000006</v>
      </c>
      <c r="M400" s="22">
        <f>ROUND(ROUND(J400, 2)*I400, 2)</f>
        <v>1623.06</v>
      </c>
      <c r="P400" s="23">
        <v>68.400000000000006</v>
      </c>
      <c r="S400" s="22">
        <f>ROUND(ROUND(P400, 2)*I400, 2)</f>
        <v>1623.06</v>
      </c>
      <c r="V400" s="9">
        <f>ROUND(ROUND(P400, 2)/1.2, 2)</f>
        <v>57</v>
      </c>
      <c r="Y400" s="9">
        <f t="shared" si="24"/>
        <v>1352.55</v>
      </c>
      <c r="AD400" s="4" t="s">
        <v>1576</v>
      </c>
      <c r="AE400" s="4" t="s">
        <v>1577</v>
      </c>
      <c r="AF400" s="4" t="s">
        <v>456</v>
      </c>
    </row>
    <row r="401" spans="1:35" ht="18" x14ac:dyDescent="0.3">
      <c r="A401" s="10" t="s">
        <v>1578</v>
      </c>
      <c r="B401" s="10"/>
      <c r="C401" s="24" t="s">
        <v>426</v>
      </c>
      <c r="D401" s="12"/>
      <c r="E401" s="12"/>
      <c r="F401" s="18" t="s">
        <v>70</v>
      </c>
      <c r="G401" s="19">
        <v>0.25</v>
      </c>
      <c r="H401" s="20"/>
      <c r="I401" s="20">
        <v>39.548000000000002</v>
      </c>
      <c r="J401" s="21">
        <v>40.270000000000003</v>
      </c>
      <c r="M401" s="22">
        <f>ROUND(ROUND(J401, 2)*I401, 2)</f>
        <v>1592.6</v>
      </c>
      <c r="P401" s="23">
        <v>40.270000000000003</v>
      </c>
      <c r="S401" s="22">
        <f>ROUND(ROUND(P401, 2)*I401, 2)</f>
        <v>1592.6</v>
      </c>
      <c r="V401" s="9">
        <f>ROUND(ROUND(P401, 2)/1.2, 2)</f>
        <v>33.56</v>
      </c>
      <c r="Y401" s="9">
        <f t="shared" si="24"/>
        <v>1327.17</v>
      </c>
      <c r="AD401" s="4" t="s">
        <v>1579</v>
      </c>
      <c r="AE401" s="4" t="s">
        <v>1580</v>
      </c>
      <c r="AF401" s="4" t="s">
        <v>429</v>
      </c>
    </row>
    <row r="402" spans="1:35" ht="54" x14ac:dyDescent="0.3">
      <c r="A402" s="10" t="s">
        <v>1581</v>
      </c>
      <c r="B402" s="10" t="s">
        <v>1446</v>
      </c>
      <c r="C402" s="11" t="s">
        <v>1447</v>
      </c>
      <c r="D402" s="12"/>
      <c r="E402" s="12" t="s">
        <v>1582</v>
      </c>
      <c r="F402" s="12" t="s">
        <v>64</v>
      </c>
      <c r="G402" s="13">
        <v>1</v>
      </c>
      <c r="H402" s="13"/>
      <c r="I402" s="13">
        <v>15.27</v>
      </c>
      <c r="J402" s="14">
        <f>IFERROR(ROUND(SUM(M403,M404,M405,M406)/I402, 2),0)</f>
        <v>1542.94</v>
      </c>
      <c r="K402" s="15">
        <v>2364</v>
      </c>
      <c r="L402" s="14">
        <f>J402+ROUND(K402, 2)</f>
        <v>3906.94</v>
      </c>
      <c r="M402" s="14">
        <f>ROUND(J402*I402, 2)</f>
        <v>23560.69</v>
      </c>
      <c r="N402" s="14">
        <f>ROUND(I402*ROUND(K402, 2), 2)</f>
        <v>36098.28</v>
      </c>
      <c r="O402" s="14">
        <f>M402+N402</f>
        <v>59658.97</v>
      </c>
      <c r="P402" s="14">
        <f>IFERROR(ROUND(SUM(S403,S404,S405,S406)/I402, 2),0)</f>
        <v>1542.94</v>
      </c>
      <c r="Q402" s="16">
        <v>2364</v>
      </c>
      <c r="R402" s="14">
        <f>P402+ROUND(Q402, 2)</f>
        <v>3906.94</v>
      </c>
      <c r="S402" s="14">
        <f>ROUND(P402*I402, 2)</f>
        <v>23560.69</v>
      </c>
      <c r="T402" s="14">
        <f>ROUND(I402*ROUND(Q402, 2), 2)</f>
        <v>36098.28</v>
      </c>
      <c r="U402" s="14">
        <f>S402+T402</f>
        <v>59658.97</v>
      </c>
      <c r="V402" s="9">
        <f>ROUND(P402 / 1.2, 2)</f>
        <v>1285.78</v>
      </c>
      <c r="W402" s="9">
        <f>ROUND(Q402 / 1.2, 2)</f>
        <v>1970</v>
      </c>
      <c r="X402" s="9">
        <f>ROUND(R402 / 1.2, 2)</f>
        <v>3255.78</v>
      </c>
      <c r="Y402" s="9">
        <f t="shared" si="24"/>
        <v>19633.91</v>
      </c>
      <c r="Z402" s="9">
        <f>ROUND(T402 / 1.2, 2)</f>
        <v>30081.9</v>
      </c>
      <c r="AA402" s="9">
        <f>Y402+Z402</f>
        <v>49715.81</v>
      </c>
      <c r="AD402" s="4">
        <v>271132226</v>
      </c>
      <c r="AE402" s="4">
        <v>19988234</v>
      </c>
      <c r="AG402" s="4" t="s">
        <v>1449</v>
      </c>
      <c r="AH402" s="4" t="s">
        <v>1450</v>
      </c>
      <c r="AI402" s="4" t="s">
        <v>67</v>
      </c>
    </row>
    <row r="403" spans="1:35" ht="54" x14ac:dyDescent="0.3">
      <c r="A403" s="10" t="s">
        <v>1583</v>
      </c>
      <c r="B403" s="10"/>
      <c r="C403" s="17" t="s">
        <v>676</v>
      </c>
      <c r="D403" s="12"/>
      <c r="E403" s="12" t="s">
        <v>1469</v>
      </c>
      <c r="F403" s="18" t="s">
        <v>64</v>
      </c>
      <c r="G403" s="19">
        <v>1.07</v>
      </c>
      <c r="H403" s="20"/>
      <c r="I403" s="20">
        <v>16.338999999999999</v>
      </c>
      <c r="J403" s="21">
        <v>1384.95</v>
      </c>
      <c r="M403" s="22">
        <f>ROUND(ROUND(J403, 2)*I403, 2)</f>
        <v>22628.7</v>
      </c>
      <c r="P403" s="23">
        <v>1384.95</v>
      </c>
      <c r="S403" s="22">
        <f>ROUND(ROUND(P403, 2)*I403, 2)</f>
        <v>22628.7</v>
      </c>
      <c r="V403" s="9">
        <f>ROUND(ROUND(P403, 2)/1.2, 2)</f>
        <v>1154.1300000000001</v>
      </c>
      <c r="Y403" s="9">
        <f t="shared" si="24"/>
        <v>18857.25</v>
      </c>
      <c r="AD403" s="4" t="s">
        <v>1584</v>
      </c>
      <c r="AE403" s="4" t="s">
        <v>1585</v>
      </c>
      <c r="AF403" s="4" t="s">
        <v>680</v>
      </c>
    </row>
    <row r="404" spans="1:35" ht="54" x14ac:dyDescent="0.3">
      <c r="A404" s="10" t="s">
        <v>1586</v>
      </c>
      <c r="B404" s="10"/>
      <c r="C404" s="17" t="s">
        <v>697</v>
      </c>
      <c r="D404" s="12"/>
      <c r="E404" s="12" t="s">
        <v>402</v>
      </c>
      <c r="F404" s="18" t="s">
        <v>70</v>
      </c>
      <c r="G404" s="19">
        <v>1.2</v>
      </c>
      <c r="H404" s="20"/>
      <c r="I404" s="20">
        <v>36.648000000000003</v>
      </c>
      <c r="J404" s="21">
        <v>16.96</v>
      </c>
      <c r="M404" s="22">
        <f>ROUND(ROUND(J404, 2)*I404, 2)</f>
        <v>621.54999999999995</v>
      </c>
      <c r="P404" s="23">
        <v>16.96</v>
      </c>
      <c r="S404" s="22">
        <f>ROUND(ROUND(P404, 2)*I404, 2)</f>
        <v>621.54999999999995</v>
      </c>
      <c r="V404" s="9">
        <f>ROUND(ROUND(P404, 2)/1.2, 2)</f>
        <v>14.13</v>
      </c>
      <c r="Y404" s="9">
        <f t="shared" si="24"/>
        <v>517.96</v>
      </c>
      <c r="AD404" s="4" t="s">
        <v>1587</v>
      </c>
      <c r="AE404" s="4" t="s">
        <v>1588</v>
      </c>
      <c r="AF404" s="4" t="s">
        <v>700</v>
      </c>
    </row>
    <row r="405" spans="1:35" ht="36" x14ac:dyDescent="0.3">
      <c r="A405" s="10" t="s">
        <v>1589</v>
      </c>
      <c r="B405" s="10"/>
      <c r="C405" s="24" t="s">
        <v>452</v>
      </c>
      <c r="D405" s="12"/>
      <c r="E405" s="12"/>
      <c r="F405" s="18" t="s">
        <v>70</v>
      </c>
      <c r="G405" s="19">
        <v>0.15</v>
      </c>
      <c r="H405" s="19"/>
      <c r="I405" s="19">
        <v>2.2909999999999999</v>
      </c>
      <c r="J405" s="21">
        <v>68.400000000000006</v>
      </c>
      <c r="M405" s="22">
        <f>ROUND(ROUND(J405, 2)*I405, 2)</f>
        <v>156.69999999999999</v>
      </c>
      <c r="P405" s="23">
        <v>68.400000000000006</v>
      </c>
      <c r="S405" s="22">
        <f>ROUND(ROUND(P405, 2)*I405, 2)</f>
        <v>156.69999999999999</v>
      </c>
      <c r="V405" s="9">
        <f>ROUND(ROUND(P405, 2)/1.2, 2)</f>
        <v>57</v>
      </c>
      <c r="Y405" s="9">
        <f t="shared" si="24"/>
        <v>130.58000000000001</v>
      </c>
      <c r="AD405" s="4" t="s">
        <v>1590</v>
      </c>
      <c r="AE405" s="4" t="s">
        <v>1591</v>
      </c>
      <c r="AF405" s="4" t="s">
        <v>456</v>
      </c>
    </row>
    <row r="406" spans="1:35" ht="18" x14ac:dyDescent="0.3">
      <c r="A406" s="10" t="s">
        <v>1592</v>
      </c>
      <c r="B406" s="10"/>
      <c r="C406" s="24" t="s">
        <v>426</v>
      </c>
      <c r="D406" s="12"/>
      <c r="E406" s="12"/>
      <c r="F406" s="18" t="s">
        <v>70</v>
      </c>
      <c r="G406" s="19">
        <v>0.25</v>
      </c>
      <c r="H406" s="20"/>
      <c r="I406" s="20">
        <v>3.8180000000000001</v>
      </c>
      <c r="J406" s="21">
        <v>40.270000000000003</v>
      </c>
      <c r="M406" s="22">
        <f>ROUND(ROUND(J406, 2)*I406, 2)</f>
        <v>153.75</v>
      </c>
      <c r="P406" s="23">
        <v>40.270000000000003</v>
      </c>
      <c r="S406" s="22">
        <f>ROUND(ROUND(P406, 2)*I406, 2)</f>
        <v>153.75</v>
      </c>
      <c r="V406" s="9">
        <f>ROUND(ROUND(P406, 2)/1.2, 2)</f>
        <v>33.56</v>
      </c>
      <c r="Y406" s="9">
        <f t="shared" si="24"/>
        <v>128.13</v>
      </c>
      <c r="AD406" s="4" t="s">
        <v>1593</v>
      </c>
      <c r="AE406" s="4" t="s">
        <v>1594</v>
      </c>
      <c r="AF406" s="4" t="s">
        <v>429</v>
      </c>
    </row>
    <row r="407" spans="1:35" ht="54" x14ac:dyDescent="0.3">
      <c r="A407" s="10" t="s">
        <v>1595</v>
      </c>
      <c r="B407" s="10" t="s">
        <v>1446</v>
      </c>
      <c r="C407" s="11" t="s">
        <v>1447</v>
      </c>
      <c r="D407" s="12"/>
      <c r="E407" s="12" t="s">
        <v>1596</v>
      </c>
      <c r="F407" s="12" t="s">
        <v>64</v>
      </c>
      <c r="G407" s="13">
        <v>1</v>
      </c>
      <c r="H407" s="13"/>
      <c r="I407" s="13">
        <v>35.9</v>
      </c>
      <c r="J407" s="14">
        <f>IFERROR(ROUND(SUM(M408,M409,M410,M411)/I407, 2),0)</f>
        <v>1278.9100000000001</v>
      </c>
      <c r="K407" s="15">
        <v>2364</v>
      </c>
      <c r="L407" s="14">
        <f>J407+ROUND(K407, 2)</f>
        <v>3642.91</v>
      </c>
      <c r="M407" s="14">
        <f>ROUND(J407*I407, 2)</f>
        <v>45912.87</v>
      </c>
      <c r="N407" s="14">
        <f>ROUND(I407*ROUND(K407, 2), 2)</f>
        <v>84867.6</v>
      </c>
      <c r="O407" s="14">
        <f>M407+N407</f>
        <v>130780.47</v>
      </c>
      <c r="P407" s="14">
        <f>IFERROR(ROUND(SUM(S408,S409,S410,S411)/I407, 2),0)</f>
        <v>1278.9100000000001</v>
      </c>
      <c r="Q407" s="16">
        <v>2364</v>
      </c>
      <c r="R407" s="14">
        <f>P407+ROUND(Q407, 2)</f>
        <v>3642.91</v>
      </c>
      <c r="S407" s="14">
        <f>ROUND(P407*I407, 2)</f>
        <v>45912.87</v>
      </c>
      <c r="T407" s="14">
        <f>ROUND(I407*ROUND(Q407, 2), 2)</f>
        <v>84867.6</v>
      </c>
      <c r="U407" s="14">
        <f>S407+T407</f>
        <v>130780.47</v>
      </c>
      <c r="V407" s="9">
        <f>ROUND(P407 / 1.2, 2)</f>
        <v>1065.76</v>
      </c>
      <c r="W407" s="9">
        <f>ROUND(Q407 / 1.2, 2)</f>
        <v>1970</v>
      </c>
      <c r="X407" s="9">
        <f>ROUND(R407 / 1.2, 2)</f>
        <v>3035.76</v>
      </c>
      <c r="Y407" s="9">
        <f t="shared" si="24"/>
        <v>38260.730000000003</v>
      </c>
      <c r="Z407" s="9">
        <f>ROUND(T407 / 1.2, 2)</f>
        <v>70723</v>
      </c>
      <c r="AA407" s="9">
        <f>Y407+Z407</f>
        <v>108983.73</v>
      </c>
      <c r="AD407" s="4">
        <v>271132227</v>
      </c>
      <c r="AE407" s="4">
        <v>19989017</v>
      </c>
      <c r="AG407" s="4" t="s">
        <v>1449</v>
      </c>
      <c r="AH407" s="4" t="s">
        <v>1450</v>
      </c>
      <c r="AI407" s="4" t="s">
        <v>67</v>
      </c>
    </row>
    <row r="408" spans="1:35" ht="36" x14ac:dyDescent="0.3">
      <c r="A408" s="10" t="s">
        <v>1597</v>
      </c>
      <c r="B408" s="10"/>
      <c r="C408" s="17" t="s">
        <v>1484</v>
      </c>
      <c r="D408" s="12"/>
      <c r="E408" s="12" t="s">
        <v>1485</v>
      </c>
      <c r="F408" s="18" t="s">
        <v>64</v>
      </c>
      <c r="G408" s="19">
        <v>1.07</v>
      </c>
      <c r="H408" s="20"/>
      <c r="I408" s="20">
        <v>38.412999999999997</v>
      </c>
      <c r="J408" s="21">
        <v>1138.2</v>
      </c>
      <c r="M408" s="22">
        <f>ROUND(ROUND(J408, 2)*I408, 2)</f>
        <v>43721.68</v>
      </c>
      <c r="P408" s="23">
        <v>1138.2</v>
      </c>
      <c r="S408" s="22">
        <f>ROUND(ROUND(P408, 2)*I408, 2)</f>
        <v>43721.68</v>
      </c>
      <c r="V408" s="9">
        <f>ROUND(ROUND(P408, 2)/1.2, 2)</f>
        <v>948.5</v>
      </c>
      <c r="Y408" s="9">
        <f t="shared" si="24"/>
        <v>36434.730000000003</v>
      </c>
      <c r="AD408" s="4" t="s">
        <v>1598</v>
      </c>
      <c r="AE408" s="4" t="s">
        <v>1599</v>
      </c>
      <c r="AF408" s="4" t="s">
        <v>1488</v>
      </c>
    </row>
    <row r="409" spans="1:35" ht="54" x14ac:dyDescent="0.3">
      <c r="A409" s="10" t="s">
        <v>1600</v>
      </c>
      <c r="B409" s="10"/>
      <c r="C409" s="17" t="s">
        <v>697</v>
      </c>
      <c r="D409" s="12"/>
      <c r="E409" s="12" t="s">
        <v>402</v>
      </c>
      <c r="F409" s="18" t="s">
        <v>70</v>
      </c>
      <c r="G409" s="19">
        <v>1.2</v>
      </c>
      <c r="H409" s="20"/>
      <c r="I409" s="20">
        <v>86.16</v>
      </c>
      <c r="J409" s="21">
        <v>16.96</v>
      </c>
      <c r="M409" s="22">
        <f>ROUND(ROUND(J409, 2)*I409, 2)</f>
        <v>1461.27</v>
      </c>
      <c r="P409" s="23">
        <v>16.96</v>
      </c>
      <c r="S409" s="22">
        <f>ROUND(ROUND(P409, 2)*I409, 2)</f>
        <v>1461.27</v>
      </c>
      <c r="V409" s="9">
        <f>ROUND(ROUND(P409, 2)/1.2, 2)</f>
        <v>14.13</v>
      </c>
      <c r="Y409" s="9">
        <f t="shared" si="24"/>
        <v>1217.73</v>
      </c>
      <c r="AD409" s="4" t="s">
        <v>1601</v>
      </c>
      <c r="AE409" s="4" t="s">
        <v>1602</v>
      </c>
      <c r="AF409" s="4" t="s">
        <v>700</v>
      </c>
    </row>
    <row r="410" spans="1:35" ht="36" x14ac:dyDescent="0.3">
      <c r="A410" s="10" t="s">
        <v>1603</v>
      </c>
      <c r="B410" s="10"/>
      <c r="C410" s="24" t="s">
        <v>452</v>
      </c>
      <c r="D410" s="12"/>
      <c r="E410" s="12"/>
      <c r="F410" s="18" t="s">
        <v>70</v>
      </c>
      <c r="G410" s="19">
        <v>0.15</v>
      </c>
      <c r="H410" s="19"/>
      <c r="I410" s="19">
        <v>5.3849999999999998</v>
      </c>
      <c r="J410" s="21">
        <v>68.400000000000006</v>
      </c>
      <c r="M410" s="22">
        <f>ROUND(ROUND(J410, 2)*I410, 2)</f>
        <v>368.33</v>
      </c>
      <c r="P410" s="23">
        <v>68.400000000000006</v>
      </c>
      <c r="S410" s="22">
        <f>ROUND(ROUND(P410, 2)*I410, 2)</f>
        <v>368.33</v>
      </c>
      <c r="V410" s="9">
        <f>ROUND(ROUND(P410, 2)/1.2, 2)</f>
        <v>57</v>
      </c>
      <c r="Y410" s="9">
        <f t="shared" si="24"/>
        <v>306.94</v>
      </c>
      <c r="AD410" s="4" t="s">
        <v>1604</v>
      </c>
      <c r="AE410" s="4" t="s">
        <v>1605</v>
      </c>
      <c r="AF410" s="4" t="s">
        <v>456</v>
      </c>
    </row>
    <row r="411" spans="1:35" ht="18" x14ac:dyDescent="0.3">
      <c r="A411" s="10" t="s">
        <v>1606</v>
      </c>
      <c r="B411" s="10"/>
      <c r="C411" s="24" t="s">
        <v>426</v>
      </c>
      <c r="D411" s="12"/>
      <c r="E411" s="12"/>
      <c r="F411" s="18" t="s">
        <v>70</v>
      </c>
      <c r="G411" s="19">
        <v>0.25</v>
      </c>
      <c r="H411" s="20"/>
      <c r="I411" s="20">
        <v>8.9749999999999996</v>
      </c>
      <c r="J411" s="21">
        <v>40.270000000000003</v>
      </c>
      <c r="M411" s="22">
        <f>ROUND(ROUND(J411, 2)*I411, 2)</f>
        <v>361.42</v>
      </c>
      <c r="P411" s="23">
        <v>40.270000000000003</v>
      </c>
      <c r="S411" s="22">
        <f>ROUND(ROUND(P411, 2)*I411, 2)</f>
        <v>361.42</v>
      </c>
      <c r="V411" s="9">
        <f>ROUND(ROUND(P411, 2)/1.2, 2)</f>
        <v>33.56</v>
      </c>
      <c r="Y411" s="9">
        <f t="shared" si="24"/>
        <v>301.18</v>
      </c>
      <c r="AD411" s="4" t="s">
        <v>1607</v>
      </c>
      <c r="AE411" s="4" t="s">
        <v>1608</v>
      </c>
      <c r="AF411" s="4" t="s">
        <v>429</v>
      </c>
    </row>
    <row r="412" spans="1:35" ht="54" x14ac:dyDescent="0.3">
      <c r="A412" s="10" t="s">
        <v>1609</v>
      </c>
      <c r="B412" s="10" t="s">
        <v>1446</v>
      </c>
      <c r="C412" s="11" t="s">
        <v>1447</v>
      </c>
      <c r="D412" s="12"/>
      <c r="E412" s="12" t="s">
        <v>1610</v>
      </c>
      <c r="F412" s="12" t="s">
        <v>64</v>
      </c>
      <c r="G412" s="13">
        <v>1</v>
      </c>
      <c r="H412" s="13"/>
      <c r="I412" s="13">
        <v>5.75</v>
      </c>
      <c r="J412" s="14">
        <f>IFERROR(ROUND(SUM(M413,M414,M415,M416)/I412, 2),0)</f>
        <v>1152.05</v>
      </c>
      <c r="K412" s="15">
        <v>2364</v>
      </c>
      <c r="L412" s="14">
        <f>J412+ROUND(K412, 2)</f>
        <v>3516.05</v>
      </c>
      <c r="M412" s="14">
        <f>ROUND(J412*I412, 2)</f>
        <v>6624.29</v>
      </c>
      <c r="N412" s="14">
        <f>ROUND(I412*ROUND(K412, 2), 2)</f>
        <v>13593</v>
      </c>
      <c r="O412" s="14">
        <f>M412+N412</f>
        <v>20217.29</v>
      </c>
      <c r="P412" s="14">
        <f>IFERROR(ROUND(SUM(S413,S414,S415,S416)/I412, 2),0)</f>
        <v>1152.05</v>
      </c>
      <c r="Q412" s="16">
        <v>2364</v>
      </c>
      <c r="R412" s="14">
        <f>P412+ROUND(Q412, 2)</f>
        <v>3516.05</v>
      </c>
      <c r="S412" s="14">
        <f>ROUND(P412*I412, 2)</f>
        <v>6624.29</v>
      </c>
      <c r="T412" s="14">
        <f>ROUND(I412*ROUND(Q412, 2), 2)</f>
        <v>13593</v>
      </c>
      <c r="U412" s="14">
        <f>S412+T412</f>
        <v>20217.29</v>
      </c>
      <c r="V412" s="9">
        <f>ROUND(P412 / 1.2, 2)</f>
        <v>960.04</v>
      </c>
      <c r="W412" s="9">
        <f>ROUND(Q412 / 1.2, 2)</f>
        <v>1970</v>
      </c>
      <c r="X412" s="9">
        <f>ROUND(R412 / 1.2, 2)</f>
        <v>2930.04</v>
      </c>
      <c r="Y412" s="9">
        <f t="shared" si="24"/>
        <v>5520.24</v>
      </c>
      <c r="Z412" s="9">
        <f>ROUND(T412 / 1.2, 2)</f>
        <v>11327.5</v>
      </c>
      <c r="AA412" s="9">
        <f>Y412+Z412</f>
        <v>16847.740000000002</v>
      </c>
      <c r="AD412" s="4">
        <v>271132228</v>
      </c>
      <c r="AE412" s="4">
        <v>19989018</v>
      </c>
      <c r="AG412" s="4" t="s">
        <v>1449</v>
      </c>
      <c r="AH412" s="4" t="s">
        <v>1450</v>
      </c>
      <c r="AI412" s="4" t="s">
        <v>67</v>
      </c>
    </row>
    <row r="413" spans="1:35" ht="36" x14ac:dyDescent="0.3">
      <c r="A413" s="10" t="s">
        <v>1611</v>
      </c>
      <c r="B413" s="10"/>
      <c r="C413" s="17" t="s">
        <v>1501</v>
      </c>
      <c r="D413" s="12"/>
      <c r="E413" s="12" t="s">
        <v>1612</v>
      </c>
      <c r="F413" s="18" t="s">
        <v>64</v>
      </c>
      <c r="G413" s="19">
        <v>1.07</v>
      </c>
      <c r="H413" s="20"/>
      <c r="I413" s="20">
        <v>6.1529999999999996</v>
      </c>
      <c r="J413" s="21">
        <v>1019.55</v>
      </c>
      <c r="M413" s="22">
        <f>ROUND(ROUND(J413, 2)*I413, 2)</f>
        <v>6273.29</v>
      </c>
      <c r="P413" s="23">
        <v>1019.55</v>
      </c>
      <c r="S413" s="22">
        <f>ROUND(ROUND(P413, 2)*I413, 2)</f>
        <v>6273.29</v>
      </c>
      <c r="V413" s="9">
        <f>ROUND(ROUND(P413, 2)/1.2, 2)</f>
        <v>849.63</v>
      </c>
      <c r="Y413" s="9">
        <f t="shared" si="24"/>
        <v>5227.74</v>
      </c>
      <c r="AD413" s="4" t="s">
        <v>1613</v>
      </c>
      <c r="AE413" s="4" t="s">
        <v>1614</v>
      </c>
      <c r="AF413" s="4" t="s">
        <v>1505</v>
      </c>
    </row>
    <row r="414" spans="1:35" ht="54" x14ac:dyDescent="0.3">
      <c r="A414" s="10" t="s">
        <v>1615</v>
      </c>
      <c r="B414" s="10"/>
      <c r="C414" s="17" t="s">
        <v>697</v>
      </c>
      <c r="D414" s="12"/>
      <c r="E414" s="12" t="s">
        <v>402</v>
      </c>
      <c r="F414" s="18" t="s">
        <v>70</v>
      </c>
      <c r="G414" s="19">
        <v>1.2</v>
      </c>
      <c r="H414" s="20"/>
      <c r="I414" s="20">
        <v>13.8</v>
      </c>
      <c r="J414" s="21">
        <v>16.96</v>
      </c>
      <c r="M414" s="22">
        <f>ROUND(ROUND(J414, 2)*I414, 2)</f>
        <v>234.05</v>
      </c>
      <c r="P414" s="23">
        <v>16.96</v>
      </c>
      <c r="S414" s="22">
        <f>ROUND(ROUND(P414, 2)*I414, 2)</f>
        <v>234.05</v>
      </c>
      <c r="V414" s="9">
        <f>ROUND(ROUND(P414, 2)/1.2, 2)</f>
        <v>14.13</v>
      </c>
      <c r="Y414" s="9">
        <f t="shared" si="24"/>
        <v>195.04</v>
      </c>
      <c r="AD414" s="4" t="s">
        <v>1616</v>
      </c>
      <c r="AE414" s="4" t="s">
        <v>1617</v>
      </c>
      <c r="AF414" s="4" t="s">
        <v>700</v>
      </c>
    </row>
    <row r="415" spans="1:35" ht="36" x14ac:dyDescent="0.3">
      <c r="A415" s="10" t="s">
        <v>1618</v>
      </c>
      <c r="B415" s="10"/>
      <c r="C415" s="24" t="s">
        <v>452</v>
      </c>
      <c r="D415" s="12"/>
      <c r="E415" s="12"/>
      <c r="F415" s="18" t="s">
        <v>70</v>
      </c>
      <c r="G415" s="19">
        <v>0.15</v>
      </c>
      <c r="H415" s="19"/>
      <c r="I415" s="19">
        <v>0.86299999999999999</v>
      </c>
      <c r="J415" s="21">
        <v>68.400000000000006</v>
      </c>
      <c r="M415" s="22">
        <f>ROUND(ROUND(J415, 2)*I415, 2)</f>
        <v>59.03</v>
      </c>
      <c r="P415" s="23">
        <v>68.400000000000006</v>
      </c>
      <c r="S415" s="22">
        <f>ROUND(ROUND(P415, 2)*I415, 2)</f>
        <v>59.03</v>
      </c>
      <c r="V415" s="9">
        <f>ROUND(ROUND(P415, 2)/1.2, 2)</f>
        <v>57</v>
      </c>
      <c r="Y415" s="9">
        <f t="shared" si="24"/>
        <v>49.19</v>
      </c>
      <c r="AD415" s="4" t="s">
        <v>1619</v>
      </c>
      <c r="AE415" s="4" t="s">
        <v>1620</v>
      </c>
      <c r="AF415" s="4" t="s">
        <v>456</v>
      </c>
    </row>
    <row r="416" spans="1:35" ht="18" x14ac:dyDescent="0.3">
      <c r="A416" s="10" t="s">
        <v>1621</v>
      </c>
      <c r="B416" s="10"/>
      <c r="C416" s="24" t="s">
        <v>426</v>
      </c>
      <c r="D416" s="12"/>
      <c r="E416" s="12"/>
      <c r="F416" s="18" t="s">
        <v>70</v>
      </c>
      <c r="G416" s="19">
        <v>0.25</v>
      </c>
      <c r="H416" s="20"/>
      <c r="I416" s="20">
        <v>1.4379999999999999</v>
      </c>
      <c r="J416" s="21">
        <v>40.270000000000003</v>
      </c>
      <c r="M416" s="22">
        <f>ROUND(ROUND(J416, 2)*I416, 2)</f>
        <v>57.91</v>
      </c>
      <c r="P416" s="23">
        <v>40.270000000000003</v>
      </c>
      <c r="S416" s="22">
        <f>ROUND(ROUND(P416, 2)*I416, 2)</f>
        <v>57.91</v>
      </c>
      <c r="V416" s="9">
        <f>ROUND(ROUND(P416, 2)/1.2, 2)</f>
        <v>33.56</v>
      </c>
      <c r="Y416" s="9">
        <f t="shared" si="24"/>
        <v>48.26</v>
      </c>
      <c r="AD416" s="4" t="s">
        <v>1622</v>
      </c>
      <c r="AE416" s="4" t="s">
        <v>1623</v>
      </c>
      <c r="AF416" s="4" t="s">
        <v>429</v>
      </c>
    </row>
    <row r="417" spans="1:35" ht="54" x14ac:dyDescent="0.3">
      <c r="A417" s="10" t="s">
        <v>1624</v>
      </c>
      <c r="B417" s="10" t="s">
        <v>1446</v>
      </c>
      <c r="C417" s="11" t="s">
        <v>1447</v>
      </c>
      <c r="D417" s="12"/>
      <c r="E417" s="12" t="s">
        <v>1625</v>
      </c>
      <c r="F417" s="12" t="s">
        <v>64</v>
      </c>
      <c r="G417" s="13">
        <v>1</v>
      </c>
      <c r="H417" s="13"/>
      <c r="I417" s="13">
        <v>8.15</v>
      </c>
      <c r="J417" s="14">
        <f>IFERROR(ROUND(SUM(M418,M419,M420,M421)/I417, 2),0)</f>
        <v>1278.98</v>
      </c>
      <c r="K417" s="15">
        <v>2364</v>
      </c>
      <c r="L417" s="14">
        <f>J417+ROUND(K417, 2)</f>
        <v>3642.98</v>
      </c>
      <c r="M417" s="14">
        <f>ROUND(J417*I417, 2)</f>
        <v>10423.69</v>
      </c>
      <c r="N417" s="14">
        <f>ROUND(I417*ROUND(K417, 2), 2)</f>
        <v>19266.599999999999</v>
      </c>
      <c r="O417" s="14">
        <f>M417+N417</f>
        <v>29690.29</v>
      </c>
      <c r="P417" s="14">
        <f>IFERROR(ROUND(SUM(S418,S419,S420,S421)/I417, 2),0)</f>
        <v>1278.98</v>
      </c>
      <c r="Q417" s="16">
        <v>2364</v>
      </c>
      <c r="R417" s="14">
        <f>P417+ROUND(Q417, 2)</f>
        <v>3642.98</v>
      </c>
      <c r="S417" s="14">
        <f>ROUND(P417*I417, 2)</f>
        <v>10423.69</v>
      </c>
      <c r="T417" s="14">
        <f>ROUND(I417*ROUND(Q417, 2), 2)</f>
        <v>19266.599999999999</v>
      </c>
      <c r="U417" s="14">
        <f>S417+T417</f>
        <v>29690.29</v>
      </c>
      <c r="V417" s="9">
        <f>ROUND(P417 / 1.2, 2)</f>
        <v>1065.82</v>
      </c>
      <c r="W417" s="9">
        <f>ROUND(Q417 / 1.2, 2)</f>
        <v>1970</v>
      </c>
      <c r="X417" s="9">
        <f>ROUND(R417 / 1.2, 2)</f>
        <v>3035.82</v>
      </c>
      <c r="Y417" s="9">
        <f t="shared" si="24"/>
        <v>8686.41</v>
      </c>
      <c r="Z417" s="9">
        <f>ROUND(T417 / 1.2, 2)</f>
        <v>16055.5</v>
      </c>
      <c r="AA417" s="9">
        <f>Y417+Z417</f>
        <v>24741.91</v>
      </c>
      <c r="AD417" s="4">
        <v>271132229</v>
      </c>
      <c r="AE417" s="4">
        <v>19989019</v>
      </c>
      <c r="AG417" s="4" t="s">
        <v>1449</v>
      </c>
      <c r="AH417" s="4" t="s">
        <v>1450</v>
      </c>
      <c r="AI417" s="4" t="s">
        <v>67</v>
      </c>
    </row>
    <row r="418" spans="1:35" ht="54" x14ac:dyDescent="0.3">
      <c r="A418" s="10" t="s">
        <v>1626</v>
      </c>
      <c r="B418" s="10"/>
      <c r="C418" s="17" t="s">
        <v>1484</v>
      </c>
      <c r="D418" s="12"/>
      <c r="E418" s="12" t="s">
        <v>1515</v>
      </c>
      <c r="F418" s="18" t="s">
        <v>64</v>
      </c>
      <c r="G418" s="19">
        <v>1.07</v>
      </c>
      <c r="H418" s="20"/>
      <c r="I418" s="20">
        <v>8.7210000000000001</v>
      </c>
      <c r="J418" s="21">
        <v>1138.2</v>
      </c>
      <c r="M418" s="22">
        <f>ROUND(ROUND(J418, 2)*I418, 2)</f>
        <v>9926.24</v>
      </c>
      <c r="P418" s="23">
        <v>1138.2</v>
      </c>
      <c r="S418" s="22">
        <f>ROUND(ROUND(P418, 2)*I418, 2)</f>
        <v>9926.24</v>
      </c>
      <c r="V418" s="9">
        <f>ROUND(ROUND(P418, 2)/1.2, 2)</f>
        <v>948.5</v>
      </c>
      <c r="Y418" s="9">
        <f t="shared" si="24"/>
        <v>8271.8700000000008</v>
      </c>
      <c r="AD418" s="4" t="s">
        <v>1627</v>
      </c>
      <c r="AE418" s="4" t="s">
        <v>1628</v>
      </c>
      <c r="AF418" s="4" t="s">
        <v>1488</v>
      </c>
    </row>
    <row r="419" spans="1:35" ht="54" x14ac:dyDescent="0.3">
      <c r="A419" s="10" t="s">
        <v>1629</v>
      </c>
      <c r="B419" s="10"/>
      <c r="C419" s="17" t="s">
        <v>697</v>
      </c>
      <c r="D419" s="12"/>
      <c r="E419" s="12" t="s">
        <v>402</v>
      </c>
      <c r="F419" s="18" t="s">
        <v>70</v>
      </c>
      <c r="G419" s="19">
        <v>1.2</v>
      </c>
      <c r="H419" s="20"/>
      <c r="I419" s="20">
        <v>19.559999999999999</v>
      </c>
      <c r="J419" s="21">
        <v>16.96</v>
      </c>
      <c r="M419" s="22">
        <f>ROUND(ROUND(J419, 2)*I419, 2)</f>
        <v>331.74</v>
      </c>
      <c r="P419" s="23">
        <v>16.96</v>
      </c>
      <c r="S419" s="22">
        <f>ROUND(ROUND(P419, 2)*I419, 2)</f>
        <v>331.74</v>
      </c>
      <c r="V419" s="9">
        <f>ROUND(ROUND(P419, 2)/1.2, 2)</f>
        <v>14.13</v>
      </c>
      <c r="Y419" s="9">
        <f t="shared" si="24"/>
        <v>276.45</v>
      </c>
      <c r="AD419" s="4" t="s">
        <v>1630</v>
      </c>
      <c r="AE419" s="4" t="s">
        <v>1631</v>
      </c>
      <c r="AF419" s="4" t="s">
        <v>700</v>
      </c>
    </row>
    <row r="420" spans="1:35" ht="36" x14ac:dyDescent="0.3">
      <c r="A420" s="10" t="s">
        <v>1632</v>
      </c>
      <c r="B420" s="10"/>
      <c r="C420" s="24" t="s">
        <v>452</v>
      </c>
      <c r="D420" s="12"/>
      <c r="E420" s="12"/>
      <c r="F420" s="18" t="s">
        <v>70</v>
      </c>
      <c r="G420" s="19">
        <v>0.15</v>
      </c>
      <c r="H420" s="19"/>
      <c r="I420" s="19">
        <v>1.2230000000000001</v>
      </c>
      <c r="J420" s="21">
        <v>68.400000000000006</v>
      </c>
      <c r="M420" s="22">
        <f>ROUND(ROUND(J420, 2)*I420, 2)</f>
        <v>83.65</v>
      </c>
      <c r="P420" s="23">
        <v>68.400000000000006</v>
      </c>
      <c r="S420" s="22">
        <f>ROUND(ROUND(P420, 2)*I420, 2)</f>
        <v>83.65</v>
      </c>
      <c r="V420" s="9">
        <f>ROUND(ROUND(P420, 2)/1.2, 2)</f>
        <v>57</v>
      </c>
      <c r="Y420" s="9">
        <f t="shared" si="24"/>
        <v>69.709999999999994</v>
      </c>
      <c r="AD420" s="4" t="s">
        <v>1633</v>
      </c>
      <c r="AE420" s="4" t="s">
        <v>1634</v>
      </c>
      <c r="AF420" s="4" t="s">
        <v>456</v>
      </c>
    </row>
    <row r="421" spans="1:35" ht="18" x14ac:dyDescent="0.3">
      <c r="A421" s="10" t="s">
        <v>1635</v>
      </c>
      <c r="B421" s="10"/>
      <c r="C421" s="24" t="s">
        <v>426</v>
      </c>
      <c r="D421" s="12"/>
      <c r="E421" s="12"/>
      <c r="F421" s="18" t="s">
        <v>70</v>
      </c>
      <c r="G421" s="19">
        <v>0.25</v>
      </c>
      <c r="H421" s="20"/>
      <c r="I421" s="20">
        <v>2.0379999999999998</v>
      </c>
      <c r="J421" s="21">
        <v>40.270000000000003</v>
      </c>
      <c r="M421" s="22">
        <f>ROUND(ROUND(J421, 2)*I421, 2)</f>
        <v>82.07</v>
      </c>
      <c r="P421" s="23">
        <v>40.270000000000003</v>
      </c>
      <c r="S421" s="22">
        <f>ROUND(ROUND(P421, 2)*I421, 2)</f>
        <v>82.07</v>
      </c>
      <c r="V421" s="9">
        <f>ROUND(ROUND(P421, 2)/1.2, 2)</f>
        <v>33.56</v>
      </c>
      <c r="Y421" s="9">
        <f t="shared" si="24"/>
        <v>68.39</v>
      </c>
      <c r="AD421" s="4" t="s">
        <v>1636</v>
      </c>
      <c r="AE421" s="4" t="s">
        <v>1637</v>
      </c>
      <c r="AF421" s="4" t="s">
        <v>429</v>
      </c>
    </row>
    <row r="422" spans="1:35" ht="54" x14ac:dyDescent="0.3">
      <c r="A422" s="10" t="s">
        <v>1638</v>
      </c>
      <c r="B422" s="10" t="s">
        <v>1446</v>
      </c>
      <c r="C422" s="11" t="s">
        <v>1447</v>
      </c>
      <c r="D422" s="12"/>
      <c r="E422" s="12" t="s">
        <v>1639</v>
      </c>
      <c r="F422" s="12" t="s">
        <v>64</v>
      </c>
      <c r="G422" s="13">
        <v>1</v>
      </c>
      <c r="H422" s="13"/>
      <c r="I422" s="13">
        <v>127.34</v>
      </c>
      <c r="J422" s="14">
        <f>IFERROR(ROUND(SUM(M423,M424,M425,M426)/I422, 2),0)</f>
        <v>1542.93</v>
      </c>
      <c r="K422" s="15">
        <v>2364</v>
      </c>
      <c r="L422" s="14">
        <f>J422+ROUND(K422, 2)</f>
        <v>3906.93</v>
      </c>
      <c r="M422" s="14">
        <f>ROUND(J422*I422, 2)</f>
        <v>196476.71</v>
      </c>
      <c r="N422" s="14">
        <f>ROUND(I422*ROUND(K422, 2), 2)</f>
        <v>301031.76</v>
      </c>
      <c r="O422" s="14">
        <f>M422+N422</f>
        <v>497508.47</v>
      </c>
      <c r="P422" s="14">
        <f>IFERROR(ROUND(SUM(S423,S424,S425,S426)/I422, 2),0)</f>
        <v>1542.93</v>
      </c>
      <c r="Q422" s="16">
        <v>2364</v>
      </c>
      <c r="R422" s="14">
        <f>P422+ROUND(Q422, 2)</f>
        <v>3906.93</v>
      </c>
      <c r="S422" s="14">
        <f>ROUND(P422*I422, 2)</f>
        <v>196476.71</v>
      </c>
      <c r="T422" s="14">
        <f>ROUND(I422*ROUND(Q422, 2), 2)</f>
        <v>301031.76</v>
      </c>
      <c r="U422" s="14">
        <f>S422+T422</f>
        <v>497508.47</v>
      </c>
      <c r="V422" s="9">
        <f>ROUND(P422 / 1.2, 2)</f>
        <v>1285.78</v>
      </c>
      <c r="W422" s="9">
        <f>ROUND(Q422 / 1.2, 2)</f>
        <v>1970</v>
      </c>
      <c r="X422" s="9">
        <f>ROUND(R422 / 1.2, 2)</f>
        <v>3255.78</v>
      </c>
      <c r="Y422" s="9">
        <f t="shared" si="24"/>
        <v>163730.59</v>
      </c>
      <c r="Z422" s="9">
        <f>ROUND(T422 / 1.2, 2)</f>
        <v>250859.8</v>
      </c>
      <c r="AA422" s="9">
        <f>Y422+Z422</f>
        <v>414590.39</v>
      </c>
      <c r="AD422" s="4">
        <v>271132230</v>
      </c>
      <c r="AE422" s="4">
        <v>19989020</v>
      </c>
      <c r="AG422" s="4" t="s">
        <v>1449</v>
      </c>
      <c r="AH422" s="4" t="s">
        <v>1450</v>
      </c>
      <c r="AI422" s="4" t="s">
        <v>67</v>
      </c>
    </row>
    <row r="423" spans="1:35" ht="36" x14ac:dyDescent="0.3">
      <c r="A423" s="10" t="s">
        <v>1640</v>
      </c>
      <c r="B423" s="10"/>
      <c r="C423" s="17" t="s">
        <v>676</v>
      </c>
      <c r="D423" s="12"/>
      <c r="E423" s="12" t="s">
        <v>1641</v>
      </c>
      <c r="F423" s="18" t="s">
        <v>64</v>
      </c>
      <c r="G423" s="19">
        <v>1.07</v>
      </c>
      <c r="H423" s="20"/>
      <c r="I423" s="20">
        <v>136.25399999999999</v>
      </c>
      <c r="J423" s="21">
        <v>1384.95</v>
      </c>
      <c r="M423" s="22">
        <f>ROUND(ROUND(J423, 2)*I423, 2)</f>
        <v>188704.98</v>
      </c>
      <c r="P423" s="23">
        <v>1384.95</v>
      </c>
      <c r="S423" s="22">
        <f>ROUND(ROUND(P423, 2)*I423, 2)</f>
        <v>188704.98</v>
      </c>
      <c r="V423" s="9">
        <f>ROUND(ROUND(P423, 2)/1.2, 2)</f>
        <v>1154.1300000000001</v>
      </c>
      <c r="Y423" s="9">
        <f t="shared" si="24"/>
        <v>157254.15</v>
      </c>
      <c r="AD423" s="4" t="s">
        <v>1642</v>
      </c>
      <c r="AE423" s="4" t="s">
        <v>1643</v>
      </c>
      <c r="AF423" s="4" t="s">
        <v>680</v>
      </c>
    </row>
    <row r="424" spans="1:35" ht="54" x14ac:dyDescent="0.3">
      <c r="A424" s="10" t="s">
        <v>1644</v>
      </c>
      <c r="B424" s="10"/>
      <c r="C424" s="17" t="s">
        <v>697</v>
      </c>
      <c r="D424" s="12"/>
      <c r="E424" s="12" t="s">
        <v>402</v>
      </c>
      <c r="F424" s="18" t="s">
        <v>70</v>
      </c>
      <c r="G424" s="19">
        <v>1.2</v>
      </c>
      <c r="H424" s="20"/>
      <c r="I424" s="20">
        <v>305.61599999999999</v>
      </c>
      <c r="J424" s="21">
        <v>16.96</v>
      </c>
      <c r="M424" s="22">
        <f>ROUND(ROUND(J424, 2)*I424, 2)</f>
        <v>5183.25</v>
      </c>
      <c r="P424" s="23">
        <v>16.96</v>
      </c>
      <c r="S424" s="22">
        <f>ROUND(ROUND(P424, 2)*I424, 2)</f>
        <v>5183.25</v>
      </c>
      <c r="V424" s="9">
        <f>ROUND(ROUND(P424, 2)/1.2, 2)</f>
        <v>14.13</v>
      </c>
      <c r="Y424" s="9">
        <f t="shared" ref="Y424:Y442" si="25">ROUND(S424 / 1.2, 2)</f>
        <v>4319.38</v>
      </c>
      <c r="AD424" s="4" t="s">
        <v>1645</v>
      </c>
      <c r="AE424" s="4" t="s">
        <v>1646</v>
      </c>
      <c r="AF424" s="4" t="s">
        <v>700</v>
      </c>
    </row>
    <row r="425" spans="1:35" ht="36" x14ac:dyDescent="0.3">
      <c r="A425" s="10" t="s">
        <v>1647</v>
      </c>
      <c r="B425" s="10"/>
      <c r="C425" s="24" t="s">
        <v>452</v>
      </c>
      <c r="D425" s="12"/>
      <c r="E425" s="12"/>
      <c r="F425" s="18" t="s">
        <v>70</v>
      </c>
      <c r="G425" s="19">
        <v>0.15</v>
      </c>
      <c r="H425" s="19"/>
      <c r="I425" s="19">
        <v>19.100999999999999</v>
      </c>
      <c r="J425" s="21">
        <v>68.400000000000006</v>
      </c>
      <c r="M425" s="22">
        <f>ROUND(ROUND(J425, 2)*I425, 2)</f>
        <v>1306.51</v>
      </c>
      <c r="P425" s="23">
        <v>68.400000000000006</v>
      </c>
      <c r="S425" s="22">
        <f>ROUND(ROUND(P425, 2)*I425, 2)</f>
        <v>1306.51</v>
      </c>
      <c r="V425" s="9">
        <f>ROUND(ROUND(P425, 2)/1.2, 2)</f>
        <v>57</v>
      </c>
      <c r="Y425" s="9">
        <f t="shared" si="25"/>
        <v>1088.76</v>
      </c>
      <c r="AD425" s="4" t="s">
        <v>1648</v>
      </c>
      <c r="AE425" s="4" t="s">
        <v>1649</v>
      </c>
      <c r="AF425" s="4" t="s">
        <v>456</v>
      </c>
    </row>
    <row r="426" spans="1:35" ht="18" x14ac:dyDescent="0.3">
      <c r="A426" s="10" t="s">
        <v>1650</v>
      </c>
      <c r="B426" s="10"/>
      <c r="C426" s="24" t="s">
        <v>426</v>
      </c>
      <c r="D426" s="12"/>
      <c r="E426" s="12"/>
      <c r="F426" s="18" t="s">
        <v>70</v>
      </c>
      <c r="G426" s="19">
        <v>0.25</v>
      </c>
      <c r="H426" s="20"/>
      <c r="I426" s="20">
        <v>31.835000000000001</v>
      </c>
      <c r="J426" s="21">
        <v>40.270000000000003</v>
      </c>
      <c r="M426" s="22">
        <f>ROUND(ROUND(J426, 2)*I426, 2)</f>
        <v>1282</v>
      </c>
      <c r="P426" s="23">
        <v>40.270000000000003</v>
      </c>
      <c r="S426" s="22">
        <f>ROUND(ROUND(P426, 2)*I426, 2)</f>
        <v>1282</v>
      </c>
      <c r="V426" s="9">
        <f>ROUND(ROUND(P426, 2)/1.2, 2)</f>
        <v>33.56</v>
      </c>
      <c r="Y426" s="9">
        <f t="shared" si="25"/>
        <v>1068.33</v>
      </c>
      <c r="AD426" s="4" t="s">
        <v>1651</v>
      </c>
      <c r="AE426" s="4" t="s">
        <v>1652</v>
      </c>
      <c r="AF426" s="4" t="s">
        <v>429</v>
      </c>
    </row>
    <row r="427" spans="1:35" ht="54" x14ac:dyDescent="0.3">
      <c r="A427" s="10" t="s">
        <v>1653</v>
      </c>
      <c r="B427" s="10" t="s">
        <v>1446</v>
      </c>
      <c r="C427" s="11" t="s">
        <v>1447</v>
      </c>
      <c r="D427" s="12"/>
      <c r="E427" s="12" t="s">
        <v>1654</v>
      </c>
      <c r="F427" s="12" t="s">
        <v>64</v>
      </c>
      <c r="G427" s="13">
        <v>1</v>
      </c>
      <c r="H427" s="13"/>
      <c r="I427" s="13">
        <v>351.08</v>
      </c>
      <c r="J427" s="14">
        <f>IFERROR(ROUND(SUM(M428,M429,M430,M431,M432)/I427, 2),0)</f>
        <v>1554.28</v>
      </c>
      <c r="K427" s="15">
        <v>2364</v>
      </c>
      <c r="L427" s="14">
        <f>J427+ROUND(K427, 2)</f>
        <v>3918.28</v>
      </c>
      <c r="M427" s="14">
        <f>ROUND(J427*I427, 2)</f>
        <v>545676.62</v>
      </c>
      <c r="N427" s="14">
        <f>ROUND(I427*ROUND(K427, 2), 2)</f>
        <v>829953.12</v>
      </c>
      <c r="O427" s="14">
        <f>M427+N427</f>
        <v>1375629.74</v>
      </c>
      <c r="P427" s="14">
        <f>IFERROR(ROUND(SUM(S428,S429,S430,S431,S432)/I427, 2),0)</f>
        <v>1554.28</v>
      </c>
      <c r="Q427" s="16">
        <v>2364</v>
      </c>
      <c r="R427" s="14">
        <f>P427+ROUND(Q427, 2)</f>
        <v>3918.28</v>
      </c>
      <c r="S427" s="14">
        <f>ROUND(P427*I427, 2)</f>
        <v>545676.62</v>
      </c>
      <c r="T427" s="14">
        <f>ROUND(I427*ROUND(Q427, 2), 2)</f>
        <v>829953.12</v>
      </c>
      <c r="U427" s="14">
        <f>S427+T427</f>
        <v>1375629.74</v>
      </c>
      <c r="V427" s="9">
        <f>ROUND(P427 / 1.2, 2)</f>
        <v>1295.23</v>
      </c>
      <c r="W427" s="9">
        <f>ROUND(Q427 / 1.2, 2)</f>
        <v>1970</v>
      </c>
      <c r="X427" s="9">
        <f>ROUND(R427 / 1.2, 2)</f>
        <v>3265.23</v>
      </c>
      <c r="Y427" s="9">
        <f t="shared" si="25"/>
        <v>454730.52</v>
      </c>
      <c r="Z427" s="9">
        <f>ROUND(T427 / 1.2, 2)</f>
        <v>691627.6</v>
      </c>
      <c r="AA427" s="9">
        <f>Y427+Z427</f>
        <v>1146358.1200000001</v>
      </c>
      <c r="AD427" s="4">
        <v>271132231</v>
      </c>
      <c r="AE427" s="4">
        <v>19989016</v>
      </c>
      <c r="AG427" s="4" t="s">
        <v>1449</v>
      </c>
      <c r="AH427" s="4" t="s">
        <v>1450</v>
      </c>
      <c r="AI427" s="4" t="s">
        <v>67</v>
      </c>
    </row>
    <row r="428" spans="1:35" ht="54" x14ac:dyDescent="0.3">
      <c r="A428" s="10" t="s">
        <v>1655</v>
      </c>
      <c r="B428" s="10"/>
      <c r="C428" s="17" t="s">
        <v>676</v>
      </c>
      <c r="D428" s="12"/>
      <c r="E428" s="12" t="s">
        <v>1542</v>
      </c>
      <c r="F428" s="18" t="s">
        <v>64</v>
      </c>
      <c r="G428" s="19">
        <v>1.07</v>
      </c>
      <c r="H428" s="20"/>
      <c r="I428" s="20">
        <v>375.65600000000001</v>
      </c>
      <c r="J428" s="21">
        <v>1384.95</v>
      </c>
      <c r="M428" s="22">
        <f>ROUND(ROUND(J428, 2)*I428, 2)</f>
        <v>520264.78</v>
      </c>
      <c r="P428" s="23">
        <v>1384.95</v>
      </c>
      <c r="S428" s="22">
        <f>ROUND(ROUND(P428, 2)*I428, 2)</f>
        <v>520264.78</v>
      </c>
      <c r="V428" s="9">
        <f>ROUND(ROUND(P428, 2)/1.2, 2)</f>
        <v>1154.1300000000001</v>
      </c>
      <c r="Y428" s="9">
        <f t="shared" si="25"/>
        <v>433553.98</v>
      </c>
      <c r="AD428" s="4" t="s">
        <v>1656</v>
      </c>
      <c r="AE428" s="4" t="s">
        <v>1657</v>
      </c>
      <c r="AF428" s="4" t="s">
        <v>680</v>
      </c>
    </row>
    <row r="429" spans="1:35" ht="54" x14ac:dyDescent="0.3">
      <c r="A429" s="10" t="s">
        <v>1658</v>
      </c>
      <c r="B429" s="10"/>
      <c r="C429" s="17" t="s">
        <v>1546</v>
      </c>
      <c r="D429" s="12"/>
      <c r="E429" s="12" t="s">
        <v>1552</v>
      </c>
      <c r="F429" s="18" t="s">
        <v>87</v>
      </c>
      <c r="G429" s="19">
        <v>0.23</v>
      </c>
      <c r="H429" s="20"/>
      <c r="I429" s="20">
        <v>17.728000000000002</v>
      </c>
      <c r="J429" s="21">
        <v>96.24</v>
      </c>
      <c r="M429" s="22">
        <f>ROUND(ROUND(J429, 2)*I429, 2)</f>
        <v>1706.14</v>
      </c>
      <c r="P429" s="23">
        <v>96.24</v>
      </c>
      <c r="S429" s="22">
        <f>ROUND(ROUND(P429, 2)*I429, 2)</f>
        <v>1706.14</v>
      </c>
      <c r="V429" s="9">
        <f>ROUND(ROUND(P429, 2)/1.2, 2)</f>
        <v>80.2</v>
      </c>
      <c r="Y429" s="9">
        <f t="shared" si="25"/>
        <v>1421.78</v>
      </c>
      <c r="AD429" s="4" t="s">
        <v>1659</v>
      </c>
      <c r="AE429" s="4" t="s">
        <v>1660</v>
      </c>
      <c r="AF429" s="4" t="s">
        <v>1550</v>
      </c>
    </row>
    <row r="430" spans="1:35" ht="54" x14ac:dyDescent="0.3">
      <c r="A430" s="10" t="s">
        <v>1661</v>
      </c>
      <c r="B430" s="10"/>
      <c r="C430" s="17" t="s">
        <v>697</v>
      </c>
      <c r="D430" s="12"/>
      <c r="E430" s="12" t="s">
        <v>402</v>
      </c>
      <c r="F430" s="18" t="s">
        <v>70</v>
      </c>
      <c r="G430" s="19">
        <v>1.2</v>
      </c>
      <c r="H430" s="20"/>
      <c r="I430" s="20">
        <v>842.59199999999998</v>
      </c>
      <c r="J430" s="21">
        <v>16.96</v>
      </c>
      <c r="M430" s="22">
        <f>ROUND(ROUND(J430, 2)*I430, 2)</f>
        <v>14290.36</v>
      </c>
      <c r="P430" s="23">
        <v>16.96</v>
      </c>
      <c r="S430" s="22">
        <f>ROUND(ROUND(P430, 2)*I430, 2)</f>
        <v>14290.36</v>
      </c>
      <c r="V430" s="9">
        <f>ROUND(ROUND(P430, 2)/1.2, 2)</f>
        <v>14.13</v>
      </c>
      <c r="Y430" s="9">
        <f t="shared" si="25"/>
        <v>11908.63</v>
      </c>
      <c r="AD430" s="4" t="s">
        <v>1662</v>
      </c>
      <c r="AE430" s="4" t="s">
        <v>1663</v>
      </c>
      <c r="AF430" s="4" t="s">
        <v>700</v>
      </c>
    </row>
    <row r="431" spans="1:35" ht="36" x14ac:dyDescent="0.3">
      <c r="A431" s="10" t="s">
        <v>1664</v>
      </c>
      <c r="B431" s="10"/>
      <c r="C431" s="24" t="s">
        <v>452</v>
      </c>
      <c r="D431" s="12"/>
      <c r="E431" s="12"/>
      <c r="F431" s="18" t="s">
        <v>70</v>
      </c>
      <c r="G431" s="19">
        <v>0.15</v>
      </c>
      <c r="H431" s="19"/>
      <c r="I431" s="19">
        <v>52.661999999999999</v>
      </c>
      <c r="J431" s="21">
        <v>68.400000000000006</v>
      </c>
      <c r="M431" s="22">
        <f>ROUND(ROUND(J431, 2)*I431, 2)</f>
        <v>3602.08</v>
      </c>
      <c r="P431" s="23">
        <v>68.400000000000006</v>
      </c>
      <c r="S431" s="22">
        <f>ROUND(ROUND(P431, 2)*I431, 2)</f>
        <v>3602.08</v>
      </c>
      <c r="V431" s="9">
        <f>ROUND(ROUND(P431, 2)/1.2, 2)</f>
        <v>57</v>
      </c>
      <c r="Y431" s="9">
        <f t="shared" si="25"/>
        <v>3001.73</v>
      </c>
      <c r="AD431" s="4" t="s">
        <v>1665</v>
      </c>
      <c r="AE431" s="4" t="s">
        <v>1666</v>
      </c>
      <c r="AF431" s="4" t="s">
        <v>456</v>
      </c>
    </row>
    <row r="432" spans="1:35" ht="18" x14ac:dyDescent="0.3">
      <c r="A432" s="10" t="s">
        <v>1667</v>
      </c>
      <c r="B432" s="10"/>
      <c r="C432" s="24" t="s">
        <v>1668</v>
      </c>
      <c r="D432" s="12"/>
      <c r="E432" s="12" t="s">
        <v>1669</v>
      </c>
      <c r="F432" s="18" t="s">
        <v>70</v>
      </c>
      <c r="G432" s="19">
        <v>0.25</v>
      </c>
      <c r="H432" s="20"/>
      <c r="I432" s="20">
        <v>87.77</v>
      </c>
      <c r="J432" s="21">
        <v>66.23</v>
      </c>
      <c r="M432" s="22">
        <f>ROUND(ROUND(J432, 2)*I432, 2)</f>
        <v>5813.01</v>
      </c>
      <c r="P432" s="23">
        <v>66.23</v>
      </c>
      <c r="S432" s="22">
        <f>ROUND(ROUND(P432, 2)*I432, 2)</f>
        <v>5813.01</v>
      </c>
      <c r="V432" s="9">
        <f>ROUND(ROUND(P432, 2)/1.2, 2)</f>
        <v>55.19</v>
      </c>
      <c r="Y432" s="9">
        <f t="shared" si="25"/>
        <v>4844.18</v>
      </c>
      <c r="AD432" s="4" t="s">
        <v>1670</v>
      </c>
      <c r="AE432" s="4" t="s">
        <v>1671</v>
      </c>
      <c r="AF432" s="4" t="s">
        <v>1672</v>
      </c>
    </row>
    <row r="433" spans="1:35" ht="54" x14ac:dyDescent="0.3">
      <c r="A433" s="10" t="s">
        <v>1673</v>
      </c>
      <c r="B433" s="10" t="s">
        <v>1674</v>
      </c>
      <c r="C433" s="11" t="s">
        <v>1675</v>
      </c>
      <c r="D433" s="12"/>
      <c r="E433" s="12" t="s">
        <v>1676</v>
      </c>
      <c r="F433" s="12" t="s">
        <v>64</v>
      </c>
      <c r="G433" s="13">
        <v>1</v>
      </c>
      <c r="H433" s="13"/>
      <c r="I433" s="13">
        <v>3.87</v>
      </c>
      <c r="J433" s="14">
        <f>IFERROR(ROUND(SUM(M434,M435,M436,M437)/I433, 2),0)</f>
        <v>2287.88</v>
      </c>
      <c r="K433" s="15">
        <v>2983</v>
      </c>
      <c r="L433" s="14">
        <f>J433+ROUND(K433, 2)</f>
        <v>5270.88</v>
      </c>
      <c r="M433" s="14">
        <f>ROUND(J433*I433, 2)</f>
        <v>8854.1</v>
      </c>
      <c r="N433" s="14">
        <f>ROUND(I433*ROUND(K433, 2), 2)</f>
        <v>11544.21</v>
      </c>
      <c r="O433" s="14">
        <f>M433+N433</f>
        <v>20398.310000000001</v>
      </c>
      <c r="P433" s="14">
        <f>IFERROR(ROUND(SUM(S434,S435,S436,S437)/I433, 2),0)</f>
        <v>2287.88</v>
      </c>
      <c r="Q433" s="16">
        <v>2983</v>
      </c>
      <c r="R433" s="14">
        <f>P433+ROUND(Q433, 2)</f>
        <v>5270.88</v>
      </c>
      <c r="S433" s="14">
        <f>ROUND(P433*I433, 2)</f>
        <v>8854.1</v>
      </c>
      <c r="T433" s="14">
        <f>ROUND(I433*ROUND(Q433, 2), 2)</f>
        <v>11544.21</v>
      </c>
      <c r="U433" s="14">
        <f>S433+T433</f>
        <v>20398.310000000001</v>
      </c>
      <c r="V433" s="9">
        <f>ROUND(P433 / 1.2, 2)</f>
        <v>1906.57</v>
      </c>
      <c r="W433" s="9">
        <f>ROUND(Q433 / 1.2, 2)</f>
        <v>2485.83</v>
      </c>
      <c r="X433" s="9">
        <f>ROUND(R433 / 1.2, 2)</f>
        <v>4392.3999999999996</v>
      </c>
      <c r="Y433" s="9">
        <f t="shared" si="25"/>
        <v>7378.42</v>
      </c>
      <c r="Z433" s="9">
        <f>ROUND(T433 / 1.2, 2)</f>
        <v>9620.18</v>
      </c>
      <c r="AA433" s="9">
        <f>Y433+Z433</f>
        <v>16998.599999999999</v>
      </c>
      <c r="AD433" s="4">
        <v>271132118</v>
      </c>
      <c r="AE433" s="4">
        <v>19977068</v>
      </c>
      <c r="AG433" s="4" t="s">
        <v>1677</v>
      </c>
      <c r="AH433" s="4" t="s">
        <v>1678</v>
      </c>
      <c r="AI433" s="4" t="s">
        <v>67</v>
      </c>
    </row>
    <row r="434" spans="1:35" ht="54" x14ac:dyDescent="0.3">
      <c r="A434" s="10" t="s">
        <v>1679</v>
      </c>
      <c r="B434" s="10"/>
      <c r="C434" s="24" t="s">
        <v>1680</v>
      </c>
      <c r="D434" s="12"/>
      <c r="E434" s="12" t="s">
        <v>1681</v>
      </c>
      <c r="F434" s="18" t="s">
        <v>64</v>
      </c>
      <c r="G434" s="19">
        <v>1.1000000000000001</v>
      </c>
      <c r="H434" s="20"/>
      <c r="I434" s="20">
        <v>4.2569999999999997</v>
      </c>
      <c r="J434" s="21">
        <v>2024.4</v>
      </c>
      <c r="M434" s="22">
        <f>ROUND(ROUND(J434, 2)*I434, 2)</f>
        <v>8617.8700000000008</v>
      </c>
      <c r="P434" s="23">
        <v>2024.4</v>
      </c>
      <c r="S434" s="22">
        <f>ROUND(ROUND(P434, 2)*I434, 2)</f>
        <v>8617.8700000000008</v>
      </c>
      <c r="V434" s="9">
        <f>ROUND(ROUND(P434, 2)/1.2, 2)</f>
        <v>1687</v>
      </c>
      <c r="Y434" s="9">
        <f t="shared" si="25"/>
        <v>7181.56</v>
      </c>
      <c r="AD434" s="4" t="s">
        <v>1682</v>
      </c>
      <c r="AE434" s="4" t="s">
        <v>1683</v>
      </c>
      <c r="AF434" s="4" t="s">
        <v>1684</v>
      </c>
    </row>
    <row r="435" spans="1:35" ht="54" x14ac:dyDescent="0.3">
      <c r="A435" s="10" t="s">
        <v>1685</v>
      </c>
      <c r="B435" s="10"/>
      <c r="C435" s="17" t="s">
        <v>697</v>
      </c>
      <c r="D435" s="12"/>
      <c r="E435" s="12" t="s">
        <v>402</v>
      </c>
      <c r="F435" s="18" t="s">
        <v>70</v>
      </c>
      <c r="G435" s="19">
        <v>1.2</v>
      </c>
      <c r="H435" s="20"/>
      <c r="I435" s="20">
        <v>9.2880000000000003</v>
      </c>
      <c r="J435" s="21">
        <v>16.96</v>
      </c>
      <c r="M435" s="22">
        <f>ROUND(ROUND(J435, 2)*I435, 2)</f>
        <v>157.52000000000001</v>
      </c>
      <c r="P435" s="23">
        <v>16.96</v>
      </c>
      <c r="S435" s="22">
        <f>ROUND(ROUND(P435, 2)*I435, 2)</f>
        <v>157.52000000000001</v>
      </c>
      <c r="V435" s="9">
        <f>ROUND(ROUND(P435, 2)/1.2, 2)</f>
        <v>14.13</v>
      </c>
      <c r="Y435" s="9">
        <f t="shared" si="25"/>
        <v>131.27000000000001</v>
      </c>
      <c r="AD435" s="4" t="s">
        <v>1686</v>
      </c>
      <c r="AE435" s="4" t="s">
        <v>1687</v>
      </c>
      <c r="AF435" s="4" t="s">
        <v>700</v>
      </c>
    </row>
    <row r="436" spans="1:35" ht="18" x14ac:dyDescent="0.3">
      <c r="A436" s="10" t="s">
        <v>1688</v>
      </c>
      <c r="B436" s="10"/>
      <c r="C436" s="24" t="s">
        <v>426</v>
      </c>
      <c r="D436" s="12"/>
      <c r="E436" s="12"/>
      <c r="F436" s="18" t="s">
        <v>70</v>
      </c>
      <c r="G436" s="19">
        <v>0.25</v>
      </c>
      <c r="H436" s="20"/>
      <c r="I436" s="20">
        <v>0.96799999999999997</v>
      </c>
      <c r="J436" s="21">
        <v>40.270000000000003</v>
      </c>
      <c r="M436" s="22">
        <f>ROUND(ROUND(J436, 2)*I436, 2)</f>
        <v>38.979999999999997</v>
      </c>
      <c r="P436" s="23">
        <v>40.270000000000003</v>
      </c>
      <c r="S436" s="22">
        <f>ROUND(ROUND(P436, 2)*I436, 2)</f>
        <v>38.979999999999997</v>
      </c>
      <c r="V436" s="9">
        <f>ROUND(ROUND(P436, 2)/1.2, 2)</f>
        <v>33.56</v>
      </c>
      <c r="Y436" s="9">
        <f t="shared" si="25"/>
        <v>32.479999999999997</v>
      </c>
      <c r="AD436" s="4" t="s">
        <v>1689</v>
      </c>
      <c r="AE436" s="4" t="s">
        <v>1690</v>
      </c>
      <c r="AF436" s="4" t="s">
        <v>429</v>
      </c>
    </row>
    <row r="437" spans="1:35" ht="36" x14ac:dyDescent="0.3">
      <c r="A437" s="10" t="s">
        <v>1691</v>
      </c>
      <c r="B437" s="10"/>
      <c r="C437" s="24" t="s">
        <v>452</v>
      </c>
      <c r="D437" s="12"/>
      <c r="E437" s="12"/>
      <c r="F437" s="18" t="s">
        <v>70</v>
      </c>
      <c r="G437" s="19">
        <v>0.15</v>
      </c>
      <c r="H437" s="19"/>
      <c r="I437" s="19">
        <v>0.58099999999999996</v>
      </c>
      <c r="J437" s="21">
        <v>68.400000000000006</v>
      </c>
      <c r="M437" s="22">
        <f>ROUND(ROUND(J437, 2)*I437, 2)</f>
        <v>39.74</v>
      </c>
      <c r="P437" s="23">
        <v>68.400000000000006</v>
      </c>
      <c r="S437" s="22">
        <f>ROUND(ROUND(P437, 2)*I437, 2)</f>
        <v>39.74</v>
      </c>
      <c r="V437" s="9">
        <f>ROUND(ROUND(P437, 2)/1.2, 2)</f>
        <v>57</v>
      </c>
      <c r="Y437" s="9">
        <f t="shared" si="25"/>
        <v>33.119999999999997</v>
      </c>
      <c r="AD437" s="4" t="s">
        <v>1692</v>
      </c>
      <c r="AE437" s="4" t="s">
        <v>1693</v>
      </c>
      <c r="AF437" s="4" t="s">
        <v>456</v>
      </c>
    </row>
    <row r="438" spans="1:35" ht="54" x14ac:dyDescent="0.3">
      <c r="A438" s="10" t="s">
        <v>1694</v>
      </c>
      <c r="B438" s="10" t="s">
        <v>1674</v>
      </c>
      <c r="C438" s="11" t="s">
        <v>1675</v>
      </c>
      <c r="D438" s="12"/>
      <c r="E438" s="12" t="s">
        <v>1695</v>
      </c>
      <c r="F438" s="12" t="s">
        <v>64</v>
      </c>
      <c r="G438" s="13">
        <v>1</v>
      </c>
      <c r="H438" s="13"/>
      <c r="I438" s="13">
        <v>4.41</v>
      </c>
      <c r="J438" s="14">
        <f>IFERROR(ROUND(SUM(M439,M440,M441,M442)/I438, 2),0)</f>
        <v>1002.54</v>
      </c>
      <c r="K438" s="15">
        <v>2983</v>
      </c>
      <c r="L438" s="14">
        <f>J438+ROUND(K438, 2)</f>
        <v>3985.54</v>
      </c>
      <c r="M438" s="14">
        <f>ROUND(J438*I438, 2)</f>
        <v>4421.2</v>
      </c>
      <c r="N438" s="14">
        <f>ROUND(I438*ROUND(K438, 2), 2)</f>
        <v>13155.03</v>
      </c>
      <c r="O438" s="14">
        <f>M438+N438</f>
        <v>17576.23</v>
      </c>
      <c r="P438" s="14">
        <f>IFERROR(ROUND(SUM(S439,S440,S441,S442)/I438, 2),0)</f>
        <v>1002.54</v>
      </c>
      <c r="Q438" s="16">
        <v>2983</v>
      </c>
      <c r="R438" s="14">
        <f>P438+ROUND(Q438, 2)</f>
        <v>3985.54</v>
      </c>
      <c r="S438" s="14">
        <f>ROUND(P438*I438, 2)</f>
        <v>4421.2</v>
      </c>
      <c r="T438" s="14">
        <f>ROUND(I438*ROUND(Q438, 2), 2)</f>
        <v>13155.03</v>
      </c>
      <c r="U438" s="14">
        <f>S438+T438</f>
        <v>17576.23</v>
      </c>
      <c r="V438" s="9">
        <f>ROUND(P438 / 1.2, 2)</f>
        <v>835.45</v>
      </c>
      <c r="W438" s="9">
        <f>ROUND(Q438 / 1.2, 2)</f>
        <v>2485.83</v>
      </c>
      <c r="X438" s="9">
        <f>ROUND(R438 / 1.2, 2)</f>
        <v>3321.28</v>
      </c>
      <c r="Y438" s="9">
        <f t="shared" si="25"/>
        <v>3684.33</v>
      </c>
      <c r="Z438" s="9">
        <f>ROUND(T438 / 1.2, 2)</f>
        <v>10962.53</v>
      </c>
      <c r="AA438" s="9">
        <f>Y438+Z438</f>
        <v>14646.86</v>
      </c>
      <c r="AD438" s="4">
        <v>271132232</v>
      </c>
      <c r="AE438" s="4">
        <v>19989082</v>
      </c>
      <c r="AG438" s="4" t="s">
        <v>1677</v>
      </c>
      <c r="AH438" s="4" t="s">
        <v>1678</v>
      </c>
      <c r="AI438" s="4" t="s">
        <v>67</v>
      </c>
    </row>
    <row r="439" spans="1:35" ht="36" x14ac:dyDescent="0.3">
      <c r="A439" s="10" t="s">
        <v>1696</v>
      </c>
      <c r="B439" s="10"/>
      <c r="C439" s="24" t="s">
        <v>452</v>
      </c>
      <c r="D439" s="12"/>
      <c r="E439" s="12"/>
      <c r="F439" s="18" t="s">
        <v>70</v>
      </c>
      <c r="G439" s="19">
        <v>0.15</v>
      </c>
      <c r="H439" s="19"/>
      <c r="I439" s="19">
        <v>0.66200000000000003</v>
      </c>
      <c r="J439" s="21">
        <v>68.400000000000006</v>
      </c>
      <c r="M439" s="22">
        <f>ROUND(ROUND(J439, 2)*I439, 2)</f>
        <v>45.28</v>
      </c>
      <c r="P439" s="23">
        <v>68.400000000000006</v>
      </c>
      <c r="S439" s="22">
        <f>ROUND(ROUND(P439, 2)*I439, 2)</f>
        <v>45.28</v>
      </c>
      <c r="V439" s="9">
        <f>ROUND(ROUND(P439, 2)/1.2, 2)</f>
        <v>57</v>
      </c>
      <c r="Y439" s="9">
        <f t="shared" si="25"/>
        <v>37.729999999999997</v>
      </c>
      <c r="AD439" s="4" t="s">
        <v>1697</v>
      </c>
      <c r="AE439" s="4" t="s">
        <v>1698</v>
      </c>
      <c r="AF439" s="4" t="s">
        <v>456</v>
      </c>
    </row>
    <row r="440" spans="1:35" ht="18" x14ac:dyDescent="0.3">
      <c r="A440" s="10" t="s">
        <v>1699</v>
      </c>
      <c r="B440" s="10"/>
      <c r="C440" s="24" t="s">
        <v>1668</v>
      </c>
      <c r="D440" s="12"/>
      <c r="E440" s="12"/>
      <c r="F440" s="18" t="s">
        <v>70</v>
      </c>
      <c r="G440" s="19">
        <v>0.25</v>
      </c>
      <c r="H440" s="20"/>
      <c r="I440" s="20">
        <v>1.103</v>
      </c>
      <c r="J440" s="21">
        <v>66.23</v>
      </c>
      <c r="M440" s="22">
        <f>ROUND(ROUND(J440, 2)*I440, 2)</f>
        <v>73.05</v>
      </c>
      <c r="P440" s="23">
        <v>66.23</v>
      </c>
      <c r="S440" s="22">
        <f>ROUND(ROUND(P440, 2)*I440, 2)</f>
        <v>73.05</v>
      </c>
      <c r="V440" s="9">
        <f>ROUND(ROUND(P440, 2)/1.2, 2)</f>
        <v>55.19</v>
      </c>
      <c r="Y440" s="9">
        <f t="shared" si="25"/>
        <v>60.88</v>
      </c>
      <c r="AD440" s="4" t="s">
        <v>1700</v>
      </c>
      <c r="AE440" s="4" t="s">
        <v>1701</v>
      </c>
      <c r="AF440" s="4" t="s">
        <v>1672</v>
      </c>
    </row>
    <row r="441" spans="1:35" ht="54" x14ac:dyDescent="0.3">
      <c r="A441" s="10" t="s">
        <v>1702</v>
      </c>
      <c r="B441" s="10"/>
      <c r="C441" s="17" t="s">
        <v>697</v>
      </c>
      <c r="D441" s="12"/>
      <c r="E441" s="12" t="s">
        <v>402</v>
      </c>
      <c r="F441" s="18" t="s">
        <v>70</v>
      </c>
      <c r="G441" s="19">
        <v>1.2</v>
      </c>
      <c r="H441" s="20"/>
      <c r="I441" s="20">
        <v>10.584</v>
      </c>
      <c r="J441" s="21">
        <v>16.96</v>
      </c>
      <c r="M441" s="22">
        <f>ROUND(ROUND(J441, 2)*I441, 2)</f>
        <v>179.5</v>
      </c>
      <c r="P441" s="23">
        <v>16.96</v>
      </c>
      <c r="S441" s="22">
        <f>ROUND(ROUND(P441, 2)*I441, 2)</f>
        <v>179.5</v>
      </c>
      <c r="V441" s="9">
        <f>ROUND(ROUND(P441, 2)/1.2, 2)</f>
        <v>14.13</v>
      </c>
      <c r="Y441" s="9">
        <f t="shared" si="25"/>
        <v>149.58000000000001</v>
      </c>
      <c r="AD441" s="4" t="s">
        <v>1703</v>
      </c>
      <c r="AE441" s="4" t="s">
        <v>1704</v>
      </c>
      <c r="AF441" s="4" t="s">
        <v>700</v>
      </c>
    </row>
    <row r="442" spans="1:35" ht="54" x14ac:dyDescent="0.3">
      <c r="A442" s="10" t="s">
        <v>1705</v>
      </c>
      <c r="B442" s="10"/>
      <c r="C442" s="17" t="s">
        <v>512</v>
      </c>
      <c r="D442" s="12"/>
      <c r="E442" s="12" t="s">
        <v>1706</v>
      </c>
      <c r="F442" s="18" t="s">
        <v>64</v>
      </c>
      <c r="G442" s="19">
        <v>1.1000000000000001</v>
      </c>
      <c r="H442" s="20"/>
      <c r="I442" s="20">
        <v>4.851</v>
      </c>
      <c r="J442" s="21">
        <v>850</v>
      </c>
      <c r="M442" s="22">
        <f>ROUND(ROUND(J442, 2)*I442, 2)</f>
        <v>4123.3500000000004</v>
      </c>
      <c r="P442" s="23">
        <v>850</v>
      </c>
      <c r="S442" s="22">
        <f>ROUND(ROUND(P442, 2)*I442, 2)</f>
        <v>4123.3500000000004</v>
      </c>
      <c r="V442" s="9">
        <f>ROUND(ROUND(P442, 2)/1.2, 2)</f>
        <v>708.33</v>
      </c>
      <c r="Y442" s="9">
        <f t="shared" si="25"/>
        <v>3436.13</v>
      </c>
      <c r="AD442" s="4" t="s">
        <v>1707</v>
      </c>
      <c r="AE442" s="4" t="s">
        <v>1708</v>
      </c>
      <c r="AF442" s="4" t="s">
        <v>516</v>
      </c>
    </row>
    <row r="443" spans="1:35" ht="17.100000000000001" customHeight="1" x14ac:dyDescent="0.3">
      <c r="A443" s="10" t="s">
        <v>1709</v>
      </c>
      <c r="B443" s="10" t="s">
        <v>1710</v>
      </c>
      <c r="C443" s="185" t="s">
        <v>1711</v>
      </c>
      <c r="D443" s="186"/>
      <c r="E443" s="186"/>
      <c r="F443" s="186"/>
      <c r="G443" s="186"/>
      <c r="H443" s="186"/>
      <c r="I443" s="187"/>
      <c r="M443" s="6">
        <f>SUM(M444,M448,M452,M456,M460,M463,M466,M469,M474,M479,M483,M487,M491,M496,M501,M506,M510)</f>
        <v>831273.41</v>
      </c>
      <c r="N443" s="6">
        <f>SUM(N444,N448,N452,N456,N460,N463,N466,N469,N474,N479,N483,N487,N491,N496,N501,N506,N510)</f>
        <v>4447571.79</v>
      </c>
      <c r="O443" s="6">
        <f>SUM(O444,O448,O452,O456,O460,O463,O466,O469,O474,O479,O483,O487,O491,O496,O501,O506,O510)</f>
        <v>5278845.2</v>
      </c>
      <c r="S443" s="6">
        <f>SUM(S444,S448,S452,S456,S460,S463,S466,S469,S474,S479,S483,S487,S491,S496,S501,S506,S510)</f>
        <v>759278.07999999996</v>
      </c>
      <c r="T443" s="6">
        <f>SUM(T444,T448,T452,T456,T460,T463,T466,T469,T474,T479,T483,T487,T491,T496,T501,T506,T510)</f>
        <v>4447571.79</v>
      </c>
      <c r="U443" s="6">
        <f>SUM(U444,U448,U452,U456,U460,U463,U466,U469,U474,U479,U483,U487,U491,U496,U501,U506,U510)</f>
        <v>5206849.87</v>
      </c>
      <c r="Y443" s="9">
        <f>SUM(Y444,Y448,Y452,Y456,Y460,Y463,Y466,Y469,Y474,Y479,Y483,Y487,Y491,Y496,Y501,Y506,Y510)</f>
        <v>632731.75</v>
      </c>
      <c r="Z443" s="9">
        <f>SUM(Z444,Z448,Z452,Z456,Z460,Z463,Z466,Z469,Z474,Z479,Z483,Z487,Z491,Z496,Z501,Z506,Z510)</f>
        <v>3706309.82</v>
      </c>
      <c r="AA443" s="9">
        <f>SUM(AA444,AA448,AA452,AA456,AA460,AA463,AA466,AA469,AA474,AA479,AA483,AA487,AA491,AA496,AA501,AA506,AA510)</f>
        <v>4339041.57</v>
      </c>
      <c r="AD443" s="4">
        <v>271132119</v>
      </c>
      <c r="AE443" s="4">
        <v>16225741</v>
      </c>
    </row>
    <row r="444" spans="1:35" ht="54" x14ac:dyDescent="0.3">
      <c r="A444" s="10" t="s">
        <v>1712</v>
      </c>
      <c r="B444" s="10" t="s">
        <v>1713</v>
      </c>
      <c r="C444" s="11" t="s">
        <v>1714</v>
      </c>
      <c r="D444" s="12"/>
      <c r="E444" s="12"/>
      <c r="F444" s="12" t="s">
        <v>64</v>
      </c>
      <c r="G444" s="13">
        <v>1</v>
      </c>
      <c r="H444" s="13"/>
      <c r="I444" s="13">
        <v>94.1</v>
      </c>
      <c r="J444" s="14">
        <f>IFERROR(ROUND(SUM(M445,M446,M447)/I444, 2),0)</f>
        <v>505.1</v>
      </c>
      <c r="K444" s="15">
        <v>2956</v>
      </c>
      <c r="L444" s="14">
        <f>J444+ROUND(K444, 2)</f>
        <v>3461.1</v>
      </c>
      <c r="M444" s="14">
        <f>ROUND(J444*I444, 2)</f>
        <v>47529.91</v>
      </c>
      <c r="N444" s="14">
        <f>ROUND(I444*ROUND(K444, 2), 2)</f>
        <v>278159.59999999998</v>
      </c>
      <c r="O444" s="14">
        <f>M444+N444</f>
        <v>325689.51</v>
      </c>
      <c r="P444" s="14">
        <f>IFERROR(ROUND(SUM(S445,S446,S447)/I444, 2),0)</f>
        <v>505.1</v>
      </c>
      <c r="Q444" s="15">
        <v>2956</v>
      </c>
      <c r="R444" s="14">
        <f>P444+ROUND(Q444, 2)</f>
        <v>3461.1</v>
      </c>
      <c r="S444" s="14">
        <f>ROUND(P444*I444, 2)</f>
        <v>47529.91</v>
      </c>
      <c r="T444" s="14">
        <f>ROUND(I444*ROUND(Q444, 2), 2)</f>
        <v>278159.59999999998</v>
      </c>
      <c r="U444" s="14">
        <f>S444+T444</f>
        <v>325689.51</v>
      </c>
      <c r="V444" s="9">
        <f>ROUND(P444 / 1.2, 2)</f>
        <v>420.92</v>
      </c>
      <c r="W444" s="9">
        <f>ROUND(Q444 / 1.2, 2)</f>
        <v>2463.33</v>
      </c>
      <c r="X444" s="9">
        <f>ROUND(R444 / 1.2, 2)</f>
        <v>2884.25</v>
      </c>
      <c r="Y444" s="9">
        <f>ROUND(S444 / 1.2, 2)</f>
        <v>39608.26</v>
      </c>
      <c r="Z444" s="9">
        <f>ROUND(T444 / 1.2, 2)</f>
        <v>231799.67</v>
      </c>
      <c r="AA444" s="9">
        <f>Y444+Z444</f>
        <v>271407.93</v>
      </c>
      <c r="AD444" s="4">
        <v>271132120</v>
      </c>
      <c r="AE444" s="4">
        <v>16225738</v>
      </c>
      <c r="AG444" s="4" t="s">
        <v>1715</v>
      </c>
      <c r="AH444" s="4" t="s">
        <v>1716</v>
      </c>
      <c r="AI444" s="4" t="s">
        <v>67</v>
      </c>
    </row>
    <row r="445" spans="1:35" ht="36" x14ac:dyDescent="0.3">
      <c r="A445" s="10" t="s">
        <v>1717</v>
      </c>
      <c r="B445" s="10"/>
      <c r="C445" s="24" t="s">
        <v>1718</v>
      </c>
      <c r="D445" s="12"/>
      <c r="E445" s="12" t="s">
        <v>949</v>
      </c>
      <c r="F445" s="18" t="s">
        <v>70</v>
      </c>
      <c r="G445" s="19">
        <v>1.8</v>
      </c>
      <c r="H445" s="20"/>
      <c r="I445" s="20">
        <v>6390</v>
      </c>
      <c r="J445" s="21">
        <v>6.8</v>
      </c>
      <c r="M445" s="22">
        <f>ROUND(ROUND(J445, 2)*I445, 2)</f>
        <v>43452</v>
      </c>
      <c r="P445" s="21">
        <v>6.8</v>
      </c>
      <c r="S445" s="22">
        <f>ROUND(ROUND(P445, 2)*I445, 2)</f>
        <v>43452</v>
      </c>
      <c r="V445" s="9">
        <f>ROUND(ROUND(P445, 2)/1.2, 2)</f>
        <v>5.67</v>
      </c>
      <c r="Y445" s="9">
        <f t="shared" ref="Y445:Y476" si="26">ROUND(S445 / 1.2, 2)</f>
        <v>36210</v>
      </c>
      <c r="AD445" s="4" t="s">
        <v>1719</v>
      </c>
      <c r="AE445" s="4" t="s">
        <v>1720</v>
      </c>
      <c r="AF445" s="4" t="s">
        <v>1721</v>
      </c>
    </row>
    <row r="446" spans="1:35" ht="18" x14ac:dyDescent="0.3">
      <c r="A446" s="10" t="s">
        <v>1722</v>
      </c>
      <c r="B446" s="10"/>
      <c r="C446" s="24" t="s">
        <v>1723</v>
      </c>
      <c r="D446" s="12"/>
      <c r="E446" s="12"/>
      <c r="F446" s="18" t="s">
        <v>87</v>
      </c>
      <c r="G446" s="19">
        <v>1</v>
      </c>
      <c r="H446" s="19"/>
      <c r="I446" s="19">
        <v>94.1</v>
      </c>
      <c r="J446" s="21">
        <v>18.34</v>
      </c>
      <c r="M446" s="22">
        <f>ROUND(ROUND(J446, 2)*I446, 2)</f>
        <v>1725.79</v>
      </c>
      <c r="P446" s="21">
        <v>18.34</v>
      </c>
      <c r="S446" s="22">
        <f>ROUND(ROUND(P446, 2)*I446, 2)</f>
        <v>1725.79</v>
      </c>
      <c r="V446" s="9">
        <f>ROUND(ROUND(P446, 2)/1.2, 2)</f>
        <v>15.28</v>
      </c>
      <c r="Y446" s="9">
        <f t="shared" si="26"/>
        <v>1438.16</v>
      </c>
      <c r="AD446" s="4" t="s">
        <v>1724</v>
      </c>
      <c r="AE446" s="4" t="s">
        <v>1725</v>
      </c>
      <c r="AF446" s="4" t="s">
        <v>1726</v>
      </c>
    </row>
    <row r="447" spans="1:35" ht="18" x14ac:dyDescent="0.3">
      <c r="A447" s="10" t="s">
        <v>1727</v>
      </c>
      <c r="B447" s="10"/>
      <c r="C447" s="24" t="s">
        <v>764</v>
      </c>
      <c r="D447" s="12"/>
      <c r="E447" s="12"/>
      <c r="F447" s="18" t="s">
        <v>70</v>
      </c>
      <c r="G447" s="19">
        <v>0.25</v>
      </c>
      <c r="H447" s="19"/>
      <c r="I447" s="19">
        <v>23.524999999999999</v>
      </c>
      <c r="J447" s="21">
        <v>100</v>
      </c>
      <c r="M447" s="22">
        <f>ROUND(ROUND(J447, 2)*I447, 2)</f>
        <v>2352.5</v>
      </c>
      <c r="P447" s="21">
        <v>100</v>
      </c>
      <c r="S447" s="22">
        <f>ROUND(ROUND(P447, 2)*I447, 2)</f>
        <v>2352.5</v>
      </c>
      <c r="V447" s="9">
        <f>ROUND(ROUND(P447, 2)/1.2, 2)</f>
        <v>83.33</v>
      </c>
      <c r="Y447" s="9">
        <f t="shared" si="26"/>
        <v>1960.42</v>
      </c>
      <c r="AD447" s="4" t="s">
        <v>1728</v>
      </c>
      <c r="AE447" s="4" t="s">
        <v>1729</v>
      </c>
      <c r="AF447" s="4" t="s">
        <v>767</v>
      </c>
    </row>
    <row r="448" spans="1:35" ht="54" x14ac:dyDescent="0.3">
      <c r="A448" s="10" t="s">
        <v>1730</v>
      </c>
      <c r="B448" s="10" t="s">
        <v>1731</v>
      </c>
      <c r="C448" s="11" t="s">
        <v>1732</v>
      </c>
      <c r="D448" s="12"/>
      <c r="E448" s="12" t="s">
        <v>1733</v>
      </c>
      <c r="F448" s="12" t="s">
        <v>64</v>
      </c>
      <c r="G448" s="13">
        <v>1</v>
      </c>
      <c r="H448" s="13"/>
      <c r="I448" s="13">
        <v>491</v>
      </c>
      <c r="J448" s="14">
        <f>IFERROR(ROUND(SUM(M449,M450,M451)/I448, 2),0)</f>
        <v>79.760000000000005</v>
      </c>
      <c r="K448" s="15">
        <v>1001</v>
      </c>
      <c r="L448" s="14">
        <f>J448+ROUND(K448, 2)</f>
        <v>1080.76</v>
      </c>
      <c r="M448" s="14">
        <f>ROUND(J448*I448, 2)</f>
        <v>39162.160000000003</v>
      </c>
      <c r="N448" s="14">
        <f>ROUND(I448*ROUND(K448, 2), 2)</f>
        <v>491491</v>
      </c>
      <c r="O448" s="14">
        <f>M448+N448</f>
        <v>530653.16</v>
      </c>
      <c r="P448" s="14">
        <f>IFERROR(ROUND(SUM(S449,S450,S451)/I448, 2),0)</f>
        <v>79.760000000000005</v>
      </c>
      <c r="Q448" s="15">
        <v>1001</v>
      </c>
      <c r="R448" s="14">
        <f>P448+ROUND(Q448, 2)</f>
        <v>1080.76</v>
      </c>
      <c r="S448" s="14">
        <f>ROUND(P448*I448, 2)</f>
        <v>39162.160000000003</v>
      </c>
      <c r="T448" s="14">
        <f>ROUND(I448*ROUND(Q448, 2), 2)</f>
        <v>491491</v>
      </c>
      <c r="U448" s="14">
        <f>S448+T448</f>
        <v>530653.16</v>
      </c>
      <c r="V448" s="9">
        <f>ROUND(P448 / 1.2, 2)</f>
        <v>66.47</v>
      </c>
      <c r="W448" s="9">
        <f>ROUND(Q448 / 1.2, 2)</f>
        <v>834.17</v>
      </c>
      <c r="X448" s="9">
        <f>ROUND(R448 / 1.2, 2)</f>
        <v>900.63</v>
      </c>
      <c r="Y448" s="9">
        <f t="shared" si="26"/>
        <v>32635.13</v>
      </c>
      <c r="Z448" s="9">
        <f>ROUND(T448 / 1.2, 2)</f>
        <v>409575.83</v>
      </c>
      <c r="AA448" s="9">
        <f>Y448+Z448</f>
        <v>442210.96</v>
      </c>
      <c r="AD448" s="4">
        <v>271132122</v>
      </c>
      <c r="AE448" s="4">
        <v>16225746</v>
      </c>
      <c r="AG448" s="4" t="s">
        <v>1734</v>
      </c>
      <c r="AH448" s="4" t="s">
        <v>1735</v>
      </c>
      <c r="AI448" s="4" t="s">
        <v>67</v>
      </c>
    </row>
    <row r="449" spans="1:35" ht="36" x14ac:dyDescent="0.3">
      <c r="A449" s="10" t="s">
        <v>1736</v>
      </c>
      <c r="B449" s="10"/>
      <c r="C449" s="17" t="s">
        <v>740</v>
      </c>
      <c r="D449" s="12"/>
      <c r="E449" s="12" t="s">
        <v>786</v>
      </c>
      <c r="F449" s="18" t="s">
        <v>70</v>
      </c>
      <c r="G449" s="19">
        <v>4.5</v>
      </c>
      <c r="H449" s="19"/>
      <c r="I449" s="19">
        <v>2209.5</v>
      </c>
      <c r="J449" s="21">
        <v>12.58</v>
      </c>
      <c r="M449" s="22">
        <f>ROUND(ROUND(J449, 2)*I449, 2)</f>
        <v>27795.51</v>
      </c>
      <c r="P449" s="21">
        <v>12.58</v>
      </c>
      <c r="S449" s="22">
        <f>ROUND(ROUND(P449, 2)*I449, 2)</f>
        <v>27795.51</v>
      </c>
      <c r="V449" s="9">
        <f>ROUND(ROUND(P449, 2)/1.2, 2)</f>
        <v>10.48</v>
      </c>
      <c r="Y449" s="9">
        <f t="shared" si="26"/>
        <v>23162.93</v>
      </c>
      <c r="AD449" s="4" t="s">
        <v>1737</v>
      </c>
      <c r="AE449" s="4" t="s">
        <v>1738</v>
      </c>
      <c r="AF449" s="4" t="s">
        <v>743</v>
      </c>
    </row>
    <row r="450" spans="1:35" ht="36" x14ac:dyDescent="0.3">
      <c r="A450" s="10" t="s">
        <v>1739</v>
      </c>
      <c r="B450" s="10"/>
      <c r="C450" s="24" t="s">
        <v>1740</v>
      </c>
      <c r="D450" s="12"/>
      <c r="E450" s="12"/>
      <c r="F450" s="18" t="s">
        <v>116</v>
      </c>
      <c r="G450" s="19">
        <v>0.3</v>
      </c>
      <c r="H450" s="20"/>
      <c r="I450" s="20">
        <v>66</v>
      </c>
      <c r="J450" s="21">
        <v>73.099999999999994</v>
      </c>
      <c r="M450" s="22">
        <f>ROUND(ROUND(J450, 2)*I450, 2)</f>
        <v>4824.6000000000004</v>
      </c>
      <c r="P450" s="21">
        <v>73.099999999999994</v>
      </c>
      <c r="S450" s="22">
        <f>ROUND(ROUND(P450, 2)*I450, 2)</f>
        <v>4824.6000000000004</v>
      </c>
      <c r="V450" s="9">
        <f>ROUND(ROUND(P450, 2)/1.2, 2)</f>
        <v>60.92</v>
      </c>
      <c r="Y450" s="9">
        <f t="shared" si="26"/>
        <v>4020.5</v>
      </c>
      <c r="AD450" s="4" t="s">
        <v>1741</v>
      </c>
      <c r="AE450" s="4" t="s">
        <v>1742</v>
      </c>
      <c r="AF450" s="4" t="s">
        <v>1743</v>
      </c>
    </row>
    <row r="451" spans="1:35" ht="36" x14ac:dyDescent="0.3">
      <c r="A451" s="10" t="s">
        <v>1744</v>
      </c>
      <c r="B451" s="10"/>
      <c r="C451" s="24" t="s">
        <v>433</v>
      </c>
      <c r="D451" s="12"/>
      <c r="E451" s="12"/>
      <c r="F451" s="18" t="s">
        <v>70</v>
      </c>
      <c r="G451" s="19">
        <v>0.15</v>
      </c>
      <c r="H451" s="19"/>
      <c r="I451" s="19">
        <v>73.650000000000006</v>
      </c>
      <c r="J451" s="21">
        <v>88.8</v>
      </c>
      <c r="M451" s="22">
        <f>ROUND(ROUND(J451, 2)*I451, 2)</f>
        <v>6540.12</v>
      </c>
      <c r="P451" s="21">
        <v>88.8</v>
      </c>
      <c r="S451" s="22">
        <f>ROUND(ROUND(P451, 2)*I451, 2)</f>
        <v>6540.12</v>
      </c>
      <c r="V451" s="9">
        <f>ROUND(ROUND(P451, 2)/1.2, 2)</f>
        <v>74</v>
      </c>
      <c r="Y451" s="9">
        <f t="shared" si="26"/>
        <v>5450.1</v>
      </c>
      <c r="AD451" s="4" t="s">
        <v>1745</v>
      </c>
      <c r="AE451" s="4" t="s">
        <v>1746</v>
      </c>
      <c r="AF451" s="4" t="s">
        <v>436</v>
      </c>
    </row>
    <row r="452" spans="1:35" ht="54" x14ac:dyDescent="0.3">
      <c r="A452" s="10" t="s">
        <v>1747</v>
      </c>
      <c r="B452" s="10" t="s">
        <v>1731</v>
      </c>
      <c r="C452" s="11" t="s">
        <v>1732</v>
      </c>
      <c r="D452" s="12"/>
      <c r="E452" s="12" t="s">
        <v>1748</v>
      </c>
      <c r="F452" s="12" t="s">
        <v>64</v>
      </c>
      <c r="G452" s="13">
        <v>1</v>
      </c>
      <c r="H452" s="13"/>
      <c r="I452" s="13">
        <v>491</v>
      </c>
      <c r="J452" s="14">
        <f>IFERROR(ROUND(SUM(M453,M454,M455)/I452, 2),0)</f>
        <v>79.760000000000005</v>
      </c>
      <c r="K452" s="15">
        <v>1001</v>
      </c>
      <c r="L452" s="14">
        <f>J452+ROUND(K452, 2)</f>
        <v>1080.76</v>
      </c>
      <c r="M452" s="14">
        <f>ROUND(J452*I452, 2)</f>
        <v>39162.160000000003</v>
      </c>
      <c r="N452" s="14">
        <f>ROUND(I452*ROUND(K452, 2), 2)</f>
        <v>491491</v>
      </c>
      <c r="O452" s="14">
        <f>M452+N452</f>
        <v>530653.16</v>
      </c>
      <c r="P452" s="14">
        <f>IFERROR(ROUND(SUM(S453,S454,S455)/I452, 2),0)</f>
        <v>79.760000000000005</v>
      </c>
      <c r="Q452" s="15">
        <v>1001</v>
      </c>
      <c r="R452" s="14">
        <f>P452+ROUND(Q452, 2)</f>
        <v>1080.76</v>
      </c>
      <c r="S452" s="14">
        <f>ROUND(P452*I452, 2)</f>
        <v>39162.160000000003</v>
      </c>
      <c r="T452" s="14">
        <f>ROUND(I452*ROUND(Q452, 2), 2)</f>
        <v>491491</v>
      </c>
      <c r="U452" s="14">
        <f>S452+T452</f>
        <v>530653.16</v>
      </c>
      <c r="V452" s="9">
        <f>ROUND(P452 / 1.2, 2)</f>
        <v>66.47</v>
      </c>
      <c r="W452" s="9">
        <f>ROUND(Q452 / 1.2, 2)</f>
        <v>834.17</v>
      </c>
      <c r="X452" s="9">
        <f>ROUND(R452 / 1.2, 2)</f>
        <v>900.63</v>
      </c>
      <c r="Y452" s="9">
        <f t="shared" si="26"/>
        <v>32635.13</v>
      </c>
      <c r="Z452" s="9">
        <f>ROUND(T452 / 1.2, 2)</f>
        <v>409575.83</v>
      </c>
      <c r="AA452" s="9">
        <f>Y452+Z452</f>
        <v>442210.96</v>
      </c>
      <c r="AD452" s="4">
        <v>271132233</v>
      </c>
      <c r="AE452" s="4">
        <v>16225747</v>
      </c>
      <c r="AG452" s="4" t="s">
        <v>1734</v>
      </c>
      <c r="AH452" s="4" t="s">
        <v>1735</v>
      </c>
      <c r="AI452" s="4" t="s">
        <v>67</v>
      </c>
    </row>
    <row r="453" spans="1:35" ht="36" x14ac:dyDescent="0.3">
      <c r="A453" s="10" t="s">
        <v>1749</v>
      </c>
      <c r="B453" s="10"/>
      <c r="C453" s="24" t="s">
        <v>433</v>
      </c>
      <c r="D453" s="12"/>
      <c r="E453" s="12"/>
      <c r="F453" s="18" t="s">
        <v>70</v>
      </c>
      <c r="G453" s="19">
        <v>0.15</v>
      </c>
      <c r="H453" s="19"/>
      <c r="I453" s="19">
        <v>73.650000000000006</v>
      </c>
      <c r="J453" s="21">
        <v>88.8</v>
      </c>
      <c r="M453" s="22">
        <f>ROUND(ROUND(J453, 2)*I453, 2)</f>
        <v>6540.12</v>
      </c>
      <c r="P453" s="21">
        <v>88.8</v>
      </c>
      <c r="S453" s="22">
        <f>ROUND(ROUND(P453, 2)*I453, 2)</f>
        <v>6540.12</v>
      </c>
      <c r="V453" s="9">
        <f>ROUND(ROUND(P453, 2)/1.2, 2)</f>
        <v>74</v>
      </c>
      <c r="Y453" s="9">
        <f t="shared" si="26"/>
        <v>5450.1</v>
      </c>
      <c r="AD453" s="4" t="s">
        <v>1750</v>
      </c>
      <c r="AE453" s="4" t="s">
        <v>1751</v>
      </c>
      <c r="AF453" s="4" t="s">
        <v>436</v>
      </c>
    </row>
    <row r="454" spans="1:35" ht="36" x14ac:dyDescent="0.3">
      <c r="A454" s="10" t="s">
        <v>1752</v>
      </c>
      <c r="B454" s="10"/>
      <c r="C454" s="24" t="s">
        <v>1740</v>
      </c>
      <c r="D454" s="12"/>
      <c r="E454" s="12"/>
      <c r="F454" s="18" t="s">
        <v>116</v>
      </c>
      <c r="G454" s="19">
        <v>0.3</v>
      </c>
      <c r="H454" s="20"/>
      <c r="I454" s="20">
        <v>66</v>
      </c>
      <c r="J454" s="21">
        <v>73.099999999999994</v>
      </c>
      <c r="M454" s="22">
        <f>ROUND(ROUND(J454, 2)*I454, 2)</f>
        <v>4824.6000000000004</v>
      </c>
      <c r="P454" s="21">
        <v>73.099999999999994</v>
      </c>
      <c r="S454" s="22">
        <f>ROUND(ROUND(P454, 2)*I454, 2)</f>
        <v>4824.6000000000004</v>
      </c>
      <c r="V454" s="9">
        <f>ROUND(ROUND(P454, 2)/1.2, 2)</f>
        <v>60.92</v>
      </c>
      <c r="Y454" s="9">
        <f t="shared" si="26"/>
        <v>4020.5</v>
      </c>
      <c r="AD454" s="4" t="s">
        <v>1753</v>
      </c>
      <c r="AE454" s="4" t="s">
        <v>1754</v>
      </c>
      <c r="AF454" s="4" t="s">
        <v>1743</v>
      </c>
    </row>
    <row r="455" spans="1:35" ht="36" x14ac:dyDescent="0.3">
      <c r="A455" s="10" t="s">
        <v>1755</v>
      </c>
      <c r="B455" s="10"/>
      <c r="C455" s="17" t="s">
        <v>740</v>
      </c>
      <c r="D455" s="12"/>
      <c r="E455" s="12" t="s">
        <v>821</v>
      </c>
      <c r="F455" s="18" t="s">
        <v>70</v>
      </c>
      <c r="G455" s="19">
        <v>4.5</v>
      </c>
      <c r="H455" s="19"/>
      <c r="I455" s="19">
        <v>2209.5</v>
      </c>
      <c r="J455" s="21">
        <v>12.58</v>
      </c>
      <c r="M455" s="22">
        <f>ROUND(ROUND(J455, 2)*I455, 2)</f>
        <v>27795.51</v>
      </c>
      <c r="P455" s="21">
        <v>12.58</v>
      </c>
      <c r="S455" s="22">
        <f>ROUND(ROUND(P455, 2)*I455, 2)</f>
        <v>27795.51</v>
      </c>
      <c r="V455" s="9">
        <f>ROUND(ROUND(P455, 2)/1.2, 2)</f>
        <v>10.48</v>
      </c>
      <c r="Y455" s="9">
        <f t="shared" si="26"/>
        <v>23162.93</v>
      </c>
      <c r="AD455" s="4" t="s">
        <v>1756</v>
      </c>
      <c r="AE455" s="4" t="s">
        <v>1757</v>
      </c>
      <c r="AF455" s="4" t="s">
        <v>743</v>
      </c>
    </row>
    <row r="456" spans="1:35" ht="54" x14ac:dyDescent="0.3">
      <c r="A456" s="10" t="s">
        <v>1758</v>
      </c>
      <c r="B456" s="10" t="s">
        <v>1731</v>
      </c>
      <c r="C456" s="11" t="s">
        <v>1732</v>
      </c>
      <c r="D456" s="12"/>
      <c r="E456" s="12" t="s">
        <v>1759</v>
      </c>
      <c r="F456" s="12" t="s">
        <v>64</v>
      </c>
      <c r="G456" s="13">
        <v>1</v>
      </c>
      <c r="H456" s="13"/>
      <c r="I456" s="13">
        <v>329.76</v>
      </c>
      <c r="J456" s="14">
        <f>IFERROR(ROUND(SUM(M457,M458,M459)/I456, 2),0)</f>
        <v>92.4</v>
      </c>
      <c r="K456" s="15">
        <v>1001</v>
      </c>
      <c r="L456" s="14">
        <f>J456+ROUND(K456, 2)</f>
        <v>1093.4000000000001</v>
      </c>
      <c r="M456" s="14">
        <f>ROUND(J456*I456, 2)</f>
        <v>30469.82</v>
      </c>
      <c r="N456" s="14">
        <f>ROUND(I456*ROUND(K456, 2), 2)</f>
        <v>330089.76</v>
      </c>
      <c r="O456" s="14">
        <f>M456+N456</f>
        <v>360559.58</v>
      </c>
      <c r="P456" s="14">
        <f>IFERROR(ROUND(SUM(S457,S458,S459)/I456, 2),0)</f>
        <v>92.4</v>
      </c>
      <c r="Q456" s="16">
        <v>1001</v>
      </c>
      <c r="R456" s="14">
        <f>P456+ROUND(Q456, 2)</f>
        <v>1093.4000000000001</v>
      </c>
      <c r="S456" s="14">
        <f>ROUND(P456*I456, 2)</f>
        <v>30469.82</v>
      </c>
      <c r="T456" s="14">
        <f>ROUND(I456*ROUND(Q456, 2), 2)</f>
        <v>330089.76</v>
      </c>
      <c r="U456" s="14">
        <f>S456+T456</f>
        <v>360559.58</v>
      </c>
      <c r="V456" s="9">
        <f>ROUND(P456 / 1.2, 2)</f>
        <v>77</v>
      </c>
      <c r="W456" s="9">
        <f>ROUND(Q456 / 1.2, 2)</f>
        <v>834.17</v>
      </c>
      <c r="X456" s="9">
        <f>ROUND(R456 / 1.2, 2)</f>
        <v>911.17</v>
      </c>
      <c r="Y456" s="9">
        <f t="shared" si="26"/>
        <v>25391.52</v>
      </c>
      <c r="Z456" s="9">
        <f>ROUND(T456 / 1.2, 2)</f>
        <v>275074.8</v>
      </c>
      <c r="AA456" s="9">
        <f>Y456+Z456</f>
        <v>300466.32</v>
      </c>
      <c r="AD456" s="4">
        <v>271132234</v>
      </c>
      <c r="AE456" s="4">
        <v>19821008</v>
      </c>
      <c r="AG456" s="4" t="s">
        <v>1734</v>
      </c>
      <c r="AH456" s="4" t="s">
        <v>1735</v>
      </c>
      <c r="AI456" s="4" t="s">
        <v>67</v>
      </c>
    </row>
    <row r="457" spans="1:35" ht="36" x14ac:dyDescent="0.3">
      <c r="A457" s="10" t="s">
        <v>1760</v>
      </c>
      <c r="B457" s="10"/>
      <c r="C457" s="24" t="s">
        <v>433</v>
      </c>
      <c r="D457" s="12"/>
      <c r="E457" s="12"/>
      <c r="F457" s="18" t="s">
        <v>70</v>
      </c>
      <c r="G457" s="19">
        <v>0.15</v>
      </c>
      <c r="H457" s="19"/>
      <c r="I457" s="19">
        <v>49.463999999999999</v>
      </c>
      <c r="J457" s="21">
        <v>88.8</v>
      </c>
      <c r="M457" s="22">
        <f>ROUND(ROUND(J457, 2)*I457, 2)</f>
        <v>4392.3999999999996</v>
      </c>
      <c r="P457" s="23">
        <v>88.8</v>
      </c>
      <c r="S457" s="22">
        <f>ROUND(ROUND(P457, 2)*I457, 2)</f>
        <v>4392.3999999999996</v>
      </c>
      <c r="V457" s="9">
        <f>ROUND(ROUND(P457, 2)/1.2, 2)</f>
        <v>74</v>
      </c>
      <c r="Y457" s="9">
        <f t="shared" si="26"/>
        <v>3660.33</v>
      </c>
      <c r="AD457" s="4" t="s">
        <v>1761</v>
      </c>
      <c r="AE457" s="4" t="s">
        <v>1762</v>
      </c>
      <c r="AF457" s="4" t="s">
        <v>436</v>
      </c>
    </row>
    <row r="458" spans="1:35" ht="18" x14ac:dyDescent="0.3">
      <c r="A458" s="10" t="s">
        <v>1763</v>
      </c>
      <c r="B458" s="10"/>
      <c r="C458" s="24" t="s">
        <v>793</v>
      </c>
      <c r="D458" s="12"/>
      <c r="E458" s="12"/>
      <c r="F458" s="18" t="s">
        <v>116</v>
      </c>
      <c r="G458" s="19">
        <v>0.3</v>
      </c>
      <c r="H458" s="19"/>
      <c r="I458" s="19">
        <v>98.927999999999997</v>
      </c>
      <c r="J458" s="21">
        <v>73.099999999999994</v>
      </c>
      <c r="M458" s="22">
        <f>ROUND(ROUND(J458, 2)*I458, 2)</f>
        <v>7231.64</v>
      </c>
      <c r="P458" s="23">
        <v>73.099999999999994</v>
      </c>
      <c r="S458" s="22">
        <f>ROUND(ROUND(P458, 2)*I458, 2)</f>
        <v>7231.64</v>
      </c>
      <c r="V458" s="9">
        <f>ROUND(ROUND(P458, 2)/1.2, 2)</f>
        <v>60.92</v>
      </c>
      <c r="Y458" s="9">
        <f t="shared" si="26"/>
        <v>6026.37</v>
      </c>
      <c r="AD458" s="4" t="s">
        <v>1764</v>
      </c>
      <c r="AE458" s="4" t="s">
        <v>1765</v>
      </c>
      <c r="AF458" s="4" t="s">
        <v>796</v>
      </c>
    </row>
    <row r="459" spans="1:35" ht="36" x14ac:dyDescent="0.3">
      <c r="A459" s="10" t="s">
        <v>1766</v>
      </c>
      <c r="B459" s="10"/>
      <c r="C459" s="17" t="s">
        <v>740</v>
      </c>
      <c r="D459" s="12"/>
      <c r="E459" s="12"/>
      <c r="F459" s="18" t="s">
        <v>70</v>
      </c>
      <c r="G459" s="19">
        <v>4.5</v>
      </c>
      <c r="H459" s="19"/>
      <c r="I459" s="19">
        <v>1483.92</v>
      </c>
      <c r="J459" s="21">
        <v>12.7</v>
      </c>
      <c r="M459" s="22">
        <f>ROUND(ROUND(J459, 2)*I459, 2)</f>
        <v>18845.78</v>
      </c>
      <c r="P459" s="23">
        <v>12.7</v>
      </c>
      <c r="S459" s="22">
        <f>ROUND(ROUND(P459, 2)*I459, 2)</f>
        <v>18845.78</v>
      </c>
      <c r="V459" s="9">
        <f>ROUND(ROUND(P459, 2)/1.2, 2)</f>
        <v>10.58</v>
      </c>
      <c r="Y459" s="9">
        <f t="shared" si="26"/>
        <v>15704.82</v>
      </c>
      <c r="AD459" s="4" t="s">
        <v>1767</v>
      </c>
      <c r="AE459" s="4" t="s">
        <v>1768</v>
      </c>
      <c r="AF459" s="4" t="s">
        <v>743</v>
      </c>
    </row>
    <row r="460" spans="1:35" ht="54" x14ac:dyDescent="0.3">
      <c r="A460" s="10" t="s">
        <v>1769</v>
      </c>
      <c r="B460" s="10" t="s">
        <v>1731</v>
      </c>
      <c r="C460" s="11" t="s">
        <v>1732</v>
      </c>
      <c r="D460" s="12"/>
      <c r="E460" s="12" t="s">
        <v>1770</v>
      </c>
      <c r="F460" s="12" t="s">
        <v>64</v>
      </c>
      <c r="G460" s="13">
        <v>1</v>
      </c>
      <c r="H460" s="13"/>
      <c r="I460" s="13">
        <v>329.76</v>
      </c>
      <c r="J460" s="14">
        <f>IFERROR(ROUND(SUM(M461,M462)/I460, 2),0)</f>
        <v>70.47</v>
      </c>
      <c r="K460" s="15">
        <v>1001</v>
      </c>
      <c r="L460" s="14">
        <f>J460+ROUND(K460, 2)</f>
        <v>1071.47</v>
      </c>
      <c r="M460" s="14">
        <f>ROUND(J460*I460, 2)</f>
        <v>23238.19</v>
      </c>
      <c r="N460" s="14">
        <f>ROUND(I460*ROUND(K460, 2), 2)</f>
        <v>330089.76</v>
      </c>
      <c r="O460" s="14">
        <f>M460+N460</f>
        <v>353327.95</v>
      </c>
      <c r="P460" s="14">
        <f>IFERROR(ROUND(SUM(S461,S462)/I460, 2),0)</f>
        <v>70.47</v>
      </c>
      <c r="Q460" s="16">
        <v>1001</v>
      </c>
      <c r="R460" s="14">
        <f>P460+ROUND(Q460, 2)</f>
        <v>1071.47</v>
      </c>
      <c r="S460" s="14">
        <f>ROUND(P460*I460, 2)</f>
        <v>23238.19</v>
      </c>
      <c r="T460" s="14">
        <f>ROUND(I460*ROUND(Q460, 2), 2)</f>
        <v>330089.76</v>
      </c>
      <c r="U460" s="14">
        <f>S460+T460</f>
        <v>353327.95</v>
      </c>
      <c r="V460" s="9">
        <f>ROUND(P460 / 1.2, 2)</f>
        <v>58.73</v>
      </c>
      <c r="W460" s="9">
        <f>ROUND(Q460 / 1.2, 2)</f>
        <v>834.17</v>
      </c>
      <c r="X460" s="9">
        <f>ROUND(R460 / 1.2, 2)</f>
        <v>892.89</v>
      </c>
      <c r="Y460" s="9">
        <f t="shared" si="26"/>
        <v>19365.16</v>
      </c>
      <c r="Z460" s="9">
        <f>ROUND(T460 / 1.2, 2)</f>
        <v>275074.8</v>
      </c>
      <c r="AA460" s="9">
        <f>Y460+Z460</f>
        <v>294439.96000000002</v>
      </c>
      <c r="AD460" s="4">
        <v>271132235</v>
      </c>
      <c r="AE460" s="4">
        <v>19821009</v>
      </c>
      <c r="AG460" s="4" t="s">
        <v>1734</v>
      </c>
      <c r="AH460" s="4" t="s">
        <v>1735</v>
      </c>
      <c r="AI460" s="4" t="s">
        <v>67</v>
      </c>
    </row>
    <row r="461" spans="1:35" ht="36" x14ac:dyDescent="0.3">
      <c r="A461" s="10" t="s">
        <v>1771</v>
      </c>
      <c r="B461" s="10"/>
      <c r="C461" s="24" t="s">
        <v>433</v>
      </c>
      <c r="D461" s="12"/>
      <c r="E461" s="12"/>
      <c r="F461" s="18" t="s">
        <v>70</v>
      </c>
      <c r="G461" s="19">
        <v>0.15</v>
      </c>
      <c r="H461" s="19"/>
      <c r="I461" s="19">
        <v>49.463999999999999</v>
      </c>
      <c r="J461" s="21">
        <v>88.8</v>
      </c>
      <c r="M461" s="22">
        <f>ROUND(ROUND(J461, 2)*I461, 2)</f>
        <v>4392.3999999999996</v>
      </c>
      <c r="P461" s="23">
        <v>88.8</v>
      </c>
      <c r="S461" s="22">
        <f>ROUND(ROUND(P461, 2)*I461, 2)</f>
        <v>4392.3999999999996</v>
      </c>
      <c r="V461" s="9">
        <f>ROUND(ROUND(P461, 2)/1.2, 2)</f>
        <v>74</v>
      </c>
      <c r="Y461" s="9">
        <f t="shared" si="26"/>
        <v>3660.33</v>
      </c>
      <c r="AD461" s="4" t="s">
        <v>1772</v>
      </c>
      <c r="AE461" s="4" t="s">
        <v>1773</v>
      </c>
      <c r="AF461" s="4" t="s">
        <v>436</v>
      </c>
    </row>
    <row r="462" spans="1:35" ht="36" x14ac:dyDescent="0.3">
      <c r="A462" s="10" t="s">
        <v>1774</v>
      </c>
      <c r="B462" s="10"/>
      <c r="C462" s="17" t="s">
        <v>740</v>
      </c>
      <c r="D462" s="12"/>
      <c r="E462" s="12"/>
      <c r="F462" s="18" t="s">
        <v>70</v>
      </c>
      <c r="G462" s="19">
        <v>4.5</v>
      </c>
      <c r="H462" s="19"/>
      <c r="I462" s="19">
        <v>1483.92</v>
      </c>
      <c r="J462" s="21">
        <v>12.7</v>
      </c>
      <c r="M462" s="22">
        <f>ROUND(ROUND(J462, 2)*I462, 2)</f>
        <v>18845.78</v>
      </c>
      <c r="P462" s="23">
        <v>12.7</v>
      </c>
      <c r="S462" s="22">
        <f>ROUND(ROUND(P462, 2)*I462, 2)</f>
        <v>18845.78</v>
      </c>
      <c r="V462" s="9">
        <f>ROUND(ROUND(P462, 2)/1.2, 2)</f>
        <v>10.58</v>
      </c>
      <c r="Y462" s="9">
        <f t="shared" si="26"/>
        <v>15704.82</v>
      </c>
      <c r="AD462" s="4" t="s">
        <v>1775</v>
      </c>
      <c r="AE462" s="4" t="s">
        <v>1776</v>
      </c>
      <c r="AF462" s="4" t="s">
        <v>743</v>
      </c>
    </row>
    <row r="463" spans="1:35" ht="54" x14ac:dyDescent="0.3">
      <c r="A463" s="10" t="s">
        <v>1777</v>
      </c>
      <c r="B463" s="10" t="s">
        <v>1778</v>
      </c>
      <c r="C463" s="11" t="s">
        <v>1779</v>
      </c>
      <c r="D463" s="12"/>
      <c r="E463" s="12" t="s">
        <v>63</v>
      </c>
      <c r="F463" s="12" t="s">
        <v>64</v>
      </c>
      <c r="G463" s="13">
        <v>1</v>
      </c>
      <c r="H463" s="13"/>
      <c r="I463" s="13">
        <v>491</v>
      </c>
      <c r="J463" s="14">
        <f>IFERROR(ROUND(SUM(M464,M465)/I463, 2),0)</f>
        <v>290.51</v>
      </c>
      <c r="K463" s="15">
        <v>275</v>
      </c>
      <c r="L463" s="14">
        <f>J463+ROUND(K463, 2)</f>
        <v>565.51</v>
      </c>
      <c r="M463" s="14">
        <f>ROUND(J463*I463, 2)</f>
        <v>142640.41</v>
      </c>
      <c r="N463" s="14">
        <f>ROUND(I463*ROUND(K463, 2), 2)</f>
        <v>135025</v>
      </c>
      <c r="O463" s="14">
        <f>M463+N463</f>
        <v>277665.40999999997</v>
      </c>
      <c r="P463" s="14">
        <f>IFERROR(ROUND(SUM(S464,S465)/I463, 2),0)</f>
        <v>143.88</v>
      </c>
      <c r="Q463" s="15">
        <v>275</v>
      </c>
      <c r="R463" s="14">
        <f>P463+ROUND(Q463, 2)</f>
        <v>418.88</v>
      </c>
      <c r="S463" s="14">
        <f>ROUND(P463*I463, 2)</f>
        <v>70645.08</v>
      </c>
      <c r="T463" s="14">
        <f>ROUND(I463*ROUND(Q463, 2), 2)</f>
        <v>135025</v>
      </c>
      <c r="U463" s="14">
        <f>S463+T463</f>
        <v>205670.08</v>
      </c>
      <c r="V463" s="9">
        <f>ROUND(P463 / 1.2, 2)</f>
        <v>119.9</v>
      </c>
      <c r="W463" s="9">
        <f>ROUND(Q463 / 1.2, 2)</f>
        <v>229.17</v>
      </c>
      <c r="X463" s="9">
        <f>ROUND(R463 / 1.2, 2)</f>
        <v>349.07</v>
      </c>
      <c r="Y463" s="9">
        <f t="shared" si="26"/>
        <v>58870.9</v>
      </c>
      <c r="Z463" s="9">
        <f>ROUND(T463 / 1.2, 2)</f>
        <v>112520.83</v>
      </c>
      <c r="AA463" s="9">
        <f>Y463+Z463</f>
        <v>171391.73</v>
      </c>
      <c r="AD463" s="4">
        <v>271132124</v>
      </c>
      <c r="AE463" s="4">
        <v>16226151</v>
      </c>
      <c r="AG463" s="4" t="s">
        <v>1780</v>
      </c>
      <c r="AH463" s="4" t="s">
        <v>1781</v>
      </c>
      <c r="AI463" s="4" t="s">
        <v>67</v>
      </c>
    </row>
    <row r="464" spans="1:35" ht="18" x14ac:dyDescent="0.3">
      <c r="A464" s="10" t="s">
        <v>1782</v>
      </c>
      <c r="B464" s="10"/>
      <c r="C464" s="24" t="s">
        <v>1783</v>
      </c>
      <c r="D464" s="12"/>
      <c r="E464" s="12"/>
      <c r="F464" s="18" t="s">
        <v>70</v>
      </c>
      <c r="G464" s="19">
        <v>0.3</v>
      </c>
      <c r="H464" s="19"/>
      <c r="I464" s="19">
        <v>147.30000000000001</v>
      </c>
      <c r="J464" s="21">
        <v>938.78</v>
      </c>
      <c r="M464" s="22">
        <f>ROUND(ROUND(J464, 2)*I464, 2)</f>
        <v>138282.29</v>
      </c>
      <c r="P464" s="21">
        <v>450</v>
      </c>
      <c r="S464" s="22">
        <f>ROUND(ROUND(P464, 2)*I464, 2)</f>
        <v>66285</v>
      </c>
      <c r="V464" s="9">
        <f>ROUND(ROUND(P464, 2)/1.2, 2)</f>
        <v>375</v>
      </c>
      <c r="Y464" s="9">
        <f t="shared" si="26"/>
        <v>55237.5</v>
      </c>
      <c r="AD464" s="4" t="s">
        <v>1784</v>
      </c>
      <c r="AE464" s="4" t="s">
        <v>1785</v>
      </c>
      <c r="AF464" s="4" t="s">
        <v>1786</v>
      </c>
    </row>
    <row r="465" spans="1:35" ht="36" x14ac:dyDescent="0.3">
      <c r="A465" s="10" t="s">
        <v>1787</v>
      </c>
      <c r="B465" s="10"/>
      <c r="C465" s="24" t="s">
        <v>433</v>
      </c>
      <c r="D465" s="12"/>
      <c r="E465" s="12"/>
      <c r="F465" s="18" t="s">
        <v>70</v>
      </c>
      <c r="G465" s="19">
        <v>0.1</v>
      </c>
      <c r="H465" s="19"/>
      <c r="I465" s="19">
        <v>49.1</v>
      </c>
      <c r="J465" s="21">
        <v>88.8</v>
      </c>
      <c r="M465" s="22">
        <f>ROUND(ROUND(J465, 2)*I465, 2)</f>
        <v>4360.08</v>
      </c>
      <c r="P465" s="21">
        <v>88.8</v>
      </c>
      <c r="S465" s="22">
        <f>ROUND(ROUND(P465, 2)*I465, 2)</f>
        <v>4360.08</v>
      </c>
      <c r="V465" s="9">
        <f>ROUND(ROUND(P465, 2)/1.2, 2)</f>
        <v>74</v>
      </c>
      <c r="Y465" s="9">
        <f t="shared" si="26"/>
        <v>3633.4</v>
      </c>
      <c r="AD465" s="4" t="s">
        <v>1788</v>
      </c>
      <c r="AE465" s="4" t="s">
        <v>1789</v>
      </c>
      <c r="AF465" s="4" t="s">
        <v>436</v>
      </c>
    </row>
    <row r="466" spans="1:35" ht="54" x14ac:dyDescent="0.3">
      <c r="A466" s="10" t="s">
        <v>1790</v>
      </c>
      <c r="B466" s="10" t="s">
        <v>1778</v>
      </c>
      <c r="C466" s="11" t="s">
        <v>1779</v>
      </c>
      <c r="D466" s="12"/>
      <c r="E466" s="12" t="s">
        <v>81</v>
      </c>
      <c r="F466" s="12" t="s">
        <v>64</v>
      </c>
      <c r="G466" s="13">
        <v>1</v>
      </c>
      <c r="H466" s="13"/>
      <c r="I466" s="13">
        <v>329.76</v>
      </c>
      <c r="J466" s="14">
        <f>IFERROR(ROUND(SUM(M467,M468)/I466, 2),0)</f>
        <v>30.4</v>
      </c>
      <c r="K466" s="15">
        <v>303</v>
      </c>
      <c r="L466" s="14">
        <f>J466+ROUND(K466, 2)</f>
        <v>333.4</v>
      </c>
      <c r="M466" s="14">
        <f>ROUND(J466*I466, 2)</f>
        <v>10024.700000000001</v>
      </c>
      <c r="N466" s="14">
        <f>ROUND(I466*ROUND(K466, 2), 2)</f>
        <v>99917.28</v>
      </c>
      <c r="O466" s="14">
        <f>M466+N466</f>
        <v>109941.98</v>
      </c>
      <c r="P466" s="14">
        <f>IFERROR(ROUND(SUM(S467,S468)/I466, 2),0)</f>
        <v>30.4</v>
      </c>
      <c r="Q466" s="16">
        <v>303</v>
      </c>
      <c r="R466" s="14">
        <f>P466+ROUND(Q466, 2)</f>
        <v>333.4</v>
      </c>
      <c r="S466" s="14">
        <f>ROUND(P466*I466, 2)</f>
        <v>10024.700000000001</v>
      </c>
      <c r="T466" s="14">
        <f>ROUND(I466*ROUND(Q466, 2), 2)</f>
        <v>99917.28</v>
      </c>
      <c r="U466" s="14">
        <f>S466+T466</f>
        <v>109941.98</v>
      </c>
      <c r="V466" s="9">
        <f>ROUND(P466 / 1.2, 2)</f>
        <v>25.33</v>
      </c>
      <c r="W466" s="9">
        <f>ROUND(Q466 / 1.2, 2)</f>
        <v>252.5</v>
      </c>
      <c r="X466" s="9">
        <f>ROUND(R466 / 1.2, 2)</f>
        <v>277.83</v>
      </c>
      <c r="Y466" s="9">
        <f t="shared" si="26"/>
        <v>8353.92</v>
      </c>
      <c r="Z466" s="9">
        <f>ROUND(T466 / 1.2, 2)</f>
        <v>83264.399999999994</v>
      </c>
      <c r="AA466" s="9">
        <f>Y466+Z466</f>
        <v>91618.32</v>
      </c>
      <c r="AD466" s="4">
        <v>271132236</v>
      </c>
      <c r="AE466" s="4">
        <v>19821007</v>
      </c>
      <c r="AG466" s="4" t="s">
        <v>1780</v>
      </c>
      <c r="AH466" s="4" t="s">
        <v>1781</v>
      </c>
      <c r="AI466" s="4" t="s">
        <v>67</v>
      </c>
    </row>
    <row r="467" spans="1:35" ht="36" x14ac:dyDescent="0.3">
      <c r="A467" s="10" t="s">
        <v>1791</v>
      </c>
      <c r="B467" s="10"/>
      <c r="C467" s="24" t="s">
        <v>433</v>
      </c>
      <c r="D467" s="12"/>
      <c r="E467" s="12"/>
      <c r="F467" s="18" t="s">
        <v>70</v>
      </c>
      <c r="G467" s="19">
        <v>0.1</v>
      </c>
      <c r="H467" s="19"/>
      <c r="I467" s="19">
        <v>32.975999999999999</v>
      </c>
      <c r="J467" s="21">
        <v>88.8</v>
      </c>
      <c r="M467" s="22">
        <f>ROUND(ROUND(J467, 2)*I467, 2)</f>
        <v>2928.27</v>
      </c>
      <c r="P467" s="23">
        <v>88.8</v>
      </c>
      <c r="S467" s="22">
        <f>ROUND(ROUND(P467, 2)*I467, 2)</f>
        <v>2928.27</v>
      </c>
      <c r="V467" s="9">
        <f>ROUND(ROUND(P467, 2)/1.2, 2)</f>
        <v>74</v>
      </c>
      <c r="Y467" s="9">
        <f t="shared" si="26"/>
        <v>2440.23</v>
      </c>
      <c r="AD467" s="4" t="s">
        <v>1792</v>
      </c>
      <c r="AE467" s="4" t="s">
        <v>1793</v>
      </c>
      <c r="AF467" s="4" t="s">
        <v>436</v>
      </c>
    </row>
    <row r="468" spans="1:35" ht="36" x14ac:dyDescent="0.3">
      <c r="A468" s="10" t="s">
        <v>1794</v>
      </c>
      <c r="B468" s="10"/>
      <c r="C468" s="24" t="s">
        <v>1795</v>
      </c>
      <c r="D468" s="12"/>
      <c r="E468" s="12"/>
      <c r="F468" s="18" t="s">
        <v>70</v>
      </c>
      <c r="G468" s="19">
        <v>0.3</v>
      </c>
      <c r="H468" s="19"/>
      <c r="I468" s="19">
        <v>98.927999999999997</v>
      </c>
      <c r="J468" s="21">
        <v>71.75</v>
      </c>
      <c r="M468" s="22">
        <f>ROUND(ROUND(J468, 2)*I468, 2)</f>
        <v>7098.08</v>
      </c>
      <c r="P468" s="23">
        <v>71.75</v>
      </c>
      <c r="S468" s="22">
        <f>ROUND(ROUND(P468, 2)*I468, 2)</f>
        <v>7098.08</v>
      </c>
      <c r="V468" s="9">
        <f>ROUND(ROUND(P468, 2)/1.2, 2)</f>
        <v>59.79</v>
      </c>
      <c r="Y468" s="9">
        <f t="shared" si="26"/>
        <v>5915.07</v>
      </c>
      <c r="AD468" s="4" t="s">
        <v>1796</v>
      </c>
      <c r="AE468" s="4" t="s">
        <v>1797</v>
      </c>
      <c r="AF468" s="4" t="s">
        <v>1798</v>
      </c>
    </row>
    <row r="469" spans="1:35" ht="36" x14ac:dyDescent="0.3">
      <c r="A469" s="10" t="s">
        <v>1799</v>
      </c>
      <c r="B469" s="10" t="s">
        <v>1800</v>
      </c>
      <c r="C469" s="11" t="s">
        <v>1801</v>
      </c>
      <c r="D469" s="12"/>
      <c r="E469" s="12" t="s">
        <v>63</v>
      </c>
      <c r="F469" s="12" t="s">
        <v>64</v>
      </c>
      <c r="G469" s="13">
        <v>1</v>
      </c>
      <c r="H469" s="13"/>
      <c r="I469" s="13">
        <v>397</v>
      </c>
      <c r="J469" s="14">
        <f>IFERROR(ROUND(SUM(M470,M471,M472,M473)/I469, 2),0)</f>
        <v>263.11</v>
      </c>
      <c r="K469" s="15">
        <v>2541</v>
      </c>
      <c r="L469" s="14">
        <f>J469+ROUND(K469, 2)</f>
        <v>2804.11</v>
      </c>
      <c r="M469" s="14">
        <f>ROUND(J469*I469, 2)</f>
        <v>104454.67</v>
      </c>
      <c r="N469" s="14">
        <f>ROUND(I469*ROUND(K469, 2), 2)</f>
        <v>1008777</v>
      </c>
      <c r="O469" s="14">
        <f>M469+N469</f>
        <v>1113231.67</v>
      </c>
      <c r="P469" s="14">
        <f>IFERROR(ROUND(SUM(S470,S471,S472,S473)/I469, 2),0)</f>
        <v>263.11</v>
      </c>
      <c r="Q469" s="15">
        <v>2541</v>
      </c>
      <c r="R469" s="14">
        <f>P469+ROUND(Q469, 2)</f>
        <v>2804.11</v>
      </c>
      <c r="S469" s="14">
        <f>ROUND(P469*I469, 2)</f>
        <v>104454.67</v>
      </c>
      <c r="T469" s="14">
        <f>ROUND(I469*ROUND(Q469, 2), 2)</f>
        <v>1008777</v>
      </c>
      <c r="U469" s="14">
        <f>S469+T469</f>
        <v>1113231.67</v>
      </c>
      <c r="V469" s="9">
        <f>ROUND(P469 / 1.2, 2)</f>
        <v>219.26</v>
      </c>
      <c r="W469" s="9">
        <f>ROUND(Q469 / 1.2, 2)</f>
        <v>2117.5</v>
      </c>
      <c r="X469" s="9">
        <f>ROUND(R469 / 1.2, 2)</f>
        <v>2336.7600000000002</v>
      </c>
      <c r="Y469" s="9">
        <f t="shared" si="26"/>
        <v>87045.56</v>
      </c>
      <c r="Z469" s="9">
        <f>ROUND(T469 / 1.2, 2)</f>
        <v>840647.5</v>
      </c>
      <c r="AA469" s="9">
        <f>Y469+Z469</f>
        <v>927693.06</v>
      </c>
      <c r="AD469" s="4">
        <v>271132126</v>
      </c>
      <c r="AE469" s="4">
        <v>16226149</v>
      </c>
      <c r="AG469" s="4" t="s">
        <v>1802</v>
      </c>
      <c r="AH469" s="4" t="s">
        <v>1803</v>
      </c>
      <c r="AI469" s="4" t="s">
        <v>67</v>
      </c>
    </row>
    <row r="470" spans="1:35" ht="18" x14ac:dyDescent="0.3">
      <c r="A470" s="10" t="s">
        <v>1804</v>
      </c>
      <c r="B470" s="10"/>
      <c r="C470" s="24" t="s">
        <v>1805</v>
      </c>
      <c r="D470" s="12"/>
      <c r="E470" s="12"/>
      <c r="F470" s="18" t="s">
        <v>70</v>
      </c>
      <c r="G470" s="19">
        <v>0.35</v>
      </c>
      <c r="H470" s="19"/>
      <c r="I470" s="19">
        <v>138.94999999999999</v>
      </c>
      <c r="J470" s="21">
        <v>55</v>
      </c>
      <c r="M470" s="22">
        <f>ROUND(ROUND(J470, 2)*I470, 2)</f>
        <v>7642.25</v>
      </c>
      <c r="P470" s="21">
        <v>55</v>
      </c>
      <c r="S470" s="22">
        <f>ROUND(ROUND(P470, 2)*I470, 2)</f>
        <v>7642.25</v>
      </c>
      <c r="V470" s="9">
        <f>ROUND(ROUND(P470, 2)/1.2, 2)</f>
        <v>45.83</v>
      </c>
      <c r="Y470" s="9">
        <f t="shared" si="26"/>
        <v>6368.54</v>
      </c>
      <c r="AD470" s="4" t="s">
        <v>1806</v>
      </c>
      <c r="AE470" s="4" t="s">
        <v>1807</v>
      </c>
      <c r="AF470" s="4" t="s">
        <v>1808</v>
      </c>
    </row>
    <row r="471" spans="1:35" ht="18" x14ac:dyDescent="0.3">
      <c r="A471" s="10" t="s">
        <v>1809</v>
      </c>
      <c r="B471" s="10"/>
      <c r="C471" s="24" t="s">
        <v>1810</v>
      </c>
      <c r="D471" s="12"/>
      <c r="E471" s="12"/>
      <c r="F471" s="18" t="s">
        <v>116</v>
      </c>
      <c r="G471" s="19">
        <v>20</v>
      </c>
      <c r="H471" s="19"/>
      <c r="I471" s="19">
        <v>7940</v>
      </c>
      <c r="J471" s="21">
        <v>1.5</v>
      </c>
      <c r="M471" s="22">
        <f>ROUND(ROUND(J471, 2)*I471, 2)</f>
        <v>11910</v>
      </c>
      <c r="P471" s="21">
        <v>1.5</v>
      </c>
      <c r="S471" s="22">
        <f>ROUND(ROUND(P471, 2)*I471, 2)</f>
        <v>11910</v>
      </c>
      <c r="V471" s="9">
        <f>ROUND(ROUND(P471, 2)/1.2, 2)</f>
        <v>1.25</v>
      </c>
      <c r="Y471" s="9">
        <f t="shared" si="26"/>
        <v>9925</v>
      </c>
      <c r="AD471" s="4" t="s">
        <v>1811</v>
      </c>
      <c r="AE471" s="4" t="s">
        <v>1812</v>
      </c>
      <c r="AF471" s="4" t="s">
        <v>1813</v>
      </c>
    </row>
    <row r="472" spans="1:35" ht="36" x14ac:dyDescent="0.3">
      <c r="A472" s="10" t="s">
        <v>1814</v>
      </c>
      <c r="B472" s="10"/>
      <c r="C472" s="24" t="s">
        <v>1815</v>
      </c>
      <c r="D472" s="12"/>
      <c r="E472" s="12"/>
      <c r="F472" s="18" t="s">
        <v>64</v>
      </c>
      <c r="G472" s="19">
        <v>1.05</v>
      </c>
      <c r="H472" s="19"/>
      <c r="I472" s="19">
        <v>416.85</v>
      </c>
      <c r="J472" s="21">
        <v>135.53</v>
      </c>
      <c r="M472" s="22">
        <f>ROUND(ROUND(J472, 2)*I472, 2)</f>
        <v>56495.68</v>
      </c>
      <c r="P472" s="21">
        <v>135.53</v>
      </c>
      <c r="S472" s="22">
        <f>ROUND(ROUND(P472, 2)*I472, 2)</f>
        <v>56495.68</v>
      </c>
      <c r="V472" s="9">
        <f>ROUND(ROUND(P472, 2)/1.2, 2)</f>
        <v>112.94</v>
      </c>
      <c r="Y472" s="9">
        <f t="shared" si="26"/>
        <v>47079.73</v>
      </c>
      <c r="AD472" s="4" t="s">
        <v>1816</v>
      </c>
      <c r="AE472" s="4" t="s">
        <v>1817</v>
      </c>
      <c r="AF472" s="4" t="s">
        <v>1818</v>
      </c>
    </row>
    <row r="473" spans="1:35" ht="18" x14ac:dyDescent="0.3">
      <c r="A473" s="10" t="s">
        <v>1819</v>
      </c>
      <c r="B473" s="10"/>
      <c r="C473" s="24" t="s">
        <v>1820</v>
      </c>
      <c r="D473" s="12"/>
      <c r="E473" s="12"/>
      <c r="F473" s="18" t="s">
        <v>116</v>
      </c>
      <c r="G473" s="19">
        <v>0.6</v>
      </c>
      <c r="H473" s="19"/>
      <c r="I473" s="19">
        <v>238.2</v>
      </c>
      <c r="J473" s="21">
        <v>119.25</v>
      </c>
      <c r="M473" s="22">
        <f>ROUND(ROUND(J473, 2)*I473, 2)</f>
        <v>28405.35</v>
      </c>
      <c r="P473" s="21">
        <v>119.25</v>
      </c>
      <c r="S473" s="22">
        <f>ROUND(ROUND(P473, 2)*I473, 2)</f>
        <v>28405.35</v>
      </c>
      <c r="V473" s="9">
        <f>ROUND(ROUND(P473, 2)/1.2, 2)</f>
        <v>99.38</v>
      </c>
      <c r="Y473" s="9">
        <f t="shared" si="26"/>
        <v>23671.13</v>
      </c>
      <c r="AD473" s="4" t="s">
        <v>1821</v>
      </c>
      <c r="AE473" s="4" t="s">
        <v>1822</v>
      </c>
      <c r="AF473" s="4" t="s">
        <v>1823</v>
      </c>
    </row>
    <row r="474" spans="1:35" ht="36" x14ac:dyDescent="0.3">
      <c r="A474" s="10" t="s">
        <v>1824</v>
      </c>
      <c r="B474" s="10" t="s">
        <v>1800</v>
      </c>
      <c r="C474" s="11" t="s">
        <v>1801</v>
      </c>
      <c r="D474" s="12"/>
      <c r="E474" s="12" t="s">
        <v>81</v>
      </c>
      <c r="F474" s="12" t="s">
        <v>64</v>
      </c>
      <c r="G474" s="13">
        <v>1</v>
      </c>
      <c r="H474" s="13"/>
      <c r="I474" s="13">
        <v>260.04000000000002</v>
      </c>
      <c r="J474" s="14">
        <f>IFERROR(ROUND(SUM(M475,M476,M477,M478)/I474, 2),0)</f>
        <v>352.48</v>
      </c>
      <c r="K474" s="15">
        <v>2541</v>
      </c>
      <c r="L474" s="14">
        <f>J474+ROUND(K474, 2)</f>
        <v>2893.48</v>
      </c>
      <c r="M474" s="14">
        <f>ROUND(J474*I474, 2)</f>
        <v>91658.9</v>
      </c>
      <c r="N474" s="14">
        <f>ROUND(I474*ROUND(K474, 2), 2)</f>
        <v>660761.64</v>
      </c>
      <c r="O474" s="14">
        <f>M474+N474</f>
        <v>752420.54</v>
      </c>
      <c r="P474" s="14">
        <f>IFERROR(ROUND(SUM(S475,S476,S477,S478)/I474, 2),0)</f>
        <v>352.48</v>
      </c>
      <c r="Q474" s="16">
        <v>2541</v>
      </c>
      <c r="R474" s="14">
        <f>P474+ROUND(Q474, 2)</f>
        <v>2893.48</v>
      </c>
      <c r="S474" s="14">
        <f>ROUND(P474*I474, 2)</f>
        <v>91658.9</v>
      </c>
      <c r="T474" s="14">
        <f>ROUND(I474*ROUND(Q474, 2), 2)</f>
        <v>660761.64</v>
      </c>
      <c r="U474" s="14">
        <f>S474+T474</f>
        <v>752420.54</v>
      </c>
      <c r="V474" s="9">
        <f>ROUND(P474 / 1.2, 2)</f>
        <v>293.73</v>
      </c>
      <c r="W474" s="9">
        <f>ROUND(Q474 / 1.2, 2)</f>
        <v>2117.5</v>
      </c>
      <c r="X474" s="9">
        <f>ROUND(R474 / 1.2, 2)</f>
        <v>2411.23</v>
      </c>
      <c r="Y474" s="9">
        <f t="shared" si="26"/>
        <v>76382.42</v>
      </c>
      <c r="Z474" s="9">
        <f>ROUND(T474 / 1.2, 2)</f>
        <v>550634.69999999995</v>
      </c>
      <c r="AA474" s="9">
        <f>Y474+Z474</f>
        <v>627017.12</v>
      </c>
      <c r="AD474" s="4">
        <v>271132237</v>
      </c>
      <c r="AE474" s="4">
        <v>19822307</v>
      </c>
      <c r="AG474" s="4" t="s">
        <v>1802</v>
      </c>
      <c r="AH474" s="4" t="s">
        <v>1803</v>
      </c>
      <c r="AI474" s="4" t="s">
        <v>67</v>
      </c>
    </row>
    <row r="475" spans="1:35" ht="36" x14ac:dyDescent="0.3">
      <c r="A475" s="10" t="s">
        <v>1825</v>
      </c>
      <c r="B475" s="10"/>
      <c r="C475" s="24" t="s">
        <v>1815</v>
      </c>
      <c r="D475" s="12"/>
      <c r="E475" s="12"/>
      <c r="F475" s="18" t="s">
        <v>64</v>
      </c>
      <c r="G475" s="19">
        <v>1.05</v>
      </c>
      <c r="H475" s="19"/>
      <c r="I475" s="19">
        <v>273.04199999999997</v>
      </c>
      <c r="J475" s="21">
        <v>135.53</v>
      </c>
      <c r="M475" s="22">
        <f>ROUND(ROUND(J475, 2)*I475, 2)</f>
        <v>37005.379999999997</v>
      </c>
      <c r="P475" s="23">
        <v>135.53</v>
      </c>
      <c r="S475" s="22">
        <f>ROUND(ROUND(P475, 2)*I475, 2)</f>
        <v>37005.379999999997</v>
      </c>
      <c r="V475" s="9">
        <f>ROUND(ROUND(P475, 2)/1.2, 2)</f>
        <v>112.94</v>
      </c>
      <c r="Y475" s="9">
        <f t="shared" si="26"/>
        <v>30837.82</v>
      </c>
      <c r="AD475" s="4" t="s">
        <v>1826</v>
      </c>
      <c r="AE475" s="4" t="s">
        <v>1827</v>
      </c>
      <c r="AF475" s="4" t="s">
        <v>1818</v>
      </c>
    </row>
    <row r="476" spans="1:35" ht="18" x14ac:dyDescent="0.3">
      <c r="A476" s="10" t="s">
        <v>1828</v>
      </c>
      <c r="B476" s="10"/>
      <c r="C476" s="24" t="s">
        <v>1829</v>
      </c>
      <c r="D476" s="12"/>
      <c r="E476" s="12"/>
      <c r="F476" s="18" t="s">
        <v>116</v>
      </c>
      <c r="G476" s="19">
        <v>2.2200000000000002</v>
      </c>
      <c r="H476" s="19"/>
      <c r="I476" s="19">
        <v>577.28899999999999</v>
      </c>
      <c r="J476" s="21">
        <v>80</v>
      </c>
      <c r="M476" s="22">
        <f>ROUND(ROUND(J476, 2)*I476, 2)</f>
        <v>46183.12</v>
      </c>
      <c r="P476" s="23">
        <v>80</v>
      </c>
      <c r="S476" s="22">
        <f>ROUND(ROUND(P476, 2)*I476, 2)</f>
        <v>46183.12</v>
      </c>
      <c r="V476" s="9">
        <f>ROUND(ROUND(P476, 2)/1.2, 2)</f>
        <v>66.67</v>
      </c>
      <c r="Y476" s="9">
        <f t="shared" si="26"/>
        <v>38485.93</v>
      </c>
      <c r="AD476" s="4" t="s">
        <v>1830</v>
      </c>
      <c r="AE476" s="4" t="s">
        <v>1831</v>
      </c>
      <c r="AF476" s="4" t="s">
        <v>1832</v>
      </c>
    </row>
    <row r="477" spans="1:35" ht="18" x14ac:dyDescent="0.3">
      <c r="A477" s="10" t="s">
        <v>1833</v>
      </c>
      <c r="B477" s="10"/>
      <c r="C477" s="24" t="s">
        <v>1805</v>
      </c>
      <c r="D477" s="12"/>
      <c r="E477" s="12"/>
      <c r="F477" s="18" t="s">
        <v>70</v>
      </c>
      <c r="G477" s="19">
        <v>0.35</v>
      </c>
      <c r="H477" s="19"/>
      <c r="I477" s="19">
        <v>91.013999999999996</v>
      </c>
      <c r="J477" s="21">
        <v>55</v>
      </c>
      <c r="M477" s="22">
        <f>ROUND(ROUND(J477, 2)*I477, 2)</f>
        <v>5005.7700000000004</v>
      </c>
      <c r="P477" s="23">
        <v>55</v>
      </c>
      <c r="S477" s="22">
        <f>ROUND(ROUND(P477, 2)*I477, 2)</f>
        <v>5005.7700000000004</v>
      </c>
      <c r="V477" s="9">
        <f>ROUND(ROUND(P477, 2)/1.2, 2)</f>
        <v>45.83</v>
      </c>
      <c r="Y477" s="9">
        <f t="shared" ref="Y477:Y508" si="27">ROUND(S477 / 1.2, 2)</f>
        <v>4171.4799999999996</v>
      </c>
      <c r="AD477" s="4" t="s">
        <v>1834</v>
      </c>
      <c r="AE477" s="4" t="s">
        <v>1835</v>
      </c>
      <c r="AF477" s="4" t="s">
        <v>1808</v>
      </c>
    </row>
    <row r="478" spans="1:35" ht="36" x14ac:dyDescent="0.3">
      <c r="A478" s="10" t="s">
        <v>1836</v>
      </c>
      <c r="B478" s="10"/>
      <c r="C478" s="24" t="s">
        <v>433</v>
      </c>
      <c r="D478" s="12"/>
      <c r="E478" s="12"/>
      <c r="F478" s="18" t="s">
        <v>70</v>
      </c>
      <c r="G478" s="19">
        <v>0.15</v>
      </c>
      <c r="H478" s="19"/>
      <c r="I478" s="19">
        <v>39.006</v>
      </c>
      <c r="J478" s="21">
        <v>88.8</v>
      </c>
      <c r="M478" s="22">
        <f>ROUND(ROUND(J478, 2)*I478, 2)</f>
        <v>3463.73</v>
      </c>
      <c r="P478" s="23">
        <v>88.8</v>
      </c>
      <c r="S478" s="22">
        <f>ROUND(ROUND(P478, 2)*I478, 2)</f>
        <v>3463.73</v>
      </c>
      <c r="V478" s="9">
        <f>ROUND(ROUND(P478, 2)/1.2, 2)</f>
        <v>74</v>
      </c>
      <c r="Y478" s="9">
        <f t="shared" si="27"/>
        <v>2886.44</v>
      </c>
      <c r="AD478" s="4" t="s">
        <v>1837</v>
      </c>
      <c r="AE478" s="4" t="s">
        <v>1838</v>
      </c>
      <c r="AF478" s="4" t="s">
        <v>436</v>
      </c>
    </row>
    <row r="479" spans="1:35" ht="36" x14ac:dyDescent="0.3">
      <c r="A479" s="10" t="s">
        <v>1839</v>
      </c>
      <c r="B479" s="10" t="s">
        <v>1840</v>
      </c>
      <c r="C479" s="11" t="s">
        <v>1841</v>
      </c>
      <c r="D479" s="12"/>
      <c r="E479" s="12" t="s">
        <v>1842</v>
      </c>
      <c r="F479" s="12" t="s">
        <v>64</v>
      </c>
      <c r="G479" s="13">
        <v>1</v>
      </c>
      <c r="H479" s="13"/>
      <c r="I479" s="13">
        <v>71.94</v>
      </c>
      <c r="J479" s="14">
        <f>IFERROR(ROUND(SUM(M480,M481,M482)/I479, 2),0)</f>
        <v>410.83</v>
      </c>
      <c r="K479" s="15">
        <v>1291</v>
      </c>
      <c r="L479" s="14">
        <f>J479+ROUND(K479, 2)</f>
        <v>1701.83</v>
      </c>
      <c r="M479" s="14">
        <f>ROUND(J479*I479, 2)</f>
        <v>29555.11</v>
      </c>
      <c r="N479" s="14">
        <f>ROUND(I479*ROUND(K479, 2), 2)</f>
        <v>92874.54</v>
      </c>
      <c r="O479" s="14">
        <f>M479+N479</f>
        <v>122429.65</v>
      </c>
      <c r="P479" s="14">
        <f>IFERROR(ROUND(SUM(S480,S481,S482)/I479, 2),0)</f>
        <v>410.83</v>
      </c>
      <c r="Q479" s="16">
        <v>1291</v>
      </c>
      <c r="R479" s="14">
        <f>P479+ROUND(Q479, 2)</f>
        <v>1701.83</v>
      </c>
      <c r="S479" s="14">
        <f>ROUND(P479*I479, 2)</f>
        <v>29555.11</v>
      </c>
      <c r="T479" s="14">
        <f>ROUND(I479*ROUND(Q479, 2), 2)</f>
        <v>92874.54</v>
      </c>
      <c r="U479" s="14">
        <f>S479+T479</f>
        <v>122429.65</v>
      </c>
      <c r="V479" s="9">
        <f>ROUND(P479 / 1.2, 2)</f>
        <v>342.36</v>
      </c>
      <c r="W479" s="9">
        <f>ROUND(Q479 / 1.2, 2)</f>
        <v>1075.83</v>
      </c>
      <c r="X479" s="9">
        <f>ROUND(R479 / 1.2, 2)</f>
        <v>1418.19</v>
      </c>
      <c r="Y479" s="9">
        <f t="shared" si="27"/>
        <v>24629.26</v>
      </c>
      <c r="Z479" s="9">
        <f>ROUND(T479 / 1.2, 2)</f>
        <v>77395.45</v>
      </c>
      <c r="AA479" s="9">
        <f>Y479+Z479</f>
        <v>102024.71</v>
      </c>
      <c r="AD479" s="4">
        <v>271132128</v>
      </c>
      <c r="AE479" s="4">
        <v>20181624</v>
      </c>
      <c r="AG479" s="4" t="s">
        <v>1843</v>
      </c>
      <c r="AH479" s="4" t="s">
        <v>1844</v>
      </c>
      <c r="AI479" s="4" t="s">
        <v>67</v>
      </c>
    </row>
    <row r="480" spans="1:35" ht="18" x14ac:dyDescent="0.3">
      <c r="A480" s="10" t="s">
        <v>1845</v>
      </c>
      <c r="B480" s="10"/>
      <c r="C480" s="24" t="s">
        <v>1846</v>
      </c>
      <c r="D480" s="12"/>
      <c r="E480" s="12"/>
      <c r="F480" s="18" t="s">
        <v>87</v>
      </c>
      <c r="G480" s="19">
        <v>1</v>
      </c>
      <c r="H480" s="20"/>
      <c r="I480" s="20">
        <v>516.29999999999995</v>
      </c>
      <c r="J480" s="21">
        <v>49.68</v>
      </c>
      <c r="M480" s="22">
        <f>ROUND(ROUND(J480, 2)*I480, 2)</f>
        <v>25649.78</v>
      </c>
      <c r="P480" s="23">
        <v>49.68</v>
      </c>
      <c r="S480" s="22">
        <f>ROUND(ROUND(P480, 2)*I480, 2)</f>
        <v>25649.78</v>
      </c>
      <c r="V480" s="9">
        <f>ROUND(ROUND(P480, 2)/1.2, 2)</f>
        <v>41.4</v>
      </c>
      <c r="Y480" s="9">
        <f t="shared" si="27"/>
        <v>21374.82</v>
      </c>
      <c r="AD480" s="4" t="s">
        <v>1847</v>
      </c>
      <c r="AE480" s="4" t="s">
        <v>1848</v>
      </c>
      <c r="AF480" s="4" t="s">
        <v>1849</v>
      </c>
    </row>
    <row r="481" spans="1:35" ht="18" x14ac:dyDescent="0.3">
      <c r="A481" s="10" t="s">
        <v>1850</v>
      </c>
      <c r="B481" s="10"/>
      <c r="C481" s="24" t="s">
        <v>1851</v>
      </c>
      <c r="D481" s="12"/>
      <c r="E481" s="12"/>
      <c r="F481" s="18" t="s">
        <v>87</v>
      </c>
      <c r="G481" s="19">
        <v>1</v>
      </c>
      <c r="H481" s="20"/>
      <c r="I481" s="20">
        <v>98.3</v>
      </c>
      <c r="J481" s="21">
        <v>39.729999999999997</v>
      </c>
      <c r="M481" s="22">
        <f>ROUND(ROUND(J481, 2)*I481, 2)</f>
        <v>3905.46</v>
      </c>
      <c r="P481" s="23">
        <v>39.729999999999997</v>
      </c>
      <c r="S481" s="22">
        <f>ROUND(ROUND(P481, 2)*I481, 2)</f>
        <v>3905.46</v>
      </c>
      <c r="V481" s="9">
        <f>ROUND(ROUND(P481, 2)/1.2, 2)</f>
        <v>33.11</v>
      </c>
      <c r="Y481" s="9">
        <f t="shared" si="27"/>
        <v>3254.55</v>
      </c>
      <c r="AD481" s="4" t="s">
        <v>1852</v>
      </c>
      <c r="AE481" s="4" t="s">
        <v>1853</v>
      </c>
      <c r="AF481" s="4" t="s">
        <v>1854</v>
      </c>
    </row>
    <row r="482" spans="1:35" ht="18" x14ac:dyDescent="0.3">
      <c r="A482" s="10" t="s">
        <v>1855</v>
      </c>
      <c r="B482" s="10"/>
      <c r="C482" s="24" t="s">
        <v>1856</v>
      </c>
      <c r="D482" s="12"/>
      <c r="E482" s="12"/>
      <c r="F482" s="18" t="s">
        <v>64</v>
      </c>
      <c r="G482" s="19">
        <v>1.1000000000000001</v>
      </c>
      <c r="H482" s="19"/>
      <c r="I482" s="19">
        <v>79.134</v>
      </c>
      <c r="J482" s="21">
        <v>0</v>
      </c>
      <c r="M482" s="22">
        <f>ROUND(ROUND(J482, 2)*I482, 2)</f>
        <v>0</v>
      </c>
      <c r="P482" s="23">
        <v>0</v>
      </c>
      <c r="S482" s="22">
        <f>ROUND(ROUND(P482, 2)*I482, 2)</f>
        <v>0</v>
      </c>
      <c r="V482" s="9">
        <f>ROUND(ROUND(P482, 2)/1.2, 2)</f>
        <v>0</v>
      </c>
      <c r="Y482" s="9">
        <f t="shared" si="27"/>
        <v>0</v>
      </c>
      <c r="AD482" s="4" t="s">
        <v>1857</v>
      </c>
      <c r="AE482" s="4" t="s">
        <v>1858</v>
      </c>
      <c r="AF482" s="4" t="s">
        <v>1859</v>
      </c>
    </row>
    <row r="483" spans="1:35" ht="36" x14ac:dyDescent="0.3">
      <c r="A483" s="10" t="s">
        <v>1860</v>
      </c>
      <c r="B483" s="10" t="s">
        <v>1840</v>
      </c>
      <c r="C483" s="11" t="s">
        <v>1841</v>
      </c>
      <c r="D483" s="12"/>
      <c r="E483" s="12" t="s">
        <v>1861</v>
      </c>
      <c r="F483" s="12" t="s">
        <v>64</v>
      </c>
      <c r="G483" s="13">
        <v>1</v>
      </c>
      <c r="H483" s="13"/>
      <c r="I483" s="13">
        <v>73.87</v>
      </c>
      <c r="J483" s="14">
        <f>IFERROR(ROUND(SUM(M484,M485,M486)/I483, 2),0)</f>
        <v>248.27</v>
      </c>
      <c r="K483" s="15">
        <v>1291</v>
      </c>
      <c r="L483" s="14">
        <f>J483+ROUND(K483, 2)</f>
        <v>1539.27</v>
      </c>
      <c r="M483" s="14">
        <f>ROUND(J483*I483, 2)</f>
        <v>18339.7</v>
      </c>
      <c r="N483" s="14">
        <f>ROUND(I483*ROUND(K483, 2), 2)</f>
        <v>95366.17</v>
      </c>
      <c r="O483" s="14">
        <f>M483+N483</f>
        <v>113705.87</v>
      </c>
      <c r="P483" s="14">
        <f>IFERROR(ROUND(SUM(S484,S485,S486)/I483, 2),0)</f>
        <v>248.27</v>
      </c>
      <c r="Q483" s="16">
        <v>1291</v>
      </c>
      <c r="R483" s="14">
        <f>P483+ROUND(Q483, 2)</f>
        <v>1539.27</v>
      </c>
      <c r="S483" s="14">
        <f>ROUND(P483*I483, 2)</f>
        <v>18339.7</v>
      </c>
      <c r="T483" s="14">
        <f>ROUND(I483*ROUND(Q483, 2), 2)</f>
        <v>95366.17</v>
      </c>
      <c r="U483" s="14">
        <f>S483+T483</f>
        <v>113705.87</v>
      </c>
      <c r="V483" s="9">
        <f>ROUND(P483 / 1.2, 2)</f>
        <v>206.89</v>
      </c>
      <c r="W483" s="9">
        <f>ROUND(Q483 / 1.2, 2)</f>
        <v>1075.83</v>
      </c>
      <c r="X483" s="9">
        <f>ROUND(R483 / 1.2, 2)</f>
        <v>1282.73</v>
      </c>
      <c r="Y483" s="9">
        <f t="shared" si="27"/>
        <v>15283.08</v>
      </c>
      <c r="Z483" s="9">
        <f>ROUND(T483 / 1.2, 2)</f>
        <v>79471.81</v>
      </c>
      <c r="AA483" s="9">
        <f>Y483+Z483</f>
        <v>94754.89</v>
      </c>
      <c r="AD483" s="4">
        <v>271132238</v>
      </c>
      <c r="AE483" s="4">
        <v>20181618</v>
      </c>
      <c r="AG483" s="4" t="s">
        <v>1843</v>
      </c>
      <c r="AH483" s="4" t="s">
        <v>1844</v>
      </c>
      <c r="AI483" s="4" t="s">
        <v>67</v>
      </c>
    </row>
    <row r="484" spans="1:35" ht="18" x14ac:dyDescent="0.3">
      <c r="A484" s="10" t="s">
        <v>1862</v>
      </c>
      <c r="B484" s="10"/>
      <c r="C484" s="24" t="s">
        <v>1856</v>
      </c>
      <c r="D484" s="12"/>
      <c r="E484" s="12"/>
      <c r="F484" s="18" t="s">
        <v>64</v>
      </c>
      <c r="G484" s="19">
        <v>1.1000000000000001</v>
      </c>
      <c r="H484" s="19"/>
      <c r="I484" s="19">
        <v>81.257000000000005</v>
      </c>
      <c r="J484" s="21">
        <v>0</v>
      </c>
      <c r="M484" s="22">
        <f>ROUND(ROUND(J484, 2)*I484, 2)</f>
        <v>0</v>
      </c>
      <c r="P484" s="23">
        <v>0</v>
      </c>
      <c r="S484" s="22">
        <f>ROUND(ROUND(P484, 2)*I484, 2)</f>
        <v>0</v>
      </c>
      <c r="V484" s="9">
        <f>ROUND(ROUND(P484, 2)/1.2, 2)</f>
        <v>0</v>
      </c>
      <c r="Y484" s="9">
        <f t="shared" si="27"/>
        <v>0</v>
      </c>
      <c r="AD484" s="4" t="s">
        <v>1863</v>
      </c>
      <c r="AE484" s="4" t="s">
        <v>1864</v>
      </c>
      <c r="AF484" s="4" t="s">
        <v>1859</v>
      </c>
    </row>
    <row r="485" spans="1:35" ht="18" x14ac:dyDescent="0.3">
      <c r="A485" s="10" t="s">
        <v>1865</v>
      </c>
      <c r="B485" s="10"/>
      <c r="C485" s="24" t="s">
        <v>1846</v>
      </c>
      <c r="D485" s="12"/>
      <c r="E485" s="12"/>
      <c r="F485" s="18" t="s">
        <v>87</v>
      </c>
      <c r="G485" s="19">
        <v>1</v>
      </c>
      <c r="H485" s="20"/>
      <c r="I485" s="20">
        <v>264.8</v>
      </c>
      <c r="J485" s="21">
        <v>49.68</v>
      </c>
      <c r="M485" s="22">
        <f>ROUND(ROUND(J485, 2)*I485, 2)</f>
        <v>13155.26</v>
      </c>
      <c r="P485" s="23">
        <v>49.68</v>
      </c>
      <c r="S485" s="22">
        <f>ROUND(ROUND(P485, 2)*I485, 2)</f>
        <v>13155.26</v>
      </c>
      <c r="V485" s="9">
        <f>ROUND(ROUND(P485, 2)/1.2, 2)</f>
        <v>41.4</v>
      </c>
      <c r="Y485" s="9">
        <f t="shared" si="27"/>
        <v>10962.72</v>
      </c>
      <c r="AD485" s="4" t="s">
        <v>1866</v>
      </c>
      <c r="AE485" s="4" t="s">
        <v>1867</v>
      </c>
      <c r="AF485" s="4" t="s">
        <v>1849</v>
      </c>
    </row>
    <row r="486" spans="1:35" ht="18" x14ac:dyDescent="0.3">
      <c r="A486" s="10" t="s">
        <v>1868</v>
      </c>
      <c r="B486" s="10"/>
      <c r="C486" s="24" t="s">
        <v>1851</v>
      </c>
      <c r="D486" s="12"/>
      <c r="E486" s="12"/>
      <c r="F486" s="18" t="s">
        <v>87</v>
      </c>
      <c r="G486" s="19">
        <v>1</v>
      </c>
      <c r="H486" s="20"/>
      <c r="I486" s="20">
        <v>130.5</v>
      </c>
      <c r="J486" s="21">
        <v>39.729999999999997</v>
      </c>
      <c r="M486" s="22">
        <f>ROUND(ROUND(J486, 2)*I486, 2)</f>
        <v>5184.7700000000004</v>
      </c>
      <c r="P486" s="23">
        <v>39.729999999999997</v>
      </c>
      <c r="S486" s="22">
        <f>ROUND(ROUND(P486, 2)*I486, 2)</f>
        <v>5184.7700000000004</v>
      </c>
      <c r="V486" s="9">
        <f>ROUND(ROUND(P486, 2)/1.2, 2)</f>
        <v>33.11</v>
      </c>
      <c r="Y486" s="9">
        <f t="shared" si="27"/>
        <v>4320.6400000000003</v>
      </c>
      <c r="AD486" s="4" t="s">
        <v>1869</v>
      </c>
      <c r="AE486" s="4" t="s">
        <v>1870</v>
      </c>
      <c r="AF486" s="4" t="s">
        <v>1854</v>
      </c>
    </row>
    <row r="487" spans="1:35" ht="36" x14ac:dyDescent="0.3">
      <c r="A487" s="10" t="s">
        <v>1871</v>
      </c>
      <c r="B487" s="10" t="s">
        <v>1872</v>
      </c>
      <c r="C487" s="11" t="s">
        <v>1873</v>
      </c>
      <c r="D487" s="12"/>
      <c r="E487" s="12" t="s">
        <v>63</v>
      </c>
      <c r="F487" s="12" t="s">
        <v>64</v>
      </c>
      <c r="G487" s="13">
        <v>1</v>
      </c>
      <c r="H487" s="13"/>
      <c r="I487" s="13">
        <v>0</v>
      </c>
      <c r="J487" s="14">
        <f>IFERROR(ROUND(SUM(M488,M489,M490)/I487, 2),0)</f>
        <v>0</v>
      </c>
      <c r="K487" s="15">
        <v>1477</v>
      </c>
      <c r="L487" s="14">
        <f>J487+ROUND(K487, 2)</f>
        <v>1477</v>
      </c>
      <c r="M487" s="14">
        <f>ROUND(J487*I487, 2)</f>
        <v>0</v>
      </c>
      <c r="N487" s="14">
        <f>ROUND(I487*ROUND(K487, 2), 2)</f>
        <v>0</v>
      </c>
      <c r="O487" s="14">
        <f>M487+N487</f>
        <v>0</v>
      </c>
      <c r="P487" s="14">
        <f>IFERROR(ROUND(SUM(S488,S489,S490)/I487, 2),0)</f>
        <v>0</v>
      </c>
      <c r="Q487" s="15">
        <v>1477</v>
      </c>
      <c r="R487" s="14">
        <f>P487+ROUND(Q487, 2)</f>
        <v>1477</v>
      </c>
      <c r="S487" s="14">
        <f>ROUND(P487*I487, 2)</f>
        <v>0</v>
      </c>
      <c r="T487" s="14">
        <f>ROUND(I487*ROUND(Q487, 2), 2)</f>
        <v>0</v>
      </c>
      <c r="U487" s="14">
        <f>S487+T487</f>
        <v>0</v>
      </c>
      <c r="V487" s="9">
        <f>ROUND(P487 / 1.2, 2)</f>
        <v>0</v>
      </c>
      <c r="W487" s="9">
        <f>ROUND(Q487 / 1.2, 2)</f>
        <v>1230.83</v>
      </c>
      <c r="X487" s="9">
        <f>ROUND(R487 / 1.2, 2)</f>
        <v>1230.83</v>
      </c>
      <c r="Y487" s="9">
        <f t="shared" si="27"/>
        <v>0</v>
      </c>
      <c r="Z487" s="9">
        <f>ROUND(T487 / 1.2, 2)</f>
        <v>0</v>
      </c>
      <c r="AA487" s="9">
        <f>Y487+Z487</f>
        <v>0</v>
      </c>
      <c r="AD487" s="4">
        <v>271132129</v>
      </c>
      <c r="AE487" s="4">
        <v>16230161</v>
      </c>
      <c r="AG487" s="4" t="s">
        <v>1874</v>
      </c>
      <c r="AH487" s="4" t="s">
        <v>1875</v>
      </c>
      <c r="AI487" s="4" t="s">
        <v>67</v>
      </c>
    </row>
    <row r="488" spans="1:35" ht="18" x14ac:dyDescent="0.3">
      <c r="A488" s="10" t="s">
        <v>1877</v>
      </c>
      <c r="B488" s="10"/>
      <c r="C488" s="24" t="s">
        <v>1846</v>
      </c>
      <c r="D488" s="12"/>
      <c r="E488" s="12"/>
      <c r="F488" s="18" t="s">
        <v>87</v>
      </c>
      <c r="G488" s="19">
        <v>1</v>
      </c>
      <c r="H488" s="20"/>
      <c r="I488" s="20">
        <v>0</v>
      </c>
      <c r="J488" s="21">
        <v>54.18</v>
      </c>
      <c r="M488" s="22">
        <f>ROUND(ROUND(J488, 2)*I488, 2)</f>
        <v>0</v>
      </c>
      <c r="P488" s="21">
        <v>54.18</v>
      </c>
      <c r="S488" s="22">
        <f>ROUND(ROUND(P488, 2)*I488, 2)</f>
        <v>0</v>
      </c>
      <c r="V488" s="9">
        <f>ROUND(ROUND(P488, 2)/1.2, 2)</f>
        <v>45.15</v>
      </c>
      <c r="Y488" s="9">
        <f t="shared" si="27"/>
        <v>0</v>
      </c>
      <c r="AD488" s="4" t="s">
        <v>1878</v>
      </c>
      <c r="AE488" s="4" t="s">
        <v>1879</v>
      </c>
      <c r="AF488" s="4" t="s">
        <v>1849</v>
      </c>
    </row>
    <row r="489" spans="1:35" ht="18" x14ac:dyDescent="0.3">
      <c r="A489" s="10" t="s">
        <v>1882</v>
      </c>
      <c r="B489" s="10"/>
      <c r="C489" s="24" t="s">
        <v>1851</v>
      </c>
      <c r="D489" s="12"/>
      <c r="E489" s="12"/>
      <c r="F489" s="18" t="s">
        <v>87</v>
      </c>
      <c r="G489" s="19">
        <v>1</v>
      </c>
      <c r="H489" s="20"/>
      <c r="I489" s="20">
        <v>0</v>
      </c>
      <c r="J489" s="21">
        <v>43.33</v>
      </c>
      <c r="M489" s="22">
        <f>ROUND(ROUND(J489, 2)*I489, 2)</f>
        <v>0</v>
      </c>
      <c r="P489" s="21">
        <v>43.33</v>
      </c>
      <c r="S489" s="22">
        <f>ROUND(ROUND(P489, 2)*I489, 2)</f>
        <v>0</v>
      </c>
      <c r="V489" s="9">
        <f>ROUND(ROUND(P489, 2)/1.2, 2)</f>
        <v>36.11</v>
      </c>
      <c r="Y489" s="9">
        <f t="shared" si="27"/>
        <v>0</v>
      </c>
      <c r="AD489" s="4" t="s">
        <v>1883</v>
      </c>
      <c r="AE489" s="4" t="s">
        <v>1884</v>
      </c>
      <c r="AF489" s="4" t="s">
        <v>1854</v>
      </c>
    </row>
    <row r="490" spans="1:35" ht="18" x14ac:dyDescent="0.3">
      <c r="A490" s="10" t="s">
        <v>1887</v>
      </c>
      <c r="B490" s="10"/>
      <c r="C490" s="17" t="s">
        <v>1888</v>
      </c>
      <c r="D490" s="12"/>
      <c r="E490" s="12"/>
      <c r="F490" s="18" t="s">
        <v>64</v>
      </c>
      <c r="G490" s="19">
        <v>1.1000000000000001</v>
      </c>
      <c r="H490" s="20"/>
      <c r="I490" s="20">
        <v>0</v>
      </c>
      <c r="J490" s="21">
        <v>312.73</v>
      </c>
      <c r="M490" s="22">
        <f>ROUND(ROUND(J490, 2)*I490, 2)</f>
        <v>0</v>
      </c>
      <c r="P490" s="21">
        <v>312.73</v>
      </c>
      <c r="S490" s="22">
        <f>ROUND(ROUND(P490, 2)*I490, 2)</f>
        <v>0</v>
      </c>
      <c r="V490" s="9">
        <f>ROUND(ROUND(P490, 2)/1.2, 2)</f>
        <v>260.61</v>
      </c>
      <c r="Y490" s="9">
        <f t="shared" si="27"/>
        <v>0</v>
      </c>
      <c r="AD490" s="4" t="s">
        <v>1889</v>
      </c>
      <c r="AE490" s="4" t="s">
        <v>1890</v>
      </c>
      <c r="AF490" s="4" t="s">
        <v>1891</v>
      </c>
    </row>
    <row r="491" spans="1:35" ht="36" x14ac:dyDescent="0.3">
      <c r="A491" s="10" t="s">
        <v>1894</v>
      </c>
      <c r="B491" s="10" t="s">
        <v>1872</v>
      </c>
      <c r="C491" s="11" t="s">
        <v>1873</v>
      </c>
      <c r="D491" s="12"/>
      <c r="E491" s="12" t="s">
        <v>1895</v>
      </c>
      <c r="F491" s="12" t="s">
        <v>64</v>
      </c>
      <c r="G491" s="13">
        <v>1</v>
      </c>
      <c r="H491" s="13"/>
      <c r="I491" s="13">
        <v>8.0399999999999991</v>
      </c>
      <c r="J491" s="14">
        <f>IFERROR(ROUND(SUM(M492,M493,M494,M495)/I491, 2),0)</f>
        <v>941.88</v>
      </c>
      <c r="K491" s="15">
        <v>1477</v>
      </c>
      <c r="L491" s="14">
        <f>J491+ROUND(K491, 2)</f>
        <v>2418.88</v>
      </c>
      <c r="M491" s="14">
        <f>ROUND(J491*I491, 2)</f>
        <v>7572.72</v>
      </c>
      <c r="N491" s="14">
        <f>ROUND(I491*ROUND(K491, 2), 2)</f>
        <v>11875.08</v>
      </c>
      <c r="O491" s="14">
        <f>M491+N491</f>
        <v>19447.8</v>
      </c>
      <c r="P491" s="14">
        <f>IFERROR(ROUND(SUM(S492,S493,S494,S495)/I491, 2),0)</f>
        <v>941.88</v>
      </c>
      <c r="Q491" s="16">
        <v>1477</v>
      </c>
      <c r="R491" s="14">
        <f>P491+ROUND(Q491, 2)</f>
        <v>2418.88</v>
      </c>
      <c r="S491" s="14">
        <f>ROUND(P491*I491, 2)</f>
        <v>7572.72</v>
      </c>
      <c r="T491" s="14">
        <f>ROUND(I491*ROUND(Q491, 2), 2)</f>
        <v>11875.08</v>
      </c>
      <c r="U491" s="14">
        <f>S491+T491</f>
        <v>19447.8</v>
      </c>
      <c r="V491" s="9">
        <f>ROUND(P491 / 1.2, 2)</f>
        <v>784.9</v>
      </c>
      <c r="W491" s="9">
        <f>ROUND(Q491 / 1.2, 2)</f>
        <v>1230.83</v>
      </c>
      <c r="X491" s="9">
        <f>ROUND(R491 / 1.2, 2)</f>
        <v>2015.73</v>
      </c>
      <c r="Y491" s="9">
        <f t="shared" si="27"/>
        <v>6310.6</v>
      </c>
      <c r="Z491" s="9">
        <f>ROUND(T491 / 1.2, 2)</f>
        <v>9895.9</v>
      </c>
      <c r="AA491" s="9">
        <f>Y491+Z491</f>
        <v>16206.5</v>
      </c>
      <c r="AD491" s="4">
        <v>271132239</v>
      </c>
      <c r="AE491" s="4">
        <v>19822309</v>
      </c>
      <c r="AG491" s="4" t="s">
        <v>1874</v>
      </c>
      <c r="AH491" s="4" t="s">
        <v>1875</v>
      </c>
      <c r="AI491" s="4" t="s">
        <v>67</v>
      </c>
    </row>
    <row r="492" spans="1:35" ht="18" x14ac:dyDescent="0.3">
      <c r="A492" s="10" t="s">
        <v>1896</v>
      </c>
      <c r="B492" s="10"/>
      <c r="C492" s="17" t="s">
        <v>1888</v>
      </c>
      <c r="D492" s="12"/>
      <c r="E492" s="12"/>
      <c r="F492" s="18" t="s">
        <v>64</v>
      </c>
      <c r="G492" s="19">
        <v>1.1000000000000001</v>
      </c>
      <c r="H492" s="20"/>
      <c r="I492" s="20">
        <v>17.687999999999999</v>
      </c>
      <c r="J492" s="21">
        <v>309.39999999999998</v>
      </c>
      <c r="M492" s="22">
        <f>ROUND(ROUND(J492, 2)*I492, 2)</f>
        <v>5472.67</v>
      </c>
      <c r="P492" s="23">
        <v>309.39999999999998</v>
      </c>
      <c r="S492" s="22">
        <f>ROUND(ROUND(P492, 2)*I492, 2)</f>
        <v>5472.67</v>
      </c>
      <c r="V492" s="9">
        <f>ROUND(ROUND(P492, 2)/1.2, 2)</f>
        <v>257.83</v>
      </c>
      <c r="Y492" s="9">
        <f t="shared" si="27"/>
        <v>4560.5600000000004</v>
      </c>
      <c r="AD492" s="4" t="s">
        <v>1897</v>
      </c>
      <c r="AE492" s="4" t="s">
        <v>1898</v>
      </c>
      <c r="AF492" s="4" t="s">
        <v>1891</v>
      </c>
    </row>
    <row r="493" spans="1:35" ht="18" x14ac:dyDescent="0.3">
      <c r="A493" s="10" t="s">
        <v>1899</v>
      </c>
      <c r="B493" s="10"/>
      <c r="C493" s="24" t="s">
        <v>1846</v>
      </c>
      <c r="D493" s="12"/>
      <c r="E493" s="12"/>
      <c r="F493" s="18" t="s">
        <v>87</v>
      </c>
      <c r="G493" s="19">
        <v>1</v>
      </c>
      <c r="H493" s="20"/>
      <c r="I493" s="20">
        <v>32</v>
      </c>
      <c r="J493" s="21">
        <v>49.68</v>
      </c>
      <c r="M493" s="22">
        <f>ROUND(ROUND(J493, 2)*I493, 2)</f>
        <v>1589.76</v>
      </c>
      <c r="P493" s="23">
        <v>49.68</v>
      </c>
      <c r="S493" s="22">
        <f>ROUND(ROUND(P493, 2)*I493, 2)</f>
        <v>1589.76</v>
      </c>
      <c r="V493" s="9">
        <f>ROUND(ROUND(P493, 2)/1.2, 2)</f>
        <v>41.4</v>
      </c>
      <c r="Y493" s="9">
        <f t="shared" si="27"/>
        <v>1324.8</v>
      </c>
      <c r="AD493" s="4" t="s">
        <v>1900</v>
      </c>
      <c r="AE493" s="4" t="s">
        <v>1901</v>
      </c>
      <c r="AF493" s="4" t="s">
        <v>1849</v>
      </c>
    </row>
    <row r="494" spans="1:35" ht="18" x14ac:dyDescent="0.3">
      <c r="A494" s="10" t="s">
        <v>1902</v>
      </c>
      <c r="B494" s="10"/>
      <c r="C494" s="24" t="s">
        <v>1851</v>
      </c>
      <c r="D494" s="12"/>
      <c r="E494" s="12"/>
      <c r="F494" s="18" t="s">
        <v>87</v>
      </c>
      <c r="G494" s="19">
        <v>1</v>
      </c>
      <c r="H494" s="20"/>
      <c r="I494" s="20">
        <v>6.4</v>
      </c>
      <c r="J494" s="21">
        <v>39.729999999999997</v>
      </c>
      <c r="M494" s="22">
        <f>ROUND(ROUND(J494, 2)*I494, 2)</f>
        <v>254.27</v>
      </c>
      <c r="P494" s="23">
        <v>39.729999999999997</v>
      </c>
      <c r="S494" s="22">
        <f>ROUND(ROUND(P494, 2)*I494, 2)</f>
        <v>254.27</v>
      </c>
      <c r="V494" s="9">
        <f>ROUND(ROUND(P494, 2)/1.2, 2)</f>
        <v>33.11</v>
      </c>
      <c r="Y494" s="9">
        <f t="shared" si="27"/>
        <v>211.89</v>
      </c>
      <c r="AD494" s="4" t="s">
        <v>1903</v>
      </c>
      <c r="AE494" s="4" t="s">
        <v>1904</v>
      </c>
      <c r="AF494" s="4" t="s">
        <v>1854</v>
      </c>
    </row>
    <row r="495" spans="1:35" ht="18" x14ac:dyDescent="0.3">
      <c r="A495" s="10" t="s">
        <v>1905</v>
      </c>
      <c r="B495" s="10"/>
      <c r="C495" s="24" t="s">
        <v>1829</v>
      </c>
      <c r="D495" s="12"/>
      <c r="E495" s="12"/>
      <c r="F495" s="18" t="s">
        <v>116</v>
      </c>
      <c r="G495" s="19">
        <v>1</v>
      </c>
      <c r="H495" s="20"/>
      <c r="I495" s="20">
        <v>3.2</v>
      </c>
      <c r="J495" s="21">
        <v>80</v>
      </c>
      <c r="M495" s="22">
        <f>ROUND(ROUND(J495, 2)*I495, 2)</f>
        <v>256</v>
      </c>
      <c r="P495" s="23">
        <v>80</v>
      </c>
      <c r="S495" s="22">
        <f>ROUND(ROUND(P495, 2)*I495, 2)</f>
        <v>256</v>
      </c>
      <c r="V495" s="9">
        <f>ROUND(ROUND(P495, 2)/1.2, 2)</f>
        <v>66.67</v>
      </c>
      <c r="Y495" s="9">
        <f t="shared" si="27"/>
        <v>213.33</v>
      </c>
      <c r="AD495" s="4" t="s">
        <v>1906</v>
      </c>
      <c r="AE495" s="4" t="s">
        <v>1907</v>
      </c>
      <c r="AF495" s="4" t="s">
        <v>1832</v>
      </c>
    </row>
    <row r="496" spans="1:35" ht="36" x14ac:dyDescent="0.3">
      <c r="A496" s="10" t="s">
        <v>1908</v>
      </c>
      <c r="B496" s="10" t="s">
        <v>1872</v>
      </c>
      <c r="C496" s="11" t="s">
        <v>1873</v>
      </c>
      <c r="D496" s="12"/>
      <c r="E496" s="12" t="s">
        <v>1909</v>
      </c>
      <c r="F496" s="12" t="s">
        <v>64</v>
      </c>
      <c r="G496" s="13">
        <v>1</v>
      </c>
      <c r="H496" s="13"/>
      <c r="I496" s="13">
        <v>204.12</v>
      </c>
      <c r="J496" s="14">
        <f>IFERROR(ROUND(SUM(M497,M498,M499,M500)/I496, 2),0)</f>
        <v>1004.46</v>
      </c>
      <c r="K496" s="15">
        <v>1477</v>
      </c>
      <c r="L496" s="14">
        <f>J496+ROUND(K496, 2)</f>
        <v>2481.46</v>
      </c>
      <c r="M496" s="14">
        <f>ROUND(J496*I496, 2)</f>
        <v>205030.38</v>
      </c>
      <c r="N496" s="14">
        <f>ROUND(I496*ROUND(K496, 2), 2)</f>
        <v>301485.24</v>
      </c>
      <c r="O496" s="14">
        <f>M496+N496</f>
        <v>506515.62</v>
      </c>
      <c r="P496" s="14">
        <f>IFERROR(ROUND(SUM(S497,S498,S499,S500)/I496, 2),0)</f>
        <v>1004.46</v>
      </c>
      <c r="Q496" s="16">
        <v>1477</v>
      </c>
      <c r="R496" s="14">
        <f>P496+ROUND(Q496, 2)</f>
        <v>2481.46</v>
      </c>
      <c r="S496" s="14">
        <f>ROUND(P496*I496, 2)</f>
        <v>205030.38</v>
      </c>
      <c r="T496" s="14">
        <f>ROUND(I496*ROUND(Q496, 2), 2)</f>
        <v>301485.24</v>
      </c>
      <c r="U496" s="14">
        <f>S496+T496</f>
        <v>506515.62</v>
      </c>
      <c r="V496" s="9">
        <f>ROUND(P496 / 1.2, 2)</f>
        <v>837.05</v>
      </c>
      <c r="W496" s="9">
        <f>ROUND(Q496 / 1.2, 2)</f>
        <v>1230.83</v>
      </c>
      <c r="X496" s="9">
        <f>ROUND(R496 / 1.2, 2)</f>
        <v>2067.88</v>
      </c>
      <c r="Y496" s="9">
        <f t="shared" si="27"/>
        <v>170858.65</v>
      </c>
      <c r="Z496" s="9">
        <f>ROUND(T496 / 1.2, 2)</f>
        <v>251237.7</v>
      </c>
      <c r="AA496" s="9">
        <f>Y496+Z496</f>
        <v>422096.35</v>
      </c>
      <c r="AD496" s="4">
        <v>271132240</v>
      </c>
      <c r="AE496" s="4">
        <v>19822308</v>
      </c>
      <c r="AG496" s="4" t="s">
        <v>1874</v>
      </c>
      <c r="AH496" s="4" t="s">
        <v>1875</v>
      </c>
      <c r="AI496" s="4" t="s">
        <v>67</v>
      </c>
    </row>
    <row r="497" spans="1:35" ht="18" x14ac:dyDescent="0.3">
      <c r="A497" s="10" t="s">
        <v>1910</v>
      </c>
      <c r="B497" s="10"/>
      <c r="C497" s="17" t="s">
        <v>1888</v>
      </c>
      <c r="D497" s="12"/>
      <c r="E497" s="12"/>
      <c r="F497" s="18" t="s">
        <v>64</v>
      </c>
      <c r="G497" s="19">
        <v>1.1000000000000001</v>
      </c>
      <c r="H497" s="20"/>
      <c r="I497" s="20">
        <v>449.06400000000002</v>
      </c>
      <c r="J497" s="21">
        <v>309.39999999999998</v>
      </c>
      <c r="M497" s="22">
        <f>ROUND(ROUND(J497, 2)*I497, 2)</f>
        <v>138940.4</v>
      </c>
      <c r="P497" s="23">
        <v>309.39999999999998</v>
      </c>
      <c r="S497" s="22">
        <f>ROUND(ROUND(P497, 2)*I497, 2)</f>
        <v>138940.4</v>
      </c>
      <c r="V497" s="9">
        <f>ROUND(ROUND(P497, 2)/1.2, 2)</f>
        <v>257.83</v>
      </c>
      <c r="Y497" s="9">
        <f t="shared" si="27"/>
        <v>115783.67</v>
      </c>
      <c r="AD497" s="4" t="s">
        <v>1911</v>
      </c>
      <c r="AE497" s="4" t="s">
        <v>1912</v>
      </c>
      <c r="AF497" s="4" t="s">
        <v>1891</v>
      </c>
    </row>
    <row r="498" spans="1:35" ht="18" x14ac:dyDescent="0.3">
      <c r="A498" s="10" t="s">
        <v>1913</v>
      </c>
      <c r="B498" s="10"/>
      <c r="C498" s="24" t="s">
        <v>1846</v>
      </c>
      <c r="D498" s="12"/>
      <c r="E498" s="12"/>
      <c r="F498" s="18" t="s">
        <v>87</v>
      </c>
      <c r="G498" s="19">
        <v>1</v>
      </c>
      <c r="H498" s="20"/>
      <c r="I498" s="20">
        <v>1024</v>
      </c>
      <c r="J498" s="21">
        <v>49.68</v>
      </c>
      <c r="M498" s="22">
        <f>ROUND(ROUND(J498, 2)*I498, 2)</f>
        <v>50872.32</v>
      </c>
      <c r="P498" s="23">
        <v>49.68</v>
      </c>
      <c r="S498" s="22">
        <f>ROUND(ROUND(P498, 2)*I498, 2)</f>
        <v>50872.32</v>
      </c>
      <c r="V498" s="9">
        <f>ROUND(ROUND(P498, 2)/1.2, 2)</f>
        <v>41.4</v>
      </c>
      <c r="Y498" s="9">
        <f t="shared" si="27"/>
        <v>42393.599999999999</v>
      </c>
      <c r="AD498" s="4" t="s">
        <v>1914</v>
      </c>
      <c r="AE498" s="4" t="s">
        <v>1915</v>
      </c>
      <c r="AF498" s="4" t="s">
        <v>1849</v>
      </c>
    </row>
    <row r="499" spans="1:35" ht="18" x14ac:dyDescent="0.3">
      <c r="A499" s="10" t="s">
        <v>1916</v>
      </c>
      <c r="B499" s="10"/>
      <c r="C499" s="24" t="s">
        <v>1851</v>
      </c>
      <c r="D499" s="12"/>
      <c r="E499" s="12"/>
      <c r="F499" s="18" t="s">
        <v>87</v>
      </c>
      <c r="G499" s="19">
        <v>1</v>
      </c>
      <c r="H499" s="20"/>
      <c r="I499" s="20">
        <v>204.8</v>
      </c>
      <c r="J499" s="21">
        <v>39.729999999999997</v>
      </c>
      <c r="M499" s="22">
        <f>ROUND(ROUND(J499, 2)*I499, 2)</f>
        <v>8136.7</v>
      </c>
      <c r="P499" s="23">
        <v>39.729999999999997</v>
      </c>
      <c r="S499" s="22">
        <f>ROUND(ROUND(P499, 2)*I499, 2)</f>
        <v>8136.7</v>
      </c>
      <c r="V499" s="9">
        <f>ROUND(ROUND(P499, 2)/1.2, 2)</f>
        <v>33.11</v>
      </c>
      <c r="Y499" s="9">
        <f t="shared" si="27"/>
        <v>6780.58</v>
      </c>
      <c r="AD499" s="4" t="s">
        <v>1917</v>
      </c>
      <c r="AE499" s="4" t="s">
        <v>1918</v>
      </c>
      <c r="AF499" s="4" t="s">
        <v>1854</v>
      </c>
    </row>
    <row r="500" spans="1:35" ht="18" x14ac:dyDescent="0.3">
      <c r="A500" s="10" t="s">
        <v>1919</v>
      </c>
      <c r="B500" s="10"/>
      <c r="C500" s="24" t="s">
        <v>1829</v>
      </c>
      <c r="D500" s="12"/>
      <c r="E500" s="12"/>
      <c r="F500" s="18" t="s">
        <v>116</v>
      </c>
      <c r="G500" s="19">
        <v>1</v>
      </c>
      <c r="H500" s="20"/>
      <c r="I500" s="20">
        <v>88.5</v>
      </c>
      <c r="J500" s="21">
        <v>80</v>
      </c>
      <c r="M500" s="22">
        <f>ROUND(ROUND(J500, 2)*I500, 2)</f>
        <v>7080</v>
      </c>
      <c r="P500" s="23">
        <v>80</v>
      </c>
      <c r="S500" s="22">
        <f>ROUND(ROUND(P500, 2)*I500, 2)</f>
        <v>7080</v>
      </c>
      <c r="V500" s="9">
        <f>ROUND(ROUND(P500, 2)/1.2, 2)</f>
        <v>66.67</v>
      </c>
      <c r="Y500" s="9">
        <f t="shared" si="27"/>
        <v>5900</v>
      </c>
      <c r="AD500" s="4" t="s">
        <v>1920</v>
      </c>
      <c r="AE500" s="4" t="s">
        <v>1921</v>
      </c>
      <c r="AF500" s="4" t="s">
        <v>1832</v>
      </c>
    </row>
    <row r="501" spans="1:35" ht="36" x14ac:dyDescent="0.3">
      <c r="A501" s="10" t="s">
        <v>1922</v>
      </c>
      <c r="B501" s="10" t="s">
        <v>1872</v>
      </c>
      <c r="C501" s="11" t="s">
        <v>1873</v>
      </c>
      <c r="D501" s="12"/>
      <c r="E501" s="12" t="s">
        <v>1923</v>
      </c>
      <c r="F501" s="12" t="s">
        <v>64</v>
      </c>
      <c r="G501" s="13">
        <v>1</v>
      </c>
      <c r="H501" s="13"/>
      <c r="I501" s="13">
        <v>55.13</v>
      </c>
      <c r="J501" s="14">
        <f>IFERROR(ROUND(SUM(M502,M503,M504,M505)/I501, 2),0)</f>
        <v>321.32</v>
      </c>
      <c r="K501" s="15">
        <v>1477</v>
      </c>
      <c r="L501" s="14">
        <f>J501+ROUND(K501, 2)</f>
        <v>1798.32</v>
      </c>
      <c r="M501" s="14">
        <f>ROUND(J501*I501, 2)</f>
        <v>17714.37</v>
      </c>
      <c r="N501" s="14">
        <f>ROUND(I501*ROUND(K501, 2), 2)</f>
        <v>81427.009999999995</v>
      </c>
      <c r="O501" s="14">
        <f>M501+N501</f>
        <v>99141.38</v>
      </c>
      <c r="P501" s="14">
        <f>IFERROR(ROUND(SUM(S502,S503,S504,S505)/I501, 2),0)</f>
        <v>321.32</v>
      </c>
      <c r="Q501" s="16">
        <v>1477</v>
      </c>
      <c r="R501" s="14">
        <f>P501+ROUND(Q501, 2)</f>
        <v>1798.32</v>
      </c>
      <c r="S501" s="14">
        <f>ROUND(P501*I501, 2)</f>
        <v>17714.37</v>
      </c>
      <c r="T501" s="14">
        <f>ROUND(I501*ROUND(Q501, 2), 2)</f>
        <v>81427.009999999995</v>
      </c>
      <c r="U501" s="14">
        <f>S501+T501</f>
        <v>99141.38</v>
      </c>
      <c r="V501" s="9">
        <f>ROUND(P501 / 1.2, 2)</f>
        <v>267.77</v>
      </c>
      <c r="W501" s="9">
        <f>ROUND(Q501 / 1.2, 2)</f>
        <v>1230.83</v>
      </c>
      <c r="X501" s="9">
        <f>ROUND(R501 / 1.2, 2)</f>
        <v>1498.6</v>
      </c>
      <c r="Y501" s="9">
        <f t="shared" si="27"/>
        <v>14761.98</v>
      </c>
      <c r="Z501" s="9">
        <f>ROUND(T501 / 1.2, 2)</f>
        <v>67855.839999999997</v>
      </c>
      <c r="AA501" s="9">
        <f>Y501+Z501</f>
        <v>82617.820000000007</v>
      </c>
      <c r="AD501" s="4">
        <v>271132241</v>
      </c>
      <c r="AE501" s="4">
        <v>19993569</v>
      </c>
      <c r="AG501" s="4" t="s">
        <v>1874</v>
      </c>
      <c r="AH501" s="4" t="s">
        <v>1875</v>
      </c>
      <c r="AI501" s="4" t="s">
        <v>67</v>
      </c>
    </row>
    <row r="502" spans="1:35" ht="18" x14ac:dyDescent="0.3">
      <c r="A502" s="10" t="s">
        <v>1924</v>
      </c>
      <c r="B502" s="10"/>
      <c r="C502" s="24" t="s">
        <v>1925</v>
      </c>
      <c r="D502" s="12"/>
      <c r="E502" s="12"/>
      <c r="F502" s="18" t="s">
        <v>64</v>
      </c>
      <c r="G502" s="19">
        <v>1.1000000000000001</v>
      </c>
      <c r="H502" s="20"/>
      <c r="I502" s="20">
        <v>121.286</v>
      </c>
      <c r="J502" s="21">
        <v>0</v>
      </c>
      <c r="M502" s="22">
        <f>ROUND(ROUND(J502, 2)*I502, 2)</f>
        <v>0</v>
      </c>
      <c r="P502" s="23">
        <v>0</v>
      </c>
      <c r="S502" s="22">
        <f>ROUND(ROUND(P502, 2)*I502, 2)</f>
        <v>0</v>
      </c>
      <c r="V502" s="9">
        <f>ROUND(ROUND(P502, 2)/1.2, 2)</f>
        <v>0</v>
      </c>
      <c r="Y502" s="9">
        <f t="shared" si="27"/>
        <v>0</v>
      </c>
      <c r="AD502" s="4" t="s">
        <v>1926</v>
      </c>
      <c r="AE502" s="4" t="s">
        <v>1927</v>
      </c>
      <c r="AF502" s="4" t="s">
        <v>1928</v>
      </c>
    </row>
    <row r="503" spans="1:35" ht="18" x14ac:dyDescent="0.3">
      <c r="A503" s="10" t="s">
        <v>1929</v>
      </c>
      <c r="B503" s="10"/>
      <c r="C503" s="24" t="s">
        <v>1846</v>
      </c>
      <c r="D503" s="12"/>
      <c r="E503" s="12"/>
      <c r="F503" s="18" t="s">
        <v>87</v>
      </c>
      <c r="G503" s="19">
        <v>1</v>
      </c>
      <c r="H503" s="20"/>
      <c r="I503" s="20">
        <v>272</v>
      </c>
      <c r="J503" s="21">
        <v>49.68</v>
      </c>
      <c r="M503" s="22">
        <f>ROUND(ROUND(J503, 2)*I503, 2)</f>
        <v>13512.96</v>
      </c>
      <c r="P503" s="23">
        <v>49.68</v>
      </c>
      <c r="S503" s="22">
        <f>ROUND(ROUND(P503, 2)*I503, 2)</f>
        <v>13512.96</v>
      </c>
      <c r="V503" s="9">
        <f>ROUND(ROUND(P503, 2)/1.2, 2)</f>
        <v>41.4</v>
      </c>
      <c r="Y503" s="9">
        <f t="shared" si="27"/>
        <v>11260.8</v>
      </c>
      <c r="AD503" s="4" t="s">
        <v>1930</v>
      </c>
      <c r="AE503" s="4" t="s">
        <v>1931</v>
      </c>
      <c r="AF503" s="4" t="s">
        <v>1849</v>
      </c>
    </row>
    <row r="504" spans="1:35" ht="18" x14ac:dyDescent="0.3">
      <c r="A504" s="10" t="s">
        <v>1932</v>
      </c>
      <c r="B504" s="10"/>
      <c r="C504" s="24" t="s">
        <v>1851</v>
      </c>
      <c r="D504" s="12"/>
      <c r="E504" s="12"/>
      <c r="F504" s="18" t="s">
        <v>87</v>
      </c>
      <c r="G504" s="19">
        <v>1</v>
      </c>
      <c r="H504" s="20"/>
      <c r="I504" s="20">
        <v>54.4</v>
      </c>
      <c r="J504" s="21">
        <v>39.729999999999997</v>
      </c>
      <c r="M504" s="22">
        <f>ROUND(ROUND(J504, 2)*I504, 2)</f>
        <v>2161.31</v>
      </c>
      <c r="P504" s="23">
        <v>39.729999999999997</v>
      </c>
      <c r="S504" s="22">
        <f>ROUND(ROUND(P504, 2)*I504, 2)</f>
        <v>2161.31</v>
      </c>
      <c r="V504" s="9">
        <f>ROUND(ROUND(P504, 2)/1.2, 2)</f>
        <v>33.11</v>
      </c>
      <c r="Y504" s="9">
        <f t="shared" si="27"/>
        <v>1801.09</v>
      </c>
      <c r="AD504" s="4" t="s">
        <v>1933</v>
      </c>
      <c r="AE504" s="4" t="s">
        <v>1934</v>
      </c>
      <c r="AF504" s="4" t="s">
        <v>1854</v>
      </c>
    </row>
    <row r="505" spans="1:35" ht="18" x14ac:dyDescent="0.3">
      <c r="A505" s="10" t="s">
        <v>1935</v>
      </c>
      <c r="B505" s="10"/>
      <c r="C505" s="24" t="s">
        <v>1829</v>
      </c>
      <c r="D505" s="12"/>
      <c r="E505" s="12"/>
      <c r="F505" s="18" t="s">
        <v>116</v>
      </c>
      <c r="G505" s="19">
        <v>1</v>
      </c>
      <c r="H505" s="20"/>
      <c r="I505" s="20">
        <v>25.5</v>
      </c>
      <c r="J505" s="21">
        <v>80</v>
      </c>
      <c r="M505" s="22">
        <f>ROUND(ROUND(J505, 2)*I505, 2)</f>
        <v>2040</v>
      </c>
      <c r="P505" s="23">
        <v>80</v>
      </c>
      <c r="S505" s="22">
        <f>ROUND(ROUND(P505, 2)*I505, 2)</f>
        <v>2040</v>
      </c>
      <c r="V505" s="9">
        <f>ROUND(ROUND(P505, 2)/1.2, 2)</f>
        <v>66.67</v>
      </c>
      <c r="Y505" s="9">
        <f t="shared" si="27"/>
        <v>1700</v>
      </c>
      <c r="AD505" s="4" t="s">
        <v>1936</v>
      </c>
      <c r="AE505" s="4" t="s">
        <v>1937</v>
      </c>
      <c r="AF505" s="4" t="s">
        <v>1832</v>
      </c>
    </row>
    <row r="506" spans="1:35" ht="36" x14ac:dyDescent="0.3">
      <c r="A506" s="10" t="s">
        <v>1938</v>
      </c>
      <c r="B506" s="10" t="s">
        <v>1872</v>
      </c>
      <c r="C506" s="11" t="s">
        <v>1873</v>
      </c>
      <c r="D506" s="12"/>
      <c r="E506" s="12" t="s">
        <v>1939</v>
      </c>
      <c r="F506" s="12" t="s">
        <v>64</v>
      </c>
      <c r="G506" s="13">
        <v>1</v>
      </c>
      <c r="H506" s="13"/>
      <c r="I506" s="13">
        <v>23.49</v>
      </c>
      <c r="J506" s="14">
        <f>IFERROR(ROUND(SUM(M507,M508,M509)/I506, 2),0)</f>
        <v>928.95</v>
      </c>
      <c r="K506" s="15">
        <v>1477</v>
      </c>
      <c r="L506" s="14">
        <f>J506+ROUND(K506, 2)</f>
        <v>2405.9499999999998</v>
      </c>
      <c r="M506" s="14">
        <f>ROUND(J506*I506, 2)</f>
        <v>21821.040000000001</v>
      </c>
      <c r="N506" s="14">
        <f>ROUND(I506*ROUND(K506, 2), 2)</f>
        <v>34694.730000000003</v>
      </c>
      <c r="O506" s="14">
        <f>M506+N506</f>
        <v>56515.77</v>
      </c>
      <c r="P506" s="14">
        <f>IFERROR(ROUND(SUM(S507,S508,S509)/I506, 2),0)</f>
        <v>928.95</v>
      </c>
      <c r="Q506" s="16">
        <v>1477</v>
      </c>
      <c r="R506" s="14">
        <f>P506+ROUND(Q506, 2)</f>
        <v>2405.9499999999998</v>
      </c>
      <c r="S506" s="14">
        <f>ROUND(P506*I506, 2)</f>
        <v>21821.040000000001</v>
      </c>
      <c r="T506" s="14">
        <f>ROUND(I506*ROUND(Q506, 2), 2)</f>
        <v>34694.730000000003</v>
      </c>
      <c r="U506" s="14">
        <f>S506+T506</f>
        <v>56515.77</v>
      </c>
      <c r="V506" s="9">
        <f>ROUND(P506 / 1.2, 2)</f>
        <v>774.13</v>
      </c>
      <c r="W506" s="9">
        <f>ROUND(Q506 / 1.2, 2)</f>
        <v>1230.83</v>
      </c>
      <c r="X506" s="9">
        <f>ROUND(R506 / 1.2, 2)</f>
        <v>2004.96</v>
      </c>
      <c r="Y506" s="9">
        <f t="shared" si="27"/>
        <v>18184.2</v>
      </c>
      <c r="Z506" s="9">
        <f>ROUND(T506 / 1.2, 2)</f>
        <v>28912.28</v>
      </c>
      <c r="AA506" s="9">
        <f>Y506+Z506</f>
        <v>47096.480000000003</v>
      </c>
      <c r="AD506" s="4">
        <v>271132242</v>
      </c>
      <c r="AE506" s="4">
        <v>19995862</v>
      </c>
      <c r="AG506" s="4" t="s">
        <v>1874</v>
      </c>
      <c r="AH506" s="4" t="s">
        <v>1875</v>
      </c>
      <c r="AI506" s="4" t="s">
        <v>67</v>
      </c>
    </row>
    <row r="507" spans="1:35" ht="18" x14ac:dyDescent="0.3">
      <c r="A507" s="10" t="s">
        <v>1940</v>
      </c>
      <c r="B507" s="10"/>
      <c r="C507" s="17" t="s">
        <v>1888</v>
      </c>
      <c r="D507" s="12"/>
      <c r="E507" s="12"/>
      <c r="F507" s="18" t="s">
        <v>64</v>
      </c>
      <c r="G507" s="19">
        <v>1.1000000000000001</v>
      </c>
      <c r="H507" s="20"/>
      <c r="I507" s="20">
        <v>51.677999999999997</v>
      </c>
      <c r="J507" s="21">
        <v>309.39999999999998</v>
      </c>
      <c r="M507" s="22">
        <f>ROUND(ROUND(J507, 2)*I507, 2)</f>
        <v>15989.17</v>
      </c>
      <c r="P507" s="23">
        <v>309.39999999999998</v>
      </c>
      <c r="S507" s="22">
        <f>ROUND(ROUND(P507, 2)*I507, 2)</f>
        <v>15989.17</v>
      </c>
      <c r="V507" s="9">
        <f>ROUND(ROUND(P507, 2)/1.2, 2)</f>
        <v>257.83</v>
      </c>
      <c r="Y507" s="9">
        <f t="shared" si="27"/>
        <v>13324.31</v>
      </c>
      <c r="AD507" s="4" t="s">
        <v>1941</v>
      </c>
      <c r="AE507" s="4" t="s">
        <v>1942</v>
      </c>
      <c r="AF507" s="4" t="s">
        <v>1891</v>
      </c>
    </row>
    <row r="508" spans="1:35" ht="18" x14ac:dyDescent="0.3">
      <c r="A508" s="10" t="s">
        <v>1943</v>
      </c>
      <c r="B508" s="10"/>
      <c r="C508" s="24" t="s">
        <v>1846</v>
      </c>
      <c r="D508" s="12"/>
      <c r="E508" s="12"/>
      <c r="F508" s="18" t="s">
        <v>87</v>
      </c>
      <c r="G508" s="19">
        <v>1</v>
      </c>
      <c r="H508" s="20"/>
      <c r="I508" s="20">
        <v>84.2</v>
      </c>
      <c r="J508" s="21">
        <v>49.68</v>
      </c>
      <c r="M508" s="22">
        <f>ROUND(ROUND(J508, 2)*I508, 2)</f>
        <v>4183.0600000000004</v>
      </c>
      <c r="P508" s="23">
        <v>49.68</v>
      </c>
      <c r="S508" s="22">
        <f>ROUND(ROUND(P508, 2)*I508, 2)</f>
        <v>4183.0600000000004</v>
      </c>
      <c r="V508" s="9">
        <f>ROUND(ROUND(P508, 2)/1.2, 2)</f>
        <v>41.4</v>
      </c>
      <c r="Y508" s="9">
        <f t="shared" si="27"/>
        <v>3485.88</v>
      </c>
      <c r="AD508" s="4" t="s">
        <v>1944</v>
      </c>
      <c r="AE508" s="4" t="s">
        <v>1945</v>
      </c>
      <c r="AF508" s="4" t="s">
        <v>1849</v>
      </c>
    </row>
    <row r="509" spans="1:35" ht="18" x14ac:dyDescent="0.3">
      <c r="A509" s="10" t="s">
        <v>1946</v>
      </c>
      <c r="B509" s="10"/>
      <c r="C509" s="24" t="s">
        <v>1851</v>
      </c>
      <c r="D509" s="12"/>
      <c r="E509" s="12"/>
      <c r="F509" s="18" t="s">
        <v>87</v>
      </c>
      <c r="G509" s="19">
        <v>1</v>
      </c>
      <c r="H509" s="20"/>
      <c r="I509" s="20">
        <v>41.5</v>
      </c>
      <c r="J509" s="21">
        <v>39.729999999999997</v>
      </c>
      <c r="M509" s="22">
        <f>ROUND(ROUND(J509, 2)*I509, 2)</f>
        <v>1648.8</v>
      </c>
      <c r="P509" s="23">
        <v>39.729999999999997</v>
      </c>
      <c r="S509" s="22">
        <f>ROUND(ROUND(P509, 2)*I509, 2)</f>
        <v>1648.8</v>
      </c>
      <c r="V509" s="9">
        <f>ROUND(ROUND(P509, 2)/1.2, 2)</f>
        <v>33.11</v>
      </c>
      <c r="Y509" s="9">
        <f t="shared" ref="Y509:Y514" si="28">ROUND(S509 / 1.2, 2)</f>
        <v>1374</v>
      </c>
      <c r="AD509" s="4" t="s">
        <v>1947</v>
      </c>
      <c r="AE509" s="4" t="s">
        <v>1948</v>
      </c>
      <c r="AF509" s="4" t="s">
        <v>1854</v>
      </c>
    </row>
    <row r="510" spans="1:35" ht="36" x14ac:dyDescent="0.3">
      <c r="A510" s="10" t="s">
        <v>1949</v>
      </c>
      <c r="B510" s="10" t="s">
        <v>1872</v>
      </c>
      <c r="C510" s="11" t="s">
        <v>1873</v>
      </c>
      <c r="D510" s="12"/>
      <c r="E510" s="12" t="s">
        <v>1950</v>
      </c>
      <c r="F510" s="12" t="s">
        <v>64</v>
      </c>
      <c r="G510" s="13">
        <v>1</v>
      </c>
      <c r="H510" s="13"/>
      <c r="I510" s="13">
        <v>2.74</v>
      </c>
      <c r="J510" s="14">
        <f>IFERROR(ROUND(SUM(M511,M512,M513,M514)/I510, 2),0)</f>
        <v>1058.0899999999999</v>
      </c>
      <c r="K510" s="15">
        <v>1477</v>
      </c>
      <c r="L510" s="14">
        <f>J510+ROUND(K510, 2)</f>
        <v>2535.09</v>
      </c>
      <c r="M510" s="14">
        <f>ROUND(J510*I510, 2)</f>
        <v>2899.17</v>
      </c>
      <c r="N510" s="14">
        <f>ROUND(I510*ROUND(K510, 2), 2)</f>
        <v>4046.98</v>
      </c>
      <c r="O510" s="14">
        <f>M510+N510</f>
        <v>6946.15</v>
      </c>
      <c r="P510" s="14">
        <f>IFERROR(ROUND(SUM(S511,S512,S513,S514)/I510, 2),0)</f>
        <v>1058.0899999999999</v>
      </c>
      <c r="Q510" s="16">
        <v>1477</v>
      </c>
      <c r="R510" s="14">
        <f>P510+ROUND(Q510, 2)</f>
        <v>2535.09</v>
      </c>
      <c r="S510" s="14">
        <f>ROUND(P510*I510, 2)</f>
        <v>2899.17</v>
      </c>
      <c r="T510" s="14">
        <f>ROUND(I510*ROUND(Q510, 2), 2)</f>
        <v>4046.98</v>
      </c>
      <c r="U510" s="14">
        <f>S510+T510</f>
        <v>6946.15</v>
      </c>
      <c r="V510" s="9">
        <f>ROUND(P510 / 1.2, 2)</f>
        <v>881.74</v>
      </c>
      <c r="W510" s="9">
        <f>ROUND(Q510 / 1.2, 2)</f>
        <v>1230.83</v>
      </c>
      <c r="X510" s="9">
        <f>ROUND(R510 / 1.2, 2)</f>
        <v>2112.58</v>
      </c>
      <c r="Y510" s="9">
        <f t="shared" si="28"/>
        <v>2415.98</v>
      </c>
      <c r="Z510" s="9">
        <f>ROUND(T510 / 1.2, 2)</f>
        <v>3372.48</v>
      </c>
      <c r="AA510" s="9">
        <f>Y510+Z510</f>
        <v>5788.46</v>
      </c>
      <c r="AD510" s="4">
        <v>271132243</v>
      </c>
      <c r="AE510" s="4">
        <v>19995863</v>
      </c>
      <c r="AG510" s="4" t="s">
        <v>1874</v>
      </c>
      <c r="AH510" s="4" t="s">
        <v>1875</v>
      </c>
      <c r="AI510" s="4" t="s">
        <v>67</v>
      </c>
    </row>
    <row r="511" spans="1:35" ht="18" x14ac:dyDescent="0.3">
      <c r="A511" s="10" t="s">
        <v>1951</v>
      </c>
      <c r="B511" s="10"/>
      <c r="C511" s="17" t="s">
        <v>1888</v>
      </c>
      <c r="D511" s="12"/>
      <c r="E511" s="12"/>
      <c r="F511" s="18" t="s">
        <v>64</v>
      </c>
      <c r="G511" s="19">
        <v>1.1000000000000001</v>
      </c>
      <c r="H511" s="20"/>
      <c r="I511" s="20">
        <v>6.0279999999999996</v>
      </c>
      <c r="J511" s="21">
        <v>309.39999999999998</v>
      </c>
      <c r="M511" s="22">
        <f>ROUND(ROUND(J511, 2)*I511, 2)</f>
        <v>1865.06</v>
      </c>
      <c r="P511" s="23">
        <v>309.39999999999998</v>
      </c>
      <c r="S511" s="22">
        <f>ROUND(ROUND(P511, 2)*I511, 2)</f>
        <v>1865.06</v>
      </c>
      <c r="V511" s="9">
        <f>ROUND(ROUND(P511, 2)/1.2, 2)</f>
        <v>257.83</v>
      </c>
      <c r="Y511" s="9">
        <f t="shared" si="28"/>
        <v>1554.22</v>
      </c>
      <c r="AD511" s="4" t="s">
        <v>1952</v>
      </c>
      <c r="AE511" s="4" t="s">
        <v>1953</v>
      </c>
      <c r="AF511" s="4" t="s">
        <v>1891</v>
      </c>
    </row>
    <row r="512" spans="1:35" ht="18" x14ac:dyDescent="0.3">
      <c r="A512" s="10" t="s">
        <v>1954</v>
      </c>
      <c r="B512" s="10"/>
      <c r="C512" s="24" t="s">
        <v>1846</v>
      </c>
      <c r="D512" s="12"/>
      <c r="E512" s="12"/>
      <c r="F512" s="18" t="s">
        <v>87</v>
      </c>
      <c r="G512" s="19">
        <v>1</v>
      </c>
      <c r="H512" s="20"/>
      <c r="I512" s="20">
        <v>16</v>
      </c>
      <c r="J512" s="21">
        <v>49.68</v>
      </c>
      <c r="M512" s="22">
        <f>ROUND(ROUND(J512, 2)*I512, 2)</f>
        <v>794.88</v>
      </c>
      <c r="P512" s="23">
        <v>49.68</v>
      </c>
      <c r="S512" s="22">
        <f>ROUND(ROUND(P512, 2)*I512, 2)</f>
        <v>794.88</v>
      </c>
      <c r="V512" s="9">
        <f>ROUND(ROUND(P512, 2)/1.2, 2)</f>
        <v>41.4</v>
      </c>
      <c r="Y512" s="9">
        <f t="shared" si="28"/>
        <v>662.4</v>
      </c>
      <c r="AD512" s="4" t="s">
        <v>1955</v>
      </c>
      <c r="AE512" s="4" t="s">
        <v>1956</v>
      </c>
      <c r="AF512" s="4" t="s">
        <v>1849</v>
      </c>
    </row>
    <row r="513" spans="1:35" ht="18" x14ac:dyDescent="0.3">
      <c r="A513" s="10" t="s">
        <v>1957</v>
      </c>
      <c r="B513" s="10"/>
      <c r="C513" s="24" t="s">
        <v>1851</v>
      </c>
      <c r="D513" s="12"/>
      <c r="E513" s="12"/>
      <c r="F513" s="18" t="s">
        <v>87</v>
      </c>
      <c r="G513" s="19">
        <v>1</v>
      </c>
      <c r="H513" s="20"/>
      <c r="I513" s="20">
        <v>2.8</v>
      </c>
      <c r="J513" s="21">
        <v>39.729999999999997</v>
      </c>
      <c r="M513" s="22">
        <f>ROUND(ROUND(J513, 2)*I513, 2)</f>
        <v>111.24</v>
      </c>
      <c r="P513" s="23">
        <v>39.729999999999997</v>
      </c>
      <c r="S513" s="22">
        <f>ROUND(ROUND(P513, 2)*I513, 2)</f>
        <v>111.24</v>
      </c>
      <c r="V513" s="9">
        <f>ROUND(ROUND(P513, 2)/1.2, 2)</f>
        <v>33.11</v>
      </c>
      <c r="Y513" s="9">
        <f t="shared" si="28"/>
        <v>92.7</v>
      </c>
      <c r="AD513" s="4" t="s">
        <v>1958</v>
      </c>
      <c r="AE513" s="4" t="s">
        <v>1959</v>
      </c>
      <c r="AF513" s="4" t="s">
        <v>1854</v>
      </c>
    </row>
    <row r="514" spans="1:35" ht="18" x14ac:dyDescent="0.3">
      <c r="A514" s="10" t="s">
        <v>1960</v>
      </c>
      <c r="B514" s="10"/>
      <c r="C514" s="24" t="s">
        <v>1829</v>
      </c>
      <c r="D514" s="12"/>
      <c r="E514" s="12"/>
      <c r="F514" s="18" t="s">
        <v>116</v>
      </c>
      <c r="G514" s="19">
        <v>1</v>
      </c>
      <c r="H514" s="20"/>
      <c r="I514" s="20">
        <v>1.6</v>
      </c>
      <c r="J514" s="21">
        <v>80</v>
      </c>
      <c r="M514" s="22">
        <f>ROUND(ROUND(J514, 2)*I514, 2)</f>
        <v>128</v>
      </c>
      <c r="P514" s="23">
        <v>80</v>
      </c>
      <c r="S514" s="22">
        <f>ROUND(ROUND(P514, 2)*I514, 2)</f>
        <v>128</v>
      </c>
      <c r="V514" s="9">
        <f>ROUND(ROUND(P514, 2)/1.2, 2)</f>
        <v>66.67</v>
      </c>
      <c r="Y514" s="9">
        <f t="shared" si="28"/>
        <v>106.67</v>
      </c>
      <c r="AD514" s="4" t="s">
        <v>1961</v>
      </c>
      <c r="AE514" s="4" t="s">
        <v>1962</v>
      </c>
      <c r="AF514" s="4" t="s">
        <v>1832</v>
      </c>
    </row>
    <row r="515" spans="1:35" ht="17.100000000000001" customHeight="1" x14ac:dyDescent="0.3">
      <c r="A515" s="10" t="s">
        <v>1963</v>
      </c>
      <c r="B515" s="10" t="s">
        <v>1964</v>
      </c>
      <c r="C515" s="185" t="s">
        <v>1965</v>
      </c>
      <c r="D515" s="186"/>
      <c r="E515" s="186"/>
      <c r="F515" s="186"/>
      <c r="G515" s="186"/>
      <c r="H515" s="186"/>
      <c r="I515" s="187"/>
      <c r="M515" s="6">
        <f>SUM(M516,M518)</f>
        <v>1119590.1000000001</v>
      </c>
      <c r="N515" s="6">
        <f>SUM(N516,N518)</f>
        <v>142186</v>
      </c>
      <c r="O515" s="6">
        <f>SUM(O516,O518)</f>
        <v>1261776.1000000001</v>
      </c>
      <c r="S515" s="6">
        <f>SUM(S516,S518)</f>
        <v>1119590.1000000001</v>
      </c>
      <c r="T515" s="6">
        <f>SUM(T516,T518)</f>
        <v>142186</v>
      </c>
      <c r="U515" s="6">
        <f>SUM(U516,U518)</f>
        <v>1261776.1000000001</v>
      </c>
      <c r="Y515" s="9">
        <f>SUM(Y516,Y518)</f>
        <v>932991.75</v>
      </c>
      <c r="Z515" s="9">
        <f>SUM(Z516,Z518)</f>
        <v>118488.33</v>
      </c>
      <c r="AA515" s="9">
        <f>SUM(AA516,AA518)</f>
        <v>1051480.08</v>
      </c>
      <c r="AD515" s="4">
        <v>271132130</v>
      </c>
      <c r="AE515" s="4">
        <v>19996215</v>
      </c>
    </row>
    <row r="516" spans="1:35" ht="36" x14ac:dyDescent="0.3">
      <c r="A516" s="10" t="s">
        <v>1966</v>
      </c>
      <c r="B516" s="10" t="s">
        <v>1967</v>
      </c>
      <c r="C516" s="11" t="s">
        <v>1968</v>
      </c>
      <c r="D516" s="12"/>
      <c r="E516" s="12" t="s">
        <v>1969</v>
      </c>
      <c r="F516" s="12" t="s">
        <v>116</v>
      </c>
      <c r="G516" s="13">
        <v>1</v>
      </c>
      <c r="H516" s="13"/>
      <c r="I516" s="13">
        <v>7</v>
      </c>
      <c r="J516" s="14">
        <f>IFERROR(ROUND(SUM(M517)/I516, 2),0)</f>
        <v>16710.3</v>
      </c>
      <c r="K516" s="15">
        <v>2458</v>
      </c>
      <c r="L516" s="14">
        <f>J516+ROUND(K516, 2)</f>
        <v>19168.3</v>
      </c>
      <c r="M516" s="14">
        <f>ROUND(J516*I516, 2)</f>
        <v>116972.1</v>
      </c>
      <c r="N516" s="14">
        <f>ROUND(I516*ROUND(K516, 2), 2)</f>
        <v>17206</v>
      </c>
      <c r="O516" s="14">
        <f>M516+N516</f>
        <v>134178.1</v>
      </c>
      <c r="P516" s="14">
        <f>IFERROR(ROUND(SUM(S517)/I516, 2),0)</f>
        <v>16710.3</v>
      </c>
      <c r="Q516" s="16">
        <v>2458</v>
      </c>
      <c r="R516" s="14">
        <f>P516+ROUND(Q516, 2)</f>
        <v>19168.3</v>
      </c>
      <c r="S516" s="14">
        <f>ROUND(P516*I516, 2)</f>
        <v>116972.1</v>
      </c>
      <c r="T516" s="14">
        <f>ROUND(I516*ROUND(Q516, 2), 2)</f>
        <v>17206</v>
      </c>
      <c r="U516" s="14">
        <f>S516+T516</f>
        <v>134178.1</v>
      </c>
      <c r="V516" s="9">
        <f>ROUND(P516 / 1.2, 2)</f>
        <v>13925.25</v>
      </c>
      <c r="W516" s="9">
        <f>ROUND(Q516 / 1.2, 2)</f>
        <v>2048.33</v>
      </c>
      <c r="X516" s="9">
        <f>ROUND(R516 / 1.2, 2)</f>
        <v>15973.58</v>
      </c>
      <c r="Y516" s="9">
        <f>ROUND(S516 / 1.2, 2)</f>
        <v>97476.75</v>
      </c>
      <c r="Z516" s="9">
        <f>ROUND(T516 / 1.2, 2)</f>
        <v>14338.33</v>
      </c>
      <c r="AA516" s="9">
        <f>Y516+Z516</f>
        <v>111815.08</v>
      </c>
      <c r="AD516" s="4">
        <v>271132132</v>
      </c>
      <c r="AE516" s="4">
        <v>19996218</v>
      </c>
      <c r="AG516" s="4" t="s">
        <v>1970</v>
      </c>
      <c r="AH516" s="4" t="s">
        <v>1971</v>
      </c>
      <c r="AI516" s="4" t="s">
        <v>67</v>
      </c>
    </row>
    <row r="517" spans="1:35" ht="108" x14ac:dyDescent="0.3">
      <c r="A517" s="10" t="s">
        <v>1972</v>
      </c>
      <c r="B517" s="10"/>
      <c r="C517" s="17" t="s">
        <v>1973</v>
      </c>
      <c r="D517" s="12"/>
      <c r="E517" s="12" t="s">
        <v>1974</v>
      </c>
      <c r="F517" s="18" t="s">
        <v>116</v>
      </c>
      <c r="G517" s="19">
        <v>1</v>
      </c>
      <c r="H517" s="20"/>
      <c r="I517" s="20">
        <v>7</v>
      </c>
      <c r="J517" s="21">
        <v>16710.3</v>
      </c>
      <c r="M517" s="22">
        <f>ROUND(ROUND(J517, 2)*I517, 2)</f>
        <v>116972.1</v>
      </c>
      <c r="P517" s="23">
        <v>16710.3</v>
      </c>
      <c r="S517" s="22">
        <f>ROUND(ROUND(P517, 2)*I517, 2)</f>
        <v>116972.1</v>
      </c>
      <c r="V517" s="9">
        <f>ROUND(ROUND(P517, 2)/1.2, 2)</f>
        <v>13925.25</v>
      </c>
      <c r="Y517" s="9">
        <f>ROUND(S517 / 1.2, 2)</f>
        <v>97476.75</v>
      </c>
      <c r="AD517" s="4" t="s">
        <v>1975</v>
      </c>
      <c r="AE517" s="4" t="s">
        <v>1976</v>
      </c>
      <c r="AF517" s="4" t="s">
        <v>1977</v>
      </c>
    </row>
    <row r="518" spans="1:35" ht="36" x14ac:dyDescent="0.3">
      <c r="A518" s="10" t="s">
        <v>1978</v>
      </c>
      <c r="B518" s="10" t="s">
        <v>1979</v>
      </c>
      <c r="C518" s="11" t="s">
        <v>1980</v>
      </c>
      <c r="D518" s="12"/>
      <c r="E518" s="12" t="s">
        <v>1981</v>
      </c>
      <c r="F518" s="12" t="s">
        <v>116</v>
      </c>
      <c r="G518" s="13">
        <v>1</v>
      </c>
      <c r="H518" s="13"/>
      <c r="I518" s="13">
        <v>60</v>
      </c>
      <c r="J518" s="14">
        <f>IFERROR(ROUND(SUM(M519)/I518, 2),0)</f>
        <v>16710.3</v>
      </c>
      <c r="K518" s="15">
        <v>2083</v>
      </c>
      <c r="L518" s="14">
        <f>J518+ROUND(K518, 2)</f>
        <v>18793.3</v>
      </c>
      <c r="M518" s="14">
        <f>ROUND(J518*I518, 2)</f>
        <v>1002618</v>
      </c>
      <c r="N518" s="14">
        <f>ROUND(I518*ROUND(K518, 2), 2)</f>
        <v>124980</v>
      </c>
      <c r="O518" s="14">
        <f>M518+N518</f>
        <v>1127598</v>
      </c>
      <c r="P518" s="14">
        <f>IFERROR(ROUND(SUM(S519)/I518, 2),0)</f>
        <v>16710.3</v>
      </c>
      <c r="Q518" s="16">
        <v>2083</v>
      </c>
      <c r="R518" s="14">
        <f>P518+ROUND(Q518, 2)</f>
        <v>18793.3</v>
      </c>
      <c r="S518" s="14">
        <f>ROUND(P518*I518, 2)</f>
        <v>1002618</v>
      </c>
      <c r="T518" s="14">
        <f>ROUND(I518*ROUND(Q518, 2), 2)</f>
        <v>124980</v>
      </c>
      <c r="U518" s="14">
        <f>S518+T518</f>
        <v>1127598</v>
      </c>
      <c r="V518" s="9">
        <f>ROUND(P518 / 1.2, 2)</f>
        <v>13925.25</v>
      </c>
      <c r="W518" s="9">
        <f>ROUND(Q518 / 1.2, 2)</f>
        <v>1735.83</v>
      </c>
      <c r="X518" s="9">
        <f>ROUND(R518 / 1.2, 2)</f>
        <v>15661.08</v>
      </c>
      <c r="Y518" s="9">
        <f>ROUND(S518 / 1.2, 2)</f>
        <v>835515</v>
      </c>
      <c r="Z518" s="9">
        <f>ROUND(T518 / 1.2, 2)</f>
        <v>104150</v>
      </c>
      <c r="AA518" s="9">
        <f>Y518+Z518</f>
        <v>939665</v>
      </c>
      <c r="AD518" s="4">
        <v>271132133</v>
      </c>
      <c r="AE518" s="4">
        <v>19996219</v>
      </c>
      <c r="AG518" s="4" t="s">
        <v>1982</v>
      </c>
      <c r="AH518" s="4" t="s">
        <v>1983</v>
      </c>
      <c r="AI518" s="4" t="s">
        <v>67</v>
      </c>
    </row>
    <row r="519" spans="1:35" ht="144" x14ac:dyDescent="0.3">
      <c r="A519" s="10" t="s">
        <v>1984</v>
      </c>
      <c r="B519" s="10"/>
      <c r="C519" s="17" t="s">
        <v>1985</v>
      </c>
      <c r="D519" s="12"/>
      <c r="E519" s="12" t="s">
        <v>1986</v>
      </c>
      <c r="F519" s="18" t="s">
        <v>116</v>
      </c>
      <c r="G519" s="19">
        <v>1</v>
      </c>
      <c r="H519" s="20"/>
      <c r="I519" s="20">
        <v>60</v>
      </c>
      <c r="J519" s="21">
        <v>16710.3</v>
      </c>
      <c r="M519" s="22">
        <f>ROUND(ROUND(J519, 2)*I519, 2)</f>
        <v>1002618</v>
      </c>
      <c r="P519" s="23">
        <v>16710.3</v>
      </c>
      <c r="S519" s="22">
        <f>ROUND(ROUND(P519, 2)*I519, 2)</f>
        <v>1002618</v>
      </c>
      <c r="V519" s="9">
        <f>ROUND(ROUND(P519, 2)/1.2, 2)</f>
        <v>13925.25</v>
      </c>
      <c r="Y519" s="9">
        <f>ROUND(S519 / 1.2, 2)</f>
        <v>835515</v>
      </c>
      <c r="AD519" s="4" t="s">
        <v>1987</v>
      </c>
      <c r="AE519" s="4" t="s">
        <v>1988</v>
      </c>
      <c r="AF519" s="4" t="s">
        <v>1989</v>
      </c>
    </row>
    <row r="520" spans="1:35" ht="17.100000000000001" customHeight="1" x14ac:dyDescent="0.3">
      <c r="A520" s="10" t="s">
        <v>1990</v>
      </c>
      <c r="B520" s="10" t="s">
        <v>1991</v>
      </c>
      <c r="C520" s="185" t="s">
        <v>1992</v>
      </c>
      <c r="D520" s="186"/>
      <c r="E520" s="186"/>
      <c r="F520" s="186"/>
      <c r="G520" s="186"/>
      <c r="H520" s="186"/>
      <c r="I520" s="187"/>
      <c r="M520" s="6">
        <f>SUM(M521,M537)</f>
        <v>755106.06</v>
      </c>
      <c r="N520" s="6">
        <f>SUM(N521,N537)</f>
        <v>11173590</v>
      </c>
      <c r="O520" s="6">
        <f>SUM(O521,O537)</f>
        <v>11928696.060000001</v>
      </c>
      <c r="S520" s="6">
        <f>SUM(S521,S537)</f>
        <v>755106.06</v>
      </c>
      <c r="T520" s="6">
        <f>SUM(T521,T537)</f>
        <v>11173590</v>
      </c>
      <c r="U520" s="6">
        <f>SUM(U521,U537)</f>
        <v>11928696.060000001</v>
      </c>
      <c r="Y520" s="9">
        <f>SUM(Y521,Y537)</f>
        <v>629255.1</v>
      </c>
      <c r="Z520" s="9">
        <f>SUM(Z521,Z537)</f>
        <v>9311324.9700000007</v>
      </c>
      <c r="AA520" s="9">
        <f>SUM(AA521,AA537)</f>
        <v>9940580.0700000003</v>
      </c>
      <c r="AD520" s="4">
        <v>271132134</v>
      </c>
      <c r="AE520" s="4">
        <v>16230868</v>
      </c>
    </row>
    <row r="521" spans="1:35" ht="17.100000000000001" customHeight="1" x14ac:dyDescent="0.3">
      <c r="A521" s="10" t="s">
        <v>1993</v>
      </c>
      <c r="B521" s="10" t="s">
        <v>1994</v>
      </c>
      <c r="C521" s="185" t="s">
        <v>1995</v>
      </c>
      <c r="D521" s="186"/>
      <c r="E521" s="186"/>
      <c r="F521" s="186"/>
      <c r="G521" s="186"/>
      <c r="H521" s="186"/>
      <c r="I521" s="187"/>
      <c r="M521" s="6">
        <f>SUM(M522,M525,M528,M531,M534)</f>
        <v>672463.9</v>
      </c>
      <c r="N521" s="6">
        <f>SUM(N522,N525,N528,N531,N534)</f>
        <v>8293286.7999999998</v>
      </c>
      <c r="O521" s="6">
        <f>SUM(O522,O525,O528,O531,O534)</f>
        <v>8965750.6999999993</v>
      </c>
      <c r="S521" s="6">
        <f>SUM(S522,S525,S528,S531,S534)</f>
        <v>672463.9</v>
      </c>
      <c r="T521" s="6">
        <f>SUM(T522,T525,T528,T531,T534)</f>
        <v>8293286.7999999998</v>
      </c>
      <c r="U521" s="6">
        <f>SUM(U522,U525,U528,U531,U534)</f>
        <v>8965750.6999999993</v>
      </c>
      <c r="Y521" s="9">
        <f>SUM(Y522,Y525,Y528,Y531,Y534)</f>
        <v>560386.6</v>
      </c>
      <c r="Z521" s="9">
        <f>SUM(Z522,Z525,Z528,Z531,Z534)</f>
        <v>6911072.3300000001</v>
      </c>
      <c r="AA521" s="9">
        <f>SUM(AA522,AA525,AA528,AA531,AA534)</f>
        <v>7471458.9299999997</v>
      </c>
      <c r="AD521" s="4">
        <v>271132135</v>
      </c>
      <c r="AE521" s="4">
        <v>16230873</v>
      </c>
    </row>
    <row r="522" spans="1:35" ht="54" x14ac:dyDescent="0.3">
      <c r="A522" s="10" t="s">
        <v>1996</v>
      </c>
      <c r="B522" s="10" t="s">
        <v>1997</v>
      </c>
      <c r="C522" s="11" t="s">
        <v>1998</v>
      </c>
      <c r="D522" s="12"/>
      <c r="E522" s="12" t="s">
        <v>63</v>
      </c>
      <c r="F522" s="12" t="s">
        <v>64</v>
      </c>
      <c r="G522" s="13">
        <v>1</v>
      </c>
      <c r="H522" s="13"/>
      <c r="I522" s="13">
        <v>0</v>
      </c>
      <c r="J522" s="14">
        <f>IFERROR(ROUND(SUM(M523,M524)/I522, 2),0)</f>
        <v>0</v>
      </c>
      <c r="K522" s="15">
        <v>570</v>
      </c>
      <c r="L522" s="14">
        <f>J522+ROUND(K522, 2)</f>
        <v>570</v>
      </c>
      <c r="M522" s="14">
        <f>ROUND(J522*I522, 2)</f>
        <v>0</v>
      </c>
      <c r="N522" s="14">
        <f>ROUND(I522*ROUND(K522, 2), 2)</f>
        <v>0</v>
      </c>
      <c r="O522" s="14">
        <f>M522+N522</f>
        <v>0</v>
      </c>
      <c r="P522" s="14">
        <f>IFERROR(ROUND(SUM(S523,S524)/I522, 2),0)</f>
        <v>0</v>
      </c>
      <c r="Q522" s="15">
        <v>570</v>
      </c>
      <c r="R522" s="14">
        <f>P522+ROUND(Q522, 2)</f>
        <v>570</v>
      </c>
      <c r="S522" s="14">
        <f>ROUND(P522*I522, 2)</f>
        <v>0</v>
      </c>
      <c r="T522" s="14">
        <f>ROUND(I522*ROUND(Q522, 2), 2)</f>
        <v>0</v>
      </c>
      <c r="U522" s="14">
        <f>S522+T522</f>
        <v>0</v>
      </c>
      <c r="V522" s="9">
        <f>ROUND(P522 / 1.2, 2)</f>
        <v>0</v>
      </c>
      <c r="W522" s="9">
        <f>ROUND(Q522 / 1.2, 2)</f>
        <v>475</v>
      </c>
      <c r="X522" s="9">
        <f>ROUND(R522 / 1.2, 2)</f>
        <v>475</v>
      </c>
      <c r="Y522" s="9">
        <f>ROUND(S522 / 1.2, 2)</f>
        <v>0</v>
      </c>
      <c r="Z522" s="9">
        <f>ROUND(T522 / 1.2, 2)</f>
        <v>0</v>
      </c>
      <c r="AA522" s="9">
        <f>Y522+Z522</f>
        <v>0</v>
      </c>
      <c r="AD522" s="4">
        <v>271132137</v>
      </c>
      <c r="AE522" s="4">
        <v>16230872</v>
      </c>
      <c r="AG522" s="4" t="s">
        <v>1999</v>
      </c>
      <c r="AH522" s="4" t="s">
        <v>2000</v>
      </c>
      <c r="AI522" s="4" t="s">
        <v>67</v>
      </c>
    </row>
    <row r="523" spans="1:35" ht="72" x14ac:dyDescent="0.3">
      <c r="A523" s="10" t="s">
        <v>2002</v>
      </c>
      <c r="B523" s="10"/>
      <c r="C523" s="17" t="s">
        <v>2003</v>
      </c>
      <c r="D523" s="12"/>
      <c r="E523" s="12" t="s">
        <v>2004</v>
      </c>
      <c r="F523" s="18" t="s">
        <v>70</v>
      </c>
      <c r="G523" s="19">
        <v>4.5</v>
      </c>
      <c r="H523" s="19"/>
      <c r="I523" s="19">
        <v>0</v>
      </c>
      <c r="J523" s="21">
        <v>12.58</v>
      </c>
      <c r="M523" s="22">
        <f>ROUND(ROUND(J523, 2)*I523, 2)</f>
        <v>0</v>
      </c>
      <c r="P523" s="21">
        <v>12.58</v>
      </c>
      <c r="S523" s="22">
        <f>ROUND(ROUND(P523, 2)*I523, 2)</f>
        <v>0</v>
      </c>
      <c r="V523" s="9">
        <f>ROUND(ROUND(P523, 2)/1.2, 2)</f>
        <v>10.48</v>
      </c>
      <c r="Y523" s="9">
        <f t="shared" ref="Y523:Y536" si="29">ROUND(S523 / 1.2, 2)</f>
        <v>0</v>
      </c>
      <c r="AD523" s="4" t="s">
        <v>2005</v>
      </c>
      <c r="AE523" s="4" t="s">
        <v>2006</v>
      </c>
      <c r="AF523" s="4" t="s">
        <v>2007</v>
      </c>
    </row>
    <row r="524" spans="1:35" ht="18" x14ac:dyDescent="0.3">
      <c r="A524" s="10" t="s">
        <v>2010</v>
      </c>
      <c r="B524" s="10"/>
      <c r="C524" s="24" t="s">
        <v>764</v>
      </c>
      <c r="D524" s="12"/>
      <c r="E524" s="12"/>
      <c r="F524" s="18" t="s">
        <v>70</v>
      </c>
      <c r="G524" s="19">
        <v>0.15</v>
      </c>
      <c r="H524" s="19"/>
      <c r="I524" s="19">
        <v>0</v>
      </c>
      <c r="J524" s="21">
        <v>100</v>
      </c>
      <c r="M524" s="22">
        <f>ROUND(ROUND(J524, 2)*I524, 2)</f>
        <v>0</v>
      </c>
      <c r="P524" s="21">
        <v>100</v>
      </c>
      <c r="S524" s="22">
        <f>ROUND(ROUND(P524, 2)*I524, 2)</f>
        <v>0</v>
      </c>
      <c r="V524" s="9">
        <f>ROUND(ROUND(P524, 2)/1.2, 2)</f>
        <v>83.33</v>
      </c>
      <c r="Y524" s="9">
        <f t="shared" si="29"/>
        <v>0</v>
      </c>
      <c r="AD524" s="4" t="s">
        <v>2011</v>
      </c>
      <c r="AE524" s="4" t="s">
        <v>2012</v>
      </c>
      <c r="AF524" s="4" t="s">
        <v>767</v>
      </c>
    </row>
    <row r="525" spans="1:35" ht="126" x14ac:dyDescent="0.3">
      <c r="A525" s="10" t="s">
        <v>2015</v>
      </c>
      <c r="B525" s="10" t="s">
        <v>2016</v>
      </c>
      <c r="C525" s="11" t="s">
        <v>2017</v>
      </c>
      <c r="D525" s="12"/>
      <c r="E525" s="12" t="s">
        <v>2018</v>
      </c>
      <c r="F525" s="12" t="s">
        <v>64</v>
      </c>
      <c r="G525" s="13">
        <v>1</v>
      </c>
      <c r="H525" s="13"/>
      <c r="I525" s="13">
        <v>2789.37</v>
      </c>
      <c r="J525" s="14">
        <f>IFERROR(ROUND(SUM(M526,M527)/I525, 2),0)</f>
        <v>72.150000000000006</v>
      </c>
      <c r="K525" s="15">
        <v>790</v>
      </c>
      <c r="L525" s="14">
        <f>J525+ROUND(K525, 2)</f>
        <v>862.15</v>
      </c>
      <c r="M525" s="14">
        <f>ROUND(J525*I525, 2)</f>
        <v>201253.05</v>
      </c>
      <c r="N525" s="14">
        <f>ROUND(I525*ROUND(K525, 2), 2)</f>
        <v>2203602.2999999998</v>
      </c>
      <c r="O525" s="14">
        <f>M525+N525</f>
        <v>2404855.35</v>
      </c>
      <c r="P525" s="14">
        <f>IFERROR(ROUND(SUM(S526,S527)/I525, 2),0)</f>
        <v>72.150000000000006</v>
      </c>
      <c r="Q525" s="16">
        <v>790</v>
      </c>
      <c r="R525" s="14">
        <f>P525+ROUND(Q525, 2)</f>
        <v>862.15</v>
      </c>
      <c r="S525" s="14">
        <f>ROUND(P525*I525, 2)</f>
        <v>201253.05</v>
      </c>
      <c r="T525" s="14">
        <f>ROUND(I525*ROUND(Q525, 2), 2)</f>
        <v>2203602.2999999998</v>
      </c>
      <c r="U525" s="14">
        <f>S525+T525</f>
        <v>2404855.35</v>
      </c>
      <c r="V525" s="9">
        <f>ROUND(P525 / 1.2, 2)</f>
        <v>60.13</v>
      </c>
      <c r="W525" s="9">
        <f>ROUND(Q525 / 1.2, 2)</f>
        <v>658.33</v>
      </c>
      <c r="X525" s="9">
        <f>ROUND(R525 / 1.2, 2)</f>
        <v>718.46</v>
      </c>
      <c r="Y525" s="9">
        <f t="shared" si="29"/>
        <v>167710.88</v>
      </c>
      <c r="Z525" s="9">
        <f>ROUND(T525 / 1.2, 2)</f>
        <v>1836335.25</v>
      </c>
      <c r="AA525" s="9">
        <f>Y525+Z525</f>
        <v>2004046.13</v>
      </c>
      <c r="AD525" s="4">
        <v>271132139</v>
      </c>
      <c r="AE525" s="4">
        <v>16680701</v>
      </c>
      <c r="AG525" s="4" t="s">
        <v>2019</v>
      </c>
      <c r="AH525" s="4" t="s">
        <v>2020</v>
      </c>
      <c r="AI525" s="4" t="s">
        <v>67</v>
      </c>
    </row>
    <row r="526" spans="1:35" ht="36" x14ac:dyDescent="0.3">
      <c r="A526" s="10" t="s">
        <v>2021</v>
      </c>
      <c r="B526" s="10"/>
      <c r="C526" s="17" t="s">
        <v>740</v>
      </c>
      <c r="D526" s="12"/>
      <c r="E526" s="12"/>
      <c r="F526" s="18" t="s">
        <v>70</v>
      </c>
      <c r="G526" s="19">
        <v>4.5</v>
      </c>
      <c r="H526" s="19"/>
      <c r="I526" s="19">
        <v>12552.165000000001</v>
      </c>
      <c r="J526" s="21">
        <v>12.7</v>
      </c>
      <c r="M526" s="22">
        <f>ROUND(ROUND(J526, 2)*I526, 2)</f>
        <v>159412.5</v>
      </c>
      <c r="P526" s="23">
        <v>12.7</v>
      </c>
      <c r="S526" s="22">
        <f>ROUND(ROUND(P526, 2)*I526, 2)</f>
        <v>159412.5</v>
      </c>
      <c r="V526" s="9">
        <f>ROUND(ROUND(P526, 2)/1.2, 2)</f>
        <v>10.58</v>
      </c>
      <c r="Y526" s="9">
        <f t="shared" si="29"/>
        <v>132843.75</v>
      </c>
      <c r="AD526" s="4" t="s">
        <v>2022</v>
      </c>
      <c r="AE526" s="4" t="s">
        <v>2023</v>
      </c>
      <c r="AF526" s="4" t="s">
        <v>743</v>
      </c>
    </row>
    <row r="527" spans="1:35" ht="18" x14ac:dyDescent="0.3">
      <c r="A527" s="10" t="s">
        <v>2024</v>
      </c>
      <c r="B527" s="10"/>
      <c r="C527" s="24" t="s">
        <v>764</v>
      </c>
      <c r="D527" s="12"/>
      <c r="E527" s="12"/>
      <c r="F527" s="18" t="s">
        <v>70</v>
      </c>
      <c r="G527" s="19">
        <v>0.15</v>
      </c>
      <c r="H527" s="19"/>
      <c r="I527" s="19">
        <v>418.40600000000001</v>
      </c>
      <c r="J527" s="21">
        <v>100</v>
      </c>
      <c r="M527" s="22">
        <f>ROUND(ROUND(J527, 2)*I527, 2)</f>
        <v>41840.6</v>
      </c>
      <c r="P527" s="23">
        <v>100</v>
      </c>
      <c r="S527" s="22">
        <f>ROUND(ROUND(P527, 2)*I527, 2)</f>
        <v>41840.6</v>
      </c>
      <c r="V527" s="9">
        <f>ROUND(ROUND(P527, 2)/1.2, 2)</f>
        <v>83.33</v>
      </c>
      <c r="Y527" s="9">
        <f t="shared" si="29"/>
        <v>34867.17</v>
      </c>
      <c r="AD527" s="4" t="s">
        <v>2025</v>
      </c>
      <c r="AE527" s="4" t="s">
        <v>2026</v>
      </c>
      <c r="AF527" s="4" t="s">
        <v>767</v>
      </c>
    </row>
    <row r="528" spans="1:35" ht="126" x14ac:dyDescent="0.3">
      <c r="A528" s="10" t="s">
        <v>2027</v>
      </c>
      <c r="B528" s="10" t="s">
        <v>2016</v>
      </c>
      <c r="C528" s="11" t="s">
        <v>2017</v>
      </c>
      <c r="D528" s="12"/>
      <c r="E528" s="12" t="s">
        <v>2028</v>
      </c>
      <c r="F528" s="12" t="s">
        <v>64</v>
      </c>
      <c r="G528" s="13">
        <v>1</v>
      </c>
      <c r="H528" s="13"/>
      <c r="I528" s="13">
        <v>3418.18</v>
      </c>
      <c r="J528" s="14">
        <f>IFERROR(ROUND(SUM(M529,M530)/I528, 2),0)</f>
        <v>72.150000000000006</v>
      </c>
      <c r="K528" s="15">
        <v>790</v>
      </c>
      <c r="L528" s="14">
        <f>J528+ROUND(K528, 2)</f>
        <v>862.15</v>
      </c>
      <c r="M528" s="14">
        <f>ROUND(J528*I528, 2)</f>
        <v>246621.69</v>
      </c>
      <c r="N528" s="14">
        <f>ROUND(I528*ROUND(K528, 2), 2)</f>
        <v>2700362.2</v>
      </c>
      <c r="O528" s="14">
        <f>M528+N528</f>
        <v>2946983.89</v>
      </c>
      <c r="P528" s="14">
        <f>IFERROR(ROUND(SUM(S529,S530)/I528, 2),0)</f>
        <v>72.150000000000006</v>
      </c>
      <c r="Q528" s="16">
        <v>790</v>
      </c>
      <c r="R528" s="14">
        <f>P528+ROUND(Q528, 2)</f>
        <v>862.15</v>
      </c>
      <c r="S528" s="14">
        <f>ROUND(P528*I528, 2)</f>
        <v>246621.69</v>
      </c>
      <c r="T528" s="14">
        <f>ROUND(I528*ROUND(Q528, 2), 2)</f>
        <v>2700362.2</v>
      </c>
      <c r="U528" s="14">
        <f>S528+T528</f>
        <v>2946983.89</v>
      </c>
      <c r="V528" s="9">
        <f>ROUND(P528 / 1.2, 2)</f>
        <v>60.13</v>
      </c>
      <c r="W528" s="9">
        <f>ROUND(Q528 / 1.2, 2)</f>
        <v>658.33</v>
      </c>
      <c r="X528" s="9">
        <f>ROUND(R528 / 1.2, 2)</f>
        <v>718.46</v>
      </c>
      <c r="Y528" s="9">
        <f t="shared" si="29"/>
        <v>205518.07999999999</v>
      </c>
      <c r="Z528" s="9">
        <f>ROUND(T528 / 1.2, 2)</f>
        <v>2250301.83</v>
      </c>
      <c r="AA528" s="9">
        <f>Y528+Z528</f>
        <v>2455819.91</v>
      </c>
      <c r="AD528" s="4">
        <v>271132244</v>
      </c>
      <c r="AE528" s="4">
        <v>19997129</v>
      </c>
      <c r="AG528" s="4" t="s">
        <v>2019</v>
      </c>
      <c r="AH528" s="4" t="s">
        <v>2020</v>
      </c>
      <c r="AI528" s="4" t="s">
        <v>67</v>
      </c>
    </row>
    <row r="529" spans="1:35" ht="18" x14ac:dyDescent="0.3">
      <c r="A529" s="10" t="s">
        <v>2029</v>
      </c>
      <c r="B529" s="10"/>
      <c r="C529" s="24" t="s">
        <v>764</v>
      </c>
      <c r="D529" s="12"/>
      <c r="E529" s="12"/>
      <c r="F529" s="18" t="s">
        <v>70</v>
      </c>
      <c r="G529" s="19">
        <v>0.15</v>
      </c>
      <c r="H529" s="19"/>
      <c r="I529" s="19">
        <v>512.72699999999998</v>
      </c>
      <c r="J529" s="21">
        <v>100</v>
      </c>
      <c r="M529" s="22">
        <f>ROUND(ROUND(J529, 2)*I529, 2)</f>
        <v>51272.7</v>
      </c>
      <c r="P529" s="23">
        <v>100</v>
      </c>
      <c r="S529" s="22">
        <f>ROUND(ROUND(P529, 2)*I529, 2)</f>
        <v>51272.7</v>
      </c>
      <c r="V529" s="9">
        <f>ROUND(ROUND(P529, 2)/1.2, 2)</f>
        <v>83.33</v>
      </c>
      <c r="Y529" s="9">
        <f t="shared" si="29"/>
        <v>42727.25</v>
      </c>
      <c r="AD529" s="4" t="s">
        <v>2030</v>
      </c>
      <c r="AE529" s="4" t="s">
        <v>2031</v>
      </c>
      <c r="AF529" s="4" t="s">
        <v>767</v>
      </c>
    </row>
    <row r="530" spans="1:35" ht="36" x14ac:dyDescent="0.3">
      <c r="A530" s="10" t="s">
        <v>2032</v>
      </c>
      <c r="B530" s="10"/>
      <c r="C530" s="17" t="s">
        <v>740</v>
      </c>
      <c r="D530" s="12"/>
      <c r="E530" s="12"/>
      <c r="F530" s="18" t="s">
        <v>70</v>
      </c>
      <c r="G530" s="19">
        <v>4.5</v>
      </c>
      <c r="H530" s="19"/>
      <c r="I530" s="19">
        <v>15381.81</v>
      </c>
      <c r="J530" s="21">
        <v>12.7</v>
      </c>
      <c r="M530" s="22">
        <f>ROUND(ROUND(J530, 2)*I530, 2)</f>
        <v>195348.99</v>
      </c>
      <c r="P530" s="23">
        <v>12.7</v>
      </c>
      <c r="S530" s="22">
        <f>ROUND(ROUND(P530, 2)*I530, 2)</f>
        <v>195348.99</v>
      </c>
      <c r="V530" s="9">
        <f>ROUND(ROUND(P530, 2)/1.2, 2)</f>
        <v>10.58</v>
      </c>
      <c r="Y530" s="9">
        <f t="shared" si="29"/>
        <v>162790.82999999999</v>
      </c>
      <c r="AD530" s="4" t="s">
        <v>2033</v>
      </c>
      <c r="AE530" s="4" t="s">
        <v>2034</v>
      </c>
      <c r="AF530" s="4" t="s">
        <v>743</v>
      </c>
    </row>
    <row r="531" spans="1:35" ht="144" x14ac:dyDescent="0.3">
      <c r="A531" s="10" t="s">
        <v>2035</v>
      </c>
      <c r="B531" s="10" t="s">
        <v>2036</v>
      </c>
      <c r="C531" s="11" t="s">
        <v>2037</v>
      </c>
      <c r="D531" s="12"/>
      <c r="E531" s="12" t="s">
        <v>2038</v>
      </c>
      <c r="F531" s="12" t="s">
        <v>64</v>
      </c>
      <c r="G531" s="13">
        <v>1</v>
      </c>
      <c r="H531" s="13"/>
      <c r="I531" s="13">
        <v>3418.18</v>
      </c>
      <c r="J531" s="14">
        <f>IFERROR(ROUND(SUM(M532,M533)/I531, 2),0)</f>
        <v>36.18</v>
      </c>
      <c r="K531" s="15">
        <v>546</v>
      </c>
      <c r="L531" s="14">
        <f>J531+ROUND(K531, 2)</f>
        <v>582.17999999999995</v>
      </c>
      <c r="M531" s="14">
        <f>ROUND(J531*I531, 2)</f>
        <v>123669.75</v>
      </c>
      <c r="N531" s="14">
        <f>ROUND(I531*ROUND(K531, 2), 2)</f>
        <v>1866326.28</v>
      </c>
      <c r="O531" s="14">
        <f>M531+N531</f>
        <v>1989996.03</v>
      </c>
      <c r="P531" s="14">
        <f>IFERROR(ROUND(SUM(S532,S533)/I531, 2),0)</f>
        <v>36.18</v>
      </c>
      <c r="Q531" s="16">
        <v>546</v>
      </c>
      <c r="R531" s="14">
        <f>P531+ROUND(Q531, 2)</f>
        <v>582.17999999999995</v>
      </c>
      <c r="S531" s="14">
        <f>ROUND(P531*I531, 2)</f>
        <v>123669.75</v>
      </c>
      <c r="T531" s="14">
        <f>ROUND(I531*ROUND(Q531, 2), 2)</f>
        <v>1866326.28</v>
      </c>
      <c r="U531" s="14">
        <f>S531+T531</f>
        <v>1989996.03</v>
      </c>
      <c r="V531" s="9">
        <f>ROUND(P531 / 1.2, 2)</f>
        <v>30.15</v>
      </c>
      <c r="W531" s="9">
        <f>ROUND(Q531 / 1.2, 2)</f>
        <v>455</v>
      </c>
      <c r="X531" s="9">
        <f>ROUND(R531 / 1.2, 2)</f>
        <v>485.15</v>
      </c>
      <c r="Y531" s="9">
        <f t="shared" si="29"/>
        <v>103058.13</v>
      </c>
      <c r="Z531" s="9">
        <f>ROUND(T531 / 1.2, 2)</f>
        <v>1555271.9</v>
      </c>
      <c r="AA531" s="9">
        <f>Y531+Z531</f>
        <v>1658330.03</v>
      </c>
      <c r="AD531" s="4">
        <v>271132140</v>
      </c>
      <c r="AE531" s="4">
        <v>19997514</v>
      </c>
      <c r="AG531" s="4" t="s">
        <v>2039</v>
      </c>
      <c r="AH531" s="4" t="s">
        <v>2040</v>
      </c>
      <c r="AI531" s="4" t="s">
        <v>67</v>
      </c>
    </row>
    <row r="532" spans="1:35" ht="54" x14ac:dyDescent="0.3">
      <c r="A532" s="10" t="s">
        <v>2041</v>
      </c>
      <c r="B532" s="10"/>
      <c r="C532" s="17" t="s">
        <v>2003</v>
      </c>
      <c r="D532" s="12"/>
      <c r="E532" s="12"/>
      <c r="F532" s="18" t="s">
        <v>70</v>
      </c>
      <c r="G532" s="19">
        <v>1.8</v>
      </c>
      <c r="H532" s="19"/>
      <c r="I532" s="19">
        <v>6152.7240000000002</v>
      </c>
      <c r="J532" s="21">
        <v>12.7</v>
      </c>
      <c r="M532" s="22">
        <f>ROUND(ROUND(J532, 2)*I532, 2)</f>
        <v>78139.59</v>
      </c>
      <c r="P532" s="23">
        <v>12.7</v>
      </c>
      <c r="S532" s="22">
        <f>ROUND(ROUND(P532, 2)*I532, 2)</f>
        <v>78139.59</v>
      </c>
      <c r="V532" s="9">
        <f>ROUND(ROUND(P532, 2)/1.2, 2)</f>
        <v>10.58</v>
      </c>
      <c r="Y532" s="9">
        <f t="shared" si="29"/>
        <v>65116.33</v>
      </c>
      <c r="AD532" s="4" t="s">
        <v>2042</v>
      </c>
      <c r="AE532" s="4" t="s">
        <v>2043</v>
      </c>
      <c r="AF532" s="4" t="s">
        <v>2007</v>
      </c>
    </row>
    <row r="533" spans="1:35" ht="36" x14ac:dyDescent="0.3">
      <c r="A533" s="10" t="s">
        <v>2044</v>
      </c>
      <c r="B533" s="10"/>
      <c r="C533" s="24" t="s">
        <v>75</v>
      </c>
      <c r="D533" s="12"/>
      <c r="E533" s="12"/>
      <c r="F533" s="18" t="s">
        <v>70</v>
      </c>
      <c r="G533" s="19">
        <v>0.15</v>
      </c>
      <c r="H533" s="19"/>
      <c r="I533" s="19">
        <v>512.72699999999998</v>
      </c>
      <c r="J533" s="21">
        <v>88.8</v>
      </c>
      <c r="M533" s="22">
        <f>ROUND(ROUND(J533, 2)*I533, 2)</f>
        <v>45530.16</v>
      </c>
      <c r="P533" s="23">
        <v>88.8</v>
      </c>
      <c r="S533" s="22">
        <f>ROUND(ROUND(P533, 2)*I533, 2)</f>
        <v>45530.16</v>
      </c>
      <c r="V533" s="9">
        <f>ROUND(ROUND(P533, 2)/1.2, 2)</f>
        <v>74</v>
      </c>
      <c r="Y533" s="9">
        <f t="shared" si="29"/>
        <v>37941.800000000003</v>
      </c>
      <c r="AD533" s="4" t="s">
        <v>2045</v>
      </c>
      <c r="AE533" s="4" t="s">
        <v>2046</v>
      </c>
      <c r="AF533" s="4" t="s">
        <v>78</v>
      </c>
    </row>
    <row r="534" spans="1:35" ht="144" x14ac:dyDescent="0.3">
      <c r="A534" s="10" t="s">
        <v>2047</v>
      </c>
      <c r="B534" s="10" t="s">
        <v>2036</v>
      </c>
      <c r="C534" s="11" t="s">
        <v>2037</v>
      </c>
      <c r="D534" s="12"/>
      <c r="E534" s="12" t="s">
        <v>2048</v>
      </c>
      <c r="F534" s="12" t="s">
        <v>64</v>
      </c>
      <c r="G534" s="13">
        <v>1</v>
      </c>
      <c r="H534" s="13"/>
      <c r="I534" s="13">
        <v>2789.37</v>
      </c>
      <c r="J534" s="14">
        <f>IFERROR(ROUND(SUM(M535,M536)/I534, 2),0)</f>
        <v>36.18</v>
      </c>
      <c r="K534" s="15">
        <v>546</v>
      </c>
      <c r="L534" s="14">
        <f>J534+ROUND(K534, 2)</f>
        <v>582.17999999999995</v>
      </c>
      <c r="M534" s="14">
        <f>ROUND(J534*I534, 2)</f>
        <v>100919.41</v>
      </c>
      <c r="N534" s="14">
        <f>ROUND(I534*ROUND(K534, 2), 2)</f>
        <v>1522996.02</v>
      </c>
      <c r="O534" s="14">
        <f>M534+N534</f>
        <v>1623915.43</v>
      </c>
      <c r="P534" s="14">
        <f>IFERROR(ROUND(SUM(S535,S536)/I534, 2),0)</f>
        <v>36.18</v>
      </c>
      <c r="Q534" s="16">
        <v>546</v>
      </c>
      <c r="R534" s="14">
        <f>P534+ROUND(Q534, 2)</f>
        <v>582.17999999999995</v>
      </c>
      <c r="S534" s="14">
        <f>ROUND(P534*I534, 2)</f>
        <v>100919.41</v>
      </c>
      <c r="T534" s="14">
        <f>ROUND(I534*ROUND(Q534, 2), 2)</f>
        <v>1522996.02</v>
      </c>
      <c r="U534" s="14">
        <f>S534+T534</f>
        <v>1623915.43</v>
      </c>
      <c r="V534" s="9">
        <f>ROUND(P534 / 1.2, 2)</f>
        <v>30.15</v>
      </c>
      <c r="W534" s="9">
        <f>ROUND(Q534 / 1.2, 2)</f>
        <v>455</v>
      </c>
      <c r="X534" s="9">
        <f>ROUND(R534 / 1.2, 2)</f>
        <v>485.15</v>
      </c>
      <c r="Y534" s="9">
        <f t="shared" si="29"/>
        <v>84099.51</v>
      </c>
      <c r="Z534" s="9">
        <f>ROUND(T534 / 1.2, 2)</f>
        <v>1269163.3500000001</v>
      </c>
      <c r="AA534" s="9">
        <f>Y534+Z534</f>
        <v>1353262.86</v>
      </c>
      <c r="AD534" s="4">
        <v>271132245</v>
      </c>
      <c r="AE534" s="4">
        <v>19997515</v>
      </c>
      <c r="AG534" s="4" t="s">
        <v>2039</v>
      </c>
      <c r="AH534" s="4" t="s">
        <v>2040</v>
      </c>
      <c r="AI534" s="4" t="s">
        <v>67</v>
      </c>
    </row>
    <row r="535" spans="1:35" ht="36" x14ac:dyDescent="0.3">
      <c r="A535" s="10" t="s">
        <v>2049</v>
      </c>
      <c r="B535" s="10"/>
      <c r="C535" s="24" t="s">
        <v>75</v>
      </c>
      <c r="D535" s="12"/>
      <c r="E535" s="12"/>
      <c r="F535" s="18" t="s">
        <v>70</v>
      </c>
      <c r="G535" s="19">
        <v>0.15</v>
      </c>
      <c r="H535" s="19"/>
      <c r="I535" s="19">
        <v>418.40600000000001</v>
      </c>
      <c r="J535" s="21">
        <v>88.8</v>
      </c>
      <c r="M535" s="22">
        <f>ROUND(ROUND(J535, 2)*I535, 2)</f>
        <v>37154.449999999997</v>
      </c>
      <c r="P535" s="23">
        <v>88.8</v>
      </c>
      <c r="S535" s="22">
        <f>ROUND(ROUND(P535, 2)*I535, 2)</f>
        <v>37154.449999999997</v>
      </c>
      <c r="V535" s="9">
        <f>ROUND(ROUND(P535, 2)/1.2, 2)</f>
        <v>74</v>
      </c>
      <c r="Y535" s="9">
        <f t="shared" si="29"/>
        <v>30962.04</v>
      </c>
      <c r="AD535" s="4" t="s">
        <v>2050</v>
      </c>
      <c r="AE535" s="4" t="s">
        <v>2051</v>
      </c>
      <c r="AF535" s="4" t="s">
        <v>78</v>
      </c>
    </row>
    <row r="536" spans="1:35" ht="54" x14ac:dyDescent="0.3">
      <c r="A536" s="10" t="s">
        <v>2052</v>
      </c>
      <c r="B536" s="10"/>
      <c r="C536" s="17" t="s">
        <v>2003</v>
      </c>
      <c r="D536" s="12"/>
      <c r="E536" s="12"/>
      <c r="F536" s="18" t="s">
        <v>70</v>
      </c>
      <c r="G536" s="19">
        <v>1.8</v>
      </c>
      <c r="H536" s="19"/>
      <c r="I536" s="19">
        <v>5020.866</v>
      </c>
      <c r="J536" s="21">
        <v>12.7</v>
      </c>
      <c r="M536" s="22">
        <f>ROUND(ROUND(J536, 2)*I536, 2)</f>
        <v>63765</v>
      </c>
      <c r="P536" s="23">
        <v>12.7</v>
      </c>
      <c r="S536" s="22">
        <f>ROUND(ROUND(P536, 2)*I536, 2)</f>
        <v>63765</v>
      </c>
      <c r="V536" s="9">
        <f>ROUND(ROUND(P536, 2)/1.2, 2)</f>
        <v>10.58</v>
      </c>
      <c r="Y536" s="9">
        <f t="shared" si="29"/>
        <v>53137.5</v>
      </c>
      <c r="AD536" s="4" t="s">
        <v>2053</v>
      </c>
      <c r="AE536" s="4" t="s">
        <v>2054</v>
      </c>
      <c r="AF536" s="4" t="s">
        <v>2007</v>
      </c>
    </row>
    <row r="537" spans="1:35" ht="17.100000000000001" customHeight="1" x14ac:dyDescent="0.3">
      <c r="A537" s="10" t="s">
        <v>2055</v>
      </c>
      <c r="B537" s="10" t="s">
        <v>2056</v>
      </c>
      <c r="C537" s="185" t="s">
        <v>2057</v>
      </c>
      <c r="D537" s="186"/>
      <c r="E537" s="186"/>
      <c r="F537" s="186"/>
      <c r="G537" s="186"/>
      <c r="H537" s="186"/>
      <c r="I537" s="187"/>
      <c r="M537" s="6">
        <f>SUM(M538,M541,M544,M547,M550,M553,M556,M559,M562,M565,M568,M571,M574,M577,M580,M583,M586,M589,M592,M595,M598,M601,M604,M607,M610,M613,M616,M619,M622,M625,M628,M631,M634,M637,M640,M643,M646,M649,M652,M655,M658,M661,M664,M667,M670,M673,M676)</f>
        <v>82642.16</v>
      </c>
      <c r="N537" s="6">
        <f>SUM(N538,N541,N544,N547,N550,N553,N556,N559,N562,N565,N568,N571,N574,N577,N580,N583,N586,N589,N592,N595,N598,N601,N604,N607,N610,N613,N616,N619,N622,N625,N628,N631,N634,N637,N640,N643,N646,N649,N652,N655,N658,N661,N664,N667,N670,N673,N676)</f>
        <v>2880303.2</v>
      </c>
      <c r="O537" s="6">
        <f>SUM(O538,O541,O544,O547,O550,O553,O556,O559,O562,O565,O568,O571,O574,O577,O580,O583,O586,O589,O592,O595,O598,O601,O604,O607,O610,O613,O616,O619,O622,O625,O628,O631,O634,O637,O640,O643,O646,O649,O652,O655,O658,O661,O664,O667,O670,O673,O676)</f>
        <v>2962945.36</v>
      </c>
      <c r="S537" s="6">
        <f>SUM(S538,S541,S544,S547,S550,S553,S556,S559,S562,S565,S568,S571,S574,S577,S580,S583,S586,S589,S592,S595,S598,S601,S604,S607,S610,S613,S616,S619,S622,S625,S628,S631,S634,S637,S640,S643,S646,S649,S652,S655,S658,S661,S664,S667,S670,S673,S676)</f>
        <v>82642.16</v>
      </c>
      <c r="T537" s="6">
        <f>SUM(T538,T541,T544,T547,T550,T553,T556,T559,T562,T565,T568,T571,T574,T577,T580,T583,T586,T589,T592,T595,T598,T601,T604,T607,T610,T613,T616,T619,T622,T625,T628,T631,T634,T637,T640,T643,T646,T649,T652,T655,T658,T661,T664,T667,T670,T673,T676)</f>
        <v>2880303.2</v>
      </c>
      <c r="U537" s="6">
        <f>SUM(U538,U541,U544,U547,U550,U553,U556,U559,U562,U565,U568,U571,U574,U577,U580,U583,U586,U589,U592,U595,U598,U601,U604,U607,U610,U613,U616,U619,U622,U625,U628,U631,U634,U637,U640,U643,U646,U649,U652,U655,U658,U661,U664,U667,U670,U673,U676)</f>
        <v>2962945.36</v>
      </c>
      <c r="Y537" s="9">
        <f>SUM(Y538,Y541,Y544,Y547,Y550,Y553,Y556,Y559,Y562,Y565,Y568,Y571,Y574,Y577,Y580,Y583,Y586,Y589,Y592,Y595,Y598,Y601,Y604,Y607,Y610,Y613,Y616,Y619,Y622,Y625,Y628,Y631,Y634,Y637,Y640,Y643,Y646,Y649,Y652,Y655,Y658,Y661,Y664,Y667,Y670,Y673,Y676)</f>
        <v>68868.5</v>
      </c>
      <c r="Z537" s="9">
        <f>SUM(Z538,Z541,Z544,Z547,Z550,Z553,Z556,Z559,Z562,Z565,Z568,Z571,Z574,Z577,Z580,Z583,Z586,Z589,Z592,Z595,Z598,Z601,Z604,Z607,Z610,Z613,Z616,Z619,Z622,Z625,Z628,Z631,Z634,Z637,Z640,Z643,Z646,Z649,Z652,Z655,Z658,Z661,Z664,Z667,Z670,Z673,Z676)</f>
        <v>2400252.64</v>
      </c>
      <c r="AA537" s="9">
        <f>SUM(AA538,AA541,AA544,AA547,AA550,AA553,AA556,AA559,AA562,AA565,AA568,AA571,AA574,AA577,AA580,AA583,AA586,AA589,AA592,AA595,AA598,AA601,AA604,AA607,AA610,AA613,AA616,AA619,AA622,AA625,AA628,AA631,AA634,AA637,AA640,AA643,AA646,AA649,AA652,AA655,AA658,AA661,AA664,AA667,AA670,AA673,AA676)</f>
        <v>2469121.14</v>
      </c>
      <c r="AD537" s="4">
        <v>271132141</v>
      </c>
      <c r="AE537" s="4">
        <v>16231514</v>
      </c>
    </row>
    <row r="538" spans="1:35" ht="54" x14ac:dyDescent="0.3">
      <c r="A538" s="10" t="s">
        <v>2058</v>
      </c>
      <c r="B538" s="10" t="s">
        <v>2059</v>
      </c>
      <c r="C538" s="11" t="s">
        <v>2060</v>
      </c>
      <c r="D538" s="12"/>
      <c r="E538" s="12" t="s">
        <v>63</v>
      </c>
      <c r="F538" s="12" t="s">
        <v>64</v>
      </c>
      <c r="G538" s="13">
        <v>1</v>
      </c>
      <c r="H538" s="13"/>
      <c r="I538" s="13">
        <v>0</v>
      </c>
      <c r="J538" s="14">
        <f>IFERROR(ROUND(SUM(M539,M540)/I538, 2),0)</f>
        <v>0</v>
      </c>
      <c r="K538" s="15">
        <v>278</v>
      </c>
      <c r="L538" s="14">
        <f>J538+ROUND(K538, 2)</f>
        <v>278</v>
      </c>
      <c r="M538" s="14">
        <f>ROUND(J538*I538, 2)</f>
        <v>0</v>
      </c>
      <c r="N538" s="14">
        <f>ROUND(I538*ROUND(K538, 2), 2)</f>
        <v>0</v>
      </c>
      <c r="O538" s="14">
        <f>M538+N538</f>
        <v>0</v>
      </c>
      <c r="P538" s="14">
        <f>IFERROR(ROUND(SUM(S539,S540)/I538, 2),0)</f>
        <v>0</v>
      </c>
      <c r="Q538" s="15">
        <v>278</v>
      </c>
      <c r="R538" s="14">
        <f>P538+ROUND(Q538, 2)</f>
        <v>278</v>
      </c>
      <c r="S538" s="14">
        <f>ROUND(P538*I538, 2)</f>
        <v>0</v>
      </c>
      <c r="T538" s="14">
        <f>ROUND(I538*ROUND(Q538, 2), 2)</f>
        <v>0</v>
      </c>
      <c r="U538" s="14">
        <f>S538+T538</f>
        <v>0</v>
      </c>
      <c r="V538" s="9">
        <f>ROUND(P538 / 1.2, 2)</f>
        <v>0</v>
      </c>
      <c r="W538" s="9">
        <f>ROUND(Q538 / 1.2, 2)</f>
        <v>231.67</v>
      </c>
      <c r="X538" s="9">
        <f>ROUND(R538 / 1.2, 2)</f>
        <v>231.67</v>
      </c>
      <c r="Y538" s="9">
        <f>ROUND(S538 / 1.2, 2)</f>
        <v>0</v>
      </c>
      <c r="Z538" s="9">
        <f>ROUND(T538 / 1.2, 2)</f>
        <v>0</v>
      </c>
      <c r="AA538" s="9">
        <f>Y538+Z538</f>
        <v>0</v>
      </c>
      <c r="AD538" s="4">
        <v>271132143</v>
      </c>
      <c r="AE538" s="4">
        <v>16231516</v>
      </c>
      <c r="AG538" s="4" t="s">
        <v>2061</v>
      </c>
      <c r="AH538" s="4" t="s">
        <v>2062</v>
      </c>
      <c r="AI538" s="4" t="s">
        <v>67</v>
      </c>
    </row>
    <row r="539" spans="1:35" ht="90" x14ac:dyDescent="0.3">
      <c r="A539" s="10" t="s">
        <v>2064</v>
      </c>
      <c r="B539" s="10"/>
      <c r="C539" s="24" t="s">
        <v>1170</v>
      </c>
      <c r="D539" s="12"/>
      <c r="E539" s="12" t="s">
        <v>2065</v>
      </c>
      <c r="F539" s="18" t="s">
        <v>70</v>
      </c>
      <c r="G539" s="19">
        <v>0.3</v>
      </c>
      <c r="H539" s="20"/>
      <c r="I539" s="20">
        <v>0</v>
      </c>
      <c r="J539" s="21">
        <v>388.89</v>
      </c>
      <c r="M539" s="22">
        <f>ROUND(ROUND(J539, 2)*I539, 2)</f>
        <v>0</v>
      </c>
      <c r="P539" s="21">
        <v>388.89</v>
      </c>
      <c r="S539" s="22">
        <f>ROUND(ROUND(P539, 2)*I539, 2)</f>
        <v>0</v>
      </c>
      <c r="V539" s="9">
        <f>ROUND(ROUND(P539, 2)/1.2, 2)</f>
        <v>324.08</v>
      </c>
      <c r="Y539" s="9">
        <f t="shared" ref="Y539:Y570" si="30">ROUND(S539 / 1.2, 2)</f>
        <v>0</v>
      </c>
      <c r="AD539" s="4" t="s">
        <v>2066</v>
      </c>
      <c r="AE539" s="4" t="s">
        <v>2067</v>
      </c>
      <c r="AF539" s="4" t="s">
        <v>1174</v>
      </c>
    </row>
    <row r="540" spans="1:35" ht="36" x14ac:dyDescent="0.3">
      <c r="A540" s="10" t="s">
        <v>2070</v>
      </c>
      <c r="B540" s="10"/>
      <c r="C540" s="24" t="s">
        <v>433</v>
      </c>
      <c r="D540" s="12"/>
      <c r="E540" s="12"/>
      <c r="F540" s="18" t="s">
        <v>70</v>
      </c>
      <c r="G540" s="19">
        <v>0.15</v>
      </c>
      <c r="H540" s="20"/>
      <c r="I540" s="20">
        <v>0</v>
      </c>
      <c r="J540" s="21">
        <v>88.8</v>
      </c>
      <c r="M540" s="22">
        <f>ROUND(ROUND(J540, 2)*I540, 2)</f>
        <v>0</v>
      </c>
      <c r="P540" s="21">
        <v>88.8</v>
      </c>
      <c r="S540" s="22">
        <f>ROUND(ROUND(P540, 2)*I540, 2)</f>
        <v>0</v>
      </c>
      <c r="V540" s="9">
        <f>ROUND(ROUND(P540, 2)/1.2, 2)</f>
        <v>74</v>
      </c>
      <c r="Y540" s="9">
        <f t="shared" si="30"/>
        <v>0</v>
      </c>
      <c r="AD540" s="4" t="s">
        <v>2071</v>
      </c>
      <c r="AE540" s="4" t="s">
        <v>2072</v>
      </c>
      <c r="AF540" s="4" t="s">
        <v>436</v>
      </c>
    </row>
    <row r="541" spans="1:35" ht="54" x14ac:dyDescent="0.3">
      <c r="A541" s="10" t="s">
        <v>2075</v>
      </c>
      <c r="B541" s="10" t="s">
        <v>2059</v>
      </c>
      <c r="C541" s="11" t="s">
        <v>2060</v>
      </c>
      <c r="D541" s="12"/>
      <c r="E541" s="12" t="s">
        <v>63</v>
      </c>
      <c r="F541" s="12" t="s">
        <v>64</v>
      </c>
      <c r="G541" s="13">
        <v>1</v>
      </c>
      <c r="H541" s="13"/>
      <c r="I541" s="13">
        <v>0</v>
      </c>
      <c r="J541" s="14">
        <f>IFERROR(ROUND(SUM(M542,M543)/I541, 2),0)</f>
        <v>0</v>
      </c>
      <c r="K541" s="15">
        <v>278</v>
      </c>
      <c r="L541" s="14">
        <f>J541+ROUND(K541, 2)</f>
        <v>278</v>
      </c>
      <c r="M541" s="14">
        <f>ROUND(J541*I541, 2)</f>
        <v>0</v>
      </c>
      <c r="N541" s="14">
        <f>ROUND(I541*ROUND(K541, 2), 2)</f>
        <v>0</v>
      </c>
      <c r="O541" s="14">
        <f>M541+N541</f>
        <v>0</v>
      </c>
      <c r="P541" s="14">
        <f>IFERROR(ROUND(SUM(S542,S543)/I541, 2),0)</f>
        <v>0</v>
      </c>
      <c r="Q541" s="15">
        <v>278</v>
      </c>
      <c r="R541" s="14">
        <f>P541+ROUND(Q541, 2)</f>
        <v>278</v>
      </c>
      <c r="S541" s="14">
        <f>ROUND(P541*I541, 2)</f>
        <v>0</v>
      </c>
      <c r="T541" s="14">
        <f>ROUND(I541*ROUND(Q541, 2), 2)</f>
        <v>0</v>
      </c>
      <c r="U541" s="14">
        <f>S541+T541</f>
        <v>0</v>
      </c>
      <c r="V541" s="9">
        <f>ROUND(P541 / 1.2, 2)</f>
        <v>0</v>
      </c>
      <c r="W541" s="9">
        <f>ROUND(Q541 / 1.2, 2)</f>
        <v>231.67</v>
      </c>
      <c r="X541" s="9">
        <f>ROUND(R541 / 1.2, 2)</f>
        <v>231.67</v>
      </c>
      <c r="Y541" s="9">
        <f t="shared" si="30"/>
        <v>0</v>
      </c>
      <c r="Z541" s="9">
        <f>ROUND(T541 / 1.2, 2)</f>
        <v>0</v>
      </c>
      <c r="AA541" s="9">
        <f>Y541+Z541</f>
        <v>0</v>
      </c>
      <c r="AD541" s="4">
        <v>271132246</v>
      </c>
      <c r="AE541" s="4">
        <v>16231523</v>
      </c>
      <c r="AG541" s="4" t="s">
        <v>2061</v>
      </c>
      <c r="AH541" s="4" t="s">
        <v>2062</v>
      </c>
      <c r="AI541" s="4" t="s">
        <v>67</v>
      </c>
    </row>
    <row r="542" spans="1:35" ht="36" x14ac:dyDescent="0.3">
      <c r="A542" s="10" t="s">
        <v>2077</v>
      </c>
      <c r="B542" s="10"/>
      <c r="C542" s="24" t="s">
        <v>433</v>
      </c>
      <c r="D542" s="12"/>
      <c r="E542" s="12"/>
      <c r="F542" s="18" t="s">
        <v>70</v>
      </c>
      <c r="G542" s="19">
        <v>0.15</v>
      </c>
      <c r="H542" s="20"/>
      <c r="I542" s="20">
        <v>0</v>
      </c>
      <c r="J542" s="21">
        <v>88.8</v>
      </c>
      <c r="M542" s="22">
        <f>ROUND(ROUND(J542, 2)*I542, 2)</f>
        <v>0</v>
      </c>
      <c r="P542" s="21">
        <v>88.8</v>
      </c>
      <c r="S542" s="22">
        <f>ROUND(ROUND(P542, 2)*I542, 2)</f>
        <v>0</v>
      </c>
      <c r="V542" s="9">
        <f>ROUND(ROUND(P542, 2)/1.2, 2)</f>
        <v>74</v>
      </c>
      <c r="Y542" s="9">
        <f t="shared" si="30"/>
        <v>0</v>
      </c>
      <c r="AD542" s="4" t="s">
        <v>2078</v>
      </c>
      <c r="AE542" s="4" t="s">
        <v>2079</v>
      </c>
      <c r="AF542" s="4" t="s">
        <v>436</v>
      </c>
    </row>
    <row r="543" spans="1:35" ht="54" x14ac:dyDescent="0.3">
      <c r="A543" s="10" t="s">
        <v>2082</v>
      </c>
      <c r="B543" s="10"/>
      <c r="C543" s="24" t="s">
        <v>2083</v>
      </c>
      <c r="D543" s="12"/>
      <c r="E543" s="12" t="s">
        <v>2084</v>
      </c>
      <c r="F543" s="18" t="s">
        <v>70</v>
      </c>
      <c r="G543" s="19">
        <v>0.3</v>
      </c>
      <c r="H543" s="20"/>
      <c r="I543" s="20">
        <v>0</v>
      </c>
      <c r="J543" s="21">
        <v>226.67</v>
      </c>
      <c r="M543" s="22">
        <f>ROUND(ROUND(J543, 2)*I543, 2)</f>
        <v>0</v>
      </c>
      <c r="P543" s="21">
        <v>226.67</v>
      </c>
      <c r="S543" s="22">
        <f>ROUND(ROUND(P543, 2)*I543, 2)</f>
        <v>0</v>
      </c>
      <c r="V543" s="9">
        <f>ROUND(ROUND(P543, 2)/1.2, 2)</f>
        <v>188.89</v>
      </c>
      <c r="Y543" s="9">
        <f t="shared" si="30"/>
        <v>0</v>
      </c>
      <c r="AD543" s="4" t="s">
        <v>2085</v>
      </c>
      <c r="AE543" s="4" t="s">
        <v>2086</v>
      </c>
      <c r="AF543" s="4" t="s">
        <v>2087</v>
      </c>
    </row>
    <row r="544" spans="1:35" ht="54" x14ac:dyDescent="0.3">
      <c r="A544" s="10" t="s">
        <v>2090</v>
      </c>
      <c r="B544" s="10" t="s">
        <v>2059</v>
      </c>
      <c r="C544" s="11" t="s">
        <v>2060</v>
      </c>
      <c r="D544" s="12"/>
      <c r="E544" s="12" t="s">
        <v>63</v>
      </c>
      <c r="F544" s="12" t="s">
        <v>64</v>
      </c>
      <c r="G544" s="13">
        <v>1</v>
      </c>
      <c r="H544" s="13"/>
      <c r="I544" s="13">
        <v>0</v>
      </c>
      <c r="J544" s="14">
        <f>IFERROR(ROUND(SUM(M545,M546)/I544, 2),0)</f>
        <v>0</v>
      </c>
      <c r="K544" s="15">
        <v>278</v>
      </c>
      <c r="L544" s="14">
        <f>J544+ROUND(K544, 2)</f>
        <v>278</v>
      </c>
      <c r="M544" s="14">
        <f>ROUND(J544*I544, 2)</f>
        <v>0</v>
      </c>
      <c r="N544" s="14">
        <f>ROUND(I544*ROUND(K544, 2), 2)</f>
        <v>0</v>
      </c>
      <c r="O544" s="14">
        <f>M544+N544</f>
        <v>0</v>
      </c>
      <c r="P544" s="14">
        <f>IFERROR(ROUND(SUM(S545,S546)/I544, 2),0)</f>
        <v>0</v>
      </c>
      <c r="Q544" s="15">
        <v>278</v>
      </c>
      <c r="R544" s="14">
        <f>P544+ROUND(Q544, 2)</f>
        <v>278</v>
      </c>
      <c r="S544" s="14">
        <f>ROUND(P544*I544, 2)</f>
        <v>0</v>
      </c>
      <c r="T544" s="14">
        <f>ROUND(I544*ROUND(Q544, 2), 2)</f>
        <v>0</v>
      </c>
      <c r="U544" s="14">
        <f>S544+T544</f>
        <v>0</v>
      </c>
      <c r="V544" s="9">
        <f>ROUND(P544 / 1.2, 2)</f>
        <v>0</v>
      </c>
      <c r="W544" s="9">
        <f>ROUND(Q544 / 1.2, 2)</f>
        <v>231.67</v>
      </c>
      <c r="X544" s="9">
        <f>ROUND(R544 / 1.2, 2)</f>
        <v>231.67</v>
      </c>
      <c r="Y544" s="9">
        <f t="shared" si="30"/>
        <v>0</v>
      </c>
      <c r="Z544" s="9">
        <f>ROUND(T544 / 1.2, 2)</f>
        <v>0</v>
      </c>
      <c r="AA544" s="9">
        <f>Y544+Z544</f>
        <v>0</v>
      </c>
      <c r="AD544" s="4">
        <v>271132247</v>
      </c>
      <c r="AE544" s="4">
        <v>16231517</v>
      </c>
      <c r="AG544" s="4" t="s">
        <v>2061</v>
      </c>
      <c r="AH544" s="4" t="s">
        <v>2062</v>
      </c>
      <c r="AI544" s="4" t="s">
        <v>67</v>
      </c>
    </row>
    <row r="545" spans="1:35" ht="36" x14ac:dyDescent="0.3">
      <c r="A545" s="10" t="s">
        <v>2092</v>
      </c>
      <c r="B545" s="10"/>
      <c r="C545" s="24" t="s">
        <v>433</v>
      </c>
      <c r="D545" s="12"/>
      <c r="E545" s="12"/>
      <c r="F545" s="18" t="s">
        <v>70</v>
      </c>
      <c r="G545" s="19">
        <v>0.15</v>
      </c>
      <c r="H545" s="20"/>
      <c r="I545" s="20">
        <v>0</v>
      </c>
      <c r="J545" s="21">
        <v>88.8</v>
      </c>
      <c r="M545" s="22">
        <f>ROUND(ROUND(J545, 2)*I545, 2)</f>
        <v>0</v>
      </c>
      <c r="P545" s="21">
        <v>88.8</v>
      </c>
      <c r="S545" s="22">
        <f>ROUND(ROUND(P545, 2)*I545, 2)</f>
        <v>0</v>
      </c>
      <c r="V545" s="9">
        <f>ROUND(ROUND(P545, 2)/1.2, 2)</f>
        <v>74</v>
      </c>
      <c r="Y545" s="9">
        <f t="shared" si="30"/>
        <v>0</v>
      </c>
      <c r="AD545" s="4" t="s">
        <v>2093</v>
      </c>
      <c r="AE545" s="4" t="s">
        <v>2094</v>
      </c>
      <c r="AF545" s="4" t="s">
        <v>436</v>
      </c>
    </row>
    <row r="546" spans="1:35" ht="54" x14ac:dyDescent="0.3">
      <c r="A546" s="10" t="s">
        <v>2097</v>
      </c>
      <c r="B546" s="10"/>
      <c r="C546" s="24" t="s">
        <v>2083</v>
      </c>
      <c r="D546" s="12"/>
      <c r="E546" s="12" t="s">
        <v>2098</v>
      </c>
      <c r="F546" s="18" t="s">
        <v>70</v>
      </c>
      <c r="G546" s="19">
        <v>0.3</v>
      </c>
      <c r="H546" s="20"/>
      <c r="I546" s="20">
        <v>0</v>
      </c>
      <c r="J546" s="21">
        <v>226.67</v>
      </c>
      <c r="M546" s="22">
        <f>ROUND(ROUND(J546, 2)*I546, 2)</f>
        <v>0</v>
      </c>
      <c r="P546" s="21">
        <v>226.67</v>
      </c>
      <c r="S546" s="22">
        <f>ROUND(ROUND(P546, 2)*I546, 2)</f>
        <v>0</v>
      </c>
      <c r="V546" s="9">
        <f>ROUND(ROUND(P546, 2)/1.2, 2)</f>
        <v>188.89</v>
      </c>
      <c r="Y546" s="9">
        <f t="shared" si="30"/>
        <v>0</v>
      </c>
      <c r="AD546" s="4" t="s">
        <v>2099</v>
      </c>
      <c r="AE546" s="4" t="s">
        <v>2100</v>
      </c>
      <c r="AF546" s="4" t="s">
        <v>2087</v>
      </c>
    </row>
    <row r="547" spans="1:35" ht="54" x14ac:dyDescent="0.3">
      <c r="A547" s="10" t="s">
        <v>2103</v>
      </c>
      <c r="B547" s="10" t="s">
        <v>2059</v>
      </c>
      <c r="C547" s="11" t="s">
        <v>2060</v>
      </c>
      <c r="D547" s="12"/>
      <c r="E547" s="12" t="s">
        <v>63</v>
      </c>
      <c r="F547" s="12" t="s">
        <v>64</v>
      </c>
      <c r="G547" s="13">
        <v>1</v>
      </c>
      <c r="H547" s="13"/>
      <c r="I547" s="13">
        <v>0</v>
      </c>
      <c r="J547" s="14">
        <f>IFERROR(ROUND(SUM(M548,M549)/I547, 2),0)</f>
        <v>0</v>
      </c>
      <c r="K547" s="15">
        <v>278</v>
      </c>
      <c r="L547" s="14">
        <f>J547+ROUND(K547, 2)</f>
        <v>278</v>
      </c>
      <c r="M547" s="14">
        <f>ROUND(J547*I547, 2)</f>
        <v>0</v>
      </c>
      <c r="N547" s="14">
        <f>ROUND(I547*ROUND(K547, 2), 2)</f>
        <v>0</v>
      </c>
      <c r="O547" s="14">
        <f>M547+N547</f>
        <v>0</v>
      </c>
      <c r="P547" s="14">
        <f>IFERROR(ROUND(SUM(S548,S549)/I547, 2),0)</f>
        <v>0</v>
      </c>
      <c r="Q547" s="15">
        <v>278</v>
      </c>
      <c r="R547" s="14">
        <f>P547+ROUND(Q547, 2)</f>
        <v>278</v>
      </c>
      <c r="S547" s="14">
        <f>ROUND(P547*I547, 2)</f>
        <v>0</v>
      </c>
      <c r="T547" s="14">
        <f>ROUND(I547*ROUND(Q547, 2), 2)</f>
        <v>0</v>
      </c>
      <c r="U547" s="14">
        <f>S547+T547</f>
        <v>0</v>
      </c>
      <c r="V547" s="9">
        <f>ROUND(P547 / 1.2, 2)</f>
        <v>0</v>
      </c>
      <c r="W547" s="9">
        <f>ROUND(Q547 / 1.2, 2)</f>
        <v>231.67</v>
      </c>
      <c r="X547" s="9">
        <f>ROUND(R547 / 1.2, 2)</f>
        <v>231.67</v>
      </c>
      <c r="Y547" s="9">
        <f t="shared" si="30"/>
        <v>0</v>
      </c>
      <c r="Z547" s="9">
        <f>ROUND(T547 / 1.2, 2)</f>
        <v>0</v>
      </c>
      <c r="AA547" s="9">
        <f>Y547+Z547</f>
        <v>0</v>
      </c>
      <c r="AD547" s="4">
        <v>271132248</v>
      </c>
      <c r="AE547" s="4">
        <v>16231518</v>
      </c>
      <c r="AG547" s="4" t="s">
        <v>2061</v>
      </c>
      <c r="AH547" s="4" t="s">
        <v>2062</v>
      </c>
      <c r="AI547" s="4" t="s">
        <v>67</v>
      </c>
    </row>
    <row r="548" spans="1:35" ht="36" x14ac:dyDescent="0.3">
      <c r="A548" s="10" t="s">
        <v>2105</v>
      </c>
      <c r="B548" s="10"/>
      <c r="C548" s="24" t="s">
        <v>433</v>
      </c>
      <c r="D548" s="12"/>
      <c r="E548" s="12"/>
      <c r="F548" s="18" t="s">
        <v>70</v>
      </c>
      <c r="G548" s="19">
        <v>0.15</v>
      </c>
      <c r="H548" s="20"/>
      <c r="I548" s="20">
        <v>0</v>
      </c>
      <c r="J548" s="21">
        <v>88.8</v>
      </c>
      <c r="M548" s="22">
        <f>ROUND(ROUND(J548, 2)*I548, 2)</f>
        <v>0</v>
      </c>
      <c r="P548" s="21">
        <v>88.8</v>
      </c>
      <c r="S548" s="22">
        <f>ROUND(ROUND(P548, 2)*I548, 2)</f>
        <v>0</v>
      </c>
      <c r="V548" s="9">
        <f>ROUND(ROUND(P548, 2)/1.2, 2)</f>
        <v>74</v>
      </c>
      <c r="Y548" s="9">
        <f t="shared" si="30"/>
        <v>0</v>
      </c>
      <c r="AD548" s="4" t="s">
        <v>2106</v>
      </c>
      <c r="AE548" s="4" t="s">
        <v>2107</v>
      </c>
      <c r="AF548" s="4" t="s">
        <v>436</v>
      </c>
    </row>
    <row r="549" spans="1:35" ht="54" x14ac:dyDescent="0.3">
      <c r="A549" s="10" t="s">
        <v>2110</v>
      </c>
      <c r="B549" s="10"/>
      <c r="C549" s="24" t="s">
        <v>2083</v>
      </c>
      <c r="D549" s="12"/>
      <c r="E549" s="12" t="s">
        <v>2111</v>
      </c>
      <c r="F549" s="18" t="s">
        <v>70</v>
      </c>
      <c r="G549" s="19">
        <v>0.3</v>
      </c>
      <c r="H549" s="20"/>
      <c r="I549" s="20">
        <v>0</v>
      </c>
      <c r="J549" s="21">
        <v>226.67</v>
      </c>
      <c r="M549" s="22">
        <f>ROUND(ROUND(J549, 2)*I549, 2)</f>
        <v>0</v>
      </c>
      <c r="P549" s="21">
        <v>226.67</v>
      </c>
      <c r="S549" s="22">
        <f>ROUND(ROUND(P549, 2)*I549, 2)</f>
        <v>0</v>
      </c>
      <c r="V549" s="9">
        <f>ROUND(ROUND(P549, 2)/1.2, 2)</f>
        <v>188.89</v>
      </c>
      <c r="Y549" s="9">
        <f t="shared" si="30"/>
        <v>0</v>
      </c>
      <c r="AD549" s="4" t="s">
        <v>2112</v>
      </c>
      <c r="AE549" s="4" t="s">
        <v>2113</v>
      </c>
      <c r="AF549" s="4" t="s">
        <v>2087</v>
      </c>
    </row>
    <row r="550" spans="1:35" ht="54" x14ac:dyDescent="0.3">
      <c r="A550" s="10" t="s">
        <v>2116</v>
      </c>
      <c r="B550" s="10" t="s">
        <v>2059</v>
      </c>
      <c r="C550" s="11" t="s">
        <v>2060</v>
      </c>
      <c r="D550" s="12"/>
      <c r="E550" s="12" t="s">
        <v>63</v>
      </c>
      <c r="F550" s="12" t="s">
        <v>64</v>
      </c>
      <c r="G550" s="13">
        <v>1</v>
      </c>
      <c r="H550" s="13"/>
      <c r="I550" s="13">
        <v>0</v>
      </c>
      <c r="J550" s="14">
        <f>IFERROR(ROUND(SUM(M551,M552)/I550, 2),0)</f>
        <v>0</v>
      </c>
      <c r="K550" s="15">
        <v>278</v>
      </c>
      <c r="L550" s="14">
        <f>J550+ROUND(K550, 2)</f>
        <v>278</v>
      </c>
      <c r="M550" s="14">
        <f>ROUND(J550*I550, 2)</f>
        <v>0</v>
      </c>
      <c r="N550" s="14">
        <f>ROUND(I550*ROUND(K550, 2), 2)</f>
        <v>0</v>
      </c>
      <c r="O550" s="14">
        <f>M550+N550</f>
        <v>0</v>
      </c>
      <c r="P550" s="14">
        <f>IFERROR(ROUND(SUM(S551,S552)/I550, 2),0)</f>
        <v>0</v>
      </c>
      <c r="Q550" s="15">
        <v>278</v>
      </c>
      <c r="R550" s="14">
        <f>P550+ROUND(Q550, 2)</f>
        <v>278</v>
      </c>
      <c r="S550" s="14">
        <f>ROUND(P550*I550, 2)</f>
        <v>0</v>
      </c>
      <c r="T550" s="14">
        <f>ROUND(I550*ROUND(Q550, 2), 2)</f>
        <v>0</v>
      </c>
      <c r="U550" s="14">
        <f>S550+T550</f>
        <v>0</v>
      </c>
      <c r="V550" s="9">
        <f>ROUND(P550 / 1.2, 2)</f>
        <v>0</v>
      </c>
      <c r="W550" s="9">
        <f>ROUND(Q550 / 1.2, 2)</f>
        <v>231.67</v>
      </c>
      <c r="X550" s="9">
        <f>ROUND(R550 / 1.2, 2)</f>
        <v>231.67</v>
      </c>
      <c r="Y550" s="9">
        <f t="shared" si="30"/>
        <v>0</v>
      </c>
      <c r="Z550" s="9">
        <f>ROUND(T550 / 1.2, 2)</f>
        <v>0</v>
      </c>
      <c r="AA550" s="9">
        <f>Y550+Z550</f>
        <v>0</v>
      </c>
      <c r="AD550" s="4">
        <v>271132249</v>
      </c>
      <c r="AE550" s="4">
        <v>16231519</v>
      </c>
      <c r="AG550" s="4" t="s">
        <v>2061</v>
      </c>
      <c r="AH550" s="4" t="s">
        <v>2062</v>
      </c>
      <c r="AI550" s="4" t="s">
        <v>67</v>
      </c>
    </row>
    <row r="551" spans="1:35" ht="36" x14ac:dyDescent="0.3">
      <c r="A551" s="10" t="s">
        <v>2118</v>
      </c>
      <c r="B551" s="10"/>
      <c r="C551" s="24" t="s">
        <v>433</v>
      </c>
      <c r="D551" s="12"/>
      <c r="E551" s="12"/>
      <c r="F551" s="18" t="s">
        <v>70</v>
      </c>
      <c r="G551" s="19">
        <v>0.15</v>
      </c>
      <c r="H551" s="20"/>
      <c r="I551" s="20">
        <v>0</v>
      </c>
      <c r="J551" s="21">
        <v>88.8</v>
      </c>
      <c r="M551" s="22">
        <f>ROUND(ROUND(J551, 2)*I551, 2)</f>
        <v>0</v>
      </c>
      <c r="P551" s="21">
        <v>88.8</v>
      </c>
      <c r="S551" s="22">
        <f>ROUND(ROUND(P551, 2)*I551, 2)</f>
        <v>0</v>
      </c>
      <c r="V551" s="9">
        <f>ROUND(ROUND(P551, 2)/1.2, 2)</f>
        <v>74</v>
      </c>
      <c r="Y551" s="9">
        <f t="shared" si="30"/>
        <v>0</v>
      </c>
      <c r="AD551" s="4" t="s">
        <v>2119</v>
      </c>
      <c r="AE551" s="4" t="s">
        <v>2120</v>
      </c>
      <c r="AF551" s="4" t="s">
        <v>436</v>
      </c>
    </row>
    <row r="552" spans="1:35" ht="54" x14ac:dyDescent="0.3">
      <c r="A552" s="10" t="s">
        <v>2123</v>
      </c>
      <c r="B552" s="10"/>
      <c r="C552" s="24" t="s">
        <v>2083</v>
      </c>
      <c r="D552" s="12"/>
      <c r="E552" s="12" t="s">
        <v>2124</v>
      </c>
      <c r="F552" s="18" t="s">
        <v>70</v>
      </c>
      <c r="G552" s="19">
        <v>0.3</v>
      </c>
      <c r="H552" s="20"/>
      <c r="I552" s="20">
        <v>0</v>
      </c>
      <c r="J552" s="21">
        <v>226.67</v>
      </c>
      <c r="M552" s="22">
        <f>ROUND(ROUND(J552, 2)*I552, 2)</f>
        <v>0</v>
      </c>
      <c r="P552" s="21">
        <v>226.67</v>
      </c>
      <c r="S552" s="22">
        <f>ROUND(ROUND(P552, 2)*I552, 2)</f>
        <v>0</v>
      </c>
      <c r="V552" s="9">
        <f>ROUND(ROUND(P552, 2)/1.2, 2)</f>
        <v>188.89</v>
      </c>
      <c r="Y552" s="9">
        <f t="shared" si="30"/>
        <v>0</v>
      </c>
      <c r="AD552" s="4" t="s">
        <v>2125</v>
      </c>
      <c r="AE552" s="4" t="s">
        <v>2126</v>
      </c>
      <c r="AF552" s="4" t="s">
        <v>2087</v>
      </c>
    </row>
    <row r="553" spans="1:35" ht="54" x14ac:dyDescent="0.3">
      <c r="A553" s="10" t="s">
        <v>2129</v>
      </c>
      <c r="B553" s="10" t="s">
        <v>2059</v>
      </c>
      <c r="C553" s="11" t="s">
        <v>2060</v>
      </c>
      <c r="D553" s="12"/>
      <c r="E553" s="12" t="s">
        <v>63</v>
      </c>
      <c r="F553" s="12" t="s">
        <v>64</v>
      </c>
      <c r="G553" s="13">
        <v>1</v>
      </c>
      <c r="H553" s="13"/>
      <c r="I553" s="13">
        <v>0</v>
      </c>
      <c r="J553" s="14">
        <f>IFERROR(ROUND(SUM(M554,M555)/I553, 2),0)</f>
        <v>0</v>
      </c>
      <c r="K553" s="15">
        <v>278</v>
      </c>
      <c r="L553" s="14">
        <f>J553+ROUND(K553, 2)</f>
        <v>278</v>
      </c>
      <c r="M553" s="14">
        <f>ROUND(J553*I553, 2)</f>
        <v>0</v>
      </c>
      <c r="N553" s="14">
        <f>ROUND(I553*ROUND(K553, 2), 2)</f>
        <v>0</v>
      </c>
      <c r="O553" s="14">
        <f>M553+N553</f>
        <v>0</v>
      </c>
      <c r="P553" s="14">
        <f>IFERROR(ROUND(SUM(S554,S555)/I553, 2),0)</f>
        <v>0</v>
      </c>
      <c r="Q553" s="15">
        <v>278</v>
      </c>
      <c r="R553" s="14">
        <f>P553+ROUND(Q553, 2)</f>
        <v>278</v>
      </c>
      <c r="S553" s="14">
        <f>ROUND(P553*I553, 2)</f>
        <v>0</v>
      </c>
      <c r="T553" s="14">
        <f>ROUND(I553*ROUND(Q553, 2), 2)</f>
        <v>0</v>
      </c>
      <c r="U553" s="14">
        <f>S553+T553</f>
        <v>0</v>
      </c>
      <c r="V553" s="9">
        <f>ROUND(P553 / 1.2, 2)</f>
        <v>0</v>
      </c>
      <c r="W553" s="9">
        <f>ROUND(Q553 / 1.2, 2)</f>
        <v>231.67</v>
      </c>
      <c r="X553" s="9">
        <f>ROUND(R553 / 1.2, 2)</f>
        <v>231.67</v>
      </c>
      <c r="Y553" s="9">
        <f t="shared" si="30"/>
        <v>0</v>
      </c>
      <c r="Z553" s="9">
        <f>ROUND(T553 / 1.2, 2)</f>
        <v>0</v>
      </c>
      <c r="AA553" s="9">
        <f>Y553+Z553</f>
        <v>0</v>
      </c>
      <c r="AD553" s="4">
        <v>271132250</v>
      </c>
      <c r="AE553" s="4">
        <v>16231520</v>
      </c>
      <c r="AG553" s="4" t="s">
        <v>2061</v>
      </c>
      <c r="AH553" s="4" t="s">
        <v>2062</v>
      </c>
      <c r="AI553" s="4" t="s">
        <v>67</v>
      </c>
    </row>
    <row r="554" spans="1:35" ht="36" x14ac:dyDescent="0.3">
      <c r="A554" s="10" t="s">
        <v>2131</v>
      </c>
      <c r="B554" s="10"/>
      <c r="C554" s="24" t="s">
        <v>433</v>
      </c>
      <c r="D554" s="12"/>
      <c r="E554" s="12"/>
      <c r="F554" s="18" t="s">
        <v>70</v>
      </c>
      <c r="G554" s="19">
        <v>0.15</v>
      </c>
      <c r="H554" s="20"/>
      <c r="I554" s="20">
        <v>0</v>
      </c>
      <c r="J554" s="21">
        <v>88.8</v>
      </c>
      <c r="M554" s="22">
        <f>ROUND(ROUND(J554, 2)*I554, 2)</f>
        <v>0</v>
      </c>
      <c r="P554" s="21">
        <v>88.8</v>
      </c>
      <c r="S554" s="22">
        <f>ROUND(ROUND(P554, 2)*I554, 2)</f>
        <v>0</v>
      </c>
      <c r="V554" s="9">
        <f>ROUND(ROUND(P554, 2)/1.2, 2)</f>
        <v>74</v>
      </c>
      <c r="Y554" s="9">
        <f t="shared" si="30"/>
        <v>0</v>
      </c>
      <c r="AD554" s="4" t="s">
        <v>2132</v>
      </c>
      <c r="AE554" s="4" t="s">
        <v>2133</v>
      </c>
      <c r="AF554" s="4" t="s">
        <v>436</v>
      </c>
    </row>
    <row r="555" spans="1:35" ht="54" x14ac:dyDescent="0.3">
      <c r="A555" s="10" t="s">
        <v>2136</v>
      </c>
      <c r="B555" s="10"/>
      <c r="C555" s="24" t="s">
        <v>2083</v>
      </c>
      <c r="D555" s="12"/>
      <c r="E555" s="12" t="s">
        <v>2137</v>
      </c>
      <c r="F555" s="18" t="s">
        <v>70</v>
      </c>
      <c r="G555" s="19">
        <v>0.3</v>
      </c>
      <c r="H555" s="20"/>
      <c r="I555" s="20">
        <v>0</v>
      </c>
      <c r="J555" s="21">
        <v>226.67</v>
      </c>
      <c r="M555" s="22">
        <f>ROUND(ROUND(J555, 2)*I555, 2)</f>
        <v>0</v>
      </c>
      <c r="P555" s="21">
        <v>226.67</v>
      </c>
      <c r="S555" s="22">
        <f>ROUND(ROUND(P555, 2)*I555, 2)</f>
        <v>0</v>
      </c>
      <c r="V555" s="9">
        <f>ROUND(ROUND(P555, 2)/1.2, 2)</f>
        <v>188.89</v>
      </c>
      <c r="Y555" s="9">
        <f t="shared" si="30"/>
        <v>0</v>
      </c>
      <c r="AD555" s="4" t="s">
        <v>2138</v>
      </c>
      <c r="AE555" s="4" t="s">
        <v>2139</v>
      </c>
      <c r="AF555" s="4" t="s">
        <v>2087</v>
      </c>
    </row>
    <row r="556" spans="1:35" ht="54" x14ac:dyDescent="0.3">
      <c r="A556" s="10" t="s">
        <v>2142</v>
      </c>
      <c r="B556" s="10" t="s">
        <v>2059</v>
      </c>
      <c r="C556" s="11" t="s">
        <v>2060</v>
      </c>
      <c r="D556" s="12"/>
      <c r="E556" s="12" t="s">
        <v>63</v>
      </c>
      <c r="F556" s="12" t="s">
        <v>64</v>
      </c>
      <c r="G556" s="13">
        <v>1</v>
      </c>
      <c r="H556" s="13"/>
      <c r="I556" s="13">
        <v>0</v>
      </c>
      <c r="J556" s="14">
        <f>IFERROR(ROUND(SUM(M557,M558)/I556, 2),0)</f>
        <v>0</v>
      </c>
      <c r="K556" s="15">
        <v>278</v>
      </c>
      <c r="L556" s="14">
        <f>J556+ROUND(K556, 2)</f>
        <v>278</v>
      </c>
      <c r="M556" s="14">
        <f>ROUND(J556*I556, 2)</f>
        <v>0</v>
      </c>
      <c r="N556" s="14">
        <f>ROUND(I556*ROUND(K556, 2), 2)</f>
        <v>0</v>
      </c>
      <c r="O556" s="14">
        <f>M556+N556</f>
        <v>0</v>
      </c>
      <c r="P556" s="14">
        <f>IFERROR(ROUND(SUM(S557,S558)/I556, 2),0)</f>
        <v>0</v>
      </c>
      <c r="Q556" s="15">
        <v>278</v>
      </c>
      <c r="R556" s="14">
        <f>P556+ROUND(Q556, 2)</f>
        <v>278</v>
      </c>
      <c r="S556" s="14">
        <f>ROUND(P556*I556, 2)</f>
        <v>0</v>
      </c>
      <c r="T556" s="14">
        <f>ROUND(I556*ROUND(Q556, 2), 2)</f>
        <v>0</v>
      </c>
      <c r="U556" s="14">
        <f>S556+T556</f>
        <v>0</v>
      </c>
      <c r="V556" s="9">
        <f>ROUND(P556 / 1.2, 2)</f>
        <v>0</v>
      </c>
      <c r="W556" s="9">
        <f>ROUND(Q556 / 1.2, 2)</f>
        <v>231.67</v>
      </c>
      <c r="X556" s="9">
        <f>ROUND(R556 / 1.2, 2)</f>
        <v>231.67</v>
      </c>
      <c r="Y556" s="9">
        <f t="shared" si="30"/>
        <v>0</v>
      </c>
      <c r="Z556" s="9">
        <f>ROUND(T556 / 1.2, 2)</f>
        <v>0</v>
      </c>
      <c r="AA556" s="9">
        <f>Y556+Z556</f>
        <v>0</v>
      </c>
      <c r="AD556" s="4">
        <v>271132251</v>
      </c>
      <c r="AE556" s="4">
        <v>16231521</v>
      </c>
      <c r="AG556" s="4" t="s">
        <v>2061</v>
      </c>
      <c r="AH556" s="4" t="s">
        <v>2062</v>
      </c>
      <c r="AI556" s="4" t="s">
        <v>67</v>
      </c>
    </row>
    <row r="557" spans="1:35" ht="36" x14ac:dyDescent="0.3">
      <c r="A557" s="10" t="s">
        <v>2144</v>
      </c>
      <c r="B557" s="10"/>
      <c r="C557" s="24" t="s">
        <v>433</v>
      </c>
      <c r="D557" s="12"/>
      <c r="E557" s="12"/>
      <c r="F557" s="18" t="s">
        <v>70</v>
      </c>
      <c r="G557" s="19">
        <v>0.15</v>
      </c>
      <c r="H557" s="20"/>
      <c r="I557" s="20">
        <v>0</v>
      </c>
      <c r="J557" s="21">
        <v>88.8</v>
      </c>
      <c r="M557" s="22">
        <f>ROUND(ROUND(J557, 2)*I557, 2)</f>
        <v>0</v>
      </c>
      <c r="P557" s="21">
        <v>88.8</v>
      </c>
      <c r="S557" s="22">
        <f>ROUND(ROUND(P557, 2)*I557, 2)</f>
        <v>0</v>
      </c>
      <c r="V557" s="9">
        <f>ROUND(ROUND(P557, 2)/1.2, 2)</f>
        <v>74</v>
      </c>
      <c r="Y557" s="9">
        <f t="shared" si="30"/>
        <v>0</v>
      </c>
      <c r="AD557" s="4" t="s">
        <v>2145</v>
      </c>
      <c r="AE557" s="4" t="s">
        <v>2146</v>
      </c>
      <c r="AF557" s="4" t="s">
        <v>436</v>
      </c>
    </row>
    <row r="558" spans="1:35" ht="54" x14ac:dyDescent="0.3">
      <c r="A558" s="10" t="s">
        <v>2149</v>
      </c>
      <c r="B558" s="10"/>
      <c r="C558" s="24" t="s">
        <v>2083</v>
      </c>
      <c r="D558" s="12"/>
      <c r="E558" s="12" t="s">
        <v>2150</v>
      </c>
      <c r="F558" s="18" t="s">
        <v>70</v>
      </c>
      <c r="G558" s="19">
        <v>0.3</v>
      </c>
      <c r="H558" s="20"/>
      <c r="I558" s="20">
        <v>0</v>
      </c>
      <c r="J558" s="21">
        <v>226.67</v>
      </c>
      <c r="M558" s="22">
        <f>ROUND(ROUND(J558, 2)*I558, 2)</f>
        <v>0</v>
      </c>
      <c r="P558" s="21">
        <v>226.67</v>
      </c>
      <c r="S558" s="22">
        <f>ROUND(ROUND(P558, 2)*I558, 2)</f>
        <v>0</v>
      </c>
      <c r="V558" s="9">
        <f>ROUND(ROUND(P558, 2)/1.2, 2)</f>
        <v>188.89</v>
      </c>
      <c r="Y558" s="9">
        <f t="shared" si="30"/>
        <v>0</v>
      </c>
      <c r="AD558" s="4" t="s">
        <v>2151</v>
      </c>
      <c r="AE558" s="4" t="s">
        <v>2152</v>
      </c>
      <c r="AF558" s="4" t="s">
        <v>2087</v>
      </c>
    </row>
    <row r="559" spans="1:35" ht="54" x14ac:dyDescent="0.3">
      <c r="A559" s="10" t="s">
        <v>2155</v>
      </c>
      <c r="B559" s="10" t="s">
        <v>2059</v>
      </c>
      <c r="C559" s="11" t="s">
        <v>2060</v>
      </c>
      <c r="D559" s="12"/>
      <c r="E559" s="12" t="s">
        <v>63</v>
      </c>
      <c r="F559" s="12" t="s">
        <v>64</v>
      </c>
      <c r="G559" s="13">
        <v>1</v>
      </c>
      <c r="H559" s="13"/>
      <c r="I559" s="13">
        <v>0</v>
      </c>
      <c r="J559" s="14">
        <f>IFERROR(ROUND(SUM(M560,M561)/I559, 2),0)</f>
        <v>0</v>
      </c>
      <c r="K559" s="15">
        <v>278</v>
      </c>
      <c r="L559" s="14">
        <f>J559+ROUND(K559, 2)</f>
        <v>278</v>
      </c>
      <c r="M559" s="14">
        <f>ROUND(J559*I559, 2)</f>
        <v>0</v>
      </c>
      <c r="N559" s="14">
        <f>ROUND(I559*ROUND(K559, 2), 2)</f>
        <v>0</v>
      </c>
      <c r="O559" s="14">
        <f>M559+N559</f>
        <v>0</v>
      </c>
      <c r="P559" s="14">
        <f>IFERROR(ROUND(SUM(S560,S561)/I559, 2),0)</f>
        <v>0</v>
      </c>
      <c r="Q559" s="15">
        <v>278</v>
      </c>
      <c r="R559" s="14">
        <f>P559+ROUND(Q559, 2)</f>
        <v>278</v>
      </c>
      <c r="S559" s="14">
        <f>ROUND(P559*I559, 2)</f>
        <v>0</v>
      </c>
      <c r="T559" s="14">
        <f>ROUND(I559*ROUND(Q559, 2), 2)</f>
        <v>0</v>
      </c>
      <c r="U559" s="14">
        <f>S559+T559</f>
        <v>0</v>
      </c>
      <c r="V559" s="9">
        <f>ROUND(P559 / 1.2, 2)</f>
        <v>0</v>
      </c>
      <c r="W559" s="9">
        <f>ROUND(Q559 / 1.2, 2)</f>
        <v>231.67</v>
      </c>
      <c r="X559" s="9">
        <f>ROUND(R559 / 1.2, 2)</f>
        <v>231.67</v>
      </c>
      <c r="Y559" s="9">
        <f t="shared" si="30"/>
        <v>0</v>
      </c>
      <c r="Z559" s="9">
        <f>ROUND(T559 / 1.2, 2)</f>
        <v>0</v>
      </c>
      <c r="AA559" s="9">
        <f>Y559+Z559</f>
        <v>0</v>
      </c>
      <c r="AD559" s="4">
        <v>271132252</v>
      </c>
      <c r="AE559" s="4">
        <v>16231522</v>
      </c>
      <c r="AG559" s="4" t="s">
        <v>2061</v>
      </c>
      <c r="AH559" s="4" t="s">
        <v>2062</v>
      </c>
      <c r="AI559" s="4" t="s">
        <v>67</v>
      </c>
    </row>
    <row r="560" spans="1:35" ht="36" x14ac:dyDescent="0.3">
      <c r="A560" s="10" t="s">
        <v>2157</v>
      </c>
      <c r="B560" s="10"/>
      <c r="C560" s="24" t="s">
        <v>433</v>
      </c>
      <c r="D560" s="12"/>
      <c r="E560" s="12"/>
      <c r="F560" s="18" t="s">
        <v>70</v>
      </c>
      <c r="G560" s="19">
        <v>0.15</v>
      </c>
      <c r="H560" s="20"/>
      <c r="I560" s="20">
        <v>0</v>
      </c>
      <c r="J560" s="21">
        <v>88.8</v>
      </c>
      <c r="M560" s="22">
        <f>ROUND(ROUND(J560, 2)*I560, 2)</f>
        <v>0</v>
      </c>
      <c r="P560" s="21">
        <v>88.8</v>
      </c>
      <c r="S560" s="22">
        <f>ROUND(ROUND(P560, 2)*I560, 2)</f>
        <v>0</v>
      </c>
      <c r="V560" s="9">
        <f>ROUND(ROUND(P560, 2)/1.2, 2)</f>
        <v>74</v>
      </c>
      <c r="Y560" s="9">
        <f t="shared" si="30"/>
        <v>0</v>
      </c>
      <c r="AD560" s="4" t="s">
        <v>2158</v>
      </c>
      <c r="AE560" s="4" t="s">
        <v>2159</v>
      </c>
      <c r="AF560" s="4" t="s">
        <v>436</v>
      </c>
    </row>
    <row r="561" spans="1:35" ht="54" x14ac:dyDescent="0.3">
      <c r="A561" s="10" t="s">
        <v>2162</v>
      </c>
      <c r="B561" s="10"/>
      <c r="C561" s="24" t="s">
        <v>2083</v>
      </c>
      <c r="D561" s="12"/>
      <c r="E561" s="12" t="s">
        <v>2163</v>
      </c>
      <c r="F561" s="18" t="s">
        <v>70</v>
      </c>
      <c r="G561" s="19">
        <v>0.3</v>
      </c>
      <c r="H561" s="20"/>
      <c r="I561" s="20">
        <v>0</v>
      </c>
      <c r="J561" s="21">
        <v>226.67</v>
      </c>
      <c r="M561" s="22">
        <f>ROUND(ROUND(J561, 2)*I561, 2)</f>
        <v>0</v>
      </c>
      <c r="P561" s="21">
        <v>226.67</v>
      </c>
      <c r="S561" s="22">
        <f>ROUND(ROUND(P561, 2)*I561, 2)</f>
        <v>0</v>
      </c>
      <c r="V561" s="9">
        <f>ROUND(ROUND(P561, 2)/1.2, 2)</f>
        <v>188.89</v>
      </c>
      <c r="Y561" s="9">
        <f t="shared" si="30"/>
        <v>0</v>
      </c>
      <c r="AD561" s="4" t="s">
        <v>2164</v>
      </c>
      <c r="AE561" s="4" t="s">
        <v>2165</v>
      </c>
      <c r="AF561" s="4" t="s">
        <v>2087</v>
      </c>
    </row>
    <row r="562" spans="1:35" ht="36" x14ac:dyDescent="0.3">
      <c r="A562" s="10" t="s">
        <v>2168</v>
      </c>
      <c r="B562" s="10" t="s">
        <v>2169</v>
      </c>
      <c r="C562" s="11" t="s">
        <v>2170</v>
      </c>
      <c r="D562" s="12"/>
      <c r="E562" s="12" t="s">
        <v>2171</v>
      </c>
      <c r="F562" s="12" t="s">
        <v>64</v>
      </c>
      <c r="G562" s="13">
        <v>1</v>
      </c>
      <c r="H562" s="13"/>
      <c r="I562" s="13">
        <v>0.85</v>
      </c>
      <c r="J562" s="14">
        <f>IFERROR(ROUND(SUM(M563,M564)/I562, 2),0)</f>
        <v>13.38</v>
      </c>
      <c r="K562" s="15">
        <v>464</v>
      </c>
      <c r="L562" s="14">
        <f>J562+ROUND(K562, 2)</f>
        <v>477.38</v>
      </c>
      <c r="M562" s="14">
        <f>ROUND(J562*I562, 2)</f>
        <v>11.37</v>
      </c>
      <c r="N562" s="14">
        <f>ROUND(I562*ROUND(K562, 2), 2)</f>
        <v>394.4</v>
      </c>
      <c r="O562" s="14">
        <f>M562+N562</f>
        <v>405.77</v>
      </c>
      <c r="P562" s="14">
        <f>IFERROR(ROUND(SUM(S563,S564)/I562, 2),0)</f>
        <v>13.38</v>
      </c>
      <c r="Q562" s="16">
        <v>464</v>
      </c>
      <c r="R562" s="14">
        <f>P562+ROUND(Q562, 2)</f>
        <v>477.38</v>
      </c>
      <c r="S562" s="14">
        <f>ROUND(P562*I562, 2)</f>
        <v>11.37</v>
      </c>
      <c r="T562" s="14">
        <f>ROUND(I562*ROUND(Q562, 2), 2)</f>
        <v>394.4</v>
      </c>
      <c r="U562" s="14">
        <f>S562+T562</f>
        <v>405.77</v>
      </c>
      <c r="V562" s="9">
        <f>ROUND(P562 / 1.2, 2)</f>
        <v>11.15</v>
      </c>
      <c r="W562" s="9">
        <f>ROUND(Q562 / 1.2, 2)</f>
        <v>386.67</v>
      </c>
      <c r="X562" s="9">
        <f>ROUND(R562 / 1.2, 2)</f>
        <v>397.82</v>
      </c>
      <c r="Y562" s="9">
        <f t="shared" si="30"/>
        <v>9.48</v>
      </c>
      <c r="Z562" s="9">
        <f>ROUND(T562 / 1.2, 2)</f>
        <v>328.67</v>
      </c>
      <c r="AA562" s="9">
        <f>Y562+Z562</f>
        <v>338.15</v>
      </c>
      <c r="AD562" s="4">
        <v>271132145</v>
      </c>
      <c r="AE562" s="4">
        <v>19999841</v>
      </c>
      <c r="AG562" s="4" t="s">
        <v>2172</v>
      </c>
      <c r="AH562" s="4" t="s">
        <v>2173</v>
      </c>
      <c r="AI562" s="4" t="s">
        <v>67</v>
      </c>
    </row>
    <row r="563" spans="1:35" ht="72" x14ac:dyDescent="0.3">
      <c r="A563" s="10" t="s">
        <v>2174</v>
      </c>
      <c r="B563" s="10"/>
      <c r="C563" s="24" t="s">
        <v>2175</v>
      </c>
      <c r="D563" s="12"/>
      <c r="E563" s="12" t="s">
        <v>2176</v>
      </c>
      <c r="F563" s="18" t="s">
        <v>70</v>
      </c>
      <c r="G563" s="19">
        <v>0.3</v>
      </c>
      <c r="H563" s="19"/>
      <c r="I563" s="19">
        <v>0.255</v>
      </c>
      <c r="J563" s="21">
        <v>0</v>
      </c>
      <c r="M563" s="22">
        <f>ROUND(ROUND(J563, 2)*I563, 2)</f>
        <v>0</v>
      </c>
      <c r="P563" s="23">
        <v>0</v>
      </c>
      <c r="S563" s="22">
        <f>ROUND(ROUND(P563, 2)*I563, 2)</f>
        <v>0</v>
      </c>
      <c r="V563" s="9">
        <f>ROUND(ROUND(P563, 2)/1.2, 2)</f>
        <v>0</v>
      </c>
      <c r="Y563" s="9">
        <f t="shared" si="30"/>
        <v>0</v>
      </c>
      <c r="AD563" s="4" t="s">
        <v>2177</v>
      </c>
      <c r="AE563" s="4" t="s">
        <v>2178</v>
      </c>
      <c r="AF563" s="4" t="s">
        <v>2179</v>
      </c>
    </row>
    <row r="564" spans="1:35" ht="36" x14ac:dyDescent="0.3">
      <c r="A564" s="10" t="s">
        <v>2180</v>
      </c>
      <c r="B564" s="10"/>
      <c r="C564" s="24" t="s">
        <v>433</v>
      </c>
      <c r="D564" s="12"/>
      <c r="E564" s="12"/>
      <c r="F564" s="18" t="s">
        <v>70</v>
      </c>
      <c r="G564" s="19">
        <v>0.15</v>
      </c>
      <c r="H564" s="19"/>
      <c r="I564" s="19">
        <v>0.128</v>
      </c>
      <c r="J564" s="21">
        <v>88.8</v>
      </c>
      <c r="M564" s="22">
        <f>ROUND(ROUND(J564, 2)*I564, 2)</f>
        <v>11.37</v>
      </c>
      <c r="P564" s="23">
        <v>88.8</v>
      </c>
      <c r="S564" s="22">
        <f>ROUND(ROUND(P564, 2)*I564, 2)</f>
        <v>11.37</v>
      </c>
      <c r="V564" s="9">
        <f>ROUND(ROUND(P564, 2)/1.2, 2)</f>
        <v>74</v>
      </c>
      <c r="Y564" s="9">
        <f t="shared" si="30"/>
        <v>9.48</v>
      </c>
      <c r="AD564" s="4" t="s">
        <v>2181</v>
      </c>
      <c r="AE564" s="4" t="s">
        <v>2182</v>
      </c>
      <c r="AF564" s="4" t="s">
        <v>436</v>
      </c>
    </row>
    <row r="565" spans="1:35" ht="36" x14ac:dyDescent="0.3">
      <c r="A565" s="10" t="s">
        <v>2183</v>
      </c>
      <c r="B565" s="10" t="s">
        <v>2169</v>
      </c>
      <c r="C565" s="11" t="s">
        <v>2170</v>
      </c>
      <c r="D565" s="12"/>
      <c r="E565" s="12" t="s">
        <v>2184</v>
      </c>
      <c r="F565" s="12" t="s">
        <v>64</v>
      </c>
      <c r="G565" s="13">
        <v>1</v>
      </c>
      <c r="H565" s="13"/>
      <c r="I565" s="13">
        <v>1.5</v>
      </c>
      <c r="J565" s="14">
        <f>IFERROR(ROUND(SUM(M566,M567)/I565, 2),0)</f>
        <v>13.32</v>
      </c>
      <c r="K565" s="15">
        <v>464</v>
      </c>
      <c r="L565" s="14">
        <f>J565+ROUND(K565, 2)</f>
        <v>477.32</v>
      </c>
      <c r="M565" s="14">
        <f>ROUND(J565*I565, 2)</f>
        <v>19.98</v>
      </c>
      <c r="N565" s="14">
        <f>ROUND(I565*ROUND(K565, 2), 2)</f>
        <v>696</v>
      </c>
      <c r="O565" s="14">
        <f>M565+N565</f>
        <v>715.98</v>
      </c>
      <c r="P565" s="14">
        <f>IFERROR(ROUND(SUM(S566,S567)/I565, 2),0)</f>
        <v>13.32</v>
      </c>
      <c r="Q565" s="16">
        <v>464</v>
      </c>
      <c r="R565" s="14">
        <f>P565+ROUND(Q565, 2)</f>
        <v>477.32</v>
      </c>
      <c r="S565" s="14">
        <f>ROUND(P565*I565, 2)</f>
        <v>19.98</v>
      </c>
      <c r="T565" s="14">
        <f>ROUND(I565*ROUND(Q565, 2), 2)</f>
        <v>696</v>
      </c>
      <c r="U565" s="14">
        <f>S565+T565</f>
        <v>715.98</v>
      </c>
      <c r="V565" s="9">
        <f>ROUND(P565 / 1.2, 2)</f>
        <v>11.1</v>
      </c>
      <c r="W565" s="9">
        <f>ROUND(Q565 / 1.2, 2)</f>
        <v>386.67</v>
      </c>
      <c r="X565" s="9">
        <f>ROUND(R565 / 1.2, 2)</f>
        <v>397.77</v>
      </c>
      <c r="Y565" s="9">
        <f t="shared" si="30"/>
        <v>16.649999999999999</v>
      </c>
      <c r="Z565" s="9">
        <f>ROUND(T565 / 1.2, 2)</f>
        <v>580</v>
      </c>
      <c r="AA565" s="9">
        <f>Y565+Z565</f>
        <v>596.65</v>
      </c>
      <c r="AD565" s="4">
        <v>271132253</v>
      </c>
      <c r="AE565" s="4">
        <v>19999842</v>
      </c>
      <c r="AG565" s="4" t="s">
        <v>2172</v>
      </c>
      <c r="AH565" s="4" t="s">
        <v>2173</v>
      </c>
      <c r="AI565" s="4" t="s">
        <v>67</v>
      </c>
    </row>
    <row r="566" spans="1:35" ht="36" x14ac:dyDescent="0.3">
      <c r="A566" s="10" t="s">
        <v>2185</v>
      </c>
      <c r="B566" s="10"/>
      <c r="C566" s="24" t="s">
        <v>433</v>
      </c>
      <c r="D566" s="12"/>
      <c r="E566" s="12"/>
      <c r="F566" s="18" t="s">
        <v>70</v>
      </c>
      <c r="G566" s="19">
        <v>0.15</v>
      </c>
      <c r="H566" s="19"/>
      <c r="I566" s="19">
        <v>0.22500000000000001</v>
      </c>
      <c r="J566" s="21">
        <v>88.8</v>
      </c>
      <c r="M566" s="22">
        <f>ROUND(ROUND(J566, 2)*I566, 2)</f>
        <v>19.98</v>
      </c>
      <c r="P566" s="23">
        <v>88.8</v>
      </c>
      <c r="S566" s="22">
        <f>ROUND(ROUND(P566, 2)*I566, 2)</f>
        <v>19.98</v>
      </c>
      <c r="V566" s="9">
        <f>ROUND(ROUND(P566, 2)/1.2, 2)</f>
        <v>74</v>
      </c>
      <c r="Y566" s="9">
        <f t="shared" si="30"/>
        <v>16.649999999999999</v>
      </c>
      <c r="AD566" s="4" t="s">
        <v>2186</v>
      </c>
      <c r="AE566" s="4" t="s">
        <v>2187</v>
      </c>
      <c r="AF566" s="4" t="s">
        <v>436</v>
      </c>
    </row>
    <row r="567" spans="1:35" ht="72" x14ac:dyDescent="0.3">
      <c r="A567" s="10" t="s">
        <v>2188</v>
      </c>
      <c r="B567" s="10"/>
      <c r="C567" s="24" t="s">
        <v>2175</v>
      </c>
      <c r="D567" s="12"/>
      <c r="E567" s="12" t="s">
        <v>2189</v>
      </c>
      <c r="F567" s="18" t="s">
        <v>70</v>
      </c>
      <c r="G567" s="19">
        <v>0.3</v>
      </c>
      <c r="H567" s="19"/>
      <c r="I567" s="19">
        <v>0.45</v>
      </c>
      <c r="J567" s="21">
        <v>0</v>
      </c>
      <c r="M567" s="22">
        <f>ROUND(ROUND(J567, 2)*I567, 2)</f>
        <v>0</v>
      </c>
      <c r="P567" s="23">
        <v>0</v>
      </c>
      <c r="S567" s="22">
        <f>ROUND(ROUND(P567, 2)*I567, 2)</f>
        <v>0</v>
      </c>
      <c r="V567" s="9">
        <f>ROUND(ROUND(P567, 2)/1.2, 2)</f>
        <v>0</v>
      </c>
      <c r="Y567" s="9">
        <f t="shared" si="30"/>
        <v>0</v>
      </c>
      <c r="AD567" s="4" t="s">
        <v>2190</v>
      </c>
      <c r="AE567" s="4" t="s">
        <v>2191</v>
      </c>
      <c r="AF567" s="4" t="s">
        <v>2179</v>
      </c>
    </row>
    <row r="568" spans="1:35" ht="36" x14ac:dyDescent="0.3">
      <c r="A568" s="10" t="s">
        <v>2192</v>
      </c>
      <c r="B568" s="10" t="s">
        <v>2169</v>
      </c>
      <c r="C568" s="11" t="s">
        <v>2170</v>
      </c>
      <c r="D568" s="12"/>
      <c r="E568" s="12" t="s">
        <v>2193</v>
      </c>
      <c r="F568" s="12" t="s">
        <v>64</v>
      </c>
      <c r="G568" s="13">
        <v>1</v>
      </c>
      <c r="H568" s="13"/>
      <c r="I568" s="13">
        <v>139.22</v>
      </c>
      <c r="J568" s="14">
        <f>IFERROR(ROUND(SUM(M569,M570)/I568, 2),0)</f>
        <v>13.32</v>
      </c>
      <c r="K568" s="15">
        <v>464</v>
      </c>
      <c r="L568" s="14">
        <f>J568+ROUND(K568, 2)</f>
        <v>477.32</v>
      </c>
      <c r="M568" s="14">
        <f>ROUND(J568*I568, 2)</f>
        <v>1854.41</v>
      </c>
      <c r="N568" s="14">
        <f>ROUND(I568*ROUND(K568, 2), 2)</f>
        <v>64598.080000000002</v>
      </c>
      <c r="O568" s="14">
        <f>M568+N568</f>
        <v>66452.490000000005</v>
      </c>
      <c r="P568" s="14">
        <f>IFERROR(ROUND(SUM(S569,S570)/I568, 2),0)</f>
        <v>13.32</v>
      </c>
      <c r="Q568" s="16">
        <v>464</v>
      </c>
      <c r="R568" s="14">
        <f>P568+ROUND(Q568, 2)</f>
        <v>477.32</v>
      </c>
      <c r="S568" s="14">
        <f>ROUND(P568*I568, 2)</f>
        <v>1854.41</v>
      </c>
      <c r="T568" s="14">
        <f>ROUND(I568*ROUND(Q568, 2), 2)</f>
        <v>64598.080000000002</v>
      </c>
      <c r="U568" s="14">
        <f>S568+T568</f>
        <v>66452.490000000005</v>
      </c>
      <c r="V568" s="9">
        <f>ROUND(P568 / 1.2, 2)</f>
        <v>11.1</v>
      </c>
      <c r="W568" s="9">
        <f>ROUND(Q568 / 1.2, 2)</f>
        <v>386.67</v>
      </c>
      <c r="X568" s="9">
        <f>ROUND(R568 / 1.2, 2)</f>
        <v>397.77</v>
      </c>
      <c r="Y568" s="9">
        <f t="shared" si="30"/>
        <v>1545.34</v>
      </c>
      <c r="Z568" s="9">
        <f>ROUND(T568 / 1.2, 2)</f>
        <v>53831.73</v>
      </c>
      <c r="AA568" s="9">
        <f>Y568+Z568</f>
        <v>55377.07</v>
      </c>
      <c r="AD568" s="4">
        <v>271132254</v>
      </c>
      <c r="AE568" s="4">
        <v>19999840</v>
      </c>
      <c r="AG568" s="4" t="s">
        <v>2172</v>
      </c>
      <c r="AH568" s="4" t="s">
        <v>2173</v>
      </c>
      <c r="AI568" s="4" t="s">
        <v>67</v>
      </c>
    </row>
    <row r="569" spans="1:35" ht="36" x14ac:dyDescent="0.3">
      <c r="A569" s="10" t="s">
        <v>2194</v>
      </c>
      <c r="B569" s="10"/>
      <c r="C569" s="24" t="s">
        <v>433</v>
      </c>
      <c r="D569" s="12"/>
      <c r="E569" s="12"/>
      <c r="F569" s="18" t="s">
        <v>70</v>
      </c>
      <c r="G569" s="19">
        <v>0.15</v>
      </c>
      <c r="H569" s="19"/>
      <c r="I569" s="19">
        <v>20.882999999999999</v>
      </c>
      <c r="J569" s="21">
        <v>88.8</v>
      </c>
      <c r="M569" s="22">
        <f>ROUND(ROUND(J569, 2)*I569, 2)</f>
        <v>1854.41</v>
      </c>
      <c r="P569" s="23">
        <v>88.8</v>
      </c>
      <c r="S569" s="22">
        <f>ROUND(ROUND(P569, 2)*I569, 2)</f>
        <v>1854.41</v>
      </c>
      <c r="V569" s="9">
        <f>ROUND(ROUND(P569, 2)/1.2, 2)</f>
        <v>74</v>
      </c>
      <c r="Y569" s="9">
        <f t="shared" si="30"/>
        <v>1545.34</v>
      </c>
      <c r="AD569" s="4" t="s">
        <v>2195</v>
      </c>
      <c r="AE569" s="4" t="s">
        <v>2196</v>
      </c>
      <c r="AF569" s="4" t="s">
        <v>436</v>
      </c>
    </row>
    <row r="570" spans="1:35" ht="72" x14ac:dyDescent="0.3">
      <c r="A570" s="10" t="s">
        <v>2197</v>
      </c>
      <c r="B570" s="10"/>
      <c r="C570" s="24" t="s">
        <v>2175</v>
      </c>
      <c r="D570" s="12"/>
      <c r="E570" s="12" t="s">
        <v>2198</v>
      </c>
      <c r="F570" s="18" t="s">
        <v>70</v>
      </c>
      <c r="G570" s="19">
        <v>0.3</v>
      </c>
      <c r="H570" s="19"/>
      <c r="I570" s="19">
        <v>41.765999999999998</v>
      </c>
      <c r="J570" s="21">
        <v>0</v>
      </c>
      <c r="M570" s="22">
        <f>ROUND(ROUND(J570, 2)*I570, 2)</f>
        <v>0</v>
      </c>
      <c r="P570" s="23">
        <v>0</v>
      </c>
      <c r="S570" s="22">
        <f>ROUND(ROUND(P570, 2)*I570, 2)</f>
        <v>0</v>
      </c>
      <c r="V570" s="9">
        <f>ROUND(ROUND(P570, 2)/1.2, 2)</f>
        <v>0</v>
      </c>
      <c r="Y570" s="9">
        <f t="shared" si="30"/>
        <v>0</v>
      </c>
      <c r="AD570" s="4" t="s">
        <v>2199</v>
      </c>
      <c r="AE570" s="4" t="s">
        <v>2200</v>
      </c>
      <c r="AF570" s="4" t="s">
        <v>2179</v>
      </c>
    </row>
    <row r="571" spans="1:35" ht="36" x14ac:dyDescent="0.3">
      <c r="A571" s="10" t="s">
        <v>2201</v>
      </c>
      <c r="B571" s="10" t="s">
        <v>2169</v>
      </c>
      <c r="C571" s="11" t="s">
        <v>2170</v>
      </c>
      <c r="D571" s="12"/>
      <c r="E571" s="12" t="s">
        <v>2202</v>
      </c>
      <c r="F571" s="12" t="s">
        <v>64</v>
      </c>
      <c r="G571" s="13">
        <v>1</v>
      </c>
      <c r="H571" s="13"/>
      <c r="I571" s="13">
        <v>143.96</v>
      </c>
      <c r="J571" s="14">
        <f>IFERROR(ROUND(SUM(M572,M573)/I571, 2),0)</f>
        <v>13.32</v>
      </c>
      <c r="K571" s="15">
        <v>464</v>
      </c>
      <c r="L571" s="14">
        <f>J571+ROUND(K571, 2)</f>
        <v>477.32</v>
      </c>
      <c r="M571" s="14">
        <f>ROUND(J571*I571, 2)</f>
        <v>1917.55</v>
      </c>
      <c r="N571" s="14">
        <f>ROUND(I571*ROUND(K571, 2), 2)</f>
        <v>66797.440000000002</v>
      </c>
      <c r="O571" s="14">
        <f>M571+N571</f>
        <v>68714.990000000005</v>
      </c>
      <c r="P571" s="14">
        <f>IFERROR(ROUND(SUM(S572,S573)/I571, 2),0)</f>
        <v>13.32</v>
      </c>
      <c r="Q571" s="16">
        <v>464</v>
      </c>
      <c r="R571" s="14">
        <f>P571+ROUND(Q571, 2)</f>
        <v>477.32</v>
      </c>
      <c r="S571" s="14">
        <f>ROUND(P571*I571, 2)</f>
        <v>1917.55</v>
      </c>
      <c r="T571" s="14">
        <f>ROUND(I571*ROUND(Q571, 2), 2)</f>
        <v>66797.440000000002</v>
      </c>
      <c r="U571" s="14">
        <f>S571+T571</f>
        <v>68714.990000000005</v>
      </c>
      <c r="V571" s="9">
        <f>ROUND(P571 / 1.2, 2)</f>
        <v>11.1</v>
      </c>
      <c r="W571" s="9">
        <f>ROUND(Q571 / 1.2, 2)</f>
        <v>386.67</v>
      </c>
      <c r="X571" s="9">
        <f>ROUND(R571 / 1.2, 2)</f>
        <v>397.77</v>
      </c>
      <c r="Y571" s="9">
        <f t="shared" ref="Y571:Y602" si="31">ROUND(S571 / 1.2, 2)</f>
        <v>1597.96</v>
      </c>
      <c r="Z571" s="9">
        <f>ROUND(T571 / 1.2, 2)</f>
        <v>55664.53</v>
      </c>
      <c r="AA571" s="9">
        <f>Y571+Z571</f>
        <v>57262.49</v>
      </c>
      <c r="AD571" s="4">
        <v>271132255</v>
      </c>
      <c r="AE571" s="4">
        <v>19999843</v>
      </c>
      <c r="AG571" s="4" t="s">
        <v>2172</v>
      </c>
      <c r="AH571" s="4" t="s">
        <v>2173</v>
      </c>
      <c r="AI571" s="4" t="s">
        <v>67</v>
      </c>
    </row>
    <row r="572" spans="1:35" ht="36" x14ac:dyDescent="0.3">
      <c r="A572" s="10" t="s">
        <v>2203</v>
      </c>
      <c r="B572" s="10"/>
      <c r="C572" s="24" t="s">
        <v>433</v>
      </c>
      <c r="D572" s="12"/>
      <c r="E572" s="12"/>
      <c r="F572" s="18" t="s">
        <v>70</v>
      </c>
      <c r="G572" s="19">
        <v>0.15</v>
      </c>
      <c r="H572" s="19"/>
      <c r="I572" s="19">
        <v>21.594000000000001</v>
      </c>
      <c r="J572" s="21">
        <v>88.8</v>
      </c>
      <c r="M572" s="22">
        <f>ROUND(ROUND(J572, 2)*I572, 2)</f>
        <v>1917.55</v>
      </c>
      <c r="P572" s="23">
        <v>88.8</v>
      </c>
      <c r="S572" s="22">
        <f>ROUND(ROUND(P572, 2)*I572, 2)</f>
        <v>1917.55</v>
      </c>
      <c r="V572" s="9">
        <f>ROUND(ROUND(P572, 2)/1.2, 2)</f>
        <v>74</v>
      </c>
      <c r="Y572" s="9">
        <f t="shared" si="31"/>
        <v>1597.96</v>
      </c>
      <c r="AD572" s="4" t="s">
        <v>2204</v>
      </c>
      <c r="AE572" s="4" t="s">
        <v>2205</v>
      </c>
      <c r="AF572" s="4" t="s">
        <v>436</v>
      </c>
    </row>
    <row r="573" spans="1:35" ht="54" x14ac:dyDescent="0.3">
      <c r="A573" s="10" t="s">
        <v>2206</v>
      </c>
      <c r="B573" s="10"/>
      <c r="C573" s="24" t="s">
        <v>2207</v>
      </c>
      <c r="D573" s="12"/>
      <c r="E573" s="12" t="s">
        <v>2208</v>
      </c>
      <c r="F573" s="18" t="s">
        <v>70</v>
      </c>
      <c r="G573" s="19">
        <v>0.3</v>
      </c>
      <c r="H573" s="19"/>
      <c r="I573" s="19">
        <v>43.188000000000002</v>
      </c>
      <c r="J573" s="21">
        <v>0</v>
      </c>
      <c r="M573" s="22">
        <f>ROUND(ROUND(J573, 2)*I573, 2)</f>
        <v>0</v>
      </c>
      <c r="P573" s="23">
        <v>0</v>
      </c>
      <c r="S573" s="22">
        <f>ROUND(ROUND(P573, 2)*I573, 2)</f>
        <v>0</v>
      </c>
      <c r="V573" s="9">
        <f>ROUND(ROUND(P573, 2)/1.2, 2)</f>
        <v>0</v>
      </c>
      <c r="Y573" s="9">
        <f t="shared" si="31"/>
        <v>0</v>
      </c>
      <c r="AD573" s="4" t="s">
        <v>2209</v>
      </c>
      <c r="AE573" s="4" t="s">
        <v>2210</v>
      </c>
      <c r="AF573" s="4" t="s">
        <v>2211</v>
      </c>
    </row>
    <row r="574" spans="1:35" ht="36" x14ac:dyDescent="0.3">
      <c r="A574" s="10" t="s">
        <v>2212</v>
      </c>
      <c r="B574" s="10" t="s">
        <v>2169</v>
      </c>
      <c r="C574" s="11" t="s">
        <v>2170</v>
      </c>
      <c r="D574" s="12"/>
      <c r="E574" s="12" t="s">
        <v>2213</v>
      </c>
      <c r="F574" s="12" t="s">
        <v>64</v>
      </c>
      <c r="G574" s="13">
        <v>1</v>
      </c>
      <c r="H574" s="13"/>
      <c r="I574" s="13">
        <v>28.93</v>
      </c>
      <c r="J574" s="14">
        <f>IFERROR(ROUND(SUM(M575,M576)/I574, 2),0)</f>
        <v>13.32</v>
      </c>
      <c r="K574" s="15">
        <v>464</v>
      </c>
      <c r="L574" s="14">
        <f>J574+ROUND(K574, 2)</f>
        <v>477.32</v>
      </c>
      <c r="M574" s="14">
        <f>ROUND(J574*I574, 2)</f>
        <v>385.35</v>
      </c>
      <c r="N574" s="14">
        <f>ROUND(I574*ROUND(K574, 2), 2)</f>
        <v>13423.52</v>
      </c>
      <c r="O574" s="14">
        <f>M574+N574</f>
        <v>13808.87</v>
      </c>
      <c r="P574" s="14">
        <f>IFERROR(ROUND(SUM(S575,S576)/I574, 2),0)</f>
        <v>13.32</v>
      </c>
      <c r="Q574" s="16">
        <v>464</v>
      </c>
      <c r="R574" s="14">
        <f>P574+ROUND(Q574, 2)</f>
        <v>477.32</v>
      </c>
      <c r="S574" s="14">
        <f>ROUND(P574*I574, 2)</f>
        <v>385.35</v>
      </c>
      <c r="T574" s="14">
        <f>ROUND(I574*ROUND(Q574, 2), 2)</f>
        <v>13423.52</v>
      </c>
      <c r="U574" s="14">
        <f>S574+T574</f>
        <v>13808.87</v>
      </c>
      <c r="V574" s="9">
        <f>ROUND(P574 / 1.2, 2)</f>
        <v>11.1</v>
      </c>
      <c r="W574" s="9">
        <f>ROUND(Q574 / 1.2, 2)</f>
        <v>386.67</v>
      </c>
      <c r="X574" s="9">
        <f>ROUND(R574 / 1.2, 2)</f>
        <v>397.77</v>
      </c>
      <c r="Y574" s="9">
        <f t="shared" si="31"/>
        <v>321.13</v>
      </c>
      <c r="Z574" s="9">
        <f>ROUND(T574 / 1.2, 2)</f>
        <v>11186.27</v>
      </c>
      <c r="AA574" s="9">
        <f>Y574+Z574</f>
        <v>11507.4</v>
      </c>
      <c r="AD574" s="4">
        <v>271132256</v>
      </c>
      <c r="AE574" s="4">
        <v>19999844</v>
      </c>
      <c r="AG574" s="4" t="s">
        <v>2172</v>
      </c>
      <c r="AH574" s="4" t="s">
        <v>2173</v>
      </c>
      <c r="AI574" s="4" t="s">
        <v>67</v>
      </c>
    </row>
    <row r="575" spans="1:35" ht="36" x14ac:dyDescent="0.3">
      <c r="A575" s="10" t="s">
        <v>2214</v>
      </c>
      <c r="B575" s="10"/>
      <c r="C575" s="24" t="s">
        <v>433</v>
      </c>
      <c r="D575" s="12"/>
      <c r="E575" s="12"/>
      <c r="F575" s="18" t="s">
        <v>70</v>
      </c>
      <c r="G575" s="19">
        <v>0.15</v>
      </c>
      <c r="H575" s="19"/>
      <c r="I575" s="19">
        <v>4.34</v>
      </c>
      <c r="J575" s="21">
        <v>88.8</v>
      </c>
      <c r="M575" s="22">
        <f>ROUND(ROUND(J575, 2)*I575, 2)</f>
        <v>385.39</v>
      </c>
      <c r="P575" s="23">
        <v>88.8</v>
      </c>
      <c r="S575" s="22">
        <f>ROUND(ROUND(P575, 2)*I575, 2)</f>
        <v>385.39</v>
      </c>
      <c r="V575" s="9">
        <f>ROUND(ROUND(P575, 2)/1.2, 2)</f>
        <v>74</v>
      </c>
      <c r="Y575" s="9">
        <f t="shared" si="31"/>
        <v>321.16000000000003</v>
      </c>
      <c r="AD575" s="4" t="s">
        <v>2215</v>
      </c>
      <c r="AE575" s="4" t="s">
        <v>2216</v>
      </c>
      <c r="AF575" s="4" t="s">
        <v>436</v>
      </c>
    </row>
    <row r="576" spans="1:35" ht="54" x14ac:dyDescent="0.3">
      <c r="A576" s="10" t="s">
        <v>2217</v>
      </c>
      <c r="B576" s="10"/>
      <c r="C576" s="24" t="s">
        <v>2207</v>
      </c>
      <c r="D576" s="12"/>
      <c r="E576" s="12" t="s">
        <v>2218</v>
      </c>
      <c r="F576" s="18" t="s">
        <v>70</v>
      </c>
      <c r="G576" s="19">
        <v>0.3</v>
      </c>
      <c r="H576" s="19"/>
      <c r="I576" s="19">
        <v>8.6790000000000003</v>
      </c>
      <c r="J576" s="21">
        <v>0</v>
      </c>
      <c r="M576" s="22">
        <f>ROUND(ROUND(J576, 2)*I576, 2)</f>
        <v>0</v>
      </c>
      <c r="P576" s="23">
        <v>0</v>
      </c>
      <c r="S576" s="22">
        <f>ROUND(ROUND(P576, 2)*I576, 2)</f>
        <v>0</v>
      </c>
      <c r="V576" s="9">
        <f>ROUND(ROUND(P576, 2)/1.2, 2)</f>
        <v>0</v>
      </c>
      <c r="Y576" s="9">
        <f t="shared" si="31"/>
        <v>0</v>
      </c>
      <c r="AD576" s="4" t="s">
        <v>2219</v>
      </c>
      <c r="AE576" s="4" t="s">
        <v>2220</v>
      </c>
      <c r="AF576" s="4" t="s">
        <v>2211</v>
      </c>
    </row>
    <row r="577" spans="1:35" ht="36" x14ac:dyDescent="0.3">
      <c r="A577" s="10" t="s">
        <v>2221</v>
      </c>
      <c r="B577" s="10" t="s">
        <v>2169</v>
      </c>
      <c r="C577" s="11" t="s">
        <v>2170</v>
      </c>
      <c r="D577" s="12"/>
      <c r="E577" s="12" t="s">
        <v>2222</v>
      </c>
      <c r="F577" s="12" t="s">
        <v>64</v>
      </c>
      <c r="G577" s="13">
        <v>1</v>
      </c>
      <c r="H577" s="13"/>
      <c r="I577" s="13">
        <v>28.7</v>
      </c>
      <c r="J577" s="14">
        <f>IFERROR(ROUND(SUM(M578,M579)/I577, 2),0)</f>
        <v>13.32</v>
      </c>
      <c r="K577" s="15">
        <v>464</v>
      </c>
      <c r="L577" s="14">
        <f>J577+ROUND(K577, 2)</f>
        <v>477.32</v>
      </c>
      <c r="M577" s="14">
        <f>ROUND(J577*I577, 2)</f>
        <v>382.28</v>
      </c>
      <c r="N577" s="14">
        <f>ROUND(I577*ROUND(K577, 2), 2)</f>
        <v>13316.8</v>
      </c>
      <c r="O577" s="14">
        <f>M577+N577</f>
        <v>13699.08</v>
      </c>
      <c r="P577" s="14">
        <f>IFERROR(ROUND(SUM(S578,S579)/I577, 2),0)</f>
        <v>13.32</v>
      </c>
      <c r="Q577" s="16">
        <v>464</v>
      </c>
      <c r="R577" s="14">
        <f>P577+ROUND(Q577, 2)</f>
        <v>477.32</v>
      </c>
      <c r="S577" s="14">
        <f>ROUND(P577*I577, 2)</f>
        <v>382.28</v>
      </c>
      <c r="T577" s="14">
        <f>ROUND(I577*ROUND(Q577, 2), 2)</f>
        <v>13316.8</v>
      </c>
      <c r="U577" s="14">
        <f>S577+T577</f>
        <v>13699.08</v>
      </c>
      <c r="V577" s="9">
        <f>ROUND(P577 / 1.2, 2)</f>
        <v>11.1</v>
      </c>
      <c r="W577" s="9">
        <f>ROUND(Q577 / 1.2, 2)</f>
        <v>386.67</v>
      </c>
      <c r="X577" s="9">
        <f>ROUND(R577 / 1.2, 2)</f>
        <v>397.77</v>
      </c>
      <c r="Y577" s="9">
        <f t="shared" si="31"/>
        <v>318.57</v>
      </c>
      <c r="Z577" s="9">
        <f>ROUND(T577 / 1.2, 2)</f>
        <v>11097.33</v>
      </c>
      <c r="AA577" s="9">
        <f>Y577+Z577</f>
        <v>11415.9</v>
      </c>
      <c r="AD577" s="4">
        <v>271132257</v>
      </c>
      <c r="AE577" s="4">
        <v>19999845</v>
      </c>
      <c r="AG577" s="4" t="s">
        <v>2172</v>
      </c>
      <c r="AH577" s="4" t="s">
        <v>2173</v>
      </c>
      <c r="AI577" s="4" t="s">
        <v>67</v>
      </c>
    </row>
    <row r="578" spans="1:35" ht="36" x14ac:dyDescent="0.3">
      <c r="A578" s="10" t="s">
        <v>2223</v>
      </c>
      <c r="B578" s="10"/>
      <c r="C578" s="24" t="s">
        <v>433</v>
      </c>
      <c r="D578" s="12"/>
      <c r="E578" s="12"/>
      <c r="F578" s="18" t="s">
        <v>70</v>
      </c>
      <c r="G578" s="19">
        <v>0.15</v>
      </c>
      <c r="H578" s="19"/>
      <c r="I578" s="19">
        <v>4.3049999999999997</v>
      </c>
      <c r="J578" s="21">
        <v>88.8</v>
      </c>
      <c r="M578" s="22">
        <f>ROUND(ROUND(J578, 2)*I578, 2)</f>
        <v>382.28</v>
      </c>
      <c r="P578" s="23">
        <v>88.8</v>
      </c>
      <c r="S578" s="22">
        <f>ROUND(ROUND(P578, 2)*I578, 2)</f>
        <v>382.28</v>
      </c>
      <c r="V578" s="9">
        <f>ROUND(ROUND(P578, 2)/1.2, 2)</f>
        <v>74</v>
      </c>
      <c r="Y578" s="9">
        <f t="shared" si="31"/>
        <v>318.57</v>
      </c>
      <c r="AD578" s="4" t="s">
        <v>2224</v>
      </c>
      <c r="AE578" s="4" t="s">
        <v>2225</v>
      </c>
      <c r="AF578" s="4" t="s">
        <v>436</v>
      </c>
    </row>
    <row r="579" spans="1:35" ht="54" x14ac:dyDescent="0.3">
      <c r="A579" s="10" t="s">
        <v>2226</v>
      </c>
      <c r="B579" s="10"/>
      <c r="C579" s="24" t="s">
        <v>2207</v>
      </c>
      <c r="D579" s="12"/>
      <c r="E579" s="12" t="s">
        <v>2227</v>
      </c>
      <c r="F579" s="18" t="s">
        <v>70</v>
      </c>
      <c r="G579" s="19">
        <v>0.3</v>
      </c>
      <c r="H579" s="19"/>
      <c r="I579" s="19">
        <v>8.61</v>
      </c>
      <c r="J579" s="21">
        <v>0</v>
      </c>
      <c r="M579" s="22">
        <f>ROUND(ROUND(J579, 2)*I579, 2)</f>
        <v>0</v>
      </c>
      <c r="P579" s="23">
        <v>0</v>
      </c>
      <c r="S579" s="22">
        <f>ROUND(ROUND(P579, 2)*I579, 2)</f>
        <v>0</v>
      </c>
      <c r="V579" s="9">
        <f>ROUND(ROUND(P579, 2)/1.2, 2)</f>
        <v>0</v>
      </c>
      <c r="Y579" s="9">
        <f t="shared" si="31"/>
        <v>0</v>
      </c>
      <c r="AD579" s="4" t="s">
        <v>2228</v>
      </c>
      <c r="AE579" s="4" t="s">
        <v>2229</v>
      </c>
      <c r="AF579" s="4" t="s">
        <v>2211</v>
      </c>
    </row>
    <row r="580" spans="1:35" ht="36" x14ac:dyDescent="0.3">
      <c r="A580" s="10" t="s">
        <v>2230</v>
      </c>
      <c r="B580" s="10" t="s">
        <v>2169</v>
      </c>
      <c r="C580" s="11" t="s">
        <v>2170</v>
      </c>
      <c r="D580" s="12"/>
      <c r="E580" s="12" t="s">
        <v>2231</v>
      </c>
      <c r="F580" s="12" t="s">
        <v>64</v>
      </c>
      <c r="G580" s="13">
        <v>1</v>
      </c>
      <c r="H580" s="13"/>
      <c r="I580" s="13">
        <v>29.42</v>
      </c>
      <c r="J580" s="14">
        <f>IFERROR(ROUND(SUM(M581,M582)/I580, 2),0)</f>
        <v>13.32</v>
      </c>
      <c r="K580" s="15">
        <v>464</v>
      </c>
      <c r="L580" s="14">
        <f>J580+ROUND(K580, 2)</f>
        <v>477.32</v>
      </c>
      <c r="M580" s="14">
        <f>ROUND(J580*I580, 2)</f>
        <v>391.87</v>
      </c>
      <c r="N580" s="14">
        <f>ROUND(I580*ROUND(K580, 2), 2)</f>
        <v>13650.88</v>
      </c>
      <c r="O580" s="14">
        <f>M580+N580</f>
        <v>14042.75</v>
      </c>
      <c r="P580" s="14">
        <f>IFERROR(ROUND(SUM(S581,S582)/I580, 2),0)</f>
        <v>13.32</v>
      </c>
      <c r="Q580" s="16">
        <v>464</v>
      </c>
      <c r="R580" s="14">
        <f>P580+ROUND(Q580, 2)</f>
        <v>477.32</v>
      </c>
      <c r="S580" s="14">
        <f>ROUND(P580*I580, 2)</f>
        <v>391.87</v>
      </c>
      <c r="T580" s="14">
        <f>ROUND(I580*ROUND(Q580, 2), 2)</f>
        <v>13650.88</v>
      </c>
      <c r="U580" s="14">
        <f>S580+T580</f>
        <v>14042.75</v>
      </c>
      <c r="V580" s="9">
        <f>ROUND(P580 / 1.2, 2)</f>
        <v>11.1</v>
      </c>
      <c r="W580" s="9">
        <f>ROUND(Q580 / 1.2, 2)</f>
        <v>386.67</v>
      </c>
      <c r="X580" s="9">
        <f>ROUND(R580 / 1.2, 2)</f>
        <v>397.77</v>
      </c>
      <c r="Y580" s="9">
        <f t="shared" si="31"/>
        <v>326.56</v>
      </c>
      <c r="Z580" s="9">
        <f>ROUND(T580 / 1.2, 2)</f>
        <v>11375.73</v>
      </c>
      <c r="AA580" s="9">
        <f>Y580+Z580</f>
        <v>11702.29</v>
      </c>
      <c r="AD580" s="4">
        <v>271132258</v>
      </c>
      <c r="AE580" s="4">
        <v>19999846</v>
      </c>
      <c r="AG580" s="4" t="s">
        <v>2172</v>
      </c>
      <c r="AH580" s="4" t="s">
        <v>2173</v>
      </c>
      <c r="AI580" s="4" t="s">
        <v>67</v>
      </c>
    </row>
    <row r="581" spans="1:35" ht="36" x14ac:dyDescent="0.3">
      <c r="A581" s="10" t="s">
        <v>2232</v>
      </c>
      <c r="B581" s="10"/>
      <c r="C581" s="24" t="s">
        <v>433</v>
      </c>
      <c r="D581" s="12"/>
      <c r="E581" s="12"/>
      <c r="F581" s="18" t="s">
        <v>70</v>
      </c>
      <c r="G581" s="19">
        <v>0.15</v>
      </c>
      <c r="H581" s="19"/>
      <c r="I581" s="19">
        <v>4.4130000000000003</v>
      </c>
      <c r="J581" s="21">
        <v>88.8</v>
      </c>
      <c r="M581" s="22">
        <f>ROUND(ROUND(J581, 2)*I581, 2)</f>
        <v>391.87</v>
      </c>
      <c r="P581" s="23">
        <v>88.8</v>
      </c>
      <c r="S581" s="22">
        <f>ROUND(ROUND(P581, 2)*I581, 2)</f>
        <v>391.87</v>
      </c>
      <c r="V581" s="9">
        <f>ROUND(ROUND(P581, 2)/1.2, 2)</f>
        <v>74</v>
      </c>
      <c r="Y581" s="9">
        <f t="shared" si="31"/>
        <v>326.56</v>
      </c>
      <c r="AD581" s="4" t="s">
        <v>2233</v>
      </c>
      <c r="AE581" s="4" t="s">
        <v>2234</v>
      </c>
      <c r="AF581" s="4" t="s">
        <v>436</v>
      </c>
    </row>
    <row r="582" spans="1:35" ht="54" x14ac:dyDescent="0.3">
      <c r="A582" s="10" t="s">
        <v>2235</v>
      </c>
      <c r="B582" s="10"/>
      <c r="C582" s="24" t="s">
        <v>2207</v>
      </c>
      <c r="D582" s="12"/>
      <c r="E582" s="12" t="s">
        <v>2236</v>
      </c>
      <c r="F582" s="18" t="s">
        <v>70</v>
      </c>
      <c r="G582" s="19">
        <v>0.3</v>
      </c>
      <c r="H582" s="19"/>
      <c r="I582" s="19">
        <v>8.8260000000000005</v>
      </c>
      <c r="J582" s="21">
        <v>0</v>
      </c>
      <c r="M582" s="22">
        <f>ROUND(ROUND(J582, 2)*I582, 2)</f>
        <v>0</v>
      </c>
      <c r="P582" s="23">
        <v>0</v>
      </c>
      <c r="S582" s="22">
        <f>ROUND(ROUND(P582, 2)*I582, 2)</f>
        <v>0</v>
      </c>
      <c r="V582" s="9">
        <f>ROUND(ROUND(P582, 2)/1.2, 2)</f>
        <v>0</v>
      </c>
      <c r="Y582" s="9">
        <f t="shared" si="31"/>
        <v>0</v>
      </c>
      <c r="AD582" s="4" t="s">
        <v>2237</v>
      </c>
      <c r="AE582" s="4" t="s">
        <v>2238</v>
      </c>
      <c r="AF582" s="4" t="s">
        <v>2211</v>
      </c>
    </row>
    <row r="583" spans="1:35" ht="36" x14ac:dyDescent="0.3">
      <c r="A583" s="10" t="s">
        <v>2239</v>
      </c>
      <c r="B583" s="10" t="s">
        <v>2169</v>
      </c>
      <c r="C583" s="11" t="s">
        <v>2170</v>
      </c>
      <c r="D583" s="12"/>
      <c r="E583" s="12" t="s">
        <v>2240</v>
      </c>
      <c r="F583" s="12" t="s">
        <v>64</v>
      </c>
      <c r="G583" s="13">
        <v>1</v>
      </c>
      <c r="H583" s="13"/>
      <c r="I583" s="13">
        <v>316.79000000000002</v>
      </c>
      <c r="J583" s="14">
        <f>IFERROR(ROUND(SUM(M584,M585)/I583, 2),0)</f>
        <v>13.32</v>
      </c>
      <c r="K583" s="15">
        <v>464</v>
      </c>
      <c r="L583" s="14">
        <f>J583+ROUND(K583, 2)</f>
        <v>477.32</v>
      </c>
      <c r="M583" s="14">
        <f>ROUND(J583*I583, 2)</f>
        <v>4219.6400000000003</v>
      </c>
      <c r="N583" s="14">
        <f>ROUND(I583*ROUND(K583, 2), 2)</f>
        <v>146990.56</v>
      </c>
      <c r="O583" s="14">
        <f>M583+N583</f>
        <v>151210.20000000001</v>
      </c>
      <c r="P583" s="14">
        <f>IFERROR(ROUND(SUM(S584,S585)/I583, 2),0)</f>
        <v>13.32</v>
      </c>
      <c r="Q583" s="16">
        <v>464</v>
      </c>
      <c r="R583" s="14">
        <f>P583+ROUND(Q583, 2)</f>
        <v>477.32</v>
      </c>
      <c r="S583" s="14">
        <f>ROUND(P583*I583, 2)</f>
        <v>4219.6400000000003</v>
      </c>
      <c r="T583" s="14">
        <f>ROUND(I583*ROUND(Q583, 2), 2)</f>
        <v>146990.56</v>
      </c>
      <c r="U583" s="14">
        <f>S583+T583</f>
        <v>151210.20000000001</v>
      </c>
      <c r="V583" s="9">
        <f>ROUND(P583 / 1.2, 2)</f>
        <v>11.1</v>
      </c>
      <c r="W583" s="9">
        <f>ROUND(Q583 / 1.2, 2)</f>
        <v>386.67</v>
      </c>
      <c r="X583" s="9">
        <f>ROUND(R583 / 1.2, 2)</f>
        <v>397.77</v>
      </c>
      <c r="Y583" s="9">
        <f t="shared" si="31"/>
        <v>3516.37</v>
      </c>
      <c r="Z583" s="9">
        <f>ROUND(T583 / 1.2, 2)</f>
        <v>122492.13</v>
      </c>
      <c r="AA583" s="9">
        <f>Y583+Z583</f>
        <v>126008.5</v>
      </c>
      <c r="AD583" s="4">
        <v>271132259</v>
      </c>
      <c r="AE583" s="4">
        <v>20002013</v>
      </c>
      <c r="AG583" s="4" t="s">
        <v>2172</v>
      </c>
      <c r="AH583" s="4" t="s">
        <v>2173</v>
      </c>
      <c r="AI583" s="4" t="s">
        <v>67</v>
      </c>
    </row>
    <row r="584" spans="1:35" ht="36" x14ac:dyDescent="0.3">
      <c r="A584" s="10" t="s">
        <v>2241</v>
      </c>
      <c r="B584" s="10"/>
      <c r="C584" s="24" t="s">
        <v>433</v>
      </c>
      <c r="D584" s="12"/>
      <c r="E584" s="12"/>
      <c r="F584" s="18" t="s">
        <v>70</v>
      </c>
      <c r="G584" s="19">
        <v>0.15</v>
      </c>
      <c r="H584" s="19"/>
      <c r="I584" s="19">
        <v>47.518999999999998</v>
      </c>
      <c r="J584" s="21">
        <v>88.8</v>
      </c>
      <c r="M584" s="22">
        <f>ROUND(ROUND(J584, 2)*I584, 2)</f>
        <v>4219.6899999999996</v>
      </c>
      <c r="P584" s="23">
        <v>88.8</v>
      </c>
      <c r="S584" s="22">
        <f>ROUND(ROUND(P584, 2)*I584, 2)</f>
        <v>4219.6899999999996</v>
      </c>
      <c r="V584" s="9">
        <f>ROUND(ROUND(P584, 2)/1.2, 2)</f>
        <v>74</v>
      </c>
      <c r="Y584" s="9">
        <f t="shared" si="31"/>
        <v>3516.41</v>
      </c>
      <c r="AD584" s="4" t="s">
        <v>2242</v>
      </c>
      <c r="AE584" s="4" t="s">
        <v>2243</v>
      </c>
      <c r="AF584" s="4" t="s">
        <v>436</v>
      </c>
    </row>
    <row r="585" spans="1:35" ht="90" x14ac:dyDescent="0.3">
      <c r="A585" s="10" t="s">
        <v>2244</v>
      </c>
      <c r="B585" s="10"/>
      <c r="C585" s="24" t="s">
        <v>2175</v>
      </c>
      <c r="D585" s="12"/>
      <c r="E585" s="12" t="s">
        <v>2245</v>
      </c>
      <c r="F585" s="18" t="s">
        <v>70</v>
      </c>
      <c r="G585" s="19">
        <v>0.3</v>
      </c>
      <c r="H585" s="19"/>
      <c r="I585" s="19">
        <v>95.037000000000006</v>
      </c>
      <c r="J585" s="21">
        <v>0</v>
      </c>
      <c r="M585" s="22">
        <f>ROUND(ROUND(J585, 2)*I585, 2)</f>
        <v>0</v>
      </c>
      <c r="P585" s="23">
        <v>0</v>
      </c>
      <c r="S585" s="22">
        <f>ROUND(ROUND(P585, 2)*I585, 2)</f>
        <v>0</v>
      </c>
      <c r="V585" s="9">
        <f>ROUND(ROUND(P585, 2)/1.2, 2)</f>
        <v>0</v>
      </c>
      <c r="Y585" s="9">
        <f t="shared" si="31"/>
        <v>0</v>
      </c>
      <c r="AD585" s="4" t="s">
        <v>2246</v>
      </c>
      <c r="AE585" s="4" t="s">
        <v>2247</v>
      </c>
      <c r="AF585" s="4" t="s">
        <v>2179</v>
      </c>
    </row>
    <row r="586" spans="1:35" ht="36" x14ac:dyDescent="0.3">
      <c r="A586" s="10" t="s">
        <v>2248</v>
      </c>
      <c r="B586" s="10" t="s">
        <v>2169</v>
      </c>
      <c r="C586" s="11" t="s">
        <v>2170</v>
      </c>
      <c r="D586" s="12"/>
      <c r="E586" s="12" t="s">
        <v>2249</v>
      </c>
      <c r="F586" s="12" t="s">
        <v>64</v>
      </c>
      <c r="G586" s="13">
        <v>1</v>
      </c>
      <c r="H586" s="13"/>
      <c r="I586" s="13">
        <v>564.55999999999995</v>
      </c>
      <c r="J586" s="14">
        <f>IFERROR(ROUND(SUM(M587,M588)/I586, 2),0)</f>
        <v>13.32</v>
      </c>
      <c r="K586" s="15">
        <v>464</v>
      </c>
      <c r="L586" s="14">
        <f>J586+ROUND(K586, 2)</f>
        <v>477.32</v>
      </c>
      <c r="M586" s="14">
        <f>ROUND(J586*I586, 2)</f>
        <v>7519.94</v>
      </c>
      <c r="N586" s="14">
        <f>ROUND(I586*ROUND(K586, 2), 2)</f>
        <v>261955.84</v>
      </c>
      <c r="O586" s="14">
        <f>M586+N586</f>
        <v>269475.78000000003</v>
      </c>
      <c r="P586" s="14">
        <f>IFERROR(ROUND(SUM(S587,S588)/I586, 2),0)</f>
        <v>13.32</v>
      </c>
      <c r="Q586" s="16">
        <v>464</v>
      </c>
      <c r="R586" s="14">
        <f>P586+ROUND(Q586, 2)</f>
        <v>477.32</v>
      </c>
      <c r="S586" s="14">
        <f>ROUND(P586*I586, 2)</f>
        <v>7519.94</v>
      </c>
      <c r="T586" s="14">
        <f>ROUND(I586*ROUND(Q586, 2), 2)</f>
        <v>261955.84</v>
      </c>
      <c r="U586" s="14">
        <f>S586+T586</f>
        <v>269475.78000000003</v>
      </c>
      <c r="V586" s="9">
        <f>ROUND(P586 / 1.2, 2)</f>
        <v>11.1</v>
      </c>
      <c r="W586" s="9">
        <f>ROUND(Q586 / 1.2, 2)</f>
        <v>386.67</v>
      </c>
      <c r="X586" s="9">
        <f>ROUND(R586 / 1.2, 2)</f>
        <v>397.77</v>
      </c>
      <c r="Y586" s="9">
        <f t="shared" si="31"/>
        <v>6266.62</v>
      </c>
      <c r="Z586" s="9">
        <f>ROUND(T586 / 1.2, 2)</f>
        <v>218296.53</v>
      </c>
      <c r="AA586" s="9">
        <f>Y586+Z586</f>
        <v>224563.15</v>
      </c>
      <c r="AD586" s="4">
        <v>271132260</v>
      </c>
      <c r="AE586" s="4">
        <v>20002014</v>
      </c>
      <c r="AG586" s="4" t="s">
        <v>2172</v>
      </c>
      <c r="AH586" s="4" t="s">
        <v>2173</v>
      </c>
      <c r="AI586" s="4" t="s">
        <v>67</v>
      </c>
    </row>
    <row r="587" spans="1:35" ht="36" x14ac:dyDescent="0.3">
      <c r="A587" s="10" t="s">
        <v>2250</v>
      </c>
      <c r="B587" s="10"/>
      <c r="C587" s="24" t="s">
        <v>433</v>
      </c>
      <c r="D587" s="12"/>
      <c r="E587" s="12"/>
      <c r="F587" s="18" t="s">
        <v>70</v>
      </c>
      <c r="G587" s="19">
        <v>0.15</v>
      </c>
      <c r="H587" s="19"/>
      <c r="I587" s="19">
        <v>84.683999999999997</v>
      </c>
      <c r="J587" s="21">
        <v>88.8</v>
      </c>
      <c r="M587" s="22">
        <f>ROUND(ROUND(J587, 2)*I587, 2)</f>
        <v>7519.94</v>
      </c>
      <c r="P587" s="23">
        <v>88.8</v>
      </c>
      <c r="S587" s="22">
        <f>ROUND(ROUND(P587, 2)*I587, 2)</f>
        <v>7519.94</v>
      </c>
      <c r="V587" s="9">
        <f>ROUND(ROUND(P587, 2)/1.2, 2)</f>
        <v>74</v>
      </c>
      <c r="Y587" s="9">
        <f t="shared" si="31"/>
        <v>6266.62</v>
      </c>
      <c r="AD587" s="4" t="s">
        <v>2251</v>
      </c>
      <c r="AE587" s="4" t="s">
        <v>2252</v>
      </c>
      <c r="AF587" s="4" t="s">
        <v>436</v>
      </c>
    </row>
    <row r="588" spans="1:35" ht="54" x14ac:dyDescent="0.3">
      <c r="A588" s="10" t="s">
        <v>2253</v>
      </c>
      <c r="B588" s="10"/>
      <c r="C588" s="24" t="s">
        <v>2207</v>
      </c>
      <c r="D588" s="12"/>
      <c r="E588" s="12" t="s">
        <v>2254</v>
      </c>
      <c r="F588" s="18" t="s">
        <v>70</v>
      </c>
      <c r="G588" s="19">
        <v>0.3</v>
      </c>
      <c r="H588" s="19"/>
      <c r="I588" s="19">
        <v>169.36799999999999</v>
      </c>
      <c r="J588" s="21">
        <v>0</v>
      </c>
      <c r="M588" s="22">
        <f>ROUND(ROUND(J588, 2)*I588, 2)</f>
        <v>0</v>
      </c>
      <c r="P588" s="23">
        <v>0</v>
      </c>
      <c r="S588" s="22">
        <f>ROUND(ROUND(P588, 2)*I588, 2)</f>
        <v>0</v>
      </c>
      <c r="V588" s="9">
        <f>ROUND(ROUND(P588, 2)/1.2, 2)</f>
        <v>0</v>
      </c>
      <c r="Y588" s="9">
        <f t="shared" si="31"/>
        <v>0</v>
      </c>
      <c r="AD588" s="4" t="s">
        <v>2255</v>
      </c>
      <c r="AE588" s="4" t="s">
        <v>2256</v>
      </c>
      <c r="AF588" s="4" t="s">
        <v>2211</v>
      </c>
    </row>
    <row r="589" spans="1:35" ht="36" x14ac:dyDescent="0.3">
      <c r="A589" s="10" t="s">
        <v>2257</v>
      </c>
      <c r="B589" s="10" t="s">
        <v>2169</v>
      </c>
      <c r="C589" s="11" t="s">
        <v>2170</v>
      </c>
      <c r="D589" s="12"/>
      <c r="E589" s="12" t="s">
        <v>2258</v>
      </c>
      <c r="F589" s="12" t="s">
        <v>64</v>
      </c>
      <c r="G589" s="13">
        <v>1</v>
      </c>
      <c r="H589" s="13"/>
      <c r="I589" s="13">
        <v>32.17</v>
      </c>
      <c r="J589" s="14">
        <f>IFERROR(ROUND(SUM(M590,M591)/I589, 2),0)</f>
        <v>12</v>
      </c>
      <c r="K589" s="15">
        <v>464</v>
      </c>
      <c r="L589" s="14">
        <f>J589+ROUND(K589, 2)</f>
        <v>476</v>
      </c>
      <c r="M589" s="14">
        <f>ROUND(J589*I589, 2)</f>
        <v>386.04</v>
      </c>
      <c r="N589" s="14">
        <f>ROUND(I589*ROUND(K589, 2), 2)</f>
        <v>14926.88</v>
      </c>
      <c r="O589" s="14">
        <f>M589+N589</f>
        <v>15312.92</v>
      </c>
      <c r="P589" s="14">
        <f>IFERROR(ROUND(SUM(S590,S591)/I589, 2),0)</f>
        <v>12</v>
      </c>
      <c r="Q589" s="16">
        <v>464</v>
      </c>
      <c r="R589" s="14">
        <f>P589+ROUND(Q589, 2)</f>
        <v>476</v>
      </c>
      <c r="S589" s="14">
        <f>ROUND(P589*I589, 2)</f>
        <v>386.04</v>
      </c>
      <c r="T589" s="14">
        <f>ROUND(I589*ROUND(Q589, 2), 2)</f>
        <v>14926.88</v>
      </c>
      <c r="U589" s="14">
        <f>S589+T589</f>
        <v>15312.92</v>
      </c>
      <c r="V589" s="9">
        <f>ROUND(P589 / 1.2, 2)</f>
        <v>10</v>
      </c>
      <c r="W589" s="9">
        <f>ROUND(Q589 / 1.2, 2)</f>
        <v>386.67</v>
      </c>
      <c r="X589" s="9">
        <f>ROUND(R589 / 1.2, 2)</f>
        <v>396.67</v>
      </c>
      <c r="Y589" s="9">
        <f t="shared" si="31"/>
        <v>321.7</v>
      </c>
      <c r="Z589" s="9">
        <f>ROUND(T589 / 1.2, 2)</f>
        <v>12439.07</v>
      </c>
      <c r="AA589" s="9">
        <f>Y589+Z589</f>
        <v>12760.77</v>
      </c>
      <c r="AD589" s="4">
        <v>271132261</v>
      </c>
      <c r="AE589" s="4">
        <v>20002017</v>
      </c>
      <c r="AG589" s="4" t="s">
        <v>2172</v>
      </c>
      <c r="AH589" s="4" t="s">
        <v>2173</v>
      </c>
      <c r="AI589" s="4" t="s">
        <v>67</v>
      </c>
    </row>
    <row r="590" spans="1:35" ht="36" x14ac:dyDescent="0.3">
      <c r="A590" s="10" t="s">
        <v>2259</v>
      </c>
      <c r="B590" s="10"/>
      <c r="C590" s="24" t="s">
        <v>2260</v>
      </c>
      <c r="D590" s="12"/>
      <c r="E590" s="12"/>
      <c r="F590" s="18" t="s">
        <v>70</v>
      </c>
      <c r="G590" s="19">
        <v>0.15</v>
      </c>
      <c r="H590" s="19"/>
      <c r="I590" s="19">
        <v>4.8259999999999996</v>
      </c>
      <c r="J590" s="21">
        <v>80</v>
      </c>
      <c r="M590" s="22">
        <f>ROUND(ROUND(J590, 2)*I590, 2)</f>
        <v>386.08</v>
      </c>
      <c r="P590" s="23">
        <v>80</v>
      </c>
      <c r="S590" s="22">
        <f>ROUND(ROUND(P590, 2)*I590, 2)</f>
        <v>386.08</v>
      </c>
      <c r="V590" s="9">
        <f>ROUND(ROUND(P590, 2)/1.2, 2)</f>
        <v>66.67</v>
      </c>
      <c r="Y590" s="9">
        <f t="shared" si="31"/>
        <v>321.73</v>
      </c>
      <c r="AD590" s="4" t="s">
        <v>2261</v>
      </c>
      <c r="AE590" s="4" t="s">
        <v>2262</v>
      </c>
      <c r="AF590" s="4" t="s">
        <v>2263</v>
      </c>
    </row>
    <row r="591" spans="1:35" ht="72" x14ac:dyDescent="0.3">
      <c r="A591" s="10" t="s">
        <v>2264</v>
      </c>
      <c r="B591" s="10"/>
      <c r="C591" s="24" t="s">
        <v>2207</v>
      </c>
      <c r="D591" s="12"/>
      <c r="E591" s="12" t="s">
        <v>2265</v>
      </c>
      <c r="F591" s="18" t="s">
        <v>70</v>
      </c>
      <c r="G591" s="19">
        <v>0.3</v>
      </c>
      <c r="H591" s="19"/>
      <c r="I591" s="19">
        <v>9.6509999999999998</v>
      </c>
      <c r="J591" s="21">
        <v>0</v>
      </c>
      <c r="M591" s="22">
        <f>ROUND(ROUND(J591, 2)*I591, 2)</f>
        <v>0</v>
      </c>
      <c r="P591" s="23">
        <v>0</v>
      </c>
      <c r="S591" s="22">
        <f>ROUND(ROUND(P591, 2)*I591, 2)</f>
        <v>0</v>
      </c>
      <c r="V591" s="9">
        <f>ROUND(ROUND(P591, 2)/1.2, 2)</f>
        <v>0</v>
      </c>
      <c r="Y591" s="9">
        <f t="shared" si="31"/>
        <v>0</v>
      </c>
      <c r="AD591" s="4" t="s">
        <v>2266</v>
      </c>
      <c r="AE591" s="4" t="s">
        <v>2267</v>
      </c>
      <c r="AF591" s="4" t="s">
        <v>2211</v>
      </c>
    </row>
    <row r="592" spans="1:35" ht="36" x14ac:dyDescent="0.3">
      <c r="A592" s="10" t="s">
        <v>2268</v>
      </c>
      <c r="B592" s="10" t="s">
        <v>2169</v>
      </c>
      <c r="C592" s="11" t="s">
        <v>2170</v>
      </c>
      <c r="D592" s="12"/>
      <c r="E592" s="12" t="s">
        <v>2269</v>
      </c>
      <c r="F592" s="12" t="s">
        <v>64</v>
      </c>
      <c r="G592" s="13">
        <v>1</v>
      </c>
      <c r="H592" s="13"/>
      <c r="I592" s="13">
        <v>38.729999999999997</v>
      </c>
      <c r="J592" s="14">
        <f>IFERROR(ROUND(SUM(M593,M594)/I592, 2),0)</f>
        <v>13.32</v>
      </c>
      <c r="K592" s="15">
        <v>464</v>
      </c>
      <c r="L592" s="14">
        <f>J592+ROUND(K592, 2)</f>
        <v>477.32</v>
      </c>
      <c r="M592" s="14">
        <f>ROUND(J592*I592, 2)</f>
        <v>515.88</v>
      </c>
      <c r="N592" s="14">
        <f>ROUND(I592*ROUND(K592, 2), 2)</f>
        <v>17970.72</v>
      </c>
      <c r="O592" s="14">
        <f>M592+N592</f>
        <v>18486.599999999999</v>
      </c>
      <c r="P592" s="14">
        <f>IFERROR(ROUND(SUM(S593,S594)/I592, 2),0)</f>
        <v>13.32</v>
      </c>
      <c r="Q592" s="16">
        <v>464</v>
      </c>
      <c r="R592" s="14">
        <f>P592+ROUND(Q592, 2)</f>
        <v>477.32</v>
      </c>
      <c r="S592" s="14">
        <f>ROUND(P592*I592, 2)</f>
        <v>515.88</v>
      </c>
      <c r="T592" s="14">
        <f>ROUND(I592*ROUND(Q592, 2), 2)</f>
        <v>17970.72</v>
      </c>
      <c r="U592" s="14">
        <f>S592+T592</f>
        <v>18486.599999999999</v>
      </c>
      <c r="V592" s="9">
        <f>ROUND(P592 / 1.2, 2)</f>
        <v>11.1</v>
      </c>
      <c r="W592" s="9">
        <f>ROUND(Q592 / 1.2, 2)</f>
        <v>386.67</v>
      </c>
      <c r="X592" s="9">
        <f>ROUND(R592 / 1.2, 2)</f>
        <v>397.77</v>
      </c>
      <c r="Y592" s="9">
        <f t="shared" si="31"/>
        <v>429.9</v>
      </c>
      <c r="Z592" s="9">
        <f>ROUND(T592 / 1.2, 2)</f>
        <v>14975.6</v>
      </c>
      <c r="AA592" s="9">
        <f>Y592+Z592</f>
        <v>15405.5</v>
      </c>
      <c r="AD592" s="4">
        <v>271132262</v>
      </c>
      <c r="AE592" s="4">
        <v>20002018</v>
      </c>
      <c r="AG592" s="4" t="s">
        <v>2172</v>
      </c>
      <c r="AH592" s="4" t="s">
        <v>2173</v>
      </c>
      <c r="AI592" s="4" t="s">
        <v>67</v>
      </c>
    </row>
    <row r="593" spans="1:35" ht="36" x14ac:dyDescent="0.3">
      <c r="A593" s="10" t="s">
        <v>2270</v>
      </c>
      <c r="B593" s="10"/>
      <c r="C593" s="24" t="s">
        <v>433</v>
      </c>
      <c r="D593" s="12"/>
      <c r="E593" s="12"/>
      <c r="F593" s="18" t="s">
        <v>70</v>
      </c>
      <c r="G593" s="19">
        <v>0.15</v>
      </c>
      <c r="H593" s="19"/>
      <c r="I593" s="19">
        <v>5.81</v>
      </c>
      <c r="J593" s="21">
        <v>88.8</v>
      </c>
      <c r="M593" s="22">
        <f>ROUND(ROUND(J593, 2)*I593, 2)</f>
        <v>515.92999999999995</v>
      </c>
      <c r="P593" s="23">
        <v>88.8</v>
      </c>
      <c r="S593" s="22">
        <f>ROUND(ROUND(P593, 2)*I593, 2)</f>
        <v>515.92999999999995</v>
      </c>
      <c r="V593" s="9">
        <f>ROUND(ROUND(P593, 2)/1.2, 2)</f>
        <v>74</v>
      </c>
      <c r="Y593" s="9">
        <f t="shared" si="31"/>
        <v>429.94</v>
      </c>
      <c r="AD593" s="4" t="s">
        <v>2271</v>
      </c>
      <c r="AE593" s="4" t="s">
        <v>2272</v>
      </c>
      <c r="AF593" s="4" t="s">
        <v>436</v>
      </c>
    </row>
    <row r="594" spans="1:35" ht="54" x14ac:dyDescent="0.3">
      <c r="A594" s="10" t="s">
        <v>2273</v>
      </c>
      <c r="B594" s="10"/>
      <c r="C594" s="24" t="s">
        <v>2207</v>
      </c>
      <c r="D594" s="12"/>
      <c r="E594" s="12" t="s">
        <v>2274</v>
      </c>
      <c r="F594" s="18" t="s">
        <v>70</v>
      </c>
      <c r="G594" s="19">
        <v>0.3</v>
      </c>
      <c r="H594" s="19"/>
      <c r="I594" s="19">
        <v>11.619</v>
      </c>
      <c r="J594" s="21">
        <v>0</v>
      </c>
      <c r="M594" s="22">
        <f>ROUND(ROUND(J594, 2)*I594, 2)</f>
        <v>0</v>
      </c>
      <c r="P594" s="23">
        <v>0</v>
      </c>
      <c r="S594" s="22">
        <f>ROUND(ROUND(P594, 2)*I594, 2)</f>
        <v>0</v>
      </c>
      <c r="V594" s="9">
        <f>ROUND(ROUND(P594, 2)/1.2, 2)</f>
        <v>0</v>
      </c>
      <c r="Y594" s="9">
        <f t="shared" si="31"/>
        <v>0</v>
      </c>
      <c r="AD594" s="4" t="s">
        <v>2275</v>
      </c>
      <c r="AE594" s="4" t="s">
        <v>2276</v>
      </c>
      <c r="AF594" s="4" t="s">
        <v>2211</v>
      </c>
    </row>
    <row r="595" spans="1:35" ht="36" x14ac:dyDescent="0.3">
      <c r="A595" s="10" t="s">
        <v>2277</v>
      </c>
      <c r="B595" s="10" t="s">
        <v>2169</v>
      </c>
      <c r="C595" s="11" t="s">
        <v>2170</v>
      </c>
      <c r="D595" s="12"/>
      <c r="E595" s="12" t="s">
        <v>2231</v>
      </c>
      <c r="F595" s="12" t="s">
        <v>64</v>
      </c>
      <c r="G595" s="13">
        <v>1</v>
      </c>
      <c r="H595" s="13"/>
      <c r="I595" s="13">
        <v>38.74</v>
      </c>
      <c r="J595" s="14">
        <f>IFERROR(ROUND(SUM(M596,M597)/I595, 2),0)</f>
        <v>13.32</v>
      </c>
      <c r="K595" s="15">
        <v>464</v>
      </c>
      <c r="L595" s="14">
        <f>J595+ROUND(K595, 2)</f>
        <v>477.32</v>
      </c>
      <c r="M595" s="14">
        <f>ROUND(J595*I595, 2)</f>
        <v>516.02</v>
      </c>
      <c r="N595" s="14">
        <f>ROUND(I595*ROUND(K595, 2), 2)</f>
        <v>17975.36</v>
      </c>
      <c r="O595" s="14">
        <f>M595+N595</f>
        <v>18491.38</v>
      </c>
      <c r="P595" s="14">
        <f>IFERROR(ROUND(SUM(S596,S597)/I595, 2),0)</f>
        <v>13.32</v>
      </c>
      <c r="Q595" s="16">
        <v>464</v>
      </c>
      <c r="R595" s="14">
        <f>P595+ROUND(Q595, 2)</f>
        <v>477.32</v>
      </c>
      <c r="S595" s="14">
        <f>ROUND(P595*I595, 2)</f>
        <v>516.02</v>
      </c>
      <c r="T595" s="14">
        <f>ROUND(I595*ROUND(Q595, 2), 2)</f>
        <v>17975.36</v>
      </c>
      <c r="U595" s="14">
        <f>S595+T595</f>
        <v>18491.38</v>
      </c>
      <c r="V595" s="9">
        <f>ROUND(P595 / 1.2, 2)</f>
        <v>11.1</v>
      </c>
      <c r="W595" s="9">
        <f>ROUND(Q595 / 1.2, 2)</f>
        <v>386.67</v>
      </c>
      <c r="X595" s="9">
        <f>ROUND(R595 / 1.2, 2)</f>
        <v>397.77</v>
      </c>
      <c r="Y595" s="9">
        <f t="shared" si="31"/>
        <v>430.02</v>
      </c>
      <c r="Z595" s="9">
        <f>ROUND(T595 / 1.2, 2)</f>
        <v>14979.47</v>
      </c>
      <c r="AA595" s="9">
        <f>Y595+Z595</f>
        <v>15409.49</v>
      </c>
      <c r="AD595" s="4">
        <v>271132263</v>
      </c>
      <c r="AE595" s="4">
        <v>20002019</v>
      </c>
      <c r="AG595" s="4" t="s">
        <v>2172</v>
      </c>
      <c r="AH595" s="4" t="s">
        <v>2173</v>
      </c>
      <c r="AI595" s="4" t="s">
        <v>67</v>
      </c>
    </row>
    <row r="596" spans="1:35" ht="36" x14ac:dyDescent="0.3">
      <c r="A596" s="10" t="s">
        <v>2278</v>
      </c>
      <c r="B596" s="10"/>
      <c r="C596" s="24" t="s">
        <v>433</v>
      </c>
      <c r="D596" s="12"/>
      <c r="E596" s="12"/>
      <c r="F596" s="18" t="s">
        <v>70</v>
      </c>
      <c r="G596" s="19">
        <v>0.15</v>
      </c>
      <c r="H596" s="19"/>
      <c r="I596" s="19">
        <v>5.8109999999999999</v>
      </c>
      <c r="J596" s="21">
        <v>88.8</v>
      </c>
      <c r="M596" s="22">
        <f>ROUND(ROUND(J596, 2)*I596, 2)</f>
        <v>516.02</v>
      </c>
      <c r="P596" s="23">
        <v>88.8</v>
      </c>
      <c r="S596" s="22">
        <f>ROUND(ROUND(P596, 2)*I596, 2)</f>
        <v>516.02</v>
      </c>
      <c r="V596" s="9">
        <f>ROUND(ROUND(P596, 2)/1.2, 2)</f>
        <v>74</v>
      </c>
      <c r="Y596" s="9">
        <f t="shared" si="31"/>
        <v>430.02</v>
      </c>
      <c r="AD596" s="4" t="s">
        <v>2279</v>
      </c>
      <c r="AE596" s="4" t="s">
        <v>2280</v>
      </c>
      <c r="AF596" s="4" t="s">
        <v>436</v>
      </c>
    </row>
    <row r="597" spans="1:35" ht="72" x14ac:dyDescent="0.3">
      <c r="A597" s="10" t="s">
        <v>2281</v>
      </c>
      <c r="B597" s="10"/>
      <c r="C597" s="24" t="s">
        <v>2207</v>
      </c>
      <c r="D597" s="12"/>
      <c r="E597" s="12" t="s">
        <v>2282</v>
      </c>
      <c r="F597" s="18" t="s">
        <v>70</v>
      </c>
      <c r="G597" s="19">
        <v>0.3</v>
      </c>
      <c r="H597" s="19"/>
      <c r="I597" s="19">
        <v>11.622</v>
      </c>
      <c r="J597" s="21">
        <v>0</v>
      </c>
      <c r="M597" s="22">
        <f>ROUND(ROUND(J597, 2)*I597, 2)</f>
        <v>0</v>
      </c>
      <c r="P597" s="23">
        <v>0</v>
      </c>
      <c r="S597" s="22">
        <f>ROUND(ROUND(P597, 2)*I597, 2)</f>
        <v>0</v>
      </c>
      <c r="V597" s="9">
        <f>ROUND(ROUND(P597, 2)/1.2, 2)</f>
        <v>0</v>
      </c>
      <c r="Y597" s="9">
        <f t="shared" si="31"/>
        <v>0</v>
      </c>
      <c r="AD597" s="4" t="s">
        <v>2283</v>
      </c>
      <c r="AE597" s="4" t="s">
        <v>2284</v>
      </c>
      <c r="AF597" s="4" t="s">
        <v>2211</v>
      </c>
    </row>
    <row r="598" spans="1:35" ht="36" x14ac:dyDescent="0.3">
      <c r="A598" s="10" t="s">
        <v>2285</v>
      </c>
      <c r="B598" s="10" t="s">
        <v>2169</v>
      </c>
      <c r="C598" s="11" t="s">
        <v>2170</v>
      </c>
      <c r="D598" s="12"/>
      <c r="E598" s="12" t="s">
        <v>2286</v>
      </c>
      <c r="F598" s="12" t="s">
        <v>64</v>
      </c>
      <c r="G598" s="13">
        <v>1</v>
      </c>
      <c r="H598" s="13"/>
      <c r="I598" s="13">
        <v>33.549999999999997</v>
      </c>
      <c r="J598" s="14">
        <f>IFERROR(ROUND(SUM(M599,M600)/I598, 2),0)</f>
        <v>13.32</v>
      </c>
      <c r="K598" s="15">
        <v>464</v>
      </c>
      <c r="L598" s="14">
        <f>J598+ROUND(K598, 2)</f>
        <v>477.32</v>
      </c>
      <c r="M598" s="14">
        <f>ROUND(J598*I598, 2)</f>
        <v>446.89</v>
      </c>
      <c r="N598" s="14">
        <f>ROUND(I598*ROUND(K598, 2), 2)</f>
        <v>15567.2</v>
      </c>
      <c r="O598" s="14">
        <f>M598+N598</f>
        <v>16014.09</v>
      </c>
      <c r="P598" s="14">
        <f>IFERROR(ROUND(SUM(S599,S600)/I598, 2),0)</f>
        <v>13.32</v>
      </c>
      <c r="Q598" s="16">
        <v>464</v>
      </c>
      <c r="R598" s="14">
        <f>P598+ROUND(Q598, 2)</f>
        <v>477.32</v>
      </c>
      <c r="S598" s="14">
        <f>ROUND(P598*I598, 2)</f>
        <v>446.89</v>
      </c>
      <c r="T598" s="14">
        <f>ROUND(I598*ROUND(Q598, 2), 2)</f>
        <v>15567.2</v>
      </c>
      <c r="U598" s="14">
        <f>S598+T598</f>
        <v>16014.09</v>
      </c>
      <c r="V598" s="9">
        <f>ROUND(P598 / 1.2, 2)</f>
        <v>11.1</v>
      </c>
      <c r="W598" s="9">
        <f>ROUND(Q598 / 1.2, 2)</f>
        <v>386.67</v>
      </c>
      <c r="X598" s="9">
        <f>ROUND(R598 / 1.2, 2)</f>
        <v>397.77</v>
      </c>
      <c r="Y598" s="9">
        <f t="shared" si="31"/>
        <v>372.41</v>
      </c>
      <c r="Z598" s="9">
        <f>ROUND(T598 / 1.2, 2)</f>
        <v>12972.67</v>
      </c>
      <c r="AA598" s="9">
        <f>Y598+Z598</f>
        <v>13345.08</v>
      </c>
      <c r="AD598" s="4">
        <v>271132264</v>
      </c>
      <c r="AE598" s="4">
        <v>20002015</v>
      </c>
      <c r="AG598" s="4" t="s">
        <v>2172</v>
      </c>
      <c r="AH598" s="4" t="s">
        <v>2173</v>
      </c>
      <c r="AI598" s="4" t="s">
        <v>67</v>
      </c>
    </row>
    <row r="599" spans="1:35" ht="36" x14ac:dyDescent="0.3">
      <c r="A599" s="10" t="s">
        <v>2287</v>
      </c>
      <c r="B599" s="10"/>
      <c r="C599" s="24" t="s">
        <v>433</v>
      </c>
      <c r="D599" s="12"/>
      <c r="E599" s="12"/>
      <c r="F599" s="18" t="s">
        <v>70</v>
      </c>
      <c r="G599" s="19">
        <v>0.15</v>
      </c>
      <c r="H599" s="19"/>
      <c r="I599" s="19">
        <v>5.0330000000000004</v>
      </c>
      <c r="J599" s="21">
        <v>88.8</v>
      </c>
      <c r="M599" s="22">
        <f>ROUND(ROUND(J599, 2)*I599, 2)</f>
        <v>446.93</v>
      </c>
      <c r="P599" s="23">
        <v>88.8</v>
      </c>
      <c r="S599" s="22">
        <f>ROUND(ROUND(P599, 2)*I599, 2)</f>
        <v>446.93</v>
      </c>
      <c r="V599" s="9">
        <f>ROUND(ROUND(P599, 2)/1.2, 2)</f>
        <v>74</v>
      </c>
      <c r="Y599" s="9">
        <f t="shared" si="31"/>
        <v>372.44</v>
      </c>
      <c r="AD599" s="4" t="s">
        <v>2288</v>
      </c>
      <c r="AE599" s="4" t="s">
        <v>2289</v>
      </c>
      <c r="AF599" s="4" t="s">
        <v>436</v>
      </c>
    </row>
    <row r="600" spans="1:35" ht="54" x14ac:dyDescent="0.3">
      <c r="A600" s="10" t="s">
        <v>2290</v>
      </c>
      <c r="B600" s="10"/>
      <c r="C600" s="24" t="s">
        <v>2207</v>
      </c>
      <c r="D600" s="12"/>
      <c r="E600" s="12" t="s">
        <v>2291</v>
      </c>
      <c r="F600" s="18" t="s">
        <v>70</v>
      </c>
      <c r="G600" s="19">
        <v>0.3</v>
      </c>
      <c r="H600" s="19"/>
      <c r="I600" s="19">
        <v>10.065</v>
      </c>
      <c r="J600" s="21">
        <v>0</v>
      </c>
      <c r="M600" s="22">
        <f>ROUND(ROUND(J600, 2)*I600, 2)</f>
        <v>0</v>
      </c>
      <c r="P600" s="23">
        <v>0</v>
      </c>
      <c r="S600" s="22">
        <f>ROUND(ROUND(P600, 2)*I600, 2)</f>
        <v>0</v>
      </c>
      <c r="V600" s="9">
        <f>ROUND(ROUND(P600, 2)/1.2, 2)</f>
        <v>0</v>
      </c>
      <c r="Y600" s="9">
        <f t="shared" si="31"/>
        <v>0</v>
      </c>
      <c r="AD600" s="4" t="s">
        <v>2292</v>
      </c>
      <c r="AE600" s="4" t="s">
        <v>2293</v>
      </c>
      <c r="AF600" s="4" t="s">
        <v>2211</v>
      </c>
    </row>
    <row r="601" spans="1:35" ht="36" x14ac:dyDescent="0.3">
      <c r="A601" s="10" t="s">
        <v>2294</v>
      </c>
      <c r="B601" s="10" t="s">
        <v>2169</v>
      </c>
      <c r="C601" s="11" t="s">
        <v>2170</v>
      </c>
      <c r="D601" s="12"/>
      <c r="E601" s="12" t="s">
        <v>2295</v>
      </c>
      <c r="F601" s="12" t="s">
        <v>64</v>
      </c>
      <c r="G601" s="13">
        <v>1</v>
      </c>
      <c r="H601" s="13"/>
      <c r="I601" s="13">
        <v>1504.31</v>
      </c>
      <c r="J601" s="14">
        <f>IFERROR(ROUND(SUM(M602,M603)/I601, 2),0)</f>
        <v>13.32</v>
      </c>
      <c r="K601" s="15">
        <v>464</v>
      </c>
      <c r="L601" s="14">
        <f>J601+ROUND(K601, 2)</f>
        <v>477.32</v>
      </c>
      <c r="M601" s="14">
        <f>ROUND(J601*I601, 2)</f>
        <v>20037.41</v>
      </c>
      <c r="N601" s="14">
        <f>ROUND(I601*ROUND(K601, 2), 2)</f>
        <v>697999.84</v>
      </c>
      <c r="O601" s="14">
        <f>M601+N601</f>
        <v>718037.25</v>
      </c>
      <c r="P601" s="14">
        <f>IFERROR(ROUND(SUM(S602,S603)/I601, 2),0)</f>
        <v>13.32</v>
      </c>
      <c r="Q601" s="16">
        <v>464</v>
      </c>
      <c r="R601" s="14">
        <f>P601+ROUND(Q601, 2)</f>
        <v>477.32</v>
      </c>
      <c r="S601" s="14">
        <f>ROUND(P601*I601, 2)</f>
        <v>20037.41</v>
      </c>
      <c r="T601" s="14">
        <f>ROUND(I601*ROUND(Q601, 2), 2)</f>
        <v>697999.84</v>
      </c>
      <c r="U601" s="14">
        <f>S601+T601</f>
        <v>718037.25</v>
      </c>
      <c r="V601" s="9">
        <f>ROUND(P601 / 1.2, 2)</f>
        <v>11.1</v>
      </c>
      <c r="W601" s="9">
        <f>ROUND(Q601 / 1.2, 2)</f>
        <v>386.67</v>
      </c>
      <c r="X601" s="9">
        <f>ROUND(R601 / 1.2, 2)</f>
        <v>397.77</v>
      </c>
      <c r="Y601" s="9">
        <f t="shared" si="31"/>
        <v>16697.84</v>
      </c>
      <c r="Z601" s="9">
        <f>ROUND(T601 / 1.2, 2)</f>
        <v>581666.53</v>
      </c>
      <c r="AA601" s="9">
        <f>Y601+Z601</f>
        <v>598364.37</v>
      </c>
      <c r="AD601" s="4">
        <v>271132265</v>
      </c>
      <c r="AE601" s="4">
        <v>20002016</v>
      </c>
      <c r="AG601" s="4" t="s">
        <v>2172</v>
      </c>
      <c r="AH601" s="4" t="s">
        <v>2173</v>
      </c>
      <c r="AI601" s="4" t="s">
        <v>67</v>
      </c>
    </row>
    <row r="602" spans="1:35" ht="36" x14ac:dyDescent="0.3">
      <c r="A602" s="10" t="s">
        <v>2296</v>
      </c>
      <c r="B602" s="10"/>
      <c r="C602" s="24" t="s">
        <v>433</v>
      </c>
      <c r="D602" s="12"/>
      <c r="E602" s="12"/>
      <c r="F602" s="18" t="s">
        <v>70</v>
      </c>
      <c r="G602" s="19">
        <v>0.15</v>
      </c>
      <c r="H602" s="19"/>
      <c r="I602" s="19">
        <v>225.64699999999999</v>
      </c>
      <c r="J602" s="21">
        <v>88.8</v>
      </c>
      <c r="M602" s="22">
        <f>ROUND(ROUND(J602, 2)*I602, 2)</f>
        <v>20037.45</v>
      </c>
      <c r="P602" s="23">
        <v>88.8</v>
      </c>
      <c r="S602" s="22">
        <f>ROUND(ROUND(P602, 2)*I602, 2)</f>
        <v>20037.45</v>
      </c>
      <c r="V602" s="9">
        <f>ROUND(ROUND(P602, 2)/1.2, 2)</f>
        <v>74</v>
      </c>
      <c r="Y602" s="9">
        <f t="shared" si="31"/>
        <v>16697.88</v>
      </c>
      <c r="AD602" s="4" t="s">
        <v>2297</v>
      </c>
      <c r="AE602" s="4" t="s">
        <v>2298</v>
      </c>
      <c r="AF602" s="4" t="s">
        <v>436</v>
      </c>
    </row>
    <row r="603" spans="1:35" ht="90" x14ac:dyDescent="0.3">
      <c r="A603" s="10" t="s">
        <v>2299</v>
      </c>
      <c r="B603" s="10"/>
      <c r="C603" s="24" t="s">
        <v>2207</v>
      </c>
      <c r="D603" s="12"/>
      <c r="E603" s="12" t="s">
        <v>2300</v>
      </c>
      <c r="F603" s="18" t="s">
        <v>70</v>
      </c>
      <c r="G603" s="19">
        <v>0.3</v>
      </c>
      <c r="H603" s="19"/>
      <c r="I603" s="19">
        <v>451.29300000000001</v>
      </c>
      <c r="J603" s="21">
        <v>0</v>
      </c>
      <c r="M603" s="22">
        <f>ROUND(ROUND(J603, 2)*I603, 2)</f>
        <v>0</v>
      </c>
      <c r="P603" s="23">
        <v>0</v>
      </c>
      <c r="S603" s="22">
        <f>ROUND(ROUND(P603, 2)*I603, 2)</f>
        <v>0</v>
      </c>
      <c r="V603" s="9">
        <f>ROUND(ROUND(P603, 2)/1.2, 2)</f>
        <v>0</v>
      </c>
      <c r="Y603" s="9">
        <f t="shared" ref="Y603:Y634" si="32">ROUND(S603 / 1.2, 2)</f>
        <v>0</v>
      </c>
      <c r="AD603" s="4" t="s">
        <v>2301</v>
      </c>
      <c r="AE603" s="4" t="s">
        <v>2302</v>
      </c>
      <c r="AF603" s="4" t="s">
        <v>2211</v>
      </c>
    </row>
    <row r="604" spans="1:35" ht="36" x14ac:dyDescent="0.3">
      <c r="A604" s="10" t="s">
        <v>2303</v>
      </c>
      <c r="B604" s="10" t="s">
        <v>2169</v>
      </c>
      <c r="C604" s="11" t="s">
        <v>2170</v>
      </c>
      <c r="D604" s="12"/>
      <c r="E604" s="12" t="s">
        <v>2304</v>
      </c>
      <c r="F604" s="12" t="s">
        <v>64</v>
      </c>
      <c r="G604" s="13">
        <v>1</v>
      </c>
      <c r="H604" s="13"/>
      <c r="I604" s="13">
        <v>229.48</v>
      </c>
      <c r="J604" s="14">
        <f>IFERROR(ROUND(SUM(M605,M606)/I604, 2),0)</f>
        <v>13.32</v>
      </c>
      <c r="K604" s="15">
        <v>464</v>
      </c>
      <c r="L604" s="14">
        <f>J604+ROUND(K604, 2)</f>
        <v>477.32</v>
      </c>
      <c r="M604" s="14">
        <f>ROUND(J604*I604, 2)</f>
        <v>3056.67</v>
      </c>
      <c r="N604" s="14">
        <f>ROUND(I604*ROUND(K604, 2), 2)</f>
        <v>106478.72</v>
      </c>
      <c r="O604" s="14">
        <f>M604+N604</f>
        <v>109535.39</v>
      </c>
      <c r="P604" s="14">
        <f>IFERROR(ROUND(SUM(S605,S606)/I604, 2),0)</f>
        <v>13.32</v>
      </c>
      <c r="Q604" s="16">
        <v>464</v>
      </c>
      <c r="R604" s="14">
        <f>P604+ROUND(Q604, 2)</f>
        <v>477.32</v>
      </c>
      <c r="S604" s="14">
        <f>ROUND(P604*I604, 2)</f>
        <v>3056.67</v>
      </c>
      <c r="T604" s="14">
        <f>ROUND(I604*ROUND(Q604, 2), 2)</f>
        <v>106478.72</v>
      </c>
      <c r="U604" s="14">
        <f>S604+T604</f>
        <v>109535.39</v>
      </c>
      <c r="V604" s="9">
        <f>ROUND(P604 / 1.2, 2)</f>
        <v>11.1</v>
      </c>
      <c r="W604" s="9">
        <f>ROUND(Q604 / 1.2, 2)</f>
        <v>386.67</v>
      </c>
      <c r="X604" s="9">
        <f>ROUND(R604 / 1.2, 2)</f>
        <v>397.77</v>
      </c>
      <c r="Y604" s="9">
        <f t="shared" si="32"/>
        <v>2547.23</v>
      </c>
      <c r="Z604" s="9">
        <f>ROUND(T604 / 1.2, 2)</f>
        <v>88732.27</v>
      </c>
      <c r="AA604" s="9">
        <f>Y604+Z604</f>
        <v>91279.5</v>
      </c>
      <c r="AD604" s="4">
        <v>271132266</v>
      </c>
      <c r="AE604" s="4">
        <v>20002020</v>
      </c>
      <c r="AG604" s="4" t="s">
        <v>2172</v>
      </c>
      <c r="AH604" s="4" t="s">
        <v>2173</v>
      </c>
      <c r="AI604" s="4" t="s">
        <v>67</v>
      </c>
    </row>
    <row r="605" spans="1:35" ht="36" x14ac:dyDescent="0.3">
      <c r="A605" s="10" t="s">
        <v>2305</v>
      </c>
      <c r="B605" s="10"/>
      <c r="C605" s="24" t="s">
        <v>433</v>
      </c>
      <c r="D605" s="12"/>
      <c r="E605" s="12"/>
      <c r="F605" s="18" t="s">
        <v>70</v>
      </c>
      <c r="G605" s="19">
        <v>0.15</v>
      </c>
      <c r="H605" s="19"/>
      <c r="I605" s="19">
        <v>34.421999999999997</v>
      </c>
      <c r="J605" s="21">
        <v>88.8</v>
      </c>
      <c r="M605" s="22">
        <f>ROUND(ROUND(J605, 2)*I605, 2)</f>
        <v>3056.67</v>
      </c>
      <c r="P605" s="23">
        <v>88.8</v>
      </c>
      <c r="S605" s="22">
        <f>ROUND(ROUND(P605, 2)*I605, 2)</f>
        <v>3056.67</v>
      </c>
      <c r="V605" s="9">
        <f>ROUND(ROUND(P605, 2)/1.2, 2)</f>
        <v>74</v>
      </c>
      <c r="Y605" s="9">
        <f t="shared" si="32"/>
        <v>2547.23</v>
      </c>
      <c r="AD605" s="4" t="s">
        <v>2306</v>
      </c>
      <c r="AE605" s="4" t="s">
        <v>2307</v>
      </c>
      <c r="AF605" s="4" t="s">
        <v>436</v>
      </c>
    </row>
    <row r="606" spans="1:35" ht="54" x14ac:dyDescent="0.3">
      <c r="A606" s="10" t="s">
        <v>2308</v>
      </c>
      <c r="B606" s="10"/>
      <c r="C606" s="24" t="s">
        <v>2175</v>
      </c>
      <c r="D606" s="12"/>
      <c r="E606" s="12" t="s">
        <v>2309</v>
      </c>
      <c r="F606" s="18" t="s">
        <v>70</v>
      </c>
      <c r="G606" s="19">
        <v>0.3</v>
      </c>
      <c r="H606" s="19"/>
      <c r="I606" s="19">
        <v>68.843999999999994</v>
      </c>
      <c r="J606" s="21">
        <v>0</v>
      </c>
      <c r="M606" s="22">
        <f>ROUND(ROUND(J606, 2)*I606, 2)</f>
        <v>0</v>
      </c>
      <c r="P606" s="23">
        <v>0</v>
      </c>
      <c r="S606" s="22">
        <f>ROUND(ROUND(P606, 2)*I606, 2)</f>
        <v>0</v>
      </c>
      <c r="V606" s="9">
        <f>ROUND(ROUND(P606, 2)/1.2, 2)</f>
        <v>0</v>
      </c>
      <c r="Y606" s="9">
        <f t="shared" si="32"/>
        <v>0</v>
      </c>
      <c r="AD606" s="4" t="s">
        <v>2310</v>
      </c>
      <c r="AE606" s="4" t="s">
        <v>2311</v>
      </c>
      <c r="AF606" s="4" t="s">
        <v>2179</v>
      </c>
    </row>
    <row r="607" spans="1:35" ht="36" x14ac:dyDescent="0.3">
      <c r="A607" s="10" t="s">
        <v>2312</v>
      </c>
      <c r="B607" s="10" t="s">
        <v>2169</v>
      </c>
      <c r="C607" s="11" t="s">
        <v>2170</v>
      </c>
      <c r="D607" s="12"/>
      <c r="E607" s="12" t="s">
        <v>2313</v>
      </c>
      <c r="F607" s="12" t="s">
        <v>64</v>
      </c>
      <c r="G607" s="13">
        <v>1</v>
      </c>
      <c r="H607" s="13"/>
      <c r="I607" s="13">
        <v>16.88</v>
      </c>
      <c r="J607" s="14">
        <f>IFERROR(ROUND(SUM(M608,M609)/I607, 2),0)</f>
        <v>13.32</v>
      </c>
      <c r="K607" s="15">
        <v>464</v>
      </c>
      <c r="L607" s="14">
        <f>J607+ROUND(K607, 2)</f>
        <v>477.32</v>
      </c>
      <c r="M607" s="14">
        <f>ROUND(J607*I607, 2)</f>
        <v>224.84</v>
      </c>
      <c r="N607" s="14">
        <f>ROUND(I607*ROUND(K607, 2), 2)</f>
        <v>7832.32</v>
      </c>
      <c r="O607" s="14">
        <f>M607+N607</f>
        <v>8057.16</v>
      </c>
      <c r="P607" s="14">
        <f>IFERROR(ROUND(SUM(S608,S609)/I607, 2),0)</f>
        <v>13.32</v>
      </c>
      <c r="Q607" s="16">
        <v>464</v>
      </c>
      <c r="R607" s="14">
        <f>P607+ROUND(Q607, 2)</f>
        <v>477.32</v>
      </c>
      <c r="S607" s="14">
        <f>ROUND(P607*I607, 2)</f>
        <v>224.84</v>
      </c>
      <c r="T607" s="14">
        <f>ROUND(I607*ROUND(Q607, 2), 2)</f>
        <v>7832.32</v>
      </c>
      <c r="U607" s="14">
        <f>S607+T607</f>
        <v>8057.16</v>
      </c>
      <c r="V607" s="9">
        <f>ROUND(P607 / 1.2, 2)</f>
        <v>11.1</v>
      </c>
      <c r="W607" s="9">
        <f>ROUND(Q607 / 1.2, 2)</f>
        <v>386.67</v>
      </c>
      <c r="X607" s="9">
        <f>ROUND(R607 / 1.2, 2)</f>
        <v>397.77</v>
      </c>
      <c r="Y607" s="9">
        <f t="shared" si="32"/>
        <v>187.37</v>
      </c>
      <c r="Z607" s="9">
        <f>ROUND(T607 / 1.2, 2)</f>
        <v>6526.93</v>
      </c>
      <c r="AA607" s="9">
        <f>Y607+Z607</f>
        <v>6714.3</v>
      </c>
      <c r="AD607" s="4">
        <v>271132267</v>
      </c>
      <c r="AE607" s="4">
        <v>20002021</v>
      </c>
      <c r="AG607" s="4" t="s">
        <v>2172</v>
      </c>
      <c r="AH607" s="4" t="s">
        <v>2173</v>
      </c>
      <c r="AI607" s="4" t="s">
        <v>67</v>
      </c>
    </row>
    <row r="608" spans="1:35" ht="36" x14ac:dyDescent="0.3">
      <c r="A608" s="10" t="s">
        <v>2314</v>
      </c>
      <c r="B608" s="10"/>
      <c r="C608" s="24" t="s">
        <v>433</v>
      </c>
      <c r="D608" s="12"/>
      <c r="E608" s="12"/>
      <c r="F608" s="18" t="s">
        <v>70</v>
      </c>
      <c r="G608" s="19">
        <v>0.15</v>
      </c>
      <c r="H608" s="19"/>
      <c r="I608" s="19">
        <v>2.532</v>
      </c>
      <c r="J608" s="21">
        <v>88.8</v>
      </c>
      <c r="M608" s="22">
        <f>ROUND(ROUND(J608, 2)*I608, 2)</f>
        <v>224.84</v>
      </c>
      <c r="P608" s="23">
        <v>88.8</v>
      </c>
      <c r="S608" s="22">
        <f>ROUND(ROUND(P608, 2)*I608, 2)</f>
        <v>224.84</v>
      </c>
      <c r="V608" s="9">
        <f>ROUND(ROUND(P608, 2)/1.2, 2)</f>
        <v>74</v>
      </c>
      <c r="Y608" s="9">
        <f t="shared" si="32"/>
        <v>187.37</v>
      </c>
      <c r="AD608" s="4" t="s">
        <v>2315</v>
      </c>
      <c r="AE608" s="4" t="s">
        <v>2316</v>
      </c>
      <c r="AF608" s="4" t="s">
        <v>436</v>
      </c>
    </row>
    <row r="609" spans="1:35" ht="54" x14ac:dyDescent="0.3">
      <c r="A609" s="10" t="s">
        <v>2317</v>
      </c>
      <c r="B609" s="10"/>
      <c r="C609" s="24" t="s">
        <v>2175</v>
      </c>
      <c r="D609" s="12"/>
      <c r="E609" s="12" t="s">
        <v>2318</v>
      </c>
      <c r="F609" s="18" t="s">
        <v>70</v>
      </c>
      <c r="G609" s="19">
        <v>0.3</v>
      </c>
      <c r="H609" s="19"/>
      <c r="I609" s="19">
        <v>5.0640000000000001</v>
      </c>
      <c r="J609" s="21">
        <v>0</v>
      </c>
      <c r="M609" s="22">
        <f>ROUND(ROUND(J609, 2)*I609, 2)</f>
        <v>0</v>
      </c>
      <c r="P609" s="23">
        <v>0</v>
      </c>
      <c r="S609" s="22">
        <f>ROUND(ROUND(P609, 2)*I609, 2)</f>
        <v>0</v>
      </c>
      <c r="V609" s="9">
        <f>ROUND(ROUND(P609, 2)/1.2, 2)</f>
        <v>0</v>
      </c>
      <c r="Y609" s="9">
        <f t="shared" si="32"/>
        <v>0</v>
      </c>
      <c r="AD609" s="4" t="s">
        <v>2319</v>
      </c>
      <c r="AE609" s="4" t="s">
        <v>2320</v>
      </c>
      <c r="AF609" s="4" t="s">
        <v>2179</v>
      </c>
    </row>
    <row r="610" spans="1:35" ht="36" x14ac:dyDescent="0.3">
      <c r="A610" s="10" t="s">
        <v>2321</v>
      </c>
      <c r="B610" s="10" t="s">
        <v>2169</v>
      </c>
      <c r="C610" s="11" t="s">
        <v>2170</v>
      </c>
      <c r="D610" s="12"/>
      <c r="E610" s="12" t="s">
        <v>2322</v>
      </c>
      <c r="F610" s="12" t="s">
        <v>64</v>
      </c>
      <c r="G610" s="13">
        <v>1</v>
      </c>
      <c r="H610" s="13"/>
      <c r="I610" s="13">
        <v>107.24</v>
      </c>
      <c r="J610" s="14">
        <f>IFERROR(ROUND(SUM(M611,M612)/I610, 2),0)</f>
        <v>13.32</v>
      </c>
      <c r="K610" s="15">
        <v>464</v>
      </c>
      <c r="L610" s="14">
        <f>J610+ROUND(K610, 2)</f>
        <v>477.32</v>
      </c>
      <c r="M610" s="14">
        <f>ROUND(J610*I610, 2)</f>
        <v>1428.44</v>
      </c>
      <c r="N610" s="14">
        <f>ROUND(I610*ROUND(K610, 2), 2)</f>
        <v>49759.360000000001</v>
      </c>
      <c r="O610" s="14">
        <f>M610+N610</f>
        <v>51187.8</v>
      </c>
      <c r="P610" s="14">
        <f>IFERROR(ROUND(SUM(S611,S612)/I610, 2),0)</f>
        <v>13.32</v>
      </c>
      <c r="Q610" s="16">
        <v>464</v>
      </c>
      <c r="R610" s="14">
        <f>P610+ROUND(Q610, 2)</f>
        <v>477.32</v>
      </c>
      <c r="S610" s="14">
        <f>ROUND(P610*I610, 2)</f>
        <v>1428.44</v>
      </c>
      <c r="T610" s="14">
        <f>ROUND(I610*ROUND(Q610, 2), 2)</f>
        <v>49759.360000000001</v>
      </c>
      <c r="U610" s="14">
        <f>S610+T610</f>
        <v>51187.8</v>
      </c>
      <c r="V610" s="9">
        <f>ROUND(P610 / 1.2, 2)</f>
        <v>11.1</v>
      </c>
      <c r="W610" s="9">
        <f>ROUND(Q610 / 1.2, 2)</f>
        <v>386.67</v>
      </c>
      <c r="X610" s="9">
        <f>ROUND(R610 / 1.2, 2)</f>
        <v>397.77</v>
      </c>
      <c r="Y610" s="9">
        <f t="shared" si="32"/>
        <v>1190.3699999999999</v>
      </c>
      <c r="Z610" s="9">
        <f>ROUND(T610 / 1.2, 2)</f>
        <v>41466.129999999997</v>
      </c>
      <c r="AA610" s="9">
        <f>Y610+Z610</f>
        <v>42656.5</v>
      </c>
      <c r="AD610" s="4">
        <v>271132268</v>
      </c>
      <c r="AE610" s="4">
        <v>20002022</v>
      </c>
      <c r="AG610" s="4" t="s">
        <v>2172</v>
      </c>
      <c r="AH610" s="4" t="s">
        <v>2173</v>
      </c>
      <c r="AI610" s="4" t="s">
        <v>67</v>
      </c>
    </row>
    <row r="611" spans="1:35" ht="36" x14ac:dyDescent="0.3">
      <c r="A611" s="10" t="s">
        <v>2323</v>
      </c>
      <c r="B611" s="10"/>
      <c r="C611" s="24" t="s">
        <v>433</v>
      </c>
      <c r="D611" s="12"/>
      <c r="E611" s="12"/>
      <c r="F611" s="18" t="s">
        <v>70</v>
      </c>
      <c r="G611" s="19">
        <v>0.15</v>
      </c>
      <c r="H611" s="19"/>
      <c r="I611" s="19">
        <v>16.085999999999999</v>
      </c>
      <c r="J611" s="21">
        <v>88.8</v>
      </c>
      <c r="M611" s="22">
        <f>ROUND(ROUND(J611, 2)*I611, 2)</f>
        <v>1428.44</v>
      </c>
      <c r="P611" s="23">
        <v>88.8</v>
      </c>
      <c r="S611" s="22">
        <f>ROUND(ROUND(P611, 2)*I611, 2)</f>
        <v>1428.44</v>
      </c>
      <c r="V611" s="9">
        <f>ROUND(ROUND(P611, 2)/1.2, 2)</f>
        <v>74</v>
      </c>
      <c r="Y611" s="9">
        <f t="shared" si="32"/>
        <v>1190.3699999999999</v>
      </c>
      <c r="AD611" s="4" t="s">
        <v>2324</v>
      </c>
      <c r="AE611" s="4" t="s">
        <v>2325</v>
      </c>
      <c r="AF611" s="4" t="s">
        <v>436</v>
      </c>
    </row>
    <row r="612" spans="1:35" ht="54" x14ac:dyDescent="0.3">
      <c r="A612" s="10" t="s">
        <v>2326</v>
      </c>
      <c r="B612" s="10"/>
      <c r="C612" s="24" t="s">
        <v>2207</v>
      </c>
      <c r="D612" s="12"/>
      <c r="E612" s="12" t="s">
        <v>2327</v>
      </c>
      <c r="F612" s="18" t="s">
        <v>70</v>
      </c>
      <c r="G612" s="19">
        <v>0.3</v>
      </c>
      <c r="H612" s="19"/>
      <c r="I612" s="19">
        <v>32.171999999999997</v>
      </c>
      <c r="J612" s="21">
        <v>0</v>
      </c>
      <c r="M612" s="22">
        <f>ROUND(ROUND(J612, 2)*I612, 2)</f>
        <v>0</v>
      </c>
      <c r="P612" s="23">
        <v>0</v>
      </c>
      <c r="S612" s="22">
        <f>ROUND(ROUND(P612, 2)*I612, 2)</f>
        <v>0</v>
      </c>
      <c r="V612" s="9">
        <f>ROUND(ROUND(P612, 2)/1.2, 2)</f>
        <v>0</v>
      </c>
      <c r="Y612" s="9">
        <f t="shared" si="32"/>
        <v>0</v>
      </c>
      <c r="AD612" s="4" t="s">
        <v>2328</v>
      </c>
      <c r="AE612" s="4" t="s">
        <v>2329</v>
      </c>
      <c r="AF612" s="4" t="s">
        <v>2211</v>
      </c>
    </row>
    <row r="613" spans="1:35" ht="36" x14ac:dyDescent="0.3">
      <c r="A613" s="10" t="s">
        <v>2330</v>
      </c>
      <c r="B613" s="10" t="s">
        <v>2169</v>
      </c>
      <c r="C613" s="11" t="s">
        <v>2170</v>
      </c>
      <c r="D613" s="12"/>
      <c r="E613" s="12" t="s">
        <v>2331</v>
      </c>
      <c r="F613" s="12" t="s">
        <v>64</v>
      </c>
      <c r="G613" s="13">
        <v>1</v>
      </c>
      <c r="H613" s="13"/>
      <c r="I613" s="13">
        <v>3.42</v>
      </c>
      <c r="J613" s="14">
        <f>IFERROR(ROUND(SUM(M614,M615)/I613, 2),0)</f>
        <v>13.32</v>
      </c>
      <c r="K613" s="15">
        <v>464</v>
      </c>
      <c r="L613" s="14">
        <f>J613+ROUND(K613, 2)</f>
        <v>477.32</v>
      </c>
      <c r="M613" s="14">
        <f>ROUND(J613*I613, 2)</f>
        <v>45.55</v>
      </c>
      <c r="N613" s="14">
        <f>ROUND(I613*ROUND(K613, 2), 2)</f>
        <v>1586.88</v>
      </c>
      <c r="O613" s="14">
        <f>M613+N613</f>
        <v>1632.43</v>
      </c>
      <c r="P613" s="14">
        <f>IFERROR(ROUND(SUM(S614,S615)/I613, 2),0)</f>
        <v>13.32</v>
      </c>
      <c r="Q613" s="16">
        <v>464</v>
      </c>
      <c r="R613" s="14">
        <f>P613+ROUND(Q613, 2)</f>
        <v>477.32</v>
      </c>
      <c r="S613" s="14">
        <f>ROUND(P613*I613, 2)</f>
        <v>45.55</v>
      </c>
      <c r="T613" s="14">
        <f>ROUND(I613*ROUND(Q613, 2), 2)</f>
        <v>1586.88</v>
      </c>
      <c r="U613" s="14">
        <f>S613+T613</f>
        <v>1632.43</v>
      </c>
      <c r="V613" s="9">
        <f>ROUND(P613 / 1.2, 2)</f>
        <v>11.1</v>
      </c>
      <c r="W613" s="9">
        <f>ROUND(Q613 / 1.2, 2)</f>
        <v>386.67</v>
      </c>
      <c r="X613" s="9">
        <f>ROUND(R613 / 1.2, 2)</f>
        <v>397.77</v>
      </c>
      <c r="Y613" s="9">
        <f t="shared" si="32"/>
        <v>37.96</v>
      </c>
      <c r="Z613" s="9">
        <f>ROUND(T613 / 1.2, 2)</f>
        <v>1322.4</v>
      </c>
      <c r="AA613" s="9">
        <f>Y613+Z613</f>
        <v>1360.36</v>
      </c>
      <c r="AD613" s="4">
        <v>271132269</v>
      </c>
      <c r="AE613" s="4">
        <v>20002023</v>
      </c>
      <c r="AG613" s="4" t="s">
        <v>2172</v>
      </c>
      <c r="AH613" s="4" t="s">
        <v>2173</v>
      </c>
      <c r="AI613" s="4" t="s">
        <v>67</v>
      </c>
    </row>
    <row r="614" spans="1:35" ht="36" x14ac:dyDescent="0.3">
      <c r="A614" s="10" t="s">
        <v>2332</v>
      </c>
      <c r="B614" s="10"/>
      <c r="C614" s="24" t="s">
        <v>433</v>
      </c>
      <c r="D614" s="12"/>
      <c r="E614" s="12"/>
      <c r="F614" s="18" t="s">
        <v>70</v>
      </c>
      <c r="G614" s="19">
        <v>0.15</v>
      </c>
      <c r="H614" s="19"/>
      <c r="I614" s="19">
        <v>0.51300000000000001</v>
      </c>
      <c r="J614" s="21">
        <v>88.8</v>
      </c>
      <c r="M614" s="22">
        <f>ROUND(ROUND(J614, 2)*I614, 2)</f>
        <v>45.55</v>
      </c>
      <c r="P614" s="23">
        <v>88.8</v>
      </c>
      <c r="S614" s="22">
        <f>ROUND(ROUND(P614, 2)*I614, 2)</f>
        <v>45.55</v>
      </c>
      <c r="V614" s="9">
        <f>ROUND(ROUND(P614, 2)/1.2, 2)</f>
        <v>74</v>
      </c>
      <c r="Y614" s="9">
        <f t="shared" si="32"/>
        <v>37.96</v>
      </c>
      <c r="AD614" s="4" t="s">
        <v>2333</v>
      </c>
      <c r="AE614" s="4" t="s">
        <v>2334</v>
      </c>
      <c r="AF614" s="4" t="s">
        <v>436</v>
      </c>
    </row>
    <row r="615" spans="1:35" ht="54" x14ac:dyDescent="0.3">
      <c r="A615" s="10" t="s">
        <v>2335</v>
      </c>
      <c r="B615" s="10"/>
      <c r="C615" s="24" t="s">
        <v>2207</v>
      </c>
      <c r="D615" s="12"/>
      <c r="E615" s="12" t="s">
        <v>2336</v>
      </c>
      <c r="F615" s="18" t="s">
        <v>70</v>
      </c>
      <c r="G615" s="19">
        <v>0.3</v>
      </c>
      <c r="H615" s="19"/>
      <c r="I615" s="19">
        <v>1.026</v>
      </c>
      <c r="J615" s="21">
        <v>0</v>
      </c>
      <c r="M615" s="22">
        <f>ROUND(ROUND(J615, 2)*I615, 2)</f>
        <v>0</v>
      </c>
      <c r="P615" s="23">
        <v>0</v>
      </c>
      <c r="S615" s="22">
        <f>ROUND(ROUND(P615, 2)*I615, 2)</f>
        <v>0</v>
      </c>
      <c r="V615" s="9">
        <f>ROUND(ROUND(P615, 2)/1.2, 2)</f>
        <v>0</v>
      </c>
      <c r="Y615" s="9">
        <f t="shared" si="32"/>
        <v>0</v>
      </c>
      <c r="AD615" s="4" t="s">
        <v>2337</v>
      </c>
      <c r="AE615" s="4" t="s">
        <v>2338</v>
      </c>
      <c r="AF615" s="4" t="s">
        <v>2211</v>
      </c>
    </row>
    <row r="616" spans="1:35" ht="36" x14ac:dyDescent="0.3">
      <c r="A616" s="10" t="s">
        <v>2339</v>
      </c>
      <c r="B616" s="10" t="s">
        <v>2169</v>
      </c>
      <c r="C616" s="11" t="s">
        <v>2170</v>
      </c>
      <c r="D616" s="12"/>
      <c r="E616" s="12" t="s">
        <v>2340</v>
      </c>
      <c r="F616" s="12" t="s">
        <v>64</v>
      </c>
      <c r="G616" s="13">
        <v>1</v>
      </c>
      <c r="H616" s="13"/>
      <c r="I616" s="13">
        <v>92.54</v>
      </c>
      <c r="J616" s="14">
        <f>IFERROR(ROUND(SUM(M617,M618)/I616, 2),0)</f>
        <v>13.32</v>
      </c>
      <c r="K616" s="15">
        <v>464</v>
      </c>
      <c r="L616" s="14">
        <f>J616+ROUND(K616, 2)</f>
        <v>477.32</v>
      </c>
      <c r="M616" s="14">
        <f>ROUND(J616*I616, 2)</f>
        <v>1232.6300000000001</v>
      </c>
      <c r="N616" s="14">
        <f>ROUND(I616*ROUND(K616, 2), 2)</f>
        <v>42938.559999999998</v>
      </c>
      <c r="O616" s="14">
        <f>M616+N616</f>
        <v>44171.19</v>
      </c>
      <c r="P616" s="14">
        <f>IFERROR(ROUND(SUM(S617,S618)/I616, 2),0)</f>
        <v>13.32</v>
      </c>
      <c r="Q616" s="16">
        <v>464</v>
      </c>
      <c r="R616" s="14">
        <f>P616+ROUND(Q616, 2)</f>
        <v>477.32</v>
      </c>
      <c r="S616" s="14">
        <f>ROUND(P616*I616, 2)</f>
        <v>1232.6300000000001</v>
      </c>
      <c r="T616" s="14">
        <f>ROUND(I616*ROUND(Q616, 2), 2)</f>
        <v>42938.559999999998</v>
      </c>
      <c r="U616" s="14">
        <f>S616+T616</f>
        <v>44171.19</v>
      </c>
      <c r="V616" s="9">
        <f>ROUND(P616 / 1.2, 2)</f>
        <v>11.1</v>
      </c>
      <c r="W616" s="9">
        <f>ROUND(Q616 / 1.2, 2)</f>
        <v>386.67</v>
      </c>
      <c r="X616" s="9">
        <f>ROUND(R616 / 1.2, 2)</f>
        <v>397.77</v>
      </c>
      <c r="Y616" s="9">
        <f t="shared" si="32"/>
        <v>1027.19</v>
      </c>
      <c r="Z616" s="9">
        <f>ROUND(T616 / 1.2, 2)</f>
        <v>35782.129999999997</v>
      </c>
      <c r="AA616" s="9">
        <f>Y616+Z616</f>
        <v>36809.32</v>
      </c>
      <c r="AD616" s="4">
        <v>271132270</v>
      </c>
      <c r="AE616" s="4">
        <v>20002024</v>
      </c>
      <c r="AG616" s="4" t="s">
        <v>2172</v>
      </c>
      <c r="AH616" s="4" t="s">
        <v>2173</v>
      </c>
      <c r="AI616" s="4" t="s">
        <v>67</v>
      </c>
    </row>
    <row r="617" spans="1:35" ht="36" x14ac:dyDescent="0.3">
      <c r="A617" s="10" t="s">
        <v>2341</v>
      </c>
      <c r="B617" s="10"/>
      <c r="C617" s="24" t="s">
        <v>433</v>
      </c>
      <c r="D617" s="12"/>
      <c r="E617" s="12"/>
      <c r="F617" s="18" t="s">
        <v>70</v>
      </c>
      <c r="G617" s="19">
        <v>0.15</v>
      </c>
      <c r="H617" s="19"/>
      <c r="I617" s="19">
        <v>13.881</v>
      </c>
      <c r="J617" s="21">
        <v>88.8</v>
      </c>
      <c r="M617" s="22">
        <f>ROUND(ROUND(J617, 2)*I617, 2)</f>
        <v>1232.6300000000001</v>
      </c>
      <c r="P617" s="23">
        <v>88.8</v>
      </c>
      <c r="S617" s="22">
        <f>ROUND(ROUND(P617, 2)*I617, 2)</f>
        <v>1232.6300000000001</v>
      </c>
      <c r="V617" s="9">
        <f>ROUND(ROUND(P617, 2)/1.2, 2)</f>
        <v>74</v>
      </c>
      <c r="Y617" s="9">
        <f t="shared" si="32"/>
        <v>1027.19</v>
      </c>
      <c r="AD617" s="4" t="s">
        <v>2342</v>
      </c>
      <c r="AE617" s="4" t="s">
        <v>2343</v>
      </c>
      <c r="AF617" s="4" t="s">
        <v>436</v>
      </c>
    </row>
    <row r="618" spans="1:35" ht="54" x14ac:dyDescent="0.3">
      <c r="A618" s="10" t="s">
        <v>2344</v>
      </c>
      <c r="B618" s="10"/>
      <c r="C618" s="24" t="s">
        <v>2207</v>
      </c>
      <c r="D618" s="12"/>
      <c r="E618" s="12" t="s">
        <v>2345</v>
      </c>
      <c r="F618" s="18" t="s">
        <v>70</v>
      </c>
      <c r="G618" s="19">
        <v>0.3</v>
      </c>
      <c r="H618" s="19"/>
      <c r="I618" s="19">
        <v>27.762</v>
      </c>
      <c r="J618" s="21">
        <v>0</v>
      </c>
      <c r="M618" s="22">
        <f>ROUND(ROUND(J618, 2)*I618, 2)</f>
        <v>0</v>
      </c>
      <c r="P618" s="23">
        <v>0</v>
      </c>
      <c r="S618" s="22">
        <f>ROUND(ROUND(P618, 2)*I618, 2)</f>
        <v>0</v>
      </c>
      <c r="V618" s="9">
        <f>ROUND(ROUND(P618, 2)/1.2, 2)</f>
        <v>0</v>
      </c>
      <c r="Y618" s="9">
        <f t="shared" si="32"/>
        <v>0</v>
      </c>
      <c r="AD618" s="4" t="s">
        <v>2346</v>
      </c>
      <c r="AE618" s="4" t="s">
        <v>2347</v>
      </c>
      <c r="AF618" s="4" t="s">
        <v>2211</v>
      </c>
    </row>
    <row r="619" spans="1:35" ht="36" x14ac:dyDescent="0.3">
      <c r="A619" s="10" t="s">
        <v>2348</v>
      </c>
      <c r="B619" s="10" t="s">
        <v>2169</v>
      </c>
      <c r="C619" s="11" t="s">
        <v>2170</v>
      </c>
      <c r="D619" s="12"/>
      <c r="E619" s="12" t="s">
        <v>2349</v>
      </c>
      <c r="F619" s="12" t="s">
        <v>64</v>
      </c>
      <c r="G619" s="13">
        <v>1</v>
      </c>
      <c r="H619" s="13"/>
      <c r="I619" s="13">
        <v>67.19</v>
      </c>
      <c r="J619" s="14">
        <f>IFERROR(ROUND(SUM(M620,M621)/I619, 2),0)</f>
        <v>13.32</v>
      </c>
      <c r="K619" s="15">
        <v>464</v>
      </c>
      <c r="L619" s="14">
        <f>J619+ROUND(K619, 2)</f>
        <v>477.32</v>
      </c>
      <c r="M619" s="14">
        <f>ROUND(J619*I619, 2)</f>
        <v>894.97</v>
      </c>
      <c r="N619" s="14">
        <f>ROUND(I619*ROUND(K619, 2), 2)</f>
        <v>31176.16</v>
      </c>
      <c r="O619" s="14">
        <f>M619+N619</f>
        <v>32071.13</v>
      </c>
      <c r="P619" s="14">
        <f>IFERROR(ROUND(SUM(S620,S621)/I619, 2),0)</f>
        <v>13.32</v>
      </c>
      <c r="Q619" s="16">
        <v>464</v>
      </c>
      <c r="R619" s="14">
        <f>P619+ROUND(Q619, 2)</f>
        <v>477.32</v>
      </c>
      <c r="S619" s="14">
        <f>ROUND(P619*I619, 2)</f>
        <v>894.97</v>
      </c>
      <c r="T619" s="14">
        <f>ROUND(I619*ROUND(Q619, 2), 2)</f>
        <v>31176.16</v>
      </c>
      <c r="U619" s="14">
        <f>S619+T619</f>
        <v>32071.13</v>
      </c>
      <c r="V619" s="9">
        <f>ROUND(P619 / 1.2, 2)</f>
        <v>11.1</v>
      </c>
      <c r="W619" s="9">
        <f>ROUND(Q619 / 1.2, 2)</f>
        <v>386.67</v>
      </c>
      <c r="X619" s="9">
        <f>ROUND(R619 / 1.2, 2)</f>
        <v>397.77</v>
      </c>
      <c r="Y619" s="9">
        <f t="shared" si="32"/>
        <v>745.81</v>
      </c>
      <c r="Z619" s="9">
        <f>ROUND(T619 / 1.2, 2)</f>
        <v>25980.13</v>
      </c>
      <c r="AA619" s="9">
        <f>Y619+Z619</f>
        <v>26725.94</v>
      </c>
      <c r="AD619" s="4">
        <v>271132271</v>
      </c>
      <c r="AE619" s="4">
        <v>20002025</v>
      </c>
      <c r="AG619" s="4" t="s">
        <v>2172</v>
      </c>
      <c r="AH619" s="4" t="s">
        <v>2173</v>
      </c>
      <c r="AI619" s="4" t="s">
        <v>67</v>
      </c>
    </row>
    <row r="620" spans="1:35" ht="36" x14ac:dyDescent="0.3">
      <c r="A620" s="10" t="s">
        <v>2350</v>
      </c>
      <c r="B620" s="10"/>
      <c r="C620" s="24" t="s">
        <v>433</v>
      </c>
      <c r="D620" s="12"/>
      <c r="E620" s="12"/>
      <c r="F620" s="18" t="s">
        <v>70</v>
      </c>
      <c r="G620" s="19">
        <v>0.15</v>
      </c>
      <c r="H620" s="19"/>
      <c r="I620" s="19">
        <v>10.079000000000001</v>
      </c>
      <c r="J620" s="21">
        <v>88.8</v>
      </c>
      <c r="M620" s="22">
        <f>ROUND(ROUND(J620, 2)*I620, 2)</f>
        <v>895.02</v>
      </c>
      <c r="P620" s="23">
        <v>88.8</v>
      </c>
      <c r="S620" s="22">
        <f>ROUND(ROUND(P620, 2)*I620, 2)</f>
        <v>895.02</v>
      </c>
      <c r="V620" s="9">
        <f>ROUND(ROUND(P620, 2)/1.2, 2)</f>
        <v>74</v>
      </c>
      <c r="Y620" s="9">
        <f t="shared" si="32"/>
        <v>745.85</v>
      </c>
      <c r="AD620" s="4" t="s">
        <v>2351</v>
      </c>
      <c r="AE620" s="4" t="s">
        <v>2352</v>
      </c>
      <c r="AF620" s="4" t="s">
        <v>436</v>
      </c>
    </row>
    <row r="621" spans="1:35" ht="36" x14ac:dyDescent="0.3">
      <c r="A621" s="10" t="s">
        <v>2353</v>
      </c>
      <c r="B621" s="10"/>
      <c r="C621" s="24" t="s">
        <v>2207</v>
      </c>
      <c r="D621" s="12"/>
      <c r="E621" s="12" t="s">
        <v>2354</v>
      </c>
      <c r="F621" s="18" t="s">
        <v>70</v>
      </c>
      <c r="G621" s="19">
        <v>0.3</v>
      </c>
      <c r="H621" s="19"/>
      <c r="I621" s="19">
        <v>20.157</v>
      </c>
      <c r="J621" s="21">
        <v>0</v>
      </c>
      <c r="M621" s="22">
        <f>ROUND(ROUND(J621, 2)*I621, 2)</f>
        <v>0</v>
      </c>
      <c r="P621" s="23">
        <v>0</v>
      </c>
      <c r="S621" s="22">
        <f>ROUND(ROUND(P621, 2)*I621, 2)</f>
        <v>0</v>
      </c>
      <c r="V621" s="9">
        <f>ROUND(ROUND(P621, 2)/1.2, 2)</f>
        <v>0</v>
      </c>
      <c r="Y621" s="9">
        <f t="shared" si="32"/>
        <v>0</v>
      </c>
      <c r="AD621" s="4" t="s">
        <v>2355</v>
      </c>
      <c r="AE621" s="4" t="s">
        <v>2356</v>
      </c>
      <c r="AF621" s="4" t="s">
        <v>2211</v>
      </c>
    </row>
    <row r="622" spans="1:35" ht="36" x14ac:dyDescent="0.3">
      <c r="A622" s="10" t="s">
        <v>2357</v>
      </c>
      <c r="B622" s="10" t="s">
        <v>2169</v>
      </c>
      <c r="C622" s="11" t="s">
        <v>2170</v>
      </c>
      <c r="D622" s="12"/>
      <c r="E622" s="12" t="s">
        <v>2358</v>
      </c>
      <c r="F622" s="12" t="s">
        <v>64</v>
      </c>
      <c r="G622" s="13">
        <v>1</v>
      </c>
      <c r="H622" s="13"/>
      <c r="I622" s="13">
        <v>357.68</v>
      </c>
      <c r="J622" s="14">
        <f>IFERROR(ROUND(SUM(M623,M624)/I622, 2),0)</f>
        <v>13.32</v>
      </c>
      <c r="K622" s="15">
        <v>464</v>
      </c>
      <c r="L622" s="14">
        <f>J622+ROUND(K622, 2)</f>
        <v>477.32</v>
      </c>
      <c r="M622" s="14">
        <f>ROUND(J622*I622, 2)</f>
        <v>4764.3</v>
      </c>
      <c r="N622" s="14">
        <f>ROUND(I622*ROUND(K622, 2), 2)</f>
        <v>165963.51999999999</v>
      </c>
      <c r="O622" s="14">
        <f>M622+N622</f>
        <v>170727.82</v>
      </c>
      <c r="P622" s="14">
        <f>IFERROR(ROUND(SUM(S623,S624)/I622, 2),0)</f>
        <v>13.32</v>
      </c>
      <c r="Q622" s="16">
        <v>464</v>
      </c>
      <c r="R622" s="14">
        <f>P622+ROUND(Q622, 2)</f>
        <v>477.32</v>
      </c>
      <c r="S622" s="14">
        <f>ROUND(P622*I622, 2)</f>
        <v>4764.3</v>
      </c>
      <c r="T622" s="14">
        <f>ROUND(I622*ROUND(Q622, 2), 2)</f>
        <v>165963.51999999999</v>
      </c>
      <c r="U622" s="14">
        <f>S622+T622</f>
        <v>170727.82</v>
      </c>
      <c r="V622" s="9">
        <f>ROUND(P622 / 1.2, 2)</f>
        <v>11.1</v>
      </c>
      <c r="W622" s="9">
        <f>ROUND(Q622 / 1.2, 2)</f>
        <v>386.67</v>
      </c>
      <c r="X622" s="9">
        <f>ROUND(R622 / 1.2, 2)</f>
        <v>397.77</v>
      </c>
      <c r="Y622" s="9">
        <f t="shared" si="32"/>
        <v>3970.25</v>
      </c>
      <c r="Z622" s="9">
        <f>ROUND(T622 / 1.2, 2)</f>
        <v>138302.93</v>
      </c>
      <c r="AA622" s="9">
        <f>Y622+Z622</f>
        <v>142273.18</v>
      </c>
      <c r="AD622" s="4">
        <v>271132272</v>
      </c>
      <c r="AE622" s="4">
        <v>20002274</v>
      </c>
      <c r="AG622" s="4" t="s">
        <v>2172</v>
      </c>
      <c r="AH622" s="4" t="s">
        <v>2173</v>
      </c>
      <c r="AI622" s="4" t="s">
        <v>67</v>
      </c>
    </row>
    <row r="623" spans="1:35" ht="36" x14ac:dyDescent="0.3">
      <c r="A623" s="10" t="s">
        <v>2359</v>
      </c>
      <c r="B623" s="10"/>
      <c r="C623" s="24" t="s">
        <v>433</v>
      </c>
      <c r="D623" s="12"/>
      <c r="E623" s="12"/>
      <c r="F623" s="18" t="s">
        <v>70</v>
      </c>
      <c r="G623" s="19">
        <v>0.15</v>
      </c>
      <c r="H623" s="19"/>
      <c r="I623" s="19">
        <v>53.652000000000001</v>
      </c>
      <c r="J623" s="21">
        <v>88.8</v>
      </c>
      <c r="M623" s="22">
        <f>ROUND(ROUND(J623, 2)*I623, 2)</f>
        <v>4764.3</v>
      </c>
      <c r="P623" s="23">
        <v>88.8</v>
      </c>
      <c r="S623" s="22">
        <f>ROUND(ROUND(P623, 2)*I623, 2)</f>
        <v>4764.3</v>
      </c>
      <c r="V623" s="9">
        <f>ROUND(ROUND(P623, 2)/1.2, 2)</f>
        <v>74</v>
      </c>
      <c r="Y623" s="9">
        <f t="shared" si="32"/>
        <v>3970.25</v>
      </c>
      <c r="AD623" s="4" t="s">
        <v>2360</v>
      </c>
      <c r="AE623" s="4" t="s">
        <v>2361</v>
      </c>
      <c r="AF623" s="4" t="s">
        <v>436</v>
      </c>
    </row>
    <row r="624" spans="1:35" ht="72" x14ac:dyDescent="0.3">
      <c r="A624" s="10" t="s">
        <v>2362</v>
      </c>
      <c r="B624" s="10"/>
      <c r="C624" s="24" t="s">
        <v>2175</v>
      </c>
      <c r="D624" s="12"/>
      <c r="E624" s="12" t="s">
        <v>2198</v>
      </c>
      <c r="F624" s="18" t="s">
        <v>70</v>
      </c>
      <c r="G624" s="19">
        <v>0.3</v>
      </c>
      <c r="H624" s="19"/>
      <c r="I624" s="19">
        <v>107.304</v>
      </c>
      <c r="J624" s="21">
        <v>0</v>
      </c>
      <c r="M624" s="22">
        <f>ROUND(ROUND(J624, 2)*I624, 2)</f>
        <v>0</v>
      </c>
      <c r="P624" s="23">
        <v>0</v>
      </c>
      <c r="S624" s="22">
        <f>ROUND(ROUND(P624, 2)*I624, 2)</f>
        <v>0</v>
      </c>
      <c r="V624" s="9">
        <f>ROUND(ROUND(P624, 2)/1.2, 2)</f>
        <v>0</v>
      </c>
      <c r="Y624" s="9">
        <f t="shared" si="32"/>
        <v>0</v>
      </c>
      <c r="AD624" s="4" t="s">
        <v>2363</v>
      </c>
      <c r="AE624" s="4" t="s">
        <v>2364</v>
      </c>
      <c r="AF624" s="4" t="s">
        <v>2179</v>
      </c>
    </row>
    <row r="625" spans="1:35" ht="36" x14ac:dyDescent="0.3">
      <c r="A625" s="10" t="s">
        <v>2365</v>
      </c>
      <c r="B625" s="10" t="s">
        <v>2169</v>
      </c>
      <c r="C625" s="11" t="s">
        <v>2170</v>
      </c>
      <c r="D625" s="12"/>
      <c r="E625" s="12" t="s">
        <v>2366</v>
      </c>
      <c r="F625" s="12" t="s">
        <v>64</v>
      </c>
      <c r="G625" s="13">
        <v>1</v>
      </c>
      <c r="H625" s="13"/>
      <c r="I625" s="13">
        <v>577.95000000000005</v>
      </c>
      <c r="J625" s="14">
        <f>IFERROR(ROUND(SUM(M626,M627)/I625, 2),0)</f>
        <v>13.32</v>
      </c>
      <c r="K625" s="15">
        <v>464</v>
      </c>
      <c r="L625" s="14">
        <f>J625+ROUND(K625, 2)</f>
        <v>477.32</v>
      </c>
      <c r="M625" s="14">
        <f>ROUND(J625*I625, 2)</f>
        <v>7698.29</v>
      </c>
      <c r="N625" s="14">
        <f>ROUND(I625*ROUND(K625, 2), 2)</f>
        <v>268168.8</v>
      </c>
      <c r="O625" s="14">
        <f>M625+N625</f>
        <v>275867.09000000003</v>
      </c>
      <c r="P625" s="14">
        <f>IFERROR(ROUND(SUM(S626,S627)/I625, 2),0)</f>
        <v>13.32</v>
      </c>
      <c r="Q625" s="16">
        <v>464</v>
      </c>
      <c r="R625" s="14">
        <f>P625+ROUND(Q625, 2)</f>
        <v>477.32</v>
      </c>
      <c r="S625" s="14">
        <f>ROUND(P625*I625, 2)</f>
        <v>7698.29</v>
      </c>
      <c r="T625" s="14">
        <f>ROUND(I625*ROUND(Q625, 2), 2)</f>
        <v>268168.8</v>
      </c>
      <c r="U625" s="14">
        <f>S625+T625</f>
        <v>275867.09000000003</v>
      </c>
      <c r="V625" s="9">
        <f>ROUND(P625 / 1.2, 2)</f>
        <v>11.1</v>
      </c>
      <c r="W625" s="9">
        <f>ROUND(Q625 / 1.2, 2)</f>
        <v>386.67</v>
      </c>
      <c r="X625" s="9">
        <f>ROUND(R625 / 1.2, 2)</f>
        <v>397.77</v>
      </c>
      <c r="Y625" s="9">
        <f t="shared" si="32"/>
        <v>6415.24</v>
      </c>
      <c r="Z625" s="9">
        <f>ROUND(T625 / 1.2, 2)</f>
        <v>223474</v>
      </c>
      <c r="AA625" s="9">
        <f>Y625+Z625</f>
        <v>229889.24</v>
      </c>
      <c r="AD625" s="4">
        <v>271132273</v>
      </c>
      <c r="AE625" s="4">
        <v>20002275</v>
      </c>
      <c r="AG625" s="4" t="s">
        <v>2172</v>
      </c>
      <c r="AH625" s="4" t="s">
        <v>2173</v>
      </c>
      <c r="AI625" s="4" t="s">
        <v>67</v>
      </c>
    </row>
    <row r="626" spans="1:35" ht="36" x14ac:dyDescent="0.3">
      <c r="A626" s="10" t="s">
        <v>2367</v>
      </c>
      <c r="B626" s="10"/>
      <c r="C626" s="24" t="s">
        <v>433</v>
      </c>
      <c r="D626" s="12"/>
      <c r="E626" s="12"/>
      <c r="F626" s="18" t="s">
        <v>70</v>
      </c>
      <c r="G626" s="19">
        <v>0.15</v>
      </c>
      <c r="H626" s="19"/>
      <c r="I626" s="19">
        <v>86.692999999999998</v>
      </c>
      <c r="J626" s="21">
        <v>88.8</v>
      </c>
      <c r="M626" s="22">
        <f>ROUND(ROUND(J626, 2)*I626, 2)</f>
        <v>7698.34</v>
      </c>
      <c r="P626" s="23">
        <v>88.8</v>
      </c>
      <c r="S626" s="22">
        <f>ROUND(ROUND(P626, 2)*I626, 2)</f>
        <v>7698.34</v>
      </c>
      <c r="V626" s="9">
        <f>ROUND(ROUND(P626, 2)/1.2, 2)</f>
        <v>74</v>
      </c>
      <c r="Y626" s="9">
        <f t="shared" si="32"/>
        <v>6415.28</v>
      </c>
      <c r="AD626" s="4" t="s">
        <v>2368</v>
      </c>
      <c r="AE626" s="4" t="s">
        <v>2369</v>
      </c>
      <c r="AF626" s="4" t="s">
        <v>436</v>
      </c>
    </row>
    <row r="627" spans="1:35" ht="90" x14ac:dyDescent="0.3">
      <c r="A627" s="10" t="s">
        <v>2370</v>
      </c>
      <c r="B627" s="10"/>
      <c r="C627" s="24" t="s">
        <v>2175</v>
      </c>
      <c r="D627" s="12"/>
      <c r="E627" s="12" t="s">
        <v>2245</v>
      </c>
      <c r="F627" s="18" t="s">
        <v>70</v>
      </c>
      <c r="G627" s="19">
        <v>0.3</v>
      </c>
      <c r="H627" s="19"/>
      <c r="I627" s="19">
        <v>173.38499999999999</v>
      </c>
      <c r="J627" s="21">
        <v>0</v>
      </c>
      <c r="M627" s="22">
        <f>ROUND(ROUND(J627, 2)*I627, 2)</f>
        <v>0</v>
      </c>
      <c r="P627" s="23">
        <v>0</v>
      </c>
      <c r="S627" s="22">
        <f>ROUND(ROUND(P627, 2)*I627, 2)</f>
        <v>0</v>
      </c>
      <c r="V627" s="9">
        <f>ROUND(ROUND(P627, 2)/1.2, 2)</f>
        <v>0</v>
      </c>
      <c r="Y627" s="9">
        <f t="shared" si="32"/>
        <v>0</v>
      </c>
      <c r="AD627" s="4" t="s">
        <v>2371</v>
      </c>
      <c r="AE627" s="4" t="s">
        <v>2372</v>
      </c>
      <c r="AF627" s="4" t="s">
        <v>2179</v>
      </c>
    </row>
    <row r="628" spans="1:35" ht="36" x14ac:dyDescent="0.3">
      <c r="A628" s="10" t="s">
        <v>2373</v>
      </c>
      <c r="B628" s="10" t="s">
        <v>2169</v>
      </c>
      <c r="C628" s="11" t="s">
        <v>2170</v>
      </c>
      <c r="D628" s="12"/>
      <c r="E628" s="12" t="s">
        <v>2374</v>
      </c>
      <c r="F628" s="12" t="s">
        <v>64</v>
      </c>
      <c r="G628" s="13">
        <v>1</v>
      </c>
      <c r="H628" s="13"/>
      <c r="I628" s="13">
        <v>0.73</v>
      </c>
      <c r="J628" s="14">
        <f>IFERROR(ROUND(SUM(M629,M630)/I628, 2),0)</f>
        <v>13.38</v>
      </c>
      <c r="K628" s="15">
        <v>464</v>
      </c>
      <c r="L628" s="14">
        <f>J628+ROUND(K628, 2)</f>
        <v>477.38</v>
      </c>
      <c r="M628" s="14">
        <f>ROUND(J628*I628, 2)</f>
        <v>9.77</v>
      </c>
      <c r="N628" s="14">
        <f>ROUND(I628*ROUND(K628, 2), 2)</f>
        <v>338.72</v>
      </c>
      <c r="O628" s="14">
        <f>M628+N628</f>
        <v>348.49</v>
      </c>
      <c r="P628" s="14">
        <f>IFERROR(ROUND(SUM(S629,S630)/I628, 2),0)</f>
        <v>13.38</v>
      </c>
      <c r="Q628" s="16">
        <v>464</v>
      </c>
      <c r="R628" s="14">
        <f>P628+ROUND(Q628, 2)</f>
        <v>477.38</v>
      </c>
      <c r="S628" s="14">
        <f>ROUND(P628*I628, 2)</f>
        <v>9.77</v>
      </c>
      <c r="T628" s="14">
        <f>ROUND(I628*ROUND(Q628, 2), 2)</f>
        <v>338.72</v>
      </c>
      <c r="U628" s="14">
        <f>S628+T628</f>
        <v>348.49</v>
      </c>
      <c r="V628" s="9">
        <f>ROUND(P628 / 1.2, 2)</f>
        <v>11.15</v>
      </c>
      <c r="W628" s="9">
        <f>ROUND(Q628 / 1.2, 2)</f>
        <v>386.67</v>
      </c>
      <c r="X628" s="9">
        <f>ROUND(R628 / 1.2, 2)</f>
        <v>397.82</v>
      </c>
      <c r="Y628" s="9">
        <f t="shared" si="32"/>
        <v>8.14</v>
      </c>
      <c r="Z628" s="9">
        <f>ROUND(T628 / 1.2, 2)</f>
        <v>282.27</v>
      </c>
      <c r="AA628" s="9">
        <f>Y628+Z628</f>
        <v>290.41000000000003</v>
      </c>
      <c r="AD628" s="4">
        <v>271132274</v>
      </c>
      <c r="AE628" s="4">
        <v>20002276</v>
      </c>
      <c r="AG628" s="4" t="s">
        <v>2172</v>
      </c>
      <c r="AH628" s="4" t="s">
        <v>2173</v>
      </c>
      <c r="AI628" s="4" t="s">
        <v>67</v>
      </c>
    </row>
    <row r="629" spans="1:35" ht="36" x14ac:dyDescent="0.3">
      <c r="A629" s="10" t="s">
        <v>2375</v>
      </c>
      <c r="B629" s="10"/>
      <c r="C629" s="24" t="s">
        <v>433</v>
      </c>
      <c r="D629" s="12"/>
      <c r="E629" s="12"/>
      <c r="F629" s="18" t="s">
        <v>70</v>
      </c>
      <c r="G629" s="19">
        <v>0.15</v>
      </c>
      <c r="H629" s="19"/>
      <c r="I629" s="19">
        <v>0.11</v>
      </c>
      <c r="J629" s="21">
        <v>88.8</v>
      </c>
      <c r="M629" s="22">
        <f>ROUND(ROUND(J629, 2)*I629, 2)</f>
        <v>9.77</v>
      </c>
      <c r="P629" s="23">
        <v>88.8</v>
      </c>
      <c r="S629" s="22">
        <f>ROUND(ROUND(P629, 2)*I629, 2)</f>
        <v>9.77</v>
      </c>
      <c r="V629" s="9">
        <f>ROUND(ROUND(P629, 2)/1.2, 2)</f>
        <v>74</v>
      </c>
      <c r="Y629" s="9">
        <f t="shared" si="32"/>
        <v>8.14</v>
      </c>
      <c r="AD629" s="4" t="s">
        <v>2376</v>
      </c>
      <c r="AE629" s="4" t="s">
        <v>2377</v>
      </c>
      <c r="AF629" s="4" t="s">
        <v>436</v>
      </c>
    </row>
    <row r="630" spans="1:35" ht="72" x14ac:dyDescent="0.3">
      <c r="A630" s="10" t="s">
        <v>2378</v>
      </c>
      <c r="B630" s="10"/>
      <c r="C630" s="24" t="s">
        <v>2175</v>
      </c>
      <c r="D630" s="12"/>
      <c r="E630" s="12" t="s">
        <v>2176</v>
      </c>
      <c r="F630" s="18" t="s">
        <v>70</v>
      </c>
      <c r="G630" s="19">
        <v>0.3</v>
      </c>
      <c r="H630" s="19"/>
      <c r="I630" s="19">
        <v>0.219</v>
      </c>
      <c r="J630" s="21">
        <v>0</v>
      </c>
      <c r="M630" s="22">
        <f>ROUND(ROUND(J630, 2)*I630, 2)</f>
        <v>0</v>
      </c>
      <c r="P630" s="23">
        <v>0</v>
      </c>
      <c r="S630" s="22">
        <f>ROUND(ROUND(P630, 2)*I630, 2)</f>
        <v>0</v>
      </c>
      <c r="V630" s="9">
        <f>ROUND(ROUND(P630, 2)/1.2, 2)</f>
        <v>0</v>
      </c>
      <c r="Y630" s="9">
        <f t="shared" si="32"/>
        <v>0</v>
      </c>
      <c r="AD630" s="4" t="s">
        <v>2379</v>
      </c>
      <c r="AE630" s="4" t="s">
        <v>2380</v>
      </c>
      <c r="AF630" s="4" t="s">
        <v>2179</v>
      </c>
    </row>
    <row r="631" spans="1:35" ht="36" x14ac:dyDescent="0.3">
      <c r="A631" s="10" t="s">
        <v>2381</v>
      </c>
      <c r="B631" s="10" t="s">
        <v>2169</v>
      </c>
      <c r="C631" s="11" t="s">
        <v>2170</v>
      </c>
      <c r="D631" s="12"/>
      <c r="E631" s="12" t="s">
        <v>2382</v>
      </c>
      <c r="F631" s="12" t="s">
        <v>64</v>
      </c>
      <c r="G631" s="13">
        <v>1</v>
      </c>
      <c r="H631" s="13"/>
      <c r="I631" s="13">
        <v>1.5</v>
      </c>
      <c r="J631" s="14">
        <f>IFERROR(ROUND(SUM(M632,M633)/I631, 2),0)</f>
        <v>13.32</v>
      </c>
      <c r="K631" s="15">
        <v>464</v>
      </c>
      <c r="L631" s="14">
        <f>J631+ROUND(K631, 2)</f>
        <v>477.32</v>
      </c>
      <c r="M631" s="14">
        <f>ROUND(J631*I631, 2)</f>
        <v>19.98</v>
      </c>
      <c r="N631" s="14">
        <f>ROUND(I631*ROUND(K631, 2), 2)</f>
        <v>696</v>
      </c>
      <c r="O631" s="14">
        <f>M631+N631</f>
        <v>715.98</v>
      </c>
      <c r="P631" s="14">
        <f>IFERROR(ROUND(SUM(S632,S633)/I631, 2),0)</f>
        <v>13.32</v>
      </c>
      <c r="Q631" s="16">
        <v>464</v>
      </c>
      <c r="R631" s="14">
        <f>P631+ROUND(Q631, 2)</f>
        <v>477.32</v>
      </c>
      <c r="S631" s="14">
        <f>ROUND(P631*I631, 2)</f>
        <v>19.98</v>
      </c>
      <c r="T631" s="14">
        <f>ROUND(I631*ROUND(Q631, 2), 2)</f>
        <v>696</v>
      </c>
      <c r="U631" s="14">
        <f>S631+T631</f>
        <v>715.98</v>
      </c>
      <c r="V631" s="9">
        <f>ROUND(P631 / 1.2, 2)</f>
        <v>11.1</v>
      </c>
      <c r="W631" s="9">
        <f>ROUND(Q631 / 1.2, 2)</f>
        <v>386.67</v>
      </c>
      <c r="X631" s="9">
        <f>ROUND(R631 / 1.2, 2)</f>
        <v>397.77</v>
      </c>
      <c r="Y631" s="9">
        <f t="shared" si="32"/>
        <v>16.649999999999999</v>
      </c>
      <c r="Z631" s="9">
        <f>ROUND(T631 / 1.2, 2)</f>
        <v>580</v>
      </c>
      <c r="AA631" s="9">
        <f>Y631+Z631</f>
        <v>596.65</v>
      </c>
      <c r="AD631" s="4">
        <v>271132275</v>
      </c>
      <c r="AE631" s="4">
        <v>20002277</v>
      </c>
      <c r="AG631" s="4" t="s">
        <v>2172</v>
      </c>
      <c r="AH631" s="4" t="s">
        <v>2173</v>
      </c>
      <c r="AI631" s="4" t="s">
        <v>67</v>
      </c>
    </row>
    <row r="632" spans="1:35" ht="36" x14ac:dyDescent="0.3">
      <c r="A632" s="10" t="s">
        <v>2383</v>
      </c>
      <c r="B632" s="10"/>
      <c r="C632" s="24" t="s">
        <v>433</v>
      </c>
      <c r="D632" s="12"/>
      <c r="E632" s="12"/>
      <c r="F632" s="18" t="s">
        <v>70</v>
      </c>
      <c r="G632" s="19">
        <v>0.15</v>
      </c>
      <c r="H632" s="19"/>
      <c r="I632" s="19">
        <v>0.22500000000000001</v>
      </c>
      <c r="J632" s="21">
        <v>88.8</v>
      </c>
      <c r="M632" s="22">
        <f>ROUND(ROUND(J632, 2)*I632, 2)</f>
        <v>19.98</v>
      </c>
      <c r="P632" s="23">
        <v>88.8</v>
      </c>
      <c r="S632" s="22">
        <f>ROUND(ROUND(P632, 2)*I632, 2)</f>
        <v>19.98</v>
      </c>
      <c r="V632" s="9">
        <f>ROUND(ROUND(P632, 2)/1.2, 2)</f>
        <v>74</v>
      </c>
      <c r="Y632" s="9">
        <f t="shared" si="32"/>
        <v>16.649999999999999</v>
      </c>
      <c r="AD632" s="4" t="s">
        <v>2384</v>
      </c>
      <c r="AE632" s="4" t="s">
        <v>2385</v>
      </c>
      <c r="AF632" s="4" t="s">
        <v>436</v>
      </c>
    </row>
    <row r="633" spans="1:35" ht="72" x14ac:dyDescent="0.3">
      <c r="A633" s="10" t="s">
        <v>2386</v>
      </c>
      <c r="B633" s="10"/>
      <c r="C633" s="24" t="s">
        <v>2175</v>
      </c>
      <c r="D633" s="12"/>
      <c r="E633" s="12" t="s">
        <v>2189</v>
      </c>
      <c r="F633" s="18" t="s">
        <v>70</v>
      </c>
      <c r="G633" s="19">
        <v>0.3</v>
      </c>
      <c r="H633" s="19"/>
      <c r="I633" s="19">
        <v>0.45</v>
      </c>
      <c r="J633" s="21">
        <v>0</v>
      </c>
      <c r="M633" s="22">
        <f>ROUND(ROUND(J633, 2)*I633, 2)</f>
        <v>0</v>
      </c>
      <c r="P633" s="23">
        <v>0</v>
      </c>
      <c r="S633" s="22">
        <f>ROUND(ROUND(P633, 2)*I633, 2)</f>
        <v>0</v>
      </c>
      <c r="V633" s="9">
        <f>ROUND(ROUND(P633, 2)/1.2, 2)</f>
        <v>0</v>
      </c>
      <c r="Y633" s="9">
        <f t="shared" si="32"/>
        <v>0</v>
      </c>
      <c r="AD633" s="4" t="s">
        <v>2387</v>
      </c>
      <c r="AE633" s="4" t="s">
        <v>2388</v>
      </c>
      <c r="AF633" s="4" t="s">
        <v>2179</v>
      </c>
    </row>
    <row r="634" spans="1:35" ht="36" x14ac:dyDescent="0.3">
      <c r="A634" s="10" t="s">
        <v>2389</v>
      </c>
      <c r="B634" s="10" t="s">
        <v>2169</v>
      </c>
      <c r="C634" s="11" t="s">
        <v>2170</v>
      </c>
      <c r="D634" s="12"/>
      <c r="E634" s="12" t="s">
        <v>2390</v>
      </c>
      <c r="F634" s="12" t="s">
        <v>64</v>
      </c>
      <c r="G634" s="13">
        <v>1</v>
      </c>
      <c r="H634" s="13"/>
      <c r="I634" s="13">
        <v>79.66</v>
      </c>
      <c r="J634" s="14">
        <f>IFERROR(ROUND(SUM(M635,M636)/I634, 2),0)</f>
        <v>13.32</v>
      </c>
      <c r="K634" s="15">
        <v>464</v>
      </c>
      <c r="L634" s="14">
        <f>J634+ROUND(K634, 2)</f>
        <v>477.32</v>
      </c>
      <c r="M634" s="14">
        <f>ROUND(J634*I634, 2)</f>
        <v>1061.07</v>
      </c>
      <c r="N634" s="14">
        <f>ROUND(I634*ROUND(K634, 2), 2)</f>
        <v>36962.239999999998</v>
      </c>
      <c r="O634" s="14">
        <f>M634+N634</f>
        <v>38023.31</v>
      </c>
      <c r="P634" s="14">
        <f>IFERROR(ROUND(SUM(S635,S636)/I634, 2),0)</f>
        <v>13.32</v>
      </c>
      <c r="Q634" s="16">
        <v>464</v>
      </c>
      <c r="R634" s="14">
        <f>P634+ROUND(Q634, 2)</f>
        <v>477.32</v>
      </c>
      <c r="S634" s="14">
        <f>ROUND(P634*I634, 2)</f>
        <v>1061.07</v>
      </c>
      <c r="T634" s="14">
        <f>ROUND(I634*ROUND(Q634, 2), 2)</f>
        <v>36962.239999999998</v>
      </c>
      <c r="U634" s="14">
        <f>S634+T634</f>
        <v>38023.31</v>
      </c>
      <c r="V634" s="9">
        <f>ROUND(P634 / 1.2, 2)</f>
        <v>11.1</v>
      </c>
      <c r="W634" s="9">
        <f>ROUND(Q634 / 1.2, 2)</f>
        <v>386.67</v>
      </c>
      <c r="X634" s="9">
        <f>ROUND(R634 / 1.2, 2)</f>
        <v>397.77</v>
      </c>
      <c r="Y634" s="9">
        <f t="shared" si="32"/>
        <v>884.23</v>
      </c>
      <c r="Z634" s="9">
        <f>ROUND(T634 / 1.2, 2)</f>
        <v>30801.87</v>
      </c>
      <c r="AA634" s="9">
        <f>Y634+Z634</f>
        <v>31686.1</v>
      </c>
      <c r="AD634" s="4">
        <v>271132276</v>
      </c>
      <c r="AE634" s="4">
        <v>20002410</v>
      </c>
      <c r="AG634" s="4" t="s">
        <v>2172</v>
      </c>
      <c r="AH634" s="4" t="s">
        <v>2173</v>
      </c>
      <c r="AI634" s="4" t="s">
        <v>67</v>
      </c>
    </row>
    <row r="635" spans="1:35" ht="36" x14ac:dyDescent="0.3">
      <c r="A635" s="10" t="s">
        <v>2391</v>
      </c>
      <c r="B635" s="10"/>
      <c r="C635" s="24" t="s">
        <v>433</v>
      </c>
      <c r="D635" s="12"/>
      <c r="E635" s="12"/>
      <c r="F635" s="18" t="s">
        <v>70</v>
      </c>
      <c r="G635" s="19">
        <v>0.15</v>
      </c>
      <c r="H635" s="19"/>
      <c r="I635" s="19">
        <v>11.949</v>
      </c>
      <c r="J635" s="21">
        <v>88.8</v>
      </c>
      <c r="M635" s="22">
        <f>ROUND(ROUND(J635, 2)*I635, 2)</f>
        <v>1061.07</v>
      </c>
      <c r="P635" s="23">
        <v>88.8</v>
      </c>
      <c r="S635" s="22">
        <f>ROUND(ROUND(P635, 2)*I635, 2)</f>
        <v>1061.07</v>
      </c>
      <c r="V635" s="9">
        <f>ROUND(ROUND(P635, 2)/1.2, 2)</f>
        <v>74</v>
      </c>
      <c r="Y635" s="9">
        <f t="shared" ref="Y635:Y666" si="33">ROUND(S635 / 1.2, 2)</f>
        <v>884.23</v>
      </c>
      <c r="AD635" s="4" t="s">
        <v>2392</v>
      </c>
      <c r="AE635" s="4" t="s">
        <v>2393</v>
      </c>
      <c r="AF635" s="4" t="s">
        <v>436</v>
      </c>
    </row>
    <row r="636" spans="1:35" ht="54" x14ac:dyDescent="0.3">
      <c r="A636" s="10" t="s">
        <v>2394</v>
      </c>
      <c r="B636" s="10"/>
      <c r="C636" s="24" t="s">
        <v>2207</v>
      </c>
      <c r="D636" s="12"/>
      <c r="E636" s="12" t="s">
        <v>2254</v>
      </c>
      <c r="F636" s="18" t="s">
        <v>70</v>
      </c>
      <c r="G636" s="19">
        <v>0.3</v>
      </c>
      <c r="H636" s="19"/>
      <c r="I636" s="19">
        <v>23.898</v>
      </c>
      <c r="J636" s="21">
        <v>0</v>
      </c>
      <c r="M636" s="22">
        <f>ROUND(ROUND(J636, 2)*I636, 2)</f>
        <v>0</v>
      </c>
      <c r="P636" s="23">
        <v>0</v>
      </c>
      <c r="S636" s="22">
        <f>ROUND(ROUND(P636, 2)*I636, 2)</f>
        <v>0</v>
      </c>
      <c r="V636" s="9">
        <f>ROUND(ROUND(P636, 2)/1.2, 2)</f>
        <v>0</v>
      </c>
      <c r="Y636" s="9">
        <f t="shared" si="33"/>
        <v>0</v>
      </c>
      <c r="AD636" s="4" t="s">
        <v>2395</v>
      </c>
      <c r="AE636" s="4" t="s">
        <v>2396</v>
      </c>
      <c r="AF636" s="4" t="s">
        <v>2211</v>
      </c>
    </row>
    <row r="637" spans="1:35" ht="36" x14ac:dyDescent="0.3">
      <c r="A637" s="10" t="s">
        <v>2397</v>
      </c>
      <c r="B637" s="10" t="s">
        <v>2169</v>
      </c>
      <c r="C637" s="11" t="s">
        <v>2170</v>
      </c>
      <c r="D637" s="12"/>
      <c r="E637" s="12" t="s">
        <v>2398</v>
      </c>
      <c r="F637" s="12" t="s">
        <v>64</v>
      </c>
      <c r="G637" s="13">
        <v>1</v>
      </c>
      <c r="H637" s="13"/>
      <c r="I637" s="13">
        <v>80.790000000000006</v>
      </c>
      <c r="J637" s="14">
        <f>IFERROR(ROUND(SUM(M638,M639)/I637, 2),0)</f>
        <v>13.32</v>
      </c>
      <c r="K637" s="15">
        <v>464</v>
      </c>
      <c r="L637" s="14">
        <f>J637+ROUND(K637, 2)</f>
        <v>477.32</v>
      </c>
      <c r="M637" s="14">
        <f>ROUND(J637*I637, 2)</f>
        <v>1076.1199999999999</v>
      </c>
      <c r="N637" s="14">
        <f>ROUND(I637*ROUND(K637, 2), 2)</f>
        <v>37486.559999999998</v>
      </c>
      <c r="O637" s="14">
        <f>M637+N637</f>
        <v>38562.68</v>
      </c>
      <c r="P637" s="14">
        <f>IFERROR(ROUND(SUM(S638,S639)/I637, 2),0)</f>
        <v>13.32</v>
      </c>
      <c r="Q637" s="16">
        <v>464</v>
      </c>
      <c r="R637" s="14">
        <f>P637+ROUND(Q637, 2)</f>
        <v>477.32</v>
      </c>
      <c r="S637" s="14">
        <f>ROUND(P637*I637, 2)</f>
        <v>1076.1199999999999</v>
      </c>
      <c r="T637" s="14">
        <f>ROUND(I637*ROUND(Q637, 2), 2)</f>
        <v>37486.559999999998</v>
      </c>
      <c r="U637" s="14">
        <f>S637+T637</f>
        <v>38562.68</v>
      </c>
      <c r="V637" s="9">
        <f>ROUND(P637 / 1.2, 2)</f>
        <v>11.1</v>
      </c>
      <c r="W637" s="9">
        <f>ROUND(Q637 / 1.2, 2)</f>
        <v>386.67</v>
      </c>
      <c r="X637" s="9">
        <f>ROUND(R637 / 1.2, 2)</f>
        <v>397.77</v>
      </c>
      <c r="Y637" s="9">
        <f t="shared" si="33"/>
        <v>896.77</v>
      </c>
      <c r="Z637" s="9">
        <f>ROUND(T637 / 1.2, 2)</f>
        <v>31238.799999999999</v>
      </c>
      <c r="AA637" s="9">
        <f>Y637+Z637</f>
        <v>32135.57</v>
      </c>
      <c r="AD637" s="4">
        <v>271132277</v>
      </c>
      <c r="AE637" s="4">
        <v>20002411</v>
      </c>
      <c r="AG637" s="4" t="s">
        <v>2172</v>
      </c>
      <c r="AH637" s="4" t="s">
        <v>2173</v>
      </c>
      <c r="AI637" s="4" t="s">
        <v>67</v>
      </c>
    </row>
    <row r="638" spans="1:35" ht="36" x14ac:dyDescent="0.3">
      <c r="A638" s="10" t="s">
        <v>2399</v>
      </c>
      <c r="B638" s="10"/>
      <c r="C638" s="24" t="s">
        <v>433</v>
      </c>
      <c r="D638" s="12"/>
      <c r="E638" s="12"/>
      <c r="F638" s="18" t="s">
        <v>70</v>
      </c>
      <c r="G638" s="19">
        <v>0.15</v>
      </c>
      <c r="H638" s="19"/>
      <c r="I638" s="19">
        <v>12.119</v>
      </c>
      <c r="J638" s="21">
        <v>88.8</v>
      </c>
      <c r="M638" s="22">
        <f>ROUND(ROUND(J638, 2)*I638, 2)</f>
        <v>1076.17</v>
      </c>
      <c r="P638" s="23">
        <v>88.8</v>
      </c>
      <c r="S638" s="22">
        <f>ROUND(ROUND(P638, 2)*I638, 2)</f>
        <v>1076.17</v>
      </c>
      <c r="V638" s="9">
        <f>ROUND(ROUND(P638, 2)/1.2, 2)</f>
        <v>74</v>
      </c>
      <c r="Y638" s="9">
        <f t="shared" si="33"/>
        <v>896.81</v>
      </c>
      <c r="AD638" s="4" t="s">
        <v>2400</v>
      </c>
      <c r="AE638" s="4" t="s">
        <v>2401</v>
      </c>
      <c r="AF638" s="4" t="s">
        <v>436</v>
      </c>
    </row>
    <row r="639" spans="1:35" ht="54" x14ac:dyDescent="0.3">
      <c r="A639" s="10" t="s">
        <v>2402</v>
      </c>
      <c r="B639" s="10"/>
      <c r="C639" s="24" t="s">
        <v>2207</v>
      </c>
      <c r="D639" s="12"/>
      <c r="E639" s="12" t="s">
        <v>2208</v>
      </c>
      <c r="F639" s="18" t="s">
        <v>70</v>
      </c>
      <c r="G639" s="19">
        <v>0.3</v>
      </c>
      <c r="H639" s="19"/>
      <c r="I639" s="19">
        <v>24.236999999999998</v>
      </c>
      <c r="J639" s="21">
        <v>0</v>
      </c>
      <c r="M639" s="22">
        <f>ROUND(ROUND(J639, 2)*I639, 2)</f>
        <v>0</v>
      </c>
      <c r="P639" s="23">
        <v>0</v>
      </c>
      <c r="S639" s="22">
        <f>ROUND(ROUND(P639, 2)*I639, 2)</f>
        <v>0</v>
      </c>
      <c r="V639" s="9">
        <f>ROUND(ROUND(P639, 2)/1.2, 2)</f>
        <v>0</v>
      </c>
      <c r="Y639" s="9">
        <f t="shared" si="33"/>
        <v>0</v>
      </c>
      <c r="AD639" s="4" t="s">
        <v>2403</v>
      </c>
      <c r="AE639" s="4" t="s">
        <v>2404</v>
      </c>
      <c r="AF639" s="4" t="s">
        <v>2211</v>
      </c>
    </row>
    <row r="640" spans="1:35" ht="36" x14ac:dyDescent="0.3">
      <c r="A640" s="10" t="s">
        <v>2405</v>
      </c>
      <c r="B640" s="10" t="s">
        <v>2169</v>
      </c>
      <c r="C640" s="11" t="s">
        <v>2170</v>
      </c>
      <c r="D640" s="12"/>
      <c r="E640" s="12" t="s">
        <v>2406</v>
      </c>
      <c r="F640" s="12" t="s">
        <v>64</v>
      </c>
      <c r="G640" s="13">
        <v>1</v>
      </c>
      <c r="H640" s="13"/>
      <c r="I640" s="13">
        <v>26.92</v>
      </c>
      <c r="J640" s="14">
        <f>IFERROR(ROUND(SUM(M641,M642)/I640, 2),0)</f>
        <v>13.32</v>
      </c>
      <c r="K640" s="15">
        <v>464</v>
      </c>
      <c r="L640" s="14">
        <f>J640+ROUND(K640, 2)</f>
        <v>477.32</v>
      </c>
      <c r="M640" s="14">
        <f>ROUND(J640*I640, 2)</f>
        <v>358.57</v>
      </c>
      <c r="N640" s="14">
        <f>ROUND(I640*ROUND(K640, 2), 2)</f>
        <v>12490.88</v>
      </c>
      <c r="O640" s="14">
        <f>M640+N640</f>
        <v>12849.45</v>
      </c>
      <c r="P640" s="14">
        <f>IFERROR(ROUND(SUM(S641,S642)/I640, 2),0)</f>
        <v>13.32</v>
      </c>
      <c r="Q640" s="16">
        <v>464</v>
      </c>
      <c r="R640" s="14">
        <f>P640+ROUND(Q640, 2)</f>
        <v>477.32</v>
      </c>
      <c r="S640" s="14">
        <f>ROUND(P640*I640, 2)</f>
        <v>358.57</v>
      </c>
      <c r="T640" s="14">
        <f>ROUND(I640*ROUND(Q640, 2), 2)</f>
        <v>12490.88</v>
      </c>
      <c r="U640" s="14">
        <f>S640+T640</f>
        <v>12849.45</v>
      </c>
      <c r="V640" s="9">
        <f>ROUND(P640 / 1.2, 2)</f>
        <v>11.1</v>
      </c>
      <c r="W640" s="9">
        <f>ROUND(Q640 / 1.2, 2)</f>
        <v>386.67</v>
      </c>
      <c r="X640" s="9">
        <f>ROUND(R640 / 1.2, 2)</f>
        <v>397.77</v>
      </c>
      <c r="Y640" s="9">
        <f t="shared" si="33"/>
        <v>298.81</v>
      </c>
      <c r="Z640" s="9">
        <f>ROUND(T640 / 1.2, 2)</f>
        <v>10409.07</v>
      </c>
      <c r="AA640" s="9">
        <f>Y640+Z640</f>
        <v>10707.88</v>
      </c>
      <c r="AD640" s="4">
        <v>271132278</v>
      </c>
      <c r="AE640" s="4">
        <v>20002412</v>
      </c>
      <c r="AG640" s="4" t="s">
        <v>2172</v>
      </c>
      <c r="AH640" s="4" t="s">
        <v>2173</v>
      </c>
      <c r="AI640" s="4" t="s">
        <v>67</v>
      </c>
    </row>
    <row r="641" spans="1:35" ht="36" x14ac:dyDescent="0.3">
      <c r="A641" s="10" t="s">
        <v>2407</v>
      </c>
      <c r="B641" s="10"/>
      <c r="C641" s="24" t="s">
        <v>433</v>
      </c>
      <c r="D641" s="12"/>
      <c r="E641" s="12"/>
      <c r="F641" s="18" t="s">
        <v>70</v>
      </c>
      <c r="G641" s="19">
        <v>0.15</v>
      </c>
      <c r="H641" s="19"/>
      <c r="I641" s="19">
        <v>4.0380000000000003</v>
      </c>
      <c r="J641" s="21">
        <v>88.8</v>
      </c>
      <c r="M641" s="22">
        <f>ROUND(ROUND(J641, 2)*I641, 2)</f>
        <v>358.57</v>
      </c>
      <c r="P641" s="23">
        <v>88.8</v>
      </c>
      <c r="S641" s="22">
        <f>ROUND(ROUND(P641, 2)*I641, 2)</f>
        <v>358.57</v>
      </c>
      <c r="V641" s="9">
        <f>ROUND(ROUND(P641, 2)/1.2, 2)</f>
        <v>74</v>
      </c>
      <c r="Y641" s="9">
        <f t="shared" si="33"/>
        <v>298.81</v>
      </c>
      <c r="AD641" s="4" t="s">
        <v>2408</v>
      </c>
      <c r="AE641" s="4" t="s">
        <v>2409</v>
      </c>
      <c r="AF641" s="4" t="s">
        <v>436</v>
      </c>
    </row>
    <row r="642" spans="1:35" ht="72" x14ac:dyDescent="0.3">
      <c r="A642" s="10" t="s">
        <v>2410</v>
      </c>
      <c r="B642" s="10"/>
      <c r="C642" s="24" t="s">
        <v>2207</v>
      </c>
      <c r="D642" s="12"/>
      <c r="E642" s="12" t="s">
        <v>2411</v>
      </c>
      <c r="F642" s="18" t="s">
        <v>70</v>
      </c>
      <c r="G642" s="19">
        <v>0.3</v>
      </c>
      <c r="H642" s="19"/>
      <c r="I642" s="19">
        <v>8.0760000000000005</v>
      </c>
      <c r="J642" s="21">
        <v>0</v>
      </c>
      <c r="M642" s="22">
        <f>ROUND(ROUND(J642, 2)*I642, 2)</f>
        <v>0</v>
      </c>
      <c r="P642" s="23">
        <v>0</v>
      </c>
      <c r="S642" s="22">
        <f>ROUND(ROUND(P642, 2)*I642, 2)</f>
        <v>0</v>
      </c>
      <c r="V642" s="9">
        <f>ROUND(ROUND(P642, 2)/1.2, 2)</f>
        <v>0</v>
      </c>
      <c r="Y642" s="9">
        <f t="shared" si="33"/>
        <v>0</v>
      </c>
      <c r="AD642" s="4" t="s">
        <v>2412</v>
      </c>
      <c r="AE642" s="4" t="s">
        <v>2413</v>
      </c>
      <c r="AF642" s="4" t="s">
        <v>2211</v>
      </c>
    </row>
    <row r="643" spans="1:35" ht="36" x14ac:dyDescent="0.3">
      <c r="A643" s="10" t="s">
        <v>2414</v>
      </c>
      <c r="B643" s="10" t="s">
        <v>2169</v>
      </c>
      <c r="C643" s="11" t="s">
        <v>2170</v>
      </c>
      <c r="D643" s="12"/>
      <c r="E643" s="12" t="s">
        <v>2415</v>
      </c>
      <c r="F643" s="12" t="s">
        <v>64</v>
      </c>
      <c r="G643" s="13">
        <v>1</v>
      </c>
      <c r="H643" s="13"/>
      <c r="I643" s="13">
        <v>28.35</v>
      </c>
      <c r="J643" s="14">
        <f>IFERROR(ROUND(SUM(M644,M645)/I643, 2),0)</f>
        <v>13.32</v>
      </c>
      <c r="K643" s="15">
        <v>464</v>
      </c>
      <c r="L643" s="14">
        <f>J643+ROUND(K643, 2)</f>
        <v>477.32</v>
      </c>
      <c r="M643" s="14">
        <f>ROUND(J643*I643, 2)</f>
        <v>377.62</v>
      </c>
      <c r="N643" s="14">
        <f>ROUND(I643*ROUND(K643, 2), 2)</f>
        <v>13154.4</v>
      </c>
      <c r="O643" s="14">
        <f>M643+N643</f>
        <v>13532.02</v>
      </c>
      <c r="P643" s="14">
        <f>IFERROR(ROUND(SUM(S644,S645)/I643, 2),0)</f>
        <v>13.32</v>
      </c>
      <c r="Q643" s="16">
        <v>464</v>
      </c>
      <c r="R643" s="14">
        <f>P643+ROUND(Q643, 2)</f>
        <v>477.32</v>
      </c>
      <c r="S643" s="14">
        <f>ROUND(P643*I643, 2)</f>
        <v>377.62</v>
      </c>
      <c r="T643" s="14">
        <f>ROUND(I643*ROUND(Q643, 2), 2)</f>
        <v>13154.4</v>
      </c>
      <c r="U643" s="14">
        <f>S643+T643</f>
        <v>13532.02</v>
      </c>
      <c r="V643" s="9">
        <f>ROUND(P643 / 1.2, 2)</f>
        <v>11.1</v>
      </c>
      <c r="W643" s="9">
        <f>ROUND(Q643 / 1.2, 2)</f>
        <v>386.67</v>
      </c>
      <c r="X643" s="9">
        <f>ROUND(R643 / 1.2, 2)</f>
        <v>397.77</v>
      </c>
      <c r="Y643" s="9">
        <f t="shared" si="33"/>
        <v>314.68</v>
      </c>
      <c r="Z643" s="9">
        <f>ROUND(T643 / 1.2, 2)</f>
        <v>10962</v>
      </c>
      <c r="AA643" s="9">
        <f>Y643+Z643</f>
        <v>11276.68</v>
      </c>
      <c r="AD643" s="4">
        <v>271132279</v>
      </c>
      <c r="AE643" s="4">
        <v>20003313</v>
      </c>
      <c r="AG643" s="4" t="s">
        <v>2172</v>
      </c>
      <c r="AH643" s="4" t="s">
        <v>2173</v>
      </c>
      <c r="AI643" s="4" t="s">
        <v>67</v>
      </c>
    </row>
    <row r="644" spans="1:35" ht="36" x14ac:dyDescent="0.3">
      <c r="A644" s="10" t="s">
        <v>2416</v>
      </c>
      <c r="B644" s="10"/>
      <c r="C644" s="24" t="s">
        <v>433</v>
      </c>
      <c r="D644" s="12"/>
      <c r="E644" s="12"/>
      <c r="F644" s="18" t="s">
        <v>70</v>
      </c>
      <c r="G644" s="19">
        <v>0.15</v>
      </c>
      <c r="H644" s="19"/>
      <c r="I644" s="19">
        <v>4.2530000000000001</v>
      </c>
      <c r="J644" s="21">
        <v>88.8</v>
      </c>
      <c r="M644" s="22">
        <f>ROUND(ROUND(J644, 2)*I644, 2)</f>
        <v>377.67</v>
      </c>
      <c r="P644" s="23">
        <v>88.8</v>
      </c>
      <c r="S644" s="22">
        <f>ROUND(ROUND(P644, 2)*I644, 2)</f>
        <v>377.67</v>
      </c>
      <c r="V644" s="9">
        <f>ROUND(ROUND(P644, 2)/1.2, 2)</f>
        <v>74</v>
      </c>
      <c r="Y644" s="9">
        <f t="shared" si="33"/>
        <v>314.73</v>
      </c>
      <c r="AD644" s="4" t="s">
        <v>2417</v>
      </c>
      <c r="AE644" s="4" t="s">
        <v>2418</v>
      </c>
      <c r="AF644" s="4" t="s">
        <v>436</v>
      </c>
    </row>
    <row r="645" spans="1:35" ht="54" x14ac:dyDescent="0.3">
      <c r="A645" s="10" t="s">
        <v>2419</v>
      </c>
      <c r="B645" s="10"/>
      <c r="C645" s="24" t="s">
        <v>2207</v>
      </c>
      <c r="D645" s="12"/>
      <c r="E645" s="12" t="s">
        <v>2420</v>
      </c>
      <c r="F645" s="18" t="s">
        <v>70</v>
      </c>
      <c r="G645" s="19">
        <v>0.3</v>
      </c>
      <c r="H645" s="19"/>
      <c r="I645" s="19">
        <v>8.5050000000000008</v>
      </c>
      <c r="J645" s="21">
        <v>0</v>
      </c>
      <c r="M645" s="22">
        <f>ROUND(ROUND(J645, 2)*I645, 2)</f>
        <v>0</v>
      </c>
      <c r="P645" s="23">
        <v>0</v>
      </c>
      <c r="S645" s="22">
        <f>ROUND(ROUND(P645, 2)*I645, 2)</f>
        <v>0</v>
      </c>
      <c r="V645" s="9">
        <f>ROUND(ROUND(P645, 2)/1.2, 2)</f>
        <v>0</v>
      </c>
      <c r="Y645" s="9">
        <f t="shared" si="33"/>
        <v>0</v>
      </c>
      <c r="AD645" s="4" t="s">
        <v>2421</v>
      </c>
      <c r="AE645" s="4" t="s">
        <v>2422</v>
      </c>
      <c r="AF645" s="4" t="s">
        <v>2211</v>
      </c>
    </row>
    <row r="646" spans="1:35" ht="36" x14ac:dyDescent="0.3">
      <c r="A646" s="10" t="s">
        <v>2423</v>
      </c>
      <c r="B646" s="10" t="s">
        <v>2169</v>
      </c>
      <c r="C646" s="11" t="s">
        <v>2170</v>
      </c>
      <c r="D646" s="12"/>
      <c r="E646" s="12" t="s">
        <v>2424</v>
      </c>
      <c r="F646" s="12" t="s">
        <v>64</v>
      </c>
      <c r="G646" s="13">
        <v>1</v>
      </c>
      <c r="H646" s="13"/>
      <c r="I646" s="13">
        <v>26.03</v>
      </c>
      <c r="J646" s="14">
        <f>IFERROR(ROUND(SUM(M647,M648)/I646, 2),0)</f>
        <v>13.32</v>
      </c>
      <c r="K646" s="15">
        <v>464</v>
      </c>
      <c r="L646" s="14">
        <f>J646+ROUND(K646, 2)</f>
        <v>477.32</v>
      </c>
      <c r="M646" s="14">
        <f>ROUND(J646*I646, 2)</f>
        <v>346.72</v>
      </c>
      <c r="N646" s="14">
        <f>ROUND(I646*ROUND(K646, 2), 2)</f>
        <v>12077.92</v>
      </c>
      <c r="O646" s="14">
        <f>M646+N646</f>
        <v>12424.64</v>
      </c>
      <c r="P646" s="14">
        <f>IFERROR(ROUND(SUM(S647,S648)/I646, 2),0)</f>
        <v>13.32</v>
      </c>
      <c r="Q646" s="16">
        <v>464</v>
      </c>
      <c r="R646" s="14">
        <f>P646+ROUND(Q646, 2)</f>
        <v>477.32</v>
      </c>
      <c r="S646" s="14">
        <f>ROUND(P646*I646, 2)</f>
        <v>346.72</v>
      </c>
      <c r="T646" s="14">
        <f>ROUND(I646*ROUND(Q646, 2), 2)</f>
        <v>12077.92</v>
      </c>
      <c r="U646" s="14">
        <f>S646+T646</f>
        <v>12424.64</v>
      </c>
      <c r="V646" s="9">
        <f>ROUND(P646 / 1.2, 2)</f>
        <v>11.1</v>
      </c>
      <c r="W646" s="9">
        <f>ROUND(Q646 / 1.2, 2)</f>
        <v>386.67</v>
      </c>
      <c r="X646" s="9">
        <f>ROUND(R646 / 1.2, 2)</f>
        <v>397.77</v>
      </c>
      <c r="Y646" s="9">
        <f t="shared" si="33"/>
        <v>288.93</v>
      </c>
      <c r="Z646" s="9">
        <f>ROUND(T646 / 1.2, 2)</f>
        <v>10064.93</v>
      </c>
      <c r="AA646" s="9">
        <f>Y646+Z646</f>
        <v>10353.86</v>
      </c>
      <c r="AD646" s="4">
        <v>271132280</v>
      </c>
      <c r="AE646" s="4">
        <v>20003314</v>
      </c>
      <c r="AG646" s="4" t="s">
        <v>2172</v>
      </c>
      <c r="AH646" s="4" t="s">
        <v>2173</v>
      </c>
      <c r="AI646" s="4" t="s">
        <v>67</v>
      </c>
    </row>
    <row r="647" spans="1:35" ht="36" x14ac:dyDescent="0.3">
      <c r="A647" s="10" t="s">
        <v>2425</v>
      </c>
      <c r="B647" s="10"/>
      <c r="C647" s="24" t="s">
        <v>433</v>
      </c>
      <c r="D647" s="12"/>
      <c r="E647" s="12"/>
      <c r="F647" s="18" t="s">
        <v>70</v>
      </c>
      <c r="G647" s="19">
        <v>0.15</v>
      </c>
      <c r="H647" s="19"/>
      <c r="I647" s="19">
        <v>3.9049999999999998</v>
      </c>
      <c r="J647" s="21">
        <v>88.8</v>
      </c>
      <c r="M647" s="22">
        <f>ROUND(ROUND(J647, 2)*I647, 2)</f>
        <v>346.76</v>
      </c>
      <c r="P647" s="23">
        <v>88.8</v>
      </c>
      <c r="S647" s="22">
        <f>ROUND(ROUND(P647, 2)*I647, 2)</f>
        <v>346.76</v>
      </c>
      <c r="V647" s="9">
        <f>ROUND(ROUND(P647, 2)/1.2, 2)</f>
        <v>74</v>
      </c>
      <c r="Y647" s="9">
        <f t="shared" si="33"/>
        <v>288.97000000000003</v>
      </c>
      <c r="AD647" s="4" t="s">
        <v>2426</v>
      </c>
      <c r="AE647" s="4" t="s">
        <v>2427</v>
      </c>
      <c r="AF647" s="4" t="s">
        <v>436</v>
      </c>
    </row>
    <row r="648" spans="1:35" ht="54" x14ac:dyDescent="0.3">
      <c r="A648" s="10" t="s">
        <v>2428</v>
      </c>
      <c r="B648" s="10"/>
      <c r="C648" s="24" t="s">
        <v>2207</v>
      </c>
      <c r="D648" s="12"/>
      <c r="E648" s="12" t="s">
        <v>2227</v>
      </c>
      <c r="F648" s="18" t="s">
        <v>70</v>
      </c>
      <c r="G648" s="19">
        <v>0.3</v>
      </c>
      <c r="H648" s="19"/>
      <c r="I648" s="19">
        <v>7.8090000000000002</v>
      </c>
      <c r="J648" s="21">
        <v>0</v>
      </c>
      <c r="M648" s="22">
        <f>ROUND(ROUND(J648, 2)*I648, 2)</f>
        <v>0</v>
      </c>
      <c r="P648" s="23">
        <v>0</v>
      </c>
      <c r="S648" s="22">
        <f>ROUND(ROUND(P648, 2)*I648, 2)</f>
        <v>0</v>
      </c>
      <c r="V648" s="9">
        <f>ROUND(ROUND(P648, 2)/1.2, 2)</f>
        <v>0</v>
      </c>
      <c r="Y648" s="9">
        <f t="shared" si="33"/>
        <v>0</v>
      </c>
      <c r="AD648" s="4" t="s">
        <v>2429</v>
      </c>
      <c r="AE648" s="4" t="s">
        <v>2430</v>
      </c>
      <c r="AF648" s="4" t="s">
        <v>2211</v>
      </c>
    </row>
    <row r="649" spans="1:35" ht="36" x14ac:dyDescent="0.3">
      <c r="A649" s="10" t="s">
        <v>2431</v>
      </c>
      <c r="B649" s="10" t="s">
        <v>2169</v>
      </c>
      <c r="C649" s="11" t="s">
        <v>2170</v>
      </c>
      <c r="D649" s="12"/>
      <c r="E649" s="12" t="s">
        <v>2432</v>
      </c>
      <c r="F649" s="12" t="s">
        <v>64</v>
      </c>
      <c r="G649" s="13">
        <v>1</v>
      </c>
      <c r="H649" s="13"/>
      <c r="I649" s="13">
        <v>34.79</v>
      </c>
      <c r="J649" s="14">
        <f>IFERROR(ROUND(SUM(M650,M651)/I649, 2),0)</f>
        <v>13.32</v>
      </c>
      <c r="K649" s="15">
        <v>464</v>
      </c>
      <c r="L649" s="14">
        <f>J649+ROUND(K649, 2)</f>
        <v>477.32</v>
      </c>
      <c r="M649" s="14">
        <f>ROUND(J649*I649, 2)</f>
        <v>463.4</v>
      </c>
      <c r="N649" s="14">
        <f>ROUND(I649*ROUND(K649, 2), 2)</f>
        <v>16142.56</v>
      </c>
      <c r="O649" s="14">
        <f>M649+N649</f>
        <v>16605.96</v>
      </c>
      <c r="P649" s="14">
        <f>IFERROR(ROUND(SUM(S650,S651)/I649, 2),0)</f>
        <v>13.32</v>
      </c>
      <c r="Q649" s="16">
        <v>464</v>
      </c>
      <c r="R649" s="14">
        <f>P649+ROUND(Q649, 2)</f>
        <v>477.32</v>
      </c>
      <c r="S649" s="14">
        <f>ROUND(P649*I649, 2)</f>
        <v>463.4</v>
      </c>
      <c r="T649" s="14">
        <f>ROUND(I649*ROUND(Q649, 2), 2)</f>
        <v>16142.56</v>
      </c>
      <c r="U649" s="14">
        <f>S649+T649</f>
        <v>16605.96</v>
      </c>
      <c r="V649" s="9">
        <f>ROUND(P649 / 1.2, 2)</f>
        <v>11.1</v>
      </c>
      <c r="W649" s="9">
        <f>ROUND(Q649 / 1.2, 2)</f>
        <v>386.67</v>
      </c>
      <c r="X649" s="9">
        <f>ROUND(R649 / 1.2, 2)</f>
        <v>397.77</v>
      </c>
      <c r="Y649" s="9">
        <f t="shared" si="33"/>
        <v>386.17</v>
      </c>
      <c r="Z649" s="9">
        <f>ROUND(T649 / 1.2, 2)</f>
        <v>13452.13</v>
      </c>
      <c r="AA649" s="9">
        <f>Y649+Z649</f>
        <v>13838.3</v>
      </c>
      <c r="AD649" s="4">
        <v>271132281</v>
      </c>
      <c r="AE649" s="4">
        <v>20003315</v>
      </c>
      <c r="AG649" s="4" t="s">
        <v>2172</v>
      </c>
      <c r="AH649" s="4" t="s">
        <v>2173</v>
      </c>
      <c r="AI649" s="4" t="s">
        <v>67</v>
      </c>
    </row>
    <row r="650" spans="1:35" ht="36" x14ac:dyDescent="0.3">
      <c r="A650" s="10" t="s">
        <v>2433</v>
      </c>
      <c r="B650" s="10"/>
      <c r="C650" s="24" t="s">
        <v>433</v>
      </c>
      <c r="D650" s="12"/>
      <c r="E650" s="12"/>
      <c r="F650" s="18" t="s">
        <v>70</v>
      </c>
      <c r="G650" s="19">
        <v>0.15</v>
      </c>
      <c r="H650" s="19"/>
      <c r="I650" s="19">
        <v>5.2190000000000003</v>
      </c>
      <c r="J650" s="21">
        <v>88.8</v>
      </c>
      <c r="M650" s="22">
        <f>ROUND(ROUND(J650, 2)*I650, 2)</f>
        <v>463.45</v>
      </c>
      <c r="P650" s="23">
        <v>88.8</v>
      </c>
      <c r="S650" s="22">
        <f>ROUND(ROUND(P650, 2)*I650, 2)</f>
        <v>463.45</v>
      </c>
      <c r="V650" s="9">
        <f>ROUND(ROUND(P650, 2)/1.2, 2)</f>
        <v>74</v>
      </c>
      <c r="Y650" s="9">
        <f t="shared" si="33"/>
        <v>386.21</v>
      </c>
      <c r="AD650" s="4" t="s">
        <v>2434</v>
      </c>
      <c r="AE650" s="4" t="s">
        <v>2435</v>
      </c>
      <c r="AF650" s="4" t="s">
        <v>436</v>
      </c>
    </row>
    <row r="651" spans="1:35" ht="54" x14ac:dyDescent="0.3">
      <c r="A651" s="10" t="s">
        <v>2436</v>
      </c>
      <c r="B651" s="10"/>
      <c r="C651" s="24" t="s">
        <v>2437</v>
      </c>
      <c r="D651" s="12"/>
      <c r="E651" s="12" t="s">
        <v>2274</v>
      </c>
      <c r="F651" s="18" t="s">
        <v>70</v>
      </c>
      <c r="G651" s="19">
        <v>0.3</v>
      </c>
      <c r="H651" s="19"/>
      <c r="I651" s="19">
        <v>10.436999999999999</v>
      </c>
      <c r="J651" s="21">
        <v>0</v>
      </c>
      <c r="M651" s="22">
        <f>ROUND(ROUND(J651, 2)*I651, 2)</f>
        <v>0</v>
      </c>
      <c r="P651" s="23">
        <v>0</v>
      </c>
      <c r="S651" s="22">
        <f>ROUND(ROUND(P651, 2)*I651, 2)</f>
        <v>0</v>
      </c>
      <c r="V651" s="9">
        <f>ROUND(ROUND(P651, 2)/1.2, 2)</f>
        <v>0</v>
      </c>
      <c r="Y651" s="9">
        <f t="shared" si="33"/>
        <v>0</v>
      </c>
      <c r="AD651" s="4" t="s">
        <v>2438</v>
      </c>
      <c r="AE651" s="4" t="s">
        <v>2439</v>
      </c>
      <c r="AF651" s="4" t="s">
        <v>2440</v>
      </c>
    </row>
    <row r="652" spans="1:35" ht="36" x14ac:dyDescent="0.3">
      <c r="A652" s="10" t="s">
        <v>2441</v>
      </c>
      <c r="B652" s="10" t="s">
        <v>2169</v>
      </c>
      <c r="C652" s="11" t="s">
        <v>2170</v>
      </c>
      <c r="D652" s="12"/>
      <c r="E652" s="12" t="s">
        <v>2442</v>
      </c>
      <c r="F652" s="12" t="s">
        <v>64</v>
      </c>
      <c r="G652" s="13">
        <v>1</v>
      </c>
      <c r="H652" s="13"/>
      <c r="I652" s="13">
        <v>58.73</v>
      </c>
      <c r="J652" s="14">
        <f>IFERROR(ROUND(SUM(M653,M654)/I652, 2),0)</f>
        <v>13.32</v>
      </c>
      <c r="K652" s="15">
        <v>464</v>
      </c>
      <c r="L652" s="14">
        <f>J652+ROUND(K652, 2)</f>
        <v>477.32</v>
      </c>
      <c r="M652" s="14">
        <f>ROUND(J652*I652, 2)</f>
        <v>782.28</v>
      </c>
      <c r="N652" s="14">
        <f>ROUND(I652*ROUND(K652, 2), 2)</f>
        <v>27250.720000000001</v>
      </c>
      <c r="O652" s="14">
        <f>M652+N652</f>
        <v>28033</v>
      </c>
      <c r="P652" s="14">
        <f>IFERROR(ROUND(SUM(S653,S654)/I652, 2),0)</f>
        <v>13.32</v>
      </c>
      <c r="Q652" s="16">
        <v>464</v>
      </c>
      <c r="R652" s="14">
        <f>P652+ROUND(Q652, 2)</f>
        <v>477.32</v>
      </c>
      <c r="S652" s="14">
        <f>ROUND(P652*I652, 2)</f>
        <v>782.28</v>
      </c>
      <c r="T652" s="14">
        <f>ROUND(I652*ROUND(Q652, 2), 2)</f>
        <v>27250.720000000001</v>
      </c>
      <c r="U652" s="14">
        <f>S652+T652</f>
        <v>28033</v>
      </c>
      <c r="V652" s="9">
        <f>ROUND(P652 / 1.2, 2)</f>
        <v>11.1</v>
      </c>
      <c r="W652" s="9">
        <f>ROUND(Q652 / 1.2, 2)</f>
        <v>386.67</v>
      </c>
      <c r="X652" s="9">
        <f>ROUND(R652 / 1.2, 2)</f>
        <v>397.77</v>
      </c>
      <c r="Y652" s="9">
        <f t="shared" si="33"/>
        <v>651.9</v>
      </c>
      <c r="Z652" s="9">
        <f>ROUND(T652 / 1.2, 2)</f>
        <v>22708.93</v>
      </c>
      <c r="AA652" s="9">
        <f>Y652+Z652</f>
        <v>23360.83</v>
      </c>
      <c r="AD652" s="4">
        <v>271132282</v>
      </c>
      <c r="AE652" s="4">
        <v>20003316</v>
      </c>
      <c r="AG652" s="4" t="s">
        <v>2172</v>
      </c>
      <c r="AH652" s="4" t="s">
        <v>2173</v>
      </c>
      <c r="AI652" s="4" t="s">
        <v>67</v>
      </c>
    </row>
    <row r="653" spans="1:35" ht="36" x14ac:dyDescent="0.3">
      <c r="A653" s="10" t="s">
        <v>2443</v>
      </c>
      <c r="B653" s="10"/>
      <c r="C653" s="24" t="s">
        <v>433</v>
      </c>
      <c r="D653" s="12"/>
      <c r="E653" s="12"/>
      <c r="F653" s="18" t="s">
        <v>70</v>
      </c>
      <c r="G653" s="19">
        <v>0.15</v>
      </c>
      <c r="H653" s="19"/>
      <c r="I653" s="19">
        <v>8.81</v>
      </c>
      <c r="J653" s="21">
        <v>88.8</v>
      </c>
      <c r="M653" s="22">
        <f>ROUND(ROUND(J653, 2)*I653, 2)</f>
        <v>782.33</v>
      </c>
      <c r="P653" s="23">
        <v>88.8</v>
      </c>
      <c r="S653" s="22">
        <f>ROUND(ROUND(P653, 2)*I653, 2)</f>
        <v>782.33</v>
      </c>
      <c r="V653" s="9">
        <f>ROUND(ROUND(P653, 2)/1.2, 2)</f>
        <v>74</v>
      </c>
      <c r="Y653" s="9">
        <f t="shared" si="33"/>
        <v>651.94000000000005</v>
      </c>
      <c r="AD653" s="4" t="s">
        <v>2444</v>
      </c>
      <c r="AE653" s="4" t="s">
        <v>2445</v>
      </c>
      <c r="AF653" s="4" t="s">
        <v>436</v>
      </c>
    </row>
    <row r="654" spans="1:35" ht="54" x14ac:dyDescent="0.3">
      <c r="A654" s="10" t="s">
        <v>2446</v>
      </c>
      <c r="B654" s="10"/>
      <c r="C654" s="24" t="s">
        <v>2207</v>
      </c>
      <c r="D654" s="12"/>
      <c r="E654" s="12" t="s">
        <v>2447</v>
      </c>
      <c r="F654" s="18" t="s">
        <v>70</v>
      </c>
      <c r="G654" s="19">
        <v>0.3</v>
      </c>
      <c r="H654" s="19"/>
      <c r="I654" s="19">
        <v>17.619</v>
      </c>
      <c r="J654" s="21">
        <v>0</v>
      </c>
      <c r="M654" s="22">
        <f>ROUND(ROUND(J654, 2)*I654, 2)</f>
        <v>0</v>
      </c>
      <c r="P654" s="23">
        <v>0</v>
      </c>
      <c r="S654" s="22">
        <f>ROUND(ROUND(P654, 2)*I654, 2)</f>
        <v>0</v>
      </c>
      <c r="V654" s="9">
        <f>ROUND(ROUND(P654, 2)/1.2, 2)</f>
        <v>0</v>
      </c>
      <c r="Y654" s="9">
        <f t="shared" si="33"/>
        <v>0</v>
      </c>
      <c r="AD654" s="4" t="s">
        <v>2448</v>
      </c>
      <c r="AE654" s="4" t="s">
        <v>2449</v>
      </c>
      <c r="AF654" s="4" t="s">
        <v>2211</v>
      </c>
    </row>
    <row r="655" spans="1:35" ht="36" x14ac:dyDescent="0.3">
      <c r="A655" s="10" t="s">
        <v>2450</v>
      </c>
      <c r="B655" s="10" t="s">
        <v>2169</v>
      </c>
      <c r="C655" s="11" t="s">
        <v>2170</v>
      </c>
      <c r="D655" s="12"/>
      <c r="E655" s="12" t="s">
        <v>2451</v>
      </c>
      <c r="F655" s="12" t="s">
        <v>64</v>
      </c>
      <c r="G655" s="13">
        <v>1</v>
      </c>
      <c r="H655" s="13"/>
      <c r="I655" s="13">
        <v>30.71</v>
      </c>
      <c r="J655" s="14">
        <f>IFERROR(ROUND(SUM(M656,M657)/I655, 2),0)</f>
        <v>13.32</v>
      </c>
      <c r="K655" s="15">
        <v>464</v>
      </c>
      <c r="L655" s="14">
        <f>J655+ROUND(K655, 2)</f>
        <v>477.32</v>
      </c>
      <c r="M655" s="14">
        <f>ROUND(J655*I655, 2)</f>
        <v>409.06</v>
      </c>
      <c r="N655" s="14">
        <f>ROUND(I655*ROUND(K655, 2), 2)</f>
        <v>14249.44</v>
      </c>
      <c r="O655" s="14">
        <f>M655+N655</f>
        <v>14658.5</v>
      </c>
      <c r="P655" s="14">
        <f>IFERROR(ROUND(SUM(S656,S657)/I655, 2),0)</f>
        <v>13.32</v>
      </c>
      <c r="Q655" s="16">
        <v>464</v>
      </c>
      <c r="R655" s="14">
        <f>P655+ROUND(Q655, 2)</f>
        <v>477.32</v>
      </c>
      <c r="S655" s="14">
        <f>ROUND(P655*I655, 2)</f>
        <v>409.06</v>
      </c>
      <c r="T655" s="14">
        <f>ROUND(I655*ROUND(Q655, 2), 2)</f>
        <v>14249.44</v>
      </c>
      <c r="U655" s="14">
        <f>S655+T655</f>
        <v>14658.5</v>
      </c>
      <c r="V655" s="9">
        <f>ROUND(P655 / 1.2, 2)</f>
        <v>11.1</v>
      </c>
      <c r="W655" s="9">
        <f>ROUND(Q655 / 1.2, 2)</f>
        <v>386.67</v>
      </c>
      <c r="X655" s="9">
        <f>ROUND(R655 / 1.2, 2)</f>
        <v>397.77</v>
      </c>
      <c r="Y655" s="9">
        <f t="shared" si="33"/>
        <v>340.88</v>
      </c>
      <c r="Z655" s="9">
        <f>ROUND(T655 / 1.2, 2)</f>
        <v>11874.53</v>
      </c>
      <c r="AA655" s="9">
        <f>Y655+Z655</f>
        <v>12215.41</v>
      </c>
      <c r="AD655" s="4">
        <v>271132283</v>
      </c>
      <c r="AE655" s="4">
        <v>20003311</v>
      </c>
      <c r="AG655" s="4" t="s">
        <v>2172</v>
      </c>
      <c r="AH655" s="4" t="s">
        <v>2173</v>
      </c>
      <c r="AI655" s="4" t="s">
        <v>67</v>
      </c>
    </row>
    <row r="656" spans="1:35" ht="36" x14ac:dyDescent="0.3">
      <c r="A656" s="10" t="s">
        <v>2452</v>
      </c>
      <c r="B656" s="10"/>
      <c r="C656" s="24" t="s">
        <v>433</v>
      </c>
      <c r="D656" s="12"/>
      <c r="E656" s="12"/>
      <c r="F656" s="18" t="s">
        <v>70</v>
      </c>
      <c r="G656" s="19">
        <v>0.15</v>
      </c>
      <c r="H656" s="19"/>
      <c r="I656" s="19">
        <v>4.6070000000000002</v>
      </c>
      <c r="J656" s="21">
        <v>88.8</v>
      </c>
      <c r="M656" s="22">
        <f>ROUND(ROUND(J656, 2)*I656, 2)</f>
        <v>409.1</v>
      </c>
      <c r="P656" s="23">
        <v>88.8</v>
      </c>
      <c r="S656" s="22">
        <f>ROUND(ROUND(P656, 2)*I656, 2)</f>
        <v>409.1</v>
      </c>
      <c r="V656" s="9">
        <f>ROUND(ROUND(P656, 2)/1.2, 2)</f>
        <v>74</v>
      </c>
      <c r="Y656" s="9">
        <f t="shared" si="33"/>
        <v>340.92</v>
      </c>
      <c r="AD656" s="4" t="s">
        <v>2453</v>
      </c>
      <c r="AE656" s="4" t="s">
        <v>2454</v>
      </c>
      <c r="AF656" s="4" t="s">
        <v>436</v>
      </c>
    </row>
    <row r="657" spans="1:35" ht="54" x14ac:dyDescent="0.3">
      <c r="A657" s="10" t="s">
        <v>2455</v>
      </c>
      <c r="B657" s="10"/>
      <c r="C657" s="24" t="s">
        <v>2207</v>
      </c>
      <c r="D657" s="12"/>
      <c r="E657" s="12" t="s">
        <v>2291</v>
      </c>
      <c r="F657" s="18" t="s">
        <v>70</v>
      </c>
      <c r="G657" s="19">
        <v>0.3</v>
      </c>
      <c r="H657" s="19"/>
      <c r="I657" s="19">
        <v>9.2129999999999992</v>
      </c>
      <c r="J657" s="21">
        <v>0</v>
      </c>
      <c r="M657" s="22">
        <f>ROUND(ROUND(J657, 2)*I657, 2)</f>
        <v>0</v>
      </c>
      <c r="P657" s="23">
        <v>0</v>
      </c>
      <c r="S657" s="22">
        <f>ROUND(ROUND(P657, 2)*I657, 2)</f>
        <v>0</v>
      </c>
      <c r="V657" s="9">
        <f>ROUND(ROUND(P657, 2)/1.2, 2)</f>
        <v>0</v>
      </c>
      <c r="Y657" s="9">
        <f t="shared" si="33"/>
        <v>0</v>
      </c>
      <c r="AD657" s="4" t="s">
        <v>2456</v>
      </c>
      <c r="AE657" s="4" t="s">
        <v>2457</v>
      </c>
      <c r="AF657" s="4" t="s">
        <v>2211</v>
      </c>
    </row>
    <row r="658" spans="1:35" ht="36" x14ac:dyDescent="0.3">
      <c r="A658" s="10" t="s">
        <v>2458</v>
      </c>
      <c r="B658" s="10" t="s">
        <v>2169</v>
      </c>
      <c r="C658" s="11" t="s">
        <v>2170</v>
      </c>
      <c r="D658" s="12"/>
      <c r="E658" s="12" t="s">
        <v>2459</v>
      </c>
      <c r="F658" s="12" t="s">
        <v>64</v>
      </c>
      <c r="G658" s="13">
        <v>1</v>
      </c>
      <c r="H658" s="13"/>
      <c r="I658" s="13">
        <v>1281.17</v>
      </c>
      <c r="J658" s="14">
        <f>IFERROR(ROUND(SUM(M659,M660)/I658, 2),0)</f>
        <v>13.32</v>
      </c>
      <c r="K658" s="15">
        <v>464</v>
      </c>
      <c r="L658" s="14">
        <f>J658+ROUND(K658, 2)</f>
        <v>477.32</v>
      </c>
      <c r="M658" s="14">
        <f>ROUND(J658*I658, 2)</f>
        <v>17065.18</v>
      </c>
      <c r="N658" s="14">
        <f>ROUND(I658*ROUND(K658, 2), 2)</f>
        <v>594462.88</v>
      </c>
      <c r="O658" s="14">
        <f>M658+N658</f>
        <v>611528.06000000006</v>
      </c>
      <c r="P658" s="14">
        <f>IFERROR(ROUND(SUM(S659,S660)/I658, 2),0)</f>
        <v>13.32</v>
      </c>
      <c r="Q658" s="16">
        <v>464</v>
      </c>
      <c r="R658" s="14">
        <f>P658+ROUND(Q658, 2)</f>
        <v>477.32</v>
      </c>
      <c r="S658" s="14">
        <f>ROUND(P658*I658, 2)</f>
        <v>17065.18</v>
      </c>
      <c r="T658" s="14">
        <f>ROUND(I658*ROUND(Q658, 2), 2)</f>
        <v>594462.88</v>
      </c>
      <c r="U658" s="14">
        <f>S658+T658</f>
        <v>611528.06000000006</v>
      </c>
      <c r="V658" s="9">
        <f>ROUND(P658 / 1.2, 2)</f>
        <v>11.1</v>
      </c>
      <c r="W658" s="9">
        <f>ROUND(Q658 / 1.2, 2)</f>
        <v>386.67</v>
      </c>
      <c r="X658" s="9">
        <f>ROUND(R658 / 1.2, 2)</f>
        <v>397.77</v>
      </c>
      <c r="Y658" s="9">
        <f t="shared" si="33"/>
        <v>14220.98</v>
      </c>
      <c r="Z658" s="9">
        <f>ROUND(T658 / 1.2, 2)</f>
        <v>495385.73</v>
      </c>
      <c r="AA658" s="9">
        <f>Y658+Z658</f>
        <v>509606.71</v>
      </c>
      <c r="AD658" s="4">
        <v>271132284</v>
      </c>
      <c r="AE658" s="4">
        <v>20003312</v>
      </c>
      <c r="AG658" s="4" t="s">
        <v>2172</v>
      </c>
      <c r="AH658" s="4" t="s">
        <v>2173</v>
      </c>
      <c r="AI658" s="4" t="s">
        <v>67</v>
      </c>
    </row>
    <row r="659" spans="1:35" ht="36" x14ac:dyDescent="0.3">
      <c r="A659" s="10" t="s">
        <v>2460</v>
      </c>
      <c r="B659" s="10"/>
      <c r="C659" s="24" t="s">
        <v>433</v>
      </c>
      <c r="D659" s="12"/>
      <c r="E659" s="12"/>
      <c r="F659" s="18" t="s">
        <v>70</v>
      </c>
      <c r="G659" s="19">
        <v>0.15</v>
      </c>
      <c r="H659" s="19"/>
      <c r="I659" s="19">
        <v>192.17599999999999</v>
      </c>
      <c r="J659" s="21">
        <v>88.8</v>
      </c>
      <c r="M659" s="22">
        <f>ROUND(ROUND(J659, 2)*I659, 2)</f>
        <v>17065.23</v>
      </c>
      <c r="P659" s="23">
        <v>88.8</v>
      </c>
      <c r="S659" s="22">
        <f>ROUND(ROUND(P659, 2)*I659, 2)</f>
        <v>17065.23</v>
      </c>
      <c r="V659" s="9">
        <f>ROUND(ROUND(P659, 2)/1.2, 2)</f>
        <v>74</v>
      </c>
      <c r="Y659" s="9">
        <f t="shared" si="33"/>
        <v>14221.03</v>
      </c>
      <c r="AD659" s="4" t="s">
        <v>2461</v>
      </c>
      <c r="AE659" s="4" t="s">
        <v>2462</v>
      </c>
      <c r="AF659" s="4" t="s">
        <v>436</v>
      </c>
    </row>
    <row r="660" spans="1:35" ht="18" x14ac:dyDescent="0.3">
      <c r="A660" s="10" t="s">
        <v>2463</v>
      </c>
      <c r="B660" s="10"/>
      <c r="C660" s="24" t="s">
        <v>2175</v>
      </c>
      <c r="D660" s="12"/>
      <c r="E660" s="12"/>
      <c r="F660" s="18" t="s">
        <v>70</v>
      </c>
      <c r="G660" s="19">
        <v>0.3</v>
      </c>
      <c r="H660" s="19"/>
      <c r="I660" s="19">
        <v>384.351</v>
      </c>
      <c r="J660" s="21">
        <v>0</v>
      </c>
      <c r="M660" s="22">
        <f>ROUND(ROUND(J660, 2)*I660, 2)</f>
        <v>0</v>
      </c>
      <c r="P660" s="23">
        <v>0</v>
      </c>
      <c r="S660" s="22">
        <f>ROUND(ROUND(P660, 2)*I660, 2)</f>
        <v>0</v>
      </c>
      <c r="V660" s="9">
        <f>ROUND(ROUND(P660, 2)/1.2, 2)</f>
        <v>0</v>
      </c>
      <c r="Y660" s="9">
        <f t="shared" si="33"/>
        <v>0</v>
      </c>
      <c r="AD660" s="4" t="s">
        <v>2464</v>
      </c>
      <c r="AE660" s="4" t="s">
        <v>2465</v>
      </c>
      <c r="AF660" s="4" t="s">
        <v>2179</v>
      </c>
    </row>
    <row r="661" spans="1:35" ht="36" x14ac:dyDescent="0.3">
      <c r="A661" s="10" t="s">
        <v>2466</v>
      </c>
      <c r="B661" s="10" t="s">
        <v>2169</v>
      </c>
      <c r="C661" s="11" t="s">
        <v>2170</v>
      </c>
      <c r="D661" s="12"/>
      <c r="E661" s="12" t="s">
        <v>2467</v>
      </c>
      <c r="F661" s="12" t="s">
        <v>64</v>
      </c>
      <c r="G661" s="13">
        <v>1</v>
      </c>
      <c r="H661" s="13"/>
      <c r="I661" s="13">
        <v>8.82</v>
      </c>
      <c r="J661" s="14">
        <f>IFERROR(ROUND(SUM(M662,M663)/I661, 2),0)</f>
        <v>13.32</v>
      </c>
      <c r="K661" s="15">
        <v>464</v>
      </c>
      <c r="L661" s="14">
        <f>J661+ROUND(K661, 2)</f>
        <v>477.32</v>
      </c>
      <c r="M661" s="14">
        <f>ROUND(J661*I661, 2)</f>
        <v>117.48</v>
      </c>
      <c r="N661" s="14">
        <f>ROUND(I661*ROUND(K661, 2), 2)</f>
        <v>4092.48</v>
      </c>
      <c r="O661" s="14">
        <f>M661+N661</f>
        <v>4209.96</v>
      </c>
      <c r="P661" s="14">
        <f>IFERROR(ROUND(SUM(S662,S663)/I661, 2),0)</f>
        <v>13.32</v>
      </c>
      <c r="Q661" s="16">
        <v>464</v>
      </c>
      <c r="R661" s="14">
        <f>P661+ROUND(Q661, 2)</f>
        <v>477.32</v>
      </c>
      <c r="S661" s="14">
        <f>ROUND(P661*I661, 2)</f>
        <v>117.48</v>
      </c>
      <c r="T661" s="14">
        <f>ROUND(I661*ROUND(Q661, 2), 2)</f>
        <v>4092.48</v>
      </c>
      <c r="U661" s="14">
        <f>S661+T661</f>
        <v>4209.96</v>
      </c>
      <c r="V661" s="9">
        <f>ROUND(P661 / 1.2, 2)</f>
        <v>11.1</v>
      </c>
      <c r="W661" s="9">
        <f>ROUND(Q661 / 1.2, 2)</f>
        <v>386.67</v>
      </c>
      <c r="X661" s="9">
        <f>ROUND(R661 / 1.2, 2)</f>
        <v>397.77</v>
      </c>
      <c r="Y661" s="9">
        <f t="shared" si="33"/>
        <v>97.9</v>
      </c>
      <c r="Z661" s="9">
        <f>ROUND(T661 / 1.2, 2)</f>
        <v>3410.4</v>
      </c>
      <c r="AA661" s="9">
        <f>Y661+Z661</f>
        <v>3508.3</v>
      </c>
      <c r="AD661" s="4">
        <v>271132285</v>
      </c>
      <c r="AE661" s="4">
        <v>20003317</v>
      </c>
      <c r="AG661" s="4" t="s">
        <v>2172</v>
      </c>
      <c r="AH661" s="4" t="s">
        <v>2173</v>
      </c>
      <c r="AI661" s="4" t="s">
        <v>67</v>
      </c>
    </row>
    <row r="662" spans="1:35" ht="36" x14ac:dyDescent="0.3">
      <c r="A662" s="10" t="s">
        <v>2468</v>
      </c>
      <c r="B662" s="10"/>
      <c r="C662" s="24" t="s">
        <v>433</v>
      </c>
      <c r="D662" s="12"/>
      <c r="E662" s="12"/>
      <c r="F662" s="18" t="s">
        <v>70</v>
      </c>
      <c r="G662" s="19">
        <v>0.15</v>
      </c>
      <c r="H662" s="19"/>
      <c r="I662" s="19">
        <v>1.323</v>
      </c>
      <c r="J662" s="21">
        <v>88.8</v>
      </c>
      <c r="M662" s="22">
        <f>ROUND(ROUND(J662, 2)*I662, 2)</f>
        <v>117.48</v>
      </c>
      <c r="P662" s="23">
        <v>88.8</v>
      </c>
      <c r="S662" s="22">
        <f>ROUND(ROUND(P662, 2)*I662, 2)</f>
        <v>117.48</v>
      </c>
      <c r="V662" s="9">
        <f>ROUND(ROUND(P662, 2)/1.2, 2)</f>
        <v>74</v>
      </c>
      <c r="Y662" s="9">
        <f t="shared" si="33"/>
        <v>97.9</v>
      </c>
      <c r="AD662" s="4" t="s">
        <v>2469</v>
      </c>
      <c r="AE662" s="4" t="s">
        <v>2470</v>
      </c>
      <c r="AF662" s="4" t="s">
        <v>436</v>
      </c>
    </row>
    <row r="663" spans="1:35" ht="54" x14ac:dyDescent="0.3">
      <c r="A663" s="10" t="s">
        <v>2471</v>
      </c>
      <c r="B663" s="10"/>
      <c r="C663" s="24" t="s">
        <v>2175</v>
      </c>
      <c r="D663" s="12"/>
      <c r="E663" s="12" t="s">
        <v>2309</v>
      </c>
      <c r="F663" s="18" t="s">
        <v>70</v>
      </c>
      <c r="G663" s="19">
        <v>0.3</v>
      </c>
      <c r="H663" s="19"/>
      <c r="I663" s="19">
        <v>2.6459999999999999</v>
      </c>
      <c r="J663" s="21">
        <v>0</v>
      </c>
      <c r="M663" s="22">
        <f>ROUND(ROUND(J663, 2)*I663, 2)</f>
        <v>0</v>
      </c>
      <c r="P663" s="23">
        <v>0</v>
      </c>
      <c r="S663" s="22">
        <f>ROUND(ROUND(P663, 2)*I663, 2)</f>
        <v>0</v>
      </c>
      <c r="V663" s="9">
        <f>ROUND(ROUND(P663, 2)/1.2, 2)</f>
        <v>0</v>
      </c>
      <c r="Y663" s="9">
        <f t="shared" si="33"/>
        <v>0</v>
      </c>
      <c r="AD663" s="4" t="s">
        <v>2472</v>
      </c>
      <c r="AE663" s="4" t="s">
        <v>2473</v>
      </c>
      <c r="AF663" s="4" t="s">
        <v>2179</v>
      </c>
    </row>
    <row r="664" spans="1:35" ht="36" x14ac:dyDescent="0.3">
      <c r="A664" s="10" t="s">
        <v>2474</v>
      </c>
      <c r="B664" s="10" t="s">
        <v>2169</v>
      </c>
      <c r="C664" s="11" t="s">
        <v>2170</v>
      </c>
      <c r="D664" s="12"/>
      <c r="E664" s="12" t="s">
        <v>2475</v>
      </c>
      <c r="F664" s="12" t="s">
        <v>64</v>
      </c>
      <c r="G664" s="13">
        <v>1</v>
      </c>
      <c r="H664" s="13"/>
      <c r="I664" s="13">
        <v>24.88</v>
      </c>
      <c r="J664" s="14">
        <f>IFERROR(ROUND(SUM(M665,M666)/I664, 2),0)</f>
        <v>13.32</v>
      </c>
      <c r="K664" s="15">
        <v>464</v>
      </c>
      <c r="L664" s="14">
        <f>J664+ROUND(K664, 2)</f>
        <v>477.32</v>
      </c>
      <c r="M664" s="14">
        <f>ROUND(J664*I664, 2)</f>
        <v>331.4</v>
      </c>
      <c r="N664" s="14">
        <f>ROUND(I664*ROUND(K664, 2), 2)</f>
        <v>11544.32</v>
      </c>
      <c r="O664" s="14">
        <f>M664+N664</f>
        <v>11875.72</v>
      </c>
      <c r="P664" s="14">
        <f>IFERROR(ROUND(SUM(S665,S666)/I664, 2),0)</f>
        <v>13.32</v>
      </c>
      <c r="Q664" s="16">
        <v>464</v>
      </c>
      <c r="R664" s="14">
        <f>P664+ROUND(Q664, 2)</f>
        <v>477.32</v>
      </c>
      <c r="S664" s="14">
        <f>ROUND(P664*I664, 2)</f>
        <v>331.4</v>
      </c>
      <c r="T664" s="14">
        <f>ROUND(I664*ROUND(Q664, 2), 2)</f>
        <v>11544.32</v>
      </c>
      <c r="U664" s="14">
        <f>S664+T664</f>
        <v>11875.72</v>
      </c>
      <c r="V664" s="9">
        <f>ROUND(P664 / 1.2, 2)</f>
        <v>11.1</v>
      </c>
      <c r="W664" s="9">
        <f>ROUND(Q664 / 1.2, 2)</f>
        <v>386.67</v>
      </c>
      <c r="X664" s="9">
        <f>ROUND(R664 / 1.2, 2)</f>
        <v>397.77</v>
      </c>
      <c r="Y664" s="9">
        <f t="shared" si="33"/>
        <v>276.17</v>
      </c>
      <c r="Z664" s="9">
        <f>ROUND(T664 / 1.2, 2)</f>
        <v>9620.27</v>
      </c>
      <c r="AA664" s="9">
        <f>Y664+Z664</f>
        <v>9896.44</v>
      </c>
      <c r="AD664" s="4">
        <v>271132286</v>
      </c>
      <c r="AE664" s="4">
        <v>20003318</v>
      </c>
      <c r="AG664" s="4" t="s">
        <v>2172</v>
      </c>
      <c r="AH664" s="4" t="s">
        <v>2173</v>
      </c>
      <c r="AI664" s="4" t="s">
        <v>67</v>
      </c>
    </row>
    <row r="665" spans="1:35" ht="36" x14ac:dyDescent="0.3">
      <c r="A665" s="10" t="s">
        <v>2476</v>
      </c>
      <c r="B665" s="10"/>
      <c r="C665" s="24" t="s">
        <v>433</v>
      </c>
      <c r="D665" s="12"/>
      <c r="E665" s="12"/>
      <c r="F665" s="18" t="s">
        <v>70</v>
      </c>
      <c r="G665" s="19">
        <v>0.15</v>
      </c>
      <c r="H665" s="19"/>
      <c r="I665" s="19">
        <v>3.7320000000000002</v>
      </c>
      <c r="J665" s="21">
        <v>88.8</v>
      </c>
      <c r="M665" s="22">
        <f>ROUND(ROUND(J665, 2)*I665, 2)</f>
        <v>331.4</v>
      </c>
      <c r="P665" s="23">
        <v>88.8</v>
      </c>
      <c r="S665" s="22">
        <f>ROUND(ROUND(P665, 2)*I665, 2)</f>
        <v>331.4</v>
      </c>
      <c r="V665" s="9">
        <f>ROUND(ROUND(P665, 2)/1.2, 2)</f>
        <v>74</v>
      </c>
      <c r="Y665" s="9">
        <f t="shared" si="33"/>
        <v>276.17</v>
      </c>
      <c r="AD665" s="4" t="s">
        <v>2477</v>
      </c>
      <c r="AE665" s="4" t="s">
        <v>2478</v>
      </c>
      <c r="AF665" s="4" t="s">
        <v>436</v>
      </c>
    </row>
    <row r="666" spans="1:35" ht="72" x14ac:dyDescent="0.3">
      <c r="A666" s="10" t="s">
        <v>2479</v>
      </c>
      <c r="B666" s="10"/>
      <c r="C666" s="24" t="s">
        <v>2175</v>
      </c>
      <c r="D666" s="12"/>
      <c r="E666" s="12" t="s">
        <v>2480</v>
      </c>
      <c r="F666" s="18" t="s">
        <v>70</v>
      </c>
      <c r="G666" s="19">
        <v>0.3</v>
      </c>
      <c r="H666" s="19"/>
      <c r="I666" s="19">
        <v>7.4640000000000004</v>
      </c>
      <c r="J666" s="21">
        <v>0</v>
      </c>
      <c r="M666" s="22">
        <f>ROUND(ROUND(J666, 2)*I666, 2)</f>
        <v>0</v>
      </c>
      <c r="P666" s="23">
        <v>0</v>
      </c>
      <c r="S666" s="22">
        <f>ROUND(ROUND(P666, 2)*I666, 2)</f>
        <v>0</v>
      </c>
      <c r="V666" s="9">
        <f>ROUND(ROUND(P666, 2)/1.2, 2)</f>
        <v>0</v>
      </c>
      <c r="Y666" s="9">
        <f t="shared" si="33"/>
        <v>0</v>
      </c>
      <c r="AD666" s="4" t="s">
        <v>2481</v>
      </c>
      <c r="AE666" s="4" t="s">
        <v>2482</v>
      </c>
      <c r="AF666" s="4" t="s">
        <v>2179</v>
      </c>
    </row>
    <row r="667" spans="1:35" ht="36" x14ac:dyDescent="0.3">
      <c r="A667" s="10" t="s">
        <v>2483</v>
      </c>
      <c r="B667" s="10" t="s">
        <v>2169</v>
      </c>
      <c r="C667" s="11" t="s">
        <v>2170</v>
      </c>
      <c r="D667" s="12"/>
      <c r="E667" s="12" t="s">
        <v>2484</v>
      </c>
      <c r="F667" s="12" t="s">
        <v>64</v>
      </c>
      <c r="G667" s="13">
        <v>1</v>
      </c>
      <c r="H667" s="13"/>
      <c r="I667" s="13">
        <v>28.85</v>
      </c>
      <c r="J667" s="14">
        <f>IFERROR(ROUND(SUM(M668,M669)/I667, 2),0)</f>
        <v>13.32</v>
      </c>
      <c r="K667" s="15">
        <v>464</v>
      </c>
      <c r="L667" s="14">
        <f>J667+ROUND(K667, 2)</f>
        <v>477.32</v>
      </c>
      <c r="M667" s="14">
        <f>ROUND(J667*I667, 2)</f>
        <v>384.28</v>
      </c>
      <c r="N667" s="14">
        <f>ROUND(I667*ROUND(K667, 2), 2)</f>
        <v>13386.4</v>
      </c>
      <c r="O667" s="14">
        <f>M667+N667</f>
        <v>13770.68</v>
      </c>
      <c r="P667" s="14">
        <f>IFERROR(ROUND(SUM(S668,S669)/I667, 2),0)</f>
        <v>13.32</v>
      </c>
      <c r="Q667" s="16">
        <v>464</v>
      </c>
      <c r="R667" s="14">
        <f>P667+ROUND(Q667, 2)</f>
        <v>477.32</v>
      </c>
      <c r="S667" s="14">
        <f>ROUND(P667*I667, 2)</f>
        <v>384.28</v>
      </c>
      <c r="T667" s="14">
        <f>ROUND(I667*ROUND(Q667, 2), 2)</f>
        <v>13386.4</v>
      </c>
      <c r="U667" s="14">
        <f>S667+T667</f>
        <v>13770.68</v>
      </c>
      <c r="V667" s="9">
        <f>ROUND(P667 / 1.2, 2)</f>
        <v>11.1</v>
      </c>
      <c r="W667" s="9">
        <f>ROUND(Q667 / 1.2, 2)</f>
        <v>386.67</v>
      </c>
      <c r="X667" s="9">
        <f>ROUND(R667 / 1.2, 2)</f>
        <v>397.77</v>
      </c>
      <c r="Y667" s="9">
        <f t="shared" ref="Y667:Y678" si="34">ROUND(S667 / 1.2, 2)</f>
        <v>320.23</v>
      </c>
      <c r="Z667" s="9">
        <f>ROUND(T667 / 1.2, 2)</f>
        <v>11155.33</v>
      </c>
      <c r="AA667" s="9">
        <f>Y667+Z667</f>
        <v>11475.56</v>
      </c>
      <c r="AD667" s="4">
        <v>271132287</v>
      </c>
      <c r="AE667" s="4">
        <v>20003319</v>
      </c>
      <c r="AG667" s="4" t="s">
        <v>2172</v>
      </c>
      <c r="AH667" s="4" t="s">
        <v>2173</v>
      </c>
      <c r="AI667" s="4" t="s">
        <v>67</v>
      </c>
    </row>
    <row r="668" spans="1:35" ht="36" x14ac:dyDescent="0.3">
      <c r="A668" s="10" t="s">
        <v>2485</v>
      </c>
      <c r="B668" s="10"/>
      <c r="C668" s="24" t="s">
        <v>433</v>
      </c>
      <c r="D668" s="12"/>
      <c r="E668" s="12"/>
      <c r="F668" s="18" t="s">
        <v>70</v>
      </c>
      <c r="G668" s="19">
        <v>0.15</v>
      </c>
      <c r="H668" s="19"/>
      <c r="I668" s="19">
        <v>4.3280000000000003</v>
      </c>
      <c r="J668" s="21">
        <v>88.8</v>
      </c>
      <c r="M668" s="22">
        <f>ROUND(ROUND(J668, 2)*I668, 2)</f>
        <v>384.33</v>
      </c>
      <c r="P668" s="23">
        <v>88.8</v>
      </c>
      <c r="S668" s="22">
        <f>ROUND(ROUND(P668, 2)*I668, 2)</f>
        <v>384.33</v>
      </c>
      <c r="V668" s="9">
        <f>ROUND(ROUND(P668, 2)/1.2, 2)</f>
        <v>74</v>
      </c>
      <c r="Y668" s="9">
        <f t="shared" si="34"/>
        <v>320.27999999999997</v>
      </c>
      <c r="AD668" s="4" t="s">
        <v>2486</v>
      </c>
      <c r="AE668" s="4" t="s">
        <v>2487</v>
      </c>
      <c r="AF668" s="4" t="s">
        <v>436</v>
      </c>
    </row>
    <row r="669" spans="1:35" ht="54" x14ac:dyDescent="0.3">
      <c r="A669" s="10" t="s">
        <v>2488</v>
      </c>
      <c r="B669" s="10"/>
      <c r="C669" s="24" t="s">
        <v>2207</v>
      </c>
      <c r="D669" s="12"/>
      <c r="E669" s="12" t="s">
        <v>2489</v>
      </c>
      <c r="F669" s="18" t="s">
        <v>70</v>
      </c>
      <c r="G669" s="19">
        <v>0.3</v>
      </c>
      <c r="H669" s="19"/>
      <c r="I669" s="19">
        <v>8.6549999999999994</v>
      </c>
      <c r="J669" s="21">
        <v>0</v>
      </c>
      <c r="M669" s="22">
        <f>ROUND(ROUND(J669, 2)*I669, 2)</f>
        <v>0</v>
      </c>
      <c r="P669" s="23">
        <v>0</v>
      </c>
      <c r="S669" s="22">
        <f>ROUND(ROUND(P669, 2)*I669, 2)</f>
        <v>0</v>
      </c>
      <c r="V669" s="9">
        <f>ROUND(ROUND(P669, 2)/1.2, 2)</f>
        <v>0</v>
      </c>
      <c r="Y669" s="9">
        <f t="shared" si="34"/>
        <v>0</v>
      </c>
      <c r="AD669" s="4" t="s">
        <v>2490</v>
      </c>
      <c r="AE669" s="4" t="s">
        <v>2491</v>
      </c>
      <c r="AF669" s="4" t="s">
        <v>2211</v>
      </c>
    </row>
    <row r="670" spans="1:35" ht="36" x14ac:dyDescent="0.3">
      <c r="A670" s="10" t="s">
        <v>2492</v>
      </c>
      <c r="B670" s="10" t="s">
        <v>2169</v>
      </c>
      <c r="C670" s="11" t="s">
        <v>2170</v>
      </c>
      <c r="D670" s="12"/>
      <c r="E670" s="12" t="s">
        <v>2493</v>
      </c>
      <c r="F670" s="12" t="s">
        <v>64</v>
      </c>
      <c r="G670" s="13">
        <v>1</v>
      </c>
      <c r="H670" s="13"/>
      <c r="I670" s="13">
        <v>3.12</v>
      </c>
      <c r="J670" s="14">
        <f>IFERROR(ROUND(SUM(M671,M672)/I670, 2),0)</f>
        <v>13.32</v>
      </c>
      <c r="K670" s="15">
        <v>464</v>
      </c>
      <c r="L670" s="14">
        <f>J670+ROUND(K670, 2)</f>
        <v>477.32</v>
      </c>
      <c r="M670" s="14">
        <f>ROUND(J670*I670, 2)</f>
        <v>41.56</v>
      </c>
      <c r="N670" s="14">
        <f>ROUND(I670*ROUND(K670, 2), 2)</f>
        <v>1447.68</v>
      </c>
      <c r="O670" s="14">
        <f>M670+N670</f>
        <v>1489.24</v>
      </c>
      <c r="P670" s="14">
        <f>IFERROR(ROUND(SUM(S671,S672)/I670, 2),0)</f>
        <v>13.32</v>
      </c>
      <c r="Q670" s="16">
        <v>464</v>
      </c>
      <c r="R670" s="14">
        <f>P670+ROUND(Q670, 2)</f>
        <v>477.32</v>
      </c>
      <c r="S670" s="14">
        <f>ROUND(P670*I670, 2)</f>
        <v>41.56</v>
      </c>
      <c r="T670" s="14">
        <f>ROUND(I670*ROUND(Q670, 2), 2)</f>
        <v>1447.68</v>
      </c>
      <c r="U670" s="14">
        <f>S670+T670</f>
        <v>1489.24</v>
      </c>
      <c r="V670" s="9">
        <f>ROUND(P670 / 1.2, 2)</f>
        <v>11.1</v>
      </c>
      <c r="W670" s="9">
        <f>ROUND(Q670 / 1.2, 2)</f>
        <v>386.67</v>
      </c>
      <c r="X670" s="9">
        <f>ROUND(R670 / 1.2, 2)</f>
        <v>397.77</v>
      </c>
      <c r="Y670" s="9">
        <f t="shared" si="34"/>
        <v>34.630000000000003</v>
      </c>
      <c r="Z670" s="9">
        <f>ROUND(T670 / 1.2, 2)</f>
        <v>1206.4000000000001</v>
      </c>
      <c r="AA670" s="9">
        <f>Y670+Z670</f>
        <v>1241.03</v>
      </c>
      <c r="AD670" s="4">
        <v>271132288</v>
      </c>
      <c r="AE670" s="4">
        <v>20003320</v>
      </c>
      <c r="AG670" s="4" t="s">
        <v>2172</v>
      </c>
      <c r="AH670" s="4" t="s">
        <v>2173</v>
      </c>
      <c r="AI670" s="4" t="s">
        <v>67</v>
      </c>
    </row>
    <row r="671" spans="1:35" ht="36" x14ac:dyDescent="0.3">
      <c r="A671" s="10" t="s">
        <v>2494</v>
      </c>
      <c r="B671" s="10"/>
      <c r="C671" s="24" t="s">
        <v>433</v>
      </c>
      <c r="D671" s="12"/>
      <c r="E671" s="12"/>
      <c r="F671" s="18" t="s">
        <v>70</v>
      </c>
      <c r="G671" s="19">
        <v>0.15</v>
      </c>
      <c r="H671" s="19"/>
      <c r="I671" s="19">
        <v>0.46800000000000003</v>
      </c>
      <c r="J671" s="21">
        <v>88.8</v>
      </c>
      <c r="M671" s="22">
        <f>ROUND(ROUND(J671, 2)*I671, 2)</f>
        <v>41.56</v>
      </c>
      <c r="P671" s="23">
        <v>88.8</v>
      </c>
      <c r="S671" s="22">
        <f>ROUND(ROUND(P671, 2)*I671, 2)</f>
        <v>41.56</v>
      </c>
      <c r="V671" s="9">
        <f>ROUND(ROUND(P671, 2)/1.2, 2)</f>
        <v>74</v>
      </c>
      <c r="Y671" s="9">
        <f t="shared" si="34"/>
        <v>34.630000000000003</v>
      </c>
      <c r="AD671" s="4" t="s">
        <v>2495</v>
      </c>
      <c r="AE671" s="4" t="s">
        <v>2496</v>
      </c>
      <c r="AF671" s="4" t="s">
        <v>436</v>
      </c>
    </row>
    <row r="672" spans="1:35" ht="54" x14ac:dyDescent="0.3">
      <c r="A672" s="10" t="s">
        <v>2497</v>
      </c>
      <c r="B672" s="10"/>
      <c r="C672" s="24" t="s">
        <v>2207</v>
      </c>
      <c r="D672" s="12"/>
      <c r="E672" s="12" t="s">
        <v>2336</v>
      </c>
      <c r="F672" s="18" t="s">
        <v>70</v>
      </c>
      <c r="G672" s="19">
        <v>0.3</v>
      </c>
      <c r="H672" s="19"/>
      <c r="I672" s="19">
        <v>0.93600000000000005</v>
      </c>
      <c r="J672" s="21">
        <v>0</v>
      </c>
      <c r="M672" s="22">
        <f>ROUND(ROUND(J672, 2)*I672, 2)</f>
        <v>0</v>
      </c>
      <c r="P672" s="23">
        <v>0</v>
      </c>
      <c r="S672" s="22">
        <f>ROUND(ROUND(P672, 2)*I672, 2)</f>
        <v>0</v>
      </c>
      <c r="V672" s="9">
        <f>ROUND(ROUND(P672, 2)/1.2, 2)</f>
        <v>0</v>
      </c>
      <c r="Y672" s="9">
        <f t="shared" si="34"/>
        <v>0</v>
      </c>
      <c r="AD672" s="4" t="s">
        <v>2498</v>
      </c>
      <c r="AE672" s="4" t="s">
        <v>2499</v>
      </c>
      <c r="AF672" s="4" t="s">
        <v>2211</v>
      </c>
    </row>
    <row r="673" spans="1:35" ht="36" x14ac:dyDescent="0.3">
      <c r="A673" s="10" t="s">
        <v>2500</v>
      </c>
      <c r="B673" s="10" t="s">
        <v>2169</v>
      </c>
      <c r="C673" s="11" t="s">
        <v>2170</v>
      </c>
      <c r="D673" s="12"/>
      <c r="E673" s="12" t="s">
        <v>2501</v>
      </c>
      <c r="F673" s="12" t="s">
        <v>64</v>
      </c>
      <c r="G673" s="13">
        <v>1</v>
      </c>
      <c r="H673" s="13"/>
      <c r="I673" s="13">
        <v>83.7</v>
      </c>
      <c r="J673" s="14">
        <f>IFERROR(ROUND(SUM(M674,M675)/I673, 2),0)</f>
        <v>13.32</v>
      </c>
      <c r="K673" s="15">
        <v>464</v>
      </c>
      <c r="L673" s="14">
        <f>J673+ROUND(K673, 2)</f>
        <v>477.32</v>
      </c>
      <c r="M673" s="14">
        <f>ROUND(J673*I673, 2)</f>
        <v>1114.8800000000001</v>
      </c>
      <c r="N673" s="14">
        <f>ROUND(I673*ROUND(K673, 2), 2)</f>
        <v>38836.800000000003</v>
      </c>
      <c r="O673" s="14">
        <f>M673+N673</f>
        <v>39951.68</v>
      </c>
      <c r="P673" s="14">
        <f>IFERROR(ROUND(SUM(S674,S675)/I673, 2),0)</f>
        <v>13.32</v>
      </c>
      <c r="Q673" s="16">
        <v>464</v>
      </c>
      <c r="R673" s="14">
        <f>P673+ROUND(Q673, 2)</f>
        <v>477.32</v>
      </c>
      <c r="S673" s="14">
        <f>ROUND(P673*I673, 2)</f>
        <v>1114.8800000000001</v>
      </c>
      <c r="T673" s="14">
        <f>ROUND(I673*ROUND(Q673, 2), 2)</f>
        <v>38836.800000000003</v>
      </c>
      <c r="U673" s="14">
        <f>S673+T673</f>
        <v>39951.68</v>
      </c>
      <c r="V673" s="9">
        <f>ROUND(P673 / 1.2, 2)</f>
        <v>11.1</v>
      </c>
      <c r="W673" s="9">
        <f>ROUND(Q673 / 1.2, 2)</f>
        <v>386.67</v>
      </c>
      <c r="X673" s="9">
        <f>ROUND(R673 / 1.2, 2)</f>
        <v>397.77</v>
      </c>
      <c r="Y673" s="9">
        <f t="shared" si="34"/>
        <v>929.07</v>
      </c>
      <c r="Z673" s="9">
        <f>ROUND(T673 / 1.2, 2)</f>
        <v>32364</v>
      </c>
      <c r="AA673" s="9">
        <f>Y673+Z673</f>
        <v>33293.07</v>
      </c>
      <c r="AD673" s="4">
        <v>271132289</v>
      </c>
      <c r="AE673" s="4">
        <v>20003502</v>
      </c>
      <c r="AG673" s="4" t="s">
        <v>2172</v>
      </c>
      <c r="AH673" s="4" t="s">
        <v>2173</v>
      </c>
      <c r="AI673" s="4" t="s">
        <v>67</v>
      </c>
    </row>
    <row r="674" spans="1:35" ht="36" x14ac:dyDescent="0.3">
      <c r="A674" s="10" t="s">
        <v>2502</v>
      </c>
      <c r="B674" s="10"/>
      <c r="C674" s="24" t="s">
        <v>433</v>
      </c>
      <c r="D674" s="12"/>
      <c r="E674" s="12"/>
      <c r="F674" s="18" t="s">
        <v>70</v>
      </c>
      <c r="G674" s="19">
        <v>0.15</v>
      </c>
      <c r="H674" s="19"/>
      <c r="I674" s="19">
        <v>12.555</v>
      </c>
      <c r="J674" s="21">
        <v>88.8</v>
      </c>
      <c r="M674" s="22">
        <f>ROUND(ROUND(J674, 2)*I674, 2)</f>
        <v>1114.8800000000001</v>
      </c>
      <c r="P674" s="23">
        <v>88.8</v>
      </c>
      <c r="S674" s="22">
        <f>ROUND(ROUND(P674, 2)*I674, 2)</f>
        <v>1114.8800000000001</v>
      </c>
      <c r="V674" s="9">
        <f>ROUND(ROUND(P674, 2)/1.2, 2)</f>
        <v>74</v>
      </c>
      <c r="Y674" s="9">
        <f t="shared" si="34"/>
        <v>929.07</v>
      </c>
      <c r="AD674" s="4" t="s">
        <v>2503</v>
      </c>
      <c r="AE674" s="4" t="s">
        <v>2504</v>
      </c>
      <c r="AF674" s="4" t="s">
        <v>436</v>
      </c>
    </row>
    <row r="675" spans="1:35" ht="36" x14ac:dyDescent="0.3">
      <c r="A675" s="10" t="s">
        <v>2505</v>
      </c>
      <c r="B675" s="10"/>
      <c r="C675" s="24" t="s">
        <v>2207</v>
      </c>
      <c r="D675" s="12"/>
      <c r="E675" s="12" t="s">
        <v>2506</v>
      </c>
      <c r="F675" s="18" t="s">
        <v>70</v>
      </c>
      <c r="G675" s="19">
        <v>0.3</v>
      </c>
      <c r="H675" s="19"/>
      <c r="I675" s="19">
        <v>25.11</v>
      </c>
      <c r="J675" s="21">
        <v>0</v>
      </c>
      <c r="M675" s="22">
        <f>ROUND(ROUND(J675, 2)*I675, 2)</f>
        <v>0</v>
      </c>
      <c r="P675" s="23">
        <v>0</v>
      </c>
      <c r="S675" s="22">
        <f>ROUND(ROUND(P675, 2)*I675, 2)</f>
        <v>0</v>
      </c>
      <c r="V675" s="9">
        <f>ROUND(ROUND(P675, 2)/1.2, 2)</f>
        <v>0</v>
      </c>
      <c r="Y675" s="9">
        <f t="shared" si="34"/>
        <v>0</v>
      </c>
      <c r="AD675" s="4" t="s">
        <v>2507</v>
      </c>
      <c r="AE675" s="4" t="s">
        <v>2508</v>
      </c>
      <c r="AF675" s="4" t="s">
        <v>2211</v>
      </c>
    </row>
    <row r="676" spans="1:35" ht="36" x14ac:dyDescent="0.3">
      <c r="A676" s="10" t="s">
        <v>2509</v>
      </c>
      <c r="B676" s="10" t="s">
        <v>2169</v>
      </c>
      <c r="C676" s="11" t="s">
        <v>2170</v>
      </c>
      <c r="D676" s="12"/>
      <c r="E676" s="12" t="s">
        <v>2510</v>
      </c>
      <c r="F676" s="12" t="s">
        <v>64</v>
      </c>
      <c r="G676" s="13">
        <v>1</v>
      </c>
      <c r="H676" s="13"/>
      <c r="I676" s="13">
        <v>54.99</v>
      </c>
      <c r="J676" s="14">
        <f>IFERROR(ROUND(SUM(M677,M678)/I676, 2),0)</f>
        <v>13.32</v>
      </c>
      <c r="K676" s="15">
        <v>464</v>
      </c>
      <c r="L676" s="14">
        <f>J676+ROUND(K676, 2)</f>
        <v>477.32</v>
      </c>
      <c r="M676" s="14">
        <f>ROUND(J676*I676, 2)</f>
        <v>732.47</v>
      </c>
      <c r="N676" s="14">
        <f>ROUND(I676*ROUND(K676, 2), 2)</f>
        <v>25515.360000000001</v>
      </c>
      <c r="O676" s="14">
        <f>M676+N676</f>
        <v>26247.83</v>
      </c>
      <c r="P676" s="14">
        <f>IFERROR(ROUND(SUM(S677,S678)/I676, 2),0)</f>
        <v>13.32</v>
      </c>
      <c r="Q676" s="16">
        <v>464</v>
      </c>
      <c r="R676" s="14">
        <f>P676+ROUND(Q676, 2)</f>
        <v>477.32</v>
      </c>
      <c r="S676" s="14">
        <f>ROUND(P676*I676, 2)</f>
        <v>732.47</v>
      </c>
      <c r="T676" s="14">
        <f>ROUND(I676*ROUND(Q676, 2), 2)</f>
        <v>25515.360000000001</v>
      </c>
      <c r="U676" s="14">
        <f>S676+T676</f>
        <v>26247.83</v>
      </c>
      <c r="V676" s="9">
        <f>ROUND(P676 / 1.2, 2)</f>
        <v>11.1</v>
      </c>
      <c r="W676" s="9">
        <f>ROUND(Q676 / 1.2, 2)</f>
        <v>386.67</v>
      </c>
      <c r="X676" s="9">
        <f>ROUND(R676 / 1.2, 2)</f>
        <v>397.77</v>
      </c>
      <c r="Y676" s="9">
        <f t="shared" si="34"/>
        <v>610.39</v>
      </c>
      <c r="Z676" s="9">
        <f>ROUND(T676 / 1.2, 2)</f>
        <v>21262.799999999999</v>
      </c>
      <c r="AA676" s="9">
        <f>Y676+Z676</f>
        <v>21873.19</v>
      </c>
      <c r="AD676" s="4">
        <v>271132290</v>
      </c>
      <c r="AE676" s="4">
        <v>20003503</v>
      </c>
      <c r="AG676" s="4" t="s">
        <v>2172</v>
      </c>
      <c r="AH676" s="4" t="s">
        <v>2173</v>
      </c>
      <c r="AI676" s="4" t="s">
        <v>67</v>
      </c>
    </row>
    <row r="677" spans="1:35" ht="36" x14ac:dyDescent="0.3">
      <c r="A677" s="10" t="s">
        <v>2511</v>
      </c>
      <c r="B677" s="10"/>
      <c r="C677" s="24" t="s">
        <v>433</v>
      </c>
      <c r="D677" s="12"/>
      <c r="E677" s="12"/>
      <c r="F677" s="18" t="s">
        <v>70</v>
      </c>
      <c r="G677" s="19">
        <v>0.15</v>
      </c>
      <c r="H677" s="19"/>
      <c r="I677" s="19">
        <v>8.2490000000000006</v>
      </c>
      <c r="J677" s="21">
        <v>88.8</v>
      </c>
      <c r="M677" s="22">
        <f>ROUND(ROUND(J677, 2)*I677, 2)</f>
        <v>732.51</v>
      </c>
      <c r="P677" s="23">
        <v>88.8</v>
      </c>
      <c r="S677" s="22">
        <f>ROUND(ROUND(P677, 2)*I677, 2)</f>
        <v>732.51</v>
      </c>
      <c r="V677" s="9">
        <f>ROUND(ROUND(P677, 2)/1.2, 2)</f>
        <v>74</v>
      </c>
      <c r="Y677" s="9">
        <f t="shared" si="34"/>
        <v>610.42999999999995</v>
      </c>
      <c r="AD677" s="4" t="s">
        <v>2512</v>
      </c>
      <c r="AE677" s="4" t="s">
        <v>2513</v>
      </c>
      <c r="AF677" s="4" t="s">
        <v>436</v>
      </c>
    </row>
    <row r="678" spans="1:35" ht="36" x14ac:dyDescent="0.3">
      <c r="A678" s="10" t="s">
        <v>2514</v>
      </c>
      <c r="B678" s="10"/>
      <c r="C678" s="24" t="s">
        <v>2207</v>
      </c>
      <c r="D678" s="12"/>
      <c r="E678" s="12" t="s">
        <v>2354</v>
      </c>
      <c r="F678" s="18" t="s">
        <v>70</v>
      </c>
      <c r="G678" s="19">
        <v>0.3</v>
      </c>
      <c r="H678" s="19"/>
      <c r="I678" s="19">
        <v>16.497</v>
      </c>
      <c r="J678" s="21">
        <v>0</v>
      </c>
      <c r="M678" s="22">
        <f>ROUND(ROUND(J678, 2)*I678, 2)</f>
        <v>0</v>
      </c>
      <c r="P678" s="23">
        <v>0</v>
      </c>
      <c r="S678" s="22">
        <f>ROUND(ROUND(P678, 2)*I678, 2)</f>
        <v>0</v>
      </c>
      <c r="V678" s="9">
        <f>ROUND(ROUND(P678, 2)/1.2, 2)</f>
        <v>0</v>
      </c>
      <c r="Y678" s="9">
        <f t="shared" si="34"/>
        <v>0</v>
      </c>
      <c r="AD678" s="4" t="s">
        <v>2515</v>
      </c>
      <c r="AE678" s="4" t="s">
        <v>2516</v>
      </c>
      <c r="AF678" s="4" t="s">
        <v>2211</v>
      </c>
    </row>
    <row r="679" spans="1:35" ht="17.100000000000001" customHeight="1" x14ac:dyDescent="0.3">
      <c r="A679" s="10" t="s">
        <v>2517</v>
      </c>
      <c r="B679" s="10" t="s">
        <v>2518</v>
      </c>
      <c r="C679" s="185" t="s">
        <v>2519</v>
      </c>
      <c r="D679" s="186"/>
      <c r="E679" s="186"/>
      <c r="F679" s="186"/>
      <c r="G679" s="186"/>
      <c r="H679" s="186"/>
      <c r="I679" s="187"/>
      <c r="M679" s="6">
        <f>SUM(M680,M682,M684,M686,M688,M690,M692,M694,M696,M698,M700,M714,M727,M739,M751)</f>
        <v>19360183.629999999</v>
      </c>
      <c r="N679" s="6">
        <f>SUM(N680,N682,N684,N686,N688,N690,N692,N694,N696,N698,N700,N714,N727,N739,N751)</f>
        <v>4064165.04</v>
      </c>
      <c r="O679" s="6">
        <f>SUM(O680,O682,O684,O686,O688,O690,O692,O694,O696,O698,O700,O714,O727,O739,O751)</f>
        <v>23424348.670000002</v>
      </c>
      <c r="S679" s="6">
        <f>SUM(S680,S682,S684,S686,S688,S690,S692,S694,S696,S698,S700,S714,S727,S739,S751)</f>
        <v>19360183.629999999</v>
      </c>
      <c r="T679" s="6">
        <f>SUM(T680,T682,T684,T686,T688,T690,T692,T694,T696,T698,T700,T714,T727,T739,T751)</f>
        <v>4064165.04</v>
      </c>
      <c r="U679" s="6">
        <f>SUM(U680,U682,U684,U686,U688,U690,U692,U694,U696,U698,U700,U714,U727,U739,U751)</f>
        <v>23424348.670000002</v>
      </c>
      <c r="Y679" s="9">
        <f>SUM(Y680,Y682,Y684,Y686,Y688,Y690,Y692,Y694,Y696,Y698,Y700,Y714,Y727,Y739,Y751)</f>
        <v>16133486.359999999</v>
      </c>
      <c r="Z679" s="9">
        <f>SUM(Z680,Z682,Z684,Z686,Z688,Z690,Z692,Z694,Z696,Z698,Z700,Z714,Z727,Z739,Z751)</f>
        <v>3386804.23</v>
      </c>
      <c r="AA679" s="9" t="e">
        <f>SUM(AA680,AA682,AA684,AA686,AA688,AA690,AA692,AA694,AA696,AA698,AA700,AA714,AA727,AA739,AA751)</f>
        <v>#VALUE!</v>
      </c>
      <c r="AD679" s="4">
        <v>271132146</v>
      </c>
      <c r="AE679" s="4">
        <v>16233244</v>
      </c>
    </row>
    <row r="680" spans="1:35" ht="36" x14ac:dyDescent="0.3">
      <c r="A680" s="10" t="s">
        <v>2520</v>
      </c>
      <c r="B680" s="10" t="s">
        <v>2521</v>
      </c>
      <c r="C680" s="11" t="s">
        <v>2522</v>
      </c>
      <c r="D680" s="12"/>
      <c r="E680" s="12" t="s">
        <v>2523</v>
      </c>
      <c r="F680" s="12" t="s">
        <v>64</v>
      </c>
      <c r="G680" s="13">
        <v>1</v>
      </c>
      <c r="H680" s="13"/>
      <c r="I680" s="13">
        <v>433.87</v>
      </c>
      <c r="J680" s="14">
        <f>IFERROR(ROUND(SUM(M681)/I680, 2),0)</f>
        <v>0</v>
      </c>
      <c r="K680" s="15">
        <v>837</v>
      </c>
      <c r="L680" s="14">
        <f>J680+ROUND(K680, 2)</f>
        <v>837</v>
      </c>
      <c r="M680" s="14">
        <f>ROUND(J680*I680, 2)</f>
        <v>0</v>
      </c>
      <c r="N680" s="14">
        <f>ROUND(I680*ROUND(K680, 2), 2)</f>
        <v>363149.19</v>
      </c>
      <c r="O680" s="14">
        <f>M680+N680</f>
        <v>363149.19</v>
      </c>
      <c r="P680" s="14">
        <f>IFERROR(ROUND(SUM(S681)/I680, 2),0)</f>
        <v>0</v>
      </c>
      <c r="Q680" s="16">
        <v>837</v>
      </c>
      <c r="R680" s="14">
        <f>P680+ROUND(Q680, 2)</f>
        <v>837</v>
      </c>
      <c r="S680" s="14">
        <f>ROUND(P680*I680, 2)</f>
        <v>0</v>
      </c>
      <c r="T680" s="14">
        <f>ROUND(I680*ROUND(Q680, 2), 2)</f>
        <v>363149.19</v>
      </c>
      <c r="U680" s="14">
        <f>S680+T680</f>
        <v>363149.19</v>
      </c>
      <c r="V680" s="9">
        <f>ROUND(P680 / 1.2, 2)</f>
        <v>0</v>
      </c>
      <c r="W680" s="9">
        <f>ROUND(Q680 / 1.2, 2)</f>
        <v>697.5</v>
      </c>
      <c r="X680" s="9">
        <f>ROUND(R680 / 1.2, 2)</f>
        <v>697.5</v>
      </c>
      <c r="Y680" s="9">
        <f>ROUND(S680 / 1.2, 2)</f>
        <v>0</v>
      </c>
      <c r="Z680" s="9">
        <f>ROUND(T680 / 1.2, 2)</f>
        <v>302624.33</v>
      </c>
      <c r="AA680" s="9">
        <f>Y680+Z680</f>
        <v>302624.33</v>
      </c>
      <c r="AD680" s="4">
        <v>271132148</v>
      </c>
      <c r="AE680" s="4">
        <v>16233248</v>
      </c>
      <c r="AG680" s="4" t="s">
        <v>2524</v>
      </c>
      <c r="AH680" s="4" t="s">
        <v>2525</v>
      </c>
      <c r="AI680" s="4" t="s">
        <v>67</v>
      </c>
    </row>
    <row r="681" spans="1:35" ht="108" x14ac:dyDescent="0.3">
      <c r="A681" s="10" t="s">
        <v>2526</v>
      </c>
      <c r="B681" s="10"/>
      <c r="C681" s="24" t="s">
        <v>2527</v>
      </c>
      <c r="D681" s="12"/>
      <c r="E681" s="12" t="s">
        <v>2528</v>
      </c>
      <c r="F681" s="18" t="s">
        <v>64</v>
      </c>
      <c r="G681" s="19">
        <v>1</v>
      </c>
      <c r="H681" s="20"/>
      <c r="I681" s="20">
        <v>433.87</v>
      </c>
      <c r="J681" s="21">
        <v>0</v>
      </c>
      <c r="M681" s="22">
        <f>ROUND(ROUND(J681, 2)*I681, 2)</f>
        <v>0</v>
      </c>
      <c r="P681" s="23">
        <v>0</v>
      </c>
      <c r="S681" s="22">
        <f>ROUND(ROUND(P681, 2)*I681, 2)</f>
        <v>0</v>
      </c>
      <c r="V681" s="9">
        <f>ROUND(ROUND(P681, 2)/1.2, 2)</f>
        <v>0</v>
      </c>
      <c r="Y681" s="9">
        <f t="shared" ref="Y681:Y712" si="35">ROUND(S681 / 1.2, 2)</f>
        <v>0</v>
      </c>
      <c r="AD681" s="4" t="s">
        <v>2529</v>
      </c>
      <c r="AE681" s="4" t="s">
        <v>2530</v>
      </c>
      <c r="AF681" s="4" t="s">
        <v>2531</v>
      </c>
    </row>
    <row r="682" spans="1:35" ht="36" x14ac:dyDescent="0.3">
      <c r="A682" s="10" t="s">
        <v>2532</v>
      </c>
      <c r="B682" s="10" t="s">
        <v>2521</v>
      </c>
      <c r="C682" s="11" t="s">
        <v>2522</v>
      </c>
      <c r="D682" s="12"/>
      <c r="E682" s="12" t="s">
        <v>2533</v>
      </c>
      <c r="F682" s="12" t="s">
        <v>64</v>
      </c>
      <c r="G682" s="13">
        <v>1</v>
      </c>
      <c r="H682" s="13"/>
      <c r="I682" s="13">
        <v>1422.4</v>
      </c>
      <c r="J682" s="14">
        <f>IFERROR(ROUND(SUM(M683)/I682, 2),0)</f>
        <v>7126.9</v>
      </c>
      <c r="K682" s="15">
        <v>837</v>
      </c>
      <c r="L682" s="14">
        <f>J682+ROUND(K682, 2)</f>
        <v>7963.9</v>
      </c>
      <c r="M682" s="14">
        <f>ROUND(J682*I682, 2)</f>
        <v>10137302.560000001</v>
      </c>
      <c r="N682" s="14">
        <f>ROUND(I682*ROUND(K682, 2), 2)</f>
        <v>1190548.8</v>
      </c>
      <c r="O682" s="14">
        <f>M682+N682</f>
        <v>11327851.359999999</v>
      </c>
      <c r="P682" s="14">
        <f>IFERROR(ROUND(SUM(S683)/I682, 2),0)</f>
        <v>7126.9</v>
      </c>
      <c r="Q682" s="16">
        <v>837</v>
      </c>
      <c r="R682" s="14">
        <f>P682+ROUND(Q682, 2)</f>
        <v>7963.9</v>
      </c>
      <c r="S682" s="14">
        <f>ROUND(P682*I682, 2)</f>
        <v>10137302.560000001</v>
      </c>
      <c r="T682" s="14">
        <f>ROUND(I682*ROUND(Q682, 2), 2)</f>
        <v>1190548.8</v>
      </c>
      <c r="U682" s="14">
        <f>S682+T682</f>
        <v>11327851.359999999</v>
      </c>
      <c r="V682" s="9">
        <f>ROUND(P682 / 1.2, 2)</f>
        <v>5939.08</v>
      </c>
      <c r="W682" s="9">
        <f>ROUND(Q682 / 1.2, 2)</f>
        <v>697.5</v>
      </c>
      <c r="X682" s="9">
        <f>ROUND(R682 / 1.2, 2)</f>
        <v>6636.58</v>
      </c>
      <c r="Y682" s="9">
        <f t="shared" si="35"/>
        <v>8447752.1300000008</v>
      </c>
      <c r="Z682" s="9">
        <f>ROUND(T682 / 1.2, 2)</f>
        <v>992124</v>
      </c>
      <c r="AA682" s="9">
        <f>Y682+Z682</f>
        <v>9439876.1300000008</v>
      </c>
      <c r="AD682" s="4">
        <v>271132291</v>
      </c>
      <c r="AE682" s="4">
        <v>16236255</v>
      </c>
      <c r="AG682" s="4" t="s">
        <v>2524</v>
      </c>
      <c r="AH682" s="4" t="s">
        <v>2525</v>
      </c>
      <c r="AI682" s="4" t="s">
        <v>67</v>
      </c>
    </row>
    <row r="683" spans="1:35" ht="72" x14ac:dyDescent="0.3">
      <c r="A683" s="10" t="s">
        <v>2534</v>
      </c>
      <c r="B683" s="10"/>
      <c r="C683" s="24" t="s">
        <v>2535</v>
      </c>
      <c r="D683" s="12"/>
      <c r="E683" s="12" t="s">
        <v>2536</v>
      </c>
      <c r="F683" s="18" t="s">
        <v>64</v>
      </c>
      <c r="G683" s="19">
        <v>1.1000000000000001</v>
      </c>
      <c r="H683" s="20"/>
      <c r="I683" s="20">
        <v>1564.64</v>
      </c>
      <c r="J683" s="21">
        <v>6479</v>
      </c>
      <c r="M683" s="22">
        <f>ROUND(ROUND(J683, 2)*I683, 2)</f>
        <v>10137302.560000001</v>
      </c>
      <c r="P683" s="23">
        <v>6479</v>
      </c>
      <c r="S683" s="22">
        <f>ROUND(ROUND(P683, 2)*I683, 2)</f>
        <v>10137302.560000001</v>
      </c>
      <c r="V683" s="9">
        <f>ROUND(ROUND(P683, 2)/1.2, 2)</f>
        <v>5399.17</v>
      </c>
      <c r="Y683" s="9">
        <f t="shared" si="35"/>
        <v>8447752.1300000008</v>
      </c>
      <c r="AD683" s="4" t="s">
        <v>2537</v>
      </c>
      <c r="AE683" s="4" t="s">
        <v>2538</v>
      </c>
      <c r="AF683" s="4" t="s">
        <v>2539</v>
      </c>
    </row>
    <row r="684" spans="1:35" ht="36" x14ac:dyDescent="0.3">
      <c r="A684" s="10" t="s">
        <v>2540</v>
      </c>
      <c r="B684" s="10" t="s">
        <v>2521</v>
      </c>
      <c r="C684" s="11" t="s">
        <v>2522</v>
      </c>
      <c r="D684" s="12"/>
      <c r="E684" s="12" t="s">
        <v>2541</v>
      </c>
      <c r="F684" s="12" t="s">
        <v>64</v>
      </c>
      <c r="G684" s="13">
        <v>1</v>
      </c>
      <c r="H684" s="13"/>
      <c r="I684" s="13">
        <v>34.450000000000003</v>
      </c>
      <c r="J684" s="14">
        <f>IFERROR(ROUND(SUM(M685)/I684, 2),0)</f>
        <v>855.89</v>
      </c>
      <c r="K684" s="15">
        <v>837</v>
      </c>
      <c r="L684" s="14">
        <f>J684+ROUND(K684, 2)</f>
        <v>1692.89</v>
      </c>
      <c r="M684" s="14">
        <f>ROUND(J684*I684, 2)</f>
        <v>29485.41</v>
      </c>
      <c r="N684" s="14">
        <f>ROUND(I684*ROUND(K684, 2), 2)</f>
        <v>28834.65</v>
      </c>
      <c r="O684" s="14">
        <f>M684+N684</f>
        <v>58320.06</v>
      </c>
      <c r="P684" s="14">
        <f>IFERROR(ROUND(SUM(S685)/I684, 2),0)</f>
        <v>855.89</v>
      </c>
      <c r="Q684" s="16">
        <v>837</v>
      </c>
      <c r="R684" s="14">
        <f>P684+ROUND(Q684, 2)</f>
        <v>1692.89</v>
      </c>
      <c r="S684" s="14">
        <f>ROUND(P684*I684, 2)</f>
        <v>29485.41</v>
      </c>
      <c r="T684" s="14">
        <f>ROUND(I684*ROUND(Q684, 2), 2)</f>
        <v>28834.65</v>
      </c>
      <c r="U684" s="14">
        <f>S684+T684</f>
        <v>58320.06</v>
      </c>
      <c r="V684" s="9">
        <f>ROUND(P684 / 1.2, 2)</f>
        <v>713.24</v>
      </c>
      <c r="W684" s="9">
        <f>ROUND(Q684 / 1.2, 2)</f>
        <v>697.5</v>
      </c>
      <c r="X684" s="9">
        <f>ROUND(R684 / 1.2, 2)</f>
        <v>1410.74</v>
      </c>
      <c r="Y684" s="9">
        <f t="shared" si="35"/>
        <v>24571.18</v>
      </c>
      <c r="Z684" s="9">
        <f>ROUND(T684 / 1.2, 2)</f>
        <v>24028.880000000001</v>
      </c>
      <c r="AA684" s="9">
        <f>Y684+Z684</f>
        <v>48600.06</v>
      </c>
      <c r="AD684" s="4">
        <v>271132292</v>
      </c>
      <c r="AE684" s="4">
        <v>16236256</v>
      </c>
      <c r="AG684" s="4" t="s">
        <v>2524</v>
      </c>
      <c r="AH684" s="4" t="s">
        <v>2525</v>
      </c>
      <c r="AI684" s="4" t="s">
        <v>67</v>
      </c>
    </row>
    <row r="685" spans="1:35" ht="90" x14ac:dyDescent="0.3">
      <c r="A685" s="10" t="s">
        <v>2542</v>
      </c>
      <c r="B685" s="10"/>
      <c r="C685" s="17" t="s">
        <v>2543</v>
      </c>
      <c r="D685" s="12"/>
      <c r="E685" s="12" t="s">
        <v>2544</v>
      </c>
      <c r="F685" s="18" t="s">
        <v>64</v>
      </c>
      <c r="G685" s="19">
        <v>1.1000000000000001</v>
      </c>
      <c r="H685" s="20"/>
      <c r="I685" s="20">
        <v>37.895000000000003</v>
      </c>
      <c r="J685" s="21">
        <v>778.08</v>
      </c>
      <c r="M685" s="22">
        <f>ROUND(ROUND(J685, 2)*I685, 2)</f>
        <v>29485.34</v>
      </c>
      <c r="P685" s="23">
        <v>778.08</v>
      </c>
      <c r="S685" s="22">
        <f>ROUND(ROUND(P685, 2)*I685, 2)</f>
        <v>29485.34</v>
      </c>
      <c r="V685" s="9">
        <f>ROUND(ROUND(P685, 2)/1.2, 2)</f>
        <v>648.4</v>
      </c>
      <c r="Y685" s="9">
        <f t="shared" si="35"/>
        <v>24571.119999999999</v>
      </c>
      <c r="AD685" s="4" t="s">
        <v>2545</v>
      </c>
      <c r="AE685" s="4" t="s">
        <v>2546</v>
      </c>
      <c r="AF685" s="4" t="s">
        <v>2547</v>
      </c>
    </row>
    <row r="686" spans="1:35" ht="36" x14ac:dyDescent="0.3">
      <c r="A686" s="10" t="s">
        <v>2548</v>
      </c>
      <c r="B686" s="10" t="s">
        <v>2521</v>
      </c>
      <c r="C686" s="11" t="s">
        <v>2522</v>
      </c>
      <c r="D686" s="12"/>
      <c r="E686" s="12" t="s">
        <v>2501</v>
      </c>
      <c r="F686" s="12" t="s">
        <v>64</v>
      </c>
      <c r="G686" s="13">
        <v>1</v>
      </c>
      <c r="H686" s="13"/>
      <c r="I686" s="13">
        <v>83.7</v>
      </c>
      <c r="J686" s="14">
        <f>IFERROR(ROUND(SUM(M687)/I686, 2),0)</f>
        <v>902.98</v>
      </c>
      <c r="K686" s="15">
        <v>837</v>
      </c>
      <c r="L686" s="14">
        <f>J686+ROUND(K686, 2)</f>
        <v>1739.98</v>
      </c>
      <c r="M686" s="14">
        <f>ROUND(J686*I686, 2)</f>
        <v>75579.429999999993</v>
      </c>
      <c r="N686" s="14">
        <f>ROUND(I686*ROUND(K686, 2), 2)</f>
        <v>70056.899999999994</v>
      </c>
      <c r="O686" s="14">
        <f>M686+N686</f>
        <v>145636.32999999999</v>
      </c>
      <c r="P686" s="14">
        <f>IFERROR(ROUND(SUM(S687)/I686, 2),0)</f>
        <v>902.98</v>
      </c>
      <c r="Q686" s="16">
        <v>837</v>
      </c>
      <c r="R686" s="14">
        <f>P686+ROUND(Q686, 2)</f>
        <v>1739.98</v>
      </c>
      <c r="S686" s="14">
        <f>ROUND(P686*I686, 2)</f>
        <v>75579.429999999993</v>
      </c>
      <c r="T686" s="14">
        <f>ROUND(I686*ROUND(Q686, 2), 2)</f>
        <v>70056.899999999994</v>
      </c>
      <c r="U686" s="14">
        <f>S686+T686</f>
        <v>145636.32999999999</v>
      </c>
      <c r="V686" s="9">
        <f>ROUND(P686 / 1.2, 2)</f>
        <v>752.48</v>
      </c>
      <c r="W686" s="9">
        <f>ROUND(Q686 / 1.2, 2)</f>
        <v>697.5</v>
      </c>
      <c r="X686" s="9">
        <f>ROUND(R686 / 1.2, 2)</f>
        <v>1449.98</v>
      </c>
      <c r="Y686" s="9">
        <f t="shared" si="35"/>
        <v>62982.86</v>
      </c>
      <c r="Z686" s="9">
        <f>ROUND(T686 / 1.2, 2)</f>
        <v>58380.75</v>
      </c>
      <c r="AA686" s="9">
        <f>Y686+Z686</f>
        <v>121363.61</v>
      </c>
      <c r="AD686" s="4">
        <v>271132293</v>
      </c>
      <c r="AE686" s="4">
        <v>16238731</v>
      </c>
      <c r="AG686" s="4" t="s">
        <v>2524</v>
      </c>
      <c r="AH686" s="4" t="s">
        <v>2525</v>
      </c>
      <c r="AI686" s="4" t="s">
        <v>67</v>
      </c>
    </row>
    <row r="687" spans="1:35" ht="36" x14ac:dyDescent="0.3">
      <c r="A687" s="10" t="s">
        <v>2549</v>
      </c>
      <c r="B687" s="10"/>
      <c r="C687" s="17" t="s">
        <v>2550</v>
      </c>
      <c r="D687" s="12"/>
      <c r="E687" s="12"/>
      <c r="F687" s="18" t="s">
        <v>64</v>
      </c>
      <c r="G687" s="19">
        <v>1.1000000000000001</v>
      </c>
      <c r="H687" s="20"/>
      <c r="I687" s="20">
        <v>92.07</v>
      </c>
      <c r="J687" s="21">
        <v>820.89</v>
      </c>
      <c r="M687" s="22">
        <f>ROUND(ROUND(J687, 2)*I687, 2)</f>
        <v>75579.34</v>
      </c>
      <c r="P687" s="23">
        <v>820.89</v>
      </c>
      <c r="S687" s="22">
        <f>ROUND(ROUND(P687, 2)*I687, 2)</f>
        <v>75579.34</v>
      </c>
      <c r="V687" s="9">
        <f>ROUND(ROUND(P687, 2)/1.2, 2)</f>
        <v>684.08</v>
      </c>
      <c r="Y687" s="9">
        <f t="shared" si="35"/>
        <v>62982.78</v>
      </c>
      <c r="AD687" s="4" t="s">
        <v>2551</v>
      </c>
      <c r="AE687" s="4" t="s">
        <v>2552</v>
      </c>
      <c r="AF687" s="4" t="s">
        <v>2553</v>
      </c>
    </row>
    <row r="688" spans="1:35" ht="36" x14ac:dyDescent="0.3">
      <c r="A688" s="10" t="s">
        <v>2554</v>
      </c>
      <c r="B688" s="10" t="s">
        <v>2521</v>
      </c>
      <c r="C688" s="11" t="s">
        <v>2522</v>
      </c>
      <c r="D688" s="12"/>
      <c r="E688" s="12" t="s">
        <v>2510</v>
      </c>
      <c r="F688" s="12" t="s">
        <v>64</v>
      </c>
      <c r="G688" s="13">
        <v>1</v>
      </c>
      <c r="H688" s="13"/>
      <c r="I688" s="13">
        <v>54.99</v>
      </c>
      <c r="J688" s="14">
        <f>IFERROR(ROUND(SUM(M689)/I688, 2),0)</f>
        <v>901.26</v>
      </c>
      <c r="K688" s="15">
        <v>837</v>
      </c>
      <c r="L688" s="14">
        <f>J688+ROUND(K688, 2)</f>
        <v>1738.26</v>
      </c>
      <c r="M688" s="14">
        <f>ROUND(J688*I688, 2)</f>
        <v>49560.29</v>
      </c>
      <c r="N688" s="14">
        <f>ROUND(I688*ROUND(K688, 2), 2)</f>
        <v>46026.63</v>
      </c>
      <c r="O688" s="14">
        <f>M688+N688</f>
        <v>95586.92</v>
      </c>
      <c r="P688" s="14">
        <f>IFERROR(ROUND(SUM(S689)/I688, 2),0)</f>
        <v>901.26</v>
      </c>
      <c r="Q688" s="16">
        <v>837</v>
      </c>
      <c r="R688" s="14">
        <f>P688+ROUND(Q688, 2)</f>
        <v>1738.26</v>
      </c>
      <c r="S688" s="14">
        <f>ROUND(P688*I688, 2)</f>
        <v>49560.29</v>
      </c>
      <c r="T688" s="14">
        <f>ROUND(I688*ROUND(Q688, 2), 2)</f>
        <v>46026.63</v>
      </c>
      <c r="U688" s="14">
        <f>S688+T688</f>
        <v>95586.92</v>
      </c>
      <c r="V688" s="9">
        <f>ROUND(P688 / 1.2, 2)</f>
        <v>751.05</v>
      </c>
      <c r="W688" s="9">
        <f>ROUND(Q688 / 1.2, 2)</f>
        <v>697.5</v>
      </c>
      <c r="X688" s="9">
        <f>ROUND(R688 / 1.2, 2)</f>
        <v>1448.55</v>
      </c>
      <c r="Y688" s="9">
        <f t="shared" si="35"/>
        <v>41300.239999999998</v>
      </c>
      <c r="Z688" s="9">
        <f>ROUND(T688 / 1.2, 2)</f>
        <v>38355.53</v>
      </c>
      <c r="AA688" s="9">
        <f>Y688+Z688</f>
        <v>79655.77</v>
      </c>
      <c r="AD688" s="4">
        <v>271132294</v>
      </c>
      <c r="AE688" s="4">
        <v>19825204</v>
      </c>
      <c r="AG688" s="4" t="s">
        <v>2524</v>
      </c>
      <c r="AH688" s="4" t="s">
        <v>2525</v>
      </c>
      <c r="AI688" s="4" t="s">
        <v>67</v>
      </c>
    </row>
    <row r="689" spans="1:35" ht="36" x14ac:dyDescent="0.3">
      <c r="A689" s="10" t="s">
        <v>2555</v>
      </c>
      <c r="B689" s="10"/>
      <c r="C689" s="17" t="s">
        <v>2556</v>
      </c>
      <c r="D689" s="12"/>
      <c r="E689" s="12"/>
      <c r="F689" s="18" t="s">
        <v>64</v>
      </c>
      <c r="G689" s="19">
        <v>1.1000000000000001</v>
      </c>
      <c r="H689" s="20"/>
      <c r="I689" s="20">
        <v>60.488999999999997</v>
      </c>
      <c r="J689" s="21">
        <v>819.33</v>
      </c>
      <c r="M689" s="22">
        <f>ROUND(ROUND(J689, 2)*I689, 2)</f>
        <v>49560.45</v>
      </c>
      <c r="P689" s="23">
        <v>819.33</v>
      </c>
      <c r="S689" s="22">
        <f>ROUND(ROUND(P689, 2)*I689, 2)</f>
        <v>49560.45</v>
      </c>
      <c r="V689" s="9">
        <f>ROUND(ROUND(P689, 2)/1.2, 2)</f>
        <v>682.78</v>
      </c>
      <c r="Y689" s="9">
        <f t="shared" si="35"/>
        <v>41300.379999999997</v>
      </c>
      <c r="AD689" s="4" t="s">
        <v>2557</v>
      </c>
      <c r="AE689" s="4" t="s">
        <v>2558</v>
      </c>
      <c r="AF689" s="4" t="s">
        <v>2559</v>
      </c>
    </row>
    <row r="690" spans="1:35" ht="36" x14ac:dyDescent="0.3">
      <c r="A690" s="10" t="s">
        <v>2560</v>
      </c>
      <c r="B690" s="10" t="s">
        <v>2521</v>
      </c>
      <c r="C690" s="11" t="s">
        <v>2522</v>
      </c>
      <c r="D690" s="12"/>
      <c r="E690" s="12" t="s">
        <v>2561</v>
      </c>
      <c r="F690" s="12" t="s">
        <v>64</v>
      </c>
      <c r="G690" s="13">
        <v>1</v>
      </c>
      <c r="H690" s="13"/>
      <c r="I690" s="13">
        <v>388.35</v>
      </c>
      <c r="J690" s="14">
        <f>IFERROR(ROUND(SUM(M691)/I690, 2),0)</f>
        <v>0</v>
      </c>
      <c r="K690" s="15">
        <v>837</v>
      </c>
      <c r="L690" s="14">
        <f>J690+ROUND(K690, 2)</f>
        <v>837</v>
      </c>
      <c r="M690" s="14">
        <f>ROUND(J690*I690, 2)</f>
        <v>0</v>
      </c>
      <c r="N690" s="14">
        <f>ROUND(I690*ROUND(K690, 2), 2)</f>
        <v>325048.95</v>
      </c>
      <c r="O690" s="14">
        <f>M690+N690</f>
        <v>325048.95</v>
      </c>
      <c r="P690" s="14">
        <f>IFERROR(ROUND(SUM(S691)/I690, 2),0)</f>
        <v>0</v>
      </c>
      <c r="Q690" s="16">
        <v>837</v>
      </c>
      <c r="R690" s="14">
        <f>P690+ROUND(Q690, 2)</f>
        <v>837</v>
      </c>
      <c r="S690" s="14">
        <f>ROUND(P690*I690, 2)</f>
        <v>0</v>
      </c>
      <c r="T690" s="14">
        <f>ROUND(I690*ROUND(Q690, 2), 2)</f>
        <v>325048.95</v>
      </c>
      <c r="U690" s="14">
        <f>S690+T690</f>
        <v>325048.95</v>
      </c>
      <c r="V690" s="9">
        <f>ROUND(P690 / 1.2, 2)</f>
        <v>0</v>
      </c>
      <c r="W690" s="9">
        <f>ROUND(Q690 / 1.2, 2)</f>
        <v>697.5</v>
      </c>
      <c r="X690" s="9">
        <f>ROUND(R690 / 1.2, 2)</f>
        <v>697.5</v>
      </c>
      <c r="Y690" s="9">
        <f t="shared" si="35"/>
        <v>0</v>
      </c>
      <c r="Z690" s="9">
        <f>ROUND(T690 / 1.2, 2)</f>
        <v>270874.13</v>
      </c>
      <c r="AA690" s="9">
        <f>Y690+Z690</f>
        <v>270874.13</v>
      </c>
      <c r="AD690" s="4">
        <v>271132295</v>
      </c>
      <c r="AE690" s="4">
        <v>20004793</v>
      </c>
      <c r="AG690" s="4" t="s">
        <v>2524</v>
      </c>
      <c r="AH690" s="4" t="s">
        <v>2525</v>
      </c>
      <c r="AI690" s="4" t="s">
        <v>67</v>
      </c>
    </row>
    <row r="691" spans="1:35" ht="90" x14ac:dyDescent="0.3">
      <c r="A691" s="10" t="s">
        <v>2562</v>
      </c>
      <c r="B691" s="10"/>
      <c r="C691" s="24" t="s">
        <v>2527</v>
      </c>
      <c r="D691" s="12"/>
      <c r="E691" s="12" t="s">
        <v>2563</v>
      </c>
      <c r="F691" s="18" t="s">
        <v>64</v>
      </c>
      <c r="G691" s="19">
        <v>1</v>
      </c>
      <c r="H691" s="20"/>
      <c r="I691" s="20">
        <v>388.35</v>
      </c>
      <c r="J691" s="21">
        <v>0</v>
      </c>
      <c r="M691" s="22">
        <f>ROUND(ROUND(J691, 2)*I691, 2)</f>
        <v>0</v>
      </c>
      <c r="P691" s="23">
        <v>0</v>
      </c>
      <c r="S691" s="22">
        <f>ROUND(ROUND(P691, 2)*I691, 2)</f>
        <v>0</v>
      </c>
      <c r="V691" s="9">
        <f>ROUND(ROUND(P691, 2)/1.2, 2)</f>
        <v>0</v>
      </c>
      <c r="Y691" s="9">
        <f t="shared" si="35"/>
        <v>0</v>
      </c>
      <c r="AD691" s="4" t="s">
        <v>2564</v>
      </c>
      <c r="AE691" s="4" t="s">
        <v>2565</v>
      </c>
      <c r="AF691" s="4" t="s">
        <v>2531</v>
      </c>
    </row>
    <row r="692" spans="1:35" ht="36" x14ac:dyDescent="0.3">
      <c r="A692" s="10" t="s">
        <v>2566</v>
      </c>
      <c r="B692" s="10" t="s">
        <v>2521</v>
      </c>
      <c r="C692" s="11" t="s">
        <v>2522</v>
      </c>
      <c r="D692" s="12"/>
      <c r="E692" s="12" t="s">
        <v>2567</v>
      </c>
      <c r="F692" s="12" t="s">
        <v>64</v>
      </c>
      <c r="G692" s="13">
        <v>1</v>
      </c>
      <c r="H692" s="13"/>
      <c r="I692" s="13">
        <v>1200.01</v>
      </c>
      <c r="J692" s="14">
        <f>IFERROR(ROUND(SUM(M693)/I692, 2),0)</f>
        <v>7126.9</v>
      </c>
      <c r="K692" s="15">
        <v>837</v>
      </c>
      <c r="L692" s="14">
        <f>J692+ROUND(K692, 2)</f>
        <v>7963.9</v>
      </c>
      <c r="M692" s="14">
        <f>ROUND(J692*I692, 2)</f>
        <v>8552351.2699999996</v>
      </c>
      <c r="N692" s="14">
        <f>ROUND(I692*ROUND(K692, 2), 2)</f>
        <v>1004408.37</v>
      </c>
      <c r="O692" s="14">
        <f>M692+N692</f>
        <v>9556759.6400000006</v>
      </c>
      <c r="P692" s="14">
        <f>IFERROR(ROUND(SUM(S693)/I692, 2),0)</f>
        <v>7126.9</v>
      </c>
      <c r="Q692" s="16">
        <v>837</v>
      </c>
      <c r="R692" s="14">
        <f>P692+ROUND(Q692, 2)</f>
        <v>7963.9</v>
      </c>
      <c r="S692" s="14">
        <f>ROUND(P692*I692, 2)</f>
        <v>8552351.2699999996</v>
      </c>
      <c r="T692" s="14">
        <f>ROUND(I692*ROUND(Q692, 2), 2)</f>
        <v>1004408.37</v>
      </c>
      <c r="U692" s="14">
        <f>S692+T692</f>
        <v>9556759.6400000006</v>
      </c>
      <c r="V692" s="9">
        <f>ROUND(P692 / 1.2, 2)</f>
        <v>5939.08</v>
      </c>
      <c r="W692" s="9">
        <f>ROUND(Q692 / 1.2, 2)</f>
        <v>697.5</v>
      </c>
      <c r="X692" s="9">
        <f>ROUND(R692 / 1.2, 2)</f>
        <v>6636.58</v>
      </c>
      <c r="Y692" s="9">
        <f t="shared" si="35"/>
        <v>7126959.3899999997</v>
      </c>
      <c r="Z692" s="9">
        <f>ROUND(T692 / 1.2, 2)</f>
        <v>837006.98</v>
      </c>
      <c r="AA692" s="9">
        <f>Y692+Z692</f>
        <v>7963966.3700000001</v>
      </c>
      <c r="AD692" s="4">
        <v>271132296</v>
      </c>
      <c r="AE692" s="4">
        <v>20004794</v>
      </c>
      <c r="AG692" s="4" t="s">
        <v>2524</v>
      </c>
      <c r="AH692" s="4" t="s">
        <v>2525</v>
      </c>
      <c r="AI692" s="4" t="s">
        <v>67</v>
      </c>
    </row>
    <row r="693" spans="1:35" ht="72" x14ac:dyDescent="0.3">
      <c r="A693" s="10" t="s">
        <v>2568</v>
      </c>
      <c r="B693" s="10"/>
      <c r="C693" s="24" t="s">
        <v>2535</v>
      </c>
      <c r="D693" s="12"/>
      <c r="E693" s="12" t="s">
        <v>2536</v>
      </c>
      <c r="F693" s="18" t="s">
        <v>64</v>
      </c>
      <c r="G693" s="19">
        <v>1.1000000000000001</v>
      </c>
      <c r="H693" s="20"/>
      <c r="I693" s="20">
        <v>1320.011</v>
      </c>
      <c r="J693" s="21">
        <v>6479</v>
      </c>
      <c r="M693" s="22">
        <f>ROUND(ROUND(J693, 2)*I693, 2)</f>
        <v>8552351.2699999996</v>
      </c>
      <c r="P693" s="23">
        <v>6479</v>
      </c>
      <c r="S693" s="22">
        <f>ROUND(ROUND(P693, 2)*I693, 2)</f>
        <v>8552351.2699999996</v>
      </c>
      <c r="V693" s="9">
        <f>ROUND(ROUND(P693, 2)/1.2, 2)</f>
        <v>5399.17</v>
      </c>
      <c r="Y693" s="9">
        <f t="shared" si="35"/>
        <v>7126959.3899999997</v>
      </c>
      <c r="AD693" s="4" t="s">
        <v>2569</v>
      </c>
      <c r="AE693" s="4" t="s">
        <v>2570</v>
      </c>
      <c r="AF693" s="4" t="s">
        <v>2539</v>
      </c>
    </row>
    <row r="694" spans="1:35" ht="36" x14ac:dyDescent="0.3">
      <c r="A694" s="10" t="s">
        <v>2571</v>
      </c>
      <c r="B694" s="10" t="s">
        <v>2521</v>
      </c>
      <c r="C694" s="11" t="s">
        <v>2522</v>
      </c>
      <c r="D694" s="12"/>
      <c r="E694" s="12" t="s">
        <v>2572</v>
      </c>
      <c r="F694" s="12" t="s">
        <v>64</v>
      </c>
      <c r="G694" s="13">
        <v>1</v>
      </c>
      <c r="H694" s="13"/>
      <c r="I694" s="13">
        <v>163.46</v>
      </c>
      <c r="J694" s="14">
        <f>IFERROR(ROUND(SUM(M695)/I694, 2),0)</f>
        <v>855.89</v>
      </c>
      <c r="K694" s="15">
        <v>837</v>
      </c>
      <c r="L694" s="14">
        <f>J694+ROUND(K694, 2)</f>
        <v>1692.89</v>
      </c>
      <c r="M694" s="14">
        <f>ROUND(J694*I694, 2)</f>
        <v>139903.78</v>
      </c>
      <c r="N694" s="14">
        <f>ROUND(I694*ROUND(K694, 2), 2)</f>
        <v>136816.01999999999</v>
      </c>
      <c r="O694" s="14">
        <f>M694+N694</f>
        <v>276719.8</v>
      </c>
      <c r="P694" s="14">
        <f>IFERROR(ROUND(SUM(S695)/I694, 2),0)</f>
        <v>855.89</v>
      </c>
      <c r="Q694" s="16">
        <v>837</v>
      </c>
      <c r="R694" s="14">
        <f>P694+ROUND(Q694, 2)</f>
        <v>1692.89</v>
      </c>
      <c r="S694" s="14">
        <f>ROUND(P694*I694, 2)</f>
        <v>139903.78</v>
      </c>
      <c r="T694" s="14">
        <f>ROUND(I694*ROUND(Q694, 2), 2)</f>
        <v>136816.01999999999</v>
      </c>
      <c r="U694" s="14">
        <f>S694+T694</f>
        <v>276719.8</v>
      </c>
      <c r="V694" s="9">
        <f>ROUND(P694 / 1.2, 2)</f>
        <v>713.24</v>
      </c>
      <c r="W694" s="9">
        <f>ROUND(Q694 / 1.2, 2)</f>
        <v>697.5</v>
      </c>
      <c r="X694" s="9">
        <f>ROUND(R694 / 1.2, 2)</f>
        <v>1410.74</v>
      </c>
      <c r="Y694" s="9">
        <f t="shared" si="35"/>
        <v>116586.48</v>
      </c>
      <c r="Z694" s="9">
        <f>ROUND(T694 / 1.2, 2)</f>
        <v>114013.35</v>
      </c>
      <c r="AA694" s="9">
        <f>Y694+Z694</f>
        <v>230599.83</v>
      </c>
      <c r="AD694" s="4">
        <v>271132297</v>
      </c>
      <c r="AE694" s="4">
        <v>20004795</v>
      </c>
      <c r="AG694" s="4" t="s">
        <v>2524</v>
      </c>
      <c r="AH694" s="4" t="s">
        <v>2525</v>
      </c>
      <c r="AI694" s="4" t="s">
        <v>67</v>
      </c>
    </row>
    <row r="695" spans="1:35" ht="90" x14ac:dyDescent="0.3">
      <c r="A695" s="10" t="s">
        <v>2573</v>
      </c>
      <c r="B695" s="10"/>
      <c r="C695" s="17" t="s">
        <v>2543</v>
      </c>
      <c r="D695" s="12"/>
      <c r="E695" s="12" t="s">
        <v>2544</v>
      </c>
      <c r="F695" s="18" t="s">
        <v>64</v>
      </c>
      <c r="G695" s="19">
        <v>1.1000000000000001</v>
      </c>
      <c r="H695" s="20"/>
      <c r="I695" s="20">
        <v>179.80600000000001</v>
      </c>
      <c r="J695" s="21">
        <v>778.08</v>
      </c>
      <c r="M695" s="22">
        <f>ROUND(ROUND(J695, 2)*I695, 2)</f>
        <v>139903.45000000001</v>
      </c>
      <c r="P695" s="23">
        <v>778.08</v>
      </c>
      <c r="S695" s="22">
        <f>ROUND(ROUND(P695, 2)*I695, 2)</f>
        <v>139903.45000000001</v>
      </c>
      <c r="V695" s="9">
        <f>ROUND(ROUND(P695, 2)/1.2, 2)</f>
        <v>648.4</v>
      </c>
      <c r="Y695" s="9">
        <f t="shared" si="35"/>
        <v>116586.21</v>
      </c>
      <c r="AD695" s="4" t="s">
        <v>2574</v>
      </c>
      <c r="AE695" s="4" t="s">
        <v>2575</v>
      </c>
      <c r="AF695" s="4" t="s">
        <v>2547</v>
      </c>
    </row>
    <row r="696" spans="1:35" ht="36" x14ac:dyDescent="0.3">
      <c r="A696" s="10" t="s">
        <v>2576</v>
      </c>
      <c r="B696" s="10" t="s">
        <v>2521</v>
      </c>
      <c r="C696" s="11" t="s">
        <v>2522</v>
      </c>
      <c r="D696" s="12"/>
      <c r="E696" s="12" t="s">
        <v>2340</v>
      </c>
      <c r="F696" s="12" t="s">
        <v>64</v>
      </c>
      <c r="G696" s="13">
        <v>1</v>
      </c>
      <c r="H696" s="13"/>
      <c r="I696" s="13">
        <v>92.54</v>
      </c>
      <c r="J696" s="14">
        <f>IFERROR(ROUND(SUM(M697)/I696, 2),0)</f>
        <v>902.98</v>
      </c>
      <c r="K696" s="15">
        <v>837</v>
      </c>
      <c r="L696" s="14">
        <f>J696+ROUND(K696, 2)</f>
        <v>1739.98</v>
      </c>
      <c r="M696" s="14">
        <f>ROUND(J696*I696, 2)</f>
        <v>83561.77</v>
      </c>
      <c r="N696" s="14">
        <f>ROUND(I696*ROUND(K696, 2), 2)</f>
        <v>77455.98</v>
      </c>
      <c r="O696" s="14">
        <f>M696+N696</f>
        <v>161017.75</v>
      </c>
      <c r="P696" s="14">
        <f>IFERROR(ROUND(SUM(S697)/I696, 2),0)</f>
        <v>902.98</v>
      </c>
      <c r="Q696" s="16">
        <v>837</v>
      </c>
      <c r="R696" s="14">
        <f>P696+ROUND(Q696, 2)</f>
        <v>1739.98</v>
      </c>
      <c r="S696" s="14">
        <f>ROUND(P696*I696, 2)</f>
        <v>83561.77</v>
      </c>
      <c r="T696" s="14">
        <f>ROUND(I696*ROUND(Q696, 2), 2)</f>
        <v>77455.98</v>
      </c>
      <c r="U696" s="14">
        <f>S696+T696</f>
        <v>161017.75</v>
      </c>
      <c r="V696" s="9">
        <f>ROUND(P696 / 1.2, 2)</f>
        <v>752.48</v>
      </c>
      <c r="W696" s="9">
        <f>ROUND(Q696 / 1.2, 2)</f>
        <v>697.5</v>
      </c>
      <c r="X696" s="9">
        <f>ROUND(R696 / 1.2, 2)</f>
        <v>1449.98</v>
      </c>
      <c r="Y696" s="9">
        <f t="shared" si="35"/>
        <v>69634.81</v>
      </c>
      <c r="Z696" s="9">
        <f>ROUND(T696 / 1.2, 2)</f>
        <v>64546.65</v>
      </c>
      <c r="AA696" s="9">
        <f>Y696+Z696</f>
        <v>134181.46</v>
      </c>
      <c r="AD696" s="4">
        <v>271132298</v>
      </c>
      <c r="AE696" s="4">
        <v>20004796</v>
      </c>
      <c r="AG696" s="4" t="s">
        <v>2524</v>
      </c>
      <c r="AH696" s="4" t="s">
        <v>2525</v>
      </c>
      <c r="AI696" s="4" t="s">
        <v>67</v>
      </c>
    </row>
    <row r="697" spans="1:35" ht="36" x14ac:dyDescent="0.3">
      <c r="A697" s="10" t="s">
        <v>2577</v>
      </c>
      <c r="B697" s="10"/>
      <c r="C697" s="17" t="s">
        <v>2550</v>
      </c>
      <c r="D697" s="12"/>
      <c r="E697" s="12"/>
      <c r="F697" s="18" t="s">
        <v>64</v>
      </c>
      <c r="G697" s="19">
        <v>1.1000000000000001</v>
      </c>
      <c r="H697" s="20"/>
      <c r="I697" s="20">
        <v>101.794</v>
      </c>
      <c r="J697" s="21">
        <v>820.89</v>
      </c>
      <c r="M697" s="22">
        <f>ROUND(ROUND(J697, 2)*I697, 2)</f>
        <v>83561.679999999993</v>
      </c>
      <c r="P697" s="23">
        <v>820.89</v>
      </c>
      <c r="S697" s="22">
        <f>ROUND(ROUND(P697, 2)*I697, 2)</f>
        <v>83561.679999999993</v>
      </c>
      <c r="V697" s="9">
        <f>ROUND(ROUND(P697, 2)/1.2, 2)</f>
        <v>684.08</v>
      </c>
      <c r="Y697" s="9">
        <f t="shared" si="35"/>
        <v>69634.73</v>
      </c>
      <c r="AD697" s="4" t="s">
        <v>2578</v>
      </c>
      <c r="AE697" s="4" t="s">
        <v>2579</v>
      </c>
      <c r="AF697" s="4" t="s">
        <v>2553</v>
      </c>
    </row>
    <row r="698" spans="1:35" ht="36" x14ac:dyDescent="0.3">
      <c r="A698" s="10" t="s">
        <v>2580</v>
      </c>
      <c r="B698" s="10" t="s">
        <v>2521</v>
      </c>
      <c r="C698" s="11" t="s">
        <v>2522</v>
      </c>
      <c r="D698" s="12"/>
      <c r="E698" s="12" t="s">
        <v>2349</v>
      </c>
      <c r="F698" s="12" t="s">
        <v>64</v>
      </c>
      <c r="G698" s="13">
        <v>1</v>
      </c>
      <c r="H698" s="13"/>
      <c r="I698" s="13">
        <v>67.19</v>
      </c>
      <c r="J698" s="14">
        <f>IFERROR(ROUND(SUM(M699)/I698, 2),0)</f>
        <v>901.26</v>
      </c>
      <c r="K698" s="15">
        <v>837</v>
      </c>
      <c r="L698" s="14">
        <f>J698+ROUND(K698, 2)</f>
        <v>1738.26</v>
      </c>
      <c r="M698" s="14">
        <f>ROUND(J698*I698, 2)</f>
        <v>60555.66</v>
      </c>
      <c r="N698" s="14">
        <f>ROUND(I698*ROUND(K698, 2), 2)</f>
        <v>56238.03</v>
      </c>
      <c r="O698" s="14">
        <f>M698+N698</f>
        <v>116793.69</v>
      </c>
      <c r="P698" s="14">
        <f>IFERROR(ROUND(SUM(S699)/I698, 2),0)</f>
        <v>901.26</v>
      </c>
      <c r="Q698" s="16">
        <v>837</v>
      </c>
      <c r="R698" s="14">
        <f>P698+ROUND(Q698, 2)</f>
        <v>1738.26</v>
      </c>
      <c r="S698" s="14">
        <f>ROUND(P698*I698, 2)</f>
        <v>60555.66</v>
      </c>
      <c r="T698" s="14">
        <f>ROUND(I698*ROUND(Q698, 2), 2)</f>
        <v>56238.03</v>
      </c>
      <c r="U698" s="14">
        <f>S698+T698</f>
        <v>116793.69</v>
      </c>
      <c r="V698" s="9">
        <f>ROUND(P698 / 1.2, 2)</f>
        <v>751.05</v>
      </c>
      <c r="W698" s="9">
        <f>ROUND(Q698 / 1.2, 2)</f>
        <v>697.5</v>
      </c>
      <c r="X698" s="9">
        <f>ROUND(R698 / 1.2, 2)</f>
        <v>1448.55</v>
      </c>
      <c r="Y698" s="9">
        <f t="shared" si="35"/>
        <v>50463.05</v>
      </c>
      <c r="Z698" s="9">
        <f>ROUND(T698 / 1.2, 2)</f>
        <v>46865.03</v>
      </c>
      <c r="AA698" s="9">
        <f>Y698+Z698</f>
        <v>97328.08</v>
      </c>
      <c r="AD698" s="4">
        <v>271132299</v>
      </c>
      <c r="AE698" s="4">
        <v>20004797</v>
      </c>
      <c r="AG698" s="4" t="s">
        <v>2524</v>
      </c>
      <c r="AH698" s="4" t="s">
        <v>2525</v>
      </c>
      <c r="AI698" s="4" t="s">
        <v>67</v>
      </c>
    </row>
    <row r="699" spans="1:35" ht="36" x14ac:dyDescent="0.3">
      <c r="A699" s="10" t="s">
        <v>2581</v>
      </c>
      <c r="B699" s="10"/>
      <c r="C699" s="17" t="s">
        <v>2556</v>
      </c>
      <c r="D699" s="12"/>
      <c r="E699" s="12"/>
      <c r="F699" s="18" t="s">
        <v>64</v>
      </c>
      <c r="G699" s="19">
        <v>1.1000000000000001</v>
      </c>
      <c r="H699" s="20"/>
      <c r="I699" s="20">
        <v>73.909000000000006</v>
      </c>
      <c r="J699" s="21">
        <v>819.33</v>
      </c>
      <c r="M699" s="22">
        <f>ROUND(ROUND(J699, 2)*I699, 2)</f>
        <v>60555.86</v>
      </c>
      <c r="P699" s="23">
        <v>819.33</v>
      </c>
      <c r="S699" s="22">
        <f>ROUND(ROUND(P699, 2)*I699, 2)</f>
        <v>60555.86</v>
      </c>
      <c r="V699" s="9">
        <f>ROUND(ROUND(P699, 2)/1.2, 2)</f>
        <v>682.78</v>
      </c>
      <c r="Y699" s="9">
        <f t="shared" si="35"/>
        <v>50463.22</v>
      </c>
      <c r="AD699" s="4" t="s">
        <v>2582</v>
      </c>
      <c r="AE699" s="4" t="s">
        <v>2583</v>
      </c>
      <c r="AF699" s="4" t="s">
        <v>2559</v>
      </c>
    </row>
    <row r="700" spans="1:35" ht="36" x14ac:dyDescent="0.3">
      <c r="A700" s="10" t="s">
        <v>2584</v>
      </c>
      <c r="B700" s="10" t="s">
        <v>2585</v>
      </c>
      <c r="C700" s="11" t="s">
        <v>2586</v>
      </c>
      <c r="D700" s="12"/>
      <c r="E700" s="12" t="s">
        <v>2587</v>
      </c>
      <c r="F700" s="12" t="s">
        <v>64</v>
      </c>
      <c r="G700" s="13">
        <v>1</v>
      </c>
      <c r="H700" s="13"/>
      <c r="I700" s="13">
        <v>37.700000000000003</v>
      </c>
      <c r="J700" s="14">
        <f>IFERROR(ROUND(SUM(M701,M702,M703,M704,M705,M706,M707,M708,M709,M710,M711,M712,M713)/I700, 2),0)</f>
        <v>614.67999999999995</v>
      </c>
      <c r="K700" s="15">
        <v>1199</v>
      </c>
      <c r="L700" s="14">
        <f>J700+ROUND(K700, 2)</f>
        <v>1813.68</v>
      </c>
      <c r="M700" s="14">
        <f>ROUND(J700*I700, 2)</f>
        <v>23173.439999999999</v>
      </c>
      <c r="N700" s="14">
        <f>ROUND(I700*ROUND(K700, 2), 2)</f>
        <v>45202.3</v>
      </c>
      <c r="O700" s="14">
        <f>M700+N700</f>
        <v>68375.740000000005</v>
      </c>
      <c r="P700" s="14">
        <f>IFERROR(ROUND(SUM(S701,S702,S703,S704,S705,S706,S707,S708,S709,S710,S711,S712,S713)/I700, 2),0)</f>
        <v>614.67999999999995</v>
      </c>
      <c r="Q700" s="16">
        <v>1199</v>
      </c>
      <c r="R700" s="14">
        <f>P700+ROUND(Q700, 2)</f>
        <v>1813.68</v>
      </c>
      <c r="S700" s="14">
        <f>ROUND(P700*I700, 2)</f>
        <v>23173.439999999999</v>
      </c>
      <c r="T700" s="14">
        <f>ROUND(I700*ROUND(Q700, 2), 2)</f>
        <v>45202.3</v>
      </c>
      <c r="U700" s="14">
        <f>S700+T700</f>
        <v>68375.740000000005</v>
      </c>
      <c r="V700" s="9">
        <f>ROUND(P700 / 1.2, 2)</f>
        <v>512.23</v>
      </c>
      <c r="W700" s="9">
        <f>ROUND(Q700 / 1.2, 2)</f>
        <v>999.17</v>
      </c>
      <c r="X700" s="9">
        <f>ROUND(R700 / 1.2, 2)</f>
        <v>1511.4</v>
      </c>
      <c r="Y700" s="9">
        <f t="shared" si="35"/>
        <v>19311.2</v>
      </c>
      <c r="Z700" s="9">
        <f>ROUND(T700 / 1.2, 2)</f>
        <v>37668.58</v>
      </c>
      <c r="AA700" s="9">
        <f>Y700+Z700</f>
        <v>56979.78</v>
      </c>
      <c r="AD700" s="4">
        <v>271132149</v>
      </c>
      <c r="AE700" s="4">
        <v>19825683</v>
      </c>
      <c r="AG700" s="4" t="s">
        <v>2588</v>
      </c>
      <c r="AH700" s="4" t="s">
        <v>2589</v>
      </c>
      <c r="AI700" s="4" t="s">
        <v>67</v>
      </c>
    </row>
    <row r="701" spans="1:35" ht="18" x14ac:dyDescent="0.3">
      <c r="A701" s="10" t="s">
        <v>2590</v>
      </c>
      <c r="B701" s="10"/>
      <c r="C701" s="24" t="s">
        <v>2591</v>
      </c>
      <c r="D701" s="12"/>
      <c r="E701" s="12"/>
      <c r="F701" s="18" t="s">
        <v>116</v>
      </c>
      <c r="G701" s="19">
        <v>15</v>
      </c>
      <c r="H701" s="19"/>
      <c r="I701" s="19">
        <v>565.5</v>
      </c>
      <c r="J701" s="21">
        <v>0.95</v>
      </c>
      <c r="M701" s="22">
        <f t="shared" ref="M701:M713" si="36">ROUND(ROUND(J701, 2)*I701, 2)</f>
        <v>537.23</v>
      </c>
      <c r="P701" s="23">
        <v>0.95</v>
      </c>
      <c r="S701" s="22">
        <f t="shared" ref="S701:S713" si="37">ROUND(ROUND(P701, 2)*I701, 2)</f>
        <v>537.23</v>
      </c>
      <c r="V701" s="9">
        <f t="shared" ref="V701:V713" si="38">ROUND(ROUND(P701, 2)/1.2, 2)</f>
        <v>0.79</v>
      </c>
      <c r="Y701" s="9">
        <f t="shared" si="35"/>
        <v>447.69</v>
      </c>
      <c r="AD701" s="4" t="s">
        <v>2592</v>
      </c>
      <c r="AE701" s="4" t="s">
        <v>2593</v>
      </c>
      <c r="AF701" s="4" t="s">
        <v>2594</v>
      </c>
    </row>
    <row r="702" spans="1:35" ht="18" x14ac:dyDescent="0.3">
      <c r="A702" s="10" t="s">
        <v>2595</v>
      </c>
      <c r="B702" s="10"/>
      <c r="C702" s="24" t="s">
        <v>2596</v>
      </c>
      <c r="D702" s="12"/>
      <c r="E702" s="12"/>
      <c r="F702" s="18" t="s">
        <v>116</v>
      </c>
      <c r="G702" s="19">
        <v>30</v>
      </c>
      <c r="H702" s="19"/>
      <c r="I702" s="19">
        <v>1131</v>
      </c>
      <c r="J702" s="21">
        <v>0.28000000000000003</v>
      </c>
      <c r="M702" s="22">
        <f t="shared" si="36"/>
        <v>316.68</v>
      </c>
      <c r="P702" s="23">
        <v>0.28000000000000003</v>
      </c>
      <c r="S702" s="22">
        <f t="shared" si="37"/>
        <v>316.68</v>
      </c>
      <c r="V702" s="9">
        <f t="shared" si="38"/>
        <v>0.23</v>
      </c>
      <c r="Y702" s="9">
        <f t="shared" si="35"/>
        <v>263.89999999999998</v>
      </c>
      <c r="AD702" s="4" t="s">
        <v>2597</v>
      </c>
      <c r="AE702" s="4" t="s">
        <v>2598</v>
      </c>
      <c r="AF702" s="4" t="s">
        <v>2599</v>
      </c>
    </row>
    <row r="703" spans="1:35" ht="18" x14ac:dyDescent="0.3">
      <c r="A703" s="10" t="s">
        <v>2600</v>
      </c>
      <c r="B703" s="10"/>
      <c r="C703" s="24" t="s">
        <v>1805</v>
      </c>
      <c r="D703" s="12"/>
      <c r="E703" s="12"/>
      <c r="F703" s="18" t="s">
        <v>70</v>
      </c>
      <c r="G703" s="19">
        <v>0.35</v>
      </c>
      <c r="H703" s="19"/>
      <c r="I703" s="19">
        <v>13.195</v>
      </c>
      <c r="J703" s="21">
        <v>55</v>
      </c>
      <c r="M703" s="22">
        <f t="shared" si="36"/>
        <v>725.73</v>
      </c>
      <c r="P703" s="23">
        <v>55</v>
      </c>
      <c r="S703" s="22">
        <f t="shared" si="37"/>
        <v>725.73</v>
      </c>
      <c r="V703" s="9">
        <f t="shared" si="38"/>
        <v>45.83</v>
      </c>
      <c r="Y703" s="9">
        <f t="shared" si="35"/>
        <v>604.78</v>
      </c>
      <c r="AD703" s="4" t="s">
        <v>2601</v>
      </c>
      <c r="AE703" s="4" t="s">
        <v>2602</v>
      </c>
      <c r="AF703" s="4" t="s">
        <v>1808</v>
      </c>
    </row>
    <row r="704" spans="1:35" ht="18" x14ac:dyDescent="0.3">
      <c r="A704" s="10" t="s">
        <v>2603</v>
      </c>
      <c r="B704" s="10"/>
      <c r="C704" s="24" t="s">
        <v>2604</v>
      </c>
      <c r="D704" s="12"/>
      <c r="E704" s="12"/>
      <c r="F704" s="18" t="s">
        <v>116</v>
      </c>
      <c r="G704" s="19">
        <v>0.3</v>
      </c>
      <c r="H704" s="19"/>
      <c r="I704" s="19">
        <v>11.31</v>
      </c>
      <c r="J704" s="21">
        <v>5.6</v>
      </c>
      <c r="M704" s="22">
        <f t="shared" si="36"/>
        <v>63.34</v>
      </c>
      <c r="P704" s="23">
        <v>5.6</v>
      </c>
      <c r="S704" s="22">
        <f t="shared" si="37"/>
        <v>63.34</v>
      </c>
      <c r="V704" s="9">
        <f t="shared" si="38"/>
        <v>4.67</v>
      </c>
      <c r="Y704" s="9">
        <f t="shared" si="35"/>
        <v>52.78</v>
      </c>
      <c r="AD704" s="4" t="s">
        <v>2605</v>
      </c>
      <c r="AE704" s="4" t="s">
        <v>2606</v>
      </c>
      <c r="AF704" s="4" t="s">
        <v>2607</v>
      </c>
    </row>
    <row r="705" spans="1:35" ht="36" x14ac:dyDescent="0.3">
      <c r="A705" s="10" t="s">
        <v>2608</v>
      </c>
      <c r="B705" s="10"/>
      <c r="C705" s="17" t="s">
        <v>2609</v>
      </c>
      <c r="D705" s="12"/>
      <c r="E705" s="12"/>
      <c r="F705" s="18" t="s">
        <v>116</v>
      </c>
      <c r="G705" s="19">
        <v>3.6</v>
      </c>
      <c r="H705" s="19"/>
      <c r="I705" s="19">
        <v>135.72</v>
      </c>
      <c r="J705" s="21">
        <v>15.9</v>
      </c>
      <c r="M705" s="22">
        <f t="shared" si="36"/>
        <v>2157.9499999999998</v>
      </c>
      <c r="P705" s="23">
        <v>15.9</v>
      </c>
      <c r="S705" s="22">
        <f t="shared" si="37"/>
        <v>2157.9499999999998</v>
      </c>
      <c r="V705" s="9">
        <f t="shared" si="38"/>
        <v>13.25</v>
      </c>
      <c r="Y705" s="9">
        <f t="shared" si="35"/>
        <v>1798.29</v>
      </c>
      <c r="AD705" s="4" t="s">
        <v>2610</v>
      </c>
      <c r="AE705" s="4" t="s">
        <v>2611</v>
      </c>
      <c r="AF705" s="4" t="s">
        <v>2612</v>
      </c>
    </row>
    <row r="706" spans="1:35" ht="18" x14ac:dyDescent="0.3">
      <c r="A706" s="10" t="s">
        <v>2613</v>
      </c>
      <c r="B706" s="10"/>
      <c r="C706" s="24" t="s">
        <v>2614</v>
      </c>
      <c r="D706" s="12"/>
      <c r="E706" s="12"/>
      <c r="F706" s="18" t="s">
        <v>87</v>
      </c>
      <c r="G706" s="19">
        <v>0.3</v>
      </c>
      <c r="H706" s="19"/>
      <c r="I706" s="19">
        <v>11.31</v>
      </c>
      <c r="J706" s="21">
        <v>49.04</v>
      </c>
      <c r="M706" s="22">
        <f t="shared" si="36"/>
        <v>554.64</v>
      </c>
      <c r="P706" s="23">
        <v>49.04</v>
      </c>
      <c r="S706" s="22">
        <f t="shared" si="37"/>
        <v>554.64</v>
      </c>
      <c r="V706" s="9">
        <f t="shared" si="38"/>
        <v>40.869999999999997</v>
      </c>
      <c r="Y706" s="9">
        <f t="shared" si="35"/>
        <v>462.2</v>
      </c>
      <c r="AD706" s="4" t="s">
        <v>2615</v>
      </c>
      <c r="AE706" s="4" t="s">
        <v>2616</v>
      </c>
      <c r="AF706" s="4" t="s">
        <v>2617</v>
      </c>
    </row>
    <row r="707" spans="1:35" ht="18" x14ac:dyDescent="0.3">
      <c r="A707" s="10" t="s">
        <v>2618</v>
      </c>
      <c r="B707" s="10"/>
      <c r="C707" s="24" t="s">
        <v>2619</v>
      </c>
      <c r="D707" s="12"/>
      <c r="E707" s="12"/>
      <c r="F707" s="18" t="s">
        <v>87</v>
      </c>
      <c r="G707" s="19">
        <v>4.7</v>
      </c>
      <c r="H707" s="19"/>
      <c r="I707" s="19">
        <v>177.19</v>
      </c>
      <c r="J707" s="21">
        <v>66.98</v>
      </c>
      <c r="M707" s="22">
        <f t="shared" si="36"/>
        <v>11868.19</v>
      </c>
      <c r="P707" s="23">
        <v>66.98</v>
      </c>
      <c r="S707" s="22">
        <f t="shared" si="37"/>
        <v>11868.19</v>
      </c>
      <c r="V707" s="9">
        <f t="shared" si="38"/>
        <v>55.82</v>
      </c>
      <c r="Y707" s="9">
        <f t="shared" si="35"/>
        <v>9890.16</v>
      </c>
      <c r="AD707" s="4" t="s">
        <v>2620</v>
      </c>
      <c r="AE707" s="4" t="s">
        <v>2621</v>
      </c>
      <c r="AF707" s="4" t="s">
        <v>2622</v>
      </c>
    </row>
    <row r="708" spans="1:35" ht="18" x14ac:dyDescent="0.3">
      <c r="A708" s="10" t="s">
        <v>2623</v>
      </c>
      <c r="B708" s="10"/>
      <c r="C708" s="17" t="s">
        <v>2624</v>
      </c>
      <c r="D708" s="12"/>
      <c r="E708" s="12"/>
      <c r="F708" s="18" t="s">
        <v>116</v>
      </c>
      <c r="G708" s="19">
        <v>4.2</v>
      </c>
      <c r="H708" s="19"/>
      <c r="I708" s="19">
        <v>158.34</v>
      </c>
      <c r="J708" s="21">
        <v>5.41</v>
      </c>
      <c r="M708" s="22">
        <f t="shared" si="36"/>
        <v>856.62</v>
      </c>
      <c r="P708" s="23">
        <v>5.41</v>
      </c>
      <c r="S708" s="22">
        <f t="shared" si="37"/>
        <v>856.62</v>
      </c>
      <c r="V708" s="9">
        <f t="shared" si="38"/>
        <v>4.51</v>
      </c>
      <c r="Y708" s="9">
        <f t="shared" si="35"/>
        <v>713.85</v>
      </c>
      <c r="AD708" s="4" t="s">
        <v>2625</v>
      </c>
      <c r="AE708" s="4" t="s">
        <v>2626</v>
      </c>
      <c r="AF708" s="4" t="s">
        <v>2627</v>
      </c>
    </row>
    <row r="709" spans="1:35" ht="18" x14ac:dyDescent="0.3">
      <c r="A709" s="10" t="s">
        <v>2628</v>
      </c>
      <c r="B709" s="10"/>
      <c r="C709" s="24" t="s">
        <v>2629</v>
      </c>
      <c r="D709" s="12"/>
      <c r="E709" s="12"/>
      <c r="F709" s="18" t="s">
        <v>87</v>
      </c>
      <c r="G709" s="19">
        <v>1.05</v>
      </c>
      <c r="H709" s="19"/>
      <c r="I709" s="19">
        <v>39.585000000000001</v>
      </c>
      <c r="J709" s="21">
        <v>4.5999999999999996</v>
      </c>
      <c r="M709" s="22">
        <f t="shared" si="36"/>
        <v>182.09</v>
      </c>
      <c r="P709" s="23">
        <v>4.5999999999999996</v>
      </c>
      <c r="S709" s="22">
        <f t="shared" si="37"/>
        <v>182.09</v>
      </c>
      <c r="V709" s="9">
        <f t="shared" si="38"/>
        <v>3.83</v>
      </c>
      <c r="Y709" s="9">
        <f t="shared" si="35"/>
        <v>151.74</v>
      </c>
      <c r="AD709" s="4" t="s">
        <v>2630</v>
      </c>
      <c r="AE709" s="4" t="s">
        <v>2631</v>
      </c>
      <c r="AF709" s="4" t="s">
        <v>2632</v>
      </c>
    </row>
    <row r="710" spans="1:35" ht="18" x14ac:dyDescent="0.3">
      <c r="A710" s="10" t="s">
        <v>2633</v>
      </c>
      <c r="B710" s="10"/>
      <c r="C710" s="24" t="s">
        <v>2634</v>
      </c>
      <c r="D710" s="12"/>
      <c r="E710" s="12"/>
      <c r="F710" s="18" t="s">
        <v>87</v>
      </c>
      <c r="G710" s="19">
        <v>1.25</v>
      </c>
      <c r="H710" s="19"/>
      <c r="I710" s="19">
        <v>47.125</v>
      </c>
      <c r="J710" s="21">
        <v>2.8</v>
      </c>
      <c r="M710" s="22">
        <f t="shared" si="36"/>
        <v>131.94999999999999</v>
      </c>
      <c r="P710" s="23">
        <v>2.8</v>
      </c>
      <c r="S710" s="22">
        <f t="shared" si="37"/>
        <v>131.94999999999999</v>
      </c>
      <c r="V710" s="9">
        <f t="shared" si="38"/>
        <v>2.33</v>
      </c>
      <c r="Y710" s="9">
        <f t="shared" si="35"/>
        <v>109.96</v>
      </c>
      <c r="AD710" s="4" t="s">
        <v>2635</v>
      </c>
      <c r="AE710" s="4" t="s">
        <v>2636</v>
      </c>
      <c r="AF710" s="4" t="s">
        <v>2637</v>
      </c>
    </row>
    <row r="711" spans="1:35" ht="36" x14ac:dyDescent="0.3">
      <c r="A711" s="10" t="s">
        <v>2638</v>
      </c>
      <c r="B711" s="10"/>
      <c r="C711" s="24" t="s">
        <v>433</v>
      </c>
      <c r="D711" s="12"/>
      <c r="E711" s="12"/>
      <c r="F711" s="18" t="s">
        <v>70</v>
      </c>
      <c r="G711" s="19">
        <v>0.1</v>
      </c>
      <c r="H711" s="19"/>
      <c r="I711" s="19">
        <v>3.77</v>
      </c>
      <c r="J711" s="21">
        <v>88.8</v>
      </c>
      <c r="M711" s="22">
        <f t="shared" si="36"/>
        <v>334.78</v>
      </c>
      <c r="P711" s="23">
        <v>88.8</v>
      </c>
      <c r="S711" s="22">
        <f t="shared" si="37"/>
        <v>334.78</v>
      </c>
      <c r="V711" s="9">
        <f t="shared" si="38"/>
        <v>74</v>
      </c>
      <c r="Y711" s="9">
        <f t="shared" si="35"/>
        <v>278.98</v>
      </c>
      <c r="AD711" s="4" t="s">
        <v>2639</v>
      </c>
      <c r="AE711" s="4" t="s">
        <v>2640</v>
      </c>
      <c r="AF711" s="4" t="s">
        <v>436</v>
      </c>
    </row>
    <row r="712" spans="1:35" ht="36" x14ac:dyDescent="0.3">
      <c r="A712" s="10" t="s">
        <v>2641</v>
      </c>
      <c r="B712" s="10"/>
      <c r="C712" s="24" t="s">
        <v>1815</v>
      </c>
      <c r="D712" s="12"/>
      <c r="E712" s="12"/>
      <c r="F712" s="18" t="s">
        <v>64</v>
      </c>
      <c r="G712" s="19">
        <v>1.05</v>
      </c>
      <c r="H712" s="19"/>
      <c r="I712" s="19">
        <v>39.585000000000001</v>
      </c>
      <c r="J712" s="21">
        <v>135.53</v>
      </c>
      <c r="M712" s="22">
        <f t="shared" si="36"/>
        <v>5364.96</v>
      </c>
      <c r="P712" s="23">
        <v>135.53</v>
      </c>
      <c r="S712" s="22">
        <f t="shared" si="37"/>
        <v>5364.96</v>
      </c>
      <c r="V712" s="9">
        <f t="shared" si="38"/>
        <v>112.94</v>
      </c>
      <c r="Y712" s="9">
        <f t="shared" si="35"/>
        <v>4470.8</v>
      </c>
      <c r="AD712" s="4" t="s">
        <v>2642</v>
      </c>
      <c r="AE712" s="4" t="s">
        <v>2643</v>
      </c>
      <c r="AF712" s="4" t="s">
        <v>1818</v>
      </c>
    </row>
    <row r="713" spans="1:35" ht="18" x14ac:dyDescent="0.3">
      <c r="A713" s="10" t="s">
        <v>2644</v>
      </c>
      <c r="B713" s="10"/>
      <c r="C713" s="24" t="s">
        <v>2645</v>
      </c>
      <c r="D713" s="12"/>
      <c r="E713" s="12"/>
      <c r="F713" s="18" t="s">
        <v>116</v>
      </c>
      <c r="G713" s="19">
        <v>0.75</v>
      </c>
      <c r="H713" s="19"/>
      <c r="I713" s="19">
        <v>28.274999999999999</v>
      </c>
      <c r="J713" s="21">
        <v>2.8</v>
      </c>
      <c r="M713" s="22">
        <f t="shared" si="36"/>
        <v>79.17</v>
      </c>
      <c r="P713" s="23">
        <v>2.8</v>
      </c>
      <c r="S713" s="22">
        <f t="shared" si="37"/>
        <v>79.17</v>
      </c>
      <c r="V713" s="9">
        <f t="shared" si="38"/>
        <v>2.33</v>
      </c>
      <c r="Y713" s="9">
        <f t="shared" ref="Y713:Y744" si="39">ROUND(S713 / 1.2, 2)</f>
        <v>65.98</v>
      </c>
      <c r="AD713" s="4" t="s">
        <v>2646</v>
      </c>
      <c r="AE713" s="4" t="s">
        <v>2647</v>
      </c>
      <c r="AF713" s="4" t="s">
        <v>2648</v>
      </c>
    </row>
    <row r="714" spans="1:35" ht="36" x14ac:dyDescent="0.3">
      <c r="A714" s="10" t="s">
        <v>2649</v>
      </c>
      <c r="B714" s="10" t="s">
        <v>2585</v>
      </c>
      <c r="C714" s="11" t="s">
        <v>2586</v>
      </c>
      <c r="D714" s="12"/>
      <c r="E714" s="12" t="s">
        <v>2650</v>
      </c>
      <c r="F714" s="12" t="s">
        <v>64</v>
      </c>
      <c r="G714" s="13">
        <v>1</v>
      </c>
      <c r="H714" s="13"/>
      <c r="I714" s="13">
        <v>31.97</v>
      </c>
      <c r="J714" s="14">
        <f>IFERROR(ROUND(SUM(M715,M716,M717,M718,M719,M720,M721,M722,M723,M724,M725,M726)/I714, 2),0)</f>
        <v>470.69</v>
      </c>
      <c r="K714" s="15">
        <v>1199</v>
      </c>
      <c r="L714" s="14">
        <f>J714+ROUND(K714, 2)</f>
        <v>1669.69</v>
      </c>
      <c r="M714" s="14">
        <f>ROUND(J714*I714, 2)</f>
        <v>15047.96</v>
      </c>
      <c r="N714" s="14">
        <f>ROUND(I714*ROUND(K714, 2), 2)</f>
        <v>38332.03</v>
      </c>
      <c r="O714" s="14">
        <f>M714+N714</f>
        <v>53379.99</v>
      </c>
      <c r="P714" s="14">
        <f>IFERROR(ROUND(SUM(S715,S716,S717,S718,S719,S720,S721,S722,S723,S724,S725,S726)/I714, 2),0)</f>
        <v>470.69</v>
      </c>
      <c r="Q714" s="16">
        <v>1199</v>
      </c>
      <c r="R714" s="14">
        <f>P714+ROUND(Q714, 2)</f>
        <v>1669.69</v>
      </c>
      <c r="S714" s="14">
        <f>ROUND(P714*I714, 2)</f>
        <v>15047.96</v>
      </c>
      <c r="T714" s="14">
        <f>ROUND(I714*ROUND(Q714, 2), 2)</f>
        <v>38332.03</v>
      </c>
      <c r="U714" s="14">
        <f>S714+T714</f>
        <v>53379.99</v>
      </c>
      <c r="V714" s="9">
        <f>ROUND(P714 / 1.2, 2)</f>
        <v>392.24</v>
      </c>
      <c r="W714" s="9">
        <f>ROUND(Q714 / 1.2, 2)</f>
        <v>999.17</v>
      </c>
      <c r="X714" s="9">
        <f>ROUND(R714 / 1.2, 2)</f>
        <v>1391.41</v>
      </c>
      <c r="Y714" s="9">
        <f t="shared" si="39"/>
        <v>12539.97</v>
      </c>
      <c r="Z714" s="9">
        <f>ROUND(T714 / 1.2, 2)</f>
        <v>31943.360000000001</v>
      </c>
      <c r="AA714" s="9">
        <f>Y714+Z714</f>
        <v>44483.33</v>
      </c>
      <c r="AD714" s="4">
        <v>271132300</v>
      </c>
      <c r="AE714" s="4">
        <v>19825684</v>
      </c>
      <c r="AG714" s="4" t="s">
        <v>2588</v>
      </c>
      <c r="AH714" s="4" t="s">
        <v>2589</v>
      </c>
      <c r="AI714" s="4" t="s">
        <v>67</v>
      </c>
    </row>
    <row r="715" spans="1:35" ht="18" x14ac:dyDescent="0.3">
      <c r="A715" s="10" t="s">
        <v>2651</v>
      </c>
      <c r="B715" s="10"/>
      <c r="C715" s="24" t="s">
        <v>2645</v>
      </c>
      <c r="D715" s="12"/>
      <c r="E715" s="12"/>
      <c r="F715" s="18" t="s">
        <v>116</v>
      </c>
      <c r="G715" s="19">
        <v>0.75</v>
      </c>
      <c r="H715" s="19"/>
      <c r="I715" s="19">
        <v>23.978000000000002</v>
      </c>
      <c r="J715" s="21">
        <v>2.8</v>
      </c>
      <c r="M715" s="22">
        <f t="shared" ref="M715:M726" si="40">ROUND(ROUND(J715, 2)*I715, 2)</f>
        <v>67.14</v>
      </c>
      <c r="P715" s="23">
        <v>2.8</v>
      </c>
      <c r="S715" s="22">
        <f t="shared" ref="S715:S726" si="41">ROUND(ROUND(P715, 2)*I715, 2)</f>
        <v>67.14</v>
      </c>
      <c r="V715" s="9">
        <f t="shared" ref="V715:V726" si="42">ROUND(ROUND(P715, 2)/1.2, 2)</f>
        <v>2.33</v>
      </c>
      <c r="Y715" s="9">
        <f t="shared" si="39"/>
        <v>55.95</v>
      </c>
      <c r="AD715" s="4" t="s">
        <v>2652</v>
      </c>
      <c r="AE715" s="4" t="s">
        <v>2653</v>
      </c>
      <c r="AF715" s="4" t="s">
        <v>2648</v>
      </c>
    </row>
    <row r="716" spans="1:35" ht="36" x14ac:dyDescent="0.3">
      <c r="A716" s="10" t="s">
        <v>2654</v>
      </c>
      <c r="B716" s="10"/>
      <c r="C716" s="24" t="s">
        <v>433</v>
      </c>
      <c r="D716" s="12"/>
      <c r="E716" s="12"/>
      <c r="F716" s="18" t="s">
        <v>70</v>
      </c>
      <c r="G716" s="19">
        <v>0.1</v>
      </c>
      <c r="H716" s="19"/>
      <c r="I716" s="19">
        <v>3.1970000000000001</v>
      </c>
      <c r="J716" s="21">
        <v>88.8</v>
      </c>
      <c r="M716" s="22">
        <f t="shared" si="40"/>
        <v>283.89</v>
      </c>
      <c r="P716" s="23">
        <v>88.8</v>
      </c>
      <c r="S716" s="22">
        <f t="shared" si="41"/>
        <v>283.89</v>
      </c>
      <c r="V716" s="9">
        <f t="shared" si="42"/>
        <v>74</v>
      </c>
      <c r="Y716" s="9">
        <f t="shared" si="39"/>
        <v>236.58</v>
      </c>
      <c r="AD716" s="4" t="s">
        <v>2655</v>
      </c>
      <c r="AE716" s="4" t="s">
        <v>2656</v>
      </c>
      <c r="AF716" s="4" t="s">
        <v>436</v>
      </c>
    </row>
    <row r="717" spans="1:35" ht="18" x14ac:dyDescent="0.3">
      <c r="A717" s="10" t="s">
        <v>2657</v>
      </c>
      <c r="B717" s="10"/>
      <c r="C717" s="24" t="s">
        <v>2634</v>
      </c>
      <c r="D717" s="12"/>
      <c r="E717" s="12"/>
      <c r="F717" s="18" t="s">
        <v>87</v>
      </c>
      <c r="G717" s="19">
        <v>1.25</v>
      </c>
      <c r="H717" s="19"/>
      <c r="I717" s="19">
        <v>39.963000000000001</v>
      </c>
      <c r="J717" s="21">
        <v>2.8</v>
      </c>
      <c r="M717" s="22">
        <f t="shared" si="40"/>
        <v>111.9</v>
      </c>
      <c r="P717" s="23">
        <v>2.8</v>
      </c>
      <c r="S717" s="22">
        <f t="shared" si="41"/>
        <v>111.9</v>
      </c>
      <c r="V717" s="9">
        <f t="shared" si="42"/>
        <v>2.33</v>
      </c>
      <c r="Y717" s="9">
        <f t="shared" si="39"/>
        <v>93.25</v>
      </c>
      <c r="AD717" s="4" t="s">
        <v>2658</v>
      </c>
      <c r="AE717" s="4" t="s">
        <v>2659</v>
      </c>
      <c r="AF717" s="4" t="s">
        <v>2637</v>
      </c>
    </row>
    <row r="718" spans="1:35" ht="18" x14ac:dyDescent="0.3">
      <c r="A718" s="10" t="s">
        <v>2660</v>
      </c>
      <c r="B718" s="10"/>
      <c r="C718" s="24" t="s">
        <v>2629</v>
      </c>
      <c r="D718" s="12"/>
      <c r="E718" s="12"/>
      <c r="F718" s="18" t="s">
        <v>87</v>
      </c>
      <c r="G718" s="19">
        <v>1.05</v>
      </c>
      <c r="H718" s="19"/>
      <c r="I718" s="19">
        <v>33.569000000000003</v>
      </c>
      <c r="J718" s="21">
        <v>4.5999999999999996</v>
      </c>
      <c r="M718" s="22">
        <f t="shared" si="40"/>
        <v>154.41999999999999</v>
      </c>
      <c r="P718" s="23">
        <v>4.5999999999999996</v>
      </c>
      <c r="S718" s="22">
        <f t="shared" si="41"/>
        <v>154.41999999999999</v>
      </c>
      <c r="V718" s="9">
        <f t="shared" si="42"/>
        <v>3.83</v>
      </c>
      <c r="Y718" s="9">
        <f t="shared" si="39"/>
        <v>128.68</v>
      </c>
      <c r="AD718" s="4" t="s">
        <v>2661</v>
      </c>
      <c r="AE718" s="4" t="s">
        <v>2662</v>
      </c>
      <c r="AF718" s="4" t="s">
        <v>2632</v>
      </c>
    </row>
    <row r="719" spans="1:35" ht="18" x14ac:dyDescent="0.3">
      <c r="A719" s="10" t="s">
        <v>2663</v>
      </c>
      <c r="B719" s="10"/>
      <c r="C719" s="24" t="s">
        <v>1856</v>
      </c>
      <c r="D719" s="12"/>
      <c r="E719" s="12"/>
      <c r="F719" s="18" t="s">
        <v>64</v>
      </c>
      <c r="G719" s="19">
        <v>1.05</v>
      </c>
      <c r="H719" s="19"/>
      <c r="I719" s="19">
        <v>33.569000000000003</v>
      </c>
      <c r="J719" s="21">
        <v>0</v>
      </c>
      <c r="M719" s="22">
        <f t="shared" si="40"/>
        <v>0</v>
      </c>
      <c r="P719" s="23">
        <v>0</v>
      </c>
      <c r="S719" s="22">
        <f t="shared" si="41"/>
        <v>0</v>
      </c>
      <c r="V719" s="9">
        <f t="shared" si="42"/>
        <v>0</v>
      </c>
      <c r="Y719" s="9">
        <f t="shared" si="39"/>
        <v>0</v>
      </c>
      <c r="AD719" s="4" t="s">
        <v>2664</v>
      </c>
      <c r="AE719" s="4" t="s">
        <v>2665</v>
      </c>
      <c r="AF719" s="4" t="s">
        <v>1859</v>
      </c>
    </row>
    <row r="720" spans="1:35" ht="18" x14ac:dyDescent="0.3">
      <c r="A720" s="10" t="s">
        <v>2666</v>
      </c>
      <c r="B720" s="10"/>
      <c r="C720" s="17" t="s">
        <v>2624</v>
      </c>
      <c r="D720" s="12"/>
      <c r="E720" s="12"/>
      <c r="F720" s="18" t="s">
        <v>116</v>
      </c>
      <c r="G720" s="19">
        <v>4.2</v>
      </c>
      <c r="H720" s="19"/>
      <c r="I720" s="19">
        <v>134.274</v>
      </c>
      <c r="J720" s="21">
        <v>5.41</v>
      </c>
      <c r="M720" s="22">
        <f t="shared" si="40"/>
        <v>726.42</v>
      </c>
      <c r="P720" s="23">
        <v>5.41</v>
      </c>
      <c r="S720" s="22">
        <f t="shared" si="41"/>
        <v>726.42</v>
      </c>
      <c r="V720" s="9">
        <f t="shared" si="42"/>
        <v>4.51</v>
      </c>
      <c r="Y720" s="9">
        <f t="shared" si="39"/>
        <v>605.35</v>
      </c>
      <c r="AD720" s="4" t="s">
        <v>2667</v>
      </c>
      <c r="AE720" s="4" t="s">
        <v>2668</v>
      </c>
      <c r="AF720" s="4" t="s">
        <v>2627</v>
      </c>
    </row>
    <row r="721" spans="1:35" ht="18" x14ac:dyDescent="0.3">
      <c r="A721" s="10" t="s">
        <v>2669</v>
      </c>
      <c r="B721" s="10"/>
      <c r="C721" s="24" t="s">
        <v>2614</v>
      </c>
      <c r="D721" s="12"/>
      <c r="E721" s="12"/>
      <c r="F721" s="18" t="s">
        <v>87</v>
      </c>
      <c r="G721" s="19">
        <v>0.3</v>
      </c>
      <c r="H721" s="19"/>
      <c r="I721" s="19">
        <v>9.5909999999999993</v>
      </c>
      <c r="J721" s="21">
        <v>49.04</v>
      </c>
      <c r="M721" s="22">
        <f t="shared" si="40"/>
        <v>470.34</v>
      </c>
      <c r="P721" s="23">
        <v>49.04</v>
      </c>
      <c r="S721" s="22">
        <f t="shared" si="41"/>
        <v>470.34</v>
      </c>
      <c r="V721" s="9">
        <f t="shared" si="42"/>
        <v>40.869999999999997</v>
      </c>
      <c r="Y721" s="9">
        <f t="shared" si="39"/>
        <v>391.95</v>
      </c>
      <c r="AD721" s="4" t="s">
        <v>2670</v>
      </c>
      <c r="AE721" s="4" t="s">
        <v>2671</v>
      </c>
      <c r="AF721" s="4" t="s">
        <v>2617</v>
      </c>
    </row>
    <row r="722" spans="1:35" ht="18" x14ac:dyDescent="0.3">
      <c r="A722" s="10" t="s">
        <v>2672</v>
      </c>
      <c r="B722" s="10"/>
      <c r="C722" s="24" t="s">
        <v>2619</v>
      </c>
      <c r="D722" s="12"/>
      <c r="E722" s="12"/>
      <c r="F722" s="18" t="s">
        <v>87</v>
      </c>
      <c r="G722" s="19">
        <v>4.7</v>
      </c>
      <c r="H722" s="19"/>
      <c r="I722" s="19">
        <v>150.25899999999999</v>
      </c>
      <c r="J722" s="21">
        <v>66.98</v>
      </c>
      <c r="M722" s="22">
        <f t="shared" si="40"/>
        <v>10064.35</v>
      </c>
      <c r="P722" s="23">
        <v>66.98</v>
      </c>
      <c r="S722" s="22">
        <f t="shared" si="41"/>
        <v>10064.35</v>
      </c>
      <c r="V722" s="9">
        <f t="shared" si="42"/>
        <v>55.82</v>
      </c>
      <c r="Y722" s="9">
        <f t="shared" si="39"/>
        <v>8386.9599999999991</v>
      </c>
      <c r="AD722" s="4" t="s">
        <v>2673</v>
      </c>
      <c r="AE722" s="4" t="s">
        <v>2674</v>
      </c>
      <c r="AF722" s="4" t="s">
        <v>2622</v>
      </c>
    </row>
    <row r="723" spans="1:35" ht="36" x14ac:dyDescent="0.3">
      <c r="A723" s="10" t="s">
        <v>2675</v>
      </c>
      <c r="B723" s="10"/>
      <c r="C723" s="17" t="s">
        <v>2609</v>
      </c>
      <c r="D723" s="12"/>
      <c r="E723" s="12"/>
      <c r="F723" s="18" t="s">
        <v>116</v>
      </c>
      <c r="G723" s="19">
        <v>3.6</v>
      </c>
      <c r="H723" s="19"/>
      <c r="I723" s="19">
        <v>115.092</v>
      </c>
      <c r="J723" s="21">
        <v>15.9</v>
      </c>
      <c r="M723" s="22">
        <f t="shared" si="40"/>
        <v>1829.96</v>
      </c>
      <c r="P723" s="23">
        <v>15.9</v>
      </c>
      <c r="S723" s="22">
        <f t="shared" si="41"/>
        <v>1829.96</v>
      </c>
      <c r="V723" s="9">
        <f t="shared" si="42"/>
        <v>13.25</v>
      </c>
      <c r="Y723" s="9">
        <f t="shared" si="39"/>
        <v>1524.97</v>
      </c>
      <c r="AD723" s="4" t="s">
        <v>2676</v>
      </c>
      <c r="AE723" s="4" t="s">
        <v>2677</v>
      </c>
      <c r="AF723" s="4" t="s">
        <v>2612</v>
      </c>
    </row>
    <row r="724" spans="1:35" ht="18" x14ac:dyDescent="0.3">
      <c r="A724" s="10" t="s">
        <v>2678</v>
      </c>
      <c r="B724" s="10"/>
      <c r="C724" s="24" t="s">
        <v>1805</v>
      </c>
      <c r="D724" s="12"/>
      <c r="E724" s="12"/>
      <c r="F724" s="18" t="s">
        <v>70</v>
      </c>
      <c r="G724" s="19">
        <v>0.35</v>
      </c>
      <c r="H724" s="19"/>
      <c r="I724" s="19">
        <v>11.19</v>
      </c>
      <c r="J724" s="21">
        <v>55</v>
      </c>
      <c r="M724" s="22">
        <f t="shared" si="40"/>
        <v>615.45000000000005</v>
      </c>
      <c r="P724" s="23">
        <v>55</v>
      </c>
      <c r="S724" s="22">
        <f t="shared" si="41"/>
        <v>615.45000000000005</v>
      </c>
      <c r="V724" s="9">
        <f t="shared" si="42"/>
        <v>45.83</v>
      </c>
      <c r="Y724" s="9">
        <f t="shared" si="39"/>
        <v>512.88</v>
      </c>
      <c r="AD724" s="4" t="s">
        <v>2679</v>
      </c>
      <c r="AE724" s="4" t="s">
        <v>2680</v>
      </c>
      <c r="AF724" s="4" t="s">
        <v>1808</v>
      </c>
    </row>
    <row r="725" spans="1:35" ht="18" x14ac:dyDescent="0.3">
      <c r="A725" s="10" t="s">
        <v>2681</v>
      </c>
      <c r="B725" s="10"/>
      <c r="C725" s="24" t="s">
        <v>2596</v>
      </c>
      <c r="D725" s="12"/>
      <c r="E725" s="12"/>
      <c r="F725" s="18" t="s">
        <v>116</v>
      </c>
      <c r="G725" s="19">
        <v>30</v>
      </c>
      <c r="H725" s="19"/>
      <c r="I725" s="19">
        <v>959.1</v>
      </c>
      <c r="J725" s="21">
        <v>0.28000000000000003</v>
      </c>
      <c r="M725" s="22">
        <f t="shared" si="40"/>
        <v>268.55</v>
      </c>
      <c r="P725" s="23">
        <v>0.28000000000000003</v>
      </c>
      <c r="S725" s="22">
        <f t="shared" si="41"/>
        <v>268.55</v>
      </c>
      <c r="V725" s="9">
        <f t="shared" si="42"/>
        <v>0.23</v>
      </c>
      <c r="Y725" s="9">
        <f t="shared" si="39"/>
        <v>223.79</v>
      </c>
      <c r="AD725" s="4" t="s">
        <v>2682</v>
      </c>
      <c r="AE725" s="4" t="s">
        <v>2683</v>
      </c>
      <c r="AF725" s="4" t="s">
        <v>2599</v>
      </c>
    </row>
    <row r="726" spans="1:35" ht="18" x14ac:dyDescent="0.3">
      <c r="A726" s="10" t="s">
        <v>2684</v>
      </c>
      <c r="B726" s="10"/>
      <c r="C726" s="24" t="s">
        <v>2591</v>
      </c>
      <c r="D726" s="12"/>
      <c r="E726" s="12"/>
      <c r="F726" s="18" t="s">
        <v>116</v>
      </c>
      <c r="G726" s="19">
        <v>15</v>
      </c>
      <c r="H726" s="19"/>
      <c r="I726" s="19">
        <v>479.55</v>
      </c>
      <c r="J726" s="21">
        <v>0.95</v>
      </c>
      <c r="M726" s="22">
        <f t="shared" si="40"/>
        <v>455.57</v>
      </c>
      <c r="P726" s="23">
        <v>0.95</v>
      </c>
      <c r="S726" s="22">
        <f t="shared" si="41"/>
        <v>455.57</v>
      </c>
      <c r="V726" s="9">
        <f t="shared" si="42"/>
        <v>0.79</v>
      </c>
      <c r="Y726" s="9">
        <f t="shared" si="39"/>
        <v>379.64</v>
      </c>
      <c r="AD726" s="4" t="s">
        <v>2685</v>
      </c>
      <c r="AE726" s="4" t="s">
        <v>2686</v>
      </c>
      <c r="AF726" s="4" t="s">
        <v>2594</v>
      </c>
    </row>
    <row r="727" spans="1:35" ht="36" x14ac:dyDescent="0.3">
      <c r="A727" s="10" t="s">
        <v>2687</v>
      </c>
      <c r="B727" s="10" t="s">
        <v>2585</v>
      </c>
      <c r="C727" s="11" t="s">
        <v>2586</v>
      </c>
      <c r="D727" s="12"/>
      <c r="E727" s="12" t="s">
        <v>2688</v>
      </c>
      <c r="F727" s="12" t="s">
        <v>64</v>
      </c>
      <c r="G727" s="13">
        <v>1</v>
      </c>
      <c r="H727" s="13"/>
      <c r="I727" s="13">
        <v>246.36</v>
      </c>
      <c r="J727" s="14">
        <f>IFERROR(ROUND(SUM(M728,M729,M730,M731,M732,M733,M734,M735,M736,M737,M738)/I727, 2),0)</f>
        <v>586.54999999999995</v>
      </c>
      <c r="K727" s="15">
        <v>1199</v>
      </c>
      <c r="L727" s="14">
        <f>J727+ROUND(K727, 2)</f>
        <v>1785.55</v>
      </c>
      <c r="M727" s="14">
        <f>ROUND(J727*I727, 2)</f>
        <v>144502.46</v>
      </c>
      <c r="N727" s="14">
        <f>ROUND(I727*ROUND(K727, 2), 2)</f>
        <v>295385.64</v>
      </c>
      <c r="O727" s="14">
        <f>M727+N727</f>
        <v>439888.1</v>
      </c>
      <c r="P727" s="14">
        <f>IFERROR(ROUND(SUM(S728,S729,S730,S731,S732,S733,S734,S735,S736,S737,S738)/I727, 2),0)</f>
        <v>586.54999999999995</v>
      </c>
      <c r="Q727" s="16">
        <v>1199</v>
      </c>
      <c r="R727" s="14">
        <f>P727+ROUND(Q727, 2)</f>
        <v>1785.55</v>
      </c>
      <c r="S727" s="14">
        <f>ROUND(P727*I727, 2)</f>
        <v>144502.46</v>
      </c>
      <c r="T727" s="14">
        <f>ROUND(I727*ROUND(Q727, 2), 2)</f>
        <v>295385.64</v>
      </c>
      <c r="U727" s="14">
        <f>S727+T727</f>
        <v>439888.1</v>
      </c>
      <c r="V727" s="9">
        <f>ROUND(P727 / 1.2, 2)</f>
        <v>488.79</v>
      </c>
      <c r="W727" s="9">
        <f>ROUND(Q727 / 1.2, 2)</f>
        <v>999.17</v>
      </c>
      <c r="X727" s="9">
        <f>ROUND(R727 / 1.2, 2)</f>
        <v>1487.96</v>
      </c>
      <c r="Y727" s="9">
        <f t="shared" si="39"/>
        <v>120418.72</v>
      </c>
      <c r="Z727" s="9">
        <f>ROUND(T727 / 1.2, 2)</f>
        <v>246154.7</v>
      </c>
      <c r="AA727" s="9">
        <f>Y727+Z727</f>
        <v>366573.42</v>
      </c>
      <c r="AD727" s="4">
        <v>271132301</v>
      </c>
      <c r="AE727" s="4">
        <v>20004302</v>
      </c>
      <c r="AG727" s="4" t="s">
        <v>2588</v>
      </c>
      <c r="AH727" s="4" t="s">
        <v>2589</v>
      </c>
      <c r="AI727" s="4" t="s">
        <v>67</v>
      </c>
    </row>
    <row r="728" spans="1:35" ht="18" x14ac:dyDescent="0.3">
      <c r="A728" s="10" t="s">
        <v>2689</v>
      </c>
      <c r="B728" s="10"/>
      <c r="C728" s="24" t="s">
        <v>2645</v>
      </c>
      <c r="D728" s="12"/>
      <c r="E728" s="12"/>
      <c r="F728" s="18" t="s">
        <v>116</v>
      </c>
      <c r="G728" s="19">
        <v>0.75</v>
      </c>
      <c r="H728" s="19"/>
      <c r="I728" s="19">
        <v>184.77</v>
      </c>
      <c r="J728" s="21">
        <v>2.8</v>
      </c>
      <c r="M728" s="22">
        <f t="shared" ref="M728:M738" si="43">ROUND(ROUND(J728, 2)*I728, 2)</f>
        <v>517.36</v>
      </c>
      <c r="P728" s="23">
        <v>2.8</v>
      </c>
      <c r="S728" s="22">
        <f t="shared" ref="S728:S738" si="44">ROUND(ROUND(P728, 2)*I728, 2)</f>
        <v>517.36</v>
      </c>
      <c r="V728" s="9">
        <f t="shared" ref="V728:V738" si="45">ROUND(ROUND(P728, 2)/1.2, 2)</f>
        <v>2.33</v>
      </c>
      <c r="Y728" s="9">
        <f t="shared" si="39"/>
        <v>431.13</v>
      </c>
      <c r="AD728" s="4" t="s">
        <v>2690</v>
      </c>
      <c r="AE728" s="4" t="s">
        <v>2691</v>
      </c>
      <c r="AF728" s="4" t="s">
        <v>2648</v>
      </c>
    </row>
    <row r="729" spans="1:35" ht="36" x14ac:dyDescent="0.3">
      <c r="A729" s="10" t="s">
        <v>2692</v>
      </c>
      <c r="B729" s="10"/>
      <c r="C729" s="24" t="s">
        <v>1815</v>
      </c>
      <c r="D729" s="12"/>
      <c r="E729" s="12"/>
      <c r="F729" s="18" t="s">
        <v>64</v>
      </c>
      <c r="G729" s="19">
        <v>1.05</v>
      </c>
      <c r="H729" s="19"/>
      <c r="I729" s="19">
        <v>258.678</v>
      </c>
      <c r="J729" s="21">
        <v>135.53</v>
      </c>
      <c r="M729" s="22">
        <f t="shared" si="43"/>
        <v>35058.629999999997</v>
      </c>
      <c r="P729" s="23">
        <v>135.53</v>
      </c>
      <c r="S729" s="22">
        <f t="shared" si="44"/>
        <v>35058.629999999997</v>
      </c>
      <c r="V729" s="9">
        <f t="shared" si="45"/>
        <v>112.94</v>
      </c>
      <c r="Y729" s="9">
        <f t="shared" si="39"/>
        <v>29215.53</v>
      </c>
      <c r="AD729" s="4" t="s">
        <v>2693</v>
      </c>
      <c r="AE729" s="4" t="s">
        <v>2694</v>
      </c>
      <c r="AF729" s="4" t="s">
        <v>1818</v>
      </c>
    </row>
    <row r="730" spans="1:35" ht="18" x14ac:dyDescent="0.3">
      <c r="A730" s="10" t="s">
        <v>2695</v>
      </c>
      <c r="B730" s="10"/>
      <c r="C730" s="24" t="s">
        <v>2634</v>
      </c>
      <c r="D730" s="12"/>
      <c r="E730" s="12"/>
      <c r="F730" s="18" t="s">
        <v>87</v>
      </c>
      <c r="G730" s="19">
        <v>1.25</v>
      </c>
      <c r="H730" s="19"/>
      <c r="I730" s="19">
        <v>307.95</v>
      </c>
      <c r="J730" s="21">
        <v>2.8</v>
      </c>
      <c r="M730" s="22">
        <f t="shared" si="43"/>
        <v>862.26</v>
      </c>
      <c r="P730" s="23">
        <v>2.8</v>
      </c>
      <c r="S730" s="22">
        <f t="shared" si="44"/>
        <v>862.26</v>
      </c>
      <c r="V730" s="9">
        <f t="shared" si="45"/>
        <v>2.33</v>
      </c>
      <c r="Y730" s="9">
        <f t="shared" si="39"/>
        <v>718.55</v>
      </c>
      <c r="AD730" s="4" t="s">
        <v>2696</v>
      </c>
      <c r="AE730" s="4" t="s">
        <v>2697</v>
      </c>
      <c r="AF730" s="4" t="s">
        <v>2637</v>
      </c>
    </row>
    <row r="731" spans="1:35" ht="18" x14ac:dyDescent="0.3">
      <c r="A731" s="10" t="s">
        <v>2698</v>
      </c>
      <c r="B731" s="10"/>
      <c r="C731" s="24" t="s">
        <v>2629</v>
      </c>
      <c r="D731" s="12"/>
      <c r="E731" s="12"/>
      <c r="F731" s="18" t="s">
        <v>87</v>
      </c>
      <c r="G731" s="19">
        <v>1.05</v>
      </c>
      <c r="H731" s="19"/>
      <c r="I731" s="19">
        <v>258.678</v>
      </c>
      <c r="J731" s="21">
        <v>4.5999999999999996</v>
      </c>
      <c r="M731" s="22">
        <f t="shared" si="43"/>
        <v>1189.92</v>
      </c>
      <c r="P731" s="23">
        <v>4.5999999999999996</v>
      </c>
      <c r="S731" s="22">
        <f t="shared" si="44"/>
        <v>1189.92</v>
      </c>
      <c r="V731" s="9">
        <f t="shared" si="45"/>
        <v>3.83</v>
      </c>
      <c r="Y731" s="9">
        <f t="shared" si="39"/>
        <v>991.6</v>
      </c>
      <c r="AD731" s="4" t="s">
        <v>2699</v>
      </c>
      <c r="AE731" s="4" t="s">
        <v>2700</v>
      </c>
      <c r="AF731" s="4" t="s">
        <v>2632</v>
      </c>
    </row>
    <row r="732" spans="1:35" ht="18" x14ac:dyDescent="0.3">
      <c r="A732" s="10" t="s">
        <v>2701</v>
      </c>
      <c r="B732" s="10"/>
      <c r="C732" s="17" t="s">
        <v>2624</v>
      </c>
      <c r="D732" s="12"/>
      <c r="E732" s="12"/>
      <c r="F732" s="18" t="s">
        <v>116</v>
      </c>
      <c r="G732" s="19">
        <v>4.2</v>
      </c>
      <c r="H732" s="19"/>
      <c r="I732" s="19">
        <v>1034.712</v>
      </c>
      <c r="J732" s="21">
        <v>5.41</v>
      </c>
      <c r="M732" s="22">
        <f t="shared" si="43"/>
        <v>5597.79</v>
      </c>
      <c r="P732" s="23">
        <v>5.41</v>
      </c>
      <c r="S732" s="22">
        <f t="shared" si="44"/>
        <v>5597.79</v>
      </c>
      <c r="V732" s="9">
        <f t="shared" si="45"/>
        <v>4.51</v>
      </c>
      <c r="Y732" s="9">
        <f t="shared" si="39"/>
        <v>4664.83</v>
      </c>
      <c r="AD732" s="4" t="s">
        <v>2702</v>
      </c>
      <c r="AE732" s="4" t="s">
        <v>2703</v>
      </c>
      <c r="AF732" s="4" t="s">
        <v>2627</v>
      </c>
    </row>
    <row r="733" spans="1:35" ht="18" x14ac:dyDescent="0.3">
      <c r="A733" s="10" t="s">
        <v>2704</v>
      </c>
      <c r="B733" s="10"/>
      <c r="C733" s="24" t="s">
        <v>2614</v>
      </c>
      <c r="D733" s="12"/>
      <c r="E733" s="12"/>
      <c r="F733" s="18" t="s">
        <v>87</v>
      </c>
      <c r="G733" s="19">
        <v>0.3</v>
      </c>
      <c r="H733" s="19"/>
      <c r="I733" s="19">
        <v>73.908000000000001</v>
      </c>
      <c r="J733" s="21">
        <v>49.04</v>
      </c>
      <c r="M733" s="22">
        <f t="shared" si="43"/>
        <v>3624.45</v>
      </c>
      <c r="P733" s="23">
        <v>49.04</v>
      </c>
      <c r="S733" s="22">
        <f t="shared" si="44"/>
        <v>3624.45</v>
      </c>
      <c r="V733" s="9">
        <f t="shared" si="45"/>
        <v>40.869999999999997</v>
      </c>
      <c r="Y733" s="9">
        <f t="shared" si="39"/>
        <v>3020.38</v>
      </c>
      <c r="AD733" s="4" t="s">
        <v>2705</v>
      </c>
      <c r="AE733" s="4" t="s">
        <v>2706</v>
      </c>
      <c r="AF733" s="4" t="s">
        <v>2617</v>
      </c>
    </row>
    <row r="734" spans="1:35" ht="18" x14ac:dyDescent="0.3">
      <c r="A734" s="10" t="s">
        <v>2707</v>
      </c>
      <c r="B734" s="10"/>
      <c r="C734" s="24" t="s">
        <v>2619</v>
      </c>
      <c r="D734" s="12"/>
      <c r="E734" s="12"/>
      <c r="F734" s="18" t="s">
        <v>87</v>
      </c>
      <c r="G734" s="19">
        <v>4.7</v>
      </c>
      <c r="H734" s="19"/>
      <c r="I734" s="19">
        <v>1157.8920000000001</v>
      </c>
      <c r="J734" s="21">
        <v>66.98</v>
      </c>
      <c r="M734" s="22">
        <f t="shared" si="43"/>
        <v>77555.61</v>
      </c>
      <c r="P734" s="23">
        <v>66.98</v>
      </c>
      <c r="S734" s="22">
        <f t="shared" si="44"/>
        <v>77555.61</v>
      </c>
      <c r="V734" s="9">
        <f t="shared" si="45"/>
        <v>55.82</v>
      </c>
      <c r="Y734" s="9">
        <f t="shared" si="39"/>
        <v>64629.68</v>
      </c>
      <c r="AD734" s="4" t="s">
        <v>2708</v>
      </c>
      <c r="AE734" s="4" t="s">
        <v>2709</v>
      </c>
      <c r="AF734" s="4" t="s">
        <v>2622</v>
      </c>
    </row>
    <row r="735" spans="1:35" ht="36" x14ac:dyDescent="0.3">
      <c r="A735" s="10" t="s">
        <v>2710</v>
      </c>
      <c r="B735" s="10"/>
      <c r="C735" s="17" t="s">
        <v>2609</v>
      </c>
      <c r="D735" s="12"/>
      <c r="E735" s="12"/>
      <c r="F735" s="18" t="s">
        <v>116</v>
      </c>
      <c r="G735" s="19">
        <v>3.6</v>
      </c>
      <c r="H735" s="19"/>
      <c r="I735" s="19">
        <v>886.89599999999996</v>
      </c>
      <c r="J735" s="21">
        <v>15.9</v>
      </c>
      <c r="M735" s="22">
        <f t="shared" si="43"/>
        <v>14101.65</v>
      </c>
      <c r="P735" s="23">
        <v>15.9</v>
      </c>
      <c r="S735" s="22">
        <f t="shared" si="44"/>
        <v>14101.65</v>
      </c>
      <c r="V735" s="9">
        <f t="shared" si="45"/>
        <v>13.25</v>
      </c>
      <c r="Y735" s="9">
        <f t="shared" si="39"/>
        <v>11751.38</v>
      </c>
      <c r="AD735" s="4" t="s">
        <v>2711</v>
      </c>
      <c r="AE735" s="4" t="s">
        <v>2712</v>
      </c>
      <c r="AF735" s="4" t="s">
        <v>2612</v>
      </c>
    </row>
    <row r="736" spans="1:35" ht="18" x14ac:dyDescent="0.3">
      <c r="A736" s="10" t="s">
        <v>2713</v>
      </c>
      <c r="B736" s="10"/>
      <c r="C736" s="24" t="s">
        <v>2604</v>
      </c>
      <c r="D736" s="12"/>
      <c r="E736" s="12"/>
      <c r="F736" s="18" t="s">
        <v>116</v>
      </c>
      <c r="G736" s="19">
        <v>0.3</v>
      </c>
      <c r="H736" s="19"/>
      <c r="I736" s="19">
        <v>73.908000000000001</v>
      </c>
      <c r="J736" s="21">
        <v>5.6</v>
      </c>
      <c r="M736" s="22">
        <f t="shared" si="43"/>
        <v>413.88</v>
      </c>
      <c r="P736" s="23">
        <v>5.6</v>
      </c>
      <c r="S736" s="22">
        <f t="shared" si="44"/>
        <v>413.88</v>
      </c>
      <c r="V736" s="9">
        <f t="shared" si="45"/>
        <v>4.67</v>
      </c>
      <c r="Y736" s="9">
        <f t="shared" si="39"/>
        <v>344.9</v>
      </c>
      <c r="AD736" s="4" t="s">
        <v>2714</v>
      </c>
      <c r="AE736" s="4" t="s">
        <v>2715</v>
      </c>
      <c r="AF736" s="4" t="s">
        <v>2607</v>
      </c>
    </row>
    <row r="737" spans="1:35" ht="18" x14ac:dyDescent="0.3">
      <c r="A737" s="10" t="s">
        <v>2716</v>
      </c>
      <c r="B737" s="10"/>
      <c r="C737" s="24" t="s">
        <v>2596</v>
      </c>
      <c r="D737" s="12"/>
      <c r="E737" s="12"/>
      <c r="F737" s="18" t="s">
        <v>116</v>
      </c>
      <c r="G737" s="19">
        <v>30</v>
      </c>
      <c r="H737" s="19"/>
      <c r="I737" s="19">
        <v>7390.8</v>
      </c>
      <c r="J737" s="21">
        <v>0.28000000000000003</v>
      </c>
      <c r="M737" s="22">
        <f t="shared" si="43"/>
        <v>2069.42</v>
      </c>
      <c r="P737" s="23">
        <v>0.28000000000000003</v>
      </c>
      <c r="S737" s="22">
        <f t="shared" si="44"/>
        <v>2069.42</v>
      </c>
      <c r="V737" s="9">
        <f t="shared" si="45"/>
        <v>0.23</v>
      </c>
      <c r="Y737" s="9">
        <f t="shared" si="39"/>
        <v>1724.52</v>
      </c>
      <c r="AD737" s="4" t="s">
        <v>2717</v>
      </c>
      <c r="AE737" s="4" t="s">
        <v>2718</v>
      </c>
      <c r="AF737" s="4" t="s">
        <v>2599</v>
      </c>
    </row>
    <row r="738" spans="1:35" ht="18" x14ac:dyDescent="0.3">
      <c r="A738" s="10" t="s">
        <v>2719</v>
      </c>
      <c r="B738" s="10"/>
      <c r="C738" s="24" t="s">
        <v>2591</v>
      </c>
      <c r="D738" s="12"/>
      <c r="E738" s="12"/>
      <c r="F738" s="18" t="s">
        <v>116</v>
      </c>
      <c r="G738" s="19">
        <v>15</v>
      </c>
      <c r="H738" s="19"/>
      <c r="I738" s="19">
        <v>3695.4</v>
      </c>
      <c r="J738" s="21">
        <v>0.95</v>
      </c>
      <c r="M738" s="22">
        <f t="shared" si="43"/>
        <v>3510.63</v>
      </c>
      <c r="P738" s="23">
        <v>0.95</v>
      </c>
      <c r="S738" s="22">
        <f t="shared" si="44"/>
        <v>3510.63</v>
      </c>
      <c r="V738" s="9">
        <f t="shared" si="45"/>
        <v>0.79</v>
      </c>
      <c r="Y738" s="9">
        <f t="shared" si="39"/>
        <v>2925.53</v>
      </c>
      <c r="AD738" s="4" t="s">
        <v>2720</v>
      </c>
      <c r="AE738" s="4" t="s">
        <v>2721</v>
      </c>
      <c r="AF738" s="4" t="s">
        <v>2594</v>
      </c>
    </row>
    <row r="739" spans="1:35" ht="36" x14ac:dyDescent="0.3">
      <c r="A739" s="10" t="s">
        <v>2722</v>
      </c>
      <c r="B739" s="10" t="s">
        <v>2585</v>
      </c>
      <c r="C739" s="11" t="s">
        <v>2586</v>
      </c>
      <c r="D739" s="12"/>
      <c r="E739" s="12" t="s">
        <v>2723</v>
      </c>
      <c r="F739" s="12" t="s">
        <v>64</v>
      </c>
      <c r="G739" s="13">
        <v>1</v>
      </c>
      <c r="H739" s="13"/>
      <c r="I739" s="13">
        <v>110.66</v>
      </c>
      <c r="J739" s="14">
        <f>IFERROR(ROUND(SUM(M740,M741,M742,M743,M744,M745,M746,M747,M748,M749,M750)/I739, 2),0)</f>
        <v>444.24</v>
      </c>
      <c r="K739" s="15">
        <v>1199</v>
      </c>
      <c r="L739" s="14">
        <f>J739+ROUND(K739, 2)</f>
        <v>1643.24</v>
      </c>
      <c r="M739" s="14">
        <f>ROUND(J739*I739, 2)</f>
        <v>49159.6</v>
      </c>
      <c r="N739" s="14">
        <f>ROUND(I739*ROUND(K739, 2), 2)</f>
        <v>132681.34</v>
      </c>
      <c r="O739" s="14">
        <f>M739+N739</f>
        <v>181840.94</v>
      </c>
      <c r="P739" s="14">
        <f>IFERROR(ROUND(SUM(S740,S741,S742,S743,S744,S745,S746,S747,S748,S749,S750)/I739, 2),0)</f>
        <v>444.24</v>
      </c>
      <c r="Q739" s="16">
        <v>1199</v>
      </c>
      <c r="R739" s="14">
        <f>P739+ROUND(Q739, 2)</f>
        <v>1643.24</v>
      </c>
      <c r="S739" s="14">
        <f>ROUND(P739*I739, 2)</f>
        <v>49159.6</v>
      </c>
      <c r="T739" s="14">
        <f>ROUND(I739*ROUND(Q739, 2), 2)</f>
        <v>132681.34</v>
      </c>
      <c r="U739" s="14">
        <f>S739+T739</f>
        <v>181840.94</v>
      </c>
      <c r="V739" s="9">
        <f>ROUND(P739 / 1.2, 2)</f>
        <v>370.2</v>
      </c>
      <c r="W739" s="9">
        <f>ROUND(Q739 / 1.2, 2)</f>
        <v>999.17</v>
      </c>
      <c r="X739" s="9">
        <f>ROUND(R739 / 1.2, 2)</f>
        <v>1369.37</v>
      </c>
      <c r="Y739" s="9">
        <f t="shared" si="39"/>
        <v>40966.33</v>
      </c>
      <c r="Z739" s="9">
        <f>ROUND(T739 / 1.2, 2)</f>
        <v>110567.78</v>
      </c>
      <c r="AA739" s="9">
        <f>Y739+Z739</f>
        <v>151534.10999999999</v>
      </c>
      <c r="AD739" s="4">
        <v>271132302</v>
      </c>
      <c r="AE739" s="4">
        <v>20004305</v>
      </c>
      <c r="AG739" s="4" t="s">
        <v>2588</v>
      </c>
      <c r="AH739" s="4" t="s">
        <v>2589</v>
      </c>
      <c r="AI739" s="4" t="s">
        <v>67</v>
      </c>
    </row>
    <row r="740" spans="1:35" ht="18" x14ac:dyDescent="0.3">
      <c r="A740" s="10" t="s">
        <v>2724</v>
      </c>
      <c r="B740" s="10"/>
      <c r="C740" s="24" t="s">
        <v>2645</v>
      </c>
      <c r="D740" s="12"/>
      <c r="E740" s="12"/>
      <c r="F740" s="18" t="s">
        <v>116</v>
      </c>
      <c r="G740" s="19">
        <v>0.75</v>
      </c>
      <c r="H740" s="19"/>
      <c r="I740" s="19">
        <v>82.995000000000005</v>
      </c>
      <c r="J740" s="21">
        <v>2.8</v>
      </c>
      <c r="M740" s="22">
        <f t="shared" ref="M740:M750" si="46">ROUND(ROUND(J740, 2)*I740, 2)</f>
        <v>232.39</v>
      </c>
      <c r="P740" s="23">
        <v>2.8</v>
      </c>
      <c r="S740" s="22">
        <f t="shared" ref="S740:S750" si="47">ROUND(ROUND(P740, 2)*I740, 2)</f>
        <v>232.39</v>
      </c>
      <c r="V740" s="9">
        <f t="shared" ref="V740:V750" si="48">ROUND(ROUND(P740, 2)/1.2, 2)</f>
        <v>2.33</v>
      </c>
      <c r="Y740" s="9">
        <f t="shared" si="39"/>
        <v>193.66</v>
      </c>
      <c r="AD740" s="4" t="s">
        <v>2725</v>
      </c>
      <c r="AE740" s="4" t="s">
        <v>2726</v>
      </c>
      <c r="AF740" s="4" t="s">
        <v>2648</v>
      </c>
    </row>
    <row r="741" spans="1:35" ht="18" x14ac:dyDescent="0.3">
      <c r="A741" s="10" t="s">
        <v>2727</v>
      </c>
      <c r="B741" s="10"/>
      <c r="C741" s="24" t="s">
        <v>2634</v>
      </c>
      <c r="D741" s="12"/>
      <c r="E741" s="12"/>
      <c r="F741" s="18" t="s">
        <v>87</v>
      </c>
      <c r="G741" s="19">
        <v>1.25</v>
      </c>
      <c r="H741" s="19"/>
      <c r="I741" s="19">
        <v>138.32499999999999</v>
      </c>
      <c r="J741" s="21">
        <v>2.8</v>
      </c>
      <c r="M741" s="22">
        <f t="shared" si="46"/>
        <v>387.31</v>
      </c>
      <c r="P741" s="23">
        <v>2.8</v>
      </c>
      <c r="S741" s="22">
        <f t="shared" si="47"/>
        <v>387.31</v>
      </c>
      <c r="V741" s="9">
        <f t="shared" si="48"/>
        <v>2.33</v>
      </c>
      <c r="Y741" s="9">
        <f t="shared" si="39"/>
        <v>322.76</v>
      </c>
      <c r="AD741" s="4" t="s">
        <v>2728</v>
      </c>
      <c r="AE741" s="4" t="s">
        <v>2729</v>
      </c>
      <c r="AF741" s="4" t="s">
        <v>2637</v>
      </c>
    </row>
    <row r="742" spans="1:35" ht="18" x14ac:dyDescent="0.3">
      <c r="A742" s="10" t="s">
        <v>2730</v>
      </c>
      <c r="B742" s="10"/>
      <c r="C742" s="24" t="s">
        <v>2629</v>
      </c>
      <c r="D742" s="12"/>
      <c r="E742" s="12"/>
      <c r="F742" s="18" t="s">
        <v>87</v>
      </c>
      <c r="G742" s="19">
        <v>1.05</v>
      </c>
      <c r="H742" s="19"/>
      <c r="I742" s="19">
        <v>116.193</v>
      </c>
      <c r="J742" s="21">
        <v>4.5999999999999996</v>
      </c>
      <c r="M742" s="22">
        <f t="shared" si="46"/>
        <v>534.49</v>
      </c>
      <c r="P742" s="23">
        <v>4.5999999999999996</v>
      </c>
      <c r="S742" s="22">
        <f t="shared" si="47"/>
        <v>534.49</v>
      </c>
      <c r="V742" s="9">
        <f t="shared" si="48"/>
        <v>3.83</v>
      </c>
      <c r="Y742" s="9">
        <f t="shared" si="39"/>
        <v>445.41</v>
      </c>
      <c r="AD742" s="4" t="s">
        <v>2731</v>
      </c>
      <c r="AE742" s="4" t="s">
        <v>2732</v>
      </c>
      <c r="AF742" s="4" t="s">
        <v>2632</v>
      </c>
    </row>
    <row r="743" spans="1:35" ht="18" x14ac:dyDescent="0.3">
      <c r="A743" s="10" t="s">
        <v>2733</v>
      </c>
      <c r="B743" s="10"/>
      <c r="C743" s="24" t="s">
        <v>1856</v>
      </c>
      <c r="D743" s="12"/>
      <c r="E743" s="12"/>
      <c r="F743" s="18" t="s">
        <v>64</v>
      </c>
      <c r="G743" s="19">
        <v>1.05</v>
      </c>
      <c r="H743" s="19"/>
      <c r="I743" s="19">
        <v>116.193</v>
      </c>
      <c r="J743" s="21">
        <v>0</v>
      </c>
      <c r="M743" s="22">
        <f t="shared" si="46"/>
        <v>0</v>
      </c>
      <c r="P743" s="23">
        <v>0</v>
      </c>
      <c r="S743" s="22">
        <f t="shared" si="47"/>
        <v>0</v>
      </c>
      <c r="V743" s="9">
        <f t="shared" si="48"/>
        <v>0</v>
      </c>
      <c r="Y743" s="9">
        <f t="shared" si="39"/>
        <v>0</v>
      </c>
      <c r="AD743" s="4" t="s">
        <v>2734</v>
      </c>
      <c r="AE743" s="4" t="s">
        <v>2735</v>
      </c>
      <c r="AF743" s="4" t="s">
        <v>1859</v>
      </c>
    </row>
    <row r="744" spans="1:35" ht="18" x14ac:dyDescent="0.3">
      <c r="A744" s="10" t="s">
        <v>2736</v>
      </c>
      <c r="B744" s="10"/>
      <c r="C744" s="17" t="s">
        <v>2624</v>
      </c>
      <c r="D744" s="12"/>
      <c r="E744" s="12"/>
      <c r="F744" s="18" t="s">
        <v>116</v>
      </c>
      <c r="G744" s="19">
        <v>4.2</v>
      </c>
      <c r="H744" s="19"/>
      <c r="I744" s="19">
        <v>464.77199999999999</v>
      </c>
      <c r="J744" s="21">
        <v>5.41</v>
      </c>
      <c r="M744" s="22">
        <f t="shared" si="46"/>
        <v>2514.42</v>
      </c>
      <c r="P744" s="23">
        <v>5.41</v>
      </c>
      <c r="S744" s="22">
        <f t="shared" si="47"/>
        <v>2514.42</v>
      </c>
      <c r="V744" s="9">
        <f t="shared" si="48"/>
        <v>4.51</v>
      </c>
      <c r="Y744" s="9">
        <f t="shared" si="39"/>
        <v>2095.35</v>
      </c>
      <c r="AD744" s="4" t="s">
        <v>2737</v>
      </c>
      <c r="AE744" s="4" t="s">
        <v>2738</v>
      </c>
      <c r="AF744" s="4" t="s">
        <v>2627</v>
      </c>
    </row>
    <row r="745" spans="1:35" ht="18" x14ac:dyDescent="0.3">
      <c r="A745" s="10" t="s">
        <v>2739</v>
      </c>
      <c r="B745" s="10"/>
      <c r="C745" s="24" t="s">
        <v>2614</v>
      </c>
      <c r="D745" s="12"/>
      <c r="E745" s="12"/>
      <c r="F745" s="18" t="s">
        <v>87</v>
      </c>
      <c r="G745" s="19">
        <v>0.3</v>
      </c>
      <c r="H745" s="19"/>
      <c r="I745" s="19">
        <v>33.198</v>
      </c>
      <c r="J745" s="21">
        <v>49.04</v>
      </c>
      <c r="M745" s="22">
        <f t="shared" si="46"/>
        <v>1628.03</v>
      </c>
      <c r="P745" s="23">
        <v>49.04</v>
      </c>
      <c r="S745" s="22">
        <f t="shared" si="47"/>
        <v>1628.03</v>
      </c>
      <c r="V745" s="9">
        <f t="shared" si="48"/>
        <v>40.869999999999997</v>
      </c>
      <c r="Y745" s="9">
        <f t="shared" ref="Y745:Y750" si="49">ROUND(S745 / 1.2, 2)</f>
        <v>1356.69</v>
      </c>
      <c r="AD745" s="4" t="s">
        <v>2740</v>
      </c>
      <c r="AE745" s="4" t="s">
        <v>2741</v>
      </c>
      <c r="AF745" s="4" t="s">
        <v>2617</v>
      </c>
    </row>
    <row r="746" spans="1:35" ht="18" x14ac:dyDescent="0.3">
      <c r="A746" s="10" t="s">
        <v>2742</v>
      </c>
      <c r="B746" s="10"/>
      <c r="C746" s="24" t="s">
        <v>2619</v>
      </c>
      <c r="D746" s="12"/>
      <c r="E746" s="12"/>
      <c r="F746" s="18" t="s">
        <v>87</v>
      </c>
      <c r="G746" s="19">
        <v>4.7</v>
      </c>
      <c r="H746" s="19"/>
      <c r="I746" s="19">
        <v>520.10199999999998</v>
      </c>
      <c r="J746" s="21">
        <v>66.98</v>
      </c>
      <c r="M746" s="22">
        <f t="shared" si="46"/>
        <v>34836.43</v>
      </c>
      <c r="P746" s="23">
        <v>66.98</v>
      </c>
      <c r="S746" s="22">
        <f t="shared" si="47"/>
        <v>34836.43</v>
      </c>
      <c r="V746" s="9">
        <f t="shared" si="48"/>
        <v>55.82</v>
      </c>
      <c r="Y746" s="9">
        <f t="shared" si="49"/>
        <v>29030.36</v>
      </c>
      <c r="AD746" s="4" t="s">
        <v>2743</v>
      </c>
      <c r="AE746" s="4" t="s">
        <v>2744</v>
      </c>
      <c r="AF746" s="4" t="s">
        <v>2622</v>
      </c>
    </row>
    <row r="747" spans="1:35" ht="36" x14ac:dyDescent="0.3">
      <c r="A747" s="10" t="s">
        <v>2745</v>
      </c>
      <c r="B747" s="10"/>
      <c r="C747" s="17" t="s">
        <v>2609</v>
      </c>
      <c r="D747" s="12"/>
      <c r="E747" s="12"/>
      <c r="F747" s="18" t="s">
        <v>116</v>
      </c>
      <c r="G747" s="19">
        <v>3.6</v>
      </c>
      <c r="H747" s="19"/>
      <c r="I747" s="19">
        <v>398.37599999999998</v>
      </c>
      <c r="J747" s="21">
        <v>15.9</v>
      </c>
      <c r="M747" s="22">
        <f t="shared" si="46"/>
        <v>6334.18</v>
      </c>
      <c r="P747" s="23">
        <v>15.9</v>
      </c>
      <c r="S747" s="22">
        <f t="shared" si="47"/>
        <v>6334.18</v>
      </c>
      <c r="V747" s="9">
        <f t="shared" si="48"/>
        <v>13.25</v>
      </c>
      <c r="Y747" s="9">
        <f t="shared" si="49"/>
        <v>5278.48</v>
      </c>
      <c r="AD747" s="4" t="s">
        <v>2746</v>
      </c>
      <c r="AE747" s="4" t="s">
        <v>2747</v>
      </c>
      <c r="AF747" s="4" t="s">
        <v>2612</v>
      </c>
    </row>
    <row r="748" spans="1:35" ht="18" x14ac:dyDescent="0.3">
      <c r="A748" s="10" t="s">
        <v>2748</v>
      </c>
      <c r="B748" s="10"/>
      <c r="C748" s="24" t="s">
        <v>2604</v>
      </c>
      <c r="D748" s="12"/>
      <c r="E748" s="12"/>
      <c r="F748" s="18" t="s">
        <v>116</v>
      </c>
      <c r="G748" s="19">
        <v>0.3</v>
      </c>
      <c r="H748" s="19"/>
      <c r="I748" s="19">
        <v>33.198</v>
      </c>
      <c r="J748" s="21">
        <v>5.6</v>
      </c>
      <c r="M748" s="22">
        <f t="shared" si="46"/>
        <v>185.91</v>
      </c>
      <c r="P748" s="23">
        <v>5.6</v>
      </c>
      <c r="S748" s="22">
        <f t="shared" si="47"/>
        <v>185.91</v>
      </c>
      <c r="V748" s="9">
        <f t="shared" si="48"/>
        <v>4.67</v>
      </c>
      <c r="Y748" s="9">
        <f t="shared" si="49"/>
        <v>154.93</v>
      </c>
      <c r="AD748" s="4" t="s">
        <v>2749</v>
      </c>
      <c r="AE748" s="4" t="s">
        <v>2750</v>
      </c>
      <c r="AF748" s="4" t="s">
        <v>2607</v>
      </c>
    </row>
    <row r="749" spans="1:35" ht="18" x14ac:dyDescent="0.3">
      <c r="A749" s="10" t="s">
        <v>2751</v>
      </c>
      <c r="B749" s="10"/>
      <c r="C749" s="24" t="s">
        <v>2596</v>
      </c>
      <c r="D749" s="12"/>
      <c r="E749" s="12"/>
      <c r="F749" s="18" t="s">
        <v>116</v>
      </c>
      <c r="G749" s="19">
        <v>30</v>
      </c>
      <c r="H749" s="19"/>
      <c r="I749" s="19">
        <v>3319.8</v>
      </c>
      <c r="J749" s="21">
        <v>0.28000000000000003</v>
      </c>
      <c r="M749" s="22">
        <f t="shared" si="46"/>
        <v>929.54</v>
      </c>
      <c r="P749" s="23">
        <v>0.28000000000000003</v>
      </c>
      <c r="S749" s="22">
        <f t="shared" si="47"/>
        <v>929.54</v>
      </c>
      <c r="V749" s="9">
        <f t="shared" si="48"/>
        <v>0.23</v>
      </c>
      <c r="Y749" s="9">
        <f t="shared" si="49"/>
        <v>774.62</v>
      </c>
      <c r="AD749" s="4" t="s">
        <v>2752</v>
      </c>
      <c r="AE749" s="4" t="s">
        <v>2753</v>
      </c>
      <c r="AF749" s="4" t="s">
        <v>2599</v>
      </c>
    </row>
    <row r="750" spans="1:35" ht="18" x14ac:dyDescent="0.3">
      <c r="A750" s="10" t="s">
        <v>2754</v>
      </c>
      <c r="B750" s="10"/>
      <c r="C750" s="24" t="s">
        <v>2591</v>
      </c>
      <c r="D750" s="12"/>
      <c r="E750" s="12"/>
      <c r="F750" s="18" t="s">
        <v>116</v>
      </c>
      <c r="G750" s="19">
        <v>15</v>
      </c>
      <c r="H750" s="19"/>
      <c r="I750" s="19">
        <v>1659.9</v>
      </c>
      <c r="J750" s="21">
        <v>0.95</v>
      </c>
      <c r="M750" s="22">
        <f t="shared" si="46"/>
        <v>1576.91</v>
      </c>
      <c r="P750" s="23">
        <v>0.95</v>
      </c>
      <c r="S750" s="22">
        <f t="shared" si="47"/>
        <v>1576.91</v>
      </c>
      <c r="V750" s="9">
        <f t="shared" si="48"/>
        <v>0.79</v>
      </c>
      <c r="Y750" s="9">
        <f t="shared" si="49"/>
        <v>1314.09</v>
      </c>
      <c r="AD750" s="4" t="s">
        <v>2755</v>
      </c>
      <c r="AE750" s="4" t="s">
        <v>2756</v>
      </c>
      <c r="AF750" s="4" t="s">
        <v>2594</v>
      </c>
    </row>
    <row r="751" spans="1:35" ht="54" x14ac:dyDescent="0.3">
      <c r="A751" s="10" t="s">
        <v>2757</v>
      </c>
      <c r="B751" s="10" t="s">
        <v>2758</v>
      </c>
      <c r="C751" s="11" t="s">
        <v>2759</v>
      </c>
      <c r="D751" s="12"/>
      <c r="E751" s="12" t="s">
        <v>81</v>
      </c>
      <c r="F751" s="12" t="s">
        <v>64</v>
      </c>
      <c r="G751" s="13">
        <v>1</v>
      </c>
      <c r="H751" s="13"/>
      <c r="I751" s="13">
        <v>2099.0100000000002</v>
      </c>
      <c r="J751" s="14">
        <v>0</v>
      </c>
      <c r="K751" s="15">
        <v>121</v>
      </c>
      <c r="L751" s="14">
        <f>J751+ROUND(K751, 2)</f>
        <v>121</v>
      </c>
      <c r="M751" s="14">
        <v>0</v>
      </c>
      <c r="N751" s="14">
        <f>ROUND(I751*ROUND(K751, 2), 2)</f>
        <v>253980.21</v>
      </c>
      <c r="O751" s="14">
        <f>M751+N751</f>
        <v>253980.21</v>
      </c>
      <c r="P751" s="14">
        <v>0</v>
      </c>
      <c r="Q751" s="16">
        <v>121</v>
      </c>
      <c r="R751" s="14">
        <f>P751+ROUND(Q751, 2)</f>
        <v>121</v>
      </c>
      <c r="S751" s="14">
        <v>0</v>
      </c>
      <c r="T751" s="14">
        <f>ROUND(I751*ROUND(Q751, 2), 2)</f>
        <v>253980.21</v>
      </c>
      <c r="U751" s="14">
        <f>S751+T751</f>
        <v>253980.21</v>
      </c>
      <c r="V751" s="9"/>
      <c r="W751" s="9">
        <f>ROUND(Q751 / 1.2, 2)</f>
        <v>100.83</v>
      </c>
      <c r="X751" s="9">
        <f>ROUND(R751 / 1.2, 2)</f>
        <v>100.83</v>
      </c>
      <c r="Y751" s="9"/>
      <c r="Z751" s="9">
        <f>ROUND(T751 / 1.2, 2)</f>
        <v>211650.18</v>
      </c>
      <c r="AA751" s="9" t="e">
        <f>Y751+Z751</f>
        <v>#VALUE!</v>
      </c>
      <c r="AD751" s="4">
        <v>271132151</v>
      </c>
      <c r="AE751" s="4">
        <v>16236784</v>
      </c>
      <c r="AG751" s="4" t="s">
        <v>2760</v>
      </c>
      <c r="AH751" s="4" t="s">
        <v>2761</v>
      </c>
      <c r="AI751" s="4" t="s">
        <v>67</v>
      </c>
    </row>
    <row r="752" spans="1:35" ht="17.100000000000001" customHeight="1" x14ac:dyDescent="0.3">
      <c r="A752" s="10" t="s">
        <v>2762</v>
      </c>
      <c r="B752" s="10" t="s">
        <v>2763</v>
      </c>
      <c r="C752" s="185" t="s">
        <v>2764</v>
      </c>
      <c r="D752" s="186"/>
      <c r="E752" s="186"/>
      <c r="F752" s="186"/>
      <c r="G752" s="186"/>
      <c r="H752" s="186"/>
      <c r="I752" s="187"/>
      <c r="M752" s="6">
        <f>SUM(M753,M774)</f>
        <v>0</v>
      </c>
      <c r="N752" s="6">
        <f>SUM(N753,N774)</f>
        <v>395791</v>
      </c>
      <c r="O752" s="6">
        <f>SUM(O753,O774)</f>
        <v>395791</v>
      </c>
      <c r="S752" s="6">
        <f>SUM(S753,S774)</f>
        <v>0</v>
      </c>
      <c r="T752" s="6">
        <f>SUM(T753,T774)</f>
        <v>395791</v>
      </c>
      <c r="U752" s="6">
        <f>SUM(U753,U774)</f>
        <v>395791</v>
      </c>
      <c r="Y752" s="9">
        <f>SUM(Y753,Y774)</f>
        <v>0</v>
      </c>
      <c r="Z752" s="9">
        <f>SUM(Z753,Z774)</f>
        <v>329825.83</v>
      </c>
      <c r="AA752" s="9">
        <f>SUM(AA753,AA774)</f>
        <v>329825.83</v>
      </c>
      <c r="AD752" s="4">
        <v>271132152</v>
      </c>
      <c r="AE752" s="4">
        <v>19827023</v>
      </c>
    </row>
    <row r="753" spans="1:35" ht="54" x14ac:dyDescent="0.3">
      <c r="A753" s="10" t="s">
        <v>2765</v>
      </c>
      <c r="B753" s="10" t="s">
        <v>2766</v>
      </c>
      <c r="C753" s="11" t="s">
        <v>2767</v>
      </c>
      <c r="D753" s="12"/>
      <c r="E753" s="12" t="s">
        <v>2768</v>
      </c>
      <c r="F753" s="12" t="s">
        <v>116</v>
      </c>
      <c r="G753" s="13">
        <v>1</v>
      </c>
      <c r="H753" s="13"/>
      <c r="I753" s="13">
        <v>66</v>
      </c>
      <c r="J753" s="14">
        <f>IFERROR(ROUND(SUM(M754,M755,M756,M757,M758,M759,M760,M761,M762,M763,M764,M765,M766,M767,M768,M769,M770,M771,M772,M773)/I753, 2),0)</f>
        <v>0</v>
      </c>
      <c r="K753" s="15">
        <v>3271</v>
      </c>
      <c r="L753" s="14">
        <f>J753+ROUND(K753, 2)</f>
        <v>3271</v>
      </c>
      <c r="M753" s="14">
        <f>ROUND(J753*I753, 2)</f>
        <v>0</v>
      </c>
      <c r="N753" s="14">
        <f>ROUND(I753*ROUND(K753, 2), 2)</f>
        <v>215886</v>
      </c>
      <c r="O753" s="14">
        <f>M753+N753</f>
        <v>215886</v>
      </c>
      <c r="P753" s="14">
        <f>IFERROR(ROUND(SUM(S754,S755,S756,S757,S758,S759,S760,S761,S762,S763,S764,S765,S766,S767,S768,S769,S770,S771,S772,S773)/I753, 2),0)</f>
        <v>0</v>
      </c>
      <c r="Q753" s="16">
        <v>3271</v>
      </c>
      <c r="R753" s="14">
        <f>P753+ROUND(Q753, 2)</f>
        <v>3271</v>
      </c>
      <c r="S753" s="14">
        <f>ROUND(P753*I753, 2)</f>
        <v>0</v>
      </c>
      <c r="T753" s="14">
        <f>ROUND(I753*ROUND(Q753, 2), 2)</f>
        <v>215886</v>
      </c>
      <c r="U753" s="14">
        <f>S753+T753</f>
        <v>215886</v>
      </c>
      <c r="V753" s="9">
        <f>ROUND(P753 / 1.2, 2)</f>
        <v>0</v>
      </c>
      <c r="W753" s="9">
        <f>ROUND(Q753 / 1.2, 2)</f>
        <v>2725.83</v>
      </c>
      <c r="X753" s="9">
        <f>ROUND(R753 / 1.2, 2)</f>
        <v>2725.83</v>
      </c>
      <c r="Y753" s="9">
        <f>ROUND(S753 / 1.2, 2)</f>
        <v>0</v>
      </c>
      <c r="Z753" s="9">
        <f>ROUND(T753 / 1.2, 2)</f>
        <v>179905</v>
      </c>
      <c r="AA753" s="9">
        <f>Y753+Z753</f>
        <v>179905</v>
      </c>
      <c r="AD753" s="4">
        <v>271132154</v>
      </c>
      <c r="AE753" s="4">
        <v>19830251</v>
      </c>
      <c r="AG753" s="4" t="s">
        <v>2769</v>
      </c>
      <c r="AH753" s="4" t="s">
        <v>2770</v>
      </c>
      <c r="AI753" s="4" t="s">
        <v>67</v>
      </c>
    </row>
    <row r="754" spans="1:35" ht="409.6" x14ac:dyDescent="0.3">
      <c r="A754" s="10" t="s">
        <v>2771</v>
      </c>
      <c r="B754" s="10"/>
      <c r="C754" s="24" t="s">
        <v>2772</v>
      </c>
      <c r="D754" s="12"/>
      <c r="E754" s="12" t="s">
        <v>2773</v>
      </c>
      <c r="F754" s="18" t="s">
        <v>116</v>
      </c>
      <c r="G754" s="19">
        <v>1</v>
      </c>
      <c r="H754" s="20"/>
      <c r="I754" s="20">
        <v>1</v>
      </c>
      <c r="J754" s="21">
        <v>0</v>
      </c>
      <c r="M754" s="22">
        <f t="shared" ref="M754:M773" si="50">ROUND(ROUND(J754, 2)*I754, 2)</f>
        <v>0</v>
      </c>
      <c r="P754" s="23">
        <v>0</v>
      </c>
      <c r="S754" s="22">
        <f t="shared" ref="S754:S773" si="51">ROUND(ROUND(P754, 2)*I754, 2)</f>
        <v>0</v>
      </c>
      <c r="V754" s="9">
        <f t="shared" ref="V754:V773" si="52">ROUND(ROUND(P754, 2)/1.2, 2)</f>
        <v>0</v>
      </c>
      <c r="Y754" s="9">
        <f t="shared" ref="Y754:Y791" si="53">ROUND(S754 / 1.2, 2)</f>
        <v>0</v>
      </c>
      <c r="AD754" s="4" t="s">
        <v>2774</v>
      </c>
      <c r="AE754" s="4" t="s">
        <v>2775</v>
      </c>
      <c r="AF754" s="4" t="s">
        <v>2776</v>
      </c>
    </row>
    <row r="755" spans="1:35" ht="409.6" x14ac:dyDescent="0.3">
      <c r="A755" s="10" t="s">
        <v>2777</v>
      </c>
      <c r="B755" s="10"/>
      <c r="C755" s="24" t="s">
        <v>2778</v>
      </c>
      <c r="D755" s="12"/>
      <c r="E755" s="12" t="s">
        <v>2779</v>
      </c>
      <c r="F755" s="18" t="s">
        <v>116</v>
      </c>
      <c r="G755" s="19">
        <v>1</v>
      </c>
      <c r="H755" s="20"/>
      <c r="I755" s="20">
        <v>1</v>
      </c>
      <c r="J755" s="21">
        <v>0</v>
      </c>
      <c r="M755" s="22">
        <f t="shared" si="50"/>
        <v>0</v>
      </c>
      <c r="P755" s="23">
        <v>0</v>
      </c>
      <c r="S755" s="22">
        <f t="shared" si="51"/>
        <v>0</v>
      </c>
      <c r="V755" s="9">
        <f t="shared" si="52"/>
        <v>0</v>
      </c>
      <c r="Y755" s="9">
        <f t="shared" si="53"/>
        <v>0</v>
      </c>
      <c r="AD755" s="4" t="s">
        <v>2780</v>
      </c>
      <c r="AE755" s="4" t="s">
        <v>2781</v>
      </c>
      <c r="AF755" s="4" t="s">
        <v>2782</v>
      </c>
    </row>
    <row r="756" spans="1:35" ht="396" x14ac:dyDescent="0.3">
      <c r="A756" s="10" t="s">
        <v>2783</v>
      </c>
      <c r="B756" s="10"/>
      <c r="C756" s="24" t="s">
        <v>2784</v>
      </c>
      <c r="D756" s="12"/>
      <c r="E756" s="12" t="s">
        <v>2785</v>
      </c>
      <c r="F756" s="18" t="s">
        <v>116</v>
      </c>
      <c r="G756" s="19">
        <v>1</v>
      </c>
      <c r="H756" s="20"/>
      <c r="I756" s="20">
        <v>10</v>
      </c>
      <c r="J756" s="21">
        <v>0</v>
      </c>
      <c r="M756" s="22">
        <f t="shared" si="50"/>
        <v>0</v>
      </c>
      <c r="P756" s="23">
        <v>0</v>
      </c>
      <c r="S756" s="22">
        <f t="shared" si="51"/>
        <v>0</v>
      </c>
      <c r="V756" s="9">
        <f t="shared" si="52"/>
        <v>0</v>
      </c>
      <c r="Y756" s="9">
        <f t="shared" si="53"/>
        <v>0</v>
      </c>
      <c r="AD756" s="4" t="s">
        <v>2786</v>
      </c>
      <c r="AE756" s="4" t="s">
        <v>2787</v>
      </c>
      <c r="AF756" s="4" t="s">
        <v>2788</v>
      </c>
    </row>
    <row r="757" spans="1:35" ht="396" x14ac:dyDescent="0.3">
      <c r="A757" s="10" t="s">
        <v>2789</v>
      </c>
      <c r="B757" s="10"/>
      <c r="C757" s="24" t="s">
        <v>2790</v>
      </c>
      <c r="D757" s="12"/>
      <c r="E757" s="12" t="s">
        <v>2791</v>
      </c>
      <c r="F757" s="18" t="s">
        <v>116</v>
      </c>
      <c r="G757" s="19">
        <v>1</v>
      </c>
      <c r="H757" s="20"/>
      <c r="I757" s="20">
        <v>4</v>
      </c>
      <c r="J757" s="21">
        <v>0</v>
      </c>
      <c r="M757" s="22">
        <f t="shared" si="50"/>
        <v>0</v>
      </c>
      <c r="P757" s="23">
        <v>0</v>
      </c>
      <c r="S757" s="22">
        <f t="shared" si="51"/>
        <v>0</v>
      </c>
      <c r="V757" s="9">
        <f t="shared" si="52"/>
        <v>0</v>
      </c>
      <c r="Y757" s="9">
        <f t="shared" si="53"/>
        <v>0</v>
      </c>
      <c r="AD757" s="4" t="s">
        <v>2792</v>
      </c>
      <c r="AE757" s="4" t="s">
        <v>2793</v>
      </c>
      <c r="AF757" s="4" t="s">
        <v>2794</v>
      </c>
    </row>
    <row r="758" spans="1:35" ht="409.6" x14ac:dyDescent="0.3">
      <c r="A758" s="10" t="s">
        <v>2795</v>
      </c>
      <c r="B758" s="10"/>
      <c r="C758" s="24" t="s">
        <v>2796</v>
      </c>
      <c r="D758" s="12"/>
      <c r="E758" s="12" t="s">
        <v>2797</v>
      </c>
      <c r="F758" s="18" t="s">
        <v>116</v>
      </c>
      <c r="G758" s="19">
        <v>1</v>
      </c>
      <c r="H758" s="20"/>
      <c r="I758" s="20">
        <v>1</v>
      </c>
      <c r="J758" s="21">
        <v>0</v>
      </c>
      <c r="M758" s="22">
        <f t="shared" si="50"/>
        <v>0</v>
      </c>
      <c r="P758" s="23">
        <v>0</v>
      </c>
      <c r="S758" s="22">
        <f t="shared" si="51"/>
        <v>0</v>
      </c>
      <c r="V758" s="9">
        <f t="shared" si="52"/>
        <v>0</v>
      </c>
      <c r="Y758" s="9">
        <f t="shared" si="53"/>
        <v>0</v>
      </c>
      <c r="AD758" s="4" t="s">
        <v>2798</v>
      </c>
      <c r="AE758" s="4" t="s">
        <v>2799</v>
      </c>
      <c r="AF758" s="4" t="s">
        <v>2800</v>
      </c>
    </row>
    <row r="759" spans="1:35" ht="409.6" x14ac:dyDescent="0.3">
      <c r="A759" s="10" t="s">
        <v>2801</v>
      </c>
      <c r="B759" s="10"/>
      <c r="C759" s="24" t="s">
        <v>2802</v>
      </c>
      <c r="D759" s="12"/>
      <c r="E759" s="12" t="s">
        <v>2803</v>
      </c>
      <c r="F759" s="18" t="s">
        <v>116</v>
      </c>
      <c r="G759" s="19">
        <v>1</v>
      </c>
      <c r="H759" s="20"/>
      <c r="I759" s="20">
        <v>1</v>
      </c>
      <c r="J759" s="21">
        <v>0</v>
      </c>
      <c r="M759" s="22">
        <f t="shared" si="50"/>
        <v>0</v>
      </c>
      <c r="P759" s="23">
        <v>0</v>
      </c>
      <c r="S759" s="22">
        <f t="shared" si="51"/>
        <v>0</v>
      </c>
      <c r="V759" s="9">
        <f t="shared" si="52"/>
        <v>0</v>
      </c>
      <c r="Y759" s="9">
        <f t="shared" si="53"/>
        <v>0</v>
      </c>
      <c r="AD759" s="4" t="s">
        <v>2804</v>
      </c>
      <c r="AE759" s="4" t="s">
        <v>2805</v>
      </c>
      <c r="AF759" s="4" t="s">
        <v>2806</v>
      </c>
    </row>
    <row r="760" spans="1:35" ht="409.6" x14ac:dyDescent="0.3">
      <c r="A760" s="10" t="s">
        <v>2807</v>
      </c>
      <c r="B760" s="10"/>
      <c r="C760" s="24" t="s">
        <v>2808</v>
      </c>
      <c r="D760" s="12"/>
      <c r="E760" s="12" t="s">
        <v>2809</v>
      </c>
      <c r="F760" s="18" t="s">
        <v>116</v>
      </c>
      <c r="G760" s="19">
        <v>1</v>
      </c>
      <c r="H760" s="20"/>
      <c r="I760" s="20">
        <v>6</v>
      </c>
      <c r="J760" s="21">
        <v>0</v>
      </c>
      <c r="M760" s="22">
        <f t="shared" si="50"/>
        <v>0</v>
      </c>
      <c r="P760" s="23">
        <v>0</v>
      </c>
      <c r="S760" s="22">
        <f t="shared" si="51"/>
        <v>0</v>
      </c>
      <c r="V760" s="9">
        <f t="shared" si="52"/>
        <v>0</v>
      </c>
      <c r="Y760" s="9">
        <f t="shared" si="53"/>
        <v>0</v>
      </c>
      <c r="AD760" s="4" t="s">
        <v>2810</v>
      </c>
      <c r="AE760" s="4" t="s">
        <v>2811</v>
      </c>
      <c r="AF760" s="4" t="s">
        <v>2812</v>
      </c>
    </row>
    <row r="761" spans="1:35" ht="409.6" x14ac:dyDescent="0.3">
      <c r="A761" s="10" t="s">
        <v>2813</v>
      </c>
      <c r="B761" s="10"/>
      <c r="C761" s="24" t="s">
        <v>2814</v>
      </c>
      <c r="D761" s="12"/>
      <c r="E761" s="12" t="s">
        <v>2815</v>
      </c>
      <c r="F761" s="18" t="s">
        <v>116</v>
      </c>
      <c r="G761" s="19">
        <v>1</v>
      </c>
      <c r="H761" s="20"/>
      <c r="I761" s="20">
        <v>3</v>
      </c>
      <c r="J761" s="21">
        <v>0</v>
      </c>
      <c r="M761" s="22">
        <f t="shared" si="50"/>
        <v>0</v>
      </c>
      <c r="P761" s="23">
        <v>0</v>
      </c>
      <c r="S761" s="22">
        <f t="shared" si="51"/>
        <v>0</v>
      </c>
      <c r="V761" s="9">
        <f t="shared" si="52"/>
        <v>0</v>
      </c>
      <c r="Y761" s="9">
        <f t="shared" si="53"/>
        <v>0</v>
      </c>
      <c r="AD761" s="4" t="s">
        <v>2816</v>
      </c>
      <c r="AE761" s="4" t="s">
        <v>2817</v>
      </c>
      <c r="AF761" s="4" t="s">
        <v>2818</v>
      </c>
    </row>
    <row r="762" spans="1:35" ht="396" x14ac:dyDescent="0.3">
      <c r="A762" s="10" t="s">
        <v>2819</v>
      </c>
      <c r="B762" s="10"/>
      <c r="C762" s="24" t="s">
        <v>2820</v>
      </c>
      <c r="D762" s="12"/>
      <c r="E762" s="12" t="s">
        <v>2821</v>
      </c>
      <c r="F762" s="18" t="s">
        <v>116</v>
      </c>
      <c r="G762" s="19">
        <v>1</v>
      </c>
      <c r="H762" s="20"/>
      <c r="I762" s="20">
        <v>10</v>
      </c>
      <c r="J762" s="21">
        <v>0</v>
      </c>
      <c r="M762" s="22">
        <f t="shared" si="50"/>
        <v>0</v>
      </c>
      <c r="P762" s="23">
        <v>0</v>
      </c>
      <c r="S762" s="22">
        <f t="shared" si="51"/>
        <v>0</v>
      </c>
      <c r="V762" s="9">
        <f t="shared" si="52"/>
        <v>0</v>
      </c>
      <c r="Y762" s="9">
        <f t="shared" si="53"/>
        <v>0</v>
      </c>
      <c r="AD762" s="4" t="s">
        <v>2822</v>
      </c>
      <c r="AE762" s="4" t="s">
        <v>2823</v>
      </c>
      <c r="AF762" s="4" t="s">
        <v>2824</v>
      </c>
    </row>
    <row r="763" spans="1:35" ht="409.6" x14ac:dyDescent="0.3">
      <c r="A763" s="10" t="s">
        <v>2825</v>
      </c>
      <c r="B763" s="10"/>
      <c r="C763" s="24" t="s">
        <v>2826</v>
      </c>
      <c r="D763" s="12"/>
      <c r="E763" s="12" t="s">
        <v>2827</v>
      </c>
      <c r="F763" s="18" t="s">
        <v>116</v>
      </c>
      <c r="G763" s="19">
        <v>1</v>
      </c>
      <c r="H763" s="20"/>
      <c r="I763" s="20">
        <v>5</v>
      </c>
      <c r="J763" s="21">
        <v>0</v>
      </c>
      <c r="M763" s="22">
        <f t="shared" si="50"/>
        <v>0</v>
      </c>
      <c r="P763" s="23">
        <v>0</v>
      </c>
      <c r="S763" s="22">
        <f t="shared" si="51"/>
        <v>0</v>
      </c>
      <c r="V763" s="9">
        <f t="shared" si="52"/>
        <v>0</v>
      </c>
      <c r="Y763" s="9">
        <f t="shared" si="53"/>
        <v>0</v>
      </c>
      <c r="AD763" s="4" t="s">
        <v>2828</v>
      </c>
      <c r="AE763" s="4" t="s">
        <v>2829</v>
      </c>
      <c r="AF763" s="4" t="s">
        <v>2830</v>
      </c>
    </row>
    <row r="764" spans="1:35" ht="409.6" x14ac:dyDescent="0.3">
      <c r="A764" s="10" t="s">
        <v>2831</v>
      </c>
      <c r="B764" s="10"/>
      <c r="C764" s="24" t="s">
        <v>2832</v>
      </c>
      <c r="D764" s="12"/>
      <c r="E764" s="12" t="s">
        <v>2833</v>
      </c>
      <c r="F764" s="18" t="s">
        <v>116</v>
      </c>
      <c r="G764" s="19">
        <v>1</v>
      </c>
      <c r="H764" s="20"/>
      <c r="I764" s="20">
        <v>1</v>
      </c>
      <c r="J764" s="21">
        <v>0</v>
      </c>
      <c r="M764" s="22">
        <f t="shared" si="50"/>
        <v>0</v>
      </c>
      <c r="P764" s="23">
        <v>0</v>
      </c>
      <c r="S764" s="22">
        <f t="shared" si="51"/>
        <v>0</v>
      </c>
      <c r="V764" s="9">
        <f t="shared" si="52"/>
        <v>0</v>
      </c>
      <c r="Y764" s="9">
        <f t="shared" si="53"/>
        <v>0</v>
      </c>
      <c r="AD764" s="4" t="s">
        <v>2834</v>
      </c>
      <c r="AE764" s="4" t="s">
        <v>2835</v>
      </c>
      <c r="AF764" s="4" t="s">
        <v>2836</v>
      </c>
    </row>
    <row r="765" spans="1:35" ht="409.6" x14ac:dyDescent="0.3">
      <c r="A765" s="10" t="s">
        <v>2837</v>
      </c>
      <c r="B765" s="10"/>
      <c r="C765" s="24" t="s">
        <v>2838</v>
      </c>
      <c r="D765" s="12"/>
      <c r="E765" s="12" t="s">
        <v>2839</v>
      </c>
      <c r="F765" s="18" t="s">
        <v>116</v>
      </c>
      <c r="G765" s="19">
        <v>1</v>
      </c>
      <c r="H765" s="20"/>
      <c r="I765" s="20">
        <v>1</v>
      </c>
      <c r="J765" s="21">
        <v>0</v>
      </c>
      <c r="M765" s="22">
        <f t="shared" si="50"/>
        <v>0</v>
      </c>
      <c r="P765" s="23">
        <v>0</v>
      </c>
      <c r="S765" s="22">
        <f t="shared" si="51"/>
        <v>0</v>
      </c>
      <c r="V765" s="9">
        <f t="shared" si="52"/>
        <v>0</v>
      </c>
      <c r="Y765" s="9">
        <f t="shared" si="53"/>
        <v>0</v>
      </c>
      <c r="AD765" s="4" t="s">
        <v>2840</v>
      </c>
      <c r="AE765" s="4" t="s">
        <v>2841</v>
      </c>
      <c r="AF765" s="4" t="s">
        <v>2842</v>
      </c>
    </row>
    <row r="766" spans="1:35" ht="396" x14ac:dyDescent="0.3">
      <c r="A766" s="10" t="s">
        <v>2843</v>
      </c>
      <c r="B766" s="10"/>
      <c r="C766" s="24" t="s">
        <v>2844</v>
      </c>
      <c r="D766" s="12"/>
      <c r="E766" s="12" t="s">
        <v>2845</v>
      </c>
      <c r="F766" s="18" t="s">
        <v>116</v>
      </c>
      <c r="G766" s="19">
        <v>1</v>
      </c>
      <c r="H766" s="20"/>
      <c r="I766" s="20">
        <v>4</v>
      </c>
      <c r="J766" s="21">
        <v>0</v>
      </c>
      <c r="M766" s="22">
        <f t="shared" si="50"/>
        <v>0</v>
      </c>
      <c r="P766" s="23">
        <v>0</v>
      </c>
      <c r="S766" s="22">
        <f t="shared" si="51"/>
        <v>0</v>
      </c>
      <c r="V766" s="9">
        <f t="shared" si="52"/>
        <v>0</v>
      </c>
      <c r="Y766" s="9">
        <f t="shared" si="53"/>
        <v>0</v>
      </c>
      <c r="AD766" s="4" t="s">
        <v>2846</v>
      </c>
      <c r="AE766" s="4" t="s">
        <v>2847</v>
      </c>
      <c r="AF766" s="4" t="s">
        <v>2848</v>
      </c>
    </row>
    <row r="767" spans="1:35" ht="396" x14ac:dyDescent="0.3">
      <c r="A767" s="10" t="s">
        <v>2849</v>
      </c>
      <c r="B767" s="10"/>
      <c r="C767" s="24" t="s">
        <v>2850</v>
      </c>
      <c r="D767" s="12"/>
      <c r="E767" s="12" t="s">
        <v>2851</v>
      </c>
      <c r="F767" s="18" t="s">
        <v>116</v>
      </c>
      <c r="G767" s="19">
        <v>1</v>
      </c>
      <c r="H767" s="20"/>
      <c r="I767" s="20">
        <v>4</v>
      </c>
      <c r="J767" s="21">
        <v>0</v>
      </c>
      <c r="M767" s="22">
        <f t="shared" si="50"/>
        <v>0</v>
      </c>
      <c r="P767" s="23">
        <v>0</v>
      </c>
      <c r="S767" s="22">
        <f t="shared" si="51"/>
        <v>0</v>
      </c>
      <c r="V767" s="9">
        <f t="shared" si="52"/>
        <v>0</v>
      </c>
      <c r="Y767" s="9">
        <f t="shared" si="53"/>
        <v>0</v>
      </c>
      <c r="AD767" s="4" t="s">
        <v>2852</v>
      </c>
      <c r="AE767" s="4" t="s">
        <v>2853</v>
      </c>
      <c r="AF767" s="4" t="s">
        <v>2854</v>
      </c>
    </row>
    <row r="768" spans="1:35" ht="409.6" x14ac:dyDescent="0.3">
      <c r="A768" s="10" t="s">
        <v>2855</v>
      </c>
      <c r="B768" s="10"/>
      <c r="C768" s="24" t="s">
        <v>2856</v>
      </c>
      <c r="D768" s="12"/>
      <c r="E768" s="12" t="s">
        <v>2857</v>
      </c>
      <c r="F768" s="18" t="s">
        <v>116</v>
      </c>
      <c r="G768" s="19">
        <v>1</v>
      </c>
      <c r="H768" s="20"/>
      <c r="I768" s="20">
        <v>3</v>
      </c>
      <c r="J768" s="21">
        <v>0</v>
      </c>
      <c r="M768" s="22">
        <f t="shared" si="50"/>
        <v>0</v>
      </c>
      <c r="P768" s="23">
        <v>0</v>
      </c>
      <c r="S768" s="22">
        <f t="shared" si="51"/>
        <v>0</v>
      </c>
      <c r="V768" s="9">
        <f t="shared" si="52"/>
        <v>0</v>
      </c>
      <c r="Y768" s="9">
        <f t="shared" si="53"/>
        <v>0</v>
      </c>
      <c r="AD768" s="4" t="s">
        <v>2858</v>
      </c>
      <c r="AE768" s="4" t="s">
        <v>2859</v>
      </c>
      <c r="AF768" s="4" t="s">
        <v>2860</v>
      </c>
    </row>
    <row r="769" spans="1:35" ht="409.6" x14ac:dyDescent="0.3">
      <c r="A769" s="10" t="s">
        <v>2861</v>
      </c>
      <c r="B769" s="10"/>
      <c r="C769" s="24" t="s">
        <v>2862</v>
      </c>
      <c r="D769" s="12"/>
      <c r="E769" s="12" t="s">
        <v>2863</v>
      </c>
      <c r="F769" s="18" t="s">
        <v>116</v>
      </c>
      <c r="G769" s="19">
        <v>1</v>
      </c>
      <c r="H769" s="20"/>
      <c r="I769" s="20">
        <v>1</v>
      </c>
      <c r="J769" s="21">
        <v>0</v>
      </c>
      <c r="M769" s="22">
        <f t="shared" si="50"/>
        <v>0</v>
      </c>
      <c r="P769" s="23">
        <v>0</v>
      </c>
      <c r="S769" s="22">
        <f t="shared" si="51"/>
        <v>0</v>
      </c>
      <c r="V769" s="9">
        <f t="shared" si="52"/>
        <v>0</v>
      </c>
      <c r="Y769" s="9">
        <f t="shared" si="53"/>
        <v>0</v>
      </c>
      <c r="AD769" s="4" t="s">
        <v>2864</v>
      </c>
      <c r="AE769" s="4" t="s">
        <v>2865</v>
      </c>
      <c r="AF769" s="4" t="s">
        <v>2866</v>
      </c>
    </row>
    <row r="770" spans="1:35" ht="409.6" x14ac:dyDescent="0.3">
      <c r="A770" s="10" t="s">
        <v>2867</v>
      </c>
      <c r="B770" s="10"/>
      <c r="C770" s="24" t="s">
        <v>2868</v>
      </c>
      <c r="D770" s="12"/>
      <c r="E770" s="12" t="s">
        <v>2869</v>
      </c>
      <c r="F770" s="18" t="s">
        <v>116</v>
      </c>
      <c r="G770" s="19">
        <v>1</v>
      </c>
      <c r="H770" s="20"/>
      <c r="I770" s="20">
        <v>1</v>
      </c>
      <c r="J770" s="21">
        <v>0</v>
      </c>
      <c r="M770" s="22">
        <f t="shared" si="50"/>
        <v>0</v>
      </c>
      <c r="P770" s="23">
        <v>0</v>
      </c>
      <c r="S770" s="22">
        <f t="shared" si="51"/>
        <v>0</v>
      </c>
      <c r="V770" s="9">
        <f t="shared" si="52"/>
        <v>0</v>
      </c>
      <c r="Y770" s="9">
        <f t="shared" si="53"/>
        <v>0</v>
      </c>
      <c r="AD770" s="4" t="s">
        <v>2870</v>
      </c>
      <c r="AE770" s="4" t="s">
        <v>2871</v>
      </c>
      <c r="AF770" s="4" t="s">
        <v>2872</v>
      </c>
    </row>
    <row r="771" spans="1:35" ht="396" x14ac:dyDescent="0.3">
      <c r="A771" s="10" t="s">
        <v>2873</v>
      </c>
      <c r="B771" s="10"/>
      <c r="C771" s="24" t="s">
        <v>2874</v>
      </c>
      <c r="D771" s="12"/>
      <c r="E771" s="12" t="s">
        <v>2875</v>
      </c>
      <c r="F771" s="18" t="s">
        <v>116</v>
      </c>
      <c r="G771" s="19">
        <v>1</v>
      </c>
      <c r="H771" s="20"/>
      <c r="I771" s="20">
        <v>4</v>
      </c>
      <c r="J771" s="21">
        <v>0</v>
      </c>
      <c r="M771" s="22">
        <f t="shared" si="50"/>
        <v>0</v>
      </c>
      <c r="P771" s="23">
        <v>0</v>
      </c>
      <c r="S771" s="22">
        <f t="shared" si="51"/>
        <v>0</v>
      </c>
      <c r="V771" s="9">
        <f t="shared" si="52"/>
        <v>0</v>
      </c>
      <c r="Y771" s="9">
        <f t="shared" si="53"/>
        <v>0</v>
      </c>
      <c r="AD771" s="4" t="s">
        <v>2876</v>
      </c>
      <c r="AE771" s="4" t="s">
        <v>2877</v>
      </c>
      <c r="AF771" s="4" t="s">
        <v>2878</v>
      </c>
    </row>
    <row r="772" spans="1:35" ht="409.6" x14ac:dyDescent="0.3">
      <c r="A772" s="10" t="s">
        <v>2879</v>
      </c>
      <c r="B772" s="10"/>
      <c r="C772" s="24" t="s">
        <v>2880</v>
      </c>
      <c r="D772" s="12"/>
      <c r="E772" s="12" t="s">
        <v>2881</v>
      </c>
      <c r="F772" s="18" t="s">
        <v>116</v>
      </c>
      <c r="G772" s="19">
        <v>1</v>
      </c>
      <c r="H772" s="20"/>
      <c r="I772" s="20">
        <v>1</v>
      </c>
      <c r="J772" s="21">
        <v>0</v>
      </c>
      <c r="M772" s="22">
        <f t="shared" si="50"/>
        <v>0</v>
      </c>
      <c r="P772" s="23">
        <v>0</v>
      </c>
      <c r="S772" s="22">
        <f t="shared" si="51"/>
        <v>0</v>
      </c>
      <c r="V772" s="9">
        <f t="shared" si="52"/>
        <v>0</v>
      </c>
      <c r="Y772" s="9">
        <f t="shared" si="53"/>
        <v>0</v>
      </c>
      <c r="AD772" s="4" t="s">
        <v>2882</v>
      </c>
      <c r="AE772" s="4" t="s">
        <v>2883</v>
      </c>
      <c r="AF772" s="4" t="s">
        <v>2884</v>
      </c>
    </row>
    <row r="773" spans="1:35" ht="409.6" x14ac:dyDescent="0.3">
      <c r="A773" s="10" t="s">
        <v>2885</v>
      </c>
      <c r="B773" s="10"/>
      <c r="C773" s="24" t="s">
        <v>2886</v>
      </c>
      <c r="D773" s="12"/>
      <c r="E773" s="12" t="s">
        <v>2887</v>
      </c>
      <c r="F773" s="18" t="s">
        <v>116</v>
      </c>
      <c r="G773" s="19">
        <v>1</v>
      </c>
      <c r="H773" s="20"/>
      <c r="I773" s="20">
        <v>4</v>
      </c>
      <c r="J773" s="21">
        <v>0</v>
      </c>
      <c r="M773" s="22">
        <f t="shared" si="50"/>
        <v>0</v>
      </c>
      <c r="P773" s="23">
        <v>0</v>
      </c>
      <c r="S773" s="22">
        <f t="shared" si="51"/>
        <v>0</v>
      </c>
      <c r="V773" s="9">
        <f t="shared" si="52"/>
        <v>0</v>
      </c>
      <c r="Y773" s="9">
        <f t="shared" si="53"/>
        <v>0</v>
      </c>
      <c r="AD773" s="4" t="s">
        <v>2888</v>
      </c>
      <c r="AE773" s="4" t="s">
        <v>2889</v>
      </c>
      <c r="AF773" s="4" t="s">
        <v>2890</v>
      </c>
    </row>
    <row r="774" spans="1:35" ht="54" x14ac:dyDescent="0.3">
      <c r="A774" s="10" t="s">
        <v>2891</v>
      </c>
      <c r="B774" s="10" t="s">
        <v>2766</v>
      </c>
      <c r="C774" s="11" t="s">
        <v>2767</v>
      </c>
      <c r="D774" s="12"/>
      <c r="E774" s="12" t="s">
        <v>2768</v>
      </c>
      <c r="F774" s="12" t="s">
        <v>116</v>
      </c>
      <c r="G774" s="13">
        <v>1</v>
      </c>
      <c r="H774" s="13"/>
      <c r="I774" s="13">
        <v>55</v>
      </c>
      <c r="J774" s="14">
        <f>IFERROR(ROUND(SUM(M775,M776,M777,M778,M779,M780,M781,M782,M783,M784,M785,M786,M787,M788,M789,M790,M791)/I774, 2),0)</f>
        <v>0</v>
      </c>
      <c r="K774" s="15">
        <v>3271</v>
      </c>
      <c r="L774" s="14">
        <f>J774+ROUND(K774, 2)</f>
        <v>3271</v>
      </c>
      <c r="M774" s="14">
        <f>ROUND(J774*I774, 2)</f>
        <v>0</v>
      </c>
      <c r="N774" s="14">
        <f>ROUND(I774*ROUND(K774, 2), 2)</f>
        <v>179905</v>
      </c>
      <c r="O774" s="14">
        <f>M774+N774</f>
        <v>179905</v>
      </c>
      <c r="P774" s="14">
        <f>IFERROR(ROUND(SUM(S775,S776,S777,S778,S779,S780,S781,S782,S783,S784,S785,S786,S787,S788,S789,S790,S791)/I774, 2),0)</f>
        <v>0</v>
      </c>
      <c r="Q774" s="16">
        <v>3271</v>
      </c>
      <c r="R774" s="14">
        <f>P774+ROUND(Q774, 2)</f>
        <v>3271</v>
      </c>
      <c r="S774" s="14">
        <f>ROUND(P774*I774, 2)</f>
        <v>0</v>
      </c>
      <c r="T774" s="14">
        <f>ROUND(I774*ROUND(Q774, 2), 2)</f>
        <v>179905</v>
      </c>
      <c r="U774" s="14">
        <f>S774+T774</f>
        <v>179905</v>
      </c>
      <c r="V774" s="9">
        <f>ROUND(P774 / 1.2, 2)</f>
        <v>0</v>
      </c>
      <c r="W774" s="9">
        <f>ROUND(Q774 / 1.2, 2)</f>
        <v>2725.83</v>
      </c>
      <c r="X774" s="9">
        <f>ROUND(R774 / 1.2, 2)</f>
        <v>2725.83</v>
      </c>
      <c r="Y774" s="9">
        <f t="shared" si="53"/>
        <v>0</v>
      </c>
      <c r="Z774" s="9">
        <f>ROUND(T774 / 1.2, 2)</f>
        <v>149920.82999999999</v>
      </c>
      <c r="AA774" s="9">
        <f>Y774+Z774</f>
        <v>149920.82999999999</v>
      </c>
      <c r="AD774" s="4">
        <v>271132303</v>
      </c>
      <c r="AE774" s="4">
        <v>19830252</v>
      </c>
      <c r="AG774" s="4" t="s">
        <v>2769</v>
      </c>
      <c r="AH774" s="4" t="s">
        <v>2770</v>
      </c>
      <c r="AI774" s="4" t="s">
        <v>67</v>
      </c>
    </row>
    <row r="775" spans="1:35" ht="409.6" x14ac:dyDescent="0.3">
      <c r="A775" s="10" t="s">
        <v>2892</v>
      </c>
      <c r="B775" s="10"/>
      <c r="C775" s="24" t="s">
        <v>2772</v>
      </c>
      <c r="D775" s="12"/>
      <c r="E775" s="12" t="s">
        <v>2893</v>
      </c>
      <c r="F775" s="18" t="s">
        <v>116</v>
      </c>
      <c r="G775" s="19">
        <v>1</v>
      </c>
      <c r="H775" s="20"/>
      <c r="I775" s="20">
        <v>3</v>
      </c>
      <c r="J775" s="21">
        <v>0</v>
      </c>
      <c r="M775" s="22">
        <f t="shared" ref="M775:M791" si="54">ROUND(ROUND(J775, 2)*I775, 2)</f>
        <v>0</v>
      </c>
      <c r="P775" s="23">
        <v>0</v>
      </c>
      <c r="S775" s="22">
        <f t="shared" ref="S775:S791" si="55">ROUND(ROUND(P775, 2)*I775, 2)</f>
        <v>0</v>
      </c>
      <c r="V775" s="9">
        <f t="shared" ref="V775:V791" si="56">ROUND(ROUND(P775, 2)/1.2, 2)</f>
        <v>0</v>
      </c>
      <c r="Y775" s="9">
        <f t="shared" si="53"/>
        <v>0</v>
      </c>
      <c r="AD775" s="4" t="s">
        <v>2894</v>
      </c>
      <c r="AE775" s="4" t="s">
        <v>2895</v>
      </c>
      <c r="AF775" s="4" t="s">
        <v>2776</v>
      </c>
    </row>
    <row r="776" spans="1:35" ht="378" x14ac:dyDescent="0.3">
      <c r="A776" s="10" t="s">
        <v>2896</v>
      </c>
      <c r="B776" s="10"/>
      <c r="C776" s="24" t="s">
        <v>2897</v>
      </c>
      <c r="D776" s="12"/>
      <c r="E776" s="12" t="s">
        <v>2898</v>
      </c>
      <c r="F776" s="18" t="s">
        <v>116</v>
      </c>
      <c r="G776" s="19">
        <v>1</v>
      </c>
      <c r="H776" s="20"/>
      <c r="I776" s="20">
        <v>1</v>
      </c>
      <c r="J776" s="21">
        <v>0</v>
      </c>
      <c r="M776" s="22">
        <f t="shared" si="54"/>
        <v>0</v>
      </c>
      <c r="P776" s="23">
        <v>0</v>
      </c>
      <c r="S776" s="22">
        <f t="shared" si="55"/>
        <v>0</v>
      </c>
      <c r="V776" s="9">
        <f t="shared" si="56"/>
        <v>0</v>
      </c>
      <c r="Y776" s="9">
        <f t="shared" si="53"/>
        <v>0</v>
      </c>
      <c r="AD776" s="4" t="s">
        <v>2899</v>
      </c>
      <c r="AE776" s="4" t="s">
        <v>2900</v>
      </c>
      <c r="AF776" s="4" t="s">
        <v>2901</v>
      </c>
    </row>
    <row r="777" spans="1:35" ht="342" x14ac:dyDescent="0.3">
      <c r="A777" s="10" t="s">
        <v>2902</v>
      </c>
      <c r="B777" s="10"/>
      <c r="C777" s="24" t="s">
        <v>2903</v>
      </c>
      <c r="D777" s="12"/>
      <c r="E777" s="12" t="s">
        <v>2904</v>
      </c>
      <c r="F777" s="18" t="s">
        <v>116</v>
      </c>
      <c r="G777" s="19">
        <v>1</v>
      </c>
      <c r="H777" s="20"/>
      <c r="I777" s="20">
        <v>2</v>
      </c>
      <c r="J777" s="21">
        <v>0</v>
      </c>
      <c r="M777" s="22">
        <f t="shared" si="54"/>
        <v>0</v>
      </c>
      <c r="P777" s="23">
        <v>0</v>
      </c>
      <c r="S777" s="22">
        <f t="shared" si="55"/>
        <v>0</v>
      </c>
      <c r="V777" s="9">
        <f t="shared" si="56"/>
        <v>0</v>
      </c>
      <c r="Y777" s="9">
        <f t="shared" si="53"/>
        <v>0</v>
      </c>
      <c r="AD777" s="4" t="s">
        <v>2905</v>
      </c>
      <c r="AE777" s="4" t="s">
        <v>2906</v>
      </c>
      <c r="AF777" s="4" t="s">
        <v>2907</v>
      </c>
    </row>
    <row r="778" spans="1:35" ht="324" x14ac:dyDescent="0.3">
      <c r="A778" s="10" t="s">
        <v>2908</v>
      </c>
      <c r="B778" s="10"/>
      <c r="C778" s="24" t="s">
        <v>2784</v>
      </c>
      <c r="D778" s="12"/>
      <c r="E778" s="12" t="s">
        <v>2909</v>
      </c>
      <c r="F778" s="18" t="s">
        <v>116</v>
      </c>
      <c r="G778" s="19">
        <v>1</v>
      </c>
      <c r="H778" s="20"/>
      <c r="I778" s="20">
        <v>2</v>
      </c>
      <c r="J778" s="21">
        <v>0</v>
      </c>
      <c r="M778" s="22">
        <f t="shared" si="54"/>
        <v>0</v>
      </c>
      <c r="P778" s="23">
        <v>0</v>
      </c>
      <c r="S778" s="22">
        <f t="shared" si="55"/>
        <v>0</v>
      </c>
      <c r="V778" s="9">
        <f t="shared" si="56"/>
        <v>0</v>
      </c>
      <c r="Y778" s="9">
        <f t="shared" si="53"/>
        <v>0</v>
      </c>
      <c r="AD778" s="4" t="s">
        <v>2910</v>
      </c>
      <c r="AE778" s="4" t="s">
        <v>2911</v>
      </c>
      <c r="AF778" s="4" t="s">
        <v>2788</v>
      </c>
    </row>
    <row r="779" spans="1:35" ht="342" x14ac:dyDescent="0.3">
      <c r="A779" s="10" t="s">
        <v>2912</v>
      </c>
      <c r="B779" s="10"/>
      <c r="C779" s="24" t="s">
        <v>2913</v>
      </c>
      <c r="D779" s="12"/>
      <c r="E779" s="12" t="s">
        <v>2914</v>
      </c>
      <c r="F779" s="18" t="s">
        <v>116</v>
      </c>
      <c r="G779" s="19">
        <v>1</v>
      </c>
      <c r="H779" s="20"/>
      <c r="I779" s="20">
        <v>3</v>
      </c>
      <c r="J779" s="21">
        <v>0</v>
      </c>
      <c r="M779" s="22">
        <f t="shared" si="54"/>
        <v>0</v>
      </c>
      <c r="P779" s="23">
        <v>0</v>
      </c>
      <c r="S779" s="22">
        <f t="shared" si="55"/>
        <v>0</v>
      </c>
      <c r="V779" s="9">
        <f t="shared" si="56"/>
        <v>0</v>
      </c>
      <c r="Y779" s="9">
        <f t="shared" si="53"/>
        <v>0</v>
      </c>
      <c r="AD779" s="4" t="s">
        <v>2915</v>
      </c>
      <c r="AE779" s="4" t="s">
        <v>2916</v>
      </c>
      <c r="AF779" s="4" t="s">
        <v>2917</v>
      </c>
    </row>
    <row r="780" spans="1:35" ht="409.6" x14ac:dyDescent="0.3">
      <c r="A780" s="10" t="s">
        <v>2918</v>
      </c>
      <c r="B780" s="10"/>
      <c r="C780" s="24" t="s">
        <v>2796</v>
      </c>
      <c r="D780" s="12"/>
      <c r="E780" s="12" t="s">
        <v>2919</v>
      </c>
      <c r="F780" s="18" t="s">
        <v>116</v>
      </c>
      <c r="G780" s="19">
        <v>1</v>
      </c>
      <c r="H780" s="20"/>
      <c r="I780" s="20">
        <v>1</v>
      </c>
      <c r="J780" s="21">
        <v>0</v>
      </c>
      <c r="M780" s="22">
        <f t="shared" si="54"/>
        <v>0</v>
      </c>
      <c r="P780" s="23">
        <v>0</v>
      </c>
      <c r="S780" s="22">
        <f t="shared" si="55"/>
        <v>0</v>
      </c>
      <c r="V780" s="9">
        <f t="shared" si="56"/>
        <v>0</v>
      </c>
      <c r="Y780" s="9">
        <f t="shared" si="53"/>
        <v>0</v>
      </c>
      <c r="AD780" s="4" t="s">
        <v>2920</v>
      </c>
      <c r="AE780" s="4" t="s">
        <v>2921</v>
      </c>
      <c r="AF780" s="4" t="s">
        <v>2800</v>
      </c>
    </row>
    <row r="781" spans="1:35" ht="396" x14ac:dyDescent="0.3">
      <c r="A781" s="10" t="s">
        <v>2922</v>
      </c>
      <c r="B781" s="10"/>
      <c r="C781" s="24" t="s">
        <v>2814</v>
      </c>
      <c r="D781" s="12"/>
      <c r="E781" s="12" t="s">
        <v>2923</v>
      </c>
      <c r="F781" s="18" t="s">
        <v>116</v>
      </c>
      <c r="G781" s="19">
        <v>1</v>
      </c>
      <c r="H781" s="20"/>
      <c r="I781" s="20">
        <v>2</v>
      </c>
      <c r="J781" s="21">
        <v>0</v>
      </c>
      <c r="M781" s="22">
        <f t="shared" si="54"/>
        <v>0</v>
      </c>
      <c r="P781" s="23">
        <v>0</v>
      </c>
      <c r="S781" s="22">
        <f t="shared" si="55"/>
        <v>0</v>
      </c>
      <c r="V781" s="9">
        <f t="shared" si="56"/>
        <v>0</v>
      </c>
      <c r="Y781" s="9">
        <f t="shared" si="53"/>
        <v>0</v>
      </c>
      <c r="AD781" s="4" t="s">
        <v>2924</v>
      </c>
      <c r="AE781" s="4" t="s">
        <v>2925</v>
      </c>
      <c r="AF781" s="4" t="s">
        <v>2818</v>
      </c>
    </row>
    <row r="782" spans="1:35" ht="342" x14ac:dyDescent="0.3">
      <c r="A782" s="10" t="s">
        <v>2926</v>
      </c>
      <c r="B782" s="10"/>
      <c r="C782" s="24" t="s">
        <v>2927</v>
      </c>
      <c r="D782" s="12"/>
      <c r="E782" s="12" t="s">
        <v>2928</v>
      </c>
      <c r="F782" s="18" t="s">
        <v>116</v>
      </c>
      <c r="G782" s="19">
        <v>1</v>
      </c>
      <c r="H782" s="20"/>
      <c r="I782" s="20">
        <v>2</v>
      </c>
      <c r="J782" s="21">
        <v>0</v>
      </c>
      <c r="M782" s="22">
        <f t="shared" si="54"/>
        <v>0</v>
      </c>
      <c r="P782" s="23">
        <v>0</v>
      </c>
      <c r="S782" s="22">
        <f t="shared" si="55"/>
        <v>0</v>
      </c>
      <c r="V782" s="9">
        <f t="shared" si="56"/>
        <v>0</v>
      </c>
      <c r="Y782" s="9">
        <f t="shared" si="53"/>
        <v>0</v>
      </c>
      <c r="AD782" s="4" t="s">
        <v>2929</v>
      </c>
      <c r="AE782" s="4" t="s">
        <v>2930</v>
      </c>
      <c r="AF782" s="4" t="s">
        <v>2931</v>
      </c>
    </row>
    <row r="783" spans="1:35" ht="378" x14ac:dyDescent="0.3">
      <c r="A783" s="10" t="s">
        <v>2932</v>
      </c>
      <c r="B783" s="10"/>
      <c r="C783" s="24" t="s">
        <v>2832</v>
      </c>
      <c r="D783" s="12"/>
      <c r="E783" s="12" t="s">
        <v>2933</v>
      </c>
      <c r="F783" s="18" t="s">
        <v>116</v>
      </c>
      <c r="G783" s="19">
        <v>1</v>
      </c>
      <c r="H783" s="20"/>
      <c r="I783" s="20">
        <v>5</v>
      </c>
      <c r="J783" s="21">
        <v>0</v>
      </c>
      <c r="M783" s="22">
        <f t="shared" si="54"/>
        <v>0</v>
      </c>
      <c r="P783" s="23">
        <v>0</v>
      </c>
      <c r="S783" s="22">
        <f t="shared" si="55"/>
        <v>0</v>
      </c>
      <c r="V783" s="9">
        <f t="shared" si="56"/>
        <v>0</v>
      </c>
      <c r="Y783" s="9">
        <f t="shared" si="53"/>
        <v>0</v>
      </c>
      <c r="AD783" s="4" t="s">
        <v>2934</v>
      </c>
      <c r="AE783" s="4" t="s">
        <v>2935</v>
      </c>
      <c r="AF783" s="4" t="s">
        <v>2836</v>
      </c>
    </row>
    <row r="784" spans="1:35" ht="342" x14ac:dyDescent="0.3">
      <c r="A784" s="10" t="s">
        <v>2936</v>
      </c>
      <c r="B784" s="10"/>
      <c r="C784" s="24" t="s">
        <v>2838</v>
      </c>
      <c r="D784" s="12"/>
      <c r="E784" s="12" t="s">
        <v>2937</v>
      </c>
      <c r="F784" s="18" t="s">
        <v>116</v>
      </c>
      <c r="G784" s="19">
        <v>1</v>
      </c>
      <c r="H784" s="20"/>
      <c r="I784" s="20">
        <v>5</v>
      </c>
      <c r="J784" s="21">
        <v>0</v>
      </c>
      <c r="M784" s="22">
        <f t="shared" si="54"/>
        <v>0</v>
      </c>
      <c r="P784" s="23">
        <v>0</v>
      </c>
      <c r="S784" s="22">
        <f t="shared" si="55"/>
        <v>0</v>
      </c>
      <c r="V784" s="9">
        <f t="shared" si="56"/>
        <v>0</v>
      </c>
      <c r="Y784" s="9">
        <f t="shared" si="53"/>
        <v>0</v>
      </c>
      <c r="AD784" s="4" t="s">
        <v>2938</v>
      </c>
      <c r="AE784" s="4" t="s">
        <v>2939</v>
      </c>
      <c r="AF784" s="4" t="s">
        <v>2842</v>
      </c>
    </row>
    <row r="785" spans="1:35" ht="360" x14ac:dyDescent="0.3">
      <c r="A785" s="10" t="s">
        <v>2940</v>
      </c>
      <c r="B785" s="10"/>
      <c r="C785" s="24" t="s">
        <v>2941</v>
      </c>
      <c r="D785" s="12"/>
      <c r="E785" s="12" t="s">
        <v>2942</v>
      </c>
      <c r="F785" s="18" t="s">
        <v>116</v>
      </c>
      <c r="G785" s="19">
        <v>1</v>
      </c>
      <c r="H785" s="20"/>
      <c r="I785" s="20">
        <v>15</v>
      </c>
      <c r="J785" s="21">
        <v>0</v>
      </c>
      <c r="M785" s="22">
        <f t="shared" si="54"/>
        <v>0</v>
      </c>
      <c r="P785" s="23">
        <v>0</v>
      </c>
      <c r="S785" s="22">
        <f t="shared" si="55"/>
        <v>0</v>
      </c>
      <c r="V785" s="9">
        <f t="shared" si="56"/>
        <v>0</v>
      </c>
      <c r="Y785" s="9">
        <f t="shared" si="53"/>
        <v>0</v>
      </c>
      <c r="AD785" s="4" t="s">
        <v>2943</v>
      </c>
      <c r="AE785" s="4" t="s">
        <v>2944</v>
      </c>
      <c r="AF785" s="4" t="s">
        <v>2945</v>
      </c>
    </row>
    <row r="786" spans="1:35" ht="396" x14ac:dyDescent="0.3">
      <c r="A786" s="10" t="s">
        <v>2946</v>
      </c>
      <c r="B786" s="10"/>
      <c r="C786" s="24" t="s">
        <v>2844</v>
      </c>
      <c r="D786" s="12"/>
      <c r="E786" s="12" t="s">
        <v>2947</v>
      </c>
      <c r="F786" s="18" t="s">
        <v>116</v>
      </c>
      <c r="G786" s="19">
        <v>1</v>
      </c>
      <c r="H786" s="20"/>
      <c r="I786" s="20">
        <v>1</v>
      </c>
      <c r="J786" s="21">
        <v>0</v>
      </c>
      <c r="M786" s="22">
        <f t="shared" si="54"/>
        <v>0</v>
      </c>
      <c r="P786" s="23">
        <v>0</v>
      </c>
      <c r="S786" s="22">
        <f t="shared" si="55"/>
        <v>0</v>
      </c>
      <c r="V786" s="9">
        <f t="shared" si="56"/>
        <v>0</v>
      </c>
      <c r="Y786" s="9">
        <f t="shared" si="53"/>
        <v>0</v>
      </c>
      <c r="AD786" s="4" t="s">
        <v>2948</v>
      </c>
      <c r="AE786" s="4" t="s">
        <v>2949</v>
      </c>
      <c r="AF786" s="4" t="s">
        <v>2848</v>
      </c>
    </row>
    <row r="787" spans="1:35" ht="342" x14ac:dyDescent="0.3">
      <c r="A787" s="10" t="s">
        <v>2950</v>
      </c>
      <c r="B787" s="10"/>
      <c r="C787" s="24" t="s">
        <v>2862</v>
      </c>
      <c r="D787" s="12"/>
      <c r="E787" s="12" t="s">
        <v>2951</v>
      </c>
      <c r="F787" s="18" t="s">
        <v>116</v>
      </c>
      <c r="G787" s="19">
        <v>1</v>
      </c>
      <c r="H787" s="20"/>
      <c r="I787" s="20">
        <v>2</v>
      </c>
      <c r="J787" s="21">
        <v>0</v>
      </c>
      <c r="M787" s="22">
        <f t="shared" si="54"/>
        <v>0</v>
      </c>
      <c r="P787" s="23">
        <v>0</v>
      </c>
      <c r="S787" s="22">
        <f t="shared" si="55"/>
        <v>0</v>
      </c>
      <c r="V787" s="9">
        <f t="shared" si="56"/>
        <v>0</v>
      </c>
      <c r="Y787" s="9">
        <f t="shared" si="53"/>
        <v>0</v>
      </c>
      <c r="AD787" s="4" t="s">
        <v>2952</v>
      </c>
      <c r="AE787" s="4" t="s">
        <v>2953</v>
      </c>
      <c r="AF787" s="4" t="s">
        <v>2866</v>
      </c>
    </row>
    <row r="788" spans="1:35" ht="360" x14ac:dyDescent="0.3">
      <c r="A788" s="10" t="s">
        <v>2954</v>
      </c>
      <c r="B788" s="10"/>
      <c r="C788" s="24" t="s">
        <v>2868</v>
      </c>
      <c r="D788" s="12"/>
      <c r="E788" s="12" t="s">
        <v>2955</v>
      </c>
      <c r="F788" s="18" t="s">
        <v>116</v>
      </c>
      <c r="G788" s="19">
        <v>1</v>
      </c>
      <c r="H788" s="20"/>
      <c r="I788" s="20">
        <v>4</v>
      </c>
      <c r="J788" s="21">
        <v>0</v>
      </c>
      <c r="M788" s="22">
        <f t="shared" si="54"/>
        <v>0</v>
      </c>
      <c r="P788" s="23">
        <v>0</v>
      </c>
      <c r="S788" s="22">
        <f t="shared" si="55"/>
        <v>0</v>
      </c>
      <c r="V788" s="9">
        <f t="shared" si="56"/>
        <v>0</v>
      </c>
      <c r="Y788" s="9">
        <f t="shared" si="53"/>
        <v>0</v>
      </c>
      <c r="AD788" s="4" t="s">
        <v>2956</v>
      </c>
      <c r="AE788" s="4" t="s">
        <v>2957</v>
      </c>
      <c r="AF788" s="4" t="s">
        <v>2872</v>
      </c>
    </row>
    <row r="789" spans="1:35" ht="378" x14ac:dyDescent="0.3">
      <c r="A789" s="10" t="s">
        <v>2958</v>
      </c>
      <c r="B789" s="10"/>
      <c r="C789" s="24" t="s">
        <v>2959</v>
      </c>
      <c r="D789" s="12"/>
      <c r="E789" s="12" t="s">
        <v>2960</v>
      </c>
      <c r="F789" s="18" t="s">
        <v>116</v>
      </c>
      <c r="G789" s="19">
        <v>1</v>
      </c>
      <c r="H789" s="20"/>
      <c r="I789" s="20">
        <v>4</v>
      </c>
      <c r="J789" s="21">
        <v>0</v>
      </c>
      <c r="M789" s="22">
        <f t="shared" si="54"/>
        <v>0</v>
      </c>
      <c r="P789" s="23">
        <v>0</v>
      </c>
      <c r="S789" s="22">
        <f t="shared" si="55"/>
        <v>0</v>
      </c>
      <c r="V789" s="9">
        <f t="shared" si="56"/>
        <v>0</v>
      </c>
      <c r="Y789" s="9">
        <f t="shared" si="53"/>
        <v>0</v>
      </c>
      <c r="AD789" s="4" t="s">
        <v>2961</v>
      </c>
      <c r="AE789" s="4" t="s">
        <v>2962</v>
      </c>
      <c r="AF789" s="4" t="s">
        <v>2963</v>
      </c>
    </row>
    <row r="790" spans="1:35" ht="324" x14ac:dyDescent="0.3">
      <c r="A790" s="10" t="s">
        <v>2964</v>
      </c>
      <c r="B790" s="10"/>
      <c r="C790" s="24" t="s">
        <v>2874</v>
      </c>
      <c r="D790" s="12"/>
      <c r="E790" s="12" t="s">
        <v>2965</v>
      </c>
      <c r="F790" s="18" t="s">
        <v>116</v>
      </c>
      <c r="G790" s="19">
        <v>1</v>
      </c>
      <c r="H790" s="20"/>
      <c r="I790" s="20">
        <v>1</v>
      </c>
      <c r="J790" s="21">
        <v>0</v>
      </c>
      <c r="M790" s="22">
        <f t="shared" si="54"/>
        <v>0</v>
      </c>
      <c r="P790" s="23">
        <v>0</v>
      </c>
      <c r="S790" s="22">
        <f t="shared" si="55"/>
        <v>0</v>
      </c>
      <c r="V790" s="9">
        <f t="shared" si="56"/>
        <v>0</v>
      </c>
      <c r="Y790" s="9">
        <f t="shared" si="53"/>
        <v>0</v>
      </c>
      <c r="AD790" s="4" t="s">
        <v>2966</v>
      </c>
      <c r="AE790" s="4" t="s">
        <v>2967</v>
      </c>
      <c r="AF790" s="4" t="s">
        <v>2878</v>
      </c>
    </row>
    <row r="791" spans="1:35" ht="324" x14ac:dyDescent="0.3">
      <c r="A791" s="10" t="s">
        <v>2968</v>
      </c>
      <c r="B791" s="10"/>
      <c r="C791" s="24" t="s">
        <v>2969</v>
      </c>
      <c r="D791" s="12"/>
      <c r="E791" s="12" t="s">
        <v>2970</v>
      </c>
      <c r="F791" s="18" t="s">
        <v>116</v>
      </c>
      <c r="G791" s="19">
        <v>1</v>
      </c>
      <c r="H791" s="20"/>
      <c r="I791" s="20">
        <v>2</v>
      </c>
      <c r="J791" s="21">
        <v>0</v>
      </c>
      <c r="M791" s="22">
        <f t="shared" si="54"/>
        <v>0</v>
      </c>
      <c r="P791" s="23">
        <v>0</v>
      </c>
      <c r="S791" s="22">
        <f t="shared" si="55"/>
        <v>0</v>
      </c>
      <c r="V791" s="9">
        <f t="shared" si="56"/>
        <v>0</v>
      </c>
      <c r="Y791" s="9">
        <f t="shared" si="53"/>
        <v>0</v>
      </c>
      <c r="AD791" s="4" t="s">
        <v>2971</v>
      </c>
      <c r="AE791" s="4" t="s">
        <v>2972</v>
      </c>
      <c r="AF791" s="4" t="s">
        <v>2973</v>
      </c>
    </row>
    <row r="792" spans="1:35" ht="17.100000000000001" customHeight="1" x14ac:dyDescent="0.3">
      <c r="A792" s="10" t="s">
        <v>2974</v>
      </c>
      <c r="B792" s="10" t="s">
        <v>2975</v>
      </c>
      <c r="C792" s="185" t="s">
        <v>2976</v>
      </c>
      <c r="D792" s="186"/>
      <c r="E792" s="186"/>
      <c r="F792" s="186"/>
      <c r="G792" s="186"/>
      <c r="H792" s="186"/>
      <c r="I792" s="187"/>
      <c r="M792" s="6">
        <f t="shared" ref="M792:O794" si="57">SUM(M793)</f>
        <v>0</v>
      </c>
      <c r="N792" s="6">
        <f t="shared" si="57"/>
        <v>1057732.71</v>
      </c>
      <c r="O792" s="6">
        <f t="shared" si="57"/>
        <v>1057732.71</v>
      </c>
      <c r="S792" s="6">
        <f t="shared" ref="S792:U794" si="58">SUM(S793)</f>
        <v>0</v>
      </c>
      <c r="T792" s="6">
        <f t="shared" si="58"/>
        <v>1057732.71</v>
      </c>
      <c r="U792" s="6">
        <f t="shared" si="58"/>
        <v>1057732.71</v>
      </c>
      <c r="Y792" s="9">
        <f t="shared" ref="Y792:AA794" si="59">SUM(Y793)</f>
        <v>0</v>
      </c>
      <c r="Z792" s="9">
        <f t="shared" si="59"/>
        <v>881443.93</v>
      </c>
      <c r="AA792" s="9" t="e">
        <f t="shared" si="59"/>
        <v>#VALUE!</v>
      </c>
      <c r="AD792" s="4">
        <v>271132155</v>
      </c>
      <c r="AE792" s="4">
        <v>16297775</v>
      </c>
    </row>
    <row r="793" spans="1:35" ht="17.100000000000001" customHeight="1" x14ac:dyDescent="0.3">
      <c r="A793" s="10" t="s">
        <v>2977</v>
      </c>
      <c r="B793" s="10" t="s">
        <v>2978</v>
      </c>
      <c r="C793" s="185" t="s">
        <v>2979</v>
      </c>
      <c r="D793" s="186"/>
      <c r="E793" s="186"/>
      <c r="F793" s="186"/>
      <c r="G793" s="186"/>
      <c r="H793" s="186"/>
      <c r="I793" s="187"/>
      <c r="M793" s="6">
        <f t="shared" si="57"/>
        <v>0</v>
      </c>
      <c r="N793" s="6">
        <f t="shared" si="57"/>
        <v>1057732.71</v>
      </c>
      <c r="O793" s="6">
        <f t="shared" si="57"/>
        <v>1057732.71</v>
      </c>
      <c r="S793" s="6">
        <f t="shared" si="58"/>
        <v>0</v>
      </c>
      <c r="T793" s="6">
        <f t="shared" si="58"/>
        <v>1057732.71</v>
      </c>
      <c r="U793" s="6">
        <f t="shared" si="58"/>
        <v>1057732.71</v>
      </c>
      <c r="Y793" s="9">
        <f t="shared" si="59"/>
        <v>0</v>
      </c>
      <c r="Z793" s="9">
        <f t="shared" si="59"/>
        <v>881443.93</v>
      </c>
      <c r="AA793" s="9" t="e">
        <f t="shared" si="59"/>
        <v>#VALUE!</v>
      </c>
      <c r="AD793" s="4">
        <v>271132156</v>
      </c>
      <c r="AE793" s="4">
        <v>16297777</v>
      </c>
    </row>
    <row r="794" spans="1:35" ht="17.100000000000001" customHeight="1" x14ac:dyDescent="0.3">
      <c r="A794" s="10" t="s">
        <v>2980</v>
      </c>
      <c r="B794" s="10" t="s">
        <v>2981</v>
      </c>
      <c r="C794" s="185" t="s">
        <v>2982</v>
      </c>
      <c r="D794" s="186"/>
      <c r="E794" s="186"/>
      <c r="F794" s="186"/>
      <c r="G794" s="186"/>
      <c r="H794" s="186"/>
      <c r="I794" s="187"/>
      <c r="M794" s="6">
        <f t="shared" si="57"/>
        <v>0</v>
      </c>
      <c r="N794" s="6">
        <f t="shared" si="57"/>
        <v>1057732.71</v>
      </c>
      <c r="O794" s="6">
        <f t="shared" si="57"/>
        <v>1057732.71</v>
      </c>
      <c r="S794" s="6">
        <f t="shared" si="58"/>
        <v>0</v>
      </c>
      <c r="T794" s="6">
        <f t="shared" si="58"/>
        <v>1057732.71</v>
      </c>
      <c r="U794" s="6">
        <f t="shared" si="58"/>
        <v>1057732.71</v>
      </c>
      <c r="Y794" s="9">
        <f t="shared" si="59"/>
        <v>0</v>
      </c>
      <c r="Z794" s="9">
        <f t="shared" si="59"/>
        <v>881443.93</v>
      </c>
      <c r="AA794" s="9" t="e">
        <f t="shared" si="59"/>
        <v>#VALUE!</v>
      </c>
      <c r="AD794" s="4">
        <v>271132157</v>
      </c>
      <c r="AE794" s="4">
        <v>16297776</v>
      </c>
    </row>
    <row r="795" spans="1:35" ht="90" x14ac:dyDescent="0.3">
      <c r="A795" s="10" t="s">
        <v>2983</v>
      </c>
      <c r="B795" s="10" t="s">
        <v>2984</v>
      </c>
      <c r="C795" s="11" t="s">
        <v>2985</v>
      </c>
      <c r="D795" s="12"/>
      <c r="E795" s="12" t="s">
        <v>2986</v>
      </c>
      <c r="F795" s="12" t="s">
        <v>64</v>
      </c>
      <c r="G795" s="13">
        <v>1</v>
      </c>
      <c r="H795" s="13"/>
      <c r="I795" s="13">
        <v>1348.65</v>
      </c>
      <c r="J795" s="14">
        <v>0</v>
      </c>
      <c r="K795" s="15">
        <v>784.29</v>
      </c>
      <c r="L795" s="14">
        <f>J795+ROUND(K795, 2)</f>
        <v>784.29</v>
      </c>
      <c r="M795" s="14">
        <v>0</v>
      </c>
      <c r="N795" s="14">
        <f>ROUND(I795*ROUND(K795, 2), 2)</f>
        <v>1057732.71</v>
      </c>
      <c r="O795" s="14">
        <f>M795+N795</f>
        <v>1057732.71</v>
      </c>
      <c r="P795" s="14">
        <v>0</v>
      </c>
      <c r="Q795" s="16">
        <v>784.29</v>
      </c>
      <c r="R795" s="14">
        <f>P795+ROUND(Q795, 2)</f>
        <v>784.29</v>
      </c>
      <c r="S795" s="14">
        <v>0</v>
      </c>
      <c r="T795" s="14">
        <f>ROUND(I795*ROUND(Q795, 2), 2)</f>
        <v>1057732.71</v>
      </c>
      <c r="U795" s="14">
        <f>S795+T795</f>
        <v>1057732.71</v>
      </c>
      <c r="V795" s="9"/>
      <c r="W795" s="9">
        <f>ROUND(Q795 / 1.2, 2)</f>
        <v>653.58000000000004</v>
      </c>
      <c r="X795" s="9">
        <f>ROUND(R795 / 1.2, 2)</f>
        <v>653.58000000000004</v>
      </c>
      <c r="Y795" s="9"/>
      <c r="Z795" s="9">
        <f>ROUND(T795 / 1.2, 2)</f>
        <v>881443.93</v>
      </c>
      <c r="AA795" s="9" t="e">
        <f>Y795+Z795</f>
        <v>#VALUE!</v>
      </c>
      <c r="AD795" s="4">
        <v>271132159</v>
      </c>
      <c r="AE795" s="4">
        <v>19825979</v>
      </c>
      <c r="AG795" s="4" t="s">
        <v>2987</v>
      </c>
      <c r="AH795" s="4" t="s">
        <v>2988</v>
      </c>
      <c r="AI795" s="4" t="s">
        <v>2989</v>
      </c>
    </row>
    <row r="796" spans="1:35" ht="24" customHeight="1" x14ac:dyDescent="0.3">
      <c r="A796" s="68"/>
      <c r="B796" s="68"/>
      <c r="C796" s="68"/>
      <c r="D796" s="69" t="s">
        <v>2990</v>
      </c>
      <c r="E796" s="68"/>
      <c r="F796" s="68"/>
      <c r="G796" s="68"/>
      <c r="H796" s="68"/>
      <c r="I796" s="68"/>
      <c r="J796" s="68"/>
      <c r="K796" s="68"/>
      <c r="L796" s="68"/>
      <c r="M796" s="70">
        <f>SUM(M8)</f>
        <v>48343925.43</v>
      </c>
      <c r="N796" s="70">
        <f>SUM(N8)</f>
        <v>97174132.930000007</v>
      </c>
      <c r="O796" s="70">
        <f>M796+N796</f>
        <v>145518058.36000001</v>
      </c>
      <c r="P796" s="68"/>
      <c r="Q796" s="68"/>
      <c r="R796" s="68"/>
      <c r="S796" s="70">
        <f>SUM(S8)</f>
        <v>55954680.140000001</v>
      </c>
      <c r="T796" s="70">
        <f>SUM(T8)</f>
        <v>97174132.930000007</v>
      </c>
      <c r="U796" s="70">
        <f>S796+T796</f>
        <v>153128813.06999999</v>
      </c>
      <c r="Y796" s="9">
        <f>SUM(Y8)</f>
        <v>46628900.259999998</v>
      </c>
      <c r="Z796" s="9">
        <f>SUM(Z8)</f>
        <v>80978444.120000005</v>
      </c>
      <c r="AA796" s="9">
        <f>Y796+Z796</f>
        <v>127607344.38</v>
      </c>
    </row>
    <row r="797" spans="1:35" ht="22.8" x14ac:dyDescent="0.3">
      <c r="A797" s="192" t="s">
        <v>2999</v>
      </c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</row>
    <row r="798" spans="1:35" ht="15.6" x14ac:dyDescent="0.3">
      <c r="A798" s="72"/>
      <c r="B798" s="5" t="s">
        <v>3000</v>
      </c>
      <c r="C798" s="71" t="s">
        <v>3001</v>
      </c>
      <c r="D798" s="71" t="s">
        <v>3002</v>
      </c>
      <c r="E798" s="73"/>
      <c r="F798" s="73"/>
      <c r="G798" s="73"/>
      <c r="H798" s="188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189"/>
    </row>
    <row r="799" spans="1:35" ht="15.6" x14ac:dyDescent="0.3">
      <c r="A799" s="72"/>
      <c r="B799" s="5" t="s">
        <v>3003</v>
      </c>
      <c r="C799" s="71" t="s">
        <v>3004</v>
      </c>
      <c r="D799" s="71" t="s">
        <v>3005</v>
      </c>
      <c r="E799" s="73"/>
      <c r="F799" s="73"/>
      <c r="G799" s="73"/>
      <c r="H799" s="188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189"/>
    </row>
    <row r="800" spans="1:35" ht="31.2" x14ac:dyDescent="0.3">
      <c r="A800" s="72"/>
      <c r="B800" s="5" t="s">
        <v>3006</v>
      </c>
      <c r="C800" s="71" t="s">
        <v>3007</v>
      </c>
      <c r="D800" s="71" t="s">
        <v>3008</v>
      </c>
      <c r="E800" s="73"/>
      <c r="F800" s="73"/>
      <c r="G800" s="73"/>
      <c r="H800" s="188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189"/>
    </row>
    <row r="801" spans="1:21" ht="15.6" x14ac:dyDescent="0.3">
      <c r="A801" s="72"/>
      <c r="B801" s="5" t="s">
        <v>3009</v>
      </c>
      <c r="C801" s="71" t="s">
        <v>3010</v>
      </c>
      <c r="D801" s="71" t="s">
        <v>3011</v>
      </c>
      <c r="E801" s="73"/>
      <c r="F801" s="73"/>
      <c r="G801" s="73"/>
      <c r="H801" s="188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189"/>
    </row>
    <row r="802" spans="1:21" ht="15.6" x14ac:dyDescent="0.3">
      <c r="A802" s="72"/>
      <c r="B802" s="5" t="s">
        <v>3012</v>
      </c>
      <c r="C802" s="71" t="s">
        <v>3013</v>
      </c>
      <c r="D802" s="71" t="s">
        <v>3005</v>
      </c>
      <c r="E802" s="73"/>
      <c r="F802" s="73"/>
      <c r="G802" s="73"/>
      <c r="H802" s="188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189"/>
    </row>
    <row r="803" spans="1:21" ht="31.2" x14ac:dyDescent="0.3">
      <c r="A803" s="72"/>
      <c r="B803" s="5" t="s">
        <v>3014</v>
      </c>
      <c r="C803" s="71" t="s">
        <v>3015</v>
      </c>
      <c r="D803" s="71" t="s">
        <v>3016</v>
      </c>
      <c r="E803" s="73"/>
      <c r="F803" s="73"/>
      <c r="G803" s="73"/>
      <c r="H803" s="188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189"/>
    </row>
    <row r="804" spans="1:21" ht="31.2" x14ac:dyDescent="0.3">
      <c r="A804" s="72"/>
      <c r="B804" s="5" t="s">
        <v>3017</v>
      </c>
      <c r="C804" s="71" t="s">
        <v>3018</v>
      </c>
      <c r="D804" s="71" t="s">
        <v>3019</v>
      </c>
      <c r="E804" s="73"/>
      <c r="F804" s="73"/>
      <c r="G804" s="73"/>
      <c r="H804" s="188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189"/>
    </row>
    <row r="805" spans="1:21" ht="15.6" x14ac:dyDescent="0.3">
      <c r="A805" s="72"/>
      <c r="B805" s="5" t="s">
        <v>3020</v>
      </c>
      <c r="C805" s="71" t="s">
        <v>3021</v>
      </c>
      <c r="D805" s="71" t="s">
        <v>3022</v>
      </c>
      <c r="E805" s="73"/>
      <c r="F805" s="73"/>
      <c r="G805" s="73"/>
      <c r="H805" s="188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189"/>
    </row>
    <row r="806" spans="1:21" ht="15.6" x14ac:dyDescent="0.3">
      <c r="A806" s="72"/>
      <c r="B806" s="5" t="s">
        <v>3023</v>
      </c>
      <c r="C806" s="71" t="s">
        <v>3024</v>
      </c>
      <c r="D806" s="71" t="s">
        <v>3025</v>
      </c>
      <c r="E806" s="73"/>
      <c r="F806" s="73"/>
      <c r="G806" s="73"/>
      <c r="H806" s="188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189"/>
    </row>
    <row r="807" spans="1:21" ht="31.2" x14ac:dyDescent="0.3">
      <c r="A807" s="72"/>
      <c r="B807" s="5" t="s">
        <v>3026</v>
      </c>
      <c r="C807" s="71" t="s">
        <v>3027</v>
      </c>
      <c r="D807" s="71" t="s">
        <v>3028</v>
      </c>
      <c r="E807" s="73"/>
      <c r="F807" s="73"/>
      <c r="G807" s="73"/>
      <c r="H807" s="188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189"/>
    </row>
    <row r="808" spans="1:21" ht="46.8" x14ac:dyDescent="0.3">
      <c r="A808" s="72"/>
      <c r="B808" s="5" t="s">
        <v>3029</v>
      </c>
      <c r="C808" s="71" t="s">
        <v>3030</v>
      </c>
      <c r="D808" s="71" t="s">
        <v>3031</v>
      </c>
      <c r="E808" s="73"/>
      <c r="F808" s="73"/>
      <c r="G808" s="73"/>
      <c r="H808" s="188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189"/>
    </row>
    <row r="809" spans="1:21" ht="31.2" x14ac:dyDescent="0.3">
      <c r="A809" s="72"/>
      <c r="B809" s="5" t="s">
        <v>3032</v>
      </c>
      <c r="C809" s="71" t="s">
        <v>3033</v>
      </c>
      <c r="D809" s="71" t="s">
        <v>3034</v>
      </c>
      <c r="E809" s="73"/>
      <c r="F809" s="73"/>
      <c r="G809" s="73"/>
      <c r="H809" s="188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189"/>
    </row>
    <row r="810" spans="1:21" ht="15.6" x14ac:dyDescent="0.3">
      <c r="A810" s="72"/>
      <c r="B810" s="5" t="s">
        <v>3035</v>
      </c>
      <c r="C810" s="71" t="s">
        <v>3036</v>
      </c>
      <c r="D810" s="71" t="s">
        <v>3037</v>
      </c>
      <c r="E810" s="73"/>
      <c r="F810" s="73"/>
      <c r="G810" s="73"/>
      <c r="H810" s="188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189"/>
    </row>
    <row r="811" spans="1:21" ht="48" customHeight="1" x14ac:dyDescent="0.3">
      <c r="A811" s="72"/>
      <c r="B811" s="5" t="s">
        <v>3038</v>
      </c>
      <c r="C811" s="71" t="s">
        <v>3039</v>
      </c>
      <c r="D811" s="71" t="s">
        <v>3040</v>
      </c>
      <c r="E811" s="73"/>
      <c r="F811" s="73"/>
      <c r="G811" s="73"/>
      <c r="H811" s="188" t="s">
        <v>3041</v>
      </c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189"/>
    </row>
    <row r="812" spans="1:21" ht="15.6" x14ac:dyDescent="0.3">
      <c r="A812" s="72"/>
      <c r="B812" s="5" t="s">
        <v>3042</v>
      </c>
      <c r="C812" s="71" t="s">
        <v>3043</v>
      </c>
      <c r="D812" s="71" t="s">
        <v>3044</v>
      </c>
      <c r="E812" s="73"/>
      <c r="F812" s="73"/>
      <c r="G812" s="73"/>
      <c r="H812" s="188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189"/>
    </row>
    <row r="813" spans="1:21" ht="15.6" x14ac:dyDescent="0.3">
      <c r="A813" s="72"/>
      <c r="B813" s="5" t="s">
        <v>3045</v>
      </c>
      <c r="C813" s="71" t="s">
        <v>3046</v>
      </c>
      <c r="D813" s="73"/>
      <c r="E813" s="73"/>
      <c r="F813" s="73"/>
      <c r="G813" s="73"/>
      <c r="H813" s="188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189"/>
    </row>
    <row r="814" spans="1:21" ht="15.6" x14ac:dyDescent="0.3">
      <c r="A814" s="72"/>
      <c r="B814" s="5" t="s">
        <v>3047</v>
      </c>
      <c r="C814" s="71" t="s">
        <v>3048</v>
      </c>
      <c r="D814" s="73"/>
      <c r="E814" s="73"/>
      <c r="F814" s="73"/>
      <c r="G814" s="73"/>
      <c r="H814" s="188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189"/>
    </row>
    <row r="815" spans="1:21" ht="15.6" x14ac:dyDescent="0.3">
      <c r="A815" s="72"/>
      <c r="B815" s="5" t="s">
        <v>3049</v>
      </c>
      <c r="C815" s="71" t="s">
        <v>3050</v>
      </c>
      <c r="D815" s="73"/>
      <c r="E815" s="73"/>
      <c r="F815" s="73"/>
      <c r="G815" s="73"/>
      <c r="H815" s="188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189"/>
    </row>
  </sheetData>
  <sheetProtection password="C644" sheet="1" formatColumns="0" autoFilter="0"/>
  <autoFilter ref="A7:U7"/>
  <mergeCells count="64">
    <mergeCell ref="A2:U2"/>
    <mergeCell ref="A3:U3"/>
    <mergeCell ref="A4:U4"/>
    <mergeCell ref="J5:O5"/>
    <mergeCell ref="P5:R5"/>
    <mergeCell ref="S5:U5"/>
    <mergeCell ref="A5:A7"/>
    <mergeCell ref="B5:B7"/>
    <mergeCell ref="C5:C7"/>
    <mergeCell ref="D5:D7"/>
    <mergeCell ref="E5:E7"/>
    <mergeCell ref="F5:F7"/>
    <mergeCell ref="G5:G7"/>
    <mergeCell ref="H5:H7"/>
    <mergeCell ref="I5:I7"/>
    <mergeCell ref="J6:K6"/>
    <mergeCell ref="S6:T6"/>
    <mergeCell ref="U6:U7"/>
    <mergeCell ref="A8:I8"/>
    <mergeCell ref="C9:I9"/>
    <mergeCell ref="C10:I10"/>
    <mergeCell ref="L6:L7"/>
    <mergeCell ref="M6:N6"/>
    <mergeCell ref="O6:O7"/>
    <mergeCell ref="P6:Q6"/>
    <mergeCell ref="R6:R7"/>
    <mergeCell ref="C11:I11"/>
    <mergeCell ref="C12:I12"/>
    <mergeCell ref="C13:I13"/>
    <mergeCell ref="C14:I14"/>
    <mergeCell ref="C78:I78"/>
    <mergeCell ref="C93:I93"/>
    <mergeCell ref="C164:I164"/>
    <mergeCell ref="C165:I165"/>
    <mergeCell ref="C262:I262"/>
    <mergeCell ref="C443:I443"/>
    <mergeCell ref="C515:I515"/>
    <mergeCell ref="C520:I520"/>
    <mergeCell ref="C521:I521"/>
    <mergeCell ref="C537:I537"/>
    <mergeCell ref="C679:I679"/>
    <mergeCell ref="C752:I752"/>
    <mergeCell ref="C792:I792"/>
    <mergeCell ref="C793:I793"/>
    <mergeCell ref="C794:I794"/>
    <mergeCell ref="A797:U797"/>
    <mergeCell ref="H798:U798"/>
    <mergeCell ref="H799:U799"/>
    <mergeCell ref="H800:U800"/>
    <mergeCell ref="H801:U801"/>
    <mergeCell ref="H802:U802"/>
    <mergeCell ref="H803:U803"/>
    <mergeCell ref="H804:U804"/>
    <mergeCell ref="H805:U805"/>
    <mergeCell ref="H806:U806"/>
    <mergeCell ref="H807:U807"/>
    <mergeCell ref="H813:U813"/>
    <mergeCell ref="H814:U814"/>
    <mergeCell ref="H815:U815"/>
    <mergeCell ref="H808:U808"/>
    <mergeCell ref="H809:U809"/>
    <mergeCell ref="H810:U810"/>
    <mergeCell ref="H811:U811"/>
    <mergeCell ref="H812:U8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816"/>
  <sheetViews>
    <sheetView tabSelected="1" topLeftCell="A252" zoomScale="70" zoomScaleNormal="70" workbookViewId="0">
      <selection activeCell="C258" activeCellId="8" sqref="C209 C212 C221 C226 C231 C246 C250 C254 C258"/>
    </sheetView>
  </sheetViews>
  <sheetFormatPr defaultRowHeight="14.4" x14ac:dyDescent="0.3"/>
  <cols>
    <col min="1" max="1" width="20" customWidth="1"/>
    <col min="2" max="2" width="21.6640625" bestFit="1" customWidth="1"/>
    <col min="3" max="3" width="55.6640625" customWidth="1"/>
    <col min="4" max="4" width="38" hidden="1" customWidth="1"/>
    <col min="5" max="5" width="38" customWidth="1"/>
    <col min="6" max="7" width="16.44140625" customWidth="1"/>
    <col min="8" max="8" width="16" hidden="1" customWidth="1"/>
    <col min="9" max="9" width="16.88671875" customWidth="1"/>
    <col min="10" max="10" width="16" customWidth="1"/>
    <col min="11" max="11" width="17" customWidth="1"/>
    <col min="12" max="12" width="17.6640625" customWidth="1"/>
    <col min="13" max="13" width="18" customWidth="1"/>
    <col min="14" max="14" width="18.88671875" customWidth="1"/>
    <col min="15" max="15" width="23.6640625" customWidth="1"/>
    <col min="16" max="16" width="16" customWidth="1"/>
    <col min="17" max="17" width="17" customWidth="1"/>
    <col min="18" max="18" width="17.6640625" customWidth="1"/>
    <col min="19" max="19" width="18" customWidth="1"/>
    <col min="20" max="20" width="18.88671875" customWidth="1"/>
    <col min="21" max="21" width="23.6640625" customWidth="1"/>
  </cols>
  <sheetData>
    <row r="1" spans="1:35" ht="15" customHeight="1" x14ac:dyDescent="0.3">
      <c r="A1" s="1" t="s">
        <v>0</v>
      </c>
      <c r="B1" s="3"/>
      <c r="C1" s="3"/>
      <c r="D1" s="2" t="s">
        <v>1</v>
      </c>
      <c r="E1" s="2"/>
      <c r="F1" s="2" t="s">
        <v>2</v>
      </c>
      <c r="G1" s="2" t="s">
        <v>2991</v>
      </c>
      <c r="H1" s="2" t="s">
        <v>2992</v>
      </c>
      <c r="I1" s="2" t="s">
        <v>2993</v>
      </c>
      <c r="J1" s="2" t="s">
        <v>2994</v>
      </c>
      <c r="K1" s="2" t="s">
        <v>2995</v>
      </c>
      <c r="L1" s="2" t="s">
        <v>2996</v>
      </c>
      <c r="M1" s="2" t="s">
        <v>2997</v>
      </c>
      <c r="N1" s="2" t="s">
        <v>2998</v>
      </c>
      <c r="O1" s="3"/>
      <c r="P1" s="3"/>
      <c r="Q1" s="3"/>
      <c r="R1" s="3"/>
      <c r="S1" s="3"/>
      <c r="T1" s="3"/>
      <c r="U1" s="3"/>
      <c r="AC1" s="4" t="s">
        <v>18</v>
      </c>
      <c r="AD1" s="4" t="s">
        <v>19</v>
      </c>
      <c r="AE1" s="4" t="s">
        <v>20</v>
      </c>
      <c r="AF1" s="4" t="s">
        <v>21</v>
      </c>
      <c r="AG1" s="4" t="s">
        <v>22</v>
      </c>
      <c r="AH1" s="4" t="s">
        <v>23</v>
      </c>
      <c r="AI1" s="4" t="s">
        <v>24</v>
      </c>
    </row>
    <row r="2" spans="1:35" ht="30.75" customHeight="1" x14ac:dyDescent="0.3">
      <c r="A2" s="195" t="s">
        <v>4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</row>
    <row r="3" spans="1:35" ht="15" customHeight="1" x14ac:dyDescent="0.3">
      <c r="A3" s="196" t="s">
        <v>5</v>
      </c>
      <c r="B3" s="196"/>
      <c r="C3" s="196"/>
      <c r="D3" s="196"/>
      <c r="E3" s="196"/>
      <c r="F3" s="196"/>
      <c r="G3" s="196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</row>
    <row r="4" spans="1:35" ht="15" customHeight="1" x14ac:dyDescent="0.3">
      <c r="A4" s="197" t="s">
        <v>6</v>
      </c>
      <c r="B4" s="197"/>
      <c r="C4" s="197"/>
      <c r="D4" s="197"/>
      <c r="E4" s="197"/>
      <c r="F4" s="197"/>
      <c r="G4" s="197"/>
      <c r="H4" s="197"/>
      <c r="I4" s="197"/>
      <c r="J4" s="197"/>
      <c r="K4" s="197"/>
      <c r="L4" s="197"/>
      <c r="M4" s="197"/>
      <c r="N4" s="197"/>
      <c r="O4" s="197"/>
      <c r="P4" s="197"/>
      <c r="Q4" s="197"/>
      <c r="R4" s="197"/>
      <c r="S4" s="197"/>
      <c r="T4" s="197"/>
      <c r="U4" s="197"/>
    </row>
    <row r="5" spans="1:35" ht="40.65" customHeight="1" x14ac:dyDescent="0.3">
      <c r="A5" s="190" t="s">
        <v>25</v>
      </c>
      <c r="B5" s="190" t="s">
        <v>26</v>
      </c>
      <c r="C5" s="190" t="s">
        <v>27</v>
      </c>
      <c r="D5" s="190" t="s">
        <v>28</v>
      </c>
      <c r="E5" s="190" t="s">
        <v>29</v>
      </c>
      <c r="F5" s="190" t="s">
        <v>30</v>
      </c>
      <c r="G5" s="190" t="s">
        <v>31</v>
      </c>
      <c r="H5" s="190" t="s">
        <v>32</v>
      </c>
      <c r="I5" s="190" t="s">
        <v>33</v>
      </c>
      <c r="J5" s="198" t="s">
        <v>7</v>
      </c>
      <c r="K5" s="199"/>
      <c r="L5" s="199"/>
      <c r="M5" s="199"/>
      <c r="N5" s="199"/>
      <c r="O5" s="200"/>
      <c r="P5" s="201" t="s">
        <v>8</v>
      </c>
      <c r="Q5" s="202"/>
      <c r="R5" s="203"/>
      <c r="S5" s="201" t="s">
        <v>9</v>
      </c>
      <c r="T5" s="202"/>
      <c r="U5" s="203"/>
    </row>
    <row r="6" spans="1:35" ht="15.75" customHeight="1" x14ac:dyDescent="0.3">
      <c r="A6" s="204"/>
      <c r="B6" s="204"/>
      <c r="C6" s="204"/>
      <c r="D6" s="204"/>
      <c r="E6" s="204"/>
      <c r="F6" s="204"/>
      <c r="G6" s="204"/>
      <c r="H6" s="204"/>
      <c r="I6" s="204"/>
      <c r="J6" s="188" t="s">
        <v>34</v>
      </c>
      <c r="K6" s="189"/>
      <c r="L6" s="190" t="s">
        <v>34</v>
      </c>
      <c r="M6" s="188" t="s">
        <v>37</v>
      </c>
      <c r="N6" s="189"/>
      <c r="O6" s="190" t="s">
        <v>38</v>
      </c>
      <c r="P6" s="188" t="s">
        <v>34</v>
      </c>
      <c r="Q6" s="189"/>
      <c r="R6" s="190" t="s">
        <v>34</v>
      </c>
      <c r="S6" s="188" t="s">
        <v>37</v>
      </c>
      <c r="T6" s="189"/>
      <c r="U6" s="190" t="s">
        <v>38</v>
      </c>
    </row>
    <row r="7" spans="1:35" ht="31.35" customHeight="1" x14ac:dyDescent="0.3">
      <c r="A7" s="191"/>
      <c r="B7" s="191"/>
      <c r="C7" s="191"/>
      <c r="D7" s="191"/>
      <c r="E7" s="191"/>
      <c r="F7" s="191"/>
      <c r="G7" s="191"/>
      <c r="H7" s="191"/>
      <c r="I7" s="191"/>
      <c r="J7" s="5" t="s">
        <v>35</v>
      </c>
      <c r="K7" s="5" t="s">
        <v>36</v>
      </c>
      <c r="L7" s="191"/>
      <c r="M7" s="5" t="s">
        <v>35</v>
      </c>
      <c r="N7" s="5" t="s">
        <v>36</v>
      </c>
      <c r="O7" s="191"/>
      <c r="P7" s="5" t="s">
        <v>35</v>
      </c>
      <c r="Q7" s="5" t="s">
        <v>36</v>
      </c>
      <c r="R7" s="191"/>
      <c r="S7" s="5" t="s">
        <v>35</v>
      </c>
      <c r="T7" s="5" t="s">
        <v>36</v>
      </c>
      <c r="U7" s="191"/>
    </row>
    <row r="8" spans="1:35" ht="30" customHeight="1" x14ac:dyDescent="0.3">
      <c r="A8" s="192" t="s">
        <v>39</v>
      </c>
      <c r="B8" s="193"/>
      <c r="C8" s="193"/>
      <c r="D8" s="193"/>
      <c r="E8" s="193"/>
      <c r="F8" s="193"/>
      <c r="G8" s="193"/>
      <c r="H8" s="193"/>
      <c r="I8" s="194"/>
      <c r="J8" s="7"/>
      <c r="K8" s="7"/>
      <c r="L8" s="7"/>
      <c r="M8" s="8">
        <f>SUM(M9,M792)</f>
        <v>48343925.430000007</v>
      </c>
      <c r="N8" s="8">
        <f>SUM(N9,N792)</f>
        <v>97174132.929999992</v>
      </c>
      <c r="O8" s="8">
        <f>SUM(O9,O792)</f>
        <v>145518058.35999998</v>
      </c>
      <c r="P8" s="7"/>
      <c r="Q8" s="7"/>
      <c r="R8" s="7"/>
      <c r="S8" s="8">
        <f>SUM(S9,S792)</f>
        <v>55954680.140000015</v>
      </c>
      <c r="T8" s="8">
        <f>SUM(T9,T792)</f>
        <v>97174132.929999992</v>
      </c>
      <c r="U8" s="8">
        <f>SUM(U9,U792)</f>
        <v>153128813.07000002</v>
      </c>
      <c r="Y8" s="9">
        <f>SUM(Y9,Y792)</f>
        <v>46628900.260000005</v>
      </c>
      <c r="Z8" s="9">
        <f>SUM(Z9,Z792)</f>
        <v>80978444.120000005</v>
      </c>
      <c r="AA8" s="9">
        <f>SUM(AA9,AA792)</f>
        <v>127607344.38000001</v>
      </c>
      <c r="AC8" s="4" t="s">
        <v>40</v>
      </c>
    </row>
    <row r="9" spans="1:35" ht="17.100000000000001" hidden="1" customHeight="1" x14ac:dyDescent="0.3">
      <c r="A9" s="10" t="s">
        <v>41</v>
      </c>
      <c r="B9" s="10" t="s">
        <v>42</v>
      </c>
      <c r="C9" s="185" t="s">
        <v>43</v>
      </c>
      <c r="D9" s="186"/>
      <c r="E9" s="186"/>
      <c r="F9" s="186"/>
      <c r="G9" s="186"/>
      <c r="H9" s="186"/>
      <c r="I9" s="187"/>
      <c r="M9" s="6">
        <f t="shared" ref="M9:O11" si="0">SUM(M10)</f>
        <v>48343925.430000007</v>
      </c>
      <c r="N9" s="6">
        <f t="shared" si="0"/>
        <v>96116400.219999999</v>
      </c>
      <c r="O9" s="6">
        <f t="shared" si="0"/>
        <v>144460325.64999998</v>
      </c>
      <c r="S9" s="6">
        <f t="shared" ref="S9:U11" si="1">SUM(S10)</f>
        <v>55954680.140000015</v>
      </c>
      <c r="T9" s="6">
        <f t="shared" si="1"/>
        <v>96116400.219999999</v>
      </c>
      <c r="U9" s="6">
        <f t="shared" si="1"/>
        <v>152071080.36000001</v>
      </c>
      <c r="Y9" s="9">
        <f t="shared" ref="Y9:AA11" si="2">SUM(Y10)</f>
        <v>46628900.260000005</v>
      </c>
      <c r="Z9" s="9">
        <f t="shared" si="2"/>
        <v>80097000.189999998</v>
      </c>
      <c r="AA9" s="9">
        <f t="shared" si="2"/>
        <v>126725900.45</v>
      </c>
      <c r="AD9" s="4">
        <v>271132055</v>
      </c>
      <c r="AE9" s="4">
        <v>16194151</v>
      </c>
    </row>
    <row r="10" spans="1:35" ht="17.100000000000001" hidden="1" customHeight="1" x14ac:dyDescent="0.3">
      <c r="A10" s="10" t="s">
        <v>44</v>
      </c>
      <c r="B10" s="10" t="s">
        <v>45</v>
      </c>
      <c r="C10" s="185" t="s">
        <v>46</v>
      </c>
      <c r="D10" s="186"/>
      <c r="E10" s="186"/>
      <c r="F10" s="186"/>
      <c r="G10" s="186"/>
      <c r="H10" s="186"/>
      <c r="I10" s="187"/>
      <c r="M10" s="6">
        <f t="shared" si="0"/>
        <v>48343925.430000007</v>
      </c>
      <c r="N10" s="6">
        <f t="shared" si="0"/>
        <v>96116400.219999999</v>
      </c>
      <c r="O10" s="6">
        <f t="shared" si="0"/>
        <v>144460325.64999998</v>
      </c>
      <c r="S10" s="6">
        <f t="shared" si="1"/>
        <v>55954680.140000015</v>
      </c>
      <c r="T10" s="6">
        <f t="shared" si="1"/>
        <v>96116400.219999999</v>
      </c>
      <c r="U10" s="6">
        <f t="shared" si="1"/>
        <v>152071080.36000001</v>
      </c>
      <c r="Y10" s="9">
        <f t="shared" si="2"/>
        <v>46628900.260000005</v>
      </c>
      <c r="Z10" s="9">
        <f t="shared" si="2"/>
        <v>80097000.189999998</v>
      </c>
      <c r="AA10" s="9">
        <f t="shared" si="2"/>
        <v>126725900.45</v>
      </c>
      <c r="AD10" s="4">
        <v>271132056</v>
      </c>
      <c r="AE10" s="4">
        <v>16194155</v>
      </c>
    </row>
    <row r="11" spans="1:35" ht="17.100000000000001" hidden="1" customHeight="1" x14ac:dyDescent="0.3">
      <c r="A11" s="10" t="s">
        <v>47</v>
      </c>
      <c r="B11" s="10" t="s">
        <v>48</v>
      </c>
      <c r="C11" s="185" t="s">
        <v>49</v>
      </c>
      <c r="D11" s="186"/>
      <c r="E11" s="186"/>
      <c r="F11" s="186"/>
      <c r="G11" s="186"/>
      <c r="H11" s="186"/>
      <c r="I11" s="187"/>
      <c r="M11" s="6">
        <f t="shared" si="0"/>
        <v>48343925.430000007</v>
      </c>
      <c r="N11" s="6">
        <f t="shared" si="0"/>
        <v>96116400.219999999</v>
      </c>
      <c r="O11" s="6">
        <f t="shared" si="0"/>
        <v>144460325.64999998</v>
      </c>
      <c r="S11" s="6">
        <f t="shared" si="1"/>
        <v>55954680.140000015</v>
      </c>
      <c r="T11" s="6">
        <f t="shared" si="1"/>
        <v>96116400.219999999</v>
      </c>
      <c r="U11" s="6">
        <f t="shared" si="1"/>
        <v>152071080.36000001</v>
      </c>
      <c r="Y11" s="9">
        <f t="shared" si="2"/>
        <v>46628900.260000005</v>
      </c>
      <c r="Z11" s="9">
        <f t="shared" si="2"/>
        <v>80097000.189999998</v>
      </c>
      <c r="AA11" s="9">
        <f t="shared" si="2"/>
        <v>126725900.45</v>
      </c>
      <c r="AD11" s="4">
        <v>271132057</v>
      </c>
      <c r="AE11" s="4">
        <v>16194158</v>
      </c>
    </row>
    <row r="12" spans="1:35" ht="17.100000000000001" hidden="1" customHeight="1" x14ac:dyDescent="0.3">
      <c r="A12" s="10" t="s">
        <v>50</v>
      </c>
      <c r="B12" s="10" t="s">
        <v>51</v>
      </c>
      <c r="C12" s="185" t="s">
        <v>52</v>
      </c>
      <c r="D12" s="186"/>
      <c r="E12" s="186"/>
      <c r="F12" s="186"/>
      <c r="G12" s="186"/>
      <c r="H12" s="186"/>
      <c r="I12" s="187"/>
      <c r="M12" s="6">
        <f>SUM(M13,M164,M520,M679,M752)</f>
        <v>48343925.430000007</v>
      </c>
      <c r="N12" s="6">
        <f>SUM(N13,N164,N520,N679,N752)</f>
        <v>96116400.219999999</v>
      </c>
      <c r="O12" s="6">
        <f>SUM(O13,O164,O520,O679,O752)</f>
        <v>144460325.64999998</v>
      </c>
      <c r="S12" s="6">
        <f>SUM(S13,S164,S520,S679,S752)</f>
        <v>55954680.140000015</v>
      </c>
      <c r="T12" s="6">
        <f>SUM(T13,T164,T520,T679,T752)</f>
        <v>96116400.219999999</v>
      </c>
      <c r="U12" s="6">
        <f>SUM(U13,U164,U520,U679,U752)</f>
        <v>152071080.36000001</v>
      </c>
      <c r="Y12" s="9">
        <f>SUM(Y13,Y164,Y520,Y679,Y752)</f>
        <v>46628900.260000005</v>
      </c>
      <c r="Z12" s="9">
        <f>SUM(Z13,Z164,Z520,Z679,Z752)</f>
        <v>80097000.189999998</v>
      </c>
      <c r="AA12" s="9">
        <f>SUM(AA13,AA164,AA520,AA679,AA752)</f>
        <v>126725900.45</v>
      </c>
      <c r="AD12" s="4">
        <v>271132058</v>
      </c>
      <c r="AE12" s="4">
        <v>16194162</v>
      </c>
    </row>
    <row r="13" spans="1:35" ht="17.100000000000001" hidden="1" customHeight="1" x14ac:dyDescent="0.3">
      <c r="A13" s="10" t="s">
        <v>53</v>
      </c>
      <c r="B13" s="10" t="s">
        <v>54</v>
      </c>
      <c r="C13" s="185" t="s">
        <v>55</v>
      </c>
      <c r="D13" s="186"/>
      <c r="E13" s="186"/>
      <c r="F13" s="186"/>
      <c r="G13" s="186"/>
      <c r="H13" s="186"/>
      <c r="I13" s="187"/>
      <c r="M13" s="6">
        <f>SUM(M14,M78,M93)</f>
        <v>14351684.900000002</v>
      </c>
      <c r="N13" s="6">
        <f>SUM(N14,N78,N93)</f>
        <v>20810202.670000002</v>
      </c>
      <c r="O13" s="6">
        <f>SUM(O14,O78,O93)</f>
        <v>35161887.57</v>
      </c>
      <c r="S13" s="6">
        <f>SUM(S14,S78,S93)</f>
        <v>22034434.940000005</v>
      </c>
      <c r="T13" s="6">
        <f>SUM(T14,T78,T93)</f>
        <v>20810202.670000002</v>
      </c>
      <c r="U13" s="6">
        <f>SUM(U14,U78,U93)</f>
        <v>42844637.609999999</v>
      </c>
      <c r="Y13" s="9">
        <f>SUM(Y14,Y78,Y93)</f>
        <v>18362029.149999999</v>
      </c>
      <c r="Z13" s="9">
        <f>SUM(Z14,Z78,Z93)</f>
        <v>17341835.559999999</v>
      </c>
      <c r="AA13" s="9">
        <f>SUM(AA14,AA78,AA93)</f>
        <v>35703864.710000001</v>
      </c>
      <c r="AD13" s="4">
        <v>271132059</v>
      </c>
      <c r="AE13" s="4">
        <v>16194163</v>
      </c>
    </row>
    <row r="14" spans="1:35" ht="17.100000000000001" hidden="1" customHeight="1" x14ac:dyDescent="0.3">
      <c r="A14" s="10" t="s">
        <v>56</v>
      </c>
      <c r="B14" s="10" t="s">
        <v>57</v>
      </c>
      <c r="C14" s="185" t="s">
        <v>58</v>
      </c>
      <c r="D14" s="186"/>
      <c r="E14" s="186"/>
      <c r="F14" s="186"/>
      <c r="G14" s="186"/>
      <c r="H14" s="186"/>
      <c r="I14" s="187"/>
      <c r="M14" s="6">
        <f>SUM(M15,M18,M22,M24,M32,M40,M46,M52,M58,M66,M72)</f>
        <v>9604555.7100000009</v>
      </c>
      <c r="N14" s="6">
        <f>SUM(N15,N18,N22,N24,N32,N40,N46,N52,N58,N66,N72)</f>
        <v>12124369.620000001</v>
      </c>
      <c r="O14" s="6">
        <f>SUM(O15,O18,O22,O24,O32,O40,O46,O52,O58,O66,O72)</f>
        <v>21728925.329999998</v>
      </c>
      <c r="S14" s="6">
        <f>SUM(S15,S18,S22,S24,S32,S40,S46,S52,S58,S66,S72)</f>
        <v>9604555.7100000009</v>
      </c>
      <c r="T14" s="6">
        <f>SUM(T15,T18,T22,T24,T32,T40,T46,T52,T58,T66,T72)</f>
        <v>12124369.620000001</v>
      </c>
      <c r="U14" s="6">
        <f>SUM(U15,U18,U22,U24,U32,U40,U46,U52,U58,U66,U72)</f>
        <v>21728925.329999998</v>
      </c>
      <c r="Y14" s="9">
        <f>SUM(Y15,Y18,Y22,Y24,Y32,Y40,Y46,Y52,Y58,Y66,Y72)</f>
        <v>8003796.4399999995</v>
      </c>
      <c r="Z14" s="9">
        <f>SUM(Z15,Z18,Z22,Z24,Z32,Z40,Z46,Z52,Z58,Z66,Z72)</f>
        <v>10103641.35</v>
      </c>
      <c r="AA14" s="9">
        <f>SUM(AA15,AA18,AA22,AA24,AA32,AA40,AA46,AA52,AA58,AA66,AA72)</f>
        <v>18107437.789999999</v>
      </c>
      <c r="AD14" s="4">
        <v>271132060</v>
      </c>
      <c r="AE14" s="4">
        <v>16194161</v>
      </c>
    </row>
    <row r="15" spans="1:35" ht="54" hidden="1" x14ac:dyDescent="0.3">
      <c r="A15" s="10" t="s">
        <v>59</v>
      </c>
      <c r="B15" s="10" t="s">
        <v>60</v>
      </c>
      <c r="C15" s="11" t="s">
        <v>61</v>
      </c>
      <c r="D15" s="12" t="s">
        <v>62</v>
      </c>
      <c r="E15" s="12" t="s">
        <v>63</v>
      </c>
      <c r="F15" s="12" t="s">
        <v>64</v>
      </c>
      <c r="G15" s="13">
        <v>1</v>
      </c>
      <c r="H15" s="13"/>
      <c r="I15" s="13">
        <v>4263.2</v>
      </c>
      <c r="J15" s="14">
        <f>IFERROR(ROUND(SUM(M16,M17)/I15, 2),0)</f>
        <v>177.36</v>
      </c>
      <c r="K15" s="15">
        <v>388</v>
      </c>
      <c r="L15" s="14">
        <f>J15+ROUND(K15, 2)</f>
        <v>565.36</v>
      </c>
      <c r="M15" s="14">
        <f>ROUND(J15*I15, 2)</f>
        <v>756121.15</v>
      </c>
      <c r="N15" s="14">
        <f>ROUND(I15*ROUND(K15, 2), 2)</f>
        <v>1654121.6</v>
      </c>
      <c r="O15" s="14">
        <f>M15+N15</f>
        <v>2410242.75</v>
      </c>
      <c r="P15" s="14">
        <f>IFERROR(ROUND(SUM(S16,S17)/I15, 2),0)</f>
        <v>177.36</v>
      </c>
      <c r="Q15" s="15">
        <v>388</v>
      </c>
      <c r="R15" s="14">
        <f>P15+ROUND(Q15, 2)</f>
        <v>565.36</v>
      </c>
      <c r="S15" s="14">
        <f>ROUND(P15*I15, 2)</f>
        <v>756121.15</v>
      </c>
      <c r="T15" s="14">
        <f>ROUND(I15*ROUND(Q15, 2), 2)</f>
        <v>1654121.6</v>
      </c>
      <c r="U15" s="14">
        <f>S15+T15</f>
        <v>2410242.75</v>
      </c>
      <c r="V15" s="9">
        <f>ROUND(P15 / 1.2, 2)</f>
        <v>147.80000000000001</v>
      </c>
      <c r="W15" s="9">
        <f>ROUND(Q15 / 1.2, 2)</f>
        <v>323.33</v>
      </c>
      <c r="X15" s="9">
        <f>ROUND(R15 / 1.2, 2)</f>
        <v>471.13</v>
      </c>
      <c r="Y15" s="9">
        <f>ROUND(S15 / 1.2, 2)</f>
        <v>630100.96</v>
      </c>
      <c r="Z15" s="9">
        <f>ROUND(T15 / 1.2, 2)</f>
        <v>1378434.67</v>
      </c>
      <c r="AA15" s="9">
        <f>Y15+Z15</f>
        <v>2008535.63</v>
      </c>
      <c r="AD15" s="4">
        <v>271132062</v>
      </c>
      <c r="AE15" s="4">
        <v>16194152</v>
      </c>
      <c r="AG15" s="4" t="s">
        <v>65</v>
      </c>
      <c r="AH15" s="4" t="s">
        <v>66</v>
      </c>
      <c r="AI15" s="4" t="s">
        <v>67</v>
      </c>
    </row>
    <row r="16" spans="1:35" ht="36" hidden="1" x14ac:dyDescent="0.3">
      <c r="A16" s="10" t="s">
        <v>68</v>
      </c>
      <c r="B16" s="10"/>
      <c r="C16" s="17" t="s">
        <v>69</v>
      </c>
      <c r="D16" s="12"/>
      <c r="E16" s="12"/>
      <c r="F16" s="18" t="s">
        <v>70</v>
      </c>
      <c r="G16" s="19">
        <v>1.6</v>
      </c>
      <c r="H16" s="20"/>
      <c r="I16" s="20">
        <v>68211.199999999997</v>
      </c>
      <c r="J16" s="21">
        <v>9.67</v>
      </c>
      <c r="M16" s="22">
        <f>ROUND(ROUND(J16, 2)*I16, 2)</f>
        <v>659602.30000000005</v>
      </c>
      <c r="P16" s="21">
        <v>9.67</v>
      </c>
      <c r="S16" s="22">
        <f>ROUND(ROUND(P16, 2)*I16, 2)</f>
        <v>659602.30000000005</v>
      </c>
      <c r="V16" s="9">
        <f>ROUND(ROUND(P16, 2)/1.2, 2)</f>
        <v>8.06</v>
      </c>
      <c r="Y16" s="9">
        <f t="shared" ref="Y16:Y77" si="3">ROUND(S16 / 1.2, 2)</f>
        <v>549668.57999999996</v>
      </c>
      <c r="AD16" s="4" t="s">
        <v>71</v>
      </c>
      <c r="AE16" s="4" t="s">
        <v>72</v>
      </c>
      <c r="AF16" s="4" t="s">
        <v>73</v>
      </c>
    </row>
    <row r="17" spans="1:35" ht="36" hidden="1" x14ac:dyDescent="0.3">
      <c r="A17" s="10" t="s">
        <v>74</v>
      </c>
      <c r="B17" s="10"/>
      <c r="C17" s="24" t="s">
        <v>75</v>
      </c>
      <c r="D17" s="12"/>
      <c r="E17" s="12"/>
      <c r="F17" s="18" t="s">
        <v>70</v>
      </c>
      <c r="G17" s="19">
        <v>0.255</v>
      </c>
      <c r="H17" s="20"/>
      <c r="I17" s="20">
        <v>1087.116</v>
      </c>
      <c r="J17" s="21">
        <v>88.8</v>
      </c>
      <c r="M17" s="22">
        <f>ROUND(ROUND(J17, 2)*I17, 2)</f>
        <v>96535.9</v>
      </c>
      <c r="P17" s="21">
        <v>88.8</v>
      </c>
      <c r="S17" s="22">
        <f>ROUND(ROUND(P17, 2)*I17, 2)</f>
        <v>96535.9</v>
      </c>
      <c r="V17" s="9">
        <f>ROUND(ROUND(P17, 2)/1.2, 2)</f>
        <v>74</v>
      </c>
      <c r="Y17" s="9">
        <f t="shared" si="3"/>
        <v>80446.58</v>
      </c>
      <c r="AD17" s="4" t="s">
        <v>76</v>
      </c>
      <c r="AE17" s="4" t="s">
        <v>77</v>
      </c>
      <c r="AF17" s="4" t="s">
        <v>78</v>
      </c>
    </row>
    <row r="18" spans="1:35" ht="54" hidden="1" x14ac:dyDescent="0.3">
      <c r="A18" s="10" t="s">
        <v>79</v>
      </c>
      <c r="B18" s="10" t="s">
        <v>60</v>
      </c>
      <c r="C18" s="11" t="s">
        <v>80</v>
      </c>
      <c r="D18" s="12" t="s">
        <v>62</v>
      </c>
      <c r="E18" s="12" t="s">
        <v>81</v>
      </c>
      <c r="F18" s="12" t="s">
        <v>64</v>
      </c>
      <c r="G18" s="13">
        <v>1</v>
      </c>
      <c r="H18" s="13"/>
      <c r="I18" s="13">
        <v>3740.2</v>
      </c>
      <c r="J18" s="14">
        <f>IFERROR(ROUND(SUM(M19,M20,M21)/I18, 2),0)</f>
        <v>180.67</v>
      </c>
      <c r="K18" s="15">
        <v>400</v>
      </c>
      <c r="L18" s="14">
        <f>J18+ROUND(K18, 2)</f>
        <v>580.66999999999996</v>
      </c>
      <c r="M18" s="14">
        <f>ROUND(J18*I18, 2)</f>
        <v>675741.93</v>
      </c>
      <c r="N18" s="14">
        <f>ROUND(I18*ROUND(K18, 2), 2)</f>
        <v>1496080</v>
      </c>
      <c r="O18" s="14">
        <f>M18+N18</f>
        <v>2171821.9300000002</v>
      </c>
      <c r="P18" s="14">
        <f>IFERROR(ROUND(SUM(S19,S20,S21)/I18, 2),0)</f>
        <v>180.67</v>
      </c>
      <c r="Q18" s="16">
        <v>400</v>
      </c>
      <c r="R18" s="14">
        <f>P18+ROUND(Q18, 2)</f>
        <v>580.66999999999996</v>
      </c>
      <c r="S18" s="14">
        <f>ROUND(P18*I18, 2)</f>
        <v>675741.93</v>
      </c>
      <c r="T18" s="14">
        <f>ROUND(I18*ROUND(Q18, 2), 2)</f>
        <v>1496080</v>
      </c>
      <c r="U18" s="14">
        <f>S18+T18</f>
        <v>2171821.9300000002</v>
      </c>
      <c r="V18" s="9">
        <f>ROUND(P18 / 1.2, 2)</f>
        <v>150.56</v>
      </c>
      <c r="W18" s="9">
        <f>ROUND(Q18 / 1.2, 2)</f>
        <v>333.33</v>
      </c>
      <c r="X18" s="9">
        <f>ROUND(R18 / 1.2, 2)</f>
        <v>483.89</v>
      </c>
      <c r="Y18" s="9">
        <f t="shared" si="3"/>
        <v>563118.28</v>
      </c>
      <c r="Z18" s="9">
        <f>ROUND(T18 / 1.2, 2)</f>
        <v>1246733.33</v>
      </c>
      <c r="AA18" s="9">
        <f>Y18+Z18</f>
        <v>1809851.61</v>
      </c>
      <c r="AD18" s="4">
        <v>271132160</v>
      </c>
      <c r="AE18" s="4">
        <v>19810509</v>
      </c>
      <c r="AG18" s="4" t="s">
        <v>65</v>
      </c>
      <c r="AH18" s="4" t="s">
        <v>66</v>
      </c>
      <c r="AI18" s="4" t="s">
        <v>67</v>
      </c>
    </row>
    <row r="19" spans="1:35" ht="36" hidden="1" x14ac:dyDescent="0.3">
      <c r="A19" s="10" t="s">
        <v>82</v>
      </c>
      <c r="B19" s="10"/>
      <c r="C19" s="24" t="s">
        <v>75</v>
      </c>
      <c r="D19" s="12"/>
      <c r="E19" s="12"/>
      <c r="F19" s="18" t="s">
        <v>70</v>
      </c>
      <c r="G19" s="19">
        <v>0.255</v>
      </c>
      <c r="H19" s="20"/>
      <c r="I19" s="20">
        <v>953.75099999999998</v>
      </c>
      <c r="J19" s="21">
        <v>88.8</v>
      </c>
      <c r="M19" s="22">
        <f>ROUND(ROUND(J19, 2)*I19, 2)</f>
        <v>84693.09</v>
      </c>
      <c r="P19" s="23">
        <v>88.8</v>
      </c>
      <c r="S19" s="22">
        <f>ROUND(ROUND(P19, 2)*I19, 2)</f>
        <v>84693.09</v>
      </c>
      <c r="V19" s="9">
        <f>ROUND(ROUND(P19, 2)/1.2, 2)</f>
        <v>74</v>
      </c>
      <c r="Y19" s="9">
        <f t="shared" si="3"/>
        <v>70577.58</v>
      </c>
      <c r="AD19" s="4" t="s">
        <v>83</v>
      </c>
      <c r="AE19" s="4" t="s">
        <v>84</v>
      </c>
      <c r="AF19" s="4" t="s">
        <v>78</v>
      </c>
    </row>
    <row r="20" spans="1:35" ht="18" hidden="1" x14ac:dyDescent="0.3">
      <c r="A20" s="10" t="s">
        <v>85</v>
      </c>
      <c r="B20" s="10"/>
      <c r="C20" s="24" t="s">
        <v>86</v>
      </c>
      <c r="D20" s="12"/>
      <c r="E20" s="12"/>
      <c r="F20" s="18" t="s">
        <v>87</v>
      </c>
      <c r="G20" s="19">
        <v>1</v>
      </c>
      <c r="H20" s="20"/>
      <c r="I20" s="20">
        <v>1880</v>
      </c>
      <c r="J20" s="21">
        <v>10.4</v>
      </c>
      <c r="M20" s="22">
        <f>ROUND(ROUND(J20, 2)*I20, 2)</f>
        <v>19552</v>
      </c>
      <c r="P20" s="23">
        <v>10.4</v>
      </c>
      <c r="S20" s="22">
        <f>ROUND(ROUND(P20, 2)*I20, 2)</f>
        <v>19552</v>
      </c>
      <c r="V20" s="9">
        <f>ROUND(ROUND(P20, 2)/1.2, 2)</f>
        <v>8.67</v>
      </c>
      <c r="Y20" s="9">
        <f t="shared" si="3"/>
        <v>16293.33</v>
      </c>
      <c r="AD20" s="4" t="s">
        <v>88</v>
      </c>
      <c r="AE20" s="4" t="s">
        <v>89</v>
      </c>
      <c r="AF20" s="4" t="s">
        <v>90</v>
      </c>
    </row>
    <row r="21" spans="1:35" ht="36" hidden="1" x14ac:dyDescent="0.3">
      <c r="A21" s="10" t="s">
        <v>91</v>
      </c>
      <c r="B21" s="10"/>
      <c r="C21" s="17" t="s">
        <v>69</v>
      </c>
      <c r="D21" s="12"/>
      <c r="E21" s="12"/>
      <c r="F21" s="18" t="s">
        <v>70</v>
      </c>
      <c r="G21" s="19">
        <v>1.6</v>
      </c>
      <c r="H21" s="20"/>
      <c r="I21" s="20">
        <v>59843.199999999997</v>
      </c>
      <c r="J21" s="21">
        <v>9.5500000000000007</v>
      </c>
      <c r="M21" s="22">
        <f>ROUND(ROUND(J21, 2)*I21, 2)</f>
        <v>571502.56000000006</v>
      </c>
      <c r="P21" s="23">
        <v>9.5500000000000007</v>
      </c>
      <c r="S21" s="22">
        <f>ROUND(ROUND(P21, 2)*I21, 2)</f>
        <v>571502.56000000006</v>
      </c>
      <c r="V21" s="9">
        <f>ROUND(ROUND(P21, 2)/1.2, 2)</f>
        <v>7.96</v>
      </c>
      <c r="Y21" s="9">
        <f t="shared" si="3"/>
        <v>476252.13</v>
      </c>
      <c r="AD21" s="4" t="s">
        <v>92</v>
      </c>
      <c r="AE21" s="4" t="s">
        <v>93</v>
      </c>
      <c r="AF21" s="4" t="s">
        <v>73</v>
      </c>
    </row>
    <row r="22" spans="1:35" ht="54" hidden="1" x14ac:dyDescent="0.3">
      <c r="A22" s="10" t="s">
        <v>94</v>
      </c>
      <c r="B22" s="10" t="s">
        <v>95</v>
      </c>
      <c r="C22" s="11" t="s">
        <v>96</v>
      </c>
      <c r="D22" s="12"/>
      <c r="E22" s="12" t="s">
        <v>97</v>
      </c>
      <c r="F22" s="12" t="s">
        <v>98</v>
      </c>
      <c r="G22" s="13">
        <v>1</v>
      </c>
      <c r="H22" s="13"/>
      <c r="I22" s="13">
        <v>2.88</v>
      </c>
      <c r="J22" s="14">
        <f>IFERROR(ROUND(SUM(M23)/I22, 2),0)</f>
        <v>12597</v>
      </c>
      <c r="K22" s="15">
        <v>54984</v>
      </c>
      <c r="L22" s="14">
        <f>J22+ROUND(K22, 2)</f>
        <v>67581</v>
      </c>
      <c r="M22" s="14">
        <f>ROUND(J22*I22, 2)</f>
        <v>36279.360000000001</v>
      </c>
      <c r="N22" s="14">
        <f>ROUND(I22*ROUND(K22, 2), 2)</f>
        <v>158353.92000000001</v>
      </c>
      <c r="O22" s="14">
        <f>M22+N22</f>
        <v>194633.28000000003</v>
      </c>
      <c r="P22" s="14">
        <f>IFERROR(ROUND(SUM(S23)/I22, 2),0)</f>
        <v>12597</v>
      </c>
      <c r="Q22" s="16">
        <v>54984</v>
      </c>
      <c r="R22" s="14">
        <f>P22+ROUND(Q22, 2)</f>
        <v>67581</v>
      </c>
      <c r="S22" s="14">
        <f>ROUND(P22*I22, 2)</f>
        <v>36279.360000000001</v>
      </c>
      <c r="T22" s="14">
        <f>ROUND(I22*ROUND(Q22, 2), 2)</f>
        <v>158353.92000000001</v>
      </c>
      <c r="U22" s="14">
        <f>S22+T22</f>
        <v>194633.28000000003</v>
      </c>
      <c r="V22" s="9">
        <f>ROUND(P22 / 1.2, 2)</f>
        <v>10497.5</v>
      </c>
      <c r="W22" s="9">
        <f>ROUND(Q22 / 1.2, 2)</f>
        <v>45820</v>
      </c>
      <c r="X22" s="9">
        <f>ROUND(R22 / 1.2, 2)</f>
        <v>56317.5</v>
      </c>
      <c r="Y22" s="9">
        <f t="shared" si="3"/>
        <v>30232.799999999999</v>
      </c>
      <c r="Z22" s="9">
        <f>ROUND(T22 / 1.2, 2)</f>
        <v>131961.60000000001</v>
      </c>
      <c r="AA22" s="9">
        <f>Y22+Z22</f>
        <v>162194.4</v>
      </c>
      <c r="AD22" s="4">
        <v>271132064</v>
      </c>
      <c r="AE22" s="4">
        <v>19810929</v>
      </c>
      <c r="AG22" s="4" t="s">
        <v>99</v>
      </c>
      <c r="AH22" s="4" t="s">
        <v>100</v>
      </c>
      <c r="AI22" s="4" t="s">
        <v>67</v>
      </c>
    </row>
    <row r="23" spans="1:35" ht="18" hidden="1" x14ac:dyDescent="0.3">
      <c r="A23" s="10" t="s">
        <v>101</v>
      </c>
      <c r="B23" s="10"/>
      <c r="C23" s="24" t="s">
        <v>102</v>
      </c>
      <c r="D23" s="12"/>
      <c r="E23" s="12"/>
      <c r="F23" s="18" t="s">
        <v>70</v>
      </c>
      <c r="G23" s="19">
        <v>1700</v>
      </c>
      <c r="H23" s="20"/>
      <c r="I23" s="20">
        <v>4896</v>
      </c>
      <c r="J23" s="21">
        <v>7.41</v>
      </c>
      <c r="M23" s="22">
        <f>ROUND(ROUND(J23, 2)*I23, 2)</f>
        <v>36279.360000000001</v>
      </c>
      <c r="P23" s="23">
        <v>7.41</v>
      </c>
      <c r="S23" s="22">
        <f>ROUND(ROUND(P23, 2)*I23, 2)</f>
        <v>36279.360000000001</v>
      </c>
      <c r="V23" s="9">
        <f>ROUND(ROUND(P23, 2)/1.2, 2)</f>
        <v>6.18</v>
      </c>
      <c r="Y23" s="9">
        <f t="shared" si="3"/>
        <v>30232.799999999999</v>
      </c>
      <c r="AD23" s="4" t="s">
        <v>103</v>
      </c>
      <c r="AE23" s="4" t="s">
        <v>104</v>
      </c>
      <c r="AF23" s="4" t="s">
        <v>105</v>
      </c>
    </row>
    <row r="24" spans="1:35" ht="54" hidden="1" x14ac:dyDescent="0.3">
      <c r="A24" s="10" t="s">
        <v>106</v>
      </c>
      <c r="B24" s="10" t="s">
        <v>107</v>
      </c>
      <c r="C24" s="11" t="s">
        <v>108</v>
      </c>
      <c r="D24" s="12"/>
      <c r="E24" s="12" t="s">
        <v>109</v>
      </c>
      <c r="F24" s="12" t="s">
        <v>64</v>
      </c>
      <c r="G24" s="13">
        <v>1</v>
      </c>
      <c r="H24" s="13"/>
      <c r="I24" s="13">
        <v>0</v>
      </c>
      <c r="J24" s="14">
        <f>IFERROR(ROUND(SUM(M25,M26,M27,M28,M29,M30,M31)/I24, 2),0)</f>
        <v>0</v>
      </c>
      <c r="K24" s="15">
        <v>855</v>
      </c>
      <c r="L24" s="14">
        <f>J24+ROUND(K24, 2)</f>
        <v>855</v>
      </c>
      <c r="M24" s="14">
        <f>ROUND(J24*I24, 2)</f>
        <v>0</v>
      </c>
      <c r="N24" s="14">
        <f>ROUND(I24*ROUND(K24, 2), 2)</f>
        <v>0</v>
      </c>
      <c r="O24" s="14">
        <f>M24+N24</f>
        <v>0</v>
      </c>
      <c r="P24" s="14">
        <f>IFERROR(ROUND(SUM(S25,S26,S27,S28,S29,S30,S31)/I24, 2),0)</f>
        <v>0</v>
      </c>
      <c r="Q24" s="15">
        <v>855</v>
      </c>
      <c r="R24" s="14">
        <f>P24+ROUND(Q24, 2)</f>
        <v>855</v>
      </c>
      <c r="S24" s="14">
        <f>ROUND(P24*I24, 2)</f>
        <v>0</v>
      </c>
      <c r="T24" s="14">
        <f>ROUND(I24*ROUND(Q24, 2), 2)</f>
        <v>0</v>
      </c>
      <c r="U24" s="14">
        <f>S24+T24</f>
        <v>0</v>
      </c>
      <c r="V24" s="9">
        <f>ROUND(P24 / 1.2, 2)</f>
        <v>0</v>
      </c>
      <c r="W24" s="9">
        <f>ROUND(Q24 / 1.2, 2)</f>
        <v>712.5</v>
      </c>
      <c r="X24" s="9">
        <f>ROUND(R24 / 1.2, 2)</f>
        <v>712.5</v>
      </c>
      <c r="Y24" s="9">
        <f t="shared" si="3"/>
        <v>0</v>
      </c>
      <c r="Z24" s="9">
        <f>ROUND(T24 / 1.2, 2)</f>
        <v>0</v>
      </c>
      <c r="AA24" s="9">
        <f>Y24+Z24</f>
        <v>0</v>
      </c>
      <c r="AD24" s="4">
        <v>271132066</v>
      </c>
      <c r="AE24" s="4">
        <v>17497283</v>
      </c>
      <c r="AG24" s="4" t="s">
        <v>110</v>
      </c>
      <c r="AH24" s="4" t="s">
        <v>111</v>
      </c>
      <c r="AI24" s="4" t="s">
        <v>67</v>
      </c>
    </row>
    <row r="25" spans="1:35" ht="18" hidden="1" x14ac:dyDescent="0.3">
      <c r="A25" s="10" t="s">
        <v>114</v>
      </c>
      <c r="B25" s="10"/>
      <c r="C25" s="24" t="s">
        <v>115</v>
      </c>
      <c r="D25" s="12"/>
      <c r="E25" s="12"/>
      <c r="F25" s="18" t="s">
        <v>116</v>
      </c>
      <c r="G25" s="19">
        <v>8</v>
      </c>
      <c r="H25" s="20"/>
      <c r="I25" s="20">
        <v>0</v>
      </c>
      <c r="J25" s="21">
        <v>2.5</v>
      </c>
      <c r="M25" s="22">
        <f t="shared" ref="M25:M31" si="4">ROUND(ROUND(J25, 2)*I25, 2)</f>
        <v>0</v>
      </c>
      <c r="P25" s="21">
        <v>2.5</v>
      </c>
      <c r="S25" s="22">
        <f t="shared" ref="S25:S31" si="5">ROUND(ROUND(P25, 2)*I25, 2)</f>
        <v>0</v>
      </c>
      <c r="V25" s="9">
        <f t="shared" ref="V25:V31" si="6">ROUND(ROUND(P25, 2)/1.2, 2)</f>
        <v>2.08</v>
      </c>
      <c r="Y25" s="9">
        <f t="shared" si="3"/>
        <v>0</v>
      </c>
      <c r="AD25" s="4" t="s">
        <v>117</v>
      </c>
      <c r="AE25" s="4" t="s">
        <v>118</v>
      </c>
      <c r="AF25" s="4" t="s">
        <v>119</v>
      </c>
    </row>
    <row r="26" spans="1:35" ht="18" hidden="1" x14ac:dyDescent="0.3">
      <c r="A26" s="10" t="s">
        <v>122</v>
      </c>
      <c r="B26" s="10"/>
      <c r="C26" s="24" t="s">
        <v>123</v>
      </c>
      <c r="D26" s="12"/>
      <c r="E26" s="12"/>
      <c r="F26" s="18" t="s">
        <v>70</v>
      </c>
      <c r="G26" s="19">
        <v>1E-3</v>
      </c>
      <c r="H26" s="20"/>
      <c r="I26" s="20">
        <v>0</v>
      </c>
      <c r="J26" s="21">
        <v>208.33</v>
      </c>
      <c r="M26" s="22">
        <f t="shared" si="4"/>
        <v>0</v>
      </c>
      <c r="P26" s="21">
        <v>208.33</v>
      </c>
      <c r="S26" s="22">
        <f t="shared" si="5"/>
        <v>0</v>
      </c>
      <c r="V26" s="9">
        <f t="shared" si="6"/>
        <v>173.61</v>
      </c>
      <c r="Y26" s="9">
        <f t="shared" si="3"/>
        <v>0</v>
      </c>
      <c r="AD26" s="4" t="s">
        <v>124</v>
      </c>
      <c r="AE26" s="4" t="s">
        <v>125</v>
      </c>
      <c r="AF26" s="4" t="s">
        <v>126</v>
      </c>
    </row>
    <row r="27" spans="1:35" ht="18" hidden="1" x14ac:dyDescent="0.3">
      <c r="A27" s="10" t="s">
        <v>129</v>
      </c>
      <c r="B27" s="10"/>
      <c r="C27" s="24" t="s">
        <v>130</v>
      </c>
      <c r="D27" s="12"/>
      <c r="E27" s="12"/>
      <c r="F27" s="18" t="s">
        <v>64</v>
      </c>
      <c r="G27" s="19">
        <v>1.1000000000000001</v>
      </c>
      <c r="H27" s="20"/>
      <c r="I27" s="20">
        <v>0</v>
      </c>
      <c r="J27" s="21">
        <v>155.01</v>
      </c>
      <c r="M27" s="22">
        <f t="shared" si="4"/>
        <v>0</v>
      </c>
      <c r="P27" s="21">
        <v>155.01</v>
      </c>
      <c r="S27" s="22">
        <f t="shared" si="5"/>
        <v>0</v>
      </c>
      <c r="V27" s="9">
        <f t="shared" si="6"/>
        <v>129.18</v>
      </c>
      <c r="Y27" s="9">
        <f t="shared" si="3"/>
        <v>0</v>
      </c>
      <c r="AD27" s="4" t="s">
        <v>131</v>
      </c>
      <c r="AE27" s="4" t="s">
        <v>132</v>
      </c>
      <c r="AF27" s="4" t="s">
        <v>133</v>
      </c>
    </row>
    <row r="28" spans="1:35" ht="18" hidden="1" x14ac:dyDescent="0.3">
      <c r="A28" s="10" t="s">
        <v>136</v>
      </c>
      <c r="B28" s="10"/>
      <c r="C28" s="24" t="s">
        <v>137</v>
      </c>
      <c r="D28" s="12"/>
      <c r="E28" s="12"/>
      <c r="F28" s="18" t="s">
        <v>70</v>
      </c>
      <c r="G28" s="19">
        <v>0.32</v>
      </c>
      <c r="H28" s="20"/>
      <c r="I28" s="20">
        <v>0</v>
      </c>
      <c r="J28" s="21">
        <v>7.5</v>
      </c>
      <c r="M28" s="22">
        <f t="shared" si="4"/>
        <v>0</v>
      </c>
      <c r="P28" s="21">
        <v>7.5</v>
      </c>
      <c r="S28" s="22">
        <f t="shared" si="5"/>
        <v>0</v>
      </c>
      <c r="V28" s="9">
        <f t="shared" si="6"/>
        <v>6.25</v>
      </c>
      <c r="Y28" s="9">
        <f t="shared" si="3"/>
        <v>0</v>
      </c>
      <c r="AD28" s="4" t="s">
        <v>138</v>
      </c>
      <c r="AE28" s="4" t="s">
        <v>139</v>
      </c>
      <c r="AF28" s="4" t="s">
        <v>140</v>
      </c>
    </row>
    <row r="29" spans="1:35" ht="18" hidden="1" x14ac:dyDescent="0.3">
      <c r="A29" s="10" t="s">
        <v>143</v>
      </c>
      <c r="B29" s="10"/>
      <c r="C29" s="24" t="s">
        <v>144</v>
      </c>
      <c r="D29" s="12"/>
      <c r="E29" s="12"/>
      <c r="F29" s="18" t="s">
        <v>98</v>
      </c>
      <c r="G29" s="19">
        <v>1E-3</v>
      </c>
      <c r="H29" s="20"/>
      <c r="I29" s="20">
        <v>0</v>
      </c>
      <c r="J29" s="21">
        <v>1600</v>
      </c>
      <c r="M29" s="22">
        <f t="shared" si="4"/>
        <v>0</v>
      </c>
      <c r="P29" s="21">
        <v>1600</v>
      </c>
      <c r="S29" s="22">
        <f t="shared" si="5"/>
        <v>0</v>
      </c>
      <c r="V29" s="9">
        <f t="shared" si="6"/>
        <v>1333.33</v>
      </c>
      <c r="Y29" s="9">
        <f t="shared" si="3"/>
        <v>0</v>
      </c>
      <c r="AD29" s="4" t="s">
        <v>145</v>
      </c>
      <c r="AE29" s="4" t="s">
        <v>146</v>
      </c>
      <c r="AF29" s="4" t="s">
        <v>147</v>
      </c>
    </row>
    <row r="30" spans="1:35" ht="18" hidden="1" x14ac:dyDescent="0.3">
      <c r="A30" s="10" t="s">
        <v>150</v>
      </c>
      <c r="B30" s="10"/>
      <c r="C30" s="24" t="s">
        <v>86</v>
      </c>
      <c r="D30" s="12"/>
      <c r="E30" s="12"/>
      <c r="F30" s="18" t="s">
        <v>87</v>
      </c>
      <c r="G30" s="19">
        <v>1</v>
      </c>
      <c r="H30" s="20"/>
      <c r="I30" s="20">
        <v>0</v>
      </c>
      <c r="J30" s="21">
        <v>10.4</v>
      </c>
      <c r="M30" s="22">
        <f t="shared" si="4"/>
        <v>0</v>
      </c>
      <c r="P30" s="21">
        <v>10.4</v>
      </c>
      <c r="S30" s="22">
        <f t="shared" si="5"/>
        <v>0</v>
      </c>
      <c r="V30" s="9">
        <f t="shared" si="6"/>
        <v>8.67</v>
      </c>
      <c r="Y30" s="9">
        <f t="shared" si="3"/>
        <v>0</v>
      </c>
      <c r="AD30" s="4" t="s">
        <v>151</v>
      </c>
      <c r="AE30" s="4" t="s">
        <v>152</v>
      </c>
      <c r="AF30" s="4" t="s">
        <v>90</v>
      </c>
    </row>
    <row r="31" spans="1:35" ht="36" hidden="1" x14ac:dyDescent="0.3">
      <c r="A31" s="10" t="s">
        <v>155</v>
      </c>
      <c r="B31" s="10"/>
      <c r="C31" s="24" t="s">
        <v>75</v>
      </c>
      <c r="D31" s="12"/>
      <c r="E31" s="12"/>
      <c r="F31" s="18" t="s">
        <v>70</v>
      </c>
      <c r="G31" s="19">
        <v>0.2</v>
      </c>
      <c r="H31" s="19"/>
      <c r="I31" s="19">
        <v>0</v>
      </c>
      <c r="J31" s="21">
        <v>88.8</v>
      </c>
      <c r="M31" s="22">
        <f t="shared" si="4"/>
        <v>0</v>
      </c>
      <c r="P31" s="21">
        <v>88.8</v>
      </c>
      <c r="S31" s="22">
        <f t="shared" si="5"/>
        <v>0</v>
      </c>
      <c r="V31" s="9">
        <f t="shared" si="6"/>
        <v>74</v>
      </c>
      <c r="Y31" s="9">
        <f t="shared" si="3"/>
        <v>0</v>
      </c>
      <c r="AD31" s="4" t="s">
        <v>156</v>
      </c>
      <c r="AE31" s="4" t="s">
        <v>157</v>
      </c>
      <c r="AF31" s="4" t="s">
        <v>78</v>
      </c>
    </row>
    <row r="32" spans="1:35" ht="36" hidden="1" x14ac:dyDescent="0.3">
      <c r="A32" s="10" t="s">
        <v>160</v>
      </c>
      <c r="B32" s="10" t="s">
        <v>107</v>
      </c>
      <c r="C32" s="11" t="s">
        <v>108</v>
      </c>
      <c r="D32" s="12"/>
      <c r="E32" s="12" t="s">
        <v>161</v>
      </c>
      <c r="F32" s="12" t="s">
        <v>64</v>
      </c>
      <c r="G32" s="13">
        <v>1</v>
      </c>
      <c r="H32" s="13"/>
      <c r="I32" s="13">
        <v>0</v>
      </c>
      <c r="J32" s="14">
        <f>IFERROR(ROUND(SUM(M33,M34,M35,M36,M37,M38,M39)/I32, 2),0)</f>
        <v>0</v>
      </c>
      <c r="K32" s="15">
        <v>855</v>
      </c>
      <c r="L32" s="14">
        <f>J32+ROUND(K32, 2)</f>
        <v>855</v>
      </c>
      <c r="M32" s="14">
        <f>ROUND(J32*I32, 2)</f>
        <v>0</v>
      </c>
      <c r="N32" s="14">
        <f>ROUND(I32*ROUND(K32, 2), 2)</f>
        <v>0</v>
      </c>
      <c r="O32" s="14">
        <f>M32+N32</f>
        <v>0</v>
      </c>
      <c r="P32" s="14">
        <f>IFERROR(ROUND(SUM(S33,S34,S35,S36,S37,S38,S39)/I32, 2),0)</f>
        <v>0</v>
      </c>
      <c r="Q32" s="15">
        <v>855</v>
      </c>
      <c r="R32" s="14">
        <f>P32+ROUND(Q32, 2)</f>
        <v>855</v>
      </c>
      <c r="S32" s="14">
        <f>ROUND(P32*I32, 2)</f>
        <v>0</v>
      </c>
      <c r="T32" s="14">
        <f>ROUND(I32*ROUND(Q32, 2), 2)</f>
        <v>0</v>
      </c>
      <c r="U32" s="14">
        <f>S32+T32</f>
        <v>0</v>
      </c>
      <c r="V32" s="9">
        <f>ROUND(P32 / 1.2, 2)</f>
        <v>0</v>
      </c>
      <c r="W32" s="9">
        <f>ROUND(Q32 / 1.2, 2)</f>
        <v>712.5</v>
      </c>
      <c r="X32" s="9">
        <f>ROUND(R32 / 1.2, 2)</f>
        <v>712.5</v>
      </c>
      <c r="Y32" s="9">
        <f t="shared" si="3"/>
        <v>0</v>
      </c>
      <c r="Z32" s="9">
        <f>ROUND(T32 / 1.2, 2)</f>
        <v>0</v>
      </c>
      <c r="AA32" s="9">
        <f>Y32+Z32</f>
        <v>0</v>
      </c>
      <c r="AD32" s="4">
        <v>271132161</v>
      </c>
      <c r="AE32" s="4">
        <v>17497284</v>
      </c>
      <c r="AG32" s="4" t="s">
        <v>110</v>
      </c>
      <c r="AH32" s="4" t="s">
        <v>111</v>
      </c>
      <c r="AI32" s="4" t="s">
        <v>67</v>
      </c>
    </row>
    <row r="33" spans="1:35" ht="36" hidden="1" x14ac:dyDescent="0.3">
      <c r="A33" s="10" t="s">
        <v>164</v>
      </c>
      <c r="B33" s="10"/>
      <c r="C33" s="24" t="s">
        <v>75</v>
      </c>
      <c r="D33" s="12"/>
      <c r="E33" s="12"/>
      <c r="F33" s="18" t="s">
        <v>70</v>
      </c>
      <c r="G33" s="19">
        <v>0.2</v>
      </c>
      <c r="H33" s="19"/>
      <c r="I33" s="19">
        <v>0</v>
      </c>
      <c r="J33" s="21">
        <v>88.8</v>
      </c>
      <c r="M33" s="22">
        <f t="shared" ref="M33:M39" si="7">ROUND(ROUND(J33, 2)*I33, 2)</f>
        <v>0</v>
      </c>
      <c r="P33" s="21">
        <v>88.8</v>
      </c>
      <c r="S33" s="22">
        <f t="shared" ref="S33:S39" si="8">ROUND(ROUND(P33, 2)*I33, 2)</f>
        <v>0</v>
      </c>
      <c r="V33" s="9">
        <f t="shared" ref="V33:V39" si="9">ROUND(ROUND(P33, 2)/1.2, 2)</f>
        <v>74</v>
      </c>
      <c r="Y33" s="9">
        <f t="shared" si="3"/>
        <v>0</v>
      </c>
      <c r="AD33" s="4" t="s">
        <v>165</v>
      </c>
      <c r="AE33" s="4" t="s">
        <v>166</v>
      </c>
      <c r="AF33" s="4" t="s">
        <v>78</v>
      </c>
    </row>
    <row r="34" spans="1:35" ht="18" hidden="1" x14ac:dyDescent="0.3">
      <c r="A34" s="10" t="s">
        <v>169</v>
      </c>
      <c r="B34" s="10"/>
      <c r="C34" s="24" t="s">
        <v>86</v>
      </c>
      <c r="D34" s="12"/>
      <c r="E34" s="12"/>
      <c r="F34" s="18" t="s">
        <v>87</v>
      </c>
      <c r="G34" s="19">
        <v>1</v>
      </c>
      <c r="H34" s="20"/>
      <c r="I34" s="20">
        <v>0</v>
      </c>
      <c r="J34" s="21">
        <v>10.4</v>
      </c>
      <c r="M34" s="22">
        <f t="shared" si="7"/>
        <v>0</v>
      </c>
      <c r="P34" s="21">
        <v>10.4</v>
      </c>
      <c r="S34" s="22">
        <f t="shared" si="8"/>
        <v>0</v>
      </c>
      <c r="V34" s="9">
        <f t="shared" si="9"/>
        <v>8.67</v>
      </c>
      <c r="Y34" s="9">
        <f t="shared" si="3"/>
        <v>0</v>
      </c>
      <c r="AD34" s="4" t="s">
        <v>170</v>
      </c>
      <c r="AE34" s="4" t="s">
        <v>171</v>
      </c>
      <c r="AF34" s="4" t="s">
        <v>90</v>
      </c>
    </row>
    <row r="35" spans="1:35" ht="18" hidden="1" x14ac:dyDescent="0.3">
      <c r="A35" s="10" t="s">
        <v>174</v>
      </c>
      <c r="B35" s="10"/>
      <c r="C35" s="24" t="s">
        <v>144</v>
      </c>
      <c r="D35" s="12"/>
      <c r="E35" s="12"/>
      <c r="F35" s="18" t="s">
        <v>98</v>
      </c>
      <c r="G35" s="19">
        <v>1E-3</v>
      </c>
      <c r="H35" s="20"/>
      <c r="I35" s="20">
        <v>0</v>
      </c>
      <c r="J35" s="21">
        <v>1600</v>
      </c>
      <c r="M35" s="22">
        <f t="shared" si="7"/>
        <v>0</v>
      </c>
      <c r="P35" s="21">
        <v>1600</v>
      </c>
      <c r="S35" s="22">
        <f t="shared" si="8"/>
        <v>0</v>
      </c>
      <c r="V35" s="9">
        <f t="shared" si="9"/>
        <v>1333.33</v>
      </c>
      <c r="Y35" s="9">
        <f t="shared" si="3"/>
        <v>0</v>
      </c>
      <c r="AD35" s="4" t="s">
        <v>175</v>
      </c>
      <c r="AE35" s="4" t="s">
        <v>176</v>
      </c>
      <c r="AF35" s="4" t="s">
        <v>147</v>
      </c>
    </row>
    <row r="36" spans="1:35" ht="18" hidden="1" x14ac:dyDescent="0.3">
      <c r="A36" s="10" t="s">
        <v>179</v>
      </c>
      <c r="B36" s="10"/>
      <c r="C36" s="24" t="s">
        <v>137</v>
      </c>
      <c r="D36" s="12"/>
      <c r="E36" s="12"/>
      <c r="F36" s="18" t="s">
        <v>70</v>
      </c>
      <c r="G36" s="19">
        <v>0.32</v>
      </c>
      <c r="H36" s="20"/>
      <c r="I36" s="20">
        <v>0</v>
      </c>
      <c r="J36" s="21">
        <v>7.5</v>
      </c>
      <c r="M36" s="22">
        <f t="shared" si="7"/>
        <v>0</v>
      </c>
      <c r="P36" s="21">
        <v>7.5</v>
      </c>
      <c r="S36" s="22">
        <f t="shared" si="8"/>
        <v>0</v>
      </c>
      <c r="V36" s="9">
        <f t="shared" si="9"/>
        <v>6.25</v>
      </c>
      <c r="Y36" s="9">
        <f t="shared" si="3"/>
        <v>0</v>
      </c>
      <c r="AD36" s="4" t="s">
        <v>180</v>
      </c>
      <c r="AE36" s="4" t="s">
        <v>181</v>
      </c>
      <c r="AF36" s="4" t="s">
        <v>140</v>
      </c>
    </row>
    <row r="37" spans="1:35" ht="18" hidden="1" x14ac:dyDescent="0.3">
      <c r="A37" s="10" t="s">
        <v>184</v>
      </c>
      <c r="B37" s="10"/>
      <c r="C37" s="24" t="s">
        <v>130</v>
      </c>
      <c r="D37" s="12"/>
      <c r="E37" s="12"/>
      <c r="F37" s="18" t="s">
        <v>64</v>
      </c>
      <c r="G37" s="19">
        <v>1.1000000000000001</v>
      </c>
      <c r="H37" s="20"/>
      <c r="I37" s="20">
        <v>0</v>
      </c>
      <c r="J37" s="21">
        <v>155.01</v>
      </c>
      <c r="M37" s="22">
        <f t="shared" si="7"/>
        <v>0</v>
      </c>
      <c r="P37" s="21">
        <v>155.01</v>
      </c>
      <c r="S37" s="22">
        <f t="shared" si="8"/>
        <v>0</v>
      </c>
      <c r="V37" s="9">
        <f t="shared" si="9"/>
        <v>129.18</v>
      </c>
      <c r="Y37" s="9">
        <f t="shared" si="3"/>
        <v>0</v>
      </c>
      <c r="AD37" s="4" t="s">
        <v>185</v>
      </c>
      <c r="AE37" s="4" t="s">
        <v>186</v>
      </c>
      <c r="AF37" s="4" t="s">
        <v>133</v>
      </c>
    </row>
    <row r="38" spans="1:35" ht="18" hidden="1" x14ac:dyDescent="0.3">
      <c r="A38" s="10" t="s">
        <v>189</v>
      </c>
      <c r="B38" s="10"/>
      <c r="C38" s="24" t="s">
        <v>123</v>
      </c>
      <c r="D38" s="12"/>
      <c r="E38" s="12"/>
      <c r="F38" s="18" t="s">
        <v>70</v>
      </c>
      <c r="G38" s="19">
        <v>1E-3</v>
      </c>
      <c r="H38" s="20"/>
      <c r="I38" s="20">
        <v>0</v>
      </c>
      <c r="J38" s="21">
        <v>208.33</v>
      </c>
      <c r="M38" s="22">
        <f t="shared" si="7"/>
        <v>0</v>
      </c>
      <c r="P38" s="21">
        <v>208.33</v>
      </c>
      <c r="S38" s="22">
        <f t="shared" si="8"/>
        <v>0</v>
      </c>
      <c r="V38" s="9">
        <f t="shared" si="9"/>
        <v>173.61</v>
      </c>
      <c r="Y38" s="9">
        <f t="shared" si="3"/>
        <v>0</v>
      </c>
      <c r="AD38" s="4" t="s">
        <v>190</v>
      </c>
      <c r="AE38" s="4" t="s">
        <v>191</v>
      </c>
      <c r="AF38" s="4" t="s">
        <v>126</v>
      </c>
    </row>
    <row r="39" spans="1:35" ht="18" hidden="1" x14ac:dyDescent="0.3">
      <c r="A39" s="10" t="s">
        <v>194</v>
      </c>
      <c r="B39" s="10"/>
      <c r="C39" s="24" t="s">
        <v>115</v>
      </c>
      <c r="D39" s="12"/>
      <c r="E39" s="12"/>
      <c r="F39" s="18" t="s">
        <v>116</v>
      </c>
      <c r="G39" s="19">
        <v>8</v>
      </c>
      <c r="H39" s="20"/>
      <c r="I39" s="20">
        <v>0</v>
      </c>
      <c r="J39" s="21">
        <v>2.5</v>
      </c>
      <c r="M39" s="22">
        <f t="shared" si="7"/>
        <v>0</v>
      </c>
      <c r="P39" s="21">
        <v>2.5</v>
      </c>
      <c r="S39" s="22">
        <f t="shared" si="8"/>
        <v>0</v>
      </c>
      <c r="V39" s="9">
        <f t="shared" si="9"/>
        <v>2.08</v>
      </c>
      <c r="Y39" s="9">
        <f t="shared" si="3"/>
        <v>0</v>
      </c>
      <c r="AD39" s="4" t="s">
        <v>195</v>
      </c>
      <c r="AE39" s="4" t="s">
        <v>196</v>
      </c>
      <c r="AF39" s="4" t="s">
        <v>119</v>
      </c>
    </row>
    <row r="40" spans="1:35" ht="36" hidden="1" x14ac:dyDescent="0.3">
      <c r="A40" s="10" t="s">
        <v>199</v>
      </c>
      <c r="B40" s="10" t="s">
        <v>107</v>
      </c>
      <c r="C40" s="11" t="s">
        <v>200</v>
      </c>
      <c r="D40" s="12"/>
      <c r="E40" s="12" t="s">
        <v>201</v>
      </c>
      <c r="F40" s="12" t="s">
        <v>64</v>
      </c>
      <c r="G40" s="13">
        <v>1</v>
      </c>
      <c r="H40" s="13"/>
      <c r="I40" s="13">
        <v>239.9</v>
      </c>
      <c r="J40" s="14">
        <f>IFERROR(ROUND(SUM(M41,M42,M43,M44,M45)/I40, 2),0)</f>
        <v>878.71</v>
      </c>
      <c r="K40" s="15">
        <v>941</v>
      </c>
      <c r="L40" s="14">
        <f>J40+ROUND(K40, 2)</f>
        <v>1819.71</v>
      </c>
      <c r="M40" s="14">
        <f>ROUND(J40*I40, 2)</f>
        <v>210802.53</v>
      </c>
      <c r="N40" s="14">
        <f>ROUND(I40*ROUND(K40, 2), 2)</f>
        <v>225745.9</v>
      </c>
      <c r="O40" s="14">
        <f>M40+N40</f>
        <v>436548.43</v>
      </c>
      <c r="P40" s="14">
        <f>IFERROR(ROUND(SUM(S41,S42,S43,S44,S45)/I40, 2),0)</f>
        <v>878.71</v>
      </c>
      <c r="Q40" s="16">
        <v>941</v>
      </c>
      <c r="R40" s="14">
        <f>P40+ROUND(Q40, 2)</f>
        <v>1819.71</v>
      </c>
      <c r="S40" s="14">
        <f>ROUND(P40*I40, 2)</f>
        <v>210802.53</v>
      </c>
      <c r="T40" s="14">
        <f>ROUND(I40*ROUND(Q40, 2), 2)</f>
        <v>225745.9</v>
      </c>
      <c r="U40" s="14">
        <f>S40+T40</f>
        <v>436548.43</v>
      </c>
      <c r="V40" s="9">
        <f>ROUND(P40 / 1.2, 2)</f>
        <v>732.26</v>
      </c>
      <c r="W40" s="9">
        <f>ROUND(Q40 / 1.2, 2)</f>
        <v>784.17</v>
      </c>
      <c r="X40" s="9">
        <f>ROUND(R40 / 1.2, 2)</f>
        <v>1516.43</v>
      </c>
      <c r="Y40" s="9">
        <f t="shared" si="3"/>
        <v>175668.78</v>
      </c>
      <c r="Z40" s="9">
        <f>ROUND(T40 / 1.2, 2)</f>
        <v>188121.58</v>
      </c>
      <c r="AA40" s="9">
        <f>Y40+Z40</f>
        <v>363790.36</v>
      </c>
      <c r="AD40" s="4">
        <v>271132162</v>
      </c>
      <c r="AE40" s="4">
        <v>19810928</v>
      </c>
      <c r="AG40" s="4" t="s">
        <v>110</v>
      </c>
      <c r="AH40" s="4" t="s">
        <v>111</v>
      </c>
      <c r="AI40" s="4" t="s">
        <v>67</v>
      </c>
    </row>
    <row r="41" spans="1:35" ht="36" hidden="1" x14ac:dyDescent="0.3">
      <c r="A41" s="10" t="s">
        <v>202</v>
      </c>
      <c r="B41" s="10"/>
      <c r="C41" s="24" t="s">
        <v>75</v>
      </c>
      <c r="D41" s="12"/>
      <c r="E41" s="12"/>
      <c r="F41" s="18" t="s">
        <v>70</v>
      </c>
      <c r="G41" s="19">
        <v>0.2</v>
      </c>
      <c r="H41" s="19"/>
      <c r="I41" s="19">
        <v>47.98</v>
      </c>
      <c r="J41" s="21">
        <v>88.8</v>
      </c>
      <c r="M41" s="22">
        <f>ROUND(ROUND(J41, 2)*I41, 2)</f>
        <v>4260.62</v>
      </c>
      <c r="P41" s="23">
        <v>88.8</v>
      </c>
      <c r="S41" s="22">
        <f>ROUND(ROUND(P41, 2)*I41, 2)</f>
        <v>4260.62</v>
      </c>
      <c r="V41" s="9">
        <f>ROUND(ROUND(P41, 2)/1.2, 2)</f>
        <v>74</v>
      </c>
      <c r="Y41" s="9">
        <f t="shared" si="3"/>
        <v>3550.52</v>
      </c>
      <c r="AD41" s="4" t="s">
        <v>203</v>
      </c>
      <c r="AE41" s="4" t="s">
        <v>204</v>
      </c>
      <c r="AF41" s="4" t="s">
        <v>78</v>
      </c>
    </row>
    <row r="42" spans="1:35" ht="18" hidden="1" x14ac:dyDescent="0.3">
      <c r="A42" s="10" t="s">
        <v>205</v>
      </c>
      <c r="B42" s="10"/>
      <c r="C42" s="24" t="s">
        <v>86</v>
      </c>
      <c r="D42" s="12"/>
      <c r="E42" s="12"/>
      <c r="F42" s="18" t="s">
        <v>87</v>
      </c>
      <c r="G42" s="19">
        <v>1</v>
      </c>
      <c r="H42" s="20"/>
      <c r="I42" s="20">
        <v>94</v>
      </c>
      <c r="J42" s="21">
        <v>10.4</v>
      </c>
      <c r="M42" s="22">
        <f>ROUND(ROUND(J42, 2)*I42, 2)</f>
        <v>977.6</v>
      </c>
      <c r="P42" s="23">
        <v>10.4</v>
      </c>
      <c r="S42" s="22">
        <f>ROUND(ROUND(P42, 2)*I42, 2)</f>
        <v>977.6</v>
      </c>
      <c r="V42" s="9">
        <f>ROUND(ROUND(P42, 2)/1.2, 2)</f>
        <v>8.67</v>
      </c>
      <c r="Y42" s="9">
        <f t="shared" si="3"/>
        <v>814.67</v>
      </c>
      <c r="AD42" s="4" t="s">
        <v>206</v>
      </c>
      <c r="AE42" s="4" t="s">
        <v>207</v>
      </c>
      <c r="AF42" s="4" t="s">
        <v>90</v>
      </c>
    </row>
    <row r="43" spans="1:35" ht="18" hidden="1" x14ac:dyDescent="0.3">
      <c r="A43" s="10" t="s">
        <v>208</v>
      </c>
      <c r="B43" s="10"/>
      <c r="C43" s="24" t="s">
        <v>130</v>
      </c>
      <c r="D43" s="12"/>
      <c r="E43" s="12"/>
      <c r="F43" s="18" t="s">
        <v>64</v>
      </c>
      <c r="G43" s="19">
        <v>1.1000000000000001</v>
      </c>
      <c r="H43" s="20"/>
      <c r="I43" s="20">
        <v>263.89</v>
      </c>
      <c r="J43" s="21">
        <v>155.01</v>
      </c>
      <c r="M43" s="22">
        <f>ROUND(ROUND(J43, 2)*I43, 2)</f>
        <v>40905.589999999997</v>
      </c>
      <c r="P43" s="23">
        <v>155.01</v>
      </c>
      <c r="S43" s="22">
        <f>ROUND(ROUND(P43, 2)*I43, 2)</f>
        <v>40905.589999999997</v>
      </c>
      <c r="V43" s="9">
        <f>ROUND(ROUND(P43, 2)/1.2, 2)</f>
        <v>129.18</v>
      </c>
      <c r="Y43" s="9">
        <f t="shared" si="3"/>
        <v>34087.99</v>
      </c>
      <c r="AD43" s="4" t="s">
        <v>209</v>
      </c>
      <c r="AE43" s="4" t="s">
        <v>210</v>
      </c>
      <c r="AF43" s="4" t="s">
        <v>133</v>
      </c>
    </row>
    <row r="44" spans="1:35" ht="18" hidden="1" x14ac:dyDescent="0.3">
      <c r="A44" s="10" t="s">
        <v>211</v>
      </c>
      <c r="B44" s="10"/>
      <c r="C44" s="24" t="s">
        <v>212</v>
      </c>
      <c r="D44" s="12"/>
      <c r="E44" s="12"/>
      <c r="F44" s="18" t="s">
        <v>70</v>
      </c>
      <c r="G44" s="19">
        <v>1.8</v>
      </c>
      <c r="H44" s="20"/>
      <c r="I44" s="20">
        <v>25909.200000000001</v>
      </c>
      <c r="J44" s="21">
        <v>6.17</v>
      </c>
      <c r="M44" s="22">
        <f>ROUND(ROUND(J44, 2)*I44, 2)</f>
        <v>159859.76</v>
      </c>
      <c r="P44" s="23">
        <v>6.17</v>
      </c>
      <c r="S44" s="22">
        <f>ROUND(ROUND(P44, 2)*I44, 2)</f>
        <v>159859.76</v>
      </c>
      <c r="V44" s="9">
        <f>ROUND(ROUND(P44, 2)/1.2, 2)</f>
        <v>5.14</v>
      </c>
      <c r="Y44" s="9">
        <f t="shared" si="3"/>
        <v>133216.47</v>
      </c>
      <c r="AD44" s="4" t="s">
        <v>213</v>
      </c>
      <c r="AE44" s="4" t="s">
        <v>214</v>
      </c>
      <c r="AF44" s="4" t="s">
        <v>215</v>
      </c>
    </row>
    <row r="45" spans="1:35" ht="18" hidden="1" x14ac:dyDescent="0.3">
      <c r="A45" s="10" t="s">
        <v>216</v>
      </c>
      <c r="B45" s="10"/>
      <c r="C45" s="24" t="s">
        <v>115</v>
      </c>
      <c r="D45" s="12"/>
      <c r="E45" s="12"/>
      <c r="F45" s="18" t="s">
        <v>116</v>
      </c>
      <c r="G45" s="19">
        <v>8</v>
      </c>
      <c r="H45" s="20"/>
      <c r="I45" s="20">
        <v>1919.2</v>
      </c>
      <c r="J45" s="21">
        <v>2.5</v>
      </c>
      <c r="M45" s="22">
        <f>ROUND(ROUND(J45, 2)*I45, 2)</f>
        <v>4798</v>
      </c>
      <c r="P45" s="23">
        <v>2.5</v>
      </c>
      <c r="S45" s="22">
        <f>ROUND(ROUND(P45, 2)*I45, 2)</f>
        <v>4798</v>
      </c>
      <c r="V45" s="9">
        <f>ROUND(ROUND(P45, 2)/1.2, 2)</f>
        <v>2.08</v>
      </c>
      <c r="Y45" s="9">
        <f t="shared" si="3"/>
        <v>3998.33</v>
      </c>
      <c r="AD45" s="4" t="s">
        <v>217</v>
      </c>
      <c r="AE45" s="4" t="s">
        <v>218</v>
      </c>
      <c r="AF45" s="4" t="s">
        <v>119</v>
      </c>
    </row>
    <row r="46" spans="1:35" ht="36" hidden="1" x14ac:dyDescent="0.3">
      <c r="A46" s="10" t="s">
        <v>219</v>
      </c>
      <c r="B46" s="10" t="s">
        <v>107</v>
      </c>
      <c r="C46" s="11" t="s">
        <v>200</v>
      </c>
      <c r="D46" s="12"/>
      <c r="E46" s="12" t="s">
        <v>220</v>
      </c>
      <c r="F46" s="12" t="s">
        <v>64</v>
      </c>
      <c r="G46" s="13">
        <v>1</v>
      </c>
      <c r="H46" s="13"/>
      <c r="I46" s="13">
        <v>631.29999999999995</v>
      </c>
      <c r="J46" s="14">
        <f>IFERROR(ROUND(SUM(M47,M48,M49,M50,M51)/I46, 2),0)</f>
        <v>879.19</v>
      </c>
      <c r="K46" s="15">
        <v>941</v>
      </c>
      <c r="L46" s="14">
        <f>J46+ROUND(K46, 2)</f>
        <v>1820.19</v>
      </c>
      <c r="M46" s="14">
        <f>ROUND(J46*I46, 2)</f>
        <v>555032.65</v>
      </c>
      <c r="N46" s="14">
        <f>ROUND(I46*ROUND(K46, 2), 2)</f>
        <v>594053.30000000005</v>
      </c>
      <c r="O46" s="14">
        <f>M46+N46</f>
        <v>1149085.9500000002</v>
      </c>
      <c r="P46" s="14">
        <f>IFERROR(ROUND(SUM(S47,S48,S49,S50,S51)/I46, 2),0)</f>
        <v>879.19</v>
      </c>
      <c r="Q46" s="16">
        <v>941</v>
      </c>
      <c r="R46" s="14">
        <f>P46+ROUND(Q46, 2)</f>
        <v>1820.19</v>
      </c>
      <c r="S46" s="14">
        <f>ROUND(P46*I46, 2)</f>
        <v>555032.65</v>
      </c>
      <c r="T46" s="14">
        <f>ROUND(I46*ROUND(Q46, 2), 2)</f>
        <v>594053.30000000005</v>
      </c>
      <c r="U46" s="14">
        <f>S46+T46</f>
        <v>1149085.9500000002</v>
      </c>
      <c r="V46" s="9">
        <f>ROUND(P46 / 1.2, 2)</f>
        <v>732.66</v>
      </c>
      <c r="W46" s="9">
        <f>ROUND(Q46 / 1.2, 2)</f>
        <v>784.17</v>
      </c>
      <c r="X46" s="9">
        <f>ROUND(R46 / 1.2, 2)</f>
        <v>1516.83</v>
      </c>
      <c r="Y46" s="9">
        <f t="shared" si="3"/>
        <v>462527.21</v>
      </c>
      <c r="Z46" s="9">
        <f>ROUND(T46 / 1.2, 2)</f>
        <v>495044.42</v>
      </c>
      <c r="AA46" s="9">
        <f>Y46+Z46</f>
        <v>957571.63</v>
      </c>
      <c r="AD46" s="4">
        <v>271132163</v>
      </c>
      <c r="AE46" s="4">
        <v>20229446</v>
      </c>
      <c r="AG46" s="4" t="s">
        <v>110</v>
      </c>
      <c r="AH46" s="4" t="s">
        <v>111</v>
      </c>
      <c r="AI46" s="4" t="s">
        <v>67</v>
      </c>
    </row>
    <row r="47" spans="1:35" ht="36" hidden="1" x14ac:dyDescent="0.3">
      <c r="A47" s="10" t="s">
        <v>221</v>
      </c>
      <c r="B47" s="10"/>
      <c r="C47" s="24" t="s">
        <v>75</v>
      </c>
      <c r="D47" s="12"/>
      <c r="E47" s="12"/>
      <c r="F47" s="18" t="s">
        <v>70</v>
      </c>
      <c r="G47" s="19">
        <v>0.2</v>
      </c>
      <c r="H47" s="19"/>
      <c r="I47" s="19">
        <v>126.26</v>
      </c>
      <c r="J47" s="21">
        <v>88.8</v>
      </c>
      <c r="M47" s="22">
        <f>ROUND(ROUND(J47, 2)*I47, 2)</f>
        <v>11211.89</v>
      </c>
      <c r="P47" s="23">
        <v>88.8</v>
      </c>
      <c r="S47" s="22">
        <f>ROUND(ROUND(P47, 2)*I47, 2)</f>
        <v>11211.89</v>
      </c>
      <c r="V47" s="9">
        <f>ROUND(ROUND(P47, 2)/1.2, 2)</f>
        <v>74</v>
      </c>
      <c r="Y47" s="9">
        <f t="shared" si="3"/>
        <v>9343.24</v>
      </c>
      <c r="AD47" s="4" t="s">
        <v>222</v>
      </c>
      <c r="AE47" s="4" t="s">
        <v>223</v>
      </c>
      <c r="AF47" s="4" t="s">
        <v>78</v>
      </c>
    </row>
    <row r="48" spans="1:35" ht="18" hidden="1" x14ac:dyDescent="0.3">
      <c r="A48" s="10" t="s">
        <v>224</v>
      </c>
      <c r="B48" s="10"/>
      <c r="C48" s="24" t="s">
        <v>86</v>
      </c>
      <c r="D48" s="12"/>
      <c r="E48" s="12"/>
      <c r="F48" s="18" t="s">
        <v>87</v>
      </c>
      <c r="G48" s="19">
        <v>1</v>
      </c>
      <c r="H48" s="20"/>
      <c r="I48" s="20">
        <v>277</v>
      </c>
      <c r="J48" s="21">
        <v>10.4</v>
      </c>
      <c r="M48" s="22">
        <f>ROUND(ROUND(J48, 2)*I48, 2)</f>
        <v>2880.8</v>
      </c>
      <c r="P48" s="23">
        <v>10.4</v>
      </c>
      <c r="S48" s="22">
        <f>ROUND(ROUND(P48, 2)*I48, 2)</f>
        <v>2880.8</v>
      </c>
      <c r="V48" s="9">
        <f>ROUND(ROUND(P48, 2)/1.2, 2)</f>
        <v>8.67</v>
      </c>
      <c r="Y48" s="9">
        <f t="shared" si="3"/>
        <v>2400.67</v>
      </c>
      <c r="AD48" s="4" t="s">
        <v>225</v>
      </c>
      <c r="AE48" s="4" t="s">
        <v>226</v>
      </c>
      <c r="AF48" s="4" t="s">
        <v>90</v>
      </c>
    </row>
    <row r="49" spans="1:35" ht="18" hidden="1" x14ac:dyDescent="0.3">
      <c r="A49" s="10" t="s">
        <v>227</v>
      </c>
      <c r="B49" s="10"/>
      <c r="C49" s="24" t="s">
        <v>130</v>
      </c>
      <c r="D49" s="12"/>
      <c r="E49" s="12"/>
      <c r="F49" s="18" t="s">
        <v>64</v>
      </c>
      <c r="G49" s="19">
        <v>1.1000000000000001</v>
      </c>
      <c r="H49" s="20"/>
      <c r="I49" s="20">
        <v>694.43</v>
      </c>
      <c r="J49" s="21">
        <v>155.01</v>
      </c>
      <c r="M49" s="22">
        <f>ROUND(ROUND(J49, 2)*I49, 2)</f>
        <v>107643.59</v>
      </c>
      <c r="P49" s="23">
        <v>155.01</v>
      </c>
      <c r="S49" s="22">
        <f>ROUND(ROUND(P49, 2)*I49, 2)</f>
        <v>107643.59</v>
      </c>
      <c r="V49" s="9">
        <f>ROUND(ROUND(P49, 2)/1.2, 2)</f>
        <v>129.18</v>
      </c>
      <c r="Y49" s="9">
        <f t="shared" si="3"/>
        <v>89702.99</v>
      </c>
      <c r="AD49" s="4" t="s">
        <v>228</v>
      </c>
      <c r="AE49" s="4" t="s">
        <v>229</v>
      </c>
      <c r="AF49" s="4" t="s">
        <v>133</v>
      </c>
    </row>
    <row r="50" spans="1:35" ht="18" hidden="1" x14ac:dyDescent="0.3">
      <c r="A50" s="10" t="s">
        <v>230</v>
      </c>
      <c r="B50" s="10"/>
      <c r="C50" s="24" t="s">
        <v>212</v>
      </c>
      <c r="D50" s="12"/>
      <c r="E50" s="12"/>
      <c r="F50" s="18" t="s">
        <v>70</v>
      </c>
      <c r="G50" s="19">
        <v>1.8</v>
      </c>
      <c r="H50" s="20"/>
      <c r="I50" s="20">
        <v>68180.399999999994</v>
      </c>
      <c r="J50" s="21">
        <v>6.17</v>
      </c>
      <c r="M50" s="22">
        <f>ROUND(ROUND(J50, 2)*I50, 2)</f>
        <v>420673.07</v>
      </c>
      <c r="P50" s="23">
        <v>6.17</v>
      </c>
      <c r="S50" s="22">
        <f>ROUND(ROUND(P50, 2)*I50, 2)</f>
        <v>420673.07</v>
      </c>
      <c r="V50" s="9">
        <f>ROUND(ROUND(P50, 2)/1.2, 2)</f>
        <v>5.14</v>
      </c>
      <c r="Y50" s="9">
        <f t="shared" si="3"/>
        <v>350560.89</v>
      </c>
      <c r="AD50" s="4" t="s">
        <v>231</v>
      </c>
      <c r="AE50" s="4" t="s">
        <v>232</v>
      </c>
      <c r="AF50" s="4" t="s">
        <v>215</v>
      </c>
    </row>
    <row r="51" spans="1:35" ht="18" hidden="1" x14ac:dyDescent="0.3">
      <c r="A51" s="10" t="s">
        <v>233</v>
      </c>
      <c r="B51" s="10"/>
      <c r="C51" s="24" t="s">
        <v>115</v>
      </c>
      <c r="D51" s="12"/>
      <c r="E51" s="12"/>
      <c r="F51" s="18" t="s">
        <v>116</v>
      </c>
      <c r="G51" s="19">
        <v>8</v>
      </c>
      <c r="H51" s="20"/>
      <c r="I51" s="20">
        <v>5050.3999999999996</v>
      </c>
      <c r="J51" s="21">
        <v>2.5</v>
      </c>
      <c r="M51" s="22">
        <f>ROUND(ROUND(J51, 2)*I51, 2)</f>
        <v>12626</v>
      </c>
      <c r="P51" s="23">
        <v>2.5</v>
      </c>
      <c r="S51" s="22">
        <f>ROUND(ROUND(P51, 2)*I51, 2)</f>
        <v>12626</v>
      </c>
      <c r="V51" s="9">
        <f>ROUND(ROUND(P51, 2)/1.2, 2)</f>
        <v>2.08</v>
      </c>
      <c r="Y51" s="9">
        <f t="shared" si="3"/>
        <v>10521.67</v>
      </c>
      <c r="AD51" s="4" t="s">
        <v>234</v>
      </c>
      <c r="AE51" s="4" t="s">
        <v>235</v>
      </c>
      <c r="AF51" s="4" t="s">
        <v>119</v>
      </c>
    </row>
    <row r="52" spans="1:35" ht="36" hidden="1" x14ac:dyDescent="0.3">
      <c r="A52" s="10" t="s">
        <v>236</v>
      </c>
      <c r="B52" s="10" t="s">
        <v>107</v>
      </c>
      <c r="C52" s="11" t="s">
        <v>200</v>
      </c>
      <c r="D52" s="12"/>
      <c r="E52" s="12" t="s">
        <v>237</v>
      </c>
      <c r="F52" s="12" t="s">
        <v>64</v>
      </c>
      <c r="G52" s="13">
        <v>1</v>
      </c>
      <c r="H52" s="13"/>
      <c r="I52" s="13">
        <v>34.5</v>
      </c>
      <c r="J52" s="14">
        <f>IFERROR(ROUND(SUM(M53,M54,M55,M56,M57)/I52, 2),0)</f>
        <v>768.25</v>
      </c>
      <c r="K52" s="15">
        <v>941</v>
      </c>
      <c r="L52" s="14">
        <f>J52+ROUND(K52, 2)</f>
        <v>1709.25</v>
      </c>
      <c r="M52" s="14">
        <f>ROUND(J52*I52, 2)</f>
        <v>26504.63</v>
      </c>
      <c r="N52" s="14">
        <f>ROUND(I52*ROUND(K52, 2), 2)</f>
        <v>32464.5</v>
      </c>
      <c r="O52" s="14">
        <f>M52+N52</f>
        <v>58969.130000000005</v>
      </c>
      <c r="P52" s="14">
        <f>IFERROR(ROUND(SUM(S53,S54,S55,S56,S57)/I52, 2),0)</f>
        <v>768.25</v>
      </c>
      <c r="Q52" s="16">
        <v>941</v>
      </c>
      <c r="R52" s="14">
        <f>P52+ROUND(Q52, 2)</f>
        <v>1709.25</v>
      </c>
      <c r="S52" s="14">
        <f>ROUND(P52*I52, 2)</f>
        <v>26504.63</v>
      </c>
      <c r="T52" s="14">
        <f>ROUND(I52*ROUND(Q52, 2), 2)</f>
        <v>32464.5</v>
      </c>
      <c r="U52" s="14">
        <f>S52+T52</f>
        <v>58969.130000000005</v>
      </c>
      <c r="V52" s="9">
        <f>ROUND(P52 / 1.2, 2)</f>
        <v>640.21</v>
      </c>
      <c r="W52" s="9">
        <f>ROUND(Q52 / 1.2, 2)</f>
        <v>784.17</v>
      </c>
      <c r="X52" s="9">
        <f>ROUND(R52 / 1.2, 2)</f>
        <v>1424.38</v>
      </c>
      <c r="Y52" s="9">
        <f t="shared" si="3"/>
        <v>22087.19</v>
      </c>
      <c r="Z52" s="9">
        <f>ROUND(T52 / 1.2, 2)</f>
        <v>27053.75</v>
      </c>
      <c r="AA52" s="9">
        <f>Y52+Z52</f>
        <v>49140.94</v>
      </c>
      <c r="AD52" s="4">
        <v>271132164</v>
      </c>
      <c r="AE52" s="4">
        <v>20229516</v>
      </c>
      <c r="AG52" s="4" t="s">
        <v>110</v>
      </c>
      <c r="AH52" s="4" t="s">
        <v>111</v>
      </c>
      <c r="AI52" s="4" t="s">
        <v>67</v>
      </c>
    </row>
    <row r="53" spans="1:35" ht="36" hidden="1" x14ac:dyDescent="0.3">
      <c r="A53" s="10" t="s">
        <v>238</v>
      </c>
      <c r="B53" s="10"/>
      <c r="C53" s="24" t="s">
        <v>75</v>
      </c>
      <c r="D53" s="12"/>
      <c r="E53" s="12"/>
      <c r="F53" s="18" t="s">
        <v>70</v>
      </c>
      <c r="G53" s="19">
        <v>0.2</v>
      </c>
      <c r="H53" s="19"/>
      <c r="I53" s="19">
        <v>6.9</v>
      </c>
      <c r="J53" s="21">
        <v>88.8</v>
      </c>
      <c r="M53" s="22">
        <f>ROUND(ROUND(J53, 2)*I53, 2)</f>
        <v>612.72</v>
      </c>
      <c r="P53" s="23">
        <v>88.8</v>
      </c>
      <c r="S53" s="22">
        <f>ROUND(ROUND(P53, 2)*I53, 2)</f>
        <v>612.72</v>
      </c>
      <c r="V53" s="9">
        <f>ROUND(ROUND(P53, 2)/1.2, 2)</f>
        <v>74</v>
      </c>
      <c r="Y53" s="9">
        <f t="shared" si="3"/>
        <v>510.6</v>
      </c>
      <c r="AD53" s="4" t="s">
        <v>239</v>
      </c>
      <c r="AE53" s="4" t="s">
        <v>240</v>
      </c>
      <c r="AF53" s="4" t="s">
        <v>78</v>
      </c>
    </row>
    <row r="54" spans="1:35" ht="18" hidden="1" x14ac:dyDescent="0.3">
      <c r="A54" s="10" t="s">
        <v>241</v>
      </c>
      <c r="B54" s="10"/>
      <c r="C54" s="24" t="s">
        <v>86</v>
      </c>
      <c r="D54" s="12"/>
      <c r="E54" s="12"/>
      <c r="F54" s="18" t="s">
        <v>87</v>
      </c>
      <c r="G54" s="19">
        <v>1</v>
      </c>
      <c r="H54" s="20"/>
      <c r="I54" s="20">
        <v>15.519</v>
      </c>
      <c r="J54" s="21">
        <v>10.4</v>
      </c>
      <c r="M54" s="22">
        <f>ROUND(ROUND(J54, 2)*I54, 2)</f>
        <v>161.4</v>
      </c>
      <c r="P54" s="23">
        <v>10.4</v>
      </c>
      <c r="S54" s="22">
        <f>ROUND(ROUND(P54, 2)*I54, 2)</f>
        <v>161.4</v>
      </c>
      <c r="V54" s="9">
        <f>ROUND(ROUND(P54, 2)/1.2, 2)</f>
        <v>8.67</v>
      </c>
      <c r="Y54" s="9">
        <f t="shared" si="3"/>
        <v>134.5</v>
      </c>
      <c r="AD54" s="4" t="s">
        <v>242</v>
      </c>
      <c r="AE54" s="4" t="s">
        <v>243</v>
      </c>
      <c r="AF54" s="4" t="s">
        <v>90</v>
      </c>
    </row>
    <row r="55" spans="1:35" ht="18" hidden="1" x14ac:dyDescent="0.3">
      <c r="A55" s="10" t="s">
        <v>244</v>
      </c>
      <c r="B55" s="10"/>
      <c r="C55" s="24" t="s">
        <v>130</v>
      </c>
      <c r="D55" s="12"/>
      <c r="E55" s="12"/>
      <c r="F55" s="18" t="s">
        <v>64</v>
      </c>
      <c r="G55" s="19">
        <v>1.1000000000000001</v>
      </c>
      <c r="H55" s="20"/>
      <c r="I55" s="20">
        <v>37.950000000000003</v>
      </c>
      <c r="J55" s="21">
        <v>155.01</v>
      </c>
      <c r="M55" s="22">
        <f>ROUND(ROUND(J55, 2)*I55, 2)</f>
        <v>5882.63</v>
      </c>
      <c r="P55" s="23">
        <v>155.01</v>
      </c>
      <c r="S55" s="22">
        <f>ROUND(ROUND(P55, 2)*I55, 2)</f>
        <v>5882.63</v>
      </c>
      <c r="V55" s="9">
        <f>ROUND(ROUND(P55, 2)/1.2, 2)</f>
        <v>129.18</v>
      </c>
      <c r="Y55" s="9">
        <f t="shared" si="3"/>
        <v>4902.1899999999996</v>
      </c>
      <c r="AD55" s="4" t="s">
        <v>245</v>
      </c>
      <c r="AE55" s="4" t="s">
        <v>246</v>
      </c>
      <c r="AF55" s="4" t="s">
        <v>133</v>
      </c>
    </row>
    <row r="56" spans="1:35" ht="18" hidden="1" x14ac:dyDescent="0.3">
      <c r="A56" s="10" t="s">
        <v>247</v>
      </c>
      <c r="B56" s="10"/>
      <c r="C56" s="24" t="s">
        <v>212</v>
      </c>
      <c r="D56" s="12"/>
      <c r="E56" s="12"/>
      <c r="F56" s="18" t="s">
        <v>70</v>
      </c>
      <c r="G56" s="19">
        <v>1.8</v>
      </c>
      <c r="H56" s="20"/>
      <c r="I56" s="20">
        <v>3105</v>
      </c>
      <c r="J56" s="21">
        <v>6.17</v>
      </c>
      <c r="M56" s="22">
        <f>ROUND(ROUND(J56, 2)*I56, 2)</f>
        <v>19157.849999999999</v>
      </c>
      <c r="P56" s="23">
        <v>6.17</v>
      </c>
      <c r="S56" s="22">
        <f>ROUND(ROUND(P56, 2)*I56, 2)</f>
        <v>19157.849999999999</v>
      </c>
      <c r="V56" s="9">
        <f>ROUND(ROUND(P56, 2)/1.2, 2)</f>
        <v>5.14</v>
      </c>
      <c r="Y56" s="9">
        <f t="shared" si="3"/>
        <v>15964.88</v>
      </c>
      <c r="AD56" s="4" t="s">
        <v>248</v>
      </c>
      <c r="AE56" s="4" t="s">
        <v>249</v>
      </c>
      <c r="AF56" s="4" t="s">
        <v>215</v>
      </c>
    </row>
    <row r="57" spans="1:35" ht="18" hidden="1" x14ac:dyDescent="0.3">
      <c r="A57" s="10" t="s">
        <v>250</v>
      </c>
      <c r="B57" s="10"/>
      <c r="C57" s="24" t="s">
        <v>115</v>
      </c>
      <c r="D57" s="12"/>
      <c r="E57" s="12"/>
      <c r="F57" s="18" t="s">
        <v>116</v>
      </c>
      <c r="G57" s="19">
        <v>8</v>
      </c>
      <c r="H57" s="20"/>
      <c r="I57" s="20">
        <v>276</v>
      </c>
      <c r="J57" s="21">
        <v>2.5</v>
      </c>
      <c r="M57" s="22">
        <f>ROUND(ROUND(J57, 2)*I57, 2)</f>
        <v>690</v>
      </c>
      <c r="P57" s="23">
        <v>2.5</v>
      </c>
      <c r="S57" s="22">
        <f>ROUND(ROUND(P57, 2)*I57, 2)</f>
        <v>690</v>
      </c>
      <c r="V57" s="9">
        <f>ROUND(ROUND(P57, 2)/1.2, 2)</f>
        <v>2.08</v>
      </c>
      <c r="Y57" s="9">
        <f t="shared" si="3"/>
        <v>575</v>
      </c>
      <c r="AD57" s="4" t="s">
        <v>251</v>
      </c>
      <c r="AE57" s="4" t="s">
        <v>252</v>
      </c>
      <c r="AF57" s="4" t="s">
        <v>119</v>
      </c>
    </row>
    <row r="58" spans="1:35" ht="36" hidden="1" x14ac:dyDescent="0.3">
      <c r="A58" s="10" t="s">
        <v>253</v>
      </c>
      <c r="B58" s="10" t="s">
        <v>254</v>
      </c>
      <c r="C58" s="11" t="s">
        <v>255</v>
      </c>
      <c r="D58" s="12"/>
      <c r="E58" s="12" t="s">
        <v>256</v>
      </c>
      <c r="F58" s="12" t="s">
        <v>64</v>
      </c>
      <c r="G58" s="13">
        <v>1</v>
      </c>
      <c r="H58" s="13"/>
      <c r="I58" s="13">
        <v>0</v>
      </c>
      <c r="J58" s="14">
        <f>IFERROR(ROUND(SUM(M59,M60,M61,M62,M63,M64,M65)/I58, 2),0)</f>
        <v>0</v>
      </c>
      <c r="K58" s="15">
        <v>922</v>
      </c>
      <c r="L58" s="14">
        <f>J58+ROUND(K58, 2)</f>
        <v>922</v>
      </c>
      <c r="M58" s="14">
        <f>ROUND(J58*I58, 2)</f>
        <v>0</v>
      </c>
      <c r="N58" s="14">
        <f>ROUND(I58*ROUND(K58, 2), 2)</f>
        <v>0</v>
      </c>
      <c r="O58" s="14">
        <f>M58+N58</f>
        <v>0</v>
      </c>
      <c r="P58" s="14">
        <f>IFERROR(ROUND(SUM(S59,S60,S61,S62,S63,S64,S65)/I58, 2),0)</f>
        <v>0</v>
      </c>
      <c r="Q58" s="15">
        <v>922</v>
      </c>
      <c r="R58" s="14">
        <f>P58+ROUND(Q58, 2)</f>
        <v>922</v>
      </c>
      <c r="S58" s="14">
        <f>ROUND(P58*I58, 2)</f>
        <v>0</v>
      </c>
      <c r="T58" s="14">
        <f>ROUND(I58*ROUND(Q58, 2), 2)</f>
        <v>0</v>
      </c>
      <c r="U58" s="14">
        <f>S58+T58</f>
        <v>0</v>
      </c>
      <c r="V58" s="9">
        <f>ROUND(P58 / 1.2, 2)</f>
        <v>0</v>
      </c>
      <c r="W58" s="9">
        <f>ROUND(Q58 / 1.2, 2)</f>
        <v>768.33</v>
      </c>
      <c r="X58" s="9">
        <f>ROUND(R58 / 1.2, 2)</f>
        <v>768.33</v>
      </c>
      <c r="Y58" s="9">
        <f t="shared" si="3"/>
        <v>0</v>
      </c>
      <c r="Z58" s="9">
        <f>ROUND(T58 / 1.2, 2)</f>
        <v>0</v>
      </c>
      <c r="AA58" s="9">
        <f>Y58+Z58</f>
        <v>0</v>
      </c>
      <c r="AD58" s="4">
        <v>271132067</v>
      </c>
      <c r="AE58" s="4">
        <v>17497285</v>
      </c>
      <c r="AG58" s="4" t="s">
        <v>257</v>
      </c>
      <c r="AH58" s="4" t="s">
        <v>258</v>
      </c>
      <c r="AI58" s="4" t="s">
        <v>67</v>
      </c>
    </row>
    <row r="59" spans="1:35" ht="18" hidden="1" x14ac:dyDescent="0.3">
      <c r="A59" s="10" t="s">
        <v>261</v>
      </c>
      <c r="B59" s="10"/>
      <c r="C59" s="24" t="s">
        <v>115</v>
      </c>
      <c r="D59" s="12"/>
      <c r="E59" s="12"/>
      <c r="F59" s="18" t="s">
        <v>116</v>
      </c>
      <c r="G59" s="19">
        <v>8</v>
      </c>
      <c r="H59" s="20"/>
      <c r="I59" s="20">
        <v>0</v>
      </c>
      <c r="J59" s="21">
        <v>2.5</v>
      </c>
      <c r="M59" s="22">
        <f t="shared" ref="M59:M65" si="10">ROUND(ROUND(J59, 2)*I59, 2)</f>
        <v>0</v>
      </c>
      <c r="P59" s="21">
        <v>2.5</v>
      </c>
      <c r="S59" s="22">
        <f t="shared" ref="S59:S65" si="11">ROUND(ROUND(P59, 2)*I59, 2)</f>
        <v>0</v>
      </c>
      <c r="V59" s="9">
        <f t="shared" ref="V59:V65" si="12">ROUND(ROUND(P59, 2)/1.2, 2)</f>
        <v>2.08</v>
      </c>
      <c r="Y59" s="9">
        <f t="shared" si="3"/>
        <v>0</v>
      </c>
      <c r="AD59" s="4" t="s">
        <v>262</v>
      </c>
      <c r="AE59" s="4" t="s">
        <v>263</v>
      </c>
      <c r="AF59" s="4" t="s">
        <v>119</v>
      </c>
    </row>
    <row r="60" spans="1:35" ht="18" hidden="1" x14ac:dyDescent="0.3">
      <c r="A60" s="10" t="s">
        <v>266</v>
      </c>
      <c r="B60" s="10"/>
      <c r="C60" s="24" t="s">
        <v>123</v>
      </c>
      <c r="D60" s="12"/>
      <c r="E60" s="12"/>
      <c r="F60" s="18" t="s">
        <v>70</v>
      </c>
      <c r="G60" s="19">
        <v>1E-3</v>
      </c>
      <c r="H60" s="20"/>
      <c r="I60" s="20">
        <v>0</v>
      </c>
      <c r="J60" s="21">
        <v>208.33</v>
      </c>
      <c r="M60" s="22">
        <f t="shared" si="10"/>
        <v>0</v>
      </c>
      <c r="P60" s="21">
        <v>208.33</v>
      </c>
      <c r="S60" s="22">
        <f t="shared" si="11"/>
        <v>0</v>
      </c>
      <c r="V60" s="9">
        <f t="shared" si="12"/>
        <v>173.61</v>
      </c>
      <c r="Y60" s="9">
        <f t="shared" si="3"/>
        <v>0</v>
      </c>
      <c r="AD60" s="4" t="s">
        <v>267</v>
      </c>
      <c r="AE60" s="4" t="s">
        <v>268</v>
      </c>
      <c r="AF60" s="4" t="s">
        <v>126</v>
      </c>
    </row>
    <row r="61" spans="1:35" ht="18" hidden="1" x14ac:dyDescent="0.3">
      <c r="A61" s="10" t="s">
        <v>271</v>
      </c>
      <c r="B61" s="10"/>
      <c r="C61" s="24" t="s">
        <v>130</v>
      </c>
      <c r="D61" s="12"/>
      <c r="E61" s="12"/>
      <c r="F61" s="18" t="s">
        <v>64</v>
      </c>
      <c r="G61" s="19">
        <v>1.1000000000000001</v>
      </c>
      <c r="H61" s="20"/>
      <c r="I61" s="20">
        <v>0</v>
      </c>
      <c r="J61" s="21">
        <v>155.01</v>
      </c>
      <c r="M61" s="22">
        <f t="shared" si="10"/>
        <v>0</v>
      </c>
      <c r="P61" s="21">
        <v>155.01</v>
      </c>
      <c r="S61" s="22">
        <f t="shared" si="11"/>
        <v>0</v>
      </c>
      <c r="V61" s="9">
        <f t="shared" si="12"/>
        <v>129.18</v>
      </c>
      <c r="Y61" s="9">
        <f t="shared" si="3"/>
        <v>0</v>
      </c>
      <c r="AD61" s="4" t="s">
        <v>272</v>
      </c>
      <c r="AE61" s="4" t="s">
        <v>273</v>
      </c>
      <c r="AF61" s="4" t="s">
        <v>133</v>
      </c>
    </row>
    <row r="62" spans="1:35" ht="18" hidden="1" x14ac:dyDescent="0.3">
      <c r="A62" s="10" t="s">
        <v>276</v>
      </c>
      <c r="B62" s="10"/>
      <c r="C62" s="24" t="s">
        <v>137</v>
      </c>
      <c r="D62" s="12"/>
      <c r="E62" s="12"/>
      <c r="F62" s="18" t="s">
        <v>70</v>
      </c>
      <c r="G62" s="19">
        <v>0.32</v>
      </c>
      <c r="H62" s="20"/>
      <c r="I62" s="20">
        <v>0</v>
      </c>
      <c r="J62" s="21">
        <v>7.5</v>
      </c>
      <c r="M62" s="22">
        <f t="shared" si="10"/>
        <v>0</v>
      </c>
      <c r="P62" s="21">
        <v>7.5</v>
      </c>
      <c r="S62" s="22">
        <f t="shared" si="11"/>
        <v>0</v>
      </c>
      <c r="V62" s="9">
        <f t="shared" si="12"/>
        <v>6.25</v>
      </c>
      <c r="Y62" s="9">
        <f t="shared" si="3"/>
        <v>0</v>
      </c>
      <c r="AD62" s="4" t="s">
        <v>277</v>
      </c>
      <c r="AE62" s="4" t="s">
        <v>278</v>
      </c>
      <c r="AF62" s="4" t="s">
        <v>140</v>
      </c>
    </row>
    <row r="63" spans="1:35" ht="18" hidden="1" x14ac:dyDescent="0.3">
      <c r="A63" s="10" t="s">
        <v>281</v>
      </c>
      <c r="B63" s="10"/>
      <c r="C63" s="24" t="s">
        <v>144</v>
      </c>
      <c r="D63" s="12"/>
      <c r="E63" s="12"/>
      <c r="F63" s="18" t="s">
        <v>98</v>
      </c>
      <c r="G63" s="19">
        <v>1E-3</v>
      </c>
      <c r="H63" s="20"/>
      <c r="I63" s="20">
        <v>0</v>
      </c>
      <c r="J63" s="21">
        <v>1600</v>
      </c>
      <c r="M63" s="22">
        <f t="shared" si="10"/>
        <v>0</v>
      </c>
      <c r="P63" s="21">
        <v>1600</v>
      </c>
      <c r="S63" s="22">
        <f t="shared" si="11"/>
        <v>0</v>
      </c>
      <c r="V63" s="9">
        <f t="shared" si="12"/>
        <v>1333.33</v>
      </c>
      <c r="Y63" s="9">
        <f t="shared" si="3"/>
        <v>0</v>
      </c>
      <c r="AD63" s="4" t="s">
        <v>282</v>
      </c>
      <c r="AE63" s="4" t="s">
        <v>283</v>
      </c>
      <c r="AF63" s="4" t="s">
        <v>147</v>
      </c>
    </row>
    <row r="64" spans="1:35" ht="18" hidden="1" x14ac:dyDescent="0.3">
      <c r="A64" s="10" t="s">
        <v>286</v>
      </c>
      <c r="B64" s="10"/>
      <c r="C64" s="24" t="s">
        <v>86</v>
      </c>
      <c r="D64" s="12"/>
      <c r="E64" s="12"/>
      <c r="F64" s="18" t="s">
        <v>87</v>
      </c>
      <c r="G64" s="19">
        <v>1</v>
      </c>
      <c r="H64" s="20"/>
      <c r="I64" s="20">
        <v>0</v>
      </c>
      <c r="J64" s="21">
        <v>10.4</v>
      </c>
      <c r="M64" s="22">
        <f t="shared" si="10"/>
        <v>0</v>
      </c>
      <c r="P64" s="21">
        <v>10.4</v>
      </c>
      <c r="S64" s="22">
        <f t="shared" si="11"/>
        <v>0</v>
      </c>
      <c r="V64" s="9">
        <f t="shared" si="12"/>
        <v>8.67</v>
      </c>
      <c r="Y64" s="9">
        <f t="shared" si="3"/>
        <v>0</v>
      </c>
      <c r="AD64" s="4" t="s">
        <v>287</v>
      </c>
      <c r="AE64" s="4" t="s">
        <v>288</v>
      </c>
      <c r="AF64" s="4" t="s">
        <v>90</v>
      </c>
    </row>
    <row r="65" spans="1:35" ht="36" hidden="1" x14ac:dyDescent="0.3">
      <c r="A65" s="10" t="s">
        <v>291</v>
      </c>
      <c r="B65" s="10"/>
      <c r="C65" s="24" t="s">
        <v>75</v>
      </c>
      <c r="D65" s="12"/>
      <c r="E65" s="12"/>
      <c r="F65" s="18" t="s">
        <v>70</v>
      </c>
      <c r="G65" s="19">
        <v>0.2</v>
      </c>
      <c r="H65" s="19"/>
      <c r="I65" s="19">
        <v>0</v>
      </c>
      <c r="J65" s="21">
        <v>88.8</v>
      </c>
      <c r="M65" s="22">
        <f t="shared" si="10"/>
        <v>0</v>
      </c>
      <c r="P65" s="21">
        <v>88.8</v>
      </c>
      <c r="S65" s="22">
        <f t="shared" si="11"/>
        <v>0</v>
      </c>
      <c r="V65" s="9">
        <f t="shared" si="12"/>
        <v>74</v>
      </c>
      <c r="Y65" s="9">
        <f t="shared" si="3"/>
        <v>0</v>
      </c>
      <c r="AD65" s="4" t="s">
        <v>292</v>
      </c>
      <c r="AE65" s="4" t="s">
        <v>293</v>
      </c>
      <c r="AF65" s="4" t="s">
        <v>78</v>
      </c>
    </row>
    <row r="66" spans="1:35" ht="36" hidden="1" x14ac:dyDescent="0.3">
      <c r="A66" s="10" t="s">
        <v>296</v>
      </c>
      <c r="B66" s="10" t="s">
        <v>254</v>
      </c>
      <c r="C66" s="11" t="s">
        <v>297</v>
      </c>
      <c r="D66" s="12"/>
      <c r="E66" s="12" t="s">
        <v>298</v>
      </c>
      <c r="F66" s="12" t="s">
        <v>64</v>
      </c>
      <c r="G66" s="13">
        <v>1</v>
      </c>
      <c r="H66" s="13"/>
      <c r="I66" s="13">
        <v>3586.9</v>
      </c>
      <c r="J66" s="14">
        <f>IFERROR(ROUND(SUM(M67,M68,M69,M70,M71)/I66, 2),0)</f>
        <v>935.6</v>
      </c>
      <c r="K66" s="15">
        <v>1014</v>
      </c>
      <c r="L66" s="14">
        <f>J66+ROUND(K66, 2)</f>
        <v>1949.6</v>
      </c>
      <c r="M66" s="14">
        <f>ROUND(J66*I66, 2)</f>
        <v>3355903.64</v>
      </c>
      <c r="N66" s="14">
        <f>ROUND(I66*ROUND(K66, 2), 2)</f>
        <v>3637116.6</v>
      </c>
      <c r="O66" s="14">
        <f>M66+N66</f>
        <v>6993020.2400000002</v>
      </c>
      <c r="P66" s="14">
        <f>IFERROR(ROUND(SUM(S67,S68,S69,S70,S71)/I66, 2),0)</f>
        <v>935.6</v>
      </c>
      <c r="Q66" s="16">
        <v>1014</v>
      </c>
      <c r="R66" s="14">
        <f>P66+ROUND(Q66, 2)</f>
        <v>1949.6</v>
      </c>
      <c r="S66" s="14">
        <f>ROUND(P66*I66, 2)</f>
        <v>3355903.64</v>
      </c>
      <c r="T66" s="14">
        <f>ROUND(I66*ROUND(Q66, 2), 2)</f>
        <v>3637116.6</v>
      </c>
      <c r="U66" s="14">
        <f>S66+T66</f>
        <v>6993020.2400000002</v>
      </c>
      <c r="V66" s="9">
        <f>ROUND(P66 / 1.2, 2)</f>
        <v>779.67</v>
      </c>
      <c r="W66" s="9">
        <f>ROUND(Q66 / 1.2, 2)</f>
        <v>845</v>
      </c>
      <c r="X66" s="9">
        <f>ROUND(R66 / 1.2, 2)</f>
        <v>1624.67</v>
      </c>
      <c r="Y66" s="9">
        <f t="shared" si="3"/>
        <v>2796586.37</v>
      </c>
      <c r="Z66" s="9">
        <f>ROUND(T66 / 1.2, 2)</f>
        <v>3030930.5</v>
      </c>
      <c r="AA66" s="9">
        <f>Y66+Z66</f>
        <v>5827516.8700000001</v>
      </c>
      <c r="AD66" s="4">
        <v>271132165</v>
      </c>
      <c r="AE66" s="4">
        <v>19811234</v>
      </c>
      <c r="AG66" s="4" t="s">
        <v>257</v>
      </c>
      <c r="AH66" s="4" t="s">
        <v>258</v>
      </c>
      <c r="AI66" s="4" t="s">
        <v>67</v>
      </c>
    </row>
    <row r="67" spans="1:35" ht="36" hidden="1" x14ac:dyDescent="0.3">
      <c r="A67" s="10" t="s">
        <v>299</v>
      </c>
      <c r="B67" s="10"/>
      <c r="C67" s="24" t="s">
        <v>75</v>
      </c>
      <c r="D67" s="12"/>
      <c r="E67" s="12"/>
      <c r="F67" s="18" t="s">
        <v>70</v>
      </c>
      <c r="G67" s="19">
        <v>0.2</v>
      </c>
      <c r="H67" s="19"/>
      <c r="I67" s="19">
        <v>717.38</v>
      </c>
      <c r="J67" s="21">
        <v>88.8</v>
      </c>
      <c r="M67" s="22">
        <f>ROUND(ROUND(J67, 2)*I67, 2)</f>
        <v>63703.34</v>
      </c>
      <c r="P67" s="23">
        <v>88.8</v>
      </c>
      <c r="S67" s="22">
        <f>ROUND(ROUND(P67, 2)*I67, 2)</f>
        <v>63703.34</v>
      </c>
      <c r="V67" s="9">
        <f>ROUND(ROUND(P67, 2)/1.2, 2)</f>
        <v>74</v>
      </c>
      <c r="Y67" s="9">
        <f t="shared" si="3"/>
        <v>53086.12</v>
      </c>
      <c r="AD67" s="4" t="s">
        <v>300</v>
      </c>
      <c r="AE67" s="4" t="s">
        <v>301</v>
      </c>
      <c r="AF67" s="4" t="s">
        <v>78</v>
      </c>
    </row>
    <row r="68" spans="1:35" ht="18" hidden="1" x14ac:dyDescent="0.3">
      <c r="A68" s="10" t="s">
        <v>302</v>
      </c>
      <c r="B68" s="10"/>
      <c r="C68" s="24" t="s">
        <v>86</v>
      </c>
      <c r="D68" s="12"/>
      <c r="E68" s="12"/>
      <c r="F68" s="18" t="s">
        <v>87</v>
      </c>
      <c r="G68" s="19">
        <v>1</v>
      </c>
      <c r="H68" s="20"/>
      <c r="I68" s="20">
        <v>1876</v>
      </c>
      <c r="J68" s="21">
        <v>10.4</v>
      </c>
      <c r="M68" s="22">
        <f>ROUND(ROUND(J68, 2)*I68, 2)</f>
        <v>19510.400000000001</v>
      </c>
      <c r="P68" s="23">
        <v>10.4</v>
      </c>
      <c r="S68" s="22">
        <f>ROUND(ROUND(P68, 2)*I68, 2)</f>
        <v>19510.400000000001</v>
      </c>
      <c r="V68" s="9">
        <f>ROUND(ROUND(P68, 2)/1.2, 2)</f>
        <v>8.67</v>
      </c>
      <c r="Y68" s="9">
        <f t="shared" si="3"/>
        <v>16258.67</v>
      </c>
      <c r="AD68" s="4" t="s">
        <v>303</v>
      </c>
      <c r="AE68" s="4" t="s">
        <v>304</v>
      </c>
      <c r="AF68" s="4" t="s">
        <v>90</v>
      </c>
    </row>
    <row r="69" spans="1:35" ht="18" hidden="1" x14ac:dyDescent="0.3">
      <c r="A69" s="10" t="s">
        <v>305</v>
      </c>
      <c r="B69" s="10"/>
      <c r="C69" s="24" t="s">
        <v>130</v>
      </c>
      <c r="D69" s="12"/>
      <c r="E69" s="12"/>
      <c r="F69" s="18" t="s">
        <v>64</v>
      </c>
      <c r="G69" s="19">
        <v>1.1000000000000001</v>
      </c>
      <c r="H69" s="20"/>
      <c r="I69" s="20">
        <v>3945.59</v>
      </c>
      <c r="J69" s="21">
        <v>155.01</v>
      </c>
      <c r="M69" s="22">
        <f>ROUND(ROUND(J69, 2)*I69, 2)</f>
        <v>611605.91</v>
      </c>
      <c r="P69" s="23">
        <v>155.01</v>
      </c>
      <c r="S69" s="22">
        <f>ROUND(ROUND(P69, 2)*I69, 2)</f>
        <v>611605.91</v>
      </c>
      <c r="V69" s="9">
        <f>ROUND(ROUND(P69, 2)/1.2, 2)</f>
        <v>129.18</v>
      </c>
      <c r="Y69" s="9">
        <f t="shared" si="3"/>
        <v>509671.59</v>
      </c>
      <c r="AD69" s="4" t="s">
        <v>306</v>
      </c>
      <c r="AE69" s="4" t="s">
        <v>307</v>
      </c>
      <c r="AF69" s="4" t="s">
        <v>133</v>
      </c>
    </row>
    <row r="70" spans="1:35" ht="18" hidden="1" x14ac:dyDescent="0.3">
      <c r="A70" s="10" t="s">
        <v>308</v>
      </c>
      <c r="B70" s="10"/>
      <c r="C70" s="24" t="s">
        <v>212</v>
      </c>
      <c r="D70" s="12"/>
      <c r="E70" s="12"/>
      <c r="F70" s="18" t="s">
        <v>70</v>
      </c>
      <c r="G70" s="19">
        <v>1.8</v>
      </c>
      <c r="H70" s="20"/>
      <c r="I70" s="20">
        <v>419667.3</v>
      </c>
      <c r="J70" s="21">
        <v>6.17</v>
      </c>
      <c r="M70" s="22">
        <f>ROUND(ROUND(J70, 2)*I70, 2)</f>
        <v>2589347.2400000002</v>
      </c>
      <c r="P70" s="23">
        <v>6.17</v>
      </c>
      <c r="S70" s="22">
        <f>ROUND(ROUND(P70, 2)*I70, 2)</f>
        <v>2589347.2400000002</v>
      </c>
      <c r="V70" s="9">
        <f>ROUND(ROUND(P70, 2)/1.2, 2)</f>
        <v>5.14</v>
      </c>
      <c r="Y70" s="9">
        <f t="shared" si="3"/>
        <v>2157789.37</v>
      </c>
      <c r="AD70" s="4" t="s">
        <v>309</v>
      </c>
      <c r="AE70" s="4" t="s">
        <v>310</v>
      </c>
      <c r="AF70" s="4" t="s">
        <v>215</v>
      </c>
    </row>
    <row r="71" spans="1:35" ht="18" hidden="1" x14ac:dyDescent="0.3">
      <c r="A71" s="10" t="s">
        <v>311</v>
      </c>
      <c r="B71" s="10"/>
      <c r="C71" s="24" t="s">
        <v>115</v>
      </c>
      <c r="D71" s="12"/>
      <c r="E71" s="12"/>
      <c r="F71" s="18" t="s">
        <v>116</v>
      </c>
      <c r="G71" s="19">
        <v>8</v>
      </c>
      <c r="H71" s="20"/>
      <c r="I71" s="20">
        <v>28695.200000000001</v>
      </c>
      <c r="J71" s="21">
        <v>2.5</v>
      </c>
      <c r="M71" s="22">
        <f>ROUND(ROUND(J71, 2)*I71, 2)</f>
        <v>71738</v>
      </c>
      <c r="P71" s="23">
        <v>2.5</v>
      </c>
      <c r="S71" s="22">
        <f>ROUND(ROUND(P71, 2)*I71, 2)</f>
        <v>71738</v>
      </c>
      <c r="V71" s="9">
        <f>ROUND(ROUND(P71, 2)/1.2, 2)</f>
        <v>2.08</v>
      </c>
      <c r="Y71" s="9">
        <f t="shared" si="3"/>
        <v>59781.67</v>
      </c>
      <c r="AD71" s="4" t="s">
        <v>312</v>
      </c>
      <c r="AE71" s="4" t="s">
        <v>313</v>
      </c>
      <c r="AF71" s="4" t="s">
        <v>119</v>
      </c>
    </row>
    <row r="72" spans="1:35" ht="36" hidden="1" x14ac:dyDescent="0.3">
      <c r="A72" s="74" t="s">
        <v>314</v>
      </c>
      <c r="B72" s="74" t="s">
        <v>254</v>
      </c>
      <c r="C72" s="75" t="s">
        <v>297</v>
      </c>
      <c r="D72" s="76"/>
      <c r="E72" s="76" t="s">
        <v>315</v>
      </c>
      <c r="F72" s="76" t="s">
        <v>64</v>
      </c>
      <c r="G72" s="77">
        <v>1</v>
      </c>
      <c r="H72" s="77"/>
      <c r="I72" s="77">
        <v>4266.7</v>
      </c>
      <c r="J72" s="14">
        <f>IFERROR(ROUND(SUM(M73,M74,M75,M76,M77)/I72, 2),0)</f>
        <v>934.72</v>
      </c>
      <c r="K72" s="15">
        <v>1014</v>
      </c>
      <c r="L72" s="14">
        <f>J72+ROUND(K72, 2)</f>
        <v>1948.72</v>
      </c>
      <c r="M72" s="14">
        <f>ROUND(J72*I72, 2)</f>
        <v>3988169.82</v>
      </c>
      <c r="N72" s="14">
        <f>ROUND(I72*ROUND(K72, 2), 2)</f>
        <v>4326433.8</v>
      </c>
      <c r="O72" s="14">
        <f>M72+N72</f>
        <v>8314603.6199999992</v>
      </c>
      <c r="P72" s="14">
        <f>IFERROR(ROUND(SUM(S73,S74,S75,S76,S77)/I72, 2),0)</f>
        <v>934.72</v>
      </c>
      <c r="Q72" s="16">
        <v>1014</v>
      </c>
      <c r="R72" s="14">
        <f>P72+ROUND(Q72, 2)</f>
        <v>1948.72</v>
      </c>
      <c r="S72" s="14">
        <f>ROUND(P72*I72, 2)</f>
        <v>3988169.82</v>
      </c>
      <c r="T72" s="14">
        <f>ROUND(I72*ROUND(Q72, 2), 2)</f>
        <v>4326433.8</v>
      </c>
      <c r="U72" s="14">
        <f>S72+T72</f>
        <v>8314603.6199999992</v>
      </c>
      <c r="V72" s="9">
        <f>ROUND(P72 / 1.2, 2)</f>
        <v>778.93</v>
      </c>
      <c r="W72" s="9">
        <f>ROUND(Q72 / 1.2, 2)</f>
        <v>845</v>
      </c>
      <c r="X72" s="9">
        <f>ROUND(R72 / 1.2, 2)</f>
        <v>1623.93</v>
      </c>
      <c r="Y72" s="9">
        <f t="shared" si="3"/>
        <v>3323474.85</v>
      </c>
      <c r="Z72" s="9">
        <f>ROUND(T72 / 1.2, 2)</f>
        <v>3605361.5</v>
      </c>
      <c r="AA72" s="9">
        <f>Y72+Z72</f>
        <v>6928836.3499999996</v>
      </c>
      <c r="AD72" s="4">
        <v>271132166</v>
      </c>
      <c r="AE72" s="4">
        <v>20229448</v>
      </c>
      <c r="AG72" s="4" t="s">
        <v>257</v>
      </c>
      <c r="AH72" s="4" t="s">
        <v>258</v>
      </c>
      <c r="AI72" s="4" t="s">
        <v>67</v>
      </c>
    </row>
    <row r="73" spans="1:35" ht="36" hidden="1" x14ac:dyDescent="0.3">
      <c r="A73" s="74" t="s">
        <v>316</v>
      </c>
      <c r="B73" s="74"/>
      <c r="C73" s="78" t="s">
        <v>75</v>
      </c>
      <c r="D73" s="76"/>
      <c r="E73" s="76"/>
      <c r="F73" s="79" t="s">
        <v>70</v>
      </c>
      <c r="G73" s="80">
        <v>0.2</v>
      </c>
      <c r="H73" s="80"/>
      <c r="I73" s="80">
        <v>853.34</v>
      </c>
      <c r="J73" s="21">
        <v>88.8</v>
      </c>
      <c r="M73" s="22">
        <f>ROUND(ROUND(J73, 2)*I73, 2)</f>
        <v>75776.59</v>
      </c>
      <c r="P73" s="23">
        <v>88.8</v>
      </c>
      <c r="S73" s="22">
        <f>ROUND(ROUND(P73, 2)*I73, 2)</f>
        <v>75776.59</v>
      </c>
      <c r="V73" s="9">
        <f>ROUND(ROUND(P73, 2)/1.2, 2)</f>
        <v>74</v>
      </c>
      <c r="Y73" s="9">
        <f t="shared" si="3"/>
        <v>63147.16</v>
      </c>
      <c r="AD73" s="4" t="s">
        <v>317</v>
      </c>
      <c r="AE73" s="4" t="s">
        <v>318</v>
      </c>
      <c r="AF73" s="4" t="s">
        <v>78</v>
      </c>
    </row>
    <row r="74" spans="1:35" ht="18" hidden="1" x14ac:dyDescent="0.3">
      <c r="A74" s="74" t="s">
        <v>319</v>
      </c>
      <c r="B74" s="74"/>
      <c r="C74" s="78" t="s">
        <v>86</v>
      </c>
      <c r="D74" s="76"/>
      <c r="E74" s="76"/>
      <c r="F74" s="79" t="s">
        <v>87</v>
      </c>
      <c r="G74" s="80">
        <v>1</v>
      </c>
      <c r="H74" s="81"/>
      <c r="I74" s="81">
        <v>1872</v>
      </c>
      <c r="J74" s="21">
        <v>10.4</v>
      </c>
      <c r="M74" s="22">
        <f>ROUND(ROUND(J74, 2)*I74, 2)</f>
        <v>19468.8</v>
      </c>
      <c r="P74" s="23">
        <v>10.4</v>
      </c>
      <c r="S74" s="22">
        <f>ROUND(ROUND(P74, 2)*I74, 2)</f>
        <v>19468.8</v>
      </c>
      <c r="V74" s="9">
        <f>ROUND(ROUND(P74, 2)/1.2, 2)</f>
        <v>8.67</v>
      </c>
      <c r="Y74" s="9">
        <f t="shared" si="3"/>
        <v>16224</v>
      </c>
      <c r="AD74" s="4" t="s">
        <v>320</v>
      </c>
      <c r="AE74" s="4" t="s">
        <v>321</v>
      </c>
      <c r="AF74" s="4" t="s">
        <v>90</v>
      </c>
    </row>
    <row r="75" spans="1:35" ht="18" hidden="1" x14ac:dyDescent="0.3">
      <c r="A75" s="74" t="s">
        <v>322</v>
      </c>
      <c r="B75" s="74"/>
      <c r="C75" s="78" t="s">
        <v>130</v>
      </c>
      <c r="D75" s="76"/>
      <c r="E75" s="76"/>
      <c r="F75" s="79" t="s">
        <v>64</v>
      </c>
      <c r="G75" s="80">
        <v>1.1000000000000001</v>
      </c>
      <c r="H75" s="81"/>
      <c r="I75" s="81">
        <v>4693.37</v>
      </c>
      <c r="J75" s="21">
        <v>155.01</v>
      </c>
      <c r="M75" s="22">
        <f>ROUND(ROUND(J75, 2)*I75, 2)</f>
        <v>727519.28</v>
      </c>
      <c r="P75" s="23">
        <v>155.01</v>
      </c>
      <c r="S75" s="22">
        <f>ROUND(ROUND(P75, 2)*I75, 2)</f>
        <v>727519.28</v>
      </c>
      <c r="V75" s="9">
        <f>ROUND(ROUND(P75, 2)/1.2, 2)</f>
        <v>129.18</v>
      </c>
      <c r="Y75" s="9">
        <f t="shared" si="3"/>
        <v>606266.06999999995</v>
      </c>
      <c r="AD75" s="4" t="s">
        <v>323</v>
      </c>
      <c r="AE75" s="4" t="s">
        <v>324</v>
      </c>
      <c r="AF75" s="4" t="s">
        <v>133</v>
      </c>
    </row>
    <row r="76" spans="1:35" ht="18" hidden="1" x14ac:dyDescent="0.3">
      <c r="A76" s="74" t="s">
        <v>325</v>
      </c>
      <c r="B76" s="74"/>
      <c r="C76" s="78" t="s">
        <v>212</v>
      </c>
      <c r="D76" s="76"/>
      <c r="E76" s="76"/>
      <c r="F76" s="79" t="s">
        <v>70</v>
      </c>
      <c r="G76" s="80">
        <v>1.8</v>
      </c>
      <c r="H76" s="81"/>
      <c r="I76" s="81">
        <v>499203.9</v>
      </c>
      <c r="J76" s="21">
        <v>6.17</v>
      </c>
      <c r="M76" s="22">
        <f>ROUND(ROUND(J76, 2)*I76, 2)</f>
        <v>3080088.06</v>
      </c>
      <c r="P76" s="23">
        <v>6.17</v>
      </c>
      <c r="S76" s="22">
        <f>ROUND(ROUND(P76, 2)*I76, 2)</f>
        <v>3080088.06</v>
      </c>
      <c r="V76" s="9">
        <f>ROUND(ROUND(P76, 2)/1.2, 2)</f>
        <v>5.14</v>
      </c>
      <c r="Y76" s="9">
        <f t="shared" si="3"/>
        <v>2566740.0499999998</v>
      </c>
      <c r="AD76" s="4" t="s">
        <v>326</v>
      </c>
      <c r="AE76" s="4" t="s">
        <v>327</v>
      </c>
      <c r="AF76" s="4" t="s">
        <v>215</v>
      </c>
    </row>
    <row r="77" spans="1:35" ht="18" hidden="1" x14ac:dyDescent="0.3">
      <c r="A77" s="74" t="s">
        <v>328</v>
      </c>
      <c r="B77" s="74"/>
      <c r="C77" s="78" t="s">
        <v>115</v>
      </c>
      <c r="D77" s="76"/>
      <c r="E77" s="76"/>
      <c r="F77" s="79" t="s">
        <v>116</v>
      </c>
      <c r="G77" s="80">
        <v>8</v>
      </c>
      <c r="H77" s="81"/>
      <c r="I77" s="81">
        <v>34133.599999999999</v>
      </c>
      <c r="J77" s="21">
        <v>2.5</v>
      </c>
      <c r="M77" s="22">
        <f>ROUND(ROUND(J77, 2)*I77, 2)</f>
        <v>85334</v>
      </c>
      <c r="P77" s="23">
        <v>2.5</v>
      </c>
      <c r="S77" s="22">
        <f>ROUND(ROUND(P77, 2)*I77, 2)</f>
        <v>85334</v>
      </c>
      <c r="V77" s="9">
        <f>ROUND(ROUND(P77, 2)/1.2, 2)</f>
        <v>2.08</v>
      </c>
      <c r="Y77" s="9">
        <f t="shared" si="3"/>
        <v>71111.67</v>
      </c>
      <c r="AD77" s="4" t="s">
        <v>329</v>
      </c>
      <c r="AE77" s="4" t="s">
        <v>330</v>
      </c>
      <c r="AF77" s="4" t="s">
        <v>119</v>
      </c>
    </row>
    <row r="78" spans="1:35" ht="17.100000000000001" hidden="1" customHeight="1" x14ac:dyDescent="0.3">
      <c r="A78" s="10" t="s">
        <v>331</v>
      </c>
      <c r="B78" s="10" t="s">
        <v>332</v>
      </c>
      <c r="C78" s="185" t="s">
        <v>333</v>
      </c>
      <c r="D78" s="186"/>
      <c r="E78" s="186"/>
      <c r="F78" s="186"/>
      <c r="G78" s="186"/>
      <c r="H78" s="186"/>
      <c r="I78" s="187"/>
      <c r="M78" s="6">
        <f>SUM(M79,M82,M85,M87,M89,M91)</f>
        <v>367766.24</v>
      </c>
      <c r="N78" s="6">
        <f>SUM(N79,N82,N85,N87,N89,N91)</f>
        <v>226361.93</v>
      </c>
      <c r="O78" s="6">
        <f>SUM(O79,O82,O85,O87,O89,O91)</f>
        <v>594128.17000000004</v>
      </c>
      <c r="S78" s="6">
        <f>SUM(S79,S82,S85,S87,S89,S91)</f>
        <v>367766.24</v>
      </c>
      <c r="T78" s="6">
        <f>SUM(T79,T82,T85,T87,T89,T91)</f>
        <v>226361.93</v>
      </c>
      <c r="U78" s="6">
        <f>SUM(U79,U82,U85,U87,U89,U91)</f>
        <v>594128.17000000004</v>
      </c>
      <c r="Y78" s="9">
        <f>SUM(Y79,Y82,Y85,Y87,Y89,Y91)</f>
        <v>306471.87</v>
      </c>
      <c r="Z78" s="9">
        <f>SUM(Z79,Z82,Z85,Z87,Z89,Z91)</f>
        <v>188634.95</v>
      </c>
      <c r="AA78" s="9">
        <f>SUM(AA79,AA82,AA85,AA87,AA89,AA91)</f>
        <v>495106.82</v>
      </c>
      <c r="AD78" s="4">
        <v>271132068</v>
      </c>
      <c r="AE78" s="4">
        <v>16194160</v>
      </c>
    </row>
    <row r="79" spans="1:35" ht="54" hidden="1" x14ac:dyDescent="0.3">
      <c r="A79" s="10" t="s">
        <v>334</v>
      </c>
      <c r="B79" s="10" t="s">
        <v>335</v>
      </c>
      <c r="C79" s="11" t="s">
        <v>336</v>
      </c>
      <c r="D79" s="12"/>
      <c r="E79" s="12" t="s">
        <v>63</v>
      </c>
      <c r="F79" s="12" t="s">
        <v>64</v>
      </c>
      <c r="G79" s="13">
        <v>1</v>
      </c>
      <c r="H79" s="13"/>
      <c r="I79" s="13">
        <v>236.7</v>
      </c>
      <c r="J79" s="14">
        <f>IFERROR(ROUND(SUM(M80,M81)/I79, 2),0)</f>
        <v>386.83</v>
      </c>
      <c r="K79" s="15">
        <v>324</v>
      </c>
      <c r="L79" s="14">
        <f>J79+ROUND(K79, 2)</f>
        <v>710.82999999999993</v>
      </c>
      <c r="M79" s="14">
        <f>ROUND(J79*I79, 2)</f>
        <v>91562.66</v>
      </c>
      <c r="N79" s="14">
        <f>ROUND(I79*ROUND(K79, 2), 2)</f>
        <v>76690.8</v>
      </c>
      <c r="O79" s="14">
        <f>M79+N79</f>
        <v>168253.46000000002</v>
      </c>
      <c r="P79" s="14">
        <f>IFERROR(ROUND(SUM(S80,S81)/I79, 2),0)</f>
        <v>386.83</v>
      </c>
      <c r="Q79" s="15">
        <v>324</v>
      </c>
      <c r="R79" s="14">
        <f>P79+ROUND(Q79, 2)</f>
        <v>710.82999999999993</v>
      </c>
      <c r="S79" s="14">
        <f>ROUND(P79*I79, 2)</f>
        <v>91562.66</v>
      </c>
      <c r="T79" s="14">
        <f>ROUND(I79*ROUND(Q79, 2), 2)</f>
        <v>76690.8</v>
      </c>
      <c r="U79" s="14">
        <f>S79+T79</f>
        <v>168253.46000000002</v>
      </c>
      <c r="V79" s="9">
        <f>ROUND(P79 / 1.2, 2)</f>
        <v>322.36</v>
      </c>
      <c r="W79" s="9">
        <f>ROUND(Q79 / 1.2, 2)</f>
        <v>270</v>
      </c>
      <c r="X79" s="9">
        <f>ROUND(R79 / 1.2, 2)</f>
        <v>592.36</v>
      </c>
      <c r="Y79" s="9">
        <f>ROUND(S79 / 1.2, 2)</f>
        <v>76302.22</v>
      </c>
      <c r="Z79" s="9">
        <f>ROUND(T79 / 1.2, 2)</f>
        <v>63909</v>
      </c>
      <c r="AA79" s="9">
        <f>Y79+Z79</f>
        <v>140211.22</v>
      </c>
      <c r="AD79" s="4">
        <v>271132070</v>
      </c>
      <c r="AE79" s="4">
        <v>16194157</v>
      </c>
      <c r="AG79" s="4" t="s">
        <v>337</v>
      </c>
      <c r="AH79" s="4" t="s">
        <v>338</v>
      </c>
      <c r="AI79" s="4" t="s">
        <v>67</v>
      </c>
    </row>
    <row r="80" spans="1:35" ht="18" hidden="1" x14ac:dyDescent="0.3">
      <c r="A80" s="10" t="s">
        <v>339</v>
      </c>
      <c r="B80" s="10"/>
      <c r="C80" s="24" t="s">
        <v>340</v>
      </c>
      <c r="D80" s="12"/>
      <c r="E80" s="12"/>
      <c r="F80" s="18" t="s">
        <v>70</v>
      </c>
      <c r="G80" s="19">
        <v>0.25</v>
      </c>
      <c r="H80" s="19"/>
      <c r="I80" s="19">
        <v>59.174999999999997</v>
      </c>
      <c r="J80" s="21">
        <v>210.3</v>
      </c>
      <c r="M80" s="22">
        <f>ROUND(ROUND(J80, 2)*I80, 2)</f>
        <v>12444.5</v>
      </c>
      <c r="P80" s="21">
        <v>210.3</v>
      </c>
      <c r="S80" s="22">
        <f>ROUND(ROUND(P80, 2)*I80, 2)</f>
        <v>12444.5</v>
      </c>
      <c r="V80" s="9">
        <f>ROUND(ROUND(P80, 2)/1.2, 2)</f>
        <v>175.25</v>
      </c>
      <c r="Y80" s="9">
        <f t="shared" ref="Y80:Y92" si="13">ROUND(S80 / 1.2, 2)</f>
        <v>10370.42</v>
      </c>
      <c r="AD80" s="4" t="s">
        <v>341</v>
      </c>
      <c r="AE80" s="4" t="s">
        <v>342</v>
      </c>
      <c r="AF80" s="4" t="s">
        <v>343</v>
      </c>
    </row>
    <row r="81" spans="1:35" ht="36" hidden="1" x14ac:dyDescent="0.3">
      <c r="A81" s="10" t="s">
        <v>344</v>
      </c>
      <c r="B81" s="10"/>
      <c r="C81" s="24" t="s">
        <v>345</v>
      </c>
      <c r="D81" s="12"/>
      <c r="E81" s="12"/>
      <c r="F81" s="18" t="s">
        <v>70</v>
      </c>
      <c r="G81" s="19">
        <v>2.5</v>
      </c>
      <c r="H81" s="19"/>
      <c r="I81" s="19">
        <v>591.75</v>
      </c>
      <c r="J81" s="21">
        <v>133.69999999999999</v>
      </c>
      <c r="M81" s="22">
        <f>ROUND(ROUND(J81, 2)*I81, 2)</f>
        <v>79116.98</v>
      </c>
      <c r="P81" s="21">
        <v>133.69999999999999</v>
      </c>
      <c r="S81" s="22">
        <f>ROUND(ROUND(P81, 2)*I81, 2)</f>
        <v>79116.98</v>
      </c>
      <c r="V81" s="9">
        <f>ROUND(ROUND(P81, 2)/1.2, 2)</f>
        <v>111.42</v>
      </c>
      <c r="Y81" s="9">
        <f t="shared" si="13"/>
        <v>65930.820000000007</v>
      </c>
      <c r="AD81" s="4" t="s">
        <v>346</v>
      </c>
      <c r="AE81" s="4" t="s">
        <v>347</v>
      </c>
      <c r="AF81" s="4" t="s">
        <v>348</v>
      </c>
    </row>
    <row r="82" spans="1:35" ht="54" hidden="1" x14ac:dyDescent="0.3">
      <c r="A82" s="10" t="s">
        <v>349</v>
      </c>
      <c r="B82" s="10" t="s">
        <v>335</v>
      </c>
      <c r="C82" s="11" t="s">
        <v>336</v>
      </c>
      <c r="D82" s="12"/>
      <c r="E82" s="12" t="s">
        <v>81</v>
      </c>
      <c r="F82" s="12" t="s">
        <v>64</v>
      </c>
      <c r="G82" s="13">
        <v>1</v>
      </c>
      <c r="H82" s="13"/>
      <c r="I82" s="13">
        <v>150.6</v>
      </c>
      <c r="J82" s="14">
        <f>IFERROR(ROUND(SUM(M83,M84)/I82, 2),0)</f>
        <v>406.08</v>
      </c>
      <c r="K82" s="15">
        <v>324</v>
      </c>
      <c r="L82" s="14">
        <f>J82+ROUND(K82, 2)</f>
        <v>730.07999999999993</v>
      </c>
      <c r="M82" s="14">
        <f>ROUND(J82*I82, 2)</f>
        <v>61155.65</v>
      </c>
      <c r="N82" s="14">
        <f>ROUND(I82*ROUND(K82, 2), 2)</f>
        <v>48794.400000000001</v>
      </c>
      <c r="O82" s="14">
        <f>M82+N82</f>
        <v>109950.05</v>
      </c>
      <c r="P82" s="14">
        <f>IFERROR(ROUND(SUM(S83,S84)/I82, 2),0)</f>
        <v>406.08</v>
      </c>
      <c r="Q82" s="16">
        <v>324</v>
      </c>
      <c r="R82" s="14">
        <f>P82+ROUND(Q82, 2)</f>
        <v>730.07999999999993</v>
      </c>
      <c r="S82" s="14">
        <f>ROUND(P82*I82, 2)</f>
        <v>61155.65</v>
      </c>
      <c r="T82" s="14">
        <f>ROUND(I82*ROUND(Q82, 2), 2)</f>
        <v>48794.400000000001</v>
      </c>
      <c r="U82" s="14">
        <f>S82+T82</f>
        <v>109950.05</v>
      </c>
      <c r="V82" s="9">
        <f>ROUND(P82 / 1.2, 2)</f>
        <v>338.4</v>
      </c>
      <c r="W82" s="9">
        <f>ROUND(Q82 / 1.2, 2)</f>
        <v>270</v>
      </c>
      <c r="X82" s="9">
        <f>ROUND(R82 / 1.2, 2)</f>
        <v>608.4</v>
      </c>
      <c r="Y82" s="9">
        <f t="shared" si="13"/>
        <v>50963.040000000001</v>
      </c>
      <c r="Z82" s="9">
        <f>ROUND(T82 / 1.2, 2)</f>
        <v>40662</v>
      </c>
      <c r="AA82" s="9">
        <f>Y82+Z82</f>
        <v>91625.040000000008</v>
      </c>
      <c r="AD82" s="4">
        <v>271132167</v>
      </c>
      <c r="AE82" s="4">
        <v>19811382</v>
      </c>
      <c r="AG82" s="4" t="s">
        <v>337</v>
      </c>
      <c r="AH82" s="4" t="s">
        <v>338</v>
      </c>
      <c r="AI82" s="4" t="s">
        <v>67</v>
      </c>
    </row>
    <row r="83" spans="1:35" ht="36" hidden="1" x14ac:dyDescent="0.3">
      <c r="A83" s="10" t="s">
        <v>350</v>
      </c>
      <c r="B83" s="10"/>
      <c r="C83" s="24" t="s">
        <v>345</v>
      </c>
      <c r="D83" s="12"/>
      <c r="E83" s="12"/>
      <c r="F83" s="18" t="s">
        <v>70</v>
      </c>
      <c r="G83" s="19">
        <v>2.5</v>
      </c>
      <c r="H83" s="19"/>
      <c r="I83" s="19">
        <v>376.5</v>
      </c>
      <c r="J83" s="21">
        <v>141.4</v>
      </c>
      <c r="M83" s="22">
        <f>ROUND(ROUND(J83, 2)*I83, 2)</f>
        <v>53237.1</v>
      </c>
      <c r="P83" s="23">
        <v>141.4</v>
      </c>
      <c r="S83" s="22">
        <f>ROUND(ROUND(P83, 2)*I83, 2)</f>
        <v>53237.1</v>
      </c>
      <c r="V83" s="9">
        <f>ROUND(ROUND(P83, 2)/1.2, 2)</f>
        <v>117.83</v>
      </c>
      <c r="Y83" s="9">
        <f t="shared" si="13"/>
        <v>44364.25</v>
      </c>
      <c r="AD83" s="4" t="s">
        <v>351</v>
      </c>
      <c r="AE83" s="4" t="s">
        <v>352</v>
      </c>
      <c r="AF83" s="4" t="s">
        <v>348</v>
      </c>
    </row>
    <row r="84" spans="1:35" ht="18" hidden="1" x14ac:dyDescent="0.3">
      <c r="A84" s="10" t="s">
        <v>353</v>
      </c>
      <c r="B84" s="10"/>
      <c r="C84" s="24" t="s">
        <v>340</v>
      </c>
      <c r="D84" s="12"/>
      <c r="E84" s="12"/>
      <c r="F84" s="18" t="s">
        <v>70</v>
      </c>
      <c r="G84" s="19">
        <v>0.25</v>
      </c>
      <c r="H84" s="19"/>
      <c r="I84" s="19">
        <v>37.65</v>
      </c>
      <c r="J84" s="21">
        <v>210.3</v>
      </c>
      <c r="M84" s="22">
        <f>ROUND(ROUND(J84, 2)*I84, 2)</f>
        <v>7917.8</v>
      </c>
      <c r="P84" s="23">
        <v>210.3</v>
      </c>
      <c r="S84" s="22">
        <f>ROUND(ROUND(P84, 2)*I84, 2)</f>
        <v>7917.8</v>
      </c>
      <c r="V84" s="9">
        <f>ROUND(ROUND(P84, 2)/1.2, 2)</f>
        <v>175.25</v>
      </c>
      <c r="Y84" s="9">
        <f t="shared" si="13"/>
        <v>6598.17</v>
      </c>
      <c r="AD84" s="4" t="s">
        <v>354</v>
      </c>
      <c r="AE84" s="4" t="s">
        <v>355</v>
      </c>
      <c r="AF84" s="4" t="s">
        <v>343</v>
      </c>
    </row>
    <row r="85" spans="1:35" ht="36" hidden="1" x14ac:dyDescent="0.3">
      <c r="A85" s="10" t="s">
        <v>356</v>
      </c>
      <c r="B85" s="10" t="s">
        <v>357</v>
      </c>
      <c r="C85" s="11" t="s">
        <v>358</v>
      </c>
      <c r="D85" s="12"/>
      <c r="E85" s="12" t="s">
        <v>63</v>
      </c>
      <c r="F85" s="12" t="s">
        <v>64</v>
      </c>
      <c r="G85" s="13">
        <v>1</v>
      </c>
      <c r="H85" s="13"/>
      <c r="I85" s="13">
        <v>631.29999999999995</v>
      </c>
      <c r="J85" s="14">
        <f>IFERROR(ROUND(SUM(M86)/I85, 2),0)</f>
        <v>173.66</v>
      </c>
      <c r="K85" s="15">
        <v>56</v>
      </c>
      <c r="L85" s="14">
        <f>J85+ROUND(K85, 2)</f>
        <v>229.66</v>
      </c>
      <c r="M85" s="14">
        <f>ROUND(J85*I85, 2)</f>
        <v>109631.56</v>
      </c>
      <c r="N85" s="14">
        <f>ROUND(I85*ROUND(K85, 2), 2)</f>
        <v>35352.800000000003</v>
      </c>
      <c r="O85" s="14">
        <f>M85+N85</f>
        <v>144984.35999999999</v>
      </c>
      <c r="P85" s="14">
        <f>IFERROR(ROUND(SUM(S86)/I85, 2),0)</f>
        <v>173.66</v>
      </c>
      <c r="Q85" s="15">
        <v>56</v>
      </c>
      <c r="R85" s="14">
        <f>P85+ROUND(Q85, 2)</f>
        <v>229.66</v>
      </c>
      <c r="S85" s="14">
        <f>ROUND(P85*I85, 2)</f>
        <v>109631.56</v>
      </c>
      <c r="T85" s="14">
        <f>ROUND(I85*ROUND(Q85, 2), 2)</f>
        <v>35352.800000000003</v>
      </c>
      <c r="U85" s="14">
        <f>S85+T85</f>
        <v>144984.35999999999</v>
      </c>
      <c r="V85" s="9">
        <f>ROUND(P85 / 1.2, 2)</f>
        <v>144.72</v>
      </c>
      <c r="W85" s="9">
        <f>ROUND(Q85 / 1.2, 2)</f>
        <v>46.67</v>
      </c>
      <c r="X85" s="9">
        <f>ROUND(R85 / 1.2, 2)</f>
        <v>191.38</v>
      </c>
      <c r="Y85" s="9">
        <f t="shared" si="13"/>
        <v>91359.63</v>
      </c>
      <c r="Z85" s="9">
        <f>ROUND(T85 / 1.2, 2)</f>
        <v>29460.67</v>
      </c>
      <c r="AA85" s="9">
        <f>Y85+Z85</f>
        <v>120820.3</v>
      </c>
      <c r="AD85" s="4">
        <v>271132072</v>
      </c>
      <c r="AE85" s="4">
        <v>16676511</v>
      </c>
      <c r="AG85" s="4" t="s">
        <v>359</v>
      </c>
      <c r="AH85" s="4" t="s">
        <v>360</v>
      </c>
      <c r="AI85" s="4" t="s">
        <v>67</v>
      </c>
    </row>
    <row r="86" spans="1:35" ht="18" hidden="1" x14ac:dyDescent="0.3">
      <c r="A86" s="10" t="s">
        <v>361</v>
      </c>
      <c r="B86" s="10"/>
      <c r="C86" s="24" t="s">
        <v>362</v>
      </c>
      <c r="D86" s="12"/>
      <c r="E86" s="12" t="s">
        <v>363</v>
      </c>
      <c r="F86" s="18" t="s">
        <v>64</v>
      </c>
      <c r="G86" s="19">
        <v>1.03</v>
      </c>
      <c r="H86" s="19"/>
      <c r="I86" s="19">
        <v>650.23900000000003</v>
      </c>
      <c r="J86" s="21">
        <v>168.6</v>
      </c>
      <c r="M86" s="22">
        <f>ROUND(ROUND(J86, 2)*I86, 2)</f>
        <v>109630.3</v>
      </c>
      <c r="P86" s="21">
        <v>168.6</v>
      </c>
      <c r="S86" s="22">
        <f>ROUND(ROUND(P86, 2)*I86, 2)</f>
        <v>109630.3</v>
      </c>
      <c r="V86" s="9">
        <f>ROUND(ROUND(P86, 2)/1.2, 2)</f>
        <v>140.5</v>
      </c>
      <c r="Y86" s="9">
        <f t="shared" si="13"/>
        <v>91358.58</v>
      </c>
      <c r="AD86" s="4" t="s">
        <v>364</v>
      </c>
      <c r="AE86" s="4" t="s">
        <v>365</v>
      </c>
      <c r="AF86" s="4" t="s">
        <v>366</v>
      </c>
    </row>
    <row r="87" spans="1:35" ht="36" hidden="1" x14ac:dyDescent="0.3">
      <c r="A87" s="10" t="s">
        <v>367</v>
      </c>
      <c r="B87" s="10" t="s">
        <v>357</v>
      </c>
      <c r="C87" s="11" t="s">
        <v>358</v>
      </c>
      <c r="D87" s="12"/>
      <c r="E87" s="12" t="s">
        <v>81</v>
      </c>
      <c r="F87" s="12" t="s">
        <v>64</v>
      </c>
      <c r="G87" s="13">
        <v>1</v>
      </c>
      <c r="H87" s="13"/>
      <c r="I87" s="13">
        <v>248.8</v>
      </c>
      <c r="J87" s="14">
        <f>IFERROR(ROUND(SUM(M88)/I87, 2),0)</f>
        <v>173.66</v>
      </c>
      <c r="K87" s="15">
        <v>56</v>
      </c>
      <c r="L87" s="14">
        <f>J87+ROUND(K87, 2)</f>
        <v>229.66</v>
      </c>
      <c r="M87" s="14">
        <f>ROUND(J87*I87, 2)</f>
        <v>43206.61</v>
      </c>
      <c r="N87" s="14">
        <f>ROUND(I87*ROUND(K87, 2), 2)</f>
        <v>13932.8</v>
      </c>
      <c r="O87" s="14">
        <f>M87+N87</f>
        <v>57139.41</v>
      </c>
      <c r="P87" s="14">
        <f>IFERROR(ROUND(SUM(S88)/I87, 2),0)</f>
        <v>173.66</v>
      </c>
      <c r="Q87" s="16">
        <v>56</v>
      </c>
      <c r="R87" s="14">
        <f>P87+ROUND(Q87, 2)</f>
        <v>229.66</v>
      </c>
      <c r="S87" s="14">
        <f>ROUND(P87*I87, 2)</f>
        <v>43206.61</v>
      </c>
      <c r="T87" s="14">
        <f>ROUND(I87*ROUND(Q87, 2), 2)</f>
        <v>13932.8</v>
      </c>
      <c r="U87" s="14">
        <f>S87+T87</f>
        <v>57139.41</v>
      </c>
      <c r="V87" s="9">
        <f>ROUND(P87 / 1.2, 2)</f>
        <v>144.72</v>
      </c>
      <c r="W87" s="9">
        <f>ROUND(Q87 / 1.2, 2)</f>
        <v>46.67</v>
      </c>
      <c r="X87" s="9">
        <f>ROUND(R87 / 1.2, 2)</f>
        <v>191.38</v>
      </c>
      <c r="Y87" s="9">
        <f t="shared" si="13"/>
        <v>36005.51</v>
      </c>
      <c r="Z87" s="9">
        <f>ROUND(T87 / 1.2, 2)</f>
        <v>11610.67</v>
      </c>
      <c r="AA87" s="9">
        <f>Y87+Z87</f>
        <v>47616.18</v>
      </c>
      <c r="AD87" s="4">
        <v>271132168</v>
      </c>
      <c r="AE87" s="4">
        <v>19811550</v>
      </c>
      <c r="AG87" s="4" t="s">
        <v>359</v>
      </c>
      <c r="AH87" s="4" t="s">
        <v>360</v>
      </c>
      <c r="AI87" s="4" t="s">
        <v>67</v>
      </c>
    </row>
    <row r="88" spans="1:35" ht="18" hidden="1" x14ac:dyDescent="0.3">
      <c r="A88" s="10" t="s">
        <v>368</v>
      </c>
      <c r="B88" s="10"/>
      <c r="C88" s="24" t="s">
        <v>362</v>
      </c>
      <c r="D88" s="12"/>
      <c r="E88" s="12" t="s">
        <v>369</v>
      </c>
      <c r="F88" s="18" t="s">
        <v>64</v>
      </c>
      <c r="G88" s="19">
        <v>1.03</v>
      </c>
      <c r="H88" s="19"/>
      <c r="I88" s="19">
        <v>256.26400000000001</v>
      </c>
      <c r="J88" s="21">
        <v>168.6</v>
      </c>
      <c r="M88" s="22">
        <f>ROUND(ROUND(J88, 2)*I88, 2)</f>
        <v>43206.11</v>
      </c>
      <c r="P88" s="23">
        <v>168.6</v>
      </c>
      <c r="S88" s="22">
        <f>ROUND(ROUND(P88, 2)*I88, 2)</f>
        <v>43206.11</v>
      </c>
      <c r="V88" s="9">
        <f>ROUND(ROUND(P88, 2)/1.2, 2)</f>
        <v>140.5</v>
      </c>
      <c r="Y88" s="9">
        <f t="shared" si="13"/>
        <v>36005.089999999997</v>
      </c>
      <c r="AD88" s="4" t="s">
        <v>370</v>
      </c>
      <c r="AE88" s="4" t="s">
        <v>371</v>
      </c>
      <c r="AF88" s="4" t="s">
        <v>366</v>
      </c>
    </row>
    <row r="89" spans="1:35" ht="18" hidden="1" x14ac:dyDescent="0.3">
      <c r="A89" s="10" t="s">
        <v>372</v>
      </c>
      <c r="B89" s="10" t="s">
        <v>373</v>
      </c>
      <c r="C89" s="11" t="s">
        <v>374</v>
      </c>
      <c r="D89" s="12"/>
      <c r="E89" s="12" t="s">
        <v>63</v>
      </c>
      <c r="F89" s="12" t="s">
        <v>98</v>
      </c>
      <c r="G89" s="13">
        <v>1</v>
      </c>
      <c r="H89" s="13"/>
      <c r="I89" s="13">
        <v>0</v>
      </c>
      <c r="J89" s="14">
        <f>IFERROR(ROUND(SUM(M90)/I89, 2),0)</f>
        <v>0</v>
      </c>
      <c r="K89" s="15">
        <v>2157</v>
      </c>
      <c r="L89" s="14">
        <f>J89+ROUND(K89, 2)</f>
        <v>2157</v>
      </c>
      <c r="M89" s="14">
        <f>ROUND(J89*I89, 2)</f>
        <v>0</v>
      </c>
      <c r="N89" s="14">
        <f>ROUND(I89*ROUND(K89, 2), 2)</f>
        <v>0</v>
      </c>
      <c r="O89" s="14">
        <f>M89+N89</f>
        <v>0</v>
      </c>
      <c r="P89" s="14">
        <f>IFERROR(ROUND(SUM(S90)/I89, 2),0)</f>
        <v>0</v>
      </c>
      <c r="Q89" s="15">
        <v>2157</v>
      </c>
      <c r="R89" s="14">
        <f>P89+ROUND(Q89, 2)</f>
        <v>2157</v>
      </c>
      <c r="S89" s="14">
        <f>ROUND(P89*I89, 2)</f>
        <v>0</v>
      </c>
      <c r="T89" s="14">
        <f>ROUND(I89*ROUND(Q89, 2), 2)</f>
        <v>0</v>
      </c>
      <c r="U89" s="14">
        <f>S89+T89</f>
        <v>0</v>
      </c>
      <c r="V89" s="9">
        <f>ROUND(P89 / 1.2, 2)</f>
        <v>0</v>
      </c>
      <c r="W89" s="9">
        <f>ROUND(Q89 / 1.2, 2)</f>
        <v>1797.5</v>
      </c>
      <c r="X89" s="9">
        <f>ROUND(R89 / 1.2, 2)</f>
        <v>1797.5</v>
      </c>
      <c r="Y89" s="9">
        <f t="shared" si="13"/>
        <v>0</v>
      </c>
      <c r="Z89" s="9">
        <f>ROUND(T89 / 1.2, 2)</f>
        <v>0</v>
      </c>
      <c r="AA89" s="9">
        <f>Y89+Z89</f>
        <v>0</v>
      </c>
      <c r="AD89" s="4">
        <v>271132074</v>
      </c>
      <c r="AE89" s="4">
        <v>16675472</v>
      </c>
      <c r="AG89" s="4" t="s">
        <v>375</v>
      </c>
      <c r="AH89" s="4" t="s">
        <v>376</v>
      </c>
      <c r="AI89" s="4" t="s">
        <v>67</v>
      </c>
    </row>
    <row r="90" spans="1:35" ht="18" hidden="1" x14ac:dyDescent="0.3">
      <c r="A90" s="10" t="s">
        <v>378</v>
      </c>
      <c r="B90" s="10"/>
      <c r="C90" s="24" t="s">
        <v>379</v>
      </c>
      <c r="D90" s="12"/>
      <c r="E90" s="12"/>
      <c r="F90" s="18" t="s">
        <v>98</v>
      </c>
      <c r="G90" s="19">
        <v>1.02</v>
      </c>
      <c r="H90" s="19"/>
      <c r="I90" s="19">
        <v>0</v>
      </c>
      <c r="J90" s="21">
        <v>2550</v>
      </c>
      <c r="M90" s="22">
        <f>ROUND(ROUND(J90, 2)*I90, 2)</f>
        <v>0</v>
      </c>
      <c r="P90" s="21">
        <v>2550</v>
      </c>
      <c r="S90" s="22">
        <f>ROUND(ROUND(P90, 2)*I90, 2)</f>
        <v>0</v>
      </c>
      <c r="V90" s="9">
        <f>ROUND(ROUND(P90, 2)/1.2, 2)</f>
        <v>2125</v>
      </c>
      <c r="Y90" s="9">
        <f t="shared" si="13"/>
        <v>0</v>
      </c>
      <c r="AD90" s="4" t="s">
        <v>380</v>
      </c>
      <c r="AE90" s="4" t="s">
        <v>381</v>
      </c>
      <c r="AF90" s="4" t="s">
        <v>382</v>
      </c>
    </row>
    <row r="91" spans="1:35" ht="36" hidden="1" x14ac:dyDescent="0.3">
      <c r="A91" s="10" t="s">
        <v>385</v>
      </c>
      <c r="B91" s="10" t="s">
        <v>373</v>
      </c>
      <c r="C91" s="11" t="s">
        <v>374</v>
      </c>
      <c r="D91" s="12"/>
      <c r="E91" s="12" t="s">
        <v>386</v>
      </c>
      <c r="F91" s="12" t="s">
        <v>98</v>
      </c>
      <c r="G91" s="13">
        <v>1</v>
      </c>
      <c r="H91" s="13"/>
      <c r="I91" s="13">
        <v>23.917999999999999</v>
      </c>
      <c r="J91" s="14">
        <f>IFERROR(ROUND(SUM(M92)/I91, 2),0)</f>
        <v>2600.96</v>
      </c>
      <c r="K91" s="15">
        <v>2157</v>
      </c>
      <c r="L91" s="14">
        <f>J91+ROUND(K91, 2)</f>
        <v>4757.96</v>
      </c>
      <c r="M91" s="14">
        <f>ROUND(J91*I91, 2)</f>
        <v>62209.760000000002</v>
      </c>
      <c r="N91" s="14">
        <f>ROUND(I91*ROUND(K91, 2), 2)</f>
        <v>51591.13</v>
      </c>
      <c r="O91" s="14">
        <f>M91+N91</f>
        <v>113800.89</v>
      </c>
      <c r="P91" s="14">
        <f>IFERROR(ROUND(SUM(S92)/I91, 2),0)</f>
        <v>2600.96</v>
      </c>
      <c r="Q91" s="16">
        <v>2157</v>
      </c>
      <c r="R91" s="14">
        <f>P91+ROUND(Q91, 2)</f>
        <v>4757.96</v>
      </c>
      <c r="S91" s="14">
        <f>ROUND(P91*I91, 2)</f>
        <v>62209.760000000002</v>
      </c>
      <c r="T91" s="14">
        <f>ROUND(I91*ROUND(Q91, 2), 2)</f>
        <v>51591.13</v>
      </c>
      <c r="U91" s="14">
        <f>S91+T91</f>
        <v>113800.89</v>
      </c>
      <c r="V91" s="9">
        <f>ROUND(P91 / 1.2, 2)</f>
        <v>2167.4699999999998</v>
      </c>
      <c r="W91" s="9">
        <f>ROUND(Q91 / 1.2, 2)</f>
        <v>1797.5</v>
      </c>
      <c r="X91" s="9">
        <f>ROUND(R91 / 1.2, 2)</f>
        <v>3964.97</v>
      </c>
      <c r="Y91" s="9">
        <f t="shared" si="13"/>
        <v>51841.47</v>
      </c>
      <c r="Z91" s="9">
        <f>ROUND(T91 / 1.2, 2)</f>
        <v>42992.61</v>
      </c>
      <c r="AA91" s="9">
        <f>Y91+Z91</f>
        <v>94834.08</v>
      </c>
      <c r="AD91" s="4">
        <v>271132169</v>
      </c>
      <c r="AE91" s="4">
        <v>19811691</v>
      </c>
      <c r="AG91" s="4" t="s">
        <v>375</v>
      </c>
      <c r="AH91" s="4" t="s">
        <v>376</v>
      </c>
      <c r="AI91" s="4" t="s">
        <v>67</v>
      </c>
    </row>
    <row r="92" spans="1:35" ht="18" hidden="1" x14ac:dyDescent="0.3">
      <c r="A92" s="10" t="s">
        <v>387</v>
      </c>
      <c r="B92" s="10"/>
      <c r="C92" s="24" t="s">
        <v>379</v>
      </c>
      <c r="D92" s="12"/>
      <c r="E92" s="12"/>
      <c r="F92" s="18" t="s">
        <v>98</v>
      </c>
      <c r="G92" s="19">
        <v>1.02</v>
      </c>
      <c r="H92" s="19"/>
      <c r="I92" s="19">
        <v>24.396000000000001</v>
      </c>
      <c r="J92" s="21">
        <v>2550</v>
      </c>
      <c r="M92" s="22">
        <f>ROUND(ROUND(J92, 2)*I92, 2)</f>
        <v>62209.8</v>
      </c>
      <c r="P92" s="23">
        <v>2550</v>
      </c>
      <c r="S92" s="22">
        <f>ROUND(ROUND(P92, 2)*I92, 2)</f>
        <v>62209.8</v>
      </c>
      <c r="V92" s="9">
        <f>ROUND(ROUND(P92, 2)/1.2, 2)</f>
        <v>2125</v>
      </c>
      <c r="Y92" s="9">
        <f t="shared" si="13"/>
        <v>51841.5</v>
      </c>
      <c r="AD92" s="4" t="s">
        <v>388</v>
      </c>
      <c r="AE92" s="4" t="s">
        <v>389</v>
      </c>
      <c r="AF92" s="4" t="s">
        <v>382</v>
      </c>
    </row>
    <row r="93" spans="1:35" ht="17.100000000000001" hidden="1" customHeight="1" x14ac:dyDescent="0.3">
      <c r="A93" s="10" t="s">
        <v>390</v>
      </c>
      <c r="B93" s="10" t="s">
        <v>391</v>
      </c>
      <c r="C93" s="185" t="s">
        <v>392</v>
      </c>
      <c r="D93" s="186"/>
      <c r="E93" s="186"/>
      <c r="F93" s="186"/>
      <c r="G93" s="186"/>
      <c r="H93" s="186"/>
      <c r="I93" s="187"/>
      <c r="M93" s="6">
        <f>SUM(M94,M100,M105,M108,M112,M116,M119,M122,M125,M127,M129,M134,M139,M144,M149,M154,M159)</f>
        <v>4379362.9500000011</v>
      </c>
      <c r="N93" s="6">
        <f>SUM(N94,N100,N105,N108,N112,N116,N119,N122,N125,N127,N129,N134,N139,N144,N149,N154,N159)</f>
        <v>8459471.120000001</v>
      </c>
      <c r="O93" s="6">
        <f>SUM(O94,O100,O105,O108,O112,O116,O119,O122,O125,O127,O129,O134,O139,O144,O149,O154,O159)</f>
        <v>12838834.07</v>
      </c>
      <c r="S93" s="6">
        <f>SUM(S94,S100,S105,S108,S112,S116,S119,S122,S125,S127,S129,S134,S139,S144,S149,S154,S159)</f>
        <v>12062112.990000002</v>
      </c>
      <c r="T93" s="6">
        <f>SUM(T94,T100,T105,T108,T112,T116,T119,T122,T125,T127,T129,T134,T139,T144,T149,T154,T159)</f>
        <v>8459471.120000001</v>
      </c>
      <c r="U93" s="6">
        <f>SUM(U94,U100,U105,U108,U112,U116,U119,U122,U125,U127,U129,U134,U139,U144,U149,U154,U159)</f>
        <v>20521584.109999996</v>
      </c>
      <c r="Y93" s="9">
        <f>SUM(Y94,Y100,Y105,Y108,Y112,Y116,Y119,Y122,Y125,Y127,Y129,Y134,Y139,Y144,Y149,Y154,Y159)</f>
        <v>10051760.84</v>
      </c>
      <c r="Z93" s="9">
        <f>SUM(Z94,Z100,Z105,Z108,Z112,Z116,Z119,Z122,Z125,Z127,Z129,Z134,Z139,Z144,Z149,Z154,Z159)</f>
        <v>7049559.2599999998</v>
      </c>
      <c r="AA93" s="9">
        <f>SUM(AA94,AA100,AA105,AA108,AA112,AA116,AA119,AA122,AA125,AA127,AA129,AA134,AA139,AA144,AA149,AA154,AA159)</f>
        <v>17101320.100000001</v>
      </c>
      <c r="AD93" s="4">
        <v>271132075</v>
      </c>
      <c r="AE93" s="4">
        <v>16194150</v>
      </c>
    </row>
    <row r="94" spans="1:35" ht="54" hidden="1" x14ac:dyDescent="0.3">
      <c r="A94" s="10" t="s">
        <v>393</v>
      </c>
      <c r="B94" s="10" t="s">
        <v>394</v>
      </c>
      <c r="C94" s="11" t="s">
        <v>395</v>
      </c>
      <c r="D94" s="12"/>
      <c r="E94" s="12" t="s">
        <v>396</v>
      </c>
      <c r="F94" s="12" t="s">
        <v>64</v>
      </c>
      <c r="G94" s="13">
        <v>1</v>
      </c>
      <c r="H94" s="13"/>
      <c r="I94" s="13">
        <v>0</v>
      </c>
      <c r="J94" s="14">
        <f>IFERROR(ROUND(SUM(M95,M96,M97,M98,M99)/I94, 2),0)</f>
        <v>0</v>
      </c>
      <c r="K94" s="15">
        <v>1251</v>
      </c>
      <c r="L94" s="14">
        <f>J94+ROUND(K94, 2)</f>
        <v>1251</v>
      </c>
      <c r="M94" s="14">
        <f>ROUND(J94*I94, 2)</f>
        <v>0</v>
      </c>
      <c r="N94" s="14">
        <f>ROUND(I94*ROUND(K94, 2), 2)</f>
        <v>0</v>
      </c>
      <c r="O94" s="14">
        <f>M94+N94</f>
        <v>0</v>
      </c>
      <c r="P94" s="14">
        <f>IFERROR(ROUND(SUM(S95,S96,S97,S98,S99)/I94, 2),0)</f>
        <v>0</v>
      </c>
      <c r="Q94" s="15">
        <v>1251</v>
      </c>
      <c r="R94" s="14">
        <f>P94+ROUND(Q94, 2)</f>
        <v>1251</v>
      </c>
      <c r="S94" s="14">
        <f>ROUND(P94*I94, 2)</f>
        <v>0</v>
      </c>
      <c r="T94" s="14">
        <f>ROUND(I94*ROUND(Q94, 2), 2)</f>
        <v>0</v>
      </c>
      <c r="U94" s="14">
        <f>S94+T94</f>
        <v>0</v>
      </c>
      <c r="V94" s="9">
        <f>ROUND(P94 / 1.2, 2)</f>
        <v>0</v>
      </c>
      <c r="W94" s="9">
        <f>ROUND(Q94 / 1.2, 2)</f>
        <v>1042.5</v>
      </c>
      <c r="X94" s="9">
        <f>ROUND(R94 / 1.2, 2)</f>
        <v>1042.5</v>
      </c>
      <c r="Y94" s="9">
        <f>ROUND(S94 / 1.2, 2)</f>
        <v>0</v>
      </c>
      <c r="Z94" s="9">
        <f>ROUND(T94 / 1.2, 2)</f>
        <v>0</v>
      </c>
      <c r="AA94" s="9">
        <f>Y94+Z94</f>
        <v>0</v>
      </c>
      <c r="AD94" s="4">
        <v>271132077</v>
      </c>
      <c r="AE94" s="4">
        <v>16194165</v>
      </c>
      <c r="AG94" s="4" t="s">
        <v>397</v>
      </c>
      <c r="AH94" s="4" t="s">
        <v>398</v>
      </c>
      <c r="AI94" s="4" t="s">
        <v>67</v>
      </c>
    </row>
    <row r="95" spans="1:35" ht="54" hidden="1" x14ac:dyDescent="0.3">
      <c r="A95" s="10" t="s">
        <v>400</v>
      </c>
      <c r="B95" s="10"/>
      <c r="C95" s="17" t="s">
        <v>401</v>
      </c>
      <c r="D95" s="12"/>
      <c r="E95" s="12" t="s">
        <v>402</v>
      </c>
      <c r="F95" s="18" t="s">
        <v>70</v>
      </c>
      <c r="G95" s="19">
        <v>1.2</v>
      </c>
      <c r="H95" s="20"/>
      <c r="I95" s="20">
        <v>0</v>
      </c>
      <c r="J95" s="21">
        <v>12.33</v>
      </c>
      <c r="M95" s="22">
        <f>ROUND(ROUND(J95, 2)*I95, 2)</f>
        <v>0</v>
      </c>
      <c r="P95" s="21">
        <v>12.33</v>
      </c>
      <c r="S95" s="22">
        <f>ROUND(ROUND(P95, 2)*I95, 2)</f>
        <v>0</v>
      </c>
      <c r="V95" s="9">
        <f>ROUND(ROUND(P95, 2)/1.2, 2)</f>
        <v>10.28</v>
      </c>
      <c r="Y95" s="9">
        <f t="shared" ref="Y95:Y158" si="14">ROUND(S95 / 1.2, 2)</f>
        <v>0</v>
      </c>
      <c r="AD95" s="4" t="s">
        <v>403</v>
      </c>
      <c r="AE95" s="4" t="s">
        <v>404</v>
      </c>
      <c r="AF95" s="4" t="s">
        <v>405</v>
      </c>
    </row>
    <row r="96" spans="1:35" ht="72" hidden="1" x14ac:dyDescent="0.3">
      <c r="A96" s="10" t="s">
        <v>408</v>
      </c>
      <c r="B96" s="10"/>
      <c r="C96" s="24" t="s">
        <v>409</v>
      </c>
      <c r="D96" s="12"/>
      <c r="E96" s="12" t="s">
        <v>410</v>
      </c>
      <c r="F96" s="18" t="s">
        <v>64</v>
      </c>
      <c r="G96" s="19">
        <v>1.07</v>
      </c>
      <c r="H96" s="20"/>
      <c r="I96" s="20">
        <v>0</v>
      </c>
      <c r="J96" s="21">
        <v>1193</v>
      </c>
      <c r="M96" s="22">
        <f>ROUND(ROUND(J96, 2)*I96, 2)</f>
        <v>0</v>
      </c>
      <c r="P96" s="21">
        <v>1193</v>
      </c>
      <c r="S96" s="22">
        <f>ROUND(ROUND(P96, 2)*I96, 2)</f>
        <v>0</v>
      </c>
      <c r="V96" s="9">
        <f>ROUND(ROUND(P96, 2)/1.2, 2)</f>
        <v>994.17</v>
      </c>
      <c r="Y96" s="9">
        <f t="shared" si="14"/>
        <v>0</v>
      </c>
      <c r="AD96" s="4" t="s">
        <v>411</v>
      </c>
      <c r="AE96" s="4" t="s">
        <v>412</v>
      </c>
      <c r="AF96" s="4" t="s">
        <v>413</v>
      </c>
    </row>
    <row r="97" spans="1:35" ht="72" hidden="1" x14ac:dyDescent="0.3">
      <c r="A97" s="10" t="s">
        <v>416</v>
      </c>
      <c r="B97" s="10"/>
      <c r="C97" s="24" t="s">
        <v>417</v>
      </c>
      <c r="D97" s="12"/>
      <c r="E97" s="12" t="s">
        <v>418</v>
      </c>
      <c r="F97" s="18" t="s">
        <v>64</v>
      </c>
      <c r="G97" s="19">
        <v>1.07</v>
      </c>
      <c r="H97" s="20"/>
      <c r="I97" s="20">
        <v>0</v>
      </c>
      <c r="J97" s="21">
        <v>1374.45</v>
      </c>
      <c r="M97" s="22">
        <f>ROUND(ROUND(J97, 2)*I97, 2)</f>
        <v>0</v>
      </c>
      <c r="P97" s="21">
        <v>1290.02</v>
      </c>
      <c r="S97" s="22">
        <f>ROUND(ROUND(P97, 2)*I97, 2)</f>
        <v>0</v>
      </c>
      <c r="V97" s="9">
        <f>ROUND(ROUND(P97, 2)/1.2, 2)</f>
        <v>1075.02</v>
      </c>
      <c r="Y97" s="9">
        <f t="shared" si="14"/>
        <v>0</v>
      </c>
      <c r="AD97" s="4" t="s">
        <v>419</v>
      </c>
      <c r="AE97" s="4" t="s">
        <v>420</v>
      </c>
      <c r="AF97" s="4" t="s">
        <v>421</v>
      </c>
    </row>
    <row r="98" spans="1:35" ht="36" hidden="1" x14ac:dyDescent="0.3">
      <c r="A98" s="10" t="s">
        <v>425</v>
      </c>
      <c r="B98" s="10"/>
      <c r="C98" s="24" t="s">
        <v>426</v>
      </c>
      <c r="D98" s="12"/>
      <c r="E98" s="12"/>
      <c r="F98" s="18" t="s">
        <v>70</v>
      </c>
      <c r="G98" s="19">
        <v>0.25</v>
      </c>
      <c r="H98" s="20"/>
      <c r="I98" s="20">
        <v>0</v>
      </c>
      <c r="J98" s="21">
        <v>40.270000000000003</v>
      </c>
      <c r="M98" s="22">
        <f>ROUND(ROUND(J98, 2)*I98, 2)</f>
        <v>0</v>
      </c>
      <c r="P98" s="21">
        <v>40.270000000000003</v>
      </c>
      <c r="S98" s="22">
        <f>ROUND(ROUND(P98, 2)*I98, 2)</f>
        <v>0</v>
      </c>
      <c r="V98" s="9">
        <f>ROUND(ROUND(P98, 2)/1.2, 2)</f>
        <v>33.56</v>
      </c>
      <c r="Y98" s="9">
        <f t="shared" si="14"/>
        <v>0</v>
      </c>
      <c r="AD98" s="4" t="s">
        <v>427</v>
      </c>
      <c r="AE98" s="4" t="s">
        <v>428</v>
      </c>
      <c r="AF98" s="4" t="s">
        <v>429</v>
      </c>
    </row>
    <row r="99" spans="1:35" ht="36" hidden="1" x14ac:dyDescent="0.3">
      <c r="A99" s="10" t="s">
        <v>432</v>
      </c>
      <c r="B99" s="10"/>
      <c r="C99" s="24" t="s">
        <v>433</v>
      </c>
      <c r="D99" s="12"/>
      <c r="E99" s="12"/>
      <c r="F99" s="18" t="s">
        <v>70</v>
      </c>
      <c r="G99" s="19">
        <v>0.15</v>
      </c>
      <c r="H99" s="19"/>
      <c r="I99" s="19">
        <v>0</v>
      </c>
      <c r="J99" s="21">
        <v>88.8</v>
      </c>
      <c r="M99" s="22">
        <f>ROUND(ROUND(J99, 2)*I99, 2)</f>
        <v>0</v>
      </c>
      <c r="P99" s="21">
        <v>88.8</v>
      </c>
      <c r="S99" s="22">
        <f>ROUND(ROUND(P99, 2)*I99, 2)</f>
        <v>0</v>
      </c>
      <c r="V99" s="9">
        <f>ROUND(ROUND(P99, 2)/1.2, 2)</f>
        <v>74</v>
      </c>
      <c r="Y99" s="9">
        <f t="shared" si="14"/>
        <v>0</v>
      </c>
      <c r="AD99" s="4" t="s">
        <v>434</v>
      </c>
      <c r="AE99" s="4" t="s">
        <v>435</v>
      </c>
      <c r="AF99" s="4" t="s">
        <v>436</v>
      </c>
    </row>
    <row r="100" spans="1:35" ht="18" hidden="1" x14ac:dyDescent="0.3">
      <c r="A100" s="10" t="s">
        <v>439</v>
      </c>
      <c r="B100" s="10" t="s">
        <v>440</v>
      </c>
      <c r="C100" s="11" t="s">
        <v>441</v>
      </c>
      <c r="D100" s="12" t="s">
        <v>442</v>
      </c>
      <c r="E100" s="12" t="s">
        <v>63</v>
      </c>
      <c r="F100" s="12" t="s">
        <v>64</v>
      </c>
      <c r="G100" s="13">
        <v>1</v>
      </c>
      <c r="H100" s="13"/>
      <c r="I100" s="13">
        <v>538.29999999999995</v>
      </c>
      <c r="J100" s="14">
        <f>IFERROR(ROUND(SUM(M101,M102,M103,M104)/I100, 2),0)</f>
        <v>1573.04</v>
      </c>
      <c r="K100" s="15">
        <v>412</v>
      </c>
      <c r="L100" s="14">
        <f>J100+ROUND(K100, 2)</f>
        <v>1985.04</v>
      </c>
      <c r="M100" s="14">
        <f>ROUND(J100*I100, 2)</f>
        <v>846767.43</v>
      </c>
      <c r="N100" s="14">
        <f>ROUND(I100*ROUND(K100, 2), 2)</f>
        <v>221779.6</v>
      </c>
      <c r="O100" s="14">
        <f>M100+N100</f>
        <v>1068547.03</v>
      </c>
      <c r="P100" s="14">
        <f>IFERROR(ROUND(SUM(S101,S102,S103,S104)/I100, 2),0)</f>
        <v>1573.04</v>
      </c>
      <c r="Q100" s="15">
        <v>412</v>
      </c>
      <c r="R100" s="14">
        <f>P100+ROUND(Q100, 2)</f>
        <v>1985.04</v>
      </c>
      <c r="S100" s="14">
        <f>ROUND(P100*I100, 2)</f>
        <v>846767.43</v>
      </c>
      <c r="T100" s="14">
        <f>ROUND(I100*ROUND(Q100, 2), 2)</f>
        <v>221779.6</v>
      </c>
      <c r="U100" s="14">
        <f>S100+T100</f>
        <v>1068547.03</v>
      </c>
      <c r="V100" s="9">
        <f>ROUND(P100 / 1.2, 2)</f>
        <v>1310.87</v>
      </c>
      <c r="W100" s="9">
        <f>ROUND(Q100 / 1.2, 2)</f>
        <v>343.33</v>
      </c>
      <c r="X100" s="9">
        <f>ROUND(R100 / 1.2, 2)</f>
        <v>1654.2</v>
      </c>
      <c r="Y100" s="9">
        <f t="shared" si="14"/>
        <v>705639.53</v>
      </c>
      <c r="Z100" s="9">
        <f>ROUND(T100 / 1.2, 2)</f>
        <v>184816.33</v>
      </c>
      <c r="AA100" s="9">
        <f>Y100+Z100</f>
        <v>890455.86</v>
      </c>
      <c r="AD100" s="4">
        <v>271132078</v>
      </c>
      <c r="AE100" s="4">
        <v>16195443</v>
      </c>
      <c r="AG100" s="4" t="s">
        <v>443</v>
      </c>
      <c r="AH100" s="4" t="s">
        <v>444</v>
      </c>
      <c r="AI100" s="4" t="s">
        <v>67</v>
      </c>
    </row>
    <row r="101" spans="1:35" ht="54" hidden="1" x14ac:dyDescent="0.3">
      <c r="A101" s="10" t="s">
        <v>445</v>
      </c>
      <c r="B101" s="10"/>
      <c r="C101" s="24" t="s">
        <v>446</v>
      </c>
      <c r="D101" s="12"/>
      <c r="E101" s="12" t="s">
        <v>447</v>
      </c>
      <c r="F101" s="18" t="s">
        <v>70</v>
      </c>
      <c r="G101" s="19">
        <v>0.3</v>
      </c>
      <c r="H101" s="19"/>
      <c r="I101" s="19">
        <v>161.49</v>
      </c>
      <c r="J101" s="21">
        <v>220</v>
      </c>
      <c r="M101" s="22">
        <f>ROUND(ROUND(J101, 2)*I101, 2)</f>
        <v>35527.800000000003</v>
      </c>
      <c r="P101" s="21">
        <v>220</v>
      </c>
      <c r="S101" s="22">
        <f>ROUND(ROUND(P101, 2)*I101, 2)</f>
        <v>35527.800000000003</v>
      </c>
      <c r="V101" s="9">
        <f>ROUND(ROUND(P101, 2)/1.2, 2)</f>
        <v>183.33</v>
      </c>
      <c r="Y101" s="9">
        <f t="shared" si="14"/>
        <v>29606.5</v>
      </c>
      <c r="AD101" s="4" t="s">
        <v>448</v>
      </c>
      <c r="AE101" s="4" t="s">
        <v>449</v>
      </c>
      <c r="AF101" s="4" t="s">
        <v>450</v>
      </c>
    </row>
    <row r="102" spans="1:35" ht="36" hidden="1" x14ac:dyDescent="0.3">
      <c r="A102" s="10" t="s">
        <v>451</v>
      </c>
      <c r="B102" s="10"/>
      <c r="C102" s="24" t="s">
        <v>452</v>
      </c>
      <c r="D102" s="12"/>
      <c r="E102" s="12" t="s">
        <v>453</v>
      </c>
      <c r="F102" s="18" t="s">
        <v>70</v>
      </c>
      <c r="G102" s="19">
        <v>0.15</v>
      </c>
      <c r="H102" s="19"/>
      <c r="I102" s="19">
        <v>80.745000000000005</v>
      </c>
      <c r="J102" s="21">
        <v>68.400000000000006</v>
      </c>
      <c r="M102" s="22">
        <f>ROUND(ROUND(J102, 2)*I102, 2)</f>
        <v>5522.96</v>
      </c>
      <c r="P102" s="21">
        <v>68.400000000000006</v>
      </c>
      <c r="S102" s="22">
        <f>ROUND(ROUND(P102, 2)*I102, 2)</f>
        <v>5522.96</v>
      </c>
      <c r="V102" s="9">
        <f>ROUND(ROUND(P102, 2)/1.2, 2)</f>
        <v>57</v>
      </c>
      <c r="Y102" s="9">
        <f t="shared" si="14"/>
        <v>4602.47</v>
      </c>
      <c r="AD102" s="4" t="s">
        <v>454</v>
      </c>
      <c r="AE102" s="4" t="s">
        <v>455</v>
      </c>
      <c r="AF102" s="4" t="s">
        <v>456</v>
      </c>
    </row>
    <row r="103" spans="1:35" ht="72" hidden="1" x14ac:dyDescent="0.3">
      <c r="A103" s="10" t="s">
        <v>457</v>
      </c>
      <c r="B103" s="10"/>
      <c r="C103" s="17" t="s">
        <v>458</v>
      </c>
      <c r="D103" s="12"/>
      <c r="E103" s="12"/>
      <c r="F103" s="18" t="s">
        <v>87</v>
      </c>
      <c r="G103" s="19">
        <v>1</v>
      </c>
      <c r="H103" s="20"/>
      <c r="I103" s="20">
        <v>252</v>
      </c>
      <c r="J103" s="21">
        <v>51</v>
      </c>
      <c r="M103" s="22">
        <f>ROUND(ROUND(J103, 2)*I103, 2)</f>
        <v>12852</v>
      </c>
      <c r="P103" s="21">
        <v>51</v>
      </c>
      <c r="S103" s="22">
        <f>ROUND(ROUND(P103, 2)*I103, 2)</f>
        <v>12852</v>
      </c>
      <c r="V103" s="9">
        <f>ROUND(ROUND(P103, 2)/1.2, 2)</f>
        <v>42.5</v>
      </c>
      <c r="Y103" s="9">
        <f t="shared" si="14"/>
        <v>10710</v>
      </c>
      <c r="AD103" s="4" t="s">
        <v>459</v>
      </c>
      <c r="AE103" s="4" t="s">
        <v>460</v>
      </c>
      <c r="AF103" s="4" t="s">
        <v>461</v>
      </c>
    </row>
    <row r="104" spans="1:35" ht="54" hidden="1" x14ac:dyDescent="0.3">
      <c r="A104" s="10" t="s">
        <v>462</v>
      </c>
      <c r="B104" s="10"/>
      <c r="C104" s="17" t="s">
        <v>463</v>
      </c>
      <c r="D104" s="12"/>
      <c r="E104" s="12"/>
      <c r="F104" s="18" t="s">
        <v>64</v>
      </c>
      <c r="G104" s="19">
        <v>1.1000000000000001</v>
      </c>
      <c r="H104" s="20"/>
      <c r="I104" s="20">
        <v>592.13</v>
      </c>
      <c r="J104" s="21">
        <v>1339</v>
      </c>
      <c r="M104" s="22">
        <f>ROUND(ROUND(J104, 2)*I104, 2)</f>
        <v>792862.07</v>
      </c>
      <c r="P104" s="21">
        <v>1339</v>
      </c>
      <c r="S104" s="22">
        <f>ROUND(ROUND(P104, 2)*I104, 2)</f>
        <v>792862.07</v>
      </c>
      <c r="V104" s="9">
        <f>ROUND(ROUND(P104, 2)/1.2, 2)</f>
        <v>1115.83</v>
      </c>
      <c r="Y104" s="9">
        <f t="shared" si="14"/>
        <v>660718.39</v>
      </c>
      <c r="AD104" s="4" t="s">
        <v>464</v>
      </c>
      <c r="AE104" s="4" t="s">
        <v>465</v>
      </c>
      <c r="AF104" s="4" t="s">
        <v>466</v>
      </c>
    </row>
    <row r="105" spans="1:35" ht="18" hidden="1" x14ac:dyDescent="0.3">
      <c r="A105" s="10" t="s">
        <v>467</v>
      </c>
      <c r="B105" s="10" t="s">
        <v>468</v>
      </c>
      <c r="C105" s="11" t="s">
        <v>469</v>
      </c>
      <c r="D105" s="12"/>
      <c r="E105" s="12" t="s">
        <v>470</v>
      </c>
      <c r="F105" s="12" t="s">
        <v>87</v>
      </c>
      <c r="G105" s="13">
        <v>1</v>
      </c>
      <c r="H105" s="13"/>
      <c r="I105" s="13">
        <v>49.65</v>
      </c>
      <c r="J105" s="14">
        <f>IFERROR(ROUND(SUM(M106,M107)/I105, 2),0)</f>
        <v>104.52</v>
      </c>
      <c r="K105" s="15">
        <v>200</v>
      </c>
      <c r="L105" s="14">
        <f>J105+ROUND(K105, 2)</f>
        <v>304.52</v>
      </c>
      <c r="M105" s="14">
        <f>ROUND(J105*I105, 2)</f>
        <v>5189.42</v>
      </c>
      <c r="N105" s="14">
        <f>ROUND(I105*ROUND(K105, 2), 2)</f>
        <v>9930</v>
      </c>
      <c r="O105" s="14">
        <f>M105+N105</f>
        <v>15119.42</v>
      </c>
      <c r="P105" s="14">
        <f>IFERROR(ROUND(SUM(S106,S107)/I105, 2),0)</f>
        <v>104.52</v>
      </c>
      <c r="Q105" s="15">
        <v>200</v>
      </c>
      <c r="R105" s="14">
        <f>P105+ROUND(Q105, 2)</f>
        <v>304.52</v>
      </c>
      <c r="S105" s="14">
        <f>ROUND(P105*I105, 2)</f>
        <v>5189.42</v>
      </c>
      <c r="T105" s="14">
        <f>ROUND(I105*ROUND(Q105, 2), 2)</f>
        <v>9930</v>
      </c>
      <c r="U105" s="14">
        <f>S105+T105</f>
        <v>15119.42</v>
      </c>
      <c r="V105" s="9">
        <f>ROUND(P105 / 1.2, 2)</f>
        <v>87.1</v>
      </c>
      <c r="W105" s="9">
        <f>ROUND(Q105 / 1.2, 2)</f>
        <v>166.67</v>
      </c>
      <c r="X105" s="9">
        <f>ROUND(R105 / 1.2, 2)</f>
        <v>253.77</v>
      </c>
      <c r="Y105" s="9">
        <f t="shared" si="14"/>
        <v>4324.5200000000004</v>
      </c>
      <c r="Z105" s="9">
        <f>ROUND(T105 / 1.2, 2)</f>
        <v>8275</v>
      </c>
      <c r="AA105" s="9">
        <f>Y105+Z105</f>
        <v>12599.52</v>
      </c>
      <c r="AD105" s="4">
        <v>271132080</v>
      </c>
      <c r="AE105" s="4">
        <v>16296644</v>
      </c>
      <c r="AG105" s="4" t="s">
        <v>471</v>
      </c>
      <c r="AH105" s="4" t="s">
        <v>472</v>
      </c>
      <c r="AI105" s="4" t="s">
        <v>67</v>
      </c>
    </row>
    <row r="106" spans="1:35" ht="36" hidden="1" x14ac:dyDescent="0.3">
      <c r="A106" s="10" t="s">
        <v>474</v>
      </c>
      <c r="B106" s="10"/>
      <c r="C106" s="24" t="s">
        <v>475</v>
      </c>
      <c r="D106" s="12"/>
      <c r="E106" s="12"/>
      <c r="F106" s="18" t="s">
        <v>87</v>
      </c>
      <c r="G106" s="19">
        <v>1.05</v>
      </c>
      <c r="H106" s="20"/>
      <c r="I106" s="20">
        <v>52.133000000000003</v>
      </c>
      <c r="J106" s="21">
        <v>90.97</v>
      </c>
      <c r="M106" s="22">
        <f>ROUND(ROUND(J106, 2)*I106, 2)</f>
        <v>4742.54</v>
      </c>
      <c r="P106" s="21">
        <v>90.97</v>
      </c>
      <c r="S106" s="22">
        <f>ROUND(ROUND(P106, 2)*I106, 2)</f>
        <v>4742.54</v>
      </c>
      <c r="V106" s="9">
        <f>ROUND(ROUND(P106, 2)/1.2, 2)</f>
        <v>75.81</v>
      </c>
      <c r="Y106" s="9">
        <f t="shared" si="14"/>
        <v>3952.12</v>
      </c>
      <c r="AD106" s="4" t="s">
        <v>476</v>
      </c>
      <c r="AE106" s="4" t="s">
        <v>477</v>
      </c>
      <c r="AF106" s="4" t="s">
        <v>478</v>
      </c>
    </row>
    <row r="107" spans="1:35" ht="54" hidden="1" x14ac:dyDescent="0.3">
      <c r="A107" s="10" t="s">
        <v>481</v>
      </c>
      <c r="B107" s="10"/>
      <c r="C107" s="24" t="s">
        <v>482</v>
      </c>
      <c r="D107" s="12"/>
      <c r="E107" s="12" t="s">
        <v>483</v>
      </c>
      <c r="F107" s="18" t="s">
        <v>116</v>
      </c>
      <c r="G107" s="63">
        <v>0.09</v>
      </c>
      <c r="H107" s="19"/>
      <c r="I107" s="19">
        <v>4.4690000000000003</v>
      </c>
      <c r="J107" s="21">
        <v>100</v>
      </c>
      <c r="M107" s="22">
        <f>ROUND(ROUND(J107, 2)*I107, 2)</f>
        <v>446.9</v>
      </c>
      <c r="P107" s="21">
        <v>100</v>
      </c>
      <c r="S107" s="22">
        <f>ROUND(ROUND(P107, 2)*I107, 2)</f>
        <v>446.9</v>
      </c>
      <c r="V107" s="9">
        <f>ROUND(ROUND(P107, 2)/1.2, 2)</f>
        <v>83.33</v>
      </c>
      <c r="Y107" s="9">
        <f t="shared" si="14"/>
        <v>372.42</v>
      </c>
      <c r="AD107" s="4" t="s">
        <v>484</v>
      </c>
      <c r="AE107" s="4" t="s">
        <v>485</v>
      </c>
      <c r="AF107" s="4" t="s">
        <v>486</v>
      </c>
    </row>
    <row r="108" spans="1:35" ht="18" hidden="1" x14ac:dyDescent="0.3">
      <c r="A108" s="10" t="s">
        <v>489</v>
      </c>
      <c r="B108" s="10" t="s">
        <v>468</v>
      </c>
      <c r="C108" s="11" t="s">
        <v>469</v>
      </c>
      <c r="D108" s="12"/>
      <c r="E108" s="12" t="s">
        <v>490</v>
      </c>
      <c r="F108" s="12" t="s">
        <v>87</v>
      </c>
      <c r="G108" s="13">
        <v>1</v>
      </c>
      <c r="H108" s="13"/>
      <c r="I108" s="13">
        <v>63.14</v>
      </c>
      <c r="J108" s="14">
        <f>IFERROR(ROUND(SUM(M109,M110,M111)/I108, 2),0)</f>
        <v>198.82</v>
      </c>
      <c r="K108" s="15">
        <v>200</v>
      </c>
      <c r="L108" s="14">
        <f>J108+ROUND(K108, 2)</f>
        <v>398.82</v>
      </c>
      <c r="M108" s="14">
        <f>ROUND(J108*I108, 2)</f>
        <v>12553.49</v>
      </c>
      <c r="N108" s="14">
        <f>ROUND(I108*ROUND(K108, 2), 2)</f>
        <v>12628</v>
      </c>
      <c r="O108" s="14">
        <f>M108+N108</f>
        <v>25181.489999999998</v>
      </c>
      <c r="P108" s="14">
        <f>IFERROR(ROUND(SUM(S109,S110,S111)/I108, 2),0)</f>
        <v>198.82</v>
      </c>
      <c r="Q108" s="16">
        <v>200</v>
      </c>
      <c r="R108" s="14">
        <f>P108+ROUND(Q108, 2)</f>
        <v>398.82</v>
      </c>
      <c r="S108" s="14">
        <f>ROUND(P108*I108, 2)</f>
        <v>12553.49</v>
      </c>
      <c r="T108" s="14">
        <f>ROUND(I108*ROUND(Q108, 2), 2)</f>
        <v>12628</v>
      </c>
      <c r="U108" s="14">
        <f>S108+T108</f>
        <v>25181.489999999998</v>
      </c>
      <c r="V108" s="9">
        <f>ROUND(P108 / 1.2, 2)</f>
        <v>165.68</v>
      </c>
      <c r="W108" s="9">
        <f>ROUND(Q108 / 1.2, 2)</f>
        <v>166.67</v>
      </c>
      <c r="X108" s="9">
        <f>ROUND(R108 / 1.2, 2)</f>
        <v>332.35</v>
      </c>
      <c r="Y108" s="9">
        <f t="shared" si="14"/>
        <v>10461.24</v>
      </c>
      <c r="Z108" s="9">
        <f>ROUND(T108 / 1.2, 2)</f>
        <v>10523.33</v>
      </c>
      <c r="AA108" s="9">
        <f>Y108+Z108</f>
        <v>20984.57</v>
      </c>
      <c r="AD108" s="4">
        <v>271132170</v>
      </c>
      <c r="AE108" s="4">
        <v>19812816</v>
      </c>
      <c r="AG108" s="4" t="s">
        <v>471</v>
      </c>
      <c r="AH108" s="4" t="s">
        <v>472</v>
      </c>
      <c r="AI108" s="4" t="s">
        <v>67</v>
      </c>
    </row>
    <row r="109" spans="1:35" ht="54" hidden="1" x14ac:dyDescent="0.3">
      <c r="A109" s="10" t="s">
        <v>491</v>
      </c>
      <c r="B109" s="10"/>
      <c r="C109" s="24" t="s">
        <v>482</v>
      </c>
      <c r="D109" s="12"/>
      <c r="E109" s="12" t="s">
        <v>483</v>
      </c>
      <c r="F109" s="18" t="s">
        <v>116</v>
      </c>
      <c r="G109" s="63">
        <v>0.09</v>
      </c>
      <c r="H109" s="19"/>
      <c r="I109" s="19">
        <v>5.6829999999999998</v>
      </c>
      <c r="J109" s="21">
        <v>100</v>
      </c>
      <c r="M109" s="22">
        <f>ROUND(ROUND(J109, 2)*I109, 2)</f>
        <v>568.29999999999995</v>
      </c>
      <c r="P109" s="23">
        <v>100</v>
      </c>
      <c r="S109" s="22">
        <f>ROUND(ROUND(P109, 2)*I109, 2)</f>
        <v>568.29999999999995</v>
      </c>
      <c r="V109" s="9">
        <f>ROUND(ROUND(P109, 2)/1.2, 2)</f>
        <v>83.33</v>
      </c>
      <c r="Y109" s="9">
        <f t="shared" si="14"/>
        <v>473.58</v>
      </c>
      <c r="AD109" s="4" t="s">
        <v>492</v>
      </c>
      <c r="AE109" s="4" t="s">
        <v>493</v>
      </c>
      <c r="AF109" s="4" t="s">
        <v>486</v>
      </c>
    </row>
    <row r="110" spans="1:35" ht="54" hidden="1" x14ac:dyDescent="0.3">
      <c r="A110" s="10" t="s">
        <v>494</v>
      </c>
      <c r="B110" s="10"/>
      <c r="C110" s="17" t="s">
        <v>475</v>
      </c>
      <c r="D110" s="12"/>
      <c r="E110" s="12" t="s">
        <v>495</v>
      </c>
      <c r="F110" s="18" t="s">
        <v>87</v>
      </c>
      <c r="G110" s="19">
        <v>1.05</v>
      </c>
      <c r="H110" s="20"/>
      <c r="I110" s="20">
        <v>49.591999999999999</v>
      </c>
      <c r="J110" s="21">
        <v>90.21</v>
      </c>
      <c r="M110" s="22">
        <f>ROUND(ROUND(J110, 2)*I110, 2)</f>
        <v>4473.6899999999996</v>
      </c>
      <c r="P110" s="23">
        <v>90.21</v>
      </c>
      <c r="S110" s="22">
        <f>ROUND(ROUND(P110, 2)*I110, 2)</f>
        <v>4473.6899999999996</v>
      </c>
      <c r="V110" s="9">
        <f>ROUND(ROUND(P110, 2)/1.2, 2)</f>
        <v>75.180000000000007</v>
      </c>
      <c r="Y110" s="9">
        <f t="shared" si="14"/>
        <v>3728.08</v>
      </c>
      <c r="AD110" s="4" t="s">
        <v>496</v>
      </c>
      <c r="AE110" s="4" t="s">
        <v>497</v>
      </c>
      <c r="AF110" s="4" t="s">
        <v>478</v>
      </c>
    </row>
    <row r="111" spans="1:35" ht="54" hidden="1" x14ac:dyDescent="0.3">
      <c r="A111" s="10" t="s">
        <v>498</v>
      </c>
      <c r="B111" s="10"/>
      <c r="C111" s="17" t="s">
        <v>499</v>
      </c>
      <c r="D111" s="12"/>
      <c r="E111" s="12" t="s">
        <v>500</v>
      </c>
      <c r="F111" s="18" t="s">
        <v>87</v>
      </c>
      <c r="G111" s="19">
        <v>1.1000000000000001</v>
      </c>
      <c r="H111" s="20"/>
      <c r="I111" s="20">
        <v>17.501000000000001</v>
      </c>
      <c r="J111" s="21">
        <v>429.22</v>
      </c>
      <c r="M111" s="22">
        <f>ROUND(ROUND(J111, 2)*I111, 2)</f>
        <v>7511.78</v>
      </c>
      <c r="P111" s="23">
        <v>429.22</v>
      </c>
      <c r="S111" s="22">
        <f>ROUND(ROUND(P111, 2)*I111, 2)</f>
        <v>7511.78</v>
      </c>
      <c r="V111" s="9">
        <f>ROUND(ROUND(P111, 2)/1.2, 2)</f>
        <v>357.68</v>
      </c>
      <c r="Y111" s="9">
        <f t="shared" si="14"/>
        <v>6259.82</v>
      </c>
      <c r="AD111" s="4" t="s">
        <v>501</v>
      </c>
      <c r="AE111" s="4" t="s">
        <v>502</v>
      </c>
      <c r="AF111" s="4" t="s">
        <v>503</v>
      </c>
    </row>
    <row r="112" spans="1:35" ht="54" hidden="1" x14ac:dyDescent="0.3">
      <c r="A112" s="10" t="s">
        <v>504</v>
      </c>
      <c r="B112" s="10" t="s">
        <v>505</v>
      </c>
      <c r="C112" s="11" t="s">
        <v>506</v>
      </c>
      <c r="D112" s="12"/>
      <c r="E112" s="12" t="s">
        <v>507</v>
      </c>
      <c r="F112" s="12" t="s">
        <v>87</v>
      </c>
      <c r="G112" s="13">
        <v>1</v>
      </c>
      <c r="H112" s="13"/>
      <c r="I112" s="13">
        <v>0</v>
      </c>
      <c r="J112" s="14">
        <f>IFERROR(ROUND(SUM(M113,M114,M115)/I112, 2),0)</f>
        <v>0</v>
      </c>
      <c r="K112" s="15">
        <v>374</v>
      </c>
      <c r="L112" s="14">
        <f>J112+ROUND(K112, 2)</f>
        <v>374</v>
      </c>
      <c r="M112" s="14">
        <f>ROUND(J112*I112, 2)</f>
        <v>0</v>
      </c>
      <c r="N112" s="14">
        <f>ROUND(I112*ROUND(K112, 2), 2)</f>
        <v>0</v>
      </c>
      <c r="O112" s="14">
        <f>M112+N112</f>
        <v>0</v>
      </c>
      <c r="P112" s="14">
        <f>IFERROR(ROUND(SUM(S113,S114,S115)/I112, 2),0)</f>
        <v>0</v>
      </c>
      <c r="Q112" s="15">
        <v>374</v>
      </c>
      <c r="R112" s="14">
        <f>P112+ROUND(Q112, 2)</f>
        <v>374</v>
      </c>
      <c r="S112" s="14">
        <f>ROUND(P112*I112, 2)</f>
        <v>0</v>
      </c>
      <c r="T112" s="14">
        <f>ROUND(I112*ROUND(Q112, 2), 2)</f>
        <v>0</v>
      </c>
      <c r="U112" s="14">
        <f>S112+T112</f>
        <v>0</v>
      </c>
      <c r="V112" s="9">
        <f>ROUND(P112 / 1.2, 2)</f>
        <v>0</v>
      </c>
      <c r="W112" s="9">
        <f>ROUND(Q112 / 1.2, 2)</f>
        <v>311.67</v>
      </c>
      <c r="X112" s="9">
        <f>ROUND(R112 / 1.2, 2)</f>
        <v>311.67</v>
      </c>
      <c r="Y112" s="9">
        <f t="shared" si="14"/>
        <v>0</v>
      </c>
      <c r="Z112" s="9">
        <f>ROUND(T112 / 1.2, 2)</f>
        <v>0</v>
      </c>
      <c r="AA112" s="9">
        <f>Y112+Z112</f>
        <v>0</v>
      </c>
      <c r="AD112" s="4">
        <v>271132082</v>
      </c>
      <c r="AE112" s="4">
        <v>16293721</v>
      </c>
      <c r="AG112" s="4" t="s">
        <v>508</v>
      </c>
      <c r="AH112" s="4" t="s">
        <v>509</v>
      </c>
      <c r="AI112" s="4" t="s">
        <v>67</v>
      </c>
    </row>
    <row r="113" spans="1:35" ht="72" hidden="1" x14ac:dyDescent="0.3">
      <c r="A113" s="10" t="s">
        <v>511</v>
      </c>
      <c r="B113" s="10"/>
      <c r="C113" s="17" t="s">
        <v>512</v>
      </c>
      <c r="D113" s="12"/>
      <c r="E113" s="12" t="s">
        <v>513</v>
      </c>
      <c r="F113" s="18" t="s">
        <v>64</v>
      </c>
      <c r="G113" s="19">
        <v>0.11</v>
      </c>
      <c r="H113" s="19"/>
      <c r="I113" s="19">
        <v>0</v>
      </c>
      <c r="J113" s="21">
        <v>850</v>
      </c>
      <c r="M113" s="22">
        <f>ROUND(ROUND(J113, 2)*I113, 2)</f>
        <v>0</v>
      </c>
      <c r="P113" s="21">
        <v>850</v>
      </c>
      <c r="S113" s="22">
        <f>ROUND(ROUND(P113, 2)*I113, 2)</f>
        <v>0</v>
      </c>
      <c r="V113" s="9">
        <f>ROUND(ROUND(P113, 2)/1.2, 2)</f>
        <v>708.33</v>
      </c>
      <c r="Y113" s="9">
        <f t="shared" si="14"/>
        <v>0</v>
      </c>
      <c r="AD113" s="4" t="s">
        <v>514</v>
      </c>
      <c r="AE113" s="4" t="s">
        <v>515</v>
      </c>
      <c r="AF113" s="4" t="s">
        <v>516</v>
      </c>
    </row>
    <row r="114" spans="1:35" ht="36" hidden="1" x14ac:dyDescent="0.3">
      <c r="A114" s="10" t="s">
        <v>520</v>
      </c>
      <c r="B114" s="10"/>
      <c r="C114" s="24" t="s">
        <v>426</v>
      </c>
      <c r="D114" s="12"/>
      <c r="E114" s="12"/>
      <c r="F114" s="18" t="s">
        <v>70</v>
      </c>
      <c r="G114" s="19">
        <v>0.04</v>
      </c>
      <c r="H114" s="19"/>
      <c r="I114" s="19">
        <v>0</v>
      </c>
      <c r="J114" s="21">
        <v>40.270000000000003</v>
      </c>
      <c r="M114" s="22">
        <f>ROUND(ROUND(J114, 2)*I114, 2)</f>
        <v>0</v>
      </c>
      <c r="P114" s="21">
        <v>40.270000000000003</v>
      </c>
      <c r="S114" s="22">
        <f>ROUND(ROUND(P114, 2)*I114, 2)</f>
        <v>0</v>
      </c>
      <c r="V114" s="9">
        <f>ROUND(ROUND(P114, 2)/1.2, 2)</f>
        <v>33.56</v>
      </c>
      <c r="Y114" s="9">
        <f t="shared" si="14"/>
        <v>0</v>
      </c>
      <c r="AD114" s="4" t="s">
        <v>521</v>
      </c>
      <c r="AE114" s="4" t="s">
        <v>522</v>
      </c>
      <c r="AF114" s="4" t="s">
        <v>429</v>
      </c>
    </row>
    <row r="115" spans="1:35" ht="36" hidden="1" x14ac:dyDescent="0.3">
      <c r="A115" s="10" t="s">
        <v>525</v>
      </c>
      <c r="B115" s="10"/>
      <c r="C115" s="24" t="s">
        <v>433</v>
      </c>
      <c r="D115" s="12"/>
      <c r="E115" s="12"/>
      <c r="F115" s="18" t="s">
        <v>70</v>
      </c>
      <c r="G115" s="19">
        <v>1.4999999999999999E-2</v>
      </c>
      <c r="H115" s="19"/>
      <c r="I115" s="19">
        <v>0</v>
      </c>
      <c r="J115" s="21">
        <v>88.8</v>
      </c>
      <c r="M115" s="22">
        <f>ROUND(ROUND(J115, 2)*I115, 2)</f>
        <v>0</v>
      </c>
      <c r="P115" s="21">
        <v>88.8</v>
      </c>
      <c r="S115" s="22">
        <f>ROUND(ROUND(P115, 2)*I115, 2)</f>
        <v>0</v>
      </c>
      <c r="V115" s="9">
        <f>ROUND(ROUND(P115, 2)/1.2, 2)</f>
        <v>74</v>
      </c>
      <c r="Y115" s="9">
        <f t="shared" si="14"/>
        <v>0</v>
      </c>
      <c r="AD115" s="4" t="s">
        <v>526</v>
      </c>
      <c r="AE115" s="4" t="s">
        <v>527</v>
      </c>
      <c r="AF115" s="4" t="s">
        <v>436</v>
      </c>
    </row>
    <row r="116" spans="1:35" ht="36" hidden="1" x14ac:dyDescent="0.3">
      <c r="A116" s="10" t="s">
        <v>530</v>
      </c>
      <c r="B116" s="10" t="s">
        <v>531</v>
      </c>
      <c r="C116" s="11" t="s">
        <v>532</v>
      </c>
      <c r="D116" s="12"/>
      <c r="E116" s="12" t="s">
        <v>533</v>
      </c>
      <c r="F116" s="12" t="s">
        <v>87</v>
      </c>
      <c r="G116" s="13">
        <v>1</v>
      </c>
      <c r="H116" s="13"/>
      <c r="I116" s="13">
        <v>0</v>
      </c>
      <c r="J116" s="14">
        <f>IFERROR(ROUND(SUM(M117,M118)/I116, 2),0)</f>
        <v>0</v>
      </c>
      <c r="K116" s="15">
        <v>156</v>
      </c>
      <c r="L116" s="14">
        <f>J116+ROUND(K116, 2)</f>
        <v>156</v>
      </c>
      <c r="M116" s="14">
        <f>ROUND(J116*I116, 2)</f>
        <v>0</v>
      </c>
      <c r="N116" s="14">
        <f>ROUND(I116*ROUND(K116, 2), 2)</f>
        <v>0</v>
      </c>
      <c r="O116" s="14">
        <f>M116+N116</f>
        <v>0</v>
      </c>
      <c r="P116" s="14">
        <f>IFERROR(ROUND(SUM(S117,S118)/I116, 2),0)</f>
        <v>0</v>
      </c>
      <c r="Q116" s="15">
        <v>156</v>
      </c>
      <c r="R116" s="14">
        <f>P116+ROUND(Q116, 2)</f>
        <v>156</v>
      </c>
      <c r="S116" s="14">
        <f>ROUND(P116*I116, 2)</f>
        <v>0</v>
      </c>
      <c r="T116" s="14">
        <f>ROUND(I116*ROUND(Q116, 2), 2)</f>
        <v>0</v>
      </c>
      <c r="U116" s="14">
        <f>S116+T116</f>
        <v>0</v>
      </c>
      <c r="V116" s="9">
        <f>ROUND(P116 / 1.2, 2)</f>
        <v>0</v>
      </c>
      <c r="W116" s="9">
        <f>ROUND(Q116 / 1.2, 2)</f>
        <v>130</v>
      </c>
      <c r="X116" s="9">
        <f>ROUND(R116 / 1.2, 2)</f>
        <v>130</v>
      </c>
      <c r="Y116" s="9">
        <f t="shared" si="14"/>
        <v>0</v>
      </c>
      <c r="Z116" s="9">
        <f>ROUND(T116 / 1.2, 2)</f>
        <v>0</v>
      </c>
      <c r="AA116" s="9">
        <f>Y116+Z116</f>
        <v>0</v>
      </c>
      <c r="AD116" s="4">
        <v>271132084</v>
      </c>
      <c r="AE116" s="4">
        <v>16293719</v>
      </c>
      <c r="AG116" s="4" t="s">
        <v>534</v>
      </c>
      <c r="AH116" s="4" t="s">
        <v>535</v>
      </c>
      <c r="AI116" s="4" t="s">
        <v>67</v>
      </c>
    </row>
    <row r="117" spans="1:35" ht="54" hidden="1" x14ac:dyDescent="0.3">
      <c r="A117" s="10" t="s">
        <v>537</v>
      </c>
      <c r="B117" s="10"/>
      <c r="C117" s="24" t="s">
        <v>538</v>
      </c>
      <c r="D117" s="12"/>
      <c r="E117" s="12" t="s">
        <v>539</v>
      </c>
      <c r="F117" s="18" t="s">
        <v>87</v>
      </c>
      <c r="G117" s="19">
        <v>1</v>
      </c>
      <c r="H117" s="20"/>
      <c r="I117" s="20">
        <v>0</v>
      </c>
      <c r="J117" s="21">
        <v>172.74</v>
      </c>
      <c r="M117" s="22">
        <f>ROUND(ROUND(J117, 2)*I117, 2)</f>
        <v>0</v>
      </c>
      <c r="P117" s="21">
        <v>172.74</v>
      </c>
      <c r="S117" s="22">
        <f>ROUND(ROUND(P117, 2)*I117, 2)</f>
        <v>0</v>
      </c>
      <c r="V117" s="9">
        <f>ROUND(ROUND(P117, 2)/1.2, 2)</f>
        <v>143.94999999999999</v>
      </c>
      <c r="Y117" s="9">
        <f t="shared" si="14"/>
        <v>0</v>
      </c>
      <c r="AD117" s="4" t="s">
        <v>540</v>
      </c>
      <c r="AE117" s="4" t="s">
        <v>541</v>
      </c>
      <c r="AF117" s="4" t="s">
        <v>542</v>
      </c>
    </row>
    <row r="118" spans="1:35" ht="54" hidden="1" x14ac:dyDescent="0.3">
      <c r="A118" s="10" t="s">
        <v>545</v>
      </c>
      <c r="B118" s="10"/>
      <c r="C118" s="24" t="s">
        <v>482</v>
      </c>
      <c r="D118" s="12"/>
      <c r="E118" s="12" t="s">
        <v>483</v>
      </c>
      <c r="F118" s="18" t="s">
        <v>116</v>
      </c>
      <c r="G118" s="19">
        <v>0.09</v>
      </c>
      <c r="H118" s="20"/>
      <c r="I118" s="20">
        <v>0</v>
      </c>
      <c r="J118" s="21">
        <v>100</v>
      </c>
      <c r="M118" s="22">
        <f>ROUND(ROUND(J118, 2)*I118, 2)</f>
        <v>0</v>
      </c>
      <c r="P118" s="21">
        <v>100</v>
      </c>
      <c r="S118" s="22">
        <f>ROUND(ROUND(P118, 2)*I118, 2)</f>
        <v>0</v>
      </c>
      <c r="V118" s="9">
        <f>ROUND(ROUND(P118, 2)/1.2, 2)</f>
        <v>83.33</v>
      </c>
      <c r="Y118" s="9">
        <f t="shared" si="14"/>
        <v>0</v>
      </c>
      <c r="AD118" s="4" t="s">
        <v>546</v>
      </c>
      <c r="AE118" s="4" t="s">
        <v>547</v>
      </c>
      <c r="AF118" s="4" t="s">
        <v>486</v>
      </c>
    </row>
    <row r="119" spans="1:35" ht="36" hidden="1" x14ac:dyDescent="0.3">
      <c r="A119" s="10" t="s">
        <v>550</v>
      </c>
      <c r="B119" s="10" t="s">
        <v>551</v>
      </c>
      <c r="C119" s="11" t="s">
        <v>552</v>
      </c>
      <c r="D119" s="12"/>
      <c r="E119" s="12" t="s">
        <v>63</v>
      </c>
      <c r="F119" s="12" t="s">
        <v>64</v>
      </c>
      <c r="G119" s="13">
        <v>1</v>
      </c>
      <c r="H119" s="13"/>
      <c r="I119" s="13">
        <v>3721.92</v>
      </c>
      <c r="J119" s="14">
        <f>IFERROR(ROUND(SUM(M120,M121)/I119, 2),0)</f>
        <v>0</v>
      </c>
      <c r="K119" s="15">
        <v>661</v>
      </c>
      <c r="L119" s="14">
        <f>J119+ROUND(K119, 2)</f>
        <v>661</v>
      </c>
      <c r="M119" s="14">
        <f>ROUND(J119*I119, 2)</f>
        <v>0</v>
      </c>
      <c r="N119" s="14">
        <f>ROUND(I119*ROUND(K119, 2), 2)</f>
        <v>2460189.12</v>
      </c>
      <c r="O119" s="14">
        <f>M119+N119</f>
        <v>2460189.12</v>
      </c>
      <c r="P119" s="14">
        <f>IFERROR(ROUND(SUM(S120,S121)/I119, 2),0)</f>
        <v>2064.19</v>
      </c>
      <c r="Q119" s="15">
        <v>661</v>
      </c>
      <c r="R119" s="14">
        <f>P119+ROUND(Q119, 2)</f>
        <v>2725.19</v>
      </c>
      <c r="S119" s="14">
        <f>ROUND(P119*I119, 2)</f>
        <v>7682750.04</v>
      </c>
      <c r="T119" s="14">
        <f>ROUND(I119*ROUND(Q119, 2), 2)</f>
        <v>2460189.12</v>
      </c>
      <c r="U119" s="14">
        <f>S119+T119</f>
        <v>10142939.16</v>
      </c>
      <c r="V119" s="9">
        <f>ROUND(P119 / 1.2, 2)</f>
        <v>1720.16</v>
      </c>
      <c r="W119" s="9">
        <f>ROUND(Q119 / 1.2, 2)</f>
        <v>550.83000000000004</v>
      </c>
      <c r="X119" s="9">
        <f>ROUND(R119 / 1.2, 2)</f>
        <v>2270.9899999999998</v>
      </c>
      <c r="Y119" s="9">
        <f t="shared" si="14"/>
        <v>6402291.7000000002</v>
      </c>
      <c r="Z119" s="9">
        <f>ROUND(T119 / 1.2, 2)</f>
        <v>2050157.6</v>
      </c>
      <c r="AA119" s="9">
        <f>Y119+Z119</f>
        <v>8452449.3000000007</v>
      </c>
      <c r="AD119" s="4">
        <v>271132086</v>
      </c>
      <c r="AE119" s="4">
        <v>16296636</v>
      </c>
      <c r="AG119" s="4" t="s">
        <v>553</v>
      </c>
      <c r="AH119" s="4" t="s">
        <v>554</v>
      </c>
      <c r="AI119" s="4" t="s">
        <v>67</v>
      </c>
    </row>
    <row r="120" spans="1:35" ht="90" hidden="1" x14ac:dyDescent="0.3">
      <c r="A120" s="10" t="s">
        <v>556</v>
      </c>
      <c r="B120" s="10"/>
      <c r="C120" s="24" t="s">
        <v>557</v>
      </c>
      <c r="D120" s="12"/>
      <c r="E120" s="12" t="s">
        <v>558</v>
      </c>
      <c r="F120" s="18" t="s">
        <v>116</v>
      </c>
      <c r="G120" s="19">
        <v>1</v>
      </c>
      <c r="H120" s="20"/>
      <c r="I120" s="20">
        <v>433.65600000000001</v>
      </c>
      <c r="J120" s="21">
        <v>0</v>
      </c>
      <c r="M120" s="22">
        <f>ROUND(ROUND(J120, 2)*I120, 2)</f>
        <v>0</v>
      </c>
      <c r="P120" s="21">
        <v>4456</v>
      </c>
      <c r="S120" s="22">
        <f>ROUND(ROUND(P120, 2)*I120, 2)</f>
        <v>1932371.14</v>
      </c>
      <c r="V120" s="9">
        <f>ROUND(ROUND(P120, 2)/1.2, 2)</f>
        <v>3713.33</v>
      </c>
      <c r="Y120" s="9">
        <f t="shared" si="14"/>
        <v>1610309.28</v>
      </c>
      <c r="AD120" s="4" t="s">
        <v>559</v>
      </c>
      <c r="AE120" s="4" t="s">
        <v>560</v>
      </c>
      <c r="AF120" s="4" t="s">
        <v>561</v>
      </c>
    </row>
    <row r="121" spans="1:35" ht="90" hidden="1" x14ac:dyDescent="0.3">
      <c r="A121" s="10" t="s">
        <v>564</v>
      </c>
      <c r="B121" s="10"/>
      <c r="C121" s="24" t="s">
        <v>565</v>
      </c>
      <c r="D121" s="12"/>
      <c r="E121" s="12" t="s">
        <v>566</v>
      </c>
      <c r="F121" s="18" t="s">
        <v>64</v>
      </c>
      <c r="G121" s="19">
        <v>1.03</v>
      </c>
      <c r="H121" s="20"/>
      <c r="I121" s="20">
        <v>3833.578</v>
      </c>
      <c r="J121" s="21">
        <v>0</v>
      </c>
      <c r="M121" s="22">
        <f>ROUND(ROUND(J121, 2)*I121, 2)</f>
        <v>0</v>
      </c>
      <c r="P121" s="21">
        <v>1500</v>
      </c>
      <c r="S121" s="22">
        <f>ROUND(ROUND(P121, 2)*I121, 2)</f>
        <v>5750367</v>
      </c>
      <c r="V121" s="9">
        <f>ROUND(ROUND(P121, 2)/1.2, 2)</f>
        <v>1250</v>
      </c>
      <c r="Y121" s="9">
        <f t="shared" si="14"/>
        <v>4791972.5</v>
      </c>
      <c r="AD121" s="4" t="s">
        <v>567</v>
      </c>
      <c r="AE121" s="4" t="s">
        <v>568</v>
      </c>
      <c r="AF121" s="4" t="s">
        <v>569</v>
      </c>
    </row>
    <row r="122" spans="1:35" ht="36" hidden="1" x14ac:dyDescent="0.3">
      <c r="A122" s="10" t="s">
        <v>572</v>
      </c>
      <c r="B122" s="10" t="s">
        <v>551</v>
      </c>
      <c r="C122" s="11" t="s">
        <v>552</v>
      </c>
      <c r="D122" s="12"/>
      <c r="E122" s="12" t="s">
        <v>81</v>
      </c>
      <c r="F122" s="12" t="s">
        <v>64</v>
      </c>
      <c r="G122" s="13">
        <v>1</v>
      </c>
      <c r="H122" s="13"/>
      <c r="I122" s="13">
        <v>3457.16</v>
      </c>
      <c r="J122" s="14">
        <f>IFERROR(ROUND(SUM(M123,M124)/I122, 2),0)</f>
        <v>0</v>
      </c>
      <c r="K122" s="15">
        <v>661</v>
      </c>
      <c r="L122" s="14">
        <f>J122+ROUND(K122, 2)</f>
        <v>661</v>
      </c>
      <c r="M122" s="14">
        <f>ROUND(J122*I122, 2)</f>
        <v>0</v>
      </c>
      <c r="N122" s="14">
        <f>ROUND(I122*ROUND(K122, 2), 2)</f>
        <v>2285182.7599999998</v>
      </c>
      <c r="O122" s="14">
        <f>M122+N122</f>
        <v>2285182.7599999998</v>
      </c>
      <c r="P122" s="14">
        <f>IFERROR(ROUND(SUM(S123,S124)/I122, 2),0)</f>
        <v>0</v>
      </c>
      <c r="Q122" s="16">
        <v>661</v>
      </c>
      <c r="R122" s="14">
        <f>P122+ROUND(Q122, 2)</f>
        <v>661</v>
      </c>
      <c r="S122" s="14">
        <f>ROUND(P122*I122, 2)</f>
        <v>0</v>
      </c>
      <c r="T122" s="14">
        <f>ROUND(I122*ROUND(Q122, 2), 2)</f>
        <v>2285182.7599999998</v>
      </c>
      <c r="U122" s="14">
        <f>S122+T122</f>
        <v>2285182.7599999998</v>
      </c>
      <c r="V122" s="9">
        <f>ROUND(P122 / 1.2, 2)</f>
        <v>0</v>
      </c>
      <c r="W122" s="9">
        <f>ROUND(Q122 / 1.2, 2)</f>
        <v>550.83000000000004</v>
      </c>
      <c r="X122" s="9">
        <f>ROUND(R122 / 1.2, 2)</f>
        <v>550.83000000000004</v>
      </c>
      <c r="Y122" s="9">
        <f t="shared" si="14"/>
        <v>0</v>
      </c>
      <c r="Z122" s="9">
        <f>ROUND(T122 / 1.2, 2)</f>
        <v>1904318.97</v>
      </c>
      <c r="AA122" s="9">
        <f>Y122+Z122</f>
        <v>1904318.97</v>
      </c>
      <c r="AD122" s="4">
        <v>271132171</v>
      </c>
      <c r="AE122" s="4">
        <v>19813231</v>
      </c>
      <c r="AG122" s="4" t="s">
        <v>553</v>
      </c>
      <c r="AH122" s="4" t="s">
        <v>554</v>
      </c>
      <c r="AI122" s="4" t="s">
        <v>67</v>
      </c>
    </row>
    <row r="123" spans="1:35" ht="90" hidden="1" x14ac:dyDescent="0.3">
      <c r="A123" s="10" t="s">
        <v>573</v>
      </c>
      <c r="B123" s="10"/>
      <c r="C123" s="24" t="s">
        <v>565</v>
      </c>
      <c r="D123" s="12"/>
      <c r="E123" s="12" t="s">
        <v>574</v>
      </c>
      <c r="F123" s="18" t="s">
        <v>64</v>
      </c>
      <c r="G123" s="19">
        <v>1.03</v>
      </c>
      <c r="H123" s="20"/>
      <c r="I123" s="20">
        <v>3560.875</v>
      </c>
      <c r="J123" s="21">
        <v>0</v>
      </c>
      <c r="M123" s="22">
        <f>ROUND(ROUND(J123, 2)*I123, 2)</f>
        <v>0</v>
      </c>
      <c r="P123" s="23">
        <v>0</v>
      </c>
      <c r="S123" s="22">
        <f>ROUND(ROUND(P123, 2)*I123, 2)</f>
        <v>0</v>
      </c>
      <c r="V123" s="9">
        <f>ROUND(ROUND(P123, 2)/1.2, 2)</f>
        <v>0</v>
      </c>
      <c r="Y123" s="9">
        <f t="shared" si="14"/>
        <v>0</v>
      </c>
      <c r="AD123" s="4" t="s">
        <v>575</v>
      </c>
      <c r="AE123" s="4" t="s">
        <v>576</v>
      </c>
      <c r="AF123" s="4" t="s">
        <v>569</v>
      </c>
    </row>
    <row r="124" spans="1:35" ht="90" hidden="1" x14ac:dyDescent="0.3">
      <c r="A124" s="10" t="s">
        <v>577</v>
      </c>
      <c r="B124" s="10"/>
      <c r="C124" s="24" t="s">
        <v>557</v>
      </c>
      <c r="D124" s="12"/>
      <c r="E124" s="12" t="s">
        <v>558</v>
      </c>
      <c r="F124" s="18" t="s">
        <v>116</v>
      </c>
      <c r="G124" s="19">
        <v>1</v>
      </c>
      <c r="H124" s="20"/>
      <c r="I124" s="20">
        <v>408</v>
      </c>
      <c r="J124" s="21">
        <v>0</v>
      </c>
      <c r="M124" s="22">
        <f>ROUND(ROUND(J124, 2)*I124, 2)</f>
        <v>0</v>
      </c>
      <c r="P124" s="23">
        <v>0</v>
      </c>
      <c r="S124" s="22">
        <f>ROUND(ROUND(P124, 2)*I124, 2)</f>
        <v>0</v>
      </c>
      <c r="V124" s="9">
        <f>ROUND(ROUND(P124, 2)/1.2, 2)</f>
        <v>0</v>
      </c>
      <c r="Y124" s="9">
        <f t="shared" si="14"/>
        <v>0</v>
      </c>
      <c r="AD124" s="4" t="s">
        <v>578</v>
      </c>
      <c r="AE124" s="4" t="s">
        <v>579</v>
      </c>
      <c r="AF124" s="4" t="s">
        <v>561</v>
      </c>
    </row>
    <row r="125" spans="1:35" ht="36" hidden="1" x14ac:dyDescent="0.3">
      <c r="A125" s="10" t="s">
        <v>580</v>
      </c>
      <c r="B125" s="10" t="s">
        <v>581</v>
      </c>
      <c r="C125" s="11" t="s">
        <v>582</v>
      </c>
      <c r="D125" s="12"/>
      <c r="E125" s="12" t="s">
        <v>583</v>
      </c>
      <c r="F125" s="12" t="s">
        <v>87</v>
      </c>
      <c r="G125" s="13">
        <v>1</v>
      </c>
      <c r="H125" s="13"/>
      <c r="I125" s="13">
        <v>1560.93</v>
      </c>
      <c r="J125" s="14">
        <f>IFERROR(ROUND(SUM(M126)/I125, 2),0)</f>
        <v>379.23</v>
      </c>
      <c r="K125" s="15">
        <v>210</v>
      </c>
      <c r="L125" s="14">
        <f>J125+ROUND(K125, 2)</f>
        <v>589.23</v>
      </c>
      <c r="M125" s="14">
        <f>ROUND(J125*I125, 2)</f>
        <v>591951.48</v>
      </c>
      <c r="N125" s="14">
        <f>ROUND(I125*ROUND(K125, 2), 2)</f>
        <v>327795.3</v>
      </c>
      <c r="O125" s="14">
        <f>M125+N125</f>
        <v>919746.78</v>
      </c>
      <c r="P125" s="14">
        <f>IFERROR(ROUND(SUM(S126)/I125, 2),0)</f>
        <v>379.23</v>
      </c>
      <c r="Q125" s="16">
        <v>210</v>
      </c>
      <c r="R125" s="14">
        <f>P125+ROUND(Q125, 2)</f>
        <v>589.23</v>
      </c>
      <c r="S125" s="14">
        <f>ROUND(P125*I125, 2)</f>
        <v>591951.48</v>
      </c>
      <c r="T125" s="14">
        <f>ROUND(I125*ROUND(Q125, 2), 2)</f>
        <v>327795.3</v>
      </c>
      <c r="U125" s="14">
        <f>S125+T125</f>
        <v>919746.78</v>
      </c>
      <c r="V125" s="9">
        <f>ROUND(P125 / 1.2, 2)</f>
        <v>316.02999999999997</v>
      </c>
      <c r="W125" s="9">
        <f>ROUND(Q125 / 1.2, 2)</f>
        <v>175</v>
      </c>
      <c r="X125" s="9">
        <f>ROUND(R125 / 1.2, 2)</f>
        <v>491.03</v>
      </c>
      <c r="Y125" s="9">
        <f t="shared" si="14"/>
        <v>493292.9</v>
      </c>
      <c r="Z125" s="9">
        <f>ROUND(T125 / 1.2, 2)</f>
        <v>273162.75</v>
      </c>
      <c r="AA125" s="9">
        <f>Y125+Z125</f>
        <v>766455.65</v>
      </c>
      <c r="AD125" s="4">
        <v>271132088</v>
      </c>
      <c r="AE125" s="4">
        <v>19813576</v>
      </c>
      <c r="AG125" s="4" t="s">
        <v>584</v>
      </c>
      <c r="AH125" s="4" t="s">
        <v>585</v>
      </c>
      <c r="AI125" s="4" t="s">
        <v>67</v>
      </c>
    </row>
    <row r="126" spans="1:35" ht="72" hidden="1" x14ac:dyDescent="0.3">
      <c r="A126" s="10" t="s">
        <v>586</v>
      </c>
      <c r="B126" s="10"/>
      <c r="C126" s="24" t="s">
        <v>587</v>
      </c>
      <c r="D126" s="12"/>
      <c r="E126" s="12"/>
      <c r="F126" s="18" t="s">
        <v>87</v>
      </c>
      <c r="G126" s="19">
        <v>1.1000000000000001</v>
      </c>
      <c r="H126" s="20"/>
      <c r="I126" s="20">
        <v>1717.0229999999999</v>
      </c>
      <c r="J126" s="21">
        <v>344.75</v>
      </c>
      <c r="M126" s="22">
        <f>ROUND(ROUND(J126, 2)*I126, 2)</f>
        <v>591943.68000000005</v>
      </c>
      <c r="P126" s="23">
        <v>344.75</v>
      </c>
      <c r="S126" s="22">
        <f>ROUND(ROUND(P126, 2)*I126, 2)</f>
        <v>591943.68000000005</v>
      </c>
      <c r="V126" s="9">
        <f>ROUND(ROUND(P126, 2)/1.2, 2)</f>
        <v>287.29000000000002</v>
      </c>
      <c r="Y126" s="9">
        <f t="shared" si="14"/>
        <v>493286.40000000002</v>
      </c>
      <c r="AD126" s="4" t="s">
        <v>588</v>
      </c>
      <c r="AE126" s="4" t="s">
        <v>589</v>
      </c>
      <c r="AF126" s="4" t="s">
        <v>590</v>
      </c>
    </row>
    <row r="127" spans="1:35" ht="36" hidden="1" x14ac:dyDescent="0.3">
      <c r="A127" s="10" t="s">
        <v>591</v>
      </c>
      <c r="B127" s="10" t="s">
        <v>581</v>
      </c>
      <c r="C127" s="11" t="s">
        <v>582</v>
      </c>
      <c r="D127" s="12"/>
      <c r="E127" s="12" t="s">
        <v>533</v>
      </c>
      <c r="F127" s="12" t="s">
        <v>87</v>
      </c>
      <c r="G127" s="13">
        <v>1</v>
      </c>
      <c r="H127" s="13"/>
      <c r="I127" s="13">
        <v>1769.72</v>
      </c>
      <c r="J127" s="14">
        <f>IFERROR(ROUND(SUM(M128)/I127, 2),0)</f>
        <v>379.23</v>
      </c>
      <c r="K127" s="15">
        <v>210</v>
      </c>
      <c r="L127" s="14">
        <f>J127+ROUND(K127, 2)</f>
        <v>589.23</v>
      </c>
      <c r="M127" s="14">
        <f>ROUND(J127*I127, 2)</f>
        <v>671130.92</v>
      </c>
      <c r="N127" s="14">
        <f>ROUND(I127*ROUND(K127, 2), 2)</f>
        <v>371641.2</v>
      </c>
      <c r="O127" s="14">
        <f>M127+N127</f>
        <v>1042772.1200000001</v>
      </c>
      <c r="P127" s="14">
        <f>IFERROR(ROUND(SUM(S128)/I127, 2),0)</f>
        <v>379.23</v>
      </c>
      <c r="Q127" s="16">
        <v>210</v>
      </c>
      <c r="R127" s="14">
        <f>P127+ROUND(Q127, 2)</f>
        <v>589.23</v>
      </c>
      <c r="S127" s="14">
        <f>ROUND(P127*I127, 2)</f>
        <v>671130.92</v>
      </c>
      <c r="T127" s="14">
        <f>ROUND(I127*ROUND(Q127, 2), 2)</f>
        <v>371641.2</v>
      </c>
      <c r="U127" s="14">
        <f>S127+T127</f>
        <v>1042772.1200000001</v>
      </c>
      <c r="V127" s="9">
        <f>ROUND(P127 / 1.2, 2)</f>
        <v>316.02999999999997</v>
      </c>
      <c r="W127" s="9">
        <f>ROUND(Q127 / 1.2, 2)</f>
        <v>175</v>
      </c>
      <c r="X127" s="9">
        <f>ROUND(R127 / 1.2, 2)</f>
        <v>491.03</v>
      </c>
      <c r="Y127" s="9">
        <f t="shared" si="14"/>
        <v>559275.77</v>
      </c>
      <c r="Z127" s="9">
        <f>ROUND(T127 / 1.2, 2)</f>
        <v>309701</v>
      </c>
      <c r="AA127" s="9">
        <f>Y127+Z127</f>
        <v>868976.77</v>
      </c>
      <c r="AD127" s="4">
        <v>271132172</v>
      </c>
      <c r="AE127" s="4">
        <v>19971569</v>
      </c>
      <c r="AG127" s="4" t="s">
        <v>584</v>
      </c>
      <c r="AH127" s="4" t="s">
        <v>585</v>
      </c>
      <c r="AI127" s="4" t="s">
        <v>67</v>
      </c>
    </row>
    <row r="128" spans="1:35" ht="72" hidden="1" x14ac:dyDescent="0.3">
      <c r="A128" s="10" t="s">
        <v>592</v>
      </c>
      <c r="B128" s="10"/>
      <c r="C128" s="24" t="s">
        <v>587</v>
      </c>
      <c r="D128" s="12"/>
      <c r="E128" s="12"/>
      <c r="F128" s="18" t="s">
        <v>87</v>
      </c>
      <c r="G128" s="19">
        <v>1.1000000000000001</v>
      </c>
      <c r="H128" s="20"/>
      <c r="I128" s="20">
        <v>1946.692</v>
      </c>
      <c r="J128" s="21">
        <v>344.75</v>
      </c>
      <c r="M128" s="22">
        <f>ROUND(ROUND(J128, 2)*I128, 2)</f>
        <v>671122.07</v>
      </c>
      <c r="P128" s="23">
        <v>344.75</v>
      </c>
      <c r="S128" s="22">
        <f>ROUND(ROUND(P128, 2)*I128, 2)</f>
        <v>671122.07</v>
      </c>
      <c r="V128" s="9">
        <f>ROUND(ROUND(P128, 2)/1.2, 2)</f>
        <v>287.29000000000002</v>
      </c>
      <c r="Y128" s="9">
        <f t="shared" si="14"/>
        <v>559268.39</v>
      </c>
      <c r="AD128" s="4" t="s">
        <v>593</v>
      </c>
      <c r="AE128" s="4" t="s">
        <v>594</v>
      </c>
      <c r="AF128" s="4" t="s">
        <v>590</v>
      </c>
    </row>
    <row r="129" spans="1:35" ht="36" hidden="1" x14ac:dyDescent="0.3">
      <c r="A129" s="10" t="s">
        <v>595</v>
      </c>
      <c r="B129" s="10" t="s">
        <v>596</v>
      </c>
      <c r="C129" s="11" t="s">
        <v>597</v>
      </c>
      <c r="D129" s="12"/>
      <c r="E129" s="12" t="s">
        <v>81</v>
      </c>
      <c r="F129" s="12" t="s">
        <v>87</v>
      </c>
      <c r="G129" s="13">
        <v>1</v>
      </c>
      <c r="H129" s="13"/>
      <c r="I129" s="13">
        <v>137.82</v>
      </c>
      <c r="J129" s="14">
        <f>IFERROR(ROUND(SUM(M130,M131,M132,M133)/I129, 2),0)</f>
        <v>375.74</v>
      </c>
      <c r="K129" s="15">
        <v>473</v>
      </c>
      <c r="L129" s="14">
        <f>J129+ROUND(K129, 2)</f>
        <v>848.74</v>
      </c>
      <c r="M129" s="14">
        <f>ROUND(J129*I129, 2)</f>
        <v>51784.49</v>
      </c>
      <c r="N129" s="14">
        <f>ROUND(I129*ROUND(K129, 2), 2)</f>
        <v>65188.86</v>
      </c>
      <c r="O129" s="14">
        <f>M129+N129</f>
        <v>116973.35</v>
      </c>
      <c r="P129" s="14">
        <f>IFERROR(ROUND(SUM(S130,S131,S132,S133)/I129, 2),0)</f>
        <v>375.74</v>
      </c>
      <c r="Q129" s="16">
        <v>473</v>
      </c>
      <c r="R129" s="14">
        <f>P129+ROUND(Q129, 2)</f>
        <v>848.74</v>
      </c>
      <c r="S129" s="14">
        <f>ROUND(P129*I129, 2)</f>
        <v>51784.49</v>
      </c>
      <c r="T129" s="14">
        <f>ROUND(I129*ROUND(Q129, 2), 2)</f>
        <v>65188.86</v>
      </c>
      <c r="U129" s="14">
        <f>S129+T129</f>
        <v>116973.35</v>
      </c>
      <c r="V129" s="9">
        <f>ROUND(P129 / 1.2, 2)</f>
        <v>313.12</v>
      </c>
      <c r="W129" s="9">
        <f>ROUND(Q129 / 1.2, 2)</f>
        <v>394.17</v>
      </c>
      <c r="X129" s="9">
        <f>ROUND(R129 / 1.2, 2)</f>
        <v>707.28</v>
      </c>
      <c r="Y129" s="9">
        <f t="shared" si="14"/>
        <v>43153.74</v>
      </c>
      <c r="Z129" s="9">
        <f>ROUND(T129 / 1.2, 2)</f>
        <v>54324.05</v>
      </c>
      <c r="AA129" s="9">
        <f>Y129+Z129</f>
        <v>97477.790000000008</v>
      </c>
      <c r="AD129" s="4">
        <v>271132090</v>
      </c>
      <c r="AE129" s="4">
        <v>19813577</v>
      </c>
      <c r="AG129" s="4" t="s">
        <v>598</v>
      </c>
      <c r="AH129" s="4" t="s">
        <v>599</v>
      </c>
      <c r="AI129" s="4" t="s">
        <v>67</v>
      </c>
    </row>
    <row r="130" spans="1:35" ht="54" hidden="1" x14ac:dyDescent="0.3">
      <c r="A130" s="10" t="s">
        <v>600</v>
      </c>
      <c r="B130" s="10"/>
      <c r="C130" s="17" t="s">
        <v>601</v>
      </c>
      <c r="D130" s="12"/>
      <c r="E130" s="12" t="s">
        <v>402</v>
      </c>
      <c r="F130" s="18" t="s">
        <v>70</v>
      </c>
      <c r="G130" s="19">
        <v>0.7</v>
      </c>
      <c r="H130" s="20"/>
      <c r="I130" s="20">
        <v>96.474000000000004</v>
      </c>
      <c r="J130" s="21">
        <v>16.96</v>
      </c>
      <c r="M130" s="22">
        <f>ROUND(ROUND(J130, 2)*I130, 2)</f>
        <v>1636.2</v>
      </c>
      <c r="P130" s="23">
        <v>16.96</v>
      </c>
      <c r="S130" s="22">
        <f>ROUND(ROUND(P130, 2)*I130, 2)</f>
        <v>1636.2</v>
      </c>
      <c r="V130" s="9">
        <f>ROUND(ROUND(P130, 2)/1.2, 2)</f>
        <v>14.13</v>
      </c>
      <c r="Y130" s="9">
        <f t="shared" si="14"/>
        <v>1363.5</v>
      </c>
      <c r="AD130" s="4" t="s">
        <v>602</v>
      </c>
      <c r="AE130" s="4" t="s">
        <v>603</v>
      </c>
      <c r="AF130" s="4" t="s">
        <v>604</v>
      </c>
    </row>
    <row r="131" spans="1:35" ht="72" hidden="1" x14ac:dyDescent="0.3">
      <c r="A131" s="10" t="s">
        <v>605</v>
      </c>
      <c r="B131" s="10"/>
      <c r="C131" s="24" t="s">
        <v>606</v>
      </c>
      <c r="D131" s="12"/>
      <c r="E131" s="12" t="s">
        <v>607</v>
      </c>
      <c r="F131" s="18" t="s">
        <v>116</v>
      </c>
      <c r="G131" s="19">
        <v>1.84</v>
      </c>
      <c r="H131" s="20"/>
      <c r="I131" s="20">
        <v>253.589</v>
      </c>
      <c r="J131" s="21">
        <v>196</v>
      </c>
      <c r="M131" s="22">
        <f>ROUND(ROUND(J131, 2)*I131, 2)</f>
        <v>49703.44</v>
      </c>
      <c r="P131" s="23">
        <v>196</v>
      </c>
      <c r="S131" s="22">
        <f>ROUND(ROUND(P131, 2)*I131, 2)</f>
        <v>49703.44</v>
      </c>
      <c r="V131" s="9">
        <f>ROUND(ROUND(P131, 2)/1.2, 2)</f>
        <v>163.33000000000001</v>
      </c>
      <c r="Y131" s="9">
        <f t="shared" si="14"/>
        <v>41419.53</v>
      </c>
      <c r="AD131" s="4" t="s">
        <v>608</v>
      </c>
      <c r="AE131" s="4" t="s">
        <v>609</v>
      </c>
      <c r="AF131" s="4" t="s">
        <v>610</v>
      </c>
    </row>
    <row r="132" spans="1:35" ht="54" hidden="1" x14ac:dyDescent="0.3">
      <c r="A132" s="10" t="s">
        <v>611</v>
      </c>
      <c r="B132" s="10"/>
      <c r="C132" s="24" t="s">
        <v>612</v>
      </c>
      <c r="D132" s="12"/>
      <c r="E132" s="12" t="s">
        <v>613</v>
      </c>
      <c r="F132" s="18" t="s">
        <v>70</v>
      </c>
      <c r="G132" s="19">
        <v>0.04</v>
      </c>
      <c r="H132" s="19"/>
      <c r="I132" s="19">
        <v>5.5129999999999999</v>
      </c>
      <c r="J132" s="21">
        <v>47.44</v>
      </c>
      <c r="M132" s="22">
        <f>ROUND(ROUND(J132, 2)*I132, 2)</f>
        <v>261.54000000000002</v>
      </c>
      <c r="P132" s="23">
        <v>47.44</v>
      </c>
      <c r="S132" s="22">
        <f>ROUND(ROUND(P132, 2)*I132, 2)</f>
        <v>261.54000000000002</v>
      </c>
      <c r="V132" s="9">
        <f>ROUND(ROUND(P132, 2)/1.2, 2)</f>
        <v>39.53</v>
      </c>
      <c r="Y132" s="9">
        <f t="shared" si="14"/>
        <v>217.95</v>
      </c>
      <c r="AD132" s="4" t="s">
        <v>614</v>
      </c>
      <c r="AE132" s="4" t="s">
        <v>615</v>
      </c>
      <c r="AF132" s="4" t="s">
        <v>616</v>
      </c>
    </row>
    <row r="133" spans="1:35" ht="36" hidden="1" x14ac:dyDescent="0.3">
      <c r="A133" s="10" t="s">
        <v>617</v>
      </c>
      <c r="B133" s="10"/>
      <c r="C133" s="24" t="s">
        <v>433</v>
      </c>
      <c r="D133" s="12"/>
      <c r="E133" s="12"/>
      <c r="F133" s="18" t="s">
        <v>70</v>
      </c>
      <c r="G133" s="19">
        <v>1.4999999999999999E-2</v>
      </c>
      <c r="H133" s="19"/>
      <c r="I133" s="19">
        <v>2.0670000000000002</v>
      </c>
      <c r="J133" s="21">
        <v>88.8</v>
      </c>
      <c r="M133" s="22">
        <f>ROUND(ROUND(J133, 2)*I133, 2)</f>
        <v>183.55</v>
      </c>
      <c r="P133" s="23">
        <v>88.8</v>
      </c>
      <c r="S133" s="22">
        <f>ROUND(ROUND(P133, 2)*I133, 2)</f>
        <v>183.55</v>
      </c>
      <c r="V133" s="9">
        <f>ROUND(ROUND(P133, 2)/1.2, 2)</f>
        <v>74</v>
      </c>
      <c r="Y133" s="9">
        <f t="shared" si="14"/>
        <v>152.96</v>
      </c>
      <c r="AD133" s="4" t="s">
        <v>618</v>
      </c>
      <c r="AE133" s="4" t="s">
        <v>619</v>
      </c>
      <c r="AF133" s="4" t="s">
        <v>436</v>
      </c>
    </row>
    <row r="134" spans="1:35" ht="36" hidden="1" x14ac:dyDescent="0.3">
      <c r="A134" s="10" t="s">
        <v>620</v>
      </c>
      <c r="B134" s="10" t="s">
        <v>596</v>
      </c>
      <c r="C134" s="11" t="s">
        <v>597</v>
      </c>
      <c r="D134" s="12"/>
      <c r="E134" s="12" t="s">
        <v>81</v>
      </c>
      <c r="F134" s="12" t="s">
        <v>87</v>
      </c>
      <c r="G134" s="13">
        <v>1</v>
      </c>
      <c r="H134" s="13"/>
      <c r="I134" s="13">
        <v>23.84</v>
      </c>
      <c r="J134" s="14">
        <f>IFERROR(ROUND(SUM(M135,M136,M137,M138)/I134, 2),0)</f>
        <v>844.86</v>
      </c>
      <c r="K134" s="15">
        <v>473</v>
      </c>
      <c r="L134" s="14">
        <f>J134+ROUND(K134, 2)</f>
        <v>1317.8600000000001</v>
      </c>
      <c r="M134" s="14">
        <f>ROUND(J134*I134, 2)</f>
        <v>20141.46</v>
      </c>
      <c r="N134" s="14">
        <f>ROUND(I134*ROUND(K134, 2), 2)</f>
        <v>11276.32</v>
      </c>
      <c r="O134" s="14">
        <f>M134+N134</f>
        <v>31417.78</v>
      </c>
      <c r="P134" s="14">
        <f>IFERROR(ROUND(SUM(S135,S136,S137,S138)/I134, 2),0)</f>
        <v>844.86</v>
      </c>
      <c r="Q134" s="16">
        <v>473</v>
      </c>
      <c r="R134" s="14">
        <f>P134+ROUND(Q134, 2)</f>
        <v>1317.8600000000001</v>
      </c>
      <c r="S134" s="14">
        <f>ROUND(P134*I134, 2)</f>
        <v>20141.46</v>
      </c>
      <c r="T134" s="14">
        <f>ROUND(I134*ROUND(Q134, 2), 2)</f>
        <v>11276.32</v>
      </c>
      <c r="U134" s="14">
        <f>S134+T134</f>
        <v>31417.78</v>
      </c>
      <c r="V134" s="9">
        <f>ROUND(P134 / 1.2, 2)</f>
        <v>704.05</v>
      </c>
      <c r="W134" s="9">
        <f>ROUND(Q134 / 1.2, 2)</f>
        <v>394.17</v>
      </c>
      <c r="X134" s="9">
        <f>ROUND(R134 / 1.2, 2)</f>
        <v>1098.22</v>
      </c>
      <c r="Y134" s="9">
        <f t="shared" si="14"/>
        <v>16784.55</v>
      </c>
      <c r="Z134" s="9">
        <f>ROUND(T134 / 1.2, 2)</f>
        <v>9396.93</v>
      </c>
      <c r="AA134" s="9">
        <f>Y134+Z134</f>
        <v>26181.48</v>
      </c>
      <c r="AD134" s="4">
        <v>271132173</v>
      </c>
      <c r="AE134" s="4">
        <v>19820657</v>
      </c>
      <c r="AG134" s="4" t="s">
        <v>598</v>
      </c>
      <c r="AH134" s="4" t="s">
        <v>599</v>
      </c>
      <c r="AI134" s="4" t="s">
        <v>67</v>
      </c>
    </row>
    <row r="135" spans="1:35" ht="36" hidden="1" x14ac:dyDescent="0.3">
      <c r="A135" s="10" t="s">
        <v>621</v>
      </c>
      <c r="B135" s="10"/>
      <c r="C135" s="24" t="s">
        <v>433</v>
      </c>
      <c r="D135" s="12"/>
      <c r="E135" s="12"/>
      <c r="F135" s="18" t="s">
        <v>70</v>
      </c>
      <c r="G135" s="19">
        <v>1.4999999999999999E-2</v>
      </c>
      <c r="H135" s="19"/>
      <c r="I135" s="19">
        <v>0.35799999999999998</v>
      </c>
      <c r="J135" s="21">
        <v>88.8</v>
      </c>
      <c r="M135" s="22">
        <f>ROUND(ROUND(J135, 2)*I135, 2)</f>
        <v>31.79</v>
      </c>
      <c r="P135" s="23">
        <v>88.8</v>
      </c>
      <c r="S135" s="22">
        <f>ROUND(ROUND(P135, 2)*I135, 2)</f>
        <v>31.79</v>
      </c>
      <c r="V135" s="9">
        <f>ROUND(ROUND(P135, 2)/1.2, 2)</f>
        <v>74</v>
      </c>
      <c r="Y135" s="9">
        <f t="shared" si="14"/>
        <v>26.49</v>
      </c>
      <c r="AD135" s="4" t="s">
        <v>622</v>
      </c>
      <c r="AE135" s="4" t="s">
        <v>623</v>
      </c>
      <c r="AF135" s="4" t="s">
        <v>436</v>
      </c>
    </row>
    <row r="136" spans="1:35" ht="18" hidden="1" x14ac:dyDescent="0.3">
      <c r="A136" s="10" t="s">
        <v>624</v>
      </c>
      <c r="B136" s="10"/>
      <c r="C136" s="24" t="s">
        <v>612</v>
      </c>
      <c r="D136" s="12"/>
      <c r="E136" s="12"/>
      <c r="F136" s="18" t="s">
        <v>70</v>
      </c>
      <c r="G136" s="19">
        <v>0.04</v>
      </c>
      <c r="H136" s="19"/>
      <c r="I136" s="19">
        <v>0.95399999999999996</v>
      </c>
      <c r="J136" s="21">
        <v>47.44</v>
      </c>
      <c r="M136" s="22">
        <f>ROUND(ROUND(J136, 2)*I136, 2)</f>
        <v>45.26</v>
      </c>
      <c r="P136" s="23">
        <v>47.44</v>
      </c>
      <c r="S136" s="22">
        <f>ROUND(ROUND(P136, 2)*I136, 2)</f>
        <v>45.26</v>
      </c>
      <c r="V136" s="9">
        <f>ROUND(ROUND(P136, 2)/1.2, 2)</f>
        <v>39.53</v>
      </c>
      <c r="Y136" s="9">
        <f t="shared" si="14"/>
        <v>37.72</v>
      </c>
      <c r="AD136" s="4" t="s">
        <v>625</v>
      </c>
      <c r="AE136" s="4" t="s">
        <v>626</v>
      </c>
      <c r="AF136" s="4" t="s">
        <v>616</v>
      </c>
    </row>
    <row r="137" spans="1:35" ht="90" hidden="1" x14ac:dyDescent="0.3">
      <c r="A137" s="10" t="s">
        <v>627</v>
      </c>
      <c r="B137" s="10"/>
      <c r="C137" s="24" t="s">
        <v>628</v>
      </c>
      <c r="D137" s="12"/>
      <c r="E137" s="12" t="s">
        <v>629</v>
      </c>
      <c r="F137" s="18" t="s">
        <v>116</v>
      </c>
      <c r="G137" s="19">
        <v>1.84</v>
      </c>
      <c r="H137" s="20"/>
      <c r="I137" s="20">
        <v>43.866</v>
      </c>
      <c r="J137" s="21">
        <v>450.95</v>
      </c>
      <c r="M137" s="22">
        <f>ROUND(ROUND(J137, 2)*I137, 2)</f>
        <v>19781.37</v>
      </c>
      <c r="P137" s="23">
        <v>450.95</v>
      </c>
      <c r="S137" s="22">
        <f>ROUND(ROUND(P137, 2)*I137, 2)</f>
        <v>19781.37</v>
      </c>
      <c r="V137" s="9">
        <f>ROUND(ROUND(P137, 2)/1.2, 2)</f>
        <v>375.79</v>
      </c>
      <c r="Y137" s="9">
        <f t="shared" si="14"/>
        <v>16484.48</v>
      </c>
      <c r="AD137" s="4" t="s">
        <v>630</v>
      </c>
      <c r="AE137" s="4" t="s">
        <v>631</v>
      </c>
      <c r="AF137" s="4" t="s">
        <v>632</v>
      </c>
    </row>
    <row r="138" spans="1:35" ht="54" hidden="1" x14ac:dyDescent="0.3">
      <c r="A138" s="10" t="s">
        <v>633</v>
      </c>
      <c r="B138" s="10"/>
      <c r="C138" s="17" t="s">
        <v>601</v>
      </c>
      <c r="D138" s="12"/>
      <c r="E138" s="12" t="s">
        <v>402</v>
      </c>
      <c r="F138" s="18" t="s">
        <v>70</v>
      </c>
      <c r="G138" s="19">
        <v>0.7</v>
      </c>
      <c r="H138" s="20"/>
      <c r="I138" s="20">
        <v>16.687999999999999</v>
      </c>
      <c r="J138" s="21">
        <v>16.96</v>
      </c>
      <c r="M138" s="22">
        <f>ROUND(ROUND(J138, 2)*I138, 2)</f>
        <v>283.02999999999997</v>
      </c>
      <c r="P138" s="23">
        <v>16.96</v>
      </c>
      <c r="S138" s="22">
        <f>ROUND(ROUND(P138, 2)*I138, 2)</f>
        <v>283.02999999999997</v>
      </c>
      <c r="V138" s="9">
        <f>ROUND(ROUND(P138, 2)/1.2, 2)</f>
        <v>14.13</v>
      </c>
      <c r="Y138" s="9">
        <f t="shared" si="14"/>
        <v>235.86</v>
      </c>
      <c r="AD138" s="4" t="s">
        <v>634</v>
      </c>
      <c r="AE138" s="4" t="s">
        <v>635</v>
      </c>
      <c r="AF138" s="4" t="s">
        <v>604</v>
      </c>
    </row>
    <row r="139" spans="1:35" ht="36" hidden="1" x14ac:dyDescent="0.3">
      <c r="A139" s="10" t="s">
        <v>636</v>
      </c>
      <c r="B139" s="10" t="s">
        <v>596</v>
      </c>
      <c r="C139" s="11" t="s">
        <v>597</v>
      </c>
      <c r="D139" s="12"/>
      <c r="E139" s="12" t="s">
        <v>507</v>
      </c>
      <c r="F139" s="12" t="s">
        <v>87</v>
      </c>
      <c r="G139" s="13">
        <v>1</v>
      </c>
      <c r="H139" s="13"/>
      <c r="I139" s="13">
        <v>216.92</v>
      </c>
      <c r="J139" s="14">
        <f>IFERROR(ROUND(SUM(M140,M141,M142,M143)/I139, 2),0)</f>
        <v>375.74</v>
      </c>
      <c r="K139" s="15">
        <v>473</v>
      </c>
      <c r="L139" s="14">
        <f>J139+ROUND(K139, 2)</f>
        <v>848.74</v>
      </c>
      <c r="M139" s="14">
        <f>ROUND(J139*I139, 2)</f>
        <v>81505.52</v>
      </c>
      <c r="N139" s="14">
        <f>ROUND(I139*ROUND(K139, 2), 2)</f>
        <v>102603.16</v>
      </c>
      <c r="O139" s="14">
        <f>M139+N139</f>
        <v>184108.68</v>
      </c>
      <c r="P139" s="14">
        <f>IFERROR(ROUND(SUM(S140,S141,S142,S143)/I139, 2),0)</f>
        <v>375.74</v>
      </c>
      <c r="Q139" s="16">
        <v>473</v>
      </c>
      <c r="R139" s="14">
        <f>P139+ROUND(Q139, 2)</f>
        <v>848.74</v>
      </c>
      <c r="S139" s="14">
        <f>ROUND(P139*I139, 2)</f>
        <v>81505.52</v>
      </c>
      <c r="T139" s="14">
        <f>ROUND(I139*ROUND(Q139, 2), 2)</f>
        <v>102603.16</v>
      </c>
      <c r="U139" s="14">
        <f>S139+T139</f>
        <v>184108.68</v>
      </c>
      <c r="V139" s="9">
        <f>ROUND(P139 / 1.2, 2)</f>
        <v>313.12</v>
      </c>
      <c r="W139" s="9">
        <f>ROUND(Q139 / 1.2, 2)</f>
        <v>394.17</v>
      </c>
      <c r="X139" s="9">
        <f>ROUND(R139 / 1.2, 2)</f>
        <v>707.28</v>
      </c>
      <c r="Y139" s="9">
        <f t="shared" si="14"/>
        <v>67921.27</v>
      </c>
      <c r="Z139" s="9">
        <f>ROUND(T139 / 1.2, 2)</f>
        <v>85502.63</v>
      </c>
      <c r="AA139" s="9">
        <f>Y139+Z139</f>
        <v>153423.90000000002</v>
      </c>
      <c r="AD139" s="4">
        <v>271132174</v>
      </c>
      <c r="AE139" s="4">
        <v>19972701</v>
      </c>
      <c r="AG139" s="4" t="s">
        <v>598</v>
      </c>
      <c r="AH139" s="4" t="s">
        <v>599</v>
      </c>
      <c r="AI139" s="4" t="s">
        <v>67</v>
      </c>
    </row>
    <row r="140" spans="1:35" ht="36" hidden="1" x14ac:dyDescent="0.3">
      <c r="A140" s="10" t="s">
        <v>637</v>
      </c>
      <c r="B140" s="10"/>
      <c r="C140" s="24" t="s">
        <v>433</v>
      </c>
      <c r="D140" s="12"/>
      <c r="E140" s="12"/>
      <c r="F140" s="18" t="s">
        <v>70</v>
      </c>
      <c r="G140" s="19">
        <v>1.4999999999999999E-2</v>
      </c>
      <c r="H140" s="19"/>
      <c r="I140" s="19">
        <v>3.254</v>
      </c>
      <c r="J140" s="21">
        <v>88.8</v>
      </c>
      <c r="M140" s="22">
        <f>ROUND(ROUND(J140, 2)*I140, 2)</f>
        <v>288.95999999999998</v>
      </c>
      <c r="P140" s="23">
        <v>88.8</v>
      </c>
      <c r="S140" s="22">
        <f>ROUND(ROUND(P140, 2)*I140, 2)</f>
        <v>288.95999999999998</v>
      </c>
      <c r="V140" s="9">
        <f>ROUND(ROUND(P140, 2)/1.2, 2)</f>
        <v>74</v>
      </c>
      <c r="Y140" s="9">
        <f t="shared" si="14"/>
        <v>240.8</v>
      </c>
      <c r="AD140" s="4" t="s">
        <v>638</v>
      </c>
      <c r="AE140" s="4" t="s">
        <v>639</v>
      </c>
      <c r="AF140" s="4" t="s">
        <v>436</v>
      </c>
    </row>
    <row r="141" spans="1:35" ht="54" hidden="1" x14ac:dyDescent="0.3">
      <c r="A141" s="10" t="s">
        <v>640</v>
      </c>
      <c r="B141" s="10"/>
      <c r="C141" s="24" t="s">
        <v>612</v>
      </c>
      <c r="D141" s="12"/>
      <c r="E141" s="12" t="s">
        <v>641</v>
      </c>
      <c r="F141" s="18" t="s">
        <v>70</v>
      </c>
      <c r="G141" s="19">
        <v>0.04</v>
      </c>
      <c r="H141" s="19"/>
      <c r="I141" s="19">
        <v>8.6769999999999996</v>
      </c>
      <c r="J141" s="21">
        <v>47.44</v>
      </c>
      <c r="M141" s="22">
        <f>ROUND(ROUND(J141, 2)*I141, 2)</f>
        <v>411.64</v>
      </c>
      <c r="P141" s="23">
        <v>47.44</v>
      </c>
      <c r="S141" s="22">
        <f>ROUND(ROUND(P141, 2)*I141, 2)</f>
        <v>411.64</v>
      </c>
      <c r="V141" s="9">
        <f>ROUND(ROUND(P141, 2)/1.2, 2)</f>
        <v>39.53</v>
      </c>
      <c r="Y141" s="9">
        <f t="shared" si="14"/>
        <v>343.03</v>
      </c>
      <c r="AD141" s="4" t="s">
        <v>642</v>
      </c>
      <c r="AE141" s="4" t="s">
        <v>643</v>
      </c>
      <c r="AF141" s="4" t="s">
        <v>616</v>
      </c>
    </row>
    <row r="142" spans="1:35" ht="54" hidden="1" x14ac:dyDescent="0.3">
      <c r="A142" s="10" t="s">
        <v>644</v>
      </c>
      <c r="B142" s="10"/>
      <c r="C142" s="24" t="s">
        <v>606</v>
      </c>
      <c r="D142" s="12"/>
      <c r="E142" s="12" t="s">
        <v>645</v>
      </c>
      <c r="F142" s="18" t="s">
        <v>116</v>
      </c>
      <c r="G142" s="19">
        <v>1.84</v>
      </c>
      <c r="H142" s="20"/>
      <c r="I142" s="20">
        <v>399.13299999999998</v>
      </c>
      <c r="J142" s="21">
        <v>196</v>
      </c>
      <c r="M142" s="22">
        <f>ROUND(ROUND(J142, 2)*I142, 2)</f>
        <v>78230.070000000007</v>
      </c>
      <c r="P142" s="23">
        <v>196</v>
      </c>
      <c r="S142" s="22">
        <f>ROUND(ROUND(P142, 2)*I142, 2)</f>
        <v>78230.070000000007</v>
      </c>
      <c r="V142" s="9">
        <f>ROUND(ROUND(P142, 2)/1.2, 2)</f>
        <v>163.33000000000001</v>
      </c>
      <c r="Y142" s="9">
        <f t="shared" si="14"/>
        <v>65191.73</v>
      </c>
      <c r="AD142" s="4" t="s">
        <v>646</v>
      </c>
      <c r="AE142" s="4" t="s">
        <v>647</v>
      </c>
      <c r="AF142" s="4" t="s">
        <v>610</v>
      </c>
    </row>
    <row r="143" spans="1:35" ht="72" hidden="1" x14ac:dyDescent="0.3">
      <c r="A143" s="10" t="s">
        <v>648</v>
      </c>
      <c r="B143" s="10"/>
      <c r="C143" s="17" t="s">
        <v>601</v>
      </c>
      <c r="D143" s="12"/>
      <c r="E143" s="12" t="s">
        <v>649</v>
      </c>
      <c r="F143" s="18" t="s">
        <v>70</v>
      </c>
      <c r="G143" s="19">
        <v>0.7</v>
      </c>
      <c r="H143" s="20"/>
      <c r="I143" s="20">
        <v>151.84399999999999</v>
      </c>
      <c r="J143" s="21">
        <v>16.96</v>
      </c>
      <c r="M143" s="22">
        <f>ROUND(ROUND(J143, 2)*I143, 2)</f>
        <v>2575.27</v>
      </c>
      <c r="P143" s="23">
        <v>16.96</v>
      </c>
      <c r="S143" s="22">
        <f>ROUND(ROUND(P143, 2)*I143, 2)</f>
        <v>2575.27</v>
      </c>
      <c r="V143" s="9">
        <f>ROUND(ROUND(P143, 2)/1.2, 2)</f>
        <v>14.13</v>
      </c>
      <c r="Y143" s="9">
        <f t="shared" si="14"/>
        <v>2146.06</v>
      </c>
      <c r="AD143" s="4" t="s">
        <v>650</v>
      </c>
      <c r="AE143" s="4" t="s">
        <v>651</v>
      </c>
      <c r="AF143" s="4" t="s">
        <v>604</v>
      </c>
    </row>
    <row r="144" spans="1:35" ht="54" hidden="1" x14ac:dyDescent="0.3">
      <c r="A144" s="10" t="s">
        <v>652</v>
      </c>
      <c r="B144" s="10" t="s">
        <v>653</v>
      </c>
      <c r="C144" s="11" t="s">
        <v>654</v>
      </c>
      <c r="D144" s="12"/>
      <c r="E144" s="12" t="s">
        <v>655</v>
      </c>
      <c r="F144" s="12" t="s">
        <v>64</v>
      </c>
      <c r="G144" s="13">
        <v>1</v>
      </c>
      <c r="H144" s="13"/>
      <c r="I144" s="13">
        <v>25.81</v>
      </c>
      <c r="J144" s="14">
        <f>IFERROR(ROUND(SUM(M145,M146,M147,M148)/I144, 2),0)</f>
        <v>1520.2</v>
      </c>
      <c r="K144" s="15">
        <v>1655</v>
      </c>
      <c r="L144" s="14">
        <f>J144+ROUND(K144, 2)</f>
        <v>3175.2</v>
      </c>
      <c r="M144" s="14">
        <f>ROUND(J144*I144, 2)</f>
        <v>39236.36</v>
      </c>
      <c r="N144" s="14">
        <f>ROUND(I144*ROUND(K144, 2), 2)</f>
        <v>42715.55</v>
      </c>
      <c r="O144" s="14">
        <f>M144+N144</f>
        <v>81951.91</v>
      </c>
      <c r="P144" s="14">
        <f>IFERROR(ROUND(SUM(S145,S146,S147,S148)/I144, 2),0)</f>
        <v>1520.2</v>
      </c>
      <c r="Q144" s="16">
        <v>1655</v>
      </c>
      <c r="R144" s="14">
        <f>P144+ROUND(Q144, 2)</f>
        <v>3175.2</v>
      </c>
      <c r="S144" s="14">
        <f>ROUND(P144*I144, 2)</f>
        <v>39236.36</v>
      </c>
      <c r="T144" s="14">
        <f>ROUND(I144*ROUND(Q144, 2), 2)</f>
        <v>42715.55</v>
      </c>
      <c r="U144" s="14">
        <f>S144+T144</f>
        <v>81951.91</v>
      </c>
      <c r="V144" s="9">
        <f>ROUND(P144 / 1.2, 2)</f>
        <v>1266.83</v>
      </c>
      <c r="W144" s="9">
        <f>ROUND(Q144 / 1.2, 2)</f>
        <v>1379.17</v>
      </c>
      <c r="X144" s="9">
        <f>ROUND(R144 / 1.2, 2)</f>
        <v>2646</v>
      </c>
      <c r="Y144" s="9">
        <f t="shared" si="14"/>
        <v>32696.97</v>
      </c>
      <c r="Z144" s="9">
        <f>ROUND(T144 / 1.2, 2)</f>
        <v>35596.29</v>
      </c>
      <c r="AA144" s="9">
        <f>Y144+Z144</f>
        <v>68293.260000000009</v>
      </c>
      <c r="AD144" s="4">
        <v>271132092</v>
      </c>
      <c r="AE144" s="4">
        <v>19973764</v>
      </c>
      <c r="AG144" s="4" t="s">
        <v>656</v>
      </c>
      <c r="AH144" s="4" t="s">
        <v>657</v>
      </c>
      <c r="AI144" s="4" t="s">
        <v>67</v>
      </c>
    </row>
    <row r="145" spans="1:35" ht="54" hidden="1" x14ac:dyDescent="0.3">
      <c r="A145" s="10" t="s">
        <v>658</v>
      </c>
      <c r="B145" s="10"/>
      <c r="C145" s="17" t="s">
        <v>401</v>
      </c>
      <c r="D145" s="12"/>
      <c r="E145" s="12" t="s">
        <v>402</v>
      </c>
      <c r="F145" s="18" t="s">
        <v>70</v>
      </c>
      <c r="G145" s="19">
        <v>7</v>
      </c>
      <c r="H145" s="19"/>
      <c r="I145" s="19">
        <v>180.67</v>
      </c>
      <c r="J145" s="21">
        <v>16.96</v>
      </c>
      <c r="M145" s="22">
        <f>ROUND(ROUND(J145, 2)*I145, 2)</f>
        <v>3064.16</v>
      </c>
      <c r="P145" s="23">
        <v>16.96</v>
      </c>
      <c r="S145" s="22">
        <f>ROUND(ROUND(P145, 2)*I145, 2)</f>
        <v>3064.16</v>
      </c>
      <c r="V145" s="9">
        <f>ROUND(ROUND(P145, 2)/1.2, 2)</f>
        <v>14.13</v>
      </c>
      <c r="Y145" s="9">
        <f t="shared" si="14"/>
        <v>2553.4699999999998</v>
      </c>
      <c r="AD145" s="4" t="s">
        <v>659</v>
      </c>
      <c r="AE145" s="4" t="s">
        <v>660</v>
      </c>
      <c r="AF145" s="4" t="s">
        <v>405</v>
      </c>
    </row>
    <row r="146" spans="1:35" ht="18" hidden="1" x14ac:dyDescent="0.3">
      <c r="A146" s="10" t="s">
        <v>661</v>
      </c>
      <c r="B146" s="10"/>
      <c r="C146" s="24" t="s">
        <v>612</v>
      </c>
      <c r="D146" s="12"/>
      <c r="E146" s="12"/>
      <c r="F146" s="18" t="s">
        <v>70</v>
      </c>
      <c r="G146" s="19">
        <v>0.25</v>
      </c>
      <c r="H146" s="20"/>
      <c r="I146" s="20">
        <v>6.4530000000000003</v>
      </c>
      <c r="J146" s="21">
        <v>47.44</v>
      </c>
      <c r="M146" s="22">
        <f>ROUND(ROUND(J146, 2)*I146, 2)</f>
        <v>306.13</v>
      </c>
      <c r="P146" s="23">
        <v>47.44</v>
      </c>
      <c r="S146" s="22">
        <f>ROUND(ROUND(P146, 2)*I146, 2)</f>
        <v>306.13</v>
      </c>
      <c r="V146" s="9">
        <f>ROUND(ROUND(P146, 2)/1.2, 2)</f>
        <v>39.53</v>
      </c>
      <c r="Y146" s="9">
        <f t="shared" si="14"/>
        <v>255.11</v>
      </c>
      <c r="AD146" s="4" t="s">
        <v>662</v>
      </c>
      <c r="AE146" s="4" t="s">
        <v>663</v>
      </c>
      <c r="AF146" s="4" t="s">
        <v>616</v>
      </c>
    </row>
    <row r="147" spans="1:35" ht="36" hidden="1" x14ac:dyDescent="0.3">
      <c r="A147" s="10" t="s">
        <v>664</v>
      </c>
      <c r="B147" s="10"/>
      <c r="C147" s="24" t="s">
        <v>433</v>
      </c>
      <c r="D147" s="12"/>
      <c r="E147" s="12"/>
      <c r="F147" s="18" t="s">
        <v>70</v>
      </c>
      <c r="G147" s="19">
        <v>0.15</v>
      </c>
      <c r="H147" s="19"/>
      <c r="I147" s="19">
        <v>3.8719999999999999</v>
      </c>
      <c r="J147" s="21">
        <v>88.8</v>
      </c>
      <c r="M147" s="22">
        <f>ROUND(ROUND(J147, 2)*I147, 2)</f>
        <v>343.83</v>
      </c>
      <c r="P147" s="23">
        <v>88.8</v>
      </c>
      <c r="S147" s="22">
        <f>ROUND(ROUND(P147, 2)*I147, 2)</f>
        <v>343.83</v>
      </c>
      <c r="V147" s="9">
        <f>ROUND(ROUND(P147, 2)/1.2, 2)</f>
        <v>74</v>
      </c>
      <c r="Y147" s="9">
        <f t="shared" si="14"/>
        <v>286.52999999999997</v>
      </c>
      <c r="AD147" s="4" t="s">
        <v>665</v>
      </c>
      <c r="AE147" s="4" t="s">
        <v>666</v>
      </c>
      <c r="AF147" s="4" t="s">
        <v>436</v>
      </c>
    </row>
    <row r="148" spans="1:35" ht="54" hidden="1" x14ac:dyDescent="0.3">
      <c r="A148" s="10" t="s">
        <v>667</v>
      </c>
      <c r="B148" s="10"/>
      <c r="C148" s="17" t="s">
        <v>668</v>
      </c>
      <c r="D148" s="12"/>
      <c r="E148" s="12" t="s">
        <v>669</v>
      </c>
      <c r="F148" s="18" t="s">
        <v>64</v>
      </c>
      <c r="G148" s="19">
        <v>1.07</v>
      </c>
      <c r="H148" s="20"/>
      <c r="I148" s="20">
        <v>27.617000000000001</v>
      </c>
      <c r="J148" s="21">
        <v>1286.25</v>
      </c>
      <c r="M148" s="22">
        <f>ROUND(ROUND(J148, 2)*I148, 2)</f>
        <v>35522.370000000003</v>
      </c>
      <c r="P148" s="23">
        <v>1286.25</v>
      </c>
      <c r="S148" s="22">
        <f>ROUND(ROUND(P148, 2)*I148, 2)</f>
        <v>35522.370000000003</v>
      </c>
      <c r="V148" s="9">
        <f>ROUND(ROUND(P148, 2)/1.2, 2)</f>
        <v>1071.8800000000001</v>
      </c>
      <c r="Y148" s="9">
        <f t="shared" si="14"/>
        <v>29601.98</v>
      </c>
      <c r="AD148" s="4" t="s">
        <v>670</v>
      </c>
      <c r="AE148" s="4" t="s">
        <v>671</v>
      </c>
      <c r="AF148" s="4" t="s">
        <v>672</v>
      </c>
    </row>
    <row r="149" spans="1:35" ht="54" hidden="1" x14ac:dyDescent="0.3">
      <c r="A149" s="10" t="s">
        <v>673</v>
      </c>
      <c r="B149" s="10" t="s">
        <v>653</v>
      </c>
      <c r="C149" s="11" t="s">
        <v>654</v>
      </c>
      <c r="D149" s="12"/>
      <c r="E149" s="12" t="s">
        <v>674</v>
      </c>
      <c r="F149" s="12" t="s">
        <v>64</v>
      </c>
      <c r="G149" s="13">
        <v>1</v>
      </c>
      <c r="H149" s="13"/>
      <c r="I149" s="13">
        <v>46.37</v>
      </c>
      <c r="J149" s="14">
        <f>IFERROR(ROUND(SUM(M150,M151,M152,M153)/I149, 2),0)</f>
        <v>1625.8</v>
      </c>
      <c r="K149" s="15">
        <v>1655</v>
      </c>
      <c r="L149" s="14">
        <f>J149+ROUND(K149, 2)</f>
        <v>3280.8</v>
      </c>
      <c r="M149" s="14">
        <f>ROUND(J149*I149, 2)</f>
        <v>75388.350000000006</v>
      </c>
      <c r="N149" s="14">
        <f>ROUND(I149*ROUND(K149, 2), 2)</f>
        <v>76742.350000000006</v>
      </c>
      <c r="O149" s="14">
        <f>M149+N149</f>
        <v>152130.70000000001</v>
      </c>
      <c r="P149" s="14">
        <f>IFERROR(ROUND(SUM(S150,S151,S152,S153)/I149, 2),0)</f>
        <v>1625.8</v>
      </c>
      <c r="Q149" s="16">
        <v>1655</v>
      </c>
      <c r="R149" s="14">
        <f>P149+ROUND(Q149, 2)</f>
        <v>3280.8</v>
      </c>
      <c r="S149" s="14">
        <f>ROUND(P149*I149, 2)</f>
        <v>75388.350000000006</v>
      </c>
      <c r="T149" s="14">
        <f>ROUND(I149*ROUND(Q149, 2), 2)</f>
        <v>76742.350000000006</v>
      </c>
      <c r="U149" s="14">
        <f>S149+T149</f>
        <v>152130.70000000001</v>
      </c>
      <c r="V149" s="9">
        <f>ROUND(P149 / 1.2, 2)</f>
        <v>1354.83</v>
      </c>
      <c r="W149" s="9">
        <f>ROUND(Q149 / 1.2, 2)</f>
        <v>1379.17</v>
      </c>
      <c r="X149" s="9">
        <f>ROUND(R149 / 1.2, 2)</f>
        <v>2734</v>
      </c>
      <c r="Y149" s="9">
        <f t="shared" si="14"/>
        <v>62823.63</v>
      </c>
      <c r="Z149" s="9">
        <f>ROUND(T149 / 1.2, 2)</f>
        <v>63951.96</v>
      </c>
      <c r="AA149" s="9">
        <f>Y149+Z149</f>
        <v>126775.59</v>
      </c>
      <c r="AD149" s="4">
        <v>271132175</v>
      </c>
      <c r="AE149" s="4">
        <v>19987963</v>
      </c>
      <c r="AG149" s="4" t="s">
        <v>656</v>
      </c>
      <c r="AH149" s="4" t="s">
        <v>657</v>
      </c>
      <c r="AI149" s="4" t="s">
        <v>67</v>
      </c>
    </row>
    <row r="150" spans="1:35" ht="54" hidden="1" x14ac:dyDescent="0.3">
      <c r="A150" s="10" t="s">
        <v>675</v>
      </c>
      <c r="B150" s="10"/>
      <c r="C150" s="17" t="s">
        <v>676</v>
      </c>
      <c r="D150" s="12"/>
      <c r="E150" s="12" t="s">
        <v>677</v>
      </c>
      <c r="F150" s="18" t="s">
        <v>64</v>
      </c>
      <c r="G150" s="19">
        <v>1.07</v>
      </c>
      <c r="H150" s="20"/>
      <c r="I150" s="20">
        <v>49.616</v>
      </c>
      <c r="J150" s="21">
        <v>1384.95</v>
      </c>
      <c r="M150" s="22">
        <f>ROUND(ROUND(J150, 2)*I150, 2)</f>
        <v>68715.679999999993</v>
      </c>
      <c r="P150" s="23">
        <v>1384.95</v>
      </c>
      <c r="S150" s="22">
        <f>ROUND(ROUND(P150, 2)*I150, 2)</f>
        <v>68715.679999999993</v>
      </c>
      <c r="V150" s="9">
        <f>ROUND(ROUND(P150, 2)/1.2, 2)</f>
        <v>1154.1300000000001</v>
      </c>
      <c r="Y150" s="9">
        <f t="shared" si="14"/>
        <v>57263.07</v>
      </c>
      <c r="AD150" s="4" t="s">
        <v>678</v>
      </c>
      <c r="AE150" s="4" t="s">
        <v>679</v>
      </c>
      <c r="AF150" s="4" t="s">
        <v>680</v>
      </c>
    </row>
    <row r="151" spans="1:35" ht="36" hidden="1" x14ac:dyDescent="0.3">
      <c r="A151" s="10" t="s">
        <v>681</v>
      </c>
      <c r="B151" s="10"/>
      <c r="C151" s="24" t="s">
        <v>433</v>
      </c>
      <c r="D151" s="12"/>
      <c r="E151" s="12"/>
      <c r="F151" s="18" t="s">
        <v>70</v>
      </c>
      <c r="G151" s="19">
        <v>0.15</v>
      </c>
      <c r="H151" s="19"/>
      <c r="I151" s="19">
        <v>6.9560000000000004</v>
      </c>
      <c r="J151" s="21">
        <v>88.8</v>
      </c>
      <c r="M151" s="22">
        <f>ROUND(ROUND(J151, 2)*I151, 2)</f>
        <v>617.69000000000005</v>
      </c>
      <c r="P151" s="23">
        <v>88.8</v>
      </c>
      <c r="S151" s="22">
        <f>ROUND(ROUND(P151, 2)*I151, 2)</f>
        <v>617.69000000000005</v>
      </c>
      <c r="V151" s="9">
        <f>ROUND(ROUND(P151, 2)/1.2, 2)</f>
        <v>74</v>
      </c>
      <c r="Y151" s="9">
        <f t="shared" si="14"/>
        <v>514.74</v>
      </c>
      <c r="AD151" s="4" t="s">
        <v>682</v>
      </c>
      <c r="AE151" s="4" t="s">
        <v>683</v>
      </c>
      <c r="AF151" s="4" t="s">
        <v>436</v>
      </c>
    </row>
    <row r="152" spans="1:35" ht="18" hidden="1" x14ac:dyDescent="0.3">
      <c r="A152" s="10" t="s">
        <v>684</v>
      </c>
      <c r="B152" s="10"/>
      <c r="C152" s="24" t="s">
        <v>612</v>
      </c>
      <c r="D152" s="12"/>
      <c r="E152" s="12"/>
      <c r="F152" s="18" t="s">
        <v>70</v>
      </c>
      <c r="G152" s="19">
        <v>0.25</v>
      </c>
      <c r="H152" s="20"/>
      <c r="I152" s="20">
        <v>11.593</v>
      </c>
      <c r="J152" s="21">
        <v>47.44</v>
      </c>
      <c r="M152" s="22">
        <f>ROUND(ROUND(J152, 2)*I152, 2)</f>
        <v>549.97</v>
      </c>
      <c r="P152" s="23">
        <v>47.44</v>
      </c>
      <c r="S152" s="22">
        <f>ROUND(ROUND(P152, 2)*I152, 2)</f>
        <v>549.97</v>
      </c>
      <c r="V152" s="9">
        <f>ROUND(ROUND(P152, 2)/1.2, 2)</f>
        <v>39.53</v>
      </c>
      <c r="Y152" s="9">
        <f t="shared" si="14"/>
        <v>458.31</v>
      </c>
      <c r="AD152" s="4" t="s">
        <v>685</v>
      </c>
      <c r="AE152" s="4" t="s">
        <v>686</v>
      </c>
      <c r="AF152" s="4" t="s">
        <v>616</v>
      </c>
    </row>
    <row r="153" spans="1:35" ht="54" hidden="1" x14ac:dyDescent="0.3">
      <c r="A153" s="10" t="s">
        <v>687</v>
      </c>
      <c r="B153" s="10"/>
      <c r="C153" s="17" t="s">
        <v>401</v>
      </c>
      <c r="D153" s="12"/>
      <c r="E153" s="12" t="s">
        <v>402</v>
      </c>
      <c r="F153" s="18" t="s">
        <v>70</v>
      </c>
      <c r="G153" s="19">
        <v>7</v>
      </c>
      <c r="H153" s="19"/>
      <c r="I153" s="19">
        <v>324.58999999999997</v>
      </c>
      <c r="J153" s="21">
        <v>16.96</v>
      </c>
      <c r="M153" s="22">
        <f>ROUND(ROUND(J153, 2)*I153, 2)</f>
        <v>5505.05</v>
      </c>
      <c r="P153" s="23">
        <v>16.96</v>
      </c>
      <c r="S153" s="22">
        <f>ROUND(ROUND(P153, 2)*I153, 2)</f>
        <v>5505.05</v>
      </c>
      <c r="V153" s="9">
        <f>ROUND(ROUND(P153, 2)/1.2, 2)</f>
        <v>14.13</v>
      </c>
      <c r="Y153" s="9">
        <f t="shared" si="14"/>
        <v>4587.54</v>
      </c>
      <c r="AD153" s="4" t="s">
        <v>688</v>
      </c>
      <c r="AE153" s="4" t="s">
        <v>689</v>
      </c>
      <c r="AF153" s="4" t="s">
        <v>405</v>
      </c>
    </row>
    <row r="154" spans="1:35" ht="54" hidden="1" x14ac:dyDescent="0.3">
      <c r="A154" s="10" t="s">
        <v>690</v>
      </c>
      <c r="B154" s="10" t="s">
        <v>691</v>
      </c>
      <c r="C154" s="11" t="s">
        <v>692</v>
      </c>
      <c r="D154" s="12"/>
      <c r="E154" s="12" t="s">
        <v>693</v>
      </c>
      <c r="F154" s="12" t="s">
        <v>64</v>
      </c>
      <c r="G154" s="13">
        <v>1</v>
      </c>
      <c r="H154" s="13"/>
      <c r="I154" s="13">
        <v>335.84</v>
      </c>
      <c r="J154" s="14">
        <f>IFERROR(ROUND(SUM(M155,M156,M157,M158)/I154, 2),0)</f>
        <v>2235.0700000000002</v>
      </c>
      <c r="K154" s="15">
        <v>2785</v>
      </c>
      <c r="L154" s="14">
        <f>J154+ROUND(K154, 2)</f>
        <v>5020.07</v>
      </c>
      <c r="M154" s="14">
        <f>ROUND(J154*I154, 2)</f>
        <v>750625.91</v>
      </c>
      <c r="N154" s="14">
        <f>ROUND(I154*ROUND(K154, 2), 2)</f>
        <v>935314.4</v>
      </c>
      <c r="O154" s="14">
        <f>M154+N154</f>
        <v>1685940.31</v>
      </c>
      <c r="P154" s="14">
        <f>IFERROR(ROUND(SUM(S155,S156,S157,S158)/I154, 2),0)</f>
        <v>2235.0700000000002</v>
      </c>
      <c r="Q154" s="16">
        <v>2785</v>
      </c>
      <c r="R154" s="14">
        <f>P154+ROUND(Q154, 2)</f>
        <v>5020.07</v>
      </c>
      <c r="S154" s="14">
        <f>ROUND(P154*I154, 2)</f>
        <v>750625.91</v>
      </c>
      <c r="T154" s="14">
        <f>ROUND(I154*ROUND(Q154, 2), 2)</f>
        <v>935314.4</v>
      </c>
      <c r="U154" s="14">
        <f>S154+T154</f>
        <v>1685940.31</v>
      </c>
      <c r="V154" s="9">
        <f>ROUND(P154 / 1.2, 2)</f>
        <v>1862.56</v>
      </c>
      <c r="W154" s="9">
        <f>ROUND(Q154 / 1.2, 2)</f>
        <v>2320.83</v>
      </c>
      <c r="X154" s="9">
        <f>ROUND(R154 / 1.2, 2)</f>
        <v>4183.3900000000003</v>
      </c>
      <c r="Y154" s="9">
        <f t="shared" si="14"/>
        <v>625521.59</v>
      </c>
      <c r="Z154" s="9">
        <f>ROUND(T154 / 1.2, 2)</f>
        <v>779428.67</v>
      </c>
      <c r="AA154" s="9">
        <f>Y154+Z154</f>
        <v>1404950.26</v>
      </c>
      <c r="AD154" s="4">
        <v>271132093</v>
      </c>
      <c r="AE154" s="4">
        <v>19973763</v>
      </c>
      <c r="AG154" s="4" t="s">
        <v>694</v>
      </c>
      <c r="AH154" s="4" t="s">
        <v>695</v>
      </c>
      <c r="AI154" s="4" t="s">
        <v>67</v>
      </c>
    </row>
    <row r="155" spans="1:35" ht="54" hidden="1" x14ac:dyDescent="0.3">
      <c r="A155" s="10" t="s">
        <v>696</v>
      </c>
      <c r="B155" s="10"/>
      <c r="C155" s="17" t="s">
        <v>697</v>
      </c>
      <c r="D155" s="12"/>
      <c r="E155" s="12" t="s">
        <v>402</v>
      </c>
      <c r="F155" s="18" t="s">
        <v>70</v>
      </c>
      <c r="G155" s="19">
        <v>1.2</v>
      </c>
      <c r="H155" s="20"/>
      <c r="I155" s="20">
        <v>806.01599999999996</v>
      </c>
      <c r="J155" s="21">
        <v>16.96</v>
      </c>
      <c r="M155" s="22">
        <f>ROUND(ROUND(J155, 2)*I155, 2)</f>
        <v>13670.03</v>
      </c>
      <c r="P155" s="23">
        <v>16.96</v>
      </c>
      <c r="S155" s="22">
        <f>ROUND(ROUND(P155, 2)*I155, 2)</f>
        <v>13670.03</v>
      </c>
      <c r="V155" s="9">
        <f>ROUND(ROUND(P155, 2)/1.2, 2)</f>
        <v>14.13</v>
      </c>
      <c r="Y155" s="9">
        <f t="shared" si="14"/>
        <v>11391.69</v>
      </c>
      <c r="AD155" s="4" t="s">
        <v>698</v>
      </c>
      <c r="AE155" s="4" t="s">
        <v>699</v>
      </c>
      <c r="AF155" s="4" t="s">
        <v>700</v>
      </c>
    </row>
    <row r="156" spans="1:35" ht="72" hidden="1" x14ac:dyDescent="0.3">
      <c r="A156" s="10" t="s">
        <v>701</v>
      </c>
      <c r="B156" s="10"/>
      <c r="C156" s="24" t="s">
        <v>702</v>
      </c>
      <c r="D156" s="12"/>
      <c r="E156" s="12" t="s">
        <v>703</v>
      </c>
      <c r="F156" s="18" t="s">
        <v>64</v>
      </c>
      <c r="G156" s="19">
        <v>1.2</v>
      </c>
      <c r="H156" s="20"/>
      <c r="I156" s="20">
        <v>403.00799999999998</v>
      </c>
      <c r="J156" s="21">
        <v>1809.15</v>
      </c>
      <c r="M156" s="22">
        <f>ROUND(ROUND(J156, 2)*I156, 2)</f>
        <v>729101.92</v>
      </c>
      <c r="P156" s="23">
        <v>1809.15</v>
      </c>
      <c r="S156" s="22">
        <f>ROUND(ROUND(P156, 2)*I156, 2)</f>
        <v>729101.92</v>
      </c>
      <c r="V156" s="9">
        <f>ROUND(ROUND(P156, 2)/1.2, 2)</f>
        <v>1507.63</v>
      </c>
      <c r="Y156" s="9">
        <f t="shared" si="14"/>
        <v>607584.93000000005</v>
      </c>
      <c r="AD156" s="4" t="s">
        <v>704</v>
      </c>
      <c r="AE156" s="4" t="s">
        <v>705</v>
      </c>
      <c r="AF156" s="4" t="s">
        <v>706</v>
      </c>
    </row>
    <row r="157" spans="1:35" ht="36" hidden="1" x14ac:dyDescent="0.3">
      <c r="A157" s="10" t="s">
        <v>707</v>
      </c>
      <c r="B157" s="10"/>
      <c r="C157" s="24" t="s">
        <v>426</v>
      </c>
      <c r="D157" s="12"/>
      <c r="E157" s="12"/>
      <c r="F157" s="18" t="s">
        <v>70</v>
      </c>
      <c r="G157" s="19">
        <v>0.25</v>
      </c>
      <c r="H157" s="20"/>
      <c r="I157" s="20">
        <v>83.96</v>
      </c>
      <c r="J157" s="21">
        <v>40.270000000000003</v>
      </c>
      <c r="M157" s="22">
        <f>ROUND(ROUND(J157, 2)*I157, 2)</f>
        <v>3381.07</v>
      </c>
      <c r="P157" s="23">
        <v>40.270000000000003</v>
      </c>
      <c r="S157" s="22">
        <f>ROUND(ROUND(P157, 2)*I157, 2)</f>
        <v>3381.07</v>
      </c>
      <c r="V157" s="9">
        <f>ROUND(ROUND(P157, 2)/1.2, 2)</f>
        <v>33.56</v>
      </c>
      <c r="Y157" s="9">
        <f t="shared" si="14"/>
        <v>2817.56</v>
      </c>
      <c r="AD157" s="4" t="s">
        <v>708</v>
      </c>
      <c r="AE157" s="4" t="s">
        <v>709</v>
      </c>
      <c r="AF157" s="4" t="s">
        <v>429</v>
      </c>
    </row>
    <row r="158" spans="1:35" ht="36" hidden="1" x14ac:dyDescent="0.3">
      <c r="A158" s="10" t="s">
        <v>710</v>
      </c>
      <c r="B158" s="10"/>
      <c r="C158" s="24" t="s">
        <v>433</v>
      </c>
      <c r="D158" s="12"/>
      <c r="E158" s="12"/>
      <c r="F158" s="18" t="s">
        <v>70</v>
      </c>
      <c r="G158" s="19">
        <v>0.15</v>
      </c>
      <c r="H158" s="19"/>
      <c r="I158" s="19">
        <v>50.375999999999998</v>
      </c>
      <c r="J158" s="21">
        <v>88.8</v>
      </c>
      <c r="M158" s="22">
        <f>ROUND(ROUND(J158, 2)*I158, 2)</f>
        <v>4473.3900000000003</v>
      </c>
      <c r="P158" s="23">
        <v>88.8</v>
      </c>
      <c r="S158" s="22">
        <f>ROUND(ROUND(P158, 2)*I158, 2)</f>
        <v>4473.3900000000003</v>
      </c>
      <c r="V158" s="9">
        <f>ROUND(ROUND(P158, 2)/1.2, 2)</f>
        <v>74</v>
      </c>
      <c r="Y158" s="9">
        <f t="shared" si="14"/>
        <v>3727.83</v>
      </c>
      <c r="AD158" s="4" t="s">
        <v>711</v>
      </c>
      <c r="AE158" s="4" t="s">
        <v>712</v>
      </c>
      <c r="AF158" s="4" t="s">
        <v>436</v>
      </c>
    </row>
    <row r="159" spans="1:35" ht="54" hidden="1" x14ac:dyDescent="0.3">
      <c r="A159" s="10" t="s">
        <v>713</v>
      </c>
      <c r="B159" s="10" t="s">
        <v>691</v>
      </c>
      <c r="C159" s="11" t="s">
        <v>692</v>
      </c>
      <c r="D159" s="12"/>
      <c r="E159" s="12" t="s">
        <v>714</v>
      </c>
      <c r="F159" s="12" t="s">
        <v>64</v>
      </c>
      <c r="G159" s="13">
        <v>1</v>
      </c>
      <c r="H159" s="13"/>
      <c r="I159" s="13">
        <v>551.70000000000005</v>
      </c>
      <c r="J159" s="14">
        <f>IFERROR(ROUND(SUM(M160,M161,M162,M163)/I159, 2),0)</f>
        <v>2235.0700000000002</v>
      </c>
      <c r="K159" s="15">
        <v>2785</v>
      </c>
      <c r="L159" s="14">
        <f>J159+ROUND(K159, 2)</f>
        <v>5020.07</v>
      </c>
      <c r="M159" s="14">
        <f>ROUND(J159*I159, 2)</f>
        <v>1233088.1200000001</v>
      </c>
      <c r="N159" s="14">
        <f>ROUND(I159*ROUND(K159, 2), 2)</f>
        <v>1536484.5</v>
      </c>
      <c r="O159" s="14">
        <f>M159+N159</f>
        <v>2769572.62</v>
      </c>
      <c r="P159" s="14">
        <f>IFERROR(ROUND(SUM(S160,S161,S162,S163)/I159, 2),0)</f>
        <v>2235.0700000000002</v>
      </c>
      <c r="Q159" s="16">
        <v>2785</v>
      </c>
      <c r="R159" s="14">
        <f>P159+ROUND(Q159, 2)</f>
        <v>5020.07</v>
      </c>
      <c r="S159" s="14">
        <f>ROUND(P159*I159, 2)</f>
        <v>1233088.1200000001</v>
      </c>
      <c r="T159" s="14">
        <f>ROUND(I159*ROUND(Q159, 2), 2)</f>
        <v>1536484.5</v>
      </c>
      <c r="U159" s="14">
        <f>S159+T159</f>
        <v>2769572.62</v>
      </c>
      <c r="V159" s="9">
        <f>ROUND(P159 / 1.2, 2)</f>
        <v>1862.56</v>
      </c>
      <c r="W159" s="9">
        <f>ROUND(Q159 / 1.2, 2)</f>
        <v>2320.83</v>
      </c>
      <c r="X159" s="9">
        <f>ROUND(R159 / 1.2, 2)</f>
        <v>4183.3900000000003</v>
      </c>
      <c r="Y159" s="9">
        <f t="shared" ref="Y159:Y163" si="15">ROUND(S159 / 1.2, 2)</f>
        <v>1027573.43</v>
      </c>
      <c r="Z159" s="9">
        <f>ROUND(T159 / 1.2, 2)</f>
        <v>1280403.75</v>
      </c>
      <c r="AA159" s="9">
        <f>Y159+Z159</f>
        <v>2307977.1800000002</v>
      </c>
      <c r="AD159" s="4">
        <v>271132176</v>
      </c>
      <c r="AE159" s="4">
        <v>19973766</v>
      </c>
      <c r="AG159" s="4" t="s">
        <v>694</v>
      </c>
      <c r="AH159" s="4" t="s">
        <v>695</v>
      </c>
      <c r="AI159" s="4" t="s">
        <v>67</v>
      </c>
    </row>
    <row r="160" spans="1:35" ht="36" hidden="1" x14ac:dyDescent="0.3">
      <c r="A160" s="10" t="s">
        <v>715</v>
      </c>
      <c r="B160" s="10"/>
      <c r="C160" s="24" t="s">
        <v>433</v>
      </c>
      <c r="D160" s="12"/>
      <c r="E160" s="12"/>
      <c r="F160" s="18" t="s">
        <v>70</v>
      </c>
      <c r="G160" s="19">
        <v>0.15</v>
      </c>
      <c r="H160" s="19"/>
      <c r="I160" s="19">
        <v>82.754999999999995</v>
      </c>
      <c r="J160" s="21">
        <v>88.8</v>
      </c>
      <c r="M160" s="22">
        <f>ROUND(ROUND(J160, 2)*I160, 2)</f>
        <v>7348.64</v>
      </c>
      <c r="P160" s="23">
        <v>88.8</v>
      </c>
      <c r="S160" s="22">
        <f>ROUND(ROUND(P160, 2)*I160, 2)</f>
        <v>7348.64</v>
      </c>
      <c r="V160" s="9">
        <f>ROUND(ROUND(P160, 2)/1.2, 2)</f>
        <v>74</v>
      </c>
      <c r="Y160" s="9">
        <f t="shared" si="15"/>
        <v>6123.87</v>
      </c>
      <c r="AD160" s="4" t="s">
        <v>716</v>
      </c>
      <c r="AE160" s="4" t="s">
        <v>717</v>
      </c>
      <c r="AF160" s="4" t="s">
        <v>436</v>
      </c>
    </row>
    <row r="161" spans="1:35" ht="36" hidden="1" x14ac:dyDescent="0.3">
      <c r="A161" s="10" t="s">
        <v>718</v>
      </c>
      <c r="B161" s="10"/>
      <c r="C161" s="24" t="s">
        <v>426</v>
      </c>
      <c r="D161" s="12"/>
      <c r="E161" s="12"/>
      <c r="F161" s="18" t="s">
        <v>70</v>
      </c>
      <c r="G161" s="19">
        <v>0.25</v>
      </c>
      <c r="H161" s="20"/>
      <c r="I161" s="20">
        <v>137.92500000000001</v>
      </c>
      <c r="J161" s="21">
        <v>40.270000000000003</v>
      </c>
      <c r="M161" s="22">
        <f>ROUND(ROUND(J161, 2)*I161, 2)</f>
        <v>5554.24</v>
      </c>
      <c r="P161" s="23">
        <v>40.270000000000003</v>
      </c>
      <c r="S161" s="22">
        <f>ROUND(ROUND(P161, 2)*I161, 2)</f>
        <v>5554.24</v>
      </c>
      <c r="V161" s="9">
        <f>ROUND(ROUND(P161, 2)/1.2, 2)</f>
        <v>33.56</v>
      </c>
      <c r="Y161" s="9">
        <f t="shared" si="15"/>
        <v>4628.53</v>
      </c>
      <c r="AD161" s="4" t="s">
        <v>719</v>
      </c>
      <c r="AE161" s="4" t="s">
        <v>720</v>
      </c>
      <c r="AF161" s="4" t="s">
        <v>429</v>
      </c>
    </row>
    <row r="162" spans="1:35" ht="72" hidden="1" x14ac:dyDescent="0.3">
      <c r="A162" s="10" t="s">
        <v>721</v>
      </c>
      <c r="B162" s="10"/>
      <c r="C162" s="24" t="s">
        <v>702</v>
      </c>
      <c r="D162" s="12"/>
      <c r="E162" s="12" t="s">
        <v>703</v>
      </c>
      <c r="F162" s="18" t="s">
        <v>64</v>
      </c>
      <c r="G162" s="19">
        <v>1.2</v>
      </c>
      <c r="H162" s="20"/>
      <c r="I162" s="20">
        <v>662.04</v>
      </c>
      <c r="J162" s="21">
        <v>1809.15</v>
      </c>
      <c r="M162" s="22">
        <f>ROUND(ROUND(J162, 2)*I162, 2)</f>
        <v>1197729.67</v>
      </c>
      <c r="P162" s="23">
        <v>1809.15</v>
      </c>
      <c r="S162" s="22">
        <f>ROUND(ROUND(P162, 2)*I162, 2)</f>
        <v>1197729.67</v>
      </c>
      <c r="V162" s="9">
        <f>ROUND(ROUND(P162, 2)/1.2, 2)</f>
        <v>1507.63</v>
      </c>
      <c r="Y162" s="9">
        <f t="shared" si="15"/>
        <v>998108.06</v>
      </c>
      <c r="AD162" s="4" t="s">
        <v>722</v>
      </c>
      <c r="AE162" s="4" t="s">
        <v>723</v>
      </c>
      <c r="AF162" s="4" t="s">
        <v>706</v>
      </c>
    </row>
    <row r="163" spans="1:35" ht="54" hidden="1" x14ac:dyDescent="0.3">
      <c r="A163" s="10" t="s">
        <v>724</v>
      </c>
      <c r="B163" s="10"/>
      <c r="C163" s="17" t="s">
        <v>697</v>
      </c>
      <c r="D163" s="12"/>
      <c r="E163" s="12" t="s">
        <v>402</v>
      </c>
      <c r="F163" s="18" t="s">
        <v>70</v>
      </c>
      <c r="G163" s="19">
        <v>1.2</v>
      </c>
      <c r="H163" s="20"/>
      <c r="I163" s="20">
        <v>1324.08</v>
      </c>
      <c r="J163" s="21">
        <v>16.96</v>
      </c>
      <c r="M163" s="22">
        <f>ROUND(ROUND(J163, 2)*I163, 2)</f>
        <v>22456.400000000001</v>
      </c>
      <c r="P163" s="23">
        <v>16.96</v>
      </c>
      <c r="S163" s="22">
        <f>ROUND(ROUND(P163, 2)*I163, 2)</f>
        <v>22456.400000000001</v>
      </c>
      <c r="V163" s="9">
        <f>ROUND(ROUND(P163, 2)/1.2, 2)</f>
        <v>14.13</v>
      </c>
      <c r="Y163" s="9">
        <f t="shared" si="15"/>
        <v>18713.669999999998</v>
      </c>
      <c r="AD163" s="4" t="s">
        <v>725</v>
      </c>
      <c r="AE163" s="4" t="s">
        <v>726</v>
      </c>
      <c r="AF163" s="4" t="s">
        <v>700</v>
      </c>
    </row>
    <row r="164" spans="1:35" ht="17.100000000000001" customHeight="1" x14ac:dyDescent="0.3">
      <c r="A164" s="10" t="s">
        <v>727</v>
      </c>
      <c r="B164" s="10" t="s">
        <v>728</v>
      </c>
      <c r="C164" s="185" t="s">
        <v>729</v>
      </c>
      <c r="D164" s="186"/>
      <c r="E164" s="186"/>
      <c r="F164" s="186"/>
      <c r="G164" s="186"/>
      <c r="H164" s="186"/>
      <c r="I164" s="187"/>
      <c r="M164" s="6">
        <f>SUM(M165,M262,M443,M515)</f>
        <v>13876950.84</v>
      </c>
      <c r="N164" s="6">
        <f>SUM(N165,N262,N443,N515)</f>
        <v>59672651.509999998</v>
      </c>
      <c r="O164" s="6">
        <f>SUM(O165,O262,O443,O515)</f>
        <v>73549602.349999994</v>
      </c>
      <c r="S164" s="6">
        <f>SUM(S165,S262,S443,S515)</f>
        <v>13804955.51</v>
      </c>
      <c r="T164" s="6">
        <f>SUM(T165,T262,T443,T515)</f>
        <v>59672651.509999998</v>
      </c>
      <c r="U164" s="6">
        <f>SUM(U165,U262,U443,U515)</f>
        <v>73477607.019999996</v>
      </c>
      <c r="Y164" s="9">
        <f>SUM(Y165,Y262,Y443,Y515)</f>
        <v>11504129.649999999</v>
      </c>
      <c r="Z164" s="9">
        <f>SUM(Z165,Z262,Z443,Z515)</f>
        <v>49727209.600000001</v>
      </c>
      <c r="AA164" s="9">
        <f>SUM(AA165,AA262,AA443,AA515)</f>
        <v>61231339.25</v>
      </c>
      <c r="AD164" s="4">
        <v>271132094</v>
      </c>
      <c r="AE164" s="4">
        <v>16211408</v>
      </c>
    </row>
    <row r="165" spans="1:35" ht="17.100000000000001" customHeight="1" x14ac:dyDescent="0.3">
      <c r="A165" s="10" t="s">
        <v>730</v>
      </c>
      <c r="B165" s="10" t="s">
        <v>731</v>
      </c>
      <c r="C165" s="185" t="s">
        <v>732</v>
      </c>
      <c r="D165" s="186"/>
      <c r="E165" s="186"/>
      <c r="F165" s="186"/>
      <c r="G165" s="186"/>
      <c r="H165" s="186"/>
      <c r="I165" s="187"/>
      <c r="M165" s="6">
        <f>SUM(M166,M169,M173,M178,M181,M185,M188,M192,M195,M199,M202,M206,M209,M212,M215,M218,M221,M226,M231,M236,M241,M246,M250,M254,M258)</f>
        <v>9465851.8200000003</v>
      </c>
      <c r="N165" s="6">
        <f>SUM(N166,N169,N173,N178,N181,N185,N188,N192,N195,N199,N202,N206,N209,N212,N215,N218,N221,N226,N231,N236,N241,N246,N250,N254,N258)</f>
        <v>44797200.280000001</v>
      </c>
      <c r="O165" s="6">
        <f>SUM(O166,O169,O173,O178,O181,O185,O188,O192,O195,O199,O202,O206,O209,O212,O215,O218,O221,O226,O231,O236,O241,O246,O250,O254,O258)</f>
        <v>54263052.100000001</v>
      </c>
      <c r="S165" s="6">
        <f>SUM(S166,S169,S173,S178,S181,S185,S188,S192,S195,S199,S202,S206,S209,S212,S215,S218,S221,S226,S231,S236,S241,S246,S250,S254,S258)</f>
        <v>9465851.8200000003</v>
      </c>
      <c r="T165" s="6">
        <f>SUM(T166,T169,T173,T178,T181,T185,T188,T192,T195,T199,T202,T206,T209,T212,T215,T218,T221,T226,T231,T236,T241,T246,T250,T254,T258)</f>
        <v>44797200.280000001</v>
      </c>
      <c r="U165" s="6">
        <f>SUM(U166,U169,U173,U178,U181,U185,U188,U192,U195,U199,U202,U206,U209,U212,U215,U218,U221,U226,U231,U236,U241,U246,U250,U254,U258)</f>
        <v>54263052.100000001</v>
      </c>
      <c r="Y165" s="9">
        <f>SUM(Y166,Y169,Y173,Y178,Y181,Y185,Y188,Y192,Y195,Y199,Y202,Y206,Y209,Y212,Y215,Y218,Y221,Y226,Y231,Y236,Y241,Y246,Y250,Y254,Y258)</f>
        <v>7888209.8599999994</v>
      </c>
      <c r="Z165" s="9">
        <f>SUM(Z166,Z169,Z173,Z178,Z181,Z185,Z188,Z192,Z195,Z199,Z202,Z206,Z209,Z212,Z215,Z218,Z221,Z226,Z231,Z236,Z241,Z246,Z250,Z254,Z258)</f>
        <v>37331000.240000002</v>
      </c>
      <c r="AA165" s="9">
        <f>SUM(AA166,AA169,AA173,AA178,AA181,AA185,AA188,AA192,AA195,AA199,AA202,AA206,AA209,AA212,AA215,AA218,AA221,AA226,AA231,AA236,AA241,AA246,AA250,AA254,AA258)</f>
        <v>45219210.100000001</v>
      </c>
      <c r="AD165" s="4">
        <v>271132095</v>
      </c>
      <c r="AE165" s="4">
        <v>16211414</v>
      </c>
    </row>
    <row r="166" spans="1:35" ht="69.599999999999994" x14ac:dyDescent="0.3">
      <c r="A166" s="91" t="s">
        <v>733</v>
      </c>
      <c r="B166" s="91" t="s">
        <v>734</v>
      </c>
      <c r="C166" s="207" t="s">
        <v>735</v>
      </c>
      <c r="D166" s="93"/>
      <c r="E166" s="93" t="s">
        <v>736</v>
      </c>
      <c r="F166" s="93" t="s">
        <v>87</v>
      </c>
      <c r="G166" s="94">
        <v>1</v>
      </c>
      <c r="H166" s="94"/>
      <c r="I166" s="94">
        <v>3871.86</v>
      </c>
      <c r="J166" s="14">
        <f>IFERROR(ROUND(SUM(M167,M168)/I166, 2),0)</f>
        <v>11.51</v>
      </c>
      <c r="K166" s="15">
        <v>28</v>
      </c>
      <c r="L166" s="14">
        <f>J166+ROUND(K166, 2)</f>
        <v>39.51</v>
      </c>
      <c r="M166" s="14">
        <f>ROUND(J166*I166, 2)</f>
        <v>44565.11</v>
      </c>
      <c r="N166" s="14">
        <f>ROUND(I166*ROUND(K166, 2), 2)</f>
        <v>108412.08</v>
      </c>
      <c r="O166" s="14">
        <f>M166+N166</f>
        <v>152977.19</v>
      </c>
      <c r="P166" s="14">
        <f>IFERROR(ROUND(SUM(S167,S168)/I166, 2),0)</f>
        <v>11.51</v>
      </c>
      <c r="Q166" s="16">
        <v>28</v>
      </c>
      <c r="R166" s="14">
        <f>P166+ROUND(Q166, 2)</f>
        <v>39.51</v>
      </c>
      <c r="S166" s="14">
        <f>ROUND(P166*I166, 2)</f>
        <v>44565.11</v>
      </c>
      <c r="T166" s="14">
        <f>ROUND(I166*ROUND(Q166, 2), 2)</f>
        <v>108412.08</v>
      </c>
      <c r="U166" s="14">
        <f>S166+T166</f>
        <v>152977.19</v>
      </c>
      <c r="V166" s="9">
        <f>ROUND(P166 / 1.2, 2)</f>
        <v>9.59</v>
      </c>
      <c r="W166" s="9">
        <f>ROUND(Q166 / 1.2, 2)</f>
        <v>23.33</v>
      </c>
      <c r="X166" s="9">
        <f>ROUND(R166 / 1.2, 2)</f>
        <v>32.93</v>
      </c>
      <c r="Y166" s="9">
        <f>ROUND(S166 / 1.2, 2)</f>
        <v>37137.589999999997</v>
      </c>
      <c r="Z166" s="9">
        <f>ROUND(T166 / 1.2, 2)</f>
        <v>90343.4</v>
      </c>
      <c r="AA166" s="9">
        <f>Y166+Z166</f>
        <v>127480.98999999999</v>
      </c>
      <c r="AD166" s="4">
        <v>271132097</v>
      </c>
      <c r="AE166" s="4">
        <v>19813870</v>
      </c>
      <c r="AG166" s="4" t="s">
        <v>737</v>
      </c>
      <c r="AH166" s="4" t="s">
        <v>738</v>
      </c>
      <c r="AI166" s="4" t="s">
        <v>67</v>
      </c>
    </row>
    <row r="167" spans="1:35" ht="36" x14ac:dyDescent="0.3">
      <c r="A167" s="91" t="s">
        <v>739</v>
      </c>
      <c r="B167" s="91"/>
      <c r="C167" s="95" t="s">
        <v>740</v>
      </c>
      <c r="D167" s="93"/>
      <c r="E167" s="93"/>
      <c r="F167" s="96" t="s">
        <v>70</v>
      </c>
      <c r="G167" s="97">
        <v>0.3</v>
      </c>
      <c r="H167" s="98"/>
      <c r="I167" s="98">
        <v>1161.558</v>
      </c>
      <c r="J167" s="21">
        <v>12.7</v>
      </c>
      <c r="M167" s="22">
        <f>ROUND(ROUND(J167, 2)*I167, 2)</f>
        <v>14751.79</v>
      </c>
      <c r="P167" s="23">
        <v>12.7</v>
      </c>
      <c r="S167" s="22">
        <f>ROUND(ROUND(P167, 2)*I167, 2)</f>
        <v>14751.79</v>
      </c>
      <c r="V167" s="9">
        <f>ROUND(ROUND(P167, 2)/1.2, 2)</f>
        <v>10.58</v>
      </c>
      <c r="Y167" s="9">
        <f t="shared" ref="Y167:Y230" si="16">ROUND(S167 / 1.2, 2)</f>
        <v>12293.16</v>
      </c>
      <c r="AD167" s="4" t="s">
        <v>741</v>
      </c>
      <c r="AE167" s="4" t="s">
        <v>742</v>
      </c>
      <c r="AF167" s="4" t="s">
        <v>743</v>
      </c>
    </row>
    <row r="168" spans="1:35" ht="18" x14ac:dyDescent="0.3">
      <c r="A168" s="91" t="s">
        <v>744</v>
      </c>
      <c r="B168" s="91"/>
      <c r="C168" s="99" t="s">
        <v>745</v>
      </c>
      <c r="D168" s="93"/>
      <c r="E168" s="93"/>
      <c r="F168" s="96" t="s">
        <v>87</v>
      </c>
      <c r="G168" s="97">
        <v>1.1000000000000001</v>
      </c>
      <c r="H168" s="98"/>
      <c r="I168" s="98">
        <v>4259.0460000000003</v>
      </c>
      <c r="J168" s="21">
        <v>7</v>
      </c>
      <c r="M168" s="22">
        <f>ROUND(ROUND(J168, 2)*I168, 2)</f>
        <v>29813.32</v>
      </c>
      <c r="P168" s="23">
        <v>7</v>
      </c>
      <c r="S168" s="22">
        <f>ROUND(ROUND(P168, 2)*I168, 2)</f>
        <v>29813.32</v>
      </c>
      <c r="V168" s="9">
        <f>ROUND(ROUND(P168, 2)/1.2, 2)</f>
        <v>5.83</v>
      </c>
      <c r="Y168" s="9">
        <f t="shared" si="16"/>
        <v>24844.43</v>
      </c>
      <c r="AD168" s="4" t="s">
        <v>746</v>
      </c>
      <c r="AE168" s="4" t="s">
        <v>747</v>
      </c>
      <c r="AF168" s="4" t="s">
        <v>748</v>
      </c>
    </row>
    <row r="169" spans="1:35" ht="52.2" x14ac:dyDescent="0.3">
      <c r="A169" s="74" t="s">
        <v>749</v>
      </c>
      <c r="B169" s="74" t="s">
        <v>750</v>
      </c>
      <c r="C169" s="206" t="s">
        <v>751</v>
      </c>
      <c r="D169" s="76"/>
      <c r="E169" s="76" t="s">
        <v>63</v>
      </c>
      <c r="F169" s="76" t="s">
        <v>64</v>
      </c>
      <c r="G169" s="77">
        <v>1</v>
      </c>
      <c r="H169" s="77"/>
      <c r="I169" s="77">
        <v>0</v>
      </c>
      <c r="J169" s="14">
        <f>IFERROR(ROUND(SUM(M170,M171,M172)/I169, 2),0)</f>
        <v>0</v>
      </c>
      <c r="K169" s="15">
        <v>826</v>
      </c>
      <c r="L169" s="14">
        <f>J169+ROUND(K169, 2)</f>
        <v>826</v>
      </c>
      <c r="M169" s="14">
        <f>ROUND(J169*I169, 2)</f>
        <v>0</v>
      </c>
      <c r="N169" s="14">
        <f>ROUND(I169*ROUND(K169, 2), 2)</f>
        <v>0</v>
      </c>
      <c r="O169" s="14">
        <f>M169+N169</f>
        <v>0</v>
      </c>
      <c r="P169" s="14">
        <f>IFERROR(ROUND(SUM(S170,S171,S172)/I169, 2),0)</f>
        <v>0</v>
      </c>
      <c r="Q169" s="15">
        <v>826</v>
      </c>
      <c r="R169" s="14">
        <f>P169+ROUND(Q169, 2)</f>
        <v>826</v>
      </c>
      <c r="S169" s="14">
        <f>ROUND(P169*I169, 2)</f>
        <v>0</v>
      </c>
      <c r="T169" s="14">
        <f>ROUND(I169*ROUND(Q169, 2), 2)</f>
        <v>0</v>
      </c>
      <c r="U169" s="14">
        <f>S169+T169</f>
        <v>0</v>
      </c>
      <c r="V169" s="9">
        <f>ROUND(P169 / 1.2, 2)</f>
        <v>0</v>
      </c>
      <c r="W169" s="9">
        <f>ROUND(Q169 / 1.2, 2)</f>
        <v>688.33</v>
      </c>
      <c r="X169" s="9">
        <f>ROUND(R169 / 1.2, 2)</f>
        <v>688.33</v>
      </c>
      <c r="Y169" s="9">
        <f t="shared" si="16"/>
        <v>0</v>
      </c>
      <c r="Z169" s="9">
        <f>ROUND(T169 / 1.2, 2)</f>
        <v>0</v>
      </c>
      <c r="AA169" s="9">
        <f>Y169+Z169</f>
        <v>0</v>
      </c>
      <c r="AD169" s="4">
        <v>271132099</v>
      </c>
      <c r="AE169" s="4">
        <v>16677750</v>
      </c>
      <c r="AG169" s="4" t="s">
        <v>752</v>
      </c>
      <c r="AH169" s="4" t="s">
        <v>753</v>
      </c>
      <c r="AI169" s="4" t="s">
        <v>67</v>
      </c>
    </row>
    <row r="170" spans="1:35" ht="36" x14ac:dyDescent="0.3">
      <c r="A170" s="74" t="s">
        <v>755</v>
      </c>
      <c r="B170" s="74"/>
      <c r="C170" s="100" t="s">
        <v>756</v>
      </c>
      <c r="D170" s="76"/>
      <c r="E170" s="76" t="s">
        <v>757</v>
      </c>
      <c r="F170" s="79" t="s">
        <v>70</v>
      </c>
      <c r="G170" s="80">
        <v>1</v>
      </c>
      <c r="H170" s="81"/>
      <c r="I170" s="81">
        <v>0</v>
      </c>
      <c r="J170" s="21">
        <v>7.59</v>
      </c>
      <c r="M170" s="22">
        <f>ROUND(ROUND(J170, 2)*I170, 2)</f>
        <v>0</v>
      </c>
      <c r="P170" s="21">
        <v>7.59</v>
      </c>
      <c r="S170" s="22">
        <f>ROUND(ROUND(P170, 2)*I170, 2)</f>
        <v>0</v>
      </c>
      <c r="V170" s="9">
        <f>ROUND(ROUND(P170, 2)/1.2, 2)</f>
        <v>6.33</v>
      </c>
      <c r="Y170" s="9">
        <f t="shared" si="16"/>
        <v>0</v>
      </c>
      <c r="AD170" s="4" t="s">
        <v>758</v>
      </c>
      <c r="AE170" s="4" t="s">
        <v>759</v>
      </c>
      <c r="AF170" s="4" t="s">
        <v>760</v>
      </c>
    </row>
    <row r="171" spans="1:35" ht="18" x14ac:dyDescent="0.3">
      <c r="A171" s="74" t="s">
        <v>763</v>
      </c>
      <c r="B171" s="74"/>
      <c r="C171" s="78" t="s">
        <v>764</v>
      </c>
      <c r="D171" s="76"/>
      <c r="E171" s="76"/>
      <c r="F171" s="79" t="s">
        <v>70</v>
      </c>
      <c r="G171" s="80">
        <v>0.25</v>
      </c>
      <c r="H171" s="80"/>
      <c r="I171" s="80">
        <v>0</v>
      </c>
      <c r="J171" s="21">
        <v>100</v>
      </c>
      <c r="M171" s="22">
        <f>ROUND(ROUND(J171, 2)*I171, 2)</f>
        <v>0</v>
      </c>
      <c r="P171" s="21">
        <v>100</v>
      </c>
      <c r="S171" s="22">
        <f>ROUND(ROUND(P171, 2)*I171, 2)</f>
        <v>0</v>
      </c>
      <c r="V171" s="9">
        <f>ROUND(ROUND(P171, 2)/1.2, 2)</f>
        <v>83.33</v>
      </c>
      <c r="Y171" s="9">
        <f t="shared" si="16"/>
        <v>0</v>
      </c>
      <c r="AD171" s="4" t="s">
        <v>765</v>
      </c>
      <c r="AE171" s="4" t="s">
        <v>766</v>
      </c>
      <c r="AF171" s="4" t="s">
        <v>767</v>
      </c>
    </row>
    <row r="172" spans="1:35" ht="18" x14ac:dyDescent="0.3">
      <c r="A172" s="74" t="s">
        <v>770</v>
      </c>
      <c r="B172" s="74"/>
      <c r="C172" s="78" t="s">
        <v>771</v>
      </c>
      <c r="D172" s="76"/>
      <c r="E172" s="76"/>
      <c r="F172" s="79" t="s">
        <v>87</v>
      </c>
      <c r="G172" s="80">
        <v>1.05</v>
      </c>
      <c r="H172" s="81"/>
      <c r="I172" s="81">
        <v>0</v>
      </c>
      <c r="J172" s="21">
        <v>15.76</v>
      </c>
      <c r="M172" s="22">
        <f>ROUND(ROUND(J172, 2)*I172, 2)</f>
        <v>0</v>
      </c>
      <c r="P172" s="21">
        <v>15.76</v>
      </c>
      <c r="S172" s="22">
        <f>ROUND(ROUND(P172, 2)*I172, 2)</f>
        <v>0</v>
      </c>
      <c r="V172" s="9">
        <f>ROUND(ROUND(P172, 2)/1.2, 2)</f>
        <v>13.13</v>
      </c>
      <c r="Y172" s="9">
        <f t="shared" si="16"/>
        <v>0</v>
      </c>
      <c r="AD172" s="4" t="s">
        <v>772</v>
      </c>
      <c r="AE172" s="4" t="s">
        <v>773</v>
      </c>
      <c r="AF172" s="4" t="s">
        <v>774</v>
      </c>
    </row>
    <row r="173" spans="1:35" ht="52.2" x14ac:dyDescent="0.3">
      <c r="A173" s="74" t="s">
        <v>777</v>
      </c>
      <c r="B173" s="74" t="s">
        <v>778</v>
      </c>
      <c r="C173" s="206" t="s">
        <v>779</v>
      </c>
      <c r="D173" s="76"/>
      <c r="E173" s="76" t="s">
        <v>780</v>
      </c>
      <c r="F173" s="76" t="s">
        <v>64</v>
      </c>
      <c r="G173" s="77">
        <v>1</v>
      </c>
      <c r="H173" s="77"/>
      <c r="I173" s="77">
        <v>0</v>
      </c>
      <c r="J173" s="14">
        <f>IFERROR(ROUND(SUM(M174,M175,M176,M177)/I173, 2),0)</f>
        <v>0</v>
      </c>
      <c r="K173" s="15">
        <v>329</v>
      </c>
      <c r="L173" s="14">
        <f>J173+ROUND(K173, 2)</f>
        <v>329</v>
      </c>
      <c r="M173" s="14">
        <f>ROUND(J173*I173, 2)</f>
        <v>0</v>
      </c>
      <c r="N173" s="14">
        <f>ROUND(I173*ROUND(K173, 2), 2)</f>
        <v>0</v>
      </c>
      <c r="O173" s="14">
        <f>M173+N173</f>
        <v>0</v>
      </c>
      <c r="P173" s="14">
        <f>IFERROR(ROUND(SUM(S174,S175,S176,S177)/I173, 2),0)</f>
        <v>0</v>
      </c>
      <c r="Q173" s="15">
        <v>329</v>
      </c>
      <c r="R173" s="14">
        <f>P173+ROUND(Q173, 2)</f>
        <v>329</v>
      </c>
      <c r="S173" s="14">
        <f>ROUND(P173*I173, 2)</f>
        <v>0</v>
      </c>
      <c r="T173" s="14">
        <f>ROUND(I173*ROUND(Q173, 2), 2)</f>
        <v>0</v>
      </c>
      <c r="U173" s="14">
        <f>S173+T173</f>
        <v>0</v>
      </c>
      <c r="V173" s="9">
        <f>ROUND(P173 / 1.2, 2)</f>
        <v>0</v>
      </c>
      <c r="W173" s="9">
        <f>ROUND(Q173 / 1.2, 2)</f>
        <v>274.17</v>
      </c>
      <c r="X173" s="9">
        <f>ROUND(R173 / 1.2, 2)</f>
        <v>274.17</v>
      </c>
      <c r="Y173" s="9">
        <f t="shared" si="16"/>
        <v>0</v>
      </c>
      <c r="Z173" s="9">
        <f>ROUND(T173 / 1.2, 2)</f>
        <v>0</v>
      </c>
      <c r="AA173" s="9">
        <f>Y173+Z173</f>
        <v>0</v>
      </c>
      <c r="AD173" s="4">
        <v>271132101</v>
      </c>
      <c r="AE173" s="4">
        <v>16211417</v>
      </c>
      <c r="AG173" s="4" t="s">
        <v>781</v>
      </c>
      <c r="AH173" s="4" t="s">
        <v>782</v>
      </c>
      <c r="AI173" s="4" t="s">
        <v>67</v>
      </c>
    </row>
    <row r="174" spans="1:35" ht="36" x14ac:dyDescent="0.3">
      <c r="A174" s="74" t="s">
        <v>785</v>
      </c>
      <c r="B174" s="74"/>
      <c r="C174" s="100" t="s">
        <v>740</v>
      </c>
      <c r="D174" s="76"/>
      <c r="E174" s="76" t="s">
        <v>786</v>
      </c>
      <c r="F174" s="79" t="s">
        <v>70</v>
      </c>
      <c r="G174" s="80">
        <v>1.8</v>
      </c>
      <c r="H174" s="80"/>
      <c r="I174" s="80">
        <v>0</v>
      </c>
      <c r="J174" s="21">
        <v>12.58</v>
      </c>
      <c r="M174" s="22">
        <f>ROUND(ROUND(J174, 2)*I174, 2)</f>
        <v>0</v>
      </c>
      <c r="P174" s="21">
        <v>12.58</v>
      </c>
      <c r="S174" s="22">
        <f>ROUND(ROUND(P174, 2)*I174, 2)</f>
        <v>0</v>
      </c>
      <c r="V174" s="9">
        <f>ROUND(ROUND(P174, 2)/1.2, 2)</f>
        <v>10.48</v>
      </c>
      <c r="Y174" s="9">
        <f t="shared" si="16"/>
        <v>0</v>
      </c>
      <c r="AD174" s="4" t="s">
        <v>787</v>
      </c>
      <c r="AE174" s="4" t="s">
        <v>788</v>
      </c>
      <c r="AF174" s="4" t="s">
        <v>789</v>
      </c>
    </row>
    <row r="175" spans="1:35" ht="18" x14ac:dyDescent="0.3">
      <c r="A175" s="74" t="s">
        <v>792</v>
      </c>
      <c r="B175" s="74"/>
      <c r="C175" s="78" t="s">
        <v>793</v>
      </c>
      <c r="D175" s="76"/>
      <c r="E175" s="76"/>
      <c r="F175" s="79" t="s">
        <v>116</v>
      </c>
      <c r="G175" s="80">
        <v>0.3</v>
      </c>
      <c r="H175" s="81"/>
      <c r="I175" s="81">
        <v>0</v>
      </c>
      <c r="J175" s="21">
        <v>73.099999999999994</v>
      </c>
      <c r="M175" s="22">
        <f>ROUND(ROUND(J175, 2)*I175, 2)</f>
        <v>0</v>
      </c>
      <c r="P175" s="21">
        <v>73.099999999999994</v>
      </c>
      <c r="S175" s="22">
        <f>ROUND(ROUND(P175, 2)*I175, 2)</f>
        <v>0</v>
      </c>
      <c r="V175" s="9">
        <f>ROUND(ROUND(P175, 2)/1.2, 2)</f>
        <v>60.92</v>
      </c>
      <c r="Y175" s="9">
        <f t="shared" si="16"/>
        <v>0</v>
      </c>
      <c r="AD175" s="4" t="s">
        <v>794</v>
      </c>
      <c r="AE175" s="4" t="s">
        <v>795</v>
      </c>
      <c r="AF175" s="4" t="s">
        <v>796</v>
      </c>
    </row>
    <row r="176" spans="1:35" ht="18" x14ac:dyDescent="0.3">
      <c r="A176" s="74" t="s">
        <v>799</v>
      </c>
      <c r="B176" s="74"/>
      <c r="C176" s="78" t="s">
        <v>800</v>
      </c>
      <c r="D176" s="76"/>
      <c r="E176" s="76"/>
      <c r="F176" s="79" t="s">
        <v>87</v>
      </c>
      <c r="G176" s="80">
        <v>1</v>
      </c>
      <c r="H176" s="81"/>
      <c r="I176" s="81">
        <v>0</v>
      </c>
      <c r="J176" s="21">
        <v>7</v>
      </c>
      <c r="M176" s="22">
        <f>ROUND(ROUND(J176, 2)*I176, 2)</f>
        <v>0</v>
      </c>
      <c r="P176" s="21">
        <v>7</v>
      </c>
      <c r="S176" s="22">
        <f>ROUND(ROUND(P176, 2)*I176, 2)</f>
        <v>0</v>
      </c>
      <c r="V176" s="9">
        <f>ROUND(ROUND(P176, 2)/1.2, 2)</f>
        <v>5.83</v>
      </c>
      <c r="Y176" s="9">
        <f t="shared" si="16"/>
        <v>0</v>
      </c>
      <c r="AD176" s="4" t="s">
        <v>801</v>
      </c>
      <c r="AE176" s="4" t="s">
        <v>802</v>
      </c>
      <c r="AF176" s="4" t="s">
        <v>803</v>
      </c>
    </row>
    <row r="177" spans="1:35" ht="36" x14ac:dyDescent="0.3">
      <c r="A177" s="74" t="s">
        <v>806</v>
      </c>
      <c r="B177" s="74"/>
      <c r="C177" s="78" t="s">
        <v>433</v>
      </c>
      <c r="D177" s="76"/>
      <c r="E177" s="76"/>
      <c r="F177" s="79" t="s">
        <v>70</v>
      </c>
      <c r="G177" s="80">
        <v>0.15</v>
      </c>
      <c r="H177" s="80"/>
      <c r="I177" s="80">
        <v>0</v>
      </c>
      <c r="J177" s="21">
        <v>88.8</v>
      </c>
      <c r="M177" s="22">
        <f>ROUND(ROUND(J177, 2)*I177, 2)</f>
        <v>0</v>
      </c>
      <c r="P177" s="21">
        <v>88.8</v>
      </c>
      <c r="S177" s="22">
        <f>ROUND(ROUND(P177, 2)*I177, 2)</f>
        <v>0</v>
      </c>
      <c r="V177" s="9">
        <f>ROUND(ROUND(P177, 2)/1.2, 2)</f>
        <v>74</v>
      </c>
      <c r="Y177" s="9">
        <f t="shared" si="16"/>
        <v>0</v>
      </c>
      <c r="AD177" s="4" t="s">
        <v>807</v>
      </c>
      <c r="AE177" s="4" t="s">
        <v>808</v>
      </c>
      <c r="AF177" s="4" t="s">
        <v>436</v>
      </c>
    </row>
    <row r="178" spans="1:35" ht="52.2" x14ac:dyDescent="0.3">
      <c r="A178" s="74" t="s">
        <v>811</v>
      </c>
      <c r="B178" s="74" t="s">
        <v>778</v>
      </c>
      <c r="C178" s="206" t="s">
        <v>779</v>
      </c>
      <c r="D178" s="76"/>
      <c r="E178" s="76" t="s">
        <v>812</v>
      </c>
      <c r="F178" s="76" t="s">
        <v>64</v>
      </c>
      <c r="G178" s="77">
        <v>1</v>
      </c>
      <c r="H178" s="77"/>
      <c r="I178" s="77">
        <v>0</v>
      </c>
      <c r="J178" s="14">
        <f>IFERROR(ROUND(SUM(M179,M180)/I178, 2),0)</f>
        <v>0</v>
      </c>
      <c r="K178" s="15">
        <v>329</v>
      </c>
      <c r="L178" s="14">
        <f>J178+ROUND(K178, 2)</f>
        <v>329</v>
      </c>
      <c r="M178" s="14">
        <f>ROUND(J178*I178, 2)</f>
        <v>0</v>
      </c>
      <c r="N178" s="14">
        <f>ROUND(I178*ROUND(K178, 2), 2)</f>
        <v>0</v>
      </c>
      <c r="O178" s="14">
        <f>M178+N178</f>
        <v>0</v>
      </c>
      <c r="P178" s="14">
        <f>IFERROR(ROUND(SUM(S179,S180)/I178, 2),0)</f>
        <v>0</v>
      </c>
      <c r="Q178" s="15">
        <v>329</v>
      </c>
      <c r="R178" s="14">
        <f>P178+ROUND(Q178, 2)</f>
        <v>329</v>
      </c>
      <c r="S178" s="14">
        <f>ROUND(P178*I178, 2)</f>
        <v>0</v>
      </c>
      <c r="T178" s="14">
        <f>ROUND(I178*ROUND(Q178, 2), 2)</f>
        <v>0</v>
      </c>
      <c r="U178" s="14">
        <f>S178+T178</f>
        <v>0</v>
      </c>
      <c r="V178" s="9">
        <f>ROUND(P178 / 1.2, 2)</f>
        <v>0</v>
      </c>
      <c r="W178" s="9">
        <f>ROUND(Q178 / 1.2, 2)</f>
        <v>274.17</v>
      </c>
      <c r="X178" s="9">
        <f>ROUND(R178 / 1.2, 2)</f>
        <v>274.17</v>
      </c>
      <c r="Y178" s="9">
        <f t="shared" si="16"/>
        <v>0</v>
      </c>
      <c r="Z178" s="9">
        <f>ROUND(T178 / 1.2, 2)</f>
        <v>0</v>
      </c>
      <c r="AA178" s="9">
        <f>Y178+Z178</f>
        <v>0</v>
      </c>
      <c r="AD178" s="4">
        <v>271132177</v>
      </c>
      <c r="AE178" s="4">
        <v>16211418</v>
      </c>
      <c r="AG178" s="4" t="s">
        <v>781</v>
      </c>
      <c r="AH178" s="4" t="s">
        <v>782</v>
      </c>
      <c r="AI178" s="4" t="s">
        <v>67</v>
      </c>
    </row>
    <row r="179" spans="1:35" ht="36" x14ac:dyDescent="0.3">
      <c r="A179" s="74" t="s">
        <v>815</v>
      </c>
      <c r="B179" s="74"/>
      <c r="C179" s="78" t="s">
        <v>433</v>
      </c>
      <c r="D179" s="76"/>
      <c r="E179" s="76"/>
      <c r="F179" s="79" t="s">
        <v>70</v>
      </c>
      <c r="G179" s="80">
        <v>0.15</v>
      </c>
      <c r="H179" s="80"/>
      <c r="I179" s="80">
        <v>0</v>
      </c>
      <c r="J179" s="21">
        <v>88.8</v>
      </c>
      <c r="M179" s="22">
        <f>ROUND(ROUND(J179, 2)*I179, 2)</f>
        <v>0</v>
      </c>
      <c r="P179" s="21">
        <v>88.8</v>
      </c>
      <c r="S179" s="22">
        <f>ROUND(ROUND(P179, 2)*I179, 2)</f>
        <v>0</v>
      </c>
      <c r="V179" s="9">
        <f>ROUND(ROUND(P179, 2)/1.2, 2)</f>
        <v>74</v>
      </c>
      <c r="Y179" s="9">
        <f t="shared" si="16"/>
        <v>0</v>
      </c>
      <c r="AD179" s="4" t="s">
        <v>816</v>
      </c>
      <c r="AE179" s="4" t="s">
        <v>817</v>
      </c>
      <c r="AF179" s="4" t="s">
        <v>436</v>
      </c>
    </row>
    <row r="180" spans="1:35" ht="36" x14ac:dyDescent="0.3">
      <c r="A180" s="74" t="s">
        <v>820</v>
      </c>
      <c r="B180" s="74"/>
      <c r="C180" s="100" t="s">
        <v>740</v>
      </c>
      <c r="D180" s="76"/>
      <c r="E180" s="76" t="s">
        <v>821</v>
      </c>
      <c r="F180" s="79" t="s">
        <v>70</v>
      </c>
      <c r="G180" s="80">
        <v>1.8</v>
      </c>
      <c r="H180" s="80"/>
      <c r="I180" s="80">
        <v>0</v>
      </c>
      <c r="J180" s="21">
        <v>12.58</v>
      </c>
      <c r="M180" s="22">
        <f>ROUND(ROUND(J180, 2)*I180, 2)</f>
        <v>0</v>
      </c>
      <c r="P180" s="21">
        <v>12.58</v>
      </c>
      <c r="S180" s="22">
        <f>ROUND(ROUND(P180, 2)*I180, 2)</f>
        <v>0</v>
      </c>
      <c r="V180" s="9">
        <f>ROUND(ROUND(P180, 2)/1.2, 2)</f>
        <v>10.48</v>
      </c>
      <c r="Y180" s="9">
        <f t="shared" si="16"/>
        <v>0</v>
      </c>
      <c r="AD180" s="4" t="s">
        <v>822</v>
      </c>
      <c r="AE180" s="4" t="s">
        <v>823</v>
      </c>
      <c r="AF180" s="4" t="s">
        <v>789</v>
      </c>
    </row>
    <row r="181" spans="1:35" ht="34.799999999999997" x14ac:dyDescent="0.3">
      <c r="A181" s="101" t="s">
        <v>826</v>
      </c>
      <c r="B181" s="101" t="s">
        <v>827</v>
      </c>
      <c r="C181" s="208" t="s">
        <v>828</v>
      </c>
      <c r="D181" s="102"/>
      <c r="E181" s="102" t="s">
        <v>829</v>
      </c>
      <c r="F181" s="102" t="s">
        <v>64</v>
      </c>
      <c r="G181" s="103">
        <v>1</v>
      </c>
      <c r="H181" s="103"/>
      <c r="I181" s="103">
        <v>8128.4</v>
      </c>
      <c r="J181" s="14">
        <f>IFERROR(ROUND(SUM(M182,M183,M184)/I181, 2),0)</f>
        <v>58.11</v>
      </c>
      <c r="K181" s="15">
        <v>508</v>
      </c>
      <c r="L181" s="14">
        <f>J181+ROUND(K181, 2)</f>
        <v>566.11</v>
      </c>
      <c r="M181" s="14">
        <f>ROUND(J181*I181, 2)</f>
        <v>472341.32</v>
      </c>
      <c r="N181" s="14">
        <f>ROUND(I181*ROUND(K181, 2), 2)</f>
        <v>4129227.2</v>
      </c>
      <c r="O181" s="14">
        <f>M181+N181</f>
        <v>4601568.5200000005</v>
      </c>
      <c r="P181" s="14">
        <f>IFERROR(ROUND(SUM(S182,S183,S184)/I181, 2),0)</f>
        <v>58.11</v>
      </c>
      <c r="Q181" s="16">
        <v>508</v>
      </c>
      <c r="R181" s="14">
        <f>P181+ROUND(Q181, 2)</f>
        <v>566.11</v>
      </c>
      <c r="S181" s="14">
        <f>ROUND(P181*I181, 2)</f>
        <v>472341.32</v>
      </c>
      <c r="T181" s="14">
        <f>ROUND(I181*ROUND(Q181, 2), 2)</f>
        <v>4129227.2</v>
      </c>
      <c r="U181" s="14">
        <f>S181+T181</f>
        <v>4601568.5200000005</v>
      </c>
      <c r="V181" s="9">
        <f>ROUND(P181 / 1.2, 2)</f>
        <v>48.43</v>
      </c>
      <c r="W181" s="9">
        <f>ROUND(Q181 / 1.2, 2)</f>
        <v>423.33</v>
      </c>
      <c r="X181" s="9">
        <f>ROUND(R181 / 1.2, 2)</f>
        <v>471.76</v>
      </c>
      <c r="Y181" s="9">
        <f t="shared" si="16"/>
        <v>393617.77</v>
      </c>
      <c r="Z181" s="9">
        <f>ROUND(T181 / 1.2, 2)</f>
        <v>3441022.67</v>
      </c>
      <c r="AA181" s="9">
        <f>Y181+Z181</f>
        <v>3834640.44</v>
      </c>
      <c r="AD181" s="4">
        <v>271132103</v>
      </c>
      <c r="AE181" s="4">
        <v>19976869</v>
      </c>
      <c r="AG181" s="4" t="s">
        <v>830</v>
      </c>
      <c r="AH181" s="4" t="s">
        <v>831</v>
      </c>
      <c r="AI181" s="4" t="s">
        <v>67</v>
      </c>
    </row>
    <row r="182" spans="1:35" ht="36" x14ac:dyDescent="0.3">
      <c r="A182" s="101" t="s">
        <v>832</v>
      </c>
      <c r="B182" s="101"/>
      <c r="C182" s="104" t="s">
        <v>740</v>
      </c>
      <c r="D182" s="102"/>
      <c r="E182" s="102"/>
      <c r="F182" s="105" t="s">
        <v>70</v>
      </c>
      <c r="G182" s="106">
        <v>1.8</v>
      </c>
      <c r="H182" s="106"/>
      <c r="I182" s="106">
        <v>14631.12</v>
      </c>
      <c r="J182" s="21">
        <v>12.7</v>
      </c>
      <c r="M182" s="22">
        <f>ROUND(ROUND(J182, 2)*I182, 2)</f>
        <v>185815.22</v>
      </c>
      <c r="P182" s="23">
        <v>12.7</v>
      </c>
      <c r="S182" s="22">
        <f>ROUND(ROUND(P182, 2)*I182, 2)</f>
        <v>185815.22</v>
      </c>
      <c r="V182" s="9">
        <f>ROUND(ROUND(P182, 2)/1.2, 2)</f>
        <v>10.58</v>
      </c>
      <c r="Y182" s="9">
        <f t="shared" si="16"/>
        <v>154846.01999999999</v>
      </c>
      <c r="AD182" s="4" t="s">
        <v>833</v>
      </c>
      <c r="AE182" s="4" t="s">
        <v>834</v>
      </c>
      <c r="AF182" s="4" t="s">
        <v>789</v>
      </c>
    </row>
    <row r="183" spans="1:35" ht="18" x14ac:dyDescent="0.3">
      <c r="A183" s="101" t="s">
        <v>835</v>
      </c>
      <c r="B183" s="101"/>
      <c r="C183" s="107" t="s">
        <v>793</v>
      </c>
      <c r="D183" s="102"/>
      <c r="E183" s="102"/>
      <c r="F183" s="105" t="s">
        <v>116</v>
      </c>
      <c r="G183" s="106">
        <v>0.3</v>
      </c>
      <c r="H183" s="106"/>
      <c r="I183" s="106">
        <v>2438.52</v>
      </c>
      <c r="J183" s="21">
        <v>73.099999999999994</v>
      </c>
      <c r="M183" s="22">
        <f>ROUND(ROUND(J183, 2)*I183, 2)</f>
        <v>178255.81</v>
      </c>
      <c r="P183" s="23">
        <v>73.099999999999994</v>
      </c>
      <c r="S183" s="22">
        <f>ROUND(ROUND(P183, 2)*I183, 2)</f>
        <v>178255.81</v>
      </c>
      <c r="V183" s="9">
        <f>ROUND(ROUND(P183, 2)/1.2, 2)</f>
        <v>60.92</v>
      </c>
      <c r="Y183" s="9">
        <f t="shared" si="16"/>
        <v>148546.51</v>
      </c>
      <c r="AD183" s="4" t="s">
        <v>836</v>
      </c>
      <c r="AE183" s="4" t="s">
        <v>837</v>
      </c>
      <c r="AF183" s="4" t="s">
        <v>796</v>
      </c>
    </row>
    <row r="184" spans="1:35" ht="36" x14ac:dyDescent="0.3">
      <c r="A184" s="101" t="s">
        <v>838</v>
      </c>
      <c r="B184" s="101"/>
      <c r="C184" s="107" t="s">
        <v>433</v>
      </c>
      <c r="D184" s="102"/>
      <c r="E184" s="102"/>
      <c r="F184" s="105" t="s">
        <v>70</v>
      </c>
      <c r="G184" s="106">
        <v>0.15</v>
      </c>
      <c r="H184" s="106"/>
      <c r="I184" s="106">
        <v>1219.26</v>
      </c>
      <c r="J184" s="21">
        <v>88.8</v>
      </c>
      <c r="M184" s="22">
        <f>ROUND(ROUND(J184, 2)*I184, 2)</f>
        <v>108270.29</v>
      </c>
      <c r="P184" s="23">
        <v>88.8</v>
      </c>
      <c r="S184" s="22">
        <f>ROUND(ROUND(P184, 2)*I184, 2)</f>
        <v>108270.29</v>
      </c>
      <c r="V184" s="9">
        <f>ROUND(ROUND(P184, 2)/1.2, 2)</f>
        <v>74</v>
      </c>
      <c r="Y184" s="9">
        <f t="shared" si="16"/>
        <v>90225.24</v>
      </c>
      <c r="AD184" s="4" t="s">
        <v>839</v>
      </c>
      <c r="AE184" s="4" t="s">
        <v>840</v>
      </c>
      <c r="AF184" s="4" t="s">
        <v>436</v>
      </c>
    </row>
    <row r="185" spans="1:35" ht="54" x14ac:dyDescent="0.3">
      <c r="A185" s="176" t="s">
        <v>841</v>
      </c>
      <c r="B185" s="176" t="s">
        <v>827</v>
      </c>
      <c r="C185" s="209" t="s">
        <v>828</v>
      </c>
      <c r="D185" s="177"/>
      <c r="E185" s="177" t="s">
        <v>842</v>
      </c>
      <c r="F185" s="177" t="s">
        <v>64</v>
      </c>
      <c r="G185" s="178">
        <v>1</v>
      </c>
      <c r="H185" s="178"/>
      <c r="I185" s="178">
        <v>8128.4</v>
      </c>
      <c r="J185" s="14">
        <f>IFERROR(ROUND(SUM(M186,M187)/I185, 2),0)</f>
        <v>73.319999999999993</v>
      </c>
      <c r="K185" s="15">
        <v>508</v>
      </c>
      <c r="L185" s="14">
        <f>J185+ROUND(K185, 2)</f>
        <v>581.31999999999994</v>
      </c>
      <c r="M185" s="14">
        <f>ROUND(J185*I185, 2)</f>
        <v>595974.29</v>
      </c>
      <c r="N185" s="14">
        <f>ROUND(I185*ROUND(K185, 2), 2)</f>
        <v>4129227.2</v>
      </c>
      <c r="O185" s="14">
        <f>M185+N185</f>
        <v>4725201.49</v>
      </c>
      <c r="P185" s="14">
        <f>IFERROR(ROUND(SUM(S186,S187)/I185, 2),0)</f>
        <v>73.319999999999993</v>
      </c>
      <c r="Q185" s="16">
        <v>508</v>
      </c>
      <c r="R185" s="14">
        <f>P185+ROUND(Q185, 2)</f>
        <v>581.31999999999994</v>
      </c>
      <c r="S185" s="14">
        <f>ROUND(P185*I185, 2)</f>
        <v>595974.29</v>
      </c>
      <c r="T185" s="14">
        <f>ROUND(I185*ROUND(Q185, 2), 2)</f>
        <v>4129227.2</v>
      </c>
      <c r="U185" s="14">
        <f>S185+T185</f>
        <v>4725201.49</v>
      </c>
      <c r="V185" s="9">
        <f>ROUND(P185 / 1.2, 2)</f>
        <v>61.1</v>
      </c>
      <c r="W185" s="9">
        <f>ROUND(Q185 / 1.2, 2)</f>
        <v>423.33</v>
      </c>
      <c r="X185" s="9">
        <f>ROUND(R185 / 1.2, 2)</f>
        <v>484.43</v>
      </c>
      <c r="Y185" s="9">
        <f t="shared" si="16"/>
        <v>496645.24</v>
      </c>
      <c r="Z185" s="9">
        <f>ROUND(T185 / 1.2, 2)</f>
        <v>3441022.67</v>
      </c>
      <c r="AA185" s="9">
        <f>Y185+Z185</f>
        <v>3937667.91</v>
      </c>
      <c r="AD185" s="4">
        <v>271132178</v>
      </c>
      <c r="AE185" s="4">
        <v>19976870</v>
      </c>
      <c r="AG185" s="4" t="s">
        <v>830</v>
      </c>
      <c r="AH185" s="4" t="s">
        <v>831</v>
      </c>
      <c r="AI185" s="4" t="s">
        <v>67</v>
      </c>
    </row>
    <row r="186" spans="1:35" ht="36" x14ac:dyDescent="0.3">
      <c r="A186" s="176" t="s">
        <v>843</v>
      </c>
      <c r="B186" s="176"/>
      <c r="C186" s="179" t="s">
        <v>433</v>
      </c>
      <c r="D186" s="177"/>
      <c r="E186" s="177"/>
      <c r="F186" s="180" t="s">
        <v>70</v>
      </c>
      <c r="G186" s="181">
        <v>0.15</v>
      </c>
      <c r="H186" s="181"/>
      <c r="I186" s="181">
        <v>1219.26</v>
      </c>
      <c r="J186" s="21">
        <v>88.8</v>
      </c>
      <c r="M186" s="22">
        <f>ROUND(ROUND(J186, 2)*I186, 2)</f>
        <v>108270.29</v>
      </c>
      <c r="P186" s="23">
        <v>88.8</v>
      </c>
      <c r="S186" s="22">
        <f>ROUND(ROUND(P186, 2)*I186, 2)</f>
        <v>108270.29</v>
      </c>
      <c r="V186" s="9">
        <f>ROUND(ROUND(P186, 2)/1.2, 2)</f>
        <v>74</v>
      </c>
      <c r="Y186" s="9">
        <f t="shared" si="16"/>
        <v>90225.24</v>
      </c>
      <c r="AD186" s="4" t="s">
        <v>844</v>
      </c>
      <c r="AE186" s="4" t="s">
        <v>845</v>
      </c>
      <c r="AF186" s="4" t="s">
        <v>436</v>
      </c>
    </row>
    <row r="187" spans="1:35" ht="36" x14ac:dyDescent="0.3">
      <c r="A187" s="176" t="s">
        <v>846</v>
      </c>
      <c r="B187" s="176"/>
      <c r="C187" s="179" t="s">
        <v>847</v>
      </c>
      <c r="D187" s="177"/>
      <c r="E187" s="177"/>
      <c r="F187" s="180" t="s">
        <v>70</v>
      </c>
      <c r="G187" s="181">
        <v>1</v>
      </c>
      <c r="H187" s="181"/>
      <c r="I187" s="181">
        <v>8128.4</v>
      </c>
      <c r="J187" s="21">
        <v>60</v>
      </c>
      <c r="M187" s="22">
        <f>ROUND(ROUND(J187, 2)*I187, 2)</f>
        <v>487704</v>
      </c>
      <c r="P187" s="23">
        <v>60</v>
      </c>
      <c r="S187" s="22">
        <f>ROUND(ROUND(P187, 2)*I187, 2)</f>
        <v>487704</v>
      </c>
      <c r="V187" s="9">
        <f>ROUND(ROUND(P187, 2)/1.2, 2)</f>
        <v>50</v>
      </c>
      <c r="Y187" s="9">
        <f t="shared" si="16"/>
        <v>406420</v>
      </c>
      <c r="AD187" s="4" t="s">
        <v>848</v>
      </c>
      <c r="AE187" s="4" t="s">
        <v>849</v>
      </c>
      <c r="AF187" s="4" t="s">
        <v>850</v>
      </c>
    </row>
    <row r="188" spans="1:35" ht="34.799999999999997" x14ac:dyDescent="0.3">
      <c r="A188" s="108" t="s">
        <v>851</v>
      </c>
      <c r="B188" s="108" t="s">
        <v>827</v>
      </c>
      <c r="C188" s="211" t="s">
        <v>828</v>
      </c>
      <c r="D188" s="110"/>
      <c r="E188" s="110" t="s">
        <v>852</v>
      </c>
      <c r="F188" s="110" t="s">
        <v>64</v>
      </c>
      <c r="G188" s="111">
        <v>1</v>
      </c>
      <c r="H188" s="111"/>
      <c r="I188" s="111">
        <v>7374</v>
      </c>
      <c r="J188" s="14">
        <f>IFERROR(ROUND(SUM(M189,M190,M191)/I188, 2),0)</f>
        <v>58.11</v>
      </c>
      <c r="K188" s="15">
        <v>508</v>
      </c>
      <c r="L188" s="14">
        <f>J188+ROUND(K188, 2)</f>
        <v>566.11</v>
      </c>
      <c r="M188" s="14">
        <f>ROUND(J188*I188, 2)</f>
        <v>428503.14</v>
      </c>
      <c r="N188" s="14">
        <f>ROUND(I188*ROUND(K188, 2), 2)</f>
        <v>3745992</v>
      </c>
      <c r="O188" s="14">
        <f>M188+N188</f>
        <v>4174495.14</v>
      </c>
      <c r="P188" s="14">
        <f>IFERROR(ROUND(SUM(S189,S190,S191)/I188, 2),0)</f>
        <v>58.11</v>
      </c>
      <c r="Q188" s="16">
        <v>508</v>
      </c>
      <c r="R188" s="14">
        <f>P188+ROUND(Q188, 2)</f>
        <v>566.11</v>
      </c>
      <c r="S188" s="14">
        <f>ROUND(P188*I188, 2)</f>
        <v>428503.14</v>
      </c>
      <c r="T188" s="14">
        <f>ROUND(I188*ROUND(Q188, 2), 2)</f>
        <v>3745992</v>
      </c>
      <c r="U188" s="14">
        <f>S188+T188</f>
        <v>4174495.14</v>
      </c>
      <c r="V188" s="9">
        <f>ROUND(P188 / 1.2, 2)</f>
        <v>48.43</v>
      </c>
      <c r="W188" s="9">
        <f>ROUND(Q188 / 1.2, 2)</f>
        <v>423.33</v>
      </c>
      <c r="X188" s="9">
        <f>ROUND(R188 / 1.2, 2)</f>
        <v>471.76</v>
      </c>
      <c r="Y188" s="9">
        <f t="shared" si="16"/>
        <v>357085.95</v>
      </c>
      <c r="Z188" s="9">
        <f>ROUND(T188 / 1.2, 2)</f>
        <v>3121660</v>
      </c>
      <c r="AA188" s="9">
        <f>Y188+Z188</f>
        <v>3478745.95</v>
      </c>
      <c r="AD188" s="4">
        <v>271132179</v>
      </c>
      <c r="AE188" s="4">
        <v>19976875</v>
      </c>
      <c r="AG188" s="4" t="s">
        <v>830</v>
      </c>
      <c r="AH188" s="4" t="s">
        <v>831</v>
      </c>
      <c r="AI188" s="4" t="s">
        <v>67</v>
      </c>
    </row>
    <row r="189" spans="1:35" ht="36" x14ac:dyDescent="0.3">
      <c r="A189" s="108" t="s">
        <v>853</v>
      </c>
      <c r="B189" s="108"/>
      <c r="C189" s="112" t="s">
        <v>433</v>
      </c>
      <c r="D189" s="110"/>
      <c r="E189" s="110"/>
      <c r="F189" s="113" t="s">
        <v>70</v>
      </c>
      <c r="G189" s="114">
        <v>0.15</v>
      </c>
      <c r="H189" s="114"/>
      <c r="I189" s="114">
        <v>1106.0999999999999</v>
      </c>
      <c r="J189" s="21">
        <v>88.8</v>
      </c>
      <c r="M189" s="22">
        <f>ROUND(ROUND(J189, 2)*I189, 2)</f>
        <v>98221.68</v>
      </c>
      <c r="P189" s="23">
        <v>88.8</v>
      </c>
      <c r="S189" s="22">
        <f>ROUND(ROUND(P189, 2)*I189, 2)</f>
        <v>98221.68</v>
      </c>
      <c r="V189" s="9">
        <f>ROUND(ROUND(P189, 2)/1.2, 2)</f>
        <v>74</v>
      </c>
      <c r="Y189" s="9">
        <f t="shared" si="16"/>
        <v>81851.399999999994</v>
      </c>
      <c r="AD189" s="4" t="s">
        <v>854</v>
      </c>
      <c r="AE189" s="4" t="s">
        <v>855</v>
      </c>
      <c r="AF189" s="4" t="s">
        <v>436</v>
      </c>
    </row>
    <row r="190" spans="1:35" ht="18" x14ac:dyDescent="0.3">
      <c r="A190" s="108" t="s">
        <v>856</v>
      </c>
      <c r="B190" s="108"/>
      <c r="C190" s="112" t="s">
        <v>793</v>
      </c>
      <c r="D190" s="110"/>
      <c r="E190" s="110"/>
      <c r="F190" s="113" t="s">
        <v>116</v>
      </c>
      <c r="G190" s="114">
        <v>0.3</v>
      </c>
      <c r="H190" s="114"/>
      <c r="I190" s="114">
        <v>2212.1999999999998</v>
      </c>
      <c r="J190" s="21">
        <v>73.099999999999994</v>
      </c>
      <c r="M190" s="22">
        <f>ROUND(ROUND(J190, 2)*I190, 2)</f>
        <v>161711.82</v>
      </c>
      <c r="P190" s="23">
        <v>73.099999999999994</v>
      </c>
      <c r="S190" s="22">
        <f>ROUND(ROUND(P190, 2)*I190, 2)</f>
        <v>161711.82</v>
      </c>
      <c r="V190" s="9">
        <f>ROUND(ROUND(P190, 2)/1.2, 2)</f>
        <v>60.92</v>
      </c>
      <c r="Y190" s="9">
        <f t="shared" si="16"/>
        <v>134759.85</v>
      </c>
      <c r="AD190" s="4" t="s">
        <v>857</v>
      </c>
      <c r="AE190" s="4" t="s">
        <v>858</v>
      </c>
      <c r="AF190" s="4" t="s">
        <v>796</v>
      </c>
    </row>
    <row r="191" spans="1:35" ht="36" x14ac:dyDescent="0.3">
      <c r="A191" s="108" t="s">
        <v>859</v>
      </c>
      <c r="B191" s="108"/>
      <c r="C191" s="115" t="s">
        <v>740</v>
      </c>
      <c r="D191" s="110"/>
      <c r="E191" s="110"/>
      <c r="F191" s="113" t="s">
        <v>70</v>
      </c>
      <c r="G191" s="114">
        <v>1.8</v>
      </c>
      <c r="H191" s="114"/>
      <c r="I191" s="114">
        <v>13273.2</v>
      </c>
      <c r="J191" s="21">
        <v>12.7</v>
      </c>
      <c r="M191" s="22">
        <f>ROUND(ROUND(J191, 2)*I191, 2)</f>
        <v>168569.64</v>
      </c>
      <c r="P191" s="23">
        <v>12.7</v>
      </c>
      <c r="S191" s="22">
        <f>ROUND(ROUND(P191, 2)*I191, 2)</f>
        <v>168569.64</v>
      </c>
      <c r="V191" s="9">
        <f>ROUND(ROUND(P191, 2)/1.2, 2)</f>
        <v>10.58</v>
      </c>
      <c r="Y191" s="9">
        <f t="shared" si="16"/>
        <v>140474.70000000001</v>
      </c>
      <c r="AD191" s="4" t="s">
        <v>860</v>
      </c>
      <c r="AE191" s="4" t="s">
        <v>861</v>
      </c>
      <c r="AF191" s="4" t="s">
        <v>789</v>
      </c>
    </row>
    <row r="192" spans="1:35" ht="54" x14ac:dyDescent="0.3">
      <c r="A192" s="116" t="s">
        <v>862</v>
      </c>
      <c r="B192" s="116" t="s">
        <v>827</v>
      </c>
      <c r="C192" s="210" t="s">
        <v>828</v>
      </c>
      <c r="D192" s="117"/>
      <c r="E192" s="117" t="s">
        <v>863</v>
      </c>
      <c r="F192" s="117" t="s">
        <v>64</v>
      </c>
      <c r="G192" s="118">
        <v>1</v>
      </c>
      <c r="H192" s="118"/>
      <c r="I192" s="118">
        <v>7374</v>
      </c>
      <c r="J192" s="14">
        <f>IFERROR(ROUND(SUM(M193,M194)/I192, 2),0)</f>
        <v>73.319999999999993</v>
      </c>
      <c r="K192" s="15">
        <v>508</v>
      </c>
      <c r="L192" s="14">
        <f>J192+ROUND(K192, 2)</f>
        <v>581.31999999999994</v>
      </c>
      <c r="M192" s="14">
        <f>ROUND(J192*I192, 2)</f>
        <v>540661.68000000005</v>
      </c>
      <c r="N192" s="14">
        <f>ROUND(I192*ROUND(K192, 2), 2)</f>
        <v>3745992</v>
      </c>
      <c r="O192" s="14">
        <f>M192+N192</f>
        <v>4286653.68</v>
      </c>
      <c r="P192" s="14">
        <f>IFERROR(ROUND(SUM(S193,S194)/I192, 2),0)</f>
        <v>73.319999999999993</v>
      </c>
      <c r="Q192" s="16">
        <v>508</v>
      </c>
      <c r="R192" s="14">
        <f>P192+ROUND(Q192, 2)</f>
        <v>581.31999999999994</v>
      </c>
      <c r="S192" s="14">
        <f>ROUND(P192*I192, 2)</f>
        <v>540661.68000000005</v>
      </c>
      <c r="T192" s="14">
        <f>ROUND(I192*ROUND(Q192, 2), 2)</f>
        <v>3745992</v>
      </c>
      <c r="U192" s="14">
        <f>S192+T192</f>
        <v>4286653.68</v>
      </c>
      <c r="V192" s="9">
        <f>ROUND(P192 / 1.2, 2)</f>
        <v>61.1</v>
      </c>
      <c r="W192" s="9">
        <f>ROUND(Q192 / 1.2, 2)</f>
        <v>423.33</v>
      </c>
      <c r="X192" s="9">
        <f>ROUND(R192 / 1.2, 2)</f>
        <v>484.43</v>
      </c>
      <c r="Y192" s="9">
        <f t="shared" si="16"/>
        <v>450551.4</v>
      </c>
      <c r="Z192" s="9">
        <f>ROUND(T192 / 1.2, 2)</f>
        <v>3121660</v>
      </c>
      <c r="AA192" s="9">
        <f>Y192+Z192</f>
        <v>3572211.4</v>
      </c>
      <c r="AD192" s="4">
        <v>271132180</v>
      </c>
      <c r="AE192" s="4">
        <v>19976876</v>
      </c>
      <c r="AG192" s="4" t="s">
        <v>830</v>
      </c>
      <c r="AH192" s="4" t="s">
        <v>831</v>
      </c>
      <c r="AI192" s="4" t="s">
        <v>67</v>
      </c>
    </row>
    <row r="193" spans="1:35" ht="36" x14ac:dyDescent="0.3">
      <c r="A193" s="116" t="s">
        <v>864</v>
      </c>
      <c r="B193" s="116"/>
      <c r="C193" s="119" t="s">
        <v>433</v>
      </c>
      <c r="D193" s="117"/>
      <c r="E193" s="117"/>
      <c r="F193" s="120" t="s">
        <v>70</v>
      </c>
      <c r="G193" s="121">
        <v>0.15</v>
      </c>
      <c r="H193" s="121"/>
      <c r="I193" s="121">
        <v>1106.0999999999999</v>
      </c>
      <c r="J193" s="21">
        <v>88.8</v>
      </c>
      <c r="M193" s="22">
        <f>ROUND(ROUND(J193, 2)*I193, 2)</f>
        <v>98221.68</v>
      </c>
      <c r="P193" s="23">
        <v>88.8</v>
      </c>
      <c r="S193" s="22">
        <f>ROUND(ROUND(P193, 2)*I193, 2)</f>
        <v>98221.68</v>
      </c>
      <c r="V193" s="9">
        <f>ROUND(ROUND(P193, 2)/1.2, 2)</f>
        <v>74</v>
      </c>
      <c r="Y193" s="9">
        <f t="shared" si="16"/>
        <v>81851.399999999994</v>
      </c>
      <c r="AD193" s="4" t="s">
        <v>865</v>
      </c>
      <c r="AE193" s="4" t="s">
        <v>866</v>
      </c>
      <c r="AF193" s="4" t="s">
        <v>436</v>
      </c>
    </row>
    <row r="194" spans="1:35" ht="36" x14ac:dyDescent="0.3">
      <c r="A194" s="116" t="s">
        <v>867</v>
      </c>
      <c r="B194" s="116"/>
      <c r="C194" s="119" t="s">
        <v>847</v>
      </c>
      <c r="D194" s="117"/>
      <c r="E194" s="117"/>
      <c r="F194" s="120" t="s">
        <v>70</v>
      </c>
      <c r="G194" s="121">
        <v>1</v>
      </c>
      <c r="H194" s="121"/>
      <c r="I194" s="121">
        <v>7374</v>
      </c>
      <c r="J194" s="21">
        <v>60</v>
      </c>
      <c r="M194" s="22">
        <f>ROUND(ROUND(J194, 2)*I194, 2)</f>
        <v>442440</v>
      </c>
      <c r="P194" s="23">
        <v>60</v>
      </c>
      <c r="S194" s="22">
        <f>ROUND(ROUND(P194, 2)*I194, 2)</f>
        <v>442440</v>
      </c>
      <c r="V194" s="9">
        <f>ROUND(ROUND(P194, 2)/1.2, 2)</f>
        <v>50</v>
      </c>
      <c r="Y194" s="9">
        <f t="shared" si="16"/>
        <v>368700</v>
      </c>
      <c r="AD194" s="4" t="s">
        <v>868</v>
      </c>
      <c r="AE194" s="4" t="s">
        <v>869</v>
      </c>
      <c r="AF194" s="4" t="s">
        <v>850</v>
      </c>
    </row>
    <row r="195" spans="1:35" ht="36" hidden="1" x14ac:dyDescent="0.3">
      <c r="A195" s="108" t="s">
        <v>870</v>
      </c>
      <c r="B195" s="108" t="s">
        <v>827</v>
      </c>
      <c r="C195" s="109" t="s">
        <v>828</v>
      </c>
      <c r="D195" s="110"/>
      <c r="E195" s="110" t="s">
        <v>871</v>
      </c>
      <c r="F195" s="110" t="s">
        <v>64</v>
      </c>
      <c r="G195" s="111">
        <v>1</v>
      </c>
      <c r="H195" s="111"/>
      <c r="I195" s="111">
        <v>982.8</v>
      </c>
      <c r="J195" s="14">
        <f>IFERROR(ROUND(SUM(M196,M197,M198)/I195, 2),0)</f>
        <v>81.25</v>
      </c>
      <c r="K195" s="15">
        <v>508</v>
      </c>
      <c r="L195" s="14">
        <f>J195+ROUND(K195, 2)</f>
        <v>589.25</v>
      </c>
      <c r="M195" s="14">
        <f>ROUND(J195*I195, 2)</f>
        <v>79852.5</v>
      </c>
      <c r="N195" s="14">
        <f>ROUND(I195*ROUND(K195, 2), 2)</f>
        <v>499262.4</v>
      </c>
      <c r="O195" s="14">
        <f>M195+N195</f>
        <v>579114.9</v>
      </c>
      <c r="P195" s="14">
        <f>IFERROR(ROUND(SUM(S196,S197,S198)/I195, 2),0)</f>
        <v>81.25</v>
      </c>
      <c r="Q195" s="16">
        <v>508</v>
      </c>
      <c r="R195" s="14">
        <f>P195+ROUND(Q195, 2)</f>
        <v>589.25</v>
      </c>
      <c r="S195" s="14">
        <f>ROUND(P195*I195, 2)</f>
        <v>79852.5</v>
      </c>
      <c r="T195" s="14">
        <f>ROUND(I195*ROUND(Q195, 2), 2)</f>
        <v>499262.4</v>
      </c>
      <c r="U195" s="14">
        <f>S195+T195</f>
        <v>579114.9</v>
      </c>
      <c r="V195" s="9">
        <f>ROUND(P195 / 1.2, 2)</f>
        <v>67.709999999999994</v>
      </c>
      <c r="W195" s="9">
        <f>ROUND(Q195 / 1.2, 2)</f>
        <v>423.33</v>
      </c>
      <c r="X195" s="9">
        <f>ROUND(R195 / 1.2, 2)</f>
        <v>491.04</v>
      </c>
      <c r="Y195" s="9">
        <f t="shared" si="16"/>
        <v>66543.75</v>
      </c>
      <c r="Z195" s="9">
        <f>ROUND(T195 / 1.2, 2)</f>
        <v>416052</v>
      </c>
      <c r="AA195" s="9">
        <f>Y195+Z195</f>
        <v>482595.75</v>
      </c>
      <c r="AD195" s="4">
        <v>271132181</v>
      </c>
      <c r="AE195" s="4">
        <v>19976868</v>
      </c>
      <c r="AG195" s="4" t="s">
        <v>830</v>
      </c>
      <c r="AH195" s="4" t="s">
        <v>831</v>
      </c>
      <c r="AI195" s="4" t="s">
        <v>67</v>
      </c>
    </row>
    <row r="196" spans="1:35" ht="36" hidden="1" x14ac:dyDescent="0.3">
      <c r="A196" s="108" t="s">
        <v>872</v>
      </c>
      <c r="B196" s="108"/>
      <c r="C196" s="112" t="s">
        <v>433</v>
      </c>
      <c r="D196" s="110"/>
      <c r="E196" s="110"/>
      <c r="F196" s="113" t="s">
        <v>70</v>
      </c>
      <c r="G196" s="114">
        <v>0.15</v>
      </c>
      <c r="H196" s="114"/>
      <c r="I196" s="114">
        <v>147.41999999999999</v>
      </c>
      <c r="J196" s="21">
        <v>88.8</v>
      </c>
      <c r="M196" s="22">
        <f>ROUND(ROUND(J196, 2)*I196, 2)</f>
        <v>13090.9</v>
      </c>
      <c r="P196" s="23">
        <v>88.8</v>
      </c>
      <c r="S196" s="22">
        <f>ROUND(ROUND(P196, 2)*I196, 2)</f>
        <v>13090.9</v>
      </c>
      <c r="V196" s="9">
        <f>ROUND(ROUND(P196, 2)/1.2, 2)</f>
        <v>74</v>
      </c>
      <c r="Y196" s="9">
        <f t="shared" si="16"/>
        <v>10909.08</v>
      </c>
      <c r="AD196" s="4" t="s">
        <v>873</v>
      </c>
      <c r="AE196" s="4" t="s">
        <v>874</v>
      </c>
      <c r="AF196" s="4" t="s">
        <v>436</v>
      </c>
    </row>
    <row r="197" spans="1:35" ht="18" hidden="1" x14ac:dyDescent="0.3">
      <c r="A197" s="108" t="s">
        <v>875</v>
      </c>
      <c r="B197" s="108"/>
      <c r="C197" s="112" t="s">
        <v>793</v>
      </c>
      <c r="D197" s="110"/>
      <c r="E197" s="110"/>
      <c r="F197" s="113" t="s">
        <v>116</v>
      </c>
      <c r="G197" s="114">
        <v>0.3</v>
      </c>
      <c r="H197" s="114"/>
      <c r="I197" s="114">
        <v>294.83999999999997</v>
      </c>
      <c r="J197" s="21">
        <v>73.099999999999994</v>
      </c>
      <c r="M197" s="22">
        <f>ROUND(ROUND(J197, 2)*I197, 2)</f>
        <v>21552.799999999999</v>
      </c>
      <c r="P197" s="23">
        <v>73.099999999999994</v>
      </c>
      <c r="S197" s="22">
        <f>ROUND(ROUND(P197, 2)*I197, 2)</f>
        <v>21552.799999999999</v>
      </c>
      <c r="V197" s="9">
        <f>ROUND(ROUND(P197, 2)/1.2, 2)</f>
        <v>60.92</v>
      </c>
      <c r="Y197" s="9">
        <f t="shared" si="16"/>
        <v>17960.669999999998</v>
      </c>
      <c r="AD197" s="4" t="s">
        <v>876</v>
      </c>
      <c r="AE197" s="4" t="s">
        <v>877</v>
      </c>
      <c r="AF197" s="4" t="s">
        <v>796</v>
      </c>
    </row>
    <row r="198" spans="1:35" ht="18" hidden="1" x14ac:dyDescent="0.3">
      <c r="A198" s="108" t="s">
        <v>878</v>
      </c>
      <c r="B198" s="108"/>
      <c r="C198" s="175" t="s">
        <v>879</v>
      </c>
      <c r="D198" s="110"/>
      <c r="E198" s="110"/>
      <c r="F198" s="113" t="s">
        <v>70</v>
      </c>
      <c r="G198" s="114">
        <v>2</v>
      </c>
      <c r="H198" s="114"/>
      <c r="I198" s="114">
        <v>1965.6</v>
      </c>
      <c r="J198" s="21">
        <v>23</v>
      </c>
      <c r="M198" s="22">
        <f>ROUND(ROUND(J198, 2)*I198, 2)</f>
        <v>45208.800000000003</v>
      </c>
      <c r="P198" s="23">
        <v>23</v>
      </c>
      <c r="S198" s="22">
        <f>ROUND(ROUND(P198, 2)*I198, 2)</f>
        <v>45208.800000000003</v>
      </c>
      <c r="V198" s="9">
        <f>ROUND(ROUND(P198, 2)/1.2, 2)</f>
        <v>19.170000000000002</v>
      </c>
      <c r="Y198" s="9">
        <f t="shared" si="16"/>
        <v>37674</v>
      </c>
      <c r="AD198" s="4" t="s">
        <v>880</v>
      </c>
      <c r="AE198" s="4" t="s">
        <v>881</v>
      </c>
      <c r="AF198" s="4" t="s">
        <v>882</v>
      </c>
    </row>
    <row r="199" spans="1:35" ht="54" hidden="1" x14ac:dyDescent="0.3">
      <c r="A199" s="108" t="s">
        <v>883</v>
      </c>
      <c r="B199" s="108" t="s">
        <v>827</v>
      </c>
      <c r="C199" s="109" t="s">
        <v>828</v>
      </c>
      <c r="D199" s="110"/>
      <c r="E199" s="110" t="s">
        <v>884</v>
      </c>
      <c r="F199" s="110" t="s">
        <v>64</v>
      </c>
      <c r="G199" s="111">
        <v>1</v>
      </c>
      <c r="H199" s="111"/>
      <c r="I199" s="111">
        <v>982.8</v>
      </c>
      <c r="J199" s="14">
        <f>IFERROR(ROUND(SUM(M200,M201)/I199, 2),0)</f>
        <v>59.32</v>
      </c>
      <c r="K199" s="15">
        <v>508</v>
      </c>
      <c r="L199" s="14">
        <f>J199+ROUND(K199, 2)</f>
        <v>567.32000000000005</v>
      </c>
      <c r="M199" s="14">
        <f>ROUND(J199*I199, 2)</f>
        <v>58299.7</v>
      </c>
      <c r="N199" s="14">
        <f>ROUND(I199*ROUND(K199, 2), 2)</f>
        <v>499262.4</v>
      </c>
      <c r="O199" s="14">
        <f>M199+N199</f>
        <v>557562.1</v>
      </c>
      <c r="P199" s="14">
        <f>IFERROR(ROUND(SUM(S200,S201)/I199, 2),0)</f>
        <v>59.32</v>
      </c>
      <c r="Q199" s="16">
        <v>508</v>
      </c>
      <c r="R199" s="14">
        <f>P199+ROUND(Q199, 2)</f>
        <v>567.32000000000005</v>
      </c>
      <c r="S199" s="14">
        <f>ROUND(P199*I199, 2)</f>
        <v>58299.7</v>
      </c>
      <c r="T199" s="14">
        <f>ROUND(I199*ROUND(Q199, 2), 2)</f>
        <v>499262.4</v>
      </c>
      <c r="U199" s="14">
        <f>S199+T199</f>
        <v>557562.1</v>
      </c>
      <c r="V199" s="9">
        <f>ROUND(P199 / 1.2, 2)</f>
        <v>49.43</v>
      </c>
      <c r="W199" s="9">
        <f>ROUND(Q199 / 1.2, 2)</f>
        <v>423.33</v>
      </c>
      <c r="X199" s="9">
        <f>ROUND(R199 / 1.2, 2)</f>
        <v>472.77</v>
      </c>
      <c r="Y199" s="9">
        <f t="shared" si="16"/>
        <v>48583.08</v>
      </c>
      <c r="Z199" s="9">
        <f>ROUND(T199 / 1.2, 2)</f>
        <v>416052</v>
      </c>
      <c r="AA199" s="9">
        <f>Y199+Z199</f>
        <v>464635.08</v>
      </c>
      <c r="AD199" s="4">
        <v>271132182</v>
      </c>
      <c r="AE199" s="4">
        <v>19976871</v>
      </c>
      <c r="AG199" s="4" t="s">
        <v>830</v>
      </c>
      <c r="AH199" s="4" t="s">
        <v>831</v>
      </c>
      <c r="AI199" s="4" t="s">
        <v>67</v>
      </c>
    </row>
    <row r="200" spans="1:35" ht="36" hidden="1" x14ac:dyDescent="0.3">
      <c r="A200" s="108" t="s">
        <v>885</v>
      </c>
      <c r="B200" s="108"/>
      <c r="C200" s="112" t="s">
        <v>433</v>
      </c>
      <c r="D200" s="110"/>
      <c r="E200" s="110"/>
      <c r="F200" s="113" t="s">
        <v>70</v>
      </c>
      <c r="G200" s="114">
        <v>0.15</v>
      </c>
      <c r="H200" s="114"/>
      <c r="I200" s="114">
        <v>147.41999999999999</v>
      </c>
      <c r="J200" s="21">
        <v>88.8</v>
      </c>
      <c r="M200" s="22">
        <f>ROUND(ROUND(J200, 2)*I200, 2)</f>
        <v>13090.9</v>
      </c>
      <c r="P200" s="23">
        <v>88.8</v>
      </c>
      <c r="S200" s="22">
        <f>ROUND(ROUND(P200, 2)*I200, 2)</f>
        <v>13090.9</v>
      </c>
      <c r="V200" s="9">
        <f>ROUND(ROUND(P200, 2)/1.2, 2)</f>
        <v>74</v>
      </c>
      <c r="Y200" s="9">
        <f t="shared" si="16"/>
        <v>10909.08</v>
      </c>
      <c r="AD200" s="4" t="s">
        <v>886</v>
      </c>
      <c r="AE200" s="4" t="s">
        <v>887</v>
      </c>
      <c r="AF200" s="4" t="s">
        <v>436</v>
      </c>
    </row>
    <row r="201" spans="1:35" ht="18" hidden="1" x14ac:dyDescent="0.3">
      <c r="A201" s="108" t="s">
        <v>888</v>
      </c>
      <c r="B201" s="108"/>
      <c r="C201" s="175" t="s">
        <v>879</v>
      </c>
      <c r="D201" s="110"/>
      <c r="E201" s="110"/>
      <c r="F201" s="113" t="s">
        <v>70</v>
      </c>
      <c r="G201" s="114">
        <v>2</v>
      </c>
      <c r="H201" s="114"/>
      <c r="I201" s="114">
        <v>1965.6</v>
      </c>
      <c r="J201" s="21">
        <v>23</v>
      </c>
      <c r="M201" s="22">
        <f>ROUND(ROUND(J201, 2)*I201, 2)</f>
        <v>45208.800000000003</v>
      </c>
      <c r="P201" s="23">
        <v>23</v>
      </c>
      <c r="S201" s="22">
        <f>ROUND(ROUND(P201, 2)*I201, 2)</f>
        <v>45208.800000000003</v>
      </c>
      <c r="V201" s="9">
        <f>ROUND(ROUND(P201, 2)/1.2, 2)</f>
        <v>19.170000000000002</v>
      </c>
      <c r="Y201" s="9">
        <f t="shared" si="16"/>
        <v>37674</v>
      </c>
      <c r="AD201" s="4" t="s">
        <v>889</v>
      </c>
      <c r="AE201" s="4" t="s">
        <v>890</v>
      </c>
      <c r="AF201" s="4" t="s">
        <v>882</v>
      </c>
    </row>
    <row r="202" spans="1:35" ht="36" hidden="1" x14ac:dyDescent="0.3">
      <c r="A202" s="168" t="s">
        <v>891</v>
      </c>
      <c r="B202" s="168" t="s">
        <v>827</v>
      </c>
      <c r="C202" s="169" t="s">
        <v>828</v>
      </c>
      <c r="D202" s="170"/>
      <c r="E202" s="170" t="s">
        <v>892</v>
      </c>
      <c r="F202" s="170" t="s">
        <v>64</v>
      </c>
      <c r="G202" s="171">
        <v>1</v>
      </c>
      <c r="H202" s="171"/>
      <c r="I202" s="166">
        <v>726.6</v>
      </c>
      <c r="J202" s="14">
        <f>IFERROR(ROUND(SUM(M203,M204,M205)/I202, 2),0)</f>
        <v>81.25</v>
      </c>
      <c r="K202" s="15">
        <v>508</v>
      </c>
      <c r="L202" s="14">
        <f>J202+ROUND(K202, 2)</f>
        <v>589.25</v>
      </c>
      <c r="M202" s="14">
        <f>ROUND(J202*I202, 2)</f>
        <v>59036.25</v>
      </c>
      <c r="N202" s="14">
        <f>ROUND(I202*ROUND(K202, 2), 2)</f>
        <v>369112.8</v>
      </c>
      <c r="O202" s="14">
        <f>M202+N202</f>
        <v>428149.05</v>
      </c>
      <c r="P202" s="14">
        <f>IFERROR(ROUND(SUM(S203,S204,S205)/I202, 2),0)</f>
        <v>81.25</v>
      </c>
      <c r="Q202" s="16">
        <v>508</v>
      </c>
      <c r="R202" s="14">
        <f>P202+ROUND(Q202, 2)</f>
        <v>589.25</v>
      </c>
      <c r="S202" s="14">
        <f>ROUND(P202*I202, 2)</f>
        <v>59036.25</v>
      </c>
      <c r="T202" s="14">
        <f>ROUND(I202*ROUND(Q202, 2), 2)</f>
        <v>369112.8</v>
      </c>
      <c r="U202" s="14">
        <f>S202+T202</f>
        <v>428149.05</v>
      </c>
      <c r="V202" s="9">
        <f>ROUND(P202 / 1.2, 2)</f>
        <v>67.709999999999994</v>
      </c>
      <c r="W202" s="9">
        <f>ROUND(Q202 / 1.2, 2)</f>
        <v>423.33</v>
      </c>
      <c r="X202" s="9">
        <f>ROUND(R202 / 1.2, 2)</f>
        <v>491.04</v>
      </c>
      <c r="Y202" s="9">
        <f t="shared" si="16"/>
        <v>49196.88</v>
      </c>
      <c r="Z202" s="9">
        <f>ROUND(T202 / 1.2, 2)</f>
        <v>307594</v>
      </c>
      <c r="AA202" s="9">
        <f>Y202+Z202</f>
        <v>356790.88</v>
      </c>
      <c r="AD202" s="4">
        <v>271132183</v>
      </c>
      <c r="AE202" s="4">
        <v>19976874</v>
      </c>
      <c r="AG202" s="4" t="s">
        <v>830</v>
      </c>
      <c r="AH202" s="4" t="s">
        <v>831</v>
      </c>
      <c r="AI202" s="4" t="s">
        <v>67</v>
      </c>
    </row>
    <row r="203" spans="1:35" ht="36" hidden="1" x14ac:dyDescent="0.3">
      <c r="A203" s="168" t="s">
        <v>893</v>
      </c>
      <c r="B203" s="168"/>
      <c r="C203" s="172" t="s">
        <v>433</v>
      </c>
      <c r="D203" s="170"/>
      <c r="E203" s="170" t="s">
        <v>3054</v>
      </c>
      <c r="F203" s="173" t="s">
        <v>70</v>
      </c>
      <c r="G203" s="174">
        <v>0.15</v>
      </c>
      <c r="H203" s="174"/>
      <c r="I203" s="174">
        <v>108.99</v>
      </c>
      <c r="J203" s="21">
        <v>88.8</v>
      </c>
      <c r="M203" s="22">
        <f>ROUND(ROUND(J203, 2)*I203, 2)</f>
        <v>9678.31</v>
      </c>
      <c r="P203" s="23">
        <v>88.8</v>
      </c>
      <c r="S203" s="22">
        <f>ROUND(ROUND(P203, 2)*I203, 2)</f>
        <v>9678.31</v>
      </c>
      <c r="V203" s="9">
        <f>ROUND(ROUND(P203, 2)/1.2, 2)</f>
        <v>74</v>
      </c>
      <c r="Y203" s="9">
        <f t="shared" si="16"/>
        <v>8065.26</v>
      </c>
      <c r="AD203" s="4" t="s">
        <v>894</v>
      </c>
      <c r="AE203" s="4" t="s">
        <v>895</v>
      </c>
      <c r="AF203" s="4" t="s">
        <v>436</v>
      </c>
    </row>
    <row r="204" spans="1:35" ht="18" hidden="1" x14ac:dyDescent="0.3">
      <c r="A204" s="168" t="s">
        <v>896</v>
      </c>
      <c r="B204" s="168"/>
      <c r="C204" s="172" t="s">
        <v>793</v>
      </c>
      <c r="D204" s="170"/>
      <c r="E204" s="170"/>
      <c r="F204" s="173" t="s">
        <v>116</v>
      </c>
      <c r="G204" s="174">
        <v>0.3</v>
      </c>
      <c r="H204" s="174"/>
      <c r="I204" s="174">
        <v>217.98</v>
      </c>
      <c r="J204" s="21">
        <v>73.099999999999994</v>
      </c>
      <c r="M204" s="22">
        <f>ROUND(ROUND(J204, 2)*I204, 2)</f>
        <v>15934.34</v>
      </c>
      <c r="P204" s="23">
        <v>73.099999999999994</v>
      </c>
      <c r="S204" s="22">
        <f>ROUND(ROUND(P204, 2)*I204, 2)</f>
        <v>15934.34</v>
      </c>
      <c r="V204" s="9">
        <f>ROUND(ROUND(P204, 2)/1.2, 2)</f>
        <v>60.92</v>
      </c>
      <c r="Y204" s="9">
        <f t="shared" si="16"/>
        <v>13278.62</v>
      </c>
      <c r="AD204" s="4" t="s">
        <v>897</v>
      </c>
      <c r="AE204" s="4" t="s">
        <v>898</v>
      </c>
      <c r="AF204" s="4" t="s">
        <v>796</v>
      </c>
    </row>
    <row r="205" spans="1:35" ht="18" hidden="1" x14ac:dyDescent="0.3">
      <c r="A205" s="168" t="s">
        <v>899</v>
      </c>
      <c r="B205" s="168"/>
      <c r="C205" s="167" t="s">
        <v>879</v>
      </c>
      <c r="D205" s="170"/>
      <c r="E205" s="170"/>
      <c r="F205" s="173" t="s">
        <v>70</v>
      </c>
      <c r="G205" s="174">
        <v>2</v>
      </c>
      <c r="H205" s="174"/>
      <c r="I205" s="174">
        <v>1453.2</v>
      </c>
      <c r="J205" s="21">
        <v>23</v>
      </c>
      <c r="M205" s="22">
        <f>ROUND(ROUND(J205, 2)*I205, 2)</f>
        <v>33423.599999999999</v>
      </c>
      <c r="P205" s="23">
        <v>23</v>
      </c>
      <c r="S205" s="22">
        <f>ROUND(ROUND(P205, 2)*I205, 2)</f>
        <v>33423.599999999999</v>
      </c>
      <c r="V205" s="9">
        <f>ROUND(ROUND(P205, 2)/1.2, 2)</f>
        <v>19.170000000000002</v>
      </c>
      <c r="Y205" s="9">
        <f t="shared" si="16"/>
        <v>27853</v>
      </c>
      <c r="AD205" s="4" t="s">
        <v>900</v>
      </c>
      <c r="AE205" s="4" t="s">
        <v>901</v>
      </c>
      <c r="AF205" s="4" t="s">
        <v>882</v>
      </c>
    </row>
    <row r="206" spans="1:35" ht="54" hidden="1" x14ac:dyDescent="0.3">
      <c r="A206" s="108" t="s">
        <v>902</v>
      </c>
      <c r="B206" s="108" t="s">
        <v>827</v>
      </c>
      <c r="C206" s="109" t="s">
        <v>828</v>
      </c>
      <c r="D206" s="110"/>
      <c r="E206" s="110" t="s">
        <v>903</v>
      </c>
      <c r="F206" s="110" t="s">
        <v>64</v>
      </c>
      <c r="G206" s="111">
        <v>1</v>
      </c>
      <c r="H206" s="111"/>
      <c r="I206" s="111">
        <v>726.6</v>
      </c>
      <c r="J206" s="14">
        <f>IFERROR(ROUND(SUM(M207,M208)/I206, 2),0)</f>
        <v>59.32</v>
      </c>
      <c r="K206" s="15">
        <v>508</v>
      </c>
      <c r="L206" s="14">
        <f>J206+ROUND(K206, 2)</f>
        <v>567.32000000000005</v>
      </c>
      <c r="M206" s="14">
        <f>ROUND(J206*I206, 2)</f>
        <v>43101.91</v>
      </c>
      <c r="N206" s="14">
        <f>ROUND(I206*ROUND(K206, 2), 2)</f>
        <v>369112.8</v>
      </c>
      <c r="O206" s="14">
        <f>M206+N206</f>
        <v>412214.70999999996</v>
      </c>
      <c r="P206" s="14">
        <f>IFERROR(ROUND(SUM(S207,S208)/I206, 2),0)</f>
        <v>59.32</v>
      </c>
      <c r="Q206" s="16">
        <v>508</v>
      </c>
      <c r="R206" s="14">
        <f>P206+ROUND(Q206, 2)</f>
        <v>567.32000000000005</v>
      </c>
      <c r="S206" s="14">
        <f>ROUND(P206*I206, 2)</f>
        <v>43101.91</v>
      </c>
      <c r="T206" s="14">
        <f>ROUND(I206*ROUND(Q206, 2), 2)</f>
        <v>369112.8</v>
      </c>
      <c r="U206" s="14">
        <f>S206+T206</f>
        <v>412214.70999999996</v>
      </c>
      <c r="V206" s="9">
        <f>ROUND(P206 / 1.2, 2)</f>
        <v>49.43</v>
      </c>
      <c r="W206" s="9">
        <f>ROUND(Q206 / 1.2, 2)</f>
        <v>423.33</v>
      </c>
      <c r="X206" s="9">
        <f>ROUND(R206 / 1.2, 2)</f>
        <v>472.77</v>
      </c>
      <c r="Y206" s="9">
        <f t="shared" si="16"/>
        <v>35918.26</v>
      </c>
      <c r="Z206" s="9">
        <f>ROUND(T206 / 1.2, 2)</f>
        <v>307594</v>
      </c>
      <c r="AA206" s="9">
        <f>Y206+Z206</f>
        <v>343512.26</v>
      </c>
      <c r="AD206" s="4">
        <v>271132184</v>
      </c>
      <c r="AE206" s="4">
        <v>19976877</v>
      </c>
      <c r="AG206" s="4" t="s">
        <v>830</v>
      </c>
      <c r="AH206" s="4" t="s">
        <v>831</v>
      </c>
      <c r="AI206" s="4" t="s">
        <v>67</v>
      </c>
    </row>
    <row r="207" spans="1:35" ht="36" hidden="1" x14ac:dyDescent="0.3">
      <c r="A207" s="108" t="s">
        <v>904</v>
      </c>
      <c r="B207" s="108"/>
      <c r="C207" s="112" t="s">
        <v>433</v>
      </c>
      <c r="D207" s="110"/>
      <c r="E207" s="110"/>
      <c r="F207" s="113" t="s">
        <v>70</v>
      </c>
      <c r="G207" s="114">
        <v>0.15</v>
      </c>
      <c r="H207" s="114"/>
      <c r="I207" s="114">
        <v>108.99</v>
      </c>
      <c r="J207" s="21">
        <v>88.8</v>
      </c>
      <c r="M207" s="22">
        <f>ROUND(ROUND(J207, 2)*I207, 2)</f>
        <v>9678.31</v>
      </c>
      <c r="P207" s="23">
        <v>88.8</v>
      </c>
      <c r="S207" s="22">
        <f>ROUND(ROUND(P207, 2)*I207, 2)</f>
        <v>9678.31</v>
      </c>
      <c r="V207" s="9">
        <f>ROUND(ROUND(P207, 2)/1.2, 2)</f>
        <v>74</v>
      </c>
      <c r="Y207" s="9">
        <f t="shared" si="16"/>
        <v>8065.26</v>
      </c>
      <c r="AD207" s="4" t="s">
        <v>905</v>
      </c>
      <c r="AE207" s="4" t="s">
        <v>906</v>
      </c>
      <c r="AF207" s="4" t="s">
        <v>436</v>
      </c>
    </row>
    <row r="208" spans="1:35" ht="18" hidden="1" x14ac:dyDescent="0.3">
      <c r="A208" s="108" t="s">
        <v>907</v>
      </c>
      <c r="B208" s="108"/>
      <c r="C208" s="175" t="s">
        <v>879</v>
      </c>
      <c r="D208" s="110"/>
      <c r="E208" s="110"/>
      <c r="F208" s="113" t="s">
        <v>70</v>
      </c>
      <c r="G208" s="114">
        <v>2</v>
      </c>
      <c r="H208" s="114"/>
      <c r="I208" s="114">
        <v>1453.2</v>
      </c>
      <c r="J208" s="21">
        <v>23</v>
      </c>
      <c r="M208" s="22">
        <f>ROUND(ROUND(J208, 2)*I208, 2)</f>
        <v>33423.599999999999</v>
      </c>
      <c r="P208" s="23">
        <v>23</v>
      </c>
      <c r="S208" s="22">
        <f>ROUND(ROUND(P208, 2)*I208, 2)</f>
        <v>33423.599999999999</v>
      </c>
      <c r="V208" s="9">
        <f>ROUND(ROUND(P208, 2)/1.2, 2)</f>
        <v>19.170000000000002</v>
      </c>
      <c r="Y208" s="9">
        <f t="shared" si="16"/>
        <v>27853</v>
      </c>
      <c r="AD208" s="4" t="s">
        <v>908</v>
      </c>
      <c r="AE208" s="4" t="s">
        <v>909</v>
      </c>
      <c r="AF208" s="4" t="s">
        <v>882</v>
      </c>
    </row>
    <row r="209" spans="1:35" ht="34.799999999999997" x14ac:dyDescent="0.3">
      <c r="A209" s="108" t="s">
        <v>910</v>
      </c>
      <c r="B209" s="108" t="s">
        <v>827</v>
      </c>
      <c r="C209" s="211" t="s">
        <v>828</v>
      </c>
      <c r="D209" s="110"/>
      <c r="E209" s="110" t="s">
        <v>911</v>
      </c>
      <c r="F209" s="110" t="s">
        <v>64</v>
      </c>
      <c r="G209" s="111">
        <v>1</v>
      </c>
      <c r="H209" s="111"/>
      <c r="I209" s="111">
        <v>8128.4</v>
      </c>
      <c r="J209" s="14">
        <f>IFERROR(ROUND(SUM(M210,M211)/I209, 2),0)</f>
        <v>36.18</v>
      </c>
      <c r="K209" s="15">
        <v>508</v>
      </c>
      <c r="L209" s="14">
        <f>J209+ROUND(K209, 2)</f>
        <v>544.17999999999995</v>
      </c>
      <c r="M209" s="14">
        <f>ROUND(J209*I209, 2)</f>
        <v>294085.51</v>
      </c>
      <c r="N209" s="14">
        <f>ROUND(I209*ROUND(K209, 2), 2)</f>
        <v>4129227.2</v>
      </c>
      <c r="O209" s="14">
        <f>M209+N209</f>
        <v>4423312.71</v>
      </c>
      <c r="P209" s="14">
        <f>IFERROR(ROUND(SUM(S210,S211)/I209, 2),0)</f>
        <v>36.18</v>
      </c>
      <c r="Q209" s="16">
        <v>508</v>
      </c>
      <c r="R209" s="14">
        <f>P209+ROUND(Q209, 2)</f>
        <v>544.17999999999995</v>
      </c>
      <c r="S209" s="14">
        <f>ROUND(P209*I209, 2)</f>
        <v>294085.51</v>
      </c>
      <c r="T209" s="14">
        <f>ROUND(I209*ROUND(Q209, 2), 2)</f>
        <v>4129227.2</v>
      </c>
      <c r="U209" s="14">
        <f>S209+T209</f>
        <v>4423312.71</v>
      </c>
      <c r="V209" s="9">
        <f>ROUND(P209 / 1.2, 2)</f>
        <v>30.15</v>
      </c>
      <c r="W209" s="9">
        <f>ROUND(Q209 / 1.2, 2)</f>
        <v>423.33</v>
      </c>
      <c r="X209" s="9">
        <f>ROUND(R209 / 1.2, 2)</f>
        <v>453.48</v>
      </c>
      <c r="Y209" s="9">
        <f t="shared" si="16"/>
        <v>245071.26</v>
      </c>
      <c r="Z209" s="9">
        <f>ROUND(T209 / 1.2, 2)</f>
        <v>3441022.67</v>
      </c>
      <c r="AA209" s="9">
        <f>Y209+Z209</f>
        <v>3686093.9299999997</v>
      </c>
      <c r="AD209" s="4">
        <v>271132304</v>
      </c>
      <c r="AE209" s="4">
        <v>20421042</v>
      </c>
      <c r="AG209" s="4" t="s">
        <v>830</v>
      </c>
      <c r="AH209" s="4" t="s">
        <v>831</v>
      </c>
      <c r="AI209" s="4" t="s">
        <v>67</v>
      </c>
    </row>
    <row r="210" spans="1:35" ht="36" x14ac:dyDescent="0.3">
      <c r="A210" s="108" t="s">
        <v>912</v>
      </c>
      <c r="B210" s="108"/>
      <c r="C210" s="112" t="s">
        <v>433</v>
      </c>
      <c r="D210" s="110"/>
      <c r="E210" s="110"/>
      <c r="F210" s="113" t="s">
        <v>70</v>
      </c>
      <c r="G210" s="114">
        <v>0.15</v>
      </c>
      <c r="H210" s="114"/>
      <c r="I210" s="114">
        <v>1219.26</v>
      </c>
      <c r="J210" s="21">
        <v>88.8</v>
      </c>
      <c r="M210" s="22">
        <f>ROUND(ROUND(J210, 2)*I210, 2)</f>
        <v>108270.29</v>
      </c>
      <c r="P210" s="23">
        <v>88.8</v>
      </c>
      <c r="S210" s="22">
        <f>ROUND(ROUND(P210, 2)*I210, 2)</f>
        <v>108270.29</v>
      </c>
      <c r="V210" s="9">
        <f>ROUND(ROUND(P210, 2)/1.2, 2)</f>
        <v>74</v>
      </c>
      <c r="Y210" s="9">
        <f t="shared" si="16"/>
        <v>90225.24</v>
      </c>
      <c r="AD210" s="4" t="s">
        <v>913</v>
      </c>
      <c r="AE210" s="4" t="s">
        <v>914</v>
      </c>
      <c r="AF210" s="4" t="s">
        <v>436</v>
      </c>
    </row>
    <row r="211" spans="1:35" ht="36" x14ac:dyDescent="0.3">
      <c r="A211" s="108" t="s">
        <v>915</v>
      </c>
      <c r="B211" s="108"/>
      <c r="C211" s="115" t="s">
        <v>740</v>
      </c>
      <c r="D211" s="110"/>
      <c r="E211" s="110"/>
      <c r="F211" s="113" t="s">
        <v>70</v>
      </c>
      <c r="G211" s="114">
        <v>1.8</v>
      </c>
      <c r="H211" s="114"/>
      <c r="I211" s="114">
        <v>14631.12</v>
      </c>
      <c r="J211" s="21">
        <v>12.7</v>
      </c>
      <c r="M211" s="22">
        <f>ROUND(ROUND(J211, 2)*I211, 2)</f>
        <v>185815.22</v>
      </c>
      <c r="P211" s="23">
        <v>12.7</v>
      </c>
      <c r="S211" s="22">
        <f>ROUND(ROUND(P211, 2)*I211, 2)</f>
        <v>185815.22</v>
      </c>
      <c r="V211" s="9">
        <f>ROUND(ROUND(P211, 2)/1.2, 2)</f>
        <v>10.58</v>
      </c>
      <c r="Y211" s="9">
        <f t="shared" si="16"/>
        <v>154846.01999999999</v>
      </c>
      <c r="AD211" s="4" t="s">
        <v>916</v>
      </c>
      <c r="AE211" s="4" t="s">
        <v>917</v>
      </c>
      <c r="AF211" s="4" t="s">
        <v>789</v>
      </c>
    </row>
    <row r="212" spans="1:35" ht="34.799999999999997" x14ac:dyDescent="0.3">
      <c r="A212" s="108" t="s">
        <v>918</v>
      </c>
      <c r="B212" s="108" t="s">
        <v>827</v>
      </c>
      <c r="C212" s="211" t="s">
        <v>828</v>
      </c>
      <c r="D212" s="110"/>
      <c r="E212" s="110" t="s">
        <v>919</v>
      </c>
      <c r="F212" s="110" t="s">
        <v>64</v>
      </c>
      <c r="G212" s="111">
        <v>1</v>
      </c>
      <c r="H212" s="111"/>
      <c r="I212" s="111">
        <v>7374</v>
      </c>
      <c r="J212" s="14">
        <f>IFERROR(ROUND(SUM(M213,M214)/I212, 2),0)</f>
        <v>36.18</v>
      </c>
      <c r="K212" s="15">
        <v>508</v>
      </c>
      <c r="L212" s="14">
        <f>J212+ROUND(K212, 2)</f>
        <v>544.17999999999995</v>
      </c>
      <c r="M212" s="14">
        <f>ROUND(J212*I212, 2)</f>
        <v>266791.32</v>
      </c>
      <c r="N212" s="14">
        <f>ROUND(I212*ROUND(K212, 2), 2)</f>
        <v>3745992</v>
      </c>
      <c r="O212" s="14">
        <f>M212+N212</f>
        <v>4012783.32</v>
      </c>
      <c r="P212" s="14">
        <f>IFERROR(ROUND(SUM(S213,S214)/I212, 2),0)</f>
        <v>36.18</v>
      </c>
      <c r="Q212" s="16">
        <v>508</v>
      </c>
      <c r="R212" s="14">
        <f>P212+ROUND(Q212, 2)</f>
        <v>544.17999999999995</v>
      </c>
      <c r="S212" s="14">
        <f>ROUND(P212*I212, 2)</f>
        <v>266791.32</v>
      </c>
      <c r="T212" s="14">
        <f>ROUND(I212*ROUND(Q212, 2), 2)</f>
        <v>3745992</v>
      </c>
      <c r="U212" s="14">
        <f>S212+T212</f>
        <v>4012783.32</v>
      </c>
      <c r="V212" s="9">
        <f>ROUND(P212 / 1.2, 2)</f>
        <v>30.15</v>
      </c>
      <c r="W212" s="9">
        <f>ROUND(Q212 / 1.2, 2)</f>
        <v>423.33</v>
      </c>
      <c r="X212" s="9">
        <f>ROUND(R212 / 1.2, 2)</f>
        <v>453.48</v>
      </c>
      <c r="Y212" s="9">
        <f t="shared" si="16"/>
        <v>222326.1</v>
      </c>
      <c r="Z212" s="9">
        <f>ROUND(T212 / 1.2, 2)</f>
        <v>3121660</v>
      </c>
      <c r="AA212" s="9">
        <f>Y212+Z212</f>
        <v>3343986.1</v>
      </c>
      <c r="AD212" s="4">
        <v>271132305</v>
      </c>
      <c r="AE212" s="4">
        <v>20421047</v>
      </c>
      <c r="AG212" s="4" t="s">
        <v>830</v>
      </c>
      <c r="AH212" s="4" t="s">
        <v>831</v>
      </c>
      <c r="AI212" s="4" t="s">
        <v>67</v>
      </c>
    </row>
    <row r="213" spans="1:35" ht="36" x14ac:dyDescent="0.3">
      <c r="A213" s="108" t="s">
        <v>920</v>
      </c>
      <c r="B213" s="108"/>
      <c r="C213" s="112" t="s">
        <v>433</v>
      </c>
      <c r="D213" s="110"/>
      <c r="E213" s="110"/>
      <c r="F213" s="113" t="s">
        <v>70</v>
      </c>
      <c r="G213" s="114">
        <v>0.15</v>
      </c>
      <c r="H213" s="114"/>
      <c r="I213" s="114">
        <v>1106.0999999999999</v>
      </c>
      <c r="J213" s="21">
        <v>88.8</v>
      </c>
      <c r="M213" s="22">
        <f>ROUND(ROUND(J213, 2)*I213, 2)</f>
        <v>98221.68</v>
      </c>
      <c r="P213" s="23">
        <v>88.8</v>
      </c>
      <c r="S213" s="22">
        <f>ROUND(ROUND(P213, 2)*I213, 2)</f>
        <v>98221.68</v>
      </c>
      <c r="V213" s="9">
        <f>ROUND(ROUND(P213, 2)/1.2, 2)</f>
        <v>74</v>
      </c>
      <c r="Y213" s="9">
        <f t="shared" si="16"/>
        <v>81851.399999999994</v>
      </c>
      <c r="AD213" s="4" t="s">
        <v>921</v>
      </c>
      <c r="AE213" s="4" t="s">
        <v>922</v>
      </c>
      <c r="AF213" s="4" t="s">
        <v>436</v>
      </c>
    </row>
    <row r="214" spans="1:35" ht="36" x14ac:dyDescent="0.3">
      <c r="A214" s="108" t="s">
        <v>923</v>
      </c>
      <c r="B214" s="108"/>
      <c r="C214" s="115" t="s">
        <v>740</v>
      </c>
      <c r="D214" s="110"/>
      <c r="E214" s="110"/>
      <c r="F214" s="113" t="s">
        <v>70</v>
      </c>
      <c r="G214" s="114">
        <v>1.8</v>
      </c>
      <c r="H214" s="114"/>
      <c r="I214" s="114">
        <v>13273.2</v>
      </c>
      <c r="J214" s="21">
        <v>12.7</v>
      </c>
      <c r="M214" s="22">
        <f>ROUND(ROUND(J214, 2)*I214, 2)</f>
        <v>168569.64</v>
      </c>
      <c r="P214" s="23">
        <v>12.7</v>
      </c>
      <c r="S214" s="22">
        <f>ROUND(ROUND(P214, 2)*I214, 2)</f>
        <v>168569.64</v>
      </c>
      <c r="V214" s="9">
        <f>ROUND(ROUND(P214, 2)/1.2, 2)</f>
        <v>10.58</v>
      </c>
      <c r="Y214" s="9">
        <f t="shared" si="16"/>
        <v>140474.70000000001</v>
      </c>
      <c r="AD214" s="4" t="s">
        <v>924</v>
      </c>
      <c r="AE214" s="4" t="s">
        <v>925</v>
      </c>
      <c r="AF214" s="4" t="s">
        <v>789</v>
      </c>
    </row>
    <row r="215" spans="1:35" ht="36" hidden="1" x14ac:dyDescent="0.3">
      <c r="A215" s="108" t="s">
        <v>926</v>
      </c>
      <c r="B215" s="108" t="s">
        <v>827</v>
      </c>
      <c r="C215" s="109" t="s">
        <v>828</v>
      </c>
      <c r="D215" s="110"/>
      <c r="E215" s="110" t="s">
        <v>927</v>
      </c>
      <c r="F215" s="110" t="s">
        <v>64</v>
      </c>
      <c r="G215" s="111">
        <v>1</v>
      </c>
      <c r="H215" s="111"/>
      <c r="I215" s="111">
        <v>982.8</v>
      </c>
      <c r="J215" s="14">
        <f>IFERROR(ROUND(SUM(M216,M217)/I215, 2),0)</f>
        <v>59.32</v>
      </c>
      <c r="K215" s="15">
        <v>508</v>
      </c>
      <c r="L215" s="14">
        <f>J215+ROUND(K215, 2)</f>
        <v>567.32000000000005</v>
      </c>
      <c r="M215" s="14">
        <f>ROUND(J215*I215, 2)</f>
        <v>58299.7</v>
      </c>
      <c r="N215" s="14">
        <f>ROUND(I215*ROUND(K215, 2), 2)</f>
        <v>499262.4</v>
      </c>
      <c r="O215" s="14">
        <f>M215+N215</f>
        <v>557562.1</v>
      </c>
      <c r="P215" s="14">
        <f>IFERROR(ROUND(SUM(S216,S217)/I215, 2),0)</f>
        <v>59.32</v>
      </c>
      <c r="Q215" s="16">
        <v>508</v>
      </c>
      <c r="R215" s="14">
        <f>P215+ROUND(Q215, 2)</f>
        <v>567.32000000000005</v>
      </c>
      <c r="S215" s="14">
        <f>ROUND(P215*I215, 2)</f>
        <v>58299.7</v>
      </c>
      <c r="T215" s="14">
        <f>ROUND(I215*ROUND(Q215, 2), 2)</f>
        <v>499262.4</v>
      </c>
      <c r="U215" s="14">
        <f>S215+T215</f>
        <v>557562.1</v>
      </c>
      <c r="V215" s="9">
        <f>ROUND(P215 / 1.2, 2)</f>
        <v>49.43</v>
      </c>
      <c r="W215" s="9">
        <f>ROUND(Q215 / 1.2, 2)</f>
        <v>423.33</v>
      </c>
      <c r="X215" s="9">
        <f>ROUND(R215 / 1.2, 2)</f>
        <v>472.77</v>
      </c>
      <c r="Y215" s="9">
        <f t="shared" si="16"/>
        <v>48583.08</v>
      </c>
      <c r="Z215" s="9">
        <f>ROUND(T215 / 1.2, 2)</f>
        <v>416052</v>
      </c>
      <c r="AA215" s="9">
        <f>Y215+Z215</f>
        <v>464635.08</v>
      </c>
      <c r="AD215" s="4">
        <v>271132306</v>
      </c>
      <c r="AE215" s="4">
        <v>20421041</v>
      </c>
      <c r="AG215" s="4" t="s">
        <v>830</v>
      </c>
      <c r="AH215" s="4" t="s">
        <v>831</v>
      </c>
      <c r="AI215" s="4" t="s">
        <v>67</v>
      </c>
    </row>
    <row r="216" spans="1:35" ht="36" hidden="1" x14ac:dyDescent="0.3">
      <c r="A216" s="108" t="s">
        <v>928</v>
      </c>
      <c r="B216" s="108"/>
      <c r="C216" s="112" t="s">
        <v>433</v>
      </c>
      <c r="D216" s="110"/>
      <c r="E216" s="110"/>
      <c r="F216" s="113" t="s">
        <v>70</v>
      </c>
      <c r="G216" s="114">
        <v>0.15</v>
      </c>
      <c r="H216" s="114"/>
      <c r="I216" s="114">
        <v>147.41999999999999</v>
      </c>
      <c r="J216" s="21">
        <v>88.8</v>
      </c>
      <c r="M216" s="22">
        <f>ROUND(ROUND(J216, 2)*I216, 2)</f>
        <v>13090.9</v>
      </c>
      <c r="P216" s="23">
        <v>88.8</v>
      </c>
      <c r="S216" s="22">
        <f>ROUND(ROUND(P216, 2)*I216, 2)</f>
        <v>13090.9</v>
      </c>
      <c r="V216" s="9">
        <f>ROUND(ROUND(P216, 2)/1.2, 2)</f>
        <v>74</v>
      </c>
      <c r="Y216" s="9">
        <f t="shared" si="16"/>
        <v>10909.08</v>
      </c>
      <c r="AD216" s="4" t="s">
        <v>929</v>
      </c>
      <c r="AE216" s="4" t="s">
        <v>930</v>
      </c>
      <c r="AF216" s="4" t="s">
        <v>436</v>
      </c>
    </row>
    <row r="217" spans="1:35" ht="18" hidden="1" x14ac:dyDescent="0.3">
      <c r="A217" s="108" t="s">
        <v>931</v>
      </c>
      <c r="B217" s="108"/>
      <c r="C217" s="175" t="s">
        <v>879</v>
      </c>
      <c r="D217" s="110"/>
      <c r="E217" s="110"/>
      <c r="F217" s="113" t="s">
        <v>70</v>
      </c>
      <c r="G217" s="114">
        <v>2</v>
      </c>
      <c r="H217" s="114"/>
      <c r="I217" s="114">
        <v>1965.6</v>
      </c>
      <c r="J217" s="21">
        <v>23</v>
      </c>
      <c r="M217" s="22">
        <f>ROUND(ROUND(J217, 2)*I217, 2)</f>
        <v>45208.800000000003</v>
      </c>
      <c r="P217" s="23">
        <v>23</v>
      </c>
      <c r="S217" s="22">
        <f>ROUND(ROUND(P217, 2)*I217, 2)</f>
        <v>45208.800000000003</v>
      </c>
      <c r="V217" s="9">
        <f>ROUND(ROUND(P217, 2)/1.2, 2)</f>
        <v>19.170000000000002</v>
      </c>
      <c r="Y217" s="9">
        <f t="shared" si="16"/>
        <v>37674</v>
      </c>
      <c r="AD217" s="4" t="s">
        <v>932</v>
      </c>
      <c r="AE217" s="4" t="s">
        <v>933</v>
      </c>
      <c r="AF217" s="4" t="s">
        <v>882</v>
      </c>
    </row>
    <row r="218" spans="1:35" ht="36" hidden="1" x14ac:dyDescent="0.3">
      <c r="A218" s="168" t="s">
        <v>934</v>
      </c>
      <c r="B218" s="168" t="s">
        <v>827</v>
      </c>
      <c r="C218" s="169" t="s">
        <v>828</v>
      </c>
      <c r="D218" s="170"/>
      <c r="E218" s="170" t="s">
        <v>892</v>
      </c>
      <c r="F218" s="170" t="s">
        <v>64</v>
      </c>
      <c r="G218" s="171">
        <v>1</v>
      </c>
      <c r="H218" s="171"/>
      <c r="I218" s="166">
        <v>726.6</v>
      </c>
      <c r="J218" s="14">
        <f>IFERROR(ROUND(SUM(M219,M220)/I218, 2),0)</f>
        <v>59.32</v>
      </c>
      <c r="K218" s="15">
        <v>508</v>
      </c>
      <c r="L218" s="14">
        <f>J218+ROUND(K218, 2)</f>
        <v>567.32000000000005</v>
      </c>
      <c r="M218" s="14">
        <f>ROUND(J218*I218, 2)</f>
        <v>43101.91</v>
      </c>
      <c r="N218" s="14">
        <f>ROUND(I218*ROUND(K218, 2), 2)</f>
        <v>369112.8</v>
      </c>
      <c r="O218" s="14">
        <f>M218+N218</f>
        <v>412214.70999999996</v>
      </c>
      <c r="P218" s="14">
        <f>IFERROR(ROUND(SUM(S219,S220)/I218, 2),0)</f>
        <v>59.32</v>
      </c>
      <c r="Q218" s="16">
        <v>508</v>
      </c>
      <c r="R218" s="14">
        <f>P218+ROUND(Q218, 2)</f>
        <v>567.32000000000005</v>
      </c>
      <c r="S218" s="14">
        <f>ROUND(P218*I218, 2)</f>
        <v>43101.91</v>
      </c>
      <c r="T218" s="14">
        <f>ROUND(I218*ROUND(Q218, 2), 2)</f>
        <v>369112.8</v>
      </c>
      <c r="U218" s="14">
        <f>S218+T218</f>
        <v>412214.70999999996</v>
      </c>
      <c r="V218" s="9">
        <f>ROUND(P218 / 1.2, 2)</f>
        <v>49.43</v>
      </c>
      <c r="W218" s="9">
        <f>ROUND(Q218 / 1.2, 2)</f>
        <v>423.33</v>
      </c>
      <c r="X218" s="9">
        <f>ROUND(R218 / 1.2, 2)</f>
        <v>472.77</v>
      </c>
      <c r="Y218" s="9">
        <f t="shared" si="16"/>
        <v>35918.26</v>
      </c>
      <c r="Z218" s="9">
        <f>ROUND(T218 / 1.2, 2)</f>
        <v>307594</v>
      </c>
      <c r="AA218" s="9">
        <f>Y218+Z218</f>
        <v>343512.26</v>
      </c>
      <c r="AD218" s="4">
        <v>271132307</v>
      </c>
      <c r="AE218" s="4">
        <v>20421051</v>
      </c>
      <c r="AG218" s="4" t="s">
        <v>830</v>
      </c>
      <c r="AH218" s="4" t="s">
        <v>831</v>
      </c>
      <c r="AI218" s="4" t="s">
        <v>67</v>
      </c>
    </row>
    <row r="219" spans="1:35" ht="36" hidden="1" x14ac:dyDescent="0.3">
      <c r="A219" s="168" t="s">
        <v>935</v>
      </c>
      <c r="B219" s="168"/>
      <c r="C219" s="172" t="s">
        <v>433</v>
      </c>
      <c r="D219" s="170"/>
      <c r="E219" s="170"/>
      <c r="F219" s="173" t="s">
        <v>70</v>
      </c>
      <c r="G219" s="174">
        <v>0.15</v>
      </c>
      <c r="H219" s="174"/>
      <c r="I219" s="174">
        <v>108.99</v>
      </c>
      <c r="J219" s="21">
        <v>88.8</v>
      </c>
      <c r="M219" s="22">
        <f>ROUND(ROUND(J219, 2)*I219, 2)</f>
        <v>9678.31</v>
      </c>
      <c r="P219" s="23">
        <v>88.8</v>
      </c>
      <c r="S219" s="22">
        <f>ROUND(ROUND(P219, 2)*I219, 2)</f>
        <v>9678.31</v>
      </c>
      <c r="V219" s="9">
        <f>ROUND(ROUND(P219, 2)/1.2, 2)</f>
        <v>74</v>
      </c>
      <c r="Y219" s="9">
        <f t="shared" si="16"/>
        <v>8065.26</v>
      </c>
      <c r="AD219" s="4" t="s">
        <v>936</v>
      </c>
      <c r="AE219" s="4" t="s">
        <v>937</v>
      </c>
      <c r="AF219" s="4" t="s">
        <v>436</v>
      </c>
    </row>
    <row r="220" spans="1:35" ht="18" hidden="1" x14ac:dyDescent="0.3">
      <c r="A220" s="168" t="s">
        <v>938</v>
      </c>
      <c r="B220" s="168"/>
      <c r="C220" s="167" t="s">
        <v>879</v>
      </c>
      <c r="D220" s="170"/>
      <c r="E220" s="170"/>
      <c r="F220" s="173" t="s">
        <v>70</v>
      </c>
      <c r="G220" s="174">
        <v>2</v>
      </c>
      <c r="H220" s="174"/>
      <c r="I220" s="174">
        <v>1453.2</v>
      </c>
      <c r="J220" s="21">
        <v>23</v>
      </c>
      <c r="M220" s="22">
        <f>ROUND(ROUND(J220, 2)*I220, 2)</f>
        <v>33423.599999999999</v>
      </c>
      <c r="P220" s="23">
        <v>23</v>
      </c>
      <c r="S220" s="22">
        <f>ROUND(ROUND(P220, 2)*I220, 2)</f>
        <v>33423.599999999999</v>
      </c>
      <c r="V220" s="9">
        <f>ROUND(ROUND(P220, 2)/1.2, 2)</f>
        <v>19.170000000000002</v>
      </c>
      <c r="Y220" s="9">
        <f t="shared" si="16"/>
        <v>27853</v>
      </c>
      <c r="AD220" s="4" t="s">
        <v>939</v>
      </c>
      <c r="AE220" s="4" t="s">
        <v>940</v>
      </c>
      <c r="AF220" s="4" t="s">
        <v>882</v>
      </c>
    </row>
    <row r="221" spans="1:35" ht="69.599999999999994" x14ac:dyDescent="0.3">
      <c r="A221" s="74" t="s">
        <v>941</v>
      </c>
      <c r="B221" s="74" t="s">
        <v>942</v>
      </c>
      <c r="C221" s="206" t="s">
        <v>943</v>
      </c>
      <c r="D221" s="76"/>
      <c r="E221" s="76" t="s">
        <v>63</v>
      </c>
      <c r="F221" s="76" t="s">
        <v>64</v>
      </c>
      <c r="G221" s="77">
        <v>1</v>
      </c>
      <c r="H221" s="77"/>
      <c r="I221" s="77">
        <v>0</v>
      </c>
      <c r="J221" s="14">
        <f>IFERROR(ROUND(SUM(M222,M223,M224,M225)/I221, 2),0)</f>
        <v>0</v>
      </c>
      <c r="K221" s="15">
        <v>873</v>
      </c>
      <c r="L221" s="14">
        <f>J221+ROUND(K221, 2)</f>
        <v>873</v>
      </c>
      <c r="M221" s="14">
        <f>ROUND(J221*I221, 2)</f>
        <v>0</v>
      </c>
      <c r="N221" s="14">
        <f>ROUND(I221*ROUND(K221, 2), 2)</f>
        <v>0</v>
      </c>
      <c r="O221" s="14">
        <f>M221+N221</f>
        <v>0</v>
      </c>
      <c r="P221" s="14">
        <f>IFERROR(ROUND(SUM(S222,S223,S224,S225)/I221, 2),0)</f>
        <v>0</v>
      </c>
      <c r="Q221" s="15">
        <v>873</v>
      </c>
      <c r="R221" s="14">
        <f>P221+ROUND(Q221, 2)</f>
        <v>873</v>
      </c>
      <c r="S221" s="14">
        <f>ROUND(P221*I221, 2)</f>
        <v>0</v>
      </c>
      <c r="T221" s="14">
        <f>ROUND(I221*ROUND(Q221, 2), 2)</f>
        <v>0</v>
      </c>
      <c r="U221" s="14">
        <f>S221+T221</f>
        <v>0</v>
      </c>
      <c r="V221" s="9">
        <f>ROUND(P221 / 1.2, 2)</f>
        <v>0</v>
      </c>
      <c r="W221" s="9">
        <f>ROUND(Q221 / 1.2, 2)</f>
        <v>727.5</v>
      </c>
      <c r="X221" s="9">
        <f>ROUND(R221 / 1.2, 2)</f>
        <v>727.5</v>
      </c>
      <c r="Y221" s="9">
        <f t="shared" si="16"/>
        <v>0</v>
      </c>
      <c r="Z221" s="9">
        <f>ROUND(T221 / 1.2, 2)</f>
        <v>0</v>
      </c>
      <c r="AA221" s="9">
        <f>Y221+Z221</f>
        <v>0</v>
      </c>
      <c r="AD221" s="4">
        <v>271132105</v>
      </c>
      <c r="AE221" s="4">
        <v>16678913</v>
      </c>
      <c r="AG221" s="4" t="s">
        <v>944</v>
      </c>
      <c r="AH221" s="4" t="s">
        <v>945</v>
      </c>
      <c r="AI221" s="4" t="s">
        <v>67</v>
      </c>
    </row>
    <row r="222" spans="1:35" ht="36" x14ac:dyDescent="0.3">
      <c r="A222" s="74" t="s">
        <v>947</v>
      </c>
      <c r="B222" s="74"/>
      <c r="C222" s="78" t="s">
        <v>948</v>
      </c>
      <c r="D222" s="76"/>
      <c r="E222" s="76" t="s">
        <v>949</v>
      </c>
      <c r="F222" s="79" t="s">
        <v>70</v>
      </c>
      <c r="G222" s="80">
        <v>1.3</v>
      </c>
      <c r="H222" s="81"/>
      <c r="I222" s="81">
        <v>0</v>
      </c>
      <c r="J222" s="21">
        <v>8.6</v>
      </c>
      <c r="M222" s="22">
        <f>ROUND(ROUND(J222, 2)*I222, 2)</f>
        <v>0</v>
      </c>
      <c r="P222" s="21">
        <v>8.6</v>
      </c>
      <c r="S222" s="22">
        <f>ROUND(ROUND(P222, 2)*I222, 2)</f>
        <v>0</v>
      </c>
      <c r="V222" s="9">
        <f>ROUND(ROUND(P222, 2)/1.2, 2)</f>
        <v>7.17</v>
      </c>
      <c r="Y222" s="9">
        <f t="shared" si="16"/>
        <v>0</v>
      </c>
      <c r="AD222" s="4" t="s">
        <v>950</v>
      </c>
      <c r="AE222" s="4" t="s">
        <v>951</v>
      </c>
      <c r="AF222" s="4" t="s">
        <v>952</v>
      </c>
    </row>
    <row r="223" spans="1:35" ht="18" x14ac:dyDescent="0.3">
      <c r="A223" s="74" t="s">
        <v>955</v>
      </c>
      <c r="B223" s="74"/>
      <c r="C223" s="78" t="s">
        <v>956</v>
      </c>
      <c r="D223" s="76"/>
      <c r="E223" s="76"/>
      <c r="F223" s="79" t="s">
        <v>64</v>
      </c>
      <c r="G223" s="80">
        <v>1.1000000000000001</v>
      </c>
      <c r="H223" s="80"/>
      <c r="I223" s="80">
        <v>0</v>
      </c>
      <c r="J223" s="21">
        <v>26</v>
      </c>
      <c r="M223" s="22">
        <f>ROUND(ROUND(J223, 2)*I223, 2)</f>
        <v>0</v>
      </c>
      <c r="P223" s="21">
        <v>26</v>
      </c>
      <c r="S223" s="22">
        <f>ROUND(ROUND(P223, 2)*I223, 2)</f>
        <v>0</v>
      </c>
      <c r="V223" s="9">
        <f>ROUND(ROUND(P223, 2)/1.2, 2)</f>
        <v>21.67</v>
      </c>
      <c r="Y223" s="9">
        <f t="shared" si="16"/>
        <v>0</v>
      </c>
      <c r="AD223" s="4" t="s">
        <v>957</v>
      </c>
      <c r="AE223" s="4" t="s">
        <v>958</v>
      </c>
      <c r="AF223" s="4" t="s">
        <v>959</v>
      </c>
    </row>
    <row r="224" spans="1:35" ht="18" x14ac:dyDescent="0.3">
      <c r="A224" s="74" t="s">
        <v>962</v>
      </c>
      <c r="B224" s="74"/>
      <c r="C224" s="78" t="s">
        <v>771</v>
      </c>
      <c r="D224" s="76"/>
      <c r="E224" s="76"/>
      <c r="F224" s="79" t="s">
        <v>87</v>
      </c>
      <c r="G224" s="80">
        <v>1</v>
      </c>
      <c r="H224" s="81"/>
      <c r="I224" s="81">
        <v>0</v>
      </c>
      <c r="J224" s="21">
        <v>15.76</v>
      </c>
      <c r="M224" s="22">
        <f>ROUND(ROUND(J224, 2)*I224, 2)</f>
        <v>0</v>
      </c>
      <c r="P224" s="21">
        <v>15.76</v>
      </c>
      <c r="S224" s="22">
        <f>ROUND(ROUND(P224, 2)*I224, 2)</f>
        <v>0</v>
      </c>
      <c r="V224" s="9">
        <f>ROUND(ROUND(P224, 2)/1.2, 2)</f>
        <v>13.13</v>
      </c>
      <c r="Y224" s="9">
        <f t="shared" si="16"/>
        <v>0</v>
      </c>
      <c r="AD224" s="4" t="s">
        <v>963</v>
      </c>
      <c r="AE224" s="4" t="s">
        <v>964</v>
      </c>
      <c r="AF224" s="4" t="s">
        <v>774</v>
      </c>
    </row>
    <row r="225" spans="1:35" ht="18" x14ac:dyDescent="0.3">
      <c r="A225" s="74" t="s">
        <v>967</v>
      </c>
      <c r="B225" s="74"/>
      <c r="C225" s="78" t="s">
        <v>764</v>
      </c>
      <c r="D225" s="76"/>
      <c r="E225" s="76"/>
      <c r="F225" s="79" t="s">
        <v>70</v>
      </c>
      <c r="G225" s="80">
        <v>0.25</v>
      </c>
      <c r="H225" s="80"/>
      <c r="I225" s="80">
        <v>0</v>
      </c>
      <c r="J225" s="21">
        <v>100</v>
      </c>
      <c r="M225" s="22">
        <f>ROUND(ROUND(J225, 2)*I225, 2)</f>
        <v>0</v>
      </c>
      <c r="P225" s="21">
        <v>100</v>
      </c>
      <c r="S225" s="22">
        <f>ROUND(ROUND(P225, 2)*I225, 2)</f>
        <v>0</v>
      </c>
      <c r="V225" s="9">
        <f>ROUND(ROUND(P225, 2)/1.2, 2)</f>
        <v>83.33</v>
      </c>
      <c r="Y225" s="9">
        <f t="shared" si="16"/>
        <v>0</v>
      </c>
      <c r="AD225" s="4" t="s">
        <v>968</v>
      </c>
      <c r="AE225" s="4" t="s">
        <v>969</v>
      </c>
      <c r="AF225" s="4" t="s">
        <v>767</v>
      </c>
    </row>
    <row r="226" spans="1:35" ht="69.599999999999994" x14ac:dyDescent="0.3">
      <c r="A226" s="116" t="s">
        <v>972</v>
      </c>
      <c r="B226" s="116" t="s">
        <v>973</v>
      </c>
      <c r="C226" s="210" t="s">
        <v>974</v>
      </c>
      <c r="D226" s="117"/>
      <c r="E226" s="117" t="s">
        <v>3055</v>
      </c>
      <c r="F226" s="117" t="s">
        <v>64</v>
      </c>
      <c r="G226" s="118">
        <v>1</v>
      </c>
      <c r="H226" s="118"/>
      <c r="I226" s="118">
        <v>174.8</v>
      </c>
      <c r="J226" s="14">
        <f>IFERROR(ROUND(SUM(M227,M228,M229,M230)/I226, 2),0)</f>
        <v>516.55999999999995</v>
      </c>
      <c r="K226" s="15">
        <v>1067</v>
      </c>
      <c r="L226" s="14">
        <f>J226+ROUND(K226, 2)</f>
        <v>1583.56</v>
      </c>
      <c r="M226" s="14">
        <f>ROUND(J226*I226, 2)</f>
        <v>90294.69</v>
      </c>
      <c r="N226" s="14">
        <f>ROUND(I226*ROUND(K226, 2), 2)</f>
        <v>186511.6</v>
      </c>
      <c r="O226" s="14">
        <f>M226+N226</f>
        <v>276806.29000000004</v>
      </c>
      <c r="P226" s="14">
        <f>IFERROR(ROUND(SUM(S227,S228,S229,S230)/I226, 2),0)</f>
        <v>516.55999999999995</v>
      </c>
      <c r="Q226" s="16">
        <v>1067</v>
      </c>
      <c r="R226" s="14">
        <f>P226+ROUND(Q226, 2)</f>
        <v>1583.56</v>
      </c>
      <c r="S226" s="14">
        <f>ROUND(P226*I226, 2)</f>
        <v>90294.69</v>
      </c>
      <c r="T226" s="14">
        <f>ROUND(I226*ROUND(Q226, 2), 2)</f>
        <v>186511.6</v>
      </c>
      <c r="U226" s="14">
        <f>S226+T226</f>
        <v>276806.29000000004</v>
      </c>
      <c r="V226" s="9">
        <f>ROUND(P226 / 1.2, 2)</f>
        <v>430.47</v>
      </c>
      <c r="W226" s="9">
        <f>ROUND(Q226 / 1.2, 2)</f>
        <v>889.17</v>
      </c>
      <c r="X226" s="9">
        <f>ROUND(R226 / 1.2, 2)</f>
        <v>1319.63</v>
      </c>
      <c r="Y226" s="9">
        <f t="shared" si="16"/>
        <v>75245.58</v>
      </c>
      <c r="Z226" s="9">
        <f>ROUND(T226 / 1.2, 2)</f>
        <v>155426.32999999999</v>
      </c>
      <c r="AA226" s="9">
        <f>Y226+Z226</f>
        <v>230671.90999999997</v>
      </c>
      <c r="AD226" s="4">
        <v>271132106</v>
      </c>
      <c r="AE226" s="4">
        <v>16211497</v>
      </c>
      <c r="AG226" s="4" t="s">
        <v>976</v>
      </c>
      <c r="AH226" s="4" t="s">
        <v>977</v>
      </c>
      <c r="AI226" s="4" t="s">
        <v>67</v>
      </c>
    </row>
    <row r="227" spans="1:35" ht="18" x14ac:dyDescent="0.3">
      <c r="A227" s="116" t="s">
        <v>978</v>
      </c>
      <c r="B227" s="116"/>
      <c r="C227" s="119" t="s">
        <v>948</v>
      </c>
      <c r="D227" s="117"/>
      <c r="E227" s="117" t="s">
        <v>3051</v>
      </c>
      <c r="F227" s="120" t="s">
        <v>70</v>
      </c>
      <c r="G227" s="121">
        <v>1.3</v>
      </c>
      <c r="H227" s="122"/>
      <c r="I227" s="122">
        <v>9089.6</v>
      </c>
      <c r="J227" s="21">
        <v>8.6</v>
      </c>
      <c r="M227" s="22">
        <f>ROUND(ROUND(J227, 2)*I227, 2)</f>
        <v>78170.559999999998</v>
      </c>
      <c r="P227" s="23">
        <v>8.6</v>
      </c>
      <c r="S227" s="22">
        <f>ROUND(ROUND(P227, 2)*I227, 2)</f>
        <v>78170.559999999998</v>
      </c>
      <c r="V227" s="9">
        <f>ROUND(ROUND(P227, 2)/1.2, 2)</f>
        <v>7.17</v>
      </c>
      <c r="Y227" s="9">
        <f t="shared" si="16"/>
        <v>65142.13</v>
      </c>
      <c r="AD227" s="4" t="s">
        <v>979</v>
      </c>
      <c r="AE227" s="4" t="s">
        <v>980</v>
      </c>
      <c r="AF227" s="4" t="s">
        <v>952</v>
      </c>
    </row>
    <row r="228" spans="1:35" ht="18" x14ac:dyDescent="0.3">
      <c r="A228" s="116" t="s">
        <v>981</v>
      </c>
      <c r="B228" s="116"/>
      <c r="C228" s="119" t="s">
        <v>956</v>
      </c>
      <c r="D228" s="117"/>
      <c r="E228" s="117"/>
      <c r="F228" s="120" t="s">
        <v>64</v>
      </c>
      <c r="G228" s="121">
        <v>1.1000000000000001</v>
      </c>
      <c r="H228" s="121"/>
      <c r="I228" s="121">
        <v>192.28</v>
      </c>
      <c r="J228" s="21">
        <v>26</v>
      </c>
      <c r="M228" s="22">
        <f>ROUND(ROUND(J228, 2)*I228, 2)</f>
        <v>4999.28</v>
      </c>
      <c r="P228" s="23">
        <v>26</v>
      </c>
      <c r="S228" s="22">
        <f>ROUND(ROUND(P228, 2)*I228, 2)</f>
        <v>4999.28</v>
      </c>
      <c r="V228" s="9">
        <f>ROUND(ROUND(P228, 2)/1.2, 2)</f>
        <v>21.67</v>
      </c>
      <c r="Y228" s="9">
        <f t="shared" si="16"/>
        <v>4166.07</v>
      </c>
      <c r="AD228" s="4" t="s">
        <v>982</v>
      </c>
      <c r="AE228" s="4" t="s">
        <v>983</v>
      </c>
      <c r="AF228" s="4" t="s">
        <v>959</v>
      </c>
    </row>
    <row r="229" spans="1:35" ht="18" x14ac:dyDescent="0.3">
      <c r="A229" s="116" t="s">
        <v>984</v>
      </c>
      <c r="B229" s="116"/>
      <c r="C229" s="119" t="s">
        <v>771</v>
      </c>
      <c r="D229" s="117"/>
      <c r="E229" s="117"/>
      <c r="F229" s="120" t="s">
        <v>87</v>
      </c>
      <c r="G229" s="121">
        <v>1</v>
      </c>
      <c r="H229" s="122"/>
      <c r="I229" s="122">
        <v>174.8</v>
      </c>
      <c r="J229" s="21">
        <v>15.76</v>
      </c>
      <c r="M229" s="22">
        <f>ROUND(ROUND(J229, 2)*I229, 2)</f>
        <v>2754.85</v>
      </c>
      <c r="P229" s="23">
        <v>15.76</v>
      </c>
      <c r="S229" s="22">
        <f>ROUND(ROUND(P229, 2)*I229, 2)</f>
        <v>2754.85</v>
      </c>
      <c r="V229" s="9">
        <f>ROUND(ROUND(P229, 2)/1.2, 2)</f>
        <v>13.13</v>
      </c>
      <c r="Y229" s="9">
        <f t="shared" si="16"/>
        <v>2295.71</v>
      </c>
      <c r="AD229" s="4" t="s">
        <v>985</v>
      </c>
      <c r="AE229" s="4" t="s">
        <v>986</v>
      </c>
      <c r="AF229" s="4" t="s">
        <v>774</v>
      </c>
    </row>
    <row r="230" spans="1:35" ht="18" x14ac:dyDescent="0.3">
      <c r="A230" s="116" t="s">
        <v>987</v>
      </c>
      <c r="B230" s="116"/>
      <c r="C230" s="119" t="s">
        <v>764</v>
      </c>
      <c r="D230" s="117"/>
      <c r="E230" s="117"/>
      <c r="F230" s="120" t="s">
        <v>70</v>
      </c>
      <c r="G230" s="121">
        <v>0.25</v>
      </c>
      <c r="H230" s="121"/>
      <c r="I230" s="121">
        <v>43.7</v>
      </c>
      <c r="J230" s="21">
        <v>100</v>
      </c>
      <c r="M230" s="22">
        <f>ROUND(ROUND(J230, 2)*I230, 2)</f>
        <v>4370</v>
      </c>
      <c r="P230" s="23">
        <v>100</v>
      </c>
      <c r="S230" s="22">
        <f>ROUND(ROUND(P230, 2)*I230, 2)</f>
        <v>4370</v>
      </c>
      <c r="V230" s="9">
        <f>ROUND(ROUND(P230, 2)/1.2, 2)</f>
        <v>83.33</v>
      </c>
      <c r="Y230" s="9">
        <f t="shared" si="16"/>
        <v>3641.67</v>
      </c>
      <c r="AD230" s="4" t="s">
        <v>988</v>
      </c>
      <c r="AE230" s="4" t="s">
        <v>989</v>
      </c>
      <c r="AF230" s="4" t="s">
        <v>767</v>
      </c>
    </row>
    <row r="231" spans="1:35" ht="69.599999999999994" x14ac:dyDescent="0.3">
      <c r="A231" s="123" t="s">
        <v>990</v>
      </c>
      <c r="B231" s="123" t="s">
        <v>973</v>
      </c>
      <c r="C231" s="212" t="s">
        <v>974</v>
      </c>
      <c r="D231" s="124"/>
      <c r="E231" s="124" t="s">
        <v>991</v>
      </c>
      <c r="F231" s="124" t="s">
        <v>64</v>
      </c>
      <c r="G231" s="125">
        <v>1</v>
      </c>
      <c r="H231" s="125"/>
      <c r="I231" s="125">
        <v>808</v>
      </c>
      <c r="J231" s="14">
        <f>IFERROR(ROUND(SUM(M232,M233,M234,M235)/I231, 2),0)</f>
        <v>504.88</v>
      </c>
      <c r="K231" s="15">
        <v>1067</v>
      </c>
      <c r="L231" s="14">
        <f>J231+ROUND(K231, 2)</f>
        <v>1571.88</v>
      </c>
      <c r="M231" s="14">
        <f>ROUND(J231*I231, 2)</f>
        <v>407943.04</v>
      </c>
      <c r="N231" s="14">
        <f>ROUND(I231*ROUND(K231, 2), 2)</f>
        <v>862136</v>
      </c>
      <c r="O231" s="14">
        <f>M231+N231</f>
        <v>1270079.04</v>
      </c>
      <c r="P231" s="14">
        <f>IFERROR(ROUND(SUM(S232,S233,S234,S235)/I231, 2),0)</f>
        <v>504.88</v>
      </c>
      <c r="Q231" s="16">
        <v>1067</v>
      </c>
      <c r="R231" s="14">
        <f>P231+ROUND(Q231, 2)</f>
        <v>1571.88</v>
      </c>
      <c r="S231" s="14">
        <f>ROUND(P231*I231, 2)</f>
        <v>407943.04</v>
      </c>
      <c r="T231" s="14">
        <f>ROUND(I231*ROUND(Q231, 2), 2)</f>
        <v>862136</v>
      </c>
      <c r="U231" s="14">
        <f>S231+T231</f>
        <v>1270079.04</v>
      </c>
      <c r="V231" s="9">
        <f>ROUND(P231 / 1.2, 2)</f>
        <v>420.73</v>
      </c>
      <c r="W231" s="9">
        <f>ROUND(Q231 / 1.2, 2)</f>
        <v>889.17</v>
      </c>
      <c r="X231" s="9">
        <f>ROUND(R231 / 1.2, 2)</f>
        <v>1309.9000000000001</v>
      </c>
      <c r="Y231" s="9">
        <f t="shared" ref="Y231:Y261" si="17">ROUND(S231 / 1.2, 2)</f>
        <v>339952.53</v>
      </c>
      <c r="Z231" s="9">
        <f>ROUND(T231 / 1.2, 2)</f>
        <v>718446.67</v>
      </c>
      <c r="AA231" s="9">
        <f>Y231+Z231</f>
        <v>1058399.2000000002</v>
      </c>
      <c r="AD231" s="4">
        <v>271132185</v>
      </c>
      <c r="AE231" s="4">
        <v>19976809</v>
      </c>
      <c r="AG231" s="4" t="s">
        <v>976</v>
      </c>
      <c r="AH231" s="4" t="s">
        <v>977</v>
      </c>
      <c r="AI231" s="4" t="s">
        <v>67</v>
      </c>
    </row>
    <row r="232" spans="1:35" ht="36" x14ac:dyDescent="0.3">
      <c r="A232" s="123" t="s">
        <v>992</v>
      </c>
      <c r="B232" s="123"/>
      <c r="C232" s="126" t="s">
        <v>433</v>
      </c>
      <c r="D232" s="124"/>
      <c r="E232" s="124"/>
      <c r="F232" s="127" t="s">
        <v>70</v>
      </c>
      <c r="G232" s="128">
        <v>0.15</v>
      </c>
      <c r="H232" s="128"/>
      <c r="I232" s="128">
        <v>121.2</v>
      </c>
      <c r="J232" s="21">
        <v>88.8</v>
      </c>
      <c r="M232" s="22">
        <f>ROUND(ROUND(J232, 2)*I232, 2)</f>
        <v>10762.56</v>
      </c>
      <c r="P232" s="23">
        <v>88.8</v>
      </c>
      <c r="S232" s="22">
        <f>ROUND(ROUND(P232, 2)*I232, 2)</f>
        <v>10762.56</v>
      </c>
      <c r="V232" s="9">
        <f>ROUND(ROUND(P232, 2)/1.2, 2)</f>
        <v>74</v>
      </c>
      <c r="Y232" s="9">
        <f t="shared" si="17"/>
        <v>8968.7999999999993</v>
      </c>
      <c r="AD232" s="4" t="s">
        <v>993</v>
      </c>
      <c r="AE232" s="4" t="s">
        <v>994</v>
      </c>
      <c r="AF232" s="4" t="s">
        <v>436</v>
      </c>
    </row>
    <row r="233" spans="1:35" ht="18" x14ac:dyDescent="0.3">
      <c r="A233" s="123" t="s">
        <v>995</v>
      </c>
      <c r="B233" s="123"/>
      <c r="C233" s="126" t="s">
        <v>771</v>
      </c>
      <c r="D233" s="124"/>
      <c r="E233" s="124"/>
      <c r="F233" s="127" t="s">
        <v>87</v>
      </c>
      <c r="G233" s="128">
        <v>1</v>
      </c>
      <c r="H233" s="129"/>
      <c r="I233" s="129">
        <v>808</v>
      </c>
      <c r="J233" s="21">
        <v>15.76</v>
      </c>
      <c r="M233" s="22">
        <f>ROUND(ROUND(J233, 2)*I233, 2)</f>
        <v>12734.08</v>
      </c>
      <c r="P233" s="23">
        <v>15.76</v>
      </c>
      <c r="S233" s="22">
        <f>ROUND(ROUND(P233, 2)*I233, 2)</f>
        <v>12734.08</v>
      </c>
      <c r="V233" s="9">
        <f>ROUND(ROUND(P233, 2)/1.2, 2)</f>
        <v>13.13</v>
      </c>
      <c r="Y233" s="9">
        <f t="shared" si="17"/>
        <v>10611.73</v>
      </c>
      <c r="AD233" s="4" t="s">
        <v>996</v>
      </c>
      <c r="AE233" s="4" t="s">
        <v>997</v>
      </c>
      <c r="AF233" s="4" t="s">
        <v>774</v>
      </c>
    </row>
    <row r="234" spans="1:35" ht="18" x14ac:dyDescent="0.3">
      <c r="A234" s="123" t="s">
        <v>998</v>
      </c>
      <c r="B234" s="123"/>
      <c r="C234" s="126" t="s">
        <v>956</v>
      </c>
      <c r="D234" s="124"/>
      <c r="E234" s="124"/>
      <c r="F234" s="127" t="s">
        <v>64</v>
      </c>
      <c r="G234" s="128">
        <v>1.1000000000000001</v>
      </c>
      <c r="H234" s="128"/>
      <c r="I234" s="128">
        <v>888.8</v>
      </c>
      <c r="J234" s="21">
        <v>26</v>
      </c>
      <c r="M234" s="22">
        <f>ROUND(ROUND(J234, 2)*I234, 2)</f>
        <v>23108.799999999999</v>
      </c>
      <c r="P234" s="23">
        <v>26</v>
      </c>
      <c r="S234" s="22">
        <f>ROUND(ROUND(P234, 2)*I234, 2)</f>
        <v>23108.799999999999</v>
      </c>
      <c r="V234" s="9">
        <f>ROUND(ROUND(P234, 2)/1.2, 2)</f>
        <v>21.67</v>
      </c>
      <c r="Y234" s="9">
        <f t="shared" si="17"/>
        <v>19257.330000000002</v>
      </c>
      <c r="AD234" s="4" t="s">
        <v>999</v>
      </c>
      <c r="AE234" s="4" t="s">
        <v>1000</v>
      </c>
      <c r="AF234" s="4" t="s">
        <v>959</v>
      </c>
    </row>
    <row r="235" spans="1:35" ht="18" x14ac:dyDescent="0.3">
      <c r="A235" s="123" t="s">
        <v>1001</v>
      </c>
      <c r="B235" s="123"/>
      <c r="C235" s="126" t="s">
        <v>948</v>
      </c>
      <c r="D235" s="124"/>
      <c r="E235" s="124"/>
      <c r="F235" s="127" t="s">
        <v>70</v>
      </c>
      <c r="G235" s="128">
        <v>1.3</v>
      </c>
      <c r="H235" s="129"/>
      <c r="I235" s="129">
        <v>42016</v>
      </c>
      <c r="J235" s="21">
        <v>8.6</v>
      </c>
      <c r="M235" s="22">
        <f>ROUND(ROUND(J235, 2)*I235, 2)</f>
        <v>361337.59999999998</v>
      </c>
      <c r="P235" s="23">
        <v>8.6</v>
      </c>
      <c r="S235" s="22">
        <f>ROUND(ROUND(P235, 2)*I235, 2)</f>
        <v>361337.59999999998</v>
      </c>
      <c r="V235" s="9">
        <f>ROUND(ROUND(P235, 2)/1.2, 2)</f>
        <v>7.17</v>
      </c>
      <c r="Y235" s="9">
        <f t="shared" si="17"/>
        <v>301114.67</v>
      </c>
      <c r="AD235" s="4" t="s">
        <v>1002</v>
      </c>
      <c r="AE235" s="4" t="s">
        <v>1003</v>
      </c>
      <c r="AF235" s="4" t="s">
        <v>952</v>
      </c>
    </row>
    <row r="236" spans="1:35" ht="72" hidden="1" x14ac:dyDescent="0.3">
      <c r="A236" s="91" t="s">
        <v>1004</v>
      </c>
      <c r="B236" s="91" t="s">
        <v>973</v>
      </c>
      <c r="C236" s="92" t="s">
        <v>974</v>
      </c>
      <c r="D236" s="93"/>
      <c r="E236" s="93" t="s">
        <v>1005</v>
      </c>
      <c r="F236" s="93" t="s">
        <v>64</v>
      </c>
      <c r="G236" s="94">
        <v>1</v>
      </c>
      <c r="H236" s="94"/>
      <c r="I236" s="94">
        <v>154.19999999999999</v>
      </c>
      <c r="J236" s="14">
        <f>IFERROR(ROUND(SUM(M237,M238,M239,M240)/I236, 2),0)</f>
        <v>516.55999999999995</v>
      </c>
      <c r="K236" s="15">
        <v>1067</v>
      </c>
      <c r="L236" s="14">
        <f>J236+ROUND(K236, 2)</f>
        <v>1583.56</v>
      </c>
      <c r="M236" s="14">
        <f>ROUND(J236*I236, 2)</f>
        <v>79653.55</v>
      </c>
      <c r="N236" s="14">
        <f>ROUND(I236*ROUND(K236, 2), 2)</f>
        <v>164531.4</v>
      </c>
      <c r="O236" s="14">
        <f>M236+N236</f>
        <v>244184.95</v>
      </c>
      <c r="P236" s="14">
        <f>IFERROR(ROUND(SUM(S237,S238,S239,S240)/I236, 2),0)</f>
        <v>516.55999999999995</v>
      </c>
      <c r="Q236" s="16">
        <v>1067</v>
      </c>
      <c r="R236" s="14">
        <f>P236+ROUND(Q236, 2)</f>
        <v>1583.56</v>
      </c>
      <c r="S236" s="14">
        <f>ROUND(P236*I236, 2)</f>
        <v>79653.55</v>
      </c>
      <c r="T236" s="14">
        <f>ROUND(I236*ROUND(Q236, 2), 2)</f>
        <v>164531.4</v>
      </c>
      <c r="U236" s="14">
        <f>S236+T236</f>
        <v>244184.95</v>
      </c>
      <c r="V236" s="9">
        <f>ROUND(P236 / 1.2, 2)</f>
        <v>430.47</v>
      </c>
      <c r="W236" s="9">
        <f>ROUND(Q236 / 1.2, 2)</f>
        <v>889.17</v>
      </c>
      <c r="X236" s="9">
        <f>ROUND(R236 / 1.2, 2)</f>
        <v>1319.63</v>
      </c>
      <c r="Y236" s="9">
        <f t="shared" si="17"/>
        <v>66377.960000000006</v>
      </c>
      <c r="Z236" s="9">
        <f>ROUND(T236 / 1.2, 2)</f>
        <v>137109.5</v>
      </c>
      <c r="AA236" s="9">
        <f>Y236+Z236</f>
        <v>203487.46000000002</v>
      </c>
      <c r="AD236" s="4">
        <v>271132186</v>
      </c>
      <c r="AE236" s="4">
        <v>19976810</v>
      </c>
      <c r="AG236" s="4" t="s">
        <v>976</v>
      </c>
      <c r="AH236" s="4" t="s">
        <v>977</v>
      </c>
      <c r="AI236" s="4" t="s">
        <v>67</v>
      </c>
    </row>
    <row r="237" spans="1:35" ht="18" hidden="1" x14ac:dyDescent="0.3">
      <c r="A237" s="91" t="s">
        <v>1006</v>
      </c>
      <c r="B237" s="91"/>
      <c r="C237" s="99" t="s">
        <v>764</v>
      </c>
      <c r="D237" s="93"/>
      <c r="E237" s="93" t="s">
        <v>3052</v>
      </c>
      <c r="F237" s="96" t="s">
        <v>70</v>
      </c>
      <c r="G237" s="97">
        <v>0.25</v>
      </c>
      <c r="H237" s="97"/>
      <c r="I237" s="97">
        <v>38.549999999999997</v>
      </c>
      <c r="J237" s="21">
        <v>100</v>
      </c>
      <c r="M237" s="22">
        <f>ROUND(ROUND(J237, 2)*I237, 2)</f>
        <v>3855</v>
      </c>
      <c r="P237" s="23">
        <v>100</v>
      </c>
      <c r="S237" s="22">
        <f>ROUND(ROUND(P237, 2)*I237, 2)</f>
        <v>3855</v>
      </c>
      <c r="V237" s="9">
        <f>ROUND(ROUND(P237, 2)/1.2, 2)</f>
        <v>83.33</v>
      </c>
      <c r="Y237" s="9">
        <f t="shared" si="17"/>
        <v>3212.5</v>
      </c>
      <c r="AD237" s="4" t="s">
        <v>1007</v>
      </c>
      <c r="AE237" s="4" t="s">
        <v>1008</v>
      </c>
      <c r="AF237" s="4" t="s">
        <v>767</v>
      </c>
    </row>
    <row r="238" spans="1:35" ht="18" hidden="1" x14ac:dyDescent="0.3">
      <c r="A238" s="91" t="s">
        <v>1009</v>
      </c>
      <c r="B238" s="91"/>
      <c r="C238" s="99" t="s">
        <v>771</v>
      </c>
      <c r="D238" s="93"/>
      <c r="E238" s="93"/>
      <c r="F238" s="96" t="s">
        <v>87</v>
      </c>
      <c r="G238" s="97">
        <v>1</v>
      </c>
      <c r="H238" s="98"/>
      <c r="I238" s="98">
        <v>154.19999999999999</v>
      </c>
      <c r="J238" s="21">
        <v>15.76</v>
      </c>
      <c r="M238" s="22">
        <f>ROUND(ROUND(J238, 2)*I238, 2)</f>
        <v>2430.19</v>
      </c>
      <c r="P238" s="23">
        <v>15.76</v>
      </c>
      <c r="S238" s="22">
        <f>ROUND(ROUND(P238, 2)*I238, 2)</f>
        <v>2430.19</v>
      </c>
      <c r="V238" s="9">
        <f>ROUND(ROUND(P238, 2)/1.2, 2)</f>
        <v>13.13</v>
      </c>
      <c r="Y238" s="9">
        <f t="shared" si="17"/>
        <v>2025.16</v>
      </c>
      <c r="AD238" s="4" t="s">
        <v>1010</v>
      </c>
      <c r="AE238" s="4" t="s">
        <v>1011</v>
      </c>
      <c r="AF238" s="4" t="s">
        <v>774</v>
      </c>
    </row>
    <row r="239" spans="1:35" ht="18" hidden="1" x14ac:dyDescent="0.3">
      <c r="A239" s="91" t="s">
        <v>1012</v>
      </c>
      <c r="B239" s="91"/>
      <c r="C239" s="99" t="s">
        <v>956</v>
      </c>
      <c r="D239" s="93"/>
      <c r="E239" s="93"/>
      <c r="F239" s="96" t="s">
        <v>64</v>
      </c>
      <c r="G239" s="97">
        <v>1.1000000000000001</v>
      </c>
      <c r="H239" s="97"/>
      <c r="I239" s="97">
        <v>169.62</v>
      </c>
      <c r="J239" s="21">
        <v>26</v>
      </c>
      <c r="M239" s="22">
        <f>ROUND(ROUND(J239, 2)*I239, 2)</f>
        <v>4410.12</v>
      </c>
      <c r="P239" s="23">
        <v>26</v>
      </c>
      <c r="S239" s="22">
        <f>ROUND(ROUND(P239, 2)*I239, 2)</f>
        <v>4410.12</v>
      </c>
      <c r="V239" s="9">
        <f>ROUND(ROUND(P239, 2)/1.2, 2)</f>
        <v>21.67</v>
      </c>
      <c r="Y239" s="9">
        <f t="shared" si="17"/>
        <v>3675.1</v>
      </c>
      <c r="AD239" s="4" t="s">
        <v>1013</v>
      </c>
      <c r="AE239" s="4" t="s">
        <v>1014</v>
      </c>
      <c r="AF239" s="4" t="s">
        <v>959</v>
      </c>
    </row>
    <row r="240" spans="1:35" ht="18" hidden="1" x14ac:dyDescent="0.3">
      <c r="A240" s="91" t="s">
        <v>1015</v>
      </c>
      <c r="B240" s="91"/>
      <c r="C240" s="99" t="s">
        <v>948</v>
      </c>
      <c r="D240" s="93"/>
      <c r="E240" s="93">
        <f>I240/G240/I236</f>
        <v>40</v>
      </c>
      <c r="F240" s="96" t="s">
        <v>70</v>
      </c>
      <c r="G240" s="97">
        <v>1.3</v>
      </c>
      <c r="H240" s="98"/>
      <c r="I240" s="98">
        <v>8018.4</v>
      </c>
      <c r="J240" s="21">
        <v>8.6</v>
      </c>
      <c r="M240" s="22">
        <f>ROUND(ROUND(J240, 2)*I240, 2)</f>
        <v>68958.240000000005</v>
      </c>
      <c r="P240" s="23">
        <v>8.6</v>
      </c>
      <c r="S240" s="22">
        <f>ROUND(ROUND(P240, 2)*I240, 2)</f>
        <v>68958.240000000005</v>
      </c>
      <c r="V240" s="9">
        <f>ROUND(ROUND(P240, 2)/1.2, 2)</f>
        <v>7.17</v>
      </c>
      <c r="Y240" s="9">
        <f t="shared" si="17"/>
        <v>57465.2</v>
      </c>
      <c r="AD240" s="4" t="s">
        <v>1016</v>
      </c>
      <c r="AE240" s="4" t="s">
        <v>1017</v>
      </c>
      <c r="AF240" s="4" t="s">
        <v>952</v>
      </c>
    </row>
    <row r="241" spans="1:35" ht="72" hidden="1" x14ac:dyDescent="0.3">
      <c r="A241" s="91" t="s">
        <v>1018</v>
      </c>
      <c r="B241" s="91" t="s">
        <v>973</v>
      </c>
      <c r="C241" s="92" t="s">
        <v>974</v>
      </c>
      <c r="D241" s="93"/>
      <c r="E241" s="93" t="s">
        <v>1019</v>
      </c>
      <c r="F241" s="93" t="s">
        <v>64</v>
      </c>
      <c r="G241" s="94">
        <v>1</v>
      </c>
      <c r="H241" s="94"/>
      <c r="I241" s="94">
        <v>572.4</v>
      </c>
      <c r="J241" s="14">
        <f>IFERROR(ROUND(SUM(M242,M243,M244,M245)/I241, 2),0)</f>
        <v>504.88</v>
      </c>
      <c r="K241" s="15">
        <v>1067</v>
      </c>
      <c r="L241" s="14">
        <f>J241+ROUND(K241, 2)</f>
        <v>1571.88</v>
      </c>
      <c r="M241" s="14">
        <f>ROUND(J241*I241, 2)</f>
        <v>288993.31</v>
      </c>
      <c r="N241" s="14">
        <f>ROUND(I241*ROUND(K241, 2), 2)</f>
        <v>610750.80000000005</v>
      </c>
      <c r="O241" s="14">
        <f>M241+N241</f>
        <v>899744.1100000001</v>
      </c>
      <c r="P241" s="14">
        <f>IFERROR(ROUND(SUM(S242,S243,S244,S245)/I241, 2),0)</f>
        <v>504.88</v>
      </c>
      <c r="Q241" s="16">
        <v>1067</v>
      </c>
      <c r="R241" s="14">
        <f>P241+ROUND(Q241, 2)</f>
        <v>1571.88</v>
      </c>
      <c r="S241" s="14">
        <f>ROUND(P241*I241, 2)</f>
        <v>288993.31</v>
      </c>
      <c r="T241" s="14">
        <f>ROUND(I241*ROUND(Q241, 2), 2)</f>
        <v>610750.80000000005</v>
      </c>
      <c r="U241" s="14">
        <f>S241+T241</f>
        <v>899744.1100000001</v>
      </c>
      <c r="V241" s="9">
        <f>ROUND(P241 / 1.2, 2)</f>
        <v>420.73</v>
      </c>
      <c r="W241" s="9">
        <f>ROUND(Q241 / 1.2, 2)</f>
        <v>889.17</v>
      </c>
      <c r="X241" s="9">
        <f>ROUND(R241 / 1.2, 2)</f>
        <v>1309.9000000000001</v>
      </c>
      <c r="Y241" s="9">
        <f t="shared" si="17"/>
        <v>240827.76</v>
      </c>
      <c r="Z241" s="9">
        <f>ROUND(T241 / 1.2, 2)</f>
        <v>508959</v>
      </c>
      <c r="AA241" s="9">
        <f>Y241+Z241</f>
        <v>749786.76</v>
      </c>
      <c r="AD241" s="4">
        <v>271132187</v>
      </c>
      <c r="AE241" s="4">
        <v>19976811</v>
      </c>
      <c r="AG241" s="4" t="s">
        <v>976</v>
      </c>
      <c r="AH241" s="4" t="s">
        <v>977</v>
      </c>
      <c r="AI241" s="4" t="s">
        <v>67</v>
      </c>
    </row>
    <row r="242" spans="1:35" ht="36" hidden="1" x14ac:dyDescent="0.3">
      <c r="A242" s="91" t="s">
        <v>1020</v>
      </c>
      <c r="B242" s="91"/>
      <c r="C242" s="99" t="s">
        <v>433</v>
      </c>
      <c r="D242" s="93"/>
      <c r="E242" s="93"/>
      <c r="F242" s="96" t="s">
        <v>70</v>
      </c>
      <c r="G242" s="97">
        <v>0.15</v>
      </c>
      <c r="H242" s="97"/>
      <c r="I242" s="97">
        <v>85.86</v>
      </c>
      <c r="J242" s="21">
        <v>88.8</v>
      </c>
      <c r="M242" s="22">
        <f>ROUND(ROUND(J242, 2)*I242, 2)</f>
        <v>7624.37</v>
      </c>
      <c r="P242" s="23">
        <v>88.8</v>
      </c>
      <c r="S242" s="22">
        <f>ROUND(ROUND(P242, 2)*I242, 2)</f>
        <v>7624.37</v>
      </c>
      <c r="V242" s="9">
        <f>ROUND(ROUND(P242, 2)/1.2, 2)</f>
        <v>74</v>
      </c>
      <c r="Y242" s="9">
        <f t="shared" si="17"/>
        <v>6353.64</v>
      </c>
      <c r="AD242" s="4" t="s">
        <v>1021</v>
      </c>
      <c r="AE242" s="4" t="s">
        <v>1022</v>
      </c>
      <c r="AF242" s="4" t="s">
        <v>436</v>
      </c>
    </row>
    <row r="243" spans="1:35" ht="18" hidden="1" x14ac:dyDescent="0.3">
      <c r="A243" s="91" t="s">
        <v>1023</v>
      </c>
      <c r="B243" s="91"/>
      <c r="C243" s="99" t="s">
        <v>771</v>
      </c>
      <c r="D243" s="93"/>
      <c r="E243" s="93"/>
      <c r="F243" s="96" t="s">
        <v>87</v>
      </c>
      <c r="G243" s="97">
        <v>1</v>
      </c>
      <c r="H243" s="98"/>
      <c r="I243" s="98">
        <v>572.4</v>
      </c>
      <c r="J243" s="21">
        <v>15.76</v>
      </c>
      <c r="M243" s="22">
        <f>ROUND(ROUND(J243, 2)*I243, 2)</f>
        <v>9021.02</v>
      </c>
      <c r="P243" s="23">
        <v>15.76</v>
      </c>
      <c r="S243" s="22">
        <f>ROUND(ROUND(P243, 2)*I243, 2)</f>
        <v>9021.02</v>
      </c>
      <c r="V243" s="9">
        <f>ROUND(ROUND(P243, 2)/1.2, 2)</f>
        <v>13.13</v>
      </c>
      <c r="Y243" s="9">
        <f t="shared" si="17"/>
        <v>7517.52</v>
      </c>
      <c r="AD243" s="4" t="s">
        <v>1024</v>
      </c>
      <c r="AE243" s="4" t="s">
        <v>1025</v>
      </c>
      <c r="AF243" s="4" t="s">
        <v>774</v>
      </c>
    </row>
    <row r="244" spans="1:35" ht="18" hidden="1" x14ac:dyDescent="0.3">
      <c r="A244" s="91" t="s">
        <v>1026</v>
      </c>
      <c r="B244" s="91"/>
      <c r="C244" s="99" t="s">
        <v>956</v>
      </c>
      <c r="D244" s="93"/>
      <c r="E244" s="93"/>
      <c r="F244" s="96" t="s">
        <v>64</v>
      </c>
      <c r="G244" s="97">
        <v>1.1000000000000001</v>
      </c>
      <c r="H244" s="97"/>
      <c r="I244" s="97">
        <v>629.64</v>
      </c>
      <c r="J244" s="21">
        <v>26</v>
      </c>
      <c r="M244" s="22">
        <f>ROUND(ROUND(J244, 2)*I244, 2)</f>
        <v>16370.64</v>
      </c>
      <c r="P244" s="23">
        <v>26</v>
      </c>
      <c r="S244" s="22">
        <f>ROUND(ROUND(P244, 2)*I244, 2)</f>
        <v>16370.64</v>
      </c>
      <c r="V244" s="9">
        <f>ROUND(ROUND(P244, 2)/1.2, 2)</f>
        <v>21.67</v>
      </c>
      <c r="Y244" s="9">
        <f t="shared" si="17"/>
        <v>13642.2</v>
      </c>
      <c r="AD244" s="4" t="s">
        <v>1027</v>
      </c>
      <c r="AE244" s="4" t="s">
        <v>1028</v>
      </c>
      <c r="AF244" s="4" t="s">
        <v>959</v>
      </c>
    </row>
    <row r="245" spans="1:35" ht="18" hidden="1" x14ac:dyDescent="0.3">
      <c r="A245" s="91" t="s">
        <v>1029</v>
      </c>
      <c r="B245" s="91"/>
      <c r="C245" s="99" t="s">
        <v>948</v>
      </c>
      <c r="D245" s="93"/>
      <c r="E245" s="93">
        <f>I245/G245/I241</f>
        <v>40</v>
      </c>
      <c r="F245" s="96" t="s">
        <v>70</v>
      </c>
      <c r="G245" s="97">
        <v>1.3</v>
      </c>
      <c r="H245" s="98"/>
      <c r="I245" s="98">
        <v>29764.799999999999</v>
      </c>
      <c r="J245" s="21">
        <v>8.6</v>
      </c>
      <c r="M245" s="22">
        <f>ROUND(ROUND(J245, 2)*I245, 2)</f>
        <v>255977.28</v>
      </c>
      <c r="P245" s="23">
        <v>8.6</v>
      </c>
      <c r="S245" s="22">
        <f>ROUND(ROUND(P245, 2)*I245, 2)</f>
        <v>255977.28</v>
      </c>
      <c r="V245" s="9">
        <f>ROUND(ROUND(P245, 2)/1.2, 2)</f>
        <v>7.17</v>
      </c>
      <c r="Y245" s="9">
        <f t="shared" si="17"/>
        <v>213314.4</v>
      </c>
      <c r="AD245" s="4" t="s">
        <v>1030</v>
      </c>
      <c r="AE245" s="4" t="s">
        <v>1031</v>
      </c>
      <c r="AF245" s="4" t="s">
        <v>952</v>
      </c>
    </row>
    <row r="246" spans="1:35" ht="54" x14ac:dyDescent="0.3">
      <c r="A246" s="116" t="s">
        <v>1032</v>
      </c>
      <c r="B246" s="116" t="s">
        <v>1033</v>
      </c>
      <c r="C246" s="210" t="s">
        <v>1034</v>
      </c>
      <c r="D246" s="117"/>
      <c r="E246" s="117" t="s">
        <v>975</v>
      </c>
      <c r="F246" s="117" t="s">
        <v>64</v>
      </c>
      <c r="G246" s="118">
        <v>1</v>
      </c>
      <c r="H246" s="118"/>
      <c r="I246" s="118">
        <v>3617.6</v>
      </c>
      <c r="J246" s="14">
        <f>IFERROR(ROUND(SUM(M247,M248,M249)/I246, 2),0)</f>
        <v>368.76</v>
      </c>
      <c r="K246" s="15">
        <v>1073</v>
      </c>
      <c r="L246" s="14">
        <f>J246+ROUND(K246, 2)</f>
        <v>1441.76</v>
      </c>
      <c r="M246" s="14">
        <f>ROUND(J246*I246, 2)</f>
        <v>1334026.18</v>
      </c>
      <c r="N246" s="14">
        <f>ROUND(I246*ROUND(K246, 2), 2)</f>
        <v>3881684.8</v>
      </c>
      <c r="O246" s="14">
        <f>M246+N246</f>
        <v>5215710.9799999995</v>
      </c>
      <c r="P246" s="14">
        <f>IFERROR(ROUND(SUM(S247,S248,S249)/I246, 2),0)</f>
        <v>368.76</v>
      </c>
      <c r="Q246" s="16">
        <v>1073</v>
      </c>
      <c r="R246" s="14">
        <f>P246+ROUND(Q246, 2)</f>
        <v>1441.76</v>
      </c>
      <c r="S246" s="14">
        <f>ROUND(P246*I246, 2)</f>
        <v>1334026.18</v>
      </c>
      <c r="T246" s="14">
        <f>ROUND(I246*ROUND(Q246, 2), 2)</f>
        <v>3881684.8</v>
      </c>
      <c r="U246" s="14">
        <f>S246+T246</f>
        <v>5215710.9799999995</v>
      </c>
      <c r="V246" s="9">
        <f>ROUND(P246 / 1.2, 2)</f>
        <v>307.3</v>
      </c>
      <c r="W246" s="9">
        <f>ROUND(Q246 / 1.2, 2)</f>
        <v>894.17</v>
      </c>
      <c r="X246" s="9">
        <f>ROUND(R246 / 1.2, 2)</f>
        <v>1201.47</v>
      </c>
      <c r="Y246" s="9">
        <f t="shared" si="17"/>
        <v>1111688.48</v>
      </c>
      <c r="Z246" s="9">
        <f>ROUND(T246 / 1.2, 2)</f>
        <v>3234737.33</v>
      </c>
      <c r="AA246" s="9">
        <f>Y246+Z246</f>
        <v>4346425.8100000005</v>
      </c>
      <c r="AD246" s="4">
        <v>271132108</v>
      </c>
      <c r="AE246" s="4">
        <v>19976797</v>
      </c>
      <c r="AG246" s="4" t="s">
        <v>1035</v>
      </c>
      <c r="AH246" s="4" t="s">
        <v>1036</v>
      </c>
      <c r="AI246" s="4" t="s">
        <v>67</v>
      </c>
    </row>
    <row r="247" spans="1:35" ht="36" x14ac:dyDescent="0.3">
      <c r="A247" s="116" t="s">
        <v>1037</v>
      </c>
      <c r="B247" s="116"/>
      <c r="C247" s="131" t="s">
        <v>756</v>
      </c>
      <c r="D247" s="117"/>
      <c r="E247" s="117"/>
      <c r="F247" s="120" t="s">
        <v>70</v>
      </c>
      <c r="G247" s="121">
        <v>1</v>
      </c>
      <c r="H247" s="122"/>
      <c r="I247" s="122">
        <v>144704</v>
      </c>
      <c r="J247" s="21">
        <v>8.1999999999999993</v>
      </c>
      <c r="M247" s="22">
        <f>ROUND(ROUND(J247, 2)*I247, 2)</f>
        <v>1186572.8</v>
      </c>
      <c r="P247" s="23">
        <v>8.1999999999999993</v>
      </c>
      <c r="S247" s="22">
        <f>ROUND(ROUND(P247, 2)*I247, 2)</f>
        <v>1186572.8</v>
      </c>
      <c r="V247" s="9">
        <f>ROUND(ROUND(P247, 2)/1.2, 2)</f>
        <v>6.83</v>
      </c>
      <c r="Y247" s="9">
        <f t="shared" si="17"/>
        <v>988810.67</v>
      </c>
      <c r="AD247" s="4" t="s">
        <v>1038</v>
      </c>
      <c r="AE247" s="4" t="s">
        <v>1039</v>
      </c>
      <c r="AF247" s="4" t="s">
        <v>760</v>
      </c>
    </row>
    <row r="248" spans="1:35" ht="18" x14ac:dyDescent="0.3">
      <c r="A248" s="116" t="s">
        <v>1040</v>
      </c>
      <c r="B248" s="116"/>
      <c r="C248" s="119" t="s">
        <v>771</v>
      </c>
      <c r="D248" s="117"/>
      <c r="E248" s="117"/>
      <c r="F248" s="120" t="s">
        <v>87</v>
      </c>
      <c r="G248" s="121">
        <v>1</v>
      </c>
      <c r="H248" s="122"/>
      <c r="I248" s="122">
        <v>3617.6</v>
      </c>
      <c r="J248" s="21">
        <v>15.76</v>
      </c>
      <c r="M248" s="22">
        <f>ROUND(ROUND(J248, 2)*I248, 2)</f>
        <v>57013.38</v>
      </c>
      <c r="P248" s="23">
        <v>15.76</v>
      </c>
      <c r="S248" s="22">
        <f>ROUND(ROUND(P248, 2)*I248, 2)</f>
        <v>57013.38</v>
      </c>
      <c r="V248" s="9">
        <f>ROUND(ROUND(P248, 2)/1.2, 2)</f>
        <v>13.13</v>
      </c>
      <c r="Y248" s="9">
        <f t="shared" si="17"/>
        <v>47511.15</v>
      </c>
      <c r="AD248" s="4" t="s">
        <v>1041</v>
      </c>
      <c r="AE248" s="4" t="s">
        <v>1042</v>
      </c>
      <c r="AF248" s="4" t="s">
        <v>774</v>
      </c>
    </row>
    <row r="249" spans="1:35" ht="18" x14ac:dyDescent="0.3">
      <c r="A249" s="116" t="s">
        <v>1043</v>
      </c>
      <c r="B249" s="116"/>
      <c r="C249" s="119" t="s">
        <v>764</v>
      </c>
      <c r="D249" s="117"/>
      <c r="E249" s="117"/>
      <c r="F249" s="120" t="s">
        <v>70</v>
      </c>
      <c r="G249" s="121">
        <v>0.25</v>
      </c>
      <c r="H249" s="121"/>
      <c r="I249" s="121">
        <v>904.4</v>
      </c>
      <c r="J249" s="21">
        <v>100</v>
      </c>
      <c r="M249" s="22">
        <f>ROUND(ROUND(J249, 2)*I249, 2)</f>
        <v>90440</v>
      </c>
      <c r="P249" s="23">
        <v>100</v>
      </c>
      <c r="S249" s="22">
        <f>ROUND(ROUND(P249, 2)*I249, 2)</f>
        <v>90440</v>
      </c>
      <c r="V249" s="9">
        <f>ROUND(ROUND(P249, 2)/1.2, 2)</f>
        <v>83.33</v>
      </c>
      <c r="Y249" s="9">
        <f t="shared" si="17"/>
        <v>75366.67</v>
      </c>
      <c r="AD249" s="4" t="s">
        <v>1044</v>
      </c>
      <c r="AE249" s="4" t="s">
        <v>1045</v>
      </c>
      <c r="AF249" s="4" t="s">
        <v>767</v>
      </c>
    </row>
    <row r="250" spans="1:35" ht="54" x14ac:dyDescent="0.3">
      <c r="A250" s="123" t="s">
        <v>1046</v>
      </c>
      <c r="B250" s="123" t="s">
        <v>1033</v>
      </c>
      <c r="C250" s="212" t="s">
        <v>1034</v>
      </c>
      <c r="D250" s="124"/>
      <c r="E250" s="124" t="s">
        <v>991</v>
      </c>
      <c r="F250" s="124" t="s">
        <v>64</v>
      </c>
      <c r="G250" s="125">
        <v>1</v>
      </c>
      <c r="H250" s="125"/>
      <c r="I250" s="125">
        <v>4510.8</v>
      </c>
      <c r="J250" s="14">
        <f>IFERROR(ROUND(SUM(M251,M252,M253)/I250, 2),0)</f>
        <v>357.08</v>
      </c>
      <c r="K250" s="15">
        <v>1073</v>
      </c>
      <c r="L250" s="14">
        <f>J250+ROUND(K250, 2)</f>
        <v>1430.08</v>
      </c>
      <c r="M250" s="14">
        <f>ROUND(J250*I250, 2)</f>
        <v>1610716.46</v>
      </c>
      <c r="N250" s="14">
        <f>ROUND(I250*ROUND(K250, 2), 2)</f>
        <v>4840088.4000000004</v>
      </c>
      <c r="O250" s="14">
        <f>M250+N250</f>
        <v>6450804.8600000003</v>
      </c>
      <c r="P250" s="14">
        <f>IFERROR(ROUND(SUM(S251,S252,S253)/I250, 2),0)</f>
        <v>357.08</v>
      </c>
      <c r="Q250" s="16">
        <v>1073</v>
      </c>
      <c r="R250" s="14">
        <f>P250+ROUND(Q250, 2)</f>
        <v>1430.08</v>
      </c>
      <c r="S250" s="14">
        <f>ROUND(P250*I250, 2)</f>
        <v>1610716.46</v>
      </c>
      <c r="T250" s="14">
        <f>ROUND(I250*ROUND(Q250, 2), 2)</f>
        <v>4840088.4000000004</v>
      </c>
      <c r="U250" s="14">
        <f>S250+T250</f>
        <v>6450804.8600000003</v>
      </c>
      <c r="V250" s="9">
        <f>ROUND(P250 / 1.2, 2)</f>
        <v>297.57</v>
      </c>
      <c r="W250" s="9">
        <f>ROUND(Q250 / 1.2, 2)</f>
        <v>894.17</v>
      </c>
      <c r="X250" s="9">
        <f>ROUND(R250 / 1.2, 2)</f>
        <v>1191.73</v>
      </c>
      <c r="Y250" s="9">
        <f t="shared" si="17"/>
        <v>1342263.72</v>
      </c>
      <c r="Z250" s="9">
        <f>ROUND(T250 / 1.2, 2)</f>
        <v>4033407</v>
      </c>
      <c r="AA250" s="9">
        <f>Y250+Z250</f>
        <v>5375670.7199999997</v>
      </c>
      <c r="AD250" s="4">
        <v>271132188</v>
      </c>
      <c r="AE250" s="4">
        <v>19976798</v>
      </c>
      <c r="AG250" s="4" t="s">
        <v>1035</v>
      </c>
      <c r="AH250" s="4" t="s">
        <v>1036</v>
      </c>
      <c r="AI250" s="4" t="s">
        <v>67</v>
      </c>
    </row>
    <row r="251" spans="1:35" ht="36" x14ac:dyDescent="0.3">
      <c r="A251" s="123" t="s">
        <v>1047</v>
      </c>
      <c r="B251" s="123"/>
      <c r="C251" s="126" t="s">
        <v>433</v>
      </c>
      <c r="D251" s="124"/>
      <c r="E251" s="124"/>
      <c r="F251" s="127" t="s">
        <v>70</v>
      </c>
      <c r="G251" s="128">
        <v>0.15</v>
      </c>
      <c r="H251" s="129"/>
      <c r="I251" s="129">
        <v>676.62</v>
      </c>
      <c r="J251" s="21">
        <v>88.8</v>
      </c>
      <c r="M251" s="22">
        <f>ROUND(ROUND(J251, 2)*I251, 2)</f>
        <v>60083.86</v>
      </c>
      <c r="P251" s="23">
        <v>88.8</v>
      </c>
      <c r="S251" s="22">
        <f>ROUND(ROUND(P251, 2)*I251, 2)</f>
        <v>60083.86</v>
      </c>
      <c r="V251" s="9">
        <f>ROUND(ROUND(P251, 2)/1.2, 2)</f>
        <v>74</v>
      </c>
      <c r="Y251" s="9">
        <f t="shared" si="17"/>
        <v>50069.88</v>
      </c>
      <c r="AD251" s="4" t="s">
        <v>1048</v>
      </c>
      <c r="AE251" s="4" t="s">
        <v>1049</v>
      </c>
      <c r="AF251" s="4" t="s">
        <v>436</v>
      </c>
    </row>
    <row r="252" spans="1:35" ht="18" x14ac:dyDescent="0.3">
      <c r="A252" s="123" t="s">
        <v>1050</v>
      </c>
      <c r="B252" s="123"/>
      <c r="C252" s="126" t="s">
        <v>771</v>
      </c>
      <c r="D252" s="124"/>
      <c r="E252" s="124"/>
      <c r="F252" s="127" t="s">
        <v>87</v>
      </c>
      <c r="G252" s="128">
        <v>1</v>
      </c>
      <c r="H252" s="129"/>
      <c r="I252" s="129">
        <v>4510.8</v>
      </c>
      <c r="J252" s="21">
        <v>15.76</v>
      </c>
      <c r="M252" s="22">
        <f>ROUND(ROUND(J252, 2)*I252, 2)</f>
        <v>71090.210000000006</v>
      </c>
      <c r="P252" s="23">
        <v>15.76</v>
      </c>
      <c r="S252" s="22">
        <f>ROUND(ROUND(P252, 2)*I252, 2)</f>
        <v>71090.210000000006</v>
      </c>
      <c r="V252" s="9">
        <f>ROUND(ROUND(P252, 2)/1.2, 2)</f>
        <v>13.13</v>
      </c>
      <c r="Y252" s="9">
        <f t="shared" si="17"/>
        <v>59241.84</v>
      </c>
      <c r="AD252" s="4" t="s">
        <v>1051</v>
      </c>
      <c r="AE252" s="4" t="s">
        <v>1052</v>
      </c>
      <c r="AF252" s="4" t="s">
        <v>774</v>
      </c>
    </row>
    <row r="253" spans="1:35" ht="36" x14ac:dyDescent="0.3">
      <c r="A253" s="123" t="s">
        <v>1053</v>
      </c>
      <c r="B253" s="123"/>
      <c r="C253" s="130" t="s">
        <v>756</v>
      </c>
      <c r="D253" s="124"/>
      <c r="E253" s="124"/>
      <c r="F253" s="127" t="s">
        <v>70</v>
      </c>
      <c r="G253" s="128">
        <v>1</v>
      </c>
      <c r="H253" s="129"/>
      <c r="I253" s="129">
        <v>180432</v>
      </c>
      <c r="J253" s="21">
        <v>8.1999999999999993</v>
      </c>
      <c r="M253" s="22">
        <f>ROUND(ROUND(J253, 2)*I253, 2)</f>
        <v>1479542.4</v>
      </c>
      <c r="P253" s="23">
        <v>8.1999999999999993</v>
      </c>
      <c r="S253" s="22">
        <f>ROUND(ROUND(P253, 2)*I253, 2)</f>
        <v>1479542.4</v>
      </c>
      <c r="V253" s="9">
        <f>ROUND(ROUND(P253, 2)/1.2, 2)</f>
        <v>6.83</v>
      </c>
      <c r="Y253" s="9">
        <f t="shared" si="17"/>
        <v>1232952</v>
      </c>
      <c r="AD253" s="4" t="s">
        <v>1054</v>
      </c>
      <c r="AE253" s="4" t="s">
        <v>1055</v>
      </c>
      <c r="AF253" s="4" t="s">
        <v>760</v>
      </c>
    </row>
    <row r="254" spans="1:35" ht="54" x14ac:dyDescent="0.3">
      <c r="A254" s="10" t="s">
        <v>1056</v>
      </c>
      <c r="B254" s="10" t="s">
        <v>1033</v>
      </c>
      <c r="C254" s="213" t="s">
        <v>1034</v>
      </c>
      <c r="D254" s="12"/>
      <c r="E254" s="12" t="s">
        <v>1005</v>
      </c>
      <c r="F254" s="12" t="s">
        <v>64</v>
      </c>
      <c r="G254" s="13">
        <v>1</v>
      </c>
      <c r="H254" s="13"/>
      <c r="I254" s="13">
        <v>3125.2</v>
      </c>
      <c r="J254" s="14">
        <f>IFERROR(ROUND(SUM(M255,M256,M257)/I254, 2),0)</f>
        <v>368.76</v>
      </c>
      <c r="K254" s="15">
        <v>1073</v>
      </c>
      <c r="L254" s="14">
        <f>J254+ROUND(K254, 2)</f>
        <v>1441.76</v>
      </c>
      <c r="M254" s="14">
        <f>ROUND(J254*I254, 2)</f>
        <v>1152448.75</v>
      </c>
      <c r="N254" s="14">
        <f>ROUND(I254*ROUND(K254, 2), 2)</f>
        <v>3353339.6</v>
      </c>
      <c r="O254" s="14">
        <f>M254+N254</f>
        <v>4505788.3499999996</v>
      </c>
      <c r="P254" s="14">
        <f>IFERROR(ROUND(SUM(S255,S256,S257)/I254, 2),0)</f>
        <v>368.76</v>
      </c>
      <c r="Q254" s="16">
        <v>1073</v>
      </c>
      <c r="R254" s="14">
        <f>P254+ROUND(Q254, 2)</f>
        <v>1441.76</v>
      </c>
      <c r="S254" s="14">
        <f>ROUND(P254*I254, 2)</f>
        <v>1152448.75</v>
      </c>
      <c r="T254" s="14">
        <f>ROUND(I254*ROUND(Q254, 2), 2)</f>
        <v>3353339.6</v>
      </c>
      <c r="U254" s="14">
        <f>S254+T254</f>
        <v>4505788.3499999996</v>
      </c>
      <c r="V254" s="9">
        <f>ROUND(P254 / 1.2, 2)</f>
        <v>307.3</v>
      </c>
      <c r="W254" s="9">
        <f>ROUND(Q254 / 1.2, 2)</f>
        <v>894.17</v>
      </c>
      <c r="X254" s="9">
        <f>ROUND(R254 / 1.2, 2)</f>
        <v>1201.47</v>
      </c>
      <c r="Y254" s="9">
        <f t="shared" si="17"/>
        <v>960373.96</v>
      </c>
      <c r="Z254" s="9">
        <f>ROUND(T254 / 1.2, 2)</f>
        <v>2794449.67</v>
      </c>
      <c r="AA254" s="9">
        <f>Y254+Z254</f>
        <v>3754823.63</v>
      </c>
      <c r="AD254" s="4">
        <v>271132189</v>
      </c>
      <c r="AE254" s="4">
        <v>19976799</v>
      </c>
      <c r="AG254" s="4" t="s">
        <v>1035</v>
      </c>
      <c r="AH254" s="4" t="s">
        <v>1036</v>
      </c>
      <c r="AI254" s="4" t="s">
        <v>67</v>
      </c>
    </row>
    <row r="255" spans="1:35" ht="18" x14ac:dyDescent="0.3">
      <c r="A255" s="10" t="s">
        <v>1057</v>
      </c>
      <c r="B255" s="10"/>
      <c r="C255" s="24" t="s">
        <v>764</v>
      </c>
      <c r="D255" s="12"/>
      <c r="E255" s="12"/>
      <c r="F255" s="18" t="s">
        <v>70</v>
      </c>
      <c r="G255" s="19">
        <v>0.25</v>
      </c>
      <c r="H255" s="19"/>
      <c r="I255" s="19">
        <v>781.3</v>
      </c>
      <c r="J255" s="21">
        <v>100</v>
      </c>
      <c r="M255" s="22">
        <f>ROUND(ROUND(J255, 2)*I255, 2)</f>
        <v>78130</v>
      </c>
      <c r="P255" s="23">
        <v>100</v>
      </c>
      <c r="S255" s="22">
        <f>ROUND(ROUND(P255, 2)*I255, 2)</f>
        <v>78130</v>
      </c>
      <c r="V255" s="9">
        <f>ROUND(ROUND(P255, 2)/1.2, 2)</f>
        <v>83.33</v>
      </c>
      <c r="Y255" s="9">
        <f t="shared" si="17"/>
        <v>65108.33</v>
      </c>
      <c r="AD255" s="4" t="s">
        <v>1058</v>
      </c>
      <c r="AE255" s="4" t="s">
        <v>1059</v>
      </c>
      <c r="AF255" s="4" t="s">
        <v>767</v>
      </c>
    </row>
    <row r="256" spans="1:35" ht="18" x14ac:dyDescent="0.3">
      <c r="A256" s="10" t="s">
        <v>1060</v>
      </c>
      <c r="B256" s="10"/>
      <c r="C256" s="24" t="s">
        <v>771</v>
      </c>
      <c r="D256" s="12"/>
      <c r="E256" s="12"/>
      <c r="F256" s="18" t="s">
        <v>87</v>
      </c>
      <c r="G256" s="19">
        <v>1</v>
      </c>
      <c r="H256" s="20"/>
      <c r="I256" s="20">
        <v>3125.2</v>
      </c>
      <c r="J256" s="21">
        <v>15.76</v>
      </c>
      <c r="M256" s="22">
        <f>ROUND(ROUND(J256, 2)*I256, 2)</f>
        <v>49253.15</v>
      </c>
      <c r="P256" s="23">
        <v>15.76</v>
      </c>
      <c r="S256" s="22">
        <f>ROUND(ROUND(P256, 2)*I256, 2)</f>
        <v>49253.15</v>
      </c>
      <c r="V256" s="9">
        <f>ROUND(ROUND(P256, 2)/1.2, 2)</f>
        <v>13.13</v>
      </c>
      <c r="Y256" s="9">
        <f t="shared" si="17"/>
        <v>41044.29</v>
      </c>
      <c r="AD256" s="4" t="s">
        <v>1061</v>
      </c>
      <c r="AE256" s="4" t="s">
        <v>1062</v>
      </c>
      <c r="AF256" s="4" t="s">
        <v>774</v>
      </c>
    </row>
    <row r="257" spans="1:35" ht="36" x14ac:dyDescent="0.3">
      <c r="A257" s="10" t="s">
        <v>1063</v>
      </c>
      <c r="B257" s="10"/>
      <c r="C257" s="17" t="s">
        <v>756</v>
      </c>
      <c r="D257" s="12"/>
      <c r="E257" s="12"/>
      <c r="F257" s="18" t="s">
        <v>70</v>
      </c>
      <c r="G257" s="19">
        <v>1</v>
      </c>
      <c r="H257" s="20"/>
      <c r="I257" s="20">
        <v>125008</v>
      </c>
      <c r="J257" s="21">
        <v>8.1999999999999993</v>
      </c>
      <c r="M257" s="22">
        <f>ROUND(ROUND(J257, 2)*I257, 2)</f>
        <v>1025065.6</v>
      </c>
      <c r="P257" s="23">
        <v>8.1999999999999993</v>
      </c>
      <c r="S257" s="22">
        <f>ROUND(ROUND(P257, 2)*I257, 2)</f>
        <v>1025065.6</v>
      </c>
      <c r="V257" s="9">
        <f>ROUND(ROUND(P257, 2)/1.2, 2)</f>
        <v>6.83</v>
      </c>
      <c r="Y257" s="9">
        <f t="shared" si="17"/>
        <v>854221.33</v>
      </c>
      <c r="AD257" s="4" t="s">
        <v>1064</v>
      </c>
      <c r="AE257" s="4" t="s">
        <v>1065</v>
      </c>
      <c r="AF257" s="4" t="s">
        <v>760</v>
      </c>
    </row>
    <row r="258" spans="1:35" ht="54" x14ac:dyDescent="0.3">
      <c r="A258" s="10" t="s">
        <v>1066</v>
      </c>
      <c r="B258" s="10" t="s">
        <v>1033</v>
      </c>
      <c r="C258" s="213" t="s">
        <v>1034</v>
      </c>
      <c r="D258" s="12"/>
      <c r="E258" s="12" t="s">
        <v>1019</v>
      </c>
      <c r="F258" s="12" t="s">
        <v>64</v>
      </c>
      <c r="G258" s="13">
        <v>1</v>
      </c>
      <c r="H258" s="13"/>
      <c r="I258" s="13">
        <v>4248.8</v>
      </c>
      <c r="J258" s="14">
        <f>IFERROR(ROUND(SUM(M259,M260,M261)/I258, 2),0)</f>
        <v>357.08</v>
      </c>
      <c r="K258" s="15">
        <v>1073</v>
      </c>
      <c r="L258" s="14">
        <f>J258+ROUND(K258, 2)</f>
        <v>1430.08</v>
      </c>
      <c r="M258" s="14">
        <f>ROUND(J258*I258, 2)</f>
        <v>1517161.5</v>
      </c>
      <c r="N258" s="14">
        <f>ROUND(I258*ROUND(K258, 2), 2)</f>
        <v>4558962.4000000004</v>
      </c>
      <c r="O258" s="14">
        <f>M258+N258</f>
        <v>6076123.9000000004</v>
      </c>
      <c r="P258" s="14">
        <f>IFERROR(ROUND(SUM(S259,S260,S261)/I258, 2),0)</f>
        <v>357.08</v>
      </c>
      <c r="Q258" s="16">
        <v>1073</v>
      </c>
      <c r="R258" s="14">
        <f>P258+ROUND(Q258, 2)</f>
        <v>1430.08</v>
      </c>
      <c r="S258" s="14">
        <f>ROUND(P258*I258, 2)</f>
        <v>1517161.5</v>
      </c>
      <c r="T258" s="14">
        <f>ROUND(I258*ROUND(Q258, 2), 2)</f>
        <v>4558962.4000000004</v>
      </c>
      <c r="U258" s="14">
        <f>S258+T258</f>
        <v>6076123.9000000004</v>
      </c>
      <c r="V258" s="9">
        <f>ROUND(P258 / 1.2, 2)</f>
        <v>297.57</v>
      </c>
      <c r="W258" s="9">
        <f>ROUND(Q258 / 1.2, 2)</f>
        <v>894.17</v>
      </c>
      <c r="X258" s="9">
        <f>ROUND(R258 / 1.2, 2)</f>
        <v>1191.73</v>
      </c>
      <c r="Y258" s="9">
        <f t="shared" si="17"/>
        <v>1264301.25</v>
      </c>
      <c r="Z258" s="9">
        <f>ROUND(T258 / 1.2, 2)</f>
        <v>3799135.33</v>
      </c>
      <c r="AA258" s="9">
        <f>Y258+Z258</f>
        <v>5063436.58</v>
      </c>
      <c r="AD258" s="4">
        <v>271132190</v>
      </c>
      <c r="AE258" s="4">
        <v>19976800</v>
      </c>
      <c r="AG258" s="4" t="s">
        <v>1035</v>
      </c>
      <c r="AH258" s="4" t="s">
        <v>1036</v>
      </c>
      <c r="AI258" s="4" t="s">
        <v>67</v>
      </c>
    </row>
    <row r="259" spans="1:35" ht="36" x14ac:dyDescent="0.3">
      <c r="A259" s="10" t="s">
        <v>1067</v>
      </c>
      <c r="B259" s="10"/>
      <c r="C259" s="24" t="s">
        <v>433</v>
      </c>
      <c r="D259" s="12"/>
      <c r="E259" s="12"/>
      <c r="F259" s="18" t="s">
        <v>70</v>
      </c>
      <c r="G259" s="19">
        <v>0.15</v>
      </c>
      <c r="H259" s="20"/>
      <c r="I259" s="20">
        <v>637.32000000000005</v>
      </c>
      <c r="J259" s="21">
        <v>88.8</v>
      </c>
      <c r="M259" s="22">
        <f>ROUND(ROUND(J259, 2)*I259, 2)</f>
        <v>56594.02</v>
      </c>
      <c r="P259" s="23">
        <v>88.8</v>
      </c>
      <c r="S259" s="22">
        <f>ROUND(ROUND(P259, 2)*I259, 2)</f>
        <v>56594.02</v>
      </c>
      <c r="V259" s="9">
        <f>ROUND(ROUND(P259, 2)/1.2, 2)</f>
        <v>74</v>
      </c>
      <c r="Y259" s="9">
        <f t="shared" si="17"/>
        <v>47161.68</v>
      </c>
      <c r="AD259" s="4" t="s">
        <v>1068</v>
      </c>
      <c r="AE259" s="4" t="s">
        <v>1069</v>
      </c>
      <c r="AF259" s="4" t="s">
        <v>436</v>
      </c>
    </row>
    <row r="260" spans="1:35" ht="18" x14ac:dyDescent="0.3">
      <c r="A260" s="10" t="s">
        <v>1070</v>
      </c>
      <c r="B260" s="10"/>
      <c r="C260" s="24" t="s">
        <v>771</v>
      </c>
      <c r="D260" s="12"/>
      <c r="E260" s="12"/>
      <c r="F260" s="18" t="s">
        <v>87</v>
      </c>
      <c r="G260" s="19">
        <v>1</v>
      </c>
      <c r="H260" s="20"/>
      <c r="I260" s="20">
        <v>4248.8</v>
      </c>
      <c r="J260" s="21">
        <v>15.76</v>
      </c>
      <c r="M260" s="22">
        <f>ROUND(ROUND(J260, 2)*I260, 2)</f>
        <v>66961.09</v>
      </c>
      <c r="P260" s="23">
        <v>15.76</v>
      </c>
      <c r="S260" s="22">
        <f>ROUND(ROUND(P260, 2)*I260, 2)</f>
        <v>66961.09</v>
      </c>
      <c r="V260" s="9">
        <f>ROUND(ROUND(P260, 2)/1.2, 2)</f>
        <v>13.13</v>
      </c>
      <c r="Y260" s="9">
        <f t="shared" si="17"/>
        <v>55800.91</v>
      </c>
      <c r="AD260" s="4" t="s">
        <v>1071</v>
      </c>
      <c r="AE260" s="4" t="s">
        <v>1072</v>
      </c>
      <c r="AF260" s="4" t="s">
        <v>774</v>
      </c>
    </row>
    <row r="261" spans="1:35" ht="36" x14ac:dyDescent="0.3">
      <c r="A261" s="10" t="s">
        <v>1073</v>
      </c>
      <c r="B261" s="10"/>
      <c r="C261" s="17" t="s">
        <v>756</v>
      </c>
      <c r="D261" s="12"/>
      <c r="E261" s="12"/>
      <c r="F261" s="18" t="s">
        <v>70</v>
      </c>
      <c r="G261" s="19">
        <v>1</v>
      </c>
      <c r="H261" s="20"/>
      <c r="I261" s="20">
        <v>169952</v>
      </c>
      <c r="J261" s="21">
        <v>8.1999999999999993</v>
      </c>
      <c r="M261" s="22">
        <f>ROUND(ROUND(J261, 2)*I261, 2)</f>
        <v>1393606.4</v>
      </c>
      <c r="P261" s="23">
        <v>8.1999999999999993</v>
      </c>
      <c r="S261" s="22">
        <f>ROUND(ROUND(P261, 2)*I261, 2)</f>
        <v>1393606.4</v>
      </c>
      <c r="V261" s="9">
        <f>ROUND(ROUND(P261, 2)/1.2, 2)</f>
        <v>6.83</v>
      </c>
      <c r="Y261" s="9">
        <f t="shared" si="17"/>
        <v>1161338.67</v>
      </c>
      <c r="AD261" s="4" t="s">
        <v>1074</v>
      </c>
      <c r="AE261" s="4" t="s">
        <v>1075</v>
      </c>
      <c r="AF261" s="4" t="s">
        <v>760</v>
      </c>
    </row>
    <row r="262" spans="1:35" ht="17.100000000000001" customHeight="1" x14ac:dyDescent="0.3">
      <c r="A262" s="10" t="s">
        <v>1076</v>
      </c>
      <c r="B262" s="10" t="s">
        <v>1077</v>
      </c>
      <c r="C262" s="185" t="s">
        <v>1078</v>
      </c>
      <c r="D262" s="186"/>
      <c r="E262" s="186"/>
      <c r="F262" s="186"/>
      <c r="G262" s="186"/>
      <c r="H262" s="186"/>
      <c r="I262" s="187"/>
      <c r="M262" s="6">
        <f>SUM(M263,M269,M275,M278,M281,M284,M287,M290,M293,M296,M299,M302,M305,M308,M311,M314,M317,M320,M323,M326,M329,M332,M335,M338,M341,M344,M347,M350,M353,M356,M359,M362,M367,M372,M377,M381,M386,M390,M396,M402,M407,M412,M417,M422,M427,M433,M438)</f>
        <v>2460235.5100000002</v>
      </c>
      <c r="N262" s="6">
        <f>SUM(N263,N269,N275,N278,N281,N284,N287,N290,N293,N296,N299,N302,N305,N308,N311,N314,N317,N320,N323,N326,N329,N332,N335,N338,N341,N344,N347,N350,N353,N356,N359,N362,N367,N372,N377,N381,N386,N390,N396,N402,N407,N412,N417,N422,N427,N433,N438)</f>
        <v>10285693.439999998</v>
      </c>
      <c r="O262" s="6">
        <f>SUM(O263,O269,O275,O278,O281,O284,O287,O290,O293,O296,O299,O302,O305,O308,O311,O314,O317,O320,O323,O326,O329,O332,O335,O338,O341,O344,O347,O350,O353,O356,O359,O362,O367,O372,O377,O381,O386,O390,O396,O402,O407,O412,O417,O422,O427,O433,O438)</f>
        <v>12745928.950000001</v>
      </c>
      <c r="S262" s="6">
        <f>SUM(S263,S269,S275,S278,S281,S284,S287,S290,S293,S296,S299,S302,S305,S308,S311,S314,S317,S320,S323,S326,S329,S332,S335,S338,S341,S344,S347,S350,S353,S356,S359,S362,S367,S372,S377,S381,S386,S390,S396,S402,S407,S412,S417,S422,S427,S433,S438)</f>
        <v>2460235.5100000002</v>
      </c>
      <c r="T262" s="6">
        <f>SUM(T263,T269,T275,T278,T281,T284,T287,T290,T293,T296,T299,T302,T305,T308,T311,T314,T317,T320,T323,T326,T329,T332,T335,T338,T341,T344,T347,T350,T353,T356,T359,T362,T367,T372,T377,T381,T386,T390,T396,T402,T407,T412,T417,T422,T427,T433,T438)</f>
        <v>10285693.439999998</v>
      </c>
      <c r="U262" s="6">
        <f>SUM(U263,U269,U275,U278,U281,U284,U287,U290,U293,U296,U299,U302,U305,U308,U311,U314,U317,U320,U323,U326,U329,U332,U335,U338,U341,U344,U347,U350,U353,U356,U359,U362,U367,U372,U377,U381,U386,U390,U396,U402,U407,U412,U417,U422,U427,U433,U438)</f>
        <v>12745928.950000001</v>
      </c>
      <c r="Y262" s="9">
        <f>SUM(Y263,Y269,Y275,Y278,Y281,Y284,Y287,Y290,Y293,Y296,Y299,Y302,Y305,Y308,Y311,Y314,Y317,Y320,Y323,Y326,Y329,Y332,Y335,Y338,Y341,Y344,Y347,Y350,Y353,Y356,Y359,Y362,Y367,Y372,Y377,Y381,Y386,Y390,Y396,Y402,Y407,Y412,Y417,Y422,Y427,Y433,Y438)</f>
        <v>2050196.2899999998</v>
      </c>
      <c r="Z262" s="9">
        <f>SUM(Z263,Z269,Z275,Z278,Z281,Z284,Z287,Z290,Z293,Z296,Z299,Z302,Z305,Z308,Z311,Z314,Z317,Z320,Z323,Z326,Z329,Z332,Z335,Z338,Z341,Z344,Z347,Z350,Z353,Z356,Z359,Z362,Z367,Z372,Z377,Z381,Z386,Z390,Z396,Z402,Z407,Z412,Z417,Z422,Z427,Z433,Z438)</f>
        <v>8571411.2099999972</v>
      </c>
      <c r="AA262" s="9">
        <f>SUM(AA263,AA269,AA275,AA278,AA281,AA284,AA287,AA290,AA293,AA296,AA299,AA302,AA305,AA308,AA311,AA314,AA317,AA320,AA323,AA326,AA329,AA332,AA335,AA338,AA341,AA344,AA347,AA350,AA353,AA356,AA359,AA362,AA367,AA372,AA377,AA381,AA386,AA390,AA396,AA402,AA407,AA412,AA417,AA422,AA427,AA433,AA438)</f>
        <v>10621607.500000002</v>
      </c>
      <c r="AD262" s="4">
        <v>271132109</v>
      </c>
      <c r="AE262" s="4">
        <v>16211525</v>
      </c>
    </row>
    <row r="263" spans="1:35" ht="54" x14ac:dyDescent="0.3">
      <c r="A263" s="82" t="s">
        <v>1079</v>
      </c>
      <c r="B263" s="82" t="s">
        <v>1080</v>
      </c>
      <c r="C263" s="83" t="s">
        <v>1081</v>
      </c>
      <c r="D263" s="84"/>
      <c r="E263" s="84" t="s">
        <v>63</v>
      </c>
      <c r="F263" s="84" t="s">
        <v>64</v>
      </c>
      <c r="G263" s="85">
        <v>1</v>
      </c>
      <c r="H263" s="85"/>
      <c r="I263" s="85">
        <v>0</v>
      </c>
      <c r="J263" s="14">
        <f>IFERROR(ROUND(SUM(M264,M265,M266,M267,M268)/I263, 2),0)</f>
        <v>0</v>
      </c>
      <c r="K263" s="15">
        <v>1869</v>
      </c>
      <c r="L263" s="14">
        <f>J263+ROUND(K263, 2)</f>
        <v>1869</v>
      </c>
      <c r="M263" s="14">
        <f>ROUND(J263*I263, 2)</f>
        <v>0</v>
      </c>
      <c r="N263" s="14">
        <f>ROUND(I263*ROUND(K263, 2), 2)</f>
        <v>0</v>
      </c>
      <c r="O263" s="14">
        <f>M263+N263</f>
        <v>0</v>
      </c>
      <c r="P263" s="14">
        <f>IFERROR(ROUND(SUM(S264,S265,S266,S267,S268)/I263, 2),0)</f>
        <v>0</v>
      </c>
      <c r="Q263" s="15">
        <v>1869</v>
      </c>
      <c r="R263" s="14">
        <f>P263+ROUND(Q263, 2)</f>
        <v>1869</v>
      </c>
      <c r="S263" s="14">
        <f>ROUND(P263*I263, 2)</f>
        <v>0</v>
      </c>
      <c r="T263" s="14">
        <f>ROUND(I263*ROUND(Q263, 2), 2)</f>
        <v>0</v>
      </c>
      <c r="U263" s="14">
        <f>S263+T263</f>
        <v>0</v>
      </c>
      <c r="V263" s="9">
        <f>ROUND(P263 / 1.2, 2)</f>
        <v>0</v>
      </c>
      <c r="W263" s="9">
        <f>ROUND(Q263 / 1.2, 2)</f>
        <v>1557.5</v>
      </c>
      <c r="X263" s="9">
        <f>ROUND(R263 / 1.2, 2)</f>
        <v>1557.5</v>
      </c>
      <c r="Y263" s="9">
        <f>ROUND(S263 / 1.2, 2)</f>
        <v>0</v>
      </c>
      <c r="Z263" s="9">
        <f>ROUND(T263 / 1.2, 2)</f>
        <v>0</v>
      </c>
      <c r="AA263" s="9">
        <f>Y263+Z263</f>
        <v>0</v>
      </c>
      <c r="AD263" s="4">
        <v>271132111</v>
      </c>
      <c r="AE263" s="4">
        <v>16211621</v>
      </c>
      <c r="AG263" s="4" t="s">
        <v>1082</v>
      </c>
      <c r="AH263" s="4" t="s">
        <v>1083</v>
      </c>
      <c r="AI263" s="4" t="s">
        <v>67</v>
      </c>
    </row>
    <row r="264" spans="1:35" ht="36" x14ac:dyDescent="0.3">
      <c r="A264" s="82" t="s">
        <v>1085</v>
      </c>
      <c r="B264" s="82"/>
      <c r="C264" s="86" t="s">
        <v>1086</v>
      </c>
      <c r="D264" s="84"/>
      <c r="E264" s="84"/>
      <c r="F264" s="87" t="s">
        <v>87</v>
      </c>
      <c r="G264" s="88">
        <v>0.23</v>
      </c>
      <c r="H264" s="89"/>
      <c r="I264" s="89">
        <v>0</v>
      </c>
      <c r="J264" s="21">
        <v>97.71</v>
      </c>
      <c r="M264" s="22">
        <f>ROUND(ROUND(J264, 2)*I264, 2)</f>
        <v>0</v>
      </c>
      <c r="P264" s="21">
        <v>97.71</v>
      </c>
      <c r="S264" s="22">
        <f>ROUND(ROUND(P264, 2)*I264, 2)</f>
        <v>0</v>
      </c>
      <c r="V264" s="9">
        <f>ROUND(ROUND(P264, 2)/1.2, 2)</f>
        <v>81.430000000000007</v>
      </c>
      <c r="Y264" s="9">
        <f t="shared" ref="Y264:Y327" si="18">ROUND(S264 / 1.2, 2)</f>
        <v>0</v>
      </c>
      <c r="AD264" s="4" t="s">
        <v>1087</v>
      </c>
      <c r="AE264" s="4" t="s">
        <v>1088</v>
      </c>
      <c r="AF264" s="4" t="s">
        <v>1089</v>
      </c>
    </row>
    <row r="265" spans="1:35" ht="54" x14ac:dyDescent="0.3">
      <c r="A265" s="82" t="s">
        <v>1092</v>
      </c>
      <c r="B265" s="82"/>
      <c r="C265" s="90" t="s">
        <v>601</v>
      </c>
      <c r="D265" s="84"/>
      <c r="E265" s="84" t="s">
        <v>402</v>
      </c>
      <c r="F265" s="87" t="s">
        <v>70</v>
      </c>
      <c r="G265" s="88">
        <v>1.2</v>
      </c>
      <c r="H265" s="89"/>
      <c r="I265" s="89">
        <v>0</v>
      </c>
      <c r="J265" s="21">
        <v>12.33</v>
      </c>
      <c r="M265" s="22">
        <f>ROUND(ROUND(J265, 2)*I265, 2)</f>
        <v>0</v>
      </c>
      <c r="P265" s="21">
        <v>12.33</v>
      </c>
      <c r="S265" s="22">
        <f>ROUND(ROUND(P265, 2)*I265, 2)</f>
        <v>0</v>
      </c>
      <c r="V265" s="9">
        <f>ROUND(ROUND(P265, 2)/1.2, 2)</f>
        <v>10.28</v>
      </c>
      <c r="Y265" s="9">
        <f t="shared" si="18"/>
        <v>0</v>
      </c>
      <c r="AD265" s="4" t="s">
        <v>1093</v>
      </c>
      <c r="AE265" s="4" t="s">
        <v>1094</v>
      </c>
      <c r="AF265" s="4" t="s">
        <v>604</v>
      </c>
    </row>
    <row r="266" spans="1:35" ht="90" x14ac:dyDescent="0.3">
      <c r="A266" s="82" t="s">
        <v>1097</v>
      </c>
      <c r="B266" s="82"/>
      <c r="C266" s="90" t="s">
        <v>1098</v>
      </c>
      <c r="D266" s="84"/>
      <c r="E266" s="84" t="s">
        <v>1099</v>
      </c>
      <c r="F266" s="87" t="s">
        <v>64</v>
      </c>
      <c r="G266" s="88">
        <v>1.07</v>
      </c>
      <c r="H266" s="89"/>
      <c r="I266" s="89">
        <v>0</v>
      </c>
      <c r="J266" s="21">
        <v>1279.95</v>
      </c>
      <c r="M266" s="22">
        <f>ROUND(ROUND(J266, 2)*I266, 2)</f>
        <v>0</v>
      </c>
      <c r="P266" s="21">
        <v>637.79999999999995</v>
      </c>
      <c r="S266" s="22">
        <f>ROUND(ROUND(P266, 2)*I266, 2)</f>
        <v>0</v>
      </c>
      <c r="V266" s="9">
        <f>ROUND(ROUND(P266, 2)/1.2, 2)</f>
        <v>531.5</v>
      </c>
      <c r="Y266" s="9">
        <f t="shared" si="18"/>
        <v>0</v>
      </c>
      <c r="AD266" s="4" t="s">
        <v>1100</v>
      </c>
      <c r="AE266" s="4" t="s">
        <v>1101</v>
      </c>
      <c r="AF266" s="4" t="s">
        <v>1102</v>
      </c>
    </row>
    <row r="267" spans="1:35" ht="36" x14ac:dyDescent="0.3">
      <c r="A267" s="82" t="s">
        <v>1105</v>
      </c>
      <c r="B267" s="82"/>
      <c r="C267" s="86" t="s">
        <v>426</v>
      </c>
      <c r="D267" s="84"/>
      <c r="E267" s="84"/>
      <c r="F267" s="87" t="s">
        <v>70</v>
      </c>
      <c r="G267" s="88">
        <v>0.25</v>
      </c>
      <c r="H267" s="89"/>
      <c r="I267" s="89">
        <v>0</v>
      </c>
      <c r="J267" s="21">
        <v>40.270000000000003</v>
      </c>
      <c r="M267" s="22">
        <f>ROUND(ROUND(J267, 2)*I267, 2)</f>
        <v>0</v>
      </c>
      <c r="P267" s="21">
        <v>40.270000000000003</v>
      </c>
      <c r="S267" s="22">
        <f>ROUND(ROUND(P267, 2)*I267, 2)</f>
        <v>0</v>
      </c>
      <c r="V267" s="9">
        <f>ROUND(ROUND(P267, 2)/1.2, 2)</f>
        <v>33.56</v>
      </c>
      <c r="Y267" s="9">
        <f t="shared" si="18"/>
        <v>0</v>
      </c>
      <c r="AD267" s="4" t="s">
        <v>1106</v>
      </c>
      <c r="AE267" s="4" t="s">
        <v>1107</v>
      </c>
      <c r="AF267" s="4" t="s">
        <v>429</v>
      </c>
    </row>
    <row r="268" spans="1:35" ht="36" x14ac:dyDescent="0.3">
      <c r="A268" s="82" t="s">
        <v>1110</v>
      </c>
      <c r="B268" s="82"/>
      <c r="C268" s="86" t="s">
        <v>452</v>
      </c>
      <c r="D268" s="84"/>
      <c r="E268" s="84"/>
      <c r="F268" s="87" t="s">
        <v>70</v>
      </c>
      <c r="G268" s="88">
        <v>0.15</v>
      </c>
      <c r="H268" s="88"/>
      <c r="I268" s="88">
        <v>0</v>
      </c>
      <c r="J268" s="21">
        <v>68.400000000000006</v>
      </c>
      <c r="M268" s="22">
        <f>ROUND(ROUND(J268, 2)*I268, 2)</f>
        <v>0</v>
      </c>
      <c r="P268" s="21">
        <v>68.400000000000006</v>
      </c>
      <c r="S268" s="22">
        <f>ROUND(ROUND(P268, 2)*I268, 2)</f>
        <v>0</v>
      </c>
      <c r="V268" s="9">
        <f>ROUND(ROUND(P268, 2)/1.2, 2)</f>
        <v>57</v>
      </c>
      <c r="Y268" s="9">
        <f t="shared" si="18"/>
        <v>0</v>
      </c>
      <c r="AD268" s="4" t="s">
        <v>1111</v>
      </c>
      <c r="AE268" s="4" t="s">
        <v>1112</v>
      </c>
      <c r="AF268" s="4" t="s">
        <v>456</v>
      </c>
    </row>
    <row r="269" spans="1:35" ht="54" x14ac:dyDescent="0.3">
      <c r="A269" s="82" t="s">
        <v>1115</v>
      </c>
      <c r="B269" s="82" t="s">
        <v>1080</v>
      </c>
      <c r="C269" s="83" t="s">
        <v>1081</v>
      </c>
      <c r="D269" s="84"/>
      <c r="E269" s="84" t="s">
        <v>63</v>
      </c>
      <c r="F269" s="84" t="s">
        <v>64</v>
      </c>
      <c r="G269" s="85">
        <v>1</v>
      </c>
      <c r="H269" s="85"/>
      <c r="I269" s="85">
        <v>0</v>
      </c>
      <c r="J269" s="14">
        <f>IFERROR(ROUND(SUM(M270,M271,M272,M273,M274)/I269, 2),0)</f>
        <v>0</v>
      </c>
      <c r="K269" s="15">
        <v>1869</v>
      </c>
      <c r="L269" s="14">
        <f>J269+ROUND(K269, 2)</f>
        <v>1869</v>
      </c>
      <c r="M269" s="14">
        <f>ROUND(J269*I269, 2)</f>
        <v>0</v>
      </c>
      <c r="N269" s="14">
        <f>ROUND(I269*ROUND(K269, 2), 2)</f>
        <v>0</v>
      </c>
      <c r="O269" s="14">
        <f>M269+N269</f>
        <v>0</v>
      </c>
      <c r="P269" s="14">
        <f>IFERROR(ROUND(SUM(S270,S271,S272,S273,S274)/I269, 2),0)</f>
        <v>0</v>
      </c>
      <c r="Q269" s="15">
        <v>1869</v>
      </c>
      <c r="R269" s="14">
        <f>P269+ROUND(Q269, 2)</f>
        <v>1869</v>
      </c>
      <c r="S269" s="14">
        <f>ROUND(P269*I269, 2)</f>
        <v>0</v>
      </c>
      <c r="T269" s="14">
        <f>ROUND(I269*ROUND(Q269, 2), 2)</f>
        <v>0</v>
      </c>
      <c r="U269" s="14">
        <f>S269+T269</f>
        <v>0</v>
      </c>
      <c r="V269" s="9">
        <f>ROUND(P269 / 1.2, 2)</f>
        <v>0</v>
      </c>
      <c r="W269" s="9">
        <f>ROUND(Q269 / 1.2, 2)</f>
        <v>1557.5</v>
      </c>
      <c r="X269" s="9">
        <f>ROUND(R269 / 1.2, 2)</f>
        <v>1557.5</v>
      </c>
      <c r="Y269" s="9">
        <f t="shared" si="18"/>
        <v>0</v>
      </c>
      <c r="Z269" s="9">
        <f>ROUND(T269 / 1.2, 2)</f>
        <v>0</v>
      </c>
      <c r="AA269" s="9">
        <f>Y269+Z269</f>
        <v>0</v>
      </c>
      <c r="AD269" s="4">
        <v>271132191</v>
      </c>
      <c r="AE269" s="4">
        <v>16211622</v>
      </c>
      <c r="AG269" s="4" t="s">
        <v>1082</v>
      </c>
      <c r="AH269" s="4" t="s">
        <v>1083</v>
      </c>
      <c r="AI269" s="4" t="s">
        <v>67</v>
      </c>
    </row>
    <row r="270" spans="1:35" ht="36" x14ac:dyDescent="0.3">
      <c r="A270" s="82" t="s">
        <v>1117</v>
      </c>
      <c r="B270" s="82"/>
      <c r="C270" s="86" t="s">
        <v>452</v>
      </c>
      <c r="D270" s="84"/>
      <c r="E270" s="84"/>
      <c r="F270" s="87" t="s">
        <v>70</v>
      </c>
      <c r="G270" s="88">
        <v>0.15</v>
      </c>
      <c r="H270" s="88"/>
      <c r="I270" s="88">
        <v>0</v>
      </c>
      <c r="J270" s="21">
        <v>68.400000000000006</v>
      </c>
      <c r="M270" s="22">
        <f>ROUND(ROUND(J270, 2)*I270, 2)</f>
        <v>0</v>
      </c>
      <c r="P270" s="21">
        <v>68.400000000000006</v>
      </c>
      <c r="S270" s="22">
        <f>ROUND(ROUND(P270, 2)*I270, 2)</f>
        <v>0</v>
      </c>
      <c r="V270" s="9">
        <f>ROUND(ROUND(P270, 2)/1.2, 2)</f>
        <v>57</v>
      </c>
      <c r="Y270" s="9">
        <f t="shared" si="18"/>
        <v>0</v>
      </c>
      <c r="AD270" s="4" t="s">
        <v>1118</v>
      </c>
      <c r="AE270" s="4" t="s">
        <v>1119</v>
      </c>
      <c r="AF270" s="4" t="s">
        <v>456</v>
      </c>
    </row>
    <row r="271" spans="1:35" ht="18" x14ac:dyDescent="0.3">
      <c r="A271" s="82" t="s">
        <v>1122</v>
      </c>
      <c r="B271" s="82"/>
      <c r="C271" s="86" t="s">
        <v>1123</v>
      </c>
      <c r="D271" s="84"/>
      <c r="E271" s="84" t="s">
        <v>1124</v>
      </c>
      <c r="F271" s="87" t="s">
        <v>70</v>
      </c>
      <c r="G271" s="88">
        <v>0.25</v>
      </c>
      <c r="H271" s="89"/>
      <c r="I271" s="89">
        <v>0</v>
      </c>
      <c r="J271" s="21">
        <v>40.270000000000003</v>
      </c>
      <c r="M271" s="22">
        <f>ROUND(ROUND(J271, 2)*I271, 2)</f>
        <v>0</v>
      </c>
      <c r="P271" s="21">
        <v>40.270000000000003</v>
      </c>
      <c r="S271" s="22">
        <f>ROUND(ROUND(P271, 2)*I271, 2)</f>
        <v>0</v>
      </c>
      <c r="V271" s="9">
        <f>ROUND(ROUND(P271, 2)/1.2, 2)</f>
        <v>33.56</v>
      </c>
      <c r="Y271" s="9">
        <f t="shared" si="18"/>
        <v>0</v>
      </c>
      <c r="AD271" s="4" t="s">
        <v>1125</v>
      </c>
      <c r="AE271" s="4" t="s">
        <v>1126</v>
      </c>
      <c r="AF271" s="4" t="s">
        <v>1127</v>
      </c>
    </row>
    <row r="272" spans="1:35" ht="72" x14ac:dyDescent="0.3">
      <c r="A272" s="82" t="s">
        <v>1130</v>
      </c>
      <c r="B272" s="82"/>
      <c r="C272" s="86" t="s">
        <v>1131</v>
      </c>
      <c r="D272" s="84"/>
      <c r="E272" s="84" t="s">
        <v>1132</v>
      </c>
      <c r="F272" s="87" t="s">
        <v>64</v>
      </c>
      <c r="G272" s="88">
        <v>1.07</v>
      </c>
      <c r="H272" s="89"/>
      <c r="I272" s="89">
        <v>0</v>
      </c>
      <c r="J272" s="21">
        <v>1374.45</v>
      </c>
      <c r="M272" s="22">
        <f>ROUND(ROUND(J272, 2)*I272, 2)</f>
        <v>0</v>
      </c>
      <c r="P272" s="21">
        <v>837.4</v>
      </c>
      <c r="S272" s="22">
        <f>ROUND(ROUND(P272, 2)*I272, 2)</f>
        <v>0</v>
      </c>
      <c r="V272" s="9">
        <f>ROUND(ROUND(P272, 2)/1.2, 2)</f>
        <v>697.83</v>
      </c>
      <c r="Y272" s="9">
        <f t="shared" si="18"/>
        <v>0</v>
      </c>
      <c r="AD272" s="4" t="s">
        <v>1133</v>
      </c>
      <c r="AE272" s="4" t="s">
        <v>1134</v>
      </c>
      <c r="AF272" s="4" t="s">
        <v>1135</v>
      </c>
    </row>
    <row r="273" spans="1:35" ht="54" x14ac:dyDescent="0.3">
      <c r="A273" s="82" t="s">
        <v>1138</v>
      </c>
      <c r="B273" s="82"/>
      <c r="C273" s="90" t="s">
        <v>601</v>
      </c>
      <c r="D273" s="84"/>
      <c r="E273" s="84" t="s">
        <v>402</v>
      </c>
      <c r="F273" s="87" t="s">
        <v>70</v>
      </c>
      <c r="G273" s="88">
        <v>1.2</v>
      </c>
      <c r="H273" s="89"/>
      <c r="I273" s="89">
        <v>0</v>
      </c>
      <c r="J273" s="21">
        <v>12.33</v>
      </c>
      <c r="M273" s="22">
        <f>ROUND(ROUND(J273, 2)*I273, 2)</f>
        <v>0</v>
      </c>
      <c r="P273" s="21">
        <v>12.33</v>
      </c>
      <c r="S273" s="22">
        <f>ROUND(ROUND(P273, 2)*I273, 2)</f>
        <v>0</v>
      </c>
      <c r="V273" s="9">
        <f>ROUND(ROUND(P273, 2)/1.2, 2)</f>
        <v>10.28</v>
      </c>
      <c r="Y273" s="9">
        <f t="shared" si="18"/>
        <v>0</v>
      </c>
      <c r="AD273" s="4" t="s">
        <v>1139</v>
      </c>
      <c r="AE273" s="4" t="s">
        <v>1140</v>
      </c>
      <c r="AF273" s="4" t="s">
        <v>604</v>
      </c>
    </row>
    <row r="274" spans="1:35" ht="36" x14ac:dyDescent="0.3">
      <c r="A274" s="82" t="s">
        <v>1143</v>
      </c>
      <c r="B274" s="82"/>
      <c r="C274" s="86" t="s">
        <v>1086</v>
      </c>
      <c r="D274" s="84"/>
      <c r="E274" s="84"/>
      <c r="F274" s="87" t="s">
        <v>87</v>
      </c>
      <c r="G274" s="88">
        <v>0.23</v>
      </c>
      <c r="H274" s="89"/>
      <c r="I274" s="89">
        <v>0</v>
      </c>
      <c r="J274" s="21">
        <v>97.71</v>
      </c>
      <c r="M274" s="22">
        <f>ROUND(ROUND(J274, 2)*I274, 2)</f>
        <v>0</v>
      </c>
      <c r="P274" s="21">
        <v>97.71</v>
      </c>
      <c r="S274" s="22">
        <f>ROUND(ROUND(P274, 2)*I274, 2)</f>
        <v>0</v>
      </c>
      <c r="V274" s="9">
        <f>ROUND(ROUND(P274, 2)/1.2, 2)</f>
        <v>81.430000000000007</v>
      </c>
      <c r="Y274" s="9">
        <f t="shared" si="18"/>
        <v>0</v>
      </c>
      <c r="AD274" s="4" t="s">
        <v>1144</v>
      </c>
      <c r="AE274" s="4" t="s">
        <v>1145</v>
      </c>
      <c r="AF274" s="4" t="s">
        <v>1089</v>
      </c>
    </row>
    <row r="275" spans="1:35" ht="36" x14ac:dyDescent="0.3">
      <c r="A275" s="82" t="s">
        <v>1148</v>
      </c>
      <c r="B275" s="82" t="s">
        <v>1149</v>
      </c>
      <c r="C275" s="83" t="s">
        <v>1150</v>
      </c>
      <c r="D275" s="84"/>
      <c r="E275" s="84" t="s">
        <v>63</v>
      </c>
      <c r="F275" s="84" t="s">
        <v>64</v>
      </c>
      <c r="G275" s="85">
        <v>1</v>
      </c>
      <c r="H275" s="85"/>
      <c r="I275" s="85">
        <v>0</v>
      </c>
      <c r="J275" s="14">
        <f>IFERROR(ROUND(SUM(M276,M277)/I275, 2),0)</f>
        <v>0</v>
      </c>
      <c r="K275" s="15">
        <v>251</v>
      </c>
      <c r="L275" s="14">
        <f>J275+ROUND(K275, 2)</f>
        <v>251</v>
      </c>
      <c r="M275" s="14">
        <f>ROUND(J275*I275, 2)</f>
        <v>0</v>
      </c>
      <c r="N275" s="14">
        <f>ROUND(I275*ROUND(K275, 2), 2)</f>
        <v>0</v>
      </c>
      <c r="O275" s="14">
        <f>M275+N275</f>
        <v>0</v>
      </c>
      <c r="P275" s="14">
        <f>IFERROR(ROUND(SUM(S276,S277)/I275, 2),0)</f>
        <v>0</v>
      </c>
      <c r="Q275" s="15">
        <v>251</v>
      </c>
      <c r="R275" s="14">
        <f>P275+ROUND(Q275, 2)</f>
        <v>251</v>
      </c>
      <c r="S275" s="14">
        <f>ROUND(P275*I275, 2)</f>
        <v>0</v>
      </c>
      <c r="T275" s="14">
        <f>ROUND(I275*ROUND(Q275, 2), 2)</f>
        <v>0</v>
      </c>
      <c r="U275" s="14">
        <f>S275+T275</f>
        <v>0</v>
      </c>
      <c r="V275" s="9">
        <f>ROUND(P275 / 1.2, 2)</f>
        <v>0</v>
      </c>
      <c r="W275" s="9">
        <f>ROUND(Q275 / 1.2, 2)</f>
        <v>209.17</v>
      </c>
      <c r="X275" s="9">
        <f>ROUND(R275 / 1.2, 2)</f>
        <v>209.17</v>
      </c>
      <c r="Y275" s="9">
        <f t="shared" si="18"/>
        <v>0</v>
      </c>
      <c r="Z275" s="9">
        <f>ROUND(T275 / 1.2, 2)</f>
        <v>0</v>
      </c>
      <c r="AA275" s="9">
        <f>Y275+Z275</f>
        <v>0</v>
      </c>
      <c r="AD275" s="4">
        <v>271132113</v>
      </c>
      <c r="AE275" s="4">
        <v>16211512</v>
      </c>
      <c r="AG275" s="4" t="s">
        <v>1151</v>
      </c>
      <c r="AH275" s="4" t="s">
        <v>1152</v>
      </c>
      <c r="AI275" s="4" t="s">
        <v>67</v>
      </c>
    </row>
    <row r="276" spans="1:35" ht="36" x14ac:dyDescent="0.3">
      <c r="A276" s="82" t="s">
        <v>1154</v>
      </c>
      <c r="B276" s="82"/>
      <c r="C276" s="86" t="s">
        <v>433</v>
      </c>
      <c r="D276" s="84"/>
      <c r="E276" s="84"/>
      <c r="F276" s="87" t="s">
        <v>70</v>
      </c>
      <c r="G276" s="88">
        <v>0.15</v>
      </c>
      <c r="H276" s="88"/>
      <c r="I276" s="88">
        <v>0</v>
      </c>
      <c r="J276" s="21">
        <v>88.8</v>
      </c>
      <c r="M276" s="22">
        <f>ROUND(ROUND(J276, 2)*I276, 2)</f>
        <v>0</v>
      </c>
      <c r="P276" s="21">
        <v>88.8</v>
      </c>
      <c r="S276" s="22">
        <f>ROUND(ROUND(P276, 2)*I276, 2)</f>
        <v>0</v>
      </c>
      <c r="V276" s="9">
        <f>ROUND(ROUND(P276, 2)/1.2, 2)</f>
        <v>74</v>
      </c>
      <c r="Y276" s="9">
        <f t="shared" si="18"/>
        <v>0</v>
      </c>
      <c r="AD276" s="4" t="s">
        <v>1155</v>
      </c>
      <c r="AE276" s="4" t="s">
        <v>1156</v>
      </c>
      <c r="AF276" s="4" t="s">
        <v>436</v>
      </c>
    </row>
    <row r="277" spans="1:35" ht="90" x14ac:dyDescent="0.3">
      <c r="A277" s="82" t="s">
        <v>1159</v>
      </c>
      <c r="B277" s="82"/>
      <c r="C277" s="86" t="s">
        <v>1160</v>
      </c>
      <c r="D277" s="84"/>
      <c r="E277" s="84" t="s">
        <v>1161</v>
      </c>
      <c r="F277" s="87" t="s">
        <v>70</v>
      </c>
      <c r="G277" s="88">
        <v>0.3</v>
      </c>
      <c r="H277" s="88"/>
      <c r="I277" s="88">
        <v>0</v>
      </c>
      <c r="J277" s="21">
        <v>252.47</v>
      </c>
      <c r="M277" s="22">
        <f>ROUND(ROUND(J277, 2)*I277, 2)</f>
        <v>0</v>
      </c>
      <c r="P277" s="21">
        <v>252.47</v>
      </c>
      <c r="S277" s="22">
        <f>ROUND(ROUND(P277, 2)*I277, 2)</f>
        <v>0</v>
      </c>
      <c r="V277" s="9">
        <f>ROUND(ROUND(P277, 2)/1.2, 2)</f>
        <v>210.39</v>
      </c>
      <c r="Y277" s="9">
        <f t="shared" si="18"/>
        <v>0</v>
      </c>
      <c r="AD277" s="4" t="s">
        <v>1162</v>
      </c>
      <c r="AE277" s="4" t="s">
        <v>1163</v>
      </c>
      <c r="AF277" s="4" t="s">
        <v>1164</v>
      </c>
    </row>
    <row r="278" spans="1:35" ht="36" x14ac:dyDescent="0.3">
      <c r="A278" s="82" t="s">
        <v>1167</v>
      </c>
      <c r="B278" s="82" t="s">
        <v>1149</v>
      </c>
      <c r="C278" s="83" t="s">
        <v>1150</v>
      </c>
      <c r="D278" s="84"/>
      <c r="E278" s="84" t="s">
        <v>63</v>
      </c>
      <c r="F278" s="84" t="s">
        <v>64</v>
      </c>
      <c r="G278" s="85">
        <v>1</v>
      </c>
      <c r="H278" s="85"/>
      <c r="I278" s="85">
        <v>0</v>
      </c>
      <c r="J278" s="14">
        <f>IFERROR(ROUND(SUM(M279,M280)/I278, 2),0)</f>
        <v>0</v>
      </c>
      <c r="K278" s="15">
        <v>251</v>
      </c>
      <c r="L278" s="14">
        <f>J278+ROUND(K278, 2)</f>
        <v>251</v>
      </c>
      <c r="M278" s="14">
        <f>ROUND(J278*I278, 2)</f>
        <v>0</v>
      </c>
      <c r="N278" s="14">
        <f>ROUND(I278*ROUND(K278, 2), 2)</f>
        <v>0</v>
      </c>
      <c r="O278" s="14">
        <f>M278+N278</f>
        <v>0</v>
      </c>
      <c r="P278" s="14">
        <f>IFERROR(ROUND(SUM(S279,S280)/I278, 2),0)</f>
        <v>0</v>
      </c>
      <c r="Q278" s="15">
        <v>251</v>
      </c>
      <c r="R278" s="14">
        <f>P278+ROUND(Q278, 2)</f>
        <v>251</v>
      </c>
      <c r="S278" s="14">
        <f>ROUND(P278*I278, 2)</f>
        <v>0</v>
      </c>
      <c r="T278" s="14">
        <f>ROUND(I278*ROUND(Q278, 2), 2)</f>
        <v>0</v>
      </c>
      <c r="U278" s="14">
        <f>S278+T278</f>
        <v>0</v>
      </c>
      <c r="V278" s="9">
        <f>ROUND(P278 / 1.2, 2)</f>
        <v>0</v>
      </c>
      <c r="W278" s="9">
        <f>ROUND(Q278 / 1.2, 2)</f>
        <v>209.17</v>
      </c>
      <c r="X278" s="9">
        <f>ROUND(R278 / 1.2, 2)</f>
        <v>209.17</v>
      </c>
      <c r="Y278" s="9">
        <f t="shared" si="18"/>
        <v>0</v>
      </c>
      <c r="Z278" s="9">
        <f>ROUND(T278 / 1.2, 2)</f>
        <v>0</v>
      </c>
      <c r="AA278" s="9">
        <f>Y278+Z278</f>
        <v>0</v>
      </c>
      <c r="AD278" s="4">
        <v>271132192</v>
      </c>
      <c r="AE278" s="4">
        <v>16211513</v>
      </c>
      <c r="AG278" s="4" t="s">
        <v>1151</v>
      </c>
      <c r="AH278" s="4" t="s">
        <v>1152</v>
      </c>
      <c r="AI278" s="4" t="s">
        <v>67</v>
      </c>
    </row>
    <row r="279" spans="1:35" ht="90" x14ac:dyDescent="0.3">
      <c r="A279" s="82" t="s">
        <v>1169</v>
      </c>
      <c r="B279" s="82"/>
      <c r="C279" s="86" t="s">
        <v>1170</v>
      </c>
      <c r="D279" s="84"/>
      <c r="E279" s="84" t="s">
        <v>1171</v>
      </c>
      <c r="F279" s="87" t="s">
        <v>70</v>
      </c>
      <c r="G279" s="88">
        <v>0.3</v>
      </c>
      <c r="H279" s="88"/>
      <c r="I279" s="88">
        <v>0</v>
      </c>
      <c r="J279" s="21">
        <v>388.89</v>
      </c>
      <c r="M279" s="22">
        <f>ROUND(ROUND(J279, 2)*I279, 2)</f>
        <v>0</v>
      </c>
      <c r="P279" s="21">
        <v>388.89</v>
      </c>
      <c r="S279" s="22">
        <f>ROUND(ROUND(P279, 2)*I279, 2)</f>
        <v>0</v>
      </c>
      <c r="V279" s="9">
        <f>ROUND(ROUND(P279, 2)/1.2, 2)</f>
        <v>324.08</v>
      </c>
      <c r="Y279" s="9">
        <f t="shared" si="18"/>
        <v>0</v>
      </c>
      <c r="AD279" s="4" t="s">
        <v>1172</v>
      </c>
      <c r="AE279" s="4" t="s">
        <v>1173</v>
      </c>
      <c r="AF279" s="4" t="s">
        <v>1174</v>
      </c>
    </row>
    <row r="280" spans="1:35" ht="36" x14ac:dyDescent="0.3">
      <c r="A280" s="82" t="s">
        <v>1177</v>
      </c>
      <c r="B280" s="82"/>
      <c r="C280" s="86" t="s">
        <v>433</v>
      </c>
      <c r="D280" s="84"/>
      <c r="E280" s="84"/>
      <c r="F280" s="87" t="s">
        <v>70</v>
      </c>
      <c r="G280" s="88">
        <v>0.15</v>
      </c>
      <c r="H280" s="88"/>
      <c r="I280" s="88">
        <v>0</v>
      </c>
      <c r="J280" s="21">
        <v>88.8</v>
      </c>
      <c r="M280" s="22">
        <f>ROUND(ROUND(J280, 2)*I280, 2)</f>
        <v>0</v>
      </c>
      <c r="P280" s="21">
        <v>88.8</v>
      </c>
      <c r="S280" s="22">
        <f>ROUND(ROUND(P280, 2)*I280, 2)</f>
        <v>0</v>
      </c>
      <c r="V280" s="9">
        <f>ROUND(ROUND(P280, 2)/1.2, 2)</f>
        <v>74</v>
      </c>
      <c r="Y280" s="9">
        <f t="shared" si="18"/>
        <v>0</v>
      </c>
      <c r="AD280" s="4" t="s">
        <v>1178</v>
      </c>
      <c r="AE280" s="4" t="s">
        <v>1179</v>
      </c>
      <c r="AF280" s="4" t="s">
        <v>436</v>
      </c>
    </row>
    <row r="281" spans="1:35" ht="36" x14ac:dyDescent="0.3">
      <c r="A281" s="82" t="s">
        <v>1182</v>
      </c>
      <c r="B281" s="82" t="s">
        <v>1149</v>
      </c>
      <c r="C281" s="83" t="s">
        <v>1150</v>
      </c>
      <c r="D281" s="84"/>
      <c r="E281" s="84" t="s">
        <v>63</v>
      </c>
      <c r="F281" s="84" t="s">
        <v>64</v>
      </c>
      <c r="G281" s="85">
        <v>1</v>
      </c>
      <c r="H281" s="85"/>
      <c r="I281" s="85">
        <v>0</v>
      </c>
      <c r="J281" s="14">
        <f>IFERROR(ROUND(SUM(M282,M283)/I281, 2),0)</f>
        <v>0</v>
      </c>
      <c r="K281" s="15">
        <v>251</v>
      </c>
      <c r="L281" s="14">
        <f>J281+ROUND(K281, 2)</f>
        <v>251</v>
      </c>
      <c r="M281" s="14">
        <f>ROUND(J281*I281, 2)</f>
        <v>0</v>
      </c>
      <c r="N281" s="14">
        <f>ROUND(I281*ROUND(K281, 2), 2)</f>
        <v>0</v>
      </c>
      <c r="O281" s="14">
        <f>M281+N281</f>
        <v>0</v>
      </c>
      <c r="P281" s="14">
        <f>IFERROR(ROUND(SUM(S282,S283)/I281, 2),0)</f>
        <v>0</v>
      </c>
      <c r="Q281" s="15">
        <v>251</v>
      </c>
      <c r="R281" s="14">
        <f>P281+ROUND(Q281, 2)</f>
        <v>251</v>
      </c>
      <c r="S281" s="14">
        <f>ROUND(P281*I281, 2)</f>
        <v>0</v>
      </c>
      <c r="T281" s="14">
        <f>ROUND(I281*ROUND(Q281, 2), 2)</f>
        <v>0</v>
      </c>
      <c r="U281" s="14">
        <f>S281+T281</f>
        <v>0</v>
      </c>
      <c r="V281" s="9">
        <f>ROUND(P281 / 1.2, 2)</f>
        <v>0</v>
      </c>
      <c r="W281" s="9">
        <f>ROUND(Q281 / 1.2, 2)</f>
        <v>209.17</v>
      </c>
      <c r="X281" s="9">
        <f>ROUND(R281 / 1.2, 2)</f>
        <v>209.17</v>
      </c>
      <c r="Y281" s="9">
        <f t="shared" si="18"/>
        <v>0</v>
      </c>
      <c r="Z281" s="9">
        <f>ROUND(T281 / 1.2, 2)</f>
        <v>0</v>
      </c>
      <c r="AA281" s="9">
        <f>Y281+Z281</f>
        <v>0</v>
      </c>
      <c r="AD281" s="4">
        <v>271132193</v>
      </c>
      <c r="AE281" s="4">
        <v>16211514</v>
      </c>
      <c r="AG281" s="4" t="s">
        <v>1151</v>
      </c>
      <c r="AH281" s="4" t="s">
        <v>1152</v>
      </c>
      <c r="AI281" s="4" t="s">
        <v>67</v>
      </c>
    </row>
    <row r="282" spans="1:35" ht="54" x14ac:dyDescent="0.3">
      <c r="A282" s="82" t="s">
        <v>1184</v>
      </c>
      <c r="B282" s="82"/>
      <c r="C282" s="86" t="s">
        <v>1185</v>
      </c>
      <c r="D282" s="84"/>
      <c r="E282" s="84" t="s">
        <v>1186</v>
      </c>
      <c r="F282" s="87" t="s">
        <v>70</v>
      </c>
      <c r="G282" s="88">
        <v>0.3</v>
      </c>
      <c r="H282" s="88"/>
      <c r="I282" s="88">
        <v>0</v>
      </c>
      <c r="J282" s="21">
        <v>0</v>
      </c>
      <c r="M282" s="22">
        <f>ROUND(ROUND(J282, 2)*I282, 2)</f>
        <v>0</v>
      </c>
      <c r="P282" s="21">
        <v>0</v>
      </c>
      <c r="S282" s="22">
        <f>ROUND(ROUND(P282, 2)*I282, 2)</f>
        <v>0</v>
      </c>
      <c r="V282" s="9">
        <f>ROUND(ROUND(P282, 2)/1.2, 2)</f>
        <v>0</v>
      </c>
      <c r="Y282" s="9">
        <f t="shared" si="18"/>
        <v>0</v>
      </c>
      <c r="AD282" s="4" t="s">
        <v>1187</v>
      </c>
      <c r="AE282" s="4" t="s">
        <v>1188</v>
      </c>
      <c r="AF282" s="4" t="s">
        <v>1189</v>
      </c>
    </row>
    <row r="283" spans="1:35" ht="36" x14ac:dyDescent="0.3">
      <c r="A283" s="82" t="s">
        <v>1192</v>
      </c>
      <c r="B283" s="82"/>
      <c r="C283" s="86" t="s">
        <v>433</v>
      </c>
      <c r="D283" s="84"/>
      <c r="E283" s="84"/>
      <c r="F283" s="87" t="s">
        <v>70</v>
      </c>
      <c r="G283" s="88">
        <v>0.15</v>
      </c>
      <c r="H283" s="88"/>
      <c r="I283" s="88">
        <v>0</v>
      </c>
      <c r="J283" s="21">
        <v>88.8</v>
      </c>
      <c r="M283" s="22">
        <f>ROUND(ROUND(J283, 2)*I283, 2)</f>
        <v>0</v>
      </c>
      <c r="P283" s="21">
        <v>88.8</v>
      </c>
      <c r="S283" s="22">
        <f>ROUND(ROUND(P283, 2)*I283, 2)</f>
        <v>0</v>
      </c>
      <c r="V283" s="9">
        <f>ROUND(ROUND(P283, 2)/1.2, 2)</f>
        <v>74</v>
      </c>
      <c r="Y283" s="9">
        <f t="shared" si="18"/>
        <v>0</v>
      </c>
      <c r="AD283" s="4" t="s">
        <v>1193</v>
      </c>
      <c r="AE283" s="4" t="s">
        <v>1194</v>
      </c>
      <c r="AF283" s="4" t="s">
        <v>436</v>
      </c>
    </row>
    <row r="284" spans="1:35" ht="36" x14ac:dyDescent="0.3">
      <c r="A284" s="82" t="s">
        <v>1197</v>
      </c>
      <c r="B284" s="82" t="s">
        <v>1149</v>
      </c>
      <c r="C284" s="83" t="s">
        <v>1150</v>
      </c>
      <c r="D284" s="84"/>
      <c r="E284" s="84" t="s">
        <v>63</v>
      </c>
      <c r="F284" s="84" t="s">
        <v>64</v>
      </c>
      <c r="G284" s="85">
        <v>1</v>
      </c>
      <c r="H284" s="85"/>
      <c r="I284" s="85">
        <v>0</v>
      </c>
      <c r="J284" s="14">
        <f>IFERROR(ROUND(SUM(M285,M286)/I284, 2),0)</f>
        <v>0</v>
      </c>
      <c r="K284" s="15">
        <v>251</v>
      </c>
      <c r="L284" s="14">
        <f>J284+ROUND(K284, 2)</f>
        <v>251</v>
      </c>
      <c r="M284" s="14">
        <f>ROUND(J284*I284, 2)</f>
        <v>0</v>
      </c>
      <c r="N284" s="14">
        <f>ROUND(I284*ROUND(K284, 2), 2)</f>
        <v>0</v>
      </c>
      <c r="O284" s="14">
        <f>M284+N284</f>
        <v>0</v>
      </c>
      <c r="P284" s="14">
        <f>IFERROR(ROUND(SUM(S285,S286)/I284, 2),0)</f>
        <v>0</v>
      </c>
      <c r="Q284" s="15">
        <v>251</v>
      </c>
      <c r="R284" s="14">
        <f>P284+ROUND(Q284, 2)</f>
        <v>251</v>
      </c>
      <c r="S284" s="14">
        <f>ROUND(P284*I284, 2)</f>
        <v>0</v>
      </c>
      <c r="T284" s="14">
        <f>ROUND(I284*ROUND(Q284, 2), 2)</f>
        <v>0</v>
      </c>
      <c r="U284" s="14">
        <f>S284+T284</f>
        <v>0</v>
      </c>
      <c r="V284" s="9">
        <f>ROUND(P284 / 1.2, 2)</f>
        <v>0</v>
      </c>
      <c r="W284" s="9">
        <f>ROUND(Q284 / 1.2, 2)</f>
        <v>209.17</v>
      </c>
      <c r="X284" s="9">
        <f>ROUND(R284 / 1.2, 2)</f>
        <v>209.17</v>
      </c>
      <c r="Y284" s="9">
        <f t="shared" si="18"/>
        <v>0</v>
      </c>
      <c r="Z284" s="9">
        <f>ROUND(T284 / 1.2, 2)</f>
        <v>0</v>
      </c>
      <c r="AA284" s="9">
        <f>Y284+Z284</f>
        <v>0</v>
      </c>
      <c r="AD284" s="4">
        <v>271132194</v>
      </c>
      <c r="AE284" s="4">
        <v>16211515</v>
      </c>
      <c r="AG284" s="4" t="s">
        <v>1151</v>
      </c>
      <c r="AH284" s="4" t="s">
        <v>1152</v>
      </c>
      <c r="AI284" s="4" t="s">
        <v>67</v>
      </c>
    </row>
    <row r="285" spans="1:35" ht="90" x14ac:dyDescent="0.3">
      <c r="A285" s="82" t="s">
        <v>1199</v>
      </c>
      <c r="B285" s="82"/>
      <c r="C285" s="86" t="s">
        <v>1170</v>
      </c>
      <c r="D285" s="84"/>
      <c r="E285" s="84" t="s">
        <v>1200</v>
      </c>
      <c r="F285" s="87" t="s">
        <v>70</v>
      </c>
      <c r="G285" s="88">
        <v>0.3</v>
      </c>
      <c r="H285" s="88"/>
      <c r="I285" s="88">
        <v>0</v>
      </c>
      <c r="J285" s="21">
        <v>388.89</v>
      </c>
      <c r="M285" s="22">
        <f>ROUND(ROUND(J285, 2)*I285, 2)</f>
        <v>0</v>
      </c>
      <c r="P285" s="21">
        <v>388.89</v>
      </c>
      <c r="S285" s="22">
        <f>ROUND(ROUND(P285, 2)*I285, 2)</f>
        <v>0</v>
      </c>
      <c r="V285" s="9">
        <f>ROUND(ROUND(P285, 2)/1.2, 2)</f>
        <v>324.08</v>
      </c>
      <c r="Y285" s="9">
        <f t="shared" si="18"/>
        <v>0</v>
      </c>
      <c r="AD285" s="4" t="s">
        <v>1201</v>
      </c>
      <c r="AE285" s="4" t="s">
        <v>1202</v>
      </c>
      <c r="AF285" s="4" t="s">
        <v>1174</v>
      </c>
    </row>
    <row r="286" spans="1:35" ht="36" x14ac:dyDescent="0.3">
      <c r="A286" s="82" t="s">
        <v>1205</v>
      </c>
      <c r="B286" s="82"/>
      <c r="C286" s="86" t="s">
        <v>433</v>
      </c>
      <c r="D286" s="84"/>
      <c r="E286" s="84"/>
      <c r="F286" s="87" t="s">
        <v>70</v>
      </c>
      <c r="G286" s="88">
        <v>0.15</v>
      </c>
      <c r="H286" s="88"/>
      <c r="I286" s="88">
        <v>0</v>
      </c>
      <c r="J286" s="21">
        <v>88.8</v>
      </c>
      <c r="M286" s="22">
        <f>ROUND(ROUND(J286, 2)*I286, 2)</f>
        <v>0</v>
      </c>
      <c r="P286" s="21">
        <v>88.8</v>
      </c>
      <c r="S286" s="22">
        <f>ROUND(ROUND(P286, 2)*I286, 2)</f>
        <v>0</v>
      </c>
      <c r="V286" s="9">
        <f>ROUND(ROUND(P286, 2)/1.2, 2)</f>
        <v>74</v>
      </c>
      <c r="Y286" s="9">
        <f t="shared" si="18"/>
        <v>0</v>
      </c>
      <c r="AD286" s="4" t="s">
        <v>1206</v>
      </c>
      <c r="AE286" s="4" t="s">
        <v>1207</v>
      </c>
      <c r="AF286" s="4" t="s">
        <v>436</v>
      </c>
    </row>
    <row r="287" spans="1:35" ht="36" x14ac:dyDescent="0.3">
      <c r="A287" s="82" t="s">
        <v>1210</v>
      </c>
      <c r="B287" s="82" t="s">
        <v>1149</v>
      </c>
      <c r="C287" s="83" t="s">
        <v>1150</v>
      </c>
      <c r="D287" s="84"/>
      <c r="E287" s="84" t="s">
        <v>63</v>
      </c>
      <c r="F287" s="84" t="s">
        <v>64</v>
      </c>
      <c r="G287" s="85">
        <v>1</v>
      </c>
      <c r="H287" s="85"/>
      <c r="I287" s="85">
        <v>0</v>
      </c>
      <c r="J287" s="14">
        <f>IFERROR(ROUND(SUM(M288,M289)/I287, 2),0)</f>
        <v>0</v>
      </c>
      <c r="K287" s="15">
        <v>251</v>
      </c>
      <c r="L287" s="14">
        <f>J287+ROUND(K287, 2)</f>
        <v>251</v>
      </c>
      <c r="M287" s="14">
        <f>ROUND(J287*I287, 2)</f>
        <v>0</v>
      </c>
      <c r="N287" s="14">
        <f>ROUND(I287*ROUND(K287, 2), 2)</f>
        <v>0</v>
      </c>
      <c r="O287" s="14">
        <f>M287+N287</f>
        <v>0</v>
      </c>
      <c r="P287" s="14">
        <f>IFERROR(ROUND(SUM(S288,S289)/I287, 2),0)</f>
        <v>0</v>
      </c>
      <c r="Q287" s="15">
        <v>251</v>
      </c>
      <c r="R287" s="14">
        <f>P287+ROUND(Q287, 2)</f>
        <v>251</v>
      </c>
      <c r="S287" s="14">
        <f>ROUND(P287*I287, 2)</f>
        <v>0</v>
      </c>
      <c r="T287" s="14">
        <f>ROUND(I287*ROUND(Q287, 2), 2)</f>
        <v>0</v>
      </c>
      <c r="U287" s="14">
        <f>S287+T287</f>
        <v>0</v>
      </c>
      <c r="V287" s="9">
        <f>ROUND(P287 / 1.2, 2)</f>
        <v>0</v>
      </c>
      <c r="W287" s="9">
        <f>ROUND(Q287 / 1.2, 2)</f>
        <v>209.17</v>
      </c>
      <c r="X287" s="9">
        <f>ROUND(R287 / 1.2, 2)</f>
        <v>209.17</v>
      </c>
      <c r="Y287" s="9">
        <f t="shared" si="18"/>
        <v>0</v>
      </c>
      <c r="Z287" s="9">
        <f>ROUND(T287 / 1.2, 2)</f>
        <v>0</v>
      </c>
      <c r="AA287" s="9">
        <f>Y287+Z287</f>
        <v>0</v>
      </c>
      <c r="AD287" s="4">
        <v>271132195</v>
      </c>
      <c r="AE287" s="4">
        <v>16211516</v>
      </c>
      <c r="AG287" s="4" t="s">
        <v>1151</v>
      </c>
      <c r="AH287" s="4" t="s">
        <v>1152</v>
      </c>
      <c r="AI287" s="4" t="s">
        <v>67</v>
      </c>
    </row>
    <row r="288" spans="1:35" ht="90" x14ac:dyDescent="0.3">
      <c r="A288" s="82" t="s">
        <v>1212</v>
      </c>
      <c r="B288" s="82"/>
      <c r="C288" s="86" t="s">
        <v>1170</v>
      </c>
      <c r="D288" s="84"/>
      <c r="E288" s="84" t="s">
        <v>1213</v>
      </c>
      <c r="F288" s="87" t="s">
        <v>70</v>
      </c>
      <c r="G288" s="88">
        <v>0.3</v>
      </c>
      <c r="H288" s="88"/>
      <c r="I288" s="88">
        <v>0</v>
      </c>
      <c r="J288" s="21">
        <v>388.89</v>
      </c>
      <c r="M288" s="22">
        <f>ROUND(ROUND(J288, 2)*I288, 2)</f>
        <v>0</v>
      </c>
      <c r="P288" s="21">
        <v>388.89</v>
      </c>
      <c r="S288" s="22">
        <f>ROUND(ROUND(P288, 2)*I288, 2)</f>
        <v>0</v>
      </c>
      <c r="V288" s="9">
        <f>ROUND(ROUND(P288, 2)/1.2, 2)</f>
        <v>324.08</v>
      </c>
      <c r="Y288" s="9">
        <f t="shared" si="18"/>
        <v>0</v>
      </c>
      <c r="AD288" s="4" t="s">
        <v>1214</v>
      </c>
      <c r="AE288" s="4" t="s">
        <v>1215</v>
      </c>
      <c r="AF288" s="4" t="s">
        <v>1174</v>
      </c>
    </row>
    <row r="289" spans="1:35" ht="36" x14ac:dyDescent="0.3">
      <c r="A289" s="82" t="s">
        <v>1218</v>
      </c>
      <c r="B289" s="82"/>
      <c r="C289" s="86" t="s">
        <v>433</v>
      </c>
      <c r="D289" s="84"/>
      <c r="E289" s="84"/>
      <c r="F289" s="87" t="s">
        <v>70</v>
      </c>
      <c r="G289" s="88">
        <v>0.15</v>
      </c>
      <c r="H289" s="88"/>
      <c r="I289" s="88">
        <v>0</v>
      </c>
      <c r="J289" s="21">
        <v>88.8</v>
      </c>
      <c r="M289" s="22">
        <f>ROUND(ROUND(J289, 2)*I289, 2)</f>
        <v>0</v>
      </c>
      <c r="P289" s="21">
        <v>88.8</v>
      </c>
      <c r="S289" s="22">
        <f>ROUND(ROUND(P289, 2)*I289, 2)</f>
        <v>0</v>
      </c>
      <c r="V289" s="9">
        <f>ROUND(ROUND(P289, 2)/1.2, 2)</f>
        <v>74</v>
      </c>
      <c r="Y289" s="9">
        <f t="shared" si="18"/>
        <v>0</v>
      </c>
      <c r="AD289" s="4" t="s">
        <v>1219</v>
      </c>
      <c r="AE289" s="4" t="s">
        <v>1220</v>
      </c>
      <c r="AF289" s="4" t="s">
        <v>436</v>
      </c>
    </row>
    <row r="290" spans="1:35" ht="36" x14ac:dyDescent="0.3">
      <c r="A290" s="82" t="s">
        <v>1223</v>
      </c>
      <c r="B290" s="82" t="s">
        <v>1149</v>
      </c>
      <c r="C290" s="83" t="s">
        <v>1150</v>
      </c>
      <c r="D290" s="84"/>
      <c r="E290" s="84" t="s">
        <v>63</v>
      </c>
      <c r="F290" s="84" t="s">
        <v>64</v>
      </c>
      <c r="G290" s="85">
        <v>1</v>
      </c>
      <c r="H290" s="85"/>
      <c r="I290" s="85">
        <v>0</v>
      </c>
      <c r="J290" s="14">
        <f>IFERROR(ROUND(SUM(M291,M292)/I290, 2),0)</f>
        <v>0</v>
      </c>
      <c r="K290" s="15">
        <v>251</v>
      </c>
      <c r="L290" s="14">
        <f>J290+ROUND(K290, 2)</f>
        <v>251</v>
      </c>
      <c r="M290" s="14">
        <f>ROUND(J290*I290, 2)</f>
        <v>0</v>
      </c>
      <c r="N290" s="14">
        <f>ROUND(I290*ROUND(K290, 2), 2)</f>
        <v>0</v>
      </c>
      <c r="O290" s="14">
        <f>M290+N290</f>
        <v>0</v>
      </c>
      <c r="P290" s="14">
        <f>IFERROR(ROUND(SUM(S291,S292)/I290, 2),0)</f>
        <v>0</v>
      </c>
      <c r="Q290" s="15">
        <v>251</v>
      </c>
      <c r="R290" s="14">
        <f>P290+ROUND(Q290, 2)</f>
        <v>251</v>
      </c>
      <c r="S290" s="14">
        <f>ROUND(P290*I290, 2)</f>
        <v>0</v>
      </c>
      <c r="T290" s="14">
        <f>ROUND(I290*ROUND(Q290, 2), 2)</f>
        <v>0</v>
      </c>
      <c r="U290" s="14">
        <f>S290+T290</f>
        <v>0</v>
      </c>
      <c r="V290" s="9">
        <f>ROUND(P290 / 1.2, 2)</f>
        <v>0</v>
      </c>
      <c r="W290" s="9">
        <f>ROUND(Q290 / 1.2, 2)</f>
        <v>209.17</v>
      </c>
      <c r="X290" s="9">
        <f>ROUND(R290 / 1.2, 2)</f>
        <v>209.17</v>
      </c>
      <c r="Y290" s="9">
        <f t="shared" si="18"/>
        <v>0</v>
      </c>
      <c r="Z290" s="9">
        <f>ROUND(T290 / 1.2, 2)</f>
        <v>0</v>
      </c>
      <c r="AA290" s="9">
        <f>Y290+Z290</f>
        <v>0</v>
      </c>
      <c r="AD290" s="4">
        <v>271132196</v>
      </c>
      <c r="AE290" s="4">
        <v>16211517</v>
      </c>
      <c r="AG290" s="4" t="s">
        <v>1151</v>
      </c>
      <c r="AH290" s="4" t="s">
        <v>1152</v>
      </c>
      <c r="AI290" s="4" t="s">
        <v>67</v>
      </c>
    </row>
    <row r="291" spans="1:35" ht="90" x14ac:dyDescent="0.3">
      <c r="A291" s="82" t="s">
        <v>1225</v>
      </c>
      <c r="B291" s="82"/>
      <c r="C291" s="86" t="s">
        <v>1170</v>
      </c>
      <c r="D291" s="84"/>
      <c r="E291" s="84" t="s">
        <v>1226</v>
      </c>
      <c r="F291" s="87" t="s">
        <v>70</v>
      </c>
      <c r="G291" s="88">
        <v>0.3</v>
      </c>
      <c r="H291" s="88"/>
      <c r="I291" s="88">
        <v>0</v>
      </c>
      <c r="J291" s="21">
        <v>388.89</v>
      </c>
      <c r="M291" s="22">
        <f>ROUND(ROUND(J291, 2)*I291, 2)</f>
        <v>0</v>
      </c>
      <c r="P291" s="21">
        <v>388.89</v>
      </c>
      <c r="S291" s="22">
        <f>ROUND(ROUND(P291, 2)*I291, 2)</f>
        <v>0</v>
      </c>
      <c r="V291" s="9">
        <f>ROUND(ROUND(P291, 2)/1.2, 2)</f>
        <v>324.08</v>
      </c>
      <c r="Y291" s="9">
        <f t="shared" si="18"/>
        <v>0</v>
      </c>
      <c r="AD291" s="4" t="s">
        <v>1227</v>
      </c>
      <c r="AE291" s="4" t="s">
        <v>1228</v>
      </c>
      <c r="AF291" s="4" t="s">
        <v>1174</v>
      </c>
    </row>
    <row r="292" spans="1:35" ht="36" x14ac:dyDescent="0.3">
      <c r="A292" s="82" t="s">
        <v>1231</v>
      </c>
      <c r="B292" s="82"/>
      <c r="C292" s="86" t="s">
        <v>433</v>
      </c>
      <c r="D292" s="84"/>
      <c r="E292" s="84"/>
      <c r="F292" s="87" t="s">
        <v>70</v>
      </c>
      <c r="G292" s="88">
        <v>0.15</v>
      </c>
      <c r="H292" s="88"/>
      <c r="I292" s="88">
        <v>0</v>
      </c>
      <c r="J292" s="21">
        <v>88.8</v>
      </c>
      <c r="M292" s="22">
        <f>ROUND(ROUND(J292, 2)*I292, 2)</f>
        <v>0</v>
      </c>
      <c r="P292" s="21">
        <v>88.8</v>
      </c>
      <c r="S292" s="22">
        <f>ROUND(ROUND(P292, 2)*I292, 2)</f>
        <v>0</v>
      </c>
      <c r="V292" s="9">
        <f>ROUND(ROUND(P292, 2)/1.2, 2)</f>
        <v>74</v>
      </c>
      <c r="Y292" s="9">
        <f t="shared" si="18"/>
        <v>0</v>
      </c>
      <c r="AD292" s="4" t="s">
        <v>1232</v>
      </c>
      <c r="AE292" s="4" t="s">
        <v>1233</v>
      </c>
      <c r="AF292" s="4" t="s">
        <v>436</v>
      </c>
    </row>
    <row r="293" spans="1:35" ht="36" x14ac:dyDescent="0.3">
      <c r="A293" s="82" t="s">
        <v>1236</v>
      </c>
      <c r="B293" s="82" t="s">
        <v>1149</v>
      </c>
      <c r="C293" s="83" t="s">
        <v>1150</v>
      </c>
      <c r="D293" s="84"/>
      <c r="E293" s="84" t="s">
        <v>63</v>
      </c>
      <c r="F293" s="84" t="s">
        <v>64</v>
      </c>
      <c r="G293" s="85">
        <v>1</v>
      </c>
      <c r="H293" s="85"/>
      <c r="I293" s="85">
        <v>0</v>
      </c>
      <c r="J293" s="14">
        <f>IFERROR(ROUND(SUM(M294,M295)/I293, 2),0)</f>
        <v>0</v>
      </c>
      <c r="K293" s="15">
        <v>251</v>
      </c>
      <c r="L293" s="14">
        <f>J293+ROUND(K293, 2)</f>
        <v>251</v>
      </c>
      <c r="M293" s="14">
        <f>ROUND(J293*I293, 2)</f>
        <v>0</v>
      </c>
      <c r="N293" s="14">
        <f>ROUND(I293*ROUND(K293, 2), 2)</f>
        <v>0</v>
      </c>
      <c r="O293" s="14">
        <f>M293+N293</f>
        <v>0</v>
      </c>
      <c r="P293" s="14">
        <f>IFERROR(ROUND(SUM(S294,S295)/I293, 2),0)</f>
        <v>0</v>
      </c>
      <c r="Q293" s="15">
        <v>251</v>
      </c>
      <c r="R293" s="14">
        <f>P293+ROUND(Q293, 2)</f>
        <v>251</v>
      </c>
      <c r="S293" s="14">
        <f>ROUND(P293*I293, 2)</f>
        <v>0</v>
      </c>
      <c r="T293" s="14">
        <f>ROUND(I293*ROUND(Q293, 2), 2)</f>
        <v>0</v>
      </c>
      <c r="U293" s="14">
        <f>S293+T293</f>
        <v>0</v>
      </c>
      <c r="V293" s="9">
        <f>ROUND(P293 / 1.2, 2)</f>
        <v>0</v>
      </c>
      <c r="W293" s="9">
        <f>ROUND(Q293 / 1.2, 2)</f>
        <v>209.17</v>
      </c>
      <c r="X293" s="9">
        <f>ROUND(R293 / 1.2, 2)</f>
        <v>209.17</v>
      </c>
      <c r="Y293" s="9">
        <f t="shared" si="18"/>
        <v>0</v>
      </c>
      <c r="Z293" s="9">
        <f>ROUND(T293 / 1.2, 2)</f>
        <v>0</v>
      </c>
      <c r="AA293" s="9">
        <f>Y293+Z293</f>
        <v>0</v>
      </c>
      <c r="AD293" s="4">
        <v>271132197</v>
      </c>
      <c r="AE293" s="4">
        <v>16211518</v>
      </c>
      <c r="AG293" s="4" t="s">
        <v>1151</v>
      </c>
      <c r="AH293" s="4" t="s">
        <v>1152</v>
      </c>
      <c r="AI293" s="4" t="s">
        <v>67</v>
      </c>
    </row>
    <row r="294" spans="1:35" ht="90" x14ac:dyDescent="0.3">
      <c r="A294" s="82" t="s">
        <v>1238</v>
      </c>
      <c r="B294" s="82"/>
      <c r="C294" s="86" t="s">
        <v>1170</v>
      </c>
      <c r="D294" s="84"/>
      <c r="E294" s="84" t="s">
        <v>1200</v>
      </c>
      <c r="F294" s="87" t="s">
        <v>70</v>
      </c>
      <c r="G294" s="88">
        <v>0.3</v>
      </c>
      <c r="H294" s="88"/>
      <c r="I294" s="88">
        <v>0</v>
      </c>
      <c r="J294" s="21">
        <v>388.89</v>
      </c>
      <c r="M294" s="22">
        <f>ROUND(ROUND(J294, 2)*I294, 2)</f>
        <v>0</v>
      </c>
      <c r="P294" s="21">
        <v>388.89</v>
      </c>
      <c r="S294" s="22">
        <f>ROUND(ROUND(P294, 2)*I294, 2)</f>
        <v>0</v>
      </c>
      <c r="V294" s="9">
        <f>ROUND(ROUND(P294, 2)/1.2, 2)</f>
        <v>324.08</v>
      </c>
      <c r="Y294" s="9">
        <f t="shared" si="18"/>
        <v>0</v>
      </c>
      <c r="AD294" s="4" t="s">
        <v>1239</v>
      </c>
      <c r="AE294" s="4" t="s">
        <v>1240</v>
      </c>
      <c r="AF294" s="4" t="s">
        <v>1174</v>
      </c>
    </row>
    <row r="295" spans="1:35" ht="36" x14ac:dyDescent="0.3">
      <c r="A295" s="82" t="s">
        <v>1243</v>
      </c>
      <c r="B295" s="82"/>
      <c r="C295" s="86" t="s">
        <v>433</v>
      </c>
      <c r="D295" s="84"/>
      <c r="E295" s="84"/>
      <c r="F295" s="87" t="s">
        <v>70</v>
      </c>
      <c r="G295" s="88">
        <v>0.15</v>
      </c>
      <c r="H295" s="88"/>
      <c r="I295" s="88">
        <v>0</v>
      </c>
      <c r="J295" s="21">
        <v>88.8</v>
      </c>
      <c r="M295" s="22">
        <f>ROUND(ROUND(J295, 2)*I295, 2)</f>
        <v>0</v>
      </c>
      <c r="P295" s="21">
        <v>88.8</v>
      </c>
      <c r="S295" s="22">
        <f>ROUND(ROUND(P295, 2)*I295, 2)</f>
        <v>0</v>
      </c>
      <c r="V295" s="9">
        <f>ROUND(ROUND(P295, 2)/1.2, 2)</f>
        <v>74</v>
      </c>
      <c r="Y295" s="9">
        <f t="shared" si="18"/>
        <v>0</v>
      </c>
      <c r="AD295" s="4" t="s">
        <v>1244</v>
      </c>
      <c r="AE295" s="4" t="s">
        <v>1245</v>
      </c>
      <c r="AF295" s="4" t="s">
        <v>436</v>
      </c>
    </row>
    <row r="296" spans="1:35" ht="36" x14ac:dyDescent="0.3">
      <c r="A296" s="10" t="s">
        <v>1248</v>
      </c>
      <c r="B296" s="10" t="s">
        <v>1249</v>
      </c>
      <c r="C296" s="11" t="s">
        <v>1250</v>
      </c>
      <c r="D296" s="12"/>
      <c r="E296" s="12" t="s">
        <v>1251</v>
      </c>
      <c r="F296" s="12" t="s">
        <v>64</v>
      </c>
      <c r="G296" s="13">
        <v>1</v>
      </c>
      <c r="H296" s="13"/>
      <c r="I296" s="13">
        <v>5404.01</v>
      </c>
      <c r="J296" s="14">
        <f>IFERROR(ROUND(SUM(M297,M298)/I296, 2),0)</f>
        <v>13.32</v>
      </c>
      <c r="K296" s="15">
        <v>428</v>
      </c>
      <c r="L296" s="14">
        <f>J296+ROUND(K296, 2)</f>
        <v>441.32</v>
      </c>
      <c r="M296" s="14">
        <f>ROUND(J296*I296, 2)</f>
        <v>71981.41</v>
      </c>
      <c r="N296" s="14">
        <f>ROUND(I296*ROUND(K296, 2), 2)</f>
        <v>2312916.2799999998</v>
      </c>
      <c r="O296" s="14">
        <f>M296+N296</f>
        <v>2384897.69</v>
      </c>
      <c r="P296" s="14">
        <f>IFERROR(ROUND(SUM(S297,S298)/I296, 2),0)</f>
        <v>13.32</v>
      </c>
      <c r="Q296" s="16">
        <v>428</v>
      </c>
      <c r="R296" s="14">
        <f>P296+ROUND(Q296, 2)</f>
        <v>441.32</v>
      </c>
      <c r="S296" s="14">
        <f>ROUND(P296*I296, 2)</f>
        <v>71981.41</v>
      </c>
      <c r="T296" s="14">
        <f>ROUND(I296*ROUND(Q296, 2), 2)</f>
        <v>2312916.2799999998</v>
      </c>
      <c r="U296" s="14">
        <f>S296+T296</f>
        <v>2384897.69</v>
      </c>
      <c r="V296" s="9">
        <f>ROUND(P296 / 1.2, 2)</f>
        <v>11.1</v>
      </c>
      <c r="W296" s="9">
        <f>ROUND(Q296 / 1.2, 2)</f>
        <v>356.67</v>
      </c>
      <c r="X296" s="9">
        <f>ROUND(R296 / 1.2, 2)</f>
        <v>367.77</v>
      </c>
      <c r="Y296" s="9">
        <f t="shared" si="18"/>
        <v>59984.51</v>
      </c>
      <c r="Z296" s="9">
        <f>ROUND(T296 / 1.2, 2)</f>
        <v>1927430.23</v>
      </c>
      <c r="AA296" s="9">
        <f>Y296+Z296</f>
        <v>1987414.74</v>
      </c>
      <c r="AD296" s="4">
        <v>271132115</v>
      </c>
      <c r="AE296" s="4">
        <v>19990349</v>
      </c>
      <c r="AG296" s="4" t="s">
        <v>1252</v>
      </c>
      <c r="AH296" s="4" t="s">
        <v>1253</v>
      </c>
      <c r="AI296" s="4" t="s">
        <v>67</v>
      </c>
    </row>
    <row r="297" spans="1:35" ht="108" x14ac:dyDescent="0.3">
      <c r="A297" s="10" t="s">
        <v>1254</v>
      </c>
      <c r="B297" s="10"/>
      <c r="C297" s="24" t="s">
        <v>1255</v>
      </c>
      <c r="D297" s="12"/>
      <c r="E297" s="12" t="s">
        <v>1256</v>
      </c>
      <c r="F297" s="18" t="s">
        <v>70</v>
      </c>
      <c r="G297" s="19">
        <v>0.3</v>
      </c>
      <c r="H297" s="19"/>
      <c r="I297" s="19">
        <v>1621.203</v>
      </c>
      <c r="J297" s="21">
        <v>0</v>
      </c>
      <c r="M297" s="22">
        <f>ROUND(ROUND(J297, 2)*I297, 2)</f>
        <v>0</v>
      </c>
      <c r="P297" s="23">
        <v>0</v>
      </c>
      <c r="S297" s="22">
        <f>ROUND(ROUND(P297, 2)*I297, 2)</f>
        <v>0</v>
      </c>
      <c r="V297" s="9">
        <f>ROUND(ROUND(P297, 2)/1.2, 2)</f>
        <v>0</v>
      </c>
      <c r="Y297" s="9">
        <f t="shared" si="18"/>
        <v>0</v>
      </c>
      <c r="AD297" s="4" t="s">
        <v>1257</v>
      </c>
      <c r="AE297" s="4" t="s">
        <v>1258</v>
      </c>
      <c r="AF297" s="4" t="s">
        <v>1259</v>
      </c>
    </row>
    <row r="298" spans="1:35" ht="36" x14ac:dyDescent="0.3">
      <c r="A298" s="10" t="s">
        <v>1260</v>
      </c>
      <c r="B298" s="10"/>
      <c r="C298" s="24" t="s">
        <v>433</v>
      </c>
      <c r="D298" s="12"/>
      <c r="E298" s="12"/>
      <c r="F298" s="18" t="s">
        <v>70</v>
      </c>
      <c r="G298" s="19">
        <v>0.15</v>
      </c>
      <c r="H298" s="19"/>
      <c r="I298" s="19">
        <v>810.60199999999998</v>
      </c>
      <c r="J298" s="21">
        <v>88.8</v>
      </c>
      <c r="M298" s="22">
        <f>ROUND(ROUND(J298, 2)*I298, 2)</f>
        <v>71981.460000000006</v>
      </c>
      <c r="P298" s="23">
        <v>88.8</v>
      </c>
      <c r="S298" s="22">
        <f>ROUND(ROUND(P298, 2)*I298, 2)</f>
        <v>71981.460000000006</v>
      </c>
      <c r="V298" s="9">
        <f>ROUND(ROUND(P298, 2)/1.2, 2)</f>
        <v>74</v>
      </c>
      <c r="Y298" s="9">
        <f t="shared" si="18"/>
        <v>59984.55</v>
      </c>
      <c r="AD298" s="4" t="s">
        <v>1261</v>
      </c>
      <c r="AE298" s="4" t="s">
        <v>1262</v>
      </c>
      <c r="AF298" s="4" t="s">
        <v>436</v>
      </c>
    </row>
    <row r="299" spans="1:35" ht="36" x14ac:dyDescent="0.3">
      <c r="A299" s="10" t="s">
        <v>1263</v>
      </c>
      <c r="B299" s="10" t="s">
        <v>1249</v>
      </c>
      <c r="C299" s="11" t="s">
        <v>1250</v>
      </c>
      <c r="D299" s="12"/>
      <c r="E299" s="12" t="s">
        <v>1264</v>
      </c>
      <c r="F299" s="12" t="s">
        <v>64</v>
      </c>
      <c r="G299" s="13">
        <v>1</v>
      </c>
      <c r="H299" s="13"/>
      <c r="I299" s="13">
        <v>8.4</v>
      </c>
      <c r="J299" s="14">
        <f>IFERROR(ROUND(SUM(M300,M301)/I299, 2),0)</f>
        <v>13.32</v>
      </c>
      <c r="K299" s="15">
        <v>428</v>
      </c>
      <c r="L299" s="14">
        <f>J299+ROUND(K299, 2)</f>
        <v>441.32</v>
      </c>
      <c r="M299" s="14">
        <f>ROUND(J299*I299, 2)</f>
        <v>111.89</v>
      </c>
      <c r="N299" s="14">
        <f>ROUND(I299*ROUND(K299, 2), 2)</f>
        <v>3595.2</v>
      </c>
      <c r="O299" s="14">
        <f>M299+N299</f>
        <v>3707.0899999999997</v>
      </c>
      <c r="P299" s="14">
        <f>IFERROR(ROUND(SUM(S300,S301)/I299, 2),0)</f>
        <v>13.32</v>
      </c>
      <c r="Q299" s="16">
        <v>428</v>
      </c>
      <c r="R299" s="14">
        <f>P299+ROUND(Q299, 2)</f>
        <v>441.32</v>
      </c>
      <c r="S299" s="14">
        <f>ROUND(P299*I299, 2)</f>
        <v>111.89</v>
      </c>
      <c r="T299" s="14">
        <f>ROUND(I299*ROUND(Q299, 2), 2)</f>
        <v>3595.2</v>
      </c>
      <c r="U299" s="14">
        <f>S299+T299</f>
        <v>3707.0899999999997</v>
      </c>
      <c r="V299" s="9">
        <f>ROUND(P299 / 1.2, 2)</f>
        <v>11.1</v>
      </c>
      <c r="W299" s="9">
        <f>ROUND(Q299 / 1.2, 2)</f>
        <v>356.67</v>
      </c>
      <c r="X299" s="9">
        <f>ROUND(R299 / 1.2, 2)</f>
        <v>367.77</v>
      </c>
      <c r="Y299" s="9">
        <f t="shared" si="18"/>
        <v>93.24</v>
      </c>
      <c r="Z299" s="9">
        <f>ROUND(T299 / 1.2, 2)</f>
        <v>2996</v>
      </c>
      <c r="AA299" s="9">
        <f>Y299+Z299</f>
        <v>3089.24</v>
      </c>
      <c r="AD299" s="4">
        <v>271132198</v>
      </c>
      <c r="AE299" s="4">
        <v>19990351</v>
      </c>
      <c r="AG299" s="4" t="s">
        <v>1252</v>
      </c>
      <c r="AH299" s="4" t="s">
        <v>1253</v>
      </c>
      <c r="AI299" s="4" t="s">
        <v>67</v>
      </c>
    </row>
    <row r="300" spans="1:35" ht="36" x14ac:dyDescent="0.3">
      <c r="A300" s="10" t="s">
        <v>1265</v>
      </c>
      <c r="B300" s="10"/>
      <c r="C300" s="24" t="s">
        <v>433</v>
      </c>
      <c r="D300" s="12"/>
      <c r="E300" s="12"/>
      <c r="F300" s="18" t="s">
        <v>70</v>
      </c>
      <c r="G300" s="19">
        <v>0.15</v>
      </c>
      <c r="H300" s="19"/>
      <c r="I300" s="19">
        <v>1.26</v>
      </c>
      <c r="J300" s="21">
        <v>88.8</v>
      </c>
      <c r="M300" s="22">
        <f>ROUND(ROUND(J300, 2)*I300, 2)</f>
        <v>111.89</v>
      </c>
      <c r="P300" s="23">
        <v>88.8</v>
      </c>
      <c r="S300" s="22">
        <f>ROUND(ROUND(P300, 2)*I300, 2)</f>
        <v>111.89</v>
      </c>
      <c r="V300" s="9">
        <f>ROUND(ROUND(P300, 2)/1.2, 2)</f>
        <v>74</v>
      </c>
      <c r="Y300" s="9">
        <f t="shared" si="18"/>
        <v>93.24</v>
      </c>
      <c r="AD300" s="4" t="s">
        <v>1266</v>
      </c>
      <c r="AE300" s="4" t="s">
        <v>1267</v>
      </c>
      <c r="AF300" s="4" t="s">
        <v>436</v>
      </c>
    </row>
    <row r="301" spans="1:35" ht="108" x14ac:dyDescent="0.3">
      <c r="A301" s="10" t="s">
        <v>1268</v>
      </c>
      <c r="B301" s="10"/>
      <c r="C301" s="24" t="s">
        <v>1170</v>
      </c>
      <c r="D301" s="12"/>
      <c r="E301" s="12" t="s">
        <v>1269</v>
      </c>
      <c r="F301" s="18" t="s">
        <v>70</v>
      </c>
      <c r="G301" s="19">
        <v>0.3</v>
      </c>
      <c r="H301" s="19"/>
      <c r="I301" s="19">
        <v>2.52</v>
      </c>
      <c r="J301" s="21">
        <v>0</v>
      </c>
      <c r="M301" s="22">
        <f>ROUND(ROUND(J301, 2)*I301, 2)</f>
        <v>0</v>
      </c>
      <c r="P301" s="23">
        <v>0</v>
      </c>
      <c r="S301" s="22">
        <f>ROUND(ROUND(P301, 2)*I301, 2)</f>
        <v>0</v>
      </c>
      <c r="V301" s="9">
        <f>ROUND(ROUND(P301, 2)/1.2, 2)</f>
        <v>0</v>
      </c>
      <c r="Y301" s="9">
        <f t="shared" si="18"/>
        <v>0</v>
      </c>
      <c r="AD301" s="4" t="s">
        <v>1270</v>
      </c>
      <c r="AE301" s="4" t="s">
        <v>1271</v>
      </c>
      <c r="AF301" s="4" t="s">
        <v>1174</v>
      </c>
    </row>
    <row r="302" spans="1:35" ht="36" x14ac:dyDescent="0.3">
      <c r="A302" s="10" t="s">
        <v>1272</v>
      </c>
      <c r="B302" s="10" t="s">
        <v>1249</v>
      </c>
      <c r="C302" s="11" t="s">
        <v>1250</v>
      </c>
      <c r="D302" s="12"/>
      <c r="E302" s="12" t="s">
        <v>1273</v>
      </c>
      <c r="F302" s="12" t="s">
        <v>64</v>
      </c>
      <c r="G302" s="13">
        <v>1</v>
      </c>
      <c r="H302" s="13"/>
      <c r="I302" s="13">
        <v>20.66</v>
      </c>
      <c r="J302" s="14">
        <f>IFERROR(ROUND(SUM(M303,M304)/I302, 2),0)</f>
        <v>13.32</v>
      </c>
      <c r="K302" s="15">
        <v>428</v>
      </c>
      <c r="L302" s="14">
        <f>J302+ROUND(K302, 2)</f>
        <v>441.32</v>
      </c>
      <c r="M302" s="14">
        <f>ROUND(J302*I302, 2)</f>
        <v>275.19</v>
      </c>
      <c r="N302" s="14">
        <f>ROUND(I302*ROUND(K302, 2), 2)</f>
        <v>8842.48</v>
      </c>
      <c r="O302" s="14">
        <f>M302+N302</f>
        <v>9117.67</v>
      </c>
      <c r="P302" s="14">
        <f>IFERROR(ROUND(SUM(S303,S304)/I302, 2),0)</f>
        <v>13.32</v>
      </c>
      <c r="Q302" s="16">
        <v>428</v>
      </c>
      <c r="R302" s="14">
        <f>P302+ROUND(Q302, 2)</f>
        <v>441.32</v>
      </c>
      <c r="S302" s="14">
        <f>ROUND(P302*I302, 2)</f>
        <v>275.19</v>
      </c>
      <c r="T302" s="14">
        <f>ROUND(I302*ROUND(Q302, 2), 2)</f>
        <v>8842.48</v>
      </c>
      <c r="U302" s="14">
        <f>S302+T302</f>
        <v>9117.67</v>
      </c>
      <c r="V302" s="9">
        <f>ROUND(P302 / 1.2, 2)</f>
        <v>11.1</v>
      </c>
      <c r="W302" s="9">
        <f>ROUND(Q302 / 1.2, 2)</f>
        <v>356.67</v>
      </c>
      <c r="X302" s="9">
        <f>ROUND(R302 / 1.2, 2)</f>
        <v>367.77</v>
      </c>
      <c r="Y302" s="9">
        <f t="shared" si="18"/>
        <v>229.33</v>
      </c>
      <c r="Z302" s="9">
        <f>ROUND(T302 / 1.2, 2)</f>
        <v>7368.73</v>
      </c>
      <c r="AA302" s="9">
        <f>Y302+Z302</f>
        <v>7598.0599999999995</v>
      </c>
      <c r="AD302" s="4">
        <v>271132199</v>
      </c>
      <c r="AE302" s="4">
        <v>19990352</v>
      </c>
      <c r="AG302" s="4" t="s">
        <v>1252</v>
      </c>
      <c r="AH302" s="4" t="s">
        <v>1253</v>
      </c>
      <c r="AI302" s="4" t="s">
        <v>67</v>
      </c>
    </row>
    <row r="303" spans="1:35" ht="36" x14ac:dyDescent="0.3">
      <c r="A303" s="10" t="s">
        <v>1274</v>
      </c>
      <c r="B303" s="10"/>
      <c r="C303" s="24" t="s">
        <v>433</v>
      </c>
      <c r="D303" s="12"/>
      <c r="E303" s="12"/>
      <c r="F303" s="18" t="s">
        <v>70</v>
      </c>
      <c r="G303" s="19">
        <v>0.15</v>
      </c>
      <c r="H303" s="19"/>
      <c r="I303" s="19">
        <v>3.0990000000000002</v>
      </c>
      <c r="J303" s="21">
        <v>88.8</v>
      </c>
      <c r="M303" s="22">
        <f>ROUND(ROUND(J303, 2)*I303, 2)</f>
        <v>275.19</v>
      </c>
      <c r="P303" s="23">
        <v>88.8</v>
      </c>
      <c r="S303" s="22">
        <f>ROUND(ROUND(P303, 2)*I303, 2)</f>
        <v>275.19</v>
      </c>
      <c r="V303" s="9">
        <f>ROUND(ROUND(P303, 2)/1.2, 2)</f>
        <v>74</v>
      </c>
      <c r="Y303" s="9">
        <f t="shared" si="18"/>
        <v>229.33</v>
      </c>
      <c r="AD303" s="4" t="s">
        <v>1275</v>
      </c>
      <c r="AE303" s="4" t="s">
        <v>1276</v>
      </c>
      <c r="AF303" s="4" t="s">
        <v>436</v>
      </c>
    </row>
    <row r="304" spans="1:35" ht="108" x14ac:dyDescent="0.3">
      <c r="A304" s="10" t="s">
        <v>1277</v>
      </c>
      <c r="B304" s="10"/>
      <c r="C304" s="24" t="s">
        <v>1170</v>
      </c>
      <c r="D304" s="12"/>
      <c r="E304" s="12" t="s">
        <v>1278</v>
      </c>
      <c r="F304" s="18" t="s">
        <v>70</v>
      </c>
      <c r="G304" s="19">
        <v>0.3</v>
      </c>
      <c r="H304" s="19"/>
      <c r="I304" s="19">
        <v>6.1980000000000004</v>
      </c>
      <c r="J304" s="21">
        <v>0</v>
      </c>
      <c r="M304" s="22">
        <f>ROUND(ROUND(J304, 2)*I304, 2)</f>
        <v>0</v>
      </c>
      <c r="P304" s="23">
        <v>0</v>
      </c>
      <c r="S304" s="22">
        <f>ROUND(ROUND(P304, 2)*I304, 2)</f>
        <v>0</v>
      </c>
      <c r="V304" s="9">
        <f>ROUND(ROUND(P304, 2)/1.2, 2)</f>
        <v>0</v>
      </c>
      <c r="Y304" s="9">
        <f t="shared" si="18"/>
        <v>0</v>
      </c>
      <c r="AD304" s="4" t="s">
        <v>1279</v>
      </c>
      <c r="AE304" s="4" t="s">
        <v>1280</v>
      </c>
      <c r="AF304" s="4" t="s">
        <v>1174</v>
      </c>
    </row>
    <row r="305" spans="1:35" ht="36" x14ac:dyDescent="0.3">
      <c r="A305" s="10" t="s">
        <v>1281</v>
      </c>
      <c r="B305" s="10" t="s">
        <v>1249</v>
      </c>
      <c r="C305" s="11" t="s">
        <v>1250</v>
      </c>
      <c r="D305" s="12"/>
      <c r="E305" s="12" t="s">
        <v>1282</v>
      </c>
      <c r="F305" s="12" t="s">
        <v>64</v>
      </c>
      <c r="G305" s="13">
        <v>1</v>
      </c>
      <c r="H305" s="13"/>
      <c r="I305" s="13">
        <v>10.39</v>
      </c>
      <c r="J305" s="14">
        <f>IFERROR(ROUND(SUM(M306,M307)/I305, 2),0)</f>
        <v>13.32</v>
      </c>
      <c r="K305" s="15">
        <v>428</v>
      </c>
      <c r="L305" s="14">
        <f>J305+ROUND(K305, 2)</f>
        <v>441.32</v>
      </c>
      <c r="M305" s="14">
        <f>ROUND(J305*I305, 2)</f>
        <v>138.38999999999999</v>
      </c>
      <c r="N305" s="14">
        <f>ROUND(I305*ROUND(K305, 2), 2)</f>
        <v>4446.92</v>
      </c>
      <c r="O305" s="14">
        <f>M305+N305</f>
        <v>4585.3100000000004</v>
      </c>
      <c r="P305" s="14">
        <f>IFERROR(ROUND(SUM(S306,S307)/I305, 2),0)</f>
        <v>13.32</v>
      </c>
      <c r="Q305" s="16">
        <v>428</v>
      </c>
      <c r="R305" s="14">
        <f>P305+ROUND(Q305, 2)</f>
        <v>441.32</v>
      </c>
      <c r="S305" s="14">
        <f>ROUND(P305*I305, 2)</f>
        <v>138.38999999999999</v>
      </c>
      <c r="T305" s="14">
        <f>ROUND(I305*ROUND(Q305, 2), 2)</f>
        <v>4446.92</v>
      </c>
      <c r="U305" s="14">
        <f>S305+T305</f>
        <v>4585.3100000000004</v>
      </c>
      <c r="V305" s="9">
        <f>ROUND(P305 / 1.2, 2)</f>
        <v>11.1</v>
      </c>
      <c r="W305" s="9">
        <f>ROUND(Q305 / 1.2, 2)</f>
        <v>356.67</v>
      </c>
      <c r="X305" s="9">
        <f>ROUND(R305 / 1.2, 2)</f>
        <v>367.77</v>
      </c>
      <c r="Y305" s="9">
        <f t="shared" si="18"/>
        <v>115.33</v>
      </c>
      <c r="Z305" s="9">
        <f>ROUND(T305 / 1.2, 2)</f>
        <v>3705.77</v>
      </c>
      <c r="AA305" s="9">
        <f>Y305+Z305</f>
        <v>3821.1</v>
      </c>
      <c r="AD305" s="4">
        <v>271132200</v>
      </c>
      <c r="AE305" s="4">
        <v>19990353</v>
      </c>
      <c r="AG305" s="4" t="s">
        <v>1252</v>
      </c>
      <c r="AH305" s="4" t="s">
        <v>1253</v>
      </c>
      <c r="AI305" s="4" t="s">
        <v>67</v>
      </c>
    </row>
    <row r="306" spans="1:35" ht="36" x14ac:dyDescent="0.3">
      <c r="A306" s="10" t="s">
        <v>1283</v>
      </c>
      <c r="B306" s="10"/>
      <c r="C306" s="24" t="s">
        <v>433</v>
      </c>
      <c r="D306" s="12"/>
      <c r="E306" s="12"/>
      <c r="F306" s="18" t="s">
        <v>70</v>
      </c>
      <c r="G306" s="19">
        <v>0.15</v>
      </c>
      <c r="H306" s="19"/>
      <c r="I306" s="19">
        <v>1.5589999999999999</v>
      </c>
      <c r="J306" s="21">
        <v>88.8</v>
      </c>
      <c r="M306" s="22">
        <f>ROUND(ROUND(J306, 2)*I306, 2)</f>
        <v>138.44</v>
      </c>
      <c r="P306" s="23">
        <v>88.8</v>
      </c>
      <c r="S306" s="22">
        <f>ROUND(ROUND(P306, 2)*I306, 2)</f>
        <v>138.44</v>
      </c>
      <c r="V306" s="9">
        <f>ROUND(ROUND(P306, 2)/1.2, 2)</f>
        <v>74</v>
      </c>
      <c r="Y306" s="9">
        <f t="shared" si="18"/>
        <v>115.37</v>
      </c>
      <c r="AD306" s="4" t="s">
        <v>1284</v>
      </c>
      <c r="AE306" s="4" t="s">
        <v>1285</v>
      </c>
      <c r="AF306" s="4" t="s">
        <v>436</v>
      </c>
    </row>
    <row r="307" spans="1:35" ht="108" x14ac:dyDescent="0.3">
      <c r="A307" s="10" t="s">
        <v>1286</v>
      </c>
      <c r="B307" s="10"/>
      <c r="C307" s="24" t="s">
        <v>1170</v>
      </c>
      <c r="D307" s="12"/>
      <c r="E307" s="12" t="s">
        <v>1287</v>
      </c>
      <c r="F307" s="18" t="s">
        <v>70</v>
      </c>
      <c r="G307" s="19">
        <v>0.3</v>
      </c>
      <c r="H307" s="19"/>
      <c r="I307" s="19">
        <v>3.117</v>
      </c>
      <c r="J307" s="21">
        <v>0</v>
      </c>
      <c r="M307" s="22">
        <f>ROUND(ROUND(J307, 2)*I307, 2)</f>
        <v>0</v>
      </c>
      <c r="P307" s="23">
        <v>0</v>
      </c>
      <c r="S307" s="22">
        <f>ROUND(ROUND(P307, 2)*I307, 2)</f>
        <v>0</v>
      </c>
      <c r="V307" s="9">
        <f>ROUND(ROUND(P307, 2)/1.2, 2)</f>
        <v>0</v>
      </c>
      <c r="Y307" s="9">
        <f t="shared" si="18"/>
        <v>0</v>
      </c>
      <c r="AD307" s="4" t="s">
        <v>1288</v>
      </c>
      <c r="AE307" s="4" t="s">
        <v>1289</v>
      </c>
      <c r="AF307" s="4" t="s">
        <v>1174</v>
      </c>
    </row>
    <row r="308" spans="1:35" ht="36" x14ac:dyDescent="0.3">
      <c r="A308" s="10" t="s">
        <v>1290</v>
      </c>
      <c r="B308" s="10" t="s">
        <v>1249</v>
      </c>
      <c r="C308" s="11" t="s">
        <v>1250</v>
      </c>
      <c r="D308" s="12"/>
      <c r="E308" s="12" t="s">
        <v>1291</v>
      </c>
      <c r="F308" s="12" t="s">
        <v>64</v>
      </c>
      <c r="G308" s="13">
        <v>1</v>
      </c>
      <c r="H308" s="13"/>
      <c r="I308" s="13">
        <v>5.0999999999999996</v>
      </c>
      <c r="J308" s="14">
        <f>IFERROR(ROUND(SUM(M309,M310)/I308, 2),0)</f>
        <v>13.32</v>
      </c>
      <c r="K308" s="15">
        <v>428</v>
      </c>
      <c r="L308" s="14">
        <f>J308+ROUND(K308, 2)</f>
        <v>441.32</v>
      </c>
      <c r="M308" s="14">
        <f>ROUND(J308*I308, 2)</f>
        <v>67.930000000000007</v>
      </c>
      <c r="N308" s="14">
        <f>ROUND(I308*ROUND(K308, 2), 2)</f>
        <v>2182.8000000000002</v>
      </c>
      <c r="O308" s="14">
        <f>M308+N308</f>
        <v>2250.73</v>
      </c>
      <c r="P308" s="14">
        <f>IFERROR(ROUND(SUM(S309,S310)/I308, 2),0)</f>
        <v>13.32</v>
      </c>
      <c r="Q308" s="16">
        <v>428</v>
      </c>
      <c r="R308" s="14">
        <f>P308+ROUND(Q308, 2)</f>
        <v>441.32</v>
      </c>
      <c r="S308" s="14">
        <f>ROUND(P308*I308, 2)</f>
        <v>67.930000000000007</v>
      </c>
      <c r="T308" s="14">
        <f>ROUND(I308*ROUND(Q308, 2), 2)</f>
        <v>2182.8000000000002</v>
      </c>
      <c r="U308" s="14">
        <f>S308+T308</f>
        <v>2250.73</v>
      </c>
      <c r="V308" s="9">
        <f>ROUND(P308 / 1.2, 2)</f>
        <v>11.1</v>
      </c>
      <c r="W308" s="9">
        <f>ROUND(Q308 / 1.2, 2)</f>
        <v>356.67</v>
      </c>
      <c r="X308" s="9">
        <f>ROUND(R308 / 1.2, 2)</f>
        <v>367.77</v>
      </c>
      <c r="Y308" s="9">
        <f t="shared" si="18"/>
        <v>56.61</v>
      </c>
      <c r="Z308" s="9">
        <f>ROUND(T308 / 1.2, 2)</f>
        <v>1819</v>
      </c>
      <c r="AA308" s="9">
        <f>Y308+Z308</f>
        <v>1875.61</v>
      </c>
      <c r="AD308" s="4">
        <v>271132201</v>
      </c>
      <c r="AE308" s="4">
        <v>19990354</v>
      </c>
      <c r="AG308" s="4" t="s">
        <v>1252</v>
      </c>
      <c r="AH308" s="4" t="s">
        <v>1253</v>
      </c>
      <c r="AI308" s="4" t="s">
        <v>67</v>
      </c>
    </row>
    <row r="309" spans="1:35" ht="36" x14ac:dyDescent="0.3">
      <c r="A309" s="10" t="s">
        <v>1292</v>
      </c>
      <c r="B309" s="10"/>
      <c r="C309" s="24" t="s">
        <v>433</v>
      </c>
      <c r="D309" s="12"/>
      <c r="E309" s="12"/>
      <c r="F309" s="18" t="s">
        <v>70</v>
      </c>
      <c r="G309" s="19">
        <v>0.15</v>
      </c>
      <c r="H309" s="19"/>
      <c r="I309" s="19">
        <v>0.76500000000000001</v>
      </c>
      <c r="J309" s="21">
        <v>88.8</v>
      </c>
      <c r="M309" s="22">
        <f>ROUND(ROUND(J309, 2)*I309, 2)</f>
        <v>67.930000000000007</v>
      </c>
      <c r="P309" s="23">
        <v>88.8</v>
      </c>
      <c r="S309" s="22">
        <f>ROUND(ROUND(P309, 2)*I309, 2)</f>
        <v>67.930000000000007</v>
      </c>
      <c r="V309" s="9">
        <f>ROUND(ROUND(P309, 2)/1.2, 2)</f>
        <v>74</v>
      </c>
      <c r="Y309" s="9">
        <f t="shared" si="18"/>
        <v>56.61</v>
      </c>
      <c r="AD309" s="4" t="s">
        <v>1293</v>
      </c>
      <c r="AE309" s="4" t="s">
        <v>1294</v>
      </c>
      <c r="AF309" s="4" t="s">
        <v>436</v>
      </c>
    </row>
    <row r="310" spans="1:35" ht="108" x14ac:dyDescent="0.3">
      <c r="A310" s="10" t="s">
        <v>1295</v>
      </c>
      <c r="B310" s="10"/>
      <c r="C310" s="24" t="s">
        <v>1170</v>
      </c>
      <c r="D310" s="12"/>
      <c r="E310" s="12" t="s">
        <v>1296</v>
      </c>
      <c r="F310" s="18" t="s">
        <v>70</v>
      </c>
      <c r="G310" s="19">
        <v>0.3</v>
      </c>
      <c r="H310" s="19"/>
      <c r="I310" s="19">
        <v>1.53</v>
      </c>
      <c r="J310" s="21">
        <v>0</v>
      </c>
      <c r="M310" s="22">
        <f>ROUND(ROUND(J310, 2)*I310, 2)</f>
        <v>0</v>
      </c>
      <c r="P310" s="23">
        <v>0</v>
      </c>
      <c r="S310" s="22">
        <f>ROUND(ROUND(P310, 2)*I310, 2)</f>
        <v>0</v>
      </c>
      <c r="V310" s="9">
        <f>ROUND(ROUND(P310, 2)/1.2, 2)</f>
        <v>0</v>
      </c>
      <c r="Y310" s="9">
        <f t="shared" si="18"/>
        <v>0</v>
      </c>
      <c r="AD310" s="4" t="s">
        <v>1297</v>
      </c>
      <c r="AE310" s="4" t="s">
        <v>1298</v>
      </c>
      <c r="AF310" s="4" t="s">
        <v>1174</v>
      </c>
    </row>
    <row r="311" spans="1:35" ht="36" x14ac:dyDescent="0.3">
      <c r="A311" s="10" t="s">
        <v>1299</v>
      </c>
      <c r="B311" s="10" t="s">
        <v>1249</v>
      </c>
      <c r="C311" s="11" t="s">
        <v>1250</v>
      </c>
      <c r="D311" s="12"/>
      <c r="E311" s="12" t="s">
        <v>1300</v>
      </c>
      <c r="F311" s="12" t="s">
        <v>64</v>
      </c>
      <c r="G311" s="13">
        <v>1</v>
      </c>
      <c r="H311" s="13"/>
      <c r="I311" s="13">
        <v>11.75</v>
      </c>
      <c r="J311" s="14">
        <f>IFERROR(ROUND(SUM(M312,M313)/I311, 2),0)</f>
        <v>13.32</v>
      </c>
      <c r="K311" s="15">
        <v>428</v>
      </c>
      <c r="L311" s="14">
        <f>J311+ROUND(K311, 2)</f>
        <v>441.32</v>
      </c>
      <c r="M311" s="14">
        <f>ROUND(J311*I311, 2)</f>
        <v>156.51</v>
      </c>
      <c r="N311" s="14">
        <f>ROUND(I311*ROUND(K311, 2), 2)</f>
        <v>5029</v>
      </c>
      <c r="O311" s="14">
        <f>M311+N311</f>
        <v>5185.51</v>
      </c>
      <c r="P311" s="14">
        <f>IFERROR(ROUND(SUM(S312,S313)/I311, 2),0)</f>
        <v>13.32</v>
      </c>
      <c r="Q311" s="16">
        <v>428</v>
      </c>
      <c r="R311" s="14">
        <f>P311+ROUND(Q311, 2)</f>
        <v>441.32</v>
      </c>
      <c r="S311" s="14">
        <f>ROUND(P311*I311, 2)</f>
        <v>156.51</v>
      </c>
      <c r="T311" s="14">
        <f>ROUND(I311*ROUND(Q311, 2), 2)</f>
        <v>5029</v>
      </c>
      <c r="U311" s="14">
        <f>S311+T311</f>
        <v>5185.51</v>
      </c>
      <c r="V311" s="9">
        <f>ROUND(P311 / 1.2, 2)</f>
        <v>11.1</v>
      </c>
      <c r="W311" s="9">
        <f>ROUND(Q311 / 1.2, 2)</f>
        <v>356.67</v>
      </c>
      <c r="X311" s="9">
        <f>ROUND(R311 / 1.2, 2)</f>
        <v>367.77</v>
      </c>
      <c r="Y311" s="9">
        <f t="shared" si="18"/>
        <v>130.43</v>
      </c>
      <c r="Z311" s="9">
        <f>ROUND(T311 / 1.2, 2)</f>
        <v>4190.83</v>
      </c>
      <c r="AA311" s="9">
        <f>Y311+Z311</f>
        <v>4321.26</v>
      </c>
      <c r="AD311" s="4">
        <v>271132202</v>
      </c>
      <c r="AE311" s="4">
        <v>19990355</v>
      </c>
      <c r="AG311" s="4" t="s">
        <v>1252</v>
      </c>
      <c r="AH311" s="4" t="s">
        <v>1253</v>
      </c>
      <c r="AI311" s="4" t="s">
        <v>67</v>
      </c>
    </row>
    <row r="312" spans="1:35" ht="36" x14ac:dyDescent="0.3">
      <c r="A312" s="10" t="s">
        <v>1301</v>
      </c>
      <c r="B312" s="10"/>
      <c r="C312" s="24" t="s">
        <v>433</v>
      </c>
      <c r="D312" s="12"/>
      <c r="E312" s="12"/>
      <c r="F312" s="18" t="s">
        <v>70</v>
      </c>
      <c r="G312" s="19">
        <v>0.15</v>
      </c>
      <c r="H312" s="19"/>
      <c r="I312" s="19">
        <v>1.7629999999999999</v>
      </c>
      <c r="J312" s="21">
        <v>88.8</v>
      </c>
      <c r="M312" s="22">
        <f>ROUND(ROUND(J312, 2)*I312, 2)</f>
        <v>156.55000000000001</v>
      </c>
      <c r="P312" s="23">
        <v>88.8</v>
      </c>
      <c r="S312" s="22">
        <f>ROUND(ROUND(P312, 2)*I312, 2)</f>
        <v>156.55000000000001</v>
      </c>
      <c r="V312" s="9">
        <f>ROUND(ROUND(P312, 2)/1.2, 2)</f>
        <v>74</v>
      </c>
      <c r="Y312" s="9">
        <f t="shared" si="18"/>
        <v>130.46</v>
      </c>
      <c r="AD312" s="4" t="s">
        <v>1302</v>
      </c>
      <c r="AE312" s="4" t="s">
        <v>1303</v>
      </c>
      <c r="AF312" s="4" t="s">
        <v>436</v>
      </c>
    </row>
    <row r="313" spans="1:35" ht="108" x14ac:dyDescent="0.3">
      <c r="A313" s="10" t="s">
        <v>1304</v>
      </c>
      <c r="B313" s="10"/>
      <c r="C313" s="24" t="s">
        <v>1170</v>
      </c>
      <c r="D313" s="12"/>
      <c r="E313" s="12" t="s">
        <v>1305</v>
      </c>
      <c r="F313" s="18" t="s">
        <v>70</v>
      </c>
      <c r="G313" s="19">
        <v>0.3</v>
      </c>
      <c r="H313" s="19"/>
      <c r="I313" s="19">
        <v>3.5249999999999999</v>
      </c>
      <c r="J313" s="21">
        <v>0</v>
      </c>
      <c r="M313" s="22">
        <f>ROUND(ROUND(J313, 2)*I313, 2)</f>
        <v>0</v>
      </c>
      <c r="P313" s="23">
        <v>0</v>
      </c>
      <c r="S313" s="22">
        <f>ROUND(ROUND(P313, 2)*I313, 2)</f>
        <v>0</v>
      </c>
      <c r="V313" s="9">
        <f>ROUND(ROUND(P313, 2)/1.2, 2)</f>
        <v>0</v>
      </c>
      <c r="Y313" s="9">
        <f t="shared" si="18"/>
        <v>0</v>
      </c>
      <c r="AD313" s="4" t="s">
        <v>1306</v>
      </c>
      <c r="AE313" s="4" t="s">
        <v>1307</v>
      </c>
      <c r="AF313" s="4" t="s">
        <v>1174</v>
      </c>
    </row>
    <row r="314" spans="1:35" ht="36" x14ac:dyDescent="0.3">
      <c r="A314" s="10" t="s">
        <v>1308</v>
      </c>
      <c r="B314" s="10" t="s">
        <v>1249</v>
      </c>
      <c r="C314" s="11" t="s">
        <v>1250</v>
      </c>
      <c r="D314" s="12"/>
      <c r="E314" s="12" t="s">
        <v>1309</v>
      </c>
      <c r="F314" s="12" t="s">
        <v>64</v>
      </c>
      <c r="G314" s="13">
        <v>1</v>
      </c>
      <c r="H314" s="13"/>
      <c r="I314" s="13">
        <v>78.400000000000006</v>
      </c>
      <c r="J314" s="14">
        <f>IFERROR(ROUND(SUM(M315,M316)/I314, 2),0)</f>
        <v>13.32</v>
      </c>
      <c r="K314" s="15">
        <v>428</v>
      </c>
      <c r="L314" s="14">
        <f>J314+ROUND(K314, 2)</f>
        <v>441.32</v>
      </c>
      <c r="M314" s="14">
        <f>ROUND(J314*I314, 2)</f>
        <v>1044.29</v>
      </c>
      <c r="N314" s="14">
        <f>ROUND(I314*ROUND(K314, 2), 2)</f>
        <v>33555.199999999997</v>
      </c>
      <c r="O314" s="14">
        <f>M314+N314</f>
        <v>34599.49</v>
      </c>
      <c r="P314" s="14">
        <f>IFERROR(ROUND(SUM(S315,S316)/I314, 2),0)</f>
        <v>13.32</v>
      </c>
      <c r="Q314" s="16">
        <v>428</v>
      </c>
      <c r="R314" s="14">
        <f>P314+ROUND(Q314, 2)</f>
        <v>441.32</v>
      </c>
      <c r="S314" s="14">
        <f>ROUND(P314*I314, 2)</f>
        <v>1044.29</v>
      </c>
      <c r="T314" s="14">
        <f>ROUND(I314*ROUND(Q314, 2), 2)</f>
        <v>33555.199999999997</v>
      </c>
      <c r="U314" s="14">
        <f>S314+T314</f>
        <v>34599.49</v>
      </c>
      <c r="V314" s="9">
        <f>ROUND(P314 / 1.2, 2)</f>
        <v>11.1</v>
      </c>
      <c r="W314" s="9">
        <f>ROUND(Q314 / 1.2, 2)</f>
        <v>356.67</v>
      </c>
      <c r="X314" s="9">
        <f>ROUND(R314 / 1.2, 2)</f>
        <v>367.77</v>
      </c>
      <c r="Y314" s="9">
        <f t="shared" si="18"/>
        <v>870.24</v>
      </c>
      <c r="Z314" s="9">
        <f>ROUND(T314 / 1.2, 2)</f>
        <v>27962.67</v>
      </c>
      <c r="AA314" s="9">
        <f>Y314+Z314</f>
        <v>28832.91</v>
      </c>
      <c r="AD314" s="4">
        <v>271132203</v>
      </c>
      <c r="AE314" s="4">
        <v>19990350</v>
      </c>
      <c r="AG314" s="4" t="s">
        <v>1252</v>
      </c>
      <c r="AH314" s="4" t="s">
        <v>1253</v>
      </c>
      <c r="AI314" s="4" t="s">
        <v>67</v>
      </c>
    </row>
    <row r="315" spans="1:35" ht="36" x14ac:dyDescent="0.3">
      <c r="A315" s="10" t="s">
        <v>1310</v>
      </c>
      <c r="B315" s="10"/>
      <c r="C315" s="24" t="s">
        <v>433</v>
      </c>
      <c r="D315" s="12"/>
      <c r="E315" s="12"/>
      <c r="F315" s="18" t="s">
        <v>70</v>
      </c>
      <c r="G315" s="19">
        <v>0.15</v>
      </c>
      <c r="H315" s="19"/>
      <c r="I315" s="19">
        <v>11.76</v>
      </c>
      <c r="J315" s="21">
        <v>88.8</v>
      </c>
      <c r="M315" s="22">
        <f>ROUND(ROUND(J315, 2)*I315, 2)</f>
        <v>1044.29</v>
      </c>
      <c r="P315" s="23">
        <v>88.8</v>
      </c>
      <c r="S315" s="22">
        <f>ROUND(ROUND(P315, 2)*I315, 2)</f>
        <v>1044.29</v>
      </c>
      <c r="V315" s="9">
        <f>ROUND(ROUND(P315, 2)/1.2, 2)</f>
        <v>74</v>
      </c>
      <c r="Y315" s="9">
        <f t="shared" si="18"/>
        <v>870.24</v>
      </c>
      <c r="AD315" s="4" t="s">
        <v>1311</v>
      </c>
      <c r="AE315" s="4" t="s">
        <v>1312</v>
      </c>
      <c r="AF315" s="4" t="s">
        <v>436</v>
      </c>
    </row>
    <row r="316" spans="1:35" ht="108" x14ac:dyDescent="0.3">
      <c r="A316" s="10" t="s">
        <v>1313</v>
      </c>
      <c r="B316" s="10"/>
      <c r="C316" s="24" t="s">
        <v>1170</v>
      </c>
      <c r="D316" s="12"/>
      <c r="E316" s="12" t="s">
        <v>1314</v>
      </c>
      <c r="F316" s="18" t="s">
        <v>70</v>
      </c>
      <c r="G316" s="19">
        <v>0.3</v>
      </c>
      <c r="H316" s="19"/>
      <c r="I316" s="19">
        <v>23.52</v>
      </c>
      <c r="J316" s="21">
        <v>0</v>
      </c>
      <c r="M316" s="22">
        <f>ROUND(ROUND(J316, 2)*I316, 2)</f>
        <v>0</v>
      </c>
      <c r="P316" s="23">
        <v>0</v>
      </c>
      <c r="S316" s="22">
        <f>ROUND(ROUND(P316, 2)*I316, 2)</f>
        <v>0</v>
      </c>
      <c r="V316" s="9">
        <f>ROUND(ROUND(P316, 2)/1.2, 2)</f>
        <v>0</v>
      </c>
      <c r="Y316" s="9">
        <f t="shared" si="18"/>
        <v>0</v>
      </c>
      <c r="AD316" s="4" t="s">
        <v>1315</v>
      </c>
      <c r="AE316" s="4" t="s">
        <v>1316</v>
      </c>
      <c r="AF316" s="4" t="s">
        <v>1174</v>
      </c>
    </row>
    <row r="317" spans="1:35" ht="36" x14ac:dyDescent="0.3">
      <c r="A317" s="10" t="s">
        <v>1317</v>
      </c>
      <c r="B317" s="10" t="s">
        <v>1249</v>
      </c>
      <c r="C317" s="11" t="s">
        <v>1250</v>
      </c>
      <c r="D317" s="12"/>
      <c r="E317" s="12" t="s">
        <v>1318</v>
      </c>
      <c r="F317" s="12" t="s">
        <v>64</v>
      </c>
      <c r="G317" s="13">
        <v>1</v>
      </c>
      <c r="H317" s="13"/>
      <c r="I317" s="13">
        <v>351.8</v>
      </c>
      <c r="J317" s="14">
        <f>IFERROR(ROUND(SUM(M318,M319)/I317, 2),0)</f>
        <v>13.32</v>
      </c>
      <c r="K317" s="15">
        <v>428</v>
      </c>
      <c r="L317" s="14">
        <f>J317+ROUND(K317, 2)</f>
        <v>441.32</v>
      </c>
      <c r="M317" s="14">
        <f>ROUND(J317*I317, 2)</f>
        <v>4685.9799999999996</v>
      </c>
      <c r="N317" s="14">
        <f>ROUND(I317*ROUND(K317, 2), 2)</f>
        <v>150570.4</v>
      </c>
      <c r="O317" s="14">
        <f>M317+N317</f>
        <v>155256.38</v>
      </c>
      <c r="P317" s="14">
        <f>IFERROR(ROUND(SUM(S318,S319)/I317, 2),0)</f>
        <v>13.32</v>
      </c>
      <c r="Q317" s="16">
        <v>428</v>
      </c>
      <c r="R317" s="14">
        <f>P317+ROUND(Q317, 2)</f>
        <v>441.32</v>
      </c>
      <c r="S317" s="14">
        <f>ROUND(P317*I317, 2)</f>
        <v>4685.9799999999996</v>
      </c>
      <c r="T317" s="14">
        <f>ROUND(I317*ROUND(Q317, 2), 2)</f>
        <v>150570.4</v>
      </c>
      <c r="U317" s="14">
        <f>S317+T317</f>
        <v>155256.38</v>
      </c>
      <c r="V317" s="9">
        <f>ROUND(P317 / 1.2, 2)</f>
        <v>11.1</v>
      </c>
      <c r="W317" s="9">
        <f>ROUND(Q317 / 1.2, 2)</f>
        <v>356.67</v>
      </c>
      <c r="X317" s="9">
        <f>ROUND(R317 / 1.2, 2)</f>
        <v>367.77</v>
      </c>
      <c r="Y317" s="9">
        <f t="shared" si="18"/>
        <v>3904.98</v>
      </c>
      <c r="Z317" s="9">
        <f>ROUND(T317 / 1.2, 2)</f>
        <v>125475.33</v>
      </c>
      <c r="AA317" s="9">
        <f>Y317+Z317</f>
        <v>129380.31</v>
      </c>
      <c r="AD317" s="4">
        <v>271132204</v>
      </c>
      <c r="AE317" s="4">
        <v>19990914</v>
      </c>
      <c r="AG317" s="4" t="s">
        <v>1252</v>
      </c>
      <c r="AH317" s="4" t="s">
        <v>1253</v>
      </c>
      <c r="AI317" s="4" t="s">
        <v>67</v>
      </c>
    </row>
    <row r="318" spans="1:35" ht="36" x14ac:dyDescent="0.3">
      <c r="A318" s="10" t="s">
        <v>1319</v>
      </c>
      <c r="B318" s="10"/>
      <c r="C318" s="24" t="s">
        <v>433</v>
      </c>
      <c r="D318" s="12"/>
      <c r="E318" s="12"/>
      <c r="F318" s="18" t="s">
        <v>70</v>
      </c>
      <c r="G318" s="19">
        <v>0.15</v>
      </c>
      <c r="H318" s="19"/>
      <c r="I318" s="19">
        <v>52.77</v>
      </c>
      <c r="J318" s="21">
        <v>88.8</v>
      </c>
      <c r="M318" s="22">
        <f>ROUND(ROUND(J318, 2)*I318, 2)</f>
        <v>4685.9799999999996</v>
      </c>
      <c r="P318" s="23">
        <v>88.8</v>
      </c>
      <c r="S318" s="22">
        <f>ROUND(ROUND(P318, 2)*I318, 2)</f>
        <v>4685.9799999999996</v>
      </c>
      <c r="V318" s="9">
        <f>ROUND(ROUND(P318, 2)/1.2, 2)</f>
        <v>74</v>
      </c>
      <c r="Y318" s="9">
        <f t="shared" si="18"/>
        <v>3904.98</v>
      </c>
      <c r="AD318" s="4" t="s">
        <v>1320</v>
      </c>
      <c r="AE318" s="4" t="s">
        <v>1321</v>
      </c>
      <c r="AF318" s="4" t="s">
        <v>436</v>
      </c>
    </row>
    <row r="319" spans="1:35" ht="108" x14ac:dyDescent="0.3">
      <c r="A319" s="10" t="s">
        <v>1322</v>
      </c>
      <c r="B319" s="10"/>
      <c r="C319" s="24" t="s">
        <v>1170</v>
      </c>
      <c r="D319" s="12"/>
      <c r="E319" s="12" t="s">
        <v>1323</v>
      </c>
      <c r="F319" s="18" t="s">
        <v>70</v>
      </c>
      <c r="G319" s="19">
        <v>0.3</v>
      </c>
      <c r="H319" s="19"/>
      <c r="I319" s="19">
        <v>105.54</v>
      </c>
      <c r="J319" s="21">
        <v>0</v>
      </c>
      <c r="M319" s="22">
        <f>ROUND(ROUND(J319, 2)*I319, 2)</f>
        <v>0</v>
      </c>
      <c r="P319" s="23">
        <v>0</v>
      </c>
      <c r="S319" s="22">
        <f>ROUND(ROUND(P319, 2)*I319, 2)</f>
        <v>0</v>
      </c>
      <c r="V319" s="9">
        <f>ROUND(ROUND(P319, 2)/1.2, 2)</f>
        <v>0</v>
      </c>
      <c r="Y319" s="9">
        <f t="shared" si="18"/>
        <v>0</v>
      </c>
      <c r="AD319" s="4" t="s">
        <v>1324</v>
      </c>
      <c r="AE319" s="4" t="s">
        <v>1325</v>
      </c>
      <c r="AF319" s="4" t="s">
        <v>1174</v>
      </c>
    </row>
    <row r="320" spans="1:35" ht="36" x14ac:dyDescent="0.3">
      <c r="A320" s="10" t="s">
        <v>1326</v>
      </c>
      <c r="B320" s="10" t="s">
        <v>1249</v>
      </c>
      <c r="C320" s="11" t="s">
        <v>1250</v>
      </c>
      <c r="D320" s="12"/>
      <c r="E320" s="12" t="s">
        <v>1327</v>
      </c>
      <c r="F320" s="12" t="s">
        <v>64</v>
      </c>
      <c r="G320" s="13">
        <v>1</v>
      </c>
      <c r="H320" s="13"/>
      <c r="I320" s="13">
        <v>2020.16</v>
      </c>
      <c r="J320" s="14">
        <f>IFERROR(ROUND(SUM(M321,M322)/I320, 2),0)</f>
        <v>13.32</v>
      </c>
      <c r="K320" s="15">
        <v>428</v>
      </c>
      <c r="L320" s="14">
        <f>J320+ROUND(K320, 2)</f>
        <v>441.32</v>
      </c>
      <c r="M320" s="14">
        <f>ROUND(J320*I320, 2)</f>
        <v>26908.53</v>
      </c>
      <c r="N320" s="14">
        <f>ROUND(I320*ROUND(K320, 2), 2)</f>
        <v>864628.48</v>
      </c>
      <c r="O320" s="14">
        <f>M320+N320</f>
        <v>891537.01</v>
      </c>
      <c r="P320" s="14">
        <f>IFERROR(ROUND(SUM(S321,S322)/I320, 2),0)</f>
        <v>13.32</v>
      </c>
      <c r="Q320" s="16">
        <v>428</v>
      </c>
      <c r="R320" s="14">
        <f>P320+ROUND(Q320, 2)</f>
        <v>441.32</v>
      </c>
      <c r="S320" s="14">
        <f>ROUND(P320*I320, 2)</f>
        <v>26908.53</v>
      </c>
      <c r="T320" s="14">
        <f>ROUND(I320*ROUND(Q320, 2), 2)</f>
        <v>864628.48</v>
      </c>
      <c r="U320" s="14">
        <f>S320+T320</f>
        <v>891537.01</v>
      </c>
      <c r="V320" s="9">
        <f>ROUND(P320 / 1.2, 2)</f>
        <v>11.1</v>
      </c>
      <c r="W320" s="9">
        <f>ROUND(Q320 / 1.2, 2)</f>
        <v>356.67</v>
      </c>
      <c r="X320" s="9">
        <f>ROUND(R320 / 1.2, 2)</f>
        <v>367.77</v>
      </c>
      <c r="Y320" s="9">
        <f t="shared" si="18"/>
        <v>22423.78</v>
      </c>
      <c r="Z320" s="9">
        <f>ROUND(T320 / 1.2, 2)</f>
        <v>720523.73</v>
      </c>
      <c r="AA320" s="9">
        <f>Y320+Z320</f>
        <v>742947.51</v>
      </c>
      <c r="AD320" s="4">
        <v>271132205</v>
      </c>
      <c r="AE320" s="4">
        <v>19990916</v>
      </c>
      <c r="AG320" s="4" t="s">
        <v>1252</v>
      </c>
      <c r="AH320" s="4" t="s">
        <v>1253</v>
      </c>
      <c r="AI320" s="4" t="s">
        <v>67</v>
      </c>
    </row>
    <row r="321" spans="1:35" ht="36" x14ac:dyDescent="0.3">
      <c r="A321" s="10" t="s">
        <v>1328</v>
      </c>
      <c r="B321" s="10"/>
      <c r="C321" s="24" t="s">
        <v>433</v>
      </c>
      <c r="D321" s="12"/>
      <c r="E321" s="12"/>
      <c r="F321" s="18" t="s">
        <v>70</v>
      </c>
      <c r="G321" s="19">
        <v>0.15</v>
      </c>
      <c r="H321" s="19"/>
      <c r="I321" s="19">
        <v>303.024</v>
      </c>
      <c r="J321" s="21">
        <v>88.8</v>
      </c>
      <c r="M321" s="22">
        <f>ROUND(ROUND(J321, 2)*I321, 2)</f>
        <v>26908.53</v>
      </c>
      <c r="P321" s="23">
        <v>88.8</v>
      </c>
      <c r="S321" s="22">
        <f>ROUND(ROUND(P321, 2)*I321, 2)</f>
        <v>26908.53</v>
      </c>
      <c r="V321" s="9">
        <f>ROUND(ROUND(P321, 2)/1.2, 2)</f>
        <v>74</v>
      </c>
      <c r="Y321" s="9">
        <f t="shared" si="18"/>
        <v>22423.78</v>
      </c>
      <c r="AD321" s="4" t="s">
        <v>1329</v>
      </c>
      <c r="AE321" s="4" t="s">
        <v>1330</v>
      </c>
      <c r="AF321" s="4" t="s">
        <v>436</v>
      </c>
    </row>
    <row r="322" spans="1:35" ht="126" x14ac:dyDescent="0.3">
      <c r="A322" s="10" t="s">
        <v>1331</v>
      </c>
      <c r="B322" s="10"/>
      <c r="C322" s="24" t="s">
        <v>1185</v>
      </c>
      <c r="D322" s="12"/>
      <c r="E322" s="12" t="s">
        <v>1332</v>
      </c>
      <c r="F322" s="18" t="s">
        <v>70</v>
      </c>
      <c r="G322" s="19">
        <v>0.3</v>
      </c>
      <c r="H322" s="19"/>
      <c r="I322" s="19">
        <v>606.048</v>
      </c>
      <c r="J322" s="21">
        <v>0</v>
      </c>
      <c r="M322" s="22">
        <f>ROUND(ROUND(J322, 2)*I322, 2)</f>
        <v>0</v>
      </c>
      <c r="P322" s="23">
        <v>0</v>
      </c>
      <c r="S322" s="22">
        <f>ROUND(ROUND(P322, 2)*I322, 2)</f>
        <v>0</v>
      </c>
      <c r="V322" s="9">
        <f>ROUND(ROUND(P322, 2)/1.2, 2)</f>
        <v>0</v>
      </c>
      <c r="Y322" s="9">
        <f t="shared" si="18"/>
        <v>0</v>
      </c>
      <c r="AD322" s="4" t="s">
        <v>1333</v>
      </c>
      <c r="AE322" s="4" t="s">
        <v>1334</v>
      </c>
      <c r="AF322" s="4" t="s">
        <v>1189</v>
      </c>
    </row>
    <row r="323" spans="1:35" ht="36" x14ac:dyDescent="0.3">
      <c r="A323" s="10" t="s">
        <v>1335</v>
      </c>
      <c r="B323" s="10" t="s">
        <v>1249</v>
      </c>
      <c r="C323" s="11" t="s">
        <v>1250</v>
      </c>
      <c r="D323" s="12"/>
      <c r="E323" s="12" t="s">
        <v>1336</v>
      </c>
      <c r="F323" s="12" t="s">
        <v>64</v>
      </c>
      <c r="G323" s="13">
        <v>1</v>
      </c>
      <c r="H323" s="13"/>
      <c r="I323" s="13">
        <v>141.44999999999999</v>
      </c>
      <c r="J323" s="14">
        <f>IFERROR(ROUND(SUM(M324,M325)/I323, 2),0)</f>
        <v>13.32</v>
      </c>
      <c r="K323" s="15">
        <v>428</v>
      </c>
      <c r="L323" s="14">
        <f>J323+ROUND(K323, 2)</f>
        <v>441.32</v>
      </c>
      <c r="M323" s="14">
        <f>ROUND(J323*I323, 2)</f>
        <v>1884.11</v>
      </c>
      <c r="N323" s="14">
        <f>ROUND(I323*ROUND(K323, 2), 2)</f>
        <v>60540.6</v>
      </c>
      <c r="O323" s="14">
        <f>M323+N323</f>
        <v>62424.71</v>
      </c>
      <c r="P323" s="14">
        <f>IFERROR(ROUND(SUM(S324,S325)/I323, 2),0)</f>
        <v>13.32</v>
      </c>
      <c r="Q323" s="16">
        <v>428</v>
      </c>
      <c r="R323" s="14">
        <f>P323+ROUND(Q323, 2)</f>
        <v>441.32</v>
      </c>
      <c r="S323" s="14">
        <f>ROUND(P323*I323, 2)</f>
        <v>1884.11</v>
      </c>
      <c r="T323" s="14">
        <f>ROUND(I323*ROUND(Q323, 2), 2)</f>
        <v>60540.6</v>
      </c>
      <c r="U323" s="14">
        <f>S323+T323</f>
        <v>62424.71</v>
      </c>
      <c r="V323" s="9">
        <f>ROUND(P323 / 1.2, 2)</f>
        <v>11.1</v>
      </c>
      <c r="W323" s="9">
        <f>ROUND(Q323 / 1.2, 2)</f>
        <v>356.67</v>
      </c>
      <c r="X323" s="9">
        <f>ROUND(R323 / 1.2, 2)</f>
        <v>367.77</v>
      </c>
      <c r="Y323" s="9">
        <f t="shared" si="18"/>
        <v>1570.09</v>
      </c>
      <c r="Z323" s="9">
        <f>ROUND(T323 / 1.2, 2)</f>
        <v>50450.5</v>
      </c>
      <c r="AA323" s="9">
        <f>Y323+Z323</f>
        <v>52020.59</v>
      </c>
      <c r="AD323" s="4">
        <v>271132206</v>
      </c>
      <c r="AE323" s="4">
        <v>19990917</v>
      </c>
      <c r="AG323" s="4" t="s">
        <v>1252</v>
      </c>
      <c r="AH323" s="4" t="s">
        <v>1253</v>
      </c>
      <c r="AI323" s="4" t="s">
        <v>67</v>
      </c>
    </row>
    <row r="324" spans="1:35" ht="36" x14ac:dyDescent="0.3">
      <c r="A324" s="10" t="s">
        <v>1337</v>
      </c>
      <c r="B324" s="10"/>
      <c r="C324" s="24" t="s">
        <v>433</v>
      </c>
      <c r="D324" s="12"/>
      <c r="E324" s="12"/>
      <c r="F324" s="18" t="s">
        <v>70</v>
      </c>
      <c r="G324" s="19">
        <v>0.15</v>
      </c>
      <c r="H324" s="19"/>
      <c r="I324" s="19">
        <v>21.218</v>
      </c>
      <c r="J324" s="21">
        <v>88.8</v>
      </c>
      <c r="M324" s="22">
        <f>ROUND(ROUND(J324, 2)*I324, 2)</f>
        <v>1884.16</v>
      </c>
      <c r="P324" s="23">
        <v>88.8</v>
      </c>
      <c r="S324" s="22">
        <f>ROUND(ROUND(P324, 2)*I324, 2)</f>
        <v>1884.16</v>
      </c>
      <c r="V324" s="9">
        <f>ROUND(ROUND(P324, 2)/1.2, 2)</f>
        <v>74</v>
      </c>
      <c r="Y324" s="9">
        <f t="shared" si="18"/>
        <v>1570.13</v>
      </c>
      <c r="AD324" s="4" t="s">
        <v>1338</v>
      </c>
      <c r="AE324" s="4" t="s">
        <v>1339</v>
      </c>
      <c r="AF324" s="4" t="s">
        <v>436</v>
      </c>
    </row>
    <row r="325" spans="1:35" ht="108" x14ac:dyDescent="0.3">
      <c r="A325" s="10" t="s">
        <v>1340</v>
      </c>
      <c r="B325" s="10"/>
      <c r="C325" s="24" t="s">
        <v>1170</v>
      </c>
      <c r="D325" s="12"/>
      <c r="E325" s="12" t="s">
        <v>1341</v>
      </c>
      <c r="F325" s="18" t="s">
        <v>70</v>
      </c>
      <c r="G325" s="19">
        <v>0.3</v>
      </c>
      <c r="H325" s="19"/>
      <c r="I325" s="19">
        <v>42.435000000000002</v>
      </c>
      <c r="J325" s="21">
        <v>0</v>
      </c>
      <c r="M325" s="22">
        <f>ROUND(ROUND(J325, 2)*I325, 2)</f>
        <v>0</v>
      </c>
      <c r="P325" s="23">
        <v>0</v>
      </c>
      <c r="S325" s="22">
        <f>ROUND(ROUND(P325, 2)*I325, 2)</f>
        <v>0</v>
      </c>
      <c r="V325" s="9">
        <f>ROUND(ROUND(P325, 2)/1.2, 2)</f>
        <v>0</v>
      </c>
      <c r="Y325" s="9">
        <f t="shared" si="18"/>
        <v>0</v>
      </c>
      <c r="AD325" s="4" t="s">
        <v>1342</v>
      </c>
      <c r="AE325" s="4" t="s">
        <v>1343</v>
      </c>
      <c r="AF325" s="4" t="s">
        <v>1174</v>
      </c>
    </row>
    <row r="326" spans="1:35" ht="36" x14ac:dyDescent="0.3">
      <c r="A326" s="10" t="s">
        <v>1344</v>
      </c>
      <c r="B326" s="10" t="s">
        <v>1249</v>
      </c>
      <c r="C326" s="11" t="s">
        <v>1250</v>
      </c>
      <c r="D326" s="12"/>
      <c r="E326" s="12" t="s">
        <v>1345</v>
      </c>
      <c r="F326" s="12" t="s">
        <v>64</v>
      </c>
      <c r="G326" s="13">
        <v>1</v>
      </c>
      <c r="H326" s="13"/>
      <c r="I326" s="13">
        <v>25.11</v>
      </c>
      <c r="J326" s="14">
        <f>IFERROR(ROUND(SUM(M327,M328)/I326, 2),0)</f>
        <v>13.32</v>
      </c>
      <c r="K326" s="15">
        <v>428</v>
      </c>
      <c r="L326" s="14">
        <f>J326+ROUND(K326, 2)</f>
        <v>441.32</v>
      </c>
      <c r="M326" s="14">
        <f>ROUND(J326*I326, 2)</f>
        <v>334.47</v>
      </c>
      <c r="N326" s="14">
        <f>ROUND(I326*ROUND(K326, 2), 2)</f>
        <v>10747.08</v>
      </c>
      <c r="O326" s="14">
        <f>M326+N326</f>
        <v>11081.55</v>
      </c>
      <c r="P326" s="14">
        <f>IFERROR(ROUND(SUM(S327,S328)/I326, 2),0)</f>
        <v>13.32</v>
      </c>
      <c r="Q326" s="16">
        <v>428</v>
      </c>
      <c r="R326" s="14">
        <f>P326+ROUND(Q326, 2)</f>
        <v>441.32</v>
      </c>
      <c r="S326" s="14">
        <f>ROUND(P326*I326, 2)</f>
        <v>334.47</v>
      </c>
      <c r="T326" s="14">
        <f>ROUND(I326*ROUND(Q326, 2), 2)</f>
        <v>10747.08</v>
      </c>
      <c r="U326" s="14">
        <f>S326+T326</f>
        <v>11081.55</v>
      </c>
      <c r="V326" s="9">
        <f>ROUND(P326 / 1.2, 2)</f>
        <v>11.1</v>
      </c>
      <c r="W326" s="9">
        <f>ROUND(Q326 / 1.2, 2)</f>
        <v>356.67</v>
      </c>
      <c r="X326" s="9">
        <f>ROUND(R326 / 1.2, 2)</f>
        <v>367.77</v>
      </c>
      <c r="Y326" s="9">
        <f t="shared" si="18"/>
        <v>278.73</v>
      </c>
      <c r="Z326" s="9">
        <f>ROUND(T326 / 1.2, 2)</f>
        <v>8955.9</v>
      </c>
      <c r="AA326" s="9">
        <f>Y326+Z326</f>
        <v>9234.6299999999992</v>
      </c>
      <c r="AD326" s="4">
        <v>271132207</v>
      </c>
      <c r="AE326" s="4">
        <v>19990915</v>
      </c>
      <c r="AG326" s="4" t="s">
        <v>1252</v>
      </c>
      <c r="AH326" s="4" t="s">
        <v>1253</v>
      </c>
      <c r="AI326" s="4" t="s">
        <v>67</v>
      </c>
    </row>
    <row r="327" spans="1:35" ht="36" x14ac:dyDescent="0.3">
      <c r="A327" s="10" t="s">
        <v>1346</v>
      </c>
      <c r="B327" s="10"/>
      <c r="C327" s="24" t="s">
        <v>433</v>
      </c>
      <c r="D327" s="12"/>
      <c r="E327" s="12"/>
      <c r="F327" s="18" t="s">
        <v>70</v>
      </c>
      <c r="G327" s="19">
        <v>0.15</v>
      </c>
      <c r="H327" s="19"/>
      <c r="I327" s="19">
        <v>3.7669999999999999</v>
      </c>
      <c r="J327" s="21">
        <v>88.8</v>
      </c>
      <c r="M327" s="22">
        <f>ROUND(ROUND(J327, 2)*I327, 2)</f>
        <v>334.51</v>
      </c>
      <c r="P327" s="23">
        <v>88.8</v>
      </c>
      <c r="S327" s="22">
        <f>ROUND(ROUND(P327, 2)*I327, 2)</f>
        <v>334.51</v>
      </c>
      <c r="V327" s="9">
        <f>ROUND(ROUND(P327, 2)/1.2, 2)</f>
        <v>74</v>
      </c>
      <c r="Y327" s="9">
        <f t="shared" si="18"/>
        <v>278.76</v>
      </c>
      <c r="AD327" s="4" t="s">
        <v>1347</v>
      </c>
      <c r="AE327" s="4" t="s">
        <v>1348</v>
      </c>
      <c r="AF327" s="4" t="s">
        <v>436</v>
      </c>
    </row>
    <row r="328" spans="1:35" ht="108" x14ac:dyDescent="0.3">
      <c r="A328" s="10" t="s">
        <v>1349</v>
      </c>
      <c r="B328" s="10"/>
      <c r="C328" s="24" t="s">
        <v>1170</v>
      </c>
      <c r="D328" s="12"/>
      <c r="E328" s="12" t="s">
        <v>1350</v>
      </c>
      <c r="F328" s="18" t="s">
        <v>70</v>
      </c>
      <c r="G328" s="19">
        <v>0.3</v>
      </c>
      <c r="H328" s="19"/>
      <c r="I328" s="19">
        <v>7.5330000000000004</v>
      </c>
      <c r="J328" s="21">
        <v>0</v>
      </c>
      <c r="M328" s="22">
        <f>ROUND(ROUND(J328, 2)*I328, 2)</f>
        <v>0</v>
      </c>
      <c r="P328" s="23">
        <v>0</v>
      </c>
      <c r="S328" s="22">
        <f>ROUND(ROUND(P328, 2)*I328, 2)</f>
        <v>0</v>
      </c>
      <c r="V328" s="9">
        <f>ROUND(ROUND(P328, 2)/1.2, 2)</f>
        <v>0</v>
      </c>
      <c r="Y328" s="9">
        <f t="shared" ref="Y328:Y391" si="19">ROUND(S328 / 1.2, 2)</f>
        <v>0</v>
      </c>
      <c r="AD328" s="4" t="s">
        <v>1351</v>
      </c>
      <c r="AE328" s="4" t="s">
        <v>1352</v>
      </c>
      <c r="AF328" s="4" t="s">
        <v>1174</v>
      </c>
    </row>
    <row r="329" spans="1:35" ht="36" x14ac:dyDescent="0.3">
      <c r="A329" s="10" t="s">
        <v>1353</v>
      </c>
      <c r="B329" s="10" t="s">
        <v>1249</v>
      </c>
      <c r="C329" s="11" t="s">
        <v>1250</v>
      </c>
      <c r="D329" s="12"/>
      <c r="E329" s="12" t="s">
        <v>1354</v>
      </c>
      <c r="F329" s="12" t="s">
        <v>64</v>
      </c>
      <c r="G329" s="13">
        <v>1</v>
      </c>
      <c r="H329" s="13"/>
      <c r="I329" s="13">
        <v>4509.45</v>
      </c>
      <c r="J329" s="14">
        <f>IFERROR(ROUND(SUM(M330,M331)/I329, 2),0)</f>
        <v>13.32</v>
      </c>
      <c r="K329" s="15">
        <v>428</v>
      </c>
      <c r="L329" s="14">
        <f>J329+ROUND(K329, 2)</f>
        <v>441.32</v>
      </c>
      <c r="M329" s="14">
        <f>ROUND(J329*I329, 2)</f>
        <v>60065.87</v>
      </c>
      <c r="N329" s="14">
        <f>ROUND(I329*ROUND(K329, 2), 2)</f>
        <v>1930044.6</v>
      </c>
      <c r="O329" s="14">
        <f>M329+N329</f>
        <v>1990110.4700000002</v>
      </c>
      <c r="P329" s="14">
        <f>IFERROR(ROUND(SUM(S330,S331)/I329, 2),0)</f>
        <v>13.32</v>
      </c>
      <c r="Q329" s="16">
        <v>428</v>
      </c>
      <c r="R329" s="14">
        <f>P329+ROUND(Q329, 2)</f>
        <v>441.32</v>
      </c>
      <c r="S329" s="14">
        <f>ROUND(P329*I329, 2)</f>
        <v>60065.87</v>
      </c>
      <c r="T329" s="14">
        <f>ROUND(I329*ROUND(Q329, 2), 2)</f>
        <v>1930044.6</v>
      </c>
      <c r="U329" s="14">
        <f>S329+T329</f>
        <v>1990110.4700000002</v>
      </c>
      <c r="V329" s="9">
        <f>ROUND(P329 / 1.2, 2)</f>
        <v>11.1</v>
      </c>
      <c r="W329" s="9">
        <f>ROUND(Q329 / 1.2, 2)</f>
        <v>356.67</v>
      </c>
      <c r="X329" s="9">
        <f>ROUND(R329 / 1.2, 2)</f>
        <v>367.77</v>
      </c>
      <c r="Y329" s="9">
        <f t="shared" si="19"/>
        <v>50054.89</v>
      </c>
      <c r="Z329" s="9">
        <f>ROUND(T329 / 1.2, 2)</f>
        <v>1608370.5</v>
      </c>
      <c r="AA329" s="9">
        <f>Y329+Z329</f>
        <v>1658425.39</v>
      </c>
      <c r="AD329" s="4">
        <v>271132208</v>
      </c>
      <c r="AE329" s="4">
        <v>19991512</v>
      </c>
      <c r="AG329" s="4" t="s">
        <v>1252</v>
      </c>
      <c r="AH329" s="4" t="s">
        <v>1253</v>
      </c>
      <c r="AI329" s="4" t="s">
        <v>67</v>
      </c>
    </row>
    <row r="330" spans="1:35" ht="36" x14ac:dyDescent="0.3">
      <c r="A330" s="10" t="s">
        <v>1355</v>
      </c>
      <c r="B330" s="10"/>
      <c r="C330" s="24" t="s">
        <v>433</v>
      </c>
      <c r="D330" s="12"/>
      <c r="E330" s="12"/>
      <c r="F330" s="18" t="s">
        <v>70</v>
      </c>
      <c r="G330" s="19">
        <v>0.15</v>
      </c>
      <c r="H330" s="19"/>
      <c r="I330" s="19">
        <v>676.41800000000001</v>
      </c>
      <c r="J330" s="21">
        <v>88.8</v>
      </c>
      <c r="M330" s="22">
        <f>ROUND(ROUND(J330, 2)*I330, 2)</f>
        <v>60065.919999999998</v>
      </c>
      <c r="P330" s="23">
        <v>88.8</v>
      </c>
      <c r="S330" s="22">
        <f>ROUND(ROUND(P330, 2)*I330, 2)</f>
        <v>60065.919999999998</v>
      </c>
      <c r="V330" s="9">
        <f>ROUND(ROUND(P330, 2)/1.2, 2)</f>
        <v>74</v>
      </c>
      <c r="Y330" s="9">
        <f t="shared" si="19"/>
        <v>50054.93</v>
      </c>
      <c r="AD330" s="4" t="s">
        <v>1356</v>
      </c>
      <c r="AE330" s="4" t="s">
        <v>1357</v>
      </c>
      <c r="AF330" s="4" t="s">
        <v>436</v>
      </c>
    </row>
    <row r="331" spans="1:35" ht="108" x14ac:dyDescent="0.3">
      <c r="A331" s="10" t="s">
        <v>1358</v>
      </c>
      <c r="B331" s="10"/>
      <c r="C331" s="24" t="s">
        <v>1255</v>
      </c>
      <c r="D331" s="12"/>
      <c r="E331" s="12" t="s">
        <v>1256</v>
      </c>
      <c r="F331" s="18" t="s">
        <v>70</v>
      </c>
      <c r="G331" s="19">
        <v>0.3</v>
      </c>
      <c r="H331" s="19"/>
      <c r="I331" s="19">
        <v>1352.835</v>
      </c>
      <c r="J331" s="21">
        <v>0</v>
      </c>
      <c r="M331" s="22">
        <f>ROUND(ROUND(J331, 2)*I331, 2)</f>
        <v>0</v>
      </c>
      <c r="P331" s="23">
        <v>0</v>
      </c>
      <c r="S331" s="22">
        <f>ROUND(ROUND(P331, 2)*I331, 2)</f>
        <v>0</v>
      </c>
      <c r="V331" s="9">
        <f>ROUND(ROUND(P331, 2)/1.2, 2)</f>
        <v>0</v>
      </c>
      <c r="Y331" s="9">
        <f t="shared" si="19"/>
        <v>0</v>
      </c>
      <c r="AD331" s="4" t="s">
        <v>1359</v>
      </c>
      <c r="AE331" s="4" t="s">
        <v>1360</v>
      </c>
      <c r="AF331" s="4" t="s">
        <v>1259</v>
      </c>
    </row>
    <row r="332" spans="1:35" ht="36" x14ac:dyDescent="0.3">
      <c r="A332" s="10" t="s">
        <v>1361</v>
      </c>
      <c r="B332" s="10" t="s">
        <v>1249</v>
      </c>
      <c r="C332" s="11" t="s">
        <v>1250</v>
      </c>
      <c r="D332" s="12"/>
      <c r="E332" s="12" t="s">
        <v>1362</v>
      </c>
      <c r="F332" s="12" t="s">
        <v>64</v>
      </c>
      <c r="G332" s="13">
        <v>1</v>
      </c>
      <c r="H332" s="13"/>
      <c r="I332" s="13">
        <v>8.64</v>
      </c>
      <c r="J332" s="14">
        <f>IFERROR(ROUND(SUM(M333,M334)/I332, 2),0)</f>
        <v>13.32</v>
      </c>
      <c r="K332" s="15">
        <v>428</v>
      </c>
      <c r="L332" s="14">
        <f>J332+ROUND(K332, 2)</f>
        <v>441.32</v>
      </c>
      <c r="M332" s="14">
        <f>ROUND(J332*I332, 2)</f>
        <v>115.08</v>
      </c>
      <c r="N332" s="14">
        <f>ROUND(I332*ROUND(K332, 2), 2)</f>
        <v>3697.92</v>
      </c>
      <c r="O332" s="14">
        <f>M332+N332</f>
        <v>3813</v>
      </c>
      <c r="P332" s="14">
        <f>IFERROR(ROUND(SUM(S333,S334)/I332, 2),0)</f>
        <v>13.32</v>
      </c>
      <c r="Q332" s="16">
        <v>428</v>
      </c>
      <c r="R332" s="14">
        <f>P332+ROUND(Q332, 2)</f>
        <v>441.32</v>
      </c>
      <c r="S332" s="14">
        <f>ROUND(P332*I332, 2)</f>
        <v>115.08</v>
      </c>
      <c r="T332" s="14">
        <f>ROUND(I332*ROUND(Q332, 2), 2)</f>
        <v>3697.92</v>
      </c>
      <c r="U332" s="14">
        <f>S332+T332</f>
        <v>3813</v>
      </c>
      <c r="V332" s="9">
        <f>ROUND(P332 / 1.2, 2)</f>
        <v>11.1</v>
      </c>
      <c r="W332" s="9">
        <f>ROUND(Q332 / 1.2, 2)</f>
        <v>356.67</v>
      </c>
      <c r="X332" s="9">
        <f>ROUND(R332 / 1.2, 2)</f>
        <v>367.77</v>
      </c>
      <c r="Y332" s="9">
        <f t="shared" si="19"/>
        <v>95.9</v>
      </c>
      <c r="Z332" s="9">
        <f>ROUND(T332 / 1.2, 2)</f>
        <v>3081.6</v>
      </c>
      <c r="AA332" s="9">
        <f>Y332+Z332</f>
        <v>3177.5</v>
      </c>
      <c r="AD332" s="4">
        <v>271132209</v>
      </c>
      <c r="AE332" s="4">
        <v>19991513</v>
      </c>
      <c r="AG332" s="4" t="s">
        <v>1252</v>
      </c>
      <c r="AH332" s="4" t="s">
        <v>1253</v>
      </c>
      <c r="AI332" s="4" t="s">
        <v>67</v>
      </c>
    </row>
    <row r="333" spans="1:35" ht="36" x14ac:dyDescent="0.3">
      <c r="A333" s="10" t="s">
        <v>1363</v>
      </c>
      <c r="B333" s="10"/>
      <c r="C333" s="24" t="s">
        <v>433</v>
      </c>
      <c r="D333" s="12"/>
      <c r="E333" s="12"/>
      <c r="F333" s="18" t="s">
        <v>70</v>
      </c>
      <c r="G333" s="19">
        <v>0.15</v>
      </c>
      <c r="H333" s="19"/>
      <c r="I333" s="19">
        <v>1.296</v>
      </c>
      <c r="J333" s="21">
        <v>88.8</v>
      </c>
      <c r="M333" s="22">
        <f>ROUND(ROUND(J333, 2)*I333, 2)</f>
        <v>115.08</v>
      </c>
      <c r="P333" s="23">
        <v>88.8</v>
      </c>
      <c r="S333" s="22">
        <f>ROUND(ROUND(P333, 2)*I333, 2)</f>
        <v>115.08</v>
      </c>
      <c r="V333" s="9">
        <f>ROUND(ROUND(P333, 2)/1.2, 2)</f>
        <v>74</v>
      </c>
      <c r="Y333" s="9">
        <f t="shared" si="19"/>
        <v>95.9</v>
      </c>
      <c r="AD333" s="4" t="s">
        <v>1364</v>
      </c>
      <c r="AE333" s="4" t="s">
        <v>1365</v>
      </c>
      <c r="AF333" s="4" t="s">
        <v>436</v>
      </c>
    </row>
    <row r="334" spans="1:35" ht="108" x14ac:dyDescent="0.3">
      <c r="A334" s="10" t="s">
        <v>1366</v>
      </c>
      <c r="B334" s="10"/>
      <c r="C334" s="24" t="s">
        <v>1170</v>
      </c>
      <c r="D334" s="12"/>
      <c r="E334" s="12" t="s">
        <v>1269</v>
      </c>
      <c r="F334" s="18" t="s">
        <v>70</v>
      </c>
      <c r="G334" s="19">
        <v>0.3</v>
      </c>
      <c r="H334" s="19"/>
      <c r="I334" s="19">
        <v>2.5920000000000001</v>
      </c>
      <c r="J334" s="21">
        <v>0</v>
      </c>
      <c r="M334" s="22">
        <f>ROUND(ROUND(J334, 2)*I334, 2)</f>
        <v>0</v>
      </c>
      <c r="P334" s="23">
        <v>0</v>
      </c>
      <c r="S334" s="22">
        <f>ROUND(ROUND(P334, 2)*I334, 2)</f>
        <v>0</v>
      </c>
      <c r="V334" s="9">
        <f>ROUND(ROUND(P334, 2)/1.2, 2)</f>
        <v>0</v>
      </c>
      <c r="Y334" s="9">
        <f t="shared" si="19"/>
        <v>0</v>
      </c>
      <c r="AD334" s="4" t="s">
        <v>1367</v>
      </c>
      <c r="AE334" s="4" t="s">
        <v>1368</v>
      </c>
      <c r="AF334" s="4" t="s">
        <v>1174</v>
      </c>
    </row>
    <row r="335" spans="1:35" ht="36" x14ac:dyDescent="0.3">
      <c r="A335" s="10" t="s">
        <v>1369</v>
      </c>
      <c r="B335" s="10" t="s">
        <v>1249</v>
      </c>
      <c r="C335" s="11" t="s">
        <v>1250</v>
      </c>
      <c r="D335" s="12"/>
      <c r="E335" s="12" t="s">
        <v>1370</v>
      </c>
      <c r="F335" s="12" t="s">
        <v>64</v>
      </c>
      <c r="G335" s="13">
        <v>1</v>
      </c>
      <c r="H335" s="13"/>
      <c r="I335" s="13">
        <v>34.68</v>
      </c>
      <c r="J335" s="14">
        <f>IFERROR(ROUND(SUM(M336,M337)/I335, 2),0)</f>
        <v>13.32</v>
      </c>
      <c r="K335" s="15">
        <v>428</v>
      </c>
      <c r="L335" s="14">
        <f>J335+ROUND(K335, 2)</f>
        <v>441.32</v>
      </c>
      <c r="M335" s="14">
        <f>ROUND(J335*I335, 2)</f>
        <v>461.94</v>
      </c>
      <c r="N335" s="14">
        <f>ROUND(I335*ROUND(K335, 2), 2)</f>
        <v>14843.04</v>
      </c>
      <c r="O335" s="14">
        <f>M335+N335</f>
        <v>15304.980000000001</v>
      </c>
      <c r="P335" s="14">
        <f>IFERROR(ROUND(SUM(S336,S337)/I335, 2),0)</f>
        <v>13.32</v>
      </c>
      <c r="Q335" s="16">
        <v>428</v>
      </c>
      <c r="R335" s="14">
        <f>P335+ROUND(Q335, 2)</f>
        <v>441.32</v>
      </c>
      <c r="S335" s="14">
        <f>ROUND(P335*I335, 2)</f>
        <v>461.94</v>
      </c>
      <c r="T335" s="14">
        <f>ROUND(I335*ROUND(Q335, 2), 2)</f>
        <v>14843.04</v>
      </c>
      <c r="U335" s="14">
        <f>S335+T335</f>
        <v>15304.980000000001</v>
      </c>
      <c r="V335" s="9">
        <f>ROUND(P335 / 1.2, 2)</f>
        <v>11.1</v>
      </c>
      <c r="W335" s="9">
        <f>ROUND(Q335 / 1.2, 2)</f>
        <v>356.67</v>
      </c>
      <c r="X335" s="9">
        <f>ROUND(R335 / 1.2, 2)</f>
        <v>367.77</v>
      </c>
      <c r="Y335" s="9">
        <f t="shared" si="19"/>
        <v>384.95</v>
      </c>
      <c r="Z335" s="9">
        <f>ROUND(T335 / 1.2, 2)</f>
        <v>12369.2</v>
      </c>
      <c r="AA335" s="9">
        <f>Y335+Z335</f>
        <v>12754.150000000001</v>
      </c>
      <c r="AD335" s="4">
        <v>271132210</v>
      </c>
      <c r="AE335" s="4">
        <v>19991514</v>
      </c>
      <c r="AG335" s="4" t="s">
        <v>1252</v>
      </c>
      <c r="AH335" s="4" t="s">
        <v>1253</v>
      </c>
      <c r="AI335" s="4" t="s">
        <v>67</v>
      </c>
    </row>
    <row r="336" spans="1:35" ht="36" x14ac:dyDescent="0.3">
      <c r="A336" s="10" t="s">
        <v>1371</v>
      </c>
      <c r="B336" s="10"/>
      <c r="C336" s="24" t="s">
        <v>433</v>
      </c>
      <c r="D336" s="12"/>
      <c r="E336" s="12"/>
      <c r="F336" s="18" t="s">
        <v>70</v>
      </c>
      <c r="G336" s="19">
        <v>0.15</v>
      </c>
      <c r="H336" s="19"/>
      <c r="I336" s="19">
        <v>5.202</v>
      </c>
      <c r="J336" s="21">
        <v>88.8</v>
      </c>
      <c r="M336" s="22">
        <f>ROUND(ROUND(J336, 2)*I336, 2)</f>
        <v>461.94</v>
      </c>
      <c r="P336" s="23">
        <v>88.8</v>
      </c>
      <c r="S336" s="22">
        <f>ROUND(ROUND(P336, 2)*I336, 2)</f>
        <v>461.94</v>
      </c>
      <c r="V336" s="9">
        <f>ROUND(ROUND(P336, 2)/1.2, 2)</f>
        <v>74</v>
      </c>
      <c r="Y336" s="9">
        <f t="shared" si="19"/>
        <v>384.95</v>
      </c>
      <c r="AD336" s="4" t="s">
        <v>1372</v>
      </c>
      <c r="AE336" s="4" t="s">
        <v>1373</v>
      </c>
      <c r="AF336" s="4" t="s">
        <v>436</v>
      </c>
    </row>
    <row r="337" spans="1:35" ht="108" x14ac:dyDescent="0.3">
      <c r="A337" s="10" t="s">
        <v>1374</v>
      </c>
      <c r="B337" s="10"/>
      <c r="C337" s="24" t="s">
        <v>1170</v>
      </c>
      <c r="D337" s="12"/>
      <c r="E337" s="12" t="s">
        <v>1278</v>
      </c>
      <c r="F337" s="18" t="s">
        <v>70</v>
      </c>
      <c r="G337" s="19">
        <v>0.3</v>
      </c>
      <c r="H337" s="19"/>
      <c r="I337" s="19">
        <v>10.404</v>
      </c>
      <c r="J337" s="21">
        <v>0</v>
      </c>
      <c r="M337" s="22">
        <f>ROUND(ROUND(J337, 2)*I337, 2)</f>
        <v>0</v>
      </c>
      <c r="P337" s="23">
        <v>0</v>
      </c>
      <c r="S337" s="22">
        <f>ROUND(ROUND(P337, 2)*I337, 2)</f>
        <v>0</v>
      </c>
      <c r="V337" s="9">
        <f>ROUND(ROUND(P337, 2)/1.2, 2)</f>
        <v>0</v>
      </c>
      <c r="Y337" s="9">
        <f t="shared" si="19"/>
        <v>0</v>
      </c>
      <c r="AD337" s="4" t="s">
        <v>1375</v>
      </c>
      <c r="AE337" s="4" t="s">
        <v>1376</v>
      </c>
      <c r="AF337" s="4" t="s">
        <v>1174</v>
      </c>
    </row>
    <row r="338" spans="1:35" ht="36" x14ac:dyDescent="0.3">
      <c r="A338" s="10" t="s">
        <v>1377</v>
      </c>
      <c r="B338" s="10" t="s">
        <v>1249</v>
      </c>
      <c r="C338" s="11" t="s">
        <v>1250</v>
      </c>
      <c r="D338" s="12"/>
      <c r="E338" s="12" t="s">
        <v>1378</v>
      </c>
      <c r="F338" s="12" t="s">
        <v>64</v>
      </c>
      <c r="G338" s="13">
        <v>1</v>
      </c>
      <c r="H338" s="13"/>
      <c r="I338" s="13">
        <v>24.37</v>
      </c>
      <c r="J338" s="14">
        <f>IFERROR(ROUND(SUM(M339,M340)/I338, 2),0)</f>
        <v>13.32</v>
      </c>
      <c r="K338" s="15">
        <v>428</v>
      </c>
      <c r="L338" s="14">
        <f>J338+ROUND(K338, 2)</f>
        <v>441.32</v>
      </c>
      <c r="M338" s="14">
        <f>ROUND(J338*I338, 2)</f>
        <v>324.61</v>
      </c>
      <c r="N338" s="14">
        <f>ROUND(I338*ROUND(K338, 2), 2)</f>
        <v>10430.36</v>
      </c>
      <c r="O338" s="14">
        <f>M338+N338</f>
        <v>10754.970000000001</v>
      </c>
      <c r="P338" s="14">
        <f>IFERROR(ROUND(SUM(S339,S340)/I338, 2),0)</f>
        <v>13.32</v>
      </c>
      <c r="Q338" s="16">
        <v>428</v>
      </c>
      <c r="R338" s="14">
        <f>P338+ROUND(Q338, 2)</f>
        <v>441.32</v>
      </c>
      <c r="S338" s="14">
        <f>ROUND(P338*I338, 2)</f>
        <v>324.61</v>
      </c>
      <c r="T338" s="14">
        <f>ROUND(I338*ROUND(Q338, 2), 2)</f>
        <v>10430.36</v>
      </c>
      <c r="U338" s="14">
        <f>S338+T338</f>
        <v>10754.970000000001</v>
      </c>
      <c r="V338" s="9">
        <f>ROUND(P338 / 1.2, 2)</f>
        <v>11.1</v>
      </c>
      <c r="W338" s="9">
        <f>ROUND(Q338 / 1.2, 2)</f>
        <v>356.67</v>
      </c>
      <c r="X338" s="9">
        <f>ROUND(R338 / 1.2, 2)</f>
        <v>367.77</v>
      </c>
      <c r="Y338" s="9">
        <f t="shared" si="19"/>
        <v>270.51</v>
      </c>
      <c r="Z338" s="9">
        <f>ROUND(T338 / 1.2, 2)</f>
        <v>8691.9699999999993</v>
      </c>
      <c r="AA338" s="9">
        <f>Y338+Z338</f>
        <v>8962.48</v>
      </c>
      <c r="AD338" s="4">
        <v>271132211</v>
      </c>
      <c r="AE338" s="4">
        <v>19991515</v>
      </c>
      <c r="AG338" s="4" t="s">
        <v>1252</v>
      </c>
      <c r="AH338" s="4" t="s">
        <v>1253</v>
      </c>
      <c r="AI338" s="4" t="s">
        <v>67</v>
      </c>
    </row>
    <row r="339" spans="1:35" ht="36" x14ac:dyDescent="0.3">
      <c r="A339" s="10" t="s">
        <v>1379</v>
      </c>
      <c r="B339" s="10"/>
      <c r="C339" s="24" t="s">
        <v>433</v>
      </c>
      <c r="D339" s="12"/>
      <c r="E339" s="12"/>
      <c r="F339" s="18" t="s">
        <v>70</v>
      </c>
      <c r="G339" s="19">
        <v>0.15</v>
      </c>
      <c r="H339" s="19"/>
      <c r="I339" s="19">
        <v>3.6560000000000001</v>
      </c>
      <c r="J339" s="21">
        <v>88.8</v>
      </c>
      <c r="M339" s="22">
        <f>ROUND(ROUND(J339, 2)*I339, 2)</f>
        <v>324.64999999999998</v>
      </c>
      <c r="P339" s="23">
        <v>88.8</v>
      </c>
      <c r="S339" s="22">
        <f>ROUND(ROUND(P339, 2)*I339, 2)</f>
        <v>324.64999999999998</v>
      </c>
      <c r="V339" s="9">
        <f>ROUND(ROUND(P339, 2)/1.2, 2)</f>
        <v>74</v>
      </c>
      <c r="Y339" s="9">
        <f t="shared" si="19"/>
        <v>270.54000000000002</v>
      </c>
      <c r="AD339" s="4" t="s">
        <v>1380</v>
      </c>
      <c r="AE339" s="4" t="s">
        <v>1381</v>
      </c>
      <c r="AF339" s="4" t="s">
        <v>436</v>
      </c>
    </row>
    <row r="340" spans="1:35" ht="108" x14ac:dyDescent="0.3">
      <c r="A340" s="10" t="s">
        <v>1382</v>
      </c>
      <c r="B340" s="10"/>
      <c r="C340" s="24" t="s">
        <v>1170</v>
      </c>
      <c r="D340" s="12"/>
      <c r="E340" s="12" t="s">
        <v>1287</v>
      </c>
      <c r="F340" s="18" t="s">
        <v>70</v>
      </c>
      <c r="G340" s="19">
        <v>0.3</v>
      </c>
      <c r="H340" s="19"/>
      <c r="I340" s="19">
        <v>7.3109999999999999</v>
      </c>
      <c r="J340" s="21">
        <v>0</v>
      </c>
      <c r="M340" s="22">
        <f>ROUND(ROUND(J340, 2)*I340, 2)</f>
        <v>0</v>
      </c>
      <c r="P340" s="23">
        <v>0</v>
      </c>
      <c r="S340" s="22">
        <f>ROUND(ROUND(P340, 2)*I340, 2)</f>
        <v>0</v>
      </c>
      <c r="V340" s="9">
        <f>ROUND(ROUND(P340, 2)/1.2, 2)</f>
        <v>0</v>
      </c>
      <c r="Y340" s="9">
        <f t="shared" si="19"/>
        <v>0</v>
      </c>
      <c r="AD340" s="4" t="s">
        <v>1383</v>
      </c>
      <c r="AE340" s="4" t="s">
        <v>1384</v>
      </c>
      <c r="AF340" s="4" t="s">
        <v>1174</v>
      </c>
    </row>
    <row r="341" spans="1:35" ht="36" x14ac:dyDescent="0.3">
      <c r="A341" s="10" t="s">
        <v>1385</v>
      </c>
      <c r="B341" s="10" t="s">
        <v>1249</v>
      </c>
      <c r="C341" s="11" t="s">
        <v>1250</v>
      </c>
      <c r="D341" s="12"/>
      <c r="E341" s="12" t="s">
        <v>1386</v>
      </c>
      <c r="F341" s="12" t="s">
        <v>64</v>
      </c>
      <c r="G341" s="13">
        <v>1</v>
      </c>
      <c r="H341" s="13"/>
      <c r="I341" s="13">
        <v>4.95</v>
      </c>
      <c r="J341" s="14">
        <f>IFERROR(ROUND(SUM(M342,M343)/I341, 2),0)</f>
        <v>13.33</v>
      </c>
      <c r="K341" s="15">
        <v>428</v>
      </c>
      <c r="L341" s="14">
        <f>J341+ROUND(K341, 2)</f>
        <v>441.33</v>
      </c>
      <c r="M341" s="14">
        <f>ROUND(J341*I341, 2)</f>
        <v>65.98</v>
      </c>
      <c r="N341" s="14">
        <f>ROUND(I341*ROUND(K341, 2), 2)</f>
        <v>2118.6</v>
      </c>
      <c r="O341" s="14">
        <f>M341+N341</f>
        <v>2184.58</v>
      </c>
      <c r="P341" s="14">
        <f>IFERROR(ROUND(SUM(S342,S343)/I341, 2),0)</f>
        <v>13.33</v>
      </c>
      <c r="Q341" s="16">
        <v>428</v>
      </c>
      <c r="R341" s="14">
        <f>P341+ROUND(Q341, 2)</f>
        <v>441.33</v>
      </c>
      <c r="S341" s="14">
        <f>ROUND(P341*I341, 2)</f>
        <v>65.98</v>
      </c>
      <c r="T341" s="14">
        <f>ROUND(I341*ROUND(Q341, 2), 2)</f>
        <v>2118.6</v>
      </c>
      <c r="U341" s="14">
        <f>S341+T341</f>
        <v>2184.58</v>
      </c>
      <c r="V341" s="9">
        <f>ROUND(P341 / 1.2, 2)</f>
        <v>11.11</v>
      </c>
      <c r="W341" s="9">
        <f>ROUND(Q341 / 1.2, 2)</f>
        <v>356.67</v>
      </c>
      <c r="X341" s="9">
        <f>ROUND(R341 / 1.2, 2)</f>
        <v>367.78</v>
      </c>
      <c r="Y341" s="9">
        <f t="shared" si="19"/>
        <v>54.98</v>
      </c>
      <c r="Z341" s="9">
        <f>ROUND(T341 / 1.2, 2)</f>
        <v>1765.5</v>
      </c>
      <c r="AA341" s="9">
        <f>Y341+Z341</f>
        <v>1820.48</v>
      </c>
      <c r="AD341" s="4">
        <v>271132212</v>
      </c>
      <c r="AE341" s="4">
        <v>19992002</v>
      </c>
      <c r="AG341" s="4" t="s">
        <v>1252</v>
      </c>
      <c r="AH341" s="4" t="s">
        <v>1253</v>
      </c>
      <c r="AI341" s="4" t="s">
        <v>67</v>
      </c>
    </row>
    <row r="342" spans="1:35" ht="36" x14ac:dyDescent="0.3">
      <c r="A342" s="10" t="s">
        <v>1387</v>
      </c>
      <c r="B342" s="10"/>
      <c r="C342" s="24" t="s">
        <v>433</v>
      </c>
      <c r="D342" s="12"/>
      <c r="E342" s="12"/>
      <c r="F342" s="18" t="s">
        <v>70</v>
      </c>
      <c r="G342" s="19">
        <v>0.15</v>
      </c>
      <c r="H342" s="19"/>
      <c r="I342" s="19">
        <v>0.74299999999999999</v>
      </c>
      <c r="J342" s="21">
        <v>88.8</v>
      </c>
      <c r="M342" s="22">
        <f>ROUND(ROUND(J342, 2)*I342, 2)</f>
        <v>65.98</v>
      </c>
      <c r="P342" s="23">
        <v>88.8</v>
      </c>
      <c r="S342" s="22">
        <f>ROUND(ROUND(P342, 2)*I342, 2)</f>
        <v>65.98</v>
      </c>
      <c r="V342" s="9">
        <f>ROUND(ROUND(P342, 2)/1.2, 2)</f>
        <v>74</v>
      </c>
      <c r="Y342" s="9">
        <f t="shared" si="19"/>
        <v>54.98</v>
      </c>
      <c r="AD342" s="4" t="s">
        <v>1388</v>
      </c>
      <c r="AE342" s="4" t="s">
        <v>1389</v>
      </c>
      <c r="AF342" s="4" t="s">
        <v>436</v>
      </c>
    </row>
    <row r="343" spans="1:35" ht="108" x14ac:dyDescent="0.3">
      <c r="A343" s="10" t="s">
        <v>1390</v>
      </c>
      <c r="B343" s="10"/>
      <c r="C343" s="24" t="s">
        <v>1170</v>
      </c>
      <c r="D343" s="12"/>
      <c r="E343" s="12" t="s">
        <v>1296</v>
      </c>
      <c r="F343" s="18" t="s">
        <v>70</v>
      </c>
      <c r="G343" s="19">
        <v>0.3</v>
      </c>
      <c r="H343" s="19"/>
      <c r="I343" s="19">
        <v>1.4850000000000001</v>
      </c>
      <c r="J343" s="21">
        <v>0</v>
      </c>
      <c r="M343" s="22">
        <f>ROUND(ROUND(J343, 2)*I343, 2)</f>
        <v>0</v>
      </c>
      <c r="P343" s="23">
        <v>0</v>
      </c>
      <c r="S343" s="22">
        <f>ROUND(ROUND(P343, 2)*I343, 2)</f>
        <v>0</v>
      </c>
      <c r="V343" s="9">
        <f>ROUND(ROUND(P343, 2)/1.2, 2)</f>
        <v>0</v>
      </c>
      <c r="Y343" s="9">
        <f t="shared" si="19"/>
        <v>0</v>
      </c>
      <c r="AD343" s="4" t="s">
        <v>1391</v>
      </c>
      <c r="AE343" s="4" t="s">
        <v>1392</v>
      </c>
      <c r="AF343" s="4" t="s">
        <v>1174</v>
      </c>
    </row>
    <row r="344" spans="1:35" ht="36" x14ac:dyDescent="0.3">
      <c r="A344" s="10" t="s">
        <v>1393</v>
      </c>
      <c r="B344" s="10" t="s">
        <v>1249</v>
      </c>
      <c r="C344" s="11" t="s">
        <v>1250</v>
      </c>
      <c r="D344" s="12"/>
      <c r="E344" s="12" t="s">
        <v>1394</v>
      </c>
      <c r="F344" s="12" t="s">
        <v>64</v>
      </c>
      <c r="G344" s="13">
        <v>1</v>
      </c>
      <c r="H344" s="13"/>
      <c r="I344" s="13">
        <v>11.73</v>
      </c>
      <c r="J344" s="14">
        <f>IFERROR(ROUND(SUM(M345,M346)/I344, 2),0)</f>
        <v>13.32</v>
      </c>
      <c r="K344" s="15">
        <v>428</v>
      </c>
      <c r="L344" s="14">
        <f>J344+ROUND(K344, 2)</f>
        <v>441.32</v>
      </c>
      <c r="M344" s="14">
        <f>ROUND(J344*I344, 2)</f>
        <v>156.24</v>
      </c>
      <c r="N344" s="14">
        <f>ROUND(I344*ROUND(K344, 2), 2)</f>
        <v>5020.4399999999996</v>
      </c>
      <c r="O344" s="14">
        <f>M344+N344</f>
        <v>5176.6799999999994</v>
      </c>
      <c r="P344" s="14">
        <f>IFERROR(ROUND(SUM(S345,S346)/I344, 2),0)</f>
        <v>13.32</v>
      </c>
      <c r="Q344" s="16">
        <v>428</v>
      </c>
      <c r="R344" s="14">
        <f>P344+ROUND(Q344, 2)</f>
        <v>441.32</v>
      </c>
      <c r="S344" s="14">
        <f>ROUND(P344*I344, 2)</f>
        <v>156.24</v>
      </c>
      <c r="T344" s="14">
        <f>ROUND(I344*ROUND(Q344, 2), 2)</f>
        <v>5020.4399999999996</v>
      </c>
      <c r="U344" s="14">
        <f>S344+T344</f>
        <v>5176.6799999999994</v>
      </c>
      <c r="V344" s="9">
        <f>ROUND(P344 / 1.2, 2)</f>
        <v>11.1</v>
      </c>
      <c r="W344" s="9">
        <f>ROUND(Q344 / 1.2, 2)</f>
        <v>356.67</v>
      </c>
      <c r="X344" s="9">
        <f>ROUND(R344 / 1.2, 2)</f>
        <v>367.77</v>
      </c>
      <c r="Y344" s="9">
        <f t="shared" si="19"/>
        <v>130.19999999999999</v>
      </c>
      <c r="Z344" s="9">
        <f>ROUND(T344 / 1.2, 2)</f>
        <v>4183.7</v>
      </c>
      <c r="AA344" s="9">
        <f>Y344+Z344</f>
        <v>4313.8999999999996</v>
      </c>
      <c r="AD344" s="4">
        <v>271132213</v>
      </c>
      <c r="AE344" s="4">
        <v>19992003</v>
      </c>
      <c r="AG344" s="4" t="s">
        <v>1252</v>
      </c>
      <c r="AH344" s="4" t="s">
        <v>1253</v>
      </c>
      <c r="AI344" s="4" t="s">
        <v>67</v>
      </c>
    </row>
    <row r="345" spans="1:35" ht="36" x14ac:dyDescent="0.3">
      <c r="A345" s="10" t="s">
        <v>1395</v>
      </c>
      <c r="B345" s="10"/>
      <c r="C345" s="24" t="s">
        <v>433</v>
      </c>
      <c r="D345" s="12"/>
      <c r="E345" s="12"/>
      <c r="F345" s="18" t="s">
        <v>70</v>
      </c>
      <c r="G345" s="19">
        <v>0.15</v>
      </c>
      <c r="H345" s="19"/>
      <c r="I345" s="19">
        <v>1.76</v>
      </c>
      <c r="J345" s="21">
        <v>88.8</v>
      </c>
      <c r="M345" s="22">
        <f>ROUND(ROUND(J345, 2)*I345, 2)</f>
        <v>156.29</v>
      </c>
      <c r="P345" s="23">
        <v>88.8</v>
      </c>
      <c r="S345" s="22">
        <f>ROUND(ROUND(P345, 2)*I345, 2)</f>
        <v>156.29</v>
      </c>
      <c r="V345" s="9">
        <f>ROUND(ROUND(P345, 2)/1.2, 2)</f>
        <v>74</v>
      </c>
      <c r="Y345" s="9">
        <f t="shared" si="19"/>
        <v>130.24</v>
      </c>
      <c r="AD345" s="4" t="s">
        <v>1396</v>
      </c>
      <c r="AE345" s="4" t="s">
        <v>1397</v>
      </c>
      <c r="AF345" s="4" t="s">
        <v>436</v>
      </c>
    </row>
    <row r="346" spans="1:35" ht="108" x14ac:dyDescent="0.3">
      <c r="A346" s="10" t="s">
        <v>1398</v>
      </c>
      <c r="B346" s="10"/>
      <c r="C346" s="24" t="s">
        <v>1170</v>
      </c>
      <c r="D346" s="12"/>
      <c r="E346" s="12" t="s">
        <v>1305</v>
      </c>
      <c r="F346" s="18" t="s">
        <v>70</v>
      </c>
      <c r="G346" s="19">
        <v>0.3</v>
      </c>
      <c r="H346" s="19"/>
      <c r="I346" s="19">
        <v>3.5190000000000001</v>
      </c>
      <c r="J346" s="21">
        <v>0</v>
      </c>
      <c r="M346" s="22">
        <f>ROUND(ROUND(J346, 2)*I346, 2)</f>
        <v>0</v>
      </c>
      <c r="P346" s="23">
        <v>0</v>
      </c>
      <c r="S346" s="22">
        <f>ROUND(ROUND(P346, 2)*I346, 2)</f>
        <v>0</v>
      </c>
      <c r="V346" s="9">
        <f>ROUND(ROUND(P346, 2)/1.2, 2)</f>
        <v>0</v>
      </c>
      <c r="Y346" s="9">
        <f t="shared" si="19"/>
        <v>0</v>
      </c>
      <c r="AD346" s="4" t="s">
        <v>1399</v>
      </c>
      <c r="AE346" s="4" t="s">
        <v>1400</v>
      </c>
      <c r="AF346" s="4" t="s">
        <v>1174</v>
      </c>
    </row>
    <row r="347" spans="1:35" ht="36" x14ac:dyDescent="0.3">
      <c r="A347" s="10" t="s">
        <v>1401</v>
      </c>
      <c r="B347" s="10" t="s">
        <v>1249</v>
      </c>
      <c r="C347" s="11" t="s">
        <v>1250</v>
      </c>
      <c r="D347" s="12"/>
      <c r="E347" s="12" t="s">
        <v>1402</v>
      </c>
      <c r="F347" s="12" t="s">
        <v>64</v>
      </c>
      <c r="G347" s="13">
        <v>1</v>
      </c>
      <c r="H347" s="13"/>
      <c r="I347" s="13">
        <v>18.63</v>
      </c>
      <c r="J347" s="14">
        <f>IFERROR(ROUND(SUM(M348,M349)/I347, 2),0)</f>
        <v>13.32</v>
      </c>
      <c r="K347" s="15">
        <v>428</v>
      </c>
      <c r="L347" s="14">
        <f>J347+ROUND(K347, 2)</f>
        <v>441.32</v>
      </c>
      <c r="M347" s="14">
        <f>ROUND(J347*I347, 2)</f>
        <v>248.15</v>
      </c>
      <c r="N347" s="14">
        <f>ROUND(I347*ROUND(K347, 2), 2)</f>
        <v>7973.64</v>
      </c>
      <c r="O347" s="14">
        <f>M347+N347</f>
        <v>8221.7900000000009</v>
      </c>
      <c r="P347" s="14">
        <f>IFERROR(ROUND(SUM(S348,S349)/I347, 2),0)</f>
        <v>13.32</v>
      </c>
      <c r="Q347" s="16">
        <v>428</v>
      </c>
      <c r="R347" s="14">
        <f>P347+ROUND(Q347, 2)</f>
        <v>441.32</v>
      </c>
      <c r="S347" s="14">
        <f>ROUND(P347*I347, 2)</f>
        <v>248.15</v>
      </c>
      <c r="T347" s="14">
        <f>ROUND(I347*ROUND(Q347, 2), 2)</f>
        <v>7973.64</v>
      </c>
      <c r="U347" s="14">
        <f>S347+T347</f>
        <v>8221.7900000000009</v>
      </c>
      <c r="V347" s="9">
        <f>ROUND(P347 / 1.2, 2)</f>
        <v>11.1</v>
      </c>
      <c r="W347" s="9">
        <f>ROUND(Q347 / 1.2, 2)</f>
        <v>356.67</v>
      </c>
      <c r="X347" s="9">
        <f>ROUND(R347 / 1.2, 2)</f>
        <v>367.77</v>
      </c>
      <c r="Y347" s="9">
        <f t="shared" si="19"/>
        <v>206.79</v>
      </c>
      <c r="Z347" s="9">
        <f>ROUND(T347 / 1.2, 2)</f>
        <v>6644.7</v>
      </c>
      <c r="AA347" s="9">
        <f>Y347+Z347</f>
        <v>6851.49</v>
      </c>
      <c r="AD347" s="4">
        <v>271132214</v>
      </c>
      <c r="AE347" s="4">
        <v>19992004</v>
      </c>
      <c r="AG347" s="4" t="s">
        <v>1252</v>
      </c>
      <c r="AH347" s="4" t="s">
        <v>1253</v>
      </c>
      <c r="AI347" s="4" t="s">
        <v>67</v>
      </c>
    </row>
    <row r="348" spans="1:35" ht="36" x14ac:dyDescent="0.3">
      <c r="A348" s="10" t="s">
        <v>1403</v>
      </c>
      <c r="B348" s="10"/>
      <c r="C348" s="24" t="s">
        <v>433</v>
      </c>
      <c r="D348" s="12"/>
      <c r="E348" s="12"/>
      <c r="F348" s="18" t="s">
        <v>70</v>
      </c>
      <c r="G348" s="19">
        <v>0.15</v>
      </c>
      <c r="H348" s="19"/>
      <c r="I348" s="19">
        <v>2.7949999999999999</v>
      </c>
      <c r="J348" s="21">
        <v>88.8</v>
      </c>
      <c r="M348" s="22">
        <f>ROUND(ROUND(J348, 2)*I348, 2)</f>
        <v>248.2</v>
      </c>
      <c r="P348" s="23">
        <v>88.8</v>
      </c>
      <c r="S348" s="22">
        <f>ROUND(ROUND(P348, 2)*I348, 2)</f>
        <v>248.2</v>
      </c>
      <c r="V348" s="9">
        <f>ROUND(ROUND(P348, 2)/1.2, 2)</f>
        <v>74</v>
      </c>
      <c r="Y348" s="9">
        <f t="shared" si="19"/>
        <v>206.83</v>
      </c>
      <c r="AD348" s="4" t="s">
        <v>1404</v>
      </c>
      <c r="AE348" s="4" t="s">
        <v>1405</v>
      </c>
      <c r="AF348" s="4" t="s">
        <v>436</v>
      </c>
    </row>
    <row r="349" spans="1:35" ht="108" x14ac:dyDescent="0.3">
      <c r="A349" s="10" t="s">
        <v>1406</v>
      </c>
      <c r="B349" s="10"/>
      <c r="C349" s="24" t="s">
        <v>1170</v>
      </c>
      <c r="D349" s="12"/>
      <c r="E349" s="12" t="s">
        <v>1350</v>
      </c>
      <c r="F349" s="18" t="s">
        <v>70</v>
      </c>
      <c r="G349" s="19">
        <v>0.3</v>
      </c>
      <c r="H349" s="19"/>
      <c r="I349" s="19">
        <v>5.5890000000000004</v>
      </c>
      <c r="J349" s="21">
        <v>0</v>
      </c>
      <c r="M349" s="22">
        <f>ROUND(ROUND(J349, 2)*I349, 2)</f>
        <v>0</v>
      </c>
      <c r="P349" s="23">
        <v>0</v>
      </c>
      <c r="S349" s="22">
        <f>ROUND(ROUND(P349, 2)*I349, 2)</f>
        <v>0</v>
      </c>
      <c r="V349" s="9">
        <f>ROUND(ROUND(P349, 2)/1.2, 2)</f>
        <v>0</v>
      </c>
      <c r="Y349" s="9">
        <f t="shared" si="19"/>
        <v>0</v>
      </c>
      <c r="AD349" s="4" t="s">
        <v>1407</v>
      </c>
      <c r="AE349" s="4" t="s">
        <v>1408</v>
      </c>
      <c r="AF349" s="4" t="s">
        <v>1174</v>
      </c>
    </row>
    <row r="350" spans="1:35" ht="36" x14ac:dyDescent="0.3">
      <c r="A350" s="10" t="s">
        <v>1409</v>
      </c>
      <c r="B350" s="10" t="s">
        <v>1249</v>
      </c>
      <c r="C350" s="11" t="s">
        <v>1250</v>
      </c>
      <c r="D350" s="12"/>
      <c r="E350" s="12" t="s">
        <v>1410</v>
      </c>
      <c r="F350" s="12" t="s">
        <v>64</v>
      </c>
      <c r="G350" s="13">
        <v>1</v>
      </c>
      <c r="H350" s="13"/>
      <c r="I350" s="13">
        <v>390.43</v>
      </c>
      <c r="J350" s="14">
        <f>IFERROR(ROUND(SUM(M351,M352)/I350, 2),0)</f>
        <v>13.32</v>
      </c>
      <c r="K350" s="15">
        <v>428</v>
      </c>
      <c r="L350" s="14">
        <f>J350+ROUND(K350, 2)</f>
        <v>441.32</v>
      </c>
      <c r="M350" s="14">
        <f>ROUND(J350*I350, 2)</f>
        <v>5200.53</v>
      </c>
      <c r="N350" s="14">
        <f>ROUND(I350*ROUND(K350, 2), 2)</f>
        <v>167104.04</v>
      </c>
      <c r="O350" s="14">
        <f>M350+N350</f>
        <v>172304.57</v>
      </c>
      <c r="P350" s="14">
        <f>IFERROR(ROUND(SUM(S351,S352)/I350, 2),0)</f>
        <v>13.32</v>
      </c>
      <c r="Q350" s="16">
        <v>428</v>
      </c>
      <c r="R350" s="14">
        <f>P350+ROUND(Q350, 2)</f>
        <v>441.32</v>
      </c>
      <c r="S350" s="14">
        <f>ROUND(P350*I350, 2)</f>
        <v>5200.53</v>
      </c>
      <c r="T350" s="14">
        <f>ROUND(I350*ROUND(Q350, 2), 2)</f>
        <v>167104.04</v>
      </c>
      <c r="U350" s="14">
        <f>S350+T350</f>
        <v>172304.57</v>
      </c>
      <c r="V350" s="9">
        <f>ROUND(P350 / 1.2, 2)</f>
        <v>11.1</v>
      </c>
      <c r="W350" s="9">
        <f>ROUND(Q350 / 1.2, 2)</f>
        <v>356.67</v>
      </c>
      <c r="X350" s="9">
        <f>ROUND(R350 / 1.2, 2)</f>
        <v>367.77</v>
      </c>
      <c r="Y350" s="9">
        <f t="shared" si="19"/>
        <v>4333.78</v>
      </c>
      <c r="Z350" s="9">
        <f>ROUND(T350 / 1.2, 2)</f>
        <v>139253.37</v>
      </c>
      <c r="AA350" s="9">
        <f>Y350+Z350</f>
        <v>143587.15</v>
      </c>
      <c r="AD350" s="4">
        <v>271132215</v>
      </c>
      <c r="AE350" s="4">
        <v>19992001</v>
      </c>
      <c r="AG350" s="4" t="s">
        <v>1252</v>
      </c>
      <c r="AH350" s="4" t="s">
        <v>1253</v>
      </c>
      <c r="AI350" s="4" t="s">
        <v>67</v>
      </c>
    </row>
    <row r="351" spans="1:35" ht="36" x14ac:dyDescent="0.3">
      <c r="A351" s="10" t="s">
        <v>1411</v>
      </c>
      <c r="B351" s="10"/>
      <c r="C351" s="24" t="s">
        <v>433</v>
      </c>
      <c r="D351" s="12"/>
      <c r="E351" s="12"/>
      <c r="F351" s="18" t="s">
        <v>70</v>
      </c>
      <c r="G351" s="19">
        <v>0.15</v>
      </c>
      <c r="H351" s="19"/>
      <c r="I351" s="19">
        <v>58.564999999999998</v>
      </c>
      <c r="J351" s="21">
        <v>88.8</v>
      </c>
      <c r="M351" s="22">
        <f>ROUND(ROUND(J351, 2)*I351, 2)</f>
        <v>5200.57</v>
      </c>
      <c r="P351" s="23">
        <v>88.8</v>
      </c>
      <c r="S351" s="22">
        <f>ROUND(ROUND(P351, 2)*I351, 2)</f>
        <v>5200.57</v>
      </c>
      <c r="V351" s="9">
        <f>ROUND(ROUND(P351, 2)/1.2, 2)</f>
        <v>74</v>
      </c>
      <c r="Y351" s="9">
        <f t="shared" si="19"/>
        <v>4333.8100000000004</v>
      </c>
      <c r="AD351" s="4" t="s">
        <v>1412</v>
      </c>
      <c r="AE351" s="4" t="s">
        <v>1413</v>
      </c>
      <c r="AF351" s="4" t="s">
        <v>436</v>
      </c>
    </row>
    <row r="352" spans="1:35" ht="108" x14ac:dyDescent="0.3">
      <c r="A352" s="10" t="s">
        <v>1414</v>
      </c>
      <c r="B352" s="10"/>
      <c r="C352" s="24" t="s">
        <v>1170</v>
      </c>
      <c r="D352" s="12"/>
      <c r="E352" s="12" t="s">
        <v>1323</v>
      </c>
      <c r="F352" s="18" t="s">
        <v>70</v>
      </c>
      <c r="G352" s="19">
        <v>0.3</v>
      </c>
      <c r="H352" s="19"/>
      <c r="I352" s="19">
        <v>117.129</v>
      </c>
      <c r="J352" s="21">
        <v>0</v>
      </c>
      <c r="M352" s="22">
        <f>ROUND(ROUND(J352, 2)*I352, 2)</f>
        <v>0</v>
      </c>
      <c r="P352" s="23">
        <v>0</v>
      </c>
      <c r="S352" s="22">
        <f>ROUND(ROUND(P352, 2)*I352, 2)</f>
        <v>0</v>
      </c>
      <c r="V352" s="9">
        <f>ROUND(ROUND(P352, 2)/1.2, 2)</f>
        <v>0</v>
      </c>
      <c r="Y352" s="9">
        <f t="shared" si="19"/>
        <v>0</v>
      </c>
      <c r="AD352" s="4" t="s">
        <v>1415</v>
      </c>
      <c r="AE352" s="4" t="s">
        <v>1416</v>
      </c>
      <c r="AF352" s="4" t="s">
        <v>1174</v>
      </c>
    </row>
    <row r="353" spans="1:35" ht="36" x14ac:dyDescent="0.3">
      <c r="A353" s="10" t="s">
        <v>1417</v>
      </c>
      <c r="B353" s="10" t="s">
        <v>1249</v>
      </c>
      <c r="C353" s="11" t="s">
        <v>1250</v>
      </c>
      <c r="D353" s="12"/>
      <c r="E353" s="12" t="s">
        <v>1418</v>
      </c>
      <c r="F353" s="12" t="s">
        <v>64</v>
      </c>
      <c r="G353" s="13">
        <v>1</v>
      </c>
      <c r="H353" s="13"/>
      <c r="I353" s="13">
        <v>2002.74</v>
      </c>
      <c r="J353" s="14">
        <f>IFERROR(ROUND(SUM(M354,M355)/I353, 2),0)</f>
        <v>13.32</v>
      </c>
      <c r="K353" s="15">
        <v>428</v>
      </c>
      <c r="L353" s="14">
        <f>J353+ROUND(K353, 2)</f>
        <v>441.32</v>
      </c>
      <c r="M353" s="14">
        <f>ROUND(J353*I353, 2)</f>
        <v>26676.5</v>
      </c>
      <c r="N353" s="14">
        <f>ROUND(I353*ROUND(K353, 2), 2)</f>
        <v>857172.72</v>
      </c>
      <c r="O353" s="14">
        <f>M353+N353</f>
        <v>883849.22</v>
      </c>
      <c r="P353" s="14">
        <f>IFERROR(ROUND(SUM(S354,S355)/I353, 2),0)</f>
        <v>13.32</v>
      </c>
      <c r="Q353" s="16">
        <v>428</v>
      </c>
      <c r="R353" s="14">
        <f>P353+ROUND(Q353, 2)</f>
        <v>441.32</v>
      </c>
      <c r="S353" s="14">
        <f>ROUND(P353*I353, 2)</f>
        <v>26676.5</v>
      </c>
      <c r="T353" s="14">
        <f>ROUND(I353*ROUND(Q353, 2), 2)</f>
        <v>857172.72</v>
      </c>
      <c r="U353" s="14">
        <f>S353+T353</f>
        <v>883849.22</v>
      </c>
      <c r="V353" s="9">
        <f>ROUND(P353 / 1.2, 2)</f>
        <v>11.1</v>
      </c>
      <c r="W353" s="9">
        <f>ROUND(Q353 / 1.2, 2)</f>
        <v>356.67</v>
      </c>
      <c r="X353" s="9">
        <f>ROUND(R353 / 1.2, 2)</f>
        <v>367.77</v>
      </c>
      <c r="Y353" s="9">
        <f t="shared" si="19"/>
        <v>22230.42</v>
      </c>
      <c r="Z353" s="9">
        <f>ROUND(T353 / 1.2, 2)</f>
        <v>714310.6</v>
      </c>
      <c r="AA353" s="9">
        <f>Y353+Z353</f>
        <v>736541.02</v>
      </c>
      <c r="AD353" s="4">
        <v>271132216</v>
      </c>
      <c r="AE353" s="4">
        <v>19992005</v>
      </c>
      <c r="AG353" s="4" t="s">
        <v>1252</v>
      </c>
      <c r="AH353" s="4" t="s">
        <v>1253</v>
      </c>
      <c r="AI353" s="4" t="s">
        <v>67</v>
      </c>
    </row>
    <row r="354" spans="1:35" ht="36" x14ac:dyDescent="0.3">
      <c r="A354" s="10" t="s">
        <v>1419</v>
      </c>
      <c r="B354" s="10"/>
      <c r="C354" s="24" t="s">
        <v>433</v>
      </c>
      <c r="D354" s="12"/>
      <c r="E354" s="12"/>
      <c r="F354" s="18" t="s">
        <v>70</v>
      </c>
      <c r="G354" s="19">
        <v>0.15</v>
      </c>
      <c r="H354" s="19"/>
      <c r="I354" s="19">
        <v>300.411</v>
      </c>
      <c r="J354" s="21">
        <v>88.8</v>
      </c>
      <c r="M354" s="22">
        <f>ROUND(ROUND(J354, 2)*I354, 2)</f>
        <v>26676.5</v>
      </c>
      <c r="P354" s="23">
        <v>88.8</v>
      </c>
      <c r="S354" s="22">
        <f>ROUND(ROUND(P354, 2)*I354, 2)</f>
        <v>26676.5</v>
      </c>
      <c r="V354" s="9">
        <f>ROUND(ROUND(P354, 2)/1.2, 2)</f>
        <v>74</v>
      </c>
      <c r="Y354" s="9">
        <f t="shared" si="19"/>
        <v>22230.42</v>
      </c>
      <c r="AD354" s="4" t="s">
        <v>1420</v>
      </c>
      <c r="AE354" s="4" t="s">
        <v>1421</v>
      </c>
      <c r="AF354" s="4" t="s">
        <v>436</v>
      </c>
    </row>
    <row r="355" spans="1:35" ht="126" x14ac:dyDescent="0.3">
      <c r="A355" s="10" t="s">
        <v>1422</v>
      </c>
      <c r="B355" s="10"/>
      <c r="C355" s="24" t="s">
        <v>1185</v>
      </c>
      <c r="D355" s="12"/>
      <c r="E355" s="12" t="s">
        <v>1332</v>
      </c>
      <c r="F355" s="18" t="s">
        <v>70</v>
      </c>
      <c r="G355" s="19">
        <v>0.3</v>
      </c>
      <c r="H355" s="19"/>
      <c r="I355" s="19">
        <v>600.822</v>
      </c>
      <c r="J355" s="21">
        <v>0</v>
      </c>
      <c r="M355" s="22">
        <f>ROUND(ROUND(J355, 2)*I355, 2)</f>
        <v>0</v>
      </c>
      <c r="P355" s="23">
        <v>0</v>
      </c>
      <c r="S355" s="22">
        <f>ROUND(ROUND(P355, 2)*I355, 2)</f>
        <v>0</v>
      </c>
      <c r="V355" s="9">
        <f>ROUND(ROUND(P355, 2)/1.2, 2)</f>
        <v>0</v>
      </c>
      <c r="Y355" s="9">
        <f t="shared" si="19"/>
        <v>0</v>
      </c>
      <c r="AD355" s="4" t="s">
        <v>1423</v>
      </c>
      <c r="AE355" s="4" t="s">
        <v>1424</v>
      </c>
      <c r="AF355" s="4" t="s">
        <v>1189</v>
      </c>
    </row>
    <row r="356" spans="1:35" ht="36" x14ac:dyDescent="0.3">
      <c r="A356" s="10" t="s">
        <v>1425</v>
      </c>
      <c r="B356" s="10" t="s">
        <v>1249</v>
      </c>
      <c r="C356" s="11" t="s">
        <v>1250</v>
      </c>
      <c r="D356" s="12"/>
      <c r="E356" s="12" t="s">
        <v>1426</v>
      </c>
      <c r="F356" s="12" t="s">
        <v>64</v>
      </c>
      <c r="G356" s="13">
        <v>1</v>
      </c>
      <c r="H356" s="13"/>
      <c r="I356" s="13">
        <v>23.23</v>
      </c>
      <c r="J356" s="14">
        <f>IFERROR(ROUND(SUM(M357,M358)/I356, 2),0)</f>
        <v>13.32</v>
      </c>
      <c r="K356" s="15">
        <v>428</v>
      </c>
      <c r="L356" s="14">
        <f>J356+ROUND(K356, 2)</f>
        <v>441.32</v>
      </c>
      <c r="M356" s="14">
        <f>ROUND(J356*I356, 2)</f>
        <v>309.42</v>
      </c>
      <c r="N356" s="14">
        <f>ROUND(I356*ROUND(K356, 2), 2)</f>
        <v>9942.44</v>
      </c>
      <c r="O356" s="14">
        <f>M356+N356</f>
        <v>10251.86</v>
      </c>
      <c r="P356" s="14">
        <f>IFERROR(ROUND(SUM(S357,S358)/I356, 2),0)</f>
        <v>13.32</v>
      </c>
      <c r="Q356" s="16">
        <v>428</v>
      </c>
      <c r="R356" s="14">
        <f>P356+ROUND(Q356, 2)</f>
        <v>441.32</v>
      </c>
      <c r="S356" s="14">
        <f>ROUND(P356*I356, 2)</f>
        <v>309.42</v>
      </c>
      <c r="T356" s="14">
        <f>ROUND(I356*ROUND(Q356, 2), 2)</f>
        <v>9942.44</v>
      </c>
      <c r="U356" s="14">
        <f>S356+T356</f>
        <v>10251.86</v>
      </c>
      <c r="V356" s="9">
        <f>ROUND(P356 / 1.2, 2)</f>
        <v>11.1</v>
      </c>
      <c r="W356" s="9">
        <f>ROUND(Q356 / 1.2, 2)</f>
        <v>356.67</v>
      </c>
      <c r="X356" s="9">
        <f>ROUND(R356 / 1.2, 2)</f>
        <v>367.77</v>
      </c>
      <c r="Y356" s="9">
        <f t="shared" si="19"/>
        <v>257.85000000000002</v>
      </c>
      <c r="Z356" s="9">
        <f>ROUND(T356 / 1.2, 2)</f>
        <v>8285.3700000000008</v>
      </c>
      <c r="AA356" s="9">
        <f>Y356+Z356</f>
        <v>8543.2200000000012</v>
      </c>
      <c r="AD356" s="4">
        <v>271132217</v>
      </c>
      <c r="AE356" s="4">
        <v>19992006</v>
      </c>
      <c r="AG356" s="4" t="s">
        <v>1252</v>
      </c>
      <c r="AH356" s="4" t="s">
        <v>1253</v>
      </c>
      <c r="AI356" s="4" t="s">
        <v>67</v>
      </c>
    </row>
    <row r="357" spans="1:35" ht="36" x14ac:dyDescent="0.3">
      <c r="A357" s="10" t="s">
        <v>1427</v>
      </c>
      <c r="B357" s="10"/>
      <c r="C357" s="24" t="s">
        <v>433</v>
      </c>
      <c r="D357" s="12"/>
      <c r="E357" s="12"/>
      <c r="F357" s="18" t="s">
        <v>70</v>
      </c>
      <c r="G357" s="19">
        <v>0.15</v>
      </c>
      <c r="H357" s="19"/>
      <c r="I357" s="19">
        <v>3.4849999999999999</v>
      </c>
      <c r="J357" s="21">
        <v>88.8</v>
      </c>
      <c r="M357" s="22">
        <f>ROUND(ROUND(J357, 2)*I357, 2)</f>
        <v>309.47000000000003</v>
      </c>
      <c r="P357" s="23">
        <v>88.8</v>
      </c>
      <c r="S357" s="22">
        <f>ROUND(ROUND(P357, 2)*I357, 2)</f>
        <v>309.47000000000003</v>
      </c>
      <c r="V357" s="9">
        <f>ROUND(ROUND(P357, 2)/1.2, 2)</f>
        <v>74</v>
      </c>
      <c r="Y357" s="9">
        <f t="shared" si="19"/>
        <v>257.89</v>
      </c>
      <c r="AD357" s="4" t="s">
        <v>1428</v>
      </c>
      <c r="AE357" s="4" t="s">
        <v>1429</v>
      </c>
      <c r="AF357" s="4" t="s">
        <v>436</v>
      </c>
    </row>
    <row r="358" spans="1:35" ht="54" x14ac:dyDescent="0.3">
      <c r="A358" s="10" t="s">
        <v>1430</v>
      </c>
      <c r="B358" s="10"/>
      <c r="C358" s="24" t="s">
        <v>1431</v>
      </c>
      <c r="D358" s="12"/>
      <c r="E358" s="12" t="s">
        <v>1432</v>
      </c>
      <c r="F358" s="18" t="s">
        <v>70</v>
      </c>
      <c r="G358" s="19">
        <v>0.3</v>
      </c>
      <c r="H358" s="19"/>
      <c r="I358" s="19">
        <v>6.9690000000000003</v>
      </c>
      <c r="J358" s="21">
        <v>0</v>
      </c>
      <c r="M358" s="22">
        <f>ROUND(ROUND(J358, 2)*I358, 2)</f>
        <v>0</v>
      </c>
      <c r="P358" s="23">
        <v>0</v>
      </c>
      <c r="S358" s="22">
        <f>ROUND(ROUND(P358, 2)*I358, 2)</f>
        <v>0</v>
      </c>
      <c r="V358" s="9">
        <f>ROUND(ROUND(P358, 2)/1.2, 2)</f>
        <v>0</v>
      </c>
      <c r="Y358" s="9">
        <f t="shared" si="19"/>
        <v>0</v>
      </c>
      <c r="AD358" s="4" t="s">
        <v>1433</v>
      </c>
      <c r="AE358" s="4" t="s">
        <v>1434</v>
      </c>
      <c r="AF358" s="4" t="s">
        <v>1435</v>
      </c>
    </row>
    <row r="359" spans="1:35" ht="36" x14ac:dyDescent="0.3">
      <c r="A359" s="10" t="s">
        <v>1436</v>
      </c>
      <c r="B359" s="10" t="s">
        <v>1249</v>
      </c>
      <c r="C359" s="11" t="s">
        <v>1250</v>
      </c>
      <c r="D359" s="12"/>
      <c r="E359" s="12" t="s">
        <v>1437</v>
      </c>
      <c r="F359" s="12" t="s">
        <v>64</v>
      </c>
      <c r="G359" s="13">
        <v>1</v>
      </c>
      <c r="H359" s="13"/>
      <c r="I359" s="13">
        <v>107.1</v>
      </c>
      <c r="J359" s="14">
        <f>IFERROR(ROUND(SUM(M360,M361)/I359, 2),0)</f>
        <v>13.32</v>
      </c>
      <c r="K359" s="15">
        <v>428</v>
      </c>
      <c r="L359" s="14">
        <f>J359+ROUND(K359, 2)</f>
        <v>441.32</v>
      </c>
      <c r="M359" s="14">
        <f>ROUND(J359*I359, 2)</f>
        <v>1426.57</v>
      </c>
      <c r="N359" s="14">
        <f>ROUND(I359*ROUND(K359, 2), 2)</f>
        <v>45838.8</v>
      </c>
      <c r="O359" s="14">
        <f>M359+N359</f>
        <v>47265.37</v>
      </c>
      <c r="P359" s="14">
        <f>IFERROR(ROUND(SUM(S360,S361)/I359, 2),0)</f>
        <v>13.32</v>
      </c>
      <c r="Q359" s="16">
        <v>428</v>
      </c>
      <c r="R359" s="14">
        <f>P359+ROUND(Q359, 2)</f>
        <v>441.32</v>
      </c>
      <c r="S359" s="14">
        <f>ROUND(P359*I359, 2)</f>
        <v>1426.57</v>
      </c>
      <c r="T359" s="14">
        <f>ROUND(I359*ROUND(Q359, 2), 2)</f>
        <v>45838.8</v>
      </c>
      <c r="U359" s="14">
        <f>S359+T359</f>
        <v>47265.37</v>
      </c>
      <c r="V359" s="9">
        <f>ROUND(P359 / 1.2, 2)</f>
        <v>11.1</v>
      </c>
      <c r="W359" s="9">
        <f>ROUND(Q359 / 1.2, 2)</f>
        <v>356.67</v>
      </c>
      <c r="X359" s="9">
        <f>ROUND(R359 / 1.2, 2)</f>
        <v>367.77</v>
      </c>
      <c r="Y359" s="9">
        <f t="shared" si="19"/>
        <v>1188.81</v>
      </c>
      <c r="Z359" s="9">
        <f>ROUND(T359 / 1.2, 2)</f>
        <v>38199</v>
      </c>
      <c r="AA359" s="9">
        <f>Y359+Z359</f>
        <v>39387.81</v>
      </c>
      <c r="AD359" s="4">
        <v>271132218</v>
      </c>
      <c r="AE359" s="4">
        <v>19992007</v>
      </c>
      <c r="AG359" s="4" t="s">
        <v>1252</v>
      </c>
      <c r="AH359" s="4" t="s">
        <v>1253</v>
      </c>
      <c r="AI359" s="4" t="s">
        <v>67</v>
      </c>
    </row>
    <row r="360" spans="1:35" ht="36" x14ac:dyDescent="0.3">
      <c r="A360" s="10" t="s">
        <v>1438</v>
      </c>
      <c r="B360" s="10"/>
      <c r="C360" s="24" t="s">
        <v>433</v>
      </c>
      <c r="D360" s="12"/>
      <c r="E360" s="12"/>
      <c r="F360" s="18" t="s">
        <v>70</v>
      </c>
      <c r="G360" s="19">
        <v>0.15</v>
      </c>
      <c r="H360" s="19"/>
      <c r="I360" s="19">
        <v>16.065000000000001</v>
      </c>
      <c r="J360" s="21">
        <v>88.8</v>
      </c>
      <c r="M360" s="22">
        <f>ROUND(ROUND(J360, 2)*I360, 2)</f>
        <v>1426.57</v>
      </c>
      <c r="P360" s="23">
        <v>88.8</v>
      </c>
      <c r="S360" s="22">
        <f>ROUND(ROUND(P360, 2)*I360, 2)</f>
        <v>1426.57</v>
      </c>
      <c r="V360" s="9">
        <f>ROUND(ROUND(P360, 2)/1.2, 2)</f>
        <v>74</v>
      </c>
      <c r="Y360" s="9">
        <f t="shared" si="19"/>
        <v>1188.81</v>
      </c>
      <c r="AD360" s="4" t="s">
        <v>1439</v>
      </c>
      <c r="AE360" s="4" t="s">
        <v>1440</v>
      </c>
      <c r="AF360" s="4" t="s">
        <v>436</v>
      </c>
    </row>
    <row r="361" spans="1:35" ht="90" x14ac:dyDescent="0.3">
      <c r="A361" s="10" t="s">
        <v>1441</v>
      </c>
      <c r="B361" s="10"/>
      <c r="C361" s="24" t="s">
        <v>1170</v>
      </c>
      <c r="D361" s="12"/>
      <c r="E361" s="12" t="s">
        <v>1442</v>
      </c>
      <c r="F361" s="18" t="s">
        <v>70</v>
      </c>
      <c r="G361" s="19">
        <v>0.3</v>
      </c>
      <c r="H361" s="19"/>
      <c r="I361" s="19">
        <v>32.130000000000003</v>
      </c>
      <c r="J361" s="21">
        <v>0</v>
      </c>
      <c r="M361" s="22">
        <f>ROUND(ROUND(J361, 2)*I361, 2)</f>
        <v>0</v>
      </c>
      <c r="P361" s="23">
        <v>0</v>
      </c>
      <c r="S361" s="22">
        <f>ROUND(ROUND(P361, 2)*I361, 2)</f>
        <v>0</v>
      </c>
      <c r="V361" s="9">
        <f>ROUND(ROUND(P361, 2)/1.2, 2)</f>
        <v>0</v>
      </c>
      <c r="Y361" s="9">
        <f t="shared" si="19"/>
        <v>0</v>
      </c>
      <c r="AD361" s="4" t="s">
        <v>1443</v>
      </c>
      <c r="AE361" s="4" t="s">
        <v>1444</v>
      </c>
      <c r="AF361" s="4" t="s">
        <v>1174</v>
      </c>
    </row>
    <row r="362" spans="1:35" ht="54" x14ac:dyDescent="0.3">
      <c r="A362" s="10" t="s">
        <v>1445</v>
      </c>
      <c r="B362" s="10" t="s">
        <v>1446</v>
      </c>
      <c r="C362" s="11" t="s">
        <v>1447</v>
      </c>
      <c r="D362" s="12"/>
      <c r="E362" s="12" t="s">
        <v>1448</v>
      </c>
      <c r="F362" s="12" t="s">
        <v>64</v>
      </c>
      <c r="G362" s="13">
        <v>1</v>
      </c>
      <c r="H362" s="13"/>
      <c r="I362" s="13">
        <v>205.88</v>
      </c>
      <c r="J362" s="14">
        <f>IFERROR(ROUND(SUM(M363,M364,M365,M366)/I362, 2),0)</f>
        <v>1072.18</v>
      </c>
      <c r="K362" s="15">
        <v>2364</v>
      </c>
      <c r="L362" s="14">
        <f>J362+ROUND(K362, 2)</f>
        <v>3436.1800000000003</v>
      </c>
      <c r="M362" s="14">
        <f>ROUND(J362*I362, 2)</f>
        <v>220740.42</v>
      </c>
      <c r="N362" s="14">
        <f>ROUND(I362*ROUND(K362, 2), 2)</f>
        <v>486700.32</v>
      </c>
      <c r="O362" s="14">
        <f>M362+N362</f>
        <v>707440.74</v>
      </c>
      <c r="P362" s="14">
        <f>IFERROR(ROUND(SUM(S363,S364,S365,S366)/I362, 2),0)</f>
        <v>1072.18</v>
      </c>
      <c r="Q362" s="16">
        <v>2364</v>
      </c>
      <c r="R362" s="14">
        <f>P362+ROUND(Q362, 2)</f>
        <v>3436.1800000000003</v>
      </c>
      <c r="S362" s="14">
        <f>ROUND(P362*I362, 2)</f>
        <v>220740.42</v>
      </c>
      <c r="T362" s="14">
        <f>ROUND(I362*ROUND(Q362, 2), 2)</f>
        <v>486700.32</v>
      </c>
      <c r="U362" s="14">
        <f>S362+T362</f>
        <v>707440.74</v>
      </c>
      <c r="V362" s="9">
        <f>ROUND(P362 / 1.2, 2)</f>
        <v>893.48</v>
      </c>
      <c r="W362" s="9">
        <f>ROUND(Q362 / 1.2, 2)</f>
        <v>1970</v>
      </c>
      <c r="X362" s="9">
        <f>ROUND(R362 / 1.2, 2)</f>
        <v>2863.48</v>
      </c>
      <c r="Y362" s="9">
        <f t="shared" si="19"/>
        <v>183950.35</v>
      </c>
      <c r="Z362" s="9">
        <f>ROUND(T362 / 1.2, 2)</f>
        <v>405583.6</v>
      </c>
      <c r="AA362" s="9">
        <f>Y362+Z362</f>
        <v>589533.94999999995</v>
      </c>
      <c r="AD362" s="4">
        <v>271132117</v>
      </c>
      <c r="AE362" s="4">
        <v>19977048</v>
      </c>
      <c r="AG362" s="4" t="s">
        <v>1449</v>
      </c>
      <c r="AH362" s="4" t="s">
        <v>1450</v>
      </c>
      <c r="AI362" s="4" t="s">
        <v>67</v>
      </c>
    </row>
    <row r="363" spans="1:35" ht="36" x14ac:dyDescent="0.3">
      <c r="A363" s="10" t="s">
        <v>1451</v>
      </c>
      <c r="B363" s="10"/>
      <c r="C363" s="24" t="s">
        <v>426</v>
      </c>
      <c r="D363" s="12"/>
      <c r="E363" s="12"/>
      <c r="F363" s="18" t="s">
        <v>70</v>
      </c>
      <c r="G363" s="19">
        <v>0.25</v>
      </c>
      <c r="H363" s="20"/>
      <c r="I363" s="20">
        <v>51.47</v>
      </c>
      <c r="J363" s="21">
        <v>40.270000000000003</v>
      </c>
      <c r="M363" s="22">
        <f>ROUND(ROUND(J363, 2)*I363, 2)</f>
        <v>2072.6999999999998</v>
      </c>
      <c r="P363" s="23">
        <v>40.270000000000003</v>
      </c>
      <c r="S363" s="22">
        <f>ROUND(ROUND(P363, 2)*I363, 2)</f>
        <v>2072.6999999999998</v>
      </c>
      <c r="V363" s="9">
        <f>ROUND(ROUND(P363, 2)/1.2, 2)</f>
        <v>33.56</v>
      </c>
      <c r="Y363" s="9">
        <f t="shared" si="19"/>
        <v>1727.25</v>
      </c>
      <c r="AD363" s="4" t="s">
        <v>1452</v>
      </c>
      <c r="AE363" s="4" t="s">
        <v>1453</v>
      </c>
      <c r="AF363" s="4" t="s">
        <v>429</v>
      </c>
    </row>
    <row r="364" spans="1:35" ht="36" x14ac:dyDescent="0.3">
      <c r="A364" s="10" t="s">
        <v>1454</v>
      </c>
      <c r="B364" s="10"/>
      <c r="C364" s="24" t="s">
        <v>452</v>
      </c>
      <c r="D364" s="12"/>
      <c r="E364" s="12"/>
      <c r="F364" s="18" t="s">
        <v>70</v>
      </c>
      <c r="G364" s="19">
        <v>0.15</v>
      </c>
      <c r="H364" s="19"/>
      <c r="I364" s="19">
        <v>30.882000000000001</v>
      </c>
      <c r="J364" s="21">
        <v>68.400000000000006</v>
      </c>
      <c r="M364" s="22">
        <f>ROUND(ROUND(J364, 2)*I364, 2)</f>
        <v>2112.33</v>
      </c>
      <c r="P364" s="23">
        <v>68.400000000000006</v>
      </c>
      <c r="S364" s="22">
        <f>ROUND(ROUND(P364, 2)*I364, 2)</f>
        <v>2112.33</v>
      </c>
      <c r="V364" s="9">
        <f>ROUND(ROUND(P364, 2)/1.2, 2)</f>
        <v>57</v>
      </c>
      <c r="Y364" s="9">
        <f t="shared" si="19"/>
        <v>1760.28</v>
      </c>
      <c r="AD364" s="4" t="s">
        <v>1455</v>
      </c>
      <c r="AE364" s="4" t="s">
        <v>1456</v>
      </c>
      <c r="AF364" s="4" t="s">
        <v>456</v>
      </c>
    </row>
    <row r="365" spans="1:35" ht="54" x14ac:dyDescent="0.3">
      <c r="A365" s="10" t="s">
        <v>1457</v>
      </c>
      <c r="B365" s="10"/>
      <c r="C365" s="17" t="s">
        <v>697</v>
      </c>
      <c r="D365" s="12"/>
      <c r="E365" s="12" t="s">
        <v>402</v>
      </c>
      <c r="F365" s="18" t="s">
        <v>70</v>
      </c>
      <c r="G365" s="19">
        <v>1.2</v>
      </c>
      <c r="H365" s="20"/>
      <c r="I365" s="20">
        <v>494.11200000000002</v>
      </c>
      <c r="J365" s="21">
        <v>16.96</v>
      </c>
      <c r="M365" s="22">
        <f>ROUND(ROUND(J365, 2)*I365, 2)</f>
        <v>8380.14</v>
      </c>
      <c r="P365" s="23">
        <v>16.96</v>
      </c>
      <c r="S365" s="22">
        <f>ROUND(ROUND(P365, 2)*I365, 2)</f>
        <v>8380.14</v>
      </c>
      <c r="V365" s="9">
        <f>ROUND(ROUND(P365, 2)/1.2, 2)</f>
        <v>14.13</v>
      </c>
      <c r="Y365" s="9">
        <f t="shared" si="19"/>
        <v>6983.45</v>
      </c>
      <c r="AD365" s="4" t="s">
        <v>1458</v>
      </c>
      <c r="AE365" s="4" t="s">
        <v>1459</v>
      </c>
      <c r="AF365" s="4" t="s">
        <v>700</v>
      </c>
    </row>
    <row r="366" spans="1:35" ht="36" x14ac:dyDescent="0.3">
      <c r="A366" s="10" t="s">
        <v>1460</v>
      </c>
      <c r="B366" s="10"/>
      <c r="C366" s="17" t="s">
        <v>1461</v>
      </c>
      <c r="D366" s="12"/>
      <c r="E366" s="12" t="s">
        <v>1462</v>
      </c>
      <c r="F366" s="18" t="s">
        <v>64</v>
      </c>
      <c r="G366" s="19">
        <v>1.07</v>
      </c>
      <c r="H366" s="20"/>
      <c r="I366" s="20">
        <v>220.292</v>
      </c>
      <c r="J366" s="21">
        <v>945</v>
      </c>
      <c r="M366" s="22">
        <f>ROUND(ROUND(J366, 2)*I366, 2)</f>
        <v>208175.94</v>
      </c>
      <c r="P366" s="23">
        <v>945</v>
      </c>
      <c r="S366" s="22">
        <f>ROUND(ROUND(P366, 2)*I366, 2)</f>
        <v>208175.94</v>
      </c>
      <c r="V366" s="9">
        <f>ROUND(ROUND(P366, 2)/1.2, 2)</f>
        <v>787.5</v>
      </c>
      <c r="Y366" s="9">
        <f t="shared" si="19"/>
        <v>173479.95</v>
      </c>
      <c r="AD366" s="4" t="s">
        <v>1463</v>
      </c>
      <c r="AE366" s="4" t="s">
        <v>1464</v>
      </c>
      <c r="AF366" s="4" t="s">
        <v>1465</v>
      </c>
    </row>
    <row r="367" spans="1:35" ht="54" x14ac:dyDescent="0.3">
      <c r="A367" s="10" t="s">
        <v>1466</v>
      </c>
      <c r="B367" s="10" t="s">
        <v>1446</v>
      </c>
      <c r="C367" s="11" t="s">
        <v>1447</v>
      </c>
      <c r="D367" s="12"/>
      <c r="E367" s="12" t="s">
        <v>1467</v>
      </c>
      <c r="F367" s="12" t="s">
        <v>64</v>
      </c>
      <c r="G367" s="13">
        <v>1</v>
      </c>
      <c r="H367" s="13"/>
      <c r="I367" s="13">
        <v>33.03</v>
      </c>
      <c r="J367" s="14">
        <f>IFERROR(ROUND(SUM(M368,M369,M370,M371)/I367, 2),0)</f>
        <v>1542.93</v>
      </c>
      <c r="K367" s="15">
        <v>2364</v>
      </c>
      <c r="L367" s="14">
        <f>J367+ROUND(K367, 2)</f>
        <v>3906.9300000000003</v>
      </c>
      <c r="M367" s="14">
        <f>ROUND(J367*I367, 2)</f>
        <v>50962.98</v>
      </c>
      <c r="N367" s="14">
        <f>ROUND(I367*ROUND(K367, 2), 2)</f>
        <v>78082.92</v>
      </c>
      <c r="O367" s="14">
        <f>M367+N367</f>
        <v>129045.9</v>
      </c>
      <c r="P367" s="14">
        <f>IFERROR(ROUND(SUM(S368,S369,S370,S371)/I367, 2),0)</f>
        <v>1542.93</v>
      </c>
      <c r="Q367" s="16">
        <v>2364</v>
      </c>
      <c r="R367" s="14">
        <f>P367+ROUND(Q367, 2)</f>
        <v>3906.9300000000003</v>
      </c>
      <c r="S367" s="14">
        <f>ROUND(P367*I367, 2)</f>
        <v>50962.98</v>
      </c>
      <c r="T367" s="14">
        <f>ROUND(I367*ROUND(Q367, 2), 2)</f>
        <v>78082.92</v>
      </c>
      <c r="U367" s="14">
        <f>S367+T367</f>
        <v>129045.9</v>
      </c>
      <c r="V367" s="9">
        <f>ROUND(P367 / 1.2, 2)</f>
        <v>1285.78</v>
      </c>
      <c r="W367" s="9">
        <f>ROUND(Q367 / 1.2, 2)</f>
        <v>1970</v>
      </c>
      <c r="X367" s="9">
        <f>ROUND(R367 / 1.2, 2)</f>
        <v>3255.78</v>
      </c>
      <c r="Y367" s="9">
        <f t="shared" si="19"/>
        <v>42469.15</v>
      </c>
      <c r="Z367" s="9">
        <f>ROUND(T367 / 1.2, 2)</f>
        <v>65069.1</v>
      </c>
      <c r="AA367" s="9">
        <f>Y367+Z367</f>
        <v>107538.25</v>
      </c>
      <c r="AD367" s="4">
        <v>271132219</v>
      </c>
      <c r="AE367" s="4">
        <v>19977049</v>
      </c>
      <c r="AG367" s="4" t="s">
        <v>1449</v>
      </c>
      <c r="AH367" s="4" t="s">
        <v>1450</v>
      </c>
      <c r="AI367" s="4" t="s">
        <v>67</v>
      </c>
    </row>
    <row r="368" spans="1:35" ht="54" x14ac:dyDescent="0.3">
      <c r="A368" s="10" t="s">
        <v>1468</v>
      </c>
      <c r="B368" s="10"/>
      <c r="C368" s="17" t="s">
        <v>676</v>
      </c>
      <c r="D368" s="12"/>
      <c r="E368" s="12" t="s">
        <v>1469</v>
      </c>
      <c r="F368" s="18" t="s">
        <v>64</v>
      </c>
      <c r="G368" s="19">
        <v>1.07</v>
      </c>
      <c r="H368" s="20"/>
      <c r="I368" s="20">
        <v>35.341999999999999</v>
      </c>
      <c r="J368" s="21">
        <v>1384.95</v>
      </c>
      <c r="M368" s="22">
        <f>ROUND(ROUND(J368, 2)*I368, 2)</f>
        <v>48946.9</v>
      </c>
      <c r="P368" s="23">
        <v>1384.95</v>
      </c>
      <c r="S368" s="22">
        <f>ROUND(ROUND(P368, 2)*I368, 2)</f>
        <v>48946.9</v>
      </c>
      <c r="V368" s="9">
        <f>ROUND(ROUND(P368, 2)/1.2, 2)</f>
        <v>1154.1300000000001</v>
      </c>
      <c r="Y368" s="9">
        <f t="shared" si="19"/>
        <v>40789.08</v>
      </c>
      <c r="AD368" s="4" t="s">
        <v>1470</v>
      </c>
      <c r="AE368" s="4" t="s">
        <v>1471</v>
      </c>
      <c r="AF368" s="4" t="s">
        <v>680</v>
      </c>
    </row>
    <row r="369" spans="1:35" ht="54" x14ac:dyDescent="0.3">
      <c r="A369" s="10" t="s">
        <v>1472</v>
      </c>
      <c r="B369" s="10"/>
      <c r="C369" s="17" t="s">
        <v>697</v>
      </c>
      <c r="D369" s="12"/>
      <c r="E369" s="12" t="s">
        <v>402</v>
      </c>
      <c r="F369" s="18" t="s">
        <v>70</v>
      </c>
      <c r="G369" s="19">
        <v>1.2</v>
      </c>
      <c r="H369" s="20"/>
      <c r="I369" s="20">
        <v>79.272000000000006</v>
      </c>
      <c r="J369" s="21">
        <v>16.96</v>
      </c>
      <c r="M369" s="22">
        <f>ROUND(ROUND(J369, 2)*I369, 2)</f>
        <v>1344.45</v>
      </c>
      <c r="P369" s="23">
        <v>16.96</v>
      </c>
      <c r="S369" s="22">
        <f>ROUND(ROUND(P369, 2)*I369, 2)</f>
        <v>1344.45</v>
      </c>
      <c r="V369" s="9">
        <f>ROUND(ROUND(P369, 2)/1.2, 2)</f>
        <v>14.13</v>
      </c>
      <c r="Y369" s="9">
        <f t="shared" si="19"/>
        <v>1120.3800000000001</v>
      </c>
      <c r="AD369" s="4" t="s">
        <v>1473</v>
      </c>
      <c r="AE369" s="4" t="s">
        <v>1474</v>
      </c>
      <c r="AF369" s="4" t="s">
        <v>700</v>
      </c>
    </row>
    <row r="370" spans="1:35" ht="36" x14ac:dyDescent="0.3">
      <c r="A370" s="10" t="s">
        <v>1475</v>
      </c>
      <c r="B370" s="10"/>
      <c r="C370" s="24" t="s">
        <v>452</v>
      </c>
      <c r="D370" s="12"/>
      <c r="E370" s="12"/>
      <c r="F370" s="18" t="s">
        <v>70</v>
      </c>
      <c r="G370" s="19">
        <v>0.15</v>
      </c>
      <c r="H370" s="19"/>
      <c r="I370" s="19">
        <v>4.9550000000000001</v>
      </c>
      <c r="J370" s="21">
        <v>68.400000000000006</v>
      </c>
      <c r="M370" s="22">
        <f>ROUND(ROUND(J370, 2)*I370, 2)</f>
        <v>338.92</v>
      </c>
      <c r="P370" s="23">
        <v>68.400000000000006</v>
      </c>
      <c r="S370" s="22">
        <f>ROUND(ROUND(P370, 2)*I370, 2)</f>
        <v>338.92</v>
      </c>
      <c r="V370" s="9">
        <f>ROUND(ROUND(P370, 2)/1.2, 2)</f>
        <v>57</v>
      </c>
      <c r="Y370" s="9">
        <f t="shared" si="19"/>
        <v>282.43</v>
      </c>
      <c r="AD370" s="4" t="s">
        <v>1476</v>
      </c>
      <c r="AE370" s="4" t="s">
        <v>1477</v>
      </c>
      <c r="AF370" s="4" t="s">
        <v>456</v>
      </c>
    </row>
    <row r="371" spans="1:35" ht="36" x14ac:dyDescent="0.3">
      <c r="A371" s="10" t="s">
        <v>1478</v>
      </c>
      <c r="B371" s="10"/>
      <c r="C371" s="24" t="s">
        <v>426</v>
      </c>
      <c r="D371" s="12"/>
      <c r="E371" s="12"/>
      <c r="F371" s="18" t="s">
        <v>70</v>
      </c>
      <c r="G371" s="19">
        <v>0.25</v>
      </c>
      <c r="H371" s="20"/>
      <c r="I371" s="20">
        <v>8.2579999999999991</v>
      </c>
      <c r="J371" s="21">
        <v>40.270000000000003</v>
      </c>
      <c r="M371" s="22">
        <f>ROUND(ROUND(J371, 2)*I371, 2)</f>
        <v>332.55</v>
      </c>
      <c r="P371" s="23">
        <v>40.270000000000003</v>
      </c>
      <c r="S371" s="22">
        <f>ROUND(ROUND(P371, 2)*I371, 2)</f>
        <v>332.55</v>
      </c>
      <c r="V371" s="9">
        <f>ROUND(ROUND(P371, 2)/1.2, 2)</f>
        <v>33.56</v>
      </c>
      <c r="Y371" s="9">
        <f t="shared" si="19"/>
        <v>277.13</v>
      </c>
      <c r="AD371" s="4" t="s">
        <v>1479</v>
      </c>
      <c r="AE371" s="4" t="s">
        <v>1480</v>
      </c>
      <c r="AF371" s="4" t="s">
        <v>429</v>
      </c>
    </row>
    <row r="372" spans="1:35" ht="54" x14ac:dyDescent="0.3">
      <c r="A372" s="10" t="s">
        <v>1481</v>
      </c>
      <c r="B372" s="10" t="s">
        <v>1446</v>
      </c>
      <c r="C372" s="11" t="s">
        <v>1447</v>
      </c>
      <c r="D372" s="12"/>
      <c r="E372" s="12" t="s">
        <v>1482</v>
      </c>
      <c r="F372" s="12" t="s">
        <v>64</v>
      </c>
      <c r="G372" s="13">
        <v>1</v>
      </c>
      <c r="H372" s="13"/>
      <c r="I372" s="13">
        <v>55.79</v>
      </c>
      <c r="J372" s="14">
        <f>IFERROR(ROUND(SUM(M373,M374,M375,M376)/I372, 2),0)</f>
        <v>1278.9000000000001</v>
      </c>
      <c r="K372" s="15">
        <v>2364</v>
      </c>
      <c r="L372" s="14">
        <f>J372+ROUND(K372, 2)</f>
        <v>3642.9</v>
      </c>
      <c r="M372" s="14">
        <f>ROUND(J372*I372, 2)</f>
        <v>71349.83</v>
      </c>
      <c r="N372" s="14">
        <f>ROUND(I372*ROUND(K372, 2), 2)</f>
        <v>131887.56</v>
      </c>
      <c r="O372" s="14">
        <f>M372+N372</f>
        <v>203237.39</v>
      </c>
      <c r="P372" s="14">
        <f>IFERROR(ROUND(SUM(S373,S374,S375,S376)/I372, 2),0)</f>
        <v>1278.9000000000001</v>
      </c>
      <c r="Q372" s="16">
        <v>2364</v>
      </c>
      <c r="R372" s="14">
        <f>P372+ROUND(Q372, 2)</f>
        <v>3642.9</v>
      </c>
      <c r="S372" s="14">
        <f>ROUND(P372*I372, 2)</f>
        <v>71349.83</v>
      </c>
      <c r="T372" s="14">
        <f>ROUND(I372*ROUND(Q372, 2), 2)</f>
        <v>131887.56</v>
      </c>
      <c r="U372" s="14">
        <f>S372+T372</f>
        <v>203237.39</v>
      </c>
      <c r="V372" s="9">
        <f>ROUND(P372 / 1.2, 2)</f>
        <v>1065.75</v>
      </c>
      <c r="W372" s="9">
        <f>ROUND(Q372 / 1.2, 2)</f>
        <v>1970</v>
      </c>
      <c r="X372" s="9">
        <f>ROUND(R372 / 1.2, 2)</f>
        <v>3035.75</v>
      </c>
      <c r="Y372" s="9">
        <f t="shared" si="19"/>
        <v>59458.19</v>
      </c>
      <c r="Z372" s="9">
        <f>ROUND(T372 / 1.2, 2)</f>
        <v>109906.3</v>
      </c>
      <c r="AA372" s="9">
        <f>Y372+Z372</f>
        <v>169364.49</v>
      </c>
      <c r="AD372" s="4">
        <v>271132220</v>
      </c>
      <c r="AE372" s="4">
        <v>19977050</v>
      </c>
      <c r="AG372" s="4" t="s">
        <v>1449</v>
      </c>
      <c r="AH372" s="4" t="s">
        <v>1450</v>
      </c>
      <c r="AI372" s="4" t="s">
        <v>67</v>
      </c>
    </row>
    <row r="373" spans="1:35" ht="36" x14ac:dyDescent="0.3">
      <c r="A373" s="10" t="s">
        <v>1483</v>
      </c>
      <c r="B373" s="10"/>
      <c r="C373" s="17" t="s">
        <v>1484</v>
      </c>
      <c r="D373" s="12"/>
      <c r="E373" s="12" t="s">
        <v>1485</v>
      </c>
      <c r="F373" s="18" t="s">
        <v>64</v>
      </c>
      <c r="G373" s="19">
        <v>1.07</v>
      </c>
      <c r="H373" s="20"/>
      <c r="I373" s="20">
        <v>59.695</v>
      </c>
      <c r="J373" s="21">
        <v>1138.2</v>
      </c>
      <c r="M373" s="22">
        <f>ROUND(ROUND(J373, 2)*I373, 2)</f>
        <v>67944.850000000006</v>
      </c>
      <c r="P373" s="23">
        <v>1138.2</v>
      </c>
      <c r="S373" s="22">
        <f>ROUND(ROUND(P373, 2)*I373, 2)</f>
        <v>67944.850000000006</v>
      </c>
      <c r="V373" s="9">
        <f>ROUND(ROUND(P373, 2)/1.2, 2)</f>
        <v>948.5</v>
      </c>
      <c r="Y373" s="9">
        <f t="shared" si="19"/>
        <v>56620.71</v>
      </c>
      <c r="AD373" s="4" t="s">
        <v>1486</v>
      </c>
      <c r="AE373" s="4" t="s">
        <v>1487</v>
      </c>
      <c r="AF373" s="4" t="s">
        <v>1488</v>
      </c>
    </row>
    <row r="374" spans="1:35" ht="54" x14ac:dyDescent="0.3">
      <c r="A374" s="10" t="s">
        <v>1489</v>
      </c>
      <c r="B374" s="10"/>
      <c r="C374" s="17" t="s">
        <v>697</v>
      </c>
      <c r="D374" s="12"/>
      <c r="E374" s="12" t="s">
        <v>402</v>
      </c>
      <c r="F374" s="18" t="s">
        <v>70</v>
      </c>
      <c r="G374" s="19">
        <v>1.2</v>
      </c>
      <c r="H374" s="20"/>
      <c r="I374" s="20">
        <v>133.89599999999999</v>
      </c>
      <c r="J374" s="21">
        <v>16.96</v>
      </c>
      <c r="M374" s="22">
        <f>ROUND(ROUND(J374, 2)*I374, 2)</f>
        <v>2270.88</v>
      </c>
      <c r="P374" s="23">
        <v>16.96</v>
      </c>
      <c r="S374" s="22">
        <f>ROUND(ROUND(P374, 2)*I374, 2)</f>
        <v>2270.88</v>
      </c>
      <c r="V374" s="9">
        <f>ROUND(ROUND(P374, 2)/1.2, 2)</f>
        <v>14.13</v>
      </c>
      <c r="Y374" s="9">
        <f t="shared" si="19"/>
        <v>1892.4</v>
      </c>
      <c r="AD374" s="4" t="s">
        <v>1490</v>
      </c>
      <c r="AE374" s="4" t="s">
        <v>1491</v>
      </c>
      <c r="AF374" s="4" t="s">
        <v>700</v>
      </c>
    </row>
    <row r="375" spans="1:35" ht="36" x14ac:dyDescent="0.3">
      <c r="A375" s="10" t="s">
        <v>1492</v>
      </c>
      <c r="B375" s="10"/>
      <c r="C375" s="24" t="s">
        <v>452</v>
      </c>
      <c r="D375" s="12"/>
      <c r="E375" s="12"/>
      <c r="F375" s="18" t="s">
        <v>70</v>
      </c>
      <c r="G375" s="19">
        <v>0.15</v>
      </c>
      <c r="H375" s="19"/>
      <c r="I375" s="19">
        <v>8.3689999999999998</v>
      </c>
      <c r="J375" s="21">
        <v>68.400000000000006</v>
      </c>
      <c r="M375" s="22">
        <f>ROUND(ROUND(J375, 2)*I375, 2)</f>
        <v>572.44000000000005</v>
      </c>
      <c r="P375" s="23">
        <v>68.400000000000006</v>
      </c>
      <c r="S375" s="22">
        <f>ROUND(ROUND(P375, 2)*I375, 2)</f>
        <v>572.44000000000005</v>
      </c>
      <c r="V375" s="9">
        <f>ROUND(ROUND(P375, 2)/1.2, 2)</f>
        <v>57</v>
      </c>
      <c r="Y375" s="9">
        <f t="shared" si="19"/>
        <v>477.03</v>
      </c>
      <c r="AD375" s="4" t="s">
        <v>1493</v>
      </c>
      <c r="AE375" s="4" t="s">
        <v>1494</v>
      </c>
      <c r="AF375" s="4" t="s">
        <v>456</v>
      </c>
    </row>
    <row r="376" spans="1:35" ht="36" x14ac:dyDescent="0.3">
      <c r="A376" s="10" t="s">
        <v>1495</v>
      </c>
      <c r="B376" s="10"/>
      <c r="C376" s="24" t="s">
        <v>426</v>
      </c>
      <c r="D376" s="12"/>
      <c r="E376" s="12"/>
      <c r="F376" s="18" t="s">
        <v>70</v>
      </c>
      <c r="G376" s="19">
        <v>0.25</v>
      </c>
      <c r="H376" s="20"/>
      <c r="I376" s="20">
        <v>13.948</v>
      </c>
      <c r="J376" s="21">
        <v>40.270000000000003</v>
      </c>
      <c r="M376" s="22">
        <f>ROUND(ROUND(J376, 2)*I376, 2)</f>
        <v>561.69000000000005</v>
      </c>
      <c r="P376" s="23">
        <v>40.270000000000003</v>
      </c>
      <c r="S376" s="22">
        <f>ROUND(ROUND(P376, 2)*I376, 2)</f>
        <v>561.69000000000005</v>
      </c>
      <c r="V376" s="9">
        <f>ROUND(ROUND(P376, 2)/1.2, 2)</f>
        <v>33.56</v>
      </c>
      <c r="Y376" s="9">
        <f t="shared" si="19"/>
        <v>468.08</v>
      </c>
      <c r="AD376" s="4" t="s">
        <v>1496</v>
      </c>
      <c r="AE376" s="4" t="s">
        <v>1497</v>
      </c>
      <c r="AF376" s="4" t="s">
        <v>429</v>
      </c>
    </row>
    <row r="377" spans="1:35" ht="54" x14ac:dyDescent="0.3">
      <c r="A377" s="10" t="s">
        <v>1498</v>
      </c>
      <c r="B377" s="10" t="s">
        <v>1446</v>
      </c>
      <c r="C377" s="11" t="s">
        <v>1447</v>
      </c>
      <c r="D377" s="12"/>
      <c r="E377" s="12" t="s">
        <v>1499</v>
      </c>
      <c r="F377" s="12" t="s">
        <v>64</v>
      </c>
      <c r="G377" s="13">
        <v>1</v>
      </c>
      <c r="H377" s="13"/>
      <c r="I377" s="13">
        <v>5.65</v>
      </c>
      <c r="J377" s="14">
        <f>IFERROR(ROUND(SUM(M378,M379,M380)/I377, 2),0)</f>
        <v>1141.78</v>
      </c>
      <c r="K377" s="15">
        <v>2364</v>
      </c>
      <c r="L377" s="14">
        <f>J377+ROUND(K377, 2)</f>
        <v>3505.7799999999997</v>
      </c>
      <c r="M377" s="14">
        <f>ROUND(J377*I377, 2)</f>
        <v>6451.06</v>
      </c>
      <c r="N377" s="14">
        <f>ROUND(I377*ROUND(K377, 2), 2)</f>
        <v>13356.6</v>
      </c>
      <c r="O377" s="14">
        <f>M377+N377</f>
        <v>19807.66</v>
      </c>
      <c r="P377" s="14">
        <f>IFERROR(ROUND(SUM(S378,S379,S380)/I377, 2),0)</f>
        <v>1141.78</v>
      </c>
      <c r="Q377" s="16">
        <v>2364</v>
      </c>
      <c r="R377" s="14">
        <f>P377+ROUND(Q377, 2)</f>
        <v>3505.7799999999997</v>
      </c>
      <c r="S377" s="14">
        <f>ROUND(P377*I377, 2)</f>
        <v>6451.06</v>
      </c>
      <c r="T377" s="14">
        <f>ROUND(I377*ROUND(Q377, 2), 2)</f>
        <v>13356.6</v>
      </c>
      <c r="U377" s="14">
        <f>S377+T377</f>
        <v>19807.66</v>
      </c>
      <c r="V377" s="9">
        <f>ROUND(P377 / 1.2, 2)</f>
        <v>951.48</v>
      </c>
      <c r="W377" s="9">
        <f>ROUND(Q377 / 1.2, 2)</f>
        <v>1970</v>
      </c>
      <c r="X377" s="9">
        <f>ROUND(R377 / 1.2, 2)</f>
        <v>2921.48</v>
      </c>
      <c r="Y377" s="9">
        <f t="shared" si="19"/>
        <v>5375.88</v>
      </c>
      <c r="Z377" s="9">
        <f>ROUND(T377 / 1.2, 2)</f>
        <v>11130.5</v>
      </c>
      <c r="AA377" s="9">
        <f>Y377+Z377</f>
        <v>16506.38</v>
      </c>
      <c r="AD377" s="4">
        <v>271132221</v>
      </c>
      <c r="AE377" s="4">
        <v>19977051</v>
      </c>
      <c r="AG377" s="4" t="s">
        <v>1449</v>
      </c>
      <c r="AH377" s="4" t="s">
        <v>1450</v>
      </c>
      <c r="AI377" s="4" t="s">
        <v>67</v>
      </c>
    </row>
    <row r="378" spans="1:35" ht="36" x14ac:dyDescent="0.3">
      <c r="A378" s="10" t="s">
        <v>1500</v>
      </c>
      <c r="B378" s="10"/>
      <c r="C378" s="17" t="s">
        <v>1501</v>
      </c>
      <c r="D378" s="12"/>
      <c r="E378" s="12" t="s">
        <v>1502</v>
      </c>
      <c r="F378" s="18" t="s">
        <v>64</v>
      </c>
      <c r="G378" s="19">
        <v>1.07</v>
      </c>
      <c r="H378" s="20"/>
      <c r="I378" s="20">
        <v>6.0460000000000003</v>
      </c>
      <c r="J378" s="21">
        <v>1019.55</v>
      </c>
      <c r="M378" s="22">
        <f>ROUND(ROUND(J378, 2)*I378, 2)</f>
        <v>6164.2</v>
      </c>
      <c r="P378" s="23">
        <v>1019.55</v>
      </c>
      <c r="S378" s="22">
        <f>ROUND(ROUND(P378, 2)*I378, 2)</f>
        <v>6164.2</v>
      </c>
      <c r="V378" s="9">
        <f>ROUND(ROUND(P378, 2)/1.2, 2)</f>
        <v>849.63</v>
      </c>
      <c r="Y378" s="9">
        <f t="shared" si="19"/>
        <v>5136.83</v>
      </c>
      <c r="AD378" s="4" t="s">
        <v>1503</v>
      </c>
      <c r="AE378" s="4" t="s">
        <v>1504</v>
      </c>
      <c r="AF378" s="4" t="s">
        <v>1505</v>
      </c>
    </row>
    <row r="379" spans="1:35" ht="54" x14ac:dyDescent="0.3">
      <c r="A379" s="10" t="s">
        <v>1506</v>
      </c>
      <c r="B379" s="10"/>
      <c r="C379" s="17" t="s">
        <v>697</v>
      </c>
      <c r="D379" s="12"/>
      <c r="E379" s="12" t="s">
        <v>402</v>
      </c>
      <c r="F379" s="18" t="s">
        <v>70</v>
      </c>
      <c r="G379" s="19">
        <v>1.2</v>
      </c>
      <c r="H379" s="20"/>
      <c r="I379" s="20">
        <v>13.56</v>
      </c>
      <c r="J379" s="21">
        <v>16.96</v>
      </c>
      <c r="M379" s="22">
        <f>ROUND(ROUND(J379, 2)*I379, 2)</f>
        <v>229.98</v>
      </c>
      <c r="P379" s="23">
        <v>16.96</v>
      </c>
      <c r="S379" s="22">
        <f>ROUND(ROUND(P379, 2)*I379, 2)</f>
        <v>229.98</v>
      </c>
      <c r="V379" s="9">
        <f>ROUND(ROUND(P379, 2)/1.2, 2)</f>
        <v>14.13</v>
      </c>
      <c r="Y379" s="9">
        <f t="shared" si="19"/>
        <v>191.65</v>
      </c>
      <c r="AD379" s="4" t="s">
        <v>1507</v>
      </c>
      <c r="AE379" s="4" t="s">
        <v>1508</v>
      </c>
      <c r="AF379" s="4" t="s">
        <v>700</v>
      </c>
    </row>
    <row r="380" spans="1:35" ht="36" x14ac:dyDescent="0.3">
      <c r="A380" s="10" t="s">
        <v>1509</v>
      </c>
      <c r="B380" s="10"/>
      <c r="C380" s="24" t="s">
        <v>426</v>
      </c>
      <c r="D380" s="12"/>
      <c r="E380" s="12"/>
      <c r="F380" s="18" t="s">
        <v>70</v>
      </c>
      <c r="G380" s="19">
        <v>0.25</v>
      </c>
      <c r="H380" s="20"/>
      <c r="I380" s="20">
        <v>1.413</v>
      </c>
      <c r="J380" s="21">
        <v>40.270000000000003</v>
      </c>
      <c r="M380" s="22">
        <f>ROUND(ROUND(J380, 2)*I380, 2)</f>
        <v>56.9</v>
      </c>
      <c r="P380" s="23">
        <v>40.270000000000003</v>
      </c>
      <c r="S380" s="22">
        <f>ROUND(ROUND(P380, 2)*I380, 2)</f>
        <v>56.9</v>
      </c>
      <c r="V380" s="9">
        <f>ROUND(ROUND(P380, 2)/1.2, 2)</f>
        <v>33.56</v>
      </c>
      <c r="Y380" s="9">
        <f t="shared" si="19"/>
        <v>47.42</v>
      </c>
      <c r="AD380" s="4" t="s">
        <v>1510</v>
      </c>
      <c r="AE380" s="4" t="s">
        <v>1511</v>
      </c>
      <c r="AF380" s="4" t="s">
        <v>429</v>
      </c>
    </row>
    <row r="381" spans="1:35" ht="54" x14ac:dyDescent="0.3">
      <c r="A381" s="10" t="s">
        <v>1512</v>
      </c>
      <c r="B381" s="10" t="s">
        <v>1446</v>
      </c>
      <c r="C381" s="11" t="s">
        <v>1447</v>
      </c>
      <c r="D381" s="12"/>
      <c r="E381" s="12" t="s">
        <v>1513</v>
      </c>
      <c r="F381" s="12" t="s">
        <v>64</v>
      </c>
      <c r="G381" s="13">
        <v>1</v>
      </c>
      <c r="H381" s="13"/>
      <c r="I381" s="13">
        <v>8.18</v>
      </c>
      <c r="J381" s="14">
        <f>IFERROR(ROUND(SUM(M382,M383,M384,M385)/I381, 2),0)</f>
        <v>1278.96</v>
      </c>
      <c r="K381" s="15">
        <v>2364</v>
      </c>
      <c r="L381" s="14">
        <f>J381+ROUND(K381, 2)</f>
        <v>3642.96</v>
      </c>
      <c r="M381" s="14">
        <f>ROUND(J381*I381, 2)</f>
        <v>10461.89</v>
      </c>
      <c r="N381" s="14">
        <f>ROUND(I381*ROUND(K381, 2), 2)</f>
        <v>19337.52</v>
      </c>
      <c r="O381" s="14">
        <f>M381+N381</f>
        <v>29799.41</v>
      </c>
      <c r="P381" s="14">
        <f>IFERROR(ROUND(SUM(S382,S383,S384,S385)/I381, 2),0)</f>
        <v>1278.96</v>
      </c>
      <c r="Q381" s="16">
        <v>2364</v>
      </c>
      <c r="R381" s="14">
        <f>P381+ROUND(Q381, 2)</f>
        <v>3642.96</v>
      </c>
      <c r="S381" s="14">
        <f>ROUND(P381*I381, 2)</f>
        <v>10461.89</v>
      </c>
      <c r="T381" s="14">
        <f>ROUND(I381*ROUND(Q381, 2), 2)</f>
        <v>19337.52</v>
      </c>
      <c r="U381" s="14">
        <f>S381+T381</f>
        <v>29799.41</v>
      </c>
      <c r="V381" s="9">
        <f>ROUND(P381 / 1.2, 2)</f>
        <v>1065.8</v>
      </c>
      <c r="W381" s="9">
        <f>ROUND(Q381 / 1.2, 2)</f>
        <v>1970</v>
      </c>
      <c r="X381" s="9">
        <f>ROUND(R381 / 1.2, 2)</f>
        <v>3035.8</v>
      </c>
      <c r="Y381" s="9">
        <f t="shared" si="19"/>
        <v>8718.24</v>
      </c>
      <c r="Z381" s="9">
        <f>ROUND(T381 / 1.2, 2)</f>
        <v>16114.6</v>
      </c>
      <c r="AA381" s="9">
        <f>Y381+Z381</f>
        <v>24832.84</v>
      </c>
      <c r="AD381" s="4">
        <v>271132222</v>
      </c>
      <c r="AE381" s="4">
        <v>19977052</v>
      </c>
      <c r="AG381" s="4" t="s">
        <v>1449</v>
      </c>
      <c r="AH381" s="4" t="s">
        <v>1450</v>
      </c>
      <c r="AI381" s="4" t="s">
        <v>67</v>
      </c>
    </row>
    <row r="382" spans="1:35" ht="54" x14ac:dyDescent="0.3">
      <c r="A382" s="10" t="s">
        <v>1514</v>
      </c>
      <c r="B382" s="10"/>
      <c r="C382" s="17" t="s">
        <v>1484</v>
      </c>
      <c r="D382" s="12"/>
      <c r="E382" s="12" t="s">
        <v>1515</v>
      </c>
      <c r="F382" s="18" t="s">
        <v>64</v>
      </c>
      <c r="G382" s="19">
        <v>1.07</v>
      </c>
      <c r="H382" s="20"/>
      <c r="I382" s="20">
        <v>8.7530000000000001</v>
      </c>
      <c r="J382" s="21">
        <v>1138.2</v>
      </c>
      <c r="M382" s="22">
        <f>ROUND(ROUND(J382, 2)*I382, 2)</f>
        <v>9962.66</v>
      </c>
      <c r="P382" s="23">
        <v>1138.2</v>
      </c>
      <c r="S382" s="22">
        <f>ROUND(ROUND(P382, 2)*I382, 2)</f>
        <v>9962.66</v>
      </c>
      <c r="V382" s="9">
        <f>ROUND(ROUND(P382, 2)/1.2, 2)</f>
        <v>948.5</v>
      </c>
      <c r="Y382" s="9">
        <f t="shared" si="19"/>
        <v>8302.2199999999993</v>
      </c>
      <c r="AD382" s="4" t="s">
        <v>1516</v>
      </c>
      <c r="AE382" s="4" t="s">
        <v>1517</v>
      </c>
      <c r="AF382" s="4" t="s">
        <v>1488</v>
      </c>
    </row>
    <row r="383" spans="1:35" ht="54" x14ac:dyDescent="0.3">
      <c r="A383" s="10" t="s">
        <v>1518</v>
      </c>
      <c r="B383" s="10"/>
      <c r="C383" s="17" t="s">
        <v>697</v>
      </c>
      <c r="D383" s="12"/>
      <c r="E383" s="12" t="s">
        <v>402</v>
      </c>
      <c r="F383" s="18" t="s">
        <v>70</v>
      </c>
      <c r="G383" s="19">
        <v>1.2</v>
      </c>
      <c r="H383" s="20"/>
      <c r="I383" s="20">
        <v>19.632000000000001</v>
      </c>
      <c r="J383" s="21">
        <v>16.96</v>
      </c>
      <c r="M383" s="22">
        <f>ROUND(ROUND(J383, 2)*I383, 2)</f>
        <v>332.96</v>
      </c>
      <c r="P383" s="23">
        <v>16.96</v>
      </c>
      <c r="S383" s="22">
        <f>ROUND(ROUND(P383, 2)*I383, 2)</f>
        <v>332.96</v>
      </c>
      <c r="V383" s="9">
        <f>ROUND(ROUND(P383, 2)/1.2, 2)</f>
        <v>14.13</v>
      </c>
      <c r="Y383" s="9">
        <f t="shared" si="19"/>
        <v>277.47000000000003</v>
      </c>
      <c r="AD383" s="4" t="s">
        <v>1519</v>
      </c>
      <c r="AE383" s="4" t="s">
        <v>1520</v>
      </c>
      <c r="AF383" s="4" t="s">
        <v>700</v>
      </c>
    </row>
    <row r="384" spans="1:35" ht="36" x14ac:dyDescent="0.3">
      <c r="A384" s="10" t="s">
        <v>1521</v>
      </c>
      <c r="B384" s="10"/>
      <c r="C384" s="24" t="s">
        <v>452</v>
      </c>
      <c r="D384" s="12"/>
      <c r="E384" s="12"/>
      <c r="F384" s="18" t="s">
        <v>70</v>
      </c>
      <c r="G384" s="19">
        <v>0.15</v>
      </c>
      <c r="H384" s="19"/>
      <c r="I384" s="19">
        <v>1.2270000000000001</v>
      </c>
      <c r="J384" s="21">
        <v>68.400000000000006</v>
      </c>
      <c r="M384" s="22">
        <f>ROUND(ROUND(J384, 2)*I384, 2)</f>
        <v>83.93</v>
      </c>
      <c r="P384" s="23">
        <v>68.400000000000006</v>
      </c>
      <c r="S384" s="22">
        <f>ROUND(ROUND(P384, 2)*I384, 2)</f>
        <v>83.93</v>
      </c>
      <c r="V384" s="9">
        <f>ROUND(ROUND(P384, 2)/1.2, 2)</f>
        <v>57</v>
      </c>
      <c r="Y384" s="9">
        <f t="shared" si="19"/>
        <v>69.94</v>
      </c>
      <c r="AD384" s="4" t="s">
        <v>1522</v>
      </c>
      <c r="AE384" s="4" t="s">
        <v>1523</v>
      </c>
      <c r="AF384" s="4" t="s">
        <v>456</v>
      </c>
    </row>
    <row r="385" spans="1:35" ht="36" x14ac:dyDescent="0.3">
      <c r="A385" s="10" t="s">
        <v>1524</v>
      </c>
      <c r="B385" s="10"/>
      <c r="C385" s="24" t="s">
        <v>426</v>
      </c>
      <c r="D385" s="12"/>
      <c r="E385" s="12"/>
      <c r="F385" s="18" t="s">
        <v>70</v>
      </c>
      <c r="G385" s="19">
        <v>0.25</v>
      </c>
      <c r="H385" s="20"/>
      <c r="I385" s="20">
        <v>2.0449999999999999</v>
      </c>
      <c r="J385" s="21">
        <v>40.270000000000003</v>
      </c>
      <c r="M385" s="22">
        <f>ROUND(ROUND(J385, 2)*I385, 2)</f>
        <v>82.35</v>
      </c>
      <c r="P385" s="23">
        <v>40.270000000000003</v>
      </c>
      <c r="S385" s="22">
        <f>ROUND(ROUND(P385, 2)*I385, 2)</f>
        <v>82.35</v>
      </c>
      <c r="V385" s="9">
        <f>ROUND(ROUND(P385, 2)/1.2, 2)</f>
        <v>33.56</v>
      </c>
      <c r="Y385" s="9">
        <f t="shared" si="19"/>
        <v>68.63</v>
      </c>
      <c r="AD385" s="4" t="s">
        <v>1525</v>
      </c>
      <c r="AE385" s="4" t="s">
        <v>1526</v>
      </c>
      <c r="AF385" s="4" t="s">
        <v>429</v>
      </c>
    </row>
    <row r="386" spans="1:35" ht="54" x14ac:dyDescent="0.3">
      <c r="A386" s="10" t="s">
        <v>1527</v>
      </c>
      <c r="B386" s="10" t="s">
        <v>1446</v>
      </c>
      <c r="C386" s="11" t="s">
        <v>1447</v>
      </c>
      <c r="D386" s="12"/>
      <c r="E386" s="12" t="s">
        <v>1528</v>
      </c>
      <c r="F386" s="12" t="s">
        <v>64</v>
      </c>
      <c r="G386" s="13">
        <v>1</v>
      </c>
      <c r="H386" s="13"/>
      <c r="I386" s="13">
        <v>175.58</v>
      </c>
      <c r="J386" s="14">
        <f>IFERROR(ROUND(SUM(M387,M388,M389)/I386, 2),0)</f>
        <v>1532.67</v>
      </c>
      <c r="K386" s="15">
        <v>2364</v>
      </c>
      <c r="L386" s="14">
        <f>J386+ROUND(K386, 2)</f>
        <v>3896.67</v>
      </c>
      <c r="M386" s="14">
        <f>ROUND(J386*I386, 2)</f>
        <v>269106.2</v>
      </c>
      <c r="N386" s="14">
        <f>ROUND(I386*ROUND(K386, 2), 2)</f>
        <v>415071.12</v>
      </c>
      <c r="O386" s="14">
        <f>M386+N386</f>
        <v>684177.32000000007</v>
      </c>
      <c r="P386" s="14">
        <f>IFERROR(ROUND(SUM(S387,S388,S389)/I386, 2),0)</f>
        <v>1532.67</v>
      </c>
      <c r="Q386" s="16">
        <v>2364</v>
      </c>
      <c r="R386" s="14">
        <f>P386+ROUND(Q386, 2)</f>
        <v>3896.67</v>
      </c>
      <c r="S386" s="14">
        <f>ROUND(P386*I386, 2)</f>
        <v>269106.2</v>
      </c>
      <c r="T386" s="14">
        <f>ROUND(I386*ROUND(Q386, 2), 2)</f>
        <v>415071.12</v>
      </c>
      <c r="U386" s="14">
        <f>S386+T386</f>
        <v>684177.32000000007</v>
      </c>
      <c r="V386" s="9">
        <f>ROUND(P386 / 1.2, 2)</f>
        <v>1277.23</v>
      </c>
      <c r="W386" s="9">
        <f>ROUND(Q386 / 1.2, 2)</f>
        <v>1970</v>
      </c>
      <c r="X386" s="9">
        <f>ROUND(R386 / 1.2, 2)</f>
        <v>3247.23</v>
      </c>
      <c r="Y386" s="9">
        <f t="shared" si="19"/>
        <v>224255.17</v>
      </c>
      <c r="Z386" s="9">
        <f>ROUND(T386 / 1.2, 2)</f>
        <v>345892.6</v>
      </c>
      <c r="AA386" s="9">
        <f>Y386+Z386</f>
        <v>570147.77</v>
      </c>
      <c r="AD386" s="4">
        <v>271132223</v>
      </c>
      <c r="AE386" s="4">
        <v>19977069</v>
      </c>
      <c r="AG386" s="4" t="s">
        <v>1449</v>
      </c>
      <c r="AH386" s="4" t="s">
        <v>1450</v>
      </c>
      <c r="AI386" s="4" t="s">
        <v>67</v>
      </c>
    </row>
    <row r="387" spans="1:35" ht="36" x14ac:dyDescent="0.3">
      <c r="A387" s="10" t="s">
        <v>1529</v>
      </c>
      <c r="B387" s="10"/>
      <c r="C387" s="17" t="s">
        <v>676</v>
      </c>
      <c r="D387" s="12"/>
      <c r="E387" s="12" t="s">
        <v>1530</v>
      </c>
      <c r="F387" s="18" t="s">
        <v>64</v>
      </c>
      <c r="G387" s="19">
        <v>1.07</v>
      </c>
      <c r="H387" s="20"/>
      <c r="I387" s="20">
        <v>187.87100000000001</v>
      </c>
      <c r="J387" s="21">
        <v>1384.95</v>
      </c>
      <c r="M387" s="22">
        <f>ROUND(ROUND(J387, 2)*I387, 2)</f>
        <v>260191.94</v>
      </c>
      <c r="P387" s="23">
        <v>1384.95</v>
      </c>
      <c r="S387" s="22">
        <f>ROUND(ROUND(P387, 2)*I387, 2)</f>
        <v>260191.94</v>
      </c>
      <c r="V387" s="9">
        <f>ROUND(ROUND(P387, 2)/1.2, 2)</f>
        <v>1154.1300000000001</v>
      </c>
      <c r="Y387" s="9">
        <f t="shared" si="19"/>
        <v>216826.62</v>
      </c>
      <c r="AD387" s="4" t="s">
        <v>1531</v>
      </c>
      <c r="AE387" s="4" t="s">
        <v>1532</v>
      </c>
      <c r="AF387" s="4" t="s">
        <v>680</v>
      </c>
    </row>
    <row r="388" spans="1:35" ht="54" x14ac:dyDescent="0.3">
      <c r="A388" s="10" t="s">
        <v>1533</v>
      </c>
      <c r="B388" s="10"/>
      <c r="C388" s="17" t="s">
        <v>697</v>
      </c>
      <c r="D388" s="12"/>
      <c r="E388" s="12" t="s">
        <v>402</v>
      </c>
      <c r="F388" s="18" t="s">
        <v>70</v>
      </c>
      <c r="G388" s="19">
        <v>1.2</v>
      </c>
      <c r="H388" s="20"/>
      <c r="I388" s="20">
        <v>421.392</v>
      </c>
      <c r="J388" s="21">
        <v>16.96</v>
      </c>
      <c r="M388" s="22">
        <f>ROUND(ROUND(J388, 2)*I388, 2)</f>
        <v>7146.81</v>
      </c>
      <c r="P388" s="23">
        <v>16.96</v>
      </c>
      <c r="S388" s="22">
        <f>ROUND(ROUND(P388, 2)*I388, 2)</f>
        <v>7146.81</v>
      </c>
      <c r="V388" s="9">
        <f>ROUND(ROUND(P388, 2)/1.2, 2)</f>
        <v>14.13</v>
      </c>
      <c r="Y388" s="9">
        <f t="shared" si="19"/>
        <v>5955.68</v>
      </c>
      <c r="AD388" s="4" t="s">
        <v>1534</v>
      </c>
      <c r="AE388" s="4" t="s">
        <v>1535</v>
      </c>
      <c r="AF388" s="4" t="s">
        <v>700</v>
      </c>
    </row>
    <row r="389" spans="1:35" ht="36" x14ac:dyDescent="0.3">
      <c r="A389" s="10" t="s">
        <v>1536</v>
      </c>
      <c r="B389" s="10"/>
      <c r="C389" s="24" t="s">
        <v>426</v>
      </c>
      <c r="D389" s="12"/>
      <c r="E389" s="12"/>
      <c r="F389" s="18" t="s">
        <v>70</v>
      </c>
      <c r="G389" s="19">
        <v>0.25</v>
      </c>
      <c r="H389" s="20"/>
      <c r="I389" s="20">
        <v>43.895000000000003</v>
      </c>
      <c r="J389" s="21">
        <v>40.270000000000003</v>
      </c>
      <c r="M389" s="22">
        <f>ROUND(ROUND(J389, 2)*I389, 2)</f>
        <v>1767.65</v>
      </c>
      <c r="P389" s="23">
        <v>40.270000000000003</v>
      </c>
      <c r="S389" s="22">
        <f>ROUND(ROUND(P389, 2)*I389, 2)</f>
        <v>1767.65</v>
      </c>
      <c r="V389" s="9">
        <f>ROUND(ROUND(P389, 2)/1.2, 2)</f>
        <v>33.56</v>
      </c>
      <c r="Y389" s="9">
        <f t="shared" si="19"/>
        <v>1473.04</v>
      </c>
      <c r="AD389" s="4" t="s">
        <v>1537</v>
      </c>
      <c r="AE389" s="4" t="s">
        <v>1538</v>
      </c>
      <c r="AF389" s="4" t="s">
        <v>429</v>
      </c>
    </row>
    <row r="390" spans="1:35" ht="54" x14ac:dyDescent="0.3">
      <c r="A390" s="10" t="s">
        <v>1539</v>
      </c>
      <c r="B390" s="10" t="s">
        <v>1446</v>
      </c>
      <c r="C390" s="11" t="s">
        <v>1447</v>
      </c>
      <c r="D390" s="12"/>
      <c r="E390" s="12" t="s">
        <v>1540</v>
      </c>
      <c r="F390" s="12" t="s">
        <v>64</v>
      </c>
      <c r="G390" s="13">
        <v>1</v>
      </c>
      <c r="H390" s="13"/>
      <c r="I390" s="13">
        <v>400.4</v>
      </c>
      <c r="J390" s="14">
        <f>IFERROR(ROUND(SUM(M391,M392,M393,M394,M395)/I390, 2),0)</f>
        <v>1538.96</v>
      </c>
      <c r="K390" s="15">
        <v>2364</v>
      </c>
      <c r="L390" s="14">
        <f>J390+ROUND(K390, 2)</f>
        <v>3902.96</v>
      </c>
      <c r="M390" s="14">
        <f>ROUND(J390*I390, 2)</f>
        <v>616199.57999999996</v>
      </c>
      <c r="N390" s="14">
        <f>ROUND(I390*ROUND(K390, 2), 2)</f>
        <v>946545.6</v>
      </c>
      <c r="O390" s="14">
        <f>M390+N390</f>
        <v>1562745.18</v>
      </c>
      <c r="P390" s="14">
        <f>IFERROR(ROUND(SUM(S391,S392,S393,S394,S395)/I390, 2),0)</f>
        <v>1538.96</v>
      </c>
      <c r="Q390" s="16">
        <v>2364</v>
      </c>
      <c r="R390" s="14">
        <f>P390+ROUND(Q390, 2)</f>
        <v>3902.96</v>
      </c>
      <c r="S390" s="14">
        <f>ROUND(P390*I390, 2)</f>
        <v>616199.57999999996</v>
      </c>
      <c r="T390" s="14">
        <f>ROUND(I390*ROUND(Q390, 2), 2)</f>
        <v>946545.6</v>
      </c>
      <c r="U390" s="14">
        <f>S390+T390</f>
        <v>1562745.18</v>
      </c>
      <c r="V390" s="9">
        <f>ROUND(P390 / 1.2, 2)</f>
        <v>1282.47</v>
      </c>
      <c r="W390" s="9">
        <f>ROUND(Q390 / 1.2, 2)</f>
        <v>1970</v>
      </c>
      <c r="X390" s="9">
        <f>ROUND(R390 / 1.2, 2)</f>
        <v>3252.47</v>
      </c>
      <c r="Y390" s="9">
        <f t="shared" si="19"/>
        <v>513499.65</v>
      </c>
      <c r="Z390" s="9">
        <f>ROUND(T390 / 1.2, 2)</f>
        <v>788788</v>
      </c>
      <c r="AA390" s="9">
        <f>Y390+Z390</f>
        <v>1302287.6499999999</v>
      </c>
      <c r="AD390" s="4">
        <v>271132224</v>
      </c>
      <c r="AE390" s="4">
        <v>19977067</v>
      </c>
      <c r="AG390" s="4" t="s">
        <v>1449</v>
      </c>
      <c r="AH390" s="4" t="s">
        <v>1450</v>
      </c>
      <c r="AI390" s="4" t="s">
        <v>67</v>
      </c>
    </row>
    <row r="391" spans="1:35" ht="54" x14ac:dyDescent="0.3">
      <c r="A391" s="10" t="s">
        <v>1541</v>
      </c>
      <c r="B391" s="10"/>
      <c r="C391" s="17" t="s">
        <v>676</v>
      </c>
      <c r="D391" s="12"/>
      <c r="E391" s="12" t="s">
        <v>1542</v>
      </c>
      <c r="F391" s="18" t="s">
        <v>64</v>
      </c>
      <c r="G391" s="19">
        <v>1.07</v>
      </c>
      <c r="H391" s="20"/>
      <c r="I391" s="20">
        <v>428.428</v>
      </c>
      <c r="J391" s="21">
        <v>1384.95</v>
      </c>
      <c r="M391" s="22">
        <f>ROUND(ROUND(J391, 2)*I391, 2)</f>
        <v>593351.36</v>
      </c>
      <c r="P391" s="23">
        <v>1384.95</v>
      </c>
      <c r="S391" s="22">
        <f>ROUND(ROUND(P391, 2)*I391, 2)</f>
        <v>593351.36</v>
      </c>
      <c r="V391" s="9">
        <f>ROUND(ROUND(P391, 2)/1.2, 2)</f>
        <v>1154.1300000000001</v>
      </c>
      <c r="Y391" s="9">
        <f t="shared" si="19"/>
        <v>494459.47</v>
      </c>
      <c r="AD391" s="4" t="s">
        <v>1543</v>
      </c>
      <c r="AE391" s="4" t="s">
        <v>1544</v>
      </c>
      <c r="AF391" s="4" t="s">
        <v>680</v>
      </c>
    </row>
    <row r="392" spans="1:35" ht="54" x14ac:dyDescent="0.3">
      <c r="A392" s="10" t="s">
        <v>1545</v>
      </c>
      <c r="B392" s="10"/>
      <c r="C392" s="17" t="s">
        <v>1546</v>
      </c>
      <c r="D392" s="12"/>
      <c r="E392" s="12" t="s">
        <v>1547</v>
      </c>
      <c r="F392" s="18" t="s">
        <v>87</v>
      </c>
      <c r="G392" s="19">
        <v>0.23</v>
      </c>
      <c r="H392" s="20"/>
      <c r="I392" s="20">
        <v>12.537000000000001</v>
      </c>
      <c r="J392" s="21">
        <v>96.24</v>
      </c>
      <c r="M392" s="22">
        <f>ROUND(ROUND(J392, 2)*I392, 2)</f>
        <v>1206.56</v>
      </c>
      <c r="P392" s="23">
        <v>96.24</v>
      </c>
      <c r="S392" s="22">
        <f>ROUND(ROUND(P392, 2)*I392, 2)</f>
        <v>1206.56</v>
      </c>
      <c r="V392" s="9">
        <f>ROUND(ROUND(P392, 2)/1.2, 2)</f>
        <v>80.2</v>
      </c>
      <c r="Y392" s="9">
        <f t="shared" ref="Y392:Y442" si="20">ROUND(S392 / 1.2, 2)</f>
        <v>1005.47</v>
      </c>
      <c r="AD392" s="4" t="s">
        <v>1548</v>
      </c>
      <c r="AE392" s="4" t="s">
        <v>1549</v>
      </c>
      <c r="AF392" s="4" t="s">
        <v>1550</v>
      </c>
    </row>
    <row r="393" spans="1:35" ht="54" x14ac:dyDescent="0.3">
      <c r="A393" s="10" t="s">
        <v>1551</v>
      </c>
      <c r="B393" s="10"/>
      <c r="C393" s="24" t="s">
        <v>1086</v>
      </c>
      <c r="D393" s="12"/>
      <c r="E393" s="12" t="s">
        <v>1552</v>
      </c>
      <c r="F393" s="18" t="s">
        <v>87</v>
      </c>
      <c r="G393" s="19">
        <v>0.23</v>
      </c>
      <c r="H393" s="20"/>
      <c r="I393" s="20">
        <v>13.444000000000001</v>
      </c>
      <c r="J393" s="21">
        <v>97.71</v>
      </c>
      <c r="M393" s="22">
        <f>ROUND(ROUND(J393, 2)*I393, 2)</f>
        <v>1313.61</v>
      </c>
      <c r="P393" s="23">
        <v>97.71</v>
      </c>
      <c r="S393" s="22">
        <f>ROUND(ROUND(P393, 2)*I393, 2)</f>
        <v>1313.61</v>
      </c>
      <c r="V393" s="9">
        <f>ROUND(ROUND(P393, 2)/1.2, 2)</f>
        <v>81.430000000000007</v>
      </c>
      <c r="Y393" s="9">
        <f t="shared" si="20"/>
        <v>1094.68</v>
      </c>
      <c r="AD393" s="4" t="s">
        <v>1553</v>
      </c>
      <c r="AE393" s="4" t="s">
        <v>1554</v>
      </c>
      <c r="AF393" s="4" t="s">
        <v>1089</v>
      </c>
    </row>
    <row r="394" spans="1:35" ht="54" x14ac:dyDescent="0.3">
      <c r="A394" s="10" t="s">
        <v>1555</v>
      </c>
      <c r="B394" s="10"/>
      <c r="C394" s="17" t="s">
        <v>697</v>
      </c>
      <c r="D394" s="12"/>
      <c r="E394" s="12" t="s">
        <v>402</v>
      </c>
      <c r="F394" s="18" t="s">
        <v>70</v>
      </c>
      <c r="G394" s="19">
        <v>1.2</v>
      </c>
      <c r="H394" s="20"/>
      <c r="I394" s="20">
        <v>960.96</v>
      </c>
      <c r="J394" s="21">
        <v>16.96</v>
      </c>
      <c r="M394" s="22">
        <f>ROUND(ROUND(J394, 2)*I394, 2)</f>
        <v>16297.88</v>
      </c>
      <c r="P394" s="23">
        <v>16.96</v>
      </c>
      <c r="S394" s="22">
        <f>ROUND(ROUND(P394, 2)*I394, 2)</f>
        <v>16297.88</v>
      </c>
      <c r="V394" s="9">
        <f>ROUND(ROUND(P394, 2)/1.2, 2)</f>
        <v>14.13</v>
      </c>
      <c r="Y394" s="9">
        <f t="shared" si="20"/>
        <v>13581.57</v>
      </c>
      <c r="AD394" s="4" t="s">
        <v>1556</v>
      </c>
      <c r="AE394" s="4" t="s">
        <v>1557</v>
      </c>
      <c r="AF394" s="4" t="s">
        <v>700</v>
      </c>
    </row>
    <row r="395" spans="1:35" ht="18" x14ac:dyDescent="0.3">
      <c r="A395" s="10" t="s">
        <v>1558</v>
      </c>
      <c r="B395" s="10"/>
      <c r="C395" s="24" t="s">
        <v>1123</v>
      </c>
      <c r="D395" s="12"/>
      <c r="E395" s="12" t="s">
        <v>1559</v>
      </c>
      <c r="F395" s="18" t="s">
        <v>70</v>
      </c>
      <c r="G395" s="19">
        <v>0.25</v>
      </c>
      <c r="H395" s="20"/>
      <c r="I395" s="20">
        <v>100.1</v>
      </c>
      <c r="J395" s="21">
        <v>40.270000000000003</v>
      </c>
      <c r="M395" s="22">
        <f>ROUND(ROUND(J395, 2)*I395, 2)</f>
        <v>4031.03</v>
      </c>
      <c r="P395" s="23">
        <v>40.270000000000003</v>
      </c>
      <c r="S395" s="22">
        <f>ROUND(ROUND(P395, 2)*I395, 2)</f>
        <v>4031.03</v>
      </c>
      <c r="V395" s="9">
        <f>ROUND(ROUND(P395, 2)/1.2, 2)</f>
        <v>33.56</v>
      </c>
      <c r="Y395" s="9">
        <f t="shared" si="20"/>
        <v>3359.19</v>
      </c>
      <c r="AD395" s="4" t="s">
        <v>1560</v>
      </c>
      <c r="AE395" s="4" t="s">
        <v>1561</v>
      </c>
      <c r="AF395" s="4" t="s">
        <v>1127</v>
      </c>
    </row>
    <row r="396" spans="1:35" ht="54" x14ac:dyDescent="0.3">
      <c r="A396" s="10" t="s">
        <v>1562</v>
      </c>
      <c r="B396" s="10" t="s">
        <v>1446</v>
      </c>
      <c r="C396" s="11" t="s">
        <v>1447</v>
      </c>
      <c r="D396" s="12"/>
      <c r="E396" s="12" t="s">
        <v>1563</v>
      </c>
      <c r="F396" s="12" t="s">
        <v>64</v>
      </c>
      <c r="G396" s="13">
        <v>1</v>
      </c>
      <c r="H396" s="13"/>
      <c r="I396" s="13">
        <v>158.19</v>
      </c>
      <c r="J396" s="14">
        <f>IFERROR(ROUND(SUM(M397,M398,M399,M400,M401)/I396, 2),0)</f>
        <v>1077.02</v>
      </c>
      <c r="K396" s="15">
        <v>2364</v>
      </c>
      <c r="L396" s="14">
        <f>J396+ROUND(K396, 2)</f>
        <v>3441.02</v>
      </c>
      <c r="M396" s="14">
        <f>ROUND(J396*I396, 2)</f>
        <v>170373.79</v>
      </c>
      <c r="N396" s="14">
        <f>ROUND(I396*ROUND(K396, 2), 2)</f>
        <v>373961.16</v>
      </c>
      <c r="O396" s="14">
        <f>M396+N396</f>
        <v>544334.94999999995</v>
      </c>
      <c r="P396" s="14">
        <f>IFERROR(ROUND(SUM(S397,S398,S399,S400,S401)/I396, 2),0)</f>
        <v>1077.02</v>
      </c>
      <c r="Q396" s="16">
        <v>2364</v>
      </c>
      <c r="R396" s="14">
        <f>P396+ROUND(Q396, 2)</f>
        <v>3441.02</v>
      </c>
      <c r="S396" s="14">
        <f>ROUND(P396*I396, 2)</f>
        <v>170373.79</v>
      </c>
      <c r="T396" s="14">
        <f>ROUND(I396*ROUND(Q396, 2), 2)</f>
        <v>373961.16</v>
      </c>
      <c r="U396" s="14">
        <f>S396+T396</f>
        <v>544334.94999999995</v>
      </c>
      <c r="V396" s="9">
        <f>ROUND(P396 / 1.2, 2)</f>
        <v>897.52</v>
      </c>
      <c r="W396" s="9">
        <f>ROUND(Q396 / 1.2, 2)</f>
        <v>1970</v>
      </c>
      <c r="X396" s="9">
        <f>ROUND(R396 / 1.2, 2)</f>
        <v>2867.52</v>
      </c>
      <c r="Y396" s="9">
        <f t="shared" si="20"/>
        <v>141978.16</v>
      </c>
      <c r="Z396" s="9">
        <f>ROUND(T396 / 1.2, 2)</f>
        <v>311634.3</v>
      </c>
      <c r="AA396" s="9">
        <f>Y396+Z396</f>
        <v>453612.45999999996</v>
      </c>
      <c r="AD396" s="4">
        <v>271132225</v>
      </c>
      <c r="AE396" s="4">
        <v>19988233</v>
      </c>
      <c r="AG396" s="4" t="s">
        <v>1449</v>
      </c>
      <c r="AH396" s="4" t="s">
        <v>1450</v>
      </c>
      <c r="AI396" s="4" t="s">
        <v>67</v>
      </c>
    </row>
    <row r="397" spans="1:35" ht="54" x14ac:dyDescent="0.3">
      <c r="A397" s="10" t="s">
        <v>1564</v>
      </c>
      <c r="B397" s="10"/>
      <c r="C397" s="17" t="s">
        <v>1461</v>
      </c>
      <c r="D397" s="12"/>
      <c r="E397" s="12" t="s">
        <v>1565</v>
      </c>
      <c r="F397" s="18" t="s">
        <v>64</v>
      </c>
      <c r="G397" s="19">
        <v>1.07</v>
      </c>
      <c r="H397" s="20"/>
      <c r="I397" s="20">
        <v>169.26300000000001</v>
      </c>
      <c r="J397" s="21">
        <v>945</v>
      </c>
      <c r="M397" s="22">
        <f>ROUND(ROUND(J397, 2)*I397, 2)</f>
        <v>159953.54</v>
      </c>
      <c r="P397" s="23">
        <v>945</v>
      </c>
      <c r="S397" s="22">
        <f>ROUND(ROUND(P397, 2)*I397, 2)</f>
        <v>159953.54</v>
      </c>
      <c r="V397" s="9">
        <f>ROUND(ROUND(P397, 2)/1.2, 2)</f>
        <v>787.5</v>
      </c>
      <c r="Y397" s="9">
        <f t="shared" si="20"/>
        <v>133294.62</v>
      </c>
      <c r="AD397" s="4" t="s">
        <v>1566</v>
      </c>
      <c r="AE397" s="4" t="s">
        <v>1567</v>
      </c>
      <c r="AF397" s="4" t="s">
        <v>1465</v>
      </c>
    </row>
    <row r="398" spans="1:35" ht="72" x14ac:dyDescent="0.3">
      <c r="A398" s="10" t="s">
        <v>1568</v>
      </c>
      <c r="B398" s="10"/>
      <c r="C398" s="17" t="s">
        <v>1546</v>
      </c>
      <c r="D398" s="12"/>
      <c r="E398" s="12" t="s">
        <v>1569</v>
      </c>
      <c r="F398" s="18" t="s">
        <v>87</v>
      </c>
      <c r="G398" s="19">
        <v>0.23</v>
      </c>
      <c r="H398" s="20"/>
      <c r="I398" s="20">
        <v>7.9489999999999998</v>
      </c>
      <c r="J398" s="21">
        <v>96.24</v>
      </c>
      <c r="M398" s="22">
        <f>ROUND(ROUND(J398, 2)*I398, 2)</f>
        <v>765.01</v>
      </c>
      <c r="P398" s="23">
        <v>96.24</v>
      </c>
      <c r="S398" s="22">
        <f>ROUND(ROUND(P398, 2)*I398, 2)</f>
        <v>765.01</v>
      </c>
      <c r="V398" s="9">
        <f>ROUND(ROUND(P398, 2)/1.2, 2)</f>
        <v>80.2</v>
      </c>
      <c r="Y398" s="9">
        <f t="shared" si="20"/>
        <v>637.51</v>
      </c>
      <c r="AD398" s="4" t="s">
        <v>1570</v>
      </c>
      <c r="AE398" s="4" t="s">
        <v>1571</v>
      </c>
      <c r="AF398" s="4" t="s">
        <v>1550</v>
      </c>
    </row>
    <row r="399" spans="1:35" ht="54" x14ac:dyDescent="0.3">
      <c r="A399" s="10" t="s">
        <v>1572</v>
      </c>
      <c r="B399" s="10"/>
      <c r="C399" s="17" t="s">
        <v>697</v>
      </c>
      <c r="D399" s="12"/>
      <c r="E399" s="12" t="s">
        <v>402</v>
      </c>
      <c r="F399" s="18" t="s">
        <v>70</v>
      </c>
      <c r="G399" s="19">
        <v>1.2</v>
      </c>
      <c r="H399" s="20"/>
      <c r="I399" s="20">
        <v>379.65600000000001</v>
      </c>
      <c r="J399" s="21">
        <v>16.96</v>
      </c>
      <c r="M399" s="22">
        <f>ROUND(ROUND(J399, 2)*I399, 2)</f>
        <v>6438.97</v>
      </c>
      <c r="P399" s="23">
        <v>16.96</v>
      </c>
      <c r="S399" s="22">
        <f>ROUND(ROUND(P399, 2)*I399, 2)</f>
        <v>6438.97</v>
      </c>
      <c r="V399" s="9">
        <f>ROUND(ROUND(P399, 2)/1.2, 2)</f>
        <v>14.13</v>
      </c>
      <c r="Y399" s="9">
        <f t="shared" si="20"/>
        <v>5365.81</v>
      </c>
      <c r="AD399" s="4" t="s">
        <v>1573</v>
      </c>
      <c r="AE399" s="4" t="s">
        <v>1574</v>
      </c>
      <c r="AF399" s="4" t="s">
        <v>700</v>
      </c>
    </row>
    <row r="400" spans="1:35" ht="36" x14ac:dyDescent="0.3">
      <c r="A400" s="10" t="s">
        <v>1575</v>
      </c>
      <c r="B400" s="10"/>
      <c r="C400" s="24" t="s">
        <v>452</v>
      </c>
      <c r="D400" s="12"/>
      <c r="E400" s="12"/>
      <c r="F400" s="18" t="s">
        <v>70</v>
      </c>
      <c r="G400" s="19">
        <v>0.15</v>
      </c>
      <c r="H400" s="19"/>
      <c r="I400" s="19">
        <v>23.728999999999999</v>
      </c>
      <c r="J400" s="21">
        <v>68.400000000000006</v>
      </c>
      <c r="M400" s="22">
        <f>ROUND(ROUND(J400, 2)*I400, 2)</f>
        <v>1623.06</v>
      </c>
      <c r="P400" s="23">
        <v>68.400000000000006</v>
      </c>
      <c r="S400" s="22">
        <f>ROUND(ROUND(P400, 2)*I400, 2)</f>
        <v>1623.06</v>
      </c>
      <c r="V400" s="9">
        <f>ROUND(ROUND(P400, 2)/1.2, 2)</f>
        <v>57</v>
      </c>
      <c r="Y400" s="9">
        <f t="shared" si="20"/>
        <v>1352.55</v>
      </c>
      <c r="AD400" s="4" t="s">
        <v>1576</v>
      </c>
      <c r="AE400" s="4" t="s">
        <v>1577</v>
      </c>
      <c r="AF400" s="4" t="s">
        <v>456</v>
      </c>
    </row>
    <row r="401" spans="1:35" ht="36" x14ac:dyDescent="0.3">
      <c r="A401" s="10" t="s">
        <v>1578</v>
      </c>
      <c r="B401" s="10"/>
      <c r="C401" s="24" t="s">
        <v>426</v>
      </c>
      <c r="D401" s="12"/>
      <c r="E401" s="12"/>
      <c r="F401" s="18" t="s">
        <v>70</v>
      </c>
      <c r="G401" s="19">
        <v>0.25</v>
      </c>
      <c r="H401" s="20"/>
      <c r="I401" s="20">
        <v>39.548000000000002</v>
      </c>
      <c r="J401" s="21">
        <v>40.270000000000003</v>
      </c>
      <c r="M401" s="22">
        <f>ROUND(ROUND(J401, 2)*I401, 2)</f>
        <v>1592.6</v>
      </c>
      <c r="P401" s="23">
        <v>40.270000000000003</v>
      </c>
      <c r="S401" s="22">
        <f>ROUND(ROUND(P401, 2)*I401, 2)</f>
        <v>1592.6</v>
      </c>
      <c r="V401" s="9">
        <f>ROUND(ROUND(P401, 2)/1.2, 2)</f>
        <v>33.56</v>
      </c>
      <c r="Y401" s="9">
        <f t="shared" si="20"/>
        <v>1327.17</v>
      </c>
      <c r="AD401" s="4" t="s">
        <v>1579</v>
      </c>
      <c r="AE401" s="4" t="s">
        <v>1580</v>
      </c>
      <c r="AF401" s="4" t="s">
        <v>429</v>
      </c>
    </row>
    <row r="402" spans="1:35" ht="54" x14ac:dyDescent="0.3">
      <c r="A402" s="10" t="s">
        <v>1581</v>
      </c>
      <c r="B402" s="10" t="s">
        <v>1446</v>
      </c>
      <c r="C402" s="11" t="s">
        <v>1447</v>
      </c>
      <c r="D402" s="12"/>
      <c r="E402" s="12" t="s">
        <v>1582</v>
      </c>
      <c r="F402" s="12" t="s">
        <v>64</v>
      </c>
      <c r="G402" s="13">
        <v>1</v>
      </c>
      <c r="H402" s="13"/>
      <c r="I402" s="13">
        <v>15.27</v>
      </c>
      <c r="J402" s="14">
        <f>IFERROR(ROUND(SUM(M403,M404,M405,M406)/I402, 2),0)</f>
        <v>1542.94</v>
      </c>
      <c r="K402" s="15">
        <v>2364</v>
      </c>
      <c r="L402" s="14">
        <f>J402+ROUND(K402, 2)</f>
        <v>3906.94</v>
      </c>
      <c r="M402" s="14">
        <f>ROUND(J402*I402, 2)</f>
        <v>23560.69</v>
      </c>
      <c r="N402" s="14">
        <f>ROUND(I402*ROUND(K402, 2), 2)</f>
        <v>36098.28</v>
      </c>
      <c r="O402" s="14">
        <f>M402+N402</f>
        <v>59658.97</v>
      </c>
      <c r="P402" s="14">
        <f>IFERROR(ROUND(SUM(S403,S404,S405,S406)/I402, 2),0)</f>
        <v>1542.94</v>
      </c>
      <c r="Q402" s="16">
        <v>2364</v>
      </c>
      <c r="R402" s="14">
        <f>P402+ROUND(Q402, 2)</f>
        <v>3906.94</v>
      </c>
      <c r="S402" s="14">
        <f>ROUND(P402*I402, 2)</f>
        <v>23560.69</v>
      </c>
      <c r="T402" s="14">
        <f>ROUND(I402*ROUND(Q402, 2), 2)</f>
        <v>36098.28</v>
      </c>
      <c r="U402" s="14">
        <f>S402+T402</f>
        <v>59658.97</v>
      </c>
      <c r="V402" s="9">
        <f>ROUND(P402 / 1.2, 2)</f>
        <v>1285.78</v>
      </c>
      <c r="W402" s="9">
        <f>ROUND(Q402 / 1.2, 2)</f>
        <v>1970</v>
      </c>
      <c r="X402" s="9">
        <f>ROUND(R402 / 1.2, 2)</f>
        <v>3255.78</v>
      </c>
      <c r="Y402" s="9">
        <f t="shared" si="20"/>
        <v>19633.91</v>
      </c>
      <c r="Z402" s="9">
        <f>ROUND(T402 / 1.2, 2)</f>
        <v>30081.9</v>
      </c>
      <c r="AA402" s="9">
        <f>Y402+Z402</f>
        <v>49715.81</v>
      </c>
      <c r="AD402" s="4">
        <v>271132226</v>
      </c>
      <c r="AE402" s="4">
        <v>19988234</v>
      </c>
      <c r="AG402" s="4" t="s">
        <v>1449</v>
      </c>
      <c r="AH402" s="4" t="s">
        <v>1450</v>
      </c>
      <c r="AI402" s="4" t="s">
        <v>67</v>
      </c>
    </row>
    <row r="403" spans="1:35" ht="54" x14ac:dyDescent="0.3">
      <c r="A403" s="10" t="s">
        <v>1583</v>
      </c>
      <c r="B403" s="10"/>
      <c r="C403" s="17" t="s">
        <v>676</v>
      </c>
      <c r="D403" s="12"/>
      <c r="E403" s="12" t="s">
        <v>1469</v>
      </c>
      <c r="F403" s="18" t="s">
        <v>64</v>
      </c>
      <c r="G403" s="19">
        <v>1.07</v>
      </c>
      <c r="H403" s="20"/>
      <c r="I403" s="20">
        <v>16.338999999999999</v>
      </c>
      <c r="J403" s="21">
        <v>1384.95</v>
      </c>
      <c r="M403" s="22">
        <f>ROUND(ROUND(J403, 2)*I403, 2)</f>
        <v>22628.7</v>
      </c>
      <c r="P403" s="23">
        <v>1384.95</v>
      </c>
      <c r="S403" s="22">
        <f>ROUND(ROUND(P403, 2)*I403, 2)</f>
        <v>22628.7</v>
      </c>
      <c r="V403" s="9">
        <f>ROUND(ROUND(P403, 2)/1.2, 2)</f>
        <v>1154.1300000000001</v>
      </c>
      <c r="Y403" s="9">
        <f t="shared" si="20"/>
        <v>18857.25</v>
      </c>
      <c r="AD403" s="4" t="s">
        <v>1584</v>
      </c>
      <c r="AE403" s="4" t="s">
        <v>1585</v>
      </c>
      <c r="AF403" s="4" t="s">
        <v>680</v>
      </c>
    </row>
    <row r="404" spans="1:35" ht="54" x14ac:dyDescent="0.3">
      <c r="A404" s="10" t="s">
        <v>1586</v>
      </c>
      <c r="B404" s="10"/>
      <c r="C404" s="17" t="s">
        <v>697</v>
      </c>
      <c r="D404" s="12"/>
      <c r="E404" s="12" t="s">
        <v>402</v>
      </c>
      <c r="F404" s="18" t="s">
        <v>70</v>
      </c>
      <c r="G404" s="19">
        <v>1.2</v>
      </c>
      <c r="H404" s="20"/>
      <c r="I404" s="20">
        <v>36.648000000000003</v>
      </c>
      <c r="J404" s="21">
        <v>16.96</v>
      </c>
      <c r="M404" s="22">
        <f>ROUND(ROUND(J404, 2)*I404, 2)</f>
        <v>621.54999999999995</v>
      </c>
      <c r="P404" s="23">
        <v>16.96</v>
      </c>
      <c r="S404" s="22">
        <f>ROUND(ROUND(P404, 2)*I404, 2)</f>
        <v>621.54999999999995</v>
      </c>
      <c r="V404" s="9">
        <f>ROUND(ROUND(P404, 2)/1.2, 2)</f>
        <v>14.13</v>
      </c>
      <c r="Y404" s="9">
        <f t="shared" si="20"/>
        <v>517.96</v>
      </c>
      <c r="AD404" s="4" t="s">
        <v>1587</v>
      </c>
      <c r="AE404" s="4" t="s">
        <v>1588</v>
      </c>
      <c r="AF404" s="4" t="s">
        <v>700</v>
      </c>
    </row>
    <row r="405" spans="1:35" ht="36" x14ac:dyDescent="0.3">
      <c r="A405" s="10" t="s">
        <v>1589</v>
      </c>
      <c r="B405" s="10"/>
      <c r="C405" s="24" t="s">
        <v>452</v>
      </c>
      <c r="D405" s="12"/>
      <c r="E405" s="12"/>
      <c r="F405" s="18" t="s">
        <v>70</v>
      </c>
      <c r="G405" s="19">
        <v>0.15</v>
      </c>
      <c r="H405" s="19"/>
      <c r="I405" s="19">
        <v>2.2909999999999999</v>
      </c>
      <c r="J405" s="21">
        <v>68.400000000000006</v>
      </c>
      <c r="M405" s="22">
        <f>ROUND(ROUND(J405, 2)*I405, 2)</f>
        <v>156.69999999999999</v>
      </c>
      <c r="P405" s="23">
        <v>68.400000000000006</v>
      </c>
      <c r="S405" s="22">
        <f>ROUND(ROUND(P405, 2)*I405, 2)</f>
        <v>156.69999999999999</v>
      </c>
      <c r="V405" s="9">
        <f>ROUND(ROUND(P405, 2)/1.2, 2)</f>
        <v>57</v>
      </c>
      <c r="Y405" s="9">
        <f t="shared" si="20"/>
        <v>130.58000000000001</v>
      </c>
      <c r="AD405" s="4" t="s">
        <v>1590</v>
      </c>
      <c r="AE405" s="4" t="s">
        <v>1591</v>
      </c>
      <c r="AF405" s="4" t="s">
        <v>456</v>
      </c>
    </row>
    <row r="406" spans="1:35" ht="36" x14ac:dyDescent="0.3">
      <c r="A406" s="10" t="s">
        <v>1592</v>
      </c>
      <c r="B406" s="10"/>
      <c r="C406" s="24" t="s">
        <v>426</v>
      </c>
      <c r="D406" s="12"/>
      <c r="E406" s="12"/>
      <c r="F406" s="18" t="s">
        <v>70</v>
      </c>
      <c r="G406" s="19">
        <v>0.25</v>
      </c>
      <c r="H406" s="20"/>
      <c r="I406" s="20">
        <v>3.8180000000000001</v>
      </c>
      <c r="J406" s="21">
        <v>40.270000000000003</v>
      </c>
      <c r="M406" s="22">
        <f>ROUND(ROUND(J406, 2)*I406, 2)</f>
        <v>153.75</v>
      </c>
      <c r="P406" s="23">
        <v>40.270000000000003</v>
      </c>
      <c r="S406" s="22">
        <f>ROUND(ROUND(P406, 2)*I406, 2)</f>
        <v>153.75</v>
      </c>
      <c r="V406" s="9">
        <f>ROUND(ROUND(P406, 2)/1.2, 2)</f>
        <v>33.56</v>
      </c>
      <c r="Y406" s="9">
        <f t="shared" si="20"/>
        <v>128.13</v>
      </c>
      <c r="AD406" s="4" t="s">
        <v>1593</v>
      </c>
      <c r="AE406" s="4" t="s">
        <v>1594</v>
      </c>
      <c r="AF406" s="4" t="s">
        <v>429</v>
      </c>
    </row>
    <row r="407" spans="1:35" ht="54" x14ac:dyDescent="0.3">
      <c r="A407" s="10" t="s">
        <v>1595</v>
      </c>
      <c r="B407" s="10" t="s">
        <v>1446</v>
      </c>
      <c r="C407" s="11" t="s">
        <v>1447</v>
      </c>
      <c r="D407" s="12"/>
      <c r="E407" s="12" t="s">
        <v>1596</v>
      </c>
      <c r="F407" s="12" t="s">
        <v>64</v>
      </c>
      <c r="G407" s="13">
        <v>1</v>
      </c>
      <c r="H407" s="13"/>
      <c r="I407" s="13">
        <v>35.9</v>
      </c>
      <c r="J407" s="14">
        <f>IFERROR(ROUND(SUM(M408,M409,M410,M411)/I407, 2),0)</f>
        <v>1278.9100000000001</v>
      </c>
      <c r="K407" s="15">
        <v>2364</v>
      </c>
      <c r="L407" s="14">
        <f>J407+ROUND(K407, 2)</f>
        <v>3642.91</v>
      </c>
      <c r="M407" s="14">
        <f>ROUND(J407*I407, 2)</f>
        <v>45912.87</v>
      </c>
      <c r="N407" s="14">
        <f>ROUND(I407*ROUND(K407, 2), 2)</f>
        <v>84867.6</v>
      </c>
      <c r="O407" s="14">
        <f>M407+N407</f>
        <v>130780.47</v>
      </c>
      <c r="P407" s="14">
        <f>IFERROR(ROUND(SUM(S408,S409,S410,S411)/I407, 2),0)</f>
        <v>1278.9100000000001</v>
      </c>
      <c r="Q407" s="16">
        <v>2364</v>
      </c>
      <c r="R407" s="14">
        <f>P407+ROUND(Q407, 2)</f>
        <v>3642.91</v>
      </c>
      <c r="S407" s="14">
        <f>ROUND(P407*I407, 2)</f>
        <v>45912.87</v>
      </c>
      <c r="T407" s="14">
        <f>ROUND(I407*ROUND(Q407, 2), 2)</f>
        <v>84867.6</v>
      </c>
      <c r="U407" s="14">
        <f>S407+T407</f>
        <v>130780.47</v>
      </c>
      <c r="V407" s="9">
        <f>ROUND(P407 / 1.2, 2)</f>
        <v>1065.76</v>
      </c>
      <c r="W407" s="9">
        <f>ROUND(Q407 / 1.2, 2)</f>
        <v>1970</v>
      </c>
      <c r="X407" s="9">
        <f>ROUND(R407 / 1.2, 2)</f>
        <v>3035.76</v>
      </c>
      <c r="Y407" s="9">
        <f t="shared" si="20"/>
        <v>38260.730000000003</v>
      </c>
      <c r="Z407" s="9">
        <f>ROUND(T407 / 1.2, 2)</f>
        <v>70723</v>
      </c>
      <c r="AA407" s="9">
        <f>Y407+Z407</f>
        <v>108983.73000000001</v>
      </c>
      <c r="AD407" s="4">
        <v>271132227</v>
      </c>
      <c r="AE407" s="4">
        <v>19989017</v>
      </c>
      <c r="AG407" s="4" t="s">
        <v>1449</v>
      </c>
      <c r="AH407" s="4" t="s">
        <v>1450</v>
      </c>
      <c r="AI407" s="4" t="s">
        <v>67</v>
      </c>
    </row>
    <row r="408" spans="1:35" ht="36" x14ac:dyDescent="0.3">
      <c r="A408" s="10" t="s">
        <v>1597</v>
      </c>
      <c r="B408" s="10"/>
      <c r="C408" s="17" t="s">
        <v>1484</v>
      </c>
      <c r="D408" s="12"/>
      <c r="E408" s="12" t="s">
        <v>1485</v>
      </c>
      <c r="F408" s="18" t="s">
        <v>64</v>
      </c>
      <c r="G408" s="19">
        <v>1.07</v>
      </c>
      <c r="H408" s="20"/>
      <c r="I408" s="20">
        <v>38.412999999999997</v>
      </c>
      <c r="J408" s="21">
        <v>1138.2</v>
      </c>
      <c r="M408" s="22">
        <f>ROUND(ROUND(J408, 2)*I408, 2)</f>
        <v>43721.68</v>
      </c>
      <c r="P408" s="23">
        <v>1138.2</v>
      </c>
      <c r="S408" s="22">
        <f>ROUND(ROUND(P408, 2)*I408, 2)</f>
        <v>43721.68</v>
      </c>
      <c r="V408" s="9">
        <f>ROUND(ROUND(P408, 2)/1.2, 2)</f>
        <v>948.5</v>
      </c>
      <c r="Y408" s="9">
        <f t="shared" si="20"/>
        <v>36434.730000000003</v>
      </c>
      <c r="AD408" s="4" t="s">
        <v>1598</v>
      </c>
      <c r="AE408" s="4" t="s">
        <v>1599</v>
      </c>
      <c r="AF408" s="4" t="s">
        <v>1488</v>
      </c>
    </row>
    <row r="409" spans="1:35" ht="54" x14ac:dyDescent="0.3">
      <c r="A409" s="10" t="s">
        <v>1600</v>
      </c>
      <c r="B409" s="10"/>
      <c r="C409" s="17" t="s">
        <v>697</v>
      </c>
      <c r="D409" s="12"/>
      <c r="E409" s="12" t="s">
        <v>402</v>
      </c>
      <c r="F409" s="18" t="s">
        <v>70</v>
      </c>
      <c r="G409" s="19">
        <v>1.2</v>
      </c>
      <c r="H409" s="20"/>
      <c r="I409" s="20">
        <v>86.16</v>
      </c>
      <c r="J409" s="21">
        <v>16.96</v>
      </c>
      <c r="M409" s="22">
        <f>ROUND(ROUND(J409, 2)*I409, 2)</f>
        <v>1461.27</v>
      </c>
      <c r="P409" s="23">
        <v>16.96</v>
      </c>
      <c r="S409" s="22">
        <f>ROUND(ROUND(P409, 2)*I409, 2)</f>
        <v>1461.27</v>
      </c>
      <c r="V409" s="9">
        <f>ROUND(ROUND(P409, 2)/1.2, 2)</f>
        <v>14.13</v>
      </c>
      <c r="Y409" s="9">
        <f t="shared" si="20"/>
        <v>1217.73</v>
      </c>
      <c r="AD409" s="4" t="s">
        <v>1601</v>
      </c>
      <c r="AE409" s="4" t="s">
        <v>1602</v>
      </c>
      <c r="AF409" s="4" t="s">
        <v>700</v>
      </c>
    </row>
    <row r="410" spans="1:35" ht="36" x14ac:dyDescent="0.3">
      <c r="A410" s="10" t="s">
        <v>1603</v>
      </c>
      <c r="B410" s="10"/>
      <c r="C410" s="24" t="s">
        <v>452</v>
      </c>
      <c r="D410" s="12"/>
      <c r="E410" s="12"/>
      <c r="F410" s="18" t="s">
        <v>70</v>
      </c>
      <c r="G410" s="19">
        <v>0.15</v>
      </c>
      <c r="H410" s="19"/>
      <c r="I410" s="19">
        <v>5.3849999999999998</v>
      </c>
      <c r="J410" s="21">
        <v>68.400000000000006</v>
      </c>
      <c r="M410" s="22">
        <f>ROUND(ROUND(J410, 2)*I410, 2)</f>
        <v>368.33</v>
      </c>
      <c r="P410" s="23">
        <v>68.400000000000006</v>
      </c>
      <c r="S410" s="22">
        <f>ROUND(ROUND(P410, 2)*I410, 2)</f>
        <v>368.33</v>
      </c>
      <c r="V410" s="9">
        <f>ROUND(ROUND(P410, 2)/1.2, 2)</f>
        <v>57</v>
      </c>
      <c r="Y410" s="9">
        <f t="shared" si="20"/>
        <v>306.94</v>
      </c>
      <c r="AD410" s="4" t="s">
        <v>1604</v>
      </c>
      <c r="AE410" s="4" t="s">
        <v>1605</v>
      </c>
      <c r="AF410" s="4" t="s">
        <v>456</v>
      </c>
    </row>
    <row r="411" spans="1:35" ht="36" x14ac:dyDescent="0.3">
      <c r="A411" s="10" t="s">
        <v>1606</v>
      </c>
      <c r="B411" s="10"/>
      <c r="C411" s="24" t="s">
        <v>426</v>
      </c>
      <c r="D411" s="12"/>
      <c r="E411" s="12"/>
      <c r="F411" s="18" t="s">
        <v>70</v>
      </c>
      <c r="G411" s="19">
        <v>0.25</v>
      </c>
      <c r="H411" s="20"/>
      <c r="I411" s="20">
        <v>8.9749999999999996</v>
      </c>
      <c r="J411" s="21">
        <v>40.270000000000003</v>
      </c>
      <c r="M411" s="22">
        <f>ROUND(ROUND(J411, 2)*I411, 2)</f>
        <v>361.42</v>
      </c>
      <c r="P411" s="23">
        <v>40.270000000000003</v>
      </c>
      <c r="S411" s="22">
        <f>ROUND(ROUND(P411, 2)*I411, 2)</f>
        <v>361.42</v>
      </c>
      <c r="V411" s="9">
        <f>ROUND(ROUND(P411, 2)/1.2, 2)</f>
        <v>33.56</v>
      </c>
      <c r="Y411" s="9">
        <f t="shared" si="20"/>
        <v>301.18</v>
      </c>
      <c r="AD411" s="4" t="s">
        <v>1607</v>
      </c>
      <c r="AE411" s="4" t="s">
        <v>1608</v>
      </c>
      <c r="AF411" s="4" t="s">
        <v>429</v>
      </c>
    </row>
    <row r="412" spans="1:35" ht="54" x14ac:dyDescent="0.3">
      <c r="A412" s="10" t="s">
        <v>1609</v>
      </c>
      <c r="B412" s="10" t="s">
        <v>1446</v>
      </c>
      <c r="C412" s="11" t="s">
        <v>1447</v>
      </c>
      <c r="D412" s="12"/>
      <c r="E412" s="12" t="s">
        <v>1610</v>
      </c>
      <c r="F412" s="12" t="s">
        <v>64</v>
      </c>
      <c r="G412" s="13">
        <v>1</v>
      </c>
      <c r="H412" s="13"/>
      <c r="I412" s="13">
        <v>5.75</v>
      </c>
      <c r="J412" s="14">
        <f>IFERROR(ROUND(SUM(M413,M414,M415,M416)/I412, 2),0)</f>
        <v>1152.05</v>
      </c>
      <c r="K412" s="15">
        <v>2364</v>
      </c>
      <c r="L412" s="14">
        <f>J412+ROUND(K412, 2)</f>
        <v>3516.05</v>
      </c>
      <c r="M412" s="14">
        <f>ROUND(J412*I412, 2)</f>
        <v>6624.29</v>
      </c>
      <c r="N412" s="14">
        <f>ROUND(I412*ROUND(K412, 2), 2)</f>
        <v>13593</v>
      </c>
      <c r="O412" s="14">
        <f>M412+N412</f>
        <v>20217.29</v>
      </c>
      <c r="P412" s="14">
        <f>IFERROR(ROUND(SUM(S413,S414,S415,S416)/I412, 2),0)</f>
        <v>1152.05</v>
      </c>
      <c r="Q412" s="16">
        <v>2364</v>
      </c>
      <c r="R412" s="14">
        <f>P412+ROUND(Q412, 2)</f>
        <v>3516.05</v>
      </c>
      <c r="S412" s="14">
        <f>ROUND(P412*I412, 2)</f>
        <v>6624.29</v>
      </c>
      <c r="T412" s="14">
        <f>ROUND(I412*ROUND(Q412, 2), 2)</f>
        <v>13593</v>
      </c>
      <c r="U412" s="14">
        <f>S412+T412</f>
        <v>20217.29</v>
      </c>
      <c r="V412" s="9">
        <f>ROUND(P412 / 1.2, 2)</f>
        <v>960.04</v>
      </c>
      <c r="W412" s="9">
        <f>ROUND(Q412 / 1.2, 2)</f>
        <v>1970</v>
      </c>
      <c r="X412" s="9">
        <f>ROUND(R412 / 1.2, 2)</f>
        <v>2930.04</v>
      </c>
      <c r="Y412" s="9">
        <f t="shared" si="20"/>
        <v>5520.24</v>
      </c>
      <c r="Z412" s="9">
        <f>ROUND(T412 / 1.2, 2)</f>
        <v>11327.5</v>
      </c>
      <c r="AA412" s="9">
        <f>Y412+Z412</f>
        <v>16847.739999999998</v>
      </c>
      <c r="AD412" s="4">
        <v>271132228</v>
      </c>
      <c r="AE412" s="4">
        <v>19989018</v>
      </c>
      <c r="AG412" s="4" t="s">
        <v>1449</v>
      </c>
      <c r="AH412" s="4" t="s">
        <v>1450</v>
      </c>
      <c r="AI412" s="4" t="s">
        <v>67</v>
      </c>
    </row>
    <row r="413" spans="1:35" ht="36" x14ac:dyDescent="0.3">
      <c r="A413" s="10" t="s">
        <v>1611</v>
      </c>
      <c r="B413" s="10"/>
      <c r="C413" s="17" t="s">
        <v>1501</v>
      </c>
      <c r="D413" s="12"/>
      <c r="E413" s="12" t="s">
        <v>1612</v>
      </c>
      <c r="F413" s="18" t="s">
        <v>64</v>
      </c>
      <c r="G413" s="19">
        <v>1.07</v>
      </c>
      <c r="H413" s="20"/>
      <c r="I413" s="20">
        <v>6.1529999999999996</v>
      </c>
      <c r="J413" s="21">
        <v>1019.55</v>
      </c>
      <c r="M413" s="22">
        <f>ROUND(ROUND(J413, 2)*I413, 2)</f>
        <v>6273.29</v>
      </c>
      <c r="P413" s="23">
        <v>1019.55</v>
      </c>
      <c r="S413" s="22">
        <f>ROUND(ROUND(P413, 2)*I413, 2)</f>
        <v>6273.29</v>
      </c>
      <c r="V413" s="9">
        <f>ROUND(ROUND(P413, 2)/1.2, 2)</f>
        <v>849.63</v>
      </c>
      <c r="Y413" s="9">
        <f t="shared" si="20"/>
        <v>5227.74</v>
      </c>
      <c r="AD413" s="4" t="s">
        <v>1613</v>
      </c>
      <c r="AE413" s="4" t="s">
        <v>1614</v>
      </c>
      <c r="AF413" s="4" t="s">
        <v>1505</v>
      </c>
    </row>
    <row r="414" spans="1:35" ht="54" x14ac:dyDescent="0.3">
      <c r="A414" s="10" t="s">
        <v>1615</v>
      </c>
      <c r="B414" s="10"/>
      <c r="C414" s="17" t="s">
        <v>697</v>
      </c>
      <c r="D414" s="12"/>
      <c r="E414" s="12" t="s">
        <v>402</v>
      </c>
      <c r="F414" s="18" t="s">
        <v>70</v>
      </c>
      <c r="G414" s="19">
        <v>1.2</v>
      </c>
      <c r="H414" s="20"/>
      <c r="I414" s="20">
        <v>13.8</v>
      </c>
      <c r="J414" s="21">
        <v>16.96</v>
      </c>
      <c r="M414" s="22">
        <f>ROUND(ROUND(J414, 2)*I414, 2)</f>
        <v>234.05</v>
      </c>
      <c r="P414" s="23">
        <v>16.96</v>
      </c>
      <c r="S414" s="22">
        <f>ROUND(ROUND(P414, 2)*I414, 2)</f>
        <v>234.05</v>
      </c>
      <c r="V414" s="9">
        <f>ROUND(ROUND(P414, 2)/1.2, 2)</f>
        <v>14.13</v>
      </c>
      <c r="Y414" s="9">
        <f t="shared" si="20"/>
        <v>195.04</v>
      </c>
      <c r="AD414" s="4" t="s">
        <v>1616</v>
      </c>
      <c r="AE414" s="4" t="s">
        <v>1617</v>
      </c>
      <c r="AF414" s="4" t="s">
        <v>700</v>
      </c>
    </row>
    <row r="415" spans="1:35" ht="36" x14ac:dyDescent="0.3">
      <c r="A415" s="10" t="s">
        <v>1618</v>
      </c>
      <c r="B415" s="10"/>
      <c r="C415" s="24" t="s">
        <v>452</v>
      </c>
      <c r="D415" s="12"/>
      <c r="E415" s="12"/>
      <c r="F415" s="18" t="s">
        <v>70</v>
      </c>
      <c r="G415" s="19">
        <v>0.15</v>
      </c>
      <c r="H415" s="19"/>
      <c r="I415" s="19">
        <v>0.86299999999999999</v>
      </c>
      <c r="J415" s="21">
        <v>68.400000000000006</v>
      </c>
      <c r="M415" s="22">
        <f>ROUND(ROUND(J415, 2)*I415, 2)</f>
        <v>59.03</v>
      </c>
      <c r="P415" s="23">
        <v>68.400000000000006</v>
      </c>
      <c r="S415" s="22">
        <f>ROUND(ROUND(P415, 2)*I415, 2)</f>
        <v>59.03</v>
      </c>
      <c r="V415" s="9">
        <f>ROUND(ROUND(P415, 2)/1.2, 2)</f>
        <v>57</v>
      </c>
      <c r="Y415" s="9">
        <f t="shared" si="20"/>
        <v>49.19</v>
      </c>
      <c r="AD415" s="4" t="s">
        <v>1619</v>
      </c>
      <c r="AE415" s="4" t="s">
        <v>1620</v>
      </c>
      <c r="AF415" s="4" t="s">
        <v>456</v>
      </c>
    </row>
    <row r="416" spans="1:35" ht="36" x14ac:dyDescent="0.3">
      <c r="A416" s="10" t="s">
        <v>1621</v>
      </c>
      <c r="B416" s="10"/>
      <c r="C416" s="24" t="s">
        <v>426</v>
      </c>
      <c r="D416" s="12"/>
      <c r="E416" s="12"/>
      <c r="F416" s="18" t="s">
        <v>70</v>
      </c>
      <c r="G416" s="19">
        <v>0.25</v>
      </c>
      <c r="H416" s="20"/>
      <c r="I416" s="20">
        <v>1.4379999999999999</v>
      </c>
      <c r="J416" s="21">
        <v>40.270000000000003</v>
      </c>
      <c r="M416" s="22">
        <f>ROUND(ROUND(J416, 2)*I416, 2)</f>
        <v>57.91</v>
      </c>
      <c r="P416" s="23">
        <v>40.270000000000003</v>
      </c>
      <c r="S416" s="22">
        <f>ROUND(ROUND(P416, 2)*I416, 2)</f>
        <v>57.91</v>
      </c>
      <c r="V416" s="9">
        <f>ROUND(ROUND(P416, 2)/1.2, 2)</f>
        <v>33.56</v>
      </c>
      <c r="Y416" s="9">
        <f t="shared" si="20"/>
        <v>48.26</v>
      </c>
      <c r="AD416" s="4" t="s">
        <v>1622</v>
      </c>
      <c r="AE416" s="4" t="s">
        <v>1623</v>
      </c>
      <c r="AF416" s="4" t="s">
        <v>429</v>
      </c>
    </row>
    <row r="417" spans="1:35" ht="54" x14ac:dyDescent="0.3">
      <c r="A417" s="10" t="s">
        <v>1624</v>
      </c>
      <c r="B417" s="10" t="s">
        <v>1446</v>
      </c>
      <c r="C417" s="11" t="s">
        <v>1447</v>
      </c>
      <c r="D417" s="12"/>
      <c r="E417" s="12" t="s">
        <v>1625</v>
      </c>
      <c r="F417" s="12" t="s">
        <v>64</v>
      </c>
      <c r="G417" s="13">
        <v>1</v>
      </c>
      <c r="H417" s="13"/>
      <c r="I417" s="13">
        <v>8.15</v>
      </c>
      <c r="J417" s="14">
        <f>IFERROR(ROUND(SUM(M418,M419,M420,M421)/I417, 2),0)</f>
        <v>1278.98</v>
      </c>
      <c r="K417" s="15">
        <v>2364</v>
      </c>
      <c r="L417" s="14">
        <f>J417+ROUND(K417, 2)</f>
        <v>3642.98</v>
      </c>
      <c r="M417" s="14">
        <f>ROUND(J417*I417, 2)</f>
        <v>10423.69</v>
      </c>
      <c r="N417" s="14">
        <f>ROUND(I417*ROUND(K417, 2), 2)</f>
        <v>19266.599999999999</v>
      </c>
      <c r="O417" s="14">
        <f>M417+N417</f>
        <v>29690.29</v>
      </c>
      <c r="P417" s="14">
        <f>IFERROR(ROUND(SUM(S418,S419,S420,S421)/I417, 2),0)</f>
        <v>1278.98</v>
      </c>
      <c r="Q417" s="16">
        <v>2364</v>
      </c>
      <c r="R417" s="14">
        <f>P417+ROUND(Q417, 2)</f>
        <v>3642.98</v>
      </c>
      <c r="S417" s="14">
        <f>ROUND(P417*I417, 2)</f>
        <v>10423.69</v>
      </c>
      <c r="T417" s="14">
        <f>ROUND(I417*ROUND(Q417, 2), 2)</f>
        <v>19266.599999999999</v>
      </c>
      <c r="U417" s="14">
        <f>S417+T417</f>
        <v>29690.29</v>
      </c>
      <c r="V417" s="9">
        <f>ROUND(P417 / 1.2, 2)</f>
        <v>1065.82</v>
      </c>
      <c r="W417" s="9">
        <f>ROUND(Q417 / 1.2, 2)</f>
        <v>1970</v>
      </c>
      <c r="X417" s="9">
        <f>ROUND(R417 / 1.2, 2)</f>
        <v>3035.82</v>
      </c>
      <c r="Y417" s="9">
        <f t="shared" si="20"/>
        <v>8686.41</v>
      </c>
      <c r="Z417" s="9">
        <f>ROUND(T417 / 1.2, 2)</f>
        <v>16055.5</v>
      </c>
      <c r="AA417" s="9">
        <f>Y417+Z417</f>
        <v>24741.91</v>
      </c>
      <c r="AD417" s="4">
        <v>271132229</v>
      </c>
      <c r="AE417" s="4">
        <v>19989019</v>
      </c>
      <c r="AG417" s="4" t="s">
        <v>1449</v>
      </c>
      <c r="AH417" s="4" t="s">
        <v>1450</v>
      </c>
      <c r="AI417" s="4" t="s">
        <v>67</v>
      </c>
    </row>
    <row r="418" spans="1:35" ht="54" x14ac:dyDescent="0.3">
      <c r="A418" s="10" t="s">
        <v>1626</v>
      </c>
      <c r="B418" s="10"/>
      <c r="C418" s="17" t="s">
        <v>1484</v>
      </c>
      <c r="D418" s="12"/>
      <c r="E418" s="12" t="s">
        <v>1515</v>
      </c>
      <c r="F418" s="18" t="s">
        <v>64</v>
      </c>
      <c r="G418" s="19">
        <v>1.07</v>
      </c>
      <c r="H418" s="20"/>
      <c r="I418" s="20">
        <v>8.7210000000000001</v>
      </c>
      <c r="J418" s="21">
        <v>1138.2</v>
      </c>
      <c r="M418" s="22">
        <f>ROUND(ROUND(J418, 2)*I418, 2)</f>
        <v>9926.24</v>
      </c>
      <c r="P418" s="23">
        <v>1138.2</v>
      </c>
      <c r="S418" s="22">
        <f>ROUND(ROUND(P418, 2)*I418, 2)</f>
        <v>9926.24</v>
      </c>
      <c r="V418" s="9">
        <f>ROUND(ROUND(P418, 2)/1.2, 2)</f>
        <v>948.5</v>
      </c>
      <c r="Y418" s="9">
        <f t="shared" si="20"/>
        <v>8271.8700000000008</v>
      </c>
      <c r="AD418" s="4" t="s">
        <v>1627</v>
      </c>
      <c r="AE418" s="4" t="s">
        <v>1628</v>
      </c>
      <c r="AF418" s="4" t="s">
        <v>1488</v>
      </c>
    </row>
    <row r="419" spans="1:35" ht="54" x14ac:dyDescent="0.3">
      <c r="A419" s="10" t="s">
        <v>1629</v>
      </c>
      <c r="B419" s="10"/>
      <c r="C419" s="17" t="s">
        <v>697</v>
      </c>
      <c r="D419" s="12"/>
      <c r="E419" s="12" t="s">
        <v>402</v>
      </c>
      <c r="F419" s="18" t="s">
        <v>70</v>
      </c>
      <c r="G419" s="19">
        <v>1.2</v>
      </c>
      <c r="H419" s="20"/>
      <c r="I419" s="20">
        <v>19.559999999999999</v>
      </c>
      <c r="J419" s="21">
        <v>16.96</v>
      </c>
      <c r="M419" s="22">
        <f>ROUND(ROUND(J419, 2)*I419, 2)</f>
        <v>331.74</v>
      </c>
      <c r="P419" s="23">
        <v>16.96</v>
      </c>
      <c r="S419" s="22">
        <f>ROUND(ROUND(P419, 2)*I419, 2)</f>
        <v>331.74</v>
      </c>
      <c r="V419" s="9">
        <f>ROUND(ROUND(P419, 2)/1.2, 2)</f>
        <v>14.13</v>
      </c>
      <c r="Y419" s="9">
        <f t="shared" si="20"/>
        <v>276.45</v>
      </c>
      <c r="AD419" s="4" t="s">
        <v>1630</v>
      </c>
      <c r="AE419" s="4" t="s">
        <v>1631</v>
      </c>
      <c r="AF419" s="4" t="s">
        <v>700</v>
      </c>
    </row>
    <row r="420" spans="1:35" ht="36" x14ac:dyDescent="0.3">
      <c r="A420" s="10" t="s">
        <v>1632</v>
      </c>
      <c r="B420" s="10"/>
      <c r="C420" s="24" t="s">
        <v>452</v>
      </c>
      <c r="D420" s="12"/>
      <c r="E420" s="12"/>
      <c r="F420" s="18" t="s">
        <v>70</v>
      </c>
      <c r="G420" s="19">
        <v>0.15</v>
      </c>
      <c r="H420" s="19"/>
      <c r="I420" s="19">
        <v>1.2230000000000001</v>
      </c>
      <c r="J420" s="21">
        <v>68.400000000000006</v>
      </c>
      <c r="M420" s="22">
        <f>ROUND(ROUND(J420, 2)*I420, 2)</f>
        <v>83.65</v>
      </c>
      <c r="P420" s="23">
        <v>68.400000000000006</v>
      </c>
      <c r="S420" s="22">
        <f>ROUND(ROUND(P420, 2)*I420, 2)</f>
        <v>83.65</v>
      </c>
      <c r="V420" s="9">
        <f>ROUND(ROUND(P420, 2)/1.2, 2)</f>
        <v>57</v>
      </c>
      <c r="Y420" s="9">
        <f t="shared" si="20"/>
        <v>69.709999999999994</v>
      </c>
      <c r="AD420" s="4" t="s">
        <v>1633</v>
      </c>
      <c r="AE420" s="4" t="s">
        <v>1634</v>
      </c>
      <c r="AF420" s="4" t="s">
        <v>456</v>
      </c>
    </row>
    <row r="421" spans="1:35" ht="36" x14ac:dyDescent="0.3">
      <c r="A421" s="10" t="s">
        <v>1635</v>
      </c>
      <c r="B421" s="10"/>
      <c r="C421" s="24" t="s">
        <v>426</v>
      </c>
      <c r="D421" s="12"/>
      <c r="E421" s="12"/>
      <c r="F421" s="18" t="s">
        <v>70</v>
      </c>
      <c r="G421" s="19">
        <v>0.25</v>
      </c>
      <c r="H421" s="20"/>
      <c r="I421" s="20">
        <v>2.0379999999999998</v>
      </c>
      <c r="J421" s="21">
        <v>40.270000000000003</v>
      </c>
      <c r="M421" s="22">
        <f>ROUND(ROUND(J421, 2)*I421, 2)</f>
        <v>82.07</v>
      </c>
      <c r="P421" s="23">
        <v>40.270000000000003</v>
      </c>
      <c r="S421" s="22">
        <f>ROUND(ROUND(P421, 2)*I421, 2)</f>
        <v>82.07</v>
      </c>
      <c r="V421" s="9">
        <f>ROUND(ROUND(P421, 2)/1.2, 2)</f>
        <v>33.56</v>
      </c>
      <c r="Y421" s="9">
        <f t="shared" si="20"/>
        <v>68.39</v>
      </c>
      <c r="AD421" s="4" t="s">
        <v>1636</v>
      </c>
      <c r="AE421" s="4" t="s">
        <v>1637</v>
      </c>
      <c r="AF421" s="4" t="s">
        <v>429</v>
      </c>
    </row>
    <row r="422" spans="1:35" ht="54" x14ac:dyDescent="0.3">
      <c r="A422" s="10" t="s">
        <v>1638</v>
      </c>
      <c r="B422" s="10" t="s">
        <v>1446</v>
      </c>
      <c r="C422" s="11" t="s">
        <v>1447</v>
      </c>
      <c r="D422" s="12"/>
      <c r="E422" s="12" t="s">
        <v>1639</v>
      </c>
      <c r="F422" s="12" t="s">
        <v>64</v>
      </c>
      <c r="G422" s="13">
        <v>1</v>
      </c>
      <c r="H422" s="13"/>
      <c r="I422" s="13">
        <v>127.34</v>
      </c>
      <c r="J422" s="14">
        <f>IFERROR(ROUND(SUM(M423,M424,M425,M426)/I422, 2),0)</f>
        <v>1542.93</v>
      </c>
      <c r="K422" s="15">
        <v>2364</v>
      </c>
      <c r="L422" s="14">
        <f>J422+ROUND(K422, 2)</f>
        <v>3906.9300000000003</v>
      </c>
      <c r="M422" s="14">
        <f>ROUND(J422*I422, 2)</f>
        <v>196476.71</v>
      </c>
      <c r="N422" s="14">
        <f>ROUND(I422*ROUND(K422, 2), 2)</f>
        <v>301031.76</v>
      </c>
      <c r="O422" s="14">
        <f>M422+N422</f>
        <v>497508.47</v>
      </c>
      <c r="P422" s="14">
        <f>IFERROR(ROUND(SUM(S423,S424,S425,S426)/I422, 2),0)</f>
        <v>1542.93</v>
      </c>
      <c r="Q422" s="16">
        <v>2364</v>
      </c>
      <c r="R422" s="14">
        <f>P422+ROUND(Q422, 2)</f>
        <v>3906.9300000000003</v>
      </c>
      <c r="S422" s="14">
        <f>ROUND(P422*I422, 2)</f>
        <v>196476.71</v>
      </c>
      <c r="T422" s="14">
        <f>ROUND(I422*ROUND(Q422, 2), 2)</f>
        <v>301031.76</v>
      </c>
      <c r="U422" s="14">
        <f>S422+T422</f>
        <v>497508.47</v>
      </c>
      <c r="V422" s="9">
        <f>ROUND(P422 / 1.2, 2)</f>
        <v>1285.78</v>
      </c>
      <c r="W422" s="9">
        <f>ROUND(Q422 / 1.2, 2)</f>
        <v>1970</v>
      </c>
      <c r="X422" s="9">
        <f>ROUND(R422 / 1.2, 2)</f>
        <v>3255.78</v>
      </c>
      <c r="Y422" s="9">
        <f t="shared" si="20"/>
        <v>163730.59</v>
      </c>
      <c r="Z422" s="9">
        <f>ROUND(T422 / 1.2, 2)</f>
        <v>250859.8</v>
      </c>
      <c r="AA422" s="9">
        <f>Y422+Z422</f>
        <v>414590.39</v>
      </c>
      <c r="AD422" s="4">
        <v>271132230</v>
      </c>
      <c r="AE422" s="4">
        <v>19989020</v>
      </c>
      <c r="AG422" s="4" t="s">
        <v>1449</v>
      </c>
      <c r="AH422" s="4" t="s">
        <v>1450</v>
      </c>
      <c r="AI422" s="4" t="s">
        <v>67</v>
      </c>
    </row>
    <row r="423" spans="1:35" ht="36" x14ac:dyDescent="0.3">
      <c r="A423" s="10" t="s">
        <v>1640</v>
      </c>
      <c r="B423" s="10"/>
      <c r="C423" s="17" t="s">
        <v>676</v>
      </c>
      <c r="D423" s="12"/>
      <c r="E423" s="12" t="s">
        <v>1641</v>
      </c>
      <c r="F423" s="18" t="s">
        <v>64</v>
      </c>
      <c r="G423" s="19">
        <v>1.07</v>
      </c>
      <c r="H423" s="20"/>
      <c r="I423" s="20">
        <v>136.25399999999999</v>
      </c>
      <c r="J423" s="21">
        <v>1384.95</v>
      </c>
      <c r="M423" s="22">
        <f>ROUND(ROUND(J423, 2)*I423, 2)</f>
        <v>188704.98</v>
      </c>
      <c r="P423" s="23">
        <v>1384.95</v>
      </c>
      <c r="S423" s="22">
        <f>ROUND(ROUND(P423, 2)*I423, 2)</f>
        <v>188704.98</v>
      </c>
      <c r="V423" s="9">
        <f>ROUND(ROUND(P423, 2)/1.2, 2)</f>
        <v>1154.1300000000001</v>
      </c>
      <c r="Y423" s="9">
        <f t="shared" si="20"/>
        <v>157254.15</v>
      </c>
      <c r="AD423" s="4" t="s">
        <v>1642</v>
      </c>
      <c r="AE423" s="4" t="s">
        <v>1643</v>
      </c>
      <c r="AF423" s="4" t="s">
        <v>680</v>
      </c>
    </row>
    <row r="424" spans="1:35" ht="54" x14ac:dyDescent="0.3">
      <c r="A424" s="10" t="s">
        <v>1644</v>
      </c>
      <c r="B424" s="10"/>
      <c r="C424" s="17" t="s">
        <v>697</v>
      </c>
      <c r="D424" s="12"/>
      <c r="E424" s="12" t="s">
        <v>402</v>
      </c>
      <c r="F424" s="18" t="s">
        <v>70</v>
      </c>
      <c r="G424" s="19">
        <v>1.2</v>
      </c>
      <c r="H424" s="20"/>
      <c r="I424" s="20">
        <v>305.61599999999999</v>
      </c>
      <c r="J424" s="21">
        <v>16.96</v>
      </c>
      <c r="M424" s="22">
        <f>ROUND(ROUND(J424, 2)*I424, 2)</f>
        <v>5183.25</v>
      </c>
      <c r="P424" s="23">
        <v>16.96</v>
      </c>
      <c r="S424" s="22">
        <f>ROUND(ROUND(P424, 2)*I424, 2)</f>
        <v>5183.25</v>
      </c>
      <c r="V424" s="9">
        <f>ROUND(ROUND(P424, 2)/1.2, 2)</f>
        <v>14.13</v>
      </c>
      <c r="Y424" s="9">
        <f t="shared" si="20"/>
        <v>4319.38</v>
      </c>
      <c r="AD424" s="4" t="s">
        <v>1645</v>
      </c>
      <c r="AE424" s="4" t="s">
        <v>1646</v>
      </c>
      <c r="AF424" s="4" t="s">
        <v>700</v>
      </c>
    </row>
    <row r="425" spans="1:35" ht="36" x14ac:dyDescent="0.3">
      <c r="A425" s="10" t="s">
        <v>1647</v>
      </c>
      <c r="B425" s="10"/>
      <c r="C425" s="24" t="s">
        <v>452</v>
      </c>
      <c r="D425" s="12"/>
      <c r="E425" s="12"/>
      <c r="F425" s="18" t="s">
        <v>70</v>
      </c>
      <c r="G425" s="19">
        <v>0.15</v>
      </c>
      <c r="H425" s="19"/>
      <c r="I425" s="19">
        <v>19.100999999999999</v>
      </c>
      <c r="J425" s="21">
        <v>68.400000000000006</v>
      </c>
      <c r="M425" s="22">
        <f>ROUND(ROUND(J425, 2)*I425, 2)</f>
        <v>1306.51</v>
      </c>
      <c r="P425" s="23">
        <v>68.400000000000006</v>
      </c>
      <c r="S425" s="22">
        <f>ROUND(ROUND(P425, 2)*I425, 2)</f>
        <v>1306.51</v>
      </c>
      <c r="V425" s="9">
        <f>ROUND(ROUND(P425, 2)/1.2, 2)</f>
        <v>57</v>
      </c>
      <c r="Y425" s="9">
        <f t="shared" si="20"/>
        <v>1088.76</v>
      </c>
      <c r="AD425" s="4" t="s">
        <v>1648</v>
      </c>
      <c r="AE425" s="4" t="s">
        <v>1649</v>
      </c>
      <c r="AF425" s="4" t="s">
        <v>456</v>
      </c>
    </row>
    <row r="426" spans="1:35" ht="36" x14ac:dyDescent="0.3">
      <c r="A426" s="10" t="s">
        <v>1650</v>
      </c>
      <c r="B426" s="10"/>
      <c r="C426" s="24" t="s">
        <v>426</v>
      </c>
      <c r="D426" s="12"/>
      <c r="E426" s="12"/>
      <c r="F426" s="18" t="s">
        <v>70</v>
      </c>
      <c r="G426" s="19">
        <v>0.25</v>
      </c>
      <c r="H426" s="20"/>
      <c r="I426" s="20">
        <v>31.835000000000001</v>
      </c>
      <c r="J426" s="21">
        <v>40.270000000000003</v>
      </c>
      <c r="M426" s="22">
        <f>ROUND(ROUND(J426, 2)*I426, 2)</f>
        <v>1282</v>
      </c>
      <c r="P426" s="23">
        <v>40.270000000000003</v>
      </c>
      <c r="S426" s="22">
        <f>ROUND(ROUND(P426, 2)*I426, 2)</f>
        <v>1282</v>
      </c>
      <c r="V426" s="9">
        <f>ROUND(ROUND(P426, 2)/1.2, 2)</f>
        <v>33.56</v>
      </c>
      <c r="Y426" s="9">
        <f t="shared" si="20"/>
        <v>1068.33</v>
      </c>
      <c r="AD426" s="4" t="s">
        <v>1651</v>
      </c>
      <c r="AE426" s="4" t="s">
        <v>1652</v>
      </c>
      <c r="AF426" s="4" t="s">
        <v>429</v>
      </c>
    </row>
    <row r="427" spans="1:35" ht="54" x14ac:dyDescent="0.3">
      <c r="A427" s="10" t="s">
        <v>1653</v>
      </c>
      <c r="B427" s="10" t="s">
        <v>1446</v>
      </c>
      <c r="C427" s="11" t="s">
        <v>1447</v>
      </c>
      <c r="D427" s="12"/>
      <c r="E427" s="12" t="s">
        <v>1654</v>
      </c>
      <c r="F427" s="12" t="s">
        <v>64</v>
      </c>
      <c r="G427" s="13">
        <v>1</v>
      </c>
      <c r="H427" s="13"/>
      <c r="I427" s="13">
        <v>351.08</v>
      </c>
      <c r="J427" s="14">
        <f>IFERROR(ROUND(SUM(M428,M429,M430,M431,M432)/I427, 2),0)</f>
        <v>1554.28</v>
      </c>
      <c r="K427" s="15">
        <v>2364</v>
      </c>
      <c r="L427" s="14">
        <f>J427+ROUND(K427, 2)</f>
        <v>3918.2799999999997</v>
      </c>
      <c r="M427" s="14">
        <f>ROUND(J427*I427, 2)</f>
        <v>545676.62</v>
      </c>
      <c r="N427" s="14">
        <f>ROUND(I427*ROUND(K427, 2), 2)</f>
        <v>829953.12</v>
      </c>
      <c r="O427" s="14">
        <f>M427+N427</f>
        <v>1375629.74</v>
      </c>
      <c r="P427" s="14">
        <f>IFERROR(ROUND(SUM(S428,S429,S430,S431,S432)/I427, 2),0)</f>
        <v>1554.28</v>
      </c>
      <c r="Q427" s="16">
        <v>2364</v>
      </c>
      <c r="R427" s="14">
        <f>P427+ROUND(Q427, 2)</f>
        <v>3918.2799999999997</v>
      </c>
      <c r="S427" s="14">
        <f>ROUND(P427*I427, 2)</f>
        <v>545676.62</v>
      </c>
      <c r="T427" s="14">
        <f>ROUND(I427*ROUND(Q427, 2), 2)</f>
        <v>829953.12</v>
      </c>
      <c r="U427" s="14">
        <f>S427+T427</f>
        <v>1375629.74</v>
      </c>
      <c r="V427" s="9">
        <f>ROUND(P427 / 1.2, 2)</f>
        <v>1295.23</v>
      </c>
      <c r="W427" s="9">
        <f>ROUND(Q427 / 1.2, 2)</f>
        <v>1970</v>
      </c>
      <c r="X427" s="9">
        <f>ROUND(R427 / 1.2, 2)</f>
        <v>3265.23</v>
      </c>
      <c r="Y427" s="9">
        <f t="shared" si="20"/>
        <v>454730.52</v>
      </c>
      <c r="Z427" s="9">
        <f>ROUND(T427 / 1.2, 2)</f>
        <v>691627.6</v>
      </c>
      <c r="AA427" s="9">
        <f>Y427+Z427</f>
        <v>1146358.1200000001</v>
      </c>
      <c r="AD427" s="4">
        <v>271132231</v>
      </c>
      <c r="AE427" s="4">
        <v>19989016</v>
      </c>
      <c r="AG427" s="4" t="s">
        <v>1449</v>
      </c>
      <c r="AH427" s="4" t="s">
        <v>1450</v>
      </c>
      <c r="AI427" s="4" t="s">
        <v>67</v>
      </c>
    </row>
    <row r="428" spans="1:35" ht="54" x14ac:dyDescent="0.3">
      <c r="A428" s="10" t="s">
        <v>1655</v>
      </c>
      <c r="B428" s="10"/>
      <c r="C428" s="17" t="s">
        <v>676</v>
      </c>
      <c r="D428" s="12"/>
      <c r="E428" s="12" t="s">
        <v>1542</v>
      </c>
      <c r="F428" s="18" t="s">
        <v>64</v>
      </c>
      <c r="G428" s="19">
        <v>1.07</v>
      </c>
      <c r="H428" s="20"/>
      <c r="I428" s="20">
        <v>375.65600000000001</v>
      </c>
      <c r="J428" s="21">
        <v>1384.95</v>
      </c>
      <c r="M428" s="22">
        <f>ROUND(ROUND(J428, 2)*I428, 2)</f>
        <v>520264.78</v>
      </c>
      <c r="P428" s="23">
        <v>1384.95</v>
      </c>
      <c r="S428" s="22">
        <f>ROUND(ROUND(P428, 2)*I428, 2)</f>
        <v>520264.78</v>
      </c>
      <c r="V428" s="9">
        <f>ROUND(ROUND(P428, 2)/1.2, 2)</f>
        <v>1154.1300000000001</v>
      </c>
      <c r="Y428" s="9">
        <f t="shared" si="20"/>
        <v>433553.98</v>
      </c>
      <c r="AD428" s="4" t="s">
        <v>1656</v>
      </c>
      <c r="AE428" s="4" t="s">
        <v>1657</v>
      </c>
      <c r="AF428" s="4" t="s">
        <v>680</v>
      </c>
    </row>
    <row r="429" spans="1:35" ht="54" x14ac:dyDescent="0.3">
      <c r="A429" s="10" t="s">
        <v>1658</v>
      </c>
      <c r="B429" s="10"/>
      <c r="C429" s="17" t="s">
        <v>1546</v>
      </c>
      <c r="D429" s="12"/>
      <c r="E429" s="12" t="s">
        <v>1552</v>
      </c>
      <c r="F429" s="18" t="s">
        <v>87</v>
      </c>
      <c r="G429" s="19">
        <v>0.23</v>
      </c>
      <c r="H429" s="20"/>
      <c r="I429" s="20">
        <v>17.728000000000002</v>
      </c>
      <c r="J429" s="21">
        <v>96.24</v>
      </c>
      <c r="M429" s="22">
        <f>ROUND(ROUND(J429, 2)*I429, 2)</f>
        <v>1706.14</v>
      </c>
      <c r="P429" s="23">
        <v>96.24</v>
      </c>
      <c r="S429" s="22">
        <f>ROUND(ROUND(P429, 2)*I429, 2)</f>
        <v>1706.14</v>
      </c>
      <c r="V429" s="9">
        <f>ROUND(ROUND(P429, 2)/1.2, 2)</f>
        <v>80.2</v>
      </c>
      <c r="Y429" s="9">
        <f t="shared" si="20"/>
        <v>1421.78</v>
      </c>
      <c r="AD429" s="4" t="s">
        <v>1659</v>
      </c>
      <c r="AE429" s="4" t="s">
        <v>1660</v>
      </c>
      <c r="AF429" s="4" t="s">
        <v>1550</v>
      </c>
    </row>
    <row r="430" spans="1:35" ht="54" x14ac:dyDescent="0.3">
      <c r="A430" s="10" t="s">
        <v>1661</v>
      </c>
      <c r="B430" s="10"/>
      <c r="C430" s="17" t="s">
        <v>697</v>
      </c>
      <c r="D430" s="12"/>
      <c r="E430" s="12" t="s">
        <v>402</v>
      </c>
      <c r="F430" s="18" t="s">
        <v>70</v>
      </c>
      <c r="G430" s="19">
        <v>1.2</v>
      </c>
      <c r="H430" s="20"/>
      <c r="I430" s="20">
        <v>842.59199999999998</v>
      </c>
      <c r="J430" s="21">
        <v>16.96</v>
      </c>
      <c r="M430" s="22">
        <f>ROUND(ROUND(J430, 2)*I430, 2)</f>
        <v>14290.36</v>
      </c>
      <c r="P430" s="23">
        <v>16.96</v>
      </c>
      <c r="S430" s="22">
        <f>ROUND(ROUND(P430, 2)*I430, 2)</f>
        <v>14290.36</v>
      </c>
      <c r="V430" s="9">
        <f>ROUND(ROUND(P430, 2)/1.2, 2)</f>
        <v>14.13</v>
      </c>
      <c r="Y430" s="9">
        <f t="shared" si="20"/>
        <v>11908.63</v>
      </c>
      <c r="AD430" s="4" t="s">
        <v>1662</v>
      </c>
      <c r="AE430" s="4" t="s">
        <v>1663</v>
      </c>
      <c r="AF430" s="4" t="s">
        <v>700</v>
      </c>
    </row>
    <row r="431" spans="1:35" ht="36" x14ac:dyDescent="0.3">
      <c r="A431" s="10" t="s">
        <v>1664</v>
      </c>
      <c r="B431" s="10"/>
      <c r="C431" s="24" t="s">
        <v>452</v>
      </c>
      <c r="D431" s="12"/>
      <c r="E431" s="12"/>
      <c r="F431" s="18" t="s">
        <v>70</v>
      </c>
      <c r="G431" s="19">
        <v>0.15</v>
      </c>
      <c r="H431" s="19"/>
      <c r="I431" s="19">
        <v>52.661999999999999</v>
      </c>
      <c r="J431" s="21">
        <v>68.400000000000006</v>
      </c>
      <c r="M431" s="22">
        <f>ROUND(ROUND(J431, 2)*I431, 2)</f>
        <v>3602.08</v>
      </c>
      <c r="P431" s="23">
        <v>68.400000000000006</v>
      </c>
      <c r="S431" s="22">
        <f>ROUND(ROUND(P431, 2)*I431, 2)</f>
        <v>3602.08</v>
      </c>
      <c r="V431" s="9">
        <f>ROUND(ROUND(P431, 2)/1.2, 2)</f>
        <v>57</v>
      </c>
      <c r="Y431" s="9">
        <f t="shared" si="20"/>
        <v>3001.73</v>
      </c>
      <c r="AD431" s="4" t="s">
        <v>1665</v>
      </c>
      <c r="AE431" s="4" t="s">
        <v>1666</v>
      </c>
      <c r="AF431" s="4" t="s">
        <v>456</v>
      </c>
    </row>
    <row r="432" spans="1:35" ht="18" x14ac:dyDescent="0.3">
      <c r="A432" s="10" t="s">
        <v>1667</v>
      </c>
      <c r="B432" s="10"/>
      <c r="C432" s="24" t="s">
        <v>1668</v>
      </c>
      <c r="D432" s="12"/>
      <c r="E432" s="12" t="s">
        <v>1669</v>
      </c>
      <c r="F432" s="18" t="s">
        <v>70</v>
      </c>
      <c r="G432" s="19">
        <v>0.25</v>
      </c>
      <c r="H432" s="20"/>
      <c r="I432" s="20">
        <v>87.77</v>
      </c>
      <c r="J432" s="21">
        <v>66.23</v>
      </c>
      <c r="M432" s="22">
        <f>ROUND(ROUND(J432, 2)*I432, 2)</f>
        <v>5813.01</v>
      </c>
      <c r="P432" s="23">
        <v>66.23</v>
      </c>
      <c r="S432" s="22">
        <f>ROUND(ROUND(P432, 2)*I432, 2)</f>
        <v>5813.01</v>
      </c>
      <c r="V432" s="9">
        <f>ROUND(ROUND(P432, 2)/1.2, 2)</f>
        <v>55.19</v>
      </c>
      <c r="Y432" s="9">
        <f t="shared" si="20"/>
        <v>4844.18</v>
      </c>
      <c r="AD432" s="4" t="s">
        <v>1670</v>
      </c>
      <c r="AE432" s="4" t="s">
        <v>1671</v>
      </c>
      <c r="AF432" s="4" t="s">
        <v>1672</v>
      </c>
    </row>
    <row r="433" spans="1:35" ht="54" x14ac:dyDescent="0.3">
      <c r="A433" s="10" t="s">
        <v>1673</v>
      </c>
      <c r="B433" s="10" t="s">
        <v>1674</v>
      </c>
      <c r="C433" s="11" t="s">
        <v>1675</v>
      </c>
      <c r="D433" s="12"/>
      <c r="E433" s="12" t="s">
        <v>1676</v>
      </c>
      <c r="F433" s="12" t="s">
        <v>64</v>
      </c>
      <c r="G433" s="13">
        <v>1</v>
      </c>
      <c r="H433" s="13"/>
      <c r="I433" s="13">
        <v>3.87</v>
      </c>
      <c r="J433" s="14">
        <f>IFERROR(ROUND(SUM(M434,M435,M436,M437)/I433, 2),0)</f>
        <v>2287.88</v>
      </c>
      <c r="K433" s="15">
        <v>2983</v>
      </c>
      <c r="L433" s="14">
        <f>J433+ROUND(K433, 2)</f>
        <v>5270.88</v>
      </c>
      <c r="M433" s="14">
        <f>ROUND(J433*I433, 2)</f>
        <v>8854.1</v>
      </c>
      <c r="N433" s="14">
        <f>ROUND(I433*ROUND(K433, 2), 2)</f>
        <v>11544.21</v>
      </c>
      <c r="O433" s="14">
        <f>M433+N433</f>
        <v>20398.309999999998</v>
      </c>
      <c r="P433" s="14">
        <f>IFERROR(ROUND(SUM(S434,S435,S436,S437)/I433, 2),0)</f>
        <v>2287.88</v>
      </c>
      <c r="Q433" s="16">
        <v>2983</v>
      </c>
      <c r="R433" s="14">
        <f>P433+ROUND(Q433, 2)</f>
        <v>5270.88</v>
      </c>
      <c r="S433" s="14">
        <f>ROUND(P433*I433, 2)</f>
        <v>8854.1</v>
      </c>
      <c r="T433" s="14">
        <f>ROUND(I433*ROUND(Q433, 2), 2)</f>
        <v>11544.21</v>
      </c>
      <c r="U433" s="14">
        <f>S433+T433</f>
        <v>20398.309999999998</v>
      </c>
      <c r="V433" s="9">
        <f>ROUND(P433 / 1.2, 2)</f>
        <v>1906.57</v>
      </c>
      <c r="W433" s="9">
        <f>ROUND(Q433 / 1.2, 2)</f>
        <v>2485.83</v>
      </c>
      <c r="X433" s="9">
        <f>ROUND(R433 / 1.2, 2)</f>
        <v>4392.3999999999996</v>
      </c>
      <c r="Y433" s="9">
        <f t="shared" si="20"/>
        <v>7378.42</v>
      </c>
      <c r="Z433" s="9">
        <f>ROUND(T433 / 1.2, 2)</f>
        <v>9620.18</v>
      </c>
      <c r="AA433" s="9">
        <f>Y433+Z433</f>
        <v>16998.599999999999</v>
      </c>
      <c r="AD433" s="4">
        <v>271132118</v>
      </c>
      <c r="AE433" s="4">
        <v>19977068</v>
      </c>
      <c r="AG433" s="4" t="s">
        <v>1677</v>
      </c>
      <c r="AH433" s="4" t="s">
        <v>1678</v>
      </c>
      <c r="AI433" s="4" t="s">
        <v>67</v>
      </c>
    </row>
    <row r="434" spans="1:35" ht="54" x14ac:dyDescent="0.3">
      <c r="A434" s="10" t="s">
        <v>1679</v>
      </c>
      <c r="B434" s="10"/>
      <c r="C434" s="24" t="s">
        <v>1680</v>
      </c>
      <c r="D434" s="12"/>
      <c r="E434" s="12" t="s">
        <v>1681</v>
      </c>
      <c r="F434" s="18" t="s">
        <v>64</v>
      </c>
      <c r="G434" s="19">
        <v>1.1000000000000001</v>
      </c>
      <c r="H434" s="20"/>
      <c r="I434" s="20">
        <v>4.2569999999999997</v>
      </c>
      <c r="J434" s="21">
        <v>2024.4</v>
      </c>
      <c r="M434" s="22">
        <f>ROUND(ROUND(J434, 2)*I434, 2)</f>
        <v>8617.8700000000008</v>
      </c>
      <c r="P434" s="23">
        <v>2024.4</v>
      </c>
      <c r="S434" s="22">
        <f>ROUND(ROUND(P434, 2)*I434, 2)</f>
        <v>8617.8700000000008</v>
      </c>
      <c r="V434" s="9">
        <f>ROUND(ROUND(P434, 2)/1.2, 2)</f>
        <v>1687</v>
      </c>
      <c r="Y434" s="9">
        <f t="shared" si="20"/>
        <v>7181.56</v>
      </c>
      <c r="AD434" s="4" t="s">
        <v>1682</v>
      </c>
      <c r="AE434" s="4" t="s">
        <v>1683</v>
      </c>
      <c r="AF434" s="4" t="s">
        <v>1684</v>
      </c>
    </row>
    <row r="435" spans="1:35" ht="54" x14ac:dyDescent="0.3">
      <c r="A435" s="10" t="s">
        <v>1685</v>
      </c>
      <c r="B435" s="10"/>
      <c r="C435" s="17" t="s">
        <v>697</v>
      </c>
      <c r="D435" s="12"/>
      <c r="E435" s="12" t="s">
        <v>402</v>
      </c>
      <c r="F435" s="18" t="s">
        <v>70</v>
      </c>
      <c r="G435" s="19">
        <v>1.2</v>
      </c>
      <c r="H435" s="20"/>
      <c r="I435" s="20">
        <v>9.2880000000000003</v>
      </c>
      <c r="J435" s="21">
        <v>16.96</v>
      </c>
      <c r="M435" s="22">
        <f>ROUND(ROUND(J435, 2)*I435, 2)</f>
        <v>157.52000000000001</v>
      </c>
      <c r="P435" s="23">
        <v>16.96</v>
      </c>
      <c r="S435" s="22">
        <f>ROUND(ROUND(P435, 2)*I435, 2)</f>
        <v>157.52000000000001</v>
      </c>
      <c r="V435" s="9">
        <f>ROUND(ROUND(P435, 2)/1.2, 2)</f>
        <v>14.13</v>
      </c>
      <c r="Y435" s="9">
        <f t="shared" si="20"/>
        <v>131.27000000000001</v>
      </c>
      <c r="AD435" s="4" t="s">
        <v>1686</v>
      </c>
      <c r="AE435" s="4" t="s">
        <v>1687</v>
      </c>
      <c r="AF435" s="4" t="s">
        <v>700</v>
      </c>
    </row>
    <row r="436" spans="1:35" ht="36" x14ac:dyDescent="0.3">
      <c r="A436" s="10" t="s">
        <v>1688</v>
      </c>
      <c r="B436" s="10"/>
      <c r="C436" s="24" t="s">
        <v>426</v>
      </c>
      <c r="D436" s="12"/>
      <c r="E436" s="12"/>
      <c r="F436" s="18" t="s">
        <v>70</v>
      </c>
      <c r="G436" s="19">
        <v>0.25</v>
      </c>
      <c r="H436" s="20"/>
      <c r="I436" s="20">
        <v>0.96799999999999997</v>
      </c>
      <c r="J436" s="21">
        <v>40.270000000000003</v>
      </c>
      <c r="M436" s="22">
        <f>ROUND(ROUND(J436, 2)*I436, 2)</f>
        <v>38.979999999999997</v>
      </c>
      <c r="P436" s="23">
        <v>40.270000000000003</v>
      </c>
      <c r="S436" s="22">
        <f>ROUND(ROUND(P436, 2)*I436, 2)</f>
        <v>38.979999999999997</v>
      </c>
      <c r="V436" s="9">
        <f>ROUND(ROUND(P436, 2)/1.2, 2)</f>
        <v>33.56</v>
      </c>
      <c r="Y436" s="9">
        <f t="shared" si="20"/>
        <v>32.479999999999997</v>
      </c>
      <c r="AD436" s="4" t="s">
        <v>1689</v>
      </c>
      <c r="AE436" s="4" t="s">
        <v>1690</v>
      </c>
      <c r="AF436" s="4" t="s">
        <v>429</v>
      </c>
    </row>
    <row r="437" spans="1:35" ht="36" x14ac:dyDescent="0.3">
      <c r="A437" s="10" t="s">
        <v>1691</v>
      </c>
      <c r="B437" s="10"/>
      <c r="C437" s="24" t="s">
        <v>452</v>
      </c>
      <c r="D437" s="12"/>
      <c r="E437" s="12"/>
      <c r="F437" s="18" t="s">
        <v>70</v>
      </c>
      <c r="G437" s="19">
        <v>0.15</v>
      </c>
      <c r="H437" s="19"/>
      <c r="I437" s="19">
        <v>0.58099999999999996</v>
      </c>
      <c r="J437" s="21">
        <v>68.400000000000006</v>
      </c>
      <c r="M437" s="22">
        <f>ROUND(ROUND(J437, 2)*I437, 2)</f>
        <v>39.74</v>
      </c>
      <c r="P437" s="23">
        <v>68.400000000000006</v>
      </c>
      <c r="S437" s="22">
        <f>ROUND(ROUND(P437, 2)*I437, 2)</f>
        <v>39.74</v>
      </c>
      <c r="V437" s="9">
        <f>ROUND(ROUND(P437, 2)/1.2, 2)</f>
        <v>57</v>
      </c>
      <c r="Y437" s="9">
        <f t="shared" si="20"/>
        <v>33.119999999999997</v>
      </c>
      <c r="AD437" s="4" t="s">
        <v>1692</v>
      </c>
      <c r="AE437" s="4" t="s">
        <v>1693</v>
      </c>
      <c r="AF437" s="4" t="s">
        <v>456</v>
      </c>
    </row>
    <row r="438" spans="1:35" ht="54" x14ac:dyDescent="0.3">
      <c r="A438" s="10" t="s">
        <v>1694</v>
      </c>
      <c r="B438" s="10" t="s">
        <v>1674</v>
      </c>
      <c r="C438" s="11" t="s">
        <v>1675</v>
      </c>
      <c r="D438" s="12"/>
      <c r="E438" s="12" t="s">
        <v>1695</v>
      </c>
      <c r="F438" s="12" t="s">
        <v>64</v>
      </c>
      <c r="G438" s="13">
        <v>1</v>
      </c>
      <c r="H438" s="13"/>
      <c r="I438" s="13">
        <v>4.41</v>
      </c>
      <c r="J438" s="14">
        <f>IFERROR(ROUND(SUM(M439,M440,M441,M442)/I438, 2),0)</f>
        <v>1002.54</v>
      </c>
      <c r="K438" s="15">
        <v>2983</v>
      </c>
      <c r="L438" s="14">
        <f>J438+ROUND(K438, 2)</f>
        <v>3985.54</v>
      </c>
      <c r="M438" s="14">
        <f>ROUND(J438*I438, 2)</f>
        <v>4421.2</v>
      </c>
      <c r="N438" s="14">
        <f>ROUND(I438*ROUND(K438, 2), 2)</f>
        <v>13155.03</v>
      </c>
      <c r="O438" s="14">
        <f>M438+N438</f>
        <v>17576.23</v>
      </c>
      <c r="P438" s="14">
        <f>IFERROR(ROUND(SUM(S439,S440,S441,S442)/I438, 2),0)</f>
        <v>1002.54</v>
      </c>
      <c r="Q438" s="16">
        <v>2983</v>
      </c>
      <c r="R438" s="14">
        <f>P438+ROUND(Q438, 2)</f>
        <v>3985.54</v>
      </c>
      <c r="S438" s="14">
        <f>ROUND(P438*I438, 2)</f>
        <v>4421.2</v>
      </c>
      <c r="T438" s="14">
        <f>ROUND(I438*ROUND(Q438, 2), 2)</f>
        <v>13155.03</v>
      </c>
      <c r="U438" s="14">
        <f>S438+T438</f>
        <v>17576.23</v>
      </c>
      <c r="V438" s="9">
        <f>ROUND(P438 / 1.2, 2)</f>
        <v>835.45</v>
      </c>
      <c r="W438" s="9">
        <f>ROUND(Q438 / 1.2, 2)</f>
        <v>2485.83</v>
      </c>
      <c r="X438" s="9">
        <f>ROUND(R438 / 1.2, 2)</f>
        <v>3321.28</v>
      </c>
      <c r="Y438" s="9">
        <f t="shared" si="20"/>
        <v>3684.33</v>
      </c>
      <c r="Z438" s="9">
        <f>ROUND(T438 / 1.2, 2)</f>
        <v>10962.53</v>
      </c>
      <c r="AA438" s="9">
        <f>Y438+Z438</f>
        <v>14646.86</v>
      </c>
      <c r="AD438" s="4">
        <v>271132232</v>
      </c>
      <c r="AE438" s="4">
        <v>19989082</v>
      </c>
      <c r="AG438" s="4" t="s">
        <v>1677</v>
      </c>
      <c r="AH438" s="4" t="s">
        <v>1678</v>
      </c>
      <c r="AI438" s="4" t="s">
        <v>67</v>
      </c>
    </row>
    <row r="439" spans="1:35" ht="36" x14ac:dyDescent="0.3">
      <c r="A439" s="10" t="s">
        <v>1696</v>
      </c>
      <c r="B439" s="10"/>
      <c r="C439" s="24" t="s">
        <v>452</v>
      </c>
      <c r="D439" s="12"/>
      <c r="E439" s="12"/>
      <c r="F439" s="18" t="s">
        <v>70</v>
      </c>
      <c r="G439" s="19">
        <v>0.15</v>
      </c>
      <c r="H439" s="19"/>
      <c r="I439" s="19">
        <v>0.66200000000000003</v>
      </c>
      <c r="J439" s="21">
        <v>68.400000000000006</v>
      </c>
      <c r="M439" s="22">
        <f>ROUND(ROUND(J439, 2)*I439, 2)</f>
        <v>45.28</v>
      </c>
      <c r="P439" s="23">
        <v>68.400000000000006</v>
      </c>
      <c r="S439" s="22">
        <f>ROUND(ROUND(P439, 2)*I439, 2)</f>
        <v>45.28</v>
      </c>
      <c r="V439" s="9">
        <f>ROUND(ROUND(P439, 2)/1.2, 2)</f>
        <v>57</v>
      </c>
      <c r="Y439" s="9">
        <f t="shared" si="20"/>
        <v>37.729999999999997</v>
      </c>
      <c r="AD439" s="4" t="s">
        <v>1697</v>
      </c>
      <c r="AE439" s="4" t="s">
        <v>1698</v>
      </c>
      <c r="AF439" s="4" t="s">
        <v>456</v>
      </c>
    </row>
    <row r="440" spans="1:35" ht="18" x14ac:dyDescent="0.3">
      <c r="A440" s="10" t="s">
        <v>1699</v>
      </c>
      <c r="B440" s="10"/>
      <c r="C440" s="24" t="s">
        <v>1668</v>
      </c>
      <c r="D440" s="12"/>
      <c r="E440" s="12"/>
      <c r="F440" s="18" t="s">
        <v>70</v>
      </c>
      <c r="G440" s="19">
        <v>0.25</v>
      </c>
      <c r="H440" s="20"/>
      <c r="I440" s="20">
        <v>1.103</v>
      </c>
      <c r="J440" s="21">
        <v>66.23</v>
      </c>
      <c r="M440" s="22">
        <f>ROUND(ROUND(J440, 2)*I440, 2)</f>
        <v>73.05</v>
      </c>
      <c r="P440" s="23">
        <v>66.23</v>
      </c>
      <c r="S440" s="22">
        <f>ROUND(ROUND(P440, 2)*I440, 2)</f>
        <v>73.05</v>
      </c>
      <c r="V440" s="9">
        <f>ROUND(ROUND(P440, 2)/1.2, 2)</f>
        <v>55.19</v>
      </c>
      <c r="Y440" s="9">
        <f t="shared" si="20"/>
        <v>60.88</v>
      </c>
      <c r="AD440" s="4" t="s">
        <v>1700</v>
      </c>
      <c r="AE440" s="4" t="s">
        <v>1701</v>
      </c>
      <c r="AF440" s="4" t="s">
        <v>1672</v>
      </c>
    </row>
    <row r="441" spans="1:35" ht="54" x14ac:dyDescent="0.3">
      <c r="A441" s="10" t="s">
        <v>1702</v>
      </c>
      <c r="B441" s="10"/>
      <c r="C441" s="17" t="s">
        <v>697</v>
      </c>
      <c r="D441" s="12"/>
      <c r="E441" s="12" t="s">
        <v>402</v>
      </c>
      <c r="F441" s="18" t="s">
        <v>70</v>
      </c>
      <c r="G441" s="19">
        <v>1.2</v>
      </c>
      <c r="H441" s="20"/>
      <c r="I441" s="20">
        <v>10.584</v>
      </c>
      <c r="J441" s="21">
        <v>16.96</v>
      </c>
      <c r="M441" s="22">
        <f>ROUND(ROUND(J441, 2)*I441, 2)</f>
        <v>179.5</v>
      </c>
      <c r="P441" s="23">
        <v>16.96</v>
      </c>
      <c r="S441" s="22">
        <f>ROUND(ROUND(P441, 2)*I441, 2)</f>
        <v>179.5</v>
      </c>
      <c r="V441" s="9">
        <f>ROUND(ROUND(P441, 2)/1.2, 2)</f>
        <v>14.13</v>
      </c>
      <c r="Y441" s="9">
        <f t="shared" si="20"/>
        <v>149.58000000000001</v>
      </c>
      <c r="AD441" s="4" t="s">
        <v>1703</v>
      </c>
      <c r="AE441" s="4" t="s">
        <v>1704</v>
      </c>
      <c r="AF441" s="4" t="s">
        <v>700</v>
      </c>
    </row>
    <row r="442" spans="1:35" ht="54" x14ac:dyDescent="0.3">
      <c r="A442" s="10" t="s">
        <v>1705</v>
      </c>
      <c r="B442" s="10"/>
      <c r="C442" s="17" t="s">
        <v>512</v>
      </c>
      <c r="D442" s="12"/>
      <c r="E442" s="12" t="s">
        <v>1706</v>
      </c>
      <c r="F442" s="18" t="s">
        <v>64</v>
      </c>
      <c r="G442" s="19">
        <v>1.1000000000000001</v>
      </c>
      <c r="H442" s="20"/>
      <c r="I442" s="20">
        <v>4.851</v>
      </c>
      <c r="J442" s="21">
        <v>850</v>
      </c>
      <c r="M442" s="22">
        <f>ROUND(ROUND(J442, 2)*I442, 2)</f>
        <v>4123.3500000000004</v>
      </c>
      <c r="P442" s="23">
        <v>850</v>
      </c>
      <c r="S442" s="22">
        <f>ROUND(ROUND(P442, 2)*I442, 2)</f>
        <v>4123.3500000000004</v>
      </c>
      <c r="V442" s="9">
        <f>ROUND(ROUND(P442, 2)/1.2, 2)</f>
        <v>708.33</v>
      </c>
      <c r="Y442" s="9">
        <f t="shared" si="20"/>
        <v>3436.13</v>
      </c>
      <c r="AD442" s="4" t="s">
        <v>1707</v>
      </c>
      <c r="AE442" s="4" t="s">
        <v>1708</v>
      </c>
      <c r="AF442" s="4" t="s">
        <v>516</v>
      </c>
    </row>
    <row r="443" spans="1:35" ht="17.100000000000001" customHeight="1" x14ac:dyDescent="0.3">
      <c r="A443" s="10" t="s">
        <v>1709</v>
      </c>
      <c r="B443" s="10" t="s">
        <v>1710</v>
      </c>
      <c r="C443" s="185" t="s">
        <v>1711</v>
      </c>
      <c r="D443" s="186"/>
      <c r="E443" s="186"/>
      <c r="F443" s="186"/>
      <c r="G443" s="186"/>
      <c r="H443" s="186"/>
      <c r="I443" s="187"/>
      <c r="M443" s="6">
        <f>SUM(M444,M448,M452,M456,M460,M463,M466,M469,M474,M479,M483,M487,M491,M496,M501,M506,M510)</f>
        <v>831273.41</v>
      </c>
      <c r="N443" s="6">
        <f>SUM(N444,N448,N452,N456,N460,N463,N466,N469,N474,N479,N483,N487,N491,N496,N501,N506,N510)</f>
        <v>4447571.790000001</v>
      </c>
      <c r="O443" s="6">
        <f>SUM(O444,O448,O452,O456,O460,O463,O466,O469,O474,O479,O483,O487,O491,O496,O501,O506,O510)</f>
        <v>5278845.2000000011</v>
      </c>
      <c r="S443" s="6">
        <f>SUM(S444,S448,S452,S456,S460,S463,S466,S469,S474,S479,S483,S487,S491,S496,S501,S506,S510)</f>
        <v>759278.08000000007</v>
      </c>
      <c r="T443" s="6">
        <f>SUM(T444,T448,T452,T456,T460,T463,T466,T469,T474,T479,T483,T487,T491,T496,T501,T506,T510)</f>
        <v>4447571.790000001</v>
      </c>
      <c r="U443" s="6">
        <f>SUM(U444,U448,U452,U456,U460,U463,U466,U469,U474,U479,U483,U487,U491,U496,U501,U506,U510)</f>
        <v>5206849.870000001</v>
      </c>
      <c r="Y443" s="9">
        <f>SUM(Y444,Y448,Y452,Y456,Y460,Y463,Y466,Y469,Y474,Y479,Y483,Y487,Y491,Y496,Y501,Y506,Y510)</f>
        <v>632731.74999999988</v>
      </c>
      <c r="Z443" s="9">
        <f>SUM(Z444,Z448,Z452,Z456,Z460,Z463,Z466,Z469,Z474,Z479,Z483,Z487,Z491,Z496,Z501,Z506,Z510)</f>
        <v>3706309.8200000003</v>
      </c>
      <c r="AA443" s="9">
        <f>SUM(AA444,AA448,AA452,AA456,AA460,AA463,AA466,AA469,AA474,AA479,AA483,AA487,AA491,AA496,AA501,AA506,AA510)</f>
        <v>4339041.5700000012</v>
      </c>
      <c r="AD443" s="4">
        <v>271132119</v>
      </c>
      <c r="AE443" s="4">
        <v>16225741</v>
      </c>
    </row>
    <row r="444" spans="1:35" ht="54" x14ac:dyDescent="0.3">
      <c r="A444" s="10" t="s">
        <v>1712</v>
      </c>
      <c r="B444" s="10" t="s">
        <v>1713</v>
      </c>
      <c r="C444" s="11" t="s">
        <v>1714</v>
      </c>
      <c r="D444" s="12"/>
      <c r="E444" s="12"/>
      <c r="F444" s="12" t="s">
        <v>64</v>
      </c>
      <c r="G444" s="13">
        <v>1</v>
      </c>
      <c r="H444" s="13"/>
      <c r="I444" s="13">
        <v>94.1</v>
      </c>
      <c r="J444" s="14">
        <f>IFERROR(ROUND(SUM(M445,M446,M447)/I444, 2),0)</f>
        <v>505.1</v>
      </c>
      <c r="K444" s="15">
        <v>2956</v>
      </c>
      <c r="L444" s="14">
        <f>J444+ROUND(K444, 2)</f>
        <v>3461.1</v>
      </c>
      <c r="M444" s="14">
        <f>ROUND(J444*I444, 2)</f>
        <v>47529.91</v>
      </c>
      <c r="N444" s="14">
        <f>ROUND(I444*ROUND(K444, 2), 2)</f>
        <v>278159.59999999998</v>
      </c>
      <c r="O444" s="14">
        <f>M444+N444</f>
        <v>325689.51</v>
      </c>
      <c r="P444" s="14">
        <f>IFERROR(ROUND(SUM(S445,S446,S447)/I444, 2),0)</f>
        <v>505.1</v>
      </c>
      <c r="Q444" s="15">
        <v>2956</v>
      </c>
      <c r="R444" s="14">
        <f>P444+ROUND(Q444, 2)</f>
        <v>3461.1</v>
      </c>
      <c r="S444" s="14">
        <f>ROUND(P444*I444, 2)</f>
        <v>47529.91</v>
      </c>
      <c r="T444" s="14">
        <f>ROUND(I444*ROUND(Q444, 2), 2)</f>
        <v>278159.59999999998</v>
      </c>
      <c r="U444" s="14">
        <f>S444+T444</f>
        <v>325689.51</v>
      </c>
      <c r="V444" s="9">
        <f>ROUND(P444 / 1.2, 2)</f>
        <v>420.92</v>
      </c>
      <c r="W444" s="9">
        <f>ROUND(Q444 / 1.2, 2)</f>
        <v>2463.33</v>
      </c>
      <c r="X444" s="9">
        <f>ROUND(R444 / 1.2, 2)</f>
        <v>2884.25</v>
      </c>
      <c r="Y444" s="9">
        <f>ROUND(S444 / 1.2, 2)</f>
        <v>39608.26</v>
      </c>
      <c r="Z444" s="9">
        <f>ROUND(T444 / 1.2, 2)</f>
        <v>231799.67</v>
      </c>
      <c r="AA444" s="9">
        <f>Y444+Z444</f>
        <v>271407.93</v>
      </c>
      <c r="AD444" s="4">
        <v>271132120</v>
      </c>
      <c r="AE444" s="4">
        <v>16225738</v>
      </c>
      <c r="AG444" s="4" t="s">
        <v>1715</v>
      </c>
      <c r="AH444" s="4" t="s">
        <v>1716</v>
      </c>
      <c r="AI444" s="4" t="s">
        <v>67</v>
      </c>
    </row>
    <row r="445" spans="1:35" ht="36" x14ac:dyDescent="0.3">
      <c r="A445" s="10" t="s">
        <v>1717</v>
      </c>
      <c r="B445" s="10"/>
      <c r="C445" s="24" t="s">
        <v>1718</v>
      </c>
      <c r="D445" s="12"/>
      <c r="E445" s="12" t="s">
        <v>949</v>
      </c>
      <c r="F445" s="18" t="s">
        <v>70</v>
      </c>
      <c r="G445" s="19">
        <v>1.8</v>
      </c>
      <c r="H445" s="20"/>
      <c r="I445" s="20">
        <v>6390</v>
      </c>
      <c r="J445" s="21">
        <v>6.8</v>
      </c>
      <c r="M445" s="22">
        <f>ROUND(ROUND(J445, 2)*I445, 2)</f>
        <v>43452</v>
      </c>
      <c r="P445" s="21">
        <v>6.8</v>
      </c>
      <c r="S445" s="22">
        <f>ROUND(ROUND(P445, 2)*I445, 2)</f>
        <v>43452</v>
      </c>
      <c r="V445" s="9">
        <f>ROUND(ROUND(P445, 2)/1.2, 2)</f>
        <v>5.67</v>
      </c>
      <c r="Y445" s="9">
        <f t="shared" ref="Y445:Y508" si="21">ROUND(S445 / 1.2, 2)</f>
        <v>36210</v>
      </c>
      <c r="AD445" s="4" t="s">
        <v>1719</v>
      </c>
      <c r="AE445" s="4" t="s">
        <v>1720</v>
      </c>
      <c r="AF445" s="4" t="s">
        <v>1721</v>
      </c>
    </row>
    <row r="446" spans="1:35" ht="18" x14ac:dyDescent="0.3">
      <c r="A446" s="10" t="s">
        <v>1722</v>
      </c>
      <c r="B446" s="10"/>
      <c r="C446" s="24" t="s">
        <v>1723</v>
      </c>
      <c r="D446" s="12"/>
      <c r="E446" s="12"/>
      <c r="F446" s="18" t="s">
        <v>87</v>
      </c>
      <c r="G446" s="19">
        <v>1</v>
      </c>
      <c r="H446" s="19"/>
      <c r="I446" s="19">
        <v>94.1</v>
      </c>
      <c r="J446" s="21">
        <v>18.34</v>
      </c>
      <c r="M446" s="22">
        <f>ROUND(ROUND(J446, 2)*I446, 2)</f>
        <v>1725.79</v>
      </c>
      <c r="P446" s="21">
        <v>18.34</v>
      </c>
      <c r="S446" s="22">
        <f>ROUND(ROUND(P446, 2)*I446, 2)</f>
        <v>1725.79</v>
      </c>
      <c r="V446" s="9">
        <f>ROUND(ROUND(P446, 2)/1.2, 2)</f>
        <v>15.28</v>
      </c>
      <c r="Y446" s="9">
        <f t="shared" si="21"/>
        <v>1438.16</v>
      </c>
      <c r="AD446" s="4" t="s">
        <v>1724</v>
      </c>
      <c r="AE446" s="4" t="s">
        <v>1725</v>
      </c>
      <c r="AF446" s="4" t="s">
        <v>1726</v>
      </c>
    </row>
    <row r="447" spans="1:35" ht="18" x14ac:dyDescent="0.3">
      <c r="A447" s="10" t="s">
        <v>1727</v>
      </c>
      <c r="B447" s="10"/>
      <c r="C447" s="24" t="s">
        <v>764</v>
      </c>
      <c r="D447" s="12"/>
      <c r="E447" s="12"/>
      <c r="F447" s="18" t="s">
        <v>70</v>
      </c>
      <c r="G447" s="19">
        <v>0.25</v>
      </c>
      <c r="H447" s="19"/>
      <c r="I447" s="19">
        <v>23.524999999999999</v>
      </c>
      <c r="J447" s="21">
        <v>100</v>
      </c>
      <c r="M447" s="22">
        <f>ROUND(ROUND(J447, 2)*I447, 2)</f>
        <v>2352.5</v>
      </c>
      <c r="P447" s="21">
        <v>100</v>
      </c>
      <c r="S447" s="22">
        <f>ROUND(ROUND(P447, 2)*I447, 2)</f>
        <v>2352.5</v>
      </c>
      <c r="V447" s="9">
        <f>ROUND(ROUND(P447, 2)/1.2, 2)</f>
        <v>83.33</v>
      </c>
      <c r="Y447" s="9">
        <f t="shared" si="21"/>
        <v>1960.42</v>
      </c>
      <c r="AD447" s="4" t="s">
        <v>1728</v>
      </c>
      <c r="AE447" s="4" t="s">
        <v>1729</v>
      </c>
      <c r="AF447" s="4" t="s">
        <v>767</v>
      </c>
    </row>
    <row r="448" spans="1:35" ht="54" x14ac:dyDescent="0.3">
      <c r="A448" s="10" t="s">
        <v>1730</v>
      </c>
      <c r="B448" s="10" t="s">
        <v>1731</v>
      </c>
      <c r="C448" s="11" t="s">
        <v>1732</v>
      </c>
      <c r="D448" s="12"/>
      <c r="E448" s="12" t="s">
        <v>1733</v>
      </c>
      <c r="F448" s="12" t="s">
        <v>64</v>
      </c>
      <c r="G448" s="13">
        <v>1</v>
      </c>
      <c r="H448" s="13"/>
      <c r="I448" s="13">
        <v>491</v>
      </c>
      <c r="J448" s="14">
        <f>IFERROR(ROUND(SUM(M449,M450,M451)/I448, 2),0)</f>
        <v>79.760000000000005</v>
      </c>
      <c r="K448" s="15">
        <v>1001</v>
      </c>
      <c r="L448" s="14">
        <f>J448+ROUND(K448, 2)</f>
        <v>1080.76</v>
      </c>
      <c r="M448" s="14">
        <f>ROUND(J448*I448, 2)</f>
        <v>39162.160000000003</v>
      </c>
      <c r="N448" s="14">
        <f>ROUND(I448*ROUND(K448, 2), 2)</f>
        <v>491491</v>
      </c>
      <c r="O448" s="14">
        <f>M448+N448</f>
        <v>530653.16</v>
      </c>
      <c r="P448" s="14">
        <f>IFERROR(ROUND(SUM(S449,S450,S451)/I448, 2),0)</f>
        <v>79.760000000000005</v>
      </c>
      <c r="Q448" s="15">
        <v>1001</v>
      </c>
      <c r="R448" s="14">
        <f>P448+ROUND(Q448, 2)</f>
        <v>1080.76</v>
      </c>
      <c r="S448" s="14">
        <f>ROUND(P448*I448, 2)</f>
        <v>39162.160000000003</v>
      </c>
      <c r="T448" s="14">
        <f>ROUND(I448*ROUND(Q448, 2), 2)</f>
        <v>491491</v>
      </c>
      <c r="U448" s="14">
        <f>S448+T448</f>
        <v>530653.16</v>
      </c>
      <c r="V448" s="9">
        <f>ROUND(P448 / 1.2, 2)</f>
        <v>66.47</v>
      </c>
      <c r="W448" s="9">
        <f>ROUND(Q448 / 1.2, 2)</f>
        <v>834.17</v>
      </c>
      <c r="X448" s="9">
        <f>ROUND(R448 / 1.2, 2)</f>
        <v>900.63</v>
      </c>
      <c r="Y448" s="9">
        <f t="shared" si="21"/>
        <v>32635.13</v>
      </c>
      <c r="Z448" s="9">
        <f>ROUND(T448 / 1.2, 2)</f>
        <v>409575.83</v>
      </c>
      <c r="AA448" s="9">
        <f>Y448+Z448</f>
        <v>442210.96</v>
      </c>
      <c r="AD448" s="4">
        <v>271132122</v>
      </c>
      <c r="AE448" s="4">
        <v>16225746</v>
      </c>
      <c r="AG448" s="4" t="s">
        <v>1734</v>
      </c>
      <c r="AH448" s="4" t="s">
        <v>1735</v>
      </c>
      <c r="AI448" s="4" t="s">
        <v>67</v>
      </c>
    </row>
    <row r="449" spans="1:35" ht="36" x14ac:dyDescent="0.3">
      <c r="A449" s="10" t="s">
        <v>1736</v>
      </c>
      <c r="B449" s="10"/>
      <c r="C449" s="17" t="s">
        <v>740</v>
      </c>
      <c r="D449" s="12"/>
      <c r="E449" s="12" t="s">
        <v>786</v>
      </c>
      <c r="F449" s="18" t="s">
        <v>70</v>
      </c>
      <c r="G449" s="19">
        <v>4.5</v>
      </c>
      <c r="H449" s="19"/>
      <c r="I449" s="19">
        <v>2209.5</v>
      </c>
      <c r="J449" s="21">
        <v>12.58</v>
      </c>
      <c r="M449" s="22">
        <f>ROUND(ROUND(J449, 2)*I449, 2)</f>
        <v>27795.51</v>
      </c>
      <c r="P449" s="21">
        <v>12.58</v>
      </c>
      <c r="S449" s="22">
        <f>ROUND(ROUND(P449, 2)*I449, 2)</f>
        <v>27795.51</v>
      </c>
      <c r="V449" s="9">
        <f>ROUND(ROUND(P449, 2)/1.2, 2)</f>
        <v>10.48</v>
      </c>
      <c r="Y449" s="9">
        <f t="shared" si="21"/>
        <v>23162.93</v>
      </c>
      <c r="AD449" s="4" t="s">
        <v>1737</v>
      </c>
      <c r="AE449" s="4" t="s">
        <v>1738</v>
      </c>
      <c r="AF449" s="4" t="s">
        <v>743</v>
      </c>
    </row>
    <row r="450" spans="1:35" ht="36" x14ac:dyDescent="0.3">
      <c r="A450" s="10" t="s">
        <v>1739</v>
      </c>
      <c r="B450" s="10"/>
      <c r="C450" s="24" t="s">
        <v>1740</v>
      </c>
      <c r="D450" s="12"/>
      <c r="E450" s="12"/>
      <c r="F450" s="18" t="s">
        <v>116</v>
      </c>
      <c r="G450" s="19">
        <v>0.3</v>
      </c>
      <c r="H450" s="20"/>
      <c r="I450" s="20">
        <v>66</v>
      </c>
      <c r="J450" s="21">
        <v>73.099999999999994</v>
      </c>
      <c r="M450" s="22">
        <f>ROUND(ROUND(J450, 2)*I450, 2)</f>
        <v>4824.6000000000004</v>
      </c>
      <c r="P450" s="21">
        <v>73.099999999999994</v>
      </c>
      <c r="S450" s="22">
        <f>ROUND(ROUND(P450, 2)*I450, 2)</f>
        <v>4824.6000000000004</v>
      </c>
      <c r="V450" s="9">
        <f>ROUND(ROUND(P450, 2)/1.2, 2)</f>
        <v>60.92</v>
      </c>
      <c r="Y450" s="9">
        <f t="shared" si="21"/>
        <v>4020.5</v>
      </c>
      <c r="AD450" s="4" t="s">
        <v>1741</v>
      </c>
      <c r="AE450" s="4" t="s">
        <v>1742</v>
      </c>
      <c r="AF450" s="4" t="s">
        <v>1743</v>
      </c>
    </row>
    <row r="451" spans="1:35" ht="36" x14ac:dyDescent="0.3">
      <c r="A451" s="10" t="s">
        <v>1744</v>
      </c>
      <c r="B451" s="10"/>
      <c r="C451" s="24" t="s">
        <v>433</v>
      </c>
      <c r="D451" s="12"/>
      <c r="E451" s="12"/>
      <c r="F451" s="18" t="s">
        <v>70</v>
      </c>
      <c r="G451" s="19">
        <v>0.15</v>
      </c>
      <c r="H451" s="19"/>
      <c r="I451" s="19">
        <v>73.650000000000006</v>
      </c>
      <c r="J451" s="21">
        <v>88.8</v>
      </c>
      <c r="M451" s="22">
        <f>ROUND(ROUND(J451, 2)*I451, 2)</f>
        <v>6540.12</v>
      </c>
      <c r="P451" s="21">
        <v>88.8</v>
      </c>
      <c r="S451" s="22">
        <f>ROUND(ROUND(P451, 2)*I451, 2)</f>
        <v>6540.12</v>
      </c>
      <c r="V451" s="9">
        <f>ROUND(ROUND(P451, 2)/1.2, 2)</f>
        <v>74</v>
      </c>
      <c r="Y451" s="9">
        <f t="shared" si="21"/>
        <v>5450.1</v>
      </c>
      <c r="AD451" s="4" t="s">
        <v>1745</v>
      </c>
      <c r="AE451" s="4" t="s">
        <v>1746</v>
      </c>
      <c r="AF451" s="4" t="s">
        <v>436</v>
      </c>
    </row>
    <row r="452" spans="1:35" ht="54" x14ac:dyDescent="0.3">
      <c r="A452" s="10" t="s">
        <v>1747</v>
      </c>
      <c r="B452" s="10" t="s">
        <v>1731</v>
      </c>
      <c r="C452" s="11" t="s">
        <v>1732</v>
      </c>
      <c r="D452" s="12"/>
      <c r="E452" s="12" t="s">
        <v>1748</v>
      </c>
      <c r="F452" s="12" t="s">
        <v>64</v>
      </c>
      <c r="G452" s="13">
        <v>1</v>
      </c>
      <c r="H452" s="13"/>
      <c r="I452" s="13">
        <v>491</v>
      </c>
      <c r="J452" s="14">
        <f>IFERROR(ROUND(SUM(M453,M454,M455)/I452, 2),0)</f>
        <v>79.760000000000005</v>
      </c>
      <c r="K452" s="15">
        <v>1001</v>
      </c>
      <c r="L452" s="14">
        <f>J452+ROUND(K452, 2)</f>
        <v>1080.76</v>
      </c>
      <c r="M452" s="14">
        <f>ROUND(J452*I452, 2)</f>
        <v>39162.160000000003</v>
      </c>
      <c r="N452" s="14">
        <f>ROUND(I452*ROUND(K452, 2), 2)</f>
        <v>491491</v>
      </c>
      <c r="O452" s="14">
        <f>M452+N452</f>
        <v>530653.16</v>
      </c>
      <c r="P452" s="14">
        <f>IFERROR(ROUND(SUM(S453,S454,S455)/I452, 2),0)</f>
        <v>79.760000000000005</v>
      </c>
      <c r="Q452" s="15">
        <v>1001</v>
      </c>
      <c r="R452" s="14">
        <f>P452+ROUND(Q452, 2)</f>
        <v>1080.76</v>
      </c>
      <c r="S452" s="14">
        <f>ROUND(P452*I452, 2)</f>
        <v>39162.160000000003</v>
      </c>
      <c r="T452" s="14">
        <f>ROUND(I452*ROUND(Q452, 2), 2)</f>
        <v>491491</v>
      </c>
      <c r="U452" s="14">
        <f>S452+T452</f>
        <v>530653.16</v>
      </c>
      <c r="V452" s="9">
        <f>ROUND(P452 / 1.2, 2)</f>
        <v>66.47</v>
      </c>
      <c r="W452" s="9">
        <f>ROUND(Q452 / 1.2, 2)</f>
        <v>834.17</v>
      </c>
      <c r="X452" s="9">
        <f>ROUND(R452 / 1.2, 2)</f>
        <v>900.63</v>
      </c>
      <c r="Y452" s="9">
        <f t="shared" si="21"/>
        <v>32635.13</v>
      </c>
      <c r="Z452" s="9">
        <f>ROUND(T452 / 1.2, 2)</f>
        <v>409575.83</v>
      </c>
      <c r="AA452" s="9">
        <f>Y452+Z452</f>
        <v>442210.96</v>
      </c>
      <c r="AD452" s="4">
        <v>271132233</v>
      </c>
      <c r="AE452" s="4">
        <v>16225747</v>
      </c>
      <c r="AG452" s="4" t="s">
        <v>1734</v>
      </c>
      <c r="AH452" s="4" t="s">
        <v>1735</v>
      </c>
      <c r="AI452" s="4" t="s">
        <v>67</v>
      </c>
    </row>
    <row r="453" spans="1:35" ht="36" x14ac:dyDescent="0.3">
      <c r="A453" s="10" t="s">
        <v>1749</v>
      </c>
      <c r="B453" s="10"/>
      <c r="C453" s="24" t="s">
        <v>433</v>
      </c>
      <c r="D453" s="12"/>
      <c r="E453" s="12"/>
      <c r="F453" s="18" t="s">
        <v>70</v>
      </c>
      <c r="G453" s="19">
        <v>0.15</v>
      </c>
      <c r="H453" s="19"/>
      <c r="I453" s="19">
        <v>73.650000000000006</v>
      </c>
      <c r="J453" s="21">
        <v>88.8</v>
      </c>
      <c r="M453" s="22">
        <f>ROUND(ROUND(J453, 2)*I453, 2)</f>
        <v>6540.12</v>
      </c>
      <c r="P453" s="21">
        <v>88.8</v>
      </c>
      <c r="S453" s="22">
        <f>ROUND(ROUND(P453, 2)*I453, 2)</f>
        <v>6540.12</v>
      </c>
      <c r="V453" s="9">
        <f>ROUND(ROUND(P453, 2)/1.2, 2)</f>
        <v>74</v>
      </c>
      <c r="Y453" s="9">
        <f t="shared" si="21"/>
        <v>5450.1</v>
      </c>
      <c r="AD453" s="4" t="s">
        <v>1750</v>
      </c>
      <c r="AE453" s="4" t="s">
        <v>1751</v>
      </c>
      <c r="AF453" s="4" t="s">
        <v>436</v>
      </c>
    </row>
    <row r="454" spans="1:35" ht="36" x14ac:dyDescent="0.3">
      <c r="A454" s="10" t="s">
        <v>1752</v>
      </c>
      <c r="B454" s="10"/>
      <c r="C454" s="24" t="s">
        <v>1740</v>
      </c>
      <c r="D454" s="12"/>
      <c r="E454" s="12"/>
      <c r="F454" s="18" t="s">
        <v>116</v>
      </c>
      <c r="G454" s="19">
        <v>0.3</v>
      </c>
      <c r="H454" s="20"/>
      <c r="I454" s="20">
        <v>66</v>
      </c>
      <c r="J454" s="21">
        <v>73.099999999999994</v>
      </c>
      <c r="M454" s="22">
        <f>ROUND(ROUND(J454, 2)*I454, 2)</f>
        <v>4824.6000000000004</v>
      </c>
      <c r="P454" s="21">
        <v>73.099999999999994</v>
      </c>
      <c r="S454" s="22">
        <f>ROUND(ROUND(P454, 2)*I454, 2)</f>
        <v>4824.6000000000004</v>
      </c>
      <c r="V454" s="9">
        <f>ROUND(ROUND(P454, 2)/1.2, 2)</f>
        <v>60.92</v>
      </c>
      <c r="Y454" s="9">
        <f t="shared" si="21"/>
        <v>4020.5</v>
      </c>
      <c r="AD454" s="4" t="s">
        <v>1753</v>
      </c>
      <c r="AE454" s="4" t="s">
        <v>1754</v>
      </c>
      <c r="AF454" s="4" t="s">
        <v>1743</v>
      </c>
    </row>
    <row r="455" spans="1:35" ht="36" x14ac:dyDescent="0.3">
      <c r="A455" s="10" t="s">
        <v>1755</v>
      </c>
      <c r="B455" s="10"/>
      <c r="C455" s="17" t="s">
        <v>740</v>
      </c>
      <c r="D455" s="12"/>
      <c r="E455" s="12" t="s">
        <v>821</v>
      </c>
      <c r="F455" s="18" t="s">
        <v>70</v>
      </c>
      <c r="G455" s="19">
        <v>4.5</v>
      </c>
      <c r="H455" s="19"/>
      <c r="I455" s="19">
        <v>2209.5</v>
      </c>
      <c r="J455" s="21">
        <v>12.58</v>
      </c>
      <c r="M455" s="22">
        <f>ROUND(ROUND(J455, 2)*I455, 2)</f>
        <v>27795.51</v>
      </c>
      <c r="P455" s="21">
        <v>12.58</v>
      </c>
      <c r="S455" s="22">
        <f>ROUND(ROUND(P455, 2)*I455, 2)</f>
        <v>27795.51</v>
      </c>
      <c r="V455" s="9">
        <f>ROUND(ROUND(P455, 2)/1.2, 2)</f>
        <v>10.48</v>
      </c>
      <c r="Y455" s="9">
        <f t="shared" si="21"/>
        <v>23162.93</v>
      </c>
      <c r="AD455" s="4" t="s">
        <v>1756</v>
      </c>
      <c r="AE455" s="4" t="s">
        <v>1757</v>
      </c>
      <c r="AF455" s="4" t="s">
        <v>743</v>
      </c>
    </row>
    <row r="456" spans="1:35" ht="54" x14ac:dyDescent="0.3">
      <c r="A456" s="10" t="s">
        <v>1758</v>
      </c>
      <c r="B456" s="10" t="s">
        <v>1731</v>
      </c>
      <c r="C456" s="11" t="s">
        <v>1732</v>
      </c>
      <c r="D456" s="12"/>
      <c r="E456" s="12" t="s">
        <v>1759</v>
      </c>
      <c r="F456" s="12" t="s">
        <v>64</v>
      </c>
      <c r="G456" s="13">
        <v>1</v>
      </c>
      <c r="H456" s="13"/>
      <c r="I456" s="13">
        <v>329.76</v>
      </c>
      <c r="J456" s="14">
        <f>IFERROR(ROUND(SUM(M457,M458,M459)/I456, 2),0)</f>
        <v>92.4</v>
      </c>
      <c r="K456" s="15">
        <v>1001</v>
      </c>
      <c r="L456" s="14">
        <f>J456+ROUND(K456, 2)</f>
        <v>1093.4000000000001</v>
      </c>
      <c r="M456" s="14">
        <f>ROUND(J456*I456, 2)</f>
        <v>30469.82</v>
      </c>
      <c r="N456" s="14">
        <f>ROUND(I456*ROUND(K456, 2), 2)</f>
        <v>330089.76</v>
      </c>
      <c r="O456" s="14">
        <f>M456+N456</f>
        <v>360559.58</v>
      </c>
      <c r="P456" s="14">
        <f>IFERROR(ROUND(SUM(S457,S458,S459)/I456, 2),0)</f>
        <v>92.4</v>
      </c>
      <c r="Q456" s="16">
        <v>1001</v>
      </c>
      <c r="R456" s="14">
        <f>P456+ROUND(Q456, 2)</f>
        <v>1093.4000000000001</v>
      </c>
      <c r="S456" s="14">
        <f>ROUND(P456*I456, 2)</f>
        <v>30469.82</v>
      </c>
      <c r="T456" s="14">
        <f>ROUND(I456*ROUND(Q456, 2), 2)</f>
        <v>330089.76</v>
      </c>
      <c r="U456" s="14">
        <f>S456+T456</f>
        <v>360559.58</v>
      </c>
      <c r="V456" s="9">
        <f>ROUND(P456 / 1.2, 2)</f>
        <v>77</v>
      </c>
      <c r="W456" s="9">
        <f>ROUND(Q456 / 1.2, 2)</f>
        <v>834.17</v>
      </c>
      <c r="X456" s="9">
        <f>ROUND(R456 / 1.2, 2)</f>
        <v>911.17</v>
      </c>
      <c r="Y456" s="9">
        <f t="shared" si="21"/>
        <v>25391.52</v>
      </c>
      <c r="Z456" s="9">
        <f>ROUND(T456 / 1.2, 2)</f>
        <v>275074.8</v>
      </c>
      <c r="AA456" s="9">
        <f>Y456+Z456</f>
        <v>300466.32</v>
      </c>
      <c r="AD456" s="4">
        <v>271132234</v>
      </c>
      <c r="AE456" s="4">
        <v>19821008</v>
      </c>
      <c r="AG456" s="4" t="s">
        <v>1734</v>
      </c>
      <c r="AH456" s="4" t="s">
        <v>1735</v>
      </c>
      <c r="AI456" s="4" t="s">
        <v>67</v>
      </c>
    </row>
    <row r="457" spans="1:35" ht="36" x14ac:dyDescent="0.3">
      <c r="A457" s="10" t="s">
        <v>1760</v>
      </c>
      <c r="B457" s="10"/>
      <c r="C457" s="24" t="s">
        <v>433</v>
      </c>
      <c r="D457" s="12"/>
      <c r="E457" s="12"/>
      <c r="F457" s="18" t="s">
        <v>70</v>
      </c>
      <c r="G457" s="19">
        <v>0.15</v>
      </c>
      <c r="H457" s="19"/>
      <c r="I457" s="19">
        <v>49.463999999999999</v>
      </c>
      <c r="J457" s="21">
        <v>88.8</v>
      </c>
      <c r="M457" s="22">
        <f>ROUND(ROUND(J457, 2)*I457, 2)</f>
        <v>4392.3999999999996</v>
      </c>
      <c r="P457" s="23">
        <v>88.8</v>
      </c>
      <c r="S457" s="22">
        <f>ROUND(ROUND(P457, 2)*I457, 2)</f>
        <v>4392.3999999999996</v>
      </c>
      <c r="V457" s="9">
        <f>ROUND(ROUND(P457, 2)/1.2, 2)</f>
        <v>74</v>
      </c>
      <c r="Y457" s="9">
        <f t="shared" si="21"/>
        <v>3660.33</v>
      </c>
      <c r="AD457" s="4" t="s">
        <v>1761</v>
      </c>
      <c r="AE457" s="4" t="s">
        <v>1762</v>
      </c>
      <c r="AF457" s="4" t="s">
        <v>436</v>
      </c>
    </row>
    <row r="458" spans="1:35" ht="18" x14ac:dyDescent="0.3">
      <c r="A458" s="10" t="s">
        <v>1763</v>
      </c>
      <c r="B458" s="10"/>
      <c r="C458" s="24" t="s">
        <v>793</v>
      </c>
      <c r="D458" s="12"/>
      <c r="E458" s="12"/>
      <c r="F458" s="18" t="s">
        <v>116</v>
      </c>
      <c r="G458" s="19">
        <v>0.3</v>
      </c>
      <c r="H458" s="19"/>
      <c r="I458" s="19">
        <v>98.927999999999997</v>
      </c>
      <c r="J458" s="21">
        <v>73.099999999999994</v>
      </c>
      <c r="M458" s="22">
        <f>ROUND(ROUND(J458, 2)*I458, 2)</f>
        <v>7231.64</v>
      </c>
      <c r="P458" s="23">
        <v>73.099999999999994</v>
      </c>
      <c r="S458" s="22">
        <f>ROUND(ROUND(P458, 2)*I458, 2)</f>
        <v>7231.64</v>
      </c>
      <c r="V458" s="9">
        <f>ROUND(ROUND(P458, 2)/1.2, 2)</f>
        <v>60.92</v>
      </c>
      <c r="Y458" s="9">
        <f t="shared" si="21"/>
        <v>6026.37</v>
      </c>
      <c r="AD458" s="4" t="s">
        <v>1764</v>
      </c>
      <c r="AE458" s="4" t="s">
        <v>1765</v>
      </c>
      <c r="AF458" s="4" t="s">
        <v>796</v>
      </c>
    </row>
    <row r="459" spans="1:35" ht="36" x14ac:dyDescent="0.3">
      <c r="A459" s="10" t="s">
        <v>1766</v>
      </c>
      <c r="B459" s="10"/>
      <c r="C459" s="17" t="s">
        <v>740</v>
      </c>
      <c r="D459" s="12"/>
      <c r="E459" s="12"/>
      <c r="F459" s="18" t="s">
        <v>70</v>
      </c>
      <c r="G459" s="19">
        <v>4.5</v>
      </c>
      <c r="H459" s="19"/>
      <c r="I459" s="19">
        <v>1483.92</v>
      </c>
      <c r="J459" s="21">
        <v>12.7</v>
      </c>
      <c r="M459" s="22">
        <f>ROUND(ROUND(J459, 2)*I459, 2)</f>
        <v>18845.78</v>
      </c>
      <c r="P459" s="23">
        <v>12.7</v>
      </c>
      <c r="S459" s="22">
        <f>ROUND(ROUND(P459, 2)*I459, 2)</f>
        <v>18845.78</v>
      </c>
      <c r="V459" s="9">
        <f>ROUND(ROUND(P459, 2)/1.2, 2)</f>
        <v>10.58</v>
      </c>
      <c r="Y459" s="9">
        <f t="shared" si="21"/>
        <v>15704.82</v>
      </c>
      <c r="AD459" s="4" t="s">
        <v>1767</v>
      </c>
      <c r="AE459" s="4" t="s">
        <v>1768</v>
      </c>
      <c r="AF459" s="4" t="s">
        <v>743</v>
      </c>
    </row>
    <row r="460" spans="1:35" ht="54" x14ac:dyDescent="0.3">
      <c r="A460" s="10" t="s">
        <v>1769</v>
      </c>
      <c r="B460" s="10" t="s">
        <v>1731</v>
      </c>
      <c r="C460" s="11" t="s">
        <v>1732</v>
      </c>
      <c r="D460" s="12"/>
      <c r="E460" s="12" t="s">
        <v>1770</v>
      </c>
      <c r="F460" s="12" t="s">
        <v>64</v>
      </c>
      <c r="G460" s="13">
        <v>1</v>
      </c>
      <c r="H460" s="13"/>
      <c r="I460" s="13">
        <v>329.76</v>
      </c>
      <c r="J460" s="14">
        <f>IFERROR(ROUND(SUM(M461,M462)/I460, 2),0)</f>
        <v>70.47</v>
      </c>
      <c r="K460" s="15">
        <v>1001</v>
      </c>
      <c r="L460" s="14">
        <f>J460+ROUND(K460, 2)</f>
        <v>1071.47</v>
      </c>
      <c r="M460" s="14">
        <f>ROUND(J460*I460, 2)</f>
        <v>23238.19</v>
      </c>
      <c r="N460" s="14">
        <f>ROUND(I460*ROUND(K460, 2), 2)</f>
        <v>330089.76</v>
      </c>
      <c r="O460" s="14">
        <f>M460+N460</f>
        <v>353327.95</v>
      </c>
      <c r="P460" s="14">
        <f>IFERROR(ROUND(SUM(S461,S462)/I460, 2),0)</f>
        <v>70.47</v>
      </c>
      <c r="Q460" s="16">
        <v>1001</v>
      </c>
      <c r="R460" s="14">
        <f>P460+ROUND(Q460, 2)</f>
        <v>1071.47</v>
      </c>
      <c r="S460" s="14">
        <f>ROUND(P460*I460, 2)</f>
        <v>23238.19</v>
      </c>
      <c r="T460" s="14">
        <f>ROUND(I460*ROUND(Q460, 2), 2)</f>
        <v>330089.76</v>
      </c>
      <c r="U460" s="14">
        <f>S460+T460</f>
        <v>353327.95</v>
      </c>
      <c r="V460" s="9">
        <f>ROUND(P460 / 1.2, 2)</f>
        <v>58.73</v>
      </c>
      <c r="W460" s="9">
        <f>ROUND(Q460 / 1.2, 2)</f>
        <v>834.17</v>
      </c>
      <c r="X460" s="9">
        <f>ROUND(R460 / 1.2, 2)</f>
        <v>892.89</v>
      </c>
      <c r="Y460" s="9">
        <f t="shared" si="21"/>
        <v>19365.16</v>
      </c>
      <c r="Z460" s="9">
        <f>ROUND(T460 / 1.2, 2)</f>
        <v>275074.8</v>
      </c>
      <c r="AA460" s="9">
        <f>Y460+Z460</f>
        <v>294439.95999999996</v>
      </c>
      <c r="AD460" s="4">
        <v>271132235</v>
      </c>
      <c r="AE460" s="4">
        <v>19821009</v>
      </c>
      <c r="AG460" s="4" t="s">
        <v>1734</v>
      </c>
      <c r="AH460" s="4" t="s">
        <v>1735</v>
      </c>
      <c r="AI460" s="4" t="s">
        <v>67</v>
      </c>
    </row>
    <row r="461" spans="1:35" ht="36" x14ac:dyDescent="0.3">
      <c r="A461" s="10" t="s">
        <v>1771</v>
      </c>
      <c r="B461" s="10"/>
      <c r="C461" s="24" t="s">
        <v>433</v>
      </c>
      <c r="D461" s="12"/>
      <c r="E461" s="12"/>
      <c r="F461" s="18" t="s">
        <v>70</v>
      </c>
      <c r="G461" s="19">
        <v>0.15</v>
      </c>
      <c r="H461" s="19"/>
      <c r="I461" s="19">
        <v>49.463999999999999</v>
      </c>
      <c r="J461" s="21">
        <v>88.8</v>
      </c>
      <c r="M461" s="22">
        <f>ROUND(ROUND(J461, 2)*I461, 2)</f>
        <v>4392.3999999999996</v>
      </c>
      <c r="P461" s="23">
        <v>88.8</v>
      </c>
      <c r="S461" s="22">
        <f>ROUND(ROUND(P461, 2)*I461, 2)</f>
        <v>4392.3999999999996</v>
      </c>
      <c r="V461" s="9">
        <f>ROUND(ROUND(P461, 2)/1.2, 2)</f>
        <v>74</v>
      </c>
      <c r="Y461" s="9">
        <f t="shared" si="21"/>
        <v>3660.33</v>
      </c>
      <c r="AD461" s="4" t="s">
        <v>1772</v>
      </c>
      <c r="AE461" s="4" t="s">
        <v>1773</v>
      </c>
      <c r="AF461" s="4" t="s">
        <v>436</v>
      </c>
    </row>
    <row r="462" spans="1:35" ht="36" x14ac:dyDescent="0.3">
      <c r="A462" s="10" t="s">
        <v>1774</v>
      </c>
      <c r="B462" s="10"/>
      <c r="C462" s="17" t="s">
        <v>740</v>
      </c>
      <c r="D462" s="12"/>
      <c r="E462" s="12"/>
      <c r="F462" s="18" t="s">
        <v>70</v>
      </c>
      <c r="G462" s="19">
        <v>4.5</v>
      </c>
      <c r="H462" s="19"/>
      <c r="I462" s="19">
        <v>1483.92</v>
      </c>
      <c r="J462" s="21">
        <v>12.7</v>
      </c>
      <c r="M462" s="22">
        <f>ROUND(ROUND(J462, 2)*I462, 2)</f>
        <v>18845.78</v>
      </c>
      <c r="P462" s="23">
        <v>12.7</v>
      </c>
      <c r="S462" s="22">
        <f>ROUND(ROUND(P462, 2)*I462, 2)</f>
        <v>18845.78</v>
      </c>
      <c r="V462" s="9">
        <f>ROUND(ROUND(P462, 2)/1.2, 2)</f>
        <v>10.58</v>
      </c>
      <c r="Y462" s="9">
        <f t="shared" si="21"/>
        <v>15704.82</v>
      </c>
      <c r="AD462" s="4" t="s">
        <v>1775</v>
      </c>
      <c r="AE462" s="4" t="s">
        <v>1776</v>
      </c>
      <c r="AF462" s="4" t="s">
        <v>743</v>
      </c>
    </row>
    <row r="463" spans="1:35" ht="54" x14ac:dyDescent="0.3">
      <c r="A463" s="10" t="s">
        <v>1777</v>
      </c>
      <c r="B463" s="10" t="s">
        <v>1778</v>
      </c>
      <c r="C463" s="11" t="s">
        <v>1779</v>
      </c>
      <c r="D463" s="12"/>
      <c r="E463" s="12" t="s">
        <v>63</v>
      </c>
      <c r="F463" s="12" t="s">
        <v>64</v>
      </c>
      <c r="G463" s="13">
        <v>1</v>
      </c>
      <c r="H463" s="13"/>
      <c r="I463" s="13">
        <v>491</v>
      </c>
      <c r="J463" s="14">
        <f>IFERROR(ROUND(SUM(M464,M465)/I463, 2),0)</f>
        <v>290.51</v>
      </c>
      <c r="K463" s="15">
        <v>275</v>
      </c>
      <c r="L463" s="14">
        <f>J463+ROUND(K463, 2)</f>
        <v>565.51</v>
      </c>
      <c r="M463" s="14">
        <f>ROUND(J463*I463, 2)</f>
        <v>142640.41</v>
      </c>
      <c r="N463" s="14">
        <f>ROUND(I463*ROUND(K463, 2), 2)</f>
        <v>135025</v>
      </c>
      <c r="O463" s="14">
        <f>M463+N463</f>
        <v>277665.41000000003</v>
      </c>
      <c r="P463" s="14">
        <f>IFERROR(ROUND(SUM(S464,S465)/I463, 2),0)</f>
        <v>143.88</v>
      </c>
      <c r="Q463" s="15">
        <v>275</v>
      </c>
      <c r="R463" s="14">
        <f>P463+ROUND(Q463, 2)</f>
        <v>418.88</v>
      </c>
      <c r="S463" s="14">
        <f>ROUND(P463*I463, 2)</f>
        <v>70645.08</v>
      </c>
      <c r="T463" s="14">
        <f>ROUND(I463*ROUND(Q463, 2), 2)</f>
        <v>135025</v>
      </c>
      <c r="U463" s="14">
        <f>S463+T463</f>
        <v>205670.08000000002</v>
      </c>
      <c r="V463" s="9">
        <f>ROUND(P463 / 1.2, 2)</f>
        <v>119.9</v>
      </c>
      <c r="W463" s="9">
        <f>ROUND(Q463 / 1.2, 2)</f>
        <v>229.17</v>
      </c>
      <c r="X463" s="9">
        <f>ROUND(R463 / 1.2, 2)</f>
        <v>349.07</v>
      </c>
      <c r="Y463" s="9">
        <f t="shared" si="21"/>
        <v>58870.9</v>
      </c>
      <c r="Z463" s="9">
        <f>ROUND(T463 / 1.2, 2)</f>
        <v>112520.83</v>
      </c>
      <c r="AA463" s="9">
        <f>Y463+Z463</f>
        <v>171391.73</v>
      </c>
      <c r="AD463" s="4">
        <v>271132124</v>
      </c>
      <c r="AE463" s="4">
        <v>16226151</v>
      </c>
      <c r="AG463" s="4" t="s">
        <v>1780</v>
      </c>
      <c r="AH463" s="4" t="s">
        <v>1781</v>
      </c>
      <c r="AI463" s="4" t="s">
        <v>67</v>
      </c>
    </row>
    <row r="464" spans="1:35" ht="18" x14ac:dyDescent="0.3">
      <c r="A464" s="10" t="s">
        <v>1782</v>
      </c>
      <c r="B464" s="10"/>
      <c r="C464" s="24" t="s">
        <v>1783</v>
      </c>
      <c r="D464" s="12"/>
      <c r="E464" s="12"/>
      <c r="F464" s="18" t="s">
        <v>70</v>
      </c>
      <c r="G464" s="19">
        <v>0.3</v>
      </c>
      <c r="H464" s="19"/>
      <c r="I464" s="19">
        <v>147.30000000000001</v>
      </c>
      <c r="J464" s="21">
        <v>938.78</v>
      </c>
      <c r="M464" s="22">
        <f>ROUND(ROUND(J464, 2)*I464, 2)</f>
        <v>138282.29</v>
      </c>
      <c r="P464" s="21">
        <v>450</v>
      </c>
      <c r="S464" s="22">
        <f>ROUND(ROUND(P464, 2)*I464, 2)</f>
        <v>66285</v>
      </c>
      <c r="V464" s="9">
        <f>ROUND(ROUND(P464, 2)/1.2, 2)</f>
        <v>375</v>
      </c>
      <c r="Y464" s="9">
        <f t="shared" si="21"/>
        <v>55237.5</v>
      </c>
      <c r="AD464" s="4" t="s">
        <v>1784</v>
      </c>
      <c r="AE464" s="4" t="s">
        <v>1785</v>
      </c>
      <c r="AF464" s="4" t="s">
        <v>1786</v>
      </c>
    </row>
    <row r="465" spans="1:35" ht="36" x14ac:dyDescent="0.3">
      <c r="A465" s="10" t="s">
        <v>1787</v>
      </c>
      <c r="B465" s="10"/>
      <c r="C465" s="24" t="s">
        <v>433</v>
      </c>
      <c r="D465" s="12"/>
      <c r="E465" s="12"/>
      <c r="F465" s="18" t="s">
        <v>70</v>
      </c>
      <c r="G465" s="19">
        <v>0.1</v>
      </c>
      <c r="H465" s="19"/>
      <c r="I465" s="19">
        <v>49.1</v>
      </c>
      <c r="J465" s="21">
        <v>88.8</v>
      </c>
      <c r="M465" s="22">
        <f>ROUND(ROUND(J465, 2)*I465, 2)</f>
        <v>4360.08</v>
      </c>
      <c r="P465" s="21">
        <v>88.8</v>
      </c>
      <c r="S465" s="22">
        <f>ROUND(ROUND(P465, 2)*I465, 2)</f>
        <v>4360.08</v>
      </c>
      <c r="V465" s="9">
        <f>ROUND(ROUND(P465, 2)/1.2, 2)</f>
        <v>74</v>
      </c>
      <c r="Y465" s="9">
        <f t="shared" si="21"/>
        <v>3633.4</v>
      </c>
      <c r="AD465" s="4" t="s">
        <v>1788</v>
      </c>
      <c r="AE465" s="4" t="s">
        <v>1789</v>
      </c>
      <c r="AF465" s="4" t="s">
        <v>436</v>
      </c>
    </row>
    <row r="466" spans="1:35" ht="54" x14ac:dyDescent="0.3">
      <c r="A466" s="10" t="s">
        <v>1790</v>
      </c>
      <c r="B466" s="10" t="s">
        <v>1778</v>
      </c>
      <c r="C466" s="11" t="s">
        <v>1779</v>
      </c>
      <c r="D466" s="12"/>
      <c r="E466" s="12" t="s">
        <v>81</v>
      </c>
      <c r="F466" s="12" t="s">
        <v>64</v>
      </c>
      <c r="G466" s="13">
        <v>1</v>
      </c>
      <c r="H466" s="13"/>
      <c r="I466" s="13">
        <v>329.76</v>
      </c>
      <c r="J466" s="14">
        <f>IFERROR(ROUND(SUM(M467,M468)/I466, 2),0)</f>
        <v>30.4</v>
      </c>
      <c r="K466" s="15">
        <v>303</v>
      </c>
      <c r="L466" s="14">
        <f>J466+ROUND(K466, 2)</f>
        <v>333.4</v>
      </c>
      <c r="M466" s="14">
        <f>ROUND(J466*I466, 2)</f>
        <v>10024.700000000001</v>
      </c>
      <c r="N466" s="14">
        <f>ROUND(I466*ROUND(K466, 2), 2)</f>
        <v>99917.28</v>
      </c>
      <c r="O466" s="14">
        <f>M466+N466</f>
        <v>109941.98</v>
      </c>
      <c r="P466" s="14">
        <f>IFERROR(ROUND(SUM(S467,S468)/I466, 2),0)</f>
        <v>30.4</v>
      </c>
      <c r="Q466" s="16">
        <v>303</v>
      </c>
      <c r="R466" s="14">
        <f>P466+ROUND(Q466, 2)</f>
        <v>333.4</v>
      </c>
      <c r="S466" s="14">
        <f>ROUND(P466*I466, 2)</f>
        <v>10024.700000000001</v>
      </c>
      <c r="T466" s="14">
        <f>ROUND(I466*ROUND(Q466, 2), 2)</f>
        <v>99917.28</v>
      </c>
      <c r="U466" s="14">
        <f>S466+T466</f>
        <v>109941.98</v>
      </c>
      <c r="V466" s="9">
        <f>ROUND(P466 / 1.2, 2)</f>
        <v>25.33</v>
      </c>
      <c r="W466" s="9">
        <f>ROUND(Q466 / 1.2, 2)</f>
        <v>252.5</v>
      </c>
      <c r="X466" s="9">
        <f>ROUND(R466 / 1.2, 2)</f>
        <v>277.83</v>
      </c>
      <c r="Y466" s="9">
        <f t="shared" si="21"/>
        <v>8353.92</v>
      </c>
      <c r="Z466" s="9">
        <f>ROUND(T466 / 1.2, 2)</f>
        <v>83264.399999999994</v>
      </c>
      <c r="AA466" s="9">
        <f>Y466+Z466</f>
        <v>91618.319999999992</v>
      </c>
      <c r="AD466" s="4">
        <v>271132236</v>
      </c>
      <c r="AE466" s="4">
        <v>19821007</v>
      </c>
      <c r="AG466" s="4" t="s">
        <v>1780</v>
      </c>
      <c r="AH466" s="4" t="s">
        <v>1781</v>
      </c>
      <c r="AI466" s="4" t="s">
        <v>67</v>
      </c>
    </row>
    <row r="467" spans="1:35" ht="36" x14ac:dyDescent="0.3">
      <c r="A467" s="10" t="s">
        <v>1791</v>
      </c>
      <c r="B467" s="10"/>
      <c r="C467" s="24" t="s">
        <v>433</v>
      </c>
      <c r="D467" s="12"/>
      <c r="E467" s="12"/>
      <c r="F467" s="18" t="s">
        <v>70</v>
      </c>
      <c r="G467" s="19">
        <v>0.1</v>
      </c>
      <c r="H467" s="19"/>
      <c r="I467" s="19">
        <v>32.975999999999999</v>
      </c>
      <c r="J467" s="21">
        <v>88.8</v>
      </c>
      <c r="M467" s="22">
        <f>ROUND(ROUND(J467, 2)*I467, 2)</f>
        <v>2928.27</v>
      </c>
      <c r="P467" s="23">
        <v>88.8</v>
      </c>
      <c r="S467" s="22">
        <f>ROUND(ROUND(P467, 2)*I467, 2)</f>
        <v>2928.27</v>
      </c>
      <c r="V467" s="9">
        <f>ROUND(ROUND(P467, 2)/1.2, 2)</f>
        <v>74</v>
      </c>
      <c r="Y467" s="9">
        <f t="shared" si="21"/>
        <v>2440.23</v>
      </c>
      <c r="AD467" s="4" t="s">
        <v>1792</v>
      </c>
      <c r="AE467" s="4" t="s">
        <v>1793</v>
      </c>
      <c r="AF467" s="4" t="s">
        <v>436</v>
      </c>
    </row>
    <row r="468" spans="1:35" ht="36" x14ac:dyDescent="0.3">
      <c r="A468" s="10" t="s">
        <v>1794</v>
      </c>
      <c r="B468" s="10"/>
      <c r="C468" s="24" t="s">
        <v>1795</v>
      </c>
      <c r="D468" s="12"/>
      <c r="E468" s="12"/>
      <c r="F468" s="18" t="s">
        <v>70</v>
      </c>
      <c r="G468" s="19">
        <v>0.3</v>
      </c>
      <c r="H468" s="19"/>
      <c r="I468" s="19">
        <v>98.927999999999997</v>
      </c>
      <c r="J468" s="21">
        <v>71.75</v>
      </c>
      <c r="M468" s="22">
        <f>ROUND(ROUND(J468, 2)*I468, 2)</f>
        <v>7098.08</v>
      </c>
      <c r="P468" s="23">
        <v>71.75</v>
      </c>
      <c r="S468" s="22">
        <f>ROUND(ROUND(P468, 2)*I468, 2)</f>
        <v>7098.08</v>
      </c>
      <c r="V468" s="9">
        <f>ROUND(ROUND(P468, 2)/1.2, 2)</f>
        <v>59.79</v>
      </c>
      <c r="Y468" s="9">
        <f t="shared" si="21"/>
        <v>5915.07</v>
      </c>
      <c r="AD468" s="4" t="s">
        <v>1796</v>
      </c>
      <c r="AE468" s="4" t="s">
        <v>1797</v>
      </c>
      <c r="AF468" s="4" t="s">
        <v>1798</v>
      </c>
    </row>
    <row r="469" spans="1:35" ht="36" x14ac:dyDescent="0.3">
      <c r="A469" s="10" t="s">
        <v>1799</v>
      </c>
      <c r="B469" s="10" t="s">
        <v>1800</v>
      </c>
      <c r="C469" s="11" t="s">
        <v>1801</v>
      </c>
      <c r="D469" s="12"/>
      <c r="E469" s="12" t="s">
        <v>63</v>
      </c>
      <c r="F469" s="12" t="s">
        <v>64</v>
      </c>
      <c r="G469" s="13">
        <v>1</v>
      </c>
      <c r="H469" s="13"/>
      <c r="I469" s="13">
        <v>397</v>
      </c>
      <c r="J469" s="14">
        <f>IFERROR(ROUND(SUM(M470,M471,M472,M473)/I469, 2),0)</f>
        <v>263.11</v>
      </c>
      <c r="K469" s="15">
        <v>2541</v>
      </c>
      <c r="L469" s="14">
        <f>J469+ROUND(K469, 2)</f>
        <v>2804.11</v>
      </c>
      <c r="M469" s="14">
        <f>ROUND(J469*I469, 2)</f>
        <v>104454.67</v>
      </c>
      <c r="N469" s="14">
        <f>ROUND(I469*ROUND(K469, 2), 2)</f>
        <v>1008777</v>
      </c>
      <c r="O469" s="14">
        <f>M469+N469</f>
        <v>1113231.67</v>
      </c>
      <c r="P469" s="14">
        <f>IFERROR(ROUND(SUM(S470,S471,S472,S473)/I469, 2),0)</f>
        <v>263.11</v>
      </c>
      <c r="Q469" s="15">
        <v>2541</v>
      </c>
      <c r="R469" s="14">
        <f>P469+ROUND(Q469, 2)</f>
        <v>2804.11</v>
      </c>
      <c r="S469" s="14">
        <f>ROUND(P469*I469, 2)</f>
        <v>104454.67</v>
      </c>
      <c r="T469" s="14">
        <f>ROUND(I469*ROUND(Q469, 2), 2)</f>
        <v>1008777</v>
      </c>
      <c r="U469" s="14">
        <f>S469+T469</f>
        <v>1113231.67</v>
      </c>
      <c r="V469" s="9">
        <f>ROUND(P469 / 1.2, 2)</f>
        <v>219.26</v>
      </c>
      <c r="W469" s="9">
        <f>ROUND(Q469 / 1.2, 2)</f>
        <v>2117.5</v>
      </c>
      <c r="X469" s="9">
        <f>ROUND(R469 / 1.2, 2)</f>
        <v>2336.7600000000002</v>
      </c>
      <c r="Y469" s="9">
        <f t="shared" si="21"/>
        <v>87045.56</v>
      </c>
      <c r="Z469" s="9">
        <f>ROUND(T469 / 1.2, 2)</f>
        <v>840647.5</v>
      </c>
      <c r="AA469" s="9">
        <f>Y469+Z469</f>
        <v>927693.06</v>
      </c>
      <c r="AD469" s="4">
        <v>271132126</v>
      </c>
      <c r="AE469" s="4">
        <v>16226149</v>
      </c>
      <c r="AG469" s="4" t="s">
        <v>1802</v>
      </c>
      <c r="AH469" s="4" t="s">
        <v>1803</v>
      </c>
      <c r="AI469" s="4" t="s">
        <v>67</v>
      </c>
    </row>
    <row r="470" spans="1:35" ht="18" x14ac:dyDescent="0.3">
      <c r="A470" s="10" t="s">
        <v>1804</v>
      </c>
      <c r="B470" s="10"/>
      <c r="C470" s="24" t="s">
        <v>1805</v>
      </c>
      <c r="D470" s="12"/>
      <c r="E470" s="12"/>
      <c r="F470" s="18" t="s">
        <v>70</v>
      </c>
      <c r="G470" s="19">
        <v>0.35</v>
      </c>
      <c r="H470" s="19"/>
      <c r="I470" s="19">
        <v>138.94999999999999</v>
      </c>
      <c r="J470" s="21">
        <v>55</v>
      </c>
      <c r="M470" s="22">
        <f>ROUND(ROUND(J470, 2)*I470, 2)</f>
        <v>7642.25</v>
      </c>
      <c r="P470" s="21">
        <v>55</v>
      </c>
      <c r="S470" s="22">
        <f>ROUND(ROUND(P470, 2)*I470, 2)</f>
        <v>7642.25</v>
      </c>
      <c r="V470" s="9">
        <f>ROUND(ROUND(P470, 2)/1.2, 2)</f>
        <v>45.83</v>
      </c>
      <c r="Y470" s="9">
        <f t="shared" si="21"/>
        <v>6368.54</v>
      </c>
      <c r="AD470" s="4" t="s">
        <v>1806</v>
      </c>
      <c r="AE470" s="4" t="s">
        <v>1807</v>
      </c>
      <c r="AF470" s="4" t="s">
        <v>1808</v>
      </c>
    </row>
    <row r="471" spans="1:35" ht="18" x14ac:dyDescent="0.3">
      <c r="A471" s="10" t="s">
        <v>1809</v>
      </c>
      <c r="B471" s="10"/>
      <c r="C471" s="24" t="s">
        <v>1810</v>
      </c>
      <c r="D471" s="12"/>
      <c r="E471" s="12"/>
      <c r="F471" s="18" t="s">
        <v>116</v>
      </c>
      <c r="G471" s="19">
        <v>20</v>
      </c>
      <c r="H471" s="19"/>
      <c r="I471" s="19">
        <v>7940</v>
      </c>
      <c r="J471" s="21">
        <v>1.5</v>
      </c>
      <c r="M471" s="22">
        <f>ROUND(ROUND(J471, 2)*I471, 2)</f>
        <v>11910</v>
      </c>
      <c r="P471" s="21">
        <v>1.5</v>
      </c>
      <c r="S471" s="22">
        <f>ROUND(ROUND(P471, 2)*I471, 2)</f>
        <v>11910</v>
      </c>
      <c r="V471" s="9">
        <f>ROUND(ROUND(P471, 2)/1.2, 2)</f>
        <v>1.25</v>
      </c>
      <c r="Y471" s="9">
        <f t="shared" si="21"/>
        <v>9925</v>
      </c>
      <c r="AD471" s="4" t="s">
        <v>1811</v>
      </c>
      <c r="AE471" s="4" t="s">
        <v>1812</v>
      </c>
      <c r="AF471" s="4" t="s">
        <v>1813</v>
      </c>
    </row>
    <row r="472" spans="1:35" ht="36" x14ac:dyDescent="0.3">
      <c r="A472" s="10" t="s">
        <v>1814</v>
      </c>
      <c r="B472" s="10"/>
      <c r="C472" s="24" t="s">
        <v>1815</v>
      </c>
      <c r="D472" s="12"/>
      <c r="E472" s="12"/>
      <c r="F472" s="18" t="s">
        <v>64</v>
      </c>
      <c r="G472" s="19">
        <v>1.05</v>
      </c>
      <c r="H472" s="19"/>
      <c r="I472" s="19">
        <v>416.85</v>
      </c>
      <c r="J472" s="21">
        <v>135.53</v>
      </c>
      <c r="M472" s="22">
        <f>ROUND(ROUND(J472, 2)*I472, 2)</f>
        <v>56495.68</v>
      </c>
      <c r="P472" s="21">
        <v>135.53</v>
      </c>
      <c r="S472" s="22">
        <f>ROUND(ROUND(P472, 2)*I472, 2)</f>
        <v>56495.68</v>
      </c>
      <c r="V472" s="9">
        <f>ROUND(ROUND(P472, 2)/1.2, 2)</f>
        <v>112.94</v>
      </c>
      <c r="Y472" s="9">
        <f t="shared" si="21"/>
        <v>47079.73</v>
      </c>
      <c r="AD472" s="4" t="s">
        <v>1816</v>
      </c>
      <c r="AE472" s="4" t="s">
        <v>1817</v>
      </c>
      <c r="AF472" s="4" t="s">
        <v>1818</v>
      </c>
    </row>
    <row r="473" spans="1:35" ht="18" x14ac:dyDescent="0.3">
      <c r="A473" s="10" t="s">
        <v>1819</v>
      </c>
      <c r="B473" s="10"/>
      <c r="C473" s="24" t="s">
        <v>1820</v>
      </c>
      <c r="D473" s="12"/>
      <c r="E473" s="12"/>
      <c r="F473" s="18" t="s">
        <v>116</v>
      </c>
      <c r="G473" s="19">
        <v>0.6</v>
      </c>
      <c r="H473" s="19"/>
      <c r="I473" s="19">
        <v>238.2</v>
      </c>
      <c r="J473" s="21">
        <v>119.25</v>
      </c>
      <c r="M473" s="22">
        <f>ROUND(ROUND(J473, 2)*I473, 2)</f>
        <v>28405.35</v>
      </c>
      <c r="P473" s="21">
        <v>119.25</v>
      </c>
      <c r="S473" s="22">
        <f>ROUND(ROUND(P473, 2)*I473, 2)</f>
        <v>28405.35</v>
      </c>
      <c r="V473" s="9">
        <f>ROUND(ROUND(P473, 2)/1.2, 2)</f>
        <v>99.38</v>
      </c>
      <c r="Y473" s="9">
        <f t="shared" si="21"/>
        <v>23671.13</v>
      </c>
      <c r="AD473" s="4" t="s">
        <v>1821</v>
      </c>
      <c r="AE473" s="4" t="s">
        <v>1822</v>
      </c>
      <c r="AF473" s="4" t="s">
        <v>1823</v>
      </c>
    </row>
    <row r="474" spans="1:35" ht="36" x14ac:dyDescent="0.3">
      <c r="A474" s="10" t="s">
        <v>1824</v>
      </c>
      <c r="B474" s="10" t="s">
        <v>1800</v>
      </c>
      <c r="C474" s="11" t="s">
        <v>1801</v>
      </c>
      <c r="D474" s="12"/>
      <c r="E474" s="12" t="s">
        <v>81</v>
      </c>
      <c r="F474" s="12" t="s">
        <v>64</v>
      </c>
      <c r="G474" s="13">
        <v>1</v>
      </c>
      <c r="H474" s="13"/>
      <c r="I474" s="13">
        <v>260.04000000000002</v>
      </c>
      <c r="J474" s="14">
        <f>IFERROR(ROUND(SUM(M475,M476,M477,M478)/I474, 2),0)</f>
        <v>352.48</v>
      </c>
      <c r="K474" s="15">
        <v>2541</v>
      </c>
      <c r="L474" s="14">
        <f>J474+ROUND(K474, 2)</f>
        <v>2893.48</v>
      </c>
      <c r="M474" s="14">
        <f>ROUND(J474*I474, 2)</f>
        <v>91658.9</v>
      </c>
      <c r="N474" s="14">
        <f>ROUND(I474*ROUND(K474, 2), 2)</f>
        <v>660761.64</v>
      </c>
      <c r="O474" s="14">
        <f>M474+N474</f>
        <v>752420.54</v>
      </c>
      <c r="P474" s="14">
        <f>IFERROR(ROUND(SUM(S475,S476,S477,S478)/I474, 2),0)</f>
        <v>352.48</v>
      </c>
      <c r="Q474" s="16">
        <v>2541</v>
      </c>
      <c r="R474" s="14">
        <f>P474+ROUND(Q474, 2)</f>
        <v>2893.48</v>
      </c>
      <c r="S474" s="14">
        <f>ROUND(P474*I474, 2)</f>
        <v>91658.9</v>
      </c>
      <c r="T474" s="14">
        <f>ROUND(I474*ROUND(Q474, 2), 2)</f>
        <v>660761.64</v>
      </c>
      <c r="U474" s="14">
        <f>S474+T474</f>
        <v>752420.54</v>
      </c>
      <c r="V474" s="9">
        <f>ROUND(P474 / 1.2, 2)</f>
        <v>293.73</v>
      </c>
      <c r="W474" s="9">
        <f>ROUND(Q474 / 1.2, 2)</f>
        <v>2117.5</v>
      </c>
      <c r="X474" s="9">
        <f>ROUND(R474 / 1.2, 2)</f>
        <v>2411.23</v>
      </c>
      <c r="Y474" s="9">
        <f t="shared" si="21"/>
        <v>76382.42</v>
      </c>
      <c r="Z474" s="9">
        <f>ROUND(T474 / 1.2, 2)</f>
        <v>550634.69999999995</v>
      </c>
      <c r="AA474" s="9">
        <f>Y474+Z474</f>
        <v>627017.12</v>
      </c>
      <c r="AD474" s="4">
        <v>271132237</v>
      </c>
      <c r="AE474" s="4">
        <v>19822307</v>
      </c>
      <c r="AG474" s="4" t="s">
        <v>1802</v>
      </c>
      <c r="AH474" s="4" t="s">
        <v>1803</v>
      </c>
      <c r="AI474" s="4" t="s">
        <v>67</v>
      </c>
    </row>
    <row r="475" spans="1:35" ht="36" x14ac:dyDescent="0.3">
      <c r="A475" s="10" t="s">
        <v>1825</v>
      </c>
      <c r="B475" s="10"/>
      <c r="C475" s="24" t="s">
        <v>1815</v>
      </c>
      <c r="D475" s="12"/>
      <c r="E475" s="12"/>
      <c r="F475" s="18" t="s">
        <v>64</v>
      </c>
      <c r="G475" s="19">
        <v>1.05</v>
      </c>
      <c r="H475" s="19"/>
      <c r="I475" s="19">
        <v>273.04199999999997</v>
      </c>
      <c r="J475" s="21">
        <v>135.53</v>
      </c>
      <c r="M475" s="22">
        <f>ROUND(ROUND(J475, 2)*I475, 2)</f>
        <v>37005.379999999997</v>
      </c>
      <c r="P475" s="23">
        <v>135.53</v>
      </c>
      <c r="S475" s="22">
        <f>ROUND(ROUND(P475, 2)*I475, 2)</f>
        <v>37005.379999999997</v>
      </c>
      <c r="V475" s="9">
        <f>ROUND(ROUND(P475, 2)/1.2, 2)</f>
        <v>112.94</v>
      </c>
      <c r="Y475" s="9">
        <f t="shared" si="21"/>
        <v>30837.82</v>
      </c>
      <c r="AD475" s="4" t="s">
        <v>1826</v>
      </c>
      <c r="AE475" s="4" t="s">
        <v>1827</v>
      </c>
      <c r="AF475" s="4" t="s">
        <v>1818</v>
      </c>
    </row>
    <row r="476" spans="1:35" ht="18" x14ac:dyDescent="0.3">
      <c r="A476" s="10" t="s">
        <v>1828</v>
      </c>
      <c r="B476" s="10"/>
      <c r="C476" s="24" t="s">
        <v>1829</v>
      </c>
      <c r="D476" s="12"/>
      <c r="E476" s="12"/>
      <c r="F476" s="18" t="s">
        <v>116</v>
      </c>
      <c r="G476" s="19">
        <v>2.2200000000000002</v>
      </c>
      <c r="H476" s="19"/>
      <c r="I476" s="19">
        <v>577.28899999999999</v>
      </c>
      <c r="J476" s="21">
        <v>80</v>
      </c>
      <c r="M476" s="22">
        <f>ROUND(ROUND(J476, 2)*I476, 2)</f>
        <v>46183.12</v>
      </c>
      <c r="P476" s="23">
        <v>80</v>
      </c>
      <c r="S476" s="22">
        <f>ROUND(ROUND(P476, 2)*I476, 2)</f>
        <v>46183.12</v>
      </c>
      <c r="V476" s="9">
        <f>ROUND(ROUND(P476, 2)/1.2, 2)</f>
        <v>66.67</v>
      </c>
      <c r="Y476" s="9">
        <f t="shared" si="21"/>
        <v>38485.93</v>
      </c>
      <c r="AD476" s="4" t="s">
        <v>1830</v>
      </c>
      <c r="AE476" s="4" t="s">
        <v>1831</v>
      </c>
      <c r="AF476" s="4" t="s">
        <v>1832</v>
      </c>
    </row>
    <row r="477" spans="1:35" ht="18" x14ac:dyDescent="0.3">
      <c r="A477" s="10" t="s">
        <v>1833</v>
      </c>
      <c r="B477" s="10"/>
      <c r="C477" s="24" t="s">
        <v>1805</v>
      </c>
      <c r="D477" s="12"/>
      <c r="E477" s="12"/>
      <c r="F477" s="18" t="s">
        <v>70</v>
      </c>
      <c r="G477" s="19">
        <v>0.35</v>
      </c>
      <c r="H477" s="19"/>
      <c r="I477" s="19">
        <v>91.013999999999996</v>
      </c>
      <c r="J477" s="21">
        <v>55</v>
      </c>
      <c r="M477" s="22">
        <f>ROUND(ROUND(J477, 2)*I477, 2)</f>
        <v>5005.7700000000004</v>
      </c>
      <c r="P477" s="23">
        <v>55</v>
      </c>
      <c r="S477" s="22">
        <f>ROUND(ROUND(P477, 2)*I477, 2)</f>
        <v>5005.7700000000004</v>
      </c>
      <c r="V477" s="9">
        <f>ROUND(ROUND(P477, 2)/1.2, 2)</f>
        <v>45.83</v>
      </c>
      <c r="Y477" s="9">
        <f t="shared" si="21"/>
        <v>4171.4799999999996</v>
      </c>
      <c r="AD477" s="4" t="s">
        <v>1834</v>
      </c>
      <c r="AE477" s="4" t="s">
        <v>1835</v>
      </c>
      <c r="AF477" s="4" t="s">
        <v>1808</v>
      </c>
    </row>
    <row r="478" spans="1:35" ht="36" x14ac:dyDescent="0.3">
      <c r="A478" s="10" t="s">
        <v>1836</v>
      </c>
      <c r="B478" s="10"/>
      <c r="C478" s="24" t="s">
        <v>433</v>
      </c>
      <c r="D478" s="12"/>
      <c r="E478" s="12"/>
      <c r="F478" s="18" t="s">
        <v>70</v>
      </c>
      <c r="G478" s="19">
        <v>0.15</v>
      </c>
      <c r="H478" s="19"/>
      <c r="I478" s="19">
        <v>39.006</v>
      </c>
      <c r="J478" s="21">
        <v>88.8</v>
      </c>
      <c r="M478" s="22">
        <f>ROUND(ROUND(J478, 2)*I478, 2)</f>
        <v>3463.73</v>
      </c>
      <c r="P478" s="23">
        <v>88.8</v>
      </c>
      <c r="S478" s="22">
        <f>ROUND(ROUND(P478, 2)*I478, 2)</f>
        <v>3463.73</v>
      </c>
      <c r="V478" s="9">
        <f>ROUND(ROUND(P478, 2)/1.2, 2)</f>
        <v>74</v>
      </c>
      <c r="Y478" s="9">
        <f t="shared" si="21"/>
        <v>2886.44</v>
      </c>
      <c r="AD478" s="4" t="s">
        <v>1837</v>
      </c>
      <c r="AE478" s="4" t="s">
        <v>1838</v>
      </c>
      <c r="AF478" s="4" t="s">
        <v>436</v>
      </c>
    </row>
    <row r="479" spans="1:35" ht="36" x14ac:dyDescent="0.3">
      <c r="A479" s="10" t="s">
        <v>1839</v>
      </c>
      <c r="B479" s="10" t="s">
        <v>1840</v>
      </c>
      <c r="C479" s="11" t="s">
        <v>1841</v>
      </c>
      <c r="D479" s="12"/>
      <c r="E479" s="12" t="s">
        <v>1842</v>
      </c>
      <c r="F479" s="12" t="s">
        <v>64</v>
      </c>
      <c r="G479" s="13">
        <v>1</v>
      </c>
      <c r="H479" s="13"/>
      <c r="I479" s="13">
        <v>71.94</v>
      </c>
      <c r="J479" s="14">
        <f>IFERROR(ROUND(SUM(M480,M481,M482)/I479, 2),0)</f>
        <v>410.83</v>
      </c>
      <c r="K479" s="15">
        <v>1291</v>
      </c>
      <c r="L479" s="14">
        <f>J479+ROUND(K479, 2)</f>
        <v>1701.83</v>
      </c>
      <c r="M479" s="14">
        <f>ROUND(J479*I479, 2)</f>
        <v>29555.11</v>
      </c>
      <c r="N479" s="14">
        <f>ROUND(I479*ROUND(K479, 2), 2)</f>
        <v>92874.54</v>
      </c>
      <c r="O479" s="14">
        <f>M479+N479</f>
        <v>122429.65</v>
      </c>
      <c r="P479" s="14">
        <f>IFERROR(ROUND(SUM(S480,S481,S482)/I479, 2),0)</f>
        <v>410.83</v>
      </c>
      <c r="Q479" s="16">
        <v>1291</v>
      </c>
      <c r="R479" s="14">
        <f>P479+ROUND(Q479, 2)</f>
        <v>1701.83</v>
      </c>
      <c r="S479" s="14">
        <f>ROUND(P479*I479, 2)</f>
        <v>29555.11</v>
      </c>
      <c r="T479" s="14">
        <f>ROUND(I479*ROUND(Q479, 2), 2)</f>
        <v>92874.54</v>
      </c>
      <c r="U479" s="14">
        <f>S479+T479</f>
        <v>122429.65</v>
      </c>
      <c r="V479" s="9">
        <f>ROUND(P479 / 1.2, 2)</f>
        <v>342.36</v>
      </c>
      <c r="W479" s="9">
        <f>ROUND(Q479 / 1.2, 2)</f>
        <v>1075.83</v>
      </c>
      <c r="X479" s="9">
        <f>ROUND(R479 / 1.2, 2)</f>
        <v>1418.19</v>
      </c>
      <c r="Y479" s="9">
        <f t="shared" si="21"/>
        <v>24629.26</v>
      </c>
      <c r="Z479" s="9">
        <f>ROUND(T479 / 1.2, 2)</f>
        <v>77395.45</v>
      </c>
      <c r="AA479" s="9">
        <f>Y479+Z479</f>
        <v>102024.70999999999</v>
      </c>
      <c r="AD479" s="4">
        <v>271132128</v>
      </c>
      <c r="AE479" s="4">
        <v>20181624</v>
      </c>
      <c r="AG479" s="4" t="s">
        <v>1843</v>
      </c>
      <c r="AH479" s="4" t="s">
        <v>1844</v>
      </c>
      <c r="AI479" s="4" t="s">
        <v>67</v>
      </c>
    </row>
    <row r="480" spans="1:35" ht="18" x14ac:dyDescent="0.3">
      <c r="A480" s="10" t="s">
        <v>1845</v>
      </c>
      <c r="B480" s="10"/>
      <c r="C480" s="24" t="s">
        <v>1846</v>
      </c>
      <c r="D480" s="12"/>
      <c r="E480" s="12"/>
      <c r="F480" s="18" t="s">
        <v>87</v>
      </c>
      <c r="G480" s="19">
        <v>1</v>
      </c>
      <c r="H480" s="20"/>
      <c r="I480" s="20">
        <v>516.29999999999995</v>
      </c>
      <c r="J480" s="21">
        <v>49.68</v>
      </c>
      <c r="M480" s="22">
        <f>ROUND(ROUND(J480, 2)*I480, 2)</f>
        <v>25649.78</v>
      </c>
      <c r="P480" s="23">
        <v>49.68</v>
      </c>
      <c r="S480" s="22">
        <f>ROUND(ROUND(P480, 2)*I480, 2)</f>
        <v>25649.78</v>
      </c>
      <c r="V480" s="9">
        <f>ROUND(ROUND(P480, 2)/1.2, 2)</f>
        <v>41.4</v>
      </c>
      <c r="Y480" s="9">
        <f t="shared" si="21"/>
        <v>21374.82</v>
      </c>
      <c r="AD480" s="4" t="s">
        <v>1847</v>
      </c>
      <c r="AE480" s="4" t="s">
        <v>1848</v>
      </c>
      <c r="AF480" s="4" t="s">
        <v>1849</v>
      </c>
    </row>
    <row r="481" spans="1:35" ht="18" x14ac:dyDescent="0.3">
      <c r="A481" s="10" t="s">
        <v>1850</v>
      </c>
      <c r="B481" s="10"/>
      <c r="C481" s="24" t="s">
        <v>1851</v>
      </c>
      <c r="D481" s="12"/>
      <c r="E481" s="12"/>
      <c r="F481" s="18" t="s">
        <v>87</v>
      </c>
      <c r="G481" s="19">
        <v>1</v>
      </c>
      <c r="H481" s="20"/>
      <c r="I481" s="20">
        <v>98.3</v>
      </c>
      <c r="J481" s="21">
        <v>39.729999999999997</v>
      </c>
      <c r="M481" s="22">
        <f>ROUND(ROUND(J481, 2)*I481, 2)</f>
        <v>3905.46</v>
      </c>
      <c r="P481" s="23">
        <v>39.729999999999997</v>
      </c>
      <c r="S481" s="22">
        <f>ROUND(ROUND(P481, 2)*I481, 2)</f>
        <v>3905.46</v>
      </c>
      <c r="V481" s="9">
        <f>ROUND(ROUND(P481, 2)/1.2, 2)</f>
        <v>33.11</v>
      </c>
      <c r="Y481" s="9">
        <f t="shared" si="21"/>
        <v>3254.55</v>
      </c>
      <c r="AD481" s="4" t="s">
        <v>1852</v>
      </c>
      <c r="AE481" s="4" t="s">
        <v>1853</v>
      </c>
      <c r="AF481" s="4" t="s">
        <v>1854</v>
      </c>
    </row>
    <row r="482" spans="1:35" ht="18" x14ac:dyDescent="0.3">
      <c r="A482" s="10" t="s">
        <v>1855</v>
      </c>
      <c r="B482" s="10"/>
      <c r="C482" s="24" t="s">
        <v>1856</v>
      </c>
      <c r="D482" s="12"/>
      <c r="E482" s="12"/>
      <c r="F482" s="18" t="s">
        <v>64</v>
      </c>
      <c r="G482" s="19">
        <v>1.1000000000000001</v>
      </c>
      <c r="H482" s="19"/>
      <c r="I482" s="19">
        <v>79.134</v>
      </c>
      <c r="J482" s="21">
        <v>0</v>
      </c>
      <c r="M482" s="22">
        <f>ROUND(ROUND(J482, 2)*I482, 2)</f>
        <v>0</v>
      </c>
      <c r="P482" s="23">
        <v>0</v>
      </c>
      <c r="S482" s="22">
        <f>ROUND(ROUND(P482, 2)*I482, 2)</f>
        <v>0</v>
      </c>
      <c r="V482" s="9">
        <f>ROUND(ROUND(P482, 2)/1.2, 2)</f>
        <v>0</v>
      </c>
      <c r="Y482" s="9">
        <f t="shared" si="21"/>
        <v>0</v>
      </c>
      <c r="AD482" s="4" t="s">
        <v>1857</v>
      </c>
      <c r="AE482" s="4" t="s">
        <v>1858</v>
      </c>
      <c r="AF482" s="4" t="s">
        <v>1859</v>
      </c>
    </row>
    <row r="483" spans="1:35" ht="36" x14ac:dyDescent="0.3">
      <c r="A483" s="10" t="s">
        <v>1860</v>
      </c>
      <c r="B483" s="10" t="s">
        <v>1840</v>
      </c>
      <c r="C483" s="11" t="s">
        <v>1841</v>
      </c>
      <c r="D483" s="12"/>
      <c r="E483" s="12" t="s">
        <v>1861</v>
      </c>
      <c r="F483" s="12" t="s">
        <v>64</v>
      </c>
      <c r="G483" s="13">
        <v>1</v>
      </c>
      <c r="H483" s="13"/>
      <c r="I483" s="13">
        <v>73.87</v>
      </c>
      <c r="J483" s="14">
        <f>IFERROR(ROUND(SUM(M484,M485,M486)/I483, 2),0)</f>
        <v>248.27</v>
      </c>
      <c r="K483" s="15">
        <v>1291</v>
      </c>
      <c r="L483" s="14">
        <f>J483+ROUND(K483, 2)</f>
        <v>1539.27</v>
      </c>
      <c r="M483" s="14">
        <f>ROUND(J483*I483, 2)</f>
        <v>18339.7</v>
      </c>
      <c r="N483" s="14">
        <f>ROUND(I483*ROUND(K483, 2), 2)</f>
        <v>95366.17</v>
      </c>
      <c r="O483" s="14">
        <f>M483+N483</f>
        <v>113705.87</v>
      </c>
      <c r="P483" s="14">
        <f>IFERROR(ROUND(SUM(S484,S485,S486)/I483, 2),0)</f>
        <v>248.27</v>
      </c>
      <c r="Q483" s="16">
        <v>1291</v>
      </c>
      <c r="R483" s="14">
        <f>P483+ROUND(Q483, 2)</f>
        <v>1539.27</v>
      </c>
      <c r="S483" s="14">
        <f>ROUND(P483*I483, 2)</f>
        <v>18339.7</v>
      </c>
      <c r="T483" s="14">
        <f>ROUND(I483*ROUND(Q483, 2), 2)</f>
        <v>95366.17</v>
      </c>
      <c r="U483" s="14">
        <f>S483+T483</f>
        <v>113705.87</v>
      </c>
      <c r="V483" s="9">
        <f>ROUND(P483 / 1.2, 2)</f>
        <v>206.89</v>
      </c>
      <c r="W483" s="9">
        <f>ROUND(Q483 / 1.2, 2)</f>
        <v>1075.83</v>
      </c>
      <c r="X483" s="9">
        <f>ROUND(R483 / 1.2, 2)</f>
        <v>1282.73</v>
      </c>
      <c r="Y483" s="9">
        <f t="shared" si="21"/>
        <v>15283.08</v>
      </c>
      <c r="Z483" s="9">
        <f>ROUND(T483 / 1.2, 2)</f>
        <v>79471.81</v>
      </c>
      <c r="AA483" s="9">
        <f>Y483+Z483</f>
        <v>94754.89</v>
      </c>
      <c r="AD483" s="4">
        <v>271132238</v>
      </c>
      <c r="AE483" s="4">
        <v>20181618</v>
      </c>
      <c r="AG483" s="4" t="s">
        <v>1843</v>
      </c>
      <c r="AH483" s="4" t="s">
        <v>1844</v>
      </c>
      <c r="AI483" s="4" t="s">
        <v>67</v>
      </c>
    </row>
    <row r="484" spans="1:35" ht="18" x14ac:dyDescent="0.3">
      <c r="A484" s="10" t="s">
        <v>1862</v>
      </c>
      <c r="B484" s="10"/>
      <c r="C484" s="24" t="s">
        <v>1856</v>
      </c>
      <c r="D484" s="12"/>
      <c r="E484" s="12"/>
      <c r="F484" s="18" t="s">
        <v>64</v>
      </c>
      <c r="G484" s="19">
        <v>1.1000000000000001</v>
      </c>
      <c r="H484" s="19"/>
      <c r="I484" s="19">
        <v>81.257000000000005</v>
      </c>
      <c r="J484" s="21">
        <v>0</v>
      </c>
      <c r="M484" s="22">
        <f>ROUND(ROUND(J484, 2)*I484, 2)</f>
        <v>0</v>
      </c>
      <c r="P484" s="23">
        <v>0</v>
      </c>
      <c r="S484" s="22">
        <f>ROUND(ROUND(P484, 2)*I484, 2)</f>
        <v>0</v>
      </c>
      <c r="V484" s="9">
        <f>ROUND(ROUND(P484, 2)/1.2, 2)</f>
        <v>0</v>
      </c>
      <c r="Y484" s="9">
        <f t="shared" si="21"/>
        <v>0</v>
      </c>
      <c r="AD484" s="4" t="s">
        <v>1863</v>
      </c>
      <c r="AE484" s="4" t="s">
        <v>1864</v>
      </c>
      <c r="AF484" s="4" t="s">
        <v>1859</v>
      </c>
    </row>
    <row r="485" spans="1:35" ht="18" x14ac:dyDescent="0.3">
      <c r="A485" s="10" t="s">
        <v>1865</v>
      </c>
      <c r="B485" s="10"/>
      <c r="C485" s="24" t="s">
        <v>1846</v>
      </c>
      <c r="D485" s="12"/>
      <c r="E485" s="12"/>
      <c r="F485" s="18" t="s">
        <v>87</v>
      </c>
      <c r="G485" s="19">
        <v>1</v>
      </c>
      <c r="H485" s="20"/>
      <c r="I485" s="20">
        <v>264.8</v>
      </c>
      <c r="J485" s="21">
        <v>49.68</v>
      </c>
      <c r="M485" s="22">
        <f>ROUND(ROUND(J485, 2)*I485, 2)</f>
        <v>13155.26</v>
      </c>
      <c r="P485" s="23">
        <v>49.68</v>
      </c>
      <c r="S485" s="22">
        <f>ROUND(ROUND(P485, 2)*I485, 2)</f>
        <v>13155.26</v>
      </c>
      <c r="V485" s="9">
        <f>ROUND(ROUND(P485, 2)/1.2, 2)</f>
        <v>41.4</v>
      </c>
      <c r="Y485" s="9">
        <f t="shared" si="21"/>
        <v>10962.72</v>
      </c>
      <c r="AD485" s="4" t="s">
        <v>1866</v>
      </c>
      <c r="AE485" s="4" t="s">
        <v>1867</v>
      </c>
      <c r="AF485" s="4" t="s">
        <v>1849</v>
      </c>
    </row>
    <row r="486" spans="1:35" ht="18" x14ac:dyDescent="0.3">
      <c r="A486" s="10" t="s">
        <v>1868</v>
      </c>
      <c r="B486" s="10"/>
      <c r="C486" s="24" t="s">
        <v>1851</v>
      </c>
      <c r="D486" s="12"/>
      <c r="E486" s="12"/>
      <c r="F486" s="18" t="s">
        <v>87</v>
      </c>
      <c r="G486" s="19">
        <v>1</v>
      </c>
      <c r="H486" s="20"/>
      <c r="I486" s="20">
        <v>130.5</v>
      </c>
      <c r="J486" s="21">
        <v>39.729999999999997</v>
      </c>
      <c r="M486" s="22">
        <f>ROUND(ROUND(J486, 2)*I486, 2)</f>
        <v>5184.7700000000004</v>
      </c>
      <c r="P486" s="23">
        <v>39.729999999999997</v>
      </c>
      <c r="S486" s="22">
        <f>ROUND(ROUND(P486, 2)*I486, 2)</f>
        <v>5184.7700000000004</v>
      </c>
      <c r="V486" s="9">
        <f>ROUND(ROUND(P486, 2)/1.2, 2)</f>
        <v>33.11</v>
      </c>
      <c r="Y486" s="9">
        <f t="shared" si="21"/>
        <v>4320.6400000000003</v>
      </c>
      <c r="AD486" s="4" t="s">
        <v>1869</v>
      </c>
      <c r="AE486" s="4" t="s">
        <v>1870</v>
      </c>
      <c r="AF486" s="4" t="s">
        <v>1854</v>
      </c>
    </row>
    <row r="487" spans="1:35" ht="36" x14ac:dyDescent="0.3">
      <c r="A487" s="10" t="s">
        <v>1871</v>
      </c>
      <c r="B487" s="10" t="s">
        <v>1872</v>
      </c>
      <c r="C487" s="11" t="s">
        <v>1873</v>
      </c>
      <c r="D487" s="12"/>
      <c r="E487" s="12" t="s">
        <v>63</v>
      </c>
      <c r="F487" s="12" t="s">
        <v>64</v>
      </c>
      <c r="G487" s="13">
        <v>1</v>
      </c>
      <c r="H487" s="13"/>
      <c r="I487" s="13">
        <v>0</v>
      </c>
      <c r="J487" s="14">
        <f>IFERROR(ROUND(SUM(M488,M489,M490)/I487, 2),0)</f>
        <v>0</v>
      </c>
      <c r="K487" s="15">
        <v>1477</v>
      </c>
      <c r="L487" s="14">
        <f>J487+ROUND(K487, 2)</f>
        <v>1477</v>
      </c>
      <c r="M487" s="14">
        <f>ROUND(J487*I487, 2)</f>
        <v>0</v>
      </c>
      <c r="N487" s="14">
        <f>ROUND(I487*ROUND(K487, 2), 2)</f>
        <v>0</v>
      </c>
      <c r="O487" s="14">
        <f>M487+N487</f>
        <v>0</v>
      </c>
      <c r="P487" s="14">
        <f>IFERROR(ROUND(SUM(S488,S489,S490)/I487, 2),0)</f>
        <v>0</v>
      </c>
      <c r="Q487" s="15">
        <v>1477</v>
      </c>
      <c r="R487" s="14">
        <f>P487+ROUND(Q487, 2)</f>
        <v>1477</v>
      </c>
      <c r="S487" s="14">
        <f>ROUND(P487*I487, 2)</f>
        <v>0</v>
      </c>
      <c r="T487" s="14">
        <f>ROUND(I487*ROUND(Q487, 2), 2)</f>
        <v>0</v>
      </c>
      <c r="U487" s="14">
        <f>S487+T487</f>
        <v>0</v>
      </c>
      <c r="V487" s="9">
        <f>ROUND(P487 / 1.2, 2)</f>
        <v>0</v>
      </c>
      <c r="W487" s="9">
        <f>ROUND(Q487 / 1.2, 2)</f>
        <v>1230.83</v>
      </c>
      <c r="X487" s="9">
        <f>ROUND(R487 / 1.2, 2)</f>
        <v>1230.83</v>
      </c>
      <c r="Y487" s="9">
        <f t="shared" si="21"/>
        <v>0</v>
      </c>
      <c r="Z487" s="9">
        <f>ROUND(T487 / 1.2, 2)</f>
        <v>0</v>
      </c>
      <c r="AA487" s="9">
        <f>Y487+Z487</f>
        <v>0</v>
      </c>
      <c r="AD487" s="4">
        <v>271132129</v>
      </c>
      <c r="AE487" s="4">
        <v>16230161</v>
      </c>
      <c r="AG487" s="4" t="s">
        <v>1874</v>
      </c>
      <c r="AH487" s="4" t="s">
        <v>1875</v>
      </c>
      <c r="AI487" s="4" t="s">
        <v>67</v>
      </c>
    </row>
    <row r="488" spans="1:35" ht="18" x14ac:dyDescent="0.3">
      <c r="A488" s="10" t="s">
        <v>1877</v>
      </c>
      <c r="B488" s="10"/>
      <c r="C488" s="24" t="s">
        <v>1846</v>
      </c>
      <c r="D488" s="12"/>
      <c r="E488" s="12"/>
      <c r="F488" s="18" t="s">
        <v>87</v>
      </c>
      <c r="G488" s="19">
        <v>1</v>
      </c>
      <c r="H488" s="20"/>
      <c r="I488" s="20">
        <v>0</v>
      </c>
      <c r="J488" s="21">
        <v>54.18</v>
      </c>
      <c r="M488" s="22">
        <f>ROUND(ROUND(J488, 2)*I488, 2)</f>
        <v>0</v>
      </c>
      <c r="P488" s="21">
        <v>54.18</v>
      </c>
      <c r="S488" s="22">
        <f>ROUND(ROUND(P488, 2)*I488, 2)</f>
        <v>0</v>
      </c>
      <c r="V488" s="9">
        <f>ROUND(ROUND(P488, 2)/1.2, 2)</f>
        <v>45.15</v>
      </c>
      <c r="Y488" s="9">
        <f t="shared" si="21"/>
        <v>0</v>
      </c>
      <c r="AD488" s="4" t="s">
        <v>1878</v>
      </c>
      <c r="AE488" s="4" t="s">
        <v>1879</v>
      </c>
      <c r="AF488" s="4" t="s">
        <v>1849</v>
      </c>
    </row>
    <row r="489" spans="1:35" ht="18" x14ac:dyDescent="0.3">
      <c r="A489" s="10" t="s">
        <v>1882</v>
      </c>
      <c r="B489" s="10"/>
      <c r="C489" s="24" t="s">
        <v>1851</v>
      </c>
      <c r="D489" s="12"/>
      <c r="E489" s="12"/>
      <c r="F489" s="18" t="s">
        <v>87</v>
      </c>
      <c r="G489" s="19">
        <v>1</v>
      </c>
      <c r="H489" s="20"/>
      <c r="I489" s="20">
        <v>0</v>
      </c>
      <c r="J489" s="21">
        <v>43.33</v>
      </c>
      <c r="M489" s="22">
        <f>ROUND(ROUND(J489, 2)*I489, 2)</f>
        <v>0</v>
      </c>
      <c r="P489" s="21">
        <v>43.33</v>
      </c>
      <c r="S489" s="22">
        <f>ROUND(ROUND(P489, 2)*I489, 2)</f>
        <v>0</v>
      </c>
      <c r="V489" s="9">
        <f>ROUND(ROUND(P489, 2)/1.2, 2)</f>
        <v>36.11</v>
      </c>
      <c r="Y489" s="9">
        <f t="shared" si="21"/>
        <v>0</v>
      </c>
      <c r="AD489" s="4" t="s">
        <v>1883</v>
      </c>
      <c r="AE489" s="4" t="s">
        <v>1884</v>
      </c>
      <c r="AF489" s="4" t="s">
        <v>1854</v>
      </c>
    </row>
    <row r="490" spans="1:35" ht="18" x14ac:dyDescent="0.3">
      <c r="A490" s="10" t="s">
        <v>1887</v>
      </c>
      <c r="B490" s="10"/>
      <c r="C490" s="17" t="s">
        <v>1888</v>
      </c>
      <c r="D490" s="12"/>
      <c r="E490" s="12"/>
      <c r="F490" s="18" t="s">
        <v>64</v>
      </c>
      <c r="G490" s="19">
        <v>1.1000000000000001</v>
      </c>
      <c r="H490" s="20"/>
      <c r="I490" s="20">
        <v>0</v>
      </c>
      <c r="J490" s="21">
        <v>312.73</v>
      </c>
      <c r="M490" s="22">
        <f>ROUND(ROUND(J490, 2)*I490, 2)</f>
        <v>0</v>
      </c>
      <c r="P490" s="21">
        <v>312.73</v>
      </c>
      <c r="S490" s="22">
        <f>ROUND(ROUND(P490, 2)*I490, 2)</f>
        <v>0</v>
      </c>
      <c r="V490" s="9">
        <f>ROUND(ROUND(P490, 2)/1.2, 2)</f>
        <v>260.61</v>
      </c>
      <c r="Y490" s="9">
        <f t="shared" si="21"/>
        <v>0</v>
      </c>
      <c r="AD490" s="4" t="s">
        <v>1889</v>
      </c>
      <c r="AE490" s="4" t="s">
        <v>1890</v>
      </c>
      <c r="AF490" s="4" t="s">
        <v>1891</v>
      </c>
    </row>
    <row r="491" spans="1:35" ht="36" x14ac:dyDescent="0.3">
      <c r="A491" s="10" t="s">
        <v>1894</v>
      </c>
      <c r="B491" s="10" t="s">
        <v>1872</v>
      </c>
      <c r="C491" s="11" t="s">
        <v>1873</v>
      </c>
      <c r="D491" s="12"/>
      <c r="E491" s="12" t="s">
        <v>1895</v>
      </c>
      <c r="F491" s="12" t="s">
        <v>64</v>
      </c>
      <c r="G491" s="13">
        <v>1</v>
      </c>
      <c r="H491" s="13"/>
      <c r="I491" s="13">
        <v>8.0399999999999991</v>
      </c>
      <c r="J491" s="14">
        <f>IFERROR(ROUND(SUM(M492,M493,M494,M495)/I491, 2),0)</f>
        <v>941.88</v>
      </c>
      <c r="K491" s="15">
        <v>1477</v>
      </c>
      <c r="L491" s="14">
        <f>J491+ROUND(K491, 2)</f>
        <v>2418.88</v>
      </c>
      <c r="M491" s="14">
        <f>ROUND(J491*I491, 2)</f>
        <v>7572.72</v>
      </c>
      <c r="N491" s="14">
        <f>ROUND(I491*ROUND(K491, 2), 2)</f>
        <v>11875.08</v>
      </c>
      <c r="O491" s="14">
        <f>M491+N491</f>
        <v>19447.8</v>
      </c>
      <c r="P491" s="14">
        <f>IFERROR(ROUND(SUM(S492,S493,S494,S495)/I491, 2),0)</f>
        <v>941.88</v>
      </c>
      <c r="Q491" s="16">
        <v>1477</v>
      </c>
      <c r="R491" s="14">
        <f>P491+ROUND(Q491, 2)</f>
        <v>2418.88</v>
      </c>
      <c r="S491" s="14">
        <f>ROUND(P491*I491, 2)</f>
        <v>7572.72</v>
      </c>
      <c r="T491" s="14">
        <f>ROUND(I491*ROUND(Q491, 2), 2)</f>
        <v>11875.08</v>
      </c>
      <c r="U491" s="14">
        <f>S491+T491</f>
        <v>19447.8</v>
      </c>
      <c r="V491" s="9">
        <f>ROUND(P491 / 1.2, 2)</f>
        <v>784.9</v>
      </c>
      <c r="W491" s="9">
        <f>ROUND(Q491 / 1.2, 2)</f>
        <v>1230.83</v>
      </c>
      <c r="X491" s="9">
        <f>ROUND(R491 / 1.2, 2)</f>
        <v>2015.73</v>
      </c>
      <c r="Y491" s="9">
        <f t="shared" si="21"/>
        <v>6310.6</v>
      </c>
      <c r="Z491" s="9">
        <f>ROUND(T491 / 1.2, 2)</f>
        <v>9895.9</v>
      </c>
      <c r="AA491" s="9">
        <f>Y491+Z491</f>
        <v>16206.5</v>
      </c>
      <c r="AD491" s="4">
        <v>271132239</v>
      </c>
      <c r="AE491" s="4">
        <v>19822309</v>
      </c>
      <c r="AG491" s="4" t="s">
        <v>1874</v>
      </c>
      <c r="AH491" s="4" t="s">
        <v>1875</v>
      </c>
      <c r="AI491" s="4" t="s">
        <v>67</v>
      </c>
    </row>
    <row r="492" spans="1:35" ht="18" x14ac:dyDescent="0.3">
      <c r="A492" s="10" t="s">
        <v>1896</v>
      </c>
      <c r="B492" s="10"/>
      <c r="C492" s="17" t="s">
        <v>1888</v>
      </c>
      <c r="D492" s="12"/>
      <c r="E492" s="12"/>
      <c r="F492" s="18" t="s">
        <v>64</v>
      </c>
      <c r="G492" s="19">
        <v>1.1000000000000001</v>
      </c>
      <c r="H492" s="20"/>
      <c r="I492" s="20">
        <v>17.687999999999999</v>
      </c>
      <c r="J492" s="21">
        <v>309.39999999999998</v>
      </c>
      <c r="M492" s="22">
        <f>ROUND(ROUND(J492, 2)*I492, 2)</f>
        <v>5472.67</v>
      </c>
      <c r="P492" s="23">
        <v>309.39999999999998</v>
      </c>
      <c r="S492" s="22">
        <f>ROUND(ROUND(P492, 2)*I492, 2)</f>
        <v>5472.67</v>
      </c>
      <c r="V492" s="9">
        <f>ROUND(ROUND(P492, 2)/1.2, 2)</f>
        <v>257.83</v>
      </c>
      <c r="Y492" s="9">
        <f t="shared" si="21"/>
        <v>4560.5600000000004</v>
      </c>
      <c r="AD492" s="4" t="s">
        <v>1897</v>
      </c>
      <c r="AE492" s="4" t="s">
        <v>1898</v>
      </c>
      <c r="AF492" s="4" t="s">
        <v>1891</v>
      </c>
    </row>
    <row r="493" spans="1:35" ht="18" x14ac:dyDescent="0.3">
      <c r="A493" s="10" t="s">
        <v>1899</v>
      </c>
      <c r="B493" s="10"/>
      <c r="C493" s="24" t="s">
        <v>1846</v>
      </c>
      <c r="D493" s="12"/>
      <c r="E493" s="12"/>
      <c r="F493" s="18" t="s">
        <v>87</v>
      </c>
      <c r="G493" s="19">
        <v>1</v>
      </c>
      <c r="H493" s="20"/>
      <c r="I493" s="20">
        <v>32</v>
      </c>
      <c r="J493" s="21">
        <v>49.68</v>
      </c>
      <c r="M493" s="22">
        <f>ROUND(ROUND(J493, 2)*I493, 2)</f>
        <v>1589.76</v>
      </c>
      <c r="P493" s="23">
        <v>49.68</v>
      </c>
      <c r="S493" s="22">
        <f>ROUND(ROUND(P493, 2)*I493, 2)</f>
        <v>1589.76</v>
      </c>
      <c r="V493" s="9">
        <f>ROUND(ROUND(P493, 2)/1.2, 2)</f>
        <v>41.4</v>
      </c>
      <c r="Y493" s="9">
        <f t="shared" si="21"/>
        <v>1324.8</v>
      </c>
      <c r="AD493" s="4" t="s">
        <v>1900</v>
      </c>
      <c r="AE493" s="4" t="s">
        <v>1901</v>
      </c>
      <c r="AF493" s="4" t="s">
        <v>1849</v>
      </c>
    </row>
    <row r="494" spans="1:35" ht="18" x14ac:dyDescent="0.3">
      <c r="A494" s="10" t="s">
        <v>1902</v>
      </c>
      <c r="B494" s="10"/>
      <c r="C494" s="24" t="s">
        <v>1851</v>
      </c>
      <c r="D494" s="12"/>
      <c r="E494" s="12"/>
      <c r="F494" s="18" t="s">
        <v>87</v>
      </c>
      <c r="G494" s="19">
        <v>1</v>
      </c>
      <c r="H494" s="20"/>
      <c r="I494" s="20">
        <v>6.4</v>
      </c>
      <c r="J494" s="21">
        <v>39.729999999999997</v>
      </c>
      <c r="M494" s="22">
        <f>ROUND(ROUND(J494, 2)*I494, 2)</f>
        <v>254.27</v>
      </c>
      <c r="P494" s="23">
        <v>39.729999999999997</v>
      </c>
      <c r="S494" s="22">
        <f>ROUND(ROUND(P494, 2)*I494, 2)</f>
        <v>254.27</v>
      </c>
      <c r="V494" s="9">
        <f>ROUND(ROUND(P494, 2)/1.2, 2)</f>
        <v>33.11</v>
      </c>
      <c r="Y494" s="9">
        <f t="shared" si="21"/>
        <v>211.89</v>
      </c>
      <c r="AD494" s="4" t="s">
        <v>1903</v>
      </c>
      <c r="AE494" s="4" t="s">
        <v>1904</v>
      </c>
      <c r="AF494" s="4" t="s">
        <v>1854</v>
      </c>
    </row>
    <row r="495" spans="1:35" ht="18" x14ac:dyDescent="0.3">
      <c r="A495" s="10" t="s">
        <v>1905</v>
      </c>
      <c r="B495" s="10"/>
      <c r="C495" s="24" t="s">
        <v>1829</v>
      </c>
      <c r="D495" s="12"/>
      <c r="E495" s="12"/>
      <c r="F495" s="18" t="s">
        <v>116</v>
      </c>
      <c r="G495" s="19">
        <v>1</v>
      </c>
      <c r="H495" s="20"/>
      <c r="I495" s="20">
        <v>3.2</v>
      </c>
      <c r="J495" s="21">
        <v>80</v>
      </c>
      <c r="M495" s="22">
        <f>ROUND(ROUND(J495, 2)*I495, 2)</f>
        <v>256</v>
      </c>
      <c r="P495" s="23">
        <v>80</v>
      </c>
      <c r="S495" s="22">
        <f>ROUND(ROUND(P495, 2)*I495, 2)</f>
        <v>256</v>
      </c>
      <c r="V495" s="9">
        <f>ROUND(ROUND(P495, 2)/1.2, 2)</f>
        <v>66.67</v>
      </c>
      <c r="Y495" s="9">
        <f t="shared" si="21"/>
        <v>213.33</v>
      </c>
      <c r="AD495" s="4" t="s">
        <v>1906</v>
      </c>
      <c r="AE495" s="4" t="s">
        <v>1907</v>
      </c>
      <c r="AF495" s="4" t="s">
        <v>1832</v>
      </c>
    </row>
    <row r="496" spans="1:35" ht="36" x14ac:dyDescent="0.3">
      <c r="A496" s="10" t="s">
        <v>1908</v>
      </c>
      <c r="B496" s="10" t="s">
        <v>1872</v>
      </c>
      <c r="C496" s="11" t="s">
        <v>1873</v>
      </c>
      <c r="D496" s="12"/>
      <c r="E496" s="12" t="s">
        <v>1909</v>
      </c>
      <c r="F496" s="12" t="s">
        <v>64</v>
      </c>
      <c r="G496" s="13">
        <v>1</v>
      </c>
      <c r="H496" s="13"/>
      <c r="I496" s="13">
        <v>204.12</v>
      </c>
      <c r="J496" s="14">
        <f>IFERROR(ROUND(SUM(M497,M498,M499,M500)/I496, 2),0)</f>
        <v>1004.46</v>
      </c>
      <c r="K496" s="15">
        <v>1477</v>
      </c>
      <c r="L496" s="14">
        <f>J496+ROUND(K496, 2)</f>
        <v>2481.46</v>
      </c>
      <c r="M496" s="14">
        <f>ROUND(J496*I496, 2)</f>
        <v>205030.38</v>
      </c>
      <c r="N496" s="14">
        <f>ROUND(I496*ROUND(K496, 2), 2)</f>
        <v>301485.24</v>
      </c>
      <c r="O496" s="14">
        <f>M496+N496</f>
        <v>506515.62</v>
      </c>
      <c r="P496" s="14">
        <f>IFERROR(ROUND(SUM(S497,S498,S499,S500)/I496, 2),0)</f>
        <v>1004.46</v>
      </c>
      <c r="Q496" s="16">
        <v>1477</v>
      </c>
      <c r="R496" s="14">
        <f>P496+ROUND(Q496, 2)</f>
        <v>2481.46</v>
      </c>
      <c r="S496" s="14">
        <f>ROUND(P496*I496, 2)</f>
        <v>205030.38</v>
      </c>
      <c r="T496" s="14">
        <f>ROUND(I496*ROUND(Q496, 2), 2)</f>
        <v>301485.24</v>
      </c>
      <c r="U496" s="14">
        <f>S496+T496</f>
        <v>506515.62</v>
      </c>
      <c r="V496" s="9">
        <f>ROUND(P496 / 1.2, 2)</f>
        <v>837.05</v>
      </c>
      <c r="W496" s="9">
        <f>ROUND(Q496 / 1.2, 2)</f>
        <v>1230.83</v>
      </c>
      <c r="X496" s="9">
        <f>ROUND(R496 / 1.2, 2)</f>
        <v>2067.88</v>
      </c>
      <c r="Y496" s="9">
        <f t="shared" si="21"/>
        <v>170858.65</v>
      </c>
      <c r="Z496" s="9">
        <f>ROUND(T496 / 1.2, 2)</f>
        <v>251237.7</v>
      </c>
      <c r="AA496" s="9">
        <f>Y496+Z496</f>
        <v>422096.35</v>
      </c>
      <c r="AD496" s="4">
        <v>271132240</v>
      </c>
      <c r="AE496" s="4">
        <v>19822308</v>
      </c>
      <c r="AG496" s="4" t="s">
        <v>1874</v>
      </c>
      <c r="AH496" s="4" t="s">
        <v>1875</v>
      </c>
      <c r="AI496" s="4" t="s">
        <v>67</v>
      </c>
    </row>
    <row r="497" spans="1:35" ht="18" x14ac:dyDescent="0.3">
      <c r="A497" s="10" t="s">
        <v>1910</v>
      </c>
      <c r="B497" s="10"/>
      <c r="C497" s="17" t="s">
        <v>1888</v>
      </c>
      <c r="D497" s="12"/>
      <c r="E497" s="12"/>
      <c r="F497" s="18" t="s">
        <v>64</v>
      </c>
      <c r="G497" s="19">
        <v>1.1000000000000001</v>
      </c>
      <c r="H497" s="20"/>
      <c r="I497" s="20">
        <v>449.06400000000002</v>
      </c>
      <c r="J497" s="21">
        <v>309.39999999999998</v>
      </c>
      <c r="M497" s="22">
        <f>ROUND(ROUND(J497, 2)*I497, 2)</f>
        <v>138940.4</v>
      </c>
      <c r="P497" s="23">
        <v>309.39999999999998</v>
      </c>
      <c r="S497" s="22">
        <f>ROUND(ROUND(P497, 2)*I497, 2)</f>
        <v>138940.4</v>
      </c>
      <c r="V497" s="9">
        <f>ROUND(ROUND(P497, 2)/1.2, 2)</f>
        <v>257.83</v>
      </c>
      <c r="Y497" s="9">
        <f t="shared" si="21"/>
        <v>115783.67</v>
      </c>
      <c r="AD497" s="4" t="s">
        <v>1911</v>
      </c>
      <c r="AE497" s="4" t="s">
        <v>1912</v>
      </c>
      <c r="AF497" s="4" t="s">
        <v>1891</v>
      </c>
    </row>
    <row r="498" spans="1:35" ht="18" x14ac:dyDescent="0.3">
      <c r="A498" s="10" t="s">
        <v>1913</v>
      </c>
      <c r="B498" s="10"/>
      <c r="C498" s="24" t="s">
        <v>1846</v>
      </c>
      <c r="D498" s="12"/>
      <c r="E498" s="12"/>
      <c r="F498" s="18" t="s">
        <v>87</v>
      </c>
      <c r="G498" s="19">
        <v>1</v>
      </c>
      <c r="H498" s="20"/>
      <c r="I498" s="20">
        <v>1024</v>
      </c>
      <c r="J498" s="21">
        <v>49.68</v>
      </c>
      <c r="M498" s="22">
        <f>ROUND(ROUND(J498, 2)*I498, 2)</f>
        <v>50872.32</v>
      </c>
      <c r="P498" s="23">
        <v>49.68</v>
      </c>
      <c r="S498" s="22">
        <f>ROUND(ROUND(P498, 2)*I498, 2)</f>
        <v>50872.32</v>
      </c>
      <c r="V498" s="9">
        <f>ROUND(ROUND(P498, 2)/1.2, 2)</f>
        <v>41.4</v>
      </c>
      <c r="Y498" s="9">
        <f t="shared" si="21"/>
        <v>42393.599999999999</v>
      </c>
      <c r="AD498" s="4" t="s">
        <v>1914</v>
      </c>
      <c r="AE498" s="4" t="s">
        <v>1915</v>
      </c>
      <c r="AF498" s="4" t="s">
        <v>1849</v>
      </c>
    </row>
    <row r="499" spans="1:35" ht="18" x14ac:dyDescent="0.3">
      <c r="A499" s="10" t="s">
        <v>1916</v>
      </c>
      <c r="B499" s="10"/>
      <c r="C499" s="24" t="s">
        <v>1851</v>
      </c>
      <c r="D499" s="12"/>
      <c r="E499" s="12"/>
      <c r="F499" s="18" t="s">
        <v>87</v>
      </c>
      <c r="G499" s="19">
        <v>1</v>
      </c>
      <c r="H499" s="20"/>
      <c r="I499" s="20">
        <v>204.8</v>
      </c>
      <c r="J499" s="21">
        <v>39.729999999999997</v>
      </c>
      <c r="M499" s="22">
        <f>ROUND(ROUND(J499, 2)*I499, 2)</f>
        <v>8136.7</v>
      </c>
      <c r="P499" s="23">
        <v>39.729999999999997</v>
      </c>
      <c r="S499" s="22">
        <f>ROUND(ROUND(P499, 2)*I499, 2)</f>
        <v>8136.7</v>
      </c>
      <c r="V499" s="9">
        <f>ROUND(ROUND(P499, 2)/1.2, 2)</f>
        <v>33.11</v>
      </c>
      <c r="Y499" s="9">
        <f t="shared" si="21"/>
        <v>6780.58</v>
      </c>
      <c r="AD499" s="4" t="s">
        <v>1917</v>
      </c>
      <c r="AE499" s="4" t="s">
        <v>1918</v>
      </c>
      <c r="AF499" s="4" t="s">
        <v>1854</v>
      </c>
    </row>
    <row r="500" spans="1:35" ht="18" x14ac:dyDescent="0.3">
      <c r="A500" s="10" t="s">
        <v>1919</v>
      </c>
      <c r="B500" s="10"/>
      <c r="C500" s="24" t="s">
        <v>1829</v>
      </c>
      <c r="D500" s="12"/>
      <c r="E500" s="12"/>
      <c r="F500" s="18" t="s">
        <v>116</v>
      </c>
      <c r="G500" s="19">
        <v>1</v>
      </c>
      <c r="H500" s="20"/>
      <c r="I500" s="20">
        <v>88.5</v>
      </c>
      <c r="J500" s="21">
        <v>80</v>
      </c>
      <c r="M500" s="22">
        <f>ROUND(ROUND(J500, 2)*I500, 2)</f>
        <v>7080</v>
      </c>
      <c r="P500" s="23">
        <v>80</v>
      </c>
      <c r="S500" s="22">
        <f>ROUND(ROUND(P500, 2)*I500, 2)</f>
        <v>7080</v>
      </c>
      <c r="V500" s="9">
        <f>ROUND(ROUND(P500, 2)/1.2, 2)</f>
        <v>66.67</v>
      </c>
      <c r="Y500" s="9">
        <f t="shared" si="21"/>
        <v>5900</v>
      </c>
      <c r="AD500" s="4" t="s">
        <v>1920</v>
      </c>
      <c r="AE500" s="4" t="s">
        <v>1921</v>
      </c>
      <c r="AF500" s="4" t="s">
        <v>1832</v>
      </c>
    </row>
    <row r="501" spans="1:35" ht="36" x14ac:dyDescent="0.3">
      <c r="A501" s="10" t="s">
        <v>1922</v>
      </c>
      <c r="B501" s="10" t="s">
        <v>1872</v>
      </c>
      <c r="C501" s="11" t="s">
        <v>1873</v>
      </c>
      <c r="D501" s="12"/>
      <c r="E501" s="12" t="s">
        <v>1923</v>
      </c>
      <c r="F501" s="12" t="s">
        <v>64</v>
      </c>
      <c r="G501" s="13">
        <v>1</v>
      </c>
      <c r="H501" s="13"/>
      <c r="I501" s="13">
        <v>55.13</v>
      </c>
      <c r="J501" s="14">
        <f>IFERROR(ROUND(SUM(M502,M503,M504,M505)/I501, 2),0)</f>
        <v>321.32</v>
      </c>
      <c r="K501" s="15">
        <v>1477</v>
      </c>
      <c r="L501" s="14">
        <f>J501+ROUND(K501, 2)</f>
        <v>1798.32</v>
      </c>
      <c r="M501" s="14">
        <f>ROUND(J501*I501, 2)</f>
        <v>17714.37</v>
      </c>
      <c r="N501" s="14">
        <f>ROUND(I501*ROUND(K501, 2), 2)</f>
        <v>81427.009999999995</v>
      </c>
      <c r="O501" s="14">
        <f>M501+N501</f>
        <v>99141.37999999999</v>
      </c>
      <c r="P501" s="14">
        <f>IFERROR(ROUND(SUM(S502,S503,S504,S505)/I501, 2),0)</f>
        <v>321.32</v>
      </c>
      <c r="Q501" s="16">
        <v>1477</v>
      </c>
      <c r="R501" s="14">
        <f>P501+ROUND(Q501, 2)</f>
        <v>1798.32</v>
      </c>
      <c r="S501" s="14">
        <f>ROUND(P501*I501, 2)</f>
        <v>17714.37</v>
      </c>
      <c r="T501" s="14">
        <f>ROUND(I501*ROUND(Q501, 2), 2)</f>
        <v>81427.009999999995</v>
      </c>
      <c r="U501" s="14">
        <f>S501+T501</f>
        <v>99141.37999999999</v>
      </c>
      <c r="V501" s="9">
        <f>ROUND(P501 / 1.2, 2)</f>
        <v>267.77</v>
      </c>
      <c r="W501" s="9">
        <f>ROUND(Q501 / 1.2, 2)</f>
        <v>1230.83</v>
      </c>
      <c r="X501" s="9">
        <f>ROUND(R501 / 1.2, 2)</f>
        <v>1498.6</v>
      </c>
      <c r="Y501" s="9">
        <f t="shared" si="21"/>
        <v>14761.98</v>
      </c>
      <c r="Z501" s="9">
        <f>ROUND(T501 / 1.2, 2)</f>
        <v>67855.839999999997</v>
      </c>
      <c r="AA501" s="9">
        <f>Y501+Z501</f>
        <v>82617.819999999992</v>
      </c>
      <c r="AD501" s="4">
        <v>271132241</v>
      </c>
      <c r="AE501" s="4">
        <v>19993569</v>
      </c>
      <c r="AG501" s="4" t="s">
        <v>1874</v>
      </c>
      <c r="AH501" s="4" t="s">
        <v>1875</v>
      </c>
      <c r="AI501" s="4" t="s">
        <v>67</v>
      </c>
    </row>
    <row r="502" spans="1:35" ht="18" x14ac:dyDescent="0.3">
      <c r="A502" s="10" t="s">
        <v>1924</v>
      </c>
      <c r="B502" s="10"/>
      <c r="C502" s="24" t="s">
        <v>1925</v>
      </c>
      <c r="D502" s="12"/>
      <c r="E502" s="12"/>
      <c r="F502" s="18" t="s">
        <v>64</v>
      </c>
      <c r="G502" s="19">
        <v>1.1000000000000001</v>
      </c>
      <c r="H502" s="20"/>
      <c r="I502" s="20">
        <v>121.286</v>
      </c>
      <c r="J502" s="21">
        <v>0</v>
      </c>
      <c r="M502" s="22">
        <f>ROUND(ROUND(J502, 2)*I502, 2)</f>
        <v>0</v>
      </c>
      <c r="P502" s="23">
        <v>0</v>
      </c>
      <c r="S502" s="22">
        <f>ROUND(ROUND(P502, 2)*I502, 2)</f>
        <v>0</v>
      </c>
      <c r="V502" s="9">
        <f>ROUND(ROUND(P502, 2)/1.2, 2)</f>
        <v>0</v>
      </c>
      <c r="Y502" s="9">
        <f t="shared" si="21"/>
        <v>0</v>
      </c>
      <c r="AD502" s="4" t="s">
        <v>1926</v>
      </c>
      <c r="AE502" s="4" t="s">
        <v>1927</v>
      </c>
      <c r="AF502" s="4" t="s">
        <v>1928</v>
      </c>
    </row>
    <row r="503" spans="1:35" ht="18" x14ac:dyDescent="0.3">
      <c r="A503" s="10" t="s">
        <v>1929</v>
      </c>
      <c r="B503" s="10"/>
      <c r="C503" s="24" t="s">
        <v>1846</v>
      </c>
      <c r="D503" s="12"/>
      <c r="E503" s="12"/>
      <c r="F503" s="18" t="s">
        <v>87</v>
      </c>
      <c r="G503" s="19">
        <v>1</v>
      </c>
      <c r="H503" s="20"/>
      <c r="I503" s="20">
        <v>272</v>
      </c>
      <c r="J503" s="21">
        <v>49.68</v>
      </c>
      <c r="M503" s="22">
        <f>ROUND(ROUND(J503, 2)*I503, 2)</f>
        <v>13512.96</v>
      </c>
      <c r="P503" s="23">
        <v>49.68</v>
      </c>
      <c r="S503" s="22">
        <f>ROUND(ROUND(P503, 2)*I503, 2)</f>
        <v>13512.96</v>
      </c>
      <c r="V503" s="9">
        <f>ROUND(ROUND(P503, 2)/1.2, 2)</f>
        <v>41.4</v>
      </c>
      <c r="Y503" s="9">
        <f t="shared" si="21"/>
        <v>11260.8</v>
      </c>
      <c r="AD503" s="4" t="s">
        <v>1930</v>
      </c>
      <c r="AE503" s="4" t="s">
        <v>1931</v>
      </c>
      <c r="AF503" s="4" t="s">
        <v>1849</v>
      </c>
    </row>
    <row r="504" spans="1:35" ht="18" x14ac:dyDescent="0.3">
      <c r="A504" s="10" t="s">
        <v>1932</v>
      </c>
      <c r="B504" s="10"/>
      <c r="C504" s="24" t="s">
        <v>1851</v>
      </c>
      <c r="D504" s="12"/>
      <c r="E504" s="12"/>
      <c r="F504" s="18" t="s">
        <v>87</v>
      </c>
      <c r="G504" s="19">
        <v>1</v>
      </c>
      <c r="H504" s="20"/>
      <c r="I504" s="20">
        <v>54.4</v>
      </c>
      <c r="J504" s="21">
        <v>39.729999999999997</v>
      </c>
      <c r="M504" s="22">
        <f>ROUND(ROUND(J504, 2)*I504, 2)</f>
        <v>2161.31</v>
      </c>
      <c r="P504" s="23">
        <v>39.729999999999997</v>
      </c>
      <c r="S504" s="22">
        <f>ROUND(ROUND(P504, 2)*I504, 2)</f>
        <v>2161.31</v>
      </c>
      <c r="V504" s="9">
        <f>ROUND(ROUND(P504, 2)/1.2, 2)</f>
        <v>33.11</v>
      </c>
      <c r="Y504" s="9">
        <f t="shared" si="21"/>
        <v>1801.09</v>
      </c>
      <c r="AD504" s="4" t="s">
        <v>1933</v>
      </c>
      <c r="AE504" s="4" t="s">
        <v>1934</v>
      </c>
      <c r="AF504" s="4" t="s">
        <v>1854</v>
      </c>
    </row>
    <row r="505" spans="1:35" ht="18" x14ac:dyDescent="0.3">
      <c r="A505" s="10" t="s">
        <v>1935</v>
      </c>
      <c r="B505" s="10"/>
      <c r="C505" s="24" t="s">
        <v>1829</v>
      </c>
      <c r="D505" s="12"/>
      <c r="E505" s="12"/>
      <c r="F505" s="18" t="s">
        <v>116</v>
      </c>
      <c r="G505" s="19">
        <v>1</v>
      </c>
      <c r="H505" s="20"/>
      <c r="I505" s="20">
        <v>25.5</v>
      </c>
      <c r="J505" s="21">
        <v>80</v>
      </c>
      <c r="M505" s="22">
        <f>ROUND(ROUND(J505, 2)*I505, 2)</f>
        <v>2040</v>
      </c>
      <c r="P505" s="23">
        <v>80</v>
      </c>
      <c r="S505" s="22">
        <f>ROUND(ROUND(P505, 2)*I505, 2)</f>
        <v>2040</v>
      </c>
      <c r="V505" s="9">
        <f>ROUND(ROUND(P505, 2)/1.2, 2)</f>
        <v>66.67</v>
      </c>
      <c r="Y505" s="9">
        <f t="shared" si="21"/>
        <v>1700</v>
      </c>
      <c r="AD505" s="4" t="s">
        <v>1936</v>
      </c>
      <c r="AE505" s="4" t="s">
        <v>1937</v>
      </c>
      <c r="AF505" s="4" t="s">
        <v>1832</v>
      </c>
    </row>
    <row r="506" spans="1:35" ht="36" x14ac:dyDescent="0.3">
      <c r="A506" s="10" t="s">
        <v>1938</v>
      </c>
      <c r="B506" s="10" t="s">
        <v>1872</v>
      </c>
      <c r="C506" s="11" t="s">
        <v>1873</v>
      </c>
      <c r="D506" s="12"/>
      <c r="E506" s="12" t="s">
        <v>1939</v>
      </c>
      <c r="F506" s="12" t="s">
        <v>64</v>
      </c>
      <c r="G506" s="13">
        <v>1</v>
      </c>
      <c r="H506" s="13"/>
      <c r="I506" s="13">
        <v>23.49</v>
      </c>
      <c r="J506" s="14">
        <f>IFERROR(ROUND(SUM(M507,M508,M509)/I506, 2),0)</f>
        <v>928.95</v>
      </c>
      <c r="K506" s="15">
        <v>1477</v>
      </c>
      <c r="L506" s="14">
        <f>J506+ROUND(K506, 2)</f>
        <v>2405.9499999999998</v>
      </c>
      <c r="M506" s="14">
        <f>ROUND(J506*I506, 2)</f>
        <v>21821.040000000001</v>
      </c>
      <c r="N506" s="14">
        <f>ROUND(I506*ROUND(K506, 2), 2)</f>
        <v>34694.730000000003</v>
      </c>
      <c r="O506" s="14">
        <f>M506+N506</f>
        <v>56515.770000000004</v>
      </c>
      <c r="P506" s="14">
        <f>IFERROR(ROUND(SUM(S507,S508,S509)/I506, 2),0)</f>
        <v>928.95</v>
      </c>
      <c r="Q506" s="16">
        <v>1477</v>
      </c>
      <c r="R506" s="14">
        <f>P506+ROUND(Q506, 2)</f>
        <v>2405.9499999999998</v>
      </c>
      <c r="S506" s="14">
        <f>ROUND(P506*I506, 2)</f>
        <v>21821.040000000001</v>
      </c>
      <c r="T506" s="14">
        <f>ROUND(I506*ROUND(Q506, 2), 2)</f>
        <v>34694.730000000003</v>
      </c>
      <c r="U506" s="14">
        <f>S506+T506</f>
        <v>56515.770000000004</v>
      </c>
      <c r="V506" s="9">
        <f>ROUND(P506 / 1.2, 2)</f>
        <v>774.13</v>
      </c>
      <c r="W506" s="9">
        <f>ROUND(Q506 / 1.2, 2)</f>
        <v>1230.83</v>
      </c>
      <c r="X506" s="9">
        <f>ROUND(R506 / 1.2, 2)</f>
        <v>2004.96</v>
      </c>
      <c r="Y506" s="9">
        <f t="shared" si="21"/>
        <v>18184.2</v>
      </c>
      <c r="Z506" s="9">
        <f>ROUND(T506 / 1.2, 2)</f>
        <v>28912.28</v>
      </c>
      <c r="AA506" s="9">
        <f>Y506+Z506</f>
        <v>47096.479999999996</v>
      </c>
      <c r="AD506" s="4">
        <v>271132242</v>
      </c>
      <c r="AE506" s="4">
        <v>19995862</v>
      </c>
      <c r="AG506" s="4" t="s">
        <v>1874</v>
      </c>
      <c r="AH506" s="4" t="s">
        <v>1875</v>
      </c>
      <c r="AI506" s="4" t="s">
        <v>67</v>
      </c>
    </row>
    <row r="507" spans="1:35" ht="18" x14ac:dyDescent="0.3">
      <c r="A507" s="10" t="s">
        <v>1940</v>
      </c>
      <c r="B507" s="10"/>
      <c r="C507" s="17" t="s">
        <v>1888</v>
      </c>
      <c r="D507" s="12"/>
      <c r="E507" s="12"/>
      <c r="F507" s="18" t="s">
        <v>64</v>
      </c>
      <c r="G507" s="19">
        <v>1.1000000000000001</v>
      </c>
      <c r="H507" s="20"/>
      <c r="I507" s="20">
        <v>51.677999999999997</v>
      </c>
      <c r="J507" s="21">
        <v>309.39999999999998</v>
      </c>
      <c r="M507" s="22">
        <f>ROUND(ROUND(J507, 2)*I507, 2)</f>
        <v>15989.17</v>
      </c>
      <c r="P507" s="23">
        <v>309.39999999999998</v>
      </c>
      <c r="S507" s="22">
        <f>ROUND(ROUND(P507, 2)*I507, 2)</f>
        <v>15989.17</v>
      </c>
      <c r="V507" s="9">
        <f>ROUND(ROUND(P507, 2)/1.2, 2)</f>
        <v>257.83</v>
      </c>
      <c r="Y507" s="9">
        <f t="shared" si="21"/>
        <v>13324.31</v>
      </c>
      <c r="AD507" s="4" t="s">
        <v>1941</v>
      </c>
      <c r="AE507" s="4" t="s">
        <v>1942</v>
      </c>
      <c r="AF507" s="4" t="s">
        <v>1891</v>
      </c>
    </row>
    <row r="508" spans="1:35" ht="18" x14ac:dyDescent="0.3">
      <c r="A508" s="10" t="s">
        <v>1943</v>
      </c>
      <c r="B508" s="10"/>
      <c r="C508" s="24" t="s">
        <v>1846</v>
      </c>
      <c r="D508" s="12"/>
      <c r="E508" s="12"/>
      <c r="F508" s="18" t="s">
        <v>87</v>
      </c>
      <c r="G508" s="19">
        <v>1</v>
      </c>
      <c r="H508" s="20"/>
      <c r="I508" s="20">
        <v>84.2</v>
      </c>
      <c r="J508" s="21">
        <v>49.68</v>
      </c>
      <c r="M508" s="22">
        <f>ROUND(ROUND(J508, 2)*I508, 2)</f>
        <v>4183.0600000000004</v>
      </c>
      <c r="P508" s="23">
        <v>49.68</v>
      </c>
      <c r="S508" s="22">
        <f>ROUND(ROUND(P508, 2)*I508, 2)</f>
        <v>4183.0600000000004</v>
      </c>
      <c r="V508" s="9">
        <f>ROUND(ROUND(P508, 2)/1.2, 2)</f>
        <v>41.4</v>
      </c>
      <c r="Y508" s="9">
        <f t="shared" si="21"/>
        <v>3485.88</v>
      </c>
      <c r="AD508" s="4" t="s">
        <v>1944</v>
      </c>
      <c r="AE508" s="4" t="s">
        <v>1945</v>
      </c>
      <c r="AF508" s="4" t="s">
        <v>1849</v>
      </c>
    </row>
    <row r="509" spans="1:35" ht="18" x14ac:dyDescent="0.3">
      <c r="A509" s="10" t="s">
        <v>1946</v>
      </c>
      <c r="B509" s="10"/>
      <c r="C509" s="24" t="s">
        <v>1851</v>
      </c>
      <c r="D509" s="12"/>
      <c r="E509" s="12"/>
      <c r="F509" s="18" t="s">
        <v>87</v>
      </c>
      <c r="G509" s="19">
        <v>1</v>
      </c>
      <c r="H509" s="20"/>
      <c r="I509" s="20">
        <v>41.5</v>
      </c>
      <c r="J509" s="21">
        <v>39.729999999999997</v>
      </c>
      <c r="M509" s="22">
        <f>ROUND(ROUND(J509, 2)*I509, 2)</f>
        <v>1648.8</v>
      </c>
      <c r="P509" s="23">
        <v>39.729999999999997</v>
      </c>
      <c r="S509" s="22">
        <f>ROUND(ROUND(P509, 2)*I509, 2)</f>
        <v>1648.8</v>
      </c>
      <c r="V509" s="9">
        <f>ROUND(ROUND(P509, 2)/1.2, 2)</f>
        <v>33.11</v>
      </c>
      <c r="Y509" s="9">
        <f t="shared" ref="Y509:Y514" si="22">ROUND(S509 / 1.2, 2)</f>
        <v>1374</v>
      </c>
      <c r="AD509" s="4" t="s">
        <v>1947</v>
      </c>
      <c r="AE509" s="4" t="s">
        <v>1948</v>
      </c>
      <c r="AF509" s="4" t="s">
        <v>1854</v>
      </c>
    </row>
    <row r="510" spans="1:35" ht="36" x14ac:dyDescent="0.3">
      <c r="A510" s="10" t="s">
        <v>1949</v>
      </c>
      <c r="B510" s="10" t="s">
        <v>1872</v>
      </c>
      <c r="C510" s="11" t="s">
        <v>1873</v>
      </c>
      <c r="D510" s="12"/>
      <c r="E510" s="12" t="s">
        <v>1950</v>
      </c>
      <c r="F510" s="12" t="s">
        <v>64</v>
      </c>
      <c r="G510" s="13">
        <v>1</v>
      </c>
      <c r="H510" s="13"/>
      <c r="I510" s="13">
        <v>2.74</v>
      </c>
      <c r="J510" s="14">
        <f>IFERROR(ROUND(SUM(M511,M512,M513,M514)/I510, 2),0)</f>
        <v>1058.0899999999999</v>
      </c>
      <c r="K510" s="15">
        <v>1477</v>
      </c>
      <c r="L510" s="14">
        <f>J510+ROUND(K510, 2)</f>
        <v>2535.09</v>
      </c>
      <c r="M510" s="14">
        <f>ROUND(J510*I510, 2)</f>
        <v>2899.17</v>
      </c>
      <c r="N510" s="14">
        <f>ROUND(I510*ROUND(K510, 2), 2)</f>
        <v>4046.98</v>
      </c>
      <c r="O510" s="14">
        <f>M510+N510</f>
        <v>6946.15</v>
      </c>
      <c r="P510" s="14">
        <f>IFERROR(ROUND(SUM(S511,S512,S513,S514)/I510, 2),0)</f>
        <v>1058.0899999999999</v>
      </c>
      <c r="Q510" s="16">
        <v>1477</v>
      </c>
      <c r="R510" s="14">
        <f>P510+ROUND(Q510, 2)</f>
        <v>2535.09</v>
      </c>
      <c r="S510" s="14">
        <f>ROUND(P510*I510, 2)</f>
        <v>2899.17</v>
      </c>
      <c r="T510" s="14">
        <f>ROUND(I510*ROUND(Q510, 2), 2)</f>
        <v>4046.98</v>
      </c>
      <c r="U510" s="14">
        <f>S510+T510</f>
        <v>6946.15</v>
      </c>
      <c r="V510" s="9">
        <f>ROUND(P510 / 1.2, 2)</f>
        <v>881.74</v>
      </c>
      <c r="W510" s="9">
        <f>ROUND(Q510 / 1.2, 2)</f>
        <v>1230.83</v>
      </c>
      <c r="X510" s="9">
        <f>ROUND(R510 / 1.2, 2)</f>
        <v>2112.58</v>
      </c>
      <c r="Y510" s="9">
        <f t="shared" si="22"/>
        <v>2415.98</v>
      </c>
      <c r="Z510" s="9">
        <f>ROUND(T510 / 1.2, 2)</f>
        <v>3372.48</v>
      </c>
      <c r="AA510" s="9">
        <f>Y510+Z510</f>
        <v>5788.46</v>
      </c>
      <c r="AD510" s="4">
        <v>271132243</v>
      </c>
      <c r="AE510" s="4">
        <v>19995863</v>
      </c>
      <c r="AG510" s="4" t="s">
        <v>1874</v>
      </c>
      <c r="AH510" s="4" t="s">
        <v>1875</v>
      </c>
      <c r="AI510" s="4" t="s">
        <v>67</v>
      </c>
    </row>
    <row r="511" spans="1:35" ht="18" x14ac:dyDescent="0.3">
      <c r="A511" s="10" t="s">
        <v>1951</v>
      </c>
      <c r="B511" s="10"/>
      <c r="C511" s="17" t="s">
        <v>1888</v>
      </c>
      <c r="D511" s="12"/>
      <c r="E511" s="12"/>
      <c r="F511" s="18" t="s">
        <v>64</v>
      </c>
      <c r="G511" s="19">
        <v>1.1000000000000001</v>
      </c>
      <c r="H511" s="20"/>
      <c r="I511" s="20">
        <v>6.0279999999999996</v>
      </c>
      <c r="J511" s="21">
        <v>309.39999999999998</v>
      </c>
      <c r="M511" s="22">
        <f>ROUND(ROUND(J511, 2)*I511, 2)</f>
        <v>1865.06</v>
      </c>
      <c r="P511" s="23">
        <v>309.39999999999998</v>
      </c>
      <c r="S511" s="22">
        <f>ROUND(ROUND(P511, 2)*I511, 2)</f>
        <v>1865.06</v>
      </c>
      <c r="V511" s="9">
        <f>ROUND(ROUND(P511, 2)/1.2, 2)</f>
        <v>257.83</v>
      </c>
      <c r="Y511" s="9">
        <f t="shared" si="22"/>
        <v>1554.22</v>
      </c>
      <c r="AD511" s="4" t="s">
        <v>1952</v>
      </c>
      <c r="AE511" s="4" t="s">
        <v>1953</v>
      </c>
      <c r="AF511" s="4" t="s">
        <v>1891</v>
      </c>
    </row>
    <row r="512" spans="1:35" ht="18" x14ac:dyDescent="0.3">
      <c r="A512" s="10" t="s">
        <v>1954</v>
      </c>
      <c r="B512" s="10"/>
      <c r="C512" s="24" t="s">
        <v>1846</v>
      </c>
      <c r="D512" s="12"/>
      <c r="E512" s="12"/>
      <c r="F512" s="18" t="s">
        <v>87</v>
      </c>
      <c r="G512" s="19">
        <v>1</v>
      </c>
      <c r="H512" s="20"/>
      <c r="I512" s="20">
        <v>16</v>
      </c>
      <c r="J512" s="21">
        <v>49.68</v>
      </c>
      <c r="M512" s="22">
        <f>ROUND(ROUND(J512, 2)*I512, 2)</f>
        <v>794.88</v>
      </c>
      <c r="P512" s="23">
        <v>49.68</v>
      </c>
      <c r="S512" s="22">
        <f>ROUND(ROUND(P512, 2)*I512, 2)</f>
        <v>794.88</v>
      </c>
      <c r="V512" s="9">
        <f>ROUND(ROUND(P512, 2)/1.2, 2)</f>
        <v>41.4</v>
      </c>
      <c r="Y512" s="9">
        <f t="shared" si="22"/>
        <v>662.4</v>
      </c>
      <c r="AD512" s="4" t="s">
        <v>1955</v>
      </c>
      <c r="AE512" s="4" t="s">
        <v>1956</v>
      </c>
      <c r="AF512" s="4" t="s">
        <v>1849</v>
      </c>
    </row>
    <row r="513" spans="1:35" ht="18" x14ac:dyDescent="0.3">
      <c r="A513" s="10" t="s">
        <v>1957</v>
      </c>
      <c r="B513" s="10"/>
      <c r="C513" s="24" t="s">
        <v>1851</v>
      </c>
      <c r="D513" s="12"/>
      <c r="E513" s="12"/>
      <c r="F513" s="18" t="s">
        <v>87</v>
      </c>
      <c r="G513" s="19">
        <v>1</v>
      </c>
      <c r="H513" s="20"/>
      <c r="I513" s="20">
        <v>2.8</v>
      </c>
      <c r="J513" s="21">
        <v>39.729999999999997</v>
      </c>
      <c r="M513" s="22">
        <f>ROUND(ROUND(J513, 2)*I513, 2)</f>
        <v>111.24</v>
      </c>
      <c r="P513" s="23">
        <v>39.729999999999997</v>
      </c>
      <c r="S513" s="22">
        <f>ROUND(ROUND(P513, 2)*I513, 2)</f>
        <v>111.24</v>
      </c>
      <c r="V513" s="9">
        <f>ROUND(ROUND(P513, 2)/1.2, 2)</f>
        <v>33.11</v>
      </c>
      <c r="Y513" s="9">
        <f t="shared" si="22"/>
        <v>92.7</v>
      </c>
      <c r="AD513" s="4" t="s">
        <v>1958</v>
      </c>
      <c r="AE513" s="4" t="s">
        <v>1959</v>
      </c>
      <c r="AF513" s="4" t="s">
        <v>1854</v>
      </c>
    </row>
    <row r="514" spans="1:35" ht="18" x14ac:dyDescent="0.3">
      <c r="A514" s="10" t="s">
        <v>1960</v>
      </c>
      <c r="B514" s="10"/>
      <c r="C514" s="24" t="s">
        <v>1829</v>
      </c>
      <c r="D514" s="12"/>
      <c r="E514" s="12"/>
      <c r="F514" s="18" t="s">
        <v>116</v>
      </c>
      <c r="G514" s="19">
        <v>1</v>
      </c>
      <c r="H514" s="20"/>
      <c r="I514" s="20">
        <v>1.6</v>
      </c>
      <c r="J514" s="21">
        <v>80</v>
      </c>
      <c r="M514" s="22">
        <f>ROUND(ROUND(J514, 2)*I514, 2)</f>
        <v>128</v>
      </c>
      <c r="P514" s="23">
        <v>80</v>
      </c>
      <c r="S514" s="22">
        <f>ROUND(ROUND(P514, 2)*I514, 2)</f>
        <v>128</v>
      </c>
      <c r="V514" s="9">
        <f>ROUND(ROUND(P514, 2)/1.2, 2)</f>
        <v>66.67</v>
      </c>
      <c r="Y514" s="9">
        <f t="shared" si="22"/>
        <v>106.67</v>
      </c>
      <c r="AD514" s="4" t="s">
        <v>1961</v>
      </c>
      <c r="AE514" s="4" t="s">
        <v>1962</v>
      </c>
      <c r="AF514" s="4" t="s">
        <v>1832</v>
      </c>
    </row>
    <row r="515" spans="1:35" ht="17.100000000000001" customHeight="1" x14ac:dyDescent="0.3">
      <c r="A515" s="10" t="s">
        <v>1963</v>
      </c>
      <c r="B515" s="10" t="s">
        <v>1964</v>
      </c>
      <c r="C515" s="185" t="s">
        <v>1965</v>
      </c>
      <c r="D515" s="186"/>
      <c r="E515" s="186"/>
      <c r="F515" s="186"/>
      <c r="G515" s="186"/>
      <c r="H515" s="186"/>
      <c r="I515" s="187"/>
      <c r="M515" s="6">
        <f>SUM(M516,M518)</f>
        <v>1119590.1000000001</v>
      </c>
      <c r="N515" s="6">
        <f>SUM(N516,N518)</f>
        <v>142186</v>
      </c>
      <c r="O515" s="6">
        <f>SUM(O516,O518)</f>
        <v>1261776.1000000001</v>
      </c>
      <c r="S515" s="6">
        <f>SUM(S516,S518)</f>
        <v>1119590.1000000001</v>
      </c>
      <c r="T515" s="6">
        <f>SUM(T516,T518)</f>
        <v>142186</v>
      </c>
      <c r="U515" s="6">
        <f>SUM(U516,U518)</f>
        <v>1261776.1000000001</v>
      </c>
      <c r="Y515" s="9">
        <f>SUM(Y516,Y518)</f>
        <v>932991.75</v>
      </c>
      <c r="Z515" s="9">
        <f>SUM(Z516,Z518)</f>
        <v>118488.33</v>
      </c>
      <c r="AA515" s="9">
        <f>SUM(AA516,AA518)</f>
        <v>1051480.08</v>
      </c>
      <c r="AD515" s="4">
        <v>271132130</v>
      </c>
      <c r="AE515" s="4">
        <v>19996215</v>
      </c>
    </row>
    <row r="516" spans="1:35" ht="36" x14ac:dyDescent="0.3">
      <c r="A516" s="10" t="s">
        <v>1966</v>
      </c>
      <c r="B516" s="10" t="s">
        <v>1967</v>
      </c>
      <c r="C516" s="11" t="s">
        <v>1968</v>
      </c>
      <c r="D516" s="12"/>
      <c r="E516" s="12" t="s">
        <v>1969</v>
      </c>
      <c r="F516" s="12" t="s">
        <v>116</v>
      </c>
      <c r="G516" s="13">
        <v>1</v>
      </c>
      <c r="H516" s="13"/>
      <c r="I516" s="13">
        <v>7</v>
      </c>
      <c r="J516" s="14">
        <f>IFERROR(ROUND(SUM(M517)/I516, 2),0)</f>
        <v>16710.3</v>
      </c>
      <c r="K516" s="15">
        <v>2458</v>
      </c>
      <c r="L516" s="14">
        <f>J516+ROUND(K516, 2)</f>
        <v>19168.3</v>
      </c>
      <c r="M516" s="14">
        <f>ROUND(J516*I516, 2)</f>
        <v>116972.1</v>
      </c>
      <c r="N516" s="14">
        <f>ROUND(I516*ROUND(K516, 2), 2)</f>
        <v>17206</v>
      </c>
      <c r="O516" s="14">
        <f>M516+N516</f>
        <v>134178.1</v>
      </c>
      <c r="P516" s="14">
        <f>IFERROR(ROUND(SUM(S517)/I516, 2),0)</f>
        <v>16710.3</v>
      </c>
      <c r="Q516" s="16">
        <v>2458</v>
      </c>
      <c r="R516" s="14">
        <f>P516+ROUND(Q516, 2)</f>
        <v>19168.3</v>
      </c>
      <c r="S516" s="14">
        <f>ROUND(P516*I516, 2)</f>
        <v>116972.1</v>
      </c>
      <c r="T516" s="14">
        <f>ROUND(I516*ROUND(Q516, 2), 2)</f>
        <v>17206</v>
      </c>
      <c r="U516" s="14">
        <f>S516+T516</f>
        <v>134178.1</v>
      </c>
      <c r="V516" s="9">
        <f>ROUND(P516 / 1.2, 2)</f>
        <v>13925.25</v>
      </c>
      <c r="W516" s="9">
        <f>ROUND(Q516 / 1.2, 2)</f>
        <v>2048.33</v>
      </c>
      <c r="X516" s="9">
        <f>ROUND(R516 / 1.2, 2)</f>
        <v>15973.58</v>
      </c>
      <c r="Y516" s="9">
        <f>ROUND(S516 / 1.2, 2)</f>
        <v>97476.75</v>
      </c>
      <c r="Z516" s="9">
        <f>ROUND(T516 / 1.2, 2)</f>
        <v>14338.33</v>
      </c>
      <c r="AA516" s="9">
        <f>Y516+Z516</f>
        <v>111815.08</v>
      </c>
      <c r="AD516" s="4">
        <v>271132132</v>
      </c>
      <c r="AE516" s="4">
        <v>19996218</v>
      </c>
      <c r="AG516" s="4" t="s">
        <v>1970</v>
      </c>
      <c r="AH516" s="4" t="s">
        <v>1971</v>
      </c>
      <c r="AI516" s="4" t="s">
        <v>67</v>
      </c>
    </row>
    <row r="517" spans="1:35" ht="108" x14ac:dyDescent="0.3">
      <c r="A517" s="10" t="s">
        <v>1972</v>
      </c>
      <c r="B517" s="10"/>
      <c r="C517" s="17" t="s">
        <v>1973</v>
      </c>
      <c r="D517" s="12"/>
      <c r="E517" s="12" t="s">
        <v>1974</v>
      </c>
      <c r="F517" s="18" t="s">
        <v>116</v>
      </c>
      <c r="G517" s="19">
        <v>1</v>
      </c>
      <c r="H517" s="20"/>
      <c r="I517" s="20">
        <v>7</v>
      </c>
      <c r="J517" s="21">
        <v>16710.3</v>
      </c>
      <c r="M517" s="22">
        <f>ROUND(ROUND(J517, 2)*I517, 2)</f>
        <v>116972.1</v>
      </c>
      <c r="P517" s="23">
        <v>16710.3</v>
      </c>
      <c r="S517" s="22">
        <f>ROUND(ROUND(P517, 2)*I517, 2)</f>
        <v>116972.1</v>
      </c>
      <c r="V517" s="9">
        <f>ROUND(ROUND(P517, 2)/1.2, 2)</f>
        <v>13925.25</v>
      </c>
      <c r="Y517" s="9">
        <f>ROUND(S517 / 1.2, 2)</f>
        <v>97476.75</v>
      </c>
      <c r="AD517" s="4" t="s">
        <v>1975</v>
      </c>
      <c r="AE517" s="4" t="s">
        <v>1976</v>
      </c>
      <c r="AF517" s="4" t="s">
        <v>1977</v>
      </c>
    </row>
    <row r="518" spans="1:35" ht="36" x14ac:dyDescent="0.3">
      <c r="A518" s="10" t="s">
        <v>1978</v>
      </c>
      <c r="B518" s="10" t="s">
        <v>1979</v>
      </c>
      <c r="C518" s="11" t="s">
        <v>1980</v>
      </c>
      <c r="D518" s="12"/>
      <c r="E518" s="12" t="s">
        <v>1981</v>
      </c>
      <c r="F518" s="12" t="s">
        <v>116</v>
      </c>
      <c r="G518" s="13">
        <v>1</v>
      </c>
      <c r="H518" s="13"/>
      <c r="I518" s="13">
        <v>60</v>
      </c>
      <c r="J518" s="14">
        <f>IFERROR(ROUND(SUM(M519)/I518, 2),0)</f>
        <v>16710.3</v>
      </c>
      <c r="K518" s="15">
        <v>2083</v>
      </c>
      <c r="L518" s="14">
        <f>J518+ROUND(K518, 2)</f>
        <v>18793.3</v>
      </c>
      <c r="M518" s="14">
        <f>ROUND(J518*I518, 2)</f>
        <v>1002618</v>
      </c>
      <c r="N518" s="14">
        <f>ROUND(I518*ROUND(K518, 2), 2)</f>
        <v>124980</v>
      </c>
      <c r="O518" s="14">
        <f>M518+N518</f>
        <v>1127598</v>
      </c>
      <c r="P518" s="14">
        <f>IFERROR(ROUND(SUM(S519)/I518, 2),0)</f>
        <v>16710.3</v>
      </c>
      <c r="Q518" s="16">
        <v>2083</v>
      </c>
      <c r="R518" s="14">
        <f>P518+ROUND(Q518, 2)</f>
        <v>18793.3</v>
      </c>
      <c r="S518" s="14">
        <f>ROUND(P518*I518, 2)</f>
        <v>1002618</v>
      </c>
      <c r="T518" s="14">
        <f>ROUND(I518*ROUND(Q518, 2), 2)</f>
        <v>124980</v>
      </c>
      <c r="U518" s="14">
        <f>S518+T518</f>
        <v>1127598</v>
      </c>
      <c r="V518" s="9">
        <f>ROUND(P518 / 1.2, 2)</f>
        <v>13925.25</v>
      </c>
      <c r="W518" s="9">
        <f>ROUND(Q518 / 1.2, 2)</f>
        <v>1735.83</v>
      </c>
      <c r="X518" s="9">
        <f>ROUND(R518 / 1.2, 2)</f>
        <v>15661.08</v>
      </c>
      <c r="Y518" s="9">
        <f>ROUND(S518 / 1.2, 2)</f>
        <v>835515</v>
      </c>
      <c r="Z518" s="9">
        <f>ROUND(T518 / 1.2, 2)</f>
        <v>104150</v>
      </c>
      <c r="AA518" s="9">
        <f>Y518+Z518</f>
        <v>939665</v>
      </c>
      <c r="AD518" s="4">
        <v>271132133</v>
      </c>
      <c r="AE518" s="4">
        <v>19996219</v>
      </c>
      <c r="AG518" s="4" t="s">
        <v>1982</v>
      </c>
      <c r="AH518" s="4" t="s">
        <v>1983</v>
      </c>
      <c r="AI518" s="4" t="s">
        <v>67</v>
      </c>
    </row>
    <row r="519" spans="1:35" ht="144" x14ac:dyDescent="0.3">
      <c r="A519" s="10" t="s">
        <v>1984</v>
      </c>
      <c r="B519" s="10"/>
      <c r="C519" s="17" t="s">
        <v>1985</v>
      </c>
      <c r="D519" s="12"/>
      <c r="E519" s="12" t="s">
        <v>1986</v>
      </c>
      <c r="F519" s="18" t="s">
        <v>116</v>
      </c>
      <c r="G519" s="19">
        <v>1</v>
      </c>
      <c r="H519" s="20"/>
      <c r="I519" s="20">
        <v>60</v>
      </c>
      <c r="J519" s="21">
        <v>16710.3</v>
      </c>
      <c r="M519" s="22">
        <f>ROUND(ROUND(J519, 2)*I519, 2)</f>
        <v>1002618</v>
      </c>
      <c r="P519" s="23">
        <v>16710.3</v>
      </c>
      <c r="S519" s="22">
        <f>ROUND(ROUND(P519, 2)*I519, 2)</f>
        <v>1002618</v>
      </c>
      <c r="V519" s="9">
        <f>ROUND(ROUND(P519, 2)/1.2, 2)</f>
        <v>13925.25</v>
      </c>
      <c r="Y519" s="9">
        <f>ROUND(S519 / 1.2, 2)</f>
        <v>835515</v>
      </c>
      <c r="AD519" s="4" t="s">
        <v>1987</v>
      </c>
      <c r="AE519" s="4" t="s">
        <v>1988</v>
      </c>
      <c r="AF519" s="4" t="s">
        <v>1989</v>
      </c>
    </row>
    <row r="520" spans="1:35" ht="17.100000000000001" customHeight="1" x14ac:dyDescent="0.3">
      <c r="A520" s="10" t="s">
        <v>1990</v>
      </c>
      <c r="B520" s="10" t="s">
        <v>1991</v>
      </c>
      <c r="C520" s="185" t="s">
        <v>1992</v>
      </c>
      <c r="D520" s="186"/>
      <c r="E520" s="186"/>
      <c r="F520" s="186"/>
      <c r="G520" s="186"/>
      <c r="H520" s="186"/>
      <c r="I520" s="187"/>
      <c r="M520" s="6">
        <f>SUM(M521,M537)</f>
        <v>755106.06</v>
      </c>
      <c r="N520" s="6">
        <f>SUM(N521,N537)</f>
        <v>11173590</v>
      </c>
      <c r="O520" s="6">
        <f>SUM(O521,O537)</f>
        <v>11928696.060000002</v>
      </c>
      <c r="S520" s="6">
        <f>SUM(S521,S537)</f>
        <v>755106.06</v>
      </c>
      <c r="T520" s="6">
        <f>SUM(T521,T537)</f>
        <v>11173590</v>
      </c>
      <c r="U520" s="6">
        <f>SUM(U521,U537)</f>
        <v>11928696.060000002</v>
      </c>
      <c r="Y520" s="9">
        <f>SUM(Y521,Y537)</f>
        <v>629255.1</v>
      </c>
      <c r="Z520" s="9">
        <f>SUM(Z521,Z537)</f>
        <v>9311324.9699999988</v>
      </c>
      <c r="AA520" s="9">
        <f>SUM(AA521,AA537)</f>
        <v>9940580.0700000003</v>
      </c>
      <c r="AD520" s="4">
        <v>271132134</v>
      </c>
      <c r="AE520" s="4">
        <v>16230868</v>
      </c>
    </row>
    <row r="521" spans="1:35" ht="16.5" customHeight="1" x14ac:dyDescent="0.3">
      <c r="A521" s="10" t="s">
        <v>1993</v>
      </c>
      <c r="B521" s="10" t="s">
        <v>1994</v>
      </c>
      <c r="C521" s="185" t="s">
        <v>1995</v>
      </c>
      <c r="D521" s="186"/>
      <c r="E521" s="186"/>
      <c r="F521" s="186"/>
      <c r="G521" s="186"/>
      <c r="H521" s="186"/>
      <c r="I521" s="187"/>
      <c r="M521" s="6">
        <f>SUM(M522,M525,M528,M531,M534)</f>
        <v>672463.9</v>
      </c>
      <c r="N521" s="6">
        <f>SUM(N522,N525,N528,N531,N534)</f>
        <v>8293286.8000000007</v>
      </c>
      <c r="O521" s="6">
        <f>SUM(O522,O525,O528,O531,O534)</f>
        <v>8965750.7000000011</v>
      </c>
      <c r="S521" s="6">
        <f>SUM(S522,S525,S528,S531,S534)</f>
        <v>672463.9</v>
      </c>
      <c r="T521" s="6">
        <f>SUM(T522,T525,T528,T531,T534)</f>
        <v>8293286.8000000007</v>
      </c>
      <c r="U521" s="6">
        <f>SUM(U522,U525,U528,U531,U534)</f>
        <v>8965750.7000000011</v>
      </c>
      <c r="Y521" s="9">
        <f>SUM(Y522,Y525,Y528,Y531,Y534)</f>
        <v>560386.6</v>
      </c>
      <c r="Z521" s="9">
        <f>SUM(Z522,Z525,Z528,Z531,Z534)</f>
        <v>6911072.3300000001</v>
      </c>
      <c r="AA521" s="9">
        <f>SUM(AA522,AA525,AA528,AA531,AA534)</f>
        <v>7471458.9300000006</v>
      </c>
      <c r="AD521" s="4">
        <v>271132135</v>
      </c>
      <c r="AE521" s="4">
        <v>16230873</v>
      </c>
    </row>
    <row r="522" spans="1:35" s="139" customFormat="1" ht="54" hidden="1" x14ac:dyDescent="0.3">
      <c r="A522" s="132" t="s">
        <v>1996</v>
      </c>
      <c r="B522" s="132" t="s">
        <v>1997</v>
      </c>
      <c r="C522" s="133" t="s">
        <v>1998</v>
      </c>
      <c r="D522" s="134"/>
      <c r="E522" s="134" t="s">
        <v>63</v>
      </c>
      <c r="F522" s="134" t="s">
        <v>64</v>
      </c>
      <c r="G522" s="135">
        <v>1</v>
      </c>
      <c r="H522" s="135"/>
      <c r="I522" s="135">
        <v>0</v>
      </c>
      <c r="J522" s="136">
        <f>IFERROR(ROUND(SUM(M523,M524)/I522, 2),0)</f>
        <v>0</v>
      </c>
      <c r="K522" s="137">
        <v>570</v>
      </c>
      <c r="L522" s="136">
        <f>J522+ROUND(K522, 2)</f>
        <v>570</v>
      </c>
      <c r="M522" s="136">
        <f>ROUND(J522*I522, 2)</f>
        <v>0</v>
      </c>
      <c r="N522" s="136">
        <f>ROUND(I522*ROUND(K522, 2), 2)</f>
        <v>0</v>
      </c>
      <c r="O522" s="136">
        <f>M522+N522</f>
        <v>0</v>
      </c>
      <c r="P522" s="136">
        <f>IFERROR(ROUND(SUM(S523,S524)/I522, 2),0)</f>
        <v>0</v>
      </c>
      <c r="Q522" s="137">
        <v>570</v>
      </c>
      <c r="R522" s="136">
        <f>P522+ROUND(Q522, 2)</f>
        <v>570</v>
      </c>
      <c r="S522" s="136">
        <f>ROUND(P522*I522, 2)</f>
        <v>0</v>
      </c>
      <c r="T522" s="136">
        <f>ROUND(I522*ROUND(Q522, 2), 2)</f>
        <v>0</v>
      </c>
      <c r="U522" s="136">
        <f>S522+T522</f>
        <v>0</v>
      </c>
      <c r="V522" s="138">
        <f>ROUND(P522 / 1.2, 2)</f>
        <v>0</v>
      </c>
      <c r="W522" s="138">
        <f>ROUND(Q522 / 1.2, 2)</f>
        <v>475</v>
      </c>
      <c r="X522" s="138">
        <f>ROUND(R522 / 1.2, 2)</f>
        <v>475</v>
      </c>
      <c r="Y522" s="138">
        <f>ROUND(S522 / 1.2, 2)</f>
        <v>0</v>
      </c>
      <c r="Z522" s="138">
        <f>ROUND(T522 / 1.2, 2)</f>
        <v>0</v>
      </c>
      <c r="AA522" s="138">
        <f>Y522+Z522</f>
        <v>0</v>
      </c>
      <c r="AD522" s="140">
        <v>271132137</v>
      </c>
      <c r="AE522" s="140">
        <v>16230872</v>
      </c>
      <c r="AG522" s="140" t="s">
        <v>1999</v>
      </c>
      <c r="AH522" s="140" t="s">
        <v>2000</v>
      </c>
      <c r="AI522" s="140" t="s">
        <v>67</v>
      </c>
    </row>
    <row r="523" spans="1:35" s="139" customFormat="1" ht="72" hidden="1" x14ac:dyDescent="0.3">
      <c r="A523" s="132" t="s">
        <v>2002</v>
      </c>
      <c r="B523" s="132"/>
      <c r="C523" s="141" t="s">
        <v>2003</v>
      </c>
      <c r="D523" s="134"/>
      <c r="E523" s="134" t="s">
        <v>2004</v>
      </c>
      <c r="F523" s="142" t="s">
        <v>70</v>
      </c>
      <c r="G523" s="143">
        <v>4.5</v>
      </c>
      <c r="H523" s="143"/>
      <c r="I523" s="143">
        <v>0</v>
      </c>
      <c r="J523" s="144">
        <v>12.58</v>
      </c>
      <c r="M523" s="145">
        <f>ROUND(ROUND(J523, 2)*I523, 2)</f>
        <v>0</v>
      </c>
      <c r="P523" s="144">
        <v>12.58</v>
      </c>
      <c r="S523" s="145">
        <f>ROUND(ROUND(P523, 2)*I523, 2)</f>
        <v>0</v>
      </c>
      <c r="V523" s="138">
        <f>ROUND(ROUND(P523, 2)/1.2, 2)</f>
        <v>10.48</v>
      </c>
      <c r="Y523" s="138">
        <f t="shared" ref="Y523:Y536" si="23">ROUND(S523 / 1.2, 2)</f>
        <v>0</v>
      </c>
      <c r="AD523" s="140" t="s">
        <v>2005</v>
      </c>
      <c r="AE523" s="140" t="s">
        <v>2006</v>
      </c>
      <c r="AF523" s="140" t="s">
        <v>2007</v>
      </c>
    </row>
    <row r="524" spans="1:35" s="139" customFormat="1" ht="18" hidden="1" x14ac:dyDescent="0.3">
      <c r="A524" s="132" t="s">
        <v>2010</v>
      </c>
      <c r="B524" s="132"/>
      <c r="C524" s="146" t="s">
        <v>764</v>
      </c>
      <c r="D524" s="134"/>
      <c r="E524" s="134"/>
      <c r="F524" s="142" t="s">
        <v>70</v>
      </c>
      <c r="G524" s="143">
        <v>0.15</v>
      </c>
      <c r="H524" s="143"/>
      <c r="I524" s="143">
        <v>0</v>
      </c>
      <c r="J524" s="144">
        <v>100</v>
      </c>
      <c r="M524" s="145">
        <f>ROUND(ROUND(J524, 2)*I524, 2)</f>
        <v>0</v>
      </c>
      <c r="P524" s="144">
        <v>100</v>
      </c>
      <c r="S524" s="145">
        <f>ROUND(ROUND(P524, 2)*I524, 2)</f>
        <v>0</v>
      </c>
      <c r="V524" s="138">
        <f>ROUND(ROUND(P524, 2)/1.2, 2)</f>
        <v>83.33</v>
      </c>
      <c r="Y524" s="138">
        <f t="shared" si="23"/>
        <v>0</v>
      </c>
      <c r="AD524" s="140" t="s">
        <v>2011</v>
      </c>
      <c r="AE524" s="140" t="s">
        <v>2012</v>
      </c>
      <c r="AF524" s="140" t="s">
        <v>767</v>
      </c>
    </row>
    <row r="525" spans="1:35" s="157" customFormat="1" ht="126" hidden="1" x14ac:dyDescent="0.3">
      <c r="A525" s="149" t="s">
        <v>2015</v>
      </c>
      <c r="B525" s="149" t="s">
        <v>2016</v>
      </c>
      <c r="C525" s="150" t="s">
        <v>3053</v>
      </c>
      <c r="D525" s="151"/>
      <c r="E525" s="151" t="s">
        <v>2018</v>
      </c>
      <c r="F525" s="151" t="s">
        <v>64</v>
      </c>
      <c r="G525" s="152">
        <v>1</v>
      </c>
      <c r="H525" s="152"/>
      <c r="I525" s="152">
        <v>2789.37</v>
      </c>
      <c r="J525" s="153">
        <f>IFERROR(ROUND(SUM(M526,M527)/I525, 2),0)</f>
        <v>72.150000000000006</v>
      </c>
      <c r="K525" s="154">
        <v>790</v>
      </c>
      <c r="L525" s="153">
        <f>J525+ROUND(K525, 2)</f>
        <v>862.15</v>
      </c>
      <c r="M525" s="153">
        <f>ROUND(J525*I525, 2)</f>
        <v>201253.05</v>
      </c>
      <c r="N525" s="153">
        <f>ROUND(I525*ROUND(K525, 2), 2)</f>
        <v>2203602.2999999998</v>
      </c>
      <c r="O525" s="153">
        <f>M525+N525</f>
        <v>2404855.3499999996</v>
      </c>
      <c r="P525" s="153">
        <f>IFERROR(ROUND(SUM(S526,S527)/I525, 2),0)</f>
        <v>72.150000000000006</v>
      </c>
      <c r="Q525" s="155">
        <v>790</v>
      </c>
      <c r="R525" s="153">
        <f>P525+ROUND(Q525, 2)</f>
        <v>862.15</v>
      </c>
      <c r="S525" s="153">
        <f>ROUND(P525*I525, 2)</f>
        <v>201253.05</v>
      </c>
      <c r="T525" s="153">
        <f>ROUND(I525*ROUND(Q525, 2), 2)</f>
        <v>2203602.2999999998</v>
      </c>
      <c r="U525" s="153">
        <f>S525+T525</f>
        <v>2404855.3499999996</v>
      </c>
      <c r="V525" s="156">
        <f>ROUND(P525 / 1.2, 2)</f>
        <v>60.13</v>
      </c>
      <c r="W525" s="156">
        <f>ROUND(Q525 / 1.2, 2)</f>
        <v>658.33</v>
      </c>
      <c r="X525" s="156">
        <f>ROUND(R525 / 1.2, 2)</f>
        <v>718.46</v>
      </c>
      <c r="Y525" s="156">
        <f t="shared" si="23"/>
        <v>167710.88</v>
      </c>
      <c r="Z525" s="156">
        <f>ROUND(T525 / 1.2, 2)</f>
        <v>1836335.25</v>
      </c>
      <c r="AA525" s="156">
        <f>Y525+Z525</f>
        <v>2004046.13</v>
      </c>
      <c r="AD525" s="158">
        <v>271132139</v>
      </c>
      <c r="AE525" s="158">
        <v>16680701</v>
      </c>
      <c r="AG525" s="158" t="s">
        <v>2019</v>
      </c>
      <c r="AH525" s="158" t="s">
        <v>2020</v>
      </c>
      <c r="AI525" s="158" t="s">
        <v>67</v>
      </c>
    </row>
    <row r="526" spans="1:35" s="157" customFormat="1" ht="36" hidden="1" x14ac:dyDescent="0.3">
      <c r="A526" s="149" t="s">
        <v>2021</v>
      </c>
      <c r="B526" s="149"/>
      <c r="C526" s="159" t="s">
        <v>740</v>
      </c>
      <c r="D526" s="151"/>
      <c r="E526" s="151"/>
      <c r="F526" s="160" t="s">
        <v>70</v>
      </c>
      <c r="G526" s="161">
        <v>4.5</v>
      </c>
      <c r="H526" s="161"/>
      <c r="I526" s="161">
        <v>12552.165000000001</v>
      </c>
      <c r="J526" s="162">
        <v>12.7</v>
      </c>
      <c r="M526" s="163">
        <f>ROUND(ROUND(J526, 2)*I526, 2)</f>
        <v>159412.5</v>
      </c>
      <c r="P526" s="164">
        <v>12.7</v>
      </c>
      <c r="S526" s="163">
        <f>ROUND(ROUND(P526, 2)*I526, 2)</f>
        <v>159412.5</v>
      </c>
      <c r="V526" s="156">
        <f>ROUND(ROUND(P526, 2)/1.2, 2)</f>
        <v>10.58</v>
      </c>
      <c r="Y526" s="156">
        <f t="shared" si="23"/>
        <v>132843.75</v>
      </c>
      <c r="AD526" s="158" t="s">
        <v>2022</v>
      </c>
      <c r="AE526" s="158" t="s">
        <v>2023</v>
      </c>
      <c r="AF526" s="158" t="s">
        <v>743</v>
      </c>
    </row>
    <row r="527" spans="1:35" s="157" customFormat="1" ht="18" hidden="1" x14ac:dyDescent="0.3">
      <c r="A527" s="149" t="s">
        <v>2024</v>
      </c>
      <c r="B527" s="149"/>
      <c r="C527" s="165" t="s">
        <v>764</v>
      </c>
      <c r="D527" s="151"/>
      <c r="E527" s="151"/>
      <c r="F527" s="160" t="s">
        <v>70</v>
      </c>
      <c r="G527" s="161">
        <v>0.15</v>
      </c>
      <c r="H527" s="161"/>
      <c r="I527" s="161">
        <v>418.40600000000001</v>
      </c>
      <c r="J527" s="162">
        <v>100</v>
      </c>
      <c r="M527" s="163">
        <f>ROUND(ROUND(J527, 2)*I527, 2)</f>
        <v>41840.6</v>
      </c>
      <c r="P527" s="164">
        <v>100</v>
      </c>
      <c r="S527" s="163">
        <f>ROUND(ROUND(P527, 2)*I527, 2)</f>
        <v>41840.6</v>
      </c>
      <c r="V527" s="156">
        <f>ROUND(ROUND(P527, 2)/1.2, 2)</f>
        <v>83.33</v>
      </c>
      <c r="Y527" s="156">
        <f t="shared" si="23"/>
        <v>34867.17</v>
      </c>
      <c r="AD527" s="158" t="s">
        <v>2025</v>
      </c>
      <c r="AE527" s="158" t="s">
        <v>2026</v>
      </c>
      <c r="AF527" s="158" t="s">
        <v>767</v>
      </c>
    </row>
    <row r="528" spans="1:35" s="139" customFormat="1" ht="126" hidden="1" x14ac:dyDescent="0.3">
      <c r="A528" s="132" t="s">
        <v>2027</v>
      </c>
      <c r="B528" s="132" t="s">
        <v>2016</v>
      </c>
      <c r="C528" s="133" t="s">
        <v>2017</v>
      </c>
      <c r="D528" s="134"/>
      <c r="E528" s="134" t="s">
        <v>2028</v>
      </c>
      <c r="F528" s="134" t="s">
        <v>64</v>
      </c>
      <c r="G528" s="135">
        <v>1</v>
      </c>
      <c r="H528" s="135"/>
      <c r="I528" s="135">
        <v>3418.18</v>
      </c>
      <c r="J528" s="136">
        <f>IFERROR(ROUND(SUM(M529,M530)/I528, 2),0)</f>
        <v>72.150000000000006</v>
      </c>
      <c r="K528" s="137">
        <v>790</v>
      </c>
      <c r="L528" s="136">
        <f>J528+ROUND(K528, 2)</f>
        <v>862.15</v>
      </c>
      <c r="M528" s="136">
        <f>ROUND(J528*I528, 2)</f>
        <v>246621.69</v>
      </c>
      <c r="N528" s="136">
        <f>ROUND(I528*ROUND(K528, 2), 2)</f>
        <v>2700362.2</v>
      </c>
      <c r="O528" s="136">
        <f>M528+N528</f>
        <v>2946983.89</v>
      </c>
      <c r="P528" s="136">
        <f>IFERROR(ROUND(SUM(S529,S530)/I528, 2),0)</f>
        <v>72.150000000000006</v>
      </c>
      <c r="Q528" s="147">
        <v>790</v>
      </c>
      <c r="R528" s="136">
        <f>P528+ROUND(Q528, 2)</f>
        <v>862.15</v>
      </c>
      <c r="S528" s="136">
        <f>ROUND(P528*I528, 2)</f>
        <v>246621.69</v>
      </c>
      <c r="T528" s="136">
        <f>ROUND(I528*ROUND(Q528, 2), 2)</f>
        <v>2700362.2</v>
      </c>
      <c r="U528" s="136">
        <f>S528+T528</f>
        <v>2946983.89</v>
      </c>
      <c r="V528" s="138">
        <f>ROUND(P528 / 1.2, 2)</f>
        <v>60.13</v>
      </c>
      <c r="W528" s="138">
        <f>ROUND(Q528 / 1.2, 2)</f>
        <v>658.33</v>
      </c>
      <c r="X528" s="138">
        <f>ROUND(R528 / 1.2, 2)</f>
        <v>718.46</v>
      </c>
      <c r="Y528" s="138">
        <f t="shared" si="23"/>
        <v>205518.07999999999</v>
      </c>
      <c r="Z528" s="138">
        <f>ROUND(T528 / 1.2, 2)</f>
        <v>2250301.83</v>
      </c>
      <c r="AA528" s="138">
        <f>Y528+Z528</f>
        <v>2455819.91</v>
      </c>
      <c r="AD528" s="140">
        <v>271132244</v>
      </c>
      <c r="AE528" s="140">
        <v>19997129</v>
      </c>
      <c r="AG528" s="140" t="s">
        <v>2019</v>
      </c>
      <c r="AH528" s="140" t="s">
        <v>2020</v>
      </c>
      <c r="AI528" s="140" t="s">
        <v>67</v>
      </c>
    </row>
    <row r="529" spans="1:35" s="139" customFormat="1" ht="18" hidden="1" x14ac:dyDescent="0.3">
      <c r="A529" s="132" t="s">
        <v>2029</v>
      </c>
      <c r="B529" s="132"/>
      <c r="C529" s="146" t="s">
        <v>764</v>
      </c>
      <c r="D529" s="134"/>
      <c r="E529" s="134"/>
      <c r="F529" s="142" t="s">
        <v>70</v>
      </c>
      <c r="G529" s="143">
        <v>0.15</v>
      </c>
      <c r="H529" s="143"/>
      <c r="I529" s="143">
        <v>512.72699999999998</v>
      </c>
      <c r="J529" s="144">
        <v>100</v>
      </c>
      <c r="M529" s="145">
        <f>ROUND(ROUND(J529, 2)*I529, 2)</f>
        <v>51272.7</v>
      </c>
      <c r="P529" s="148">
        <v>100</v>
      </c>
      <c r="S529" s="145">
        <f>ROUND(ROUND(P529, 2)*I529, 2)</f>
        <v>51272.7</v>
      </c>
      <c r="V529" s="138">
        <f>ROUND(ROUND(P529, 2)/1.2, 2)</f>
        <v>83.33</v>
      </c>
      <c r="Y529" s="138">
        <f t="shared" si="23"/>
        <v>42727.25</v>
      </c>
      <c r="AD529" s="140" t="s">
        <v>2030</v>
      </c>
      <c r="AE529" s="140" t="s">
        <v>2031</v>
      </c>
      <c r="AF529" s="140" t="s">
        <v>767</v>
      </c>
    </row>
    <row r="530" spans="1:35" s="139" customFormat="1" ht="36" hidden="1" x14ac:dyDescent="0.3">
      <c r="A530" s="132" t="s">
        <v>2032</v>
      </c>
      <c r="B530" s="132"/>
      <c r="C530" s="141" t="s">
        <v>740</v>
      </c>
      <c r="D530" s="134"/>
      <c r="E530" s="134"/>
      <c r="F530" s="142" t="s">
        <v>70</v>
      </c>
      <c r="G530" s="143">
        <v>4.5</v>
      </c>
      <c r="H530" s="143"/>
      <c r="I530" s="143">
        <v>15381.81</v>
      </c>
      <c r="J530" s="144">
        <v>12.7</v>
      </c>
      <c r="M530" s="145">
        <f>ROUND(ROUND(J530, 2)*I530, 2)</f>
        <v>195348.99</v>
      </c>
      <c r="P530" s="148">
        <v>12.7</v>
      </c>
      <c r="S530" s="145">
        <f>ROUND(ROUND(P530, 2)*I530, 2)</f>
        <v>195348.99</v>
      </c>
      <c r="V530" s="138">
        <f>ROUND(ROUND(P530, 2)/1.2, 2)</f>
        <v>10.58</v>
      </c>
      <c r="Y530" s="138">
        <f t="shared" si="23"/>
        <v>162790.82999999999</v>
      </c>
      <c r="AD530" s="140" t="s">
        <v>2033</v>
      </c>
      <c r="AE530" s="140" t="s">
        <v>2034</v>
      </c>
      <c r="AF530" s="140" t="s">
        <v>743</v>
      </c>
    </row>
    <row r="531" spans="1:35" s="139" customFormat="1" ht="144" hidden="1" x14ac:dyDescent="0.3">
      <c r="A531" s="132" t="s">
        <v>2035</v>
      </c>
      <c r="B531" s="132" t="s">
        <v>2036</v>
      </c>
      <c r="C531" s="133" t="s">
        <v>2037</v>
      </c>
      <c r="D531" s="134"/>
      <c r="E531" s="134" t="s">
        <v>2038</v>
      </c>
      <c r="F531" s="134" t="s">
        <v>64</v>
      </c>
      <c r="G531" s="135">
        <v>1</v>
      </c>
      <c r="H531" s="135"/>
      <c r="I531" s="135">
        <v>3418.18</v>
      </c>
      <c r="J531" s="136">
        <f>IFERROR(ROUND(SUM(M532,M533)/I531, 2),0)</f>
        <v>36.18</v>
      </c>
      <c r="K531" s="137">
        <v>546</v>
      </c>
      <c r="L531" s="136">
        <f>J531+ROUND(K531, 2)</f>
        <v>582.17999999999995</v>
      </c>
      <c r="M531" s="136">
        <f>ROUND(J531*I531, 2)</f>
        <v>123669.75</v>
      </c>
      <c r="N531" s="136">
        <f>ROUND(I531*ROUND(K531, 2), 2)</f>
        <v>1866326.28</v>
      </c>
      <c r="O531" s="136">
        <f>M531+N531</f>
        <v>1989996.03</v>
      </c>
      <c r="P531" s="136">
        <f>IFERROR(ROUND(SUM(S532,S533)/I531, 2),0)</f>
        <v>36.18</v>
      </c>
      <c r="Q531" s="147">
        <v>546</v>
      </c>
      <c r="R531" s="136">
        <f>P531+ROUND(Q531, 2)</f>
        <v>582.17999999999995</v>
      </c>
      <c r="S531" s="136">
        <f>ROUND(P531*I531, 2)</f>
        <v>123669.75</v>
      </c>
      <c r="T531" s="136">
        <f>ROUND(I531*ROUND(Q531, 2), 2)</f>
        <v>1866326.28</v>
      </c>
      <c r="U531" s="136">
        <f>S531+T531</f>
        <v>1989996.03</v>
      </c>
      <c r="V531" s="138">
        <f>ROUND(P531 / 1.2, 2)</f>
        <v>30.15</v>
      </c>
      <c r="W531" s="138">
        <f>ROUND(Q531 / 1.2, 2)</f>
        <v>455</v>
      </c>
      <c r="X531" s="138">
        <f>ROUND(R531 / 1.2, 2)</f>
        <v>485.15</v>
      </c>
      <c r="Y531" s="138">
        <f t="shared" si="23"/>
        <v>103058.13</v>
      </c>
      <c r="Z531" s="138">
        <f>ROUND(T531 / 1.2, 2)</f>
        <v>1555271.9</v>
      </c>
      <c r="AA531" s="138">
        <f>Y531+Z531</f>
        <v>1658330.0299999998</v>
      </c>
      <c r="AD531" s="140">
        <v>271132140</v>
      </c>
      <c r="AE531" s="140">
        <v>19997514</v>
      </c>
      <c r="AG531" s="140" t="s">
        <v>2039</v>
      </c>
      <c r="AH531" s="140" t="s">
        <v>2040</v>
      </c>
      <c r="AI531" s="140" t="s">
        <v>67</v>
      </c>
    </row>
    <row r="532" spans="1:35" s="139" customFormat="1" ht="54" hidden="1" x14ac:dyDescent="0.3">
      <c r="A532" s="132" t="s">
        <v>2041</v>
      </c>
      <c r="B532" s="132"/>
      <c r="C532" s="141" t="s">
        <v>2003</v>
      </c>
      <c r="D532" s="134"/>
      <c r="E532" s="134"/>
      <c r="F532" s="142" t="s">
        <v>70</v>
      </c>
      <c r="G532" s="143">
        <v>1.8</v>
      </c>
      <c r="H532" s="143"/>
      <c r="I532" s="143">
        <v>6152.7240000000002</v>
      </c>
      <c r="J532" s="144">
        <v>12.7</v>
      </c>
      <c r="M532" s="145">
        <f>ROUND(ROUND(J532, 2)*I532, 2)</f>
        <v>78139.59</v>
      </c>
      <c r="P532" s="148">
        <v>12.7</v>
      </c>
      <c r="S532" s="145">
        <f>ROUND(ROUND(P532, 2)*I532, 2)</f>
        <v>78139.59</v>
      </c>
      <c r="V532" s="138">
        <f>ROUND(ROUND(P532, 2)/1.2, 2)</f>
        <v>10.58</v>
      </c>
      <c r="Y532" s="138">
        <f t="shared" si="23"/>
        <v>65116.33</v>
      </c>
      <c r="AD532" s="140" t="s">
        <v>2042</v>
      </c>
      <c r="AE532" s="140" t="s">
        <v>2043</v>
      </c>
      <c r="AF532" s="140" t="s">
        <v>2007</v>
      </c>
    </row>
    <row r="533" spans="1:35" s="139" customFormat="1" ht="36" hidden="1" x14ac:dyDescent="0.3">
      <c r="A533" s="132" t="s">
        <v>2044</v>
      </c>
      <c r="B533" s="132"/>
      <c r="C533" s="146" t="s">
        <v>75</v>
      </c>
      <c r="D533" s="134"/>
      <c r="E533" s="134"/>
      <c r="F533" s="142" t="s">
        <v>70</v>
      </c>
      <c r="G533" s="143">
        <v>0.15</v>
      </c>
      <c r="H533" s="143"/>
      <c r="I533" s="143">
        <v>512.72699999999998</v>
      </c>
      <c r="J533" s="144">
        <v>88.8</v>
      </c>
      <c r="M533" s="145">
        <f>ROUND(ROUND(J533, 2)*I533, 2)</f>
        <v>45530.16</v>
      </c>
      <c r="P533" s="148">
        <v>88.8</v>
      </c>
      <c r="S533" s="145">
        <f>ROUND(ROUND(P533, 2)*I533, 2)</f>
        <v>45530.16</v>
      </c>
      <c r="V533" s="138">
        <f>ROUND(ROUND(P533, 2)/1.2, 2)</f>
        <v>74</v>
      </c>
      <c r="Y533" s="138">
        <f t="shared" si="23"/>
        <v>37941.800000000003</v>
      </c>
      <c r="AD533" s="140" t="s">
        <v>2045</v>
      </c>
      <c r="AE533" s="140" t="s">
        <v>2046</v>
      </c>
      <c r="AF533" s="140" t="s">
        <v>78</v>
      </c>
    </row>
    <row r="534" spans="1:35" s="157" customFormat="1" ht="144" hidden="1" x14ac:dyDescent="0.3">
      <c r="A534" s="149" t="s">
        <v>2047</v>
      </c>
      <c r="B534" s="149" t="s">
        <v>2036</v>
      </c>
      <c r="C534" s="150" t="s">
        <v>2037</v>
      </c>
      <c r="D534" s="151"/>
      <c r="E534" s="151" t="s">
        <v>2048</v>
      </c>
      <c r="F534" s="151" t="s">
        <v>64</v>
      </c>
      <c r="G534" s="152">
        <v>1</v>
      </c>
      <c r="H534" s="152"/>
      <c r="I534" s="152">
        <v>2789.37</v>
      </c>
      <c r="J534" s="153">
        <f>IFERROR(ROUND(SUM(M535,M536)/I534, 2),0)</f>
        <v>36.18</v>
      </c>
      <c r="K534" s="154">
        <v>546</v>
      </c>
      <c r="L534" s="153">
        <f>J534+ROUND(K534, 2)</f>
        <v>582.17999999999995</v>
      </c>
      <c r="M534" s="153">
        <f>ROUND(J534*I534, 2)</f>
        <v>100919.41</v>
      </c>
      <c r="N534" s="153">
        <f>ROUND(I534*ROUND(K534, 2), 2)</f>
        <v>1522996.02</v>
      </c>
      <c r="O534" s="153">
        <f>M534+N534</f>
        <v>1623915.43</v>
      </c>
      <c r="P534" s="153">
        <f>IFERROR(ROUND(SUM(S535,S536)/I534, 2),0)</f>
        <v>36.18</v>
      </c>
      <c r="Q534" s="155">
        <v>546</v>
      </c>
      <c r="R534" s="153">
        <f>P534+ROUND(Q534, 2)</f>
        <v>582.17999999999995</v>
      </c>
      <c r="S534" s="153">
        <f>ROUND(P534*I534, 2)</f>
        <v>100919.41</v>
      </c>
      <c r="T534" s="153">
        <f>ROUND(I534*ROUND(Q534, 2), 2)</f>
        <v>1522996.02</v>
      </c>
      <c r="U534" s="153">
        <f>S534+T534</f>
        <v>1623915.43</v>
      </c>
      <c r="V534" s="156">
        <f>ROUND(P534 / 1.2, 2)</f>
        <v>30.15</v>
      </c>
      <c r="W534" s="156">
        <f>ROUND(Q534 / 1.2, 2)</f>
        <v>455</v>
      </c>
      <c r="X534" s="156">
        <f>ROUND(R534 / 1.2, 2)</f>
        <v>485.15</v>
      </c>
      <c r="Y534" s="156">
        <f t="shared" si="23"/>
        <v>84099.51</v>
      </c>
      <c r="Z534" s="156">
        <f>ROUND(T534 / 1.2, 2)</f>
        <v>1269163.3500000001</v>
      </c>
      <c r="AA534" s="156">
        <f>Y534+Z534</f>
        <v>1353262.86</v>
      </c>
      <c r="AD534" s="158">
        <v>271132245</v>
      </c>
      <c r="AE534" s="158">
        <v>19997515</v>
      </c>
      <c r="AG534" s="158" t="s">
        <v>2039</v>
      </c>
      <c r="AH534" s="158" t="s">
        <v>2040</v>
      </c>
      <c r="AI534" s="158" t="s">
        <v>67</v>
      </c>
    </row>
    <row r="535" spans="1:35" s="157" customFormat="1" ht="36" hidden="1" x14ac:dyDescent="0.3">
      <c r="A535" s="149" t="s">
        <v>2049</v>
      </c>
      <c r="B535" s="149"/>
      <c r="C535" s="165" t="s">
        <v>75</v>
      </c>
      <c r="D535" s="151"/>
      <c r="E535" s="151"/>
      <c r="F535" s="160" t="s">
        <v>70</v>
      </c>
      <c r="G535" s="161">
        <v>0.15</v>
      </c>
      <c r="H535" s="161"/>
      <c r="I535" s="161">
        <v>418.40600000000001</v>
      </c>
      <c r="J535" s="162">
        <v>88.8</v>
      </c>
      <c r="M535" s="163">
        <f>ROUND(ROUND(J535, 2)*I535, 2)</f>
        <v>37154.449999999997</v>
      </c>
      <c r="P535" s="164">
        <v>88.8</v>
      </c>
      <c r="S535" s="163">
        <f>ROUND(ROUND(P535, 2)*I535, 2)</f>
        <v>37154.449999999997</v>
      </c>
      <c r="V535" s="156">
        <f>ROUND(ROUND(P535, 2)/1.2, 2)</f>
        <v>74</v>
      </c>
      <c r="Y535" s="156">
        <f t="shared" si="23"/>
        <v>30962.04</v>
      </c>
      <c r="AD535" s="158" t="s">
        <v>2050</v>
      </c>
      <c r="AE535" s="158" t="s">
        <v>2051</v>
      </c>
      <c r="AF535" s="158" t="s">
        <v>78</v>
      </c>
    </row>
    <row r="536" spans="1:35" s="157" customFormat="1" ht="54" hidden="1" x14ac:dyDescent="0.3">
      <c r="A536" s="149" t="s">
        <v>2052</v>
      </c>
      <c r="B536" s="149"/>
      <c r="C536" s="159" t="s">
        <v>2003</v>
      </c>
      <c r="D536" s="151"/>
      <c r="E536" s="151"/>
      <c r="F536" s="160" t="s">
        <v>70</v>
      </c>
      <c r="G536" s="161">
        <v>1.8</v>
      </c>
      <c r="H536" s="161"/>
      <c r="I536" s="161">
        <v>5020.866</v>
      </c>
      <c r="J536" s="162">
        <v>12.7</v>
      </c>
      <c r="M536" s="163">
        <f>ROUND(ROUND(J536, 2)*I536, 2)</f>
        <v>63765</v>
      </c>
      <c r="P536" s="164">
        <v>12.7</v>
      </c>
      <c r="S536" s="163">
        <f>ROUND(ROUND(P536, 2)*I536, 2)</f>
        <v>63765</v>
      </c>
      <c r="V536" s="156">
        <f>ROUND(ROUND(P536, 2)/1.2, 2)</f>
        <v>10.58</v>
      </c>
      <c r="Y536" s="156">
        <f t="shared" si="23"/>
        <v>53137.5</v>
      </c>
      <c r="AD536" s="158" t="s">
        <v>2053</v>
      </c>
      <c r="AE536" s="158" t="s">
        <v>2054</v>
      </c>
      <c r="AF536" s="158" t="s">
        <v>2007</v>
      </c>
    </row>
    <row r="537" spans="1:35" ht="17.100000000000001" hidden="1" customHeight="1" x14ac:dyDescent="0.3">
      <c r="A537" s="10" t="s">
        <v>2055</v>
      </c>
      <c r="B537" s="10" t="s">
        <v>2056</v>
      </c>
      <c r="C537" s="185" t="s">
        <v>2057</v>
      </c>
      <c r="D537" s="186"/>
      <c r="E537" s="186"/>
      <c r="F537" s="186"/>
      <c r="G537" s="186"/>
      <c r="H537" s="186"/>
      <c r="I537" s="187"/>
      <c r="M537" s="6">
        <f>SUM(M538,M541,M544,M547,M550,M553,M556,M559,M562,M565,M568,M571,M574,M577,M580,M583,M586,M589,M592,M595,M598,M601,M604,M607,M610,M613,M616,M619,M622,M625,M628,M631,M634,M637,M640,M643,M646,M649,M652,M655,M658,M661,M664,M667,M670,M673,M676)</f>
        <v>82642.16</v>
      </c>
      <c r="N537" s="6">
        <f>SUM(N538,N541,N544,N547,N550,N553,N556,N559,N562,N565,N568,N571,N574,N577,N580,N583,N586,N589,N592,N595,N598,N601,N604,N607,N610,N613,N616,N619,N622,N625,N628,N631,N634,N637,N640,N643,N646,N649,N652,N655,N658,N661,N664,N667,N670,N673,N676)</f>
        <v>2880303.1999999993</v>
      </c>
      <c r="O537" s="6">
        <f>SUM(O538,O541,O544,O547,O550,O553,O556,O559,O562,O565,O568,O571,O574,O577,O580,O583,O586,O589,O592,O595,O598,O601,O604,O607,O610,O613,O616,O619,O622,O625,O628,O631,O634,O637,O640,O643,O646,O649,O652,O655,O658,O661,O664,O667,O670,O673,O676)</f>
        <v>2962945.3600000008</v>
      </c>
      <c r="S537" s="6">
        <f>SUM(S538,S541,S544,S547,S550,S553,S556,S559,S562,S565,S568,S571,S574,S577,S580,S583,S586,S589,S592,S595,S598,S601,S604,S607,S610,S613,S616,S619,S622,S625,S628,S631,S634,S637,S640,S643,S646,S649,S652,S655,S658,S661,S664,S667,S670,S673,S676)</f>
        <v>82642.16</v>
      </c>
      <c r="T537" s="6">
        <f>SUM(T538,T541,T544,T547,T550,T553,T556,T559,T562,T565,T568,T571,T574,T577,T580,T583,T586,T589,T592,T595,T598,T601,T604,T607,T610,T613,T616,T619,T622,T625,T628,T631,T634,T637,T640,T643,T646,T649,T652,T655,T658,T661,T664,T667,T670,T673,T676)</f>
        <v>2880303.1999999993</v>
      </c>
      <c r="U537" s="6">
        <f>SUM(U538,U541,U544,U547,U550,U553,U556,U559,U562,U565,U568,U571,U574,U577,U580,U583,U586,U589,U592,U595,U598,U601,U604,U607,U610,U613,U616,U619,U622,U625,U628,U631,U634,U637,U640,U643,U646,U649,U652,U655,U658,U661,U664,U667,U670,U673,U676)</f>
        <v>2962945.3600000008</v>
      </c>
      <c r="Y537" s="9">
        <f>SUM(Y538,Y541,Y544,Y547,Y550,Y553,Y556,Y559,Y562,Y565,Y568,Y571,Y574,Y577,Y580,Y583,Y586,Y589,Y592,Y595,Y598,Y601,Y604,Y607,Y610,Y613,Y616,Y619,Y622,Y625,Y628,Y631,Y634,Y637,Y640,Y643,Y646,Y649,Y652,Y655,Y658,Y661,Y664,Y667,Y670,Y673,Y676)</f>
        <v>68868.5</v>
      </c>
      <c r="Z537" s="9">
        <f>SUM(Z538,Z541,Z544,Z547,Z550,Z553,Z556,Z559,Z562,Z565,Z568,Z571,Z574,Z577,Z580,Z583,Z586,Z589,Z592,Z595,Z598,Z601,Z604,Z607,Z610,Z613,Z616,Z619,Z622,Z625,Z628,Z631,Z634,Z637,Z640,Z643,Z646,Z649,Z652,Z655,Z658,Z661,Z664,Z667,Z670,Z673,Z676)</f>
        <v>2400252.6399999992</v>
      </c>
      <c r="AA537" s="9">
        <f>SUM(AA538,AA541,AA544,AA547,AA550,AA553,AA556,AA559,AA562,AA565,AA568,AA571,AA574,AA577,AA580,AA583,AA586,AA589,AA592,AA595,AA598,AA601,AA604,AA607,AA610,AA613,AA616,AA619,AA622,AA625,AA628,AA631,AA634,AA637,AA640,AA643,AA646,AA649,AA652,AA655,AA658,AA661,AA664,AA667,AA670,AA673,AA676)</f>
        <v>2469121.1399999992</v>
      </c>
      <c r="AD537" s="4">
        <v>271132141</v>
      </c>
      <c r="AE537" s="4">
        <v>16231514</v>
      </c>
    </row>
    <row r="538" spans="1:35" ht="54" hidden="1" x14ac:dyDescent="0.3">
      <c r="A538" s="10" t="s">
        <v>2058</v>
      </c>
      <c r="B538" s="10" t="s">
        <v>2059</v>
      </c>
      <c r="C538" s="11" t="s">
        <v>2060</v>
      </c>
      <c r="D538" s="12"/>
      <c r="E538" s="12" t="s">
        <v>63</v>
      </c>
      <c r="F538" s="12" t="s">
        <v>64</v>
      </c>
      <c r="G538" s="13">
        <v>1</v>
      </c>
      <c r="H538" s="13"/>
      <c r="I538" s="13">
        <v>0</v>
      </c>
      <c r="J538" s="14">
        <f>IFERROR(ROUND(SUM(M539,M540)/I538, 2),0)</f>
        <v>0</v>
      </c>
      <c r="K538" s="15">
        <v>278</v>
      </c>
      <c r="L538" s="14">
        <f>J538+ROUND(K538, 2)</f>
        <v>278</v>
      </c>
      <c r="M538" s="14">
        <f>ROUND(J538*I538, 2)</f>
        <v>0</v>
      </c>
      <c r="N538" s="14">
        <f>ROUND(I538*ROUND(K538, 2), 2)</f>
        <v>0</v>
      </c>
      <c r="O538" s="14">
        <f>M538+N538</f>
        <v>0</v>
      </c>
      <c r="P538" s="14">
        <f>IFERROR(ROUND(SUM(S539,S540)/I538, 2),0)</f>
        <v>0</v>
      </c>
      <c r="Q538" s="15">
        <v>278</v>
      </c>
      <c r="R538" s="14">
        <f>P538+ROUND(Q538, 2)</f>
        <v>278</v>
      </c>
      <c r="S538" s="14">
        <f>ROUND(P538*I538, 2)</f>
        <v>0</v>
      </c>
      <c r="T538" s="14">
        <f>ROUND(I538*ROUND(Q538, 2), 2)</f>
        <v>0</v>
      </c>
      <c r="U538" s="14">
        <f>S538+T538</f>
        <v>0</v>
      </c>
      <c r="V538" s="9">
        <f>ROUND(P538 / 1.2, 2)</f>
        <v>0</v>
      </c>
      <c r="W538" s="9">
        <f>ROUND(Q538 / 1.2, 2)</f>
        <v>231.67</v>
      </c>
      <c r="X538" s="9">
        <f>ROUND(R538 / 1.2, 2)</f>
        <v>231.67</v>
      </c>
      <c r="Y538" s="9">
        <f>ROUND(S538 / 1.2, 2)</f>
        <v>0</v>
      </c>
      <c r="Z538" s="9">
        <f>ROUND(T538 / 1.2, 2)</f>
        <v>0</v>
      </c>
      <c r="AA538" s="9">
        <f>Y538+Z538</f>
        <v>0</v>
      </c>
      <c r="AD538" s="4">
        <v>271132143</v>
      </c>
      <c r="AE538" s="4">
        <v>16231516</v>
      </c>
      <c r="AG538" s="4" t="s">
        <v>2061</v>
      </c>
      <c r="AH538" s="4" t="s">
        <v>2062</v>
      </c>
      <c r="AI538" s="4" t="s">
        <v>67</v>
      </c>
    </row>
    <row r="539" spans="1:35" ht="108" hidden="1" x14ac:dyDescent="0.3">
      <c r="A539" s="10" t="s">
        <v>2064</v>
      </c>
      <c r="B539" s="10"/>
      <c r="C539" s="24" t="s">
        <v>1170</v>
      </c>
      <c r="D539" s="12"/>
      <c r="E539" s="12" t="s">
        <v>2065</v>
      </c>
      <c r="F539" s="18" t="s">
        <v>70</v>
      </c>
      <c r="G539" s="19">
        <v>0.3</v>
      </c>
      <c r="H539" s="20"/>
      <c r="I539" s="20">
        <v>0</v>
      </c>
      <c r="J539" s="21">
        <v>388.89</v>
      </c>
      <c r="M539" s="22">
        <f>ROUND(ROUND(J539, 2)*I539, 2)</f>
        <v>0</v>
      </c>
      <c r="P539" s="21">
        <v>388.89</v>
      </c>
      <c r="S539" s="22">
        <f>ROUND(ROUND(P539, 2)*I539, 2)</f>
        <v>0</v>
      </c>
      <c r="V539" s="9">
        <f>ROUND(ROUND(P539, 2)/1.2, 2)</f>
        <v>324.08</v>
      </c>
      <c r="Y539" s="9">
        <f t="shared" ref="Y539:Y602" si="24">ROUND(S539 / 1.2, 2)</f>
        <v>0</v>
      </c>
      <c r="AD539" s="4" t="s">
        <v>2066</v>
      </c>
      <c r="AE539" s="4" t="s">
        <v>2067</v>
      </c>
      <c r="AF539" s="4" t="s">
        <v>1174</v>
      </c>
    </row>
    <row r="540" spans="1:35" ht="36" hidden="1" x14ac:dyDescent="0.3">
      <c r="A540" s="10" t="s">
        <v>2070</v>
      </c>
      <c r="B540" s="10"/>
      <c r="C540" s="24" t="s">
        <v>433</v>
      </c>
      <c r="D540" s="12"/>
      <c r="E540" s="12"/>
      <c r="F540" s="18" t="s">
        <v>70</v>
      </c>
      <c r="G540" s="19">
        <v>0.15</v>
      </c>
      <c r="H540" s="20"/>
      <c r="I540" s="20">
        <v>0</v>
      </c>
      <c r="J540" s="21">
        <v>88.8</v>
      </c>
      <c r="M540" s="22">
        <f>ROUND(ROUND(J540, 2)*I540, 2)</f>
        <v>0</v>
      </c>
      <c r="P540" s="21">
        <v>88.8</v>
      </c>
      <c r="S540" s="22">
        <f>ROUND(ROUND(P540, 2)*I540, 2)</f>
        <v>0</v>
      </c>
      <c r="V540" s="9">
        <f>ROUND(ROUND(P540, 2)/1.2, 2)</f>
        <v>74</v>
      </c>
      <c r="Y540" s="9">
        <f t="shared" si="24"/>
        <v>0</v>
      </c>
      <c r="AD540" s="4" t="s">
        <v>2071</v>
      </c>
      <c r="AE540" s="4" t="s">
        <v>2072</v>
      </c>
      <c r="AF540" s="4" t="s">
        <v>436</v>
      </c>
    </row>
    <row r="541" spans="1:35" ht="54" hidden="1" x14ac:dyDescent="0.3">
      <c r="A541" s="10" t="s">
        <v>2075</v>
      </c>
      <c r="B541" s="10" t="s">
        <v>2059</v>
      </c>
      <c r="C541" s="11" t="s">
        <v>2060</v>
      </c>
      <c r="D541" s="12"/>
      <c r="E541" s="12" t="s">
        <v>63</v>
      </c>
      <c r="F541" s="12" t="s">
        <v>64</v>
      </c>
      <c r="G541" s="13">
        <v>1</v>
      </c>
      <c r="H541" s="13"/>
      <c r="I541" s="13">
        <v>0</v>
      </c>
      <c r="J541" s="14">
        <f>IFERROR(ROUND(SUM(M542,M543)/I541, 2),0)</f>
        <v>0</v>
      </c>
      <c r="K541" s="15">
        <v>278</v>
      </c>
      <c r="L541" s="14">
        <f>J541+ROUND(K541, 2)</f>
        <v>278</v>
      </c>
      <c r="M541" s="14">
        <f>ROUND(J541*I541, 2)</f>
        <v>0</v>
      </c>
      <c r="N541" s="14">
        <f>ROUND(I541*ROUND(K541, 2), 2)</f>
        <v>0</v>
      </c>
      <c r="O541" s="14">
        <f>M541+N541</f>
        <v>0</v>
      </c>
      <c r="P541" s="14">
        <f>IFERROR(ROUND(SUM(S542,S543)/I541, 2),0)</f>
        <v>0</v>
      </c>
      <c r="Q541" s="15">
        <v>278</v>
      </c>
      <c r="R541" s="14">
        <f>P541+ROUND(Q541, 2)</f>
        <v>278</v>
      </c>
      <c r="S541" s="14">
        <f>ROUND(P541*I541, 2)</f>
        <v>0</v>
      </c>
      <c r="T541" s="14">
        <f>ROUND(I541*ROUND(Q541, 2), 2)</f>
        <v>0</v>
      </c>
      <c r="U541" s="14">
        <f>S541+T541</f>
        <v>0</v>
      </c>
      <c r="V541" s="9">
        <f>ROUND(P541 / 1.2, 2)</f>
        <v>0</v>
      </c>
      <c r="W541" s="9">
        <f>ROUND(Q541 / 1.2, 2)</f>
        <v>231.67</v>
      </c>
      <c r="X541" s="9">
        <f>ROUND(R541 / 1.2, 2)</f>
        <v>231.67</v>
      </c>
      <c r="Y541" s="9">
        <f t="shared" si="24"/>
        <v>0</v>
      </c>
      <c r="Z541" s="9">
        <f>ROUND(T541 / 1.2, 2)</f>
        <v>0</v>
      </c>
      <c r="AA541" s="9">
        <f>Y541+Z541</f>
        <v>0</v>
      </c>
      <c r="AD541" s="4">
        <v>271132246</v>
      </c>
      <c r="AE541" s="4">
        <v>16231523</v>
      </c>
      <c r="AG541" s="4" t="s">
        <v>2061</v>
      </c>
      <c r="AH541" s="4" t="s">
        <v>2062</v>
      </c>
      <c r="AI541" s="4" t="s">
        <v>67</v>
      </c>
    </row>
    <row r="542" spans="1:35" ht="36" hidden="1" x14ac:dyDescent="0.3">
      <c r="A542" s="10" t="s">
        <v>2077</v>
      </c>
      <c r="B542" s="10"/>
      <c r="C542" s="24" t="s">
        <v>433</v>
      </c>
      <c r="D542" s="12"/>
      <c r="E542" s="12"/>
      <c r="F542" s="18" t="s">
        <v>70</v>
      </c>
      <c r="G542" s="19">
        <v>0.15</v>
      </c>
      <c r="H542" s="20"/>
      <c r="I542" s="20">
        <v>0</v>
      </c>
      <c r="J542" s="21">
        <v>88.8</v>
      </c>
      <c r="M542" s="22">
        <f>ROUND(ROUND(J542, 2)*I542, 2)</f>
        <v>0</v>
      </c>
      <c r="P542" s="21">
        <v>88.8</v>
      </c>
      <c r="S542" s="22">
        <f>ROUND(ROUND(P542, 2)*I542, 2)</f>
        <v>0</v>
      </c>
      <c r="V542" s="9">
        <f>ROUND(ROUND(P542, 2)/1.2, 2)</f>
        <v>74</v>
      </c>
      <c r="Y542" s="9">
        <f t="shared" si="24"/>
        <v>0</v>
      </c>
      <c r="AD542" s="4" t="s">
        <v>2078</v>
      </c>
      <c r="AE542" s="4" t="s">
        <v>2079</v>
      </c>
      <c r="AF542" s="4" t="s">
        <v>436</v>
      </c>
    </row>
    <row r="543" spans="1:35" ht="54" hidden="1" x14ac:dyDescent="0.3">
      <c r="A543" s="10" t="s">
        <v>2082</v>
      </c>
      <c r="B543" s="10"/>
      <c r="C543" s="24" t="s">
        <v>2083</v>
      </c>
      <c r="D543" s="12"/>
      <c r="E543" s="12" t="s">
        <v>2084</v>
      </c>
      <c r="F543" s="18" t="s">
        <v>70</v>
      </c>
      <c r="G543" s="19">
        <v>0.3</v>
      </c>
      <c r="H543" s="20"/>
      <c r="I543" s="20">
        <v>0</v>
      </c>
      <c r="J543" s="21">
        <v>226.67</v>
      </c>
      <c r="M543" s="22">
        <f>ROUND(ROUND(J543, 2)*I543, 2)</f>
        <v>0</v>
      </c>
      <c r="P543" s="21">
        <v>226.67</v>
      </c>
      <c r="S543" s="22">
        <f>ROUND(ROUND(P543, 2)*I543, 2)</f>
        <v>0</v>
      </c>
      <c r="V543" s="9">
        <f>ROUND(ROUND(P543, 2)/1.2, 2)</f>
        <v>188.89</v>
      </c>
      <c r="Y543" s="9">
        <f t="shared" si="24"/>
        <v>0</v>
      </c>
      <c r="AD543" s="4" t="s">
        <v>2085</v>
      </c>
      <c r="AE543" s="4" t="s">
        <v>2086</v>
      </c>
      <c r="AF543" s="4" t="s">
        <v>2087</v>
      </c>
    </row>
    <row r="544" spans="1:35" ht="54" hidden="1" x14ac:dyDescent="0.3">
      <c r="A544" s="10" t="s">
        <v>2090</v>
      </c>
      <c r="B544" s="10" t="s">
        <v>2059</v>
      </c>
      <c r="C544" s="11" t="s">
        <v>2060</v>
      </c>
      <c r="D544" s="12"/>
      <c r="E544" s="12" t="s">
        <v>63</v>
      </c>
      <c r="F544" s="12" t="s">
        <v>64</v>
      </c>
      <c r="G544" s="13">
        <v>1</v>
      </c>
      <c r="H544" s="13"/>
      <c r="I544" s="13">
        <v>0</v>
      </c>
      <c r="J544" s="14">
        <f>IFERROR(ROUND(SUM(M545,M546)/I544, 2),0)</f>
        <v>0</v>
      </c>
      <c r="K544" s="15">
        <v>278</v>
      </c>
      <c r="L544" s="14">
        <f>J544+ROUND(K544, 2)</f>
        <v>278</v>
      </c>
      <c r="M544" s="14">
        <f>ROUND(J544*I544, 2)</f>
        <v>0</v>
      </c>
      <c r="N544" s="14">
        <f>ROUND(I544*ROUND(K544, 2), 2)</f>
        <v>0</v>
      </c>
      <c r="O544" s="14">
        <f>M544+N544</f>
        <v>0</v>
      </c>
      <c r="P544" s="14">
        <f>IFERROR(ROUND(SUM(S545,S546)/I544, 2),0)</f>
        <v>0</v>
      </c>
      <c r="Q544" s="15">
        <v>278</v>
      </c>
      <c r="R544" s="14">
        <f>P544+ROUND(Q544, 2)</f>
        <v>278</v>
      </c>
      <c r="S544" s="14">
        <f>ROUND(P544*I544, 2)</f>
        <v>0</v>
      </c>
      <c r="T544" s="14">
        <f>ROUND(I544*ROUND(Q544, 2), 2)</f>
        <v>0</v>
      </c>
      <c r="U544" s="14">
        <f>S544+T544</f>
        <v>0</v>
      </c>
      <c r="V544" s="9">
        <f>ROUND(P544 / 1.2, 2)</f>
        <v>0</v>
      </c>
      <c r="W544" s="9">
        <f>ROUND(Q544 / 1.2, 2)</f>
        <v>231.67</v>
      </c>
      <c r="X544" s="9">
        <f>ROUND(R544 / 1.2, 2)</f>
        <v>231.67</v>
      </c>
      <c r="Y544" s="9">
        <f t="shared" si="24"/>
        <v>0</v>
      </c>
      <c r="Z544" s="9">
        <f>ROUND(T544 / 1.2, 2)</f>
        <v>0</v>
      </c>
      <c r="AA544" s="9">
        <f>Y544+Z544</f>
        <v>0</v>
      </c>
      <c r="AD544" s="4">
        <v>271132247</v>
      </c>
      <c r="AE544" s="4">
        <v>16231517</v>
      </c>
      <c r="AG544" s="4" t="s">
        <v>2061</v>
      </c>
      <c r="AH544" s="4" t="s">
        <v>2062</v>
      </c>
      <c r="AI544" s="4" t="s">
        <v>67</v>
      </c>
    </row>
    <row r="545" spans="1:35" ht="36" hidden="1" x14ac:dyDescent="0.3">
      <c r="A545" s="10" t="s">
        <v>2092</v>
      </c>
      <c r="B545" s="10"/>
      <c r="C545" s="24" t="s">
        <v>433</v>
      </c>
      <c r="D545" s="12"/>
      <c r="E545" s="12"/>
      <c r="F545" s="18" t="s">
        <v>70</v>
      </c>
      <c r="G545" s="19">
        <v>0.15</v>
      </c>
      <c r="H545" s="20"/>
      <c r="I545" s="20">
        <v>0</v>
      </c>
      <c r="J545" s="21">
        <v>88.8</v>
      </c>
      <c r="M545" s="22">
        <f>ROUND(ROUND(J545, 2)*I545, 2)</f>
        <v>0</v>
      </c>
      <c r="P545" s="21">
        <v>88.8</v>
      </c>
      <c r="S545" s="22">
        <f>ROUND(ROUND(P545, 2)*I545, 2)</f>
        <v>0</v>
      </c>
      <c r="V545" s="9">
        <f>ROUND(ROUND(P545, 2)/1.2, 2)</f>
        <v>74</v>
      </c>
      <c r="Y545" s="9">
        <f t="shared" si="24"/>
        <v>0</v>
      </c>
      <c r="AD545" s="4" t="s">
        <v>2093</v>
      </c>
      <c r="AE545" s="4" t="s">
        <v>2094</v>
      </c>
      <c r="AF545" s="4" t="s">
        <v>436</v>
      </c>
    </row>
    <row r="546" spans="1:35" ht="54" hidden="1" x14ac:dyDescent="0.3">
      <c r="A546" s="10" t="s">
        <v>2097</v>
      </c>
      <c r="B546" s="10"/>
      <c r="C546" s="24" t="s">
        <v>2083</v>
      </c>
      <c r="D546" s="12"/>
      <c r="E546" s="12" t="s">
        <v>2098</v>
      </c>
      <c r="F546" s="18" t="s">
        <v>70</v>
      </c>
      <c r="G546" s="19">
        <v>0.3</v>
      </c>
      <c r="H546" s="20"/>
      <c r="I546" s="20">
        <v>0</v>
      </c>
      <c r="J546" s="21">
        <v>226.67</v>
      </c>
      <c r="M546" s="22">
        <f>ROUND(ROUND(J546, 2)*I546, 2)</f>
        <v>0</v>
      </c>
      <c r="P546" s="21">
        <v>226.67</v>
      </c>
      <c r="S546" s="22">
        <f>ROUND(ROUND(P546, 2)*I546, 2)</f>
        <v>0</v>
      </c>
      <c r="V546" s="9">
        <f>ROUND(ROUND(P546, 2)/1.2, 2)</f>
        <v>188.89</v>
      </c>
      <c r="Y546" s="9">
        <f t="shared" si="24"/>
        <v>0</v>
      </c>
      <c r="AD546" s="4" t="s">
        <v>2099</v>
      </c>
      <c r="AE546" s="4" t="s">
        <v>2100</v>
      </c>
      <c r="AF546" s="4" t="s">
        <v>2087</v>
      </c>
    </row>
    <row r="547" spans="1:35" ht="54" hidden="1" x14ac:dyDescent="0.3">
      <c r="A547" s="10" t="s">
        <v>2103</v>
      </c>
      <c r="B547" s="10" t="s">
        <v>2059</v>
      </c>
      <c r="C547" s="11" t="s">
        <v>2060</v>
      </c>
      <c r="D547" s="12"/>
      <c r="E547" s="12" t="s">
        <v>63</v>
      </c>
      <c r="F547" s="12" t="s">
        <v>64</v>
      </c>
      <c r="G547" s="13">
        <v>1</v>
      </c>
      <c r="H547" s="13"/>
      <c r="I547" s="13">
        <v>0</v>
      </c>
      <c r="J547" s="14">
        <f>IFERROR(ROUND(SUM(M548,M549)/I547, 2),0)</f>
        <v>0</v>
      </c>
      <c r="K547" s="15">
        <v>278</v>
      </c>
      <c r="L547" s="14">
        <f>J547+ROUND(K547, 2)</f>
        <v>278</v>
      </c>
      <c r="M547" s="14">
        <f>ROUND(J547*I547, 2)</f>
        <v>0</v>
      </c>
      <c r="N547" s="14">
        <f>ROUND(I547*ROUND(K547, 2), 2)</f>
        <v>0</v>
      </c>
      <c r="O547" s="14">
        <f>M547+N547</f>
        <v>0</v>
      </c>
      <c r="P547" s="14">
        <f>IFERROR(ROUND(SUM(S548,S549)/I547, 2),0)</f>
        <v>0</v>
      </c>
      <c r="Q547" s="15">
        <v>278</v>
      </c>
      <c r="R547" s="14">
        <f>P547+ROUND(Q547, 2)</f>
        <v>278</v>
      </c>
      <c r="S547" s="14">
        <f>ROUND(P547*I547, 2)</f>
        <v>0</v>
      </c>
      <c r="T547" s="14">
        <f>ROUND(I547*ROUND(Q547, 2), 2)</f>
        <v>0</v>
      </c>
      <c r="U547" s="14">
        <f>S547+T547</f>
        <v>0</v>
      </c>
      <c r="V547" s="9">
        <f>ROUND(P547 / 1.2, 2)</f>
        <v>0</v>
      </c>
      <c r="W547" s="9">
        <f>ROUND(Q547 / 1.2, 2)</f>
        <v>231.67</v>
      </c>
      <c r="X547" s="9">
        <f>ROUND(R547 / 1.2, 2)</f>
        <v>231.67</v>
      </c>
      <c r="Y547" s="9">
        <f t="shared" si="24"/>
        <v>0</v>
      </c>
      <c r="Z547" s="9">
        <f>ROUND(T547 / 1.2, 2)</f>
        <v>0</v>
      </c>
      <c r="AA547" s="9">
        <f>Y547+Z547</f>
        <v>0</v>
      </c>
      <c r="AD547" s="4">
        <v>271132248</v>
      </c>
      <c r="AE547" s="4">
        <v>16231518</v>
      </c>
      <c r="AG547" s="4" t="s">
        <v>2061</v>
      </c>
      <c r="AH547" s="4" t="s">
        <v>2062</v>
      </c>
      <c r="AI547" s="4" t="s">
        <v>67</v>
      </c>
    </row>
    <row r="548" spans="1:35" ht="36" hidden="1" x14ac:dyDescent="0.3">
      <c r="A548" s="10" t="s">
        <v>2105</v>
      </c>
      <c r="B548" s="10"/>
      <c r="C548" s="24" t="s">
        <v>433</v>
      </c>
      <c r="D548" s="12"/>
      <c r="E548" s="12"/>
      <c r="F548" s="18" t="s">
        <v>70</v>
      </c>
      <c r="G548" s="19">
        <v>0.15</v>
      </c>
      <c r="H548" s="20"/>
      <c r="I548" s="20">
        <v>0</v>
      </c>
      <c r="J548" s="21">
        <v>88.8</v>
      </c>
      <c r="M548" s="22">
        <f>ROUND(ROUND(J548, 2)*I548, 2)</f>
        <v>0</v>
      </c>
      <c r="P548" s="21">
        <v>88.8</v>
      </c>
      <c r="S548" s="22">
        <f>ROUND(ROUND(P548, 2)*I548, 2)</f>
        <v>0</v>
      </c>
      <c r="V548" s="9">
        <f>ROUND(ROUND(P548, 2)/1.2, 2)</f>
        <v>74</v>
      </c>
      <c r="Y548" s="9">
        <f t="shared" si="24"/>
        <v>0</v>
      </c>
      <c r="AD548" s="4" t="s">
        <v>2106</v>
      </c>
      <c r="AE548" s="4" t="s">
        <v>2107</v>
      </c>
      <c r="AF548" s="4" t="s">
        <v>436</v>
      </c>
    </row>
    <row r="549" spans="1:35" ht="54" hidden="1" x14ac:dyDescent="0.3">
      <c r="A549" s="10" t="s">
        <v>2110</v>
      </c>
      <c r="B549" s="10"/>
      <c r="C549" s="24" t="s">
        <v>2083</v>
      </c>
      <c r="D549" s="12"/>
      <c r="E549" s="12" t="s">
        <v>2111</v>
      </c>
      <c r="F549" s="18" t="s">
        <v>70</v>
      </c>
      <c r="G549" s="19">
        <v>0.3</v>
      </c>
      <c r="H549" s="20"/>
      <c r="I549" s="20">
        <v>0</v>
      </c>
      <c r="J549" s="21">
        <v>226.67</v>
      </c>
      <c r="M549" s="22">
        <f>ROUND(ROUND(J549, 2)*I549, 2)</f>
        <v>0</v>
      </c>
      <c r="P549" s="21">
        <v>226.67</v>
      </c>
      <c r="S549" s="22">
        <f>ROUND(ROUND(P549, 2)*I549, 2)</f>
        <v>0</v>
      </c>
      <c r="V549" s="9">
        <f>ROUND(ROUND(P549, 2)/1.2, 2)</f>
        <v>188.89</v>
      </c>
      <c r="Y549" s="9">
        <f t="shared" si="24"/>
        <v>0</v>
      </c>
      <c r="AD549" s="4" t="s">
        <v>2112</v>
      </c>
      <c r="AE549" s="4" t="s">
        <v>2113</v>
      </c>
      <c r="AF549" s="4" t="s">
        <v>2087</v>
      </c>
    </row>
    <row r="550" spans="1:35" ht="54" hidden="1" x14ac:dyDescent="0.3">
      <c r="A550" s="10" t="s">
        <v>2116</v>
      </c>
      <c r="B550" s="10" t="s">
        <v>2059</v>
      </c>
      <c r="C550" s="11" t="s">
        <v>2060</v>
      </c>
      <c r="D550" s="12"/>
      <c r="E550" s="12" t="s">
        <v>63</v>
      </c>
      <c r="F550" s="12" t="s">
        <v>64</v>
      </c>
      <c r="G550" s="13">
        <v>1</v>
      </c>
      <c r="H550" s="13"/>
      <c r="I550" s="13">
        <v>0</v>
      </c>
      <c r="J550" s="14">
        <f>IFERROR(ROUND(SUM(M551,M552)/I550, 2),0)</f>
        <v>0</v>
      </c>
      <c r="K550" s="15">
        <v>278</v>
      </c>
      <c r="L550" s="14">
        <f>J550+ROUND(K550, 2)</f>
        <v>278</v>
      </c>
      <c r="M550" s="14">
        <f>ROUND(J550*I550, 2)</f>
        <v>0</v>
      </c>
      <c r="N550" s="14">
        <f>ROUND(I550*ROUND(K550, 2), 2)</f>
        <v>0</v>
      </c>
      <c r="O550" s="14">
        <f>M550+N550</f>
        <v>0</v>
      </c>
      <c r="P550" s="14">
        <f>IFERROR(ROUND(SUM(S551,S552)/I550, 2),0)</f>
        <v>0</v>
      </c>
      <c r="Q550" s="15">
        <v>278</v>
      </c>
      <c r="R550" s="14">
        <f>P550+ROUND(Q550, 2)</f>
        <v>278</v>
      </c>
      <c r="S550" s="14">
        <f>ROUND(P550*I550, 2)</f>
        <v>0</v>
      </c>
      <c r="T550" s="14">
        <f>ROUND(I550*ROUND(Q550, 2), 2)</f>
        <v>0</v>
      </c>
      <c r="U550" s="14">
        <f>S550+T550</f>
        <v>0</v>
      </c>
      <c r="V550" s="9">
        <f>ROUND(P550 / 1.2, 2)</f>
        <v>0</v>
      </c>
      <c r="W550" s="9">
        <f>ROUND(Q550 / 1.2, 2)</f>
        <v>231.67</v>
      </c>
      <c r="X550" s="9">
        <f>ROUND(R550 / 1.2, 2)</f>
        <v>231.67</v>
      </c>
      <c r="Y550" s="9">
        <f t="shared" si="24"/>
        <v>0</v>
      </c>
      <c r="Z550" s="9">
        <f>ROUND(T550 / 1.2, 2)</f>
        <v>0</v>
      </c>
      <c r="AA550" s="9">
        <f>Y550+Z550</f>
        <v>0</v>
      </c>
      <c r="AD550" s="4">
        <v>271132249</v>
      </c>
      <c r="AE550" s="4">
        <v>16231519</v>
      </c>
      <c r="AG550" s="4" t="s">
        <v>2061</v>
      </c>
      <c r="AH550" s="4" t="s">
        <v>2062</v>
      </c>
      <c r="AI550" s="4" t="s">
        <v>67</v>
      </c>
    </row>
    <row r="551" spans="1:35" ht="36" hidden="1" x14ac:dyDescent="0.3">
      <c r="A551" s="10" t="s">
        <v>2118</v>
      </c>
      <c r="B551" s="10"/>
      <c r="C551" s="24" t="s">
        <v>433</v>
      </c>
      <c r="D551" s="12"/>
      <c r="E551" s="12"/>
      <c r="F551" s="18" t="s">
        <v>70</v>
      </c>
      <c r="G551" s="19">
        <v>0.15</v>
      </c>
      <c r="H551" s="20"/>
      <c r="I551" s="20">
        <v>0</v>
      </c>
      <c r="J551" s="21">
        <v>88.8</v>
      </c>
      <c r="M551" s="22">
        <f>ROUND(ROUND(J551, 2)*I551, 2)</f>
        <v>0</v>
      </c>
      <c r="P551" s="21">
        <v>88.8</v>
      </c>
      <c r="S551" s="22">
        <f>ROUND(ROUND(P551, 2)*I551, 2)</f>
        <v>0</v>
      </c>
      <c r="V551" s="9">
        <f>ROUND(ROUND(P551, 2)/1.2, 2)</f>
        <v>74</v>
      </c>
      <c r="Y551" s="9">
        <f t="shared" si="24"/>
        <v>0</v>
      </c>
      <c r="AD551" s="4" t="s">
        <v>2119</v>
      </c>
      <c r="AE551" s="4" t="s">
        <v>2120</v>
      </c>
      <c r="AF551" s="4" t="s">
        <v>436</v>
      </c>
    </row>
    <row r="552" spans="1:35" ht="54" hidden="1" x14ac:dyDescent="0.3">
      <c r="A552" s="10" t="s">
        <v>2123</v>
      </c>
      <c r="B552" s="10"/>
      <c r="C552" s="24" t="s">
        <v>2083</v>
      </c>
      <c r="D552" s="12"/>
      <c r="E552" s="12" t="s">
        <v>2124</v>
      </c>
      <c r="F552" s="18" t="s">
        <v>70</v>
      </c>
      <c r="G552" s="19">
        <v>0.3</v>
      </c>
      <c r="H552" s="20"/>
      <c r="I552" s="20">
        <v>0</v>
      </c>
      <c r="J552" s="21">
        <v>226.67</v>
      </c>
      <c r="M552" s="22">
        <f>ROUND(ROUND(J552, 2)*I552, 2)</f>
        <v>0</v>
      </c>
      <c r="P552" s="21">
        <v>226.67</v>
      </c>
      <c r="S552" s="22">
        <f>ROUND(ROUND(P552, 2)*I552, 2)</f>
        <v>0</v>
      </c>
      <c r="V552" s="9">
        <f>ROUND(ROUND(P552, 2)/1.2, 2)</f>
        <v>188.89</v>
      </c>
      <c r="Y552" s="9">
        <f t="shared" si="24"/>
        <v>0</v>
      </c>
      <c r="AD552" s="4" t="s">
        <v>2125</v>
      </c>
      <c r="AE552" s="4" t="s">
        <v>2126</v>
      </c>
      <c r="AF552" s="4" t="s">
        <v>2087</v>
      </c>
    </row>
    <row r="553" spans="1:35" ht="54" hidden="1" x14ac:dyDescent="0.3">
      <c r="A553" s="10" t="s">
        <v>2129</v>
      </c>
      <c r="B553" s="10" t="s">
        <v>2059</v>
      </c>
      <c r="C553" s="11" t="s">
        <v>2060</v>
      </c>
      <c r="D553" s="12"/>
      <c r="E553" s="12" t="s">
        <v>63</v>
      </c>
      <c r="F553" s="12" t="s">
        <v>64</v>
      </c>
      <c r="G553" s="13">
        <v>1</v>
      </c>
      <c r="H553" s="13"/>
      <c r="I553" s="13">
        <v>0</v>
      </c>
      <c r="J553" s="14">
        <f>IFERROR(ROUND(SUM(M554,M555)/I553, 2),0)</f>
        <v>0</v>
      </c>
      <c r="K553" s="15">
        <v>278</v>
      </c>
      <c r="L553" s="14">
        <f>J553+ROUND(K553, 2)</f>
        <v>278</v>
      </c>
      <c r="M553" s="14">
        <f>ROUND(J553*I553, 2)</f>
        <v>0</v>
      </c>
      <c r="N553" s="14">
        <f>ROUND(I553*ROUND(K553, 2), 2)</f>
        <v>0</v>
      </c>
      <c r="O553" s="14">
        <f>M553+N553</f>
        <v>0</v>
      </c>
      <c r="P553" s="14">
        <f>IFERROR(ROUND(SUM(S554,S555)/I553, 2),0)</f>
        <v>0</v>
      </c>
      <c r="Q553" s="15">
        <v>278</v>
      </c>
      <c r="R553" s="14">
        <f>P553+ROUND(Q553, 2)</f>
        <v>278</v>
      </c>
      <c r="S553" s="14">
        <f>ROUND(P553*I553, 2)</f>
        <v>0</v>
      </c>
      <c r="T553" s="14">
        <f>ROUND(I553*ROUND(Q553, 2), 2)</f>
        <v>0</v>
      </c>
      <c r="U553" s="14">
        <f>S553+T553</f>
        <v>0</v>
      </c>
      <c r="V553" s="9">
        <f>ROUND(P553 / 1.2, 2)</f>
        <v>0</v>
      </c>
      <c r="W553" s="9">
        <f>ROUND(Q553 / 1.2, 2)</f>
        <v>231.67</v>
      </c>
      <c r="X553" s="9">
        <f>ROUND(R553 / 1.2, 2)</f>
        <v>231.67</v>
      </c>
      <c r="Y553" s="9">
        <f t="shared" si="24"/>
        <v>0</v>
      </c>
      <c r="Z553" s="9">
        <f>ROUND(T553 / 1.2, 2)</f>
        <v>0</v>
      </c>
      <c r="AA553" s="9">
        <f>Y553+Z553</f>
        <v>0</v>
      </c>
      <c r="AD553" s="4">
        <v>271132250</v>
      </c>
      <c r="AE553" s="4">
        <v>16231520</v>
      </c>
      <c r="AG553" s="4" t="s">
        <v>2061</v>
      </c>
      <c r="AH553" s="4" t="s">
        <v>2062</v>
      </c>
      <c r="AI553" s="4" t="s">
        <v>67</v>
      </c>
    </row>
    <row r="554" spans="1:35" ht="36" hidden="1" x14ac:dyDescent="0.3">
      <c r="A554" s="10" t="s">
        <v>2131</v>
      </c>
      <c r="B554" s="10"/>
      <c r="C554" s="24" t="s">
        <v>433</v>
      </c>
      <c r="D554" s="12"/>
      <c r="E554" s="12"/>
      <c r="F554" s="18" t="s">
        <v>70</v>
      </c>
      <c r="G554" s="19">
        <v>0.15</v>
      </c>
      <c r="H554" s="20"/>
      <c r="I554" s="20">
        <v>0</v>
      </c>
      <c r="J554" s="21">
        <v>88.8</v>
      </c>
      <c r="M554" s="22">
        <f>ROUND(ROUND(J554, 2)*I554, 2)</f>
        <v>0</v>
      </c>
      <c r="P554" s="21">
        <v>88.8</v>
      </c>
      <c r="S554" s="22">
        <f>ROUND(ROUND(P554, 2)*I554, 2)</f>
        <v>0</v>
      </c>
      <c r="V554" s="9">
        <f>ROUND(ROUND(P554, 2)/1.2, 2)</f>
        <v>74</v>
      </c>
      <c r="Y554" s="9">
        <f t="shared" si="24"/>
        <v>0</v>
      </c>
      <c r="AD554" s="4" t="s">
        <v>2132</v>
      </c>
      <c r="AE554" s="4" t="s">
        <v>2133</v>
      </c>
      <c r="AF554" s="4" t="s">
        <v>436</v>
      </c>
    </row>
    <row r="555" spans="1:35" ht="54" hidden="1" x14ac:dyDescent="0.3">
      <c r="A555" s="10" t="s">
        <v>2136</v>
      </c>
      <c r="B555" s="10"/>
      <c r="C555" s="24" t="s">
        <v>2083</v>
      </c>
      <c r="D555" s="12"/>
      <c r="E555" s="12" t="s">
        <v>2137</v>
      </c>
      <c r="F555" s="18" t="s">
        <v>70</v>
      </c>
      <c r="G555" s="19">
        <v>0.3</v>
      </c>
      <c r="H555" s="20"/>
      <c r="I555" s="20">
        <v>0</v>
      </c>
      <c r="J555" s="21">
        <v>226.67</v>
      </c>
      <c r="M555" s="22">
        <f>ROUND(ROUND(J555, 2)*I555, 2)</f>
        <v>0</v>
      </c>
      <c r="P555" s="21">
        <v>226.67</v>
      </c>
      <c r="S555" s="22">
        <f>ROUND(ROUND(P555, 2)*I555, 2)</f>
        <v>0</v>
      </c>
      <c r="V555" s="9">
        <f>ROUND(ROUND(P555, 2)/1.2, 2)</f>
        <v>188.89</v>
      </c>
      <c r="Y555" s="9">
        <f t="shared" si="24"/>
        <v>0</v>
      </c>
      <c r="AD555" s="4" t="s">
        <v>2138</v>
      </c>
      <c r="AE555" s="4" t="s">
        <v>2139</v>
      </c>
      <c r="AF555" s="4" t="s">
        <v>2087</v>
      </c>
    </row>
    <row r="556" spans="1:35" ht="54" hidden="1" x14ac:dyDescent="0.3">
      <c r="A556" s="10" t="s">
        <v>2142</v>
      </c>
      <c r="B556" s="10" t="s">
        <v>2059</v>
      </c>
      <c r="C556" s="11" t="s">
        <v>2060</v>
      </c>
      <c r="D556" s="12"/>
      <c r="E556" s="12" t="s">
        <v>63</v>
      </c>
      <c r="F556" s="12" t="s">
        <v>64</v>
      </c>
      <c r="G556" s="13">
        <v>1</v>
      </c>
      <c r="H556" s="13"/>
      <c r="I556" s="13">
        <v>0</v>
      </c>
      <c r="J556" s="14">
        <f>IFERROR(ROUND(SUM(M557,M558)/I556, 2),0)</f>
        <v>0</v>
      </c>
      <c r="K556" s="15">
        <v>278</v>
      </c>
      <c r="L556" s="14">
        <f>J556+ROUND(K556, 2)</f>
        <v>278</v>
      </c>
      <c r="M556" s="14">
        <f>ROUND(J556*I556, 2)</f>
        <v>0</v>
      </c>
      <c r="N556" s="14">
        <f>ROUND(I556*ROUND(K556, 2), 2)</f>
        <v>0</v>
      </c>
      <c r="O556" s="14">
        <f>M556+N556</f>
        <v>0</v>
      </c>
      <c r="P556" s="14">
        <f>IFERROR(ROUND(SUM(S557,S558)/I556, 2),0)</f>
        <v>0</v>
      </c>
      <c r="Q556" s="15">
        <v>278</v>
      </c>
      <c r="R556" s="14">
        <f>P556+ROUND(Q556, 2)</f>
        <v>278</v>
      </c>
      <c r="S556" s="14">
        <f>ROUND(P556*I556, 2)</f>
        <v>0</v>
      </c>
      <c r="T556" s="14">
        <f>ROUND(I556*ROUND(Q556, 2), 2)</f>
        <v>0</v>
      </c>
      <c r="U556" s="14">
        <f>S556+T556</f>
        <v>0</v>
      </c>
      <c r="V556" s="9">
        <f>ROUND(P556 / 1.2, 2)</f>
        <v>0</v>
      </c>
      <c r="W556" s="9">
        <f>ROUND(Q556 / 1.2, 2)</f>
        <v>231.67</v>
      </c>
      <c r="X556" s="9">
        <f>ROUND(R556 / 1.2, 2)</f>
        <v>231.67</v>
      </c>
      <c r="Y556" s="9">
        <f t="shared" si="24"/>
        <v>0</v>
      </c>
      <c r="Z556" s="9">
        <f>ROUND(T556 / 1.2, 2)</f>
        <v>0</v>
      </c>
      <c r="AA556" s="9">
        <f>Y556+Z556</f>
        <v>0</v>
      </c>
      <c r="AD556" s="4">
        <v>271132251</v>
      </c>
      <c r="AE556" s="4">
        <v>16231521</v>
      </c>
      <c r="AG556" s="4" t="s">
        <v>2061</v>
      </c>
      <c r="AH556" s="4" t="s">
        <v>2062</v>
      </c>
      <c r="AI556" s="4" t="s">
        <v>67</v>
      </c>
    </row>
    <row r="557" spans="1:35" ht="36" hidden="1" x14ac:dyDescent="0.3">
      <c r="A557" s="10" t="s">
        <v>2144</v>
      </c>
      <c r="B557" s="10"/>
      <c r="C557" s="24" t="s">
        <v>433</v>
      </c>
      <c r="D557" s="12"/>
      <c r="E557" s="12"/>
      <c r="F557" s="18" t="s">
        <v>70</v>
      </c>
      <c r="G557" s="19">
        <v>0.15</v>
      </c>
      <c r="H557" s="20"/>
      <c r="I557" s="20">
        <v>0</v>
      </c>
      <c r="J557" s="21">
        <v>88.8</v>
      </c>
      <c r="M557" s="22">
        <f>ROUND(ROUND(J557, 2)*I557, 2)</f>
        <v>0</v>
      </c>
      <c r="P557" s="21">
        <v>88.8</v>
      </c>
      <c r="S557" s="22">
        <f>ROUND(ROUND(P557, 2)*I557, 2)</f>
        <v>0</v>
      </c>
      <c r="V557" s="9">
        <f>ROUND(ROUND(P557, 2)/1.2, 2)</f>
        <v>74</v>
      </c>
      <c r="Y557" s="9">
        <f t="shared" si="24"/>
        <v>0</v>
      </c>
      <c r="AD557" s="4" t="s">
        <v>2145</v>
      </c>
      <c r="AE557" s="4" t="s">
        <v>2146</v>
      </c>
      <c r="AF557" s="4" t="s">
        <v>436</v>
      </c>
    </row>
    <row r="558" spans="1:35" ht="54" hidden="1" x14ac:dyDescent="0.3">
      <c r="A558" s="10" t="s">
        <v>2149</v>
      </c>
      <c r="B558" s="10"/>
      <c r="C558" s="24" t="s">
        <v>2083</v>
      </c>
      <c r="D558" s="12"/>
      <c r="E558" s="12" t="s">
        <v>2150</v>
      </c>
      <c r="F558" s="18" t="s">
        <v>70</v>
      </c>
      <c r="G558" s="19">
        <v>0.3</v>
      </c>
      <c r="H558" s="20"/>
      <c r="I558" s="20">
        <v>0</v>
      </c>
      <c r="J558" s="21">
        <v>226.67</v>
      </c>
      <c r="M558" s="22">
        <f>ROUND(ROUND(J558, 2)*I558, 2)</f>
        <v>0</v>
      </c>
      <c r="P558" s="21">
        <v>226.67</v>
      </c>
      <c r="S558" s="22">
        <f>ROUND(ROUND(P558, 2)*I558, 2)</f>
        <v>0</v>
      </c>
      <c r="V558" s="9">
        <f>ROUND(ROUND(P558, 2)/1.2, 2)</f>
        <v>188.89</v>
      </c>
      <c r="Y558" s="9">
        <f t="shared" si="24"/>
        <v>0</v>
      </c>
      <c r="AD558" s="4" t="s">
        <v>2151</v>
      </c>
      <c r="AE558" s="4" t="s">
        <v>2152</v>
      </c>
      <c r="AF558" s="4" t="s">
        <v>2087</v>
      </c>
    </row>
    <row r="559" spans="1:35" ht="54" hidden="1" x14ac:dyDescent="0.3">
      <c r="A559" s="10" t="s">
        <v>2155</v>
      </c>
      <c r="B559" s="10" t="s">
        <v>2059</v>
      </c>
      <c r="C559" s="11" t="s">
        <v>2060</v>
      </c>
      <c r="D559" s="12"/>
      <c r="E559" s="12" t="s">
        <v>63</v>
      </c>
      <c r="F559" s="12" t="s">
        <v>64</v>
      </c>
      <c r="G559" s="13">
        <v>1</v>
      </c>
      <c r="H559" s="13"/>
      <c r="I559" s="13">
        <v>0</v>
      </c>
      <c r="J559" s="14">
        <f>IFERROR(ROUND(SUM(M560,M561)/I559, 2),0)</f>
        <v>0</v>
      </c>
      <c r="K559" s="15">
        <v>278</v>
      </c>
      <c r="L559" s="14">
        <f>J559+ROUND(K559, 2)</f>
        <v>278</v>
      </c>
      <c r="M559" s="14">
        <f>ROUND(J559*I559, 2)</f>
        <v>0</v>
      </c>
      <c r="N559" s="14">
        <f>ROUND(I559*ROUND(K559, 2), 2)</f>
        <v>0</v>
      </c>
      <c r="O559" s="14">
        <f>M559+N559</f>
        <v>0</v>
      </c>
      <c r="P559" s="14">
        <f>IFERROR(ROUND(SUM(S560,S561)/I559, 2),0)</f>
        <v>0</v>
      </c>
      <c r="Q559" s="15">
        <v>278</v>
      </c>
      <c r="R559" s="14">
        <f>P559+ROUND(Q559, 2)</f>
        <v>278</v>
      </c>
      <c r="S559" s="14">
        <f>ROUND(P559*I559, 2)</f>
        <v>0</v>
      </c>
      <c r="T559" s="14">
        <f>ROUND(I559*ROUND(Q559, 2), 2)</f>
        <v>0</v>
      </c>
      <c r="U559" s="14">
        <f>S559+T559</f>
        <v>0</v>
      </c>
      <c r="V559" s="9">
        <f>ROUND(P559 / 1.2, 2)</f>
        <v>0</v>
      </c>
      <c r="W559" s="9">
        <f>ROUND(Q559 / 1.2, 2)</f>
        <v>231.67</v>
      </c>
      <c r="X559" s="9">
        <f>ROUND(R559 / 1.2, 2)</f>
        <v>231.67</v>
      </c>
      <c r="Y559" s="9">
        <f t="shared" si="24"/>
        <v>0</v>
      </c>
      <c r="Z559" s="9">
        <f>ROUND(T559 / 1.2, 2)</f>
        <v>0</v>
      </c>
      <c r="AA559" s="9">
        <f>Y559+Z559</f>
        <v>0</v>
      </c>
      <c r="AD559" s="4">
        <v>271132252</v>
      </c>
      <c r="AE559" s="4">
        <v>16231522</v>
      </c>
      <c r="AG559" s="4" t="s">
        <v>2061</v>
      </c>
      <c r="AH559" s="4" t="s">
        <v>2062</v>
      </c>
      <c r="AI559" s="4" t="s">
        <v>67</v>
      </c>
    </row>
    <row r="560" spans="1:35" ht="36" hidden="1" x14ac:dyDescent="0.3">
      <c r="A560" s="10" t="s">
        <v>2157</v>
      </c>
      <c r="B560" s="10"/>
      <c r="C560" s="24" t="s">
        <v>433</v>
      </c>
      <c r="D560" s="12"/>
      <c r="E560" s="12"/>
      <c r="F560" s="18" t="s">
        <v>70</v>
      </c>
      <c r="G560" s="19">
        <v>0.15</v>
      </c>
      <c r="H560" s="20"/>
      <c r="I560" s="20">
        <v>0</v>
      </c>
      <c r="J560" s="21">
        <v>88.8</v>
      </c>
      <c r="M560" s="22">
        <f>ROUND(ROUND(J560, 2)*I560, 2)</f>
        <v>0</v>
      </c>
      <c r="P560" s="21">
        <v>88.8</v>
      </c>
      <c r="S560" s="22">
        <f>ROUND(ROUND(P560, 2)*I560, 2)</f>
        <v>0</v>
      </c>
      <c r="V560" s="9">
        <f>ROUND(ROUND(P560, 2)/1.2, 2)</f>
        <v>74</v>
      </c>
      <c r="Y560" s="9">
        <f t="shared" si="24"/>
        <v>0</v>
      </c>
      <c r="AD560" s="4" t="s">
        <v>2158</v>
      </c>
      <c r="AE560" s="4" t="s">
        <v>2159</v>
      </c>
      <c r="AF560" s="4" t="s">
        <v>436</v>
      </c>
    </row>
    <row r="561" spans="1:35" ht="54" hidden="1" x14ac:dyDescent="0.3">
      <c r="A561" s="10" t="s">
        <v>2162</v>
      </c>
      <c r="B561" s="10"/>
      <c r="C561" s="24" t="s">
        <v>2083</v>
      </c>
      <c r="D561" s="12"/>
      <c r="E561" s="12" t="s">
        <v>2163</v>
      </c>
      <c r="F561" s="18" t="s">
        <v>70</v>
      </c>
      <c r="G561" s="19">
        <v>0.3</v>
      </c>
      <c r="H561" s="20"/>
      <c r="I561" s="20">
        <v>0</v>
      </c>
      <c r="J561" s="21">
        <v>226.67</v>
      </c>
      <c r="M561" s="22">
        <f>ROUND(ROUND(J561, 2)*I561, 2)</f>
        <v>0</v>
      </c>
      <c r="P561" s="21">
        <v>226.67</v>
      </c>
      <c r="S561" s="22">
        <f>ROUND(ROUND(P561, 2)*I561, 2)</f>
        <v>0</v>
      </c>
      <c r="V561" s="9">
        <f>ROUND(ROUND(P561, 2)/1.2, 2)</f>
        <v>188.89</v>
      </c>
      <c r="Y561" s="9">
        <f t="shared" si="24"/>
        <v>0</v>
      </c>
      <c r="AD561" s="4" t="s">
        <v>2164</v>
      </c>
      <c r="AE561" s="4" t="s">
        <v>2165</v>
      </c>
      <c r="AF561" s="4" t="s">
        <v>2087</v>
      </c>
    </row>
    <row r="562" spans="1:35" ht="36" hidden="1" x14ac:dyDescent="0.3">
      <c r="A562" s="10" t="s">
        <v>2168</v>
      </c>
      <c r="B562" s="10" t="s">
        <v>2169</v>
      </c>
      <c r="C562" s="11" t="s">
        <v>2170</v>
      </c>
      <c r="D562" s="12"/>
      <c r="E562" s="12" t="s">
        <v>2171</v>
      </c>
      <c r="F562" s="12" t="s">
        <v>64</v>
      </c>
      <c r="G562" s="13">
        <v>1</v>
      </c>
      <c r="H562" s="13"/>
      <c r="I562" s="13">
        <v>0.85</v>
      </c>
      <c r="J562" s="14">
        <f>IFERROR(ROUND(SUM(M563,M564)/I562, 2),0)</f>
        <v>13.38</v>
      </c>
      <c r="K562" s="15">
        <v>464</v>
      </c>
      <c r="L562" s="14">
        <f>J562+ROUND(K562, 2)</f>
        <v>477.38</v>
      </c>
      <c r="M562" s="14">
        <f>ROUND(J562*I562, 2)</f>
        <v>11.37</v>
      </c>
      <c r="N562" s="14">
        <f>ROUND(I562*ROUND(K562, 2), 2)</f>
        <v>394.4</v>
      </c>
      <c r="O562" s="14">
        <f>M562+N562</f>
        <v>405.77</v>
      </c>
      <c r="P562" s="14">
        <f>IFERROR(ROUND(SUM(S563,S564)/I562, 2),0)</f>
        <v>13.38</v>
      </c>
      <c r="Q562" s="16">
        <v>464</v>
      </c>
      <c r="R562" s="14">
        <f>P562+ROUND(Q562, 2)</f>
        <v>477.38</v>
      </c>
      <c r="S562" s="14">
        <f>ROUND(P562*I562, 2)</f>
        <v>11.37</v>
      </c>
      <c r="T562" s="14">
        <f>ROUND(I562*ROUND(Q562, 2), 2)</f>
        <v>394.4</v>
      </c>
      <c r="U562" s="14">
        <f>S562+T562</f>
        <v>405.77</v>
      </c>
      <c r="V562" s="9">
        <f>ROUND(P562 / 1.2, 2)</f>
        <v>11.15</v>
      </c>
      <c r="W562" s="9">
        <f>ROUND(Q562 / 1.2, 2)</f>
        <v>386.67</v>
      </c>
      <c r="X562" s="9">
        <f>ROUND(R562 / 1.2, 2)</f>
        <v>397.82</v>
      </c>
      <c r="Y562" s="9">
        <f t="shared" si="24"/>
        <v>9.48</v>
      </c>
      <c r="Z562" s="9">
        <f>ROUND(T562 / 1.2, 2)</f>
        <v>328.67</v>
      </c>
      <c r="AA562" s="9">
        <f>Y562+Z562</f>
        <v>338.15000000000003</v>
      </c>
      <c r="AD562" s="4">
        <v>271132145</v>
      </c>
      <c r="AE562" s="4">
        <v>19999841</v>
      </c>
      <c r="AG562" s="4" t="s">
        <v>2172</v>
      </c>
      <c r="AH562" s="4" t="s">
        <v>2173</v>
      </c>
      <c r="AI562" s="4" t="s">
        <v>67</v>
      </c>
    </row>
    <row r="563" spans="1:35" ht="72" hidden="1" x14ac:dyDescent="0.3">
      <c r="A563" s="10" t="s">
        <v>2174</v>
      </c>
      <c r="B563" s="10"/>
      <c r="C563" s="24" t="s">
        <v>2175</v>
      </c>
      <c r="D563" s="12"/>
      <c r="E563" s="12" t="s">
        <v>2176</v>
      </c>
      <c r="F563" s="18" t="s">
        <v>70</v>
      </c>
      <c r="G563" s="19">
        <v>0.3</v>
      </c>
      <c r="H563" s="19"/>
      <c r="I563" s="19">
        <v>0.255</v>
      </c>
      <c r="J563" s="21">
        <v>0</v>
      </c>
      <c r="M563" s="22">
        <f>ROUND(ROUND(J563, 2)*I563, 2)</f>
        <v>0</v>
      </c>
      <c r="P563" s="23">
        <v>0</v>
      </c>
      <c r="S563" s="22">
        <f>ROUND(ROUND(P563, 2)*I563, 2)</f>
        <v>0</v>
      </c>
      <c r="V563" s="9">
        <f>ROUND(ROUND(P563, 2)/1.2, 2)</f>
        <v>0</v>
      </c>
      <c r="Y563" s="9">
        <f t="shared" si="24"/>
        <v>0</v>
      </c>
      <c r="AD563" s="4" t="s">
        <v>2177</v>
      </c>
      <c r="AE563" s="4" t="s">
        <v>2178</v>
      </c>
      <c r="AF563" s="4" t="s">
        <v>2179</v>
      </c>
    </row>
    <row r="564" spans="1:35" ht="36" hidden="1" x14ac:dyDescent="0.3">
      <c r="A564" s="10" t="s">
        <v>2180</v>
      </c>
      <c r="B564" s="10"/>
      <c r="C564" s="24" t="s">
        <v>433</v>
      </c>
      <c r="D564" s="12"/>
      <c r="E564" s="12"/>
      <c r="F564" s="18" t="s">
        <v>70</v>
      </c>
      <c r="G564" s="19">
        <v>0.15</v>
      </c>
      <c r="H564" s="19"/>
      <c r="I564" s="19">
        <v>0.128</v>
      </c>
      <c r="J564" s="21">
        <v>88.8</v>
      </c>
      <c r="M564" s="22">
        <f>ROUND(ROUND(J564, 2)*I564, 2)</f>
        <v>11.37</v>
      </c>
      <c r="P564" s="23">
        <v>88.8</v>
      </c>
      <c r="S564" s="22">
        <f>ROUND(ROUND(P564, 2)*I564, 2)</f>
        <v>11.37</v>
      </c>
      <c r="V564" s="9">
        <f>ROUND(ROUND(P564, 2)/1.2, 2)</f>
        <v>74</v>
      </c>
      <c r="Y564" s="9">
        <f t="shared" si="24"/>
        <v>9.48</v>
      </c>
      <c r="AD564" s="4" t="s">
        <v>2181</v>
      </c>
      <c r="AE564" s="4" t="s">
        <v>2182</v>
      </c>
      <c r="AF564" s="4" t="s">
        <v>436</v>
      </c>
    </row>
    <row r="565" spans="1:35" ht="36" hidden="1" x14ac:dyDescent="0.3">
      <c r="A565" s="10" t="s">
        <v>2183</v>
      </c>
      <c r="B565" s="10" t="s">
        <v>2169</v>
      </c>
      <c r="C565" s="11" t="s">
        <v>2170</v>
      </c>
      <c r="D565" s="12"/>
      <c r="E565" s="12" t="s">
        <v>2184</v>
      </c>
      <c r="F565" s="12" t="s">
        <v>64</v>
      </c>
      <c r="G565" s="13">
        <v>1</v>
      </c>
      <c r="H565" s="13"/>
      <c r="I565" s="13">
        <v>1.5</v>
      </c>
      <c r="J565" s="14">
        <f>IFERROR(ROUND(SUM(M566,M567)/I565, 2),0)</f>
        <v>13.32</v>
      </c>
      <c r="K565" s="15">
        <v>464</v>
      </c>
      <c r="L565" s="14">
        <f>J565+ROUND(K565, 2)</f>
        <v>477.32</v>
      </c>
      <c r="M565" s="14">
        <f>ROUND(J565*I565, 2)</f>
        <v>19.98</v>
      </c>
      <c r="N565" s="14">
        <f>ROUND(I565*ROUND(K565, 2), 2)</f>
        <v>696</v>
      </c>
      <c r="O565" s="14">
        <f>M565+N565</f>
        <v>715.98</v>
      </c>
      <c r="P565" s="14">
        <f>IFERROR(ROUND(SUM(S566,S567)/I565, 2),0)</f>
        <v>13.32</v>
      </c>
      <c r="Q565" s="16">
        <v>464</v>
      </c>
      <c r="R565" s="14">
        <f>P565+ROUND(Q565, 2)</f>
        <v>477.32</v>
      </c>
      <c r="S565" s="14">
        <f>ROUND(P565*I565, 2)</f>
        <v>19.98</v>
      </c>
      <c r="T565" s="14">
        <f>ROUND(I565*ROUND(Q565, 2), 2)</f>
        <v>696</v>
      </c>
      <c r="U565" s="14">
        <f>S565+T565</f>
        <v>715.98</v>
      </c>
      <c r="V565" s="9">
        <f>ROUND(P565 / 1.2, 2)</f>
        <v>11.1</v>
      </c>
      <c r="W565" s="9">
        <f>ROUND(Q565 / 1.2, 2)</f>
        <v>386.67</v>
      </c>
      <c r="X565" s="9">
        <f>ROUND(R565 / 1.2, 2)</f>
        <v>397.77</v>
      </c>
      <c r="Y565" s="9">
        <f t="shared" si="24"/>
        <v>16.649999999999999</v>
      </c>
      <c r="Z565" s="9">
        <f>ROUND(T565 / 1.2, 2)</f>
        <v>580</v>
      </c>
      <c r="AA565" s="9">
        <f>Y565+Z565</f>
        <v>596.65</v>
      </c>
      <c r="AD565" s="4">
        <v>271132253</v>
      </c>
      <c r="AE565" s="4">
        <v>19999842</v>
      </c>
      <c r="AG565" s="4" t="s">
        <v>2172</v>
      </c>
      <c r="AH565" s="4" t="s">
        <v>2173</v>
      </c>
      <c r="AI565" s="4" t="s">
        <v>67</v>
      </c>
    </row>
    <row r="566" spans="1:35" ht="36" hidden="1" x14ac:dyDescent="0.3">
      <c r="A566" s="10" t="s">
        <v>2185</v>
      </c>
      <c r="B566" s="10"/>
      <c r="C566" s="24" t="s">
        <v>433</v>
      </c>
      <c r="D566" s="12"/>
      <c r="E566" s="12"/>
      <c r="F566" s="18" t="s">
        <v>70</v>
      </c>
      <c r="G566" s="19">
        <v>0.15</v>
      </c>
      <c r="H566" s="19"/>
      <c r="I566" s="19">
        <v>0.22500000000000001</v>
      </c>
      <c r="J566" s="21">
        <v>88.8</v>
      </c>
      <c r="M566" s="22">
        <f>ROUND(ROUND(J566, 2)*I566, 2)</f>
        <v>19.98</v>
      </c>
      <c r="P566" s="23">
        <v>88.8</v>
      </c>
      <c r="S566" s="22">
        <f>ROUND(ROUND(P566, 2)*I566, 2)</f>
        <v>19.98</v>
      </c>
      <c r="V566" s="9">
        <f>ROUND(ROUND(P566, 2)/1.2, 2)</f>
        <v>74</v>
      </c>
      <c r="Y566" s="9">
        <f t="shared" si="24"/>
        <v>16.649999999999999</v>
      </c>
      <c r="AD566" s="4" t="s">
        <v>2186</v>
      </c>
      <c r="AE566" s="4" t="s">
        <v>2187</v>
      </c>
      <c r="AF566" s="4" t="s">
        <v>436</v>
      </c>
    </row>
    <row r="567" spans="1:35" ht="72" hidden="1" x14ac:dyDescent="0.3">
      <c r="A567" s="10" t="s">
        <v>2188</v>
      </c>
      <c r="B567" s="10"/>
      <c r="C567" s="24" t="s">
        <v>2175</v>
      </c>
      <c r="D567" s="12"/>
      <c r="E567" s="12" t="s">
        <v>2189</v>
      </c>
      <c r="F567" s="18" t="s">
        <v>70</v>
      </c>
      <c r="G567" s="19">
        <v>0.3</v>
      </c>
      <c r="H567" s="19"/>
      <c r="I567" s="19">
        <v>0.45</v>
      </c>
      <c r="J567" s="21">
        <v>0</v>
      </c>
      <c r="M567" s="22">
        <f>ROUND(ROUND(J567, 2)*I567, 2)</f>
        <v>0</v>
      </c>
      <c r="P567" s="23">
        <v>0</v>
      </c>
      <c r="S567" s="22">
        <f>ROUND(ROUND(P567, 2)*I567, 2)</f>
        <v>0</v>
      </c>
      <c r="V567" s="9">
        <f>ROUND(ROUND(P567, 2)/1.2, 2)</f>
        <v>0</v>
      </c>
      <c r="Y567" s="9">
        <f t="shared" si="24"/>
        <v>0</v>
      </c>
      <c r="AD567" s="4" t="s">
        <v>2190</v>
      </c>
      <c r="AE567" s="4" t="s">
        <v>2191</v>
      </c>
      <c r="AF567" s="4" t="s">
        <v>2179</v>
      </c>
    </row>
    <row r="568" spans="1:35" ht="36" hidden="1" x14ac:dyDescent="0.3">
      <c r="A568" s="10" t="s">
        <v>2192</v>
      </c>
      <c r="B568" s="10" t="s">
        <v>2169</v>
      </c>
      <c r="C568" s="11" t="s">
        <v>2170</v>
      </c>
      <c r="D568" s="12"/>
      <c r="E568" s="12" t="s">
        <v>2193</v>
      </c>
      <c r="F568" s="12" t="s">
        <v>64</v>
      </c>
      <c r="G568" s="13">
        <v>1</v>
      </c>
      <c r="H568" s="13"/>
      <c r="I568" s="13">
        <v>139.22</v>
      </c>
      <c r="J568" s="14">
        <f>IFERROR(ROUND(SUM(M569,M570)/I568, 2),0)</f>
        <v>13.32</v>
      </c>
      <c r="K568" s="15">
        <v>464</v>
      </c>
      <c r="L568" s="14">
        <f>J568+ROUND(K568, 2)</f>
        <v>477.32</v>
      </c>
      <c r="M568" s="14">
        <f>ROUND(J568*I568, 2)</f>
        <v>1854.41</v>
      </c>
      <c r="N568" s="14">
        <f>ROUND(I568*ROUND(K568, 2), 2)</f>
        <v>64598.080000000002</v>
      </c>
      <c r="O568" s="14">
        <f>M568+N568</f>
        <v>66452.490000000005</v>
      </c>
      <c r="P568" s="14">
        <f>IFERROR(ROUND(SUM(S569,S570)/I568, 2),0)</f>
        <v>13.32</v>
      </c>
      <c r="Q568" s="16">
        <v>464</v>
      </c>
      <c r="R568" s="14">
        <f>P568+ROUND(Q568, 2)</f>
        <v>477.32</v>
      </c>
      <c r="S568" s="14">
        <f>ROUND(P568*I568, 2)</f>
        <v>1854.41</v>
      </c>
      <c r="T568" s="14">
        <f>ROUND(I568*ROUND(Q568, 2), 2)</f>
        <v>64598.080000000002</v>
      </c>
      <c r="U568" s="14">
        <f>S568+T568</f>
        <v>66452.490000000005</v>
      </c>
      <c r="V568" s="9">
        <f>ROUND(P568 / 1.2, 2)</f>
        <v>11.1</v>
      </c>
      <c r="W568" s="9">
        <f>ROUND(Q568 / 1.2, 2)</f>
        <v>386.67</v>
      </c>
      <c r="X568" s="9">
        <f>ROUND(R568 / 1.2, 2)</f>
        <v>397.77</v>
      </c>
      <c r="Y568" s="9">
        <f t="shared" si="24"/>
        <v>1545.34</v>
      </c>
      <c r="Z568" s="9">
        <f>ROUND(T568 / 1.2, 2)</f>
        <v>53831.73</v>
      </c>
      <c r="AA568" s="9">
        <f>Y568+Z568</f>
        <v>55377.07</v>
      </c>
      <c r="AD568" s="4">
        <v>271132254</v>
      </c>
      <c r="AE568" s="4">
        <v>19999840</v>
      </c>
      <c r="AG568" s="4" t="s">
        <v>2172</v>
      </c>
      <c r="AH568" s="4" t="s">
        <v>2173</v>
      </c>
      <c r="AI568" s="4" t="s">
        <v>67</v>
      </c>
    </row>
    <row r="569" spans="1:35" ht="36" hidden="1" x14ac:dyDescent="0.3">
      <c r="A569" s="10" t="s">
        <v>2194</v>
      </c>
      <c r="B569" s="10"/>
      <c r="C569" s="24" t="s">
        <v>433</v>
      </c>
      <c r="D569" s="12"/>
      <c r="E569" s="12"/>
      <c r="F569" s="18" t="s">
        <v>70</v>
      </c>
      <c r="G569" s="19">
        <v>0.15</v>
      </c>
      <c r="H569" s="19"/>
      <c r="I569" s="19">
        <v>20.882999999999999</v>
      </c>
      <c r="J569" s="21">
        <v>88.8</v>
      </c>
      <c r="M569" s="22">
        <f>ROUND(ROUND(J569, 2)*I569, 2)</f>
        <v>1854.41</v>
      </c>
      <c r="P569" s="23">
        <v>88.8</v>
      </c>
      <c r="S569" s="22">
        <f>ROUND(ROUND(P569, 2)*I569, 2)</f>
        <v>1854.41</v>
      </c>
      <c r="V569" s="9">
        <f>ROUND(ROUND(P569, 2)/1.2, 2)</f>
        <v>74</v>
      </c>
      <c r="Y569" s="9">
        <f t="shared" si="24"/>
        <v>1545.34</v>
      </c>
      <c r="AD569" s="4" t="s">
        <v>2195</v>
      </c>
      <c r="AE569" s="4" t="s">
        <v>2196</v>
      </c>
      <c r="AF569" s="4" t="s">
        <v>436</v>
      </c>
    </row>
    <row r="570" spans="1:35" ht="72" hidden="1" x14ac:dyDescent="0.3">
      <c r="A570" s="10" t="s">
        <v>2197</v>
      </c>
      <c r="B570" s="10"/>
      <c r="C570" s="24" t="s">
        <v>2175</v>
      </c>
      <c r="D570" s="12"/>
      <c r="E570" s="12" t="s">
        <v>2198</v>
      </c>
      <c r="F570" s="18" t="s">
        <v>70</v>
      </c>
      <c r="G570" s="19">
        <v>0.3</v>
      </c>
      <c r="H570" s="19"/>
      <c r="I570" s="19">
        <v>41.765999999999998</v>
      </c>
      <c r="J570" s="21">
        <v>0</v>
      </c>
      <c r="M570" s="22">
        <f>ROUND(ROUND(J570, 2)*I570, 2)</f>
        <v>0</v>
      </c>
      <c r="P570" s="23">
        <v>0</v>
      </c>
      <c r="S570" s="22">
        <f>ROUND(ROUND(P570, 2)*I570, 2)</f>
        <v>0</v>
      </c>
      <c r="V570" s="9">
        <f>ROUND(ROUND(P570, 2)/1.2, 2)</f>
        <v>0</v>
      </c>
      <c r="Y570" s="9">
        <f t="shared" si="24"/>
        <v>0</v>
      </c>
      <c r="AD570" s="4" t="s">
        <v>2199</v>
      </c>
      <c r="AE570" s="4" t="s">
        <v>2200</v>
      </c>
      <c r="AF570" s="4" t="s">
        <v>2179</v>
      </c>
    </row>
    <row r="571" spans="1:35" ht="36" hidden="1" x14ac:dyDescent="0.3">
      <c r="A571" s="10" t="s">
        <v>2201</v>
      </c>
      <c r="B571" s="10" t="s">
        <v>2169</v>
      </c>
      <c r="C571" s="11" t="s">
        <v>2170</v>
      </c>
      <c r="D571" s="12"/>
      <c r="E571" s="12" t="s">
        <v>2202</v>
      </c>
      <c r="F571" s="12" t="s">
        <v>64</v>
      </c>
      <c r="G571" s="13">
        <v>1</v>
      </c>
      <c r="H571" s="13"/>
      <c r="I571" s="13">
        <v>143.96</v>
      </c>
      <c r="J571" s="14">
        <f>IFERROR(ROUND(SUM(M572,M573)/I571, 2),0)</f>
        <v>13.32</v>
      </c>
      <c r="K571" s="15">
        <v>464</v>
      </c>
      <c r="L571" s="14">
        <f>J571+ROUND(K571, 2)</f>
        <v>477.32</v>
      </c>
      <c r="M571" s="14">
        <f>ROUND(J571*I571, 2)</f>
        <v>1917.55</v>
      </c>
      <c r="N571" s="14">
        <f>ROUND(I571*ROUND(K571, 2), 2)</f>
        <v>66797.440000000002</v>
      </c>
      <c r="O571" s="14">
        <f>M571+N571</f>
        <v>68714.990000000005</v>
      </c>
      <c r="P571" s="14">
        <f>IFERROR(ROUND(SUM(S572,S573)/I571, 2),0)</f>
        <v>13.32</v>
      </c>
      <c r="Q571" s="16">
        <v>464</v>
      </c>
      <c r="R571" s="14">
        <f>P571+ROUND(Q571, 2)</f>
        <v>477.32</v>
      </c>
      <c r="S571" s="14">
        <f>ROUND(P571*I571, 2)</f>
        <v>1917.55</v>
      </c>
      <c r="T571" s="14">
        <f>ROUND(I571*ROUND(Q571, 2), 2)</f>
        <v>66797.440000000002</v>
      </c>
      <c r="U571" s="14">
        <f>S571+T571</f>
        <v>68714.990000000005</v>
      </c>
      <c r="V571" s="9">
        <f>ROUND(P571 / 1.2, 2)</f>
        <v>11.1</v>
      </c>
      <c r="W571" s="9">
        <f>ROUND(Q571 / 1.2, 2)</f>
        <v>386.67</v>
      </c>
      <c r="X571" s="9">
        <f>ROUND(R571 / 1.2, 2)</f>
        <v>397.77</v>
      </c>
      <c r="Y571" s="9">
        <f t="shared" si="24"/>
        <v>1597.96</v>
      </c>
      <c r="Z571" s="9">
        <f>ROUND(T571 / 1.2, 2)</f>
        <v>55664.53</v>
      </c>
      <c r="AA571" s="9">
        <f>Y571+Z571</f>
        <v>57262.49</v>
      </c>
      <c r="AD571" s="4">
        <v>271132255</v>
      </c>
      <c r="AE571" s="4">
        <v>19999843</v>
      </c>
      <c r="AG571" s="4" t="s">
        <v>2172</v>
      </c>
      <c r="AH571" s="4" t="s">
        <v>2173</v>
      </c>
      <c r="AI571" s="4" t="s">
        <v>67</v>
      </c>
    </row>
    <row r="572" spans="1:35" ht="36" hidden="1" x14ac:dyDescent="0.3">
      <c r="A572" s="10" t="s">
        <v>2203</v>
      </c>
      <c r="B572" s="10"/>
      <c r="C572" s="24" t="s">
        <v>433</v>
      </c>
      <c r="D572" s="12"/>
      <c r="E572" s="12"/>
      <c r="F572" s="18" t="s">
        <v>70</v>
      </c>
      <c r="G572" s="19">
        <v>0.15</v>
      </c>
      <c r="H572" s="19"/>
      <c r="I572" s="19">
        <v>21.594000000000001</v>
      </c>
      <c r="J572" s="21">
        <v>88.8</v>
      </c>
      <c r="M572" s="22">
        <f>ROUND(ROUND(J572, 2)*I572, 2)</f>
        <v>1917.55</v>
      </c>
      <c r="P572" s="23">
        <v>88.8</v>
      </c>
      <c r="S572" s="22">
        <f>ROUND(ROUND(P572, 2)*I572, 2)</f>
        <v>1917.55</v>
      </c>
      <c r="V572" s="9">
        <f>ROUND(ROUND(P572, 2)/1.2, 2)</f>
        <v>74</v>
      </c>
      <c r="Y572" s="9">
        <f t="shared" si="24"/>
        <v>1597.96</v>
      </c>
      <c r="AD572" s="4" t="s">
        <v>2204</v>
      </c>
      <c r="AE572" s="4" t="s">
        <v>2205</v>
      </c>
      <c r="AF572" s="4" t="s">
        <v>436</v>
      </c>
    </row>
    <row r="573" spans="1:35" ht="54" hidden="1" x14ac:dyDescent="0.3">
      <c r="A573" s="10" t="s">
        <v>2206</v>
      </c>
      <c r="B573" s="10"/>
      <c r="C573" s="24" t="s">
        <v>2207</v>
      </c>
      <c r="D573" s="12"/>
      <c r="E573" s="12" t="s">
        <v>2208</v>
      </c>
      <c r="F573" s="18" t="s">
        <v>70</v>
      </c>
      <c r="G573" s="19">
        <v>0.3</v>
      </c>
      <c r="H573" s="19"/>
      <c r="I573" s="19">
        <v>43.188000000000002</v>
      </c>
      <c r="J573" s="21">
        <v>0</v>
      </c>
      <c r="M573" s="22">
        <f>ROUND(ROUND(J573, 2)*I573, 2)</f>
        <v>0</v>
      </c>
      <c r="P573" s="23">
        <v>0</v>
      </c>
      <c r="S573" s="22">
        <f>ROUND(ROUND(P573, 2)*I573, 2)</f>
        <v>0</v>
      </c>
      <c r="V573" s="9">
        <f>ROUND(ROUND(P573, 2)/1.2, 2)</f>
        <v>0</v>
      </c>
      <c r="Y573" s="9">
        <f t="shared" si="24"/>
        <v>0</v>
      </c>
      <c r="AD573" s="4" t="s">
        <v>2209</v>
      </c>
      <c r="AE573" s="4" t="s">
        <v>2210</v>
      </c>
      <c r="AF573" s="4" t="s">
        <v>2211</v>
      </c>
    </row>
    <row r="574" spans="1:35" ht="36" hidden="1" x14ac:dyDescent="0.3">
      <c r="A574" s="10" t="s">
        <v>2212</v>
      </c>
      <c r="B574" s="10" t="s">
        <v>2169</v>
      </c>
      <c r="C574" s="11" t="s">
        <v>2170</v>
      </c>
      <c r="D574" s="12"/>
      <c r="E574" s="12" t="s">
        <v>2213</v>
      </c>
      <c r="F574" s="12" t="s">
        <v>64</v>
      </c>
      <c r="G574" s="13">
        <v>1</v>
      </c>
      <c r="H574" s="13"/>
      <c r="I574" s="13">
        <v>28.93</v>
      </c>
      <c r="J574" s="14">
        <f>IFERROR(ROUND(SUM(M575,M576)/I574, 2),0)</f>
        <v>13.32</v>
      </c>
      <c r="K574" s="15">
        <v>464</v>
      </c>
      <c r="L574" s="14">
        <f>J574+ROUND(K574, 2)</f>
        <v>477.32</v>
      </c>
      <c r="M574" s="14">
        <f>ROUND(J574*I574, 2)</f>
        <v>385.35</v>
      </c>
      <c r="N574" s="14">
        <f>ROUND(I574*ROUND(K574, 2), 2)</f>
        <v>13423.52</v>
      </c>
      <c r="O574" s="14">
        <f>M574+N574</f>
        <v>13808.87</v>
      </c>
      <c r="P574" s="14">
        <f>IFERROR(ROUND(SUM(S575,S576)/I574, 2),0)</f>
        <v>13.32</v>
      </c>
      <c r="Q574" s="16">
        <v>464</v>
      </c>
      <c r="R574" s="14">
        <f>P574+ROUND(Q574, 2)</f>
        <v>477.32</v>
      </c>
      <c r="S574" s="14">
        <f>ROUND(P574*I574, 2)</f>
        <v>385.35</v>
      </c>
      <c r="T574" s="14">
        <f>ROUND(I574*ROUND(Q574, 2), 2)</f>
        <v>13423.52</v>
      </c>
      <c r="U574" s="14">
        <f>S574+T574</f>
        <v>13808.87</v>
      </c>
      <c r="V574" s="9">
        <f>ROUND(P574 / 1.2, 2)</f>
        <v>11.1</v>
      </c>
      <c r="W574" s="9">
        <f>ROUND(Q574 / 1.2, 2)</f>
        <v>386.67</v>
      </c>
      <c r="X574" s="9">
        <f>ROUND(R574 / 1.2, 2)</f>
        <v>397.77</v>
      </c>
      <c r="Y574" s="9">
        <f t="shared" si="24"/>
        <v>321.13</v>
      </c>
      <c r="Z574" s="9">
        <f>ROUND(T574 / 1.2, 2)</f>
        <v>11186.27</v>
      </c>
      <c r="AA574" s="9">
        <f>Y574+Z574</f>
        <v>11507.4</v>
      </c>
      <c r="AD574" s="4">
        <v>271132256</v>
      </c>
      <c r="AE574" s="4">
        <v>19999844</v>
      </c>
      <c r="AG574" s="4" t="s">
        <v>2172</v>
      </c>
      <c r="AH574" s="4" t="s">
        <v>2173</v>
      </c>
      <c r="AI574" s="4" t="s">
        <v>67</v>
      </c>
    </row>
    <row r="575" spans="1:35" ht="36" hidden="1" x14ac:dyDescent="0.3">
      <c r="A575" s="10" t="s">
        <v>2214</v>
      </c>
      <c r="B575" s="10"/>
      <c r="C575" s="24" t="s">
        <v>433</v>
      </c>
      <c r="D575" s="12"/>
      <c r="E575" s="12"/>
      <c r="F575" s="18" t="s">
        <v>70</v>
      </c>
      <c r="G575" s="19">
        <v>0.15</v>
      </c>
      <c r="H575" s="19"/>
      <c r="I575" s="19">
        <v>4.34</v>
      </c>
      <c r="J575" s="21">
        <v>88.8</v>
      </c>
      <c r="M575" s="22">
        <f>ROUND(ROUND(J575, 2)*I575, 2)</f>
        <v>385.39</v>
      </c>
      <c r="P575" s="23">
        <v>88.8</v>
      </c>
      <c r="S575" s="22">
        <f>ROUND(ROUND(P575, 2)*I575, 2)</f>
        <v>385.39</v>
      </c>
      <c r="V575" s="9">
        <f>ROUND(ROUND(P575, 2)/1.2, 2)</f>
        <v>74</v>
      </c>
      <c r="Y575" s="9">
        <f t="shared" si="24"/>
        <v>321.16000000000003</v>
      </c>
      <c r="AD575" s="4" t="s">
        <v>2215</v>
      </c>
      <c r="AE575" s="4" t="s">
        <v>2216</v>
      </c>
      <c r="AF575" s="4" t="s">
        <v>436</v>
      </c>
    </row>
    <row r="576" spans="1:35" ht="54" hidden="1" x14ac:dyDescent="0.3">
      <c r="A576" s="10" t="s">
        <v>2217</v>
      </c>
      <c r="B576" s="10"/>
      <c r="C576" s="24" t="s">
        <v>2207</v>
      </c>
      <c r="D576" s="12"/>
      <c r="E576" s="12" t="s">
        <v>2218</v>
      </c>
      <c r="F576" s="18" t="s">
        <v>70</v>
      </c>
      <c r="G576" s="19">
        <v>0.3</v>
      </c>
      <c r="H576" s="19"/>
      <c r="I576" s="19">
        <v>8.6790000000000003</v>
      </c>
      <c r="J576" s="21">
        <v>0</v>
      </c>
      <c r="M576" s="22">
        <f>ROUND(ROUND(J576, 2)*I576, 2)</f>
        <v>0</v>
      </c>
      <c r="P576" s="23">
        <v>0</v>
      </c>
      <c r="S576" s="22">
        <f>ROUND(ROUND(P576, 2)*I576, 2)</f>
        <v>0</v>
      </c>
      <c r="V576" s="9">
        <f>ROUND(ROUND(P576, 2)/1.2, 2)</f>
        <v>0</v>
      </c>
      <c r="Y576" s="9">
        <f t="shared" si="24"/>
        <v>0</v>
      </c>
      <c r="AD576" s="4" t="s">
        <v>2219</v>
      </c>
      <c r="AE576" s="4" t="s">
        <v>2220</v>
      </c>
      <c r="AF576" s="4" t="s">
        <v>2211</v>
      </c>
    </row>
    <row r="577" spans="1:35" ht="36" hidden="1" x14ac:dyDescent="0.3">
      <c r="A577" s="10" t="s">
        <v>2221</v>
      </c>
      <c r="B577" s="10" t="s">
        <v>2169</v>
      </c>
      <c r="C577" s="11" t="s">
        <v>2170</v>
      </c>
      <c r="D577" s="12"/>
      <c r="E577" s="12" t="s">
        <v>2222</v>
      </c>
      <c r="F577" s="12" t="s">
        <v>64</v>
      </c>
      <c r="G577" s="13">
        <v>1</v>
      </c>
      <c r="H577" s="13"/>
      <c r="I577" s="13">
        <v>28.7</v>
      </c>
      <c r="J577" s="14">
        <f>IFERROR(ROUND(SUM(M578,M579)/I577, 2),0)</f>
        <v>13.32</v>
      </c>
      <c r="K577" s="15">
        <v>464</v>
      </c>
      <c r="L577" s="14">
        <f>J577+ROUND(K577, 2)</f>
        <v>477.32</v>
      </c>
      <c r="M577" s="14">
        <f>ROUND(J577*I577, 2)</f>
        <v>382.28</v>
      </c>
      <c r="N577" s="14">
        <f>ROUND(I577*ROUND(K577, 2), 2)</f>
        <v>13316.8</v>
      </c>
      <c r="O577" s="14">
        <f>M577+N577</f>
        <v>13699.08</v>
      </c>
      <c r="P577" s="14">
        <f>IFERROR(ROUND(SUM(S578,S579)/I577, 2),0)</f>
        <v>13.32</v>
      </c>
      <c r="Q577" s="16">
        <v>464</v>
      </c>
      <c r="R577" s="14">
        <f>P577+ROUND(Q577, 2)</f>
        <v>477.32</v>
      </c>
      <c r="S577" s="14">
        <f>ROUND(P577*I577, 2)</f>
        <v>382.28</v>
      </c>
      <c r="T577" s="14">
        <f>ROUND(I577*ROUND(Q577, 2), 2)</f>
        <v>13316.8</v>
      </c>
      <c r="U577" s="14">
        <f>S577+T577</f>
        <v>13699.08</v>
      </c>
      <c r="V577" s="9">
        <f>ROUND(P577 / 1.2, 2)</f>
        <v>11.1</v>
      </c>
      <c r="W577" s="9">
        <f>ROUND(Q577 / 1.2, 2)</f>
        <v>386.67</v>
      </c>
      <c r="X577" s="9">
        <f>ROUND(R577 / 1.2, 2)</f>
        <v>397.77</v>
      </c>
      <c r="Y577" s="9">
        <f t="shared" si="24"/>
        <v>318.57</v>
      </c>
      <c r="Z577" s="9">
        <f>ROUND(T577 / 1.2, 2)</f>
        <v>11097.33</v>
      </c>
      <c r="AA577" s="9">
        <f>Y577+Z577</f>
        <v>11415.9</v>
      </c>
      <c r="AD577" s="4">
        <v>271132257</v>
      </c>
      <c r="AE577" s="4">
        <v>19999845</v>
      </c>
      <c r="AG577" s="4" t="s">
        <v>2172</v>
      </c>
      <c r="AH577" s="4" t="s">
        <v>2173</v>
      </c>
      <c r="AI577" s="4" t="s">
        <v>67</v>
      </c>
    </row>
    <row r="578" spans="1:35" ht="36" hidden="1" x14ac:dyDescent="0.3">
      <c r="A578" s="10" t="s">
        <v>2223</v>
      </c>
      <c r="B578" s="10"/>
      <c r="C578" s="24" t="s">
        <v>433</v>
      </c>
      <c r="D578" s="12"/>
      <c r="E578" s="12"/>
      <c r="F578" s="18" t="s">
        <v>70</v>
      </c>
      <c r="G578" s="19">
        <v>0.15</v>
      </c>
      <c r="H578" s="19"/>
      <c r="I578" s="19">
        <v>4.3049999999999997</v>
      </c>
      <c r="J578" s="21">
        <v>88.8</v>
      </c>
      <c r="M578" s="22">
        <f>ROUND(ROUND(J578, 2)*I578, 2)</f>
        <v>382.28</v>
      </c>
      <c r="P578" s="23">
        <v>88.8</v>
      </c>
      <c r="S578" s="22">
        <f>ROUND(ROUND(P578, 2)*I578, 2)</f>
        <v>382.28</v>
      </c>
      <c r="V578" s="9">
        <f>ROUND(ROUND(P578, 2)/1.2, 2)</f>
        <v>74</v>
      </c>
      <c r="Y578" s="9">
        <f t="shared" si="24"/>
        <v>318.57</v>
      </c>
      <c r="AD578" s="4" t="s">
        <v>2224</v>
      </c>
      <c r="AE578" s="4" t="s">
        <v>2225</v>
      </c>
      <c r="AF578" s="4" t="s">
        <v>436</v>
      </c>
    </row>
    <row r="579" spans="1:35" ht="54" hidden="1" x14ac:dyDescent="0.3">
      <c r="A579" s="10" t="s">
        <v>2226</v>
      </c>
      <c r="B579" s="10"/>
      <c r="C579" s="24" t="s">
        <v>2207</v>
      </c>
      <c r="D579" s="12"/>
      <c r="E579" s="12" t="s">
        <v>2227</v>
      </c>
      <c r="F579" s="18" t="s">
        <v>70</v>
      </c>
      <c r="G579" s="19">
        <v>0.3</v>
      </c>
      <c r="H579" s="19"/>
      <c r="I579" s="19">
        <v>8.61</v>
      </c>
      <c r="J579" s="21">
        <v>0</v>
      </c>
      <c r="M579" s="22">
        <f>ROUND(ROUND(J579, 2)*I579, 2)</f>
        <v>0</v>
      </c>
      <c r="P579" s="23">
        <v>0</v>
      </c>
      <c r="S579" s="22">
        <f>ROUND(ROUND(P579, 2)*I579, 2)</f>
        <v>0</v>
      </c>
      <c r="V579" s="9">
        <f>ROUND(ROUND(P579, 2)/1.2, 2)</f>
        <v>0</v>
      </c>
      <c r="Y579" s="9">
        <f t="shared" si="24"/>
        <v>0</v>
      </c>
      <c r="AD579" s="4" t="s">
        <v>2228</v>
      </c>
      <c r="AE579" s="4" t="s">
        <v>2229</v>
      </c>
      <c r="AF579" s="4" t="s">
        <v>2211</v>
      </c>
    </row>
    <row r="580" spans="1:35" ht="36" hidden="1" x14ac:dyDescent="0.3">
      <c r="A580" s="10" t="s">
        <v>2230</v>
      </c>
      <c r="B580" s="10" t="s">
        <v>2169</v>
      </c>
      <c r="C580" s="11" t="s">
        <v>2170</v>
      </c>
      <c r="D580" s="12"/>
      <c r="E580" s="12" t="s">
        <v>2231</v>
      </c>
      <c r="F580" s="12" t="s">
        <v>64</v>
      </c>
      <c r="G580" s="13">
        <v>1</v>
      </c>
      <c r="H580" s="13"/>
      <c r="I580" s="13">
        <v>29.42</v>
      </c>
      <c r="J580" s="14">
        <f>IFERROR(ROUND(SUM(M581,M582)/I580, 2),0)</f>
        <v>13.32</v>
      </c>
      <c r="K580" s="15">
        <v>464</v>
      </c>
      <c r="L580" s="14">
        <f>J580+ROUND(K580, 2)</f>
        <v>477.32</v>
      </c>
      <c r="M580" s="14">
        <f>ROUND(J580*I580, 2)</f>
        <v>391.87</v>
      </c>
      <c r="N580" s="14">
        <f>ROUND(I580*ROUND(K580, 2), 2)</f>
        <v>13650.88</v>
      </c>
      <c r="O580" s="14">
        <f>M580+N580</f>
        <v>14042.75</v>
      </c>
      <c r="P580" s="14">
        <f>IFERROR(ROUND(SUM(S581,S582)/I580, 2),0)</f>
        <v>13.32</v>
      </c>
      <c r="Q580" s="16">
        <v>464</v>
      </c>
      <c r="R580" s="14">
        <f>P580+ROUND(Q580, 2)</f>
        <v>477.32</v>
      </c>
      <c r="S580" s="14">
        <f>ROUND(P580*I580, 2)</f>
        <v>391.87</v>
      </c>
      <c r="T580" s="14">
        <f>ROUND(I580*ROUND(Q580, 2), 2)</f>
        <v>13650.88</v>
      </c>
      <c r="U580" s="14">
        <f>S580+T580</f>
        <v>14042.75</v>
      </c>
      <c r="V580" s="9">
        <f>ROUND(P580 / 1.2, 2)</f>
        <v>11.1</v>
      </c>
      <c r="W580" s="9">
        <f>ROUND(Q580 / 1.2, 2)</f>
        <v>386.67</v>
      </c>
      <c r="X580" s="9">
        <f>ROUND(R580 / 1.2, 2)</f>
        <v>397.77</v>
      </c>
      <c r="Y580" s="9">
        <f t="shared" si="24"/>
        <v>326.56</v>
      </c>
      <c r="Z580" s="9">
        <f>ROUND(T580 / 1.2, 2)</f>
        <v>11375.73</v>
      </c>
      <c r="AA580" s="9">
        <f>Y580+Z580</f>
        <v>11702.289999999999</v>
      </c>
      <c r="AD580" s="4">
        <v>271132258</v>
      </c>
      <c r="AE580" s="4">
        <v>19999846</v>
      </c>
      <c r="AG580" s="4" t="s">
        <v>2172</v>
      </c>
      <c r="AH580" s="4" t="s">
        <v>2173</v>
      </c>
      <c r="AI580" s="4" t="s">
        <v>67</v>
      </c>
    </row>
    <row r="581" spans="1:35" ht="36" hidden="1" x14ac:dyDescent="0.3">
      <c r="A581" s="10" t="s">
        <v>2232</v>
      </c>
      <c r="B581" s="10"/>
      <c r="C581" s="24" t="s">
        <v>433</v>
      </c>
      <c r="D581" s="12"/>
      <c r="E581" s="12"/>
      <c r="F581" s="18" t="s">
        <v>70</v>
      </c>
      <c r="G581" s="19">
        <v>0.15</v>
      </c>
      <c r="H581" s="19"/>
      <c r="I581" s="19">
        <v>4.4130000000000003</v>
      </c>
      <c r="J581" s="21">
        <v>88.8</v>
      </c>
      <c r="M581" s="22">
        <f>ROUND(ROUND(J581, 2)*I581, 2)</f>
        <v>391.87</v>
      </c>
      <c r="P581" s="23">
        <v>88.8</v>
      </c>
      <c r="S581" s="22">
        <f>ROUND(ROUND(P581, 2)*I581, 2)</f>
        <v>391.87</v>
      </c>
      <c r="V581" s="9">
        <f>ROUND(ROUND(P581, 2)/1.2, 2)</f>
        <v>74</v>
      </c>
      <c r="Y581" s="9">
        <f t="shared" si="24"/>
        <v>326.56</v>
      </c>
      <c r="AD581" s="4" t="s">
        <v>2233</v>
      </c>
      <c r="AE581" s="4" t="s">
        <v>2234</v>
      </c>
      <c r="AF581" s="4" t="s">
        <v>436</v>
      </c>
    </row>
    <row r="582" spans="1:35" ht="54" hidden="1" x14ac:dyDescent="0.3">
      <c r="A582" s="10" t="s">
        <v>2235</v>
      </c>
      <c r="B582" s="10"/>
      <c r="C582" s="24" t="s">
        <v>2207</v>
      </c>
      <c r="D582" s="12"/>
      <c r="E582" s="12" t="s">
        <v>2236</v>
      </c>
      <c r="F582" s="18" t="s">
        <v>70</v>
      </c>
      <c r="G582" s="19">
        <v>0.3</v>
      </c>
      <c r="H582" s="19"/>
      <c r="I582" s="19">
        <v>8.8260000000000005</v>
      </c>
      <c r="J582" s="21">
        <v>0</v>
      </c>
      <c r="M582" s="22">
        <f>ROUND(ROUND(J582, 2)*I582, 2)</f>
        <v>0</v>
      </c>
      <c r="P582" s="23">
        <v>0</v>
      </c>
      <c r="S582" s="22">
        <f>ROUND(ROUND(P582, 2)*I582, 2)</f>
        <v>0</v>
      </c>
      <c r="V582" s="9">
        <f>ROUND(ROUND(P582, 2)/1.2, 2)</f>
        <v>0</v>
      </c>
      <c r="Y582" s="9">
        <f t="shared" si="24"/>
        <v>0</v>
      </c>
      <c r="AD582" s="4" t="s">
        <v>2237</v>
      </c>
      <c r="AE582" s="4" t="s">
        <v>2238</v>
      </c>
      <c r="AF582" s="4" t="s">
        <v>2211</v>
      </c>
    </row>
    <row r="583" spans="1:35" ht="36" hidden="1" x14ac:dyDescent="0.3">
      <c r="A583" s="10" t="s">
        <v>2239</v>
      </c>
      <c r="B583" s="10" t="s">
        <v>2169</v>
      </c>
      <c r="C583" s="11" t="s">
        <v>2170</v>
      </c>
      <c r="D583" s="12"/>
      <c r="E583" s="12" t="s">
        <v>2240</v>
      </c>
      <c r="F583" s="12" t="s">
        <v>64</v>
      </c>
      <c r="G583" s="13">
        <v>1</v>
      </c>
      <c r="H583" s="13"/>
      <c r="I583" s="13">
        <v>316.79000000000002</v>
      </c>
      <c r="J583" s="14">
        <f>IFERROR(ROUND(SUM(M584,M585)/I583, 2),0)</f>
        <v>13.32</v>
      </c>
      <c r="K583" s="15">
        <v>464</v>
      </c>
      <c r="L583" s="14">
        <f>J583+ROUND(K583, 2)</f>
        <v>477.32</v>
      </c>
      <c r="M583" s="14">
        <f>ROUND(J583*I583, 2)</f>
        <v>4219.6400000000003</v>
      </c>
      <c r="N583" s="14">
        <f>ROUND(I583*ROUND(K583, 2), 2)</f>
        <v>146990.56</v>
      </c>
      <c r="O583" s="14">
        <f>M583+N583</f>
        <v>151210.20000000001</v>
      </c>
      <c r="P583" s="14">
        <f>IFERROR(ROUND(SUM(S584,S585)/I583, 2),0)</f>
        <v>13.32</v>
      </c>
      <c r="Q583" s="16">
        <v>464</v>
      </c>
      <c r="R583" s="14">
        <f>P583+ROUND(Q583, 2)</f>
        <v>477.32</v>
      </c>
      <c r="S583" s="14">
        <f>ROUND(P583*I583, 2)</f>
        <v>4219.6400000000003</v>
      </c>
      <c r="T583" s="14">
        <f>ROUND(I583*ROUND(Q583, 2), 2)</f>
        <v>146990.56</v>
      </c>
      <c r="U583" s="14">
        <f>S583+T583</f>
        <v>151210.20000000001</v>
      </c>
      <c r="V583" s="9">
        <f>ROUND(P583 / 1.2, 2)</f>
        <v>11.1</v>
      </c>
      <c r="W583" s="9">
        <f>ROUND(Q583 / 1.2, 2)</f>
        <v>386.67</v>
      </c>
      <c r="X583" s="9">
        <f>ROUND(R583 / 1.2, 2)</f>
        <v>397.77</v>
      </c>
      <c r="Y583" s="9">
        <f t="shared" si="24"/>
        <v>3516.37</v>
      </c>
      <c r="Z583" s="9">
        <f>ROUND(T583 / 1.2, 2)</f>
        <v>122492.13</v>
      </c>
      <c r="AA583" s="9">
        <f>Y583+Z583</f>
        <v>126008.5</v>
      </c>
      <c r="AD583" s="4">
        <v>271132259</v>
      </c>
      <c r="AE583" s="4">
        <v>20002013</v>
      </c>
      <c r="AG583" s="4" t="s">
        <v>2172</v>
      </c>
      <c r="AH583" s="4" t="s">
        <v>2173</v>
      </c>
      <c r="AI583" s="4" t="s">
        <v>67</v>
      </c>
    </row>
    <row r="584" spans="1:35" ht="36" hidden="1" x14ac:dyDescent="0.3">
      <c r="A584" s="10" t="s">
        <v>2241</v>
      </c>
      <c r="B584" s="10"/>
      <c r="C584" s="24" t="s">
        <v>433</v>
      </c>
      <c r="D584" s="12"/>
      <c r="E584" s="12"/>
      <c r="F584" s="18" t="s">
        <v>70</v>
      </c>
      <c r="G584" s="19">
        <v>0.15</v>
      </c>
      <c r="H584" s="19"/>
      <c r="I584" s="19">
        <v>47.518999999999998</v>
      </c>
      <c r="J584" s="21">
        <v>88.8</v>
      </c>
      <c r="M584" s="22">
        <f>ROUND(ROUND(J584, 2)*I584, 2)</f>
        <v>4219.6899999999996</v>
      </c>
      <c r="P584" s="23">
        <v>88.8</v>
      </c>
      <c r="S584" s="22">
        <f>ROUND(ROUND(P584, 2)*I584, 2)</f>
        <v>4219.6899999999996</v>
      </c>
      <c r="V584" s="9">
        <f>ROUND(ROUND(P584, 2)/1.2, 2)</f>
        <v>74</v>
      </c>
      <c r="Y584" s="9">
        <f t="shared" si="24"/>
        <v>3516.41</v>
      </c>
      <c r="AD584" s="4" t="s">
        <v>2242</v>
      </c>
      <c r="AE584" s="4" t="s">
        <v>2243</v>
      </c>
      <c r="AF584" s="4" t="s">
        <v>436</v>
      </c>
    </row>
    <row r="585" spans="1:35" ht="90" hidden="1" x14ac:dyDescent="0.3">
      <c r="A585" s="10" t="s">
        <v>2244</v>
      </c>
      <c r="B585" s="10"/>
      <c r="C585" s="24" t="s">
        <v>2175</v>
      </c>
      <c r="D585" s="12"/>
      <c r="E585" s="12" t="s">
        <v>2245</v>
      </c>
      <c r="F585" s="18" t="s">
        <v>70</v>
      </c>
      <c r="G585" s="19">
        <v>0.3</v>
      </c>
      <c r="H585" s="19"/>
      <c r="I585" s="19">
        <v>95.037000000000006</v>
      </c>
      <c r="J585" s="21">
        <v>0</v>
      </c>
      <c r="M585" s="22">
        <f>ROUND(ROUND(J585, 2)*I585, 2)</f>
        <v>0</v>
      </c>
      <c r="P585" s="23">
        <v>0</v>
      </c>
      <c r="S585" s="22">
        <f>ROUND(ROUND(P585, 2)*I585, 2)</f>
        <v>0</v>
      </c>
      <c r="V585" s="9">
        <f>ROUND(ROUND(P585, 2)/1.2, 2)</f>
        <v>0</v>
      </c>
      <c r="Y585" s="9">
        <f t="shared" si="24"/>
        <v>0</v>
      </c>
      <c r="AD585" s="4" t="s">
        <v>2246</v>
      </c>
      <c r="AE585" s="4" t="s">
        <v>2247</v>
      </c>
      <c r="AF585" s="4" t="s">
        <v>2179</v>
      </c>
    </row>
    <row r="586" spans="1:35" ht="36" hidden="1" x14ac:dyDescent="0.3">
      <c r="A586" s="10" t="s">
        <v>2248</v>
      </c>
      <c r="B586" s="10" t="s">
        <v>2169</v>
      </c>
      <c r="C586" s="11" t="s">
        <v>2170</v>
      </c>
      <c r="D586" s="12"/>
      <c r="E586" s="12" t="s">
        <v>2249</v>
      </c>
      <c r="F586" s="12" t="s">
        <v>64</v>
      </c>
      <c r="G586" s="13">
        <v>1</v>
      </c>
      <c r="H586" s="13"/>
      <c r="I586" s="13">
        <v>564.55999999999995</v>
      </c>
      <c r="J586" s="14">
        <f>IFERROR(ROUND(SUM(M587,M588)/I586, 2),0)</f>
        <v>13.32</v>
      </c>
      <c r="K586" s="15">
        <v>464</v>
      </c>
      <c r="L586" s="14">
        <f>J586+ROUND(K586, 2)</f>
        <v>477.32</v>
      </c>
      <c r="M586" s="14">
        <f>ROUND(J586*I586, 2)</f>
        <v>7519.94</v>
      </c>
      <c r="N586" s="14">
        <f>ROUND(I586*ROUND(K586, 2), 2)</f>
        <v>261955.84</v>
      </c>
      <c r="O586" s="14">
        <f>M586+N586</f>
        <v>269475.77999999997</v>
      </c>
      <c r="P586" s="14">
        <f>IFERROR(ROUND(SUM(S587,S588)/I586, 2),0)</f>
        <v>13.32</v>
      </c>
      <c r="Q586" s="16">
        <v>464</v>
      </c>
      <c r="R586" s="14">
        <f>P586+ROUND(Q586, 2)</f>
        <v>477.32</v>
      </c>
      <c r="S586" s="14">
        <f>ROUND(P586*I586, 2)</f>
        <v>7519.94</v>
      </c>
      <c r="T586" s="14">
        <f>ROUND(I586*ROUND(Q586, 2), 2)</f>
        <v>261955.84</v>
      </c>
      <c r="U586" s="14">
        <f>S586+T586</f>
        <v>269475.77999999997</v>
      </c>
      <c r="V586" s="9">
        <f>ROUND(P586 / 1.2, 2)</f>
        <v>11.1</v>
      </c>
      <c r="W586" s="9">
        <f>ROUND(Q586 / 1.2, 2)</f>
        <v>386.67</v>
      </c>
      <c r="X586" s="9">
        <f>ROUND(R586 / 1.2, 2)</f>
        <v>397.77</v>
      </c>
      <c r="Y586" s="9">
        <f t="shared" si="24"/>
        <v>6266.62</v>
      </c>
      <c r="Z586" s="9">
        <f>ROUND(T586 / 1.2, 2)</f>
        <v>218296.53</v>
      </c>
      <c r="AA586" s="9">
        <f>Y586+Z586</f>
        <v>224563.15</v>
      </c>
      <c r="AD586" s="4">
        <v>271132260</v>
      </c>
      <c r="AE586" s="4">
        <v>20002014</v>
      </c>
      <c r="AG586" s="4" t="s">
        <v>2172</v>
      </c>
      <c r="AH586" s="4" t="s">
        <v>2173</v>
      </c>
      <c r="AI586" s="4" t="s">
        <v>67</v>
      </c>
    </row>
    <row r="587" spans="1:35" ht="36" hidden="1" x14ac:dyDescent="0.3">
      <c r="A587" s="10" t="s">
        <v>2250</v>
      </c>
      <c r="B587" s="10"/>
      <c r="C587" s="24" t="s">
        <v>433</v>
      </c>
      <c r="D587" s="12"/>
      <c r="E587" s="12"/>
      <c r="F587" s="18" t="s">
        <v>70</v>
      </c>
      <c r="G587" s="19">
        <v>0.15</v>
      </c>
      <c r="H587" s="19"/>
      <c r="I587" s="19">
        <v>84.683999999999997</v>
      </c>
      <c r="J587" s="21">
        <v>88.8</v>
      </c>
      <c r="M587" s="22">
        <f>ROUND(ROUND(J587, 2)*I587, 2)</f>
        <v>7519.94</v>
      </c>
      <c r="P587" s="23">
        <v>88.8</v>
      </c>
      <c r="S587" s="22">
        <f>ROUND(ROUND(P587, 2)*I587, 2)</f>
        <v>7519.94</v>
      </c>
      <c r="V587" s="9">
        <f>ROUND(ROUND(P587, 2)/1.2, 2)</f>
        <v>74</v>
      </c>
      <c r="Y587" s="9">
        <f t="shared" si="24"/>
        <v>6266.62</v>
      </c>
      <c r="AD587" s="4" t="s">
        <v>2251</v>
      </c>
      <c r="AE587" s="4" t="s">
        <v>2252</v>
      </c>
      <c r="AF587" s="4" t="s">
        <v>436</v>
      </c>
    </row>
    <row r="588" spans="1:35" ht="54" hidden="1" x14ac:dyDescent="0.3">
      <c r="A588" s="10" t="s">
        <v>2253</v>
      </c>
      <c r="B588" s="10"/>
      <c r="C588" s="24" t="s">
        <v>2207</v>
      </c>
      <c r="D588" s="12"/>
      <c r="E588" s="12" t="s">
        <v>2254</v>
      </c>
      <c r="F588" s="18" t="s">
        <v>70</v>
      </c>
      <c r="G588" s="19">
        <v>0.3</v>
      </c>
      <c r="H588" s="19"/>
      <c r="I588" s="19">
        <v>169.36799999999999</v>
      </c>
      <c r="J588" s="21">
        <v>0</v>
      </c>
      <c r="M588" s="22">
        <f>ROUND(ROUND(J588, 2)*I588, 2)</f>
        <v>0</v>
      </c>
      <c r="P588" s="23">
        <v>0</v>
      </c>
      <c r="S588" s="22">
        <f>ROUND(ROUND(P588, 2)*I588, 2)</f>
        <v>0</v>
      </c>
      <c r="V588" s="9">
        <f>ROUND(ROUND(P588, 2)/1.2, 2)</f>
        <v>0</v>
      </c>
      <c r="Y588" s="9">
        <f t="shared" si="24"/>
        <v>0</v>
      </c>
      <c r="AD588" s="4" t="s">
        <v>2255</v>
      </c>
      <c r="AE588" s="4" t="s">
        <v>2256</v>
      </c>
      <c r="AF588" s="4" t="s">
        <v>2211</v>
      </c>
    </row>
    <row r="589" spans="1:35" ht="36" hidden="1" x14ac:dyDescent="0.3">
      <c r="A589" s="10" t="s">
        <v>2257</v>
      </c>
      <c r="B589" s="10" t="s">
        <v>2169</v>
      </c>
      <c r="C589" s="11" t="s">
        <v>2170</v>
      </c>
      <c r="D589" s="12"/>
      <c r="E589" s="12" t="s">
        <v>2258</v>
      </c>
      <c r="F589" s="12" t="s">
        <v>64</v>
      </c>
      <c r="G589" s="13">
        <v>1</v>
      </c>
      <c r="H589" s="13"/>
      <c r="I589" s="13">
        <v>32.17</v>
      </c>
      <c r="J589" s="14">
        <f>IFERROR(ROUND(SUM(M590,M591)/I589, 2),0)</f>
        <v>12</v>
      </c>
      <c r="K589" s="15">
        <v>464</v>
      </c>
      <c r="L589" s="14">
        <f>J589+ROUND(K589, 2)</f>
        <v>476</v>
      </c>
      <c r="M589" s="14">
        <f>ROUND(J589*I589, 2)</f>
        <v>386.04</v>
      </c>
      <c r="N589" s="14">
        <f>ROUND(I589*ROUND(K589, 2), 2)</f>
        <v>14926.88</v>
      </c>
      <c r="O589" s="14">
        <f>M589+N589</f>
        <v>15312.92</v>
      </c>
      <c r="P589" s="14">
        <f>IFERROR(ROUND(SUM(S590,S591)/I589, 2),0)</f>
        <v>12</v>
      </c>
      <c r="Q589" s="16">
        <v>464</v>
      </c>
      <c r="R589" s="14">
        <f>P589+ROUND(Q589, 2)</f>
        <v>476</v>
      </c>
      <c r="S589" s="14">
        <f>ROUND(P589*I589, 2)</f>
        <v>386.04</v>
      </c>
      <c r="T589" s="14">
        <f>ROUND(I589*ROUND(Q589, 2), 2)</f>
        <v>14926.88</v>
      </c>
      <c r="U589" s="14">
        <f>S589+T589</f>
        <v>15312.92</v>
      </c>
      <c r="V589" s="9">
        <f>ROUND(P589 / 1.2, 2)</f>
        <v>10</v>
      </c>
      <c r="W589" s="9">
        <f>ROUND(Q589 / 1.2, 2)</f>
        <v>386.67</v>
      </c>
      <c r="X589" s="9">
        <f>ROUND(R589 / 1.2, 2)</f>
        <v>396.67</v>
      </c>
      <c r="Y589" s="9">
        <f t="shared" si="24"/>
        <v>321.7</v>
      </c>
      <c r="Z589" s="9">
        <f>ROUND(T589 / 1.2, 2)</f>
        <v>12439.07</v>
      </c>
      <c r="AA589" s="9">
        <f>Y589+Z589</f>
        <v>12760.77</v>
      </c>
      <c r="AD589" s="4">
        <v>271132261</v>
      </c>
      <c r="AE589" s="4">
        <v>20002017</v>
      </c>
      <c r="AG589" s="4" t="s">
        <v>2172</v>
      </c>
      <c r="AH589" s="4" t="s">
        <v>2173</v>
      </c>
      <c r="AI589" s="4" t="s">
        <v>67</v>
      </c>
    </row>
    <row r="590" spans="1:35" ht="36" hidden="1" x14ac:dyDescent="0.3">
      <c r="A590" s="10" t="s">
        <v>2259</v>
      </c>
      <c r="B590" s="10"/>
      <c r="C590" s="24" t="s">
        <v>2260</v>
      </c>
      <c r="D590" s="12"/>
      <c r="E590" s="12"/>
      <c r="F590" s="18" t="s">
        <v>70</v>
      </c>
      <c r="G590" s="19">
        <v>0.15</v>
      </c>
      <c r="H590" s="19"/>
      <c r="I590" s="19">
        <v>4.8259999999999996</v>
      </c>
      <c r="J590" s="21">
        <v>80</v>
      </c>
      <c r="M590" s="22">
        <f>ROUND(ROUND(J590, 2)*I590, 2)</f>
        <v>386.08</v>
      </c>
      <c r="P590" s="23">
        <v>80</v>
      </c>
      <c r="S590" s="22">
        <f>ROUND(ROUND(P590, 2)*I590, 2)</f>
        <v>386.08</v>
      </c>
      <c r="V590" s="9">
        <f>ROUND(ROUND(P590, 2)/1.2, 2)</f>
        <v>66.67</v>
      </c>
      <c r="Y590" s="9">
        <f t="shared" si="24"/>
        <v>321.73</v>
      </c>
      <c r="AD590" s="4" t="s">
        <v>2261</v>
      </c>
      <c r="AE590" s="4" t="s">
        <v>2262</v>
      </c>
      <c r="AF590" s="4" t="s">
        <v>2263</v>
      </c>
    </row>
    <row r="591" spans="1:35" ht="72" hidden="1" x14ac:dyDescent="0.3">
      <c r="A591" s="10" t="s">
        <v>2264</v>
      </c>
      <c r="B591" s="10"/>
      <c r="C591" s="24" t="s">
        <v>2207</v>
      </c>
      <c r="D591" s="12"/>
      <c r="E591" s="12" t="s">
        <v>2265</v>
      </c>
      <c r="F591" s="18" t="s">
        <v>70</v>
      </c>
      <c r="G591" s="19">
        <v>0.3</v>
      </c>
      <c r="H591" s="19"/>
      <c r="I591" s="19">
        <v>9.6509999999999998</v>
      </c>
      <c r="J591" s="21">
        <v>0</v>
      </c>
      <c r="M591" s="22">
        <f>ROUND(ROUND(J591, 2)*I591, 2)</f>
        <v>0</v>
      </c>
      <c r="P591" s="23">
        <v>0</v>
      </c>
      <c r="S591" s="22">
        <f>ROUND(ROUND(P591, 2)*I591, 2)</f>
        <v>0</v>
      </c>
      <c r="V591" s="9">
        <f>ROUND(ROUND(P591, 2)/1.2, 2)</f>
        <v>0</v>
      </c>
      <c r="Y591" s="9">
        <f t="shared" si="24"/>
        <v>0</v>
      </c>
      <c r="AD591" s="4" t="s">
        <v>2266</v>
      </c>
      <c r="AE591" s="4" t="s">
        <v>2267</v>
      </c>
      <c r="AF591" s="4" t="s">
        <v>2211</v>
      </c>
    </row>
    <row r="592" spans="1:35" ht="36" hidden="1" x14ac:dyDescent="0.3">
      <c r="A592" s="10" t="s">
        <v>2268</v>
      </c>
      <c r="B592" s="10" t="s">
        <v>2169</v>
      </c>
      <c r="C592" s="11" t="s">
        <v>2170</v>
      </c>
      <c r="D592" s="12"/>
      <c r="E592" s="12" t="s">
        <v>2269</v>
      </c>
      <c r="F592" s="12" t="s">
        <v>64</v>
      </c>
      <c r="G592" s="13">
        <v>1</v>
      </c>
      <c r="H592" s="13"/>
      <c r="I592" s="13">
        <v>38.729999999999997</v>
      </c>
      <c r="J592" s="14">
        <f>IFERROR(ROUND(SUM(M593,M594)/I592, 2),0)</f>
        <v>13.32</v>
      </c>
      <c r="K592" s="15">
        <v>464</v>
      </c>
      <c r="L592" s="14">
        <f>J592+ROUND(K592, 2)</f>
        <v>477.32</v>
      </c>
      <c r="M592" s="14">
        <f>ROUND(J592*I592, 2)</f>
        <v>515.88</v>
      </c>
      <c r="N592" s="14">
        <f>ROUND(I592*ROUND(K592, 2), 2)</f>
        <v>17970.72</v>
      </c>
      <c r="O592" s="14">
        <f>M592+N592</f>
        <v>18486.600000000002</v>
      </c>
      <c r="P592" s="14">
        <f>IFERROR(ROUND(SUM(S593,S594)/I592, 2),0)</f>
        <v>13.32</v>
      </c>
      <c r="Q592" s="16">
        <v>464</v>
      </c>
      <c r="R592" s="14">
        <f>P592+ROUND(Q592, 2)</f>
        <v>477.32</v>
      </c>
      <c r="S592" s="14">
        <f>ROUND(P592*I592, 2)</f>
        <v>515.88</v>
      </c>
      <c r="T592" s="14">
        <f>ROUND(I592*ROUND(Q592, 2), 2)</f>
        <v>17970.72</v>
      </c>
      <c r="U592" s="14">
        <f>S592+T592</f>
        <v>18486.600000000002</v>
      </c>
      <c r="V592" s="9">
        <f>ROUND(P592 / 1.2, 2)</f>
        <v>11.1</v>
      </c>
      <c r="W592" s="9">
        <f>ROUND(Q592 / 1.2, 2)</f>
        <v>386.67</v>
      </c>
      <c r="X592" s="9">
        <f>ROUND(R592 / 1.2, 2)</f>
        <v>397.77</v>
      </c>
      <c r="Y592" s="9">
        <f t="shared" si="24"/>
        <v>429.9</v>
      </c>
      <c r="Z592" s="9">
        <f>ROUND(T592 / 1.2, 2)</f>
        <v>14975.6</v>
      </c>
      <c r="AA592" s="9">
        <f>Y592+Z592</f>
        <v>15405.5</v>
      </c>
      <c r="AD592" s="4">
        <v>271132262</v>
      </c>
      <c r="AE592" s="4">
        <v>20002018</v>
      </c>
      <c r="AG592" s="4" t="s">
        <v>2172</v>
      </c>
      <c r="AH592" s="4" t="s">
        <v>2173</v>
      </c>
      <c r="AI592" s="4" t="s">
        <v>67</v>
      </c>
    </row>
    <row r="593" spans="1:35" ht="36" hidden="1" x14ac:dyDescent="0.3">
      <c r="A593" s="10" t="s">
        <v>2270</v>
      </c>
      <c r="B593" s="10"/>
      <c r="C593" s="24" t="s">
        <v>433</v>
      </c>
      <c r="D593" s="12"/>
      <c r="E593" s="12"/>
      <c r="F593" s="18" t="s">
        <v>70</v>
      </c>
      <c r="G593" s="19">
        <v>0.15</v>
      </c>
      <c r="H593" s="19"/>
      <c r="I593" s="19">
        <v>5.81</v>
      </c>
      <c r="J593" s="21">
        <v>88.8</v>
      </c>
      <c r="M593" s="22">
        <f>ROUND(ROUND(J593, 2)*I593, 2)</f>
        <v>515.92999999999995</v>
      </c>
      <c r="P593" s="23">
        <v>88.8</v>
      </c>
      <c r="S593" s="22">
        <f>ROUND(ROUND(P593, 2)*I593, 2)</f>
        <v>515.92999999999995</v>
      </c>
      <c r="V593" s="9">
        <f>ROUND(ROUND(P593, 2)/1.2, 2)</f>
        <v>74</v>
      </c>
      <c r="Y593" s="9">
        <f t="shared" si="24"/>
        <v>429.94</v>
      </c>
      <c r="AD593" s="4" t="s">
        <v>2271</v>
      </c>
      <c r="AE593" s="4" t="s">
        <v>2272</v>
      </c>
      <c r="AF593" s="4" t="s">
        <v>436</v>
      </c>
    </row>
    <row r="594" spans="1:35" ht="54" hidden="1" x14ac:dyDescent="0.3">
      <c r="A594" s="10" t="s">
        <v>2273</v>
      </c>
      <c r="B594" s="10"/>
      <c r="C594" s="24" t="s">
        <v>2207</v>
      </c>
      <c r="D594" s="12"/>
      <c r="E594" s="12" t="s">
        <v>2274</v>
      </c>
      <c r="F594" s="18" t="s">
        <v>70</v>
      </c>
      <c r="G594" s="19">
        <v>0.3</v>
      </c>
      <c r="H594" s="19"/>
      <c r="I594" s="19">
        <v>11.619</v>
      </c>
      <c r="J594" s="21">
        <v>0</v>
      </c>
      <c r="M594" s="22">
        <f>ROUND(ROUND(J594, 2)*I594, 2)</f>
        <v>0</v>
      </c>
      <c r="P594" s="23">
        <v>0</v>
      </c>
      <c r="S594" s="22">
        <f>ROUND(ROUND(P594, 2)*I594, 2)</f>
        <v>0</v>
      </c>
      <c r="V594" s="9">
        <f>ROUND(ROUND(P594, 2)/1.2, 2)</f>
        <v>0</v>
      </c>
      <c r="Y594" s="9">
        <f t="shared" si="24"/>
        <v>0</v>
      </c>
      <c r="AD594" s="4" t="s">
        <v>2275</v>
      </c>
      <c r="AE594" s="4" t="s">
        <v>2276</v>
      </c>
      <c r="AF594" s="4" t="s">
        <v>2211</v>
      </c>
    </row>
    <row r="595" spans="1:35" ht="36" hidden="1" x14ac:dyDescent="0.3">
      <c r="A595" s="10" t="s">
        <v>2277</v>
      </c>
      <c r="B595" s="10" t="s">
        <v>2169</v>
      </c>
      <c r="C595" s="11" t="s">
        <v>2170</v>
      </c>
      <c r="D595" s="12"/>
      <c r="E595" s="12" t="s">
        <v>2231</v>
      </c>
      <c r="F595" s="12" t="s">
        <v>64</v>
      </c>
      <c r="G595" s="13">
        <v>1</v>
      </c>
      <c r="H595" s="13"/>
      <c r="I595" s="13">
        <v>38.74</v>
      </c>
      <c r="J595" s="14">
        <f>IFERROR(ROUND(SUM(M596,M597)/I595, 2),0)</f>
        <v>13.32</v>
      </c>
      <c r="K595" s="15">
        <v>464</v>
      </c>
      <c r="L595" s="14">
        <f>J595+ROUND(K595, 2)</f>
        <v>477.32</v>
      </c>
      <c r="M595" s="14">
        <f>ROUND(J595*I595, 2)</f>
        <v>516.02</v>
      </c>
      <c r="N595" s="14">
        <f>ROUND(I595*ROUND(K595, 2), 2)</f>
        <v>17975.36</v>
      </c>
      <c r="O595" s="14">
        <f>M595+N595</f>
        <v>18491.38</v>
      </c>
      <c r="P595" s="14">
        <f>IFERROR(ROUND(SUM(S596,S597)/I595, 2),0)</f>
        <v>13.32</v>
      </c>
      <c r="Q595" s="16">
        <v>464</v>
      </c>
      <c r="R595" s="14">
        <f>P595+ROUND(Q595, 2)</f>
        <v>477.32</v>
      </c>
      <c r="S595" s="14">
        <f>ROUND(P595*I595, 2)</f>
        <v>516.02</v>
      </c>
      <c r="T595" s="14">
        <f>ROUND(I595*ROUND(Q595, 2), 2)</f>
        <v>17975.36</v>
      </c>
      <c r="U595" s="14">
        <f>S595+T595</f>
        <v>18491.38</v>
      </c>
      <c r="V595" s="9">
        <f>ROUND(P595 / 1.2, 2)</f>
        <v>11.1</v>
      </c>
      <c r="W595" s="9">
        <f>ROUND(Q595 / 1.2, 2)</f>
        <v>386.67</v>
      </c>
      <c r="X595" s="9">
        <f>ROUND(R595 / 1.2, 2)</f>
        <v>397.77</v>
      </c>
      <c r="Y595" s="9">
        <f t="shared" si="24"/>
        <v>430.02</v>
      </c>
      <c r="Z595" s="9">
        <f>ROUND(T595 / 1.2, 2)</f>
        <v>14979.47</v>
      </c>
      <c r="AA595" s="9">
        <f>Y595+Z595</f>
        <v>15409.49</v>
      </c>
      <c r="AD595" s="4">
        <v>271132263</v>
      </c>
      <c r="AE595" s="4">
        <v>20002019</v>
      </c>
      <c r="AG595" s="4" t="s">
        <v>2172</v>
      </c>
      <c r="AH595" s="4" t="s">
        <v>2173</v>
      </c>
      <c r="AI595" s="4" t="s">
        <v>67</v>
      </c>
    </row>
    <row r="596" spans="1:35" ht="36" hidden="1" x14ac:dyDescent="0.3">
      <c r="A596" s="10" t="s">
        <v>2278</v>
      </c>
      <c r="B596" s="10"/>
      <c r="C596" s="24" t="s">
        <v>433</v>
      </c>
      <c r="D596" s="12"/>
      <c r="E596" s="12"/>
      <c r="F596" s="18" t="s">
        <v>70</v>
      </c>
      <c r="G596" s="19">
        <v>0.15</v>
      </c>
      <c r="H596" s="19"/>
      <c r="I596" s="19">
        <v>5.8109999999999999</v>
      </c>
      <c r="J596" s="21">
        <v>88.8</v>
      </c>
      <c r="M596" s="22">
        <f>ROUND(ROUND(J596, 2)*I596, 2)</f>
        <v>516.02</v>
      </c>
      <c r="P596" s="23">
        <v>88.8</v>
      </c>
      <c r="S596" s="22">
        <f>ROUND(ROUND(P596, 2)*I596, 2)</f>
        <v>516.02</v>
      </c>
      <c r="V596" s="9">
        <f>ROUND(ROUND(P596, 2)/1.2, 2)</f>
        <v>74</v>
      </c>
      <c r="Y596" s="9">
        <f t="shared" si="24"/>
        <v>430.02</v>
      </c>
      <c r="AD596" s="4" t="s">
        <v>2279</v>
      </c>
      <c r="AE596" s="4" t="s">
        <v>2280</v>
      </c>
      <c r="AF596" s="4" t="s">
        <v>436</v>
      </c>
    </row>
    <row r="597" spans="1:35" ht="72" hidden="1" x14ac:dyDescent="0.3">
      <c r="A597" s="10" t="s">
        <v>2281</v>
      </c>
      <c r="B597" s="10"/>
      <c r="C597" s="24" t="s">
        <v>2207</v>
      </c>
      <c r="D597" s="12"/>
      <c r="E597" s="12" t="s">
        <v>2282</v>
      </c>
      <c r="F597" s="18" t="s">
        <v>70</v>
      </c>
      <c r="G597" s="19">
        <v>0.3</v>
      </c>
      <c r="H597" s="19"/>
      <c r="I597" s="19">
        <v>11.622</v>
      </c>
      <c r="J597" s="21">
        <v>0</v>
      </c>
      <c r="M597" s="22">
        <f>ROUND(ROUND(J597, 2)*I597, 2)</f>
        <v>0</v>
      </c>
      <c r="P597" s="23">
        <v>0</v>
      </c>
      <c r="S597" s="22">
        <f>ROUND(ROUND(P597, 2)*I597, 2)</f>
        <v>0</v>
      </c>
      <c r="V597" s="9">
        <f>ROUND(ROUND(P597, 2)/1.2, 2)</f>
        <v>0</v>
      </c>
      <c r="Y597" s="9">
        <f t="shared" si="24"/>
        <v>0</v>
      </c>
      <c r="AD597" s="4" t="s">
        <v>2283</v>
      </c>
      <c r="AE597" s="4" t="s">
        <v>2284</v>
      </c>
      <c r="AF597" s="4" t="s">
        <v>2211</v>
      </c>
    </row>
    <row r="598" spans="1:35" ht="36" hidden="1" x14ac:dyDescent="0.3">
      <c r="A598" s="10" t="s">
        <v>2285</v>
      </c>
      <c r="B598" s="10" t="s">
        <v>2169</v>
      </c>
      <c r="C598" s="11" t="s">
        <v>2170</v>
      </c>
      <c r="D598" s="12"/>
      <c r="E598" s="12" t="s">
        <v>2286</v>
      </c>
      <c r="F598" s="12" t="s">
        <v>64</v>
      </c>
      <c r="G598" s="13">
        <v>1</v>
      </c>
      <c r="H598" s="13"/>
      <c r="I598" s="13">
        <v>33.549999999999997</v>
      </c>
      <c r="J598" s="14">
        <f>IFERROR(ROUND(SUM(M599,M600)/I598, 2),0)</f>
        <v>13.32</v>
      </c>
      <c r="K598" s="15">
        <v>464</v>
      </c>
      <c r="L598" s="14">
        <f>J598+ROUND(K598, 2)</f>
        <v>477.32</v>
      </c>
      <c r="M598" s="14">
        <f>ROUND(J598*I598, 2)</f>
        <v>446.89</v>
      </c>
      <c r="N598" s="14">
        <f>ROUND(I598*ROUND(K598, 2), 2)</f>
        <v>15567.2</v>
      </c>
      <c r="O598" s="14">
        <f>M598+N598</f>
        <v>16014.09</v>
      </c>
      <c r="P598" s="14">
        <f>IFERROR(ROUND(SUM(S599,S600)/I598, 2),0)</f>
        <v>13.32</v>
      </c>
      <c r="Q598" s="16">
        <v>464</v>
      </c>
      <c r="R598" s="14">
        <f>P598+ROUND(Q598, 2)</f>
        <v>477.32</v>
      </c>
      <c r="S598" s="14">
        <f>ROUND(P598*I598, 2)</f>
        <v>446.89</v>
      </c>
      <c r="T598" s="14">
        <f>ROUND(I598*ROUND(Q598, 2), 2)</f>
        <v>15567.2</v>
      </c>
      <c r="U598" s="14">
        <f>S598+T598</f>
        <v>16014.09</v>
      </c>
      <c r="V598" s="9">
        <f>ROUND(P598 / 1.2, 2)</f>
        <v>11.1</v>
      </c>
      <c r="W598" s="9">
        <f>ROUND(Q598 / 1.2, 2)</f>
        <v>386.67</v>
      </c>
      <c r="X598" s="9">
        <f>ROUND(R598 / 1.2, 2)</f>
        <v>397.77</v>
      </c>
      <c r="Y598" s="9">
        <f t="shared" si="24"/>
        <v>372.41</v>
      </c>
      <c r="Z598" s="9">
        <f>ROUND(T598 / 1.2, 2)</f>
        <v>12972.67</v>
      </c>
      <c r="AA598" s="9">
        <f>Y598+Z598</f>
        <v>13345.08</v>
      </c>
      <c r="AD598" s="4">
        <v>271132264</v>
      </c>
      <c r="AE598" s="4">
        <v>20002015</v>
      </c>
      <c r="AG598" s="4" t="s">
        <v>2172</v>
      </c>
      <c r="AH598" s="4" t="s">
        <v>2173</v>
      </c>
      <c r="AI598" s="4" t="s">
        <v>67</v>
      </c>
    </row>
    <row r="599" spans="1:35" ht="36" hidden="1" x14ac:dyDescent="0.3">
      <c r="A599" s="10" t="s">
        <v>2287</v>
      </c>
      <c r="B599" s="10"/>
      <c r="C599" s="24" t="s">
        <v>433</v>
      </c>
      <c r="D599" s="12"/>
      <c r="E599" s="12"/>
      <c r="F599" s="18" t="s">
        <v>70</v>
      </c>
      <c r="G599" s="19">
        <v>0.15</v>
      </c>
      <c r="H599" s="19"/>
      <c r="I599" s="19">
        <v>5.0330000000000004</v>
      </c>
      <c r="J599" s="21">
        <v>88.8</v>
      </c>
      <c r="M599" s="22">
        <f>ROUND(ROUND(J599, 2)*I599, 2)</f>
        <v>446.93</v>
      </c>
      <c r="P599" s="23">
        <v>88.8</v>
      </c>
      <c r="S599" s="22">
        <f>ROUND(ROUND(P599, 2)*I599, 2)</f>
        <v>446.93</v>
      </c>
      <c r="V599" s="9">
        <f>ROUND(ROUND(P599, 2)/1.2, 2)</f>
        <v>74</v>
      </c>
      <c r="Y599" s="9">
        <f t="shared" si="24"/>
        <v>372.44</v>
      </c>
      <c r="AD599" s="4" t="s">
        <v>2288</v>
      </c>
      <c r="AE599" s="4" t="s">
        <v>2289</v>
      </c>
      <c r="AF599" s="4" t="s">
        <v>436</v>
      </c>
    </row>
    <row r="600" spans="1:35" ht="54" hidden="1" x14ac:dyDescent="0.3">
      <c r="A600" s="10" t="s">
        <v>2290</v>
      </c>
      <c r="B600" s="10"/>
      <c r="C600" s="24" t="s">
        <v>2207</v>
      </c>
      <c r="D600" s="12"/>
      <c r="E600" s="12" t="s">
        <v>2291</v>
      </c>
      <c r="F600" s="18" t="s">
        <v>70</v>
      </c>
      <c r="G600" s="19">
        <v>0.3</v>
      </c>
      <c r="H600" s="19"/>
      <c r="I600" s="19">
        <v>10.065</v>
      </c>
      <c r="J600" s="21">
        <v>0</v>
      </c>
      <c r="M600" s="22">
        <f>ROUND(ROUND(J600, 2)*I600, 2)</f>
        <v>0</v>
      </c>
      <c r="P600" s="23">
        <v>0</v>
      </c>
      <c r="S600" s="22">
        <f>ROUND(ROUND(P600, 2)*I600, 2)</f>
        <v>0</v>
      </c>
      <c r="V600" s="9">
        <f>ROUND(ROUND(P600, 2)/1.2, 2)</f>
        <v>0</v>
      </c>
      <c r="Y600" s="9">
        <f t="shared" si="24"/>
        <v>0</v>
      </c>
      <c r="AD600" s="4" t="s">
        <v>2292</v>
      </c>
      <c r="AE600" s="4" t="s">
        <v>2293</v>
      </c>
      <c r="AF600" s="4" t="s">
        <v>2211</v>
      </c>
    </row>
    <row r="601" spans="1:35" ht="36" hidden="1" x14ac:dyDescent="0.3">
      <c r="A601" s="10" t="s">
        <v>2294</v>
      </c>
      <c r="B601" s="10" t="s">
        <v>2169</v>
      </c>
      <c r="C601" s="11" t="s">
        <v>2170</v>
      </c>
      <c r="D601" s="12"/>
      <c r="E601" s="12" t="s">
        <v>2295</v>
      </c>
      <c r="F601" s="12" t="s">
        <v>64</v>
      </c>
      <c r="G601" s="13">
        <v>1</v>
      </c>
      <c r="H601" s="13"/>
      <c r="I601" s="13">
        <v>1504.31</v>
      </c>
      <c r="J601" s="14">
        <f>IFERROR(ROUND(SUM(M602,M603)/I601, 2),0)</f>
        <v>13.32</v>
      </c>
      <c r="K601" s="15">
        <v>464</v>
      </c>
      <c r="L601" s="14">
        <f>J601+ROUND(K601, 2)</f>
        <v>477.32</v>
      </c>
      <c r="M601" s="14">
        <f>ROUND(J601*I601, 2)</f>
        <v>20037.41</v>
      </c>
      <c r="N601" s="14">
        <f>ROUND(I601*ROUND(K601, 2), 2)</f>
        <v>697999.84</v>
      </c>
      <c r="O601" s="14">
        <f>M601+N601</f>
        <v>718037.25</v>
      </c>
      <c r="P601" s="14">
        <f>IFERROR(ROUND(SUM(S602,S603)/I601, 2),0)</f>
        <v>13.32</v>
      </c>
      <c r="Q601" s="16">
        <v>464</v>
      </c>
      <c r="R601" s="14">
        <f>P601+ROUND(Q601, 2)</f>
        <v>477.32</v>
      </c>
      <c r="S601" s="14">
        <f>ROUND(P601*I601, 2)</f>
        <v>20037.41</v>
      </c>
      <c r="T601" s="14">
        <f>ROUND(I601*ROUND(Q601, 2), 2)</f>
        <v>697999.84</v>
      </c>
      <c r="U601" s="14">
        <f>S601+T601</f>
        <v>718037.25</v>
      </c>
      <c r="V601" s="9">
        <f>ROUND(P601 / 1.2, 2)</f>
        <v>11.1</v>
      </c>
      <c r="W601" s="9">
        <f>ROUND(Q601 / 1.2, 2)</f>
        <v>386.67</v>
      </c>
      <c r="X601" s="9">
        <f>ROUND(R601 / 1.2, 2)</f>
        <v>397.77</v>
      </c>
      <c r="Y601" s="9">
        <f t="shared" si="24"/>
        <v>16697.84</v>
      </c>
      <c r="Z601" s="9">
        <f>ROUND(T601 / 1.2, 2)</f>
        <v>581666.53</v>
      </c>
      <c r="AA601" s="9">
        <f>Y601+Z601</f>
        <v>598364.37</v>
      </c>
      <c r="AD601" s="4">
        <v>271132265</v>
      </c>
      <c r="AE601" s="4">
        <v>20002016</v>
      </c>
      <c r="AG601" s="4" t="s">
        <v>2172</v>
      </c>
      <c r="AH601" s="4" t="s">
        <v>2173</v>
      </c>
      <c r="AI601" s="4" t="s">
        <v>67</v>
      </c>
    </row>
    <row r="602" spans="1:35" ht="36" hidden="1" x14ac:dyDescent="0.3">
      <c r="A602" s="10" t="s">
        <v>2296</v>
      </c>
      <c r="B602" s="10"/>
      <c r="C602" s="24" t="s">
        <v>433</v>
      </c>
      <c r="D602" s="12"/>
      <c r="E602" s="12"/>
      <c r="F602" s="18" t="s">
        <v>70</v>
      </c>
      <c r="G602" s="19">
        <v>0.15</v>
      </c>
      <c r="H602" s="19"/>
      <c r="I602" s="19">
        <v>225.64699999999999</v>
      </c>
      <c r="J602" s="21">
        <v>88.8</v>
      </c>
      <c r="M602" s="22">
        <f>ROUND(ROUND(J602, 2)*I602, 2)</f>
        <v>20037.45</v>
      </c>
      <c r="P602" s="23">
        <v>88.8</v>
      </c>
      <c r="S602" s="22">
        <f>ROUND(ROUND(P602, 2)*I602, 2)</f>
        <v>20037.45</v>
      </c>
      <c r="V602" s="9">
        <f>ROUND(ROUND(P602, 2)/1.2, 2)</f>
        <v>74</v>
      </c>
      <c r="Y602" s="9">
        <f t="shared" si="24"/>
        <v>16697.88</v>
      </c>
      <c r="AD602" s="4" t="s">
        <v>2297</v>
      </c>
      <c r="AE602" s="4" t="s">
        <v>2298</v>
      </c>
      <c r="AF602" s="4" t="s">
        <v>436</v>
      </c>
    </row>
    <row r="603" spans="1:35" ht="90" hidden="1" x14ac:dyDescent="0.3">
      <c r="A603" s="10" t="s">
        <v>2299</v>
      </c>
      <c r="B603" s="10"/>
      <c r="C603" s="24" t="s">
        <v>2207</v>
      </c>
      <c r="D603" s="12"/>
      <c r="E603" s="12" t="s">
        <v>2300</v>
      </c>
      <c r="F603" s="18" t="s">
        <v>70</v>
      </c>
      <c r="G603" s="19">
        <v>0.3</v>
      </c>
      <c r="H603" s="19"/>
      <c r="I603" s="19">
        <v>451.29300000000001</v>
      </c>
      <c r="J603" s="21">
        <v>0</v>
      </c>
      <c r="M603" s="22">
        <f>ROUND(ROUND(J603, 2)*I603, 2)</f>
        <v>0</v>
      </c>
      <c r="P603" s="23">
        <v>0</v>
      </c>
      <c r="S603" s="22">
        <f>ROUND(ROUND(P603, 2)*I603, 2)</f>
        <v>0</v>
      </c>
      <c r="V603" s="9">
        <f>ROUND(ROUND(P603, 2)/1.2, 2)</f>
        <v>0</v>
      </c>
      <c r="Y603" s="9">
        <f t="shared" ref="Y603:Y666" si="25">ROUND(S603 / 1.2, 2)</f>
        <v>0</v>
      </c>
      <c r="AD603" s="4" t="s">
        <v>2301</v>
      </c>
      <c r="AE603" s="4" t="s">
        <v>2302</v>
      </c>
      <c r="AF603" s="4" t="s">
        <v>2211</v>
      </c>
    </row>
    <row r="604" spans="1:35" ht="36" hidden="1" x14ac:dyDescent="0.3">
      <c r="A604" s="10" t="s">
        <v>2303</v>
      </c>
      <c r="B604" s="10" t="s">
        <v>2169</v>
      </c>
      <c r="C604" s="11" t="s">
        <v>2170</v>
      </c>
      <c r="D604" s="12"/>
      <c r="E604" s="12" t="s">
        <v>2304</v>
      </c>
      <c r="F604" s="12" t="s">
        <v>64</v>
      </c>
      <c r="G604" s="13">
        <v>1</v>
      </c>
      <c r="H604" s="13"/>
      <c r="I604" s="13">
        <v>229.48</v>
      </c>
      <c r="J604" s="14">
        <f>IFERROR(ROUND(SUM(M605,M606)/I604, 2),0)</f>
        <v>13.32</v>
      </c>
      <c r="K604" s="15">
        <v>464</v>
      </c>
      <c r="L604" s="14">
        <f>J604+ROUND(K604, 2)</f>
        <v>477.32</v>
      </c>
      <c r="M604" s="14">
        <f>ROUND(J604*I604, 2)</f>
        <v>3056.67</v>
      </c>
      <c r="N604" s="14">
        <f>ROUND(I604*ROUND(K604, 2), 2)</f>
        <v>106478.72</v>
      </c>
      <c r="O604" s="14">
        <f>M604+N604</f>
        <v>109535.39</v>
      </c>
      <c r="P604" s="14">
        <f>IFERROR(ROUND(SUM(S605,S606)/I604, 2),0)</f>
        <v>13.32</v>
      </c>
      <c r="Q604" s="16">
        <v>464</v>
      </c>
      <c r="R604" s="14">
        <f>P604+ROUND(Q604, 2)</f>
        <v>477.32</v>
      </c>
      <c r="S604" s="14">
        <f>ROUND(P604*I604, 2)</f>
        <v>3056.67</v>
      </c>
      <c r="T604" s="14">
        <f>ROUND(I604*ROUND(Q604, 2), 2)</f>
        <v>106478.72</v>
      </c>
      <c r="U604" s="14">
        <f>S604+T604</f>
        <v>109535.39</v>
      </c>
      <c r="V604" s="9">
        <f>ROUND(P604 / 1.2, 2)</f>
        <v>11.1</v>
      </c>
      <c r="W604" s="9">
        <f>ROUND(Q604 / 1.2, 2)</f>
        <v>386.67</v>
      </c>
      <c r="X604" s="9">
        <f>ROUND(R604 / 1.2, 2)</f>
        <v>397.77</v>
      </c>
      <c r="Y604" s="9">
        <f t="shared" si="25"/>
        <v>2547.23</v>
      </c>
      <c r="Z604" s="9">
        <f>ROUND(T604 / 1.2, 2)</f>
        <v>88732.27</v>
      </c>
      <c r="AA604" s="9">
        <f>Y604+Z604</f>
        <v>91279.5</v>
      </c>
      <c r="AD604" s="4">
        <v>271132266</v>
      </c>
      <c r="AE604" s="4">
        <v>20002020</v>
      </c>
      <c r="AG604" s="4" t="s">
        <v>2172</v>
      </c>
      <c r="AH604" s="4" t="s">
        <v>2173</v>
      </c>
      <c r="AI604" s="4" t="s">
        <v>67</v>
      </c>
    </row>
    <row r="605" spans="1:35" ht="36" hidden="1" x14ac:dyDescent="0.3">
      <c r="A605" s="10" t="s">
        <v>2305</v>
      </c>
      <c r="B605" s="10"/>
      <c r="C605" s="24" t="s">
        <v>433</v>
      </c>
      <c r="D605" s="12"/>
      <c r="E605" s="12"/>
      <c r="F605" s="18" t="s">
        <v>70</v>
      </c>
      <c r="G605" s="19">
        <v>0.15</v>
      </c>
      <c r="H605" s="19"/>
      <c r="I605" s="19">
        <v>34.421999999999997</v>
      </c>
      <c r="J605" s="21">
        <v>88.8</v>
      </c>
      <c r="M605" s="22">
        <f>ROUND(ROUND(J605, 2)*I605, 2)</f>
        <v>3056.67</v>
      </c>
      <c r="P605" s="23">
        <v>88.8</v>
      </c>
      <c r="S605" s="22">
        <f>ROUND(ROUND(P605, 2)*I605, 2)</f>
        <v>3056.67</v>
      </c>
      <c r="V605" s="9">
        <f>ROUND(ROUND(P605, 2)/1.2, 2)</f>
        <v>74</v>
      </c>
      <c r="Y605" s="9">
        <f t="shared" si="25"/>
        <v>2547.23</v>
      </c>
      <c r="AD605" s="4" t="s">
        <v>2306</v>
      </c>
      <c r="AE605" s="4" t="s">
        <v>2307</v>
      </c>
      <c r="AF605" s="4" t="s">
        <v>436</v>
      </c>
    </row>
    <row r="606" spans="1:35" ht="54" hidden="1" x14ac:dyDescent="0.3">
      <c r="A606" s="10" t="s">
        <v>2308</v>
      </c>
      <c r="B606" s="10"/>
      <c r="C606" s="24" t="s">
        <v>2175</v>
      </c>
      <c r="D606" s="12"/>
      <c r="E606" s="12" t="s">
        <v>2309</v>
      </c>
      <c r="F606" s="18" t="s">
        <v>70</v>
      </c>
      <c r="G606" s="19">
        <v>0.3</v>
      </c>
      <c r="H606" s="19"/>
      <c r="I606" s="19">
        <v>68.843999999999994</v>
      </c>
      <c r="J606" s="21">
        <v>0</v>
      </c>
      <c r="M606" s="22">
        <f>ROUND(ROUND(J606, 2)*I606, 2)</f>
        <v>0</v>
      </c>
      <c r="P606" s="23">
        <v>0</v>
      </c>
      <c r="S606" s="22">
        <f>ROUND(ROUND(P606, 2)*I606, 2)</f>
        <v>0</v>
      </c>
      <c r="V606" s="9">
        <f>ROUND(ROUND(P606, 2)/1.2, 2)</f>
        <v>0</v>
      </c>
      <c r="Y606" s="9">
        <f t="shared" si="25"/>
        <v>0</v>
      </c>
      <c r="AD606" s="4" t="s">
        <v>2310</v>
      </c>
      <c r="AE606" s="4" t="s">
        <v>2311</v>
      </c>
      <c r="AF606" s="4" t="s">
        <v>2179</v>
      </c>
    </row>
    <row r="607" spans="1:35" ht="36" hidden="1" x14ac:dyDescent="0.3">
      <c r="A607" s="10" t="s">
        <v>2312</v>
      </c>
      <c r="B607" s="10" t="s">
        <v>2169</v>
      </c>
      <c r="C607" s="11" t="s">
        <v>2170</v>
      </c>
      <c r="D607" s="12"/>
      <c r="E607" s="12" t="s">
        <v>2313</v>
      </c>
      <c r="F607" s="12" t="s">
        <v>64</v>
      </c>
      <c r="G607" s="13">
        <v>1</v>
      </c>
      <c r="H607" s="13"/>
      <c r="I607" s="13">
        <v>16.88</v>
      </c>
      <c r="J607" s="14">
        <f>IFERROR(ROUND(SUM(M608,M609)/I607, 2),0)</f>
        <v>13.32</v>
      </c>
      <c r="K607" s="15">
        <v>464</v>
      </c>
      <c r="L607" s="14">
        <f>J607+ROUND(K607, 2)</f>
        <v>477.32</v>
      </c>
      <c r="M607" s="14">
        <f>ROUND(J607*I607, 2)</f>
        <v>224.84</v>
      </c>
      <c r="N607" s="14">
        <f>ROUND(I607*ROUND(K607, 2), 2)</f>
        <v>7832.32</v>
      </c>
      <c r="O607" s="14">
        <f>M607+N607</f>
        <v>8057.16</v>
      </c>
      <c r="P607" s="14">
        <f>IFERROR(ROUND(SUM(S608,S609)/I607, 2),0)</f>
        <v>13.32</v>
      </c>
      <c r="Q607" s="16">
        <v>464</v>
      </c>
      <c r="R607" s="14">
        <f>P607+ROUND(Q607, 2)</f>
        <v>477.32</v>
      </c>
      <c r="S607" s="14">
        <f>ROUND(P607*I607, 2)</f>
        <v>224.84</v>
      </c>
      <c r="T607" s="14">
        <f>ROUND(I607*ROUND(Q607, 2), 2)</f>
        <v>7832.32</v>
      </c>
      <c r="U607" s="14">
        <f>S607+T607</f>
        <v>8057.16</v>
      </c>
      <c r="V607" s="9">
        <f>ROUND(P607 / 1.2, 2)</f>
        <v>11.1</v>
      </c>
      <c r="W607" s="9">
        <f>ROUND(Q607 / 1.2, 2)</f>
        <v>386.67</v>
      </c>
      <c r="X607" s="9">
        <f>ROUND(R607 / 1.2, 2)</f>
        <v>397.77</v>
      </c>
      <c r="Y607" s="9">
        <f t="shared" si="25"/>
        <v>187.37</v>
      </c>
      <c r="Z607" s="9">
        <f>ROUND(T607 / 1.2, 2)</f>
        <v>6526.93</v>
      </c>
      <c r="AA607" s="9">
        <f>Y607+Z607</f>
        <v>6714.3</v>
      </c>
      <c r="AD607" s="4">
        <v>271132267</v>
      </c>
      <c r="AE607" s="4">
        <v>20002021</v>
      </c>
      <c r="AG607" s="4" t="s">
        <v>2172</v>
      </c>
      <c r="AH607" s="4" t="s">
        <v>2173</v>
      </c>
      <c r="AI607" s="4" t="s">
        <v>67</v>
      </c>
    </row>
    <row r="608" spans="1:35" ht="36" hidden="1" x14ac:dyDescent="0.3">
      <c r="A608" s="10" t="s">
        <v>2314</v>
      </c>
      <c r="B608" s="10"/>
      <c r="C608" s="24" t="s">
        <v>433</v>
      </c>
      <c r="D608" s="12"/>
      <c r="E608" s="12"/>
      <c r="F608" s="18" t="s">
        <v>70</v>
      </c>
      <c r="G608" s="19">
        <v>0.15</v>
      </c>
      <c r="H608" s="19"/>
      <c r="I608" s="19">
        <v>2.532</v>
      </c>
      <c r="J608" s="21">
        <v>88.8</v>
      </c>
      <c r="M608" s="22">
        <f>ROUND(ROUND(J608, 2)*I608, 2)</f>
        <v>224.84</v>
      </c>
      <c r="P608" s="23">
        <v>88.8</v>
      </c>
      <c r="S608" s="22">
        <f>ROUND(ROUND(P608, 2)*I608, 2)</f>
        <v>224.84</v>
      </c>
      <c r="V608" s="9">
        <f>ROUND(ROUND(P608, 2)/1.2, 2)</f>
        <v>74</v>
      </c>
      <c r="Y608" s="9">
        <f t="shared" si="25"/>
        <v>187.37</v>
      </c>
      <c r="AD608" s="4" t="s">
        <v>2315</v>
      </c>
      <c r="AE608" s="4" t="s">
        <v>2316</v>
      </c>
      <c r="AF608" s="4" t="s">
        <v>436</v>
      </c>
    </row>
    <row r="609" spans="1:35" ht="54" hidden="1" x14ac:dyDescent="0.3">
      <c r="A609" s="10" t="s">
        <v>2317</v>
      </c>
      <c r="B609" s="10"/>
      <c r="C609" s="24" t="s">
        <v>2175</v>
      </c>
      <c r="D609" s="12"/>
      <c r="E609" s="12" t="s">
        <v>2318</v>
      </c>
      <c r="F609" s="18" t="s">
        <v>70</v>
      </c>
      <c r="G609" s="19">
        <v>0.3</v>
      </c>
      <c r="H609" s="19"/>
      <c r="I609" s="19">
        <v>5.0640000000000001</v>
      </c>
      <c r="J609" s="21">
        <v>0</v>
      </c>
      <c r="M609" s="22">
        <f>ROUND(ROUND(J609, 2)*I609, 2)</f>
        <v>0</v>
      </c>
      <c r="P609" s="23">
        <v>0</v>
      </c>
      <c r="S609" s="22">
        <f>ROUND(ROUND(P609, 2)*I609, 2)</f>
        <v>0</v>
      </c>
      <c r="V609" s="9">
        <f>ROUND(ROUND(P609, 2)/1.2, 2)</f>
        <v>0</v>
      </c>
      <c r="Y609" s="9">
        <f t="shared" si="25"/>
        <v>0</v>
      </c>
      <c r="AD609" s="4" t="s">
        <v>2319</v>
      </c>
      <c r="AE609" s="4" t="s">
        <v>2320</v>
      </c>
      <c r="AF609" s="4" t="s">
        <v>2179</v>
      </c>
    </row>
    <row r="610" spans="1:35" ht="36" hidden="1" x14ac:dyDescent="0.3">
      <c r="A610" s="10" t="s">
        <v>2321</v>
      </c>
      <c r="B610" s="10" t="s">
        <v>2169</v>
      </c>
      <c r="C610" s="11" t="s">
        <v>2170</v>
      </c>
      <c r="D610" s="12"/>
      <c r="E610" s="12" t="s">
        <v>2322</v>
      </c>
      <c r="F610" s="12" t="s">
        <v>64</v>
      </c>
      <c r="G610" s="13">
        <v>1</v>
      </c>
      <c r="H610" s="13"/>
      <c r="I610" s="13">
        <v>107.24</v>
      </c>
      <c r="J610" s="14">
        <f>IFERROR(ROUND(SUM(M611,M612)/I610, 2),0)</f>
        <v>13.32</v>
      </c>
      <c r="K610" s="15">
        <v>464</v>
      </c>
      <c r="L610" s="14">
        <f>J610+ROUND(K610, 2)</f>
        <v>477.32</v>
      </c>
      <c r="M610" s="14">
        <f>ROUND(J610*I610, 2)</f>
        <v>1428.44</v>
      </c>
      <c r="N610" s="14">
        <f>ROUND(I610*ROUND(K610, 2), 2)</f>
        <v>49759.360000000001</v>
      </c>
      <c r="O610" s="14">
        <f>M610+N610</f>
        <v>51187.8</v>
      </c>
      <c r="P610" s="14">
        <f>IFERROR(ROUND(SUM(S611,S612)/I610, 2),0)</f>
        <v>13.32</v>
      </c>
      <c r="Q610" s="16">
        <v>464</v>
      </c>
      <c r="R610" s="14">
        <f>P610+ROUND(Q610, 2)</f>
        <v>477.32</v>
      </c>
      <c r="S610" s="14">
        <f>ROUND(P610*I610, 2)</f>
        <v>1428.44</v>
      </c>
      <c r="T610" s="14">
        <f>ROUND(I610*ROUND(Q610, 2), 2)</f>
        <v>49759.360000000001</v>
      </c>
      <c r="U610" s="14">
        <f>S610+T610</f>
        <v>51187.8</v>
      </c>
      <c r="V610" s="9">
        <f>ROUND(P610 / 1.2, 2)</f>
        <v>11.1</v>
      </c>
      <c r="W610" s="9">
        <f>ROUND(Q610 / 1.2, 2)</f>
        <v>386.67</v>
      </c>
      <c r="X610" s="9">
        <f>ROUND(R610 / 1.2, 2)</f>
        <v>397.77</v>
      </c>
      <c r="Y610" s="9">
        <f t="shared" si="25"/>
        <v>1190.3699999999999</v>
      </c>
      <c r="Z610" s="9">
        <f>ROUND(T610 / 1.2, 2)</f>
        <v>41466.129999999997</v>
      </c>
      <c r="AA610" s="9">
        <f>Y610+Z610</f>
        <v>42656.5</v>
      </c>
      <c r="AD610" s="4">
        <v>271132268</v>
      </c>
      <c r="AE610" s="4">
        <v>20002022</v>
      </c>
      <c r="AG610" s="4" t="s">
        <v>2172</v>
      </c>
      <c r="AH610" s="4" t="s">
        <v>2173</v>
      </c>
      <c r="AI610" s="4" t="s">
        <v>67</v>
      </c>
    </row>
    <row r="611" spans="1:35" ht="36" hidden="1" x14ac:dyDescent="0.3">
      <c r="A611" s="10" t="s">
        <v>2323</v>
      </c>
      <c r="B611" s="10"/>
      <c r="C611" s="24" t="s">
        <v>433</v>
      </c>
      <c r="D611" s="12"/>
      <c r="E611" s="12"/>
      <c r="F611" s="18" t="s">
        <v>70</v>
      </c>
      <c r="G611" s="19">
        <v>0.15</v>
      </c>
      <c r="H611" s="19"/>
      <c r="I611" s="19">
        <v>16.085999999999999</v>
      </c>
      <c r="J611" s="21">
        <v>88.8</v>
      </c>
      <c r="M611" s="22">
        <f>ROUND(ROUND(J611, 2)*I611, 2)</f>
        <v>1428.44</v>
      </c>
      <c r="P611" s="23">
        <v>88.8</v>
      </c>
      <c r="S611" s="22">
        <f>ROUND(ROUND(P611, 2)*I611, 2)</f>
        <v>1428.44</v>
      </c>
      <c r="V611" s="9">
        <f>ROUND(ROUND(P611, 2)/1.2, 2)</f>
        <v>74</v>
      </c>
      <c r="Y611" s="9">
        <f t="shared" si="25"/>
        <v>1190.3699999999999</v>
      </c>
      <c r="AD611" s="4" t="s">
        <v>2324</v>
      </c>
      <c r="AE611" s="4" t="s">
        <v>2325</v>
      </c>
      <c r="AF611" s="4" t="s">
        <v>436</v>
      </c>
    </row>
    <row r="612" spans="1:35" ht="54" hidden="1" x14ac:dyDescent="0.3">
      <c r="A612" s="10" t="s">
        <v>2326</v>
      </c>
      <c r="B612" s="10"/>
      <c r="C612" s="24" t="s">
        <v>2207</v>
      </c>
      <c r="D612" s="12"/>
      <c r="E612" s="12" t="s">
        <v>2327</v>
      </c>
      <c r="F612" s="18" t="s">
        <v>70</v>
      </c>
      <c r="G612" s="19">
        <v>0.3</v>
      </c>
      <c r="H612" s="19"/>
      <c r="I612" s="19">
        <v>32.171999999999997</v>
      </c>
      <c r="J612" s="21">
        <v>0</v>
      </c>
      <c r="M612" s="22">
        <f>ROUND(ROUND(J612, 2)*I612, 2)</f>
        <v>0</v>
      </c>
      <c r="P612" s="23">
        <v>0</v>
      </c>
      <c r="S612" s="22">
        <f>ROUND(ROUND(P612, 2)*I612, 2)</f>
        <v>0</v>
      </c>
      <c r="V612" s="9">
        <f>ROUND(ROUND(P612, 2)/1.2, 2)</f>
        <v>0</v>
      </c>
      <c r="Y612" s="9">
        <f t="shared" si="25"/>
        <v>0</v>
      </c>
      <c r="AD612" s="4" t="s">
        <v>2328</v>
      </c>
      <c r="AE612" s="4" t="s">
        <v>2329</v>
      </c>
      <c r="AF612" s="4" t="s">
        <v>2211</v>
      </c>
    </row>
    <row r="613" spans="1:35" ht="36" hidden="1" x14ac:dyDescent="0.3">
      <c r="A613" s="10" t="s">
        <v>2330</v>
      </c>
      <c r="B613" s="10" t="s">
        <v>2169</v>
      </c>
      <c r="C613" s="11" t="s">
        <v>2170</v>
      </c>
      <c r="D613" s="12"/>
      <c r="E613" s="12" t="s">
        <v>2331</v>
      </c>
      <c r="F613" s="12" t="s">
        <v>64</v>
      </c>
      <c r="G613" s="13">
        <v>1</v>
      </c>
      <c r="H613" s="13"/>
      <c r="I613" s="13">
        <v>3.42</v>
      </c>
      <c r="J613" s="14">
        <f>IFERROR(ROUND(SUM(M614,M615)/I613, 2),0)</f>
        <v>13.32</v>
      </c>
      <c r="K613" s="15">
        <v>464</v>
      </c>
      <c r="L613" s="14">
        <f>J613+ROUND(K613, 2)</f>
        <v>477.32</v>
      </c>
      <c r="M613" s="14">
        <f>ROUND(J613*I613, 2)</f>
        <v>45.55</v>
      </c>
      <c r="N613" s="14">
        <f>ROUND(I613*ROUND(K613, 2), 2)</f>
        <v>1586.88</v>
      </c>
      <c r="O613" s="14">
        <f>M613+N613</f>
        <v>1632.43</v>
      </c>
      <c r="P613" s="14">
        <f>IFERROR(ROUND(SUM(S614,S615)/I613, 2),0)</f>
        <v>13.32</v>
      </c>
      <c r="Q613" s="16">
        <v>464</v>
      </c>
      <c r="R613" s="14">
        <f>P613+ROUND(Q613, 2)</f>
        <v>477.32</v>
      </c>
      <c r="S613" s="14">
        <f>ROUND(P613*I613, 2)</f>
        <v>45.55</v>
      </c>
      <c r="T613" s="14">
        <f>ROUND(I613*ROUND(Q613, 2), 2)</f>
        <v>1586.88</v>
      </c>
      <c r="U613" s="14">
        <f>S613+T613</f>
        <v>1632.43</v>
      </c>
      <c r="V613" s="9">
        <f>ROUND(P613 / 1.2, 2)</f>
        <v>11.1</v>
      </c>
      <c r="W613" s="9">
        <f>ROUND(Q613 / 1.2, 2)</f>
        <v>386.67</v>
      </c>
      <c r="X613" s="9">
        <f>ROUND(R613 / 1.2, 2)</f>
        <v>397.77</v>
      </c>
      <c r="Y613" s="9">
        <f t="shared" si="25"/>
        <v>37.96</v>
      </c>
      <c r="Z613" s="9">
        <f>ROUND(T613 / 1.2, 2)</f>
        <v>1322.4</v>
      </c>
      <c r="AA613" s="9">
        <f>Y613+Z613</f>
        <v>1360.3600000000001</v>
      </c>
      <c r="AD613" s="4">
        <v>271132269</v>
      </c>
      <c r="AE613" s="4">
        <v>20002023</v>
      </c>
      <c r="AG613" s="4" t="s">
        <v>2172</v>
      </c>
      <c r="AH613" s="4" t="s">
        <v>2173</v>
      </c>
      <c r="AI613" s="4" t="s">
        <v>67</v>
      </c>
    </row>
    <row r="614" spans="1:35" ht="36" hidden="1" x14ac:dyDescent="0.3">
      <c r="A614" s="10" t="s">
        <v>2332</v>
      </c>
      <c r="B614" s="10"/>
      <c r="C614" s="24" t="s">
        <v>433</v>
      </c>
      <c r="D614" s="12"/>
      <c r="E614" s="12"/>
      <c r="F614" s="18" t="s">
        <v>70</v>
      </c>
      <c r="G614" s="19">
        <v>0.15</v>
      </c>
      <c r="H614" s="19"/>
      <c r="I614" s="19">
        <v>0.51300000000000001</v>
      </c>
      <c r="J614" s="21">
        <v>88.8</v>
      </c>
      <c r="M614" s="22">
        <f>ROUND(ROUND(J614, 2)*I614, 2)</f>
        <v>45.55</v>
      </c>
      <c r="P614" s="23">
        <v>88.8</v>
      </c>
      <c r="S614" s="22">
        <f>ROUND(ROUND(P614, 2)*I614, 2)</f>
        <v>45.55</v>
      </c>
      <c r="V614" s="9">
        <f>ROUND(ROUND(P614, 2)/1.2, 2)</f>
        <v>74</v>
      </c>
      <c r="Y614" s="9">
        <f t="shared" si="25"/>
        <v>37.96</v>
      </c>
      <c r="AD614" s="4" t="s">
        <v>2333</v>
      </c>
      <c r="AE614" s="4" t="s">
        <v>2334</v>
      </c>
      <c r="AF614" s="4" t="s">
        <v>436</v>
      </c>
    </row>
    <row r="615" spans="1:35" ht="54" hidden="1" x14ac:dyDescent="0.3">
      <c r="A615" s="10" t="s">
        <v>2335</v>
      </c>
      <c r="B615" s="10"/>
      <c r="C615" s="24" t="s">
        <v>2207</v>
      </c>
      <c r="D615" s="12"/>
      <c r="E615" s="12" t="s">
        <v>2336</v>
      </c>
      <c r="F615" s="18" t="s">
        <v>70</v>
      </c>
      <c r="G615" s="19">
        <v>0.3</v>
      </c>
      <c r="H615" s="19"/>
      <c r="I615" s="19">
        <v>1.026</v>
      </c>
      <c r="J615" s="21">
        <v>0</v>
      </c>
      <c r="M615" s="22">
        <f>ROUND(ROUND(J615, 2)*I615, 2)</f>
        <v>0</v>
      </c>
      <c r="P615" s="23">
        <v>0</v>
      </c>
      <c r="S615" s="22">
        <f>ROUND(ROUND(P615, 2)*I615, 2)</f>
        <v>0</v>
      </c>
      <c r="V615" s="9">
        <f>ROUND(ROUND(P615, 2)/1.2, 2)</f>
        <v>0</v>
      </c>
      <c r="Y615" s="9">
        <f t="shared" si="25"/>
        <v>0</v>
      </c>
      <c r="AD615" s="4" t="s">
        <v>2337</v>
      </c>
      <c r="AE615" s="4" t="s">
        <v>2338</v>
      </c>
      <c r="AF615" s="4" t="s">
        <v>2211</v>
      </c>
    </row>
    <row r="616" spans="1:35" ht="36" hidden="1" x14ac:dyDescent="0.3">
      <c r="A616" s="10" t="s">
        <v>2339</v>
      </c>
      <c r="B616" s="10" t="s">
        <v>2169</v>
      </c>
      <c r="C616" s="11" t="s">
        <v>2170</v>
      </c>
      <c r="D616" s="12"/>
      <c r="E616" s="12" t="s">
        <v>2340</v>
      </c>
      <c r="F616" s="12" t="s">
        <v>64</v>
      </c>
      <c r="G616" s="13">
        <v>1</v>
      </c>
      <c r="H616" s="13"/>
      <c r="I616" s="13">
        <v>92.54</v>
      </c>
      <c r="J616" s="14">
        <f>IFERROR(ROUND(SUM(M617,M618)/I616, 2),0)</f>
        <v>13.32</v>
      </c>
      <c r="K616" s="15">
        <v>464</v>
      </c>
      <c r="L616" s="14">
        <f>J616+ROUND(K616, 2)</f>
        <v>477.32</v>
      </c>
      <c r="M616" s="14">
        <f>ROUND(J616*I616, 2)</f>
        <v>1232.6300000000001</v>
      </c>
      <c r="N616" s="14">
        <f>ROUND(I616*ROUND(K616, 2), 2)</f>
        <v>42938.559999999998</v>
      </c>
      <c r="O616" s="14">
        <f>M616+N616</f>
        <v>44171.189999999995</v>
      </c>
      <c r="P616" s="14">
        <f>IFERROR(ROUND(SUM(S617,S618)/I616, 2),0)</f>
        <v>13.32</v>
      </c>
      <c r="Q616" s="16">
        <v>464</v>
      </c>
      <c r="R616" s="14">
        <f>P616+ROUND(Q616, 2)</f>
        <v>477.32</v>
      </c>
      <c r="S616" s="14">
        <f>ROUND(P616*I616, 2)</f>
        <v>1232.6300000000001</v>
      </c>
      <c r="T616" s="14">
        <f>ROUND(I616*ROUND(Q616, 2), 2)</f>
        <v>42938.559999999998</v>
      </c>
      <c r="U616" s="14">
        <f>S616+T616</f>
        <v>44171.189999999995</v>
      </c>
      <c r="V616" s="9">
        <f>ROUND(P616 / 1.2, 2)</f>
        <v>11.1</v>
      </c>
      <c r="W616" s="9">
        <f>ROUND(Q616 / 1.2, 2)</f>
        <v>386.67</v>
      </c>
      <c r="X616" s="9">
        <f>ROUND(R616 / 1.2, 2)</f>
        <v>397.77</v>
      </c>
      <c r="Y616" s="9">
        <f t="shared" si="25"/>
        <v>1027.19</v>
      </c>
      <c r="Z616" s="9">
        <f>ROUND(T616 / 1.2, 2)</f>
        <v>35782.129999999997</v>
      </c>
      <c r="AA616" s="9">
        <f>Y616+Z616</f>
        <v>36809.32</v>
      </c>
      <c r="AD616" s="4">
        <v>271132270</v>
      </c>
      <c r="AE616" s="4">
        <v>20002024</v>
      </c>
      <c r="AG616" s="4" t="s">
        <v>2172</v>
      </c>
      <c r="AH616" s="4" t="s">
        <v>2173</v>
      </c>
      <c r="AI616" s="4" t="s">
        <v>67</v>
      </c>
    </row>
    <row r="617" spans="1:35" ht="36" hidden="1" x14ac:dyDescent="0.3">
      <c r="A617" s="10" t="s">
        <v>2341</v>
      </c>
      <c r="B617" s="10"/>
      <c r="C617" s="24" t="s">
        <v>433</v>
      </c>
      <c r="D617" s="12"/>
      <c r="E617" s="12"/>
      <c r="F617" s="18" t="s">
        <v>70</v>
      </c>
      <c r="G617" s="19">
        <v>0.15</v>
      </c>
      <c r="H617" s="19"/>
      <c r="I617" s="19">
        <v>13.881</v>
      </c>
      <c r="J617" s="21">
        <v>88.8</v>
      </c>
      <c r="M617" s="22">
        <f>ROUND(ROUND(J617, 2)*I617, 2)</f>
        <v>1232.6300000000001</v>
      </c>
      <c r="P617" s="23">
        <v>88.8</v>
      </c>
      <c r="S617" s="22">
        <f>ROUND(ROUND(P617, 2)*I617, 2)</f>
        <v>1232.6300000000001</v>
      </c>
      <c r="V617" s="9">
        <f>ROUND(ROUND(P617, 2)/1.2, 2)</f>
        <v>74</v>
      </c>
      <c r="Y617" s="9">
        <f t="shared" si="25"/>
        <v>1027.19</v>
      </c>
      <c r="AD617" s="4" t="s">
        <v>2342</v>
      </c>
      <c r="AE617" s="4" t="s">
        <v>2343</v>
      </c>
      <c r="AF617" s="4" t="s">
        <v>436</v>
      </c>
    </row>
    <row r="618" spans="1:35" ht="54" hidden="1" x14ac:dyDescent="0.3">
      <c r="A618" s="10" t="s">
        <v>2344</v>
      </c>
      <c r="B618" s="10"/>
      <c r="C618" s="24" t="s">
        <v>2207</v>
      </c>
      <c r="D618" s="12"/>
      <c r="E618" s="12" t="s">
        <v>2345</v>
      </c>
      <c r="F618" s="18" t="s">
        <v>70</v>
      </c>
      <c r="G618" s="19">
        <v>0.3</v>
      </c>
      <c r="H618" s="19"/>
      <c r="I618" s="19">
        <v>27.762</v>
      </c>
      <c r="J618" s="21">
        <v>0</v>
      </c>
      <c r="M618" s="22">
        <f>ROUND(ROUND(J618, 2)*I618, 2)</f>
        <v>0</v>
      </c>
      <c r="P618" s="23">
        <v>0</v>
      </c>
      <c r="S618" s="22">
        <f>ROUND(ROUND(P618, 2)*I618, 2)</f>
        <v>0</v>
      </c>
      <c r="V618" s="9">
        <f>ROUND(ROUND(P618, 2)/1.2, 2)</f>
        <v>0</v>
      </c>
      <c r="Y618" s="9">
        <f t="shared" si="25"/>
        <v>0</v>
      </c>
      <c r="AD618" s="4" t="s">
        <v>2346</v>
      </c>
      <c r="AE618" s="4" t="s">
        <v>2347</v>
      </c>
      <c r="AF618" s="4" t="s">
        <v>2211</v>
      </c>
    </row>
    <row r="619" spans="1:35" ht="36" hidden="1" x14ac:dyDescent="0.3">
      <c r="A619" s="10" t="s">
        <v>2348</v>
      </c>
      <c r="B619" s="10" t="s">
        <v>2169</v>
      </c>
      <c r="C619" s="11" t="s">
        <v>2170</v>
      </c>
      <c r="D619" s="12"/>
      <c r="E619" s="12" t="s">
        <v>2349</v>
      </c>
      <c r="F619" s="12" t="s">
        <v>64</v>
      </c>
      <c r="G619" s="13">
        <v>1</v>
      </c>
      <c r="H619" s="13"/>
      <c r="I619" s="13">
        <v>67.19</v>
      </c>
      <c r="J619" s="14">
        <f>IFERROR(ROUND(SUM(M620,M621)/I619, 2),0)</f>
        <v>13.32</v>
      </c>
      <c r="K619" s="15">
        <v>464</v>
      </c>
      <c r="L619" s="14">
        <f>J619+ROUND(K619, 2)</f>
        <v>477.32</v>
      </c>
      <c r="M619" s="14">
        <f>ROUND(J619*I619, 2)</f>
        <v>894.97</v>
      </c>
      <c r="N619" s="14">
        <f>ROUND(I619*ROUND(K619, 2), 2)</f>
        <v>31176.16</v>
      </c>
      <c r="O619" s="14">
        <f>M619+N619</f>
        <v>32071.13</v>
      </c>
      <c r="P619" s="14">
        <f>IFERROR(ROUND(SUM(S620,S621)/I619, 2),0)</f>
        <v>13.32</v>
      </c>
      <c r="Q619" s="16">
        <v>464</v>
      </c>
      <c r="R619" s="14">
        <f>P619+ROUND(Q619, 2)</f>
        <v>477.32</v>
      </c>
      <c r="S619" s="14">
        <f>ROUND(P619*I619, 2)</f>
        <v>894.97</v>
      </c>
      <c r="T619" s="14">
        <f>ROUND(I619*ROUND(Q619, 2), 2)</f>
        <v>31176.16</v>
      </c>
      <c r="U619" s="14">
        <f>S619+T619</f>
        <v>32071.13</v>
      </c>
      <c r="V619" s="9">
        <f>ROUND(P619 / 1.2, 2)</f>
        <v>11.1</v>
      </c>
      <c r="W619" s="9">
        <f>ROUND(Q619 / 1.2, 2)</f>
        <v>386.67</v>
      </c>
      <c r="X619" s="9">
        <f>ROUND(R619 / 1.2, 2)</f>
        <v>397.77</v>
      </c>
      <c r="Y619" s="9">
        <f t="shared" si="25"/>
        <v>745.81</v>
      </c>
      <c r="Z619" s="9">
        <f>ROUND(T619 / 1.2, 2)</f>
        <v>25980.13</v>
      </c>
      <c r="AA619" s="9">
        <f>Y619+Z619</f>
        <v>26725.940000000002</v>
      </c>
      <c r="AD619" s="4">
        <v>271132271</v>
      </c>
      <c r="AE619" s="4">
        <v>20002025</v>
      </c>
      <c r="AG619" s="4" t="s">
        <v>2172</v>
      </c>
      <c r="AH619" s="4" t="s">
        <v>2173</v>
      </c>
      <c r="AI619" s="4" t="s">
        <v>67</v>
      </c>
    </row>
    <row r="620" spans="1:35" ht="36" hidden="1" x14ac:dyDescent="0.3">
      <c r="A620" s="10" t="s">
        <v>2350</v>
      </c>
      <c r="B620" s="10"/>
      <c r="C620" s="24" t="s">
        <v>433</v>
      </c>
      <c r="D620" s="12"/>
      <c r="E620" s="12"/>
      <c r="F620" s="18" t="s">
        <v>70</v>
      </c>
      <c r="G620" s="19">
        <v>0.15</v>
      </c>
      <c r="H620" s="19"/>
      <c r="I620" s="19">
        <v>10.079000000000001</v>
      </c>
      <c r="J620" s="21">
        <v>88.8</v>
      </c>
      <c r="M620" s="22">
        <f>ROUND(ROUND(J620, 2)*I620, 2)</f>
        <v>895.02</v>
      </c>
      <c r="P620" s="23">
        <v>88.8</v>
      </c>
      <c r="S620" s="22">
        <f>ROUND(ROUND(P620, 2)*I620, 2)</f>
        <v>895.02</v>
      </c>
      <c r="V620" s="9">
        <f>ROUND(ROUND(P620, 2)/1.2, 2)</f>
        <v>74</v>
      </c>
      <c r="Y620" s="9">
        <f t="shared" si="25"/>
        <v>745.85</v>
      </c>
      <c r="AD620" s="4" t="s">
        <v>2351</v>
      </c>
      <c r="AE620" s="4" t="s">
        <v>2352</v>
      </c>
      <c r="AF620" s="4" t="s">
        <v>436</v>
      </c>
    </row>
    <row r="621" spans="1:35" ht="36" hidden="1" x14ac:dyDescent="0.3">
      <c r="A621" s="10" t="s">
        <v>2353</v>
      </c>
      <c r="B621" s="10"/>
      <c r="C621" s="24" t="s">
        <v>2207</v>
      </c>
      <c r="D621" s="12"/>
      <c r="E621" s="12" t="s">
        <v>2354</v>
      </c>
      <c r="F621" s="18" t="s">
        <v>70</v>
      </c>
      <c r="G621" s="19">
        <v>0.3</v>
      </c>
      <c r="H621" s="19"/>
      <c r="I621" s="19">
        <v>20.157</v>
      </c>
      <c r="J621" s="21">
        <v>0</v>
      </c>
      <c r="M621" s="22">
        <f>ROUND(ROUND(J621, 2)*I621, 2)</f>
        <v>0</v>
      </c>
      <c r="P621" s="23">
        <v>0</v>
      </c>
      <c r="S621" s="22">
        <f>ROUND(ROUND(P621, 2)*I621, 2)</f>
        <v>0</v>
      </c>
      <c r="V621" s="9">
        <f>ROUND(ROUND(P621, 2)/1.2, 2)</f>
        <v>0</v>
      </c>
      <c r="Y621" s="9">
        <f t="shared" si="25"/>
        <v>0</v>
      </c>
      <c r="AD621" s="4" t="s">
        <v>2355</v>
      </c>
      <c r="AE621" s="4" t="s">
        <v>2356</v>
      </c>
      <c r="AF621" s="4" t="s">
        <v>2211</v>
      </c>
    </row>
    <row r="622" spans="1:35" ht="36" hidden="1" x14ac:dyDescent="0.3">
      <c r="A622" s="10" t="s">
        <v>2357</v>
      </c>
      <c r="B622" s="10" t="s">
        <v>2169</v>
      </c>
      <c r="C622" s="11" t="s">
        <v>2170</v>
      </c>
      <c r="D622" s="12"/>
      <c r="E622" s="12" t="s">
        <v>2358</v>
      </c>
      <c r="F622" s="12" t="s">
        <v>64</v>
      </c>
      <c r="G622" s="13">
        <v>1</v>
      </c>
      <c r="H622" s="13"/>
      <c r="I622" s="13">
        <v>357.68</v>
      </c>
      <c r="J622" s="14">
        <f>IFERROR(ROUND(SUM(M623,M624)/I622, 2),0)</f>
        <v>13.32</v>
      </c>
      <c r="K622" s="15">
        <v>464</v>
      </c>
      <c r="L622" s="14">
        <f>J622+ROUND(K622, 2)</f>
        <v>477.32</v>
      </c>
      <c r="M622" s="14">
        <f>ROUND(J622*I622, 2)</f>
        <v>4764.3</v>
      </c>
      <c r="N622" s="14">
        <f>ROUND(I622*ROUND(K622, 2), 2)</f>
        <v>165963.51999999999</v>
      </c>
      <c r="O622" s="14">
        <f>M622+N622</f>
        <v>170727.81999999998</v>
      </c>
      <c r="P622" s="14">
        <f>IFERROR(ROUND(SUM(S623,S624)/I622, 2),0)</f>
        <v>13.32</v>
      </c>
      <c r="Q622" s="16">
        <v>464</v>
      </c>
      <c r="R622" s="14">
        <f>P622+ROUND(Q622, 2)</f>
        <v>477.32</v>
      </c>
      <c r="S622" s="14">
        <f>ROUND(P622*I622, 2)</f>
        <v>4764.3</v>
      </c>
      <c r="T622" s="14">
        <f>ROUND(I622*ROUND(Q622, 2), 2)</f>
        <v>165963.51999999999</v>
      </c>
      <c r="U622" s="14">
        <f>S622+T622</f>
        <v>170727.81999999998</v>
      </c>
      <c r="V622" s="9">
        <f>ROUND(P622 / 1.2, 2)</f>
        <v>11.1</v>
      </c>
      <c r="W622" s="9">
        <f>ROUND(Q622 / 1.2, 2)</f>
        <v>386.67</v>
      </c>
      <c r="X622" s="9">
        <f>ROUND(R622 / 1.2, 2)</f>
        <v>397.77</v>
      </c>
      <c r="Y622" s="9">
        <f t="shared" si="25"/>
        <v>3970.25</v>
      </c>
      <c r="Z622" s="9">
        <f>ROUND(T622 / 1.2, 2)</f>
        <v>138302.93</v>
      </c>
      <c r="AA622" s="9">
        <f>Y622+Z622</f>
        <v>142273.18</v>
      </c>
      <c r="AD622" s="4">
        <v>271132272</v>
      </c>
      <c r="AE622" s="4">
        <v>20002274</v>
      </c>
      <c r="AG622" s="4" t="s">
        <v>2172</v>
      </c>
      <c r="AH622" s="4" t="s">
        <v>2173</v>
      </c>
      <c r="AI622" s="4" t="s">
        <v>67</v>
      </c>
    </row>
    <row r="623" spans="1:35" ht="36" hidden="1" x14ac:dyDescent="0.3">
      <c r="A623" s="10" t="s">
        <v>2359</v>
      </c>
      <c r="B623" s="10"/>
      <c r="C623" s="24" t="s">
        <v>433</v>
      </c>
      <c r="D623" s="12"/>
      <c r="E623" s="12"/>
      <c r="F623" s="18" t="s">
        <v>70</v>
      </c>
      <c r="G623" s="19">
        <v>0.15</v>
      </c>
      <c r="H623" s="19"/>
      <c r="I623" s="19">
        <v>53.652000000000001</v>
      </c>
      <c r="J623" s="21">
        <v>88.8</v>
      </c>
      <c r="M623" s="22">
        <f>ROUND(ROUND(J623, 2)*I623, 2)</f>
        <v>4764.3</v>
      </c>
      <c r="P623" s="23">
        <v>88.8</v>
      </c>
      <c r="S623" s="22">
        <f>ROUND(ROUND(P623, 2)*I623, 2)</f>
        <v>4764.3</v>
      </c>
      <c r="V623" s="9">
        <f>ROUND(ROUND(P623, 2)/1.2, 2)</f>
        <v>74</v>
      </c>
      <c r="Y623" s="9">
        <f t="shared" si="25"/>
        <v>3970.25</v>
      </c>
      <c r="AD623" s="4" t="s">
        <v>2360</v>
      </c>
      <c r="AE623" s="4" t="s">
        <v>2361</v>
      </c>
      <c r="AF623" s="4" t="s">
        <v>436</v>
      </c>
    </row>
    <row r="624" spans="1:35" ht="72" hidden="1" x14ac:dyDescent="0.3">
      <c r="A624" s="10" t="s">
        <v>2362</v>
      </c>
      <c r="B624" s="10"/>
      <c r="C624" s="24" t="s">
        <v>2175</v>
      </c>
      <c r="D624" s="12"/>
      <c r="E624" s="12" t="s">
        <v>2198</v>
      </c>
      <c r="F624" s="18" t="s">
        <v>70</v>
      </c>
      <c r="G624" s="19">
        <v>0.3</v>
      </c>
      <c r="H624" s="19"/>
      <c r="I624" s="19">
        <v>107.304</v>
      </c>
      <c r="J624" s="21">
        <v>0</v>
      </c>
      <c r="M624" s="22">
        <f>ROUND(ROUND(J624, 2)*I624, 2)</f>
        <v>0</v>
      </c>
      <c r="P624" s="23">
        <v>0</v>
      </c>
      <c r="S624" s="22">
        <f>ROUND(ROUND(P624, 2)*I624, 2)</f>
        <v>0</v>
      </c>
      <c r="V624" s="9">
        <f>ROUND(ROUND(P624, 2)/1.2, 2)</f>
        <v>0</v>
      </c>
      <c r="Y624" s="9">
        <f t="shared" si="25"/>
        <v>0</v>
      </c>
      <c r="AD624" s="4" t="s">
        <v>2363</v>
      </c>
      <c r="AE624" s="4" t="s">
        <v>2364</v>
      </c>
      <c r="AF624" s="4" t="s">
        <v>2179</v>
      </c>
    </row>
    <row r="625" spans="1:35" ht="36" hidden="1" x14ac:dyDescent="0.3">
      <c r="A625" s="10" t="s">
        <v>2365</v>
      </c>
      <c r="B625" s="10" t="s">
        <v>2169</v>
      </c>
      <c r="C625" s="11" t="s">
        <v>2170</v>
      </c>
      <c r="D625" s="12"/>
      <c r="E625" s="12" t="s">
        <v>2366</v>
      </c>
      <c r="F625" s="12" t="s">
        <v>64</v>
      </c>
      <c r="G625" s="13">
        <v>1</v>
      </c>
      <c r="H625" s="13"/>
      <c r="I625" s="13">
        <v>577.95000000000005</v>
      </c>
      <c r="J625" s="14">
        <f>IFERROR(ROUND(SUM(M626,M627)/I625, 2),0)</f>
        <v>13.32</v>
      </c>
      <c r="K625" s="15">
        <v>464</v>
      </c>
      <c r="L625" s="14">
        <f>J625+ROUND(K625, 2)</f>
        <v>477.32</v>
      </c>
      <c r="M625" s="14">
        <f>ROUND(J625*I625, 2)</f>
        <v>7698.29</v>
      </c>
      <c r="N625" s="14">
        <f>ROUND(I625*ROUND(K625, 2), 2)</f>
        <v>268168.8</v>
      </c>
      <c r="O625" s="14">
        <f>M625+N625</f>
        <v>275867.08999999997</v>
      </c>
      <c r="P625" s="14">
        <f>IFERROR(ROUND(SUM(S626,S627)/I625, 2),0)</f>
        <v>13.32</v>
      </c>
      <c r="Q625" s="16">
        <v>464</v>
      </c>
      <c r="R625" s="14">
        <f>P625+ROUND(Q625, 2)</f>
        <v>477.32</v>
      </c>
      <c r="S625" s="14">
        <f>ROUND(P625*I625, 2)</f>
        <v>7698.29</v>
      </c>
      <c r="T625" s="14">
        <f>ROUND(I625*ROUND(Q625, 2), 2)</f>
        <v>268168.8</v>
      </c>
      <c r="U625" s="14">
        <f>S625+T625</f>
        <v>275867.08999999997</v>
      </c>
      <c r="V625" s="9">
        <f>ROUND(P625 / 1.2, 2)</f>
        <v>11.1</v>
      </c>
      <c r="W625" s="9">
        <f>ROUND(Q625 / 1.2, 2)</f>
        <v>386.67</v>
      </c>
      <c r="X625" s="9">
        <f>ROUND(R625 / 1.2, 2)</f>
        <v>397.77</v>
      </c>
      <c r="Y625" s="9">
        <f t="shared" si="25"/>
        <v>6415.24</v>
      </c>
      <c r="Z625" s="9">
        <f>ROUND(T625 / 1.2, 2)</f>
        <v>223474</v>
      </c>
      <c r="AA625" s="9">
        <f>Y625+Z625</f>
        <v>229889.24</v>
      </c>
      <c r="AD625" s="4">
        <v>271132273</v>
      </c>
      <c r="AE625" s="4">
        <v>20002275</v>
      </c>
      <c r="AG625" s="4" t="s">
        <v>2172</v>
      </c>
      <c r="AH625" s="4" t="s">
        <v>2173</v>
      </c>
      <c r="AI625" s="4" t="s">
        <v>67</v>
      </c>
    </row>
    <row r="626" spans="1:35" ht="36" hidden="1" x14ac:dyDescent="0.3">
      <c r="A626" s="10" t="s">
        <v>2367</v>
      </c>
      <c r="B626" s="10"/>
      <c r="C626" s="24" t="s">
        <v>433</v>
      </c>
      <c r="D626" s="12"/>
      <c r="E626" s="12"/>
      <c r="F626" s="18" t="s">
        <v>70</v>
      </c>
      <c r="G626" s="19">
        <v>0.15</v>
      </c>
      <c r="H626" s="19"/>
      <c r="I626" s="19">
        <v>86.692999999999998</v>
      </c>
      <c r="J626" s="21">
        <v>88.8</v>
      </c>
      <c r="M626" s="22">
        <f>ROUND(ROUND(J626, 2)*I626, 2)</f>
        <v>7698.34</v>
      </c>
      <c r="P626" s="23">
        <v>88.8</v>
      </c>
      <c r="S626" s="22">
        <f>ROUND(ROUND(P626, 2)*I626, 2)</f>
        <v>7698.34</v>
      </c>
      <c r="V626" s="9">
        <f>ROUND(ROUND(P626, 2)/1.2, 2)</f>
        <v>74</v>
      </c>
      <c r="Y626" s="9">
        <f t="shared" si="25"/>
        <v>6415.28</v>
      </c>
      <c r="AD626" s="4" t="s">
        <v>2368</v>
      </c>
      <c r="AE626" s="4" t="s">
        <v>2369</v>
      </c>
      <c r="AF626" s="4" t="s">
        <v>436</v>
      </c>
    </row>
    <row r="627" spans="1:35" ht="90" hidden="1" x14ac:dyDescent="0.3">
      <c r="A627" s="10" t="s">
        <v>2370</v>
      </c>
      <c r="B627" s="10"/>
      <c r="C627" s="24" t="s">
        <v>2175</v>
      </c>
      <c r="D627" s="12"/>
      <c r="E627" s="12" t="s">
        <v>2245</v>
      </c>
      <c r="F627" s="18" t="s">
        <v>70</v>
      </c>
      <c r="G627" s="19">
        <v>0.3</v>
      </c>
      <c r="H627" s="19"/>
      <c r="I627" s="19">
        <v>173.38499999999999</v>
      </c>
      <c r="J627" s="21">
        <v>0</v>
      </c>
      <c r="M627" s="22">
        <f>ROUND(ROUND(J627, 2)*I627, 2)</f>
        <v>0</v>
      </c>
      <c r="P627" s="23">
        <v>0</v>
      </c>
      <c r="S627" s="22">
        <f>ROUND(ROUND(P627, 2)*I627, 2)</f>
        <v>0</v>
      </c>
      <c r="V627" s="9">
        <f>ROUND(ROUND(P627, 2)/1.2, 2)</f>
        <v>0</v>
      </c>
      <c r="Y627" s="9">
        <f t="shared" si="25"/>
        <v>0</v>
      </c>
      <c r="AD627" s="4" t="s">
        <v>2371</v>
      </c>
      <c r="AE627" s="4" t="s">
        <v>2372</v>
      </c>
      <c r="AF627" s="4" t="s">
        <v>2179</v>
      </c>
    </row>
    <row r="628" spans="1:35" ht="36" hidden="1" x14ac:dyDescent="0.3">
      <c r="A628" s="10" t="s">
        <v>2373</v>
      </c>
      <c r="B628" s="10" t="s">
        <v>2169</v>
      </c>
      <c r="C628" s="11" t="s">
        <v>2170</v>
      </c>
      <c r="D628" s="12"/>
      <c r="E628" s="12" t="s">
        <v>2374</v>
      </c>
      <c r="F628" s="12" t="s">
        <v>64</v>
      </c>
      <c r="G628" s="13">
        <v>1</v>
      </c>
      <c r="H628" s="13"/>
      <c r="I628" s="13">
        <v>0.73</v>
      </c>
      <c r="J628" s="14">
        <f>IFERROR(ROUND(SUM(M629,M630)/I628, 2),0)</f>
        <v>13.38</v>
      </c>
      <c r="K628" s="15">
        <v>464</v>
      </c>
      <c r="L628" s="14">
        <f>J628+ROUND(K628, 2)</f>
        <v>477.38</v>
      </c>
      <c r="M628" s="14">
        <f>ROUND(J628*I628, 2)</f>
        <v>9.77</v>
      </c>
      <c r="N628" s="14">
        <f>ROUND(I628*ROUND(K628, 2), 2)</f>
        <v>338.72</v>
      </c>
      <c r="O628" s="14">
        <f>M628+N628</f>
        <v>348.49</v>
      </c>
      <c r="P628" s="14">
        <f>IFERROR(ROUND(SUM(S629,S630)/I628, 2),0)</f>
        <v>13.38</v>
      </c>
      <c r="Q628" s="16">
        <v>464</v>
      </c>
      <c r="R628" s="14">
        <f>P628+ROUND(Q628, 2)</f>
        <v>477.38</v>
      </c>
      <c r="S628" s="14">
        <f>ROUND(P628*I628, 2)</f>
        <v>9.77</v>
      </c>
      <c r="T628" s="14">
        <f>ROUND(I628*ROUND(Q628, 2), 2)</f>
        <v>338.72</v>
      </c>
      <c r="U628" s="14">
        <f>S628+T628</f>
        <v>348.49</v>
      </c>
      <c r="V628" s="9">
        <f>ROUND(P628 / 1.2, 2)</f>
        <v>11.15</v>
      </c>
      <c r="W628" s="9">
        <f>ROUND(Q628 / 1.2, 2)</f>
        <v>386.67</v>
      </c>
      <c r="X628" s="9">
        <f>ROUND(R628 / 1.2, 2)</f>
        <v>397.82</v>
      </c>
      <c r="Y628" s="9">
        <f t="shared" si="25"/>
        <v>8.14</v>
      </c>
      <c r="Z628" s="9">
        <f>ROUND(T628 / 1.2, 2)</f>
        <v>282.27</v>
      </c>
      <c r="AA628" s="9">
        <f>Y628+Z628</f>
        <v>290.40999999999997</v>
      </c>
      <c r="AD628" s="4">
        <v>271132274</v>
      </c>
      <c r="AE628" s="4">
        <v>20002276</v>
      </c>
      <c r="AG628" s="4" t="s">
        <v>2172</v>
      </c>
      <c r="AH628" s="4" t="s">
        <v>2173</v>
      </c>
      <c r="AI628" s="4" t="s">
        <v>67</v>
      </c>
    </row>
    <row r="629" spans="1:35" ht="36" hidden="1" x14ac:dyDescent="0.3">
      <c r="A629" s="10" t="s">
        <v>2375</v>
      </c>
      <c r="B629" s="10"/>
      <c r="C629" s="24" t="s">
        <v>433</v>
      </c>
      <c r="D629" s="12"/>
      <c r="E629" s="12"/>
      <c r="F629" s="18" t="s">
        <v>70</v>
      </c>
      <c r="G629" s="19">
        <v>0.15</v>
      </c>
      <c r="H629" s="19"/>
      <c r="I629" s="19">
        <v>0.11</v>
      </c>
      <c r="J629" s="21">
        <v>88.8</v>
      </c>
      <c r="M629" s="22">
        <f>ROUND(ROUND(J629, 2)*I629, 2)</f>
        <v>9.77</v>
      </c>
      <c r="P629" s="23">
        <v>88.8</v>
      </c>
      <c r="S629" s="22">
        <f>ROUND(ROUND(P629, 2)*I629, 2)</f>
        <v>9.77</v>
      </c>
      <c r="V629" s="9">
        <f>ROUND(ROUND(P629, 2)/1.2, 2)</f>
        <v>74</v>
      </c>
      <c r="Y629" s="9">
        <f t="shared" si="25"/>
        <v>8.14</v>
      </c>
      <c r="AD629" s="4" t="s">
        <v>2376</v>
      </c>
      <c r="AE629" s="4" t="s">
        <v>2377</v>
      </c>
      <c r="AF629" s="4" t="s">
        <v>436</v>
      </c>
    </row>
    <row r="630" spans="1:35" ht="72" hidden="1" x14ac:dyDescent="0.3">
      <c r="A630" s="10" t="s">
        <v>2378</v>
      </c>
      <c r="B630" s="10"/>
      <c r="C630" s="24" t="s">
        <v>2175</v>
      </c>
      <c r="D630" s="12"/>
      <c r="E630" s="12" t="s">
        <v>2176</v>
      </c>
      <c r="F630" s="18" t="s">
        <v>70</v>
      </c>
      <c r="G630" s="19">
        <v>0.3</v>
      </c>
      <c r="H630" s="19"/>
      <c r="I630" s="19">
        <v>0.219</v>
      </c>
      <c r="J630" s="21">
        <v>0</v>
      </c>
      <c r="M630" s="22">
        <f>ROUND(ROUND(J630, 2)*I630, 2)</f>
        <v>0</v>
      </c>
      <c r="P630" s="23">
        <v>0</v>
      </c>
      <c r="S630" s="22">
        <f>ROUND(ROUND(P630, 2)*I630, 2)</f>
        <v>0</v>
      </c>
      <c r="V630" s="9">
        <f>ROUND(ROUND(P630, 2)/1.2, 2)</f>
        <v>0</v>
      </c>
      <c r="Y630" s="9">
        <f t="shared" si="25"/>
        <v>0</v>
      </c>
      <c r="AD630" s="4" t="s">
        <v>2379</v>
      </c>
      <c r="AE630" s="4" t="s">
        <v>2380</v>
      </c>
      <c r="AF630" s="4" t="s">
        <v>2179</v>
      </c>
    </row>
    <row r="631" spans="1:35" ht="36" hidden="1" x14ac:dyDescent="0.3">
      <c r="A631" s="10" t="s">
        <v>2381</v>
      </c>
      <c r="B631" s="10" t="s">
        <v>2169</v>
      </c>
      <c r="C631" s="11" t="s">
        <v>2170</v>
      </c>
      <c r="D631" s="12"/>
      <c r="E631" s="12" t="s">
        <v>2382</v>
      </c>
      <c r="F631" s="12" t="s">
        <v>64</v>
      </c>
      <c r="G631" s="13">
        <v>1</v>
      </c>
      <c r="H631" s="13"/>
      <c r="I631" s="13">
        <v>1.5</v>
      </c>
      <c r="J631" s="14">
        <f>IFERROR(ROUND(SUM(M632,M633)/I631, 2),0)</f>
        <v>13.32</v>
      </c>
      <c r="K631" s="15">
        <v>464</v>
      </c>
      <c r="L631" s="14">
        <f>J631+ROUND(K631, 2)</f>
        <v>477.32</v>
      </c>
      <c r="M631" s="14">
        <f>ROUND(J631*I631, 2)</f>
        <v>19.98</v>
      </c>
      <c r="N631" s="14">
        <f>ROUND(I631*ROUND(K631, 2), 2)</f>
        <v>696</v>
      </c>
      <c r="O631" s="14">
        <f>M631+N631</f>
        <v>715.98</v>
      </c>
      <c r="P631" s="14">
        <f>IFERROR(ROUND(SUM(S632,S633)/I631, 2),0)</f>
        <v>13.32</v>
      </c>
      <c r="Q631" s="16">
        <v>464</v>
      </c>
      <c r="R631" s="14">
        <f>P631+ROUND(Q631, 2)</f>
        <v>477.32</v>
      </c>
      <c r="S631" s="14">
        <f>ROUND(P631*I631, 2)</f>
        <v>19.98</v>
      </c>
      <c r="T631" s="14">
        <f>ROUND(I631*ROUND(Q631, 2), 2)</f>
        <v>696</v>
      </c>
      <c r="U631" s="14">
        <f>S631+T631</f>
        <v>715.98</v>
      </c>
      <c r="V631" s="9">
        <f>ROUND(P631 / 1.2, 2)</f>
        <v>11.1</v>
      </c>
      <c r="W631" s="9">
        <f>ROUND(Q631 / 1.2, 2)</f>
        <v>386.67</v>
      </c>
      <c r="X631" s="9">
        <f>ROUND(R631 / 1.2, 2)</f>
        <v>397.77</v>
      </c>
      <c r="Y631" s="9">
        <f t="shared" si="25"/>
        <v>16.649999999999999</v>
      </c>
      <c r="Z631" s="9">
        <f>ROUND(T631 / 1.2, 2)</f>
        <v>580</v>
      </c>
      <c r="AA631" s="9">
        <f>Y631+Z631</f>
        <v>596.65</v>
      </c>
      <c r="AD631" s="4">
        <v>271132275</v>
      </c>
      <c r="AE631" s="4">
        <v>20002277</v>
      </c>
      <c r="AG631" s="4" t="s">
        <v>2172</v>
      </c>
      <c r="AH631" s="4" t="s">
        <v>2173</v>
      </c>
      <c r="AI631" s="4" t="s">
        <v>67</v>
      </c>
    </row>
    <row r="632" spans="1:35" ht="36" hidden="1" x14ac:dyDescent="0.3">
      <c r="A632" s="10" t="s">
        <v>2383</v>
      </c>
      <c r="B632" s="10"/>
      <c r="C632" s="24" t="s">
        <v>433</v>
      </c>
      <c r="D632" s="12"/>
      <c r="E632" s="12"/>
      <c r="F632" s="18" t="s">
        <v>70</v>
      </c>
      <c r="G632" s="19">
        <v>0.15</v>
      </c>
      <c r="H632" s="19"/>
      <c r="I632" s="19">
        <v>0.22500000000000001</v>
      </c>
      <c r="J632" s="21">
        <v>88.8</v>
      </c>
      <c r="M632" s="22">
        <f>ROUND(ROUND(J632, 2)*I632, 2)</f>
        <v>19.98</v>
      </c>
      <c r="P632" s="23">
        <v>88.8</v>
      </c>
      <c r="S632" s="22">
        <f>ROUND(ROUND(P632, 2)*I632, 2)</f>
        <v>19.98</v>
      </c>
      <c r="V632" s="9">
        <f>ROUND(ROUND(P632, 2)/1.2, 2)</f>
        <v>74</v>
      </c>
      <c r="Y632" s="9">
        <f t="shared" si="25"/>
        <v>16.649999999999999</v>
      </c>
      <c r="AD632" s="4" t="s">
        <v>2384</v>
      </c>
      <c r="AE632" s="4" t="s">
        <v>2385</v>
      </c>
      <c r="AF632" s="4" t="s">
        <v>436</v>
      </c>
    </row>
    <row r="633" spans="1:35" ht="72" hidden="1" x14ac:dyDescent="0.3">
      <c r="A633" s="10" t="s">
        <v>2386</v>
      </c>
      <c r="B633" s="10"/>
      <c r="C633" s="24" t="s">
        <v>2175</v>
      </c>
      <c r="D633" s="12"/>
      <c r="E633" s="12" t="s">
        <v>2189</v>
      </c>
      <c r="F633" s="18" t="s">
        <v>70</v>
      </c>
      <c r="G633" s="19">
        <v>0.3</v>
      </c>
      <c r="H633" s="19"/>
      <c r="I633" s="19">
        <v>0.45</v>
      </c>
      <c r="J633" s="21">
        <v>0</v>
      </c>
      <c r="M633" s="22">
        <f>ROUND(ROUND(J633, 2)*I633, 2)</f>
        <v>0</v>
      </c>
      <c r="P633" s="23">
        <v>0</v>
      </c>
      <c r="S633" s="22">
        <f>ROUND(ROUND(P633, 2)*I633, 2)</f>
        <v>0</v>
      </c>
      <c r="V633" s="9">
        <f>ROUND(ROUND(P633, 2)/1.2, 2)</f>
        <v>0</v>
      </c>
      <c r="Y633" s="9">
        <f t="shared" si="25"/>
        <v>0</v>
      </c>
      <c r="AD633" s="4" t="s">
        <v>2387</v>
      </c>
      <c r="AE633" s="4" t="s">
        <v>2388</v>
      </c>
      <c r="AF633" s="4" t="s">
        <v>2179</v>
      </c>
    </row>
    <row r="634" spans="1:35" ht="36" hidden="1" x14ac:dyDescent="0.3">
      <c r="A634" s="10" t="s">
        <v>2389</v>
      </c>
      <c r="B634" s="10" t="s">
        <v>2169</v>
      </c>
      <c r="C634" s="11" t="s">
        <v>2170</v>
      </c>
      <c r="D634" s="12"/>
      <c r="E634" s="12" t="s">
        <v>2390</v>
      </c>
      <c r="F634" s="12" t="s">
        <v>64</v>
      </c>
      <c r="G634" s="13">
        <v>1</v>
      </c>
      <c r="H634" s="13"/>
      <c r="I634" s="13">
        <v>79.66</v>
      </c>
      <c r="J634" s="14">
        <f>IFERROR(ROUND(SUM(M635,M636)/I634, 2),0)</f>
        <v>13.32</v>
      </c>
      <c r="K634" s="15">
        <v>464</v>
      </c>
      <c r="L634" s="14">
        <f>J634+ROUND(K634, 2)</f>
        <v>477.32</v>
      </c>
      <c r="M634" s="14">
        <f>ROUND(J634*I634, 2)</f>
        <v>1061.07</v>
      </c>
      <c r="N634" s="14">
        <f>ROUND(I634*ROUND(K634, 2), 2)</f>
        <v>36962.239999999998</v>
      </c>
      <c r="O634" s="14">
        <f>M634+N634</f>
        <v>38023.31</v>
      </c>
      <c r="P634" s="14">
        <f>IFERROR(ROUND(SUM(S635,S636)/I634, 2),0)</f>
        <v>13.32</v>
      </c>
      <c r="Q634" s="16">
        <v>464</v>
      </c>
      <c r="R634" s="14">
        <f>P634+ROUND(Q634, 2)</f>
        <v>477.32</v>
      </c>
      <c r="S634" s="14">
        <f>ROUND(P634*I634, 2)</f>
        <v>1061.07</v>
      </c>
      <c r="T634" s="14">
        <f>ROUND(I634*ROUND(Q634, 2), 2)</f>
        <v>36962.239999999998</v>
      </c>
      <c r="U634" s="14">
        <f>S634+T634</f>
        <v>38023.31</v>
      </c>
      <c r="V634" s="9">
        <f>ROUND(P634 / 1.2, 2)</f>
        <v>11.1</v>
      </c>
      <c r="W634" s="9">
        <f>ROUND(Q634 / 1.2, 2)</f>
        <v>386.67</v>
      </c>
      <c r="X634" s="9">
        <f>ROUND(R634 / 1.2, 2)</f>
        <v>397.77</v>
      </c>
      <c r="Y634" s="9">
        <f t="shared" si="25"/>
        <v>884.23</v>
      </c>
      <c r="Z634" s="9">
        <f>ROUND(T634 / 1.2, 2)</f>
        <v>30801.87</v>
      </c>
      <c r="AA634" s="9">
        <f>Y634+Z634</f>
        <v>31686.1</v>
      </c>
      <c r="AD634" s="4">
        <v>271132276</v>
      </c>
      <c r="AE634" s="4">
        <v>20002410</v>
      </c>
      <c r="AG634" s="4" t="s">
        <v>2172</v>
      </c>
      <c r="AH634" s="4" t="s">
        <v>2173</v>
      </c>
      <c r="AI634" s="4" t="s">
        <v>67</v>
      </c>
    </row>
    <row r="635" spans="1:35" ht="36" hidden="1" x14ac:dyDescent="0.3">
      <c r="A635" s="10" t="s">
        <v>2391</v>
      </c>
      <c r="B635" s="10"/>
      <c r="C635" s="24" t="s">
        <v>433</v>
      </c>
      <c r="D635" s="12"/>
      <c r="E635" s="12"/>
      <c r="F635" s="18" t="s">
        <v>70</v>
      </c>
      <c r="G635" s="19">
        <v>0.15</v>
      </c>
      <c r="H635" s="19"/>
      <c r="I635" s="19">
        <v>11.949</v>
      </c>
      <c r="J635" s="21">
        <v>88.8</v>
      </c>
      <c r="M635" s="22">
        <f>ROUND(ROUND(J635, 2)*I635, 2)</f>
        <v>1061.07</v>
      </c>
      <c r="P635" s="23">
        <v>88.8</v>
      </c>
      <c r="S635" s="22">
        <f>ROUND(ROUND(P635, 2)*I635, 2)</f>
        <v>1061.07</v>
      </c>
      <c r="V635" s="9">
        <f>ROUND(ROUND(P635, 2)/1.2, 2)</f>
        <v>74</v>
      </c>
      <c r="Y635" s="9">
        <f t="shared" si="25"/>
        <v>884.23</v>
      </c>
      <c r="AD635" s="4" t="s">
        <v>2392</v>
      </c>
      <c r="AE635" s="4" t="s">
        <v>2393</v>
      </c>
      <c r="AF635" s="4" t="s">
        <v>436</v>
      </c>
    </row>
    <row r="636" spans="1:35" ht="54" hidden="1" x14ac:dyDescent="0.3">
      <c r="A636" s="10" t="s">
        <v>2394</v>
      </c>
      <c r="B636" s="10"/>
      <c r="C636" s="24" t="s">
        <v>2207</v>
      </c>
      <c r="D636" s="12"/>
      <c r="E636" s="12" t="s">
        <v>2254</v>
      </c>
      <c r="F636" s="18" t="s">
        <v>70</v>
      </c>
      <c r="G636" s="19">
        <v>0.3</v>
      </c>
      <c r="H636" s="19"/>
      <c r="I636" s="19">
        <v>23.898</v>
      </c>
      <c r="J636" s="21">
        <v>0</v>
      </c>
      <c r="M636" s="22">
        <f>ROUND(ROUND(J636, 2)*I636, 2)</f>
        <v>0</v>
      </c>
      <c r="P636" s="23">
        <v>0</v>
      </c>
      <c r="S636" s="22">
        <f>ROUND(ROUND(P636, 2)*I636, 2)</f>
        <v>0</v>
      </c>
      <c r="V636" s="9">
        <f>ROUND(ROUND(P636, 2)/1.2, 2)</f>
        <v>0</v>
      </c>
      <c r="Y636" s="9">
        <f t="shared" si="25"/>
        <v>0</v>
      </c>
      <c r="AD636" s="4" t="s">
        <v>2395</v>
      </c>
      <c r="AE636" s="4" t="s">
        <v>2396</v>
      </c>
      <c r="AF636" s="4" t="s">
        <v>2211</v>
      </c>
    </row>
    <row r="637" spans="1:35" ht="36" hidden="1" x14ac:dyDescent="0.3">
      <c r="A637" s="10" t="s">
        <v>2397</v>
      </c>
      <c r="B637" s="10" t="s">
        <v>2169</v>
      </c>
      <c r="C637" s="11" t="s">
        <v>2170</v>
      </c>
      <c r="D637" s="12"/>
      <c r="E637" s="12" t="s">
        <v>2398</v>
      </c>
      <c r="F637" s="12" t="s">
        <v>64</v>
      </c>
      <c r="G637" s="13">
        <v>1</v>
      </c>
      <c r="H637" s="13"/>
      <c r="I637" s="13">
        <v>80.790000000000006</v>
      </c>
      <c r="J637" s="14">
        <f>IFERROR(ROUND(SUM(M638,M639)/I637, 2),0)</f>
        <v>13.32</v>
      </c>
      <c r="K637" s="15">
        <v>464</v>
      </c>
      <c r="L637" s="14">
        <f>J637+ROUND(K637, 2)</f>
        <v>477.32</v>
      </c>
      <c r="M637" s="14">
        <f>ROUND(J637*I637, 2)</f>
        <v>1076.1199999999999</v>
      </c>
      <c r="N637" s="14">
        <f>ROUND(I637*ROUND(K637, 2), 2)</f>
        <v>37486.559999999998</v>
      </c>
      <c r="O637" s="14">
        <f>M637+N637</f>
        <v>38562.68</v>
      </c>
      <c r="P637" s="14">
        <f>IFERROR(ROUND(SUM(S638,S639)/I637, 2),0)</f>
        <v>13.32</v>
      </c>
      <c r="Q637" s="16">
        <v>464</v>
      </c>
      <c r="R637" s="14">
        <f>P637+ROUND(Q637, 2)</f>
        <v>477.32</v>
      </c>
      <c r="S637" s="14">
        <f>ROUND(P637*I637, 2)</f>
        <v>1076.1199999999999</v>
      </c>
      <c r="T637" s="14">
        <f>ROUND(I637*ROUND(Q637, 2), 2)</f>
        <v>37486.559999999998</v>
      </c>
      <c r="U637" s="14">
        <f>S637+T637</f>
        <v>38562.68</v>
      </c>
      <c r="V637" s="9">
        <f>ROUND(P637 / 1.2, 2)</f>
        <v>11.1</v>
      </c>
      <c r="W637" s="9">
        <f>ROUND(Q637 / 1.2, 2)</f>
        <v>386.67</v>
      </c>
      <c r="X637" s="9">
        <f>ROUND(R637 / 1.2, 2)</f>
        <v>397.77</v>
      </c>
      <c r="Y637" s="9">
        <f t="shared" si="25"/>
        <v>896.77</v>
      </c>
      <c r="Z637" s="9">
        <f>ROUND(T637 / 1.2, 2)</f>
        <v>31238.799999999999</v>
      </c>
      <c r="AA637" s="9">
        <f>Y637+Z637</f>
        <v>32135.57</v>
      </c>
      <c r="AD637" s="4">
        <v>271132277</v>
      </c>
      <c r="AE637" s="4">
        <v>20002411</v>
      </c>
      <c r="AG637" s="4" t="s">
        <v>2172</v>
      </c>
      <c r="AH637" s="4" t="s">
        <v>2173</v>
      </c>
      <c r="AI637" s="4" t="s">
        <v>67</v>
      </c>
    </row>
    <row r="638" spans="1:35" ht="36" hidden="1" x14ac:dyDescent="0.3">
      <c r="A638" s="10" t="s">
        <v>2399</v>
      </c>
      <c r="B638" s="10"/>
      <c r="C638" s="24" t="s">
        <v>433</v>
      </c>
      <c r="D638" s="12"/>
      <c r="E638" s="12"/>
      <c r="F638" s="18" t="s">
        <v>70</v>
      </c>
      <c r="G638" s="19">
        <v>0.15</v>
      </c>
      <c r="H638" s="19"/>
      <c r="I638" s="19">
        <v>12.119</v>
      </c>
      <c r="J638" s="21">
        <v>88.8</v>
      </c>
      <c r="M638" s="22">
        <f>ROUND(ROUND(J638, 2)*I638, 2)</f>
        <v>1076.17</v>
      </c>
      <c r="P638" s="23">
        <v>88.8</v>
      </c>
      <c r="S638" s="22">
        <f>ROUND(ROUND(P638, 2)*I638, 2)</f>
        <v>1076.17</v>
      </c>
      <c r="V638" s="9">
        <f>ROUND(ROUND(P638, 2)/1.2, 2)</f>
        <v>74</v>
      </c>
      <c r="Y638" s="9">
        <f t="shared" si="25"/>
        <v>896.81</v>
      </c>
      <c r="AD638" s="4" t="s">
        <v>2400</v>
      </c>
      <c r="AE638" s="4" t="s">
        <v>2401</v>
      </c>
      <c r="AF638" s="4" t="s">
        <v>436</v>
      </c>
    </row>
    <row r="639" spans="1:35" ht="54" hidden="1" x14ac:dyDescent="0.3">
      <c r="A639" s="10" t="s">
        <v>2402</v>
      </c>
      <c r="B639" s="10"/>
      <c r="C639" s="24" t="s">
        <v>2207</v>
      </c>
      <c r="D639" s="12"/>
      <c r="E639" s="12" t="s">
        <v>2208</v>
      </c>
      <c r="F639" s="18" t="s">
        <v>70</v>
      </c>
      <c r="G639" s="19">
        <v>0.3</v>
      </c>
      <c r="H639" s="19"/>
      <c r="I639" s="19">
        <v>24.236999999999998</v>
      </c>
      <c r="J639" s="21">
        <v>0</v>
      </c>
      <c r="M639" s="22">
        <f>ROUND(ROUND(J639, 2)*I639, 2)</f>
        <v>0</v>
      </c>
      <c r="P639" s="23">
        <v>0</v>
      </c>
      <c r="S639" s="22">
        <f>ROUND(ROUND(P639, 2)*I639, 2)</f>
        <v>0</v>
      </c>
      <c r="V639" s="9">
        <f>ROUND(ROUND(P639, 2)/1.2, 2)</f>
        <v>0</v>
      </c>
      <c r="Y639" s="9">
        <f t="shared" si="25"/>
        <v>0</v>
      </c>
      <c r="AD639" s="4" t="s">
        <v>2403</v>
      </c>
      <c r="AE639" s="4" t="s">
        <v>2404</v>
      </c>
      <c r="AF639" s="4" t="s">
        <v>2211</v>
      </c>
    </row>
    <row r="640" spans="1:35" ht="36" hidden="1" x14ac:dyDescent="0.3">
      <c r="A640" s="10" t="s">
        <v>2405</v>
      </c>
      <c r="B640" s="10" t="s">
        <v>2169</v>
      </c>
      <c r="C640" s="11" t="s">
        <v>2170</v>
      </c>
      <c r="D640" s="12"/>
      <c r="E640" s="12" t="s">
        <v>2406</v>
      </c>
      <c r="F640" s="12" t="s">
        <v>64</v>
      </c>
      <c r="G640" s="13">
        <v>1</v>
      </c>
      <c r="H640" s="13"/>
      <c r="I640" s="13">
        <v>26.92</v>
      </c>
      <c r="J640" s="14">
        <f>IFERROR(ROUND(SUM(M641,M642)/I640, 2),0)</f>
        <v>13.32</v>
      </c>
      <c r="K640" s="15">
        <v>464</v>
      </c>
      <c r="L640" s="14">
        <f>J640+ROUND(K640, 2)</f>
        <v>477.32</v>
      </c>
      <c r="M640" s="14">
        <f>ROUND(J640*I640, 2)</f>
        <v>358.57</v>
      </c>
      <c r="N640" s="14">
        <f>ROUND(I640*ROUND(K640, 2), 2)</f>
        <v>12490.88</v>
      </c>
      <c r="O640" s="14">
        <f>M640+N640</f>
        <v>12849.449999999999</v>
      </c>
      <c r="P640" s="14">
        <f>IFERROR(ROUND(SUM(S641,S642)/I640, 2),0)</f>
        <v>13.32</v>
      </c>
      <c r="Q640" s="16">
        <v>464</v>
      </c>
      <c r="R640" s="14">
        <f>P640+ROUND(Q640, 2)</f>
        <v>477.32</v>
      </c>
      <c r="S640" s="14">
        <f>ROUND(P640*I640, 2)</f>
        <v>358.57</v>
      </c>
      <c r="T640" s="14">
        <f>ROUND(I640*ROUND(Q640, 2), 2)</f>
        <v>12490.88</v>
      </c>
      <c r="U640" s="14">
        <f>S640+T640</f>
        <v>12849.449999999999</v>
      </c>
      <c r="V640" s="9">
        <f>ROUND(P640 / 1.2, 2)</f>
        <v>11.1</v>
      </c>
      <c r="W640" s="9">
        <f>ROUND(Q640 / 1.2, 2)</f>
        <v>386.67</v>
      </c>
      <c r="X640" s="9">
        <f>ROUND(R640 / 1.2, 2)</f>
        <v>397.77</v>
      </c>
      <c r="Y640" s="9">
        <f t="shared" si="25"/>
        <v>298.81</v>
      </c>
      <c r="Z640" s="9">
        <f>ROUND(T640 / 1.2, 2)</f>
        <v>10409.07</v>
      </c>
      <c r="AA640" s="9">
        <f>Y640+Z640</f>
        <v>10707.88</v>
      </c>
      <c r="AD640" s="4">
        <v>271132278</v>
      </c>
      <c r="AE640" s="4">
        <v>20002412</v>
      </c>
      <c r="AG640" s="4" t="s">
        <v>2172</v>
      </c>
      <c r="AH640" s="4" t="s">
        <v>2173</v>
      </c>
      <c r="AI640" s="4" t="s">
        <v>67</v>
      </c>
    </row>
    <row r="641" spans="1:35" ht="36" hidden="1" x14ac:dyDescent="0.3">
      <c r="A641" s="10" t="s">
        <v>2407</v>
      </c>
      <c r="B641" s="10"/>
      <c r="C641" s="24" t="s">
        <v>433</v>
      </c>
      <c r="D641" s="12"/>
      <c r="E641" s="12"/>
      <c r="F641" s="18" t="s">
        <v>70</v>
      </c>
      <c r="G641" s="19">
        <v>0.15</v>
      </c>
      <c r="H641" s="19"/>
      <c r="I641" s="19">
        <v>4.0380000000000003</v>
      </c>
      <c r="J641" s="21">
        <v>88.8</v>
      </c>
      <c r="M641" s="22">
        <f>ROUND(ROUND(J641, 2)*I641, 2)</f>
        <v>358.57</v>
      </c>
      <c r="P641" s="23">
        <v>88.8</v>
      </c>
      <c r="S641" s="22">
        <f>ROUND(ROUND(P641, 2)*I641, 2)</f>
        <v>358.57</v>
      </c>
      <c r="V641" s="9">
        <f>ROUND(ROUND(P641, 2)/1.2, 2)</f>
        <v>74</v>
      </c>
      <c r="Y641" s="9">
        <f t="shared" si="25"/>
        <v>298.81</v>
      </c>
      <c r="AD641" s="4" t="s">
        <v>2408</v>
      </c>
      <c r="AE641" s="4" t="s">
        <v>2409</v>
      </c>
      <c r="AF641" s="4" t="s">
        <v>436</v>
      </c>
    </row>
    <row r="642" spans="1:35" ht="72" hidden="1" x14ac:dyDescent="0.3">
      <c r="A642" s="10" t="s">
        <v>2410</v>
      </c>
      <c r="B642" s="10"/>
      <c r="C642" s="24" t="s">
        <v>2207</v>
      </c>
      <c r="D642" s="12"/>
      <c r="E642" s="12" t="s">
        <v>2411</v>
      </c>
      <c r="F642" s="18" t="s">
        <v>70</v>
      </c>
      <c r="G642" s="19">
        <v>0.3</v>
      </c>
      <c r="H642" s="19"/>
      <c r="I642" s="19">
        <v>8.0760000000000005</v>
      </c>
      <c r="J642" s="21">
        <v>0</v>
      </c>
      <c r="M642" s="22">
        <f>ROUND(ROUND(J642, 2)*I642, 2)</f>
        <v>0</v>
      </c>
      <c r="P642" s="23">
        <v>0</v>
      </c>
      <c r="S642" s="22">
        <f>ROUND(ROUND(P642, 2)*I642, 2)</f>
        <v>0</v>
      </c>
      <c r="V642" s="9">
        <f>ROUND(ROUND(P642, 2)/1.2, 2)</f>
        <v>0</v>
      </c>
      <c r="Y642" s="9">
        <f t="shared" si="25"/>
        <v>0</v>
      </c>
      <c r="AD642" s="4" t="s">
        <v>2412</v>
      </c>
      <c r="AE642" s="4" t="s">
        <v>2413</v>
      </c>
      <c r="AF642" s="4" t="s">
        <v>2211</v>
      </c>
    </row>
    <row r="643" spans="1:35" ht="36" hidden="1" x14ac:dyDescent="0.3">
      <c r="A643" s="10" t="s">
        <v>2414</v>
      </c>
      <c r="B643" s="10" t="s">
        <v>2169</v>
      </c>
      <c r="C643" s="11" t="s">
        <v>2170</v>
      </c>
      <c r="D643" s="12"/>
      <c r="E643" s="12" t="s">
        <v>2415</v>
      </c>
      <c r="F643" s="12" t="s">
        <v>64</v>
      </c>
      <c r="G643" s="13">
        <v>1</v>
      </c>
      <c r="H643" s="13"/>
      <c r="I643" s="13">
        <v>28.35</v>
      </c>
      <c r="J643" s="14">
        <f>IFERROR(ROUND(SUM(M644,M645)/I643, 2),0)</f>
        <v>13.32</v>
      </c>
      <c r="K643" s="15">
        <v>464</v>
      </c>
      <c r="L643" s="14">
        <f>J643+ROUND(K643, 2)</f>
        <v>477.32</v>
      </c>
      <c r="M643" s="14">
        <f>ROUND(J643*I643, 2)</f>
        <v>377.62</v>
      </c>
      <c r="N643" s="14">
        <f>ROUND(I643*ROUND(K643, 2), 2)</f>
        <v>13154.4</v>
      </c>
      <c r="O643" s="14">
        <f>M643+N643</f>
        <v>13532.02</v>
      </c>
      <c r="P643" s="14">
        <f>IFERROR(ROUND(SUM(S644,S645)/I643, 2),0)</f>
        <v>13.32</v>
      </c>
      <c r="Q643" s="16">
        <v>464</v>
      </c>
      <c r="R643" s="14">
        <f>P643+ROUND(Q643, 2)</f>
        <v>477.32</v>
      </c>
      <c r="S643" s="14">
        <f>ROUND(P643*I643, 2)</f>
        <v>377.62</v>
      </c>
      <c r="T643" s="14">
        <f>ROUND(I643*ROUND(Q643, 2), 2)</f>
        <v>13154.4</v>
      </c>
      <c r="U643" s="14">
        <f>S643+T643</f>
        <v>13532.02</v>
      </c>
      <c r="V643" s="9">
        <f>ROUND(P643 / 1.2, 2)</f>
        <v>11.1</v>
      </c>
      <c r="W643" s="9">
        <f>ROUND(Q643 / 1.2, 2)</f>
        <v>386.67</v>
      </c>
      <c r="X643" s="9">
        <f>ROUND(R643 / 1.2, 2)</f>
        <v>397.77</v>
      </c>
      <c r="Y643" s="9">
        <f t="shared" si="25"/>
        <v>314.68</v>
      </c>
      <c r="Z643" s="9">
        <f>ROUND(T643 / 1.2, 2)</f>
        <v>10962</v>
      </c>
      <c r="AA643" s="9">
        <f>Y643+Z643</f>
        <v>11276.68</v>
      </c>
      <c r="AD643" s="4">
        <v>271132279</v>
      </c>
      <c r="AE643" s="4">
        <v>20003313</v>
      </c>
      <c r="AG643" s="4" t="s">
        <v>2172</v>
      </c>
      <c r="AH643" s="4" t="s">
        <v>2173</v>
      </c>
      <c r="AI643" s="4" t="s">
        <v>67</v>
      </c>
    </row>
    <row r="644" spans="1:35" ht="36" hidden="1" x14ac:dyDescent="0.3">
      <c r="A644" s="10" t="s">
        <v>2416</v>
      </c>
      <c r="B644" s="10"/>
      <c r="C644" s="24" t="s">
        <v>433</v>
      </c>
      <c r="D644" s="12"/>
      <c r="E644" s="12"/>
      <c r="F644" s="18" t="s">
        <v>70</v>
      </c>
      <c r="G644" s="19">
        <v>0.15</v>
      </c>
      <c r="H644" s="19"/>
      <c r="I644" s="19">
        <v>4.2530000000000001</v>
      </c>
      <c r="J644" s="21">
        <v>88.8</v>
      </c>
      <c r="M644" s="22">
        <f>ROUND(ROUND(J644, 2)*I644, 2)</f>
        <v>377.67</v>
      </c>
      <c r="P644" s="23">
        <v>88.8</v>
      </c>
      <c r="S644" s="22">
        <f>ROUND(ROUND(P644, 2)*I644, 2)</f>
        <v>377.67</v>
      </c>
      <c r="V644" s="9">
        <f>ROUND(ROUND(P644, 2)/1.2, 2)</f>
        <v>74</v>
      </c>
      <c r="Y644" s="9">
        <f t="shared" si="25"/>
        <v>314.73</v>
      </c>
      <c r="AD644" s="4" t="s">
        <v>2417</v>
      </c>
      <c r="AE644" s="4" t="s">
        <v>2418</v>
      </c>
      <c r="AF644" s="4" t="s">
        <v>436</v>
      </c>
    </row>
    <row r="645" spans="1:35" ht="54" hidden="1" x14ac:dyDescent="0.3">
      <c r="A645" s="10" t="s">
        <v>2419</v>
      </c>
      <c r="B645" s="10"/>
      <c r="C645" s="24" t="s">
        <v>2207</v>
      </c>
      <c r="D645" s="12"/>
      <c r="E645" s="12" t="s">
        <v>2420</v>
      </c>
      <c r="F645" s="18" t="s">
        <v>70</v>
      </c>
      <c r="G645" s="19">
        <v>0.3</v>
      </c>
      <c r="H645" s="19"/>
      <c r="I645" s="19">
        <v>8.5050000000000008</v>
      </c>
      <c r="J645" s="21">
        <v>0</v>
      </c>
      <c r="M645" s="22">
        <f>ROUND(ROUND(J645, 2)*I645, 2)</f>
        <v>0</v>
      </c>
      <c r="P645" s="23">
        <v>0</v>
      </c>
      <c r="S645" s="22">
        <f>ROUND(ROUND(P645, 2)*I645, 2)</f>
        <v>0</v>
      </c>
      <c r="V645" s="9">
        <f>ROUND(ROUND(P645, 2)/1.2, 2)</f>
        <v>0</v>
      </c>
      <c r="Y645" s="9">
        <f t="shared" si="25"/>
        <v>0</v>
      </c>
      <c r="AD645" s="4" t="s">
        <v>2421</v>
      </c>
      <c r="AE645" s="4" t="s">
        <v>2422</v>
      </c>
      <c r="AF645" s="4" t="s">
        <v>2211</v>
      </c>
    </row>
    <row r="646" spans="1:35" ht="36" hidden="1" x14ac:dyDescent="0.3">
      <c r="A646" s="10" t="s">
        <v>2423</v>
      </c>
      <c r="B646" s="10" t="s">
        <v>2169</v>
      </c>
      <c r="C646" s="11" t="s">
        <v>2170</v>
      </c>
      <c r="D646" s="12"/>
      <c r="E646" s="12" t="s">
        <v>2424</v>
      </c>
      <c r="F646" s="12" t="s">
        <v>64</v>
      </c>
      <c r="G646" s="13">
        <v>1</v>
      </c>
      <c r="H646" s="13"/>
      <c r="I646" s="13">
        <v>26.03</v>
      </c>
      <c r="J646" s="14">
        <f>IFERROR(ROUND(SUM(M647,M648)/I646, 2),0)</f>
        <v>13.32</v>
      </c>
      <c r="K646" s="15">
        <v>464</v>
      </c>
      <c r="L646" s="14">
        <f>J646+ROUND(K646, 2)</f>
        <v>477.32</v>
      </c>
      <c r="M646" s="14">
        <f>ROUND(J646*I646, 2)</f>
        <v>346.72</v>
      </c>
      <c r="N646" s="14">
        <f>ROUND(I646*ROUND(K646, 2), 2)</f>
        <v>12077.92</v>
      </c>
      <c r="O646" s="14">
        <f>M646+N646</f>
        <v>12424.64</v>
      </c>
      <c r="P646" s="14">
        <f>IFERROR(ROUND(SUM(S647,S648)/I646, 2),0)</f>
        <v>13.32</v>
      </c>
      <c r="Q646" s="16">
        <v>464</v>
      </c>
      <c r="R646" s="14">
        <f>P646+ROUND(Q646, 2)</f>
        <v>477.32</v>
      </c>
      <c r="S646" s="14">
        <f>ROUND(P646*I646, 2)</f>
        <v>346.72</v>
      </c>
      <c r="T646" s="14">
        <f>ROUND(I646*ROUND(Q646, 2), 2)</f>
        <v>12077.92</v>
      </c>
      <c r="U646" s="14">
        <f>S646+T646</f>
        <v>12424.64</v>
      </c>
      <c r="V646" s="9">
        <f>ROUND(P646 / 1.2, 2)</f>
        <v>11.1</v>
      </c>
      <c r="W646" s="9">
        <f>ROUND(Q646 / 1.2, 2)</f>
        <v>386.67</v>
      </c>
      <c r="X646" s="9">
        <f>ROUND(R646 / 1.2, 2)</f>
        <v>397.77</v>
      </c>
      <c r="Y646" s="9">
        <f t="shared" si="25"/>
        <v>288.93</v>
      </c>
      <c r="Z646" s="9">
        <f>ROUND(T646 / 1.2, 2)</f>
        <v>10064.93</v>
      </c>
      <c r="AA646" s="9">
        <f>Y646+Z646</f>
        <v>10353.86</v>
      </c>
      <c r="AD646" s="4">
        <v>271132280</v>
      </c>
      <c r="AE646" s="4">
        <v>20003314</v>
      </c>
      <c r="AG646" s="4" t="s">
        <v>2172</v>
      </c>
      <c r="AH646" s="4" t="s">
        <v>2173</v>
      </c>
      <c r="AI646" s="4" t="s">
        <v>67</v>
      </c>
    </row>
    <row r="647" spans="1:35" ht="36" hidden="1" x14ac:dyDescent="0.3">
      <c r="A647" s="10" t="s">
        <v>2425</v>
      </c>
      <c r="B647" s="10"/>
      <c r="C647" s="24" t="s">
        <v>433</v>
      </c>
      <c r="D647" s="12"/>
      <c r="E647" s="12"/>
      <c r="F647" s="18" t="s">
        <v>70</v>
      </c>
      <c r="G647" s="19">
        <v>0.15</v>
      </c>
      <c r="H647" s="19"/>
      <c r="I647" s="19">
        <v>3.9049999999999998</v>
      </c>
      <c r="J647" s="21">
        <v>88.8</v>
      </c>
      <c r="M647" s="22">
        <f>ROUND(ROUND(J647, 2)*I647, 2)</f>
        <v>346.76</v>
      </c>
      <c r="P647" s="23">
        <v>88.8</v>
      </c>
      <c r="S647" s="22">
        <f>ROUND(ROUND(P647, 2)*I647, 2)</f>
        <v>346.76</v>
      </c>
      <c r="V647" s="9">
        <f>ROUND(ROUND(P647, 2)/1.2, 2)</f>
        <v>74</v>
      </c>
      <c r="Y647" s="9">
        <f t="shared" si="25"/>
        <v>288.97000000000003</v>
      </c>
      <c r="AD647" s="4" t="s">
        <v>2426</v>
      </c>
      <c r="AE647" s="4" t="s">
        <v>2427</v>
      </c>
      <c r="AF647" s="4" t="s">
        <v>436</v>
      </c>
    </row>
    <row r="648" spans="1:35" ht="54" hidden="1" x14ac:dyDescent="0.3">
      <c r="A648" s="10" t="s">
        <v>2428</v>
      </c>
      <c r="B648" s="10"/>
      <c r="C648" s="24" t="s">
        <v>2207</v>
      </c>
      <c r="D648" s="12"/>
      <c r="E648" s="12" t="s">
        <v>2227</v>
      </c>
      <c r="F648" s="18" t="s">
        <v>70</v>
      </c>
      <c r="G648" s="19">
        <v>0.3</v>
      </c>
      <c r="H648" s="19"/>
      <c r="I648" s="19">
        <v>7.8090000000000002</v>
      </c>
      <c r="J648" s="21">
        <v>0</v>
      </c>
      <c r="M648" s="22">
        <f>ROUND(ROUND(J648, 2)*I648, 2)</f>
        <v>0</v>
      </c>
      <c r="P648" s="23">
        <v>0</v>
      </c>
      <c r="S648" s="22">
        <f>ROUND(ROUND(P648, 2)*I648, 2)</f>
        <v>0</v>
      </c>
      <c r="V648" s="9">
        <f>ROUND(ROUND(P648, 2)/1.2, 2)</f>
        <v>0</v>
      </c>
      <c r="Y648" s="9">
        <f t="shared" si="25"/>
        <v>0</v>
      </c>
      <c r="AD648" s="4" t="s">
        <v>2429</v>
      </c>
      <c r="AE648" s="4" t="s">
        <v>2430</v>
      </c>
      <c r="AF648" s="4" t="s">
        <v>2211</v>
      </c>
    </row>
    <row r="649" spans="1:35" ht="36" hidden="1" x14ac:dyDescent="0.3">
      <c r="A649" s="10" t="s">
        <v>2431</v>
      </c>
      <c r="B649" s="10" t="s">
        <v>2169</v>
      </c>
      <c r="C649" s="11" t="s">
        <v>2170</v>
      </c>
      <c r="D649" s="12"/>
      <c r="E649" s="12" t="s">
        <v>2432</v>
      </c>
      <c r="F649" s="12" t="s">
        <v>64</v>
      </c>
      <c r="G649" s="13">
        <v>1</v>
      </c>
      <c r="H649" s="13"/>
      <c r="I649" s="13">
        <v>34.79</v>
      </c>
      <c r="J649" s="14">
        <f>IFERROR(ROUND(SUM(M650,M651)/I649, 2),0)</f>
        <v>13.32</v>
      </c>
      <c r="K649" s="15">
        <v>464</v>
      </c>
      <c r="L649" s="14">
        <f>J649+ROUND(K649, 2)</f>
        <v>477.32</v>
      </c>
      <c r="M649" s="14">
        <f>ROUND(J649*I649, 2)</f>
        <v>463.4</v>
      </c>
      <c r="N649" s="14">
        <f>ROUND(I649*ROUND(K649, 2), 2)</f>
        <v>16142.56</v>
      </c>
      <c r="O649" s="14">
        <f>M649+N649</f>
        <v>16605.96</v>
      </c>
      <c r="P649" s="14">
        <f>IFERROR(ROUND(SUM(S650,S651)/I649, 2),0)</f>
        <v>13.32</v>
      </c>
      <c r="Q649" s="16">
        <v>464</v>
      </c>
      <c r="R649" s="14">
        <f>P649+ROUND(Q649, 2)</f>
        <v>477.32</v>
      </c>
      <c r="S649" s="14">
        <f>ROUND(P649*I649, 2)</f>
        <v>463.4</v>
      </c>
      <c r="T649" s="14">
        <f>ROUND(I649*ROUND(Q649, 2), 2)</f>
        <v>16142.56</v>
      </c>
      <c r="U649" s="14">
        <f>S649+T649</f>
        <v>16605.96</v>
      </c>
      <c r="V649" s="9">
        <f>ROUND(P649 / 1.2, 2)</f>
        <v>11.1</v>
      </c>
      <c r="W649" s="9">
        <f>ROUND(Q649 / 1.2, 2)</f>
        <v>386.67</v>
      </c>
      <c r="X649" s="9">
        <f>ROUND(R649 / 1.2, 2)</f>
        <v>397.77</v>
      </c>
      <c r="Y649" s="9">
        <f t="shared" si="25"/>
        <v>386.17</v>
      </c>
      <c r="Z649" s="9">
        <f>ROUND(T649 / 1.2, 2)</f>
        <v>13452.13</v>
      </c>
      <c r="AA649" s="9">
        <f>Y649+Z649</f>
        <v>13838.3</v>
      </c>
      <c r="AD649" s="4">
        <v>271132281</v>
      </c>
      <c r="AE649" s="4">
        <v>20003315</v>
      </c>
      <c r="AG649" s="4" t="s">
        <v>2172</v>
      </c>
      <c r="AH649" s="4" t="s">
        <v>2173</v>
      </c>
      <c r="AI649" s="4" t="s">
        <v>67</v>
      </c>
    </row>
    <row r="650" spans="1:35" ht="36" hidden="1" x14ac:dyDescent="0.3">
      <c r="A650" s="10" t="s">
        <v>2433</v>
      </c>
      <c r="B650" s="10"/>
      <c r="C650" s="24" t="s">
        <v>433</v>
      </c>
      <c r="D650" s="12"/>
      <c r="E650" s="12"/>
      <c r="F650" s="18" t="s">
        <v>70</v>
      </c>
      <c r="G650" s="19">
        <v>0.15</v>
      </c>
      <c r="H650" s="19"/>
      <c r="I650" s="19">
        <v>5.2190000000000003</v>
      </c>
      <c r="J650" s="21">
        <v>88.8</v>
      </c>
      <c r="M650" s="22">
        <f>ROUND(ROUND(J650, 2)*I650, 2)</f>
        <v>463.45</v>
      </c>
      <c r="P650" s="23">
        <v>88.8</v>
      </c>
      <c r="S650" s="22">
        <f>ROUND(ROUND(P650, 2)*I650, 2)</f>
        <v>463.45</v>
      </c>
      <c r="V650" s="9">
        <f>ROUND(ROUND(P650, 2)/1.2, 2)</f>
        <v>74</v>
      </c>
      <c r="Y650" s="9">
        <f t="shared" si="25"/>
        <v>386.21</v>
      </c>
      <c r="AD650" s="4" t="s">
        <v>2434</v>
      </c>
      <c r="AE650" s="4" t="s">
        <v>2435</v>
      </c>
      <c r="AF650" s="4" t="s">
        <v>436</v>
      </c>
    </row>
    <row r="651" spans="1:35" ht="54" hidden="1" x14ac:dyDescent="0.3">
      <c r="A651" s="10" t="s">
        <v>2436</v>
      </c>
      <c r="B651" s="10"/>
      <c r="C651" s="24" t="s">
        <v>2437</v>
      </c>
      <c r="D651" s="12"/>
      <c r="E651" s="12" t="s">
        <v>2274</v>
      </c>
      <c r="F651" s="18" t="s">
        <v>70</v>
      </c>
      <c r="G651" s="19">
        <v>0.3</v>
      </c>
      <c r="H651" s="19"/>
      <c r="I651" s="19">
        <v>10.436999999999999</v>
      </c>
      <c r="J651" s="21">
        <v>0</v>
      </c>
      <c r="M651" s="22">
        <f>ROUND(ROUND(J651, 2)*I651, 2)</f>
        <v>0</v>
      </c>
      <c r="P651" s="23">
        <v>0</v>
      </c>
      <c r="S651" s="22">
        <f>ROUND(ROUND(P651, 2)*I651, 2)</f>
        <v>0</v>
      </c>
      <c r="V651" s="9">
        <f>ROUND(ROUND(P651, 2)/1.2, 2)</f>
        <v>0</v>
      </c>
      <c r="Y651" s="9">
        <f t="shared" si="25"/>
        <v>0</v>
      </c>
      <c r="AD651" s="4" t="s">
        <v>2438</v>
      </c>
      <c r="AE651" s="4" t="s">
        <v>2439</v>
      </c>
      <c r="AF651" s="4" t="s">
        <v>2440</v>
      </c>
    </row>
    <row r="652" spans="1:35" ht="36" hidden="1" x14ac:dyDescent="0.3">
      <c r="A652" s="10" t="s">
        <v>2441</v>
      </c>
      <c r="B652" s="10" t="s">
        <v>2169</v>
      </c>
      <c r="C652" s="11" t="s">
        <v>2170</v>
      </c>
      <c r="D652" s="12"/>
      <c r="E652" s="12" t="s">
        <v>2442</v>
      </c>
      <c r="F652" s="12" t="s">
        <v>64</v>
      </c>
      <c r="G652" s="13">
        <v>1</v>
      </c>
      <c r="H652" s="13"/>
      <c r="I652" s="13">
        <v>58.73</v>
      </c>
      <c r="J652" s="14">
        <f>IFERROR(ROUND(SUM(M653,M654)/I652, 2),0)</f>
        <v>13.32</v>
      </c>
      <c r="K652" s="15">
        <v>464</v>
      </c>
      <c r="L652" s="14">
        <f>J652+ROUND(K652, 2)</f>
        <v>477.32</v>
      </c>
      <c r="M652" s="14">
        <f>ROUND(J652*I652, 2)</f>
        <v>782.28</v>
      </c>
      <c r="N652" s="14">
        <f>ROUND(I652*ROUND(K652, 2), 2)</f>
        <v>27250.720000000001</v>
      </c>
      <c r="O652" s="14">
        <f>M652+N652</f>
        <v>28033</v>
      </c>
      <c r="P652" s="14">
        <f>IFERROR(ROUND(SUM(S653,S654)/I652, 2),0)</f>
        <v>13.32</v>
      </c>
      <c r="Q652" s="16">
        <v>464</v>
      </c>
      <c r="R652" s="14">
        <f>P652+ROUND(Q652, 2)</f>
        <v>477.32</v>
      </c>
      <c r="S652" s="14">
        <f>ROUND(P652*I652, 2)</f>
        <v>782.28</v>
      </c>
      <c r="T652" s="14">
        <f>ROUND(I652*ROUND(Q652, 2), 2)</f>
        <v>27250.720000000001</v>
      </c>
      <c r="U652" s="14">
        <f>S652+T652</f>
        <v>28033</v>
      </c>
      <c r="V652" s="9">
        <f>ROUND(P652 / 1.2, 2)</f>
        <v>11.1</v>
      </c>
      <c r="W652" s="9">
        <f>ROUND(Q652 / 1.2, 2)</f>
        <v>386.67</v>
      </c>
      <c r="X652" s="9">
        <f>ROUND(R652 / 1.2, 2)</f>
        <v>397.77</v>
      </c>
      <c r="Y652" s="9">
        <f t="shared" si="25"/>
        <v>651.9</v>
      </c>
      <c r="Z652" s="9">
        <f>ROUND(T652 / 1.2, 2)</f>
        <v>22708.93</v>
      </c>
      <c r="AA652" s="9">
        <f>Y652+Z652</f>
        <v>23360.83</v>
      </c>
      <c r="AD652" s="4">
        <v>271132282</v>
      </c>
      <c r="AE652" s="4">
        <v>20003316</v>
      </c>
      <c r="AG652" s="4" t="s">
        <v>2172</v>
      </c>
      <c r="AH652" s="4" t="s">
        <v>2173</v>
      </c>
      <c r="AI652" s="4" t="s">
        <v>67</v>
      </c>
    </row>
    <row r="653" spans="1:35" ht="36" hidden="1" x14ac:dyDescent="0.3">
      <c r="A653" s="10" t="s">
        <v>2443</v>
      </c>
      <c r="B653" s="10"/>
      <c r="C653" s="24" t="s">
        <v>433</v>
      </c>
      <c r="D653" s="12"/>
      <c r="E653" s="12"/>
      <c r="F653" s="18" t="s">
        <v>70</v>
      </c>
      <c r="G653" s="19">
        <v>0.15</v>
      </c>
      <c r="H653" s="19"/>
      <c r="I653" s="19">
        <v>8.81</v>
      </c>
      <c r="J653" s="21">
        <v>88.8</v>
      </c>
      <c r="M653" s="22">
        <f>ROUND(ROUND(J653, 2)*I653, 2)</f>
        <v>782.33</v>
      </c>
      <c r="P653" s="23">
        <v>88.8</v>
      </c>
      <c r="S653" s="22">
        <f>ROUND(ROUND(P653, 2)*I653, 2)</f>
        <v>782.33</v>
      </c>
      <c r="V653" s="9">
        <f>ROUND(ROUND(P653, 2)/1.2, 2)</f>
        <v>74</v>
      </c>
      <c r="Y653" s="9">
        <f t="shared" si="25"/>
        <v>651.94000000000005</v>
      </c>
      <c r="AD653" s="4" t="s">
        <v>2444</v>
      </c>
      <c r="AE653" s="4" t="s">
        <v>2445</v>
      </c>
      <c r="AF653" s="4" t="s">
        <v>436</v>
      </c>
    </row>
    <row r="654" spans="1:35" ht="54" hidden="1" x14ac:dyDescent="0.3">
      <c r="A654" s="10" t="s">
        <v>2446</v>
      </c>
      <c r="B654" s="10"/>
      <c r="C654" s="24" t="s">
        <v>2207</v>
      </c>
      <c r="D654" s="12"/>
      <c r="E654" s="12" t="s">
        <v>2447</v>
      </c>
      <c r="F654" s="18" t="s">
        <v>70</v>
      </c>
      <c r="G654" s="19">
        <v>0.3</v>
      </c>
      <c r="H654" s="19"/>
      <c r="I654" s="19">
        <v>17.619</v>
      </c>
      <c r="J654" s="21">
        <v>0</v>
      </c>
      <c r="M654" s="22">
        <f>ROUND(ROUND(J654, 2)*I654, 2)</f>
        <v>0</v>
      </c>
      <c r="P654" s="23">
        <v>0</v>
      </c>
      <c r="S654" s="22">
        <f>ROUND(ROUND(P654, 2)*I654, 2)</f>
        <v>0</v>
      </c>
      <c r="V654" s="9">
        <f>ROUND(ROUND(P654, 2)/1.2, 2)</f>
        <v>0</v>
      </c>
      <c r="Y654" s="9">
        <f t="shared" si="25"/>
        <v>0</v>
      </c>
      <c r="AD654" s="4" t="s">
        <v>2448</v>
      </c>
      <c r="AE654" s="4" t="s">
        <v>2449</v>
      </c>
      <c r="AF654" s="4" t="s">
        <v>2211</v>
      </c>
    </row>
    <row r="655" spans="1:35" ht="36" hidden="1" x14ac:dyDescent="0.3">
      <c r="A655" s="10" t="s">
        <v>2450</v>
      </c>
      <c r="B655" s="10" t="s">
        <v>2169</v>
      </c>
      <c r="C655" s="11" t="s">
        <v>2170</v>
      </c>
      <c r="D655" s="12"/>
      <c r="E655" s="12" t="s">
        <v>2451</v>
      </c>
      <c r="F655" s="12" t="s">
        <v>64</v>
      </c>
      <c r="G655" s="13">
        <v>1</v>
      </c>
      <c r="H655" s="13"/>
      <c r="I655" s="13">
        <v>30.71</v>
      </c>
      <c r="J655" s="14">
        <f>IFERROR(ROUND(SUM(M656,M657)/I655, 2),0)</f>
        <v>13.32</v>
      </c>
      <c r="K655" s="15">
        <v>464</v>
      </c>
      <c r="L655" s="14">
        <f>J655+ROUND(K655, 2)</f>
        <v>477.32</v>
      </c>
      <c r="M655" s="14">
        <f>ROUND(J655*I655, 2)</f>
        <v>409.06</v>
      </c>
      <c r="N655" s="14">
        <f>ROUND(I655*ROUND(K655, 2), 2)</f>
        <v>14249.44</v>
      </c>
      <c r="O655" s="14">
        <f>M655+N655</f>
        <v>14658.5</v>
      </c>
      <c r="P655" s="14">
        <f>IFERROR(ROUND(SUM(S656,S657)/I655, 2),0)</f>
        <v>13.32</v>
      </c>
      <c r="Q655" s="16">
        <v>464</v>
      </c>
      <c r="R655" s="14">
        <f>P655+ROUND(Q655, 2)</f>
        <v>477.32</v>
      </c>
      <c r="S655" s="14">
        <f>ROUND(P655*I655, 2)</f>
        <v>409.06</v>
      </c>
      <c r="T655" s="14">
        <f>ROUND(I655*ROUND(Q655, 2), 2)</f>
        <v>14249.44</v>
      </c>
      <c r="U655" s="14">
        <f>S655+T655</f>
        <v>14658.5</v>
      </c>
      <c r="V655" s="9">
        <f>ROUND(P655 / 1.2, 2)</f>
        <v>11.1</v>
      </c>
      <c r="W655" s="9">
        <f>ROUND(Q655 / 1.2, 2)</f>
        <v>386.67</v>
      </c>
      <c r="X655" s="9">
        <f>ROUND(R655 / 1.2, 2)</f>
        <v>397.77</v>
      </c>
      <c r="Y655" s="9">
        <f t="shared" si="25"/>
        <v>340.88</v>
      </c>
      <c r="Z655" s="9">
        <f>ROUND(T655 / 1.2, 2)</f>
        <v>11874.53</v>
      </c>
      <c r="AA655" s="9">
        <f>Y655+Z655</f>
        <v>12215.41</v>
      </c>
      <c r="AD655" s="4">
        <v>271132283</v>
      </c>
      <c r="AE655" s="4">
        <v>20003311</v>
      </c>
      <c r="AG655" s="4" t="s">
        <v>2172</v>
      </c>
      <c r="AH655" s="4" t="s">
        <v>2173</v>
      </c>
      <c r="AI655" s="4" t="s">
        <v>67</v>
      </c>
    </row>
    <row r="656" spans="1:35" ht="36" hidden="1" x14ac:dyDescent="0.3">
      <c r="A656" s="10" t="s">
        <v>2452</v>
      </c>
      <c r="B656" s="10"/>
      <c r="C656" s="24" t="s">
        <v>433</v>
      </c>
      <c r="D656" s="12"/>
      <c r="E656" s="12"/>
      <c r="F656" s="18" t="s">
        <v>70</v>
      </c>
      <c r="G656" s="19">
        <v>0.15</v>
      </c>
      <c r="H656" s="19"/>
      <c r="I656" s="19">
        <v>4.6070000000000002</v>
      </c>
      <c r="J656" s="21">
        <v>88.8</v>
      </c>
      <c r="M656" s="22">
        <f>ROUND(ROUND(J656, 2)*I656, 2)</f>
        <v>409.1</v>
      </c>
      <c r="P656" s="23">
        <v>88.8</v>
      </c>
      <c r="S656" s="22">
        <f>ROUND(ROUND(P656, 2)*I656, 2)</f>
        <v>409.1</v>
      </c>
      <c r="V656" s="9">
        <f>ROUND(ROUND(P656, 2)/1.2, 2)</f>
        <v>74</v>
      </c>
      <c r="Y656" s="9">
        <f t="shared" si="25"/>
        <v>340.92</v>
      </c>
      <c r="AD656" s="4" t="s">
        <v>2453</v>
      </c>
      <c r="AE656" s="4" t="s">
        <v>2454</v>
      </c>
      <c r="AF656" s="4" t="s">
        <v>436</v>
      </c>
    </row>
    <row r="657" spans="1:35" ht="54" hidden="1" x14ac:dyDescent="0.3">
      <c r="A657" s="10" t="s">
        <v>2455</v>
      </c>
      <c r="B657" s="10"/>
      <c r="C657" s="24" t="s">
        <v>2207</v>
      </c>
      <c r="D657" s="12"/>
      <c r="E657" s="12" t="s">
        <v>2291</v>
      </c>
      <c r="F657" s="18" t="s">
        <v>70</v>
      </c>
      <c r="G657" s="19">
        <v>0.3</v>
      </c>
      <c r="H657" s="19"/>
      <c r="I657" s="19">
        <v>9.2129999999999992</v>
      </c>
      <c r="J657" s="21">
        <v>0</v>
      </c>
      <c r="M657" s="22">
        <f>ROUND(ROUND(J657, 2)*I657, 2)</f>
        <v>0</v>
      </c>
      <c r="P657" s="23">
        <v>0</v>
      </c>
      <c r="S657" s="22">
        <f>ROUND(ROUND(P657, 2)*I657, 2)</f>
        <v>0</v>
      </c>
      <c r="V657" s="9">
        <f>ROUND(ROUND(P657, 2)/1.2, 2)</f>
        <v>0</v>
      </c>
      <c r="Y657" s="9">
        <f t="shared" si="25"/>
        <v>0</v>
      </c>
      <c r="AD657" s="4" t="s">
        <v>2456</v>
      </c>
      <c r="AE657" s="4" t="s">
        <v>2457</v>
      </c>
      <c r="AF657" s="4" t="s">
        <v>2211</v>
      </c>
    </row>
    <row r="658" spans="1:35" ht="36" hidden="1" x14ac:dyDescent="0.3">
      <c r="A658" s="10" t="s">
        <v>2458</v>
      </c>
      <c r="B658" s="10" t="s">
        <v>2169</v>
      </c>
      <c r="C658" s="11" t="s">
        <v>2170</v>
      </c>
      <c r="D658" s="12"/>
      <c r="E658" s="12" t="s">
        <v>2459</v>
      </c>
      <c r="F658" s="12" t="s">
        <v>64</v>
      </c>
      <c r="G658" s="13">
        <v>1</v>
      </c>
      <c r="H658" s="13"/>
      <c r="I658" s="13">
        <v>1281.17</v>
      </c>
      <c r="J658" s="14">
        <f>IFERROR(ROUND(SUM(M659,M660)/I658, 2),0)</f>
        <v>13.32</v>
      </c>
      <c r="K658" s="15">
        <v>464</v>
      </c>
      <c r="L658" s="14">
        <f>J658+ROUND(K658, 2)</f>
        <v>477.32</v>
      </c>
      <c r="M658" s="14">
        <f>ROUND(J658*I658, 2)</f>
        <v>17065.18</v>
      </c>
      <c r="N658" s="14">
        <f>ROUND(I658*ROUND(K658, 2), 2)</f>
        <v>594462.88</v>
      </c>
      <c r="O658" s="14">
        <f>M658+N658</f>
        <v>611528.06000000006</v>
      </c>
      <c r="P658" s="14">
        <f>IFERROR(ROUND(SUM(S659,S660)/I658, 2),0)</f>
        <v>13.32</v>
      </c>
      <c r="Q658" s="16">
        <v>464</v>
      </c>
      <c r="R658" s="14">
        <f>P658+ROUND(Q658, 2)</f>
        <v>477.32</v>
      </c>
      <c r="S658" s="14">
        <f>ROUND(P658*I658, 2)</f>
        <v>17065.18</v>
      </c>
      <c r="T658" s="14">
        <f>ROUND(I658*ROUND(Q658, 2), 2)</f>
        <v>594462.88</v>
      </c>
      <c r="U658" s="14">
        <f>S658+T658</f>
        <v>611528.06000000006</v>
      </c>
      <c r="V658" s="9">
        <f>ROUND(P658 / 1.2, 2)</f>
        <v>11.1</v>
      </c>
      <c r="W658" s="9">
        <f>ROUND(Q658 / 1.2, 2)</f>
        <v>386.67</v>
      </c>
      <c r="X658" s="9">
        <f>ROUND(R658 / 1.2, 2)</f>
        <v>397.77</v>
      </c>
      <c r="Y658" s="9">
        <f t="shared" si="25"/>
        <v>14220.98</v>
      </c>
      <c r="Z658" s="9">
        <f>ROUND(T658 / 1.2, 2)</f>
        <v>495385.73</v>
      </c>
      <c r="AA658" s="9">
        <f>Y658+Z658</f>
        <v>509606.70999999996</v>
      </c>
      <c r="AD658" s="4">
        <v>271132284</v>
      </c>
      <c r="AE658" s="4">
        <v>20003312</v>
      </c>
      <c r="AG658" s="4" t="s">
        <v>2172</v>
      </c>
      <c r="AH658" s="4" t="s">
        <v>2173</v>
      </c>
      <c r="AI658" s="4" t="s">
        <v>67</v>
      </c>
    </row>
    <row r="659" spans="1:35" ht="36" hidden="1" x14ac:dyDescent="0.3">
      <c r="A659" s="10" t="s">
        <v>2460</v>
      </c>
      <c r="B659" s="10"/>
      <c r="C659" s="24" t="s">
        <v>433</v>
      </c>
      <c r="D659" s="12"/>
      <c r="E659" s="12"/>
      <c r="F659" s="18" t="s">
        <v>70</v>
      </c>
      <c r="G659" s="19">
        <v>0.15</v>
      </c>
      <c r="H659" s="19"/>
      <c r="I659" s="19">
        <v>192.17599999999999</v>
      </c>
      <c r="J659" s="21">
        <v>88.8</v>
      </c>
      <c r="M659" s="22">
        <f>ROUND(ROUND(J659, 2)*I659, 2)</f>
        <v>17065.23</v>
      </c>
      <c r="P659" s="23">
        <v>88.8</v>
      </c>
      <c r="S659" s="22">
        <f>ROUND(ROUND(P659, 2)*I659, 2)</f>
        <v>17065.23</v>
      </c>
      <c r="V659" s="9">
        <f>ROUND(ROUND(P659, 2)/1.2, 2)</f>
        <v>74</v>
      </c>
      <c r="Y659" s="9">
        <f t="shared" si="25"/>
        <v>14221.03</v>
      </c>
      <c r="AD659" s="4" t="s">
        <v>2461</v>
      </c>
      <c r="AE659" s="4" t="s">
        <v>2462</v>
      </c>
      <c r="AF659" s="4" t="s">
        <v>436</v>
      </c>
    </row>
    <row r="660" spans="1:35" ht="18" hidden="1" x14ac:dyDescent="0.3">
      <c r="A660" s="10" t="s">
        <v>2463</v>
      </c>
      <c r="B660" s="10"/>
      <c r="C660" s="24" t="s">
        <v>2175</v>
      </c>
      <c r="D660" s="12"/>
      <c r="E660" s="12"/>
      <c r="F660" s="18" t="s">
        <v>70</v>
      </c>
      <c r="G660" s="19">
        <v>0.3</v>
      </c>
      <c r="H660" s="19"/>
      <c r="I660" s="19">
        <v>384.351</v>
      </c>
      <c r="J660" s="21">
        <v>0</v>
      </c>
      <c r="M660" s="22">
        <f>ROUND(ROUND(J660, 2)*I660, 2)</f>
        <v>0</v>
      </c>
      <c r="P660" s="23">
        <v>0</v>
      </c>
      <c r="S660" s="22">
        <f>ROUND(ROUND(P660, 2)*I660, 2)</f>
        <v>0</v>
      </c>
      <c r="V660" s="9">
        <f>ROUND(ROUND(P660, 2)/1.2, 2)</f>
        <v>0</v>
      </c>
      <c r="Y660" s="9">
        <f t="shared" si="25"/>
        <v>0</v>
      </c>
      <c r="AD660" s="4" t="s">
        <v>2464</v>
      </c>
      <c r="AE660" s="4" t="s">
        <v>2465</v>
      </c>
      <c r="AF660" s="4" t="s">
        <v>2179</v>
      </c>
    </row>
    <row r="661" spans="1:35" ht="36" hidden="1" x14ac:dyDescent="0.3">
      <c r="A661" s="10" t="s">
        <v>2466</v>
      </c>
      <c r="B661" s="10" t="s">
        <v>2169</v>
      </c>
      <c r="C661" s="11" t="s">
        <v>2170</v>
      </c>
      <c r="D661" s="12"/>
      <c r="E661" s="12" t="s">
        <v>2467</v>
      </c>
      <c r="F661" s="12" t="s">
        <v>64</v>
      </c>
      <c r="G661" s="13">
        <v>1</v>
      </c>
      <c r="H661" s="13"/>
      <c r="I661" s="13">
        <v>8.82</v>
      </c>
      <c r="J661" s="14">
        <f>IFERROR(ROUND(SUM(M662,M663)/I661, 2),0)</f>
        <v>13.32</v>
      </c>
      <c r="K661" s="15">
        <v>464</v>
      </c>
      <c r="L661" s="14">
        <f>J661+ROUND(K661, 2)</f>
        <v>477.32</v>
      </c>
      <c r="M661" s="14">
        <f>ROUND(J661*I661, 2)</f>
        <v>117.48</v>
      </c>
      <c r="N661" s="14">
        <f>ROUND(I661*ROUND(K661, 2), 2)</f>
        <v>4092.48</v>
      </c>
      <c r="O661" s="14">
        <f>M661+N661</f>
        <v>4209.96</v>
      </c>
      <c r="P661" s="14">
        <f>IFERROR(ROUND(SUM(S662,S663)/I661, 2),0)</f>
        <v>13.32</v>
      </c>
      <c r="Q661" s="16">
        <v>464</v>
      </c>
      <c r="R661" s="14">
        <f>P661+ROUND(Q661, 2)</f>
        <v>477.32</v>
      </c>
      <c r="S661" s="14">
        <f>ROUND(P661*I661, 2)</f>
        <v>117.48</v>
      </c>
      <c r="T661" s="14">
        <f>ROUND(I661*ROUND(Q661, 2), 2)</f>
        <v>4092.48</v>
      </c>
      <c r="U661" s="14">
        <f>S661+T661</f>
        <v>4209.96</v>
      </c>
      <c r="V661" s="9">
        <f>ROUND(P661 / 1.2, 2)</f>
        <v>11.1</v>
      </c>
      <c r="W661" s="9">
        <f>ROUND(Q661 / 1.2, 2)</f>
        <v>386.67</v>
      </c>
      <c r="X661" s="9">
        <f>ROUND(R661 / 1.2, 2)</f>
        <v>397.77</v>
      </c>
      <c r="Y661" s="9">
        <f t="shared" si="25"/>
        <v>97.9</v>
      </c>
      <c r="Z661" s="9">
        <f>ROUND(T661 / 1.2, 2)</f>
        <v>3410.4</v>
      </c>
      <c r="AA661" s="9">
        <f>Y661+Z661</f>
        <v>3508.3</v>
      </c>
      <c r="AD661" s="4">
        <v>271132285</v>
      </c>
      <c r="AE661" s="4">
        <v>20003317</v>
      </c>
      <c r="AG661" s="4" t="s">
        <v>2172</v>
      </c>
      <c r="AH661" s="4" t="s">
        <v>2173</v>
      </c>
      <c r="AI661" s="4" t="s">
        <v>67</v>
      </c>
    </row>
    <row r="662" spans="1:35" ht="36" hidden="1" x14ac:dyDescent="0.3">
      <c r="A662" s="10" t="s">
        <v>2468</v>
      </c>
      <c r="B662" s="10"/>
      <c r="C662" s="24" t="s">
        <v>433</v>
      </c>
      <c r="D662" s="12"/>
      <c r="E662" s="12"/>
      <c r="F662" s="18" t="s">
        <v>70</v>
      </c>
      <c r="G662" s="19">
        <v>0.15</v>
      </c>
      <c r="H662" s="19"/>
      <c r="I662" s="19">
        <v>1.323</v>
      </c>
      <c r="J662" s="21">
        <v>88.8</v>
      </c>
      <c r="M662" s="22">
        <f>ROUND(ROUND(J662, 2)*I662, 2)</f>
        <v>117.48</v>
      </c>
      <c r="P662" s="23">
        <v>88.8</v>
      </c>
      <c r="S662" s="22">
        <f>ROUND(ROUND(P662, 2)*I662, 2)</f>
        <v>117.48</v>
      </c>
      <c r="V662" s="9">
        <f>ROUND(ROUND(P662, 2)/1.2, 2)</f>
        <v>74</v>
      </c>
      <c r="Y662" s="9">
        <f t="shared" si="25"/>
        <v>97.9</v>
      </c>
      <c r="AD662" s="4" t="s">
        <v>2469</v>
      </c>
      <c r="AE662" s="4" t="s">
        <v>2470</v>
      </c>
      <c r="AF662" s="4" t="s">
        <v>436</v>
      </c>
    </row>
    <row r="663" spans="1:35" ht="54" hidden="1" x14ac:dyDescent="0.3">
      <c r="A663" s="10" t="s">
        <v>2471</v>
      </c>
      <c r="B663" s="10"/>
      <c r="C663" s="24" t="s">
        <v>2175</v>
      </c>
      <c r="D663" s="12"/>
      <c r="E663" s="12" t="s">
        <v>2309</v>
      </c>
      <c r="F663" s="18" t="s">
        <v>70</v>
      </c>
      <c r="G663" s="19">
        <v>0.3</v>
      </c>
      <c r="H663" s="19"/>
      <c r="I663" s="19">
        <v>2.6459999999999999</v>
      </c>
      <c r="J663" s="21">
        <v>0</v>
      </c>
      <c r="M663" s="22">
        <f>ROUND(ROUND(J663, 2)*I663, 2)</f>
        <v>0</v>
      </c>
      <c r="P663" s="23">
        <v>0</v>
      </c>
      <c r="S663" s="22">
        <f>ROUND(ROUND(P663, 2)*I663, 2)</f>
        <v>0</v>
      </c>
      <c r="V663" s="9">
        <f>ROUND(ROUND(P663, 2)/1.2, 2)</f>
        <v>0</v>
      </c>
      <c r="Y663" s="9">
        <f t="shared" si="25"/>
        <v>0</v>
      </c>
      <c r="AD663" s="4" t="s">
        <v>2472</v>
      </c>
      <c r="AE663" s="4" t="s">
        <v>2473</v>
      </c>
      <c r="AF663" s="4" t="s">
        <v>2179</v>
      </c>
    </row>
    <row r="664" spans="1:35" ht="36" hidden="1" x14ac:dyDescent="0.3">
      <c r="A664" s="10" t="s">
        <v>2474</v>
      </c>
      <c r="B664" s="10" t="s">
        <v>2169</v>
      </c>
      <c r="C664" s="11" t="s">
        <v>2170</v>
      </c>
      <c r="D664" s="12"/>
      <c r="E664" s="12" t="s">
        <v>2475</v>
      </c>
      <c r="F664" s="12" t="s">
        <v>64</v>
      </c>
      <c r="G664" s="13">
        <v>1</v>
      </c>
      <c r="H664" s="13"/>
      <c r="I664" s="13">
        <v>24.88</v>
      </c>
      <c r="J664" s="14">
        <f>IFERROR(ROUND(SUM(M665,M666)/I664, 2),0)</f>
        <v>13.32</v>
      </c>
      <c r="K664" s="15">
        <v>464</v>
      </c>
      <c r="L664" s="14">
        <f>J664+ROUND(K664, 2)</f>
        <v>477.32</v>
      </c>
      <c r="M664" s="14">
        <f>ROUND(J664*I664, 2)</f>
        <v>331.4</v>
      </c>
      <c r="N664" s="14">
        <f>ROUND(I664*ROUND(K664, 2), 2)</f>
        <v>11544.32</v>
      </c>
      <c r="O664" s="14">
        <f>M664+N664</f>
        <v>11875.72</v>
      </c>
      <c r="P664" s="14">
        <f>IFERROR(ROUND(SUM(S665,S666)/I664, 2),0)</f>
        <v>13.32</v>
      </c>
      <c r="Q664" s="16">
        <v>464</v>
      </c>
      <c r="R664" s="14">
        <f>P664+ROUND(Q664, 2)</f>
        <v>477.32</v>
      </c>
      <c r="S664" s="14">
        <f>ROUND(P664*I664, 2)</f>
        <v>331.4</v>
      </c>
      <c r="T664" s="14">
        <f>ROUND(I664*ROUND(Q664, 2), 2)</f>
        <v>11544.32</v>
      </c>
      <c r="U664" s="14">
        <f>S664+T664</f>
        <v>11875.72</v>
      </c>
      <c r="V664" s="9">
        <f>ROUND(P664 / 1.2, 2)</f>
        <v>11.1</v>
      </c>
      <c r="W664" s="9">
        <f>ROUND(Q664 / 1.2, 2)</f>
        <v>386.67</v>
      </c>
      <c r="X664" s="9">
        <f>ROUND(R664 / 1.2, 2)</f>
        <v>397.77</v>
      </c>
      <c r="Y664" s="9">
        <f t="shared" si="25"/>
        <v>276.17</v>
      </c>
      <c r="Z664" s="9">
        <f>ROUND(T664 / 1.2, 2)</f>
        <v>9620.27</v>
      </c>
      <c r="AA664" s="9">
        <f>Y664+Z664</f>
        <v>9896.44</v>
      </c>
      <c r="AD664" s="4">
        <v>271132286</v>
      </c>
      <c r="AE664" s="4">
        <v>20003318</v>
      </c>
      <c r="AG664" s="4" t="s">
        <v>2172</v>
      </c>
      <c r="AH664" s="4" t="s">
        <v>2173</v>
      </c>
      <c r="AI664" s="4" t="s">
        <v>67</v>
      </c>
    </row>
    <row r="665" spans="1:35" ht="36" hidden="1" x14ac:dyDescent="0.3">
      <c r="A665" s="10" t="s">
        <v>2476</v>
      </c>
      <c r="B665" s="10"/>
      <c r="C665" s="24" t="s">
        <v>433</v>
      </c>
      <c r="D665" s="12"/>
      <c r="E665" s="12"/>
      <c r="F665" s="18" t="s">
        <v>70</v>
      </c>
      <c r="G665" s="19">
        <v>0.15</v>
      </c>
      <c r="H665" s="19"/>
      <c r="I665" s="19">
        <v>3.7320000000000002</v>
      </c>
      <c r="J665" s="21">
        <v>88.8</v>
      </c>
      <c r="M665" s="22">
        <f>ROUND(ROUND(J665, 2)*I665, 2)</f>
        <v>331.4</v>
      </c>
      <c r="P665" s="23">
        <v>88.8</v>
      </c>
      <c r="S665" s="22">
        <f>ROUND(ROUND(P665, 2)*I665, 2)</f>
        <v>331.4</v>
      </c>
      <c r="V665" s="9">
        <f>ROUND(ROUND(P665, 2)/1.2, 2)</f>
        <v>74</v>
      </c>
      <c r="Y665" s="9">
        <f t="shared" si="25"/>
        <v>276.17</v>
      </c>
      <c r="AD665" s="4" t="s">
        <v>2477</v>
      </c>
      <c r="AE665" s="4" t="s">
        <v>2478</v>
      </c>
      <c r="AF665" s="4" t="s">
        <v>436</v>
      </c>
    </row>
    <row r="666" spans="1:35" ht="72" hidden="1" x14ac:dyDescent="0.3">
      <c r="A666" s="10" t="s">
        <v>2479</v>
      </c>
      <c r="B666" s="10"/>
      <c r="C666" s="24" t="s">
        <v>2175</v>
      </c>
      <c r="D666" s="12"/>
      <c r="E666" s="12" t="s">
        <v>2480</v>
      </c>
      <c r="F666" s="18" t="s">
        <v>70</v>
      </c>
      <c r="G666" s="19">
        <v>0.3</v>
      </c>
      <c r="H666" s="19"/>
      <c r="I666" s="19">
        <v>7.4640000000000004</v>
      </c>
      <c r="J666" s="21">
        <v>0</v>
      </c>
      <c r="M666" s="22">
        <f>ROUND(ROUND(J666, 2)*I666, 2)</f>
        <v>0</v>
      </c>
      <c r="P666" s="23">
        <v>0</v>
      </c>
      <c r="S666" s="22">
        <f>ROUND(ROUND(P666, 2)*I666, 2)</f>
        <v>0</v>
      </c>
      <c r="V666" s="9">
        <f>ROUND(ROUND(P666, 2)/1.2, 2)</f>
        <v>0</v>
      </c>
      <c r="Y666" s="9">
        <f t="shared" si="25"/>
        <v>0</v>
      </c>
      <c r="AD666" s="4" t="s">
        <v>2481</v>
      </c>
      <c r="AE666" s="4" t="s">
        <v>2482</v>
      </c>
      <c r="AF666" s="4" t="s">
        <v>2179</v>
      </c>
    </row>
    <row r="667" spans="1:35" ht="36" hidden="1" x14ac:dyDescent="0.3">
      <c r="A667" s="10" t="s">
        <v>2483</v>
      </c>
      <c r="B667" s="10" t="s">
        <v>2169</v>
      </c>
      <c r="C667" s="11" t="s">
        <v>2170</v>
      </c>
      <c r="D667" s="12"/>
      <c r="E667" s="12" t="s">
        <v>2484</v>
      </c>
      <c r="F667" s="12" t="s">
        <v>64</v>
      </c>
      <c r="G667" s="13">
        <v>1</v>
      </c>
      <c r="H667" s="13"/>
      <c r="I667" s="13">
        <v>28.85</v>
      </c>
      <c r="J667" s="14">
        <f>IFERROR(ROUND(SUM(M668,M669)/I667, 2),0)</f>
        <v>13.32</v>
      </c>
      <c r="K667" s="15">
        <v>464</v>
      </c>
      <c r="L667" s="14">
        <f>J667+ROUND(K667, 2)</f>
        <v>477.32</v>
      </c>
      <c r="M667" s="14">
        <f>ROUND(J667*I667, 2)</f>
        <v>384.28</v>
      </c>
      <c r="N667" s="14">
        <f>ROUND(I667*ROUND(K667, 2), 2)</f>
        <v>13386.4</v>
      </c>
      <c r="O667" s="14">
        <f>M667+N667</f>
        <v>13770.68</v>
      </c>
      <c r="P667" s="14">
        <f>IFERROR(ROUND(SUM(S668,S669)/I667, 2),0)</f>
        <v>13.32</v>
      </c>
      <c r="Q667" s="16">
        <v>464</v>
      </c>
      <c r="R667" s="14">
        <f>P667+ROUND(Q667, 2)</f>
        <v>477.32</v>
      </c>
      <c r="S667" s="14">
        <f>ROUND(P667*I667, 2)</f>
        <v>384.28</v>
      </c>
      <c r="T667" s="14">
        <f>ROUND(I667*ROUND(Q667, 2), 2)</f>
        <v>13386.4</v>
      </c>
      <c r="U667" s="14">
        <f>S667+T667</f>
        <v>13770.68</v>
      </c>
      <c r="V667" s="9">
        <f>ROUND(P667 / 1.2, 2)</f>
        <v>11.1</v>
      </c>
      <c r="W667" s="9">
        <f>ROUND(Q667 / 1.2, 2)</f>
        <v>386.67</v>
      </c>
      <c r="X667" s="9">
        <f>ROUND(R667 / 1.2, 2)</f>
        <v>397.77</v>
      </c>
      <c r="Y667" s="9">
        <f t="shared" ref="Y667:Y678" si="26">ROUND(S667 / 1.2, 2)</f>
        <v>320.23</v>
      </c>
      <c r="Z667" s="9">
        <f>ROUND(T667 / 1.2, 2)</f>
        <v>11155.33</v>
      </c>
      <c r="AA667" s="9">
        <f>Y667+Z667</f>
        <v>11475.56</v>
      </c>
      <c r="AD667" s="4">
        <v>271132287</v>
      </c>
      <c r="AE667" s="4">
        <v>20003319</v>
      </c>
      <c r="AG667" s="4" t="s">
        <v>2172</v>
      </c>
      <c r="AH667" s="4" t="s">
        <v>2173</v>
      </c>
      <c r="AI667" s="4" t="s">
        <v>67</v>
      </c>
    </row>
    <row r="668" spans="1:35" ht="36" hidden="1" x14ac:dyDescent="0.3">
      <c r="A668" s="10" t="s">
        <v>2485</v>
      </c>
      <c r="B668" s="10"/>
      <c r="C668" s="24" t="s">
        <v>433</v>
      </c>
      <c r="D668" s="12"/>
      <c r="E668" s="12"/>
      <c r="F668" s="18" t="s">
        <v>70</v>
      </c>
      <c r="G668" s="19">
        <v>0.15</v>
      </c>
      <c r="H668" s="19"/>
      <c r="I668" s="19">
        <v>4.3280000000000003</v>
      </c>
      <c r="J668" s="21">
        <v>88.8</v>
      </c>
      <c r="M668" s="22">
        <f>ROUND(ROUND(J668, 2)*I668, 2)</f>
        <v>384.33</v>
      </c>
      <c r="P668" s="23">
        <v>88.8</v>
      </c>
      <c r="S668" s="22">
        <f>ROUND(ROUND(P668, 2)*I668, 2)</f>
        <v>384.33</v>
      </c>
      <c r="V668" s="9">
        <f>ROUND(ROUND(P668, 2)/1.2, 2)</f>
        <v>74</v>
      </c>
      <c r="Y668" s="9">
        <f t="shared" si="26"/>
        <v>320.27999999999997</v>
      </c>
      <c r="AD668" s="4" t="s">
        <v>2486</v>
      </c>
      <c r="AE668" s="4" t="s">
        <v>2487</v>
      </c>
      <c r="AF668" s="4" t="s">
        <v>436</v>
      </c>
    </row>
    <row r="669" spans="1:35" ht="54" hidden="1" x14ac:dyDescent="0.3">
      <c r="A669" s="10" t="s">
        <v>2488</v>
      </c>
      <c r="B669" s="10"/>
      <c r="C669" s="24" t="s">
        <v>2207</v>
      </c>
      <c r="D669" s="12"/>
      <c r="E669" s="12" t="s">
        <v>2489</v>
      </c>
      <c r="F669" s="18" t="s">
        <v>70</v>
      </c>
      <c r="G669" s="19">
        <v>0.3</v>
      </c>
      <c r="H669" s="19"/>
      <c r="I669" s="19">
        <v>8.6549999999999994</v>
      </c>
      <c r="J669" s="21">
        <v>0</v>
      </c>
      <c r="M669" s="22">
        <f>ROUND(ROUND(J669, 2)*I669, 2)</f>
        <v>0</v>
      </c>
      <c r="P669" s="23">
        <v>0</v>
      </c>
      <c r="S669" s="22">
        <f>ROUND(ROUND(P669, 2)*I669, 2)</f>
        <v>0</v>
      </c>
      <c r="V669" s="9">
        <f>ROUND(ROUND(P669, 2)/1.2, 2)</f>
        <v>0</v>
      </c>
      <c r="Y669" s="9">
        <f t="shared" si="26"/>
        <v>0</v>
      </c>
      <c r="AD669" s="4" t="s">
        <v>2490</v>
      </c>
      <c r="AE669" s="4" t="s">
        <v>2491</v>
      </c>
      <c r="AF669" s="4" t="s">
        <v>2211</v>
      </c>
    </row>
    <row r="670" spans="1:35" ht="36" hidden="1" x14ac:dyDescent="0.3">
      <c r="A670" s="10" t="s">
        <v>2492</v>
      </c>
      <c r="B670" s="10" t="s">
        <v>2169</v>
      </c>
      <c r="C670" s="11" t="s">
        <v>2170</v>
      </c>
      <c r="D670" s="12"/>
      <c r="E670" s="12" t="s">
        <v>2493</v>
      </c>
      <c r="F670" s="12" t="s">
        <v>64</v>
      </c>
      <c r="G670" s="13">
        <v>1</v>
      </c>
      <c r="H670" s="13"/>
      <c r="I670" s="13">
        <v>3.12</v>
      </c>
      <c r="J670" s="14">
        <f>IFERROR(ROUND(SUM(M671,M672)/I670, 2),0)</f>
        <v>13.32</v>
      </c>
      <c r="K670" s="15">
        <v>464</v>
      </c>
      <c r="L670" s="14">
        <f>J670+ROUND(K670, 2)</f>
        <v>477.32</v>
      </c>
      <c r="M670" s="14">
        <f>ROUND(J670*I670, 2)</f>
        <v>41.56</v>
      </c>
      <c r="N670" s="14">
        <f>ROUND(I670*ROUND(K670, 2), 2)</f>
        <v>1447.68</v>
      </c>
      <c r="O670" s="14">
        <f>M670+N670</f>
        <v>1489.24</v>
      </c>
      <c r="P670" s="14">
        <f>IFERROR(ROUND(SUM(S671,S672)/I670, 2),0)</f>
        <v>13.32</v>
      </c>
      <c r="Q670" s="16">
        <v>464</v>
      </c>
      <c r="R670" s="14">
        <f>P670+ROUND(Q670, 2)</f>
        <v>477.32</v>
      </c>
      <c r="S670" s="14">
        <f>ROUND(P670*I670, 2)</f>
        <v>41.56</v>
      </c>
      <c r="T670" s="14">
        <f>ROUND(I670*ROUND(Q670, 2), 2)</f>
        <v>1447.68</v>
      </c>
      <c r="U670" s="14">
        <f>S670+T670</f>
        <v>1489.24</v>
      </c>
      <c r="V670" s="9">
        <f>ROUND(P670 / 1.2, 2)</f>
        <v>11.1</v>
      </c>
      <c r="W670" s="9">
        <f>ROUND(Q670 / 1.2, 2)</f>
        <v>386.67</v>
      </c>
      <c r="X670" s="9">
        <f>ROUND(R670 / 1.2, 2)</f>
        <v>397.77</v>
      </c>
      <c r="Y670" s="9">
        <f t="shared" si="26"/>
        <v>34.630000000000003</v>
      </c>
      <c r="Z670" s="9">
        <f>ROUND(T670 / 1.2, 2)</f>
        <v>1206.4000000000001</v>
      </c>
      <c r="AA670" s="9">
        <f>Y670+Z670</f>
        <v>1241.0300000000002</v>
      </c>
      <c r="AD670" s="4">
        <v>271132288</v>
      </c>
      <c r="AE670" s="4">
        <v>20003320</v>
      </c>
      <c r="AG670" s="4" t="s">
        <v>2172</v>
      </c>
      <c r="AH670" s="4" t="s">
        <v>2173</v>
      </c>
      <c r="AI670" s="4" t="s">
        <v>67</v>
      </c>
    </row>
    <row r="671" spans="1:35" ht="36" hidden="1" x14ac:dyDescent="0.3">
      <c r="A671" s="10" t="s">
        <v>2494</v>
      </c>
      <c r="B671" s="10"/>
      <c r="C671" s="24" t="s">
        <v>433</v>
      </c>
      <c r="D671" s="12"/>
      <c r="E671" s="12"/>
      <c r="F671" s="18" t="s">
        <v>70</v>
      </c>
      <c r="G671" s="19">
        <v>0.15</v>
      </c>
      <c r="H671" s="19"/>
      <c r="I671" s="19">
        <v>0.46800000000000003</v>
      </c>
      <c r="J671" s="21">
        <v>88.8</v>
      </c>
      <c r="M671" s="22">
        <f>ROUND(ROUND(J671, 2)*I671, 2)</f>
        <v>41.56</v>
      </c>
      <c r="P671" s="23">
        <v>88.8</v>
      </c>
      <c r="S671" s="22">
        <f>ROUND(ROUND(P671, 2)*I671, 2)</f>
        <v>41.56</v>
      </c>
      <c r="V671" s="9">
        <f>ROUND(ROUND(P671, 2)/1.2, 2)</f>
        <v>74</v>
      </c>
      <c r="Y671" s="9">
        <f t="shared" si="26"/>
        <v>34.630000000000003</v>
      </c>
      <c r="AD671" s="4" t="s">
        <v>2495</v>
      </c>
      <c r="AE671" s="4" t="s">
        <v>2496</v>
      </c>
      <c r="AF671" s="4" t="s">
        <v>436</v>
      </c>
    </row>
    <row r="672" spans="1:35" ht="54" hidden="1" x14ac:dyDescent="0.3">
      <c r="A672" s="10" t="s">
        <v>2497</v>
      </c>
      <c r="B672" s="10"/>
      <c r="C672" s="24" t="s">
        <v>2207</v>
      </c>
      <c r="D672" s="12"/>
      <c r="E672" s="12" t="s">
        <v>2336</v>
      </c>
      <c r="F672" s="18" t="s">
        <v>70</v>
      </c>
      <c r="G672" s="19">
        <v>0.3</v>
      </c>
      <c r="H672" s="19"/>
      <c r="I672" s="19">
        <v>0.93600000000000005</v>
      </c>
      <c r="J672" s="21">
        <v>0</v>
      </c>
      <c r="M672" s="22">
        <f>ROUND(ROUND(J672, 2)*I672, 2)</f>
        <v>0</v>
      </c>
      <c r="P672" s="23">
        <v>0</v>
      </c>
      <c r="S672" s="22">
        <f>ROUND(ROUND(P672, 2)*I672, 2)</f>
        <v>0</v>
      </c>
      <c r="V672" s="9">
        <f>ROUND(ROUND(P672, 2)/1.2, 2)</f>
        <v>0</v>
      </c>
      <c r="Y672" s="9">
        <f t="shared" si="26"/>
        <v>0</v>
      </c>
      <c r="AD672" s="4" t="s">
        <v>2498</v>
      </c>
      <c r="AE672" s="4" t="s">
        <v>2499</v>
      </c>
      <c r="AF672" s="4" t="s">
        <v>2211</v>
      </c>
    </row>
    <row r="673" spans="1:35" ht="36" hidden="1" x14ac:dyDescent="0.3">
      <c r="A673" s="10" t="s">
        <v>2500</v>
      </c>
      <c r="B673" s="10" t="s">
        <v>2169</v>
      </c>
      <c r="C673" s="11" t="s">
        <v>2170</v>
      </c>
      <c r="D673" s="12"/>
      <c r="E673" s="12" t="s">
        <v>2501</v>
      </c>
      <c r="F673" s="12" t="s">
        <v>64</v>
      </c>
      <c r="G673" s="13">
        <v>1</v>
      </c>
      <c r="H673" s="13"/>
      <c r="I673" s="13">
        <v>83.7</v>
      </c>
      <c r="J673" s="14">
        <f>IFERROR(ROUND(SUM(M674,M675)/I673, 2),0)</f>
        <v>13.32</v>
      </c>
      <c r="K673" s="15">
        <v>464</v>
      </c>
      <c r="L673" s="14">
        <f>J673+ROUND(K673, 2)</f>
        <v>477.32</v>
      </c>
      <c r="M673" s="14">
        <f>ROUND(J673*I673, 2)</f>
        <v>1114.8800000000001</v>
      </c>
      <c r="N673" s="14">
        <f>ROUND(I673*ROUND(K673, 2), 2)</f>
        <v>38836.800000000003</v>
      </c>
      <c r="O673" s="14">
        <f>M673+N673</f>
        <v>39951.68</v>
      </c>
      <c r="P673" s="14">
        <f>IFERROR(ROUND(SUM(S674,S675)/I673, 2),0)</f>
        <v>13.32</v>
      </c>
      <c r="Q673" s="16">
        <v>464</v>
      </c>
      <c r="R673" s="14">
        <f>P673+ROUND(Q673, 2)</f>
        <v>477.32</v>
      </c>
      <c r="S673" s="14">
        <f>ROUND(P673*I673, 2)</f>
        <v>1114.8800000000001</v>
      </c>
      <c r="T673" s="14">
        <f>ROUND(I673*ROUND(Q673, 2), 2)</f>
        <v>38836.800000000003</v>
      </c>
      <c r="U673" s="14">
        <f>S673+T673</f>
        <v>39951.68</v>
      </c>
      <c r="V673" s="9">
        <f>ROUND(P673 / 1.2, 2)</f>
        <v>11.1</v>
      </c>
      <c r="W673" s="9">
        <f>ROUND(Q673 / 1.2, 2)</f>
        <v>386.67</v>
      </c>
      <c r="X673" s="9">
        <f>ROUND(R673 / 1.2, 2)</f>
        <v>397.77</v>
      </c>
      <c r="Y673" s="9">
        <f t="shared" si="26"/>
        <v>929.07</v>
      </c>
      <c r="Z673" s="9">
        <f>ROUND(T673 / 1.2, 2)</f>
        <v>32364</v>
      </c>
      <c r="AA673" s="9">
        <f>Y673+Z673</f>
        <v>33293.07</v>
      </c>
      <c r="AD673" s="4">
        <v>271132289</v>
      </c>
      <c r="AE673" s="4">
        <v>20003502</v>
      </c>
      <c r="AG673" s="4" t="s">
        <v>2172</v>
      </c>
      <c r="AH673" s="4" t="s">
        <v>2173</v>
      </c>
      <c r="AI673" s="4" t="s">
        <v>67</v>
      </c>
    </row>
    <row r="674" spans="1:35" ht="36" hidden="1" x14ac:dyDescent="0.3">
      <c r="A674" s="10" t="s">
        <v>2502</v>
      </c>
      <c r="B674" s="10"/>
      <c r="C674" s="24" t="s">
        <v>433</v>
      </c>
      <c r="D674" s="12"/>
      <c r="E674" s="12"/>
      <c r="F674" s="18" t="s">
        <v>70</v>
      </c>
      <c r="G674" s="19">
        <v>0.15</v>
      </c>
      <c r="H674" s="19"/>
      <c r="I674" s="19">
        <v>12.555</v>
      </c>
      <c r="J674" s="21">
        <v>88.8</v>
      </c>
      <c r="M674" s="22">
        <f>ROUND(ROUND(J674, 2)*I674, 2)</f>
        <v>1114.8800000000001</v>
      </c>
      <c r="P674" s="23">
        <v>88.8</v>
      </c>
      <c r="S674" s="22">
        <f>ROUND(ROUND(P674, 2)*I674, 2)</f>
        <v>1114.8800000000001</v>
      </c>
      <c r="V674" s="9">
        <f>ROUND(ROUND(P674, 2)/1.2, 2)</f>
        <v>74</v>
      </c>
      <c r="Y674" s="9">
        <f t="shared" si="26"/>
        <v>929.07</v>
      </c>
      <c r="AD674" s="4" t="s">
        <v>2503</v>
      </c>
      <c r="AE674" s="4" t="s">
        <v>2504</v>
      </c>
      <c r="AF674" s="4" t="s">
        <v>436</v>
      </c>
    </row>
    <row r="675" spans="1:35" ht="36" hidden="1" x14ac:dyDescent="0.3">
      <c r="A675" s="10" t="s">
        <v>2505</v>
      </c>
      <c r="B675" s="10"/>
      <c r="C675" s="24" t="s">
        <v>2207</v>
      </c>
      <c r="D675" s="12"/>
      <c r="E675" s="12" t="s">
        <v>2506</v>
      </c>
      <c r="F675" s="18" t="s">
        <v>70</v>
      </c>
      <c r="G675" s="19">
        <v>0.3</v>
      </c>
      <c r="H675" s="19"/>
      <c r="I675" s="19">
        <v>25.11</v>
      </c>
      <c r="J675" s="21">
        <v>0</v>
      </c>
      <c r="M675" s="22">
        <f>ROUND(ROUND(J675, 2)*I675, 2)</f>
        <v>0</v>
      </c>
      <c r="P675" s="23">
        <v>0</v>
      </c>
      <c r="S675" s="22">
        <f>ROUND(ROUND(P675, 2)*I675, 2)</f>
        <v>0</v>
      </c>
      <c r="V675" s="9">
        <f>ROUND(ROUND(P675, 2)/1.2, 2)</f>
        <v>0</v>
      </c>
      <c r="Y675" s="9">
        <f t="shared" si="26"/>
        <v>0</v>
      </c>
      <c r="AD675" s="4" t="s">
        <v>2507</v>
      </c>
      <c r="AE675" s="4" t="s">
        <v>2508</v>
      </c>
      <c r="AF675" s="4" t="s">
        <v>2211</v>
      </c>
    </row>
    <row r="676" spans="1:35" ht="36" hidden="1" x14ac:dyDescent="0.3">
      <c r="A676" s="10" t="s">
        <v>2509</v>
      </c>
      <c r="B676" s="10" t="s">
        <v>2169</v>
      </c>
      <c r="C676" s="11" t="s">
        <v>2170</v>
      </c>
      <c r="D676" s="12"/>
      <c r="E676" s="12" t="s">
        <v>2510</v>
      </c>
      <c r="F676" s="12" t="s">
        <v>64</v>
      </c>
      <c r="G676" s="13">
        <v>1</v>
      </c>
      <c r="H676" s="13"/>
      <c r="I676" s="13">
        <v>54.99</v>
      </c>
      <c r="J676" s="14">
        <f>IFERROR(ROUND(SUM(M677,M678)/I676, 2),0)</f>
        <v>13.32</v>
      </c>
      <c r="K676" s="15">
        <v>464</v>
      </c>
      <c r="L676" s="14">
        <f>J676+ROUND(K676, 2)</f>
        <v>477.32</v>
      </c>
      <c r="M676" s="14">
        <f>ROUND(J676*I676, 2)</f>
        <v>732.47</v>
      </c>
      <c r="N676" s="14">
        <f>ROUND(I676*ROUND(K676, 2), 2)</f>
        <v>25515.360000000001</v>
      </c>
      <c r="O676" s="14">
        <f>M676+N676</f>
        <v>26247.83</v>
      </c>
      <c r="P676" s="14">
        <f>IFERROR(ROUND(SUM(S677,S678)/I676, 2),0)</f>
        <v>13.32</v>
      </c>
      <c r="Q676" s="16">
        <v>464</v>
      </c>
      <c r="R676" s="14">
        <f>P676+ROUND(Q676, 2)</f>
        <v>477.32</v>
      </c>
      <c r="S676" s="14">
        <f>ROUND(P676*I676, 2)</f>
        <v>732.47</v>
      </c>
      <c r="T676" s="14">
        <f>ROUND(I676*ROUND(Q676, 2), 2)</f>
        <v>25515.360000000001</v>
      </c>
      <c r="U676" s="14">
        <f>S676+T676</f>
        <v>26247.83</v>
      </c>
      <c r="V676" s="9">
        <f>ROUND(P676 / 1.2, 2)</f>
        <v>11.1</v>
      </c>
      <c r="W676" s="9">
        <f>ROUND(Q676 / 1.2, 2)</f>
        <v>386.67</v>
      </c>
      <c r="X676" s="9">
        <f>ROUND(R676 / 1.2, 2)</f>
        <v>397.77</v>
      </c>
      <c r="Y676" s="9">
        <f t="shared" si="26"/>
        <v>610.39</v>
      </c>
      <c r="Z676" s="9">
        <f>ROUND(T676 / 1.2, 2)</f>
        <v>21262.799999999999</v>
      </c>
      <c r="AA676" s="9">
        <f>Y676+Z676</f>
        <v>21873.19</v>
      </c>
      <c r="AD676" s="4">
        <v>271132290</v>
      </c>
      <c r="AE676" s="4">
        <v>20003503</v>
      </c>
      <c r="AG676" s="4" t="s">
        <v>2172</v>
      </c>
      <c r="AH676" s="4" t="s">
        <v>2173</v>
      </c>
      <c r="AI676" s="4" t="s">
        <v>67</v>
      </c>
    </row>
    <row r="677" spans="1:35" ht="36" hidden="1" x14ac:dyDescent="0.3">
      <c r="A677" s="10" t="s">
        <v>2511</v>
      </c>
      <c r="B677" s="10"/>
      <c r="C677" s="24" t="s">
        <v>433</v>
      </c>
      <c r="D677" s="12"/>
      <c r="E677" s="12"/>
      <c r="F677" s="18" t="s">
        <v>70</v>
      </c>
      <c r="G677" s="19">
        <v>0.15</v>
      </c>
      <c r="H677" s="19"/>
      <c r="I677" s="19">
        <v>8.2490000000000006</v>
      </c>
      <c r="J677" s="21">
        <v>88.8</v>
      </c>
      <c r="M677" s="22">
        <f>ROUND(ROUND(J677, 2)*I677, 2)</f>
        <v>732.51</v>
      </c>
      <c r="P677" s="23">
        <v>88.8</v>
      </c>
      <c r="S677" s="22">
        <f>ROUND(ROUND(P677, 2)*I677, 2)</f>
        <v>732.51</v>
      </c>
      <c r="V677" s="9">
        <f>ROUND(ROUND(P677, 2)/1.2, 2)</f>
        <v>74</v>
      </c>
      <c r="Y677" s="9">
        <f t="shared" si="26"/>
        <v>610.42999999999995</v>
      </c>
      <c r="AD677" s="4" t="s">
        <v>2512</v>
      </c>
      <c r="AE677" s="4" t="s">
        <v>2513</v>
      </c>
      <c r="AF677" s="4" t="s">
        <v>436</v>
      </c>
    </row>
    <row r="678" spans="1:35" ht="36" hidden="1" x14ac:dyDescent="0.3">
      <c r="A678" s="10" t="s">
        <v>2514</v>
      </c>
      <c r="B678" s="10"/>
      <c r="C678" s="24" t="s">
        <v>2207</v>
      </c>
      <c r="D678" s="12"/>
      <c r="E678" s="12" t="s">
        <v>2354</v>
      </c>
      <c r="F678" s="18" t="s">
        <v>70</v>
      </c>
      <c r="G678" s="19">
        <v>0.3</v>
      </c>
      <c r="H678" s="19"/>
      <c r="I678" s="19">
        <v>16.497</v>
      </c>
      <c r="J678" s="21">
        <v>0</v>
      </c>
      <c r="M678" s="22">
        <f>ROUND(ROUND(J678, 2)*I678, 2)</f>
        <v>0</v>
      </c>
      <c r="P678" s="23">
        <v>0</v>
      </c>
      <c r="S678" s="22">
        <f>ROUND(ROUND(P678, 2)*I678, 2)</f>
        <v>0</v>
      </c>
      <c r="V678" s="9">
        <f>ROUND(ROUND(P678, 2)/1.2, 2)</f>
        <v>0</v>
      </c>
      <c r="Y678" s="9">
        <f t="shared" si="26"/>
        <v>0</v>
      </c>
      <c r="AD678" s="4" t="s">
        <v>2515</v>
      </c>
      <c r="AE678" s="4" t="s">
        <v>2516</v>
      </c>
      <c r="AF678" s="4" t="s">
        <v>2211</v>
      </c>
    </row>
    <row r="679" spans="1:35" ht="17.100000000000001" hidden="1" customHeight="1" x14ac:dyDescent="0.3">
      <c r="A679" s="10" t="s">
        <v>2517</v>
      </c>
      <c r="B679" s="10" t="s">
        <v>2518</v>
      </c>
      <c r="C679" s="185" t="s">
        <v>2519</v>
      </c>
      <c r="D679" s="186"/>
      <c r="E679" s="186"/>
      <c r="F679" s="186"/>
      <c r="G679" s="186"/>
      <c r="H679" s="186"/>
      <c r="I679" s="187"/>
      <c r="M679" s="6">
        <f>SUM(M680,M682,M684,M686,M688,M690,M692,M694,M696,M698,M700,M714,M727,M739,M751)</f>
        <v>19360183.630000006</v>
      </c>
      <c r="N679" s="6">
        <f>SUM(N680,N682,N684,N686,N688,N690,N692,N694,N696,N698,N700,N714,N727,N739,N751)</f>
        <v>4064165.0399999991</v>
      </c>
      <c r="O679" s="6">
        <f>SUM(O680,O682,O684,O686,O688,O690,O692,O694,O696,O698,O700,O714,O727,O739,O751)</f>
        <v>23424348.670000002</v>
      </c>
      <c r="S679" s="6">
        <f>SUM(S680,S682,S684,S686,S688,S690,S692,S694,S696,S698,S700,S714,S727,S739,S751)</f>
        <v>19360183.630000006</v>
      </c>
      <c r="T679" s="6">
        <f>SUM(T680,T682,T684,T686,T688,T690,T692,T694,T696,T698,T700,T714,T727,T739,T751)</f>
        <v>4064165.0399999991</v>
      </c>
      <c r="U679" s="6">
        <f>SUM(U680,U682,U684,U686,U688,U690,U692,U694,U696,U698,U700,U714,U727,U739,U751)</f>
        <v>23424348.670000002</v>
      </c>
      <c r="Y679" s="9">
        <f>SUM(Y680,Y682,Y684,Y686,Y688,Y690,Y692,Y694,Y696,Y698,Y700,Y714,Y727,Y739,Y751)</f>
        <v>16133486.360000003</v>
      </c>
      <c r="Z679" s="9">
        <f>SUM(Z680,Z682,Z684,Z686,Z688,Z690,Z692,Z694,Z696,Z698,Z700,Z714,Z727,Z739,Z751)</f>
        <v>3386804.23</v>
      </c>
      <c r="AA679" s="9">
        <f>SUM(AA680,AA682,AA684,AA686,AA688,AA690,AA692,AA694,AA696,AA698,AA700,AA714,AA727,AA739,AA751)</f>
        <v>19520290.589999996</v>
      </c>
      <c r="AD679" s="4">
        <v>271132146</v>
      </c>
      <c r="AE679" s="4">
        <v>16233244</v>
      </c>
    </row>
    <row r="680" spans="1:35" ht="36" hidden="1" x14ac:dyDescent="0.3">
      <c r="A680" s="10" t="s">
        <v>2520</v>
      </c>
      <c r="B680" s="10" t="s">
        <v>2521</v>
      </c>
      <c r="C680" s="11" t="s">
        <v>2522</v>
      </c>
      <c r="D680" s="12"/>
      <c r="E680" s="12" t="s">
        <v>2523</v>
      </c>
      <c r="F680" s="12" t="s">
        <v>64</v>
      </c>
      <c r="G680" s="13">
        <v>1</v>
      </c>
      <c r="H680" s="13"/>
      <c r="I680" s="13">
        <v>433.87</v>
      </c>
      <c r="J680" s="14">
        <f>IFERROR(ROUND(SUM(M681)/I680, 2),0)</f>
        <v>0</v>
      </c>
      <c r="K680" s="15">
        <v>837</v>
      </c>
      <c r="L680" s="14">
        <f>J680+ROUND(K680, 2)</f>
        <v>837</v>
      </c>
      <c r="M680" s="14">
        <f>ROUND(J680*I680, 2)</f>
        <v>0</v>
      </c>
      <c r="N680" s="14">
        <f>ROUND(I680*ROUND(K680, 2), 2)</f>
        <v>363149.19</v>
      </c>
      <c r="O680" s="14">
        <f>M680+N680</f>
        <v>363149.19</v>
      </c>
      <c r="P680" s="14">
        <f>IFERROR(ROUND(SUM(S681)/I680, 2),0)</f>
        <v>0</v>
      </c>
      <c r="Q680" s="16">
        <v>837</v>
      </c>
      <c r="R680" s="14">
        <f>P680+ROUND(Q680, 2)</f>
        <v>837</v>
      </c>
      <c r="S680" s="14">
        <f>ROUND(P680*I680, 2)</f>
        <v>0</v>
      </c>
      <c r="T680" s="14">
        <f>ROUND(I680*ROUND(Q680, 2), 2)</f>
        <v>363149.19</v>
      </c>
      <c r="U680" s="14">
        <f>S680+T680</f>
        <v>363149.19</v>
      </c>
      <c r="V680" s="9">
        <f>ROUND(P680 / 1.2, 2)</f>
        <v>0</v>
      </c>
      <c r="W680" s="9">
        <f>ROUND(Q680 / 1.2, 2)</f>
        <v>697.5</v>
      </c>
      <c r="X680" s="9">
        <f>ROUND(R680 / 1.2, 2)</f>
        <v>697.5</v>
      </c>
      <c r="Y680" s="9">
        <f>ROUND(S680 / 1.2, 2)</f>
        <v>0</v>
      </c>
      <c r="Z680" s="9">
        <f>ROUND(T680 / 1.2, 2)</f>
        <v>302624.33</v>
      </c>
      <c r="AA680" s="9">
        <f>Y680+Z680</f>
        <v>302624.33</v>
      </c>
      <c r="AD680" s="4">
        <v>271132148</v>
      </c>
      <c r="AE680" s="4">
        <v>16233248</v>
      </c>
      <c r="AG680" s="4" t="s">
        <v>2524</v>
      </c>
      <c r="AH680" s="4" t="s">
        <v>2525</v>
      </c>
      <c r="AI680" s="4" t="s">
        <v>67</v>
      </c>
    </row>
    <row r="681" spans="1:35" ht="108" hidden="1" x14ac:dyDescent="0.3">
      <c r="A681" s="10" t="s">
        <v>2526</v>
      </c>
      <c r="B681" s="10"/>
      <c r="C681" s="24" t="s">
        <v>2527</v>
      </c>
      <c r="D681" s="12"/>
      <c r="E681" s="12" t="s">
        <v>2528</v>
      </c>
      <c r="F681" s="18" t="s">
        <v>64</v>
      </c>
      <c r="G681" s="19">
        <v>1</v>
      </c>
      <c r="H681" s="20"/>
      <c r="I681" s="20">
        <v>433.87</v>
      </c>
      <c r="J681" s="21">
        <v>0</v>
      </c>
      <c r="M681" s="22">
        <f>ROUND(ROUND(J681, 2)*I681, 2)</f>
        <v>0</v>
      </c>
      <c r="P681" s="23">
        <v>0</v>
      </c>
      <c r="S681" s="22">
        <f>ROUND(ROUND(P681, 2)*I681, 2)</f>
        <v>0</v>
      </c>
      <c r="V681" s="9">
        <f>ROUND(ROUND(P681, 2)/1.2, 2)</f>
        <v>0</v>
      </c>
      <c r="Y681" s="9">
        <f t="shared" ref="Y681:Y744" si="27">ROUND(S681 / 1.2, 2)</f>
        <v>0</v>
      </c>
      <c r="AD681" s="4" t="s">
        <v>2529</v>
      </c>
      <c r="AE681" s="4" t="s">
        <v>2530</v>
      </c>
      <c r="AF681" s="4" t="s">
        <v>2531</v>
      </c>
    </row>
    <row r="682" spans="1:35" ht="36" hidden="1" x14ac:dyDescent="0.3">
      <c r="A682" s="10" t="s">
        <v>2532</v>
      </c>
      <c r="B682" s="10" t="s">
        <v>2521</v>
      </c>
      <c r="C682" s="11" t="s">
        <v>2522</v>
      </c>
      <c r="D682" s="12"/>
      <c r="E682" s="12" t="s">
        <v>2533</v>
      </c>
      <c r="F682" s="12" t="s">
        <v>64</v>
      </c>
      <c r="G682" s="13">
        <v>1</v>
      </c>
      <c r="H682" s="13"/>
      <c r="I682" s="13">
        <v>1422.4</v>
      </c>
      <c r="J682" s="14">
        <f>IFERROR(ROUND(SUM(M683)/I682, 2),0)</f>
        <v>7126.9</v>
      </c>
      <c r="K682" s="15">
        <v>837</v>
      </c>
      <c r="L682" s="14">
        <f>J682+ROUND(K682, 2)</f>
        <v>7963.9</v>
      </c>
      <c r="M682" s="14">
        <f>ROUND(J682*I682, 2)</f>
        <v>10137302.560000001</v>
      </c>
      <c r="N682" s="14">
        <f>ROUND(I682*ROUND(K682, 2), 2)</f>
        <v>1190548.8</v>
      </c>
      <c r="O682" s="14">
        <f>M682+N682</f>
        <v>11327851.360000001</v>
      </c>
      <c r="P682" s="14">
        <f>IFERROR(ROUND(SUM(S683)/I682, 2),0)</f>
        <v>7126.9</v>
      </c>
      <c r="Q682" s="16">
        <v>837</v>
      </c>
      <c r="R682" s="14">
        <f>P682+ROUND(Q682, 2)</f>
        <v>7963.9</v>
      </c>
      <c r="S682" s="14">
        <f>ROUND(P682*I682, 2)</f>
        <v>10137302.560000001</v>
      </c>
      <c r="T682" s="14">
        <f>ROUND(I682*ROUND(Q682, 2), 2)</f>
        <v>1190548.8</v>
      </c>
      <c r="U682" s="14">
        <f>S682+T682</f>
        <v>11327851.360000001</v>
      </c>
      <c r="V682" s="9">
        <f>ROUND(P682 / 1.2, 2)</f>
        <v>5939.08</v>
      </c>
      <c r="W682" s="9">
        <f>ROUND(Q682 / 1.2, 2)</f>
        <v>697.5</v>
      </c>
      <c r="X682" s="9">
        <f>ROUND(R682 / 1.2, 2)</f>
        <v>6636.58</v>
      </c>
      <c r="Y682" s="9">
        <f t="shared" si="27"/>
        <v>8447752.1300000008</v>
      </c>
      <c r="Z682" s="9">
        <f>ROUND(T682 / 1.2, 2)</f>
        <v>992124</v>
      </c>
      <c r="AA682" s="9">
        <f>Y682+Z682</f>
        <v>9439876.1300000008</v>
      </c>
      <c r="AD682" s="4">
        <v>271132291</v>
      </c>
      <c r="AE682" s="4">
        <v>16236255</v>
      </c>
      <c r="AG682" s="4" t="s">
        <v>2524</v>
      </c>
      <c r="AH682" s="4" t="s">
        <v>2525</v>
      </c>
      <c r="AI682" s="4" t="s">
        <v>67</v>
      </c>
    </row>
    <row r="683" spans="1:35" ht="72" hidden="1" x14ac:dyDescent="0.3">
      <c r="A683" s="10" t="s">
        <v>2534</v>
      </c>
      <c r="B683" s="10"/>
      <c r="C683" s="24" t="s">
        <v>2535</v>
      </c>
      <c r="D683" s="12"/>
      <c r="E683" s="12" t="s">
        <v>2536</v>
      </c>
      <c r="F683" s="18" t="s">
        <v>64</v>
      </c>
      <c r="G683" s="19">
        <v>1.1000000000000001</v>
      </c>
      <c r="H683" s="20"/>
      <c r="I683" s="20">
        <v>1564.64</v>
      </c>
      <c r="J683" s="21">
        <v>6479</v>
      </c>
      <c r="M683" s="22">
        <f>ROUND(ROUND(J683, 2)*I683, 2)</f>
        <v>10137302.560000001</v>
      </c>
      <c r="P683" s="23">
        <v>6479</v>
      </c>
      <c r="S683" s="22">
        <f>ROUND(ROUND(P683, 2)*I683, 2)</f>
        <v>10137302.560000001</v>
      </c>
      <c r="V683" s="9">
        <f>ROUND(ROUND(P683, 2)/1.2, 2)</f>
        <v>5399.17</v>
      </c>
      <c r="Y683" s="9">
        <f t="shared" si="27"/>
        <v>8447752.1300000008</v>
      </c>
      <c r="AD683" s="4" t="s">
        <v>2537</v>
      </c>
      <c r="AE683" s="4" t="s">
        <v>2538</v>
      </c>
      <c r="AF683" s="4" t="s">
        <v>2539</v>
      </c>
    </row>
    <row r="684" spans="1:35" ht="36" hidden="1" x14ac:dyDescent="0.3">
      <c r="A684" s="10" t="s">
        <v>2540</v>
      </c>
      <c r="B684" s="10" t="s">
        <v>2521</v>
      </c>
      <c r="C684" s="11" t="s">
        <v>2522</v>
      </c>
      <c r="D684" s="12"/>
      <c r="E684" s="12" t="s">
        <v>2541</v>
      </c>
      <c r="F684" s="12" t="s">
        <v>64</v>
      </c>
      <c r="G684" s="13">
        <v>1</v>
      </c>
      <c r="H684" s="13"/>
      <c r="I684" s="13">
        <v>34.450000000000003</v>
      </c>
      <c r="J684" s="14">
        <f>IFERROR(ROUND(SUM(M685)/I684, 2),0)</f>
        <v>855.89</v>
      </c>
      <c r="K684" s="15">
        <v>837</v>
      </c>
      <c r="L684" s="14">
        <f>J684+ROUND(K684, 2)</f>
        <v>1692.8899999999999</v>
      </c>
      <c r="M684" s="14">
        <f>ROUND(J684*I684, 2)</f>
        <v>29485.41</v>
      </c>
      <c r="N684" s="14">
        <f>ROUND(I684*ROUND(K684, 2), 2)</f>
        <v>28834.65</v>
      </c>
      <c r="O684" s="14">
        <f>M684+N684</f>
        <v>58320.06</v>
      </c>
      <c r="P684" s="14">
        <f>IFERROR(ROUND(SUM(S685)/I684, 2),0)</f>
        <v>855.89</v>
      </c>
      <c r="Q684" s="16">
        <v>837</v>
      </c>
      <c r="R684" s="14">
        <f>P684+ROUND(Q684, 2)</f>
        <v>1692.8899999999999</v>
      </c>
      <c r="S684" s="14">
        <f>ROUND(P684*I684, 2)</f>
        <v>29485.41</v>
      </c>
      <c r="T684" s="14">
        <f>ROUND(I684*ROUND(Q684, 2), 2)</f>
        <v>28834.65</v>
      </c>
      <c r="U684" s="14">
        <f>S684+T684</f>
        <v>58320.06</v>
      </c>
      <c r="V684" s="9">
        <f>ROUND(P684 / 1.2, 2)</f>
        <v>713.24</v>
      </c>
      <c r="W684" s="9">
        <f>ROUND(Q684 / 1.2, 2)</f>
        <v>697.5</v>
      </c>
      <c r="X684" s="9">
        <f>ROUND(R684 / 1.2, 2)</f>
        <v>1410.74</v>
      </c>
      <c r="Y684" s="9">
        <f t="shared" si="27"/>
        <v>24571.18</v>
      </c>
      <c r="Z684" s="9">
        <f>ROUND(T684 / 1.2, 2)</f>
        <v>24028.880000000001</v>
      </c>
      <c r="AA684" s="9">
        <f>Y684+Z684</f>
        <v>48600.06</v>
      </c>
      <c r="AD684" s="4">
        <v>271132292</v>
      </c>
      <c r="AE684" s="4">
        <v>16236256</v>
      </c>
      <c r="AG684" s="4" t="s">
        <v>2524</v>
      </c>
      <c r="AH684" s="4" t="s">
        <v>2525</v>
      </c>
      <c r="AI684" s="4" t="s">
        <v>67</v>
      </c>
    </row>
    <row r="685" spans="1:35" ht="90" hidden="1" x14ac:dyDescent="0.3">
      <c r="A685" s="10" t="s">
        <v>2542</v>
      </c>
      <c r="B685" s="10"/>
      <c r="C685" s="17" t="s">
        <v>2543</v>
      </c>
      <c r="D685" s="12"/>
      <c r="E685" s="12" t="s">
        <v>2544</v>
      </c>
      <c r="F685" s="18" t="s">
        <v>64</v>
      </c>
      <c r="G685" s="19">
        <v>1.1000000000000001</v>
      </c>
      <c r="H685" s="20"/>
      <c r="I685" s="20">
        <v>37.895000000000003</v>
      </c>
      <c r="J685" s="21">
        <v>778.08</v>
      </c>
      <c r="M685" s="22">
        <f>ROUND(ROUND(J685, 2)*I685, 2)</f>
        <v>29485.34</v>
      </c>
      <c r="P685" s="23">
        <v>778.08</v>
      </c>
      <c r="S685" s="22">
        <f>ROUND(ROUND(P685, 2)*I685, 2)</f>
        <v>29485.34</v>
      </c>
      <c r="V685" s="9">
        <f>ROUND(ROUND(P685, 2)/1.2, 2)</f>
        <v>648.4</v>
      </c>
      <c r="Y685" s="9">
        <f t="shared" si="27"/>
        <v>24571.119999999999</v>
      </c>
      <c r="AD685" s="4" t="s">
        <v>2545</v>
      </c>
      <c r="AE685" s="4" t="s">
        <v>2546</v>
      </c>
      <c r="AF685" s="4" t="s">
        <v>2547</v>
      </c>
    </row>
    <row r="686" spans="1:35" ht="36" hidden="1" x14ac:dyDescent="0.3">
      <c r="A686" s="10" t="s">
        <v>2548</v>
      </c>
      <c r="B686" s="10" t="s">
        <v>2521</v>
      </c>
      <c r="C686" s="11" t="s">
        <v>2522</v>
      </c>
      <c r="D686" s="12"/>
      <c r="E686" s="12" t="s">
        <v>2501</v>
      </c>
      <c r="F686" s="12" t="s">
        <v>64</v>
      </c>
      <c r="G686" s="13">
        <v>1</v>
      </c>
      <c r="H686" s="13"/>
      <c r="I686" s="13">
        <v>83.7</v>
      </c>
      <c r="J686" s="14">
        <f>IFERROR(ROUND(SUM(M687)/I686, 2),0)</f>
        <v>902.98</v>
      </c>
      <c r="K686" s="15">
        <v>837</v>
      </c>
      <c r="L686" s="14">
        <f>J686+ROUND(K686, 2)</f>
        <v>1739.98</v>
      </c>
      <c r="M686" s="14">
        <f>ROUND(J686*I686, 2)</f>
        <v>75579.429999999993</v>
      </c>
      <c r="N686" s="14">
        <f>ROUND(I686*ROUND(K686, 2), 2)</f>
        <v>70056.899999999994</v>
      </c>
      <c r="O686" s="14">
        <f>M686+N686</f>
        <v>145636.32999999999</v>
      </c>
      <c r="P686" s="14">
        <f>IFERROR(ROUND(SUM(S687)/I686, 2),0)</f>
        <v>902.98</v>
      </c>
      <c r="Q686" s="16">
        <v>837</v>
      </c>
      <c r="R686" s="14">
        <f>P686+ROUND(Q686, 2)</f>
        <v>1739.98</v>
      </c>
      <c r="S686" s="14">
        <f>ROUND(P686*I686, 2)</f>
        <v>75579.429999999993</v>
      </c>
      <c r="T686" s="14">
        <f>ROUND(I686*ROUND(Q686, 2), 2)</f>
        <v>70056.899999999994</v>
      </c>
      <c r="U686" s="14">
        <f>S686+T686</f>
        <v>145636.32999999999</v>
      </c>
      <c r="V686" s="9">
        <f>ROUND(P686 / 1.2, 2)</f>
        <v>752.48</v>
      </c>
      <c r="W686" s="9">
        <f>ROUND(Q686 / 1.2, 2)</f>
        <v>697.5</v>
      </c>
      <c r="X686" s="9">
        <f>ROUND(R686 / 1.2, 2)</f>
        <v>1449.98</v>
      </c>
      <c r="Y686" s="9">
        <f t="shared" si="27"/>
        <v>62982.86</v>
      </c>
      <c r="Z686" s="9">
        <f>ROUND(T686 / 1.2, 2)</f>
        <v>58380.75</v>
      </c>
      <c r="AA686" s="9">
        <f>Y686+Z686</f>
        <v>121363.61</v>
      </c>
      <c r="AD686" s="4">
        <v>271132293</v>
      </c>
      <c r="AE686" s="4">
        <v>16238731</v>
      </c>
      <c r="AG686" s="4" t="s">
        <v>2524</v>
      </c>
      <c r="AH686" s="4" t="s">
        <v>2525</v>
      </c>
      <c r="AI686" s="4" t="s">
        <v>67</v>
      </c>
    </row>
    <row r="687" spans="1:35" ht="36" hidden="1" x14ac:dyDescent="0.3">
      <c r="A687" s="10" t="s">
        <v>2549</v>
      </c>
      <c r="B687" s="10"/>
      <c r="C687" s="17" t="s">
        <v>2550</v>
      </c>
      <c r="D687" s="12"/>
      <c r="E687" s="12"/>
      <c r="F687" s="18" t="s">
        <v>64</v>
      </c>
      <c r="G687" s="19">
        <v>1.1000000000000001</v>
      </c>
      <c r="H687" s="20"/>
      <c r="I687" s="20">
        <v>92.07</v>
      </c>
      <c r="J687" s="21">
        <v>820.89</v>
      </c>
      <c r="M687" s="22">
        <f>ROUND(ROUND(J687, 2)*I687, 2)</f>
        <v>75579.34</v>
      </c>
      <c r="P687" s="23">
        <v>820.89</v>
      </c>
      <c r="S687" s="22">
        <f>ROUND(ROUND(P687, 2)*I687, 2)</f>
        <v>75579.34</v>
      </c>
      <c r="V687" s="9">
        <f>ROUND(ROUND(P687, 2)/1.2, 2)</f>
        <v>684.08</v>
      </c>
      <c r="Y687" s="9">
        <f t="shared" si="27"/>
        <v>62982.78</v>
      </c>
      <c r="AD687" s="4" t="s">
        <v>2551</v>
      </c>
      <c r="AE687" s="4" t="s">
        <v>2552</v>
      </c>
      <c r="AF687" s="4" t="s">
        <v>2553</v>
      </c>
    </row>
    <row r="688" spans="1:35" ht="36" hidden="1" x14ac:dyDescent="0.3">
      <c r="A688" s="10" t="s">
        <v>2554</v>
      </c>
      <c r="B688" s="10" t="s">
        <v>2521</v>
      </c>
      <c r="C688" s="11" t="s">
        <v>2522</v>
      </c>
      <c r="D688" s="12"/>
      <c r="E688" s="12" t="s">
        <v>2510</v>
      </c>
      <c r="F688" s="12" t="s">
        <v>64</v>
      </c>
      <c r="G688" s="13">
        <v>1</v>
      </c>
      <c r="H688" s="13"/>
      <c r="I688" s="13">
        <v>54.99</v>
      </c>
      <c r="J688" s="14">
        <f>IFERROR(ROUND(SUM(M689)/I688, 2),0)</f>
        <v>901.26</v>
      </c>
      <c r="K688" s="15">
        <v>837</v>
      </c>
      <c r="L688" s="14">
        <f>J688+ROUND(K688, 2)</f>
        <v>1738.26</v>
      </c>
      <c r="M688" s="14">
        <f>ROUND(J688*I688, 2)</f>
        <v>49560.29</v>
      </c>
      <c r="N688" s="14">
        <f>ROUND(I688*ROUND(K688, 2), 2)</f>
        <v>46026.63</v>
      </c>
      <c r="O688" s="14">
        <f>M688+N688</f>
        <v>95586.92</v>
      </c>
      <c r="P688" s="14">
        <f>IFERROR(ROUND(SUM(S689)/I688, 2),0)</f>
        <v>901.26</v>
      </c>
      <c r="Q688" s="16">
        <v>837</v>
      </c>
      <c r="R688" s="14">
        <f>P688+ROUND(Q688, 2)</f>
        <v>1738.26</v>
      </c>
      <c r="S688" s="14">
        <f>ROUND(P688*I688, 2)</f>
        <v>49560.29</v>
      </c>
      <c r="T688" s="14">
        <f>ROUND(I688*ROUND(Q688, 2), 2)</f>
        <v>46026.63</v>
      </c>
      <c r="U688" s="14">
        <f>S688+T688</f>
        <v>95586.92</v>
      </c>
      <c r="V688" s="9">
        <f>ROUND(P688 / 1.2, 2)</f>
        <v>751.05</v>
      </c>
      <c r="W688" s="9">
        <f>ROUND(Q688 / 1.2, 2)</f>
        <v>697.5</v>
      </c>
      <c r="X688" s="9">
        <f>ROUND(R688 / 1.2, 2)</f>
        <v>1448.55</v>
      </c>
      <c r="Y688" s="9">
        <f t="shared" si="27"/>
        <v>41300.239999999998</v>
      </c>
      <c r="Z688" s="9">
        <f>ROUND(T688 / 1.2, 2)</f>
        <v>38355.53</v>
      </c>
      <c r="AA688" s="9">
        <f>Y688+Z688</f>
        <v>79655.76999999999</v>
      </c>
      <c r="AD688" s="4">
        <v>271132294</v>
      </c>
      <c r="AE688" s="4">
        <v>19825204</v>
      </c>
      <c r="AG688" s="4" t="s">
        <v>2524</v>
      </c>
      <c r="AH688" s="4" t="s">
        <v>2525</v>
      </c>
      <c r="AI688" s="4" t="s">
        <v>67</v>
      </c>
    </row>
    <row r="689" spans="1:35" ht="36" hidden="1" x14ac:dyDescent="0.3">
      <c r="A689" s="10" t="s">
        <v>2555</v>
      </c>
      <c r="B689" s="10"/>
      <c r="C689" s="17" t="s">
        <v>2556</v>
      </c>
      <c r="D689" s="12"/>
      <c r="E689" s="12"/>
      <c r="F689" s="18" t="s">
        <v>64</v>
      </c>
      <c r="G689" s="19">
        <v>1.1000000000000001</v>
      </c>
      <c r="H689" s="20"/>
      <c r="I689" s="20">
        <v>60.488999999999997</v>
      </c>
      <c r="J689" s="21">
        <v>819.33</v>
      </c>
      <c r="M689" s="22">
        <f>ROUND(ROUND(J689, 2)*I689, 2)</f>
        <v>49560.45</v>
      </c>
      <c r="P689" s="23">
        <v>819.33</v>
      </c>
      <c r="S689" s="22">
        <f>ROUND(ROUND(P689, 2)*I689, 2)</f>
        <v>49560.45</v>
      </c>
      <c r="V689" s="9">
        <f>ROUND(ROUND(P689, 2)/1.2, 2)</f>
        <v>682.78</v>
      </c>
      <c r="Y689" s="9">
        <f t="shared" si="27"/>
        <v>41300.379999999997</v>
      </c>
      <c r="AD689" s="4" t="s">
        <v>2557</v>
      </c>
      <c r="AE689" s="4" t="s">
        <v>2558</v>
      </c>
      <c r="AF689" s="4" t="s">
        <v>2559</v>
      </c>
    </row>
    <row r="690" spans="1:35" ht="36" hidden="1" x14ac:dyDescent="0.3">
      <c r="A690" s="10" t="s">
        <v>2560</v>
      </c>
      <c r="B690" s="10" t="s">
        <v>2521</v>
      </c>
      <c r="C690" s="11" t="s">
        <v>2522</v>
      </c>
      <c r="D690" s="12"/>
      <c r="E690" s="12" t="s">
        <v>2561</v>
      </c>
      <c r="F690" s="12" t="s">
        <v>64</v>
      </c>
      <c r="G690" s="13">
        <v>1</v>
      </c>
      <c r="H690" s="13"/>
      <c r="I690" s="13">
        <v>388.35</v>
      </c>
      <c r="J690" s="14">
        <f>IFERROR(ROUND(SUM(M691)/I690, 2),0)</f>
        <v>0</v>
      </c>
      <c r="K690" s="15">
        <v>837</v>
      </c>
      <c r="L690" s="14">
        <f>J690+ROUND(K690, 2)</f>
        <v>837</v>
      </c>
      <c r="M690" s="14">
        <f>ROUND(J690*I690, 2)</f>
        <v>0</v>
      </c>
      <c r="N690" s="14">
        <f>ROUND(I690*ROUND(K690, 2), 2)</f>
        <v>325048.95</v>
      </c>
      <c r="O690" s="14">
        <f>M690+N690</f>
        <v>325048.95</v>
      </c>
      <c r="P690" s="14">
        <f>IFERROR(ROUND(SUM(S691)/I690, 2),0)</f>
        <v>0</v>
      </c>
      <c r="Q690" s="16">
        <v>837</v>
      </c>
      <c r="R690" s="14">
        <f>P690+ROUND(Q690, 2)</f>
        <v>837</v>
      </c>
      <c r="S690" s="14">
        <f>ROUND(P690*I690, 2)</f>
        <v>0</v>
      </c>
      <c r="T690" s="14">
        <f>ROUND(I690*ROUND(Q690, 2), 2)</f>
        <v>325048.95</v>
      </c>
      <c r="U690" s="14">
        <f>S690+T690</f>
        <v>325048.95</v>
      </c>
      <c r="V690" s="9">
        <f>ROUND(P690 / 1.2, 2)</f>
        <v>0</v>
      </c>
      <c r="W690" s="9">
        <f>ROUND(Q690 / 1.2, 2)</f>
        <v>697.5</v>
      </c>
      <c r="X690" s="9">
        <f>ROUND(R690 / 1.2, 2)</f>
        <v>697.5</v>
      </c>
      <c r="Y690" s="9">
        <f t="shared" si="27"/>
        <v>0</v>
      </c>
      <c r="Z690" s="9">
        <f>ROUND(T690 / 1.2, 2)</f>
        <v>270874.13</v>
      </c>
      <c r="AA690" s="9">
        <f>Y690+Z690</f>
        <v>270874.13</v>
      </c>
      <c r="AD690" s="4">
        <v>271132295</v>
      </c>
      <c r="AE690" s="4">
        <v>20004793</v>
      </c>
      <c r="AG690" s="4" t="s">
        <v>2524</v>
      </c>
      <c r="AH690" s="4" t="s">
        <v>2525</v>
      </c>
      <c r="AI690" s="4" t="s">
        <v>67</v>
      </c>
    </row>
    <row r="691" spans="1:35" ht="90" hidden="1" x14ac:dyDescent="0.3">
      <c r="A691" s="10" t="s">
        <v>2562</v>
      </c>
      <c r="B691" s="10"/>
      <c r="C691" s="24" t="s">
        <v>2527</v>
      </c>
      <c r="D691" s="12"/>
      <c r="E691" s="12" t="s">
        <v>2563</v>
      </c>
      <c r="F691" s="18" t="s">
        <v>64</v>
      </c>
      <c r="G691" s="19">
        <v>1</v>
      </c>
      <c r="H691" s="20"/>
      <c r="I691" s="20">
        <v>388.35</v>
      </c>
      <c r="J691" s="21">
        <v>0</v>
      </c>
      <c r="M691" s="22">
        <f>ROUND(ROUND(J691, 2)*I691, 2)</f>
        <v>0</v>
      </c>
      <c r="P691" s="23">
        <v>0</v>
      </c>
      <c r="S691" s="22">
        <f>ROUND(ROUND(P691, 2)*I691, 2)</f>
        <v>0</v>
      </c>
      <c r="V691" s="9">
        <f>ROUND(ROUND(P691, 2)/1.2, 2)</f>
        <v>0</v>
      </c>
      <c r="Y691" s="9">
        <f t="shared" si="27"/>
        <v>0</v>
      </c>
      <c r="AD691" s="4" t="s">
        <v>2564</v>
      </c>
      <c r="AE691" s="4" t="s">
        <v>2565</v>
      </c>
      <c r="AF691" s="4" t="s">
        <v>2531</v>
      </c>
    </row>
    <row r="692" spans="1:35" ht="36" hidden="1" x14ac:dyDescent="0.3">
      <c r="A692" s="10" t="s">
        <v>2566</v>
      </c>
      <c r="B692" s="10" t="s">
        <v>2521</v>
      </c>
      <c r="C692" s="11" t="s">
        <v>2522</v>
      </c>
      <c r="D692" s="12"/>
      <c r="E692" s="12" t="s">
        <v>2567</v>
      </c>
      <c r="F692" s="12" t="s">
        <v>64</v>
      </c>
      <c r="G692" s="13">
        <v>1</v>
      </c>
      <c r="H692" s="13"/>
      <c r="I692" s="13">
        <v>1200.01</v>
      </c>
      <c r="J692" s="14">
        <f>IFERROR(ROUND(SUM(M693)/I692, 2),0)</f>
        <v>7126.9</v>
      </c>
      <c r="K692" s="15">
        <v>837</v>
      </c>
      <c r="L692" s="14">
        <f>J692+ROUND(K692, 2)</f>
        <v>7963.9</v>
      </c>
      <c r="M692" s="14">
        <f>ROUND(J692*I692, 2)</f>
        <v>8552351.2699999996</v>
      </c>
      <c r="N692" s="14">
        <f>ROUND(I692*ROUND(K692, 2), 2)</f>
        <v>1004408.37</v>
      </c>
      <c r="O692" s="14">
        <f>M692+N692</f>
        <v>9556759.6399999987</v>
      </c>
      <c r="P692" s="14">
        <f>IFERROR(ROUND(SUM(S693)/I692, 2),0)</f>
        <v>7126.9</v>
      </c>
      <c r="Q692" s="16">
        <v>837</v>
      </c>
      <c r="R692" s="14">
        <f>P692+ROUND(Q692, 2)</f>
        <v>7963.9</v>
      </c>
      <c r="S692" s="14">
        <f>ROUND(P692*I692, 2)</f>
        <v>8552351.2699999996</v>
      </c>
      <c r="T692" s="14">
        <f>ROUND(I692*ROUND(Q692, 2), 2)</f>
        <v>1004408.37</v>
      </c>
      <c r="U692" s="14">
        <f>S692+T692</f>
        <v>9556759.6399999987</v>
      </c>
      <c r="V692" s="9">
        <f>ROUND(P692 / 1.2, 2)</f>
        <v>5939.08</v>
      </c>
      <c r="W692" s="9">
        <f>ROUND(Q692 / 1.2, 2)</f>
        <v>697.5</v>
      </c>
      <c r="X692" s="9">
        <f>ROUND(R692 / 1.2, 2)</f>
        <v>6636.58</v>
      </c>
      <c r="Y692" s="9">
        <f t="shared" si="27"/>
        <v>7126959.3899999997</v>
      </c>
      <c r="Z692" s="9">
        <f>ROUND(T692 / 1.2, 2)</f>
        <v>837006.98</v>
      </c>
      <c r="AA692" s="9">
        <f>Y692+Z692</f>
        <v>7963966.3699999992</v>
      </c>
      <c r="AD692" s="4">
        <v>271132296</v>
      </c>
      <c r="AE692" s="4">
        <v>20004794</v>
      </c>
      <c r="AG692" s="4" t="s">
        <v>2524</v>
      </c>
      <c r="AH692" s="4" t="s">
        <v>2525</v>
      </c>
      <c r="AI692" s="4" t="s">
        <v>67</v>
      </c>
    </row>
    <row r="693" spans="1:35" ht="72" hidden="1" x14ac:dyDescent="0.3">
      <c r="A693" s="10" t="s">
        <v>2568</v>
      </c>
      <c r="B693" s="10"/>
      <c r="C693" s="24" t="s">
        <v>2535</v>
      </c>
      <c r="D693" s="12"/>
      <c r="E693" s="12" t="s">
        <v>2536</v>
      </c>
      <c r="F693" s="18" t="s">
        <v>64</v>
      </c>
      <c r="G693" s="19">
        <v>1.1000000000000001</v>
      </c>
      <c r="H693" s="20"/>
      <c r="I693" s="20">
        <v>1320.011</v>
      </c>
      <c r="J693" s="21">
        <v>6479</v>
      </c>
      <c r="M693" s="22">
        <f>ROUND(ROUND(J693, 2)*I693, 2)</f>
        <v>8552351.2699999996</v>
      </c>
      <c r="P693" s="23">
        <v>6479</v>
      </c>
      <c r="S693" s="22">
        <f>ROUND(ROUND(P693, 2)*I693, 2)</f>
        <v>8552351.2699999996</v>
      </c>
      <c r="V693" s="9">
        <f>ROUND(ROUND(P693, 2)/1.2, 2)</f>
        <v>5399.17</v>
      </c>
      <c r="Y693" s="9">
        <f t="shared" si="27"/>
        <v>7126959.3899999997</v>
      </c>
      <c r="AD693" s="4" t="s">
        <v>2569</v>
      </c>
      <c r="AE693" s="4" t="s">
        <v>2570</v>
      </c>
      <c r="AF693" s="4" t="s">
        <v>2539</v>
      </c>
    </row>
    <row r="694" spans="1:35" ht="36" hidden="1" x14ac:dyDescent="0.3">
      <c r="A694" s="10" t="s">
        <v>2571</v>
      </c>
      <c r="B694" s="10" t="s">
        <v>2521</v>
      </c>
      <c r="C694" s="11" t="s">
        <v>2522</v>
      </c>
      <c r="D694" s="12"/>
      <c r="E694" s="12" t="s">
        <v>2572</v>
      </c>
      <c r="F694" s="12" t="s">
        <v>64</v>
      </c>
      <c r="G694" s="13">
        <v>1</v>
      </c>
      <c r="H694" s="13"/>
      <c r="I694" s="13">
        <v>163.46</v>
      </c>
      <c r="J694" s="14">
        <f>IFERROR(ROUND(SUM(M695)/I694, 2),0)</f>
        <v>855.89</v>
      </c>
      <c r="K694" s="15">
        <v>837</v>
      </c>
      <c r="L694" s="14">
        <f>J694+ROUND(K694, 2)</f>
        <v>1692.8899999999999</v>
      </c>
      <c r="M694" s="14">
        <f>ROUND(J694*I694, 2)</f>
        <v>139903.78</v>
      </c>
      <c r="N694" s="14">
        <f>ROUND(I694*ROUND(K694, 2), 2)</f>
        <v>136816.01999999999</v>
      </c>
      <c r="O694" s="14">
        <f>M694+N694</f>
        <v>276719.8</v>
      </c>
      <c r="P694" s="14">
        <f>IFERROR(ROUND(SUM(S695)/I694, 2),0)</f>
        <v>855.89</v>
      </c>
      <c r="Q694" s="16">
        <v>837</v>
      </c>
      <c r="R694" s="14">
        <f>P694+ROUND(Q694, 2)</f>
        <v>1692.8899999999999</v>
      </c>
      <c r="S694" s="14">
        <f>ROUND(P694*I694, 2)</f>
        <v>139903.78</v>
      </c>
      <c r="T694" s="14">
        <f>ROUND(I694*ROUND(Q694, 2), 2)</f>
        <v>136816.01999999999</v>
      </c>
      <c r="U694" s="14">
        <f>S694+T694</f>
        <v>276719.8</v>
      </c>
      <c r="V694" s="9">
        <f>ROUND(P694 / 1.2, 2)</f>
        <v>713.24</v>
      </c>
      <c r="W694" s="9">
        <f>ROUND(Q694 / 1.2, 2)</f>
        <v>697.5</v>
      </c>
      <c r="X694" s="9">
        <f>ROUND(R694 / 1.2, 2)</f>
        <v>1410.74</v>
      </c>
      <c r="Y694" s="9">
        <f t="shared" si="27"/>
        <v>116586.48</v>
      </c>
      <c r="Z694" s="9">
        <f>ROUND(T694 / 1.2, 2)</f>
        <v>114013.35</v>
      </c>
      <c r="AA694" s="9">
        <f>Y694+Z694</f>
        <v>230599.83000000002</v>
      </c>
      <c r="AD694" s="4">
        <v>271132297</v>
      </c>
      <c r="AE694" s="4">
        <v>20004795</v>
      </c>
      <c r="AG694" s="4" t="s">
        <v>2524</v>
      </c>
      <c r="AH694" s="4" t="s">
        <v>2525</v>
      </c>
      <c r="AI694" s="4" t="s">
        <v>67</v>
      </c>
    </row>
    <row r="695" spans="1:35" ht="90" hidden="1" x14ac:dyDescent="0.3">
      <c r="A695" s="10" t="s">
        <v>2573</v>
      </c>
      <c r="B695" s="10"/>
      <c r="C695" s="17" t="s">
        <v>2543</v>
      </c>
      <c r="D695" s="12"/>
      <c r="E695" s="12" t="s">
        <v>2544</v>
      </c>
      <c r="F695" s="18" t="s">
        <v>64</v>
      </c>
      <c r="G695" s="19">
        <v>1.1000000000000001</v>
      </c>
      <c r="H695" s="20"/>
      <c r="I695" s="20">
        <v>179.80600000000001</v>
      </c>
      <c r="J695" s="21">
        <v>778.08</v>
      </c>
      <c r="M695" s="22">
        <f>ROUND(ROUND(J695, 2)*I695, 2)</f>
        <v>139903.45000000001</v>
      </c>
      <c r="P695" s="23">
        <v>778.08</v>
      </c>
      <c r="S695" s="22">
        <f>ROUND(ROUND(P695, 2)*I695, 2)</f>
        <v>139903.45000000001</v>
      </c>
      <c r="V695" s="9">
        <f>ROUND(ROUND(P695, 2)/1.2, 2)</f>
        <v>648.4</v>
      </c>
      <c r="Y695" s="9">
        <f t="shared" si="27"/>
        <v>116586.21</v>
      </c>
      <c r="AD695" s="4" t="s">
        <v>2574</v>
      </c>
      <c r="AE695" s="4" t="s">
        <v>2575</v>
      </c>
      <c r="AF695" s="4" t="s">
        <v>2547</v>
      </c>
    </row>
    <row r="696" spans="1:35" ht="36" hidden="1" x14ac:dyDescent="0.3">
      <c r="A696" s="10" t="s">
        <v>2576</v>
      </c>
      <c r="B696" s="10" t="s">
        <v>2521</v>
      </c>
      <c r="C696" s="11" t="s">
        <v>2522</v>
      </c>
      <c r="D696" s="12"/>
      <c r="E696" s="12" t="s">
        <v>2340</v>
      </c>
      <c r="F696" s="12" t="s">
        <v>64</v>
      </c>
      <c r="G696" s="13">
        <v>1</v>
      </c>
      <c r="H696" s="13"/>
      <c r="I696" s="13">
        <v>92.54</v>
      </c>
      <c r="J696" s="14">
        <f>IFERROR(ROUND(SUM(M697)/I696, 2),0)</f>
        <v>902.98</v>
      </c>
      <c r="K696" s="15">
        <v>837</v>
      </c>
      <c r="L696" s="14">
        <f>J696+ROUND(K696, 2)</f>
        <v>1739.98</v>
      </c>
      <c r="M696" s="14">
        <f>ROUND(J696*I696, 2)</f>
        <v>83561.77</v>
      </c>
      <c r="N696" s="14">
        <f>ROUND(I696*ROUND(K696, 2), 2)</f>
        <v>77455.98</v>
      </c>
      <c r="O696" s="14">
        <f>M696+N696</f>
        <v>161017.75</v>
      </c>
      <c r="P696" s="14">
        <f>IFERROR(ROUND(SUM(S697)/I696, 2),0)</f>
        <v>902.98</v>
      </c>
      <c r="Q696" s="16">
        <v>837</v>
      </c>
      <c r="R696" s="14">
        <f>P696+ROUND(Q696, 2)</f>
        <v>1739.98</v>
      </c>
      <c r="S696" s="14">
        <f>ROUND(P696*I696, 2)</f>
        <v>83561.77</v>
      </c>
      <c r="T696" s="14">
        <f>ROUND(I696*ROUND(Q696, 2), 2)</f>
        <v>77455.98</v>
      </c>
      <c r="U696" s="14">
        <f>S696+T696</f>
        <v>161017.75</v>
      </c>
      <c r="V696" s="9">
        <f>ROUND(P696 / 1.2, 2)</f>
        <v>752.48</v>
      </c>
      <c r="W696" s="9">
        <f>ROUND(Q696 / 1.2, 2)</f>
        <v>697.5</v>
      </c>
      <c r="X696" s="9">
        <f>ROUND(R696 / 1.2, 2)</f>
        <v>1449.98</v>
      </c>
      <c r="Y696" s="9">
        <f t="shared" si="27"/>
        <v>69634.81</v>
      </c>
      <c r="Z696" s="9">
        <f>ROUND(T696 / 1.2, 2)</f>
        <v>64546.65</v>
      </c>
      <c r="AA696" s="9">
        <f>Y696+Z696</f>
        <v>134181.46</v>
      </c>
      <c r="AD696" s="4">
        <v>271132298</v>
      </c>
      <c r="AE696" s="4">
        <v>20004796</v>
      </c>
      <c r="AG696" s="4" t="s">
        <v>2524</v>
      </c>
      <c r="AH696" s="4" t="s">
        <v>2525</v>
      </c>
      <c r="AI696" s="4" t="s">
        <v>67</v>
      </c>
    </row>
    <row r="697" spans="1:35" ht="36" hidden="1" x14ac:dyDescent="0.3">
      <c r="A697" s="10" t="s">
        <v>2577</v>
      </c>
      <c r="B697" s="10"/>
      <c r="C697" s="17" t="s">
        <v>2550</v>
      </c>
      <c r="D697" s="12"/>
      <c r="E697" s="12"/>
      <c r="F697" s="18" t="s">
        <v>64</v>
      </c>
      <c r="G697" s="19">
        <v>1.1000000000000001</v>
      </c>
      <c r="H697" s="20"/>
      <c r="I697" s="20">
        <v>101.794</v>
      </c>
      <c r="J697" s="21">
        <v>820.89</v>
      </c>
      <c r="M697" s="22">
        <f>ROUND(ROUND(J697, 2)*I697, 2)</f>
        <v>83561.679999999993</v>
      </c>
      <c r="P697" s="23">
        <v>820.89</v>
      </c>
      <c r="S697" s="22">
        <f>ROUND(ROUND(P697, 2)*I697, 2)</f>
        <v>83561.679999999993</v>
      </c>
      <c r="V697" s="9">
        <f>ROUND(ROUND(P697, 2)/1.2, 2)</f>
        <v>684.08</v>
      </c>
      <c r="Y697" s="9">
        <f t="shared" si="27"/>
        <v>69634.73</v>
      </c>
      <c r="AD697" s="4" t="s">
        <v>2578</v>
      </c>
      <c r="AE697" s="4" t="s">
        <v>2579</v>
      </c>
      <c r="AF697" s="4" t="s">
        <v>2553</v>
      </c>
    </row>
    <row r="698" spans="1:35" ht="36" hidden="1" x14ac:dyDescent="0.3">
      <c r="A698" s="10" t="s">
        <v>2580</v>
      </c>
      <c r="B698" s="10" t="s">
        <v>2521</v>
      </c>
      <c r="C698" s="11" t="s">
        <v>2522</v>
      </c>
      <c r="D698" s="12"/>
      <c r="E698" s="12" t="s">
        <v>2349</v>
      </c>
      <c r="F698" s="12" t="s">
        <v>64</v>
      </c>
      <c r="G698" s="13">
        <v>1</v>
      </c>
      <c r="H698" s="13"/>
      <c r="I698" s="13">
        <v>67.19</v>
      </c>
      <c r="J698" s="14">
        <f>IFERROR(ROUND(SUM(M699)/I698, 2),0)</f>
        <v>901.26</v>
      </c>
      <c r="K698" s="15">
        <v>837</v>
      </c>
      <c r="L698" s="14">
        <f>J698+ROUND(K698, 2)</f>
        <v>1738.26</v>
      </c>
      <c r="M698" s="14">
        <f>ROUND(J698*I698, 2)</f>
        <v>60555.66</v>
      </c>
      <c r="N698" s="14">
        <f>ROUND(I698*ROUND(K698, 2), 2)</f>
        <v>56238.03</v>
      </c>
      <c r="O698" s="14">
        <f>M698+N698</f>
        <v>116793.69</v>
      </c>
      <c r="P698" s="14">
        <f>IFERROR(ROUND(SUM(S699)/I698, 2),0)</f>
        <v>901.26</v>
      </c>
      <c r="Q698" s="16">
        <v>837</v>
      </c>
      <c r="R698" s="14">
        <f>P698+ROUND(Q698, 2)</f>
        <v>1738.26</v>
      </c>
      <c r="S698" s="14">
        <f>ROUND(P698*I698, 2)</f>
        <v>60555.66</v>
      </c>
      <c r="T698" s="14">
        <f>ROUND(I698*ROUND(Q698, 2), 2)</f>
        <v>56238.03</v>
      </c>
      <c r="U698" s="14">
        <f>S698+T698</f>
        <v>116793.69</v>
      </c>
      <c r="V698" s="9">
        <f>ROUND(P698 / 1.2, 2)</f>
        <v>751.05</v>
      </c>
      <c r="W698" s="9">
        <f>ROUND(Q698 / 1.2, 2)</f>
        <v>697.5</v>
      </c>
      <c r="X698" s="9">
        <f>ROUND(R698 / 1.2, 2)</f>
        <v>1448.55</v>
      </c>
      <c r="Y698" s="9">
        <f t="shared" si="27"/>
        <v>50463.05</v>
      </c>
      <c r="Z698" s="9">
        <f>ROUND(T698 / 1.2, 2)</f>
        <v>46865.03</v>
      </c>
      <c r="AA698" s="9">
        <f>Y698+Z698</f>
        <v>97328.08</v>
      </c>
      <c r="AD698" s="4">
        <v>271132299</v>
      </c>
      <c r="AE698" s="4">
        <v>20004797</v>
      </c>
      <c r="AG698" s="4" t="s">
        <v>2524</v>
      </c>
      <c r="AH698" s="4" t="s">
        <v>2525</v>
      </c>
      <c r="AI698" s="4" t="s">
        <v>67</v>
      </c>
    </row>
    <row r="699" spans="1:35" ht="36" hidden="1" x14ac:dyDescent="0.3">
      <c r="A699" s="10" t="s">
        <v>2581</v>
      </c>
      <c r="B699" s="10"/>
      <c r="C699" s="17" t="s">
        <v>2556</v>
      </c>
      <c r="D699" s="12"/>
      <c r="E699" s="12"/>
      <c r="F699" s="18" t="s">
        <v>64</v>
      </c>
      <c r="G699" s="19">
        <v>1.1000000000000001</v>
      </c>
      <c r="H699" s="20"/>
      <c r="I699" s="20">
        <v>73.909000000000006</v>
      </c>
      <c r="J699" s="21">
        <v>819.33</v>
      </c>
      <c r="M699" s="22">
        <f>ROUND(ROUND(J699, 2)*I699, 2)</f>
        <v>60555.86</v>
      </c>
      <c r="P699" s="23">
        <v>819.33</v>
      </c>
      <c r="S699" s="22">
        <f>ROUND(ROUND(P699, 2)*I699, 2)</f>
        <v>60555.86</v>
      </c>
      <c r="V699" s="9">
        <f>ROUND(ROUND(P699, 2)/1.2, 2)</f>
        <v>682.78</v>
      </c>
      <c r="Y699" s="9">
        <f t="shared" si="27"/>
        <v>50463.22</v>
      </c>
      <c r="AD699" s="4" t="s">
        <v>2582</v>
      </c>
      <c r="AE699" s="4" t="s">
        <v>2583</v>
      </c>
      <c r="AF699" s="4" t="s">
        <v>2559</v>
      </c>
    </row>
    <row r="700" spans="1:35" ht="36" hidden="1" x14ac:dyDescent="0.3">
      <c r="A700" s="10" t="s">
        <v>2584</v>
      </c>
      <c r="B700" s="10" t="s">
        <v>2585</v>
      </c>
      <c r="C700" s="11" t="s">
        <v>2586</v>
      </c>
      <c r="D700" s="12"/>
      <c r="E700" s="12" t="s">
        <v>2587</v>
      </c>
      <c r="F700" s="12" t="s">
        <v>64</v>
      </c>
      <c r="G700" s="13">
        <v>1</v>
      </c>
      <c r="H700" s="13"/>
      <c r="I700" s="13">
        <v>37.700000000000003</v>
      </c>
      <c r="J700" s="14">
        <f>IFERROR(ROUND(SUM(M701,M702,M703,M704,M705,M706,M707,M708,M709,M710,M711,M712,M713)/I700, 2),0)</f>
        <v>614.67999999999995</v>
      </c>
      <c r="K700" s="15">
        <v>1199</v>
      </c>
      <c r="L700" s="14">
        <f>J700+ROUND(K700, 2)</f>
        <v>1813.6799999999998</v>
      </c>
      <c r="M700" s="14">
        <f>ROUND(J700*I700, 2)</f>
        <v>23173.439999999999</v>
      </c>
      <c r="N700" s="14">
        <f>ROUND(I700*ROUND(K700, 2), 2)</f>
        <v>45202.3</v>
      </c>
      <c r="O700" s="14">
        <f>M700+N700</f>
        <v>68375.740000000005</v>
      </c>
      <c r="P700" s="14">
        <f>IFERROR(ROUND(SUM(S701,S702,S703,S704,S705,S706,S707,S708,S709,S710,S711,S712,S713)/I700, 2),0)</f>
        <v>614.67999999999995</v>
      </c>
      <c r="Q700" s="16">
        <v>1199</v>
      </c>
      <c r="R700" s="14">
        <f>P700+ROUND(Q700, 2)</f>
        <v>1813.6799999999998</v>
      </c>
      <c r="S700" s="14">
        <f>ROUND(P700*I700, 2)</f>
        <v>23173.439999999999</v>
      </c>
      <c r="T700" s="14">
        <f>ROUND(I700*ROUND(Q700, 2), 2)</f>
        <v>45202.3</v>
      </c>
      <c r="U700" s="14">
        <f>S700+T700</f>
        <v>68375.740000000005</v>
      </c>
      <c r="V700" s="9">
        <f>ROUND(P700 / 1.2, 2)</f>
        <v>512.23</v>
      </c>
      <c r="W700" s="9">
        <f>ROUND(Q700 / 1.2, 2)</f>
        <v>999.17</v>
      </c>
      <c r="X700" s="9">
        <f>ROUND(R700 / 1.2, 2)</f>
        <v>1511.4</v>
      </c>
      <c r="Y700" s="9">
        <f t="shared" si="27"/>
        <v>19311.2</v>
      </c>
      <c r="Z700" s="9">
        <f>ROUND(T700 / 1.2, 2)</f>
        <v>37668.58</v>
      </c>
      <c r="AA700" s="9">
        <f>Y700+Z700</f>
        <v>56979.78</v>
      </c>
      <c r="AD700" s="4">
        <v>271132149</v>
      </c>
      <c r="AE700" s="4">
        <v>19825683</v>
      </c>
      <c r="AG700" s="4" t="s">
        <v>2588</v>
      </c>
      <c r="AH700" s="4" t="s">
        <v>2589</v>
      </c>
      <c r="AI700" s="4" t="s">
        <v>67</v>
      </c>
    </row>
    <row r="701" spans="1:35" ht="18" hidden="1" x14ac:dyDescent="0.3">
      <c r="A701" s="10" t="s">
        <v>2590</v>
      </c>
      <c r="B701" s="10"/>
      <c r="C701" s="24" t="s">
        <v>2591</v>
      </c>
      <c r="D701" s="12"/>
      <c r="E701" s="12"/>
      <c r="F701" s="18" t="s">
        <v>116</v>
      </c>
      <c r="G701" s="19">
        <v>15</v>
      </c>
      <c r="H701" s="19"/>
      <c r="I701" s="19">
        <v>565.5</v>
      </c>
      <c r="J701" s="21">
        <v>0.95</v>
      </c>
      <c r="M701" s="22">
        <f t="shared" ref="M701:M713" si="28">ROUND(ROUND(J701, 2)*I701, 2)</f>
        <v>537.23</v>
      </c>
      <c r="P701" s="23">
        <v>0.95</v>
      </c>
      <c r="S701" s="22">
        <f t="shared" ref="S701:S713" si="29">ROUND(ROUND(P701, 2)*I701, 2)</f>
        <v>537.23</v>
      </c>
      <c r="V701" s="9">
        <f t="shared" ref="V701:V713" si="30">ROUND(ROUND(P701, 2)/1.2, 2)</f>
        <v>0.79</v>
      </c>
      <c r="Y701" s="9">
        <f t="shared" si="27"/>
        <v>447.69</v>
      </c>
      <c r="AD701" s="4" t="s">
        <v>2592</v>
      </c>
      <c r="AE701" s="4" t="s">
        <v>2593</v>
      </c>
      <c r="AF701" s="4" t="s">
        <v>2594</v>
      </c>
    </row>
    <row r="702" spans="1:35" ht="18" hidden="1" x14ac:dyDescent="0.3">
      <c r="A702" s="10" t="s">
        <v>2595</v>
      </c>
      <c r="B702" s="10"/>
      <c r="C702" s="24" t="s">
        <v>2596</v>
      </c>
      <c r="D702" s="12"/>
      <c r="E702" s="12"/>
      <c r="F702" s="18" t="s">
        <v>116</v>
      </c>
      <c r="G702" s="19">
        <v>30</v>
      </c>
      <c r="H702" s="19"/>
      <c r="I702" s="19">
        <v>1131</v>
      </c>
      <c r="J702" s="21">
        <v>0.28000000000000003</v>
      </c>
      <c r="M702" s="22">
        <f t="shared" si="28"/>
        <v>316.68</v>
      </c>
      <c r="P702" s="23">
        <v>0.28000000000000003</v>
      </c>
      <c r="S702" s="22">
        <f t="shared" si="29"/>
        <v>316.68</v>
      </c>
      <c r="V702" s="9">
        <f t="shared" si="30"/>
        <v>0.23</v>
      </c>
      <c r="Y702" s="9">
        <f t="shared" si="27"/>
        <v>263.89999999999998</v>
      </c>
      <c r="AD702" s="4" t="s">
        <v>2597</v>
      </c>
      <c r="AE702" s="4" t="s">
        <v>2598</v>
      </c>
      <c r="AF702" s="4" t="s">
        <v>2599</v>
      </c>
    </row>
    <row r="703" spans="1:35" ht="18" hidden="1" x14ac:dyDescent="0.3">
      <c r="A703" s="10" t="s">
        <v>2600</v>
      </c>
      <c r="B703" s="10"/>
      <c r="C703" s="24" t="s">
        <v>1805</v>
      </c>
      <c r="D703" s="12"/>
      <c r="E703" s="12"/>
      <c r="F703" s="18" t="s">
        <v>70</v>
      </c>
      <c r="G703" s="19">
        <v>0.35</v>
      </c>
      <c r="H703" s="19"/>
      <c r="I703" s="19">
        <v>13.195</v>
      </c>
      <c r="J703" s="21">
        <v>55</v>
      </c>
      <c r="M703" s="22">
        <f t="shared" si="28"/>
        <v>725.73</v>
      </c>
      <c r="P703" s="23">
        <v>55</v>
      </c>
      <c r="S703" s="22">
        <f t="shared" si="29"/>
        <v>725.73</v>
      </c>
      <c r="V703" s="9">
        <f t="shared" si="30"/>
        <v>45.83</v>
      </c>
      <c r="Y703" s="9">
        <f t="shared" si="27"/>
        <v>604.78</v>
      </c>
      <c r="AD703" s="4" t="s">
        <v>2601</v>
      </c>
      <c r="AE703" s="4" t="s">
        <v>2602</v>
      </c>
      <c r="AF703" s="4" t="s">
        <v>1808</v>
      </c>
    </row>
    <row r="704" spans="1:35" ht="18" hidden="1" x14ac:dyDescent="0.3">
      <c r="A704" s="10" t="s">
        <v>2603</v>
      </c>
      <c r="B704" s="10"/>
      <c r="C704" s="24" t="s">
        <v>2604</v>
      </c>
      <c r="D704" s="12"/>
      <c r="E704" s="12"/>
      <c r="F704" s="18" t="s">
        <v>116</v>
      </c>
      <c r="G704" s="19">
        <v>0.3</v>
      </c>
      <c r="H704" s="19"/>
      <c r="I704" s="19">
        <v>11.31</v>
      </c>
      <c r="J704" s="21">
        <v>5.6</v>
      </c>
      <c r="M704" s="22">
        <f t="shared" si="28"/>
        <v>63.34</v>
      </c>
      <c r="P704" s="23">
        <v>5.6</v>
      </c>
      <c r="S704" s="22">
        <f t="shared" si="29"/>
        <v>63.34</v>
      </c>
      <c r="V704" s="9">
        <f t="shared" si="30"/>
        <v>4.67</v>
      </c>
      <c r="Y704" s="9">
        <f t="shared" si="27"/>
        <v>52.78</v>
      </c>
      <c r="AD704" s="4" t="s">
        <v>2605</v>
      </c>
      <c r="AE704" s="4" t="s">
        <v>2606</v>
      </c>
      <c r="AF704" s="4" t="s">
        <v>2607</v>
      </c>
    </row>
    <row r="705" spans="1:35" ht="36" hidden="1" x14ac:dyDescent="0.3">
      <c r="A705" s="10" t="s">
        <v>2608</v>
      </c>
      <c r="B705" s="10"/>
      <c r="C705" s="17" t="s">
        <v>2609</v>
      </c>
      <c r="D705" s="12"/>
      <c r="E705" s="12"/>
      <c r="F705" s="18" t="s">
        <v>116</v>
      </c>
      <c r="G705" s="19">
        <v>3.6</v>
      </c>
      <c r="H705" s="19"/>
      <c r="I705" s="19">
        <v>135.72</v>
      </c>
      <c r="J705" s="21">
        <v>15.9</v>
      </c>
      <c r="M705" s="22">
        <f t="shared" si="28"/>
        <v>2157.9499999999998</v>
      </c>
      <c r="P705" s="23">
        <v>15.9</v>
      </c>
      <c r="S705" s="22">
        <f t="shared" si="29"/>
        <v>2157.9499999999998</v>
      </c>
      <c r="V705" s="9">
        <f t="shared" si="30"/>
        <v>13.25</v>
      </c>
      <c r="Y705" s="9">
        <f t="shared" si="27"/>
        <v>1798.29</v>
      </c>
      <c r="AD705" s="4" t="s">
        <v>2610</v>
      </c>
      <c r="AE705" s="4" t="s">
        <v>2611</v>
      </c>
      <c r="AF705" s="4" t="s">
        <v>2612</v>
      </c>
    </row>
    <row r="706" spans="1:35" ht="18" hidden="1" x14ac:dyDescent="0.3">
      <c r="A706" s="10" t="s">
        <v>2613</v>
      </c>
      <c r="B706" s="10"/>
      <c r="C706" s="24" t="s">
        <v>2614</v>
      </c>
      <c r="D706" s="12"/>
      <c r="E706" s="12"/>
      <c r="F706" s="18" t="s">
        <v>87</v>
      </c>
      <c r="G706" s="19">
        <v>0.3</v>
      </c>
      <c r="H706" s="19"/>
      <c r="I706" s="19">
        <v>11.31</v>
      </c>
      <c r="J706" s="21">
        <v>49.04</v>
      </c>
      <c r="M706" s="22">
        <f t="shared" si="28"/>
        <v>554.64</v>
      </c>
      <c r="P706" s="23">
        <v>49.04</v>
      </c>
      <c r="S706" s="22">
        <f t="shared" si="29"/>
        <v>554.64</v>
      </c>
      <c r="V706" s="9">
        <f t="shared" si="30"/>
        <v>40.869999999999997</v>
      </c>
      <c r="Y706" s="9">
        <f t="shared" si="27"/>
        <v>462.2</v>
      </c>
      <c r="AD706" s="4" t="s">
        <v>2615</v>
      </c>
      <c r="AE706" s="4" t="s">
        <v>2616</v>
      </c>
      <c r="AF706" s="4" t="s">
        <v>2617</v>
      </c>
    </row>
    <row r="707" spans="1:35" ht="18" hidden="1" x14ac:dyDescent="0.3">
      <c r="A707" s="10" t="s">
        <v>2618</v>
      </c>
      <c r="B707" s="10"/>
      <c r="C707" s="24" t="s">
        <v>2619</v>
      </c>
      <c r="D707" s="12"/>
      <c r="E707" s="12"/>
      <c r="F707" s="18" t="s">
        <v>87</v>
      </c>
      <c r="G707" s="19">
        <v>4.7</v>
      </c>
      <c r="H707" s="19"/>
      <c r="I707" s="19">
        <v>177.19</v>
      </c>
      <c r="J707" s="21">
        <v>66.98</v>
      </c>
      <c r="M707" s="22">
        <f t="shared" si="28"/>
        <v>11868.19</v>
      </c>
      <c r="P707" s="23">
        <v>66.98</v>
      </c>
      <c r="S707" s="22">
        <f t="shared" si="29"/>
        <v>11868.19</v>
      </c>
      <c r="V707" s="9">
        <f t="shared" si="30"/>
        <v>55.82</v>
      </c>
      <c r="Y707" s="9">
        <f t="shared" si="27"/>
        <v>9890.16</v>
      </c>
      <c r="AD707" s="4" t="s">
        <v>2620</v>
      </c>
      <c r="AE707" s="4" t="s">
        <v>2621</v>
      </c>
      <c r="AF707" s="4" t="s">
        <v>2622</v>
      </c>
    </row>
    <row r="708" spans="1:35" ht="18" hidden="1" x14ac:dyDescent="0.3">
      <c r="A708" s="10" t="s">
        <v>2623</v>
      </c>
      <c r="B708" s="10"/>
      <c r="C708" s="17" t="s">
        <v>2624</v>
      </c>
      <c r="D708" s="12"/>
      <c r="E708" s="12"/>
      <c r="F708" s="18" t="s">
        <v>116</v>
      </c>
      <c r="G708" s="19">
        <v>4.2</v>
      </c>
      <c r="H708" s="19"/>
      <c r="I708" s="19">
        <v>158.34</v>
      </c>
      <c r="J708" s="21">
        <v>5.41</v>
      </c>
      <c r="M708" s="22">
        <f t="shared" si="28"/>
        <v>856.62</v>
      </c>
      <c r="P708" s="23">
        <v>5.41</v>
      </c>
      <c r="S708" s="22">
        <f t="shared" si="29"/>
        <v>856.62</v>
      </c>
      <c r="V708" s="9">
        <f t="shared" si="30"/>
        <v>4.51</v>
      </c>
      <c r="Y708" s="9">
        <f t="shared" si="27"/>
        <v>713.85</v>
      </c>
      <c r="AD708" s="4" t="s">
        <v>2625</v>
      </c>
      <c r="AE708" s="4" t="s">
        <v>2626</v>
      </c>
      <c r="AF708" s="4" t="s">
        <v>2627</v>
      </c>
    </row>
    <row r="709" spans="1:35" ht="18" hidden="1" x14ac:dyDescent="0.3">
      <c r="A709" s="10" t="s">
        <v>2628</v>
      </c>
      <c r="B709" s="10"/>
      <c r="C709" s="24" t="s">
        <v>2629</v>
      </c>
      <c r="D709" s="12"/>
      <c r="E709" s="12"/>
      <c r="F709" s="18" t="s">
        <v>87</v>
      </c>
      <c r="G709" s="19">
        <v>1.05</v>
      </c>
      <c r="H709" s="19"/>
      <c r="I709" s="19">
        <v>39.585000000000001</v>
      </c>
      <c r="J709" s="21">
        <v>4.5999999999999996</v>
      </c>
      <c r="M709" s="22">
        <f t="shared" si="28"/>
        <v>182.09</v>
      </c>
      <c r="P709" s="23">
        <v>4.5999999999999996</v>
      </c>
      <c r="S709" s="22">
        <f t="shared" si="29"/>
        <v>182.09</v>
      </c>
      <c r="V709" s="9">
        <f t="shared" si="30"/>
        <v>3.83</v>
      </c>
      <c r="Y709" s="9">
        <f t="shared" si="27"/>
        <v>151.74</v>
      </c>
      <c r="AD709" s="4" t="s">
        <v>2630</v>
      </c>
      <c r="AE709" s="4" t="s">
        <v>2631</v>
      </c>
      <c r="AF709" s="4" t="s">
        <v>2632</v>
      </c>
    </row>
    <row r="710" spans="1:35" ht="18" hidden="1" x14ac:dyDescent="0.3">
      <c r="A710" s="10" t="s">
        <v>2633</v>
      </c>
      <c r="B710" s="10"/>
      <c r="C710" s="24" t="s">
        <v>2634</v>
      </c>
      <c r="D710" s="12"/>
      <c r="E710" s="12"/>
      <c r="F710" s="18" t="s">
        <v>87</v>
      </c>
      <c r="G710" s="19">
        <v>1.25</v>
      </c>
      <c r="H710" s="19"/>
      <c r="I710" s="19">
        <v>47.125</v>
      </c>
      <c r="J710" s="21">
        <v>2.8</v>
      </c>
      <c r="M710" s="22">
        <f t="shared" si="28"/>
        <v>131.94999999999999</v>
      </c>
      <c r="P710" s="23">
        <v>2.8</v>
      </c>
      <c r="S710" s="22">
        <f t="shared" si="29"/>
        <v>131.94999999999999</v>
      </c>
      <c r="V710" s="9">
        <f t="shared" si="30"/>
        <v>2.33</v>
      </c>
      <c r="Y710" s="9">
        <f t="shared" si="27"/>
        <v>109.96</v>
      </c>
      <c r="AD710" s="4" t="s">
        <v>2635</v>
      </c>
      <c r="AE710" s="4" t="s">
        <v>2636</v>
      </c>
      <c r="AF710" s="4" t="s">
        <v>2637</v>
      </c>
    </row>
    <row r="711" spans="1:35" ht="36" hidden="1" x14ac:dyDescent="0.3">
      <c r="A711" s="10" t="s">
        <v>2638</v>
      </c>
      <c r="B711" s="10"/>
      <c r="C711" s="24" t="s">
        <v>433</v>
      </c>
      <c r="D711" s="12"/>
      <c r="E711" s="12"/>
      <c r="F711" s="18" t="s">
        <v>70</v>
      </c>
      <c r="G711" s="19">
        <v>0.1</v>
      </c>
      <c r="H711" s="19"/>
      <c r="I711" s="19">
        <v>3.77</v>
      </c>
      <c r="J711" s="21">
        <v>88.8</v>
      </c>
      <c r="M711" s="22">
        <f t="shared" si="28"/>
        <v>334.78</v>
      </c>
      <c r="P711" s="23">
        <v>88.8</v>
      </c>
      <c r="S711" s="22">
        <f t="shared" si="29"/>
        <v>334.78</v>
      </c>
      <c r="V711" s="9">
        <f t="shared" si="30"/>
        <v>74</v>
      </c>
      <c r="Y711" s="9">
        <f t="shared" si="27"/>
        <v>278.98</v>
      </c>
      <c r="AD711" s="4" t="s">
        <v>2639</v>
      </c>
      <c r="AE711" s="4" t="s">
        <v>2640</v>
      </c>
      <c r="AF711" s="4" t="s">
        <v>436</v>
      </c>
    </row>
    <row r="712" spans="1:35" ht="36" hidden="1" x14ac:dyDescent="0.3">
      <c r="A712" s="10" t="s">
        <v>2641</v>
      </c>
      <c r="B712" s="10"/>
      <c r="C712" s="24" t="s">
        <v>1815</v>
      </c>
      <c r="D712" s="12"/>
      <c r="E712" s="12"/>
      <c r="F712" s="18" t="s">
        <v>64</v>
      </c>
      <c r="G712" s="19">
        <v>1.05</v>
      </c>
      <c r="H712" s="19"/>
      <c r="I712" s="19">
        <v>39.585000000000001</v>
      </c>
      <c r="J712" s="21">
        <v>135.53</v>
      </c>
      <c r="M712" s="22">
        <f t="shared" si="28"/>
        <v>5364.96</v>
      </c>
      <c r="P712" s="23">
        <v>135.53</v>
      </c>
      <c r="S712" s="22">
        <f t="shared" si="29"/>
        <v>5364.96</v>
      </c>
      <c r="V712" s="9">
        <f t="shared" si="30"/>
        <v>112.94</v>
      </c>
      <c r="Y712" s="9">
        <f t="shared" si="27"/>
        <v>4470.8</v>
      </c>
      <c r="AD712" s="4" t="s">
        <v>2642</v>
      </c>
      <c r="AE712" s="4" t="s">
        <v>2643</v>
      </c>
      <c r="AF712" s="4" t="s">
        <v>1818</v>
      </c>
    </row>
    <row r="713" spans="1:35" ht="18" hidden="1" x14ac:dyDescent="0.3">
      <c r="A713" s="10" t="s">
        <v>2644</v>
      </c>
      <c r="B713" s="10"/>
      <c r="C713" s="24" t="s">
        <v>2645</v>
      </c>
      <c r="D713" s="12"/>
      <c r="E713" s="12"/>
      <c r="F713" s="18" t="s">
        <v>116</v>
      </c>
      <c r="G713" s="19">
        <v>0.75</v>
      </c>
      <c r="H713" s="19"/>
      <c r="I713" s="19">
        <v>28.274999999999999</v>
      </c>
      <c r="J713" s="21">
        <v>2.8</v>
      </c>
      <c r="M713" s="22">
        <f t="shared" si="28"/>
        <v>79.17</v>
      </c>
      <c r="P713" s="23">
        <v>2.8</v>
      </c>
      <c r="S713" s="22">
        <f t="shared" si="29"/>
        <v>79.17</v>
      </c>
      <c r="V713" s="9">
        <f t="shared" si="30"/>
        <v>2.33</v>
      </c>
      <c r="Y713" s="9">
        <f t="shared" si="27"/>
        <v>65.98</v>
      </c>
      <c r="AD713" s="4" t="s">
        <v>2646</v>
      </c>
      <c r="AE713" s="4" t="s">
        <v>2647</v>
      </c>
      <c r="AF713" s="4" t="s">
        <v>2648</v>
      </c>
    </row>
    <row r="714" spans="1:35" ht="36" hidden="1" x14ac:dyDescent="0.3">
      <c r="A714" s="10" t="s">
        <v>2649</v>
      </c>
      <c r="B714" s="10" t="s">
        <v>2585</v>
      </c>
      <c r="C714" s="11" t="s">
        <v>2586</v>
      </c>
      <c r="D714" s="12"/>
      <c r="E714" s="12" t="s">
        <v>2650</v>
      </c>
      <c r="F714" s="12" t="s">
        <v>64</v>
      </c>
      <c r="G714" s="13">
        <v>1</v>
      </c>
      <c r="H714" s="13"/>
      <c r="I714" s="13">
        <v>31.97</v>
      </c>
      <c r="J714" s="14">
        <f>IFERROR(ROUND(SUM(M715,M716,M717,M718,M719,M720,M721,M722,M723,M724,M725,M726)/I714, 2),0)</f>
        <v>470.69</v>
      </c>
      <c r="K714" s="15">
        <v>1199</v>
      </c>
      <c r="L714" s="14">
        <f>J714+ROUND(K714, 2)</f>
        <v>1669.69</v>
      </c>
      <c r="M714" s="14">
        <f>ROUND(J714*I714, 2)</f>
        <v>15047.96</v>
      </c>
      <c r="N714" s="14">
        <f>ROUND(I714*ROUND(K714, 2), 2)</f>
        <v>38332.03</v>
      </c>
      <c r="O714" s="14">
        <f>M714+N714</f>
        <v>53379.99</v>
      </c>
      <c r="P714" s="14">
        <f>IFERROR(ROUND(SUM(S715,S716,S717,S718,S719,S720,S721,S722,S723,S724,S725,S726)/I714, 2),0)</f>
        <v>470.69</v>
      </c>
      <c r="Q714" s="16">
        <v>1199</v>
      </c>
      <c r="R714" s="14">
        <f>P714+ROUND(Q714, 2)</f>
        <v>1669.69</v>
      </c>
      <c r="S714" s="14">
        <f>ROUND(P714*I714, 2)</f>
        <v>15047.96</v>
      </c>
      <c r="T714" s="14">
        <f>ROUND(I714*ROUND(Q714, 2), 2)</f>
        <v>38332.03</v>
      </c>
      <c r="U714" s="14">
        <f>S714+T714</f>
        <v>53379.99</v>
      </c>
      <c r="V714" s="9">
        <f>ROUND(P714 / 1.2, 2)</f>
        <v>392.24</v>
      </c>
      <c r="W714" s="9">
        <f>ROUND(Q714 / 1.2, 2)</f>
        <v>999.17</v>
      </c>
      <c r="X714" s="9">
        <f>ROUND(R714 / 1.2, 2)</f>
        <v>1391.41</v>
      </c>
      <c r="Y714" s="9">
        <f t="shared" si="27"/>
        <v>12539.97</v>
      </c>
      <c r="Z714" s="9">
        <f>ROUND(T714 / 1.2, 2)</f>
        <v>31943.360000000001</v>
      </c>
      <c r="AA714" s="9">
        <f>Y714+Z714</f>
        <v>44483.33</v>
      </c>
      <c r="AD714" s="4">
        <v>271132300</v>
      </c>
      <c r="AE714" s="4">
        <v>19825684</v>
      </c>
      <c r="AG714" s="4" t="s">
        <v>2588</v>
      </c>
      <c r="AH714" s="4" t="s">
        <v>2589</v>
      </c>
      <c r="AI714" s="4" t="s">
        <v>67</v>
      </c>
    </row>
    <row r="715" spans="1:35" ht="18" hidden="1" x14ac:dyDescent="0.3">
      <c r="A715" s="10" t="s">
        <v>2651</v>
      </c>
      <c r="B715" s="10"/>
      <c r="C715" s="24" t="s">
        <v>2645</v>
      </c>
      <c r="D715" s="12"/>
      <c r="E715" s="12"/>
      <c r="F715" s="18" t="s">
        <v>116</v>
      </c>
      <c r="G715" s="19">
        <v>0.75</v>
      </c>
      <c r="H715" s="19"/>
      <c r="I715" s="19">
        <v>23.978000000000002</v>
      </c>
      <c r="J715" s="21">
        <v>2.8</v>
      </c>
      <c r="M715" s="22">
        <f t="shared" ref="M715:M726" si="31">ROUND(ROUND(J715, 2)*I715, 2)</f>
        <v>67.14</v>
      </c>
      <c r="P715" s="23">
        <v>2.8</v>
      </c>
      <c r="S715" s="22">
        <f t="shared" ref="S715:S726" si="32">ROUND(ROUND(P715, 2)*I715, 2)</f>
        <v>67.14</v>
      </c>
      <c r="V715" s="9">
        <f t="shared" ref="V715:V726" si="33">ROUND(ROUND(P715, 2)/1.2, 2)</f>
        <v>2.33</v>
      </c>
      <c r="Y715" s="9">
        <f t="shared" si="27"/>
        <v>55.95</v>
      </c>
      <c r="AD715" s="4" t="s">
        <v>2652</v>
      </c>
      <c r="AE715" s="4" t="s">
        <v>2653</v>
      </c>
      <c r="AF715" s="4" t="s">
        <v>2648</v>
      </c>
    </row>
    <row r="716" spans="1:35" ht="36" hidden="1" x14ac:dyDescent="0.3">
      <c r="A716" s="10" t="s">
        <v>2654</v>
      </c>
      <c r="B716" s="10"/>
      <c r="C716" s="24" t="s">
        <v>433</v>
      </c>
      <c r="D716" s="12"/>
      <c r="E716" s="12"/>
      <c r="F716" s="18" t="s">
        <v>70</v>
      </c>
      <c r="G716" s="19">
        <v>0.1</v>
      </c>
      <c r="H716" s="19"/>
      <c r="I716" s="19">
        <v>3.1970000000000001</v>
      </c>
      <c r="J716" s="21">
        <v>88.8</v>
      </c>
      <c r="M716" s="22">
        <f t="shared" si="31"/>
        <v>283.89</v>
      </c>
      <c r="P716" s="23">
        <v>88.8</v>
      </c>
      <c r="S716" s="22">
        <f t="shared" si="32"/>
        <v>283.89</v>
      </c>
      <c r="V716" s="9">
        <f t="shared" si="33"/>
        <v>74</v>
      </c>
      <c r="Y716" s="9">
        <f t="shared" si="27"/>
        <v>236.58</v>
      </c>
      <c r="AD716" s="4" t="s">
        <v>2655</v>
      </c>
      <c r="AE716" s="4" t="s">
        <v>2656</v>
      </c>
      <c r="AF716" s="4" t="s">
        <v>436</v>
      </c>
    </row>
    <row r="717" spans="1:35" ht="18" hidden="1" x14ac:dyDescent="0.3">
      <c r="A717" s="10" t="s">
        <v>2657</v>
      </c>
      <c r="B717" s="10"/>
      <c r="C717" s="24" t="s">
        <v>2634</v>
      </c>
      <c r="D717" s="12"/>
      <c r="E717" s="12"/>
      <c r="F717" s="18" t="s">
        <v>87</v>
      </c>
      <c r="G717" s="19">
        <v>1.25</v>
      </c>
      <c r="H717" s="19"/>
      <c r="I717" s="19">
        <v>39.963000000000001</v>
      </c>
      <c r="J717" s="21">
        <v>2.8</v>
      </c>
      <c r="M717" s="22">
        <f t="shared" si="31"/>
        <v>111.9</v>
      </c>
      <c r="P717" s="23">
        <v>2.8</v>
      </c>
      <c r="S717" s="22">
        <f t="shared" si="32"/>
        <v>111.9</v>
      </c>
      <c r="V717" s="9">
        <f t="shared" si="33"/>
        <v>2.33</v>
      </c>
      <c r="Y717" s="9">
        <f t="shared" si="27"/>
        <v>93.25</v>
      </c>
      <c r="AD717" s="4" t="s">
        <v>2658</v>
      </c>
      <c r="AE717" s="4" t="s">
        <v>2659</v>
      </c>
      <c r="AF717" s="4" t="s">
        <v>2637</v>
      </c>
    </row>
    <row r="718" spans="1:35" ht="18" hidden="1" x14ac:dyDescent="0.3">
      <c r="A718" s="10" t="s">
        <v>2660</v>
      </c>
      <c r="B718" s="10"/>
      <c r="C718" s="24" t="s">
        <v>2629</v>
      </c>
      <c r="D718" s="12"/>
      <c r="E718" s="12"/>
      <c r="F718" s="18" t="s">
        <v>87</v>
      </c>
      <c r="G718" s="19">
        <v>1.05</v>
      </c>
      <c r="H718" s="19"/>
      <c r="I718" s="19">
        <v>33.569000000000003</v>
      </c>
      <c r="J718" s="21">
        <v>4.5999999999999996</v>
      </c>
      <c r="M718" s="22">
        <f t="shared" si="31"/>
        <v>154.41999999999999</v>
      </c>
      <c r="P718" s="23">
        <v>4.5999999999999996</v>
      </c>
      <c r="S718" s="22">
        <f t="shared" si="32"/>
        <v>154.41999999999999</v>
      </c>
      <c r="V718" s="9">
        <f t="shared" si="33"/>
        <v>3.83</v>
      </c>
      <c r="Y718" s="9">
        <f t="shared" si="27"/>
        <v>128.68</v>
      </c>
      <c r="AD718" s="4" t="s">
        <v>2661</v>
      </c>
      <c r="AE718" s="4" t="s">
        <v>2662</v>
      </c>
      <c r="AF718" s="4" t="s">
        <v>2632</v>
      </c>
    </row>
    <row r="719" spans="1:35" ht="18" hidden="1" x14ac:dyDescent="0.3">
      <c r="A719" s="10" t="s">
        <v>2663</v>
      </c>
      <c r="B719" s="10"/>
      <c r="C719" s="24" t="s">
        <v>1856</v>
      </c>
      <c r="D719" s="12"/>
      <c r="E719" s="12"/>
      <c r="F719" s="18" t="s">
        <v>64</v>
      </c>
      <c r="G719" s="19">
        <v>1.05</v>
      </c>
      <c r="H719" s="19"/>
      <c r="I719" s="19">
        <v>33.569000000000003</v>
      </c>
      <c r="J719" s="21">
        <v>0</v>
      </c>
      <c r="M719" s="22">
        <f t="shared" si="31"/>
        <v>0</v>
      </c>
      <c r="P719" s="23">
        <v>0</v>
      </c>
      <c r="S719" s="22">
        <f t="shared" si="32"/>
        <v>0</v>
      </c>
      <c r="V719" s="9">
        <f t="shared" si="33"/>
        <v>0</v>
      </c>
      <c r="Y719" s="9">
        <f t="shared" si="27"/>
        <v>0</v>
      </c>
      <c r="AD719" s="4" t="s">
        <v>2664</v>
      </c>
      <c r="AE719" s="4" t="s">
        <v>2665</v>
      </c>
      <c r="AF719" s="4" t="s">
        <v>1859</v>
      </c>
    </row>
    <row r="720" spans="1:35" ht="18" hidden="1" x14ac:dyDescent="0.3">
      <c r="A720" s="10" t="s">
        <v>2666</v>
      </c>
      <c r="B720" s="10"/>
      <c r="C720" s="17" t="s">
        <v>2624</v>
      </c>
      <c r="D720" s="12"/>
      <c r="E720" s="12"/>
      <c r="F720" s="18" t="s">
        <v>116</v>
      </c>
      <c r="G720" s="19">
        <v>4.2</v>
      </c>
      <c r="H720" s="19"/>
      <c r="I720" s="19">
        <v>134.274</v>
      </c>
      <c r="J720" s="21">
        <v>5.41</v>
      </c>
      <c r="M720" s="22">
        <f t="shared" si="31"/>
        <v>726.42</v>
      </c>
      <c r="P720" s="23">
        <v>5.41</v>
      </c>
      <c r="S720" s="22">
        <f t="shared" si="32"/>
        <v>726.42</v>
      </c>
      <c r="V720" s="9">
        <f t="shared" si="33"/>
        <v>4.51</v>
      </c>
      <c r="Y720" s="9">
        <f t="shared" si="27"/>
        <v>605.35</v>
      </c>
      <c r="AD720" s="4" t="s">
        <v>2667</v>
      </c>
      <c r="AE720" s="4" t="s">
        <v>2668</v>
      </c>
      <c r="AF720" s="4" t="s">
        <v>2627</v>
      </c>
    </row>
    <row r="721" spans="1:35" ht="18" hidden="1" x14ac:dyDescent="0.3">
      <c r="A721" s="10" t="s">
        <v>2669</v>
      </c>
      <c r="B721" s="10"/>
      <c r="C721" s="24" t="s">
        <v>2614</v>
      </c>
      <c r="D721" s="12"/>
      <c r="E721" s="12"/>
      <c r="F721" s="18" t="s">
        <v>87</v>
      </c>
      <c r="G721" s="19">
        <v>0.3</v>
      </c>
      <c r="H721" s="19"/>
      <c r="I721" s="19">
        <v>9.5909999999999993</v>
      </c>
      <c r="J721" s="21">
        <v>49.04</v>
      </c>
      <c r="M721" s="22">
        <f t="shared" si="31"/>
        <v>470.34</v>
      </c>
      <c r="P721" s="23">
        <v>49.04</v>
      </c>
      <c r="S721" s="22">
        <f t="shared" si="32"/>
        <v>470.34</v>
      </c>
      <c r="V721" s="9">
        <f t="shared" si="33"/>
        <v>40.869999999999997</v>
      </c>
      <c r="Y721" s="9">
        <f t="shared" si="27"/>
        <v>391.95</v>
      </c>
      <c r="AD721" s="4" t="s">
        <v>2670</v>
      </c>
      <c r="AE721" s="4" t="s">
        <v>2671</v>
      </c>
      <c r="AF721" s="4" t="s">
        <v>2617</v>
      </c>
    </row>
    <row r="722" spans="1:35" ht="18" hidden="1" x14ac:dyDescent="0.3">
      <c r="A722" s="10" t="s">
        <v>2672</v>
      </c>
      <c r="B722" s="10"/>
      <c r="C722" s="24" t="s">
        <v>2619</v>
      </c>
      <c r="D722" s="12"/>
      <c r="E722" s="12"/>
      <c r="F722" s="18" t="s">
        <v>87</v>
      </c>
      <c r="G722" s="19">
        <v>4.7</v>
      </c>
      <c r="H722" s="19"/>
      <c r="I722" s="19">
        <v>150.25899999999999</v>
      </c>
      <c r="J722" s="21">
        <v>66.98</v>
      </c>
      <c r="M722" s="22">
        <f t="shared" si="31"/>
        <v>10064.35</v>
      </c>
      <c r="P722" s="23">
        <v>66.98</v>
      </c>
      <c r="S722" s="22">
        <f t="shared" si="32"/>
        <v>10064.35</v>
      </c>
      <c r="V722" s="9">
        <f t="shared" si="33"/>
        <v>55.82</v>
      </c>
      <c r="Y722" s="9">
        <f t="shared" si="27"/>
        <v>8386.9599999999991</v>
      </c>
      <c r="AD722" s="4" t="s">
        <v>2673</v>
      </c>
      <c r="AE722" s="4" t="s">
        <v>2674</v>
      </c>
      <c r="AF722" s="4" t="s">
        <v>2622</v>
      </c>
    </row>
    <row r="723" spans="1:35" ht="36" hidden="1" x14ac:dyDescent="0.3">
      <c r="A723" s="10" t="s">
        <v>2675</v>
      </c>
      <c r="B723" s="10"/>
      <c r="C723" s="17" t="s">
        <v>2609</v>
      </c>
      <c r="D723" s="12"/>
      <c r="E723" s="12"/>
      <c r="F723" s="18" t="s">
        <v>116</v>
      </c>
      <c r="G723" s="19">
        <v>3.6</v>
      </c>
      <c r="H723" s="19"/>
      <c r="I723" s="19">
        <v>115.092</v>
      </c>
      <c r="J723" s="21">
        <v>15.9</v>
      </c>
      <c r="M723" s="22">
        <f t="shared" si="31"/>
        <v>1829.96</v>
      </c>
      <c r="P723" s="23">
        <v>15.9</v>
      </c>
      <c r="S723" s="22">
        <f t="shared" si="32"/>
        <v>1829.96</v>
      </c>
      <c r="V723" s="9">
        <f t="shared" si="33"/>
        <v>13.25</v>
      </c>
      <c r="Y723" s="9">
        <f t="shared" si="27"/>
        <v>1524.97</v>
      </c>
      <c r="AD723" s="4" t="s">
        <v>2676</v>
      </c>
      <c r="AE723" s="4" t="s">
        <v>2677</v>
      </c>
      <c r="AF723" s="4" t="s">
        <v>2612</v>
      </c>
    </row>
    <row r="724" spans="1:35" ht="18" hidden="1" x14ac:dyDescent="0.3">
      <c r="A724" s="10" t="s">
        <v>2678</v>
      </c>
      <c r="B724" s="10"/>
      <c r="C724" s="24" t="s">
        <v>1805</v>
      </c>
      <c r="D724" s="12"/>
      <c r="E724" s="12"/>
      <c r="F724" s="18" t="s">
        <v>70</v>
      </c>
      <c r="G724" s="19">
        <v>0.35</v>
      </c>
      <c r="H724" s="19"/>
      <c r="I724" s="19">
        <v>11.19</v>
      </c>
      <c r="J724" s="21">
        <v>55</v>
      </c>
      <c r="M724" s="22">
        <f t="shared" si="31"/>
        <v>615.45000000000005</v>
      </c>
      <c r="P724" s="23">
        <v>55</v>
      </c>
      <c r="S724" s="22">
        <f t="shared" si="32"/>
        <v>615.45000000000005</v>
      </c>
      <c r="V724" s="9">
        <f t="shared" si="33"/>
        <v>45.83</v>
      </c>
      <c r="Y724" s="9">
        <f t="shared" si="27"/>
        <v>512.88</v>
      </c>
      <c r="AD724" s="4" t="s">
        <v>2679</v>
      </c>
      <c r="AE724" s="4" t="s">
        <v>2680</v>
      </c>
      <c r="AF724" s="4" t="s">
        <v>1808</v>
      </c>
    </row>
    <row r="725" spans="1:35" ht="18" hidden="1" x14ac:dyDescent="0.3">
      <c r="A725" s="10" t="s">
        <v>2681</v>
      </c>
      <c r="B725" s="10"/>
      <c r="C725" s="24" t="s">
        <v>2596</v>
      </c>
      <c r="D725" s="12"/>
      <c r="E725" s="12"/>
      <c r="F725" s="18" t="s">
        <v>116</v>
      </c>
      <c r="G725" s="19">
        <v>30</v>
      </c>
      <c r="H725" s="19"/>
      <c r="I725" s="19">
        <v>959.1</v>
      </c>
      <c r="J725" s="21">
        <v>0.28000000000000003</v>
      </c>
      <c r="M725" s="22">
        <f t="shared" si="31"/>
        <v>268.55</v>
      </c>
      <c r="P725" s="23">
        <v>0.28000000000000003</v>
      </c>
      <c r="S725" s="22">
        <f t="shared" si="32"/>
        <v>268.55</v>
      </c>
      <c r="V725" s="9">
        <f t="shared" si="33"/>
        <v>0.23</v>
      </c>
      <c r="Y725" s="9">
        <f t="shared" si="27"/>
        <v>223.79</v>
      </c>
      <c r="AD725" s="4" t="s">
        <v>2682</v>
      </c>
      <c r="AE725" s="4" t="s">
        <v>2683</v>
      </c>
      <c r="AF725" s="4" t="s">
        <v>2599</v>
      </c>
    </row>
    <row r="726" spans="1:35" ht="18" hidden="1" x14ac:dyDescent="0.3">
      <c r="A726" s="10" t="s">
        <v>2684</v>
      </c>
      <c r="B726" s="10"/>
      <c r="C726" s="24" t="s">
        <v>2591</v>
      </c>
      <c r="D726" s="12"/>
      <c r="E726" s="12"/>
      <c r="F726" s="18" t="s">
        <v>116</v>
      </c>
      <c r="G726" s="19">
        <v>15</v>
      </c>
      <c r="H726" s="19"/>
      <c r="I726" s="19">
        <v>479.55</v>
      </c>
      <c r="J726" s="21">
        <v>0.95</v>
      </c>
      <c r="M726" s="22">
        <f t="shared" si="31"/>
        <v>455.57</v>
      </c>
      <c r="P726" s="23">
        <v>0.95</v>
      </c>
      <c r="S726" s="22">
        <f t="shared" si="32"/>
        <v>455.57</v>
      </c>
      <c r="V726" s="9">
        <f t="shared" si="33"/>
        <v>0.79</v>
      </c>
      <c r="Y726" s="9">
        <f t="shared" si="27"/>
        <v>379.64</v>
      </c>
      <c r="AD726" s="4" t="s">
        <v>2685</v>
      </c>
      <c r="AE726" s="4" t="s">
        <v>2686</v>
      </c>
      <c r="AF726" s="4" t="s">
        <v>2594</v>
      </c>
    </row>
    <row r="727" spans="1:35" ht="36" hidden="1" x14ac:dyDescent="0.3">
      <c r="A727" s="10" t="s">
        <v>2687</v>
      </c>
      <c r="B727" s="10" t="s">
        <v>2585</v>
      </c>
      <c r="C727" s="11" t="s">
        <v>2586</v>
      </c>
      <c r="D727" s="12"/>
      <c r="E727" s="12" t="s">
        <v>2688</v>
      </c>
      <c r="F727" s="12" t="s">
        <v>64</v>
      </c>
      <c r="G727" s="13">
        <v>1</v>
      </c>
      <c r="H727" s="13"/>
      <c r="I727" s="13">
        <v>246.36</v>
      </c>
      <c r="J727" s="14">
        <f>IFERROR(ROUND(SUM(M728,M729,M730,M731,M732,M733,M734,M735,M736,M737,M738)/I727, 2),0)</f>
        <v>586.54999999999995</v>
      </c>
      <c r="K727" s="15">
        <v>1199</v>
      </c>
      <c r="L727" s="14">
        <f>J727+ROUND(K727, 2)</f>
        <v>1785.55</v>
      </c>
      <c r="M727" s="14">
        <f>ROUND(J727*I727, 2)</f>
        <v>144502.46</v>
      </c>
      <c r="N727" s="14">
        <f>ROUND(I727*ROUND(K727, 2), 2)</f>
        <v>295385.64</v>
      </c>
      <c r="O727" s="14">
        <f>M727+N727</f>
        <v>439888.1</v>
      </c>
      <c r="P727" s="14">
        <f>IFERROR(ROUND(SUM(S728,S729,S730,S731,S732,S733,S734,S735,S736,S737,S738)/I727, 2),0)</f>
        <v>586.54999999999995</v>
      </c>
      <c r="Q727" s="16">
        <v>1199</v>
      </c>
      <c r="R727" s="14">
        <f>P727+ROUND(Q727, 2)</f>
        <v>1785.55</v>
      </c>
      <c r="S727" s="14">
        <f>ROUND(P727*I727, 2)</f>
        <v>144502.46</v>
      </c>
      <c r="T727" s="14">
        <f>ROUND(I727*ROUND(Q727, 2), 2)</f>
        <v>295385.64</v>
      </c>
      <c r="U727" s="14">
        <f>S727+T727</f>
        <v>439888.1</v>
      </c>
      <c r="V727" s="9">
        <f>ROUND(P727 / 1.2, 2)</f>
        <v>488.79</v>
      </c>
      <c r="W727" s="9">
        <f>ROUND(Q727 / 1.2, 2)</f>
        <v>999.17</v>
      </c>
      <c r="X727" s="9">
        <f>ROUND(R727 / 1.2, 2)</f>
        <v>1487.96</v>
      </c>
      <c r="Y727" s="9">
        <f t="shared" si="27"/>
        <v>120418.72</v>
      </c>
      <c r="Z727" s="9">
        <f>ROUND(T727 / 1.2, 2)</f>
        <v>246154.7</v>
      </c>
      <c r="AA727" s="9">
        <f>Y727+Z727</f>
        <v>366573.42000000004</v>
      </c>
      <c r="AD727" s="4">
        <v>271132301</v>
      </c>
      <c r="AE727" s="4">
        <v>20004302</v>
      </c>
      <c r="AG727" s="4" t="s">
        <v>2588</v>
      </c>
      <c r="AH727" s="4" t="s">
        <v>2589</v>
      </c>
      <c r="AI727" s="4" t="s">
        <v>67</v>
      </c>
    </row>
    <row r="728" spans="1:35" ht="18" hidden="1" x14ac:dyDescent="0.3">
      <c r="A728" s="10" t="s">
        <v>2689</v>
      </c>
      <c r="B728" s="10"/>
      <c r="C728" s="24" t="s">
        <v>2645</v>
      </c>
      <c r="D728" s="12"/>
      <c r="E728" s="12"/>
      <c r="F728" s="18" t="s">
        <v>116</v>
      </c>
      <c r="G728" s="19">
        <v>0.75</v>
      </c>
      <c r="H728" s="19"/>
      <c r="I728" s="19">
        <v>184.77</v>
      </c>
      <c r="J728" s="21">
        <v>2.8</v>
      </c>
      <c r="M728" s="22">
        <f t="shared" ref="M728:M738" si="34">ROUND(ROUND(J728, 2)*I728, 2)</f>
        <v>517.36</v>
      </c>
      <c r="P728" s="23">
        <v>2.8</v>
      </c>
      <c r="S728" s="22">
        <f t="shared" ref="S728:S738" si="35">ROUND(ROUND(P728, 2)*I728, 2)</f>
        <v>517.36</v>
      </c>
      <c r="V728" s="9">
        <f t="shared" ref="V728:V738" si="36">ROUND(ROUND(P728, 2)/1.2, 2)</f>
        <v>2.33</v>
      </c>
      <c r="Y728" s="9">
        <f t="shared" si="27"/>
        <v>431.13</v>
      </c>
      <c r="AD728" s="4" t="s">
        <v>2690</v>
      </c>
      <c r="AE728" s="4" t="s">
        <v>2691</v>
      </c>
      <c r="AF728" s="4" t="s">
        <v>2648</v>
      </c>
    </row>
    <row r="729" spans="1:35" ht="36" hidden="1" x14ac:dyDescent="0.3">
      <c r="A729" s="10" t="s">
        <v>2692</v>
      </c>
      <c r="B729" s="10"/>
      <c r="C729" s="24" t="s">
        <v>1815</v>
      </c>
      <c r="D729" s="12"/>
      <c r="E729" s="12"/>
      <c r="F729" s="18" t="s">
        <v>64</v>
      </c>
      <c r="G729" s="19">
        <v>1.05</v>
      </c>
      <c r="H729" s="19"/>
      <c r="I729" s="19">
        <v>258.678</v>
      </c>
      <c r="J729" s="21">
        <v>135.53</v>
      </c>
      <c r="M729" s="22">
        <f t="shared" si="34"/>
        <v>35058.629999999997</v>
      </c>
      <c r="P729" s="23">
        <v>135.53</v>
      </c>
      <c r="S729" s="22">
        <f t="shared" si="35"/>
        <v>35058.629999999997</v>
      </c>
      <c r="V729" s="9">
        <f t="shared" si="36"/>
        <v>112.94</v>
      </c>
      <c r="Y729" s="9">
        <f t="shared" si="27"/>
        <v>29215.53</v>
      </c>
      <c r="AD729" s="4" t="s">
        <v>2693</v>
      </c>
      <c r="AE729" s="4" t="s">
        <v>2694</v>
      </c>
      <c r="AF729" s="4" t="s">
        <v>1818</v>
      </c>
    </row>
    <row r="730" spans="1:35" ht="18" hidden="1" x14ac:dyDescent="0.3">
      <c r="A730" s="10" t="s">
        <v>2695</v>
      </c>
      <c r="B730" s="10"/>
      <c r="C730" s="24" t="s">
        <v>2634</v>
      </c>
      <c r="D730" s="12"/>
      <c r="E730" s="12"/>
      <c r="F730" s="18" t="s">
        <v>87</v>
      </c>
      <c r="G730" s="19">
        <v>1.25</v>
      </c>
      <c r="H730" s="19"/>
      <c r="I730" s="19">
        <v>307.95</v>
      </c>
      <c r="J730" s="21">
        <v>2.8</v>
      </c>
      <c r="M730" s="22">
        <f t="shared" si="34"/>
        <v>862.26</v>
      </c>
      <c r="P730" s="23">
        <v>2.8</v>
      </c>
      <c r="S730" s="22">
        <f t="shared" si="35"/>
        <v>862.26</v>
      </c>
      <c r="V730" s="9">
        <f t="shared" si="36"/>
        <v>2.33</v>
      </c>
      <c r="Y730" s="9">
        <f t="shared" si="27"/>
        <v>718.55</v>
      </c>
      <c r="AD730" s="4" t="s">
        <v>2696</v>
      </c>
      <c r="AE730" s="4" t="s">
        <v>2697</v>
      </c>
      <c r="AF730" s="4" t="s">
        <v>2637</v>
      </c>
    </row>
    <row r="731" spans="1:35" ht="18" hidden="1" x14ac:dyDescent="0.3">
      <c r="A731" s="10" t="s">
        <v>2698</v>
      </c>
      <c r="B731" s="10"/>
      <c r="C731" s="24" t="s">
        <v>2629</v>
      </c>
      <c r="D731" s="12"/>
      <c r="E731" s="12"/>
      <c r="F731" s="18" t="s">
        <v>87</v>
      </c>
      <c r="G731" s="19">
        <v>1.05</v>
      </c>
      <c r="H731" s="19"/>
      <c r="I731" s="19">
        <v>258.678</v>
      </c>
      <c r="J731" s="21">
        <v>4.5999999999999996</v>
      </c>
      <c r="M731" s="22">
        <f t="shared" si="34"/>
        <v>1189.92</v>
      </c>
      <c r="P731" s="23">
        <v>4.5999999999999996</v>
      </c>
      <c r="S731" s="22">
        <f t="shared" si="35"/>
        <v>1189.92</v>
      </c>
      <c r="V731" s="9">
        <f t="shared" si="36"/>
        <v>3.83</v>
      </c>
      <c r="Y731" s="9">
        <f t="shared" si="27"/>
        <v>991.6</v>
      </c>
      <c r="AD731" s="4" t="s">
        <v>2699</v>
      </c>
      <c r="AE731" s="4" t="s">
        <v>2700</v>
      </c>
      <c r="AF731" s="4" t="s">
        <v>2632</v>
      </c>
    </row>
    <row r="732" spans="1:35" ht="18" hidden="1" x14ac:dyDescent="0.3">
      <c r="A732" s="10" t="s">
        <v>2701</v>
      </c>
      <c r="B732" s="10"/>
      <c r="C732" s="17" t="s">
        <v>2624</v>
      </c>
      <c r="D732" s="12"/>
      <c r="E732" s="12"/>
      <c r="F732" s="18" t="s">
        <v>116</v>
      </c>
      <c r="G732" s="19">
        <v>4.2</v>
      </c>
      <c r="H732" s="19"/>
      <c r="I732" s="19">
        <v>1034.712</v>
      </c>
      <c r="J732" s="21">
        <v>5.41</v>
      </c>
      <c r="M732" s="22">
        <f t="shared" si="34"/>
        <v>5597.79</v>
      </c>
      <c r="P732" s="23">
        <v>5.41</v>
      </c>
      <c r="S732" s="22">
        <f t="shared" si="35"/>
        <v>5597.79</v>
      </c>
      <c r="V732" s="9">
        <f t="shared" si="36"/>
        <v>4.51</v>
      </c>
      <c r="Y732" s="9">
        <f t="shared" si="27"/>
        <v>4664.83</v>
      </c>
      <c r="AD732" s="4" t="s">
        <v>2702</v>
      </c>
      <c r="AE732" s="4" t="s">
        <v>2703</v>
      </c>
      <c r="AF732" s="4" t="s">
        <v>2627</v>
      </c>
    </row>
    <row r="733" spans="1:35" ht="18" hidden="1" x14ac:dyDescent="0.3">
      <c r="A733" s="10" t="s">
        <v>2704</v>
      </c>
      <c r="B733" s="10"/>
      <c r="C733" s="24" t="s">
        <v>2614</v>
      </c>
      <c r="D733" s="12"/>
      <c r="E733" s="12"/>
      <c r="F733" s="18" t="s">
        <v>87</v>
      </c>
      <c r="G733" s="19">
        <v>0.3</v>
      </c>
      <c r="H733" s="19"/>
      <c r="I733" s="19">
        <v>73.908000000000001</v>
      </c>
      <c r="J733" s="21">
        <v>49.04</v>
      </c>
      <c r="M733" s="22">
        <f t="shared" si="34"/>
        <v>3624.45</v>
      </c>
      <c r="P733" s="23">
        <v>49.04</v>
      </c>
      <c r="S733" s="22">
        <f t="shared" si="35"/>
        <v>3624.45</v>
      </c>
      <c r="V733" s="9">
        <f t="shared" si="36"/>
        <v>40.869999999999997</v>
      </c>
      <c r="Y733" s="9">
        <f t="shared" si="27"/>
        <v>3020.38</v>
      </c>
      <c r="AD733" s="4" t="s">
        <v>2705</v>
      </c>
      <c r="AE733" s="4" t="s">
        <v>2706</v>
      </c>
      <c r="AF733" s="4" t="s">
        <v>2617</v>
      </c>
    </row>
    <row r="734" spans="1:35" ht="18" hidden="1" x14ac:dyDescent="0.3">
      <c r="A734" s="10" t="s">
        <v>2707</v>
      </c>
      <c r="B734" s="10"/>
      <c r="C734" s="24" t="s">
        <v>2619</v>
      </c>
      <c r="D734" s="12"/>
      <c r="E734" s="12"/>
      <c r="F734" s="18" t="s">
        <v>87</v>
      </c>
      <c r="G734" s="19">
        <v>4.7</v>
      </c>
      <c r="H734" s="19"/>
      <c r="I734" s="19">
        <v>1157.8920000000001</v>
      </c>
      <c r="J734" s="21">
        <v>66.98</v>
      </c>
      <c r="M734" s="22">
        <f t="shared" si="34"/>
        <v>77555.61</v>
      </c>
      <c r="P734" s="23">
        <v>66.98</v>
      </c>
      <c r="S734" s="22">
        <f t="shared" si="35"/>
        <v>77555.61</v>
      </c>
      <c r="V734" s="9">
        <f t="shared" si="36"/>
        <v>55.82</v>
      </c>
      <c r="Y734" s="9">
        <f t="shared" si="27"/>
        <v>64629.68</v>
      </c>
      <c r="AD734" s="4" t="s">
        <v>2708</v>
      </c>
      <c r="AE734" s="4" t="s">
        <v>2709</v>
      </c>
      <c r="AF734" s="4" t="s">
        <v>2622</v>
      </c>
    </row>
    <row r="735" spans="1:35" ht="36" hidden="1" x14ac:dyDescent="0.3">
      <c r="A735" s="10" t="s">
        <v>2710</v>
      </c>
      <c r="B735" s="10"/>
      <c r="C735" s="17" t="s">
        <v>2609</v>
      </c>
      <c r="D735" s="12"/>
      <c r="E735" s="12"/>
      <c r="F735" s="18" t="s">
        <v>116</v>
      </c>
      <c r="G735" s="19">
        <v>3.6</v>
      </c>
      <c r="H735" s="19"/>
      <c r="I735" s="19">
        <v>886.89599999999996</v>
      </c>
      <c r="J735" s="21">
        <v>15.9</v>
      </c>
      <c r="M735" s="22">
        <f t="shared" si="34"/>
        <v>14101.65</v>
      </c>
      <c r="P735" s="23">
        <v>15.9</v>
      </c>
      <c r="S735" s="22">
        <f t="shared" si="35"/>
        <v>14101.65</v>
      </c>
      <c r="V735" s="9">
        <f t="shared" si="36"/>
        <v>13.25</v>
      </c>
      <c r="Y735" s="9">
        <f t="shared" si="27"/>
        <v>11751.38</v>
      </c>
      <c r="AD735" s="4" t="s">
        <v>2711</v>
      </c>
      <c r="AE735" s="4" t="s">
        <v>2712</v>
      </c>
      <c r="AF735" s="4" t="s">
        <v>2612</v>
      </c>
    </row>
    <row r="736" spans="1:35" ht="18" hidden="1" x14ac:dyDescent="0.3">
      <c r="A736" s="10" t="s">
        <v>2713</v>
      </c>
      <c r="B736" s="10"/>
      <c r="C736" s="24" t="s">
        <v>2604</v>
      </c>
      <c r="D736" s="12"/>
      <c r="E736" s="12"/>
      <c r="F736" s="18" t="s">
        <v>116</v>
      </c>
      <c r="G736" s="19">
        <v>0.3</v>
      </c>
      <c r="H736" s="19"/>
      <c r="I736" s="19">
        <v>73.908000000000001</v>
      </c>
      <c r="J736" s="21">
        <v>5.6</v>
      </c>
      <c r="M736" s="22">
        <f t="shared" si="34"/>
        <v>413.88</v>
      </c>
      <c r="P736" s="23">
        <v>5.6</v>
      </c>
      <c r="S736" s="22">
        <f t="shared" si="35"/>
        <v>413.88</v>
      </c>
      <c r="V736" s="9">
        <f t="shared" si="36"/>
        <v>4.67</v>
      </c>
      <c r="Y736" s="9">
        <f t="shared" si="27"/>
        <v>344.9</v>
      </c>
      <c r="AD736" s="4" t="s">
        <v>2714</v>
      </c>
      <c r="AE736" s="4" t="s">
        <v>2715</v>
      </c>
      <c r="AF736" s="4" t="s">
        <v>2607</v>
      </c>
    </row>
    <row r="737" spans="1:35" ht="18" hidden="1" x14ac:dyDescent="0.3">
      <c r="A737" s="10" t="s">
        <v>2716</v>
      </c>
      <c r="B737" s="10"/>
      <c r="C737" s="24" t="s">
        <v>2596</v>
      </c>
      <c r="D737" s="12"/>
      <c r="E737" s="12"/>
      <c r="F737" s="18" t="s">
        <v>116</v>
      </c>
      <c r="G737" s="19">
        <v>30</v>
      </c>
      <c r="H737" s="19"/>
      <c r="I737" s="19">
        <v>7390.8</v>
      </c>
      <c r="J737" s="21">
        <v>0.28000000000000003</v>
      </c>
      <c r="M737" s="22">
        <f t="shared" si="34"/>
        <v>2069.42</v>
      </c>
      <c r="P737" s="23">
        <v>0.28000000000000003</v>
      </c>
      <c r="S737" s="22">
        <f t="shared" si="35"/>
        <v>2069.42</v>
      </c>
      <c r="V737" s="9">
        <f t="shared" si="36"/>
        <v>0.23</v>
      </c>
      <c r="Y737" s="9">
        <f t="shared" si="27"/>
        <v>1724.52</v>
      </c>
      <c r="AD737" s="4" t="s">
        <v>2717</v>
      </c>
      <c r="AE737" s="4" t="s">
        <v>2718</v>
      </c>
      <c r="AF737" s="4" t="s">
        <v>2599</v>
      </c>
    </row>
    <row r="738" spans="1:35" ht="18" hidden="1" x14ac:dyDescent="0.3">
      <c r="A738" s="10" t="s">
        <v>2719</v>
      </c>
      <c r="B738" s="10"/>
      <c r="C738" s="24" t="s">
        <v>2591</v>
      </c>
      <c r="D738" s="12"/>
      <c r="E738" s="12"/>
      <c r="F738" s="18" t="s">
        <v>116</v>
      </c>
      <c r="G738" s="19">
        <v>15</v>
      </c>
      <c r="H738" s="19"/>
      <c r="I738" s="19">
        <v>3695.4</v>
      </c>
      <c r="J738" s="21">
        <v>0.95</v>
      </c>
      <c r="M738" s="22">
        <f t="shared" si="34"/>
        <v>3510.63</v>
      </c>
      <c r="P738" s="23">
        <v>0.95</v>
      </c>
      <c r="S738" s="22">
        <f t="shared" si="35"/>
        <v>3510.63</v>
      </c>
      <c r="V738" s="9">
        <f t="shared" si="36"/>
        <v>0.79</v>
      </c>
      <c r="Y738" s="9">
        <f t="shared" si="27"/>
        <v>2925.53</v>
      </c>
      <c r="AD738" s="4" t="s">
        <v>2720</v>
      </c>
      <c r="AE738" s="4" t="s">
        <v>2721</v>
      </c>
      <c r="AF738" s="4" t="s">
        <v>2594</v>
      </c>
    </row>
    <row r="739" spans="1:35" ht="36" hidden="1" x14ac:dyDescent="0.3">
      <c r="A739" s="10" t="s">
        <v>2722</v>
      </c>
      <c r="B739" s="10" t="s">
        <v>2585</v>
      </c>
      <c r="C739" s="11" t="s">
        <v>2586</v>
      </c>
      <c r="D739" s="12"/>
      <c r="E739" s="12" t="s">
        <v>2723</v>
      </c>
      <c r="F739" s="12" t="s">
        <v>64</v>
      </c>
      <c r="G739" s="13">
        <v>1</v>
      </c>
      <c r="H739" s="13"/>
      <c r="I739" s="13">
        <v>110.66</v>
      </c>
      <c r="J739" s="14">
        <f>IFERROR(ROUND(SUM(M740,M741,M742,M743,M744,M745,M746,M747,M748,M749,M750)/I739, 2),0)</f>
        <v>444.24</v>
      </c>
      <c r="K739" s="15">
        <v>1199</v>
      </c>
      <c r="L739" s="14">
        <f>J739+ROUND(K739, 2)</f>
        <v>1643.24</v>
      </c>
      <c r="M739" s="14">
        <f>ROUND(J739*I739, 2)</f>
        <v>49159.6</v>
      </c>
      <c r="N739" s="14">
        <f>ROUND(I739*ROUND(K739, 2), 2)</f>
        <v>132681.34</v>
      </c>
      <c r="O739" s="14">
        <f>M739+N739</f>
        <v>181840.94</v>
      </c>
      <c r="P739" s="14">
        <f>IFERROR(ROUND(SUM(S740,S741,S742,S743,S744,S745,S746,S747,S748,S749,S750)/I739, 2),0)</f>
        <v>444.24</v>
      </c>
      <c r="Q739" s="16">
        <v>1199</v>
      </c>
      <c r="R739" s="14">
        <f>P739+ROUND(Q739, 2)</f>
        <v>1643.24</v>
      </c>
      <c r="S739" s="14">
        <f>ROUND(P739*I739, 2)</f>
        <v>49159.6</v>
      </c>
      <c r="T739" s="14">
        <f>ROUND(I739*ROUND(Q739, 2), 2)</f>
        <v>132681.34</v>
      </c>
      <c r="U739" s="14">
        <f>S739+T739</f>
        <v>181840.94</v>
      </c>
      <c r="V739" s="9">
        <f>ROUND(P739 / 1.2, 2)</f>
        <v>370.2</v>
      </c>
      <c r="W739" s="9">
        <f>ROUND(Q739 / 1.2, 2)</f>
        <v>999.17</v>
      </c>
      <c r="X739" s="9">
        <f>ROUND(R739 / 1.2, 2)</f>
        <v>1369.37</v>
      </c>
      <c r="Y739" s="9">
        <f t="shared" si="27"/>
        <v>40966.33</v>
      </c>
      <c r="Z739" s="9">
        <f>ROUND(T739 / 1.2, 2)</f>
        <v>110567.78</v>
      </c>
      <c r="AA739" s="9">
        <f>Y739+Z739</f>
        <v>151534.10999999999</v>
      </c>
      <c r="AD739" s="4">
        <v>271132302</v>
      </c>
      <c r="AE739" s="4">
        <v>20004305</v>
      </c>
      <c r="AG739" s="4" t="s">
        <v>2588</v>
      </c>
      <c r="AH739" s="4" t="s">
        <v>2589</v>
      </c>
      <c r="AI739" s="4" t="s">
        <v>67</v>
      </c>
    </row>
    <row r="740" spans="1:35" ht="18" hidden="1" x14ac:dyDescent="0.3">
      <c r="A740" s="10" t="s">
        <v>2724</v>
      </c>
      <c r="B740" s="10"/>
      <c r="C740" s="24" t="s">
        <v>2645</v>
      </c>
      <c r="D740" s="12"/>
      <c r="E740" s="12"/>
      <c r="F740" s="18" t="s">
        <v>116</v>
      </c>
      <c r="G740" s="19">
        <v>0.75</v>
      </c>
      <c r="H740" s="19"/>
      <c r="I740" s="19">
        <v>82.995000000000005</v>
      </c>
      <c r="J740" s="21">
        <v>2.8</v>
      </c>
      <c r="M740" s="22">
        <f t="shared" ref="M740:M750" si="37">ROUND(ROUND(J740, 2)*I740, 2)</f>
        <v>232.39</v>
      </c>
      <c r="P740" s="23">
        <v>2.8</v>
      </c>
      <c r="S740" s="22">
        <f t="shared" ref="S740:S750" si="38">ROUND(ROUND(P740, 2)*I740, 2)</f>
        <v>232.39</v>
      </c>
      <c r="V740" s="9">
        <f t="shared" ref="V740:V750" si="39">ROUND(ROUND(P740, 2)/1.2, 2)</f>
        <v>2.33</v>
      </c>
      <c r="Y740" s="9">
        <f t="shared" si="27"/>
        <v>193.66</v>
      </c>
      <c r="AD740" s="4" t="s">
        <v>2725</v>
      </c>
      <c r="AE740" s="4" t="s">
        <v>2726</v>
      </c>
      <c r="AF740" s="4" t="s">
        <v>2648</v>
      </c>
    </row>
    <row r="741" spans="1:35" ht="18" hidden="1" x14ac:dyDescent="0.3">
      <c r="A741" s="10" t="s">
        <v>2727</v>
      </c>
      <c r="B741" s="10"/>
      <c r="C741" s="24" t="s">
        <v>2634</v>
      </c>
      <c r="D741" s="12"/>
      <c r="E741" s="12"/>
      <c r="F741" s="18" t="s">
        <v>87</v>
      </c>
      <c r="G741" s="19">
        <v>1.25</v>
      </c>
      <c r="H741" s="19"/>
      <c r="I741" s="19">
        <v>138.32499999999999</v>
      </c>
      <c r="J741" s="21">
        <v>2.8</v>
      </c>
      <c r="M741" s="22">
        <f t="shared" si="37"/>
        <v>387.31</v>
      </c>
      <c r="P741" s="23">
        <v>2.8</v>
      </c>
      <c r="S741" s="22">
        <f t="shared" si="38"/>
        <v>387.31</v>
      </c>
      <c r="V741" s="9">
        <f t="shared" si="39"/>
        <v>2.33</v>
      </c>
      <c r="Y741" s="9">
        <f t="shared" si="27"/>
        <v>322.76</v>
      </c>
      <c r="AD741" s="4" t="s">
        <v>2728</v>
      </c>
      <c r="AE741" s="4" t="s">
        <v>2729</v>
      </c>
      <c r="AF741" s="4" t="s">
        <v>2637</v>
      </c>
    </row>
    <row r="742" spans="1:35" ht="18" hidden="1" x14ac:dyDescent="0.3">
      <c r="A742" s="10" t="s">
        <v>2730</v>
      </c>
      <c r="B742" s="10"/>
      <c r="C742" s="24" t="s">
        <v>2629</v>
      </c>
      <c r="D742" s="12"/>
      <c r="E742" s="12"/>
      <c r="F742" s="18" t="s">
        <v>87</v>
      </c>
      <c r="G742" s="19">
        <v>1.05</v>
      </c>
      <c r="H742" s="19"/>
      <c r="I742" s="19">
        <v>116.193</v>
      </c>
      <c r="J742" s="21">
        <v>4.5999999999999996</v>
      </c>
      <c r="M742" s="22">
        <f t="shared" si="37"/>
        <v>534.49</v>
      </c>
      <c r="P742" s="23">
        <v>4.5999999999999996</v>
      </c>
      <c r="S742" s="22">
        <f t="shared" si="38"/>
        <v>534.49</v>
      </c>
      <c r="V742" s="9">
        <f t="shared" si="39"/>
        <v>3.83</v>
      </c>
      <c r="Y742" s="9">
        <f t="shared" si="27"/>
        <v>445.41</v>
      </c>
      <c r="AD742" s="4" t="s">
        <v>2731</v>
      </c>
      <c r="AE742" s="4" t="s">
        <v>2732</v>
      </c>
      <c r="AF742" s="4" t="s">
        <v>2632</v>
      </c>
    </row>
    <row r="743" spans="1:35" ht="18" hidden="1" x14ac:dyDescent="0.3">
      <c r="A743" s="10" t="s">
        <v>2733</v>
      </c>
      <c r="B743" s="10"/>
      <c r="C743" s="24" t="s">
        <v>1856</v>
      </c>
      <c r="D743" s="12"/>
      <c r="E743" s="12"/>
      <c r="F743" s="18" t="s">
        <v>64</v>
      </c>
      <c r="G743" s="19">
        <v>1.05</v>
      </c>
      <c r="H743" s="19"/>
      <c r="I743" s="19">
        <v>116.193</v>
      </c>
      <c r="J743" s="21">
        <v>0</v>
      </c>
      <c r="M743" s="22">
        <f t="shared" si="37"/>
        <v>0</v>
      </c>
      <c r="P743" s="23">
        <v>0</v>
      </c>
      <c r="S743" s="22">
        <f t="shared" si="38"/>
        <v>0</v>
      </c>
      <c r="V743" s="9">
        <f t="shared" si="39"/>
        <v>0</v>
      </c>
      <c r="Y743" s="9">
        <f t="shared" si="27"/>
        <v>0</v>
      </c>
      <c r="AD743" s="4" t="s">
        <v>2734</v>
      </c>
      <c r="AE743" s="4" t="s">
        <v>2735</v>
      </c>
      <c r="AF743" s="4" t="s">
        <v>1859</v>
      </c>
    </row>
    <row r="744" spans="1:35" ht="18" hidden="1" x14ac:dyDescent="0.3">
      <c r="A744" s="10" t="s">
        <v>2736</v>
      </c>
      <c r="B744" s="10"/>
      <c r="C744" s="17" t="s">
        <v>2624</v>
      </c>
      <c r="D744" s="12"/>
      <c r="E744" s="12"/>
      <c r="F744" s="18" t="s">
        <v>116</v>
      </c>
      <c r="G744" s="19">
        <v>4.2</v>
      </c>
      <c r="H744" s="19"/>
      <c r="I744" s="19">
        <v>464.77199999999999</v>
      </c>
      <c r="J744" s="21">
        <v>5.41</v>
      </c>
      <c r="M744" s="22">
        <f t="shared" si="37"/>
        <v>2514.42</v>
      </c>
      <c r="P744" s="23">
        <v>5.41</v>
      </c>
      <c r="S744" s="22">
        <f t="shared" si="38"/>
        <v>2514.42</v>
      </c>
      <c r="V744" s="9">
        <f t="shared" si="39"/>
        <v>4.51</v>
      </c>
      <c r="Y744" s="9">
        <f t="shared" si="27"/>
        <v>2095.35</v>
      </c>
      <c r="AD744" s="4" t="s">
        <v>2737</v>
      </c>
      <c r="AE744" s="4" t="s">
        <v>2738</v>
      </c>
      <c r="AF744" s="4" t="s">
        <v>2627</v>
      </c>
    </row>
    <row r="745" spans="1:35" ht="18" hidden="1" x14ac:dyDescent="0.3">
      <c r="A745" s="10" t="s">
        <v>2739</v>
      </c>
      <c r="B745" s="10"/>
      <c r="C745" s="24" t="s">
        <v>2614</v>
      </c>
      <c r="D745" s="12"/>
      <c r="E745" s="12"/>
      <c r="F745" s="18" t="s">
        <v>87</v>
      </c>
      <c r="G745" s="19">
        <v>0.3</v>
      </c>
      <c r="H745" s="19"/>
      <c r="I745" s="19">
        <v>33.198</v>
      </c>
      <c r="J745" s="21">
        <v>49.04</v>
      </c>
      <c r="M745" s="22">
        <f t="shared" si="37"/>
        <v>1628.03</v>
      </c>
      <c r="P745" s="23">
        <v>49.04</v>
      </c>
      <c r="S745" s="22">
        <f t="shared" si="38"/>
        <v>1628.03</v>
      </c>
      <c r="V745" s="9">
        <f t="shared" si="39"/>
        <v>40.869999999999997</v>
      </c>
      <c r="Y745" s="9">
        <f t="shared" ref="Y745:Y750" si="40">ROUND(S745 / 1.2, 2)</f>
        <v>1356.69</v>
      </c>
      <c r="AD745" s="4" t="s">
        <v>2740</v>
      </c>
      <c r="AE745" s="4" t="s">
        <v>2741</v>
      </c>
      <c r="AF745" s="4" t="s">
        <v>2617</v>
      </c>
    </row>
    <row r="746" spans="1:35" ht="18" hidden="1" x14ac:dyDescent="0.3">
      <c r="A746" s="10" t="s">
        <v>2742</v>
      </c>
      <c r="B746" s="10"/>
      <c r="C746" s="24" t="s">
        <v>2619</v>
      </c>
      <c r="D746" s="12"/>
      <c r="E746" s="12"/>
      <c r="F746" s="18" t="s">
        <v>87</v>
      </c>
      <c r="G746" s="19">
        <v>4.7</v>
      </c>
      <c r="H746" s="19"/>
      <c r="I746" s="19">
        <v>520.10199999999998</v>
      </c>
      <c r="J746" s="21">
        <v>66.98</v>
      </c>
      <c r="M746" s="22">
        <f t="shared" si="37"/>
        <v>34836.43</v>
      </c>
      <c r="P746" s="23">
        <v>66.98</v>
      </c>
      <c r="S746" s="22">
        <f t="shared" si="38"/>
        <v>34836.43</v>
      </c>
      <c r="V746" s="9">
        <f t="shared" si="39"/>
        <v>55.82</v>
      </c>
      <c r="Y746" s="9">
        <f t="shared" si="40"/>
        <v>29030.36</v>
      </c>
      <c r="AD746" s="4" t="s">
        <v>2743</v>
      </c>
      <c r="AE746" s="4" t="s">
        <v>2744</v>
      </c>
      <c r="AF746" s="4" t="s">
        <v>2622</v>
      </c>
    </row>
    <row r="747" spans="1:35" ht="36" hidden="1" x14ac:dyDescent="0.3">
      <c r="A747" s="10" t="s">
        <v>2745</v>
      </c>
      <c r="B747" s="10"/>
      <c r="C747" s="17" t="s">
        <v>2609</v>
      </c>
      <c r="D747" s="12"/>
      <c r="E747" s="12"/>
      <c r="F747" s="18" t="s">
        <v>116</v>
      </c>
      <c r="G747" s="19">
        <v>3.6</v>
      </c>
      <c r="H747" s="19"/>
      <c r="I747" s="19">
        <v>398.37599999999998</v>
      </c>
      <c r="J747" s="21">
        <v>15.9</v>
      </c>
      <c r="M747" s="22">
        <f t="shared" si="37"/>
        <v>6334.18</v>
      </c>
      <c r="P747" s="23">
        <v>15.9</v>
      </c>
      <c r="S747" s="22">
        <f t="shared" si="38"/>
        <v>6334.18</v>
      </c>
      <c r="V747" s="9">
        <f t="shared" si="39"/>
        <v>13.25</v>
      </c>
      <c r="Y747" s="9">
        <f t="shared" si="40"/>
        <v>5278.48</v>
      </c>
      <c r="AD747" s="4" t="s">
        <v>2746</v>
      </c>
      <c r="AE747" s="4" t="s">
        <v>2747</v>
      </c>
      <c r="AF747" s="4" t="s">
        <v>2612</v>
      </c>
    </row>
    <row r="748" spans="1:35" ht="18" hidden="1" x14ac:dyDescent="0.3">
      <c r="A748" s="10" t="s">
        <v>2748</v>
      </c>
      <c r="B748" s="10"/>
      <c r="C748" s="24" t="s">
        <v>2604</v>
      </c>
      <c r="D748" s="12"/>
      <c r="E748" s="12"/>
      <c r="F748" s="18" t="s">
        <v>116</v>
      </c>
      <c r="G748" s="19">
        <v>0.3</v>
      </c>
      <c r="H748" s="19"/>
      <c r="I748" s="19">
        <v>33.198</v>
      </c>
      <c r="J748" s="21">
        <v>5.6</v>
      </c>
      <c r="M748" s="22">
        <f t="shared" si="37"/>
        <v>185.91</v>
      </c>
      <c r="P748" s="23">
        <v>5.6</v>
      </c>
      <c r="S748" s="22">
        <f t="shared" si="38"/>
        <v>185.91</v>
      </c>
      <c r="V748" s="9">
        <f t="shared" si="39"/>
        <v>4.67</v>
      </c>
      <c r="Y748" s="9">
        <f t="shared" si="40"/>
        <v>154.93</v>
      </c>
      <c r="AD748" s="4" t="s">
        <v>2749</v>
      </c>
      <c r="AE748" s="4" t="s">
        <v>2750</v>
      </c>
      <c r="AF748" s="4" t="s">
        <v>2607</v>
      </c>
    </row>
    <row r="749" spans="1:35" ht="18" hidden="1" x14ac:dyDescent="0.3">
      <c r="A749" s="10" t="s">
        <v>2751</v>
      </c>
      <c r="B749" s="10"/>
      <c r="C749" s="24" t="s">
        <v>2596</v>
      </c>
      <c r="D749" s="12"/>
      <c r="E749" s="12"/>
      <c r="F749" s="18" t="s">
        <v>116</v>
      </c>
      <c r="G749" s="19">
        <v>30</v>
      </c>
      <c r="H749" s="19"/>
      <c r="I749" s="19">
        <v>3319.8</v>
      </c>
      <c r="J749" s="21">
        <v>0.28000000000000003</v>
      </c>
      <c r="M749" s="22">
        <f t="shared" si="37"/>
        <v>929.54</v>
      </c>
      <c r="P749" s="23">
        <v>0.28000000000000003</v>
      </c>
      <c r="S749" s="22">
        <f t="shared" si="38"/>
        <v>929.54</v>
      </c>
      <c r="V749" s="9">
        <f t="shared" si="39"/>
        <v>0.23</v>
      </c>
      <c r="Y749" s="9">
        <f t="shared" si="40"/>
        <v>774.62</v>
      </c>
      <c r="AD749" s="4" t="s">
        <v>2752</v>
      </c>
      <c r="AE749" s="4" t="s">
        <v>2753</v>
      </c>
      <c r="AF749" s="4" t="s">
        <v>2599</v>
      </c>
    </row>
    <row r="750" spans="1:35" ht="18" hidden="1" x14ac:dyDescent="0.3">
      <c r="A750" s="10" t="s">
        <v>2754</v>
      </c>
      <c r="B750" s="10"/>
      <c r="C750" s="24" t="s">
        <v>2591</v>
      </c>
      <c r="D750" s="12"/>
      <c r="E750" s="12"/>
      <c r="F750" s="18" t="s">
        <v>116</v>
      </c>
      <c r="G750" s="19">
        <v>15</v>
      </c>
      <c r="H750" s="19"/>
      <c r="I750" s="19">
        <v>1659.9</v>
      </c>
      <c r="J750" s="21">
        <v>0.95</v>
      </c>
      <c r="M750" s="22">
        <f t="shared" si="37"/>
        <v>1576.91</v>
      </c>
      <c r="P750" s="23">
        <v>0.95</v>
      </c>
      <c r="S750" s="22">
        <f t="shared" si="38"/>
        <v>1576.91</v>
      </c>
      <c r="V750" s="9">
        <f t="shared" si="39"/>
        <v>0.79</v>
      </c>
      <c r="Y750" s="9">
        <f t="shared" si="40"/>
        <v>1314.09</v>
      </c>
      <c r="AD750" s="4" t="s">
        <v>2755</v>
      </c>
      <c r="AE750" s="4" t="s">
        <v>2756</v>
      </c>
      <c r="AF750" s="4" t="s">
        <v>2594</v>
      </c>
    </row>
    <row r="751" spans="1:35" ht="54" hidden="1" x14ac:dyDescent="0.3">
      <c r="A751" s="10" t="s">
        <v>2757</v>
      </c>
      <c r="B751" s="10" t="s">
        <v>2758</v>
      </c>
      <c r="C751" s="11" t="s">
        <v>2759</v>
      </c>
      <c r="D751" s="12"/>
      <c r="E751" s="12" t="s">
        <v>81</v>
      </c>
      <c r="F751" s="12" t="s">
        <v>64</v>
      </c>
      <c r="G751" s="13">
        <v>1</v>
      </c>
      <c r="H751" s="13"/>
      <c r="I751" s="13">
        <v>2099.0100000000002</v>
      </c>
      <c r="J751" s="14">
        <v>0</v>
      </c>
      <c r="K751" s="15">
        <v>121</v>
      </c>
      <c r="L751" s="14">
        <f>J751+ROUND(K751, 2)</f>
        <v>121</v>
      </c>
      <c r="M751" s="14">
        <v>0</v>
      </c>
      <c r="N751" s="14">
        <f>ROUND(I751*ROUND(K751, 2), 2)</f>
        <v>253980.21</v>
      </c>
      <c r="O751" s="14">
        <f>M751+N751</f>
        <v>253980.21</v>
      </c>
      <c r="P751" s="14">
        <v>0</v>
      </c>
      <c r="Q751" s="16">
        <v>121</v>
      </c>
      <c r="R751" s="14">
        <f>P751+ROUND(Q751, 2)</f>
        <v>121</v>
      </c>
      <c r="S751" s="14">
        <v>0</v>
      </c>
      <c r="T751" s="14">
        <f>ROUND(I751*ROUND(Q751, 2), 2)</f>
        <v>253980.21</v>
      </c>
      <c r="U751" s="14">
        <f>S751+T751</f>
        <v>253980.21</v>
      </c>
      <c r="V751" s="9"/>
      <c r="W751" s="9">
        <f>ROUND(Q751 / 1.2, 2)</f>
        <v>100.83</v>
      </c>
      <c r="X751" s="9">
        <f>ROUND(R751 / 1.2, 2)</f>
        <v>100.83</v>
      </c>
      <c r="Y751" s="9"/>
      <c r="Z751" s="9">
        <f>ROUND(T751 / 1.2, 2)</f>
        <v>211650.18</v>
      </c>
      <c r="AA751" s="9">
        <f>Y751+Z751</f>
        <v>211650.18</v>
      </c>
      <c r="AD751" s="4">
        <v>271132151</v>
      </c>
      <c r="AE751" s="4">
        <v>16236784</v>
      </c>
      <c r="AG751" s="4" t="s">
        <v>2760</v>
      </c>
      <c r="AH751" s="4" t="s">
        <v>2761</v>
      </c>
      <c r="AI751" s="4" t="s">
        <v>67</v>
      </c>
    </row>
    <row r="752" spans="1:35" ht="17.100000000000001" hidden="1" customHeight="1" x14ac:dyDescent="0.3">
      <c r="A752" s="10" t="s">
        <v>2762</v>
      </c>
      <c r="B752" s="10" t="s">
        <v>2763</v>
      </c>
      <c r="C752" s="185" t="s">
        <v>2764</v>
      </c>
      <c r="D752" s="186"/>
      <c r="E752" s="186"/>
      <c r="F752" s="186"/>
      <c r="G752" s="186"/>
      <c r="H752" s="186"/>
      <c r="I752" s="187"/>
      <c r="M752" s="6">
        <f>SUM(M753,M774)</f>
        <v>0</v>
      </c>
      <c r="N752" s="6">
        <f>SUM(N753,N774)</f>
        <v>395791</v>
      </c>
      <c r="O752" s="6">
        <f>SUM(O753,O774)</f>
        <v>395791</v>
      </c>
      <c r="S752" s="6">
        <f>SUM(S753,S774)</f>
        <v>0</v>
      </c>
      <c r="T752" s="6">
        <f>SUM(T753,T774)</f>
        <v>395791</v>
      </c>
      <c r="U752" s="6">
        <f>SUM(U753,U774)</f>
        <v>395791</v>
      </c>
      <c r="Y752" s="9">
        <f>SUM(Y753,Y774)</f>
        <v>0</v>
      </c>
      <c r="Z752" s="9">
        <f>SUM(Z753,Z774)</f>
        <v>329825.82999999996</v>
      </c>
      <c r="AA752" s="9">
        <f>SUM(AA753,AA774)</f>
        <v>329825.82999999996</v>
      </c>
      <c r="AD752" s="4">
        <v>271132152</v>
      </c>
      <c r="AE752" s="4">
        <v>19827023</v>
      </c>
    </row>
    <row r="753" spans="1:35" ht="54" hidden="1" x14ac:dyDescent="0.3">
      <c r="A753" s="10" t="s">
        <v>2765</v>
      </c>
      <c r="B753" s="10" t="s">
        <v>2766</v>
      </c>
      <c r="C753" s="11" t="s">
        <v>2767</v>
      </c>
      <c r="D753" s="12"/>
      <c r="E753" s="12" t="s">
        <v>2768</v>
      </c>
      <c r="F753" s="12" t="s">
        <v>116</v>
      </c>
      <c r="G753" s="13">
        <v>1</v>
      </c>
      <c r="H753" s="13"/>
      <c r="I753" s="13">
        <v>66</v>
      </c>
      <c r="J753" s="14">
        <f>IFERROR(ROUND(SUM(M754,M755,M756,M757,M758,M759,M760,M761,M762,M763,M764,M765,M766,M767,M768,M769,M770,M771,M772,M773)/I753, 2),0)</f>
        <v>0</v>
      </c>
      <c r="K753" s="15">
        <v>3271</v>
      </c>
      <c r="L753" s="14">
        <f>J753+ROUND(K753, 2)</f>
        <v>3271</v>
      </c>
      <c r="M753" s="14">
        <f>ROUND(J753*I753, 2)</f>
        <v>0</v>
      </c>
      <c r="N753" s="14">
        <f>ROUND(I753*ROUND(K753, 2), 2)</f>
        <v>215886</v>
      </c>
      <c r="O753" s="14">
        <f>M753+N753</f>
        <v>215886</v>
      </c>
      <c r="P753" s="14">
        <f>IFERROR(ROUND(SUM(S754,S755,S756,S757,S758,S759,S760,S761,S762,S763,S764,S765,S766,S767,S768,S769,S770,S771,S772,S773)/I753, 2),0)</f>
        <v>0</v>
      </c>
      <c r="Q753" s="16">
        <v>3271</v>
      </c>
      <c r="R753" s="14">
        <f>P753+ROUND(Q753, 2)</f>
        <v>3271</v>
      </c>
      <c r="S753" s="14">
        <f>ROUND(P753*I753, 2)</f>
        <v>0</v>
      </c>
      <c r="T753" s="14">
        <f>ROUND(I753*ROUND(Q753, 2), 2)</f>
        <v>215886</v>
      </c>
      <c r="U753" s="14">
        <f>S753+T753</f>
        <v>215886</v>
      </c>
      <c r="V753" s="9">
        <f>ROUND(P753 / 1.2, 2)</f>
        <v>0</v>
      </c>
      <c r="W753" s="9">
        <f>ROUND(Q753 / 1.2, 2)</f>
        <v>2725.83</v>
      </c>
      <c r="X753" s="9">
        <f>ROUND(R753 / 1.2, 2)</f>
        <v>2725.83</v>
      </c>
      <c r="Y753" s="9">
        <f>ROUND(S753 / 1.2, 2)</f>
        <v>0</v>
      </c>
      <c r="Z753" s="9">
        <f>ROUND(T753 / 1.2, 2)</f>
        <v>179905</v>
      </c>
      <c r="AA753" s="9">
        <f>Y753+Z753</f>
        <v>179905</v>
      </c>
      <c r="AD753" s="4">
        <v>271132154</v>
      </c>
      <c r="AE753" s="4">
        <v>19830251</v>
      </c>
      <c r="AG753" s="4" t="s">
        <v>2769</v>
      </c>
      <c r="AH753" s="4" t="s">
        <v>2770</v>
      </c>
      <c r="AI753" s="4" t="s">
        <v>67</v>
      </c>
    </row>
    <row r="754" spans="1:35" ht="409.6" hidden="1" x14ac:dyDescent="0.3">
      <c r="A754" s="10" t="s">
        <v>2771</v>
      </c>
      <c r="B754" s="10"/>
      <c r="C754" s="24" t="s">
        <v>2772</v>
      </c>
      <c r="D754" s="12"/>
      <c r="E754" s="12" t="s">
        <v>2773</v>
      </c>
      <c r="F754" s="18" t="s">
        <v>116</v>
      </c>
      <c r="G754" s="19">
        <v>1</v>
      </c>
      <c r="H754" s="20"/>
      <c r="I754" s="20">
        <v>1</v>
      </c>
      <c r="J754" s="21">
        <v>0</v>
      </c>
      <c r="M754" s="22">
        <f t="shared" ref="M754:M773" si="41">ROUND(ROUND(J754, 2)*I754, 2)</f>
        <v>0</v>
      </c>
      <c r="P754" s="23">
        <v>0</v>
      </c>
      <c r="S754" s="22">
        <f t="shared" ref="S754:S773" si="42">ROUND(ROUND(P754, 2)*I754, 2)</f>
        <v>0</v>
      </c>
      <c r="V754" s="9">
        <f t="shared" ref="V754:V773" si="43">ROUND(ROUND(P754, 2)/1.2, 2)</f>
        <v>0</v>
      </c>
      <c r="Y754" s="9">
        <f t="shared" ref="Y754:Y791" si="44">ROUND(S754 / 1.2, 2)</f>
        <v>0</v>
      </c>
      <c r="AD754" s="4" t="s">
        <v>2774</v>
      </c>
      <c r="AE754" s="4" t="s">
        <v>2775</v>
      </c>
      <c r="AF754" s="4" t="s">
        <v>2776</v>
      </c>
    </row>
    <row r="755" spans="1:35" ht="409.6" hidden="1" x14ac:dyDescent="0.3">
      <c r="A755" s="10" t="s">
        <v>2777</v>
      </c>
      <c r="B755" s="10"/>
      <c r="C755" s="24" t="s">
        <v>2778</v>
      </c>
      <c r="D755" s="12"/>
      <c r="E755" s="12" t="s">
        <v>2779</v>
      </c>
      <c r="F755" s="18" t="s">
        <v>116</v>
      </c>
      <c r="G755" s="19">
        <v>1</v>
      </c>
      <c r="H755" s="20"/>
      <c r="I755" s="20">
        <v>1</v>
      </c>
      <c r="J755" s="21">
        <v>0</v>
      </c>
      <c r="M755" s="22">
        <f t="shared" si="41"/>
        <v>0</v>
      </c>
      <c r="P755" s="23">
        <v>0</v>
      </c>
      <c r="S755" s="22">
        <f t="shared" si="42"/>
        <v>0</v>
      </c>
      <c r="V755" s="9">
        <f t="shared" si="43"/>
        <v>0</v>
      </c>
      <c r="Y755" s="9">
        <f t="shared" si="44"/>
        <v>0</v>
      </c>
      <c r="AD755" s="4" t="s">
        <v>2780</v>
      </c>
      <c r="AE755" s="4" t="s">
        <v>2781</v>
      </c>
      <c r="AF755" s="4" t="s">
        <v>2782</v>
      </c>
    </row>
    <row r="756" spans="1:35" ht="396" hidden="1" x14ac:dyDescent="0.3">
      <c r="A756" s="10" t="s">
        <v>2783</v>
      </c>
      <c r="B756" s="10"/>
      <c r="C756" s="24" t="s">
        <v>2784</v>
      </c>
      <c r="D756" s="12"/>
      <c r="E756" s="12" t="s">
        <v>2785</v>
      </c>
      <c r="F756" s="18" t="s">
        <v>116</v>
      </c>
      <c r="G756" s="19">
        <v>1</v>
      </c>
      <c r="H756" s="20"/>
      <c r="I756" s="20">
        <v>10</v>
      </c>
      <c r="J756" s="21">
        <v>0</v>
      </c>
      <c r="M756" s="22">
        <f t="shared" si="41"/>
        <v>0</v>
      </c>
      <c r="P756" s="23">
        <v>0</v>
      </c>
      <c r="S756" s="22">
        <f t="shared" si="42"/>
        <v>0</v>
      </c>
      <c r="V756" s="9">
        <f t="shared" si="43"/>
        <v>0</v>
      </c>
      <c r="Y756" s="9">
        <f t="shared" si="44"/>
        <v>0</v>
      </c>
      <c r="AD756" s="4" t="s">
        <v>2786</v>
      </c>
      <c r="AE756" s="4" t="s">
        <v>2787</v>
      </c>
      <c r="AF756" s="4" t="s">
        <v>2788</v>
      </c>
    </row>
    <row r="757" spans="1:35" ht="396" hidden="1" x14ac:dyDescent="0.3">
      <c r="A757" s="10" t="s">
        <v>2789</v>
      </c>
      <c r="B757" s="10"/>
      <c r="C757" s="24" t="s">
        <v>2790</v>
      </c>
      <c r="D757" s="12"/>
      <c r="E757" s="12" t="s">
        <v>2791</v>
      </c>
      <c r="F757" s="18" t="s">
        <v>116</v>
      </c>
      <c r="G757" s="19">
        <v>1</v>
      </c>
      <c r="H757" s="20"/>
      <c r="I757" s="20">
        <v>4</v>
      </c>
      <c r="J757" s="21">
        <v>0</v>
      </c>
      <c r="M757" s="22">
        <f t="shared" si="41"/>
        <v>0</v>
      </c>
      <c r="P757" s="23">
        <v>0</v>
      </c>
      <c r="S757" s="22">
        <f t="shared" si="42"/>
        <v>0</v>
      </c>
      <c r="V757" s="9">
        <f t="shared" si="43"/>
        <v>0</v>
      </c>
      <c r="Y757" s="9">
        <f t="shared" si="44"/>
        <v>0</v>
      </c>
      <c r="AD757" s="4" t="s">
        <v>2792</v>
      </c>
      <c r="AE757" s="4" t="s">
        <v>2793</v>
      </c>
      <c r="AF757" s="4" t="s">
        <v>2794</v>
      </c>
    </row>
    <row r="758" spans="1:35" ht="409.6" hidden="1" x14ac:dyDescent="0.3">
      <c r="A758" s="10" t="s">
        <v>2795</v>
      </c>
      <c r="B758" s="10"/>
      <c r="C758" s="24" t="s">
        <v>2796</v>
      </c>
      <c r="D758" s="12"/>
      <c r="E758" s="12" t="s">
        <v>2797</v>
      </c>
      <c r="F758" s="18" t="s">
        <v>116</v>
      </c>
      <c r="G758" s="19">
        <v>1</v>
      </c>
      <c r="H758" s="20"/>
      <c r="I758" s="20">
        <v>1</v>
      </c>
      <c r="J758" s="21">
        <v>0</v>
      </c>
      <c r="M758" s="22">
        <f t="shared" si="41"/>
        <v>0</v>
      </c>
      <c r="P758" s="23">
        <v>0</v>
      </c>
      <c r="S758" s="22">
        <f t="shared" si="42"/>
        <v>0</v>
      </c>
      <c r="V758" s="9">
        <f t="shared" si="43"/>
        <v>0</v>
      </c>
      <c r="Y758" s="9">
        <f t="shared" si="44"/>
        <v>0</v>
      </c>
      <c r="AD758" s="4" t="s">
        <v>2798</v>
      </c>
      <c r="AE758" s="4" t="s">
        <v>2799</v>
      </c>
      <c r="AF758" s="4" t="s">
        <v>2800</v>
      </c>
    </row>
    <row r="759" spans="1:35" ht="409.6" hidden="1" x14ac:dyDescent="0.3">
      <c r="A759" s="10" t="s">
        <v>2801</v>
      </c>
      <c r="B759" s="10"/>
      <c r="C759" s="24" t="s">
        <v>2802</v>
      </c>
      <c r="D759" s="12"/>
      <c r="E759" s="12" t="s">
        <v>2803</v>
      </c>
      <c r="F759" s="18" t="s">
        <v>116</v>
      </c>
      <c r="G759" s="19">
        <v>1</v>
      </c>
      <c r="H759" s="20"/>
      <c r="I759" s="20">
        <v>1</v>
      </c>
      <c r="J759" s="21">
        <v>0</v>
      </c>
      <c r="M759" s="22">
        <f t="shared" si="41"/>
        <v>0</v>
      </c>
      <c r="P759" s="23">
        <v>0</v>
      </c>
      <c r="S759" s="22">
        <f t="shared" si="42"/>
        <v>0</v>
      </c>
      <c r="V759" s="9">
        <f t="shared" si="43"/>
        <v>0</v>
      </c>
      <c r="Y759" s="9">
        <f t="shared" si="44"/>
        <v>0</v>
      </c>
      <c r="AD759" s="4" t="s">
        <v>2804</v>
      </c>
      <c r="AE759" s="4" t="s">
        <v>2805</v>
      </c>
      <c r="AF759" s="4" t="s">
        <v>2806</v>
      </c>
    </row>
    <row r="760" spans="1:35" ht="409.6" hidden="1" x14ac:dyDescent="0.3">
      <c r="A760" s="10" t="s">
        <v>2807</v>
      </c>
      <c r="B760" s="10"/>
      <c r="C760" s="24" t="s">
        <v>2808</v>
      </c>
      <c r="D760" s="12"/>
      <c r="E760" s="12" t="s">
        <v>2809</v>
      </c>
      <c r="F760" s="18" t="s">
        <v>116</v>
      </c>
      <c r="G760" s="19">
        <v>1</v>
      </c>
      <c r="H760" s="20"/>
      <c r="I760" s="20">
        <v>6</v>
      </c>
      <c r="J760" s="21">
        <v>0</v>
      </c>
      <c r="M760" s="22">
        <f t="shared" si="41"/>
        <v>0</v>
      </c>
      <c r="P760" s="23">
        <v>0</v>
      </c>
      <c r="S760" s="22">
        <f t="shared" si="42"/>
        <v>0</v>
      </c>
      <c r="V760" s="9">
        <f t="shared" si="43"/>
        <v>0</v>
      </c>
      <c r="Y760" s="9">
        <f t="shared" si="44"/>
        <v>0</v>
      </c>
      <c r="AD760" s="4" t="s">
        <v>2810</v>
      </c>
      <c r="AE760" s="4" t="s">
        <v>2811</v>
      </c>
      <c r="AF760" s="4" t="s">
        <v>2812</v>
      </c>
    </row>
    <row r="761" spans="1:35" ht="409.6" hidden="1" x14ac:dyDescent="0.3">
      <c r="A761" s="10" t="s">
        <v>2813</v>
      </c>
      <c r="B761" s="10"/>
      <c r="C761" s="24" t="s">
        <v>2814</v>
      </c>
      <c r="D761" s="12"/>
      <c r="E761" s="12" t="s">
        <v>2815</v>
      </c>
      <c r="F761" s="18" t="s">
        <v>116</v>
      </c>
      <c r="G761" s="19">
        <v>1</v>
      </c>
      <c r="H761" s="20"/>
      <c r="I761" s="20">
        <v>3</v>
      </c>
      <c r="J761" s="21">
        <v>0</v>
      </c>
      <c r="M761" s="22">
        <f t="shared" si="41"/>
        <v>0</v>
      </c>
      <c r="P761" s="23">
        <v>0</v>
      </c>
      <c r="S761" s="22">
        <f t="shared" si="42"/>
        <v>0</v>
      </c>
      <c r="V761" s="9">
        <f t="shared" si="43"/>
        <v>0</v>
      </c>
      <c r="Y761" s="9">
        <f t="shared" si="44"/>
        <v>0</v>
      </c>
      <c r="AD761" s="4" t="s">
        <v>2816</v>
      </c>
      <c r="AE761" s="4" t="s">
        <v>2817</v>
      </c>
      <c r="AF761" s="4" t="s">
        <v>2818</v>
      </c>
    </row>
    <row r="762" spans="1:35" ht="396" hidden="1" x14ac:dyDescent="0.3">
      <c r="A762" s="10" t="s">
        <v>2819</v>
      </c>
      <c r="B762" s="10"/>
      <c r="C762" s="24" t="s">
        <v>2820</v>
      </c>
      <c r="D762" s="12"/>
      <c r="E762" s="12" t="s">
        <v>2821</v>
      </c>
      <c r="F762" s="18" t="s">
        <v>116</v>
      </c>
      <c r="G762" s="19">
        <v>1</v>
      </c>
      <c r="H762" s="20"/>
      <c r="I762" s="20">
        <v>10</v>
      </c>
      <c r="J762" s="21">
        <v>0</v>
      </c>
      <c r="M762" s="22">
        <f t="shared" si="41"/>
        <v>0</v>
      </c>
      <c r="P762" s="23">
        <v>0</v>
      </c>
      <c r="S762" s="22">
        <f t="shared" si="42"/>
        <v>0</v>
      </c>
      <c r="V762" s="9">
        <f t="shared" si="43"/>
        <v>0</v>
      </c>
      <c r="Y762" s="9">
        <f t="shared" si="44"/>
        <v>0</v>
      </c>
      <c r="AD762" s="4" t="s">
        <v>2822</v>
      </c>
      <c r="AE762" s="4" t="s">
        <v>2823</v>
      </c>
      <c r="AF762" s="4" t="s">
        <v>2824</v>
      </c>
    </row>
    <row r="763" spans="1:35" ht="409.6" hidden="1" x14ac:dyDescent="0.3">
      <c r="A763" s="10" t="s">
        <v>2825</v>
      </c>
      <c r="B763" s="10"/>
      <c r="C763" s="24" t="s">
        <v>2826</v>
      </c>
      <c r="D763" s="12"/>
      <c r="E763" s="12" t="s">
        <v>2827</v>
      </c>
      <c r="F763" s="18" t="s">
        <v>116</v>
      </c>
      <c r="G763" s="19">
        <v>1</v>
      </c>
      <c r="H763" s="20"/>
      <c r="I763" s="20">
        <v>5</v>
      </c>
      <c r="J763" s="21">
        <v>0</v>
      </c>
      <c r="M763" s="22">
        <f t="shared" si="41"/>
        <v>0</v>
      </c>
      <c r="P763" s="23">
        <v>0</v>
      </c>
      <c r="S763" s="22">
        <f t="shared" si="42"/>
        <v>0</v>
      </c>
      <c r="V763" s="9">
        <f t="shared" si="43"/>
        <v>0</v>
      </c>
      <c r="Y763" s="9">
        <f t="shared" si="44"/>
        <v>0</v>
      </c>
      <c r="AD763" s="4" t="s">
        <v>2828</v>
      </c>
      <c r="AE763" s="4" t="s">
        <v>2829</v>
      </c>
      <c r="AF763" s="4" t="s">
        <v>2830</v>
      </c>
    </row>
    <row r="764" spans="1:35" ht="409.6" hidden="1" x14ac:dyDescent="0.3">
      <c r="A764" s="10" t="s">
        <v>2831</v>
      </c>
      <c r="B764" s="10"/>
      <c r="C764" s="24" t="s">
        <v>2832</v>
      </c>
      <c r="D764" s="12"/>
      <c r="E764" s="12" t="s">
        <v>2833</v>
      </c>
      <c r="F764" s="18" t="s">
        <v>116</v>
      </c>
      <c r="G764" s="19">
        <v>1</v>
      </c>
      <c r="H764" s="20"/>
      <c r="I764" s="20">
        <v>1</v>
      </c>
      <c r="J764" s="21">
        <v>0</v>
      </c>
      <c r="M764" s="22">
        <f t="shared" si="41"/>
        <v>0</v>
      </c>
      <c r="P764" s="23">
        <v>0</v>
      </c>
      <c r="S764" s="22">
        <f t="shared" si="42"/>
        <v>0</v>
      </c>
      <c r="V764" s="9">
        <f t="shared" si="43"/>
        <v>0</v>
      </c>
      <c r="Y764" s="9">
        <f t="shared" si="44"/>
        <v>0</v>
      </c>
      <c r="AD764" s="4" t="s">
        <v>2834</v>
      </c>
      <c r="AE764" s="4" t="s">
        <v>2835</v>
      </c>
      <c r="AF764" s="4" t="s">
        <v>2836</v>
      </c>
    </row>
    <row r="765" spans="1:35" ht="409.6" hidden="1" x14ac:dyDescent="0.3">
      <c r="A765" s="10" t="s">
        <v>2837</v>
      </c>
      <c r="B765" s="10"/>
      <c r="C765" s="24" t="s">
        <v>2838</v>
      </c>
      <c r="D765" s="12"/>
      <c r="E765" s="12" t="s">
        <v>2839</v>
      </c>
      <c r="F765" s="18" t="s">
        <v>116</v>
      </c>
      <c r="G765" s="19">
        <v>1</v>
      </c>
      <c r="H765" s="20"/>
      <c r="I765" s="20">
        <v>1</v>
      </c>
      <c r="J765" s="21">
        <v>0</v>
      </c>
      <c r="M765" s="22">
        <f t="shared" si="41"/>
        <v>0</v>
      </c>
      <c r="P765" s="23">
        <v>0</v>
      </c>
      <c r="S765" s="22">
        <f t="shared" si="42"/>
        <v>0</v>
      </c>
      <c r="V765" s="9">
        <f t="shared" si="43"/>
        <v>0</v>
      </c>
      <c r="Y765" s="9">
        <f t="shared" si="44"/>
        <v>0</v>
      </c>
      <c r="AD765" s="4" t="s">
        <v>2840</v>
      </c>
      <c r="AE765" s="4" t="s">
        <v>2841</v>
      </c>
      <c r="AF765" s="4" t="s">
        <v>2842</v>
      </c>
    </row>
    <row r="766" spans="1:35" ht="396" hidden="1" x14ac:dyDescent="0.3">
      <c r="A766" s="10" t="s">
        <v>2843</v>
      </c>
      <c r="B766" s="10"/>
      <c r="C766" s="24" t="s">
        <v>2844</v>
      </c>
      <c r="D766" s="12"/>
      <c r="E766" s="12" t="s">
        <v>2845</v>
      </c>
      <c r="F766" s="18" t="s">
        <v>116</v>
      </c>
      <c r="G766" s="19">
        <v>1</v>
      </c>
      <c r="H766" s="20"/>
      <c r="I766" s="20">
        <v>4</v>
      </c>
      <c r="J766" s="21">
        <v>0</v>
      </c>
      <c r="M766" s="22">
        <f t="shared" si="41"/>
        <v>0</v>
      </c>
      <c r="P766" s="23">
        <v>0</v>
      </c>
      <c r="S766" s="22">
        <f t="shared" si="42"/>
        <v>0</v>
      </c>
      <c r="V766" s="9">
        <f t="shared" si="43"/>
        <v>0</v>
      </c>
      <c r="Y766" s="9">
        <f t="shared" si="44"/>
        <v>0</v>
      </c>
      <c r="AD766" s="4" t="s">
        <v>2846</v>
      </c>
      <c r="AE766" s="4" t="s">
        <v>2847</v>
      </c>
      <c r="AF766" s="4" t="s">
        <v>2848</v>
      </c>
    </row>
    <row r="767" spans="1:35" ht="396" hidden="1" x14ac:dyDescent="0.3">
      <c r="A767" s="10" t="s">
        <v>2849</v>
      </c>
      <c r="B767" s="10"/>
      <c r="C767" s="24" t="s">
        <v>2850</v>
      </c>
      <c r="D767" s="12"/>
      <c r="E767" s="12" t="s">
        <v>2851</v>
      </c>
      <c r="F767" s="18" t="s">
        <v>116</v>
      </c>
      <c r="G767" s="19">
        <v>1</v>
      </c>
      <c r="H767" s="20"/>
      <c r="I767" s="20">
        <v>4</v>
      </c>
      <c r="J767" s="21">
        <v>0</v>
      </c>
      <c r="M767" s="22">
        <f t="shared" si="41"/>
        <v>0</v>
      </c>
      <c r="P767" s="23">
        <v>0</v>
      </c>
      <c r="S767" s="22">
        <f t="shared" si="42"/>
        <v>0</v>
      </c>
      <c r="V767" s="9">
        <f t="shared" si="43"/>
        <v>0</v>
      </c>
      <c r="Y767" s="9">
        <f t="shared" si="44"/>
        <v>0</v>
      </c>
      <c r="AD767" s="4" t="s">
        <v>2852</v>
      </c>
      <c r="AE767" s="4" t="s">
        <v>2853</v>
      </c>
      <c r="AF767" s="4" t="s">
        <v>2854</v>
      </c>
    </row>
    <row r="768" spans="1:35" ht="409.6" hidden="1" x14ac:dyDescent="0.3">
      <c r="A768" s="10" t="s">
        <v>2855</v>
      </c>
      <c r="B768" s="10"/>
      <c r="C768" s="24" t="s">
        <v>2856</v>
      </c>
      <c r="D768" s="12"/>
      <c r="E768" s="12" t="s">
        <v>2857</v>
      </c>
      <c r="F768" s="18" t="s">
        <v>116</v>
      </c>
      <c r="G768" s="19">
        <v>1</v>
      </c>
      <c r="H768" s="20"/>
      <c r="I768" s="20">
        <v>3</v>
      </c>
      <c r="J768" s="21">
        <v>0</v>
      </c>
      <c r="M768" s="22">
        <f t="shared" si="41"/>
        <v>0</v>
      </c>
      <c r="P768" s="23">
        <v>0</v>
      </c>
      <c r="S768" s="22">
        <f t="shared" si="42"/>
        <v>0</v>
      </c>
      <c r="V768" s="9">
        <f t="shared" si="43"/>
        <v>0</v>
      </c>
      <c r="Y768" s="9">
        <f t="shared" si="44"/>
        <v>0</v>
      </c>
      <c r="AD768" s="4" t="s">
        <v>2858</v>
      </c>
      <c r="AE768" s="4" t="s">
        <v>2859</v>
      </c>
      <c r="AF768" s="4" t="s">
        <v>2860</v>
      </c>
    </row>
    <row r="769" spans="1:35" ht="409.6" hidden="1" x14ac:dyDescent="0.3">
      <c r="A769" s="10" t="s">
        <v>2861</v>
      </c>
      <c r="B769" s="10"/>
      <c r="C769" s="24" t="s">
        <v>2862</v>
      </c>
      <c r="D769" s="12"/>
      <c r="E769" s="12" t="s">
        <v>2863</v>
      </c>
      <c r="F769" s="18" t="s">
        <v>116</v>
      </c>
      <c r="G769" s="19">
        <v>1</v>
      </c>
      <c r="H769" s="20"/>
      <c r="I769" s="20">
        <v>1</v>
      </c>
      <c r="J769" s="21">
        <v>0</v>
      </c>
      <c r="M769" s="22">
        <f t="shared" si="41"/>
        <v>0</v>
      </c>
      <c r="P769" s="23">
        <v>0</v>
      </c>
      <c r="S769" s="22">
        <f t="shared" si="42"/>
        <v>0</v>
      </c>
      <c r="V769" s="9">
        <f t="shared" si="43"/>
        <v>0</v>
      </c>
      <c r="Y769" s="9">
        <f t="shared" si="44"/>
        <v>0</v>
      </c>
      <c r="AD769" s="4" t="s">
        <v>2864</v>
      </c>
      <c r="AE769" s="4" t="s">
        <v>2865</v>
      </c>
      <c r="AF769" s="4" t="s">
        <v>2866</v>
      </c>
    </row>
    <row r="770" spans="1:35" ht="409.6" hidden="1" x14ac:dyDescent="0.3">
      <c r="A770" s="10" t="s">
        <v>2867</v>
      </c>
      <c r="B770" s="10"/>
      <c r="C770" s="24" t="s">
        <v>2868</v>
      </c>
      <c r="D770" s="12"/>
      <c r="E770" s="12" t="s">
        <v>2869</v>
      </c>
      <c r="F770" s="18" t="s">
        <v>116</v>
      </c>
      <c r="G770" s="19">
        <v>1</v>
      </c>
      <c r="H770" s="20"/>
      <c r="I770" s="20">
        <v>1</v>
      </c>
      <c r="J770" s="21">
        <v>0</v>
      </c>
      <c r="M770" s="22">
        <f t="shared" si="41"/>
        <v>0</v>
      </c>
      <c r="P770" s="23">
        <v>0</v>
      </c>
      <c r="S770" s="22">
        <f t="shared" si="42"/>
        <v>0</v>
      </c>
      <c r="V770" s="9">
        <f t="shared" si="43"/>
        <v>0</v>
      </c>
      <c r="Y770" s="9">
        <f t="shared" si="44"/>
        <v>0</v>
      </c>
      <c r="AD770" s="4" t="s">
        <v>2870</v>
      </c>
      <c r="AE770" s="4" t="s">
        <v>2871</v>
      </c>
      <c r="AF770" s="4" t="s">
        <v>2872</v>
      </c>
    </row>
    <row r="771" spans="1:35" ht="396" hidden="1" x14ac:dyDescent="0.3">
      <c r="A771" s="10" t="s">
        <v>2873</v>
      </c>
      <c r="B771" s="10"/>
      <c r="C771" s="24" t="s">
        <v>2874</v>
      </c>
      <c r="D771" s="12"/>
      <c r="E771" s="12" t="s">
        <v>2875</v>
      </c>
      <c r="F771" s="18" t="s">
        <v>116</v>
      </c>
      <c r="G771" s="19">
        <v>1</v>
      </c>
      <c r="H771" s="20"/>
      <c r="I771" s="20">
        <v>4</v>
      </c>
      <c r="J771" s="21">
        <v>0</v>
      </c>
      <c r="M771" s="22">
        <f t="shared" si="41"/>
        <v>0</v>
      </c>
      <c r="P771" s="23">
        <v>0</v>
      </c>
      <c r="S771" s="22">
        <f t="shared" si="42"/>
        <v>0</v>
      </c>
      <c r="V771" s="9">
        <f t="shared" si="43"/>
        <v>0</v>
      </c>
      <c r="Y771" s="9">
        <f t="shared" si="44"/>
        <v>0</v>
      </c>
      <c r="AD771" s="4" t="s">
        <v>2876</v>
      </c>
      <c r="AE771" s="4" t="s">
        <v>2877</v>
      </c>
      <c r="AF771" s="4" t="s">
        <v>2878</v>
      </c>
    </row>
    <row r="772" spans="1:35" ht="409.6" hidden="1" x14ac:dyDescent="0.3">
      <c r="A772" s="10" t="s">
        <v>2879</v>
      </c>
      <c r="B772" s="10"/>
      <c r="C772" s="24" t="s">
        <v>2880</v>
      </c>
      <c r="D772" s="12"/>
      <c r="E772" s="12" t="s">
        <v>2881</v>
      </c>
      <c r="F772" s="18" t="s">
        <v>116</v>
      </c>
      <c r="G772" s="19">
        <v>1</v>
      </c>
      <c r="H772" s="20"/>
      <c r="I772" s="20">
        <v>1</v>
      </c>
      <c r="J772" s="21">
        <v>0</v>
      </c>
      <c r="M772" s="22">
        <f t="shared" si="41"/>
        <v>0</v>
      </c>
      <c r="P772" s="23">
        <v>0</v>
      </c>
      <c r="S772" s="22">
        <f t="shared" si="42"/>
        <v>0</v>
      </c>
      <c r="V772" s="9">
        <f t="shared" si="43"/>
        <v>0</v>
      </c>
      <c r="Y772" s="9">
        <f t="shared" si="44"/>
        <v>0</v>
      </c>
      <c r="AD772" s="4" t="s">
        <v>2882</v>
      </c>
      <c r="AE772" s="4" t="s">
        <v>2883</v>
      </c>
      <c r="AF772" s="4" t="s">
        <v>2884</v>
      </c>
    </row>
    <row r="773" spans="1:35" ht="409.6" hidden="1" x14ac:dyDescent="0.3">
      <c r="A773" s="10" t="s">
        <v>2885</v>
      </c>
      <c r="B773" s="10"/>
      <c r="C773" s="24" t="s">
        <v>2886</v>
      </c>
      <c r="D773" s="12"/>
      <c r="E773" s="12" t="s">
        <v>2887</v>
      </c>
      <c r="F773" s="18" t="s">
        <v>116</v>
      </c>
      <c r="G773" s="19">
        <v>1</v>
      </c>
      <c r="H773" s="20"/>
      <c r="I773" s="20">
        <v>4</v>
      </c>
      <c r="J773" s="21">
        <v>0</v>
      </c>
      <c r="M773" s="22">
        <f t="shared" si="41"/>
        <v>0</v>
      </c>
      <c r="P773" s="23">
        <v>0</v>
      </c>
      <c r="S773" s="22">
        <f t="shared" si="42"/>
        <v>0</v>
      </c>
      <c r="V773" s="9">
        <f t="shared" si="43"/>
        <v>0</v>
      </c>
      <c r="Y773" s="9">
        <f t="shared" si="44"/>
        <v>0</v>
      </c>
      <c r="AD773" s="4" t="s">
        <v>2888</v>
      </c>
      <c r="AE773" s="4" t="s">
        <v>2889</v>
      </c>
      <c r="AF773" s="4" t="s">
        <v>2890</v>
      </c>
    </row>
    <row r="774" spans="1:35" ht="54" hidden="1" x14ac:dyDescent="0.3">
      <c r="A774" s="10" t="s">
        <v>2891</v>
      </c>
      <c r="B774" s="10" t="s">
        <v>2766</v>
      </c>
      <c r="C774" s="11" t="s">
        <v>2767</v>
      </c>
      <c r="D774" s="12"/>
      <c r="E774" s="12" t="s">
        <v>2768</v>
      </c>
      <c r="F774" s="12" t="s">
        <v>116</v>
      </c>
      <c r="G774" s="13">
        <v>1</v>
      </c>
      <c r="H774" s="13"/>
      <c r="I774" s="13">
        <v>55</v>
      </c>
      <c r="J774" s="14">
        <f>IFERROR(ROUND(SUM(M775,M776,M777,M778,M779,M780,M781,M782,M783,M784,M785,M786,M787,M788,M789,M790,M791)/I774, 2),0)</f>
        <v>0</v>
      </c>
      <c r="K774" s="15">
        <v>3271</v>
      </c>
      <c r="L774" s="14">
        <f>J774+ROUND(K774, 2)</f>
        <v>3271</v>
      </c>
      <c r="M774" s="14">
        <f>ROUND(J774*I774, 2)</f>
        <v>0</v>
      </c>
      <c r="N774" s="14">
        <f>ROUND(I774*ROUND(K774, 2), 2)</f>
        <v>179905</v>
      </c>
      <c r="O774" s="14">
        <f>M774+N774</f>
        <v>179905</v>
      </c>
      <c r="P774" s="14">
        <f>IFERROR(ROUND(SUM(S775,S776,S777,S778,S779,S780,S781,S782,S783,S784,S785,S786,S787,S788,S789,S790,S791)/I774, 2),0)</f>
        <v>0</v>
      </c>
      <c r="Q774" s="16">
        <v>3271</v>
      </c>
      <c r="R774" s="14">
        <f>P774+ROUND(Q774, 2)</f>
        <v>3271</v>
      </c>
      <c r="S774" s="14">
        <f>ROUND(P774*I774, 2)</f>
        <v>0</v>
      </c>
      <c r="T774" s="14">
        <f>ROUND(I774*ROUND(Q774, 2), 2)</f>
        <v>179905</v>
      </c>
      <c r="U774" s="14">
        <f>S774+T774</f>
        <v>179905</v>
      </c>
      <c r="V774" s="9">
        <f>ROUND(P774 / 1.2, 2)</f>
        <v>0</v>
      </c>
      <c r="W774" s="9">
        <f>ROUND(Q774 / 1.2, 2)</f>
        <v>2725.83</v>
      </c>
      <c r="X774" s="9">
        <f>ROUND(R774 / 1.2, 2)</f>
        <v>2725.83</v>
      </c>
      <c r="Y774" s="9">
        <f t="shared" si="44"/>
        <v>0</v>
      </c>
      <c r="Z774" s="9">
        <f>ROUND(T774 / 1.2, 2)</f>
        <v>149920.82999999999</v>
      </c>
      <c r="AA774" s="9">
        <f>Y774+Z774</f>
        <v>149920.82999999999</v>
      </c>
      <c r="AD774" s="4">
        <v>271132303</v>
      </c>
      <c r="AE774" s="4">
        <v>19830252</v>
      </c>
      <c r="AG774" s="4" t="s">
        <v>2769</v>
      </c>
      <c r="AH774" s="4" t="s">
        <v>2770</v>
      </c>
      <c r="AI774" s="4" t="s">
        <v>67</v>
      </c>
    </row>
    <row r="775" spans="1:35" ht="409.6" hidden="1" x14ac:dyDescent="0.3">
      <c r="A775" s="10" t="s">
        <v>2892</v>
      </c>
      <c r="B775" s="10"/>
      <c r="C775" s="24" t="s">
        <v>2772</v>
      </c>
      <c r="D775" s="12"/>
      <c r="E775" s="12" t="s">
        <v>2893</v>
      </c>
      <c r="F775" s="18" t="s">
        <v>116</v>
      </c>
      <c r="G775" s="19">
        <v>1</v>
      </c>
      <c r="H775" s="20"/>
      <c r="I775" s="20">
        <v>3</v>
      </c>
      <c r="J775" s="21">
        <v>0</v>
      </c>
      <c r="M775" s="22">
        <f t="shared" ref="M775:M791" si="45">ROUND(ROUND(J775, 2)*I775, 2)</f>
        <v>0</v>
      </c>
      <c r="P775" s="23">
        <v>0</v>
      </c>
      <c r="S775" s="22">
        <f t="shared" ref="S775:S791" si="46">ROUND(ROUND(P775, 2)*I775, 2)</f>
        <v>0</v>
      </c>
      <c r="V775" s="9">
        <f t="shared" ref="V775:V791" si="47">ROUND(ROUND(P775, 2)/1.2, 2)</f>
        <v>0</v>
      </c>
      <c r="Y775" s="9">
        <f t="shared" si="44"/>
        <v>0</v>
      </c>
      <c r="AD775" s="4" t="s">
        <v>2894</v>
      </c>
      <c r="AE775" s="4" t="s">
        <v>2895</v>
      </c>
      <c r="AF775" s="4" t="s">
        <v>2776</v>
      </c>
    </row>
    <row r="776" spans="1:35" ht="378" hidden="1" x14ac:dyDescent="0.3">
      <c r="A776" s="10" t="s">
        <v>2896</v>
      </c>
      <c r="B776" s="10"/>
      <c r="C776" s="24" t="s">
        <v>2897</v>
      </c>
      <c r="D776" s="12"/>
      <c r="E776" s="12" t="s">
        <v>2898</v>
      </c>
      <c r="F776" s="18" t="s">
        <v>116</v>
      </c>
      <c r="G776" s="19">
        <v>1</v>
      </c>
      <c r="H776" s="20"/>
      <c r="I776" s="20">
        <v>1</v>
      </c>
      <c r="J776" s="21">
        <v>0</v>
      </c>
      <c r="M776" s="22">
        <f t="shared" si="45"/>
        <v>0</v>
      </c>
      <c r="P776" s="23">
        <v>0</v>
      </c>
      <c r="S776" s="22">
        <f t="shared" si="46"/>
        <v>0</v>
      </c>
      <c r="V776" s="9">
        <f t="shared" si="47"/>
        <v>0</v>
      </c>
      <c r="Y776" s="9">
        <f t="shared" si="44"/>
        <v>0</v>
      </c>
      <c r="AD776" s="4" t="s">
        <v>2899</v>
      </c>
      <c r="AE776" s="4" t="s">
        <v>2900</v>
      </c>
      <c r="AF776" s="4" t="s">
        <v>2901</v>
      </c>
    </row>
    <row r="777" spans="1:35" ht="342" hidden="1" x14ac:dyDescent="0.3">
      <c r="A777" s="10" t="s">
        <v>2902</v>
      </c>
      <c r="B777" s="10"/>
      <c r="C777" s="24" t="s">
        <v>2903</v>
      </c>
      <c r="D777" s="12"/>
      <c r="E777" s="12" t="s">
        <v>2904</v>
      </c>
      <c r="F777" s="18" t="s">
        <v>116</v>
      </c>
      <c r="G777" s="19">
        <v>1</v>
      </c>
      <c r="H777" s="20"/>
      <c r="I777" s="20">
        <v>2</v>
      </c>
      <c r="J777" s="21">
        <v>0</v>
      </c>
      <c r="M777" s="22">
        <f t="shared" si="45"/>
        <v>0</v>
      </c>
      <c r="P777" s="23">
        <v>0</v>
      </c>
      <c r="S777" s="22">
        <f t="shared" si="46"/>
        <v>0</v>
      </c>
      <c r="V777" s="9">
        <f t="shared" si="47"/>
        <v>0</v>
      </c>
      <c r="Y777" s="9">
        <f t="shared" si="44"/>
        <v>0</v>
      </c>
      <c r="AD777" s="4" t="s">
        <v>2905</v>
      </c>
      <c r="AE777" s="4" t="s">
        <v>2906</v>
      </c>
      <c r="AF777" s="4" t="s">
        <v>2907</v>
      </c>
    </row>
    <row r="778" spans="1:35" ht="324" hidden="1" x14ac:dyDescent="0.3">
      <c r="A778" s="10" t="s">
        <v>2908</v>
      </c>
      <c r="B778" s="10"/>
      <c r="C778" s="24" t="s">
        <v>2784</v>
      </c>
      <c r="D778" s="12"/>
      <c r="E778" s="12" t="s">
        <v>2909</v>
      </c>
      <c r="F778" s="18" t="s">
        <v>116</v>
      </c>
      <c r="G778" s="19">
        <v>1</v>
      </c>
      <c r="H778" s="20"/>
      <c r="I778" s="20">
        <v>2</v>
      </c>
      <c r="J778" s="21">
        <v>0</v>
      </c>
      <c r="M778" s="22">
        <f t="shared" si="45"/>
        <v>0</v>
      </c>
      <c r="P778" s="23">
        <v>0</v>
      </c>
      <c r="S778" s="22">
        <f t="shared" si="46"/>
        <v>0</v>
      </c>
      <c r="V778" s="9">
        <f t="shared" si="47"/>
        <v>0</v>
      </c>
      <c r="Y778" s="9">
        <f t="shared" si="44"/>
        <v>0</v>
      </c>
      <c r="AD778" s="4" t="s">
        <v>2910</v>
      </c>
      <c r="AE778" s="4" t="s">
        <v>2911</v>
      </c>
      <c r="AF778" s="4" t="s">
        <v>2788</v>
      </c>
    </row>
    <row r="779" spans="1:35" ht="342" hidden="1" x14ac:dyDescent="0.3">
      <c r="A779" s="10" t="s">
        <v>2912</v>
      </c>
      <c r="B779" s="10"/>
      <c r="C779" s="24" t="s">
        <v>2913</v>
      </c>
      <c r="D779" s="12"/>
      <c r="E779" s="12" t="s">
        <v>2914</v>
      </c>
      <c r="F779" s="18" t="s">
        <v>116</v>
      </c>
      <c r="G779" s="19">
        <v>1</v>
      </c>
      <c r="H779" s="20"/>
      <c r="I779" s="20">
        <v>3</v>
      </c>
      <c r="J779" s="21">
        <v>0</v>
      </c>
      <c r="M779" s="22">
        <f t="shared" si="45"/>
        <v>0</v>
      </c>
      <c r="P779" s="23">
        <v>0</v>
      </c>
      <c r="S779" s="22">
        <f t="shared" si="46"/>
        <v>0</v>
      </c>
      <c r="V779" s="9">
        <f t="shared" si="47"/>
        <v>0</v>
      </c>
      <c r="Y779" s="9">
        <f t="shared" si="44"/>
        <v>0</v>
      </c>
      <c r="AD779" s="4" t="s">
        <v>2915</v>
      </c>
      <c r="AE779" s="4" t="s">
        <v>2916</v>
      </c>
      <c r="AF779" s="4" t="s">
        <v>2917</v>
      </c>
    </row>
    <row r="780" spans="1:35" ht="409.6" hidden="1" x14ac:dyDescent="0.3">
      <c r="A780" s="10" t="s">
        <v>2918</v>
      </c>
      <c r="B780" s="10"/>
      <c r="C780" s="24" t="s">
        <v>2796</v>
      </c>
      <c r="D780" s="12"/>
      <c r="E780" s="12" t="s">
        <v>2919</v>
      </c>
      <c r="F780" s="18" t="s">
        <v>116</v>
      </c>
      <c r="G780" s="19">
        <v>1</v>
      </c>
      <c r="H780" s="20"/>
      <c r="I780" s="20">
        <v>1</v>
      </c>
      <c r="J780" s="21">
        <v>0</v>
      </c>
      <c r="M780" s="22">
        <f t="shared" si="45"/>
        <v>0</v>
      </c>
      <c r="P780" s="23">
        <v>0</v>
      </c>
      <c r="S780" s="22">
        <f t="shared" si="46"/>
        <v>0</v>
      </c>
      <c r="V780" s="9">
        <f t="shared" si="47"/>
        <v>0</v>
      </c>
      <c r="Y780" s="9">
        <f t="shared" si="44"/>
        <v>0</v>
      </c>
      <c r="AD780" s="4" t="s">
        <v>2920</v>
      </c>
      <c r="AE780" s="4" t="s">
        <v>2921</v>
      </c>
      <c r="AF780" s="4" t="s">
        <v>2800</v>
      </c>
    </row>
    <row r="781" spans="1:35" ht="409.6" hidden="1" x14ac:dyDescent="0.3">
      <c r="A781" s="10" t="s">
        <v>2922</v>
      </c>
      <c r="B781" s="10"/>
      <c r="C781" s="24" t="s">
        <v>2814</v>
      </c>
      <c r="D781" s="12"/>
      <c r="E781" s="12" t="s">
        <v>2923</v>
      </c>
      <c r="F781" s="18" t="s">
        <v>116</v>
      </c>
      <c r="G781" s="19">
        <v>1</v>
      </c>
      <c r="H781" s="20"/>
      <c r="I781" s="20">
        <v>2</v>
      </c>
      <c r="J781" s="21">
        <v>0</v>
      </c>
      <c r="M781" s="22">
        <f t="shared" si="45"/>
        <v>0</v>
      </c>
      <c r="P781" s="23">
        <v>0</v>
      </c>
      <c r="S781" s="22">
        <f t="shared" si="46"/>
        <v>0</v>
      </c>
      <c r="V781" s="9">
        <f t="shared" si="47"/>
        <v>0</v>
      </c>
      <c r="Y781" s="9">
        <f t="shared" si="44"/>
        <v>0</v>
      </c>
      <c r="AD781" s="4" t="s">
        <v>2924</v>
      </c>
      <c r="AE781" s="4" t="s">
        <v>2925</v>
      </c>
      <c r="AF781" s="4" t="s">
        <v>2818</v>
      </c>
    </row>
    <row r="782" spans="1:35" ht="342" hidden="1" x14ac:dyDescent="0.3">
      <c r="A782" s="10" t="s">
        <v>2926</v>
      </c>
      <c r="B782" s="10"/>
      <c r="C782" s="24" t="s">
        <v>2927</v>
      </c>
      <c r="D782" s="12"/>
      <c r="E782" s="12" t="s">
        <v>2928</v>
      </c>
      <c r="F782" s="18" t="s">
        <v>116</v>
      </c>
      <c r="G782" s="19">
        <v>1</v>
      </c>
      <c r="H782" s="20"/>
      <c r="I782" s="20">
        <v>2</v>
      </c>
      <c r="J782" s="21">
        <v>0</v>
      </c>
      <c r="M782" s="22">
        <f t="shared" si="45"/>
        <v>0</v>
      </c>
      <c r="P782" s="23">
        <v>0</v>
      </c>
      <c r="S782" s="22">
        <f t="shared" si="46"/>
        <v>0</v>
      </c>
      <c r="V782" s="9">
        <f t="shared" si="47"/>
        <v>0</v>
      </c>
      <c r="Y782" s="9">
        <f t="shared" si="44"/>
        <v>0</v>
      </c>
      <c r="AD782" s="4" t="s">
        <v>2929</v>
      </c>
      <c r="AE782" s="4" t="s">
        <v>2930</v>
      </c>
      <c r="AF782" s="4" t="s">
        <v>2931</v>
      </c>
    </row>
    <row r="783" spans="1:35" ht="378" hidden="1" x14ac:dyDescent="0.3">
      <c r="A783" s="10" t="s">
        <v>2932</v>
      </c>
      <c r="B783" s="10"/>
      <c r="C783" s="24" t="s">
        <v>2832</v>
      </c>
      <c r="D783" s="12"/>
      <c r="E783" s="12" t="s">
        <v>2933</v>
      </c>
      <c r="F783" s="18" t="s">
        <v>116</v>
      </c>
      <c r="G783" s="19">
        <v>1</v>
      </c>
      <c r="H783" s="20"/>
      <c r="I783" s="20">
        <v>5</v>
      </c>
      <c r="J783" s="21">
        <v>0</v>
      </c>
      <c r="M783" s="22">
        <f t="shared" si="45"/>
        <v>0</v>
      </c>
      <c r="P783" s="23">
        <v>0</v>
      </c>
      <c r="S783" s="22">
        <f t="shared" si="46"/>
        <v>0</v>
      </c>
      <c r="V783" s="9">
        <f t="shared" si="47"/>
        <v>0</v>
      </c>
      <c r="Y783" s="9">
        <f t="shared" si="44"/>
        <v>0</v>
      </c>
      <c r="AD783" s="4" t="s">
        <v>2934</v>
      </c>
      <c r="AE783" s="4" t="s">
        <v>2935</v>
      </c>
      <c r="AF783" s="4" t="s">
        <v>2836</v>
      </c>
    </row>
    <row r="784" spans="1:35" ht="342" hidden="1" x14ac:dyDescent="0.3">
      <c r="A784" s="10" t="s">
        <v>2936</v>
      </c>
      <c r="B784" s="10"/>
      <c r="C784" s="24" t="s">
        <v>2838</v>
      </c>
      <c r="D784" s="12"/>
      <c r="E784" s="12" t="s">
        <v>2937</v>
      </c>
      <c r="F784" s="18" t="s">
        <v>116</v>
      </c>
      <c r="G784" s="19">
        <v>1</v>
      </c>
      <c r="H784" s="20"/>
      <c r="I784" s="20">
        <v>5</v>
      </c>
      <c r="J784" s="21">
        <v>0</v>
      </c>
      <c r="M784" s="22">
        <f t="shared" si="45"/>
        <v>0</v>
      </c>
      <c r="P784" s="23">
        <v>0</v>
      </c>
      <c r="S784" s="22">
        <f t="shared" si="46"/>
        <v>0</v>
      </c>
      <c r="V784" s="9">
        <f t="shared" si="47"/>
        <v>0</v>
      </c>
      <c r="Y784" s="9">
        <f t="shared" si="44"/>
        <v>0</v>
      </c>
      <c r="AD784" s="4" t="s">
        <v>2938</v>
      </c>
      <c r="AE784" s="4" t="s">
        <v>2939</v>
      </c>
      <c r="AF784" s="4" t="s">
        <v>2842</v>
      </c>
    </row>
    <row r="785" spans="1:35" ht="360" hidden="1" x14ac:dyDescent="0.3">
      <c r="A785" s="10" t="s">
        <v>2940</v>
      </c>
      <c r="B785" s="10"/>
      <c r="C785" s="24" t="s">
        <v>2941</v>
      </c>
      <c r="D785" s="12"/>
      <c r="E785" s="12" t="s">
        <v>2942</v>
      </c>
      <c r="F785" s="18" t="s">
        <v>116</v>
      </c>
      <c r="G785" s="19">
        <v>1</v>
      </c>
      <c r="H785" s="20"/>
      <c r="I785" s="20">
        <v>15</v>
      </c>
      <c r="J785" s="21">
        <v>0</v>
      </c>
      <c r="M785" s="22">
        <f t="shared" si="45"/>
        <v>0</v>
      </c>
      <c r="P785" s="23">
        <v>0</v>
      </c>
      <c r="S785" s="22">
        <f t="shared" si="46"/>
        <v>0</v>
      </c>
      <c r="V785" s="9">
        <f t="shared" si="47"/>
        <v>0</v>
      </c>
      <c r="Y785" s="9">
        <f t="shared" si="44"/>
        <v>0</v>
      </c>
      <c r="AD785" s="4" t="s">
        <v>2943</v>
      </c>
      <c r="AE785" s="4" t="s">
        <v>2944</v>
      </c>
      <c r="AF785" s="4" t="s">
        <v>2945</v>
      </c>
    </row>
    <row r="786" spans="1:35" ht="396" hidden="1" x14ac:dyDescent="0.3">
      <c r="A786" s="10" t="s">
        <v>2946</v>
      </c>
      <c r="B786" s="10"/>
      <c r="C786" s="24" t="s">
        <v>2844</v>
      </c>
      <c r="D786" s="12"/>
      <c r="E786" s="12" t="s">
        <v>2947</v>
      </c>
      <c r="F786" s="18" t="s">
        <v>116</v>
      </c>
      <c r="G786" s="19">
        <v>1</v>
      </c>
      <c r="H786" s="20"/>
      <c r="I786" s="20">
        <v>1</v>
      </c>
      <c r="J786" s="21">
        <v>0</v>
      </c>
      <c r="M786" s="22">
        <f t="shared" si="45"/>
        <v>0</v>
      </c>
      <c r="P786" s="23">
        <v>0</v>
      </c>
      <c r="S786" s="22">
        <f t="shared" si="46"/>
        <v>0</v>
      </c>
      <c r="V786" s="9">
        <f t="shared" si="47"/>
        <v>0</v>
      </c>
      <c r="Y786" s="9">
        <f t="shared" si="44"/>
        <v>0</v>
      </c>
      <c r="AD786" s="4" t="s">
        <v>2948</v>
      </c>
      <c r="AE786" s="4" t="s">
        <v>2949</v>
      </c>
      <c r="AF786" s="4" t="s">
        <v>2848</v>
      </c>
    </row>
    <row r="787" spans="1:35" ht="342" hidden="1" x14ac:dyDescent="0.3">
      <c r="A787" s="10" t="s">
        <v>2950</v>
      </c>
      <c r="B787" s="10"/>
      <c r="C787" s="24" t="s">
        <v>2862</v>
      </c>
      <c r="D787" s="12"/>
      <c r="E787" s="12" t="s">
        <v>2951</v>
      </c>
      <c r="F787" s="18" t="s">
        <v>116</v>
      </c>
      <c r="G787" s="19">
        <v>1</v>
      </c>
      <c r="H787" s="20"/>
      <c r="I787" s="20">
        <v>2</v>
      </c>
      <c r="J787" s="21">
        <v>0</v>
      </c>
      <c r="M787" s="22">
        <f t="shared" si="45"/>
        <v>0</v>
      </c>
      <c r="P787" s="23">
        <v>0</v>
      </c>
      <c r="S787" s="22">
        <f t="shared" si="46"/>
        <v>0</v>
      </c>
      <c r="V787" s="9">
        <f t="shared" si="47"/>
        <v>0</v>
      </c>
      <c r="Y787" s="9">
        <f t="shared" si="44"/>
        <v>0</v>
      </c>
      <c r="AD787" s="4" t="s">
        <v>2952</v>
      </c>
      <c r="AE787" s="4" t="s">
        <v>2953</v>
      </c>
      <c r="AF787" s="4" t="s">
        <v>2866</v>
      </c>
    </row>
    <row r="788" spans="1:35" ht="360" hidden="1" x14ac:dyDescent="0.3">
      <c r="A788" s="10" t="s">
        <v>2954</v>
      </c>
      <c r="B788" s="10"/>
      <c r="C788" s="24" t="s">
        <v>2868</v>
      </c>
      <c r="D788" s="12"/>
      <c r="E788" s="12" t="s">
        <v>2955</v>
      </c>
      <c r="F788" s="18" t="s">
        <v>116</v>
      </c>
      <c r="G788" s="19">
        <v>1</v>
      </c>
      <c r="H788" s="20"/>
      <c r="I788" s="20">
        <v>4</v>
      </c>
      <c r="J788" s="21">
        <v>0</v>
      </c>
      <c r="M788" s="22">
        <f t="shared" si="45"/>
        <v>0</v>
      </c>
      <c r="P788" s="23">
        <v>0</v>
      </c>
      <c r="S788" s="22">
        <f t="shared" si="46"/>
        <v>0</v>
      </c>
      <c r="V788" s="9">
        <f t="shared" si="47"/>
        <v>0</v>
      </c>
      <c r="Y788" s="9">
        <f t="shared" si="44"/>
        <v>0</v>
      </c>
      <c r="AD788" s="4" t="s">
        <v>2956</v>
      </c>
      <c r="AE788" s="4" t="s">
        <v>2957</v>
      </c>
      <c r="AF788" s="4" t="s">
        <v>2872</v>
      </c>
    </row>
    <row r="789" spans="1:35" ht="396" hidden="1" x14ac:dyDescent="0.3">
      <c r="A789" s="10" t="s">
        <v>2958</v>
      </c>
      <c r="B789" s="10"/>
      <c r="C789" s="24" t="s">
        <v>2959</v>
      </c>
      <c r="D789" s="12"/>
      <c r="E789" s="12" t="s">
        <v>2960</v>
      </c>
      <c r="F789" s="18" t="s">
        <v>116</v>
      </c>
      <c r="G789" s="19">
        <v>1</v>
      </c>
      <c r="H789" s="20"/>
      <c r="I789" s="20">
        <v>4</v>
      </c>
      <c r="J789" s="21">
        <v>0</v>
      </c>
      <c r="M789" s="22">
        <f t="shared" si="45"/>
        <v>0</v>
      </c>
      <c r="P789" s="23">
        <v>0</v>
      </c>
      <c r="S789" s="22">
        <f t="shared" si="46"/>
        <v>0</v>
      </c>
      <c r="V789" s="9">
        <f t="shared" si="47"/>
        <v>0</v>
      </c>
      <c r="Y789" s="9">
        <f t="shared" si="44"/>
        <v>0</v>
      </c>
      <c r="AD789" s="4" t="s">
        <v>2961</v>
      </c>
      <c r="AE789" s="4" t="s">
        <v>2962</v>
      </c>
      <c r="AF789" s="4" t="s">
        <v>2963</v>
      </c>
    </row>
    <row r="790" spans="1:35" ht="324" hidden="1" x14ac:dyDescent="0.3">
      <c r="A790" s="10" t="s">
        <v>2964</v>
      </c>
      <c r="B790" s="10"/>
      <c r="C790" s="24" t="s">
        <v>2874</v>
      </c>
      <c r="D790" s="12"/>
      <c r="E790" s="12" t="s">
        <v>2965</v>
      </c>
      <c r="F790" s="18" t="s">
        <v>116</v>
      </c>
      <c r="G790" s="19">
        <v>1</v>
      </c>
      <c r="H790" s="20"/>
      <c r="I790" s="20">
        <v>1</v>
      </c>
      <c r="J790" s="21">
        <v>0</v>
      </c>
      <c r="M790" s="22">
        <f t="shared" si="45"/>
        <v>0</v>
      </c>
      <c r="P790" s="23">
        <v>0</v>
      </c>
      <c r="S790" s="22">
        <f t="shared" si="46"/>
        <v>0</v>
      </c>
      <c r="V790" s="9">
        <f t="shared" si="47"/>
        <v>0</v>
      </c>
      <c r="Y790" s="9">
        <f t="shared" si="44"/>
        <v>0</v>
      </c>
      <c r="AD790" s="4" t="s">
        <v>2966</v>
      </c>
      <c r="AE790" s="4" t="s">
        <v>2967</v>
      </c>
      <c r="AF790" s="4" t="s">
        <v>2878</v>
      </c>
    </row>
    <row r="791" spans="1:35" ht="324" hidden="1" x14ac:dyDescent="0.3">
      <c r="A791" s="10" t="s">
        <v>2968</v>
      </c>
      <c r="B791" s="10"/>
      <c r="C791" s="24" t="s">
        <v>2969</v>
      </c>
      <c r="D791" s="12"/>
      <c r="E791" s="12" t="s">
        <v>2970</v>
      </c>
      <c r="F791" s="18" t="s">
        <v>116</v>
      </c>
      <c r="G791" s="19">
        <v>1</v>
      </c>
      <c r="H791" s="20"/>
      <c r="I791" s="20">
        <v>2</v>
      </c>
      <c r="J791" s="21">
        <v>0</v>
      </c>
      <c r="M791" s="22">
        <f t="shared" si="45"/>
        <v>0</v>
      </c>
      <c r="P791" s="23">
        <v>0</v>
      </c>
      <c r="S791" s="22">
        <f t="shared" si="46"/>
        <v>0</v>
      </c>
      <c r="V791" s="9">
        <f t="shared" si="47"/>
        <v>0</v>
      </c>
      <c r="Y791" s="9">
        <f t="shared" si="44"/>
        <v>0</v>
      </c>
      <c r="AD791" s="4" t="s">
        <v>2971</v>
      </c>
      <c r="AE791" s="4" t="s">
        <v>2972</v>
      </c>
      <c r="AF791" s="4" t="s">
        <v>2973</v>
      </c>
    </row>
    <row r="792" spans="1:35" ht="17.100000000000001" hidden="1" customHeight="1" x14ac:dyDescent="0.3">
      <c r="A792" s="10" t="s">
        <v>2974</v>
      </c>
      <c r="B792" s="10" t="s">
        <v>2975</v>
      </c>
      <c r="C792" s="185" t="s">
        <v>2976</v>
      </c>
      <c r="D792" s="186"/>
      <c r="E792" s="186"/>
      <c r="F792" s="186"/>
      <c r="G792" s="186"/>
      <c r="H792" s="186"/>
      <c r="I792" s="187"/>
      <c r="M792" s="6">
        <f t="shared" ref="M792:O794" si="48">SUM(M793)</f>
        <v>0</v>
      </c>
      <c r="N792" s="6">
        <f t="shared" si="48"/>
        <v>1057732.71</v>
      </c>
      <c r="O792" s="6">
        <f t="shared" si="48"/>
        <v>1057732.71</v>
      </c>
      <c r="S792" s="6">
        <f t="shared" ref="S792:U794" si="49">SUM(S793)</f>
        <v>0</v>
      </c>
      <c r="T792" s="6">
        <f t="shared" si="49"/>
        <v>1057732.71</v>
      </c>
      <c r="U792" s="6">
        <f t="shared" si="49"/>
        <v>1057732.71</v>
      </c>
      <c r="Y792" s="9">
        <f t="shared" ref="Y792:AA794" si="50">SUM(Y793)</f>
        <v>0</v>
      </c>
      <c r="Z792" s="9">
        <f t="shared" si="50"/>
        <v>881443.93</v>
      </c>
      <c r="AA792" s="9">
        <f t="shared" si="50"/>
        <v>881443.93</v>
      </c>
      <c r="AD792" s="4">
        <v>271132155</v>
      </c>
      <c r="AE792" s="4">
        <v>16297775</v>
      </c>
    </row>
    <row r="793" spans="1:35" ht="17.100000000000001" hidden="1" customHeight="1" x14ac:dyDescent="0.3">
      <c r="A793" s="10" t="s">
        <v>2977</v>
      </c>
      <c r="B793" s="10" t="s">
        <v>2978</v>
      </c>
      <c r="C793" s="185" t="s">
        <v>2979</v>
      </c>
      <c r="D793" s="186"/>
      <c r="E793" s="186"/>
      <c r="F793" s="186"/>
      <c r="G793" s="186"/>
      <c r="H793" s="186"/>
      <c r="I793" s="187"/>
      <c r="M793" s="6">
        <f t="shared" si="48"/>
        <v>0</v>
      </c>
      <c r="N793" s="6">
        <f t="shared" si="48"/>
        <v>1057732.71</v>
      </c>
      <c r="O793" s="6">
        <f t="shared" si="48"/>
        <v>1057732.71</v>
      </c>
      <c r="S793" s="6">
        <f t="shared" si="49"/>
        <v>0</v>
      </c>
      <c r="T793" s="6">
        <f t="shared" si="49"/>
        <v>1057732.71</v>
      </c>
      <c r="U793" s="6">
        <f t="shared" si="49"/>
        <v>1057732.71</v>
      </c>
      <c r="Y793" s="9">
        <f t="shared" si="50"/>
        <v>0</v>
      </c>
      <c r="Z793" s="9">
        <f t="shared" si="50"/>
        <v>881443.93</v>
      </c>
      <c r="AA793" s="9">
        <f t="shared" si="50"/>
        <v>881443.93</v>
      </c>
      <c r="AD793" s="4">
        <v>271132156</v>
      </c>
      <c r="AE793" s="4">
        <v>16297777</v>
      </c>
    </row>
    <row r="794" spans="1:35" ht="17.100000000000001" hidden="1" customHeight="1" x14ac:dyDescent="0.3">
      <c r="A794" s="10" t="s">
        <v>2980</v>
      </c>
      <c r="B794" s="10" t="s">
        <v>2981</v>
      </c>
      <c r="C794" s="185" t="s">
        <v>2982</v>
      </c>
      <c r="D794" s="186"/>
      <c r="E794" s="186"/>
      <c r="F794" s="186"/>
      <c r="G794" s="186"/>
      <c r="H794" s="186"/>
      <c r="I794" s="187"/>
      <c r="M794" s="6">
        <f t="shared" si="48"/>
        <v>0</v>
      </c>
      <c r="N794" s="6">
        <f t="shared" si="48"/>
        <v>1057732.71</v>
      </c>
      <c r="O794" s="6">
        <f t="shared" si="48"/>
        <v>1057732.71</v>
      </c>
      <c r="S794" s="6">
        <f t="shared" si="49"/>
        <v>0</v>
      </c>
      <c r="T794" s="6">
        <f t="shared" si="49"/>
        <v>1057732.71</v>
      </c>
      <c r="U794" s="6">
        <f t="shared" si="49"/>
        <v>1057732.71</v>
      </c>
      <c r="Y794" s="9">
        <f t="shared" si="50"/>
        <v>0</v>
      </c>
      <c r="Z794" s="9">
        <f t="shared" si="50"/>
        <v>881443.93</v>
      </c>
      <c r="AA794" s="9">
        <f t="shared" si="50"/>
        <v>881443.93</v>
      </c>
      <c r="AD794" s="4">
        <v>271132157</v>
      </c>
      <c r="AE794" s="4">
        <v>16297776</v>
      </c>
    </row>
    <row r="795" spans="1:35" ht="90" hidden="1" x14ac:dyDescent="0.3">
      <c r="A795" s="10" t="s">
        <v>2983</v>
      </c>
      <c r="B795" s="10" t="s">
        <v>2984</v>
      </c>
      <c r="C795" s="11" t="s">
        <v>2985</v>
      </c>
      <c r="D795" s="12"/>
      <c r="E795" s="12" t="s">
        <v>2986</v>
      </c>
      <c r="F795" s="12" t="s">
        <v>64</v>
      </c>
      <c r="G795" s="13">
        <v>1</v>
      </c>
      <c r="H795" s="13"/>
      <c r="I795" s="13">
        <v>1348.65</v>
      </c>
      <c r="J795" s="14">
        <v>0</v>
      </c>
      <c r="K795" s="15">
        <v>784.29</v>
      </c>
      <c r="L795" s="14">
        <f>J795+ROUND(K795, 2)</f>
        <v>784.29</v>
      </c>
      <c r="M795" s="14">
        <v>0</v>
      </c>
      <c r="N795" s="14">
        <f>ROUND(I795*ROUND(K795, 2), 2)</f>
        <v>1057732.71</v>
      </c>
      <c r="O795" s="14">
        <f>M795+N795</f>
        <v>1057732.71</v>
      </c>
      <c r="P795" s="14">
        <v>0</v>
      </c>
      <c r="Q795" s="16">
        <v>784.29</v>
      </c>
      <c r="R795" s="14">
        <f>P795+ROUND(Q795, 2)</f>
        <v>784.29</v>
      </c>
      <c r="S795" s="14">
        <v>0</v>
      </c>
      <c r="T795" s="14">
        <f>ROUND(I795*ROUND(Q795, 2), 2)</f>
        <v>1057732.71</v>
      </c>
      <c r="U795" s="14">
        <f>S795+T795</f>
        <v>1057732.71</v>
      </c>
      <c r="V795" s="9"/>
      <c r="W795" s="9">
        <f>ROUND(Q795 / 1.2, 2)</f>
        <v>653.58000000000004</v>
      </c>
      <c r="X795" s="9">
        <f>ROUND(R795 / 1.2, 2)</f>
        <v>653.58000000000004</v>
      </c>
      <c r="Y795" s="9"/>
      <c r="Z795" s="9">
        <f>ROUND(T795 / 1.2, 2)</f>
        <v>881443.93</v>
      </c>
      <c r="AA795" s="9">
        <f>Y795+Z795</f>
        <v>881443.93</v>
      </c>
      <c r="AD795" s="4">
        <v>271132159</v>
      </c>
      <c r="AE795" s="4">
        <v>19825979</v>
      </c>
      <c r="AG795" s="4" t="s">
        <v>2987</v>
      </c>
      <c r="AH795" s="4" t="s">
        <v>2988</v>
      </c>
      <c r="AI795" s="4" t="s">
        <v>2989</v>
      </c>
    </row>
    <row r="796" spans="1:35" ht="24" hidden="1" customHeight="1" x14ac:dyDescent="0.3">
      <c r="A796" s="68"/>
      <c r="B796" s="68"/>
      <c r="C796" s="68"/>
      <c r="D796" s="69" t="s">
        <v>2990</v>
      </c>
      <c r="E796" s="68"/>
      <c r="F796" s="68"/>
      <c r="G796" s="68"/>
      <c r="H796" s="68"/>
      <c r="I796" s="68"/>
      <c r="J796" s="68"/>
      <c r="K796" s="68"/>
      <c r="L796" s="68"/>
      <c r="M796" s="70">
        <f>SUM(M8)</f>
        <v>48343925.430000007</v>
      </c>
      <c r="N796" s="70">
        <f>SUM(N8)</f>
        <v>97174132.929999992</v>
      </c>
      <c r="O796" s="70">
        <f>M796+N796</f>
        <v>145518058.36000001</v>
      </c>
      <c r="P796" s="68"/>
      <c r="Q796" s="68"/>
      <c r="R796" s="68"/>
      <c r="S796" s="70">
        <f>SUM(S8)</f>
        <v>55954680.140000015</v>
      </c>
      <c r="T796" s="70">
        <f>SUM(T8)</f>
        <v>97174132.929999992</v>
      </c>
      <c r="U796" s="70">
        <f>S796+T796</f>
        <v>153128813.06999999</v>
      </c>
      <c r="Y796" s="9">
        <f>SUM(Y8)</f>
        <v>46628900.260000005</v>
      </c>
      <c r="Z796" s="9">
        <f>SUM(Z8)</f>
        <v>80978444.120000005</v>
      </c>
      <c r="AA796" s="9">
        <f>Y796+Z796</f>
        <v>127607344.38000001</v>
      </c>
    </row>
    <row r="797" spans="1:35" ht="22.8" hidden="1" x14ac:dyDescent="0.3">
      <c r="A797" s="192" t="s">
        <v>2999</v>
      </c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4"/>
    </row>
    <row r="798" spans="1:35" ht="15.6" hidden="1" x14ac:dyDescent="0.3">
      <c r="A798" s="72"/>
      <c r="B798" s="5" t="s">
        <v>3000</v>
      </c>
      <c r="C798" s="71" t="s">
        <v>3001</v>
      </c>
      <c r="D798" s="71" t="s">
        <v>3002</v>
      </c>
      <c r="E798" s="73"/>
      <c r="F798" s="73"/>
      <c r="G798" s="73"/>
      <c r="H798" s="188"/>
      <c r="I798" s="205"/>
      <c r="J798" s="205"/>
      <c r="K798" s="205"/>
      <c r="L798" s="205"/>
      <c r="M798" s="205"/>
      <c r="N798" s="205"/>
      <c r="O798" s="205"/>
      <c r="P798" s="205"/>
      <c r="Q798" s="205"/>
      <c r="R798" s="205"/>
      <c r="S798" s="205"/>
      <c r="T798" s="205"/>
      <c r="U798" s="189"/>
    </row>
    <row r="799" spans="1:35" ht="15.6" hidden="1" x14ac:dyDescent="0.3">
      <c r="A799" s="72"/>
      <c r="B799" s="5" t="s">
        <v>3003</v>
      </c>
      <c r="C799" s="71" t="s">
        <v>3004</v>
      </c>
      <c r="D799" s="71" t="s">
        <v>3005</v>
      </c>
      <c r="E799" s="73"/>
      <c r="F799" s="73"/>
      <c r="G799" s="73"/>
      <c r="H799" s="188"/>
      <c r="I799" s="205"/>
      <c r="J799" s="205"/>
      <c r="K799" s="205"/>
      <c r="L799" s="205"/>
      <c r="M799" s="205"/>
      <c r="N799" s="205"/>
      <c r="O799" s="205"/>
      <c r="P799" s="205"/>
      <c r="Q799" s="205"/>
      <c r="R799" s="205"/>
      <c r="S799" s="205"/>
      <c r="T799" s="205"/>
      <c r="U799" s="189"/>
    </row>
    <row r="800" spans="1:35" ht="31.2" hidden="1" x14ac:dyDescent="0.3">
      <c r="A800" s="72"/>
      <c r="B800" s="5" t="s">
        <v>3006</v>
      </c>
      <c r="C800" s="71" t="s">
        <v>3007</v>
      </c>
      <c r="D800" s="71" t="s">
        <v>3008</v>
      </c>
      <c r="E800" s="73"/>
      <c r="F800" s="73"/>
      <c r="G800" s="73"/>
      <c r="H800" s="188"/>
      <c r="I800" s="205"/>
      <c r="J800" s="205"/>
      <c r="K800" s="205"/>
      <c r="L800" s="205"/>
      <c r="M800" s="205"/>
      <c r="N800" s="205"/>
      <c r="O800" s="205"/>
      <c r="P800" s="205"/>
      <c r="Q800" s="205"/>
      <c r="R800" s="205"/>
      <c r="S800" s="205"/>
      <c r="T800" s="205"/>
      <c r="U800" s="189"/>
    </row>
    <row r="801" spans="1:21" ht="15.6" hidden="1" x14ac:dyDescent="0.3">
      <c r="A801" s="72"/>
      <c r="B801" s="5" t="s">
        <v>3009</v>
      </c>
      <c r="C801" s="71" t="s">
        <v>3010</v>
      </c>
      <c r="D801" s="71" t="s">
        <v>3011</v>
      </c>
      <c r="E801" s="73"/>
      <c r="F801" s="73"/>
      <c r="G801" s="73"/>
      <c r="H801" s="188"/>
      <c r="I801" s="205"/>
      <c r="J801" s="205"/>
      <c r="K801" s="205"/>
      <c r="L801" s="205"/>
      <c r="M801" s="205"/>
      <c r="N801" s="205"/>
      <c r="O801" s="205"/>
      <c r="P801" s="205"/>
      <c r="Q801" s="205"/>
      <c r="R801" s="205"/>
      <c r="S801" s="205"/>
      <c r="T801" s="205"/>
      <c r="U801" s="189"/>
    </row>
    <row r="802" spans="1:21" ht="15.6" hidden="1" x14ac:dyDescent="0.3">
      <c r="A802" s="72"/>
      <c r="B802" s="5" t="s">
        <v>3012</v>
      </c>
      <c r="C802" s="71" t="s">
        <v>3013</v>
      </c>
      <c r="D802" s="71" t="s">
        <v>3005</v>
      </c>
      <c r="E802" s="73"/>
      <c r="F802" s="73"/>
      <c r="G802" s="73"/>
      <c r="H802" s="188"/>
      <c r="I802" s="205"/>
      <c r="J802" s="205"/>
      <c r="K802" s="205"/>
      <c r="L802" s="205"/>
      <c r="M802" s="205"/>
      <c r="N802" s="205"/>
      <c r="O802" s="205"/>
      <c r="P802" s="205"/>
      <c r="Q802" s="205"/>
      <c r="R802" s="205"/>
      <c r="S802" s="205"/>
      <c r="T802" s="205"/>
      <c r="U802" s="189"/>
    </row>
    <row r="803" spans="1:21" ht="31.2" hidden="1" x14ac:dyDescent="0.3">
      <c r="A803" s="72"/>
      <c r="B803" s="5" t="s">
        <v>3014</v>
      </c>
      <c r="C803" s="71" t="s">
        <v>3015</v>
      </c>
      <c r="D803" s="71" t="s">
        <v>3016</v>
      </c>
      <c r="E803" s="73"/>
      <c r="F803" s="73"/>
      <c r="G803" s="73"/>
      <c r="H803" s="188"/>
      <c r="I803" s="205"/>
      <c r="J803" s="205"/>
      <c r="K803" s="205"/>
      <c r="L803" s="205"/>
      <c r="M803" s="205"/>
      <c r="N803" s="205"/>
      <c r="O803" s="205"/>
      <c r="P803" s="205"/>
      <c r="Q803" s="205"/>
      <c r="R803" s="205"/>
      <c r="S803" s="205"/>
      <c r="T803" s="205"/>
      <c r="U803" s="189"/>
    </row>
    <row r="804" spans="1:21" ht="31.2" hidden="1" x14ac:dyDescent="0.3">
      <c r="A804" s="72"/>
      <c r="B804" s="5" t="s">
        <v>3017</v>
      </c>
      <c r="C804" s="71" t="s">
        <v>3018</v>
      </c>
      <c r="D804" s="71" t="s">
        <v>3019</v>
      </c>
      <c r="E804" s="73"/>
      <c r="F804" s="73"/>
      <c r="G804" s="73"/>
      <c r="H804" s="188"/>
      <c r="I804" s="205"/>
      <c r="J804" s="205"/>
      <c r="K804" s="205"/>
      <c r="L804" s="205"/>
      <c r="M804" s="205"/>
      <c r="N804" s="205"/>
      <c r="O804" s="205"/>
      <c r="P804" s="205"/>
      <c r="Q804" s="205"/>
      <c r="R804" s="205"/>
      <c r="S804" s="205"/>
      <c r="T804" s="205"/>
      <c r="U804" s="189"/>
    </row>
    <row r="805" spans="1:21" ht="15.6" hidden="1" x14ac:dyDescent="0.3">
      <c r="A805" s="72"/>
      <c r="B805" s="5" t="s">
        <v>3020</v>
      </c>
      <c r="C805" s="71" t="s">
        <v>3021</v>
      </c>
      <c r="D805" s="71" t="s">
        <v>3022</v>
      </c>
      <c r="E805" s="73"/>
      <c r="F805" s="73"/>
      <c r="G805" s="73"/>
      <c r="H805" s="188"/>
      <c r="I805" s="205"/>
      <c r="J805" s="205"/>
      <c r="K805" s="205"/>
      <c r="L805" s="205"/>
      <c r="M805" s="205"/>
      <c r="N805" s="205"/>
      <c r="O805" s="205"/>
      <c r="P805" s="205"/>
      <c r="Q805" s="205"/>
      <c r="R805" s="205"/>
      <c r="S805" s="205"/>
      <c r="T805" s="205"/>
      <c r="U805" s="189"/>
    </row>
    <row r="806" spans="1:21" ht="15.6" hidden="1" x14ac:dyDescent="0.3">
      <c r="A806" s="72"/>
      <c r="B806" s="5" t="s">
        <v>3023</v>
      </c>
      <c r="C806" s="71" t="s">
        <v>3024</v>
      </c>
      <c r="D806" s="71" t="s">
        <v>3025</v>
      </c>
      <c r="E806" s="73"/>
      <c r="F806" s="73"/>
      <c r="G806" s="73"/>
      <c r="H806" s="188"/>
      <c r="I806" s="205"/>
      <c r="J806" s="205"/>
      <c r="K806" s="205"/>
      <c r="L806" s="205"/>
      <c r="M806" s="205"/>
      <c r="N806" s="205"/>
      <c r="O806" s="205"/>
      <c r="P806" s="205"/>
      <c r="Q806" s="205"/>
      <c r="R806" s="205"/>
      <c r="S806" s="205"/>
      <c r="T806" s="205"/>
      <c r="U806" s="189"/>
    </row>
    <row r="807" spans="1:21" ht="31.2" hidden="1" x14ac:dyDescent="0.3">
      <c r="A807" s="72"/>
      <c r="B807" s="5" t="s">
        <v>3026</v>
      </c>
      <c r="C807" s="71" t="s">
        <v>3027</v>
      </c>
      <c r="D807" s="71" t="s">
        <v>3028</v>
      </c>
      <c r="E807" s="73"/>
      <c r="F807" s="73"/>
      <c r="G807" s="73"/>
      <c r="H807" s="188"/>
      <c r="I807" s="205"/>
      <c r="J807" s="205"/>
      <c r="K807" s="205"/>
      <c r="L807" s="205"/>
      <c r="M807" s="205"/>
      <c r="N807" s="205"/>
      <c r="O807" s="205"/>
      <c r="P807" s="205"/>
      <c r="Q807" s="205"/>
      <c r="R807" s="205"/>
      <c r="S807" s="205"/>
      <c r="T807" s="205"/>
      <c r="U807" s="189"/>
    </row>
    <row r="808" spans="1:21" ht="46.8" hidden="1" x14ac:dyDescent="0.3">
      <c r="A808" s="72"/>
      <c r="B808" s="5" t="s">
        <v>3029</v>
      </c>
      <c r="C808" s="71" t="s">
        <v>3030</v>
      </c>
      <c r="D808" s="71" t="s">
        <v>3031</v>
      </c>
      <c r="E808" s="73"/>
      <c r="F808" s="73"/>
      <c r="G808" s="73"/>
      <c r="H808" s="188"/>
      <c r="I808" s="205"/>
      <c r="J808" s="205"/>
      <c r="K808" s="205"/>
      <c r="L808" s="205"/>
      <c r="M808" s="205"/>
      <c r="N808" s="205"/>
      <c r="O808" s="205"/>
      <c r="P808" s="205"/>
      <c r="Q808" s="205"/>
      <c r="R808" s="205"/>
      <c r="S808" s="205"/>
      <c r="T808" s="205"/>
      <c r="U808" s="189"/>
    </row>
    <row r="809" spans="1:21" ht="31.2" hidden="1" x14ac:dyDescent="0.3">
      <c r="A809" s="72"/>
      <c r="B809" s="5" t="s">
        <v>3032</v>
      </c>
      <c r="C809" s="71" t="s">
        <v>3033</v>
      </c>
      <c r="D809" s="71" t="s">
        <v>3034</v>
      </c>
      <c r="E809" s="73"/>
      <c r="F809" s="73"/>
      <c r="G809" s="73"/>
      <c r="H809" s="188"/>
      <c r="I809" s="205"/>
      <c r="J809" s="205"/>
      <c r="K809" s="205"/>
      <c r="L809" s="205"/>
      <c r="M809" s="205"/>
      <c r="N809" s="205"/>
      <c r="O809" s="205"/>
      <c r="P809" s="205"/>
      <c r="Q809" s="205"/>
      <c r="R809" s="205"/>
      <c r="S809" s="205"/>
      <c r="T809" s="205"/>
      <c r="U809" s="189"/>
    </row>
    <row r="810" spans="1:21" ht="15.6" hidden="1" x14ac:dyDescent="0.3">
      <c r="A810" s="72"/>
      <c r="B810" s="5" t="s">
        <v>3035</v>
      </c>
      <c r="C810" s="71" t="s">
        <v>3036</v>
      </c>
      <c r="D810" s="71" t="s">
        <v>3037</v>
      </c>
      <c r="E810" s="73"/>
      <c r="F810" s="73"/>
      <c r="G810" s="73"/>
      <c r="H810" s="188"/>
      <c r="I810" s="205"/>
      <c r="J810" s="205"/>
      <c r="K810" s="205"/>
      <c r="L810" s="205"/>
      <c r="M810" s="205"/>
      <c r="N810" s="205"/>
      <c r="O810" s="205"/>
      <c r="P810" s="205"/>
      <c r="Q810" s="205"/>
      <c r="R810" s="205"/>
      <c r="S810" s="205"/>
      <c r="T810" s="205"/>
      <c r="U810" s="189"/>
    </row>
    <row r="811" spans="1:21" ht="46.8" hidden="1" x14ac:dyDescent="0.3">
      <c r="A811" s="72"/>
      <c r="B811" s="5" t="s">
        <v>3038</v>
      </c>
      <c r="C811" s="71" t="s">
        <v>3039</v>
      </c>
      <c r="D811" s="71" t="s">
        <v>3040</v>
      </c>
      <c r="E811" s="73"/>
      <c r="F811" s="73"/>
      <c r="G811" s="73"/>
      <c r="H811" s="188" t="s">
        <v>3041</v>
      </c>
      <c r="I811" s="205"/>
      <c r="J811" s="205"/>
      <c r="K811" s="205"/>
      <c r="L811" s="205"/>
      <c r="M811" s="205"/>
      <c r="N811" s="205"/>
      <c r="O811" s="205"/>
      <c r="P811" s="205"/>
      <c r="Q811" s="205"/>
      <c r="R811" s="205"/>
      <c r="S811" s="205"/>
      <c r="T811" s="205"/>
      <c r="U811" s="189"/>
    </row>
    <row r="812" spans="1:21" ht="15.6" hidden="1" x14ac:dyDescent="0.3">
      <c r="A812" s="72"/>
      <c r="B812" s="5" t="s">
        <v>3042</v>
      </c>
      <c r="C812" s="71" t="s">
        <v>3043</v>
      </c>
      <c r="D812" s="71" t="s">
        <v>3044</v>
      </c>
      <c r="E812" s="73"/>
      <c r="F812" s="73"/>
      <c r="G812" s="73"/>
      <c r="H812" s="188"/>
      <c r="I812" s="205"/>
      <c r="J812" s="205"/>
      <c r="K812" s="205"/>
      <c r="L812" s="205"/>
      <c r="M812" s="205"/>
      <c r="N812" s="205"/>
      <c r="O812" s="205"/>
      <c r="P812" s="205"/>
      <c r="Q812" s="205"/>
      <c r="R812" s="205"/>
      <c r="S812" s="205"/>
      <c r="T812" s="205"/>
      <c r="U812" s="189"/>
    </row>
    <row r="813" spans="1:21" ht="31.2" hidden="1" x14ac:dyDescent="0.3">
      <c r="A813" s="72"/>
      <c r="B813" s="5" t="s">
        <v>3045</v>
      </c>
      <c r="C813" s="71" t="s">
        <v>3046</v>
      </c>
      <c r="D813" s="73"/>
      <c r="E813" s="73"/>
      <c r="F813" s="73"/>
      <c r="G813" s="73"/>
      <c r="H813" s="188"/>
      <c r="I813" s="205"/>
      <c r="J813" s="205"/>
      <c r="K813" s="205"/>
      <c r="L813" s="205"/>
      <c r="M813" s="205"/>
      <c r="N813" s="205"/>
      <c r="O813" s="205"/>
      <c r="P813" s="205"/>
      <c r="Q813" s="205"/>
      <c r="R813" s="205"/>
      <c r="S813" s="205"/>
      <c r="T813" s="205"/>
      <c r="U813" s="189"/>
    </row>
    <row r="814" spans="1:21" ht="15.6" hidden="1" x14ac:dyDescent="0.3">
      <c r="A814" s="72"/>
      <c r="B814" s="5" t="s">
        <v>3047</v>
      </c>
      <c r="C814" s="71" t="s">
        <v>3048</v>
      </c>
      <c r="D814" s="73"/>
      <c r="E814" s="73"/>
      <c r="F814" s="73"/>
      <c r="G814" s="73"/>
      <c r="H814" s="188"/>
      <c r="I814" s="205"/>
      <c r="J814" s="205"/>
      <c r="K814" s="205"/>
      <c r="L814" s="205"/>
      <c r="M814" s="205"/>
      <c r="N814" s="205"/>
      <c r="O814" s="205"/>
      <c r="P814" s="205"/>
      <c r="Q814" s="205"/>
      <c r="R814" s="205"/>
      <c r="S814" s="205"/>
      <c r="T814" s="205"/>
      <c r="U814" s="189"/>
    </row>
    <row r="815" spans="1:21" ht="15.6" hidden="1" x14ac:dyDescent="0.3">
      <c r="A815" s="72"/>
      <c r="B815" s="5" t="s">
        <v>3049</v>
      </c>
      <c r="C815" s="71" t="s">
        <v>3050</v>
      </c>
      <c r="D815" s="73"/>
      <c r="E815" s="73"/>
      <c r="F815" s="73"/>
      <c r="G815" s="73"/>
      <c r="H815" s="188"/>
      <c r="I815" s="205"/>
      <c r="J815" s="205"/>
      <c r="K815" s="205"/>
      <c r="L815" s="205"/>
      <c r="M815" s="205"/>
      <c r="N815" s="205"/>
      <c r="O815" s="205"/>
      <c r="P815" s="205"/>
      <c r="Q815" s="205"/>
      <c r="R815" s="205"/>
      <c r="S815" s="205"/>
      <c r="T815" s="205"/>
      <c r="U815" s="189"/>
    </row>
    <row r="816" spans="1:21" hidden="1" x14ac:dyDescent="0.3"/>
  </sheetData>
  <mergeCells count="64">
    <mergeCell ref="H814:U814"/>
    <mergeCell ref="H815:U815"/>
    <mergeCell ref="H808:U808"/>
    <mergeCell ref="H809:U809"/>
    <mergeCell ref="H810:U810"/>
    <mergeCell ref="H811:U811"/>
    <mergeCell ref="H812:U812"/>
    <mergeCell ref="H813:U813"/>
    <mergeCell ref="H807:U807"/>
    <mergeCell ref="C794:I794"/>
    <mergeCell ref="A797:U797"/>
    <mergeCell ref="H798:U798"/>
    <mergeCell ref="H799:U799"/>
    <mergeCell ref="H800:U800"/>
    <mergeCell ref="H801:U801"/>
    <mergeCell ref="H802:U802"/>
    <mergeCell ref="H803:U803"/>
    <mergeCell ref="H804:U804"/>
    <mergeCell ref="H805:U805"/>
    <mergeCell ref="H806:U806"/>
    <mergeCell ref="C793:I793"/>
    <mergeCell ref="C164:I164"/>
    <mergeCell ref="C165:I165"/>
    <mergeCell ref="C262:I262"/>
    <mergeCell ref="C443:I443"/>
    <mergeCell ref="C515:I515"/>
    <mergeCell ref="C520:I520"/>
    <mergeCell ref="C521:I521"/>
    <mergeCell ref="C537:I537"/>
    <mergeCell ref="C679:I679"/>
    <mergeCell ref="C752:I752"/>
    <mergeCell ref="C792:I792"/>
    <mergeCell ref="C11:I11"/>
    <mergeCell ref="C12:I12"/>
    <mergeCell ref="C13:I13"/>
    <mergeCell ref="C14:I14"/>
    <mergeCell ref="C78:I78"/>
    <mergeCell ref="C93:I93"/>
    <mergeCell ref="R6:R7"/>
    <mergeCell ref="S6:T6"/>
    <mergeCell ref="U6:U7"/>
    <mergeCell ref="A8:I8"/>
    <mergeCell ref="C9:I9"/>
    <mergeCell ref="C10:I10"/>
    <mergeCell ref="H5:H7"/>
    <mergeCell ref="I5:I7"/>
    <mergeCell ref="J5:O5"/>
    <mergeCell ref="P5:R5"/>
    <mergeCell ref="S5:U5"/>
    <mergeCell ref="J6:K6"/>
    <mergeCell ref="L6:L7"/>
    <mergeCell ref="M6:N6"/>
    <mergeCell ref="O6:O7"/>
    <mergeCell ref="P6:Q6"/>
    <mergeCell ref="A2:U2"/>
    <mergeCell ref="A3:U3"/>
    <mergeCell ref="A4:U4"/>
    <mergeCell ref="A5:A7"/>
    <mergeCell ref="B5:B7"/>
    <mergeCell ref="C5:C7"/>
    <mergeCell ref="D5:D7"/>
    <mergeCell ref="E5:E7"/>
    <mergeCell ref="F5:F7"/>
    <mergeCell ref="G5:G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Изменения</vt:lpstr>
      <vt:lpstr>ТКП</vt:lpstr>
      <vt:lpstr>Лист1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Linux</cp:lastModifiedBy>
  <dcterms:created xsi:type="dcterms:W3CDTF">2025-10-17T08:42:13Z</dcterms:created>
  <dcterms:modified xsi:type="dcterms:W3CDTF">2026-01-05T12:17:00Z</dcterms:modified>
  <cp:category/>
</cp:coreProperties>
</file>