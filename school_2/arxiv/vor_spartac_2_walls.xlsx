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nux\Documents\schools\school_2\"/>
    </mc:Choice>
  </mc:AlternateContent>
  <bookViews>
    <workbookView xWindow="0" yWindow="0" windowWidth="15276" windowHeight="9912" firstSheet="7" activeTab="30"/>
    <workbookView xWindow="0" yWindow="0" windowWidth="28800" windowHeight="12504" firstSheet="3" activeTab="25"/>
  </bookViews>
  <sheets>
    <sheet name="ВедомостьОбщая" sheetId="23" r:id="rId1"/>
    <sheet name="1.n2" sheetId="1" state="hidden" r:id="rId2"/>
    <sheet name="1.n;п." sheetId="2" state="hidden" r:id="rId3"/>
    <sheet name="2.n2" sheetId="4" r:id="rId4"/>
    <sheet name="спец 6с" sheetId="3" r:id="rId5"/>
    <sheet name="3.n2" sheetId="5" r:id="rId6"/>
    <sheet name="спец 5с" sheetId="6" state="hidden" r:id="rId7"/>
    <sheet name="4.n2" sheetId="8" r:id="rId8"/>
    <sheet name="спец 4с" sheetId="9" state="hidden" r:id="rId9"/>
    <sheet name="5.n3" sheetId="10" r:id="rId10"/>
    <sheet name="Спец7с3э" sheetId="11" state="hidden" r:id="rId11"/>
    <sheet name="Спец6с3э" sheetId="12" state="hidden" r:id="rId12"/>
    <sheet name="Спец5с3э" sheetId="13" state="hidden" r:id="rId13"/>
    <sheet name="Спец4с3э" sheetId="14" state="hidden" r:id="rId14"/>
    <sheet name="Лист2" sheetId="16" state="hidden" r:id="rId15"/>
    <sheet name="6.n3э" sheetId="19" r:id="rId16"/>
    <sheet name="6n;п." sheetId="18" r:id="rId17"/>
    <sheet name="7.n2" sheetId="17" r:id="rId18"/>
    <sheet name="7n;п." sheetId="20" r:id="rId19"/>
    <sheet name="2расчет" sheetId="21" state="hidden" r:id="rId20"/>
    <sheet name="8.n2" sheetId="24" r:id="rId21"/>
    <sheet name="9.n2" sheetId="25" r:id="rId22"/>
    <sheet name="9.n;п." sheetId="26" r:id="rId23"/>
    <sheet name="10.n3" sheetId="30" r:id="rId24"/>
    <sheet name="10.n;п." sheetId="29" r:id="rId25"/>
    <sheet name="Лист1" sheetId="28" r:id="rId26"/>
    <sheet name="Table 1" sheetId="15" r:id="rId27"/>
    <sheet name="Таб.1этап" sheetId="31" r:id="rId28"/>
    <sheet name="1n.7s2f" sheetId="32" r:id="rId29"/>
    <sheet name="1.n" sheetId="33" r:id="rId30"/>
    <sheet name="Таб.1этап (2)" sheetId="34" r:id="rId31"/>
    <sheet name="3расчет" sheetId="22" state="hidden" r:id="rId32"/>
  </sheets>
  <calcPr calcId="152511"/>
  <fileRecoveryPr autoRecover="0"/>
</workbook>
</file>

<file path=xl/calcChain.xml><?xml version="1.0" encoding="utf-8"?>
<calcChain xmlns="http://schemas.openxmlformats.org/spreadsheetml/2006/main">
  <c r="F6" i="32" l="1"/>
  <c r="F5" i="32"/>
  <c r="F4" i="32"/>
  <c r="F3" i="32"/>
  <c r="E12" i="33"/>
  <c r="D12" i="33"/>
  <c r="C12" i="33"/>
  <c r="Z19" i="28" l="1"/>
  <c r="AA19" i="28"/>
  <c r="AB19" i="28"/>
  <c r="AC19" i="28"/>
  <c r="AD19" i="28"/>
  <c r="AE19" i="28"/>
  <c r="Z20" i="28"/>
  <c r="AA20" i="28"/>
  <c r="AB20" i="28"/>
  <c r="AC20" i="28"/>
  <c r="AD20" i="28"/>
  <c r="AE20" i="28"/>
  <c r="Z21" i="28"/>
  <c r="AA21" i="28"/>
  <c r="AB21" i="28"/>
  <c r="AC21" i="28"/>
  <c r="AD21" i="28"/>
  <c r="AE21" i="28"/>
  <c r="Z22" i="28"/>
  <c r="AA22" i="28"/>
  <c r="AB22" i="28"/>
  <c r="AC22" i="28"/>
  <c r="AD22" i="28"/>
  <c r="AE22" i="28"/>
  <c r="Y22" i="28"/>
  <c r="Y19" i="28"/>
  <c r="Y20" i="28"/>
  <c r="Y21" i="28"/>
  <c r="AL42" i="28"/>
  <c r="AL43" i="28"/>
  <c r="AL44" i="28"/>
  <c r="AL45" i="28"/>
  <c r="AL46" i="28"/>
  <c r="AL41" i="28"/>
  <c r="AL36" i="28"/>
  <c r="AK36" i="28"/>
  <c r="AM36" i="28"/>
  <c r="AJ41" i="28"/>
  <c r="AJ42" i="28"/>
  <c r="AJ43" i="28"/>
  <c r="AJ44" i="28"/>
  <c r="AJ45" i="28"/>
  <c r="AJ46" i="28"/>
  <c r="T62" i="15"/>
  <c r="R8" i="15"/>
  <c r="S8" i="15"/>
  <c r="T8" i="15"/>
  <c r="R9" i="15"/>
  <c r="S9" i="15"/>
  <c r="T9" i="15"/>
  <c r="R10" i="15"/>
  <c r="S10" i="15"/>
  <c r="T10" i="15"/>
  <c r="R11" i="15"/>
  <c r="S11" i="15"/>
  <c r="T11" i="15"/>
  <c r="R12" i="15"/>
  <c r="S12" i="15"/>
  <c r="T12" i="15"/>
  <c r="R13" i="15"/>
  <c r="S13" i="15"/>
  <c r="T13" i="15"/>
  <c r="R14" i="15"/>
  <c r="S14" i="15"/>
  <c r="T14" i="15"/>
  <c r="R15" i="15"/>
  <c r="S15" i="15"/>
  <c r="T15" i="15"/>
  <c r="R16" i="15"/>
  <c r="S16" i="15"/>
  <c r="T16" i="15"/>
  <c r="R17" i="15"/>
  <c r="S17" i="15"/>
  <c r="T17" i="15"/>
  <c r="R18" i="15"/>
  <c r="S18" i="15"/>
  <c r="T18" i="15"/>
  <c r="R19" i="15"/>
  <c r="S19" i="15"/>
  <c r="T19" i="15"/>
  <c r="R20" i="15"/>
  <c r="S20" i="15"/>
  <c r="T20" i="15"/>
  <c r="R21" i="15"/>
  <c r="S21" i="15"/>
  <c r="T21" i="15"/>
  <c r="R22" i="15"/>
  <c r="S22" i="15"/>
  <c r="T22" i="15"/>
  <c r="R23" i="15"/>
  <c r="S23" i="15"/>
  <c r="T23" i="15"/>
  <c r="R24" i="15"/>
  <c r="S24" i="15"/>
  <c r="T24" i="15"/>
  <c r="R25" i="15"/>
  <c r="S25" i="15"/>
  <c r="T25" i="15"/>
  <c r="R26" i="15"/>
  <c r="S26" i="15"/>
  <c r="T26" i="15"/>
  <c r="R27" i="15"/>
  <c r="S27" i="15"/>
  <c r="T27" i="15"/>
  <c r="R28" i="15"/>
  <c r="S28" i="15"/>
  <c r="T28" i="15"/>
  <c r="R29" i="15"/>
  <c r="S29" i="15"/>
  <c r="T29" i="15"/>
  <c r="R30" i="15"/>
  <c r="S30" i="15"/>
  <c r="T30" i="15"/>
  <c r="R31" i="15"/>
  <c r="S31" i="15"/>
  <c r="T31" i="15"/>
  <c r="R32" i="15"/>
  <c r="S32" i="15"/>
  <c r="T32" i="15"/>
  <c r="R33" i="15"/>
  <c r="S33" i="15"/>
  <c r="T33" i="15"/>
  <c r="R34" i="15"/>
  <c r="S34" i="15"/>
  <c r="T34" i="15"/>
  <c r="R35" i="15"/>
  <c r="S35" i="15"/>
  <c r="T35" i="15"/>
  <c r="R36" i="15"/>
  <c r="S36" i="15"/>
  <c r="T36" i="15"/>
  <c r="R37" i="15"/>
  <c r="S37" i="15"/>
  <c r="T37" i="15"/>
  <c r="R38" i="15"/>
  <c r="S38" i="15"/>
  <c r="T38" i="15"/>
  <c r="R39" i="15"/>
  <c r="S39" i="15"/>
  <c r="T39" i="15"/>
  <c r="R40" i="15"/>
  <c r="S40" i="15"/>
  <c r="T40" i="15"/>
  <c r="R41" i="15"/>
  <c r="S41" i="15"/>
  <c r="T41" i="15"/>
  <c r="R42" i="15"/>
  <c r="S42" i="15"/>
  <c r="T42" i="15"/>
  <c r="R43" i="15"/>
  <c r="S43" i="15"/>
  <c r="T43" i="15"/>
  <c r="R44" i="15"/>
  <c r="S44" i="15"/>
  <c r="T44" i="15"/>
  <c r="R45" i="15"/>
  <c r="S45" i="15"/>
  <c r="T45" i="15"/>
  <c r="R46" i="15"/>
  <c r="S46" i="15"/>
  <c r="T46" i="15"/>
  <c r="R47" i="15"/>
  <c r="S47" i="15"/>
  <c r="T47" i="15"/>
  <c r="R48" i="15"/>
  <c r="S48" i="15"/>
  <c r="T48" i="15"/>
  <c r="R49" i="15"/>
  <c r="S49" i="15"/>
  <c r="T49" i="15"/>
  <c r="R50" i="15"/>
  <c r="S50" i="15"/>
  <c r="T50" i="15"/>
  <c r="R51" i="15"/>
  <c r="S51" i="15"/>
  <c r="T51" i="15"/>
  <c r="R52" i="15"/>
  <c r="S52" i="15"/>
  <c r="T52" i="15"/>
  <c r="R53" i="15"/>
  <c r="S53" i="15"/>
  <c r="T53" i="15"/>
  <c r="R54" i="15"/>
  <c r="S54" i="15"/>
  <c r="T54" i="15"/>
  <c r="R55" i="15"/>
  <c r="S55" i="15"/>
  <c r="T55" i="15"/>
  <c r="R56" i="15"/>
  <c r="S56" i="15"/>
  <c r="T56" i="15"/>
  <c r="R57" i="15"/>
  <c r="S57" i="15"/>
  <c r="T57" i="15"/>
  <c r="R58" i="15"/>
  <c r="S58" i="15"/>
  <c r="T58" i="15"/>
  <c r="R59" i="15"/>
  <c r="S59" i="15"/>
  <c r="T59" i="15"/>
  <c r="R60" i="15"/>
  <c r="S60" i="15"/>
  <c r="T60" i="15"/>
  <c r="R61" i="15"/>
  <c r="S61" i="15"/>
  <c r="T61" i="15"/>
  <c r="R62" i="15"/>
  <c r="S62" i="15"/>
  <c r="R63" i="15"/>
  <c r="S63" i="15"/>
  <c r="T63" i="15"/>
  <c r="R64" i="15"/>
  <c r="S64" i="15"/>
  <c r="T64" i="15"/>
  <c r="R65" i="15"/>
  <c r="S65" i="15"/>
  <c r="T65" i="15"/>
  <c r="R66" i="15"/>
  <c r="S66" i="15"/>
  <c r="T66" i="15"/>
  <c r="R67" i="15"/>
  <c r="S67" i="15"/>
  <c r="T67" i="15"/>
  <c r="R68" i="15"/>
  <c r="S68" i="15"/>
  <c r="T68" i="15"/>
  <c r="R69" i="15"/>
  <c r="S69" i="15"/>
  <c r="T69" i="15"/>
  <c r="R70" i="15"/>
  <c r="S70" i="15"/>
  <c r="T70" i="15"/>
  <c r="R71" i="15"/>
  <c r="S71" i="15"/>
  <c r="T71" i="15"/>
  <c r="R72" i="15"/>
  <c r="S72" i="15"/>
  <c r="T72" i="15"/>
  <c r="R73" i="15"/>
  <c r="S73" i="15"/>
  <c r="T73" i="15"/>
  <c r="R74" i="15"/>
  <c r="S74" i="15"/>
  <c r="T74" i="15"/>
  <c r="R75" i="15"/>
  <c r="S75" i="15"/>
  <c r="T75" i="15"/>
  <c r="R76" i="15"/>
  <c r="S76" i="15"/>
  <c r="T76" i="15"/>
  <c r="R77" i="15"/>
  <c r="S77" i="15"/>
  <c r="T77" i="15"/>
  <c r="R78" i="15"/>
  <c r="S78" i="15"/>
  <c r="T78" i="15"/>
  <c r="R79" i="15"/>
  <c r="S79" i="15"/>
  <c r="T79" i="15"/>
  <c r="R80" i="15"/>
  <c r="S80" i="15"/>
  <c r="T80" i="15"/>
  <c r="R81" i="15"/>
  <c r="S81" i="15"/>
  <c r="T81" i="15"/>
  <c r="R82" i="15"/>
  <c r="S82" i="15"/>
  <c r="T82" i="15"/>
  <c r="R83" i="15"/>
  <c r="S83" i="15"/>
  <c r="T83" i="15"/>
  <c r="R84" i="15"/>
  <c r="S84" i="15"/>
  <c r="T84" i="15"/>
  <c r="R85" i="15"/>
  <c r="S85" i="15"/>
  <c r="T85" i="15"/>
  <c r="R86" i="15"/>
  <c r="S86" i="15"/>
  <c r="T86" i="15"/>
  <c r="R87" i="15"/>
  <c r="S87" i="15"/>
  <c r="T87" i="15"/>
  <c r="R88" i="15"/>
  <c r="S88" i="15"/>
  <c r="T88" i="15"/>
  <c r="R89" i="15"/>
  <c r="S89" i="15"/>
  <c r="T89" i="15"/>
  <c r="R90" i="15"/>
  <c r="S90" i="15"/>
  <c r="T90" i="15"/>
  <c r="R91" i="15"/>
  <c r="S91" i="15"/>
  <c r="T91" i="15"/>
  <c r="R92" i="15"/>
  <c r="S92" i="15"/>
  <c r="T92" i="15"/>
  <c r="R93" i="15"/>
  <c r="S93" i="15"/>
  <c r="T93" i="15"/>
  <c r="R94" i="15"/>
  <c r="S94" i="15"/>
  <c r="T94" i="15"/>
  <c r="R95" i="15"/>
  <c r="S95" i="15"/>
  <c r="T95" i="15"/>
  <c r="R96" i="15"/>
  <c r="S96" i="15"/>
  <c r="T96" i="15"/>
  <c r="R97" i="15"/>
  <c r="S97" i="15"/>
  <c r="T97" i="15"/>
  <c r="R98" i="15"/>
  <c r="S98" i="15"/>
  <c r="T98" i="15"/>
  <c r="R99" i="15"/>
  <c r="S99" i="15"/>
  <c r="T99" i="15"/>
  <c r="R100" i="15"/>
  <c r="S100" i="15"/>
  <c r="T100" i="15"/>
  <c r="R101" i="15"/>
  <c r="S101" i="15"/>
  <c r="T101" i="15"/>
  <c r="R102" i="15"/>
  <c r="S102" i="15"/>
  <c r="T102" i="15"/>
  <c r="R103" i="15"/>
  <c r="S103" i="15"/>
  <c r="T103" i="15"/>
  <c r="R104" i="15"/>
  <c r="S104" i="15"/>
  <c r="T104" i="15"/>
  <c r="R105" i="15"/>
  <c r="S105" i="15"/>
  <c r="T105" i="15"/>
  <c r="R106" i="15"/>
  <c r="S106" i="15"/>
  <c r="T106" i="15"/>
  <c r="R107" i="15"/>
  <c r="S107" i="15"/>
  <c r="T107" i="15"/>
  <c r="R108" i="15"/>
  <c r="S108" i="15"/>
  <c r="T108" i="15"/>
  <c r="R109" i="15"/>
  <c r="S109" i="15"/>
  <c r="T109" i="15"/>
  <c r="R110" i="15"/>
  <c r="S110" i="15"/>
  <c r="T110" i="15"/>
  <c r="R111" i="15"/>
  <c r="S111" i="15"/>
  <c r="T111" i="15"/>
  <c r="R112" i="15"/>
  <c r="S112" i="15"/>
  <c r="T112" i="15"/>
  <c r="R113" i="15"/>
  <c r="S113" i="15"/>
  <c r="T113" i="15"/>
  <c r="R114" i="15"/>
  <c r="S114" i="15"/>
  <c r="T114" i="15"/>
  <c r="R115" i="15"/>
  <c r="S115" i="15"/>
  <c r="T115" i="15"/>
  <c r="R116" i="15"/>
  <c r="S116" i="15"/>
  <c r="T116" i="15"/>
  <c r="R117" i="15"/>
  <c r="S117" i="15"/>
  <c r="T117" i="15"/>
  <c r="R118" i="15"/>
  <c r="S118" i="15"/>
  <c r="T118" i="15"/>
  <c r="R119" i="15"/>
  <c r="S119" i="15"/>
  <c r="T119" i="15"/>
  <c r="R120" i="15"/>
  <c r="S120" i="15"/>
  <c r="T120" i="15"/>
  <c r="R121" i="15"/>
  <c r="S121" i="15"/>
  <c r="T121" i="15"/>
  <c r="R122" i="15"/>
  <c r="S122" i="15"/>
  <c r="T122" i="15"/>
  <c r="R123" i="15"/>
  <c r="S123" i="15"/>
  <c r="T123" i="15"/>
  <c r="R124" i="15"/>
  <c r="S124" i="15"/>
  <c r="T124" i="15"/>
  <c r="R125" i="15"/>
  <c r="S125" i="15"/>
  <c r="T125" i="15"/>
  <c r="R126" i="15"/>
  <c r="S126" i="15"/>
  <c r="T126" i="15"/>
  <c r="R127" i="15"/>
  <c r="S127" i="15"/>
  <c r="T127" i="15"/>
  <c r="R128" i="15"/>
  <c r="S128" i="15"/>
  <c r="T128" i="15"/>
  <c r="R129" i="15"/>
  <c r="S129" i="15"/>
  <c r="T129" i="15"/>
  <c r="R130" i="15"/>
  <c r="S130" i="15"/>
  <c r="T130" i="15"/>
  <c r="R131" i="15"/>
  <c r="S131" i="15"/>
  <c r="T131" i="15"/>
  <c r="R132" i="15"/>
  <c r="S132" i="15"/>
  <c r="T132" i="15"/>
  <c r="R133" i="15"/>
  <c r="S133" i="15"/>
  <c r="T133" i="15"/>
  <c r="R134" i="15"/>
  <c r="S134" i="15"/>
  <c r="T134" i="15"/>
  <c r="R135" i="15"/>
  <c r="S135" i="15"/>
  <c r="T135" i="15"/>
  <c r="R136" i="15"/>
  <c r="S136" i="15"/>
  <c r="T136" i="15"/>
  <c r="R137" i="15"/>
  <c r="S137" i="15"/>
  <c r="T137" i="15"/>
  <c r="R138" i="15"/>
  <c r="S138" i="15"/>
  <c r="T138" i="15"/>
  <c r="R139" i="15"/>
  <c r="S139" i="15"/>
  <c r="T139" i="15"/>
  <c r="R140" i="15"/>
  <c r="S140" i="15"/>
  <c r="T140" i="15"/>
  <c r="R141" i="15"/>
  <c r="S141" i="15"/>
  <c r="T141" i="15"/>
  <c r="R142" i="15"/>
  <c r="S142" i="15"/>
  <c r="T142" i="15"/>
  <c r="R7" i="15"/>
  <c r="S7" i="15"/>
  <c r="T7" i="15"/>
  <c r="S6" i="15"/>
  <c r="T6" i="15"/>
  <c r="R6" i="15"/>
  <c r="U51" i="15" l="1"/>
  <c r="U85" i="15"/>
  <c r="U101" i="15"/>
  <c r="U25" i="15"/>
  <c r="U61" i="15"/>
  <c r="U77" i="15"/>
  <c r="U135" i="15"/>
  <c r="U71" i="15"/>
  <c r="U39" i="15"/>
  <c r="U41" i="15"/>
  <c r="U115" i="15"/>
  <c r="U103" i="15"/>
  <c r="U91" i="15"/>
  <c r="U117" i="15"/>
  <c r="U79" i="15"/>
  <c r="U47" i="15"/>
  <c r="U15" i="15"/>
  <c r="U93" i="15"/>
  <c r="U123" i="15"/>
  <c r="U59" i="15"/>
  <c r="U19" i="15"/>
  <c r="U53" i="15"/>
  <c r="U105" i="15"/>
  <c r="U9" i="15"/>
  <c r="U97" i="15"/>
  <c r="U63" i="15"/>
  <c r="U83" i="15"/>
  <c r="U73" i="15"/>
  <c r="U68" i="15"/>
  <c r="U119" i="15"/>
  <c r="U57" i="15"/>
  <c r="U129" i="15"/>
  <c r="U139" i="15"/>
  <c r="U113" i="15"/>
  <c r="U87" i="15"/>
  <c r="U107" i="15"/>
  <c r="U45" i="15"/>
  <c r="U27" i="15"/>
  <c r="U127" i="15"/>
  <c r="U29" i="15"/>
  <c r="U137" i="15"/>
  <c r="U13" i="15"/>
  <c r="U141" i="15"/>
  <c r="U43" i="15"/>
  <c r="U33" i="15"/>
  <c r="U65" i="15"/>
  <c r="U75" i="15"/>
  <c r="U109" i="15"/>
  <c r="U125" i="15"/>
  <c r="U111" i="15"/>
  <c r="U89" i="15"/>
  <c r="U69" i="15"/>
  <c r="U121" i="15"/>
  <c r="U31" i="15"/>
  <c r="U11" i="15"/>
  <c r="U17" i="15"/>
  <c r="U21" i="15"/>
  <c r="U23" i="15"/>
  <c r="U37" i="15"/>
  <c r="U81" i="15"/>
  <c r="U95" i="15"/>
  <c r="U55" i="15"/>
  <c r="U131" i="15"/>
  <c r="U26" i="15"/>
  <c r="U92" i="15"/>
  <c r="U40" i="15"/>
  <c r="U35" i="15"/>
  <c r="U49" i="15"/>
  <c r="U58" i="15"/>
  <c r="U124" i="15"/>
  <c r="U72" i="15"/>
  <c r="U67" i="15"/>
  <c r="U133" i="15"/>
  <c r="U100" i="15"/>
  <c r="U90" i="15"/>
  <c r="U104" i="15"/>
  <c r="U99" i="15"/>
  <c r="U28" i="15"/>
  <c r="U14" i="15"/>
  <c r="U132" i="15"/>
  <c r="U122" i="15"/>
  <c r="U136" i="15"/>
  <c r="U60" i="15"/>
  <c r="U8" i="15"/>
  <c r="U36" i="15"/>
  <c r="U126" i="15"/>
  <c r="U30" i="15"/>
  <c r="U80" i="15"/>
  <c r="U16" i="15"/>
  <c r="U98" i="15"/>
  <c r="U134" i="15"/>
  <c r="U70" i="15"/>
  <c r="U106" i="15"/>
  <c r="U74" i="15"/>
  <c r="U42" i="15"/>
  <c r="U10" i="15"/>
  <c r="U108" i="15"/>
  <c r="U66" i="15"/>
  <c r="U52" i="15"/>
  <c r="U20" i="15"/>
  <c r="U24" i="15"/>
  <c r="U140" i="15"/>
  <c r="U76" i="15"/>
  <c r="U12" i="15"/>
  <c r="U62" i="15"/>
  <c r="U112" i="15"/>
  <c r="U48" i="15"/>
  <c r="U130" i="15"/>
  <c r="U116" i="15"/>
  <c r="U102" i="15"/>
  <c r="U38" i="15"/>
  <c r="U56" i="15"/>
  <c r="U110" i="15"/>
  <c r="U78" i="15"/>
  <c r="U64" i="15"/>
  <c r="U32" i="15"/>
  <c r="U114" i="15"/>
  <c r="U82" i="15"/>
  <c r="U50" i="15"/>
  <c r="U18" i="15"/>
  <c r="U44" i="15"/>
  <c r="U120" i="15"/>
  <c r="U138" i="15"/>
  <c r="U96" i="15"/>
  <c r="U118" i="15"/>
  <c r="U86" i="15"/>
  <c r="U54" i="15"/>
  <c r="U22" i="15"/>
  <c r="U94" i="15"/>
  <c r="U34" i="15"/>
  <c r="U84" i="15"/>
  <c r="U88" i="15"/>
  <c r="U142" i="15"/>
  <c r="U46" i="15"/>
  <c r="U128" i="15"/>
  <c r="U7" i="15"/>
  <c r="U6" i="15"/>
  <c r="AF25" i="28" l="1"/>
  <c r="AF26" i="28"/>
  <c r="AF27" i="28"/>
  <c r="AF28" i="28"/>
  <c r="AF29" i="28"/>
  <c r="AF30" i="28"/>
  <c r="AF31" i="28"/>
  <c r="AF32" i="28"/>
  <c r="AF33" i="28"/>
  <c r="AF34" i="28"/>
  <c r="AF35" i="28"/>
  <c r="Z25" i="28"/>
  <c r="AA25" i="28"/>
  <c r="AC25" i="28"/>
  <c r="AD25" i="28"/>
  <c r="AE25" i="28"/>
  <c r="Y25" i="28"/>
  <c r="Z28" i="28"/>
  <c r="AA28" i="28"/>
  <c r="AB28" i="28"/>
  <c r="AC28" i="28"/>
  <c r="AD28" i="28"/>
  <c r="AE28" i="28"/>
  <c r="Y28" i="28"/>
  <c r="AF36" i="28"/>
  <c r="AF37" i="28"/>
  <c r="AF38" i="28"/>
  <c r="AF39" i="28"/>
  <c r="AF40" i="28"/>
  <c r="AF41" i="28"/>
  <c r="AF42" i="28"/>
  <c r="AF43" i="28"/>
  <c r="AF44" i="28"/>
  <c r="AF45" i="28"/>
  <c r="AF46" i="28"/>
  <c r="AF47" i="28"/>
  <c r="AF48" i="28"/>
  <c r="AF49" i="28"/>
  <c r="AF50" i="28"/>
  <c r="AF51" i="28"/>
  <c r="AF52" i="28"/>
  <c r="AF53" i="28"/>
  <c r="AF54" i="28"/>
  <c r="AF55" i="28"/>
  <c r="AF56" i="28"/>
  <c r="AF57" i="28"/>
  <c r="AF58" i="28"/>
  <c r="AF59" i="28"/>
  <c r="AF60" i="28"/>
  <c r="AF61" i="28"/>
  <c r="AF62" i="28"/>
  <c r="AF63" i="28"/>
  <c r="AF64" i="28"/>
  <c r="AF65" i="28"/>
  <c r="AF66" i="28"/>
  <c r="AF67" i="28"/>
  <c r="AF68" i="28"/>
  <c r="I248" i="28" l="1"/>
  <c r="I242" i="28"/>
  <c r="I237" i="28"/>
  <c r="I232" i="28"/>
  <c r="I227" i="28"/>
  <c r="I222" i="28"/>
  <c r="I217" i="28"/>
  <c r="I211" i="28"/>
  <c r="I206" i="28"/>
  <c r="I200" i="28"/>
  <c r="I196" i="28"/>
  <c r="I191" i="28"/>
  <c r="I187" i="28"/>
  <c r="I182" i="28"/>
  <c r="I177" i="28"/>
  <c r="I172" i="28"/>
  <c r="I169" i="28"/>
  <c r="I166" i="28"/>
  <c r="I163" i="28"/>
  <c r="I160" i="28"/>
  <c r="I157" i="28"/>
  <c r="I154" i="28"/>
  <c r="I151" i="28"/>
  <c r="I148" i="28"/>
  <c r="I145" i="28"/>
  <c r="I142" i="28"/>
  <c r="I139" i="28"/>
  <c r="I136" i="28"/>
  <c r="I133" i="28"/>
  <c r="I130" i="28"/>
  <c r="I127" i="28"/>
  <c r="I124" i="28"/>
  <c r="I121" i="28"/>
  <c r="I118" i="28"/>
  <c r="I115" i="28"/>
  <c r="I112" i="28"/>
  <c r="I109" i="28"/>
  <c r="I106" i="28"/>
  <c r="I72" i="28"/>
  <c r="I22" i="28"/>
  <c r="I19" i="28"/>
  <c r="J19" i="28"/>
  <c r="J22" i="28"/>
  <c r="J72" i="28"/>
  <c r="J106" i="28"/>
  <c r="J109" i="28"/>
  <c r="J112" i="28"/>
  <c r="J115" i="28"/>
  <c r="J118" i="28"/>
  <c r="J121" i="28"/>
  <c r="J124" i="28"/>
  <c r="J127" i="28"/>
  <c r="J130" i="28"/>
  <c r="J133" i="28"/>
  <c r="J136" i="28"/>
  <c r="J139" i="28"/>
  <c r="J142" i="28"/>
  <c r="J145" i="28"/>
  <c r="J148" i="28"/>
  <c r="J151" i="28"/>
  <c r="J154" i="28"/>
  <c r="J157" i="28"/>
  <c r="J160" i="28"/>
  <c r="J163" i="28"/>
  <c r="J166" i="28"/>
  <c r="J169" i="28"/>
  <c r="J172" i="28"/>
  <c r="J177" i="28"/>
  <c r="J182" i="28"/>
  <c r="J187" i="28"/>
  <c r="J191" i="28"/>
  <c r="J196" i="28"/>
  <c r="J200" i="28"/>
  <c r="J206" i="28"/>
  <c r="J211" i="28"/>
  <c r="J217" i="28"/>
  <c r="J222" i="28"/>
  <c r="J227" i="28"/>
  <c r="J232" i="28"/>
  <c r="J237" i="28"/>
  <c r="J242" i="28"/>
  <c r="J248" i="28"/>
  <c r="T28" i="28" l="1"/>
  <c r="P28" i="28"/>
  <c r="O28" i="28"/>
  <c r="T51" i="28"/>
  <c r="T46" i="28"/>
  <c r="T68" i="28"/>
  <c r="T64" i="28"/>
  <c r="T65" i="28"/>
  <c r="P51" i="28"/>
  <c r="P46" i="28"/>
  <c r="P68" i="28"/>
  <c r="P64" i="28"/>
  <c r="O68" i="28"/>
  <c r="O64" i="28"/>
  <c r="S41" i="28"/>
  <c r="S36" i="28"/>
  <c r="S25" i="28"/>
  <c r="S60" i="28"/>
  <c r="S56" i="28"/>
  <c r="R60" i="28"/>
  <c r="R56" i="28"/>
  <c r="R25" i="28"/>
  <c r="Q60" i="28"/>
  <c r="Q56" i="28"/>
  <c r="Q41" i="28"/>
  <c r="Q36" i="28"/>
  <c r="Q25" i="28"/>
  <c r="N60" i="28"/>
  <c r="N56" i="28"/>
  <c r="N25" i="28"/>
  <c r="M60" i="28"/>
  <c r="M56" i="28"/>
  <c r="M25" i="28"/>
  <c r="L25" i="28"/>
  <c r="K25" i="28"/>
  <c r="L60" i="28"/>
  <c r="L56" i="28"/>
  <c r="K56" i="28"/>
  <c r="K60" i="28"/>
  <c r="T2" i="28"/>
  <c r="T3" i="28"/>
  <c r="T4" i="28"/>
  <c r="T5" i="28"/>
  <c r="T6" i="28"/>
  <c r="T7" i="28"/>
  <c r="T8" i="28"/>
  <c r="T9" i="28"/>
  <c r="T10" i="28"/>
  <c r="T11" i="28"/>
  <c r="T12" i="28"/>
  <c r="T13" i="28"/>
  <c r="T14" i="28"/>
  <c r="T15" i="28"/>
  <c r="T16" i="28"/>
  <c r="T17" i="28"/>
  <c r="T18" i="28"/>
  <c r="T20" i="28"/>
  <c r="T21" i="28"/>
  <c r="T23" i="28"/>
  <c r="T24" i="28"/>
  <c r="T26" i="28"/>
  <c r="T27" i="28"/>
  <c r="T29" i="28"/>
  <c r="T30" i="28"/>
  <c r="T31" i="28"/>
  <c r="T32" i="28"/>
  <c r="T33" i="28"/>
  <c r="T34" i="28"/>
  <c r="T35" i="28"/>
  <c r="T37" i="28"/>
  <c r="T38" i="28"/>
  <c r="T39" i="28"/>
  <c r="T40" i="28"/>
  <c r="T42" i="28"/>
  <c r="T43" i="28"/>
  <c r="T44" i="28"/>
  <c r="T45" i="28"/>
  <c r="T47" i="28"/>
  <c r="T48" i="28"/>
  <c r="T49" i="28"/>
  <c r="T50" i="28"/>
  <c r="T52" i="28"/>
  <c r="T53" i="28"/>
  <c r="T54" i="28"/>
  <c r="T55" i="28"/>
  <c r="T57" i="28"/>
  <c r="T58" i="28"/>
  <c r="T59" i="28"/>
  <c r="T61" i="28"/>
  <c r="T62" i="28"/>
  <c r="T63" i="28"/>
  <c r="T66" i="28"/>
  <c r="T67" i="28"/>
  <c r="T69" i="28"/>
  <c r="T70" i="28"/>
  <c r="T71" i="28"/>
  <c r="T73" i="28"/>
  <c r="T74" i="28"/>
  <c r="T75" i="28"/>
  <c r="T76" i="28"/>
  <c r="T77" i="28"/>
  <c r="T78" i="28"/>
  <c r="T79" i="28"/>
  <c r="T80" i="28"/>
  <c r="T81" i="28"/>
  <c r="T82" i="28"/>
  <c r="T83" i="28"/>
  <c r="T84" i="28"/>
  <c r="T85" i="28"/>
  <c r="T86" i="28"/>
  <c r="T87" i="28"/>
  <c r="T88" i="28"/>
  <c r="T89" i="28"/>
  <c r="T90" i="28"/>
  <c r="T91" i="28"/>
  <c r="T92" i="28"/>
  <c r="T93" i="28"/>
  <c r="T94" i="28"/>
  <c r="T95" i="28"/>
  <c r="T96" i="28"/>
  <c r="T97" i="28"/>
  <c r="T98" i="28"/>
  <c r="T99" i="28"/>
  <c r="T100" i="28"/>
  <c r="T101" i="28"/>
  <c r="T102" i="28"/>
  <c r="T103" i="28"/>
  <c r="T104" i="28"/>
  <c r="T105" i="28"/>
  <c r="T107" i="28"/>
  <c r="T108" i="28"/>
  <c r="T110" i="28"/>
  <c r="T111" i="28"/>
  <c r="T113" i="28"/>
  <c r="T114" i="28"/>
  <c r="T116" i="28"/>
  <c r="T117" i="28"/>
  <c r="T119" i="28"/>
  <c r="T120" i="28"/>
  <c r="T122" i="28"/>
  <c r="T123" i="28"/>
  <c r="T125" i="28"/>
  <c r="T126" i="28"/>
  <c r="T128" i="28"/>
  <c r="T129" i="28"/>
  <c r="T131" i="28"/>
  <c r="T132" i="28"/>
  <c r="T134" i="28"/>
  <c r="T135" i="28"/>
  <c r="T137" i="28"/>
  <c r="T138" i="28"/>
  <c r="T140" i="28"/>
  <c r="T141" i="28"/>
  <c r="T143" i="28"/>
  <c r="T144" i="28"/>
  <c r="T146" i="28"/>
  <c r="T147" i="28"/>
  <c r="T149" i="28"/>
  <c r="T150" i="28"/>
  <c r="T152" i="28"/>
  <c r="T153" i="28"/>
  <c r="T155" i="28"/>
  <c r="T156" i="28"/>
  <c r="T158" i="28"/>
  <c r="T159" i="28"/>
  <c r="T161" i="28"/>
  <c r="T162" i="28"/>
  <c r="T164" i="28"/>
  <c r="T165" i="28"/>
  <c r="T167" i="28"/>
  <c r="T168" i="28"/>
  <c r="T170" i="28"/>
  <c r="T171" i="28"/>
  <c r="T173" i="28"/>
  <c r="T174" i="28"/>
  <c r="T175" i="28"/>
  <c r="T176" i="28"/>
  <c r="T178" i="28"/>
  <c r="T179" i="28"/>
  <c r="T180" i="28"/>
  <c r="T181" i="28"/>
  <c r="T183" i="28"/>
  <c r="T184" i="28"/>
  <c r="T185" i="28"/>
  <c r="T186" i="28"/>
  <c r="T188" i="28"/>
  <c r="T189" i="28"/>
  <c r="T190" i="28"/>
  <c r="T192" i="28"/>
  <c r="T193" i="28"/>
  <c r="T194" i="28"/>
  <c r="T195" i="28"/>
  <c r="T197" i="28"/>
  <c r="T198" i="28"/>
  <c r="T199" i="28"/>
  <c r="T201" i="28"/>
  <c r="T202" i="28"/>
  <c r="T203" i="28"/>
  <c r="T204" i="28"/>
  <c r="T205" i="28"/>
  <c r="T207" i="28"/>
  <c r="T208" i="28"/>
  <c r="T209" i="28"/>
  <c r="T210" i="28"/>
  <c r="T212" i="28"/>
  <c r="T213" i="28"/>
  <c r="T214" i="28"/>
  <c r="T215" i="28"/>
  <c r="T216" i="28"/>
  <c r="T218" i="28"/>
  <c r="T219" i="28"/>
  <c r="T220" i="28"/>
  <c r="T221" i="28"/>
  <c r="T223" i="28"/>
  <c r="T224" i="28"/>
  <c r="T225" i="28"/>
  <c r="T226" i="28"/>
  <c r="T228" i="28"/>
  <c r="T229" i="28"/>
  <c r="T230" i="28"/>
  <c r="T231" i="28"/>
  <c r="T233" i="28"/>
  <c r="T234" i="28"/>
  <c r="T235" i="28"/>
  <c r="T236" i="28"/>
  <c r="T238" i="28"/>
  <c r="T239" i="28"/>
  <c r="T240" i="28"/>
  <c r="T241" i="28"/>
  <c r="T243" i="28"/>
  <c r="T244" i="28"/>
  <c r="T245" i="28"/>
  <c r="T246" i="28"/>
  <c r="T247" i="28"/>
  <c r="T249" i="28"/>
  <c r="T250" i="28"/>
  <c r="T251" i="28"/>
  <c r="T252" i="28"/>
  <c r="S2" i="28"/>
  <c r="S3" i="28"/>
  <c r="S4" i="28"/>
  <c r="S5" i="28"/>
  <c r="S6" i="28"/>
  <c r="S7" i="28"/>
  <c r="S8" i="28"/>
  <c r="S9" i="28"/>
  <c r="S10" i="28"/>
  <c r="S11" i="28"/>
  <c r="S12" i="28"/>
  <c r="S13" i="28"/>
  <c r="S14" i="28"/>
  <c r="S15" i="28"/>
  <c r="S16" i="28"/>
  <c r="S17" i="28"/>
  <c r="S18" i="28"/>
  <c r="S20" i="28"/>
  <c r="S21" i="28"/>
  <c r="S23" i="28"/>
  <c r="S24" i="28"/>
  <c r="S26" i="28"/>
  <c r="S27" i="28"/>
  <c r="S29" i="28"/>
  <c r="S30" i="28"/>
  <c r="S31" i="28"/>
  <c r="S32" i="28"/>
  <c r="S33" i="28"/>
  <c r="S34" i="28"/>
  <c r="S35" i="28"/>
  <c r="S37" i="28"/>
  <c r="S38" i="28"/>
  <c r="S39" i="28"/>
  <c r="S40" i="28"/>
  <c r="S42" i="28"/>
  <c r="S43" i="28"/>
  <c r="S44" i="28"/>
  <c r="S45" i="28"/>
  <c r="S47" i="28"/>
  <c r="S48" i="28"/>
  <c r="S49" i="28"/>
  <c r="S50" i="28"/>
  <c r="S52" i="28"/>
  <c r="S53" i="28"/>
  <c r="S54" i="28"/>
  <c r="S55" i="28"/>
  <c r="S57" i="28"/>
  <c r="S58" i="28"/>
  <c r="S59" i="28"/>
  <c r="S61" i="28"/>
  <c r="S62" i="28"/>
  <c r="S63" i="28"/>
  <c r="S65" i="28"/>
  <c r="S66" i="28"/>
  <c r="S67" i="28"/>
  <c r="S69" i="28"/>
  <c r="S70" i="28"/>
  <c r="S71" i="28"/>
  <c r="S73" i="28"/>
  <c r="S74" i="28"/>
  <c r="S75" i="28"/>
  <c r="S76" i="28"/>
  <c r="S77" i="28"/>
  <c r="S78" i="28"/>
  <c r="S79" i="28"/>
  <c r="S80" i="28"/>
  <c r="S81" i="28"/>
  <c r="S82" i="28"/>
  <c r="S83" i="28"/>
  <c r="S84" i="28"/>
  <c r="S85" i="28"/>
  <c r="S86" i="28"/>
  <c r="S87" i="28"/>
  <c r="S88" i="28"/>
  <c r="S89" i="28"/>
  <c r="S90" i="28"/>
  <c r="S91" i="28"/>
  <c r="S92" i="28"/>
  <c r="S93" i="28"/>
  <c r="S94" i="28"/>
  <c r="S95" i="28"/>
  <c r="S96" i="28"/>
  <c r="S97" i="28"/>
  <c r="S98" i="28"/>
  <c r="S99" i="28"/>
  <c r="S100" i="28"/>
  <c r="S101" i="28"/>
  <c r="S102" i="28"/>
  <c r="S103" i="28"/>
  <c r="S104" i="28"/>
  <c r="S105" i="28"/>
  <c r="S107" i="28"/>
  <c r="S108" i="28"/>
  <c r="S110" i="28"/>
  <c r="S111" i="28"/>
  <c r="S113" i="28"/>
  <c r="S114" i="28"/>
  <c r="S116" i="28"/>
  <c r="S117" i="28"/>
  <c r="S119" i="28"/>
  <c r="S120" i="28"/>
  <c r="S122" i="28"/>
  <c r="S123" i="28"/>
  <c r="S125" i="28"/>
  <c r="S126" i="28"/>
  <c r="S128" i="28"/>
  <c r="S129" i="28"/>
  <c r="S131" i="28"/>
  <c r="S132" i="28"/>
  <c r="S134" i="28"/>
  <c r="S135" i="28"/>
  <c r="S137" i="28"/>
  <c r="S138" i="28"/>
  <c r="S140" i="28"/>
  <c r="S141" i="28"/>
  <c r="S143" i="28"/>
  <c r="S144" i="28"/>
  <c r="S146" i="28"/>
  <c r="S147" i="28"/>
  <c r="S149" i="28"/>
  <c r="S150" i="28"/>
  <c r="S152" i="28"/>
  <c r="S153" i="28"/>
  <c r="S155" i="28"/>
  <c r="S156" i="28"/>
  <c r="S158" i="28"/>
  <c r="S159" i="28"/>
  <c r="S161" i="28"/>
  <c r="S162" i="28"/>
  <c r="S164" i="28"/>
  <c r="S165" i="28"/>
  <c r="S167" i="28"/>
  <c r="S168" i="28"/>
  <c r="S170" i="28"/>
  <c r="S171" i="28"/>
  <c r="S173" i="28"/>
  <c r="S174" i="28"/>
  <c r="S175" i="28"/>
  <c r="S176" i="28"/>
  <c r="S178" i="28"/>
  <c r="S179" i="28"/>
  <c r="S180" i="28"/>
  <c r="S181" i="28"/>
  <c r="S183" i="28"/>
  <c r="S184" i="28"/>
  <c r="S185" i="28"/>
  <c r="S186" i="28"/>
  <c r="S188" i="28"/>
  <c r="S189" i="28"/>
  <c r="S190" i="28"/>
  <c r="S192" i="28"/>
  <c r="S193" i="28"/>
  <c r="S194" i="28"/>
  <c r="S195" i="28"/>
  <c r="S197" i="28"/>
  <c r="S198" i="28"/>
  <c r="S199" i="28"/>
  <c r="S201" i="28"/>
  <c r="S202" i="28"/>
  <c r="S203" i="28"/>
  <c r="S204" i="28"/>
  <c r="S205" i="28"/>
  <c r="S207" i="28"/>
  <c r="S208" i="28"/>
  <c r="S209" i="28"/>
  <c r="S210" i="28"/>
  <c r="S212" i="28"/>
  <c r="S213" i="28"/>
  <c r="S214" i="28"/>
  <c r="S215" i="28"/>
  <c r="S216" i="28"/>
  <c r="S218" i="28"/>
  <c r="S219" i="28"/>
  <c r="S220" i="28"/>
  <c r="S221" i="28"/>
  <c r="S223" i="28"/>
  <c r="S224" i="28"/>
  <c r="S225" i="28"/>
  <c r="S226" i="28"/>
  <c r="S228" i="28"/>
  <c r="S229" i="28"/>
  <c r="S230" i="28"/>
  <c r="S231" i="28"/>
  <c r="S233" i="28"/>
  <c r="S234" i="28"/>
  <c r="S235" i="28"/>
  <c r="S236" i="28"/>
  <c r="S238" i="28"/>
  <c r="S239" i="28"/>
  <c r="S240" i="28"/>
  <c r="S241" i="28"/>
  <c r="S243" i="28"/>
  <c r="S244" i="28"/>
  <c r="S245" i="28"/>
  <c r="S246" i="28"/>
  <c r="S247" i="28"/>
  <c r="S249" i="28"/>
  <c r="S250" i="28"/>
  <c r="S251" i="28"/>
  <c r="S252" i="28"/>
  <c r="R2" i="28"/>
  <c r="R3" i="28"/>
  <c r="R4" i="28"/>
  <c r="R5" i="28"/>
  <c r="R6" i="28"/>
  <c r="R7" i="28"/>
  <c r="R8" i="28"/>
  <c r="R9" i="28"/>
  <c r="R10" i="28"/>
  <c r="R11" i="28"/>
  <c r="R12" i="28"/>
  <c r="R13" i="28"/>
  <c r="R14" i="28"/>
  <c r="R15" i="28"/>
  <c r="R16" i="28"/>
  <c r="R17" i="28"/>
  <c r="R18" i="28"/>
  <c r="R20" i="28"/>
  <c r="R21" i="28"/>
  <c r="R23" i="28"/>
  <c r="R24" i="28"/>
  <c r="R26" i="28"/>
  <c r="R27" i="28"/>
  <c r="R29" i="28"/>
  <c r="R30" i="28"/>
  <c r="R31" i="28"/>
  <c r="R32" i="28"/>
  <c r="R33" i="28"/>
  <c r="R34" i="28"/>
  <c r="R35" i="28"/>
  <c r="R37" i="28"/>
  <c r="R38" i="28"/>
  <c r="R39" i="28"/>
  <c r="R40" i="28"/>
  <c r="R42" i="28"/>
  <c r="R43" i="28"/>
  <c r="R44" i="28"/>
  <c r="R45" i="28"/>
  <c r="R47" i="28"/>
  <c r="R48" i="28"/>
  <c r="R49" i="28"/>
  <c r="R50" i="28"/>
  <c r="R52" i="28"/>
  <c r="R53" i="28"/>
  <c r="R54" i="28"/>
  <c r="R55" i="28"/>
  <c r="R57" i="28"/>
  <c r="R58" i="28"/>
  <c r="R59" i="28"/>
  <c r="R61" i="28"/>
  <c r="R62" i="28"/>
  <c r="R63" i="28"/>
  <c r="R65" i="28"/>
  <c r="R66" i="28"/>
  <c r="R67" i="28"/>
  <c r="R69" i="28"/>
  <c r="R70" i="28"/>
  <c r="R71" i="28"/>
  <c r="R73" i="28"/>
  <c r="R74" i="28"/>
  <c r="R75" i="28"/>
  <c r="R76" i="28"/>
  <c r="R77" i="28"/>
  <c r="R78" i="28"/>
  <c r="R79" i="28"/>
  <c r="R80" i="28"/>
  <c r="R81" i="28"/>
  <c r="R82" i="28"/>
  <c r="R83" i="28"/>
  <c r="R84" i="28"/>
  <c r="R85" i="28"/>
  <c r="R86" i="28"/>
  <c r="R87" i="28"/>
  <c r="R88" i="28"/>
  <c r="R89" i="28"/>
  <c r="R90" i="28"/>
  <c r="R91" i="28"/>
  <c r="R92" i="28"/>
  <c r="R93" i="28"/>
  <c r="R94" i="28"/>
  <c r="R95" i="28"/>
  <c r="R96" i="28"/>
  <c r="R97" i="28"/>
  <c r="R98" i="28"/>
  <c r="R99" i="28"/>
  <c r="R100" i="28"/>
  <c r="R101" i="28"/>
  <c r="R102" i="28"/>
  <c r="R103" i="28"/>
  <c r="R104" i="28"/>
  <c r="R105" i="28"/>
  <c r="R107" i="28"/>
  <c r="R108" i="28"/>
  <c r="R110" i="28"/>
  <c r="R111" i="28"/>
  <c r="R113" i="28"/>
  <c r="R114" i="28"/>
  <c r="R116" i="28"/>
  <c r="R117" i="28"/>
  <c r="R119" i="28"/>
  <c r="R120" i="28"/>
  <c r="R122" i="28"/>
  <c r="R123" i="28"/>
  <c r="R125" i="28"/>
  <c r="R126" i="28"/>
  <c r="R128" i="28"/>
  <c r="R129" i="28"/>
  <c r="R131" i="28"/>
  <c r="R132" i="28"/>
  <c r="R134" i="28"/>
  <c r="R135" i="28"/>
  <c r="R137" i="28"/>
  <c r="R138" i="28"/>
  <c r="R140" i="28"/>
  <c r="R141" i="28"/>
  <c r="R143" i="28"/>
  <c r="R144" i="28"/>
  <c r="R146" i="28"/>
  <c r="R147" i="28"/>
  <c r="R149" i="28"/>
  <c r="R150" i="28"/>
  <c r="R152" i="28"/>
  <c r="R153" i="28"/>
  <c r="R155" i="28"/>
  <c r="R156" i="28"/>
  <c r="R158" i="28"/>
  <c r="R159" i="28"/>
  <c r="R161" i="28"/>
  <c r="R162" i="28"/>
  <c r="R164" i="28"/>
  <c r="R165" i="28"/>
  <c r="R167" i="28"/>
  <c r="R168" i="28"/>
  <c r="R170" i="28"/>
  <c r="R171" i="28"/>
  <c r="R173" i="28"/>
  <c r="R174" i="28"/>
  <c r="R175" i="28"/>
  <c r="R176" i="28"/>
  <c r="R178" i="28"/>
  <c r="R179" i="28"/>
  <c r="R180" i="28"/>
  <c r="R181" i="28"/>
  <c r="R183" i="28"/>
  <c r="R184" i="28"/>
  <c r="R185" i="28"/>
  <c r="R186" i="28"/>
  <c r="R188" i="28"/>
  <c r="R189" i="28"/>
  <c r="R190" i="28"/>
  <c r="R192" i="28"/>
  <c r="R193" i="28"/>
  <c r="R194" i="28"/>
  <c r="R195" i="28"/>
  <c r="R197" i="28"/>
  <c r="R198" i="28"/>
  <c r="R199" i="28"/>
  <c r="R201" i="28"/>
  <c r="R202" i="28"/>
  <c r="R203" i="28"/>
  <c r="R204" i="28"/>
  <c r="R205" i="28"/>
  <c r="R207" i="28"/>
  <c r="R208" i="28"/>
  <c r="R209" i="28"/>
  <c r="R210" i="28"/>
  <c r="R212" i="28"/>
  <c r="R213" i="28"/>
  <c r="R214" i="28"/>
  <c r="R215" i="28"/>
  <c r="R216" i="28"/>
  <c r="R218" i="28"/>
  <c r="R219" i="28"/>
  <c r="R220" i="28"/>
  <c r="R221" i="28"/>
  <c r="R223" i="28"/>
  <c r="R224" i="28"/>
  <c r="R225" i="28"/>
  <c r="R226" i="28"/>
  <c r="R228" i="28"/>
  <c r="R229" i="28"/>
  <c r="R230" i="28"/>
  <c r="R231" i="28"/>
  <c r="R233" i="28"/>
  <c r="R234" i="28"/>
  <c r="R235" i="28"/>
  <c r="R236" i="28"/>
  <c r="R238" i="28"/>
  <c r="R239" i="28"/>
  <c r="R240" i="28"/>
  <c r="R241" i="28"/>
  <c r="R243" i="28"/>
  <c r="R244" i="28"/>
  <c r="R245" i="28"/>
  <c r="R246" i="28"/>
  <c r="R247" i="28"/>
  <c r="R249" i="28"/>
  <c r="R250" i="28"/>
  <c r="R251" i="28"/>
  <c r="R252" i="28"/>
  <c r="Q2" i="28"/>
  <c r="Q3" i="28"/>
  <c r="Q4" i="28"/>
  <c r="Q5" i="28"/>
  <c r="Q6" i="28"/>
  <c r="Q7" i="28"/>
  <c r="Q8" i="28"/>
  <c r="Q9" i="28"/>
  <c r="Q10" i="28"/>
  <c r="Q11" i="28"/>
  <c r="Q12" i="28"/>
  <c r="Q13" i="28"/>
  <c r="Q14" i="28"/>
  <c r="Q15" i="28"/>
  <c r="Q16" i="28"/>
  <c r="Q17" i="28"/>
  <c r="Q18" i="28"/>
  <c r="Q20" i="28"/>
  <c r="Q21" i="28"/>
  <c r="Q23" i="28"/>
  <c r="Q24" i="28"/>
  <c r="Q26" i="28"/>
  <c r="Q27" i="28"/>
  <c r="Q29" i="28"/>
  <c r="Q30" i="28"/>
  <c r="Q31" i="28"/>
  <c r="Q32" i="28"/>
  <c r="Q33" i="28"/>
  <c r="Q34" i="28"/>
  <c r="Q35" i="28"/>
  <c r="Q37" i="28"/>
  <c r="Q38" i="28"/>
  <c r="Q39" i="28"/>
  <c r="Q40" i="28"/>
  <c r="Q42" i="28"/>
  <c r="Q43" i="28"/>
  <c r="Q44" i="28"/>
  <c r="Q45" i="28"/>
  <c r="Q47" i="28"/>
  <c r="Q48" i="28"/>
  <c r="Q49" i="28"/>
  <c r="Q50" i="28"/>
  <c r="Q52" i="28"/>
  <c r="Q53" i="28"/>
  <c r="Q54" i="28"/>
  <c r="Q55" i="28"/>
  <c r="Q57" i="28"/>
  <c r="Q58" i="28"/>
  <c r="Q59" i="28"/>
  <c r="Q61" i="28"/>
  <c r="Q62" i="28"/>
  <c r="Q63" i="28"/>
  <c r="Q65" i="28"/>
  <c r="Q66" i="28"/>
  <c r="Q67" i="28"/>
  <c r="Q69" i="28"/>
  <c r="Q70" i="28"/>
  <c r="Q71" i="28"/>
  <c r="Q73" i="28"/>
  <c r="Q74" i="28"/>
  <c r="Q75" i="28"/>
  <c r="Q76" i="28"/>
  <c r="Q77" i="28"/>
  <c r="Q78" i="28"/>
  <c r="Q79" i="28"/>
  <c r="Q80" i="28"/>
  <c r="Q81" i="28"/>
  <c r="Q82" i="28"/>
  <c r="Q83" i="28"/>
  <c r="Q84" i="28"/>
  <c r="Q85" i="28"/>
  <c r="Q86" i="28"/>
  <c r="Q87" i="28"/>
  <c r="Q88" i="28"/>
  <c r="Q89" i="28"/>
  <c r="Q90" i="28"/>
  <c r="Q91" i="28"/>
  <c r="Q92" i="28"/>
  <c r="Q93" i="28"/>
  <c r="Q94" i="28"/>
  <c r="Q95" i="28"/>
  <c r="Q96" i="28"/>
  <c r="Q97" i="28"/>
  <c r="Q98" i="28"/>
  <c r="Q99" i="28"/>
  <c r="Q100" i="28"/>
  <c r="Q101" i="28"/>
  <c r="Q102" i="28"/>
  <c r="Q103" i="28"/>
  <c r="Q104" i="28"/>
  <c r="Q105" i="28"/>
  <c r="Q107" i="28"/>
  <c r="Q108" i="28"/>
  <c r="Q110" i="28"/>
  <c r="Q111" i="28"/>
  <c r="Q113" i="28"/>
  <c r="Q114" i="28"/>
  <c r="Q116" i="28"/>
  <c r="Q117" i="28"/>
  <c r="Q119" i="28"/>
  <c r="Q120" i="28"/>
  <c r="Q122" i="28"/>
  <c r="Q123" i="28"/>
  <c r="Q125" i="28"/>
  <c r="Q126" i="28"/>
  <c r="Q128" i="28"/>
  <c r="Q129" i="28"/>
  <c r="Q131" i="28"/>
  <c r="Q132" i="28"/>
  <c r="Q134" i="28"/>
  <c r="Q135" i="28"/>
  <c r="Q137" i="28"/>
  <c r="Q138" i="28"/>
  <c r="Q140" i="28"/>
  <c r="Q141" i="28"/>
  <c r="Q143" i="28"/>
  <c r="Q144" i="28"/>
  <c r="Q146" i="28"/>
  <c r="Q147" i="28"/>
  <c r="Q149" i="28"/>
  <c r="Q150" i="28"/>
  <c r="Q152" i="28"/>
  <c r="Q153" i="28"/>
  <c r="Q155" i="28"/>
  <c r="Q156" i="28"/>
  <c r="Q158" i="28"/>
  <c r="Q159" i="28"/>
  <c r="Q161" i="28"/>
  <c r="Q162" i="28"/>
  <c r="Q164" i="28"/>
  <c r="Q165" i="28"/>
  <c r="Q167" i="28"/>
  <c r="Q168" i="28"/>
  <c r="Q170" i="28"/>
  <c r="Q171" i="28"/>
  <c r="Q173" i="28"/>
  <c r="Q174" i="28"/>
  <c r="Q175" i="28"/>
  <c r="Q176" i="28"/>
  <c r="Q178" i="28"/>
  <c r="Q179" i="28"/>
  <c r="Q180" i="28"/>
  <c r="Q181" i="28"/>
  <c r="Q183" i="28"/>
  <c r="Q184" i="28"/>
  <c r="Q185" i="28"/>
  <c r="Q186" i="28"/>
  <c r="Q188" i="28"/>
  <c r="Q189" i="28"/>
  <c r="Q190" i="28"/>
  <c r="Q192" i="28"/>
  <c r="Q193" i="28"/>
  <c r="Q194" i="28"/>
  <c r="Q195" i="28"/>
  <c r="Q197" i="28"/>
  <c r="Q198" i="28"/>
  <c r="Q199" i="28"/>
  <c r="Q201" i="28"/>
  <c r="Q202" i="28"/>
  <c r="Q203" i="28"/>
  <c r="Q204" i="28"/>
  <c r="Q205" i="28"/>
  <c r="Q207" i="28"/>
  <c r="Q208" i="28"/>
  <c r="Q209" i="28"/>
  <c r="Q210" i="28"/>
  <c r="Q212" i="28"/>
  <c r="Q213" i="28"/>
  <c r="Q214" i="28"/>
  <c r="Q215" i="28"/>
  <c r="Q216" i="28"/>
  <c r="Q218" i="28"/>
  <c r="Q219" i="28"/>
  <c r="Q220" i="28"/>
  <c r="Q221" i="28"/>
  <c r="Q223" i="28"/>
  <c r="Q224" i="28"/>
  <c r="Q225" i="28"/>
  <c r="Q226" i="28"/>
  <c r="Q228" i="28"/>
  <c r="Q229" i="28"/>
  <c r="Q230" i="28"/>
  <c r="Q231" i="28"/>
  <c r="Q233" i="28"/>
  <c r="Q234" i="28"/>
  <c r="Q235" i="28"/>
  <c r="Q236" i="28"/>
  <c r="Q238" i="28"/>
  <c r="Q239" i="28"/>
  <c r="Q240" i="28"/>
  <c r="Q241" i="28"/>
  <c r="Q243" i="28"/>
  <c r="Q244" i="28"/>
  <c r="Q245" i="28"/>
  <c r="Q246" i="28"/>
  <c r="Q247" i="28"/>
  <c r="Q249" i="28"/>
  <c r="Q250" i="28"/>
  <c r="Q251" i="28"/>
  <c r="Q252" i="28"/>
  <c r="P2" i="28"/>
  <c r="P3" i="28"/>
  <c r="P4" i="28"/>
  <c r="P5" i="28"/>
  <c r="P6" i="28"/>
  <c r="P7" i="28"/>
  <c r="P8" i="28"/>
  <c r="P9" i="28"/>
  <c r="P10" i="28"/>
  <c r="P11" i="28"/>
  <c r="P12" i="28"/>
  <c r="P13" i="28"/>
  <c r="P14" i="28"/>
  <c r="P15" i="28"/>
  <c r="P16" i="28"/>
  <c r="P17" i="28"/>
  <c r="P18" i="28"/>
  <c r="P20" i="28"/>
  <c r="P21" i="28"/>
  <c r="P23" i="28"/>
  <c r="P24" i="28"/>
  <c r="P26" i="28"/>
  <c r="P27" i="28"/>
  <c r="P29" i="28"/>
  <c r="P30" i="28"/>
  <c r="P31" i="28"/>
  <c r="P32" i="28"/>
  <c r="P33" i="28"/>
  <c r="P34" i="28"/>
  <c r="P35" i="28"/>
  <c r="P37" i="28"/>
  <c r="P38" i="28"/>
  <c r="P39" i="28"/>
  <c r="P40" i="28"/>
  <c r="P42" i="28"/>
  <c r="P43" i="28"/>
  <c r="P44" i="28"/>
  <c r="P45" i="28"/>
  <c r="P47" i="28"/>
  <c r="P48" i="28"/>
  <c r="P49" i="28"/>
  <c r="P50" i="28"/>
  <c r="P52" i="28"/>
  <c r="P53" i="28"/>
  <c r="P54" i="28"/>
  <c r="P55" i="28"/>
  <c r="P57" i="28"/>
  <c r="P58" i="28"/>
  <c r="P59" i="28"/>
  <c r="P61" i="28"/>
  <c r="P62" i="28"/>
  <c r="P63" i="28"/>
  <c r="P65" i="28"/>
  <c r="P66" i="28"/>
  <c r="P67" i="28"/>
  <c r="P69" i="28"/>
  <c r="P70" i="28"/>
  <c r="P71" i="28"/>
  <c r="P73" i="28"/>
  <c r="P74" i="28"/>
  <c r="P75" i="28"/>
  <c r="P76" i="28"/>
  <c r="P77" i="28"/>
  <c r="P78" i="28"/>
  <c r="P79" i="28"/>
  <c r="P80" i="28"/>
  <c r="P81" i="28"/>
  <c r="P82" i="28"/>
  <c r="P83" i="28"/>
  <c r="P84" i="28"/>
  <c r="P85" i="28"/>
  <c r="P86" i="28"/>
  <c r="P87" i="28"/>
  <c r="P88" i="28"/>
  <c r="P89" i="28"/>
  <c r="P90" i="28"/>
  <c r="P91" i="28"/>
  <c r="P92" i="28"/>
  <c r="P93" i="28"/>
  <c r="P94" i="28"/>
  <c r="P95" i="28"/>
  <c r="P96" i="28"/>
  <c r="P97" i="28"/>
  <c r="P98" i="28"/>
  <c r="P99" i="28"/>
  <c r="P100" i="28"/>
  <c r="P101" i="28"/>
  <c r="P102" i="28"/>
  <c r="P103" i="28"/>
  <c r="P104" i="28"/>
  <c r="P105" i="28"/>
  <c r="P107" i="28"/>
  <c r="P108" i="28"/>
  <c r="P110" i="28"/>
  <c r="P111" i="28"/>
  <c r="P113" i="28"/>
  <c r="P114" i="28"/>
  <c r="P116" i="28"/>
  <c r="P117" i="28"/>
  <c r="P119" i="28"/>
  <c r="P120" i="28"/>
  <c r="P122" i="28"/>
  <c r="P123" i="28"/>
  <c r="P125" i="28"/>
  <c r="P126" i="28"/>
  <c r="P128" i="28"/>
  <c r="P129" i="28"/>
  <c r="P131" i="28"/>
  <c r="P132" i="28"/>
  <c r="P134" i="28"/>
  <c r="P135" i="28"/>
  <c r="P137" i="28"/>
  <c r="P138" i="28"/>
  <c r="P140" i="28"/>
  <c r="P141" i="28"/>
  <c r="P143" i="28"/>
  <c r="P144" i="28"/>
  <c r="P146" i="28"/>
  <c r="P147" i="28"/>
  <c r="P149" i="28"/>
  <c r="P150" i="28"/>
  <c r="P152" i="28"/>
  <c r="P153" i="28"/>
  <c r="P155" i="28"/>
  <c r="P156" i="28"/>
  <c r="P158" i="28"/>
  <c r="P159" i="28"/>
  <c r="P161" i="28"/>
  <c r="P162" i="28"/>
  <c r="P164" i="28"/>
  <c r="P165" i="28"/>
  <c r="P167" i="28"/>
  <c r="P168" i="28"/>
  <c r="P170" i="28"/>
  <c r="P171" i="28"/>
  <c r="P173" i="28"/>
  <c r="P174" i="28"/>
  <c r="P175" i="28"/>
  <c r="P176" i="28"/>
  <c r="P178" i="28"/>
  <c r="P179" i="28"/>
  <c r="P180" i="28"/>
  <c r="P181" i="28"/>
  <c r="P183" i="28"/>
  <c r="P184" i="28"/>
  <c r="P185" i="28"/>
  <c r="P186" i="28"/>
  <c r="P188" i="28"/>
  <c r="P189" i="28"/>
  <c r="P190" i="28"/>
  <c r="P192" i="28"/>
  <c r="P193" i="28"/>
  <c r="P194" i="28"/>
  <c r="P195" i="28"/>
  <c r="P197" i="28"/>
  <c r="P198" i="28"/>
  <c r="P199" i="28"/>
  <c r="P201" i="28"/>
  <c r="P202" i="28"/>
  <c r="P203" i="28"/>
  <c r="P204" i="28"/>
  <c r="P205" i="28"/>
  <c r="P207" i="28"/>
  <c r="P208" i="28"/>
  <c r="P209" i="28"/>
  <c r="P210" i="28"/>
  <c r="P212" i="28"/>
  <c r="P213" i="28"/>
  <c r="P214" i="28"/>
  <c r="P215" i="28"/>
  <c r="P216" i="28"/>
  <c r="P218" i="28"/>
  <c r="P219" i="28"/>
  <c r="P220" i="28"/>
  <c r="P221" i="28"/>
  <c r="P223" i="28"/>
  <c r="P224" i="28"/>
  <c r="P225" i="28"/>
  <c r="P226" i="28"/>
  <c r="P228" i="28"/>
  <c r="P229" i="28"/>
  <c r="P230" i="28"/>
  <c r="P231" i="28"/>
  <c r="P233" i="28"/>
  <c r="P234" i="28"/>
  <c r="P235" i="28"/>
  <c r="P236" i="28"/>
  <c r="P238" i="28"/>
  <c r="P239" i="28"/>
  <c r="P240" i="28"/>
  <c r="P241" i="28"/>
  <c r="P243" i="28"/>
  <c r="P244" i="28"/>
  <c r="P245" i="28"/>
  <c r="P246" i="28"/>
  <c r="P247" i="28"/>
  <c r="P249" i="28"/>
  <c r="P250" i="28"/>
  <c r="P251" i="28"/>
  <c r="P252" i="28"/>
  <c r="O2" i="28"/>
  <c r="O3" i="28"/>
  <c r="O4" i="28"/>
  <c r="O5" i="28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20" i="28"/>
  <c r="O21" i="28"/>
  <c r="O23" i="28"/>
  <c r="O24" i="28"/>
  <c r="O26" i="28"/>
  <c r="O27" i="28"/>
  <c r="O29" i="28"/>
  <c r="O30" i="28"/>
  <c r="O31" i="28"/>
  <c r="O32" i="28"/>
  <c r="O33" i="28"/>
  <c r="O34" i="28"/>
  <c r="O35" i="28"/>
  <c r="O37" i="28"/>
  <c r="O38" i="28"/>
  <c r="O39" i="28"/>
  <c r="O40" i="28"/>
  <c r="O42" i="28"/>
  <c r="O43" i="28"/>
  <c r="O44" i="28"/>
  <c r="O45" i="28"/>
  <c r="O47" i="28"/>
  <c r="O48" i="28"/>
  <c r="O49" i="28"/>
  <c r="O50" i="28"/>
  <c r="O52" i="28"/>
  <c r="O53" i="28"/>
  <c r="O54" i="28"/>
  <c r="O55" i="28"/>
  <c r="O57" i="28"/>
  <c r="O58" i="28"/>
  <c r="O59" i="28"/>
  <c r="O61" i="28"/>
  <c r="O62" i="28"/>
  <c r="O63" i="28"/>
  <c r="O65" i="28"/>
  <c r="O66" i="28"/>
  <c r="O67" i="28"/>
  <c r="O69" i="28"/>
  <c r="O70" i="28"/>
  <c r="O71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O93" i="28"/>
  <c r="O94" i="28"/>
  <c r="O95" i="28"/>
  <c r="O96" i="28"/>
  <c r="O97" i="28"/>
  <c r="O98" i="28"/>
  <c r="O99" i="28"/>
  <c r="O100" i="28"/>
  <c r="O101" i="28"/>
  <c r="O102" i="28"/>
  <c r="O103" i="28"/>
  <c r="O104" i="28"/>
  <c r="O105" i="28"/>
  <c r="O107" i="28"/>
  <c r="O108" i="28"/>
  <c r="O110" i="28"/>
  <c r="O111" i="28"/>
  <c r="O113" i="28"/>
  <c r="O114" i="28"/>
  <c r="O116" i="28"/>
  <c r="O117" i="28"/>
  <c r="O119" i="28"/>
  <c r="O120" i="28"/>
  <c r="O122" i="28"/>
  <c r="O123" i="28"/>
  <c r="O125" i="28"/>
  <c r="O126" i="28"/>
  <c r="O128" i="28"/>
  <c r="O129" i="28"/>
  <c r="O131" i="28"/>
  <c r="O132" i="28"/>
  <c r="O134" i="28"/>
  <c r="O135" i="28"/>
  <c r="O137" i="28"/>
  <c r="O138" i="28"/>
  <c r="O140" i="28"/>
  <c r="O141" i="28"/>
  <c r="O143" i="28"/>
  <c r="O144" i="28"/>
  <c r="O146" i="28"/>
  <c r="O147" i="28"/>
  <c r="O149" i="28"/>
  <c r="O150" i="28"/>
  <c r="O152" i="28"/>
  <c r="O153" i="28"/>
  <c r="O155" i="28"/>
  <c r="O156" i="28"/>
  <c r="O158" i="28"/>
  <c r="O159" i="28"/>
  <c r="O161" i="28"/>
  <c r="O162" i="28"/>
  <c r="O164" i="28"/>
  <c r="O165" i="28"/>
  <c r="O167" i="28"/>
  <c r="O168" i="28"/>
  <c r="O170" i="28"/>
  <c r="O171" i="28"/>
  <c r="O173" i="28"/>
  <c r="O174" i="28"/>
  <c r="O175" i="28"/>
  <c r="O176" i="28"/>
  <c r="O178" i="28"/>
  <c r="O179" i="28"/>
  <c r="O180" i="28"/>
  <c r="O181" i="28"/>
  <c r="O183" i="28"/>
  <c r="O184" i="28"/>
  <c r="O185" i="28"/>
  <c r="O186" i="28"/>
  <c r="O188" i="28"/>
  <c r="O189" i="28"/>
  <c r="O190" i="28"/>
  <c r="O192" i="28"/>
  <c r="O193" i="28"/>
  <c r="O194" i="28"/>
  <c r="O195" i="28"/>
  <c r="O197" i="28"/>
  <c r="O198" i="28"/>
  <c r="O199" i="28"/>
  <c r="O201" i="28"/>
  <c r="O202" i="28"/>
  <c r="O203" i="28"/>
  <c r="O204" i="28"/>
  <c r="O205" i="28"/>
  <c r="O207" i="28"/>
  <c r="O208" i="28"/>
  <c r="O209" i="28"/>
  <c r="O210" i="28"/>
  <c r="O212" i="28"/>
  <c r="O213" i="28"/>
  <c r="O214" i="28"/>
  <c r="O215" i="28"/>
  <c r="O216" i="28"/>
  <c r="O218" i="28"/>
  <c r="O219" i="28"/>
  <c r="O220" i="28"/>
  <c r="O221" i="28"/>
  <c r="O223" i="28"/>
  <c r="O224" i="28"/>
  <c r="O225" i="28"/>
  <c r="O226" i="28"/>
  <c r="O228" i="28"/>
  <c r="O229" i="28"/>
  <c r="O230" i="28"/>
  <c r="O231" i="28"/>
  <c r="O233" i="28"/>
  <c r="O234" i="28"/>
  <c r="O235" i="28"/>
  <c r="O236" i="28"/>
  <c r="O238" i="28"/>
  <c r="O239" i="28"/>
  <c r="O240" i="28"/>
  <c r="O241" i="28"/>
  <c r="O243" i="28"/>
  <c r="O244" i="28"/>
  <c r="O245" i="28"/>
  <c r="O246" i="28"/>
  <c r="O247" i="28"/>
  <c r="O249" i="28"/>
  <c r="O250" i="28"/>
  <c r="O251" i="28"/>
  <c r="O252" i="28"/>
  <c r="N2" i="28"/>
  <c r="N3" i="28"/>
  <c r="N4" i="28"/>
  <c r="N5" i="28"/>
  <c r="N6" i="28"/>
  <c r="N7" i="28"/>
  <c r="N8" i="28"/>
  <c r="N9" i="28"/>
  <c r="N10" i="28"/>
  <c r="N11" i="28"/>
  <c r="N12" i="28"/>
  <c r="N13" i="28"/>
  <c r="N14" i="28"/>
  <c r="N15" i="28"/>
  <c r="N16" i="28"/>
  <c r="N17" i="28"/>
  <c r="N18" i="28"/>
  <c r="N20" i="28"/>
  <c r="N21" i="28"/>
  <c r="N23" i="28"/>
  <c r="N24" i="28"/>
  <c r="N26" i="28"/>
  <c r="N27" i="28"/>
  <c r="N29" i="28"/>
  <c r="N30" i="28"/>
  <c r="N31" i="28"/>
  <c r="N32" i="28"/>
  <c r="N33" i="28"/>
  <c r="N34" i="28"/>
  <c r="N35" i="28"/>
  <c r="N37" i="28"/>
  <c r="N38" i="28"/>
  <c r="N39" i="28"/>
  <c r="N40" i="28"/>
  <c r="N42" i="28"/>
  <c r="N43" i="28"/>
  <c r="N44" i="28"/>
  <c r="N45" i="28"/>
  <c r="N47" i="28"/>
  <c r="N48" i="28"/>
  <c r="N49" i="28"/>
  <c r="N50" i="28"/>
  <c r="N52" i="28"/>
  <c r="N53" i="28"/>
  <c r="N54" i="28"/>
  <c r="N55" i="28"/>
  <c r="N57" i="28"/>
  <c r="N58" i="28"/>
  <c r="N59" i="28"/>
  <c r="N61" i="28"/>
  <c r="N62" i="28"/>
  <c r="N63" i="28"/>
  <c r="N65" i="28"/>
  <c r="N66" i="28"/>
  <c r="N67" i="28"/>
  <c r="N69" i="28"/>
  <c r="N70" i="28"/>
  <c r="N71" i="28"/>
  <c r="N73" i="28"/>
  <c r="N74" i="28"/>
  <c r="N75" i="28"/>
  <c r="N76" i="28"/>
  <c r="N77" i="28"/>
  <c r="N78" i="28"/>
  <c r="N79" i="28"/>
  <c r="N80" i="28"/>
  <c r="N81" i="28"/>
  <c r="N82" i="28"/>
  <c r="N83" i="28"/>
  <c r="N84" i="28"/>
  <c r="N85" i="28"/>
  <c r="N86" i="28"/>
  <c r="N87" i="28"/>
  <c r="N88" i="28"/>
  <c r="N89" i="28"/>
  <c r="N90" i="28"/>
  <c r="N91" i="28"/>
  <c r="N92" i="28"/>
  <c r="N93" i="28"/>
  <c r="N94" i="28"/>
  <c r="N95" i="28"/>
  <c r="N96" i="28"/>
  <c r="N97" i="28"/>
  <c r="N98" i="28"/>
  <c r="N99" i="28"/>
  <c r="N100" i="28"/>
  <c r="N101" i="28"/>
  <c r="N102" i="28"/>
  <c r="N103" i="28"/>
  <c r="N104" i="28"/>
  <c r="N105" i="28"/>
  <c r="N107" i="28"/>
  <c r="N108" i="28"/>
  <c r="N110" i="28"/>
  <c r="N111" i="28"/>
  <c r="N113" i="28"/>
  <c r="N114" i="28"/>
  <c r="N116" i="28"/>
  <c r="N117" i="28"/>
  <c r="N119" i="28"/>
  <c r="N120" i="28"/>
  <c r="N122" i="28"/>
  <c r="N123" i="28"/>
  <c r="N125" i="28"/>
  <c r="N126" i="28"/>
  <c r="N128" i="28"/>
  <c r="N129" i="28"/>
  <c r="N131" i="28"/>
  <c r="N132" i="28"/>
  <c r="N134" i="28"/>
  <c r="N135" i="28"/>
  <c r="N137" i="28"/>
  <c r="N138" i="28"/>
  <c r="N140" i="28"/>
  <c r="N141" i="28"/>
  <c r="N143" i="28"/>
  <c r="N144" i="28"/>
  <c r="N146" i="28"/>
  <c r="N147" i="28"/>
  <c r="N149" i="28"/>
  <c r="N150" i="28"/>
  <c r="N152" i="28"/>
  <c r="N153" i="28"/>
  <c r="N155" i="28"/>
  <c r="N156" i="28"/>
  <c r="N158" i="28"/>
  <c r="N159" i="28"/>
  <c r="N161" i="28"/>
  <c r="N162" i="28"/>
  <c r="N164" i="28"/>
  <c r="N165" i="28"/>
  <c r="N167" i="28"/>
  <c r="N168" i="28"/>
  <c r="N170" i="28"/>
  <c r="N171" i="28"/>
  <c r="N173" i="28"/>
  <c r="N174" i="28"/>
  <c r="N175" i="28"/>
  <c r="N176" i="28"/>
  <c r="N178" i="28"/>
  <c r="N179" i="28"/>
  <c r="N180" i="28"/>
  <c r="N181" i="28"/>
  <c r="N183" i="28"/>
  <c r="N184" i="28"/>
  <c r="N185" i="28"/>
  <c r="N186" i="28"/>
  <c r="N188" i="28"/>
  <c r="N189" i="28"/>
  <c r="N190" i="28"/>
  <c r="N192" i="28"/>
  <c r="N193" i="28"/>
  <c r="N194" i="28"/>
  <c r="N195" i="28"/>
  <c r="N197" i="28"/>
  <c r="N198" i="28"/>
  <c r="N199" i="28"/>
  <c r="N201" i="28"/>
  <c r="N202" i="28"/>
  <c r="N203" i="28"/>
  <c r="N204" i="28"/>
  <c r="N205" i="28"/>
  <c r="N207" i="28"/>
  <c r="N208" i="28"/>
  <c r="N209" i="28"/>
  <c r="N210" i="28"/>
  <c r="N212" i="28"/>
  <c r="N213" i="28"/>
  <c r="N214" i="28"/>
  <c r="N215" i="28"/>
  <c r="N216" i="28"/>
  <c r="N218" i="28"/>
  <c r="N219" i="28"/>
  <c r="N220" i="28"/>
  <c r="N221" i="28"/>
  <c r="N223" i="28"/>
  <c r="N224" i="28"/>
  <c r="N225" i="28"/>
  <c r="N226" i="28"/>
  <c r="N228" i="28"/>
  <c r="N229" i="28"/>
  <c r="N230" i="28"/>
  <c r="N231" i="28"/>
  <c r="N233" i="28"/>
  <c r="N234" i="28"/>
  <c r="N235" i="28"/>
  <c r="N236" i="28"/>
  <c r="N238" i="28"/>
  <c r="N239" i="28"/>
  <c r="N240" i="28"/>
  <c r="N241" i="28"/>
  <c r="N243" i="28"/>
  <c r="N244" i="28"/>
  <c r="N245" i="28"/>
  <c r="N246" i="28"/>
  <c r="N247" i="28"/>
  <c r="N249" i="28"/>
  <c r="N250" i="28"/>
  <c r="N251" i="28"/>
  <c r="N252" i="28"/>
  <c r="M2" i="28"/>
  <c r="M3" i="28"/>
  <c r="M4" i="28"/>
  <c r="M5" i="28"/>
  <c r="M6" i="28"/>
  <c r="M7" i="28"/>
  <c r="M8" i="28"/>
  <c r="M9" i="28"/>
  <c r="M10" i="28"/>
  <c r="M11" i="28"/>
  <c r="M12" i="28"/>
  <c r="M13" i="28"/>
  <c r="M14" i="28"/>
  <c r="M15" i="28"/>
  <c r="M16" i="28"/>
  <c r="M17" i="28"/>
  <c r="M18" i="28"/>
  <c r="M20" i="28"/>
  <c r="M21" i="28"/>
  <c r="M23" i="28"/>
  <c r="M24" i="28"/>
  <c r="M26" i="28"/>
  <c r="M27" i="28"/>
  <c r="M29" i="28"/>
  <c r="M30" i="28"/>
  <c r="M31" i="28"/>
  <c r="M32" i="28"/>
  <c r="M33" i="28"/>
  <c r="M34" i="28"/>
  <c r="M35" i="28"/>
  <c r="M37" i="28"/>
  <c r="M38" i="28"/>
  <c r="M39" i="28"/>
  <c r="M40" i="28"/>
  <c r="M42" i="28"/>
  <c r="M43" i="28"/>
  <c r="M44" i="28"/>
  <c r="M45" i="28"/>
  <c r="M47" i="28"/>
  <c r="M48" i="28"/>
  <c r="M49" i="28"/>
  <c r="M50" i="28"/>
  <c r="M52" i="28"/>
  <c r="M53" i="28"/>
  <c r="M54" i="28"/>
  <c r="M55" i="28"/>
  <c r="M57" i="28"/>
  <c r="M58" i="28"/>
  <c r="M59" i="28"/>
  <c r="M61" i="28"/>
  <c r="M62" i="28"/>
  <c r="M63" i="28"/>
  <c r="M65" i="28"/>
  <c r="M66" i="28"/>
  <c r="M67" i="28"/>
  <c r="M69" i="28"/>
  <c r="M70" i="28"/>
  <c r="M71" i="28"/>
  <c r="M73" i="28"/>
  <c r="M74" i="28"/>
  <c r="M75" i="28"/>
  <c r="M76" i="28"/>
  <c r="M77" i="28"/>
  <c r="M78" i="28"/>
  <c r="M79" i="28"/>
  <c r="M80" i="28"/>
  <c r="M81" i="28"/>
  <c r="M82" i="28"/>
  <c r="M83" i="28"/>
  <c r="M84" i="28"/>
  <c r="M85" i="28"/>
  <c r="M86" i="28"/>
  <c r="M87" i="28"/>
  <c r="M88" i="28"/>
  <c r="M89" i="28"/>
  <c r="M90" i="28"/>
  <c r="M91" i="28"/>
  <c r="M92" i="28"/>
  <c r="M93" i="28"/>
  <c r="M94" i="28"/>
  <c r="M95" i="28"/>
  <c r="M96" i="28"/>
  <c r="M97" i="28"/>
  <c r="M98" i="28"/>
  <c r="M99" i="28"/>
  <c r="M100" i="28"/>
  <c r="M101" i="28"/>
  <c r="M102" i="28"/>
  <c r="M103" i="28"/>
  <c r="M104" i="28"/>
  <c r="M105" i="28"/>
  <c r="M107" i="28"/>
  <c r="M108" i="28"/>
  <c r="M110" i="28"/>
  <c r="M111" i="28"/>
  <c r="M113" i="28"/>
  <c r="M114" i="28"/>
  <c r="M116" i="28"/>
  <c r="M117" i="28"/>
  <c r="M119" i="28"/>
  <c r="M120" i="28"/>
  <c r="M122" i="28"/>
  <c r="M123" i="28"/>
  <c r="M125" i="28"/>
  <c r="M126" i="28"/>
  <c r="M128" i="28"/>
  <c r="M129" i="28"/>
  <c r="M131" i="28"/>
  <c r="M132" i="28"/>
  <c r="M134" i="28"/>
  <c r="M135" i="28"/>
  <c r="M137" i="28"/>
  <c r="M138" i="28"/>
  <c r="M140" i="28"/>
  <c r="M141" i="28"/>
  <c r="M143" i="28"/>
  <c r="M144" i="28"/>
  <c r="M146" i="28"/>
  <c r="M147" i="28"/>
  <c r="M149" i="28"/>
  <c r="M150" i="28"/>
  <c r="M152" i="28"/>
  <c r="M153" i="28"/>
  <c r="M155" i="28"/>
  <c r="M156" i="28"/>
  <c r="M158" i="28"/>
  <c r="M159" i="28"/>
  <c r="M161" i="28"/>
  <c r="M162" i="28"/>
  <c r="M164" i="28"/>
  <c r="M165" i="28"/>
  <c r="M167" i="28"/>
  <c r="M168" i="28"/>
  <c r="M170" i="28"/>
  <c r="M171" i="28"/>
  <c r="M173" i="28"/>
  <c r="M174" i="28"/>
  <c r="M175" i="28"/>
  <c r="M176" i="28"/>
  <c r="M178" i="28"/>
  <c r="M179" i="28"/>
  <c r="M180" i="28"/>
  <c r="M181" i="28"/>
  <c r="M183" i="28"/>
  <c r="M184" i="28"/>
  <c r="M185" i="28"/>
  <c r="M186" i="28"/>
  <c r="M188" i="28"/>
  <c r="M189" i="28"/>
  <c r="M190" i="28"/>
  <c r="M192" i="28"/>
  <c r="M193" i="28"/>
  <c r="M194" i="28"/>
  <c r="M195" i="28"/>
  <c r="M197" i="28"/>
  <c r="M198" i="28"/>
  <c r="M199" i="28"/>
  <c r="M201" i="28"/>
  <c r="M202" i="28"/>
  <c r="M203" i="28"/>
  <c r="M204" i="28"/>
  <c r="M205" i="28"/>
  <c r="M207" i="28"/>
  <c r="M208" i="28"/>
  <c r="M209" i="28"/>
  <c r="M210" i="28"/>
  <c r="M212" i="28"/>
  <c r="M213" i="28"/>
  <c r="M214" i="28"/>
  <c r="M215" i="28"/>
  <c r="M216" i="28"/>
  <c r="M218" i="28"/>
  <c r="M219" i="28"/>
  <c r="M220" i="28"/>
  <c r="M221" i="28"/>
  <c r="M223" i="28"/>
  <c r="M224" i="28"/>
  <c r="M225" i="28"/>
  <c r="M226" i="28"/>
  <c r="M228" i="28"/>
  <c r="M229" i="28"/>
  <c r="M230" i="28"/>
  <c r="M231" i="28"/>
  <c r="M233" i="28"/>
  <c r="M234" i="28"/>
  <c r="M235" i="28"/>
  <c r="M236" i="28"/>
  <c r="M238" i="28"/>
  <c r="M239" i="28"/>
  <c r="M240" i="28"/>
  <c r="M241" i="28"/>
  <c r="M243" i="28"/>
  <c r="M244" i="28"/>
  <c r="M245" i="28"/>
  <c r="M246" i="28"/>
  <c r="M247" i="28"/>
  <c r="M249" i="28"/>
  <c r="M250" i="28"/>
  <c r="M251" i="28"/>
  <c r="M252" i="28"/>
  <c r="L2" i="28"/>
  <c r="L3" i="28"/>
  <c r="L4" i="28"/>
  <c r="L5" i="28"/>
  <c r="L6" i="28"/>
  <c r="L7" i="28"/>
  <c r="L8" i="28"/>
  <c r="L9" i="28"/>
  <c r="L10" i="28"/>
  <c r="L11" i="28"/>
  <c r="L12" i="28"/>
  <c r="L13" i="28"/>
  <c r="L14" i="28"/>
  <c r="L15" i="28"/>
  <c r="L16" i="28"/>
  <c r="L17" i="28"/>
  <c r="L18" i="28"/>
  <c r="L20" i="28"/>
  <c r="L21" i="28"/>
  <c r="L23" i="28"/>
  <c r="L24" i="28"/>
  <c r="L26" i="28"/>
  <c r="L27" i="28"/>
  <c r="L29" i="28"/>
  <c r="L30" i="28"/>
  <c r="L31" i="28"/>
  <c r="L32" i="28"/>
  <c r="L33" i="28"/>
  <c r="L34" i="28"/>
  <c r="L35" i="28"/>
  <c r="L37" i="28"/>
  <c r="L38" i="28"/>
  <c r="L39" i="28"/>
  <c r="L40" i="28"/>
  <c r="L42" i="28"/>
  <c r="L43" i="28"/>
  <c r="L44" i="28"/>
  <c r="L45" i="28"/>
  <c r="L47" i="28"/>
  <c r="L48" i="28"/>
  <c r="L49" i="28"/>
  <c r="L50" i="28"/>
  <c r="L52" i="28"/>
  <c r="L53" i="28"/>
  <c r="L54" i="28"/>
  <c r="L55" i="28"/>
  <c r="L57" i="28"/>
  <c r="L58" i="28"/>
  <c r="L59" i="28"/>
  <c r="L61" i="28"/>
  <c r="L62" i="28"/>
  <c r="L63" i="28"/>
  <c r="L65" i="28"/>
  <c r="L66" i="28"/>
  <c r="L67" i="28"/>
  <c r="L69" i="28"/>
  <c r="L70" i="28"/>
  <c r="L71" i="28"/>
  <c r="L73" i="28"/>
  <c r="L74" i="28"/>
  <c r="L75" i="28"/>
  <c r="L76" i="28"/>
  <c r="L77" i="28"/>
  <c r="L78" i="28"/>
  <c r="L79" i="28"/>
  <c r="L80" i="28"/>
  <c r="L81" i="28"/>
  <c r="L82" i="28"/>
  <c r="L83" i="28"/>
  <c r="L84" i="28"/>
  <c r="L85" i="28"/>
  <c r="L86" i="28"/>
  <c r="L87" i="28"/>
  <c r="L88" i="28"/>
  <c r="L89" i="28"/>
  <c r="L90" i="28"/>
  <c r="L91" i="28"/>
  <c r="L92" i="28"/>
  <c r="L93" i="28"/>
  <c r="L94" i="28"/>
  <c r="L95" i="28"/>
  <c r="L96" i="28"/>
  <c r="L97" i="28"/>
  <c r="L98" i="28"/>
  <c r="L99" i="28"/>
  <c r="L100" i="28"/>
  <c r="L101" i="28"/>
  <c r="L102" i="28"/>
  <c r="L103" i="28"/>
  <c r="L104" i="28"/>
  <c r="L105" i="28"/>
  <c r="L107" i="28"/>
  <c r="L108" i="28"/>
  <c r="L110" i="28"/>
  <c r="L111" i="28"/>
  <c r="L113" i="28"/>
  <c r="L114" i="28"/>
  <c r="L116" i="28"/>
  <c r="L117" i="28"/>
  <c r="L119" i="28"/>
  <c r="L120" i="28"/>
  <c r="L122" i="28"/>
  <c r="L123" i="28"/>
  <c r="L125" i="28"/>
  <c r="L126" i="28"/>
  <c r="L128" i="28"/>
  <c r="L129" i="28"/>
  <c r="L131" i="28"/>
  <c r="L132" i="28"/>
  <c r="L134" i="28"/>
  <c r="L135" i="28"/>
  <c r="L137" i="28"/>
  <c r="L138" i="28"/>
  <c r="L140" i="28"/>
  <c r="L141" i="28"/>
  <c r="L143" i="28"/>
  <c r="L144" i="28"/>
  <c r="L146" i="28"/>
  <c r="L147" i="28"/>
  <c r="L149" i="28"/>
  <c r="L150" i="28"/>
  <c r="L152" i="28"/>
  <c r="L153" i="28"/>
  <c r="L155" i="28"/>
  <c r="L156" i="28"/>
  <c r="L158" i="28"/>
  <c r="L159" i="28"/>
  <c r="L161" i="28"/>
  <c r="L162" i="28"/>
  <c r="L164" i="28"/>
  <c r="L165" i="28"/>
  <c r="L167" i="28"/>
  <c r="L168" i="28"/>
  <c r="L170" i="28"/>
  <c r="L171" i="28"/>
  <c r="L173" i="28"/>
  <c r="L174" i="28"/>
  <c r="L175" i="28"/>
  <c r="L176" i="28"/>
  <c r="L178" i="28"/>
  <c r="L179" i="28"/>
  <c r="L180" i="28"/>
  <c r="L181" i="28"/>
  <c r="L183" i="28"/>
  <c r="L184" i="28"/>
  <c r="L185" i="28"/>
  <c r="L186" i="28"/>
  <c r="L188" i="28"/>
  <c r="L189" i="28"/>
  <c r="L190" i="28"/>
  <c r="L192" i="28"/>
  <c r="L193" i="28"/>
  <c r="L194" i="28"/>
  <c r="L195" i="28"/>
  <c r="L197" i="28"/>
  <c r="L198" i="28"/>
  <c r="L199" i="28"/>
  <c r="L201" i="28"/>
  <c r="L202" i="28"/>
  <c r="L203" i="28"/>
  <c r="L204" i="28"/>
  <c r="L205" i="28"/>
  <c r="L207" i="28"/>
  <c r="L208" i="28"/>
  <c r="L209" i="28"/>
  <c r="L210" i="28"/>
  <c r="L212" i="28"/>
  <c r="L213" i="28"/>
  <c r="L214" i="28"/>
  <c r="L215" i="28"/>
  <c r="L216" i="28"/>
  <c r="L218" i="28"/>
  <c r="L219" i="28"/>
  <c r="L220" i="28"/>
  <c r="L221" i="28"/>
  <c r="L223" i="28"/>
  <c r="L224" i="28"/>
  <c r="L225" i="28"/>
  <c r="L226" i="28"/>
  <c r="L228" i="28"/>
  <c r="L229" i="28"/>
  <c r="L230" i="28"/>
  <c r="L231" i="28"/>
  <c r="L233" i="28"/>
  <c r="L234" i="28"/>
  <c r="L235" i="28"/>
  <c r="L236" i="28"/>
  <c r="L238" i="28"/>
  <c r="L239" i="28"/>
  <c r="L240" i="28"/>
  <c r="L241" i="28"/>
  <c r="L243" i="28"/>
  <c r="L244" i="28"/>
  <c r="L245" i="28"/>
  <c r="L246" i="28"/>
  <c r="L247" i="28"/>
  <c r="L249" i="28"/>
  <c r="L250" i="28"/>
  <c r="L251" i="28"/>
  <c r="L252" i="28"/>
  <c r="K2" i="28"/>
  <c r="K3" i="28"/>
  <c r="J3" i="28" s="1"/>
  <c r="K4" i="28"/>
  <c r="K7" i="28"/>
  <c r="K8" i="28"/>
  <c r="K9" i="28"/>
  <c r="K10" i="28"/>
  <c r="K11" i="28"/>
  <c r="K12" i="28"/>
  <c r="K13" i="28"/>
  <c r="K14" i="28"/>
  <c r="K15" i="28"/>
  <c r="K16" i="28"/>
  <c r="K17" i="28"/>
  <c r="K18" i="28"/>
  <c r="K20" i="28"/>
  <c r="K21" i="28"/>
  <c r="K23" i="28"/>
  <c r="K24" i="28"/>
  <c r="K26" i="28"/>
  <c r="K27" i="28"/>
  <c r="K29" i="28"/>
  <c r="K30" i="28"/>
  <c r="K31" i="28"/>
  <c r="K32" i="28"/>
  <c r="K33" i="28"/>
  <c r="K34" i="28"/>
  <c r="K35" i="28"/>
  <c r="K37" i="28"/>
  <c r="K38" i="28"/>
  <c r="K39" i="28"/>
  <c r="K40" i="28"/>
  <c r="K42" i="28"/>
  <c r="K43" i="28"/>
  <c r="K44" i="28"/>
  <c r="K45" i="28"/>
  <c r="K47" i="28"/>
  <c r="K48" i="28"/>
  <c r="K49" i="28"/>
  <c r="K50" i="28"/>
  <c r="K52" i="28"/>
  <c r="J52" i="28" s="1"/>
  <c r="K53" i="28"/>
  <c r="J53" i="28" s="1"/>
  <c r="K54" i="28"/>
  <c r="J54" i="28" s="1"/>
  <c r="K55" i="28"/>
  <c r="J55" i="28" s="1"/>
  <c r="K57" i="28"/>
  <c r="J57" i="28" s="1"/>
  <c r="K58" i="28"/>
  <c r="K59" i="28"/>
  <c r="K61" i="28"/>
  <c r="J61" i="28" s="1"/>
  <c r="K62" i="28"/>
  <c r="K63" i="28"/>
  <c r="K65" i="28"/>
  <c r="K66" i="28"/>
  <c r="K67" i="28"/>
  <c r="K69" i="28"/>
  <c r="K70" i="28"/>
  <c r="K71" i="28"/>
  <c r="K73" i="28"/>
  <c r="J73" i="28" s="1"/>
  <c r="K74" i="28"/>
  <c r="J74" i="28" s="1"/>
  <c r="K75" i="28"/>
  <c r="J75" i="28" s="1"/>
  <c r="K76" i="28"/>
  <c r="J76" i="28" s="1"/>
  <c r="K77" i="28"/>
  <c r="J77" i="28" s="1"/>
  <c r="K78" i="28"/>
  <c r="K79" i="28"/>
  <c r="K80" i="28"/>
  <c r="J80" i="28" s="1"/>
  <c r="K81" i="28"/>
  <c r="K82" i="28"/>
  <c r="K83" i="28"/>
  <c r="K84" i="28"/>
  <c r="K85" i="28"/>
  <c r="K86" i="28"/>
  <c r="K87" i="28"/>
  <c r="K88" i="28"/>
  <c r="K89" i="28"/>
  <c r="J89" i="28" s="1"/>
  <c r="K90" i="28"/>
  <c r="J90" i="28" s="1"/>
  <c r="K91" i="28"/>
  <c r="J91" i="28" s="1"/>
  <c r="K92" i="28"/>
  <c r="J92" i="28" s="1"/>
  <c r="K93" i="28"/>
  <c r="J93" i="28" s="1"/>
  <c r="K94" i="28"/>
  <c r="K95" i="28"/>
  <c r="K96" i="28"/>
  <c r="J96" i="28" s="1"/>
  <c r="K97" i="28"/>
  <c r="K98" i="28"/>
  <c r="K99" i="28"/>
  <c r="K100" i="28"/>
  <c r="K101" i="28"/>
  <c r="K102" i="28"/>
  <c r="K103" i="28"/>
  <c r="K104" i="28"/>
  <c r="K105" i="28"/>
  <c r="J105" i="28" s="1"/>
  <c r="K107" i="28"/>
  <c r="J107" i="28" s="1"/>
  <c r="K108" i="28"/>
  <c r="J108" i="28" s="1"/>
  <c r="K110" i="28"/>
  <c r="J110" i="28" s="1"/>
  <c r="K111" i="28"/>
  <c r="J111" i="28" s="1"/>
  <c r="K113" i="28"/>
  <c r="K114" i="28"/>
  <c r="K116" i="28"/>
  <c r="J116" i="28" s="1"/>
  <c r="K117" i="28"/>
  <c r="K119" i="28"/>
  <c r="K120" i="28"/>
  <c r="K122" i="28"/>
  <c r="K123" i="28"/>
  <c r="K125" i="28"/>
  <c r="K126" i="28"/>
  <c r="K128" i="28"/>
  <c r="K129" i="28"/>
  <c r="J129" i="28" s="1"/>
  <c r="K131" i="28"/>
  <c r="J131" i="28" s="1"/>
  <c r="K132" i="28"/>
  <c r="J132" i="28" s="1"/>
  <c r="K134" i="28"/>
  <c r="J134" i="28" s="1"/>
  <c r="K135" i="28"/>
  <c r="J135" i="28" s="1"/>
  <c r="K137" i="28"/>
  <c r="K138" i="28"/>
  <c r="K140" i="28"/>
  <c r="J140" i="28" s="1"/>
  <c r="K141" i="28"/>
  <c r="K143" i="28"/>
  <c r="K144" i="28"/>
  <c r="K146" i="28"/>
  <c r="K147" i="28"/>
  <c r="K149" i="28"/>
  <c r="K150" i="28"/>
  <c r="K152" i="28"/>
  <c r="K153" i="28"/>
  <c r="J153" i="28" s="1"/>
  <c r="K155" i="28"/>
  <c r="J155" i="28" s="1"/>
  <c r="K156" i="28"/>
  <c r="J156" i="28" s="1"/>
  <c r="K158" i="28"/>
  <c r="J158" i="28" s="1"/>
  <c r="K159" i="28"/>
  <c r="K161" i="28"/>
  <c r="K162" i="28"/>
  <c r="K164" i="28"/>
  <c r="J164" i="28" s="1"/>
  <c r="K165" i="28"/>
  <c r="K167" i="28"/>
  <c r="K168" i="28"/>
  <c r="K170" i="28"/>
  <c r="K171" i="28"/>
  <c r="K173" i="28"/>
  <c r="K174" i="28"/>
  <c r="K175" i="28"/>
  <c r="K176" i="28"/>
  <c r="J176" i="28" s="1"/>
  <c r="K178" i="28"/>
  <c r="J178" i="28" s="1"/>
  <c r="K179" i="28"/>
  <c r="J179" i="28" s="1"/>
  <c r="K180" i="28"/>
  <c r="J180" i="28" s="1"/>
  <c r="K181" i="28"/>
  <c r="J181" i="28" s="1"/>
  <c r="K183" i="28"/>
  <c r="K184" i="28"/>
  <c r="K185" i="28"/>
  <c r="J185" i="28" s="1"/>
  <c r="K186" i="28"/>
  <c r="K188" i="28"/>
  <c r="K189" i="28"/>
  <c r="K190" i="28"/>
  <c r="K192" i="28"/>
  <c r="K193" i="28"/>
  <c r="K194" i="28"/>
  <c r="I194" i="28" s="1"/>
  <c r="K195" i="28"/>
  <c r="K197" i="28"/>
  <c r="J197" i="28" s="1"/>
  <c r="K198" i="28"/>
  <c r="J198" i="28" s="1"/>
  <c r="K199" i="28"/>
  <c r="K201" i="28"/>
  <c r="J201" i="28" s="1"/>
  <c r="K202" i="28"/>
  <c r="K203" i="28"/>
  <c r="K204" i="28"/>
  <c r="K205" i="28"/>
  <c r="J205" i="28" s="1"/>
  <c r="K207" i="28"/>
  <c r="K208" i="28"/>
  <c r="K209" i="28"/>
  <c r="K210" i="28"/>
  <c r="K212" i="28"/>
  <c r="K213" i="28"/>
  <c r="K214" i="28"/>
  <c r="K215" i="28"/>
  <c r="K216" i="28"/>
  <c r="J216" i="28" s="1"/>
  <c r="K218" i="28"/>
  <c r="J218" i="28" s="1"/>
  <c r="K219" i="28"/>
  <c r="J219" i="28" s="1"/>
  <c r="K220" i="28"/>
  <c r="J220" i="28" s="1"/>
  <c r="K221" i="28"/>
  <c r="J221" i="28" s="1"/>
  <c r="K223" i="28"/>
  <c r="K224" i="28"/>
  <c r="K225" i="28"/>
  <c r="J225" i="28" s="1"/>
  <c r="K226" i="28"/>
  <c r="K228" i="28"/>
  <c r="K229" i="28"/>
  <c r="K230" i="28"/>
  <c r="K231" i="28"/>
  <c r="K233" i="28"/>
  <c r="K234" i="28"/>
  <c r="K235" i="28"/>
  <c r="K236" i="28"/>
  <c r="J236" i="28" s="1"/>
  <c r="K238" i="28"/>
  <c r="J238" i="28" s="1"/>
  <c r="K239" i="28"/>
  <c r="J239" i="28" s="1"/>
  <c r="K240" i="28"/>
  <c r="J240" i="28" s="1"/>
  <c r="K241" i="28"/>
  <c r="J241" i="28" s="1"/>
  <c r="K243" i="28"/>
  <c r="K244" i="28"/>
  <c r="K245" i="28"/>
  <c r="J245" i="28" s="1"/>
  <c r="K246" i="28"/>
  <c r="K247" i="28"/>
  <c r="K249" i="28"/>
  <c r="K250" i="28"/>
  <c r="K251" i="28"/>
  <c r="K252" i="28"/>
  <c r="E3" i="30"/>
  <c r="E3" i="25"/>
  <c r="B28" i="30"/>
  <c r="E14" i="30"/>
  <c r="B10" i="30"/>
  <c r="B6" i="30"/>
  <c r="D19" i="29"/>
  <c r="E20" i="30" s="1"/>
  <c r="C19" i="29"/>
  <c r="E15" i="30" s="1"/>
  <c r="E18" i="29"/>
  <c r="E19" i="29" s="1"/>
  <c r="D12" i="29"/>
  <c r="E10" i="30" s="1"/>
  <c r="C12" i="29"/>
  <c r="E6" i="30" s="1"/>
  <c r="E11" i="29"/>
  <c r="E10" i="29"/>
  <c r="E9" i="29"/>
  <c r="E8" i="29"/>
  <c r="E7" i="29"/>
  <c r="E6" i="29"/>
  <c r="E5" i="29"/>
  <c r="J244" i="28" l="1"/>
  <c r="J224" i="28"/>
  <c r="J184" i="28"/>
  <c r="J138" i="28"/>
  <c r="J114" i="28"/>
  <c r="J95" i="28"/>
  <c r="J79" i="28"/>
  <c r="J59" i="28"/>
  <c r="J2" i="28"/>
  <c r="J243" i="28"/>
  <c r="J203" i="28"/>
  <c r="J161" i="28"/>
  <c r="J137" i="28"/>
  <c r="J113" i="28"/>
  <c r="J94" i="28"/>
  <c r="J78" i="28"/>
  <c r="J58" i="28"/>
  <c r="I219" i="28"/>
  <c r="J202" i="28"/>
  <c r="J159" i="28"/>
  <c r="J40" i="28"/>
  <c r="I40" i="28"/>
  <c r="I183" i="28"/>
  <c r="J183" i="28"/>
  <c r="I64" i="28"/>
  <c r="J64" i="28"/>
  <c r="I37" i="28"/>
  <c r="J37" i="28"/>
  <c r="I16" i="28"/>
  <c r="J16" i="28"/>
  <c r="J68" i="28"/>
  <c r="I68" i="28"/>
  <c r="J35" i="28"/>
  <c r="I35" i="28"/>
  <c r="J15" i="28"/>
  <c r="I15" i="28"/>
  <c r="I199" i="28"/>
  <c r="J199" i="28"/>
  <c r="I34" i="28"/>
  <c r="J34" i="28"/>
  <c r="J14" i="28"/>
  <c r="I14" i="28"/>
  <c r="J18" i="28"/>
  <c r="I18" i="28"/>
  <c r="J33" i="28"/>
  <c r="I33" i="28"/>
  <c r="I36" i="28"/>
  <c r="J36" i="28"/>
  <c r="J46" i="28"/>
  <c r="I46" i="28"/>
  <c r="J20" i="28"/>
  <c r="I20" i="28"/>
  <c r="I223" i="28"/>
  <c r="J223" i="28"/>
  <c r="J152" i="28"/>
  <c r="I11" i="28"/>
  <c r="J11" i="28"/>
  <c r="J234" i="28"/>
  <c r="J194" i="28"/>
  <c r="J103" i="28"/>
  <c r="J87" i="28"/>
  <c r="J10" i="28"/>
  <c r="I10" i="28"/>
  <c r="I60" i="28"/>
  <c r="J60" i="28"/>
  <c r="J252" i="28"/>
  <c r="J233" i="28"/>
  <c r="J213" i="28"/>
  <c r="J193" i="28"/>
  <c r="J173" i="28"/>
  <c r="J149" i="28"/>
  <c r="J125" i="28"/>
  <c r="J102" i="28"/>
  <c r="J86" i="28"/>
  <c r="J69" i="28"/>
  <c r="J48" i="28"/>
  <c r="J29" i="28"/>
  <c r="I29" i="28"/>
  <c r="J9" i="28"/>
  <c r="I9" i="28"/>
  <c r="J56" i="28"/>
  <c r="I56" i="28"/>
  <c r="I204" i="28"/>
  <c r="J204" i="28"/>
  <c r="I38" i="28"/>
  <c r="J38" i="28"/>
  <c r="J13" i="28"/>
  <c r="I13" i="28"/>
  <c r="J215" i="28"/>
  <c r="J104" i="28"/>
  <c r="J31" i="28"/>
  <c r="I31" i="28"/>
  <c r="J126" i="28"/>
  <c r="J251" i="28"/>
  <c r="J171" i="28"/>
  <c r="J67" i="28"/>
  <c r="J250" i="28"/>
  <c r="J230" i="28"/>
  <c r="J210" i="28"/>
  <c r="J190" i="28"/>
  <c r="J170" i="28"/>
  <c r="J146" i="28"/>
  <c r="J122" i="28"/>
  <c r="J100" i="28"/>
  <c r="J84" i="28"/>
  <c r="J66" i="28"/>
  <c r="J45" i="28"/>
  <c r="J26" i="28"/>
  <c r="I26" i="28"/>
  <c r="I7" i="28"/>
  <c r="J7" i="28"/>
  <c r="J39" i="28"/>
  <c r="I39" i="28"/>
  <c r="I12" i="28"/>
  <c r="J12" i="28"/>
  <c r="J41" i="28"/>
  <c r="I41" i="28"/>
  <c r="J195" i="28"/>
  <c r="J88" i="28"/>
  <c r="J150" i="28"/>
  <c r="I30" i="28"/>
  <c r="J30" i="28"/>
  <c r="I231" i="28"/>
  <c r="J231" i="28"/>
  <c r="J101" i="28"/>
  <c r="I8" i="28"/>
  <c r="J8" i="28"/>
  <c r="J249" i="28"/>
  <c r="J229" i="28"/>
  <c r="J209" i="28"/>
  <c r="J189" i="28"/>
  <c r="J168" i="28"/>
  <c r="J144" i="28"/>
  <c r="J120" i="28"/>
  <c r="J99" i="28"/>
  <c r="J83" i="28"/>
  <c r="J65" i="28"/>
  <c r="J44" i="28"/>
  <c r="I24" i="28"/>
  <c r="J24" i="28"/>
  <c r="I25" i="28"/>
  <c r="J25" i="28"/>
  <c r="I28" i="28"/>
  <c r="J28" i="28"/>
  <c r="I162" i="28"/>
  <c r="J162" i="28"/>
  <c r="J17" i="28"/>
  <c r="I17" i="28"/>
  <c r="J175" i="28"/>
  <c r="J50" i="28"/>
  <c r="I214" i="28"/>
  <c r="J214" i="28"/>
  <c r="J70" i="28"/>
  <c r="J192" i="28"/>
  <c r="J147" i="28"/>
  <c r="J85" i="28"/>
  <c r="J27" i="28"/>
  <c r="I27" i="28"/>
  <c r="J247" i="28"/>
  <c r="J228" i="28"/>
  <c r="J208" i="28"/>
  <c r="J188" i="28"/>
  <c r="J167" i="28"/>
  <c r="J143" i="28"/>
  <c r="J119" i="28"/>
  <c r="J98" i="28"/>
  <c r="J82" i="28"/>
  <c r="J63" i="28"/>
  <c r="J43" i="28"/>
  <c r="I23" i="28"/>
  <c r="J23" i="28"/>
  <c r="I32" i="28"/>
  <c r="J32" i="28"/>
  <c r="I51" i="28"/>
  <c r="J51" i="28"/>
  <c r="J235" i="28"/>
  <c r="J128" i="28"/>
  <c r="J71" i="28"/>
  <c r="J174" i="28"/>
  <c r="J49" i="28"/>
  <c r="J212" i="28"/>
  <c r="J123" i="28"/>
  <c r="J47" i="28"/>
  <c r="J246" i="28"/>
  <c r="J226" i="28"/>
  <c r="J207" i="28"/>
  <c r="I186" i="28"/>
  <c r="J186" i="28"/>
  <c r="J165" i="28"/>
  <c r="J141" i="28"/>
  <c r="J117" i="28"/>
  <c r="J97" i="28"/>
  <c r="J81" i="28"/>
  <c r="J62" i="28"/>
  <c r="J42" i="28"/>
  <c r="I21" i="28"/>
  <c r="J21" i="28"/>
  <c r="J4" i="28"/>
  <c r="I4" i="28"/>
  <c r="E12" i="29"/>
  <c r="E28" i="30" s="1"/>
  <c r="N4" i="23" l="1"/>
  <c r="N3" i="23"/>
  <c r="E10" i="23" l="1"/>
  <c r="E16" i="18"/>
  <c r="D16" i="18"/>
  <c r="C16" i="18"/>
  <c r="C14" i="26" l="1"/>
  <c r="E6" i="25" s="1"/>
  <c r="D14" i="26"/>
  <c r="E10" i="25" s="1"/>
  <c r="E21" i="26"/>
  <c r="E22" i="26"/>
  <c r="E23" i="26"/>
  <c r="E24" i="26"/>
  <c r="E20" i="26"/>
  <c r="E6" i="26"/>
  <c r="E7" i="26"/>
  <c r="E8" i="26"/>
  <c r="E9" i="26"/>
  <c r="E10" i="26"/>
  <c r="E11" i="26"/>
  <c r="E12" i="26"/>
  <c r="E13" i="26"/>
  <c r="E5" i="26"/>
  <c r="D25" i="26"/>
  <c r="E20" i="25" s="1"/>
  <c r="C25" i="26"/>
  <c r="E15" i="25" s="1"/>
  <c r="B28" i="25"/>
  <c r="E14" i="25"/>
  <c r="B10" i="25"/>
  <c r="B6" i="25"/>
  <c r="E13" i="25" l="1"/>
  <c r="E9" i="25"/>
  <c r="E14" i="26"/>
  <c r="E28" i="25" s="1"/>
  <c r="E25" i="26"/>
  <c r="E7" i="25"/>
  <c r="E8" i="25"/>
  <c r="E12" i="25"/>
  <c r="E11" i="25"/>
  <c r="E3" i="24"/>
  <c r="E14" i="24"/>
  <c r="E10" i="24"/>
  <c r="E6" i="24"/>
  <c r="E18" i="24"/>
  <c r="E12" i="24"/>
  <c r="E9" i="24"/>
  <c r="E19" i="24"/>
  <c r="E20" i="24" s="1"/>
  <c r="E21" i="24" s="1"/>
  <c r="B18" i="24"/>
  <c r="B10" i="24"/>
  <c r="B6" i="24"/>
  <c r="E29" i="30" l="1"/>
  <c r="E30" i="30" s="1"/>
  <c r="E31" i="30" s="1"/>
  <c r="E29" i="25"/>
  <c r="E30" i="25" s="1"/>
  <c r="E31" i="25" s="1"/>
  <c r="E9" i="30"/>
  <c r="E7" i="30"/>
  <c r="E8" i="30"/>
  <c r="E21" i="25"/>
  <c r="E22" i="25"/>
  <c r="E24" i="25"/>
  <c r="E23" i="25"/>
  <c r="E24" i="30"/>
  <c r="E21" i="30"/>
  <c r="E22" i="30"/>
  <c r="E23" i="30"/>
  <c r="E13" i="30"/>
  <c r="E11" i="30"/>
  <c r="E12" i="30"/>
  <c r="E17" i="25"/>
  <c r="E19" i="25"/>
  <c r="E16" i="25"/>
  <c r="E18" i="25"/>
  <c r="E18" i="30"/>
  <c r="E16" i="30"/>
  <c r="E19" i="30"/>
  <c r="E17" i="30"/>
  <c r="E5" i="25"/>
  <c r="E4" i="25"/>
  <c r="E7" i="24"/>
  <c r="E8" i="24"/>
  <c r="E13" i="24"/>
  <c r="E11" i="24"/>
  <c r="E14" i="19"/>
  <c r="E14" i="17"/>
  <c r="E5" i="30" l="1"/>
  <c r="E4" i="30"/>
  <c r="E5" i="24"/>
  <c r="E4" i="24"/>
  <c r="B28" i="19"/>
  <c r="B28" i="17"/>
  <c r="B10" i="19" l="1"/>
  <c r="B6" i="19"/>
  <c r="B10" i="17"/>
  <c r="B6" i="17"/>
  <c r="B18" i="10"/>
  <c r="B10" i="10"/>
  <c r="B6" i="10"/>
  <c r="B18" i="8"/>
  <c r="B10" i="8"/>
  <c r="B6" i="8"/>
  <c r="B18" i="5"/>
  <c r="B10" i="5"/>
  <c r="B6" i="5"/>
  <c r="B18" i="4"/>
  <c r="B10" i="4"/>
  <c r="B6" i="4"/>
  <c r="C11" i="23" l="1"/>
  <c r="C5" i="23"/>
  <c r="K4" i="23" l="1"/>
  <c r="I4" i="23"/>
  <c r="H4" i="23"/>
  <c r="G4" i="23"/>
  <c r="F4" i="23"/>
  <c r="K3" i="23"/>
  <c r="I3" i="23"/>
  <c r="H3" i="23"/>
  <c r="G3" i="23"/>
  <c r="F3" i="23"/>
  <c r="D3" i="23" s="1"/>
  <c r="E3" i="23" l="1"/>
  <c r="D4" i="23"/>
  <c r="E4" i="23" s="1"/>
  <c r="D5" i="23" l="1"/>
  <c r="E5" i="23"/>
  <c r="E31" i="20"/>
  <c r="E27" i="20"/>
  <c r="E28" i="20"/>
  <c r="E29" i="20"/>
  <c r="E30" i="20"/>
  <c r="E26" i="20"/>
  <c r="E28" i="19"/>
  <c r="E20" i="19"/>
  <c r="E15" i="19"/>
  <c r="E10" i="19"/>
  <c r="E6" i="19"/>
  <c r="K10" i="23" l="1"/>
  <c r="L16" i="21"/>
  <c r="K9" i="23"/>
  <c r="L15" i="21"/>
  <c r="E12" i="20"/>
  <c r="E8" i="20"/>
  <c r="E11" i="20"/>
  <c r="E13" i="20"/>
  <c r="E14" i="20"/>
  <c r="E16" i="20"/>
  <c r="E29" i="19" s="1"/>
  <c r="E30" i="19" s="1"/>
  <c r="E31" i="19" s="1"/>
  <c r="E17" i="20"/>
  <c r="E18" i="20"/>
  <c r="E19" i="20"/>
  <c r="E27" i="18"/>
  <c r="D27" i="18"/>
  <c r="C27" i="18"/>
  <c r="D32" i="20"/>
  <c r="E20" i="17" s="1"/>
  <c r="E24" i="17" s="1"/>
  <c r="E32" i="20"/>
  <c r="C32" i="20"/>
  <c r="E15" i="17" s="1"/>
  <c r="E19" i="17" s="1"/>
  <c r="E21" i="17" l="1"/>
  <c r="E22" i="17"/>
  <c r="E23" i="17"/>
  <c r="E10" i="20"/>
  <c r="E9" i="20"/>
  <c r="E15" i="20"/>
  <c r="E6" i="20"/>
  <c r="E7" i="20"/>
  <c r="E3" i="19"/>
  <c r="L14" i="21" s="1"/>
  <c r="D20" i="20"/>
  <c r="E10" i="17" s="1"/>
  <c r="E13" i="17" s="1"/>
  <c r="E5" i="20"/>
  <c r="C20" i="20"/>
  <c r="E6" i="17" s="1"/>
  <c r="E3" i="17" s="1"/>
  <c r="E4" i="17" s="1"/>
  <c r="E16" i="19"/>
  <c r="E16" i="17"/>
  <c r="E17" i="17"/>
  <c r="E18" i="17"/>
  <c r="E12" i="17"/>
  <c r="E24" i="19"/>
  <c r="E22" i="19"/>
  <c r="E21" i="19"/>
  <c r="E23" i="19"/>
  <c r="E18" i="19"/>
  <c r="E17" i="19"/>
  <c r="E19" i="19"/>
  <c r="E11" i="17" l="1"/>
  <c r="E5" i="17"/>
  <c r="E9" i="17"/>
  <c r="E8" i="17"/>
  <c r="E7" i="17"/>
  <c r="E20" i="20"/>
  <c r="E28" i="17" s="1"/>
  <c r="E29" i="17" s="1"/>
  <c r="E30" i="17" s="1"/>
  <c r="E31" i="17" s="1"/>
  <c r="E9" i="19"/>
  <c r="E5" i="19"/>
  <c r="E11" i="19" l="1"/>
  <c r="E13" i="19"/>
  <c r="E4" i="19"/>
  <c r="E12" i="19"/>
  <c r="E7" i="19"/>
  <c r="E8" i="19"/>
  <c r="E10" i="10" l="1"/>
  <c r="F10" i="23" s="1"/>
  <c r="D10" i="23" s="1"/>
  <c r="E6" i="10"/>
  <c r="F9" i="23" s="1"/>
  <c r="D9" i="23" s="1"/>
  <c r="E3" i="10"/>
  <c r="E14" i="10"/>
  <c r="E13" i="14"/>
  <c r="D11" i="23" l="1"/>
  <c r="E9" i="23"/>
  <c r="E11" i="23" s="1"/>
  <c r="E11" i="10"/>
  <c r="E9" i="10"/>
  <c r="E5" i="10"/>
  <c r="E4" i="10"/>
  <c r="E15" i="14"/>
  <c r="E14" i="14"/>
  <c r="D16" i="14"/>
  <c r="C16" i="14"/>
  <c r="E12" i="14"/>
  <c r="E11" i="14"/>
  <c r="E10" i="14"/>
  <c r="E9" i="14"/>
  <c r="E8" i="14"/>
  <c r="E7" i="14"/>
  <c r="E6" i="14"/>
  <c r="E5" i="14"/>
  <c r="D7" i="13"/>
  <c r="C7" i="13"/>
  <c r="E6" i="13"/>
  <c r="E5" i="13"/>
  <c r="E7" i="13" s="1"/>
  <c r="D14" i="12"/>
  <c r="C14" i="12"/>
  <c r="E13" i="12"/>
  <c r="E12" i="12"/>
  <c r="E11" i="12"/>
  <c r="E10" i="12"/>
  <c r="E9" i="12"/>
  <c r="E8" i="12"/>
  <c r="E7" i="12"/>
  <c r="E6" i="12"/>
  <c r="E5" i="12"/>
  <c r="E14" i="11"/>
  <c r="E15" i="11"/>
  <c r="D16" i="11"/>
  <c r="C16" i="11"/>
  <c r="E13" i="11"/>
  <c r="E12" i="11"/>
  <c r="E11" i="11"/>
  <c r="E10" i="11"/>
  <c r="E9" i="11"/>
  <c r="E8" i="11"/>
  <c r="E7" i="11"/>
  <c r="E6" i="11"/>
  <c r="E5" i="11"/>
  <c r="E16" i="11" l="1"/>
  <c r="E13" i="10"/>
  <c r="E12" i="10"/>
  <c r="E7" i="10"/>
  <c r="E18" i="10"/>
  <c r="E8" i="10"/>
  <c r="E16" i="14"/>
  <c r="E14" i="12"/>
  <c r="E14" i="8"/>
  <c r="E11" i="9"/>
  <c r="E8" i="9"/>
  <c r="E12" i="9"/>
  <c r="E13" i="9"/>
  <c r="C14" i="9"/>
  <c r="E5" i="8"/>
  <c r="E4" i="8"/>
  <c r="E20" i="10" l="1"/>
  <c r="E19" i="10"/>
  <c r="E5" i="9"/>
  <c r="E6" i="8"/>
  <c r="E8" i="8" s="1"/>
  <c r="D14" i="9"/>
  <c r="E10" i="8" s="1"/>
  <c r="E13" i="8" s="1"/>
  <c r="E10" i="9"/>
  <c r="E7" i="9"/>
  <c r="E9" i="9"/>
  <c r="E6" i="9"/>
  <c r="E5" i="1"/>
  <c r="K6" i="28" s="1"/>
  <c r="E4" i="1"/>
  <c r="K5" i="28" s="1"/>
  <c r="I5" i="28" l="1"/>
  <c r="J5" i="28"/>
  <c r="J6" i="28"/>
  <c r="I6" i="28"/>
  <c r="E12" i="8"/>
  <c r="E9" i="8"/>
  <c r="E14" i="9"/>
  <c r="E11" i="8"/>
  <c r="E7" i="8"/>
  <c r="E18" i="8"/>
  <c r="E20" i="8" s="1"/>
  <c r="E10" i="5"/>
  <c r="E11" i="5" s="1"/>
  <c r="E6" i="5"/>
  <c r="E8" i="5" s="1"/>
  <c r="E5" i="5"/>
  <c r="E4" i="5"/>
  <c r="D8" i="6"/>
  <c r="C8" i="6"/>
  <c r="E7" i="6"/>
  <c r="E6" i="6"/>
  <c r="E5" i="6"/>
  <c r="E19" i="8" l="1"/>
  <c r="E9" i="5"/>
  <c r="E12" i="5"/>
  <c r="E13" i="5"/>
  <c r="E18" i="5"/>
  <c r="E7" i="5"/>
  <c r="E8" i="6"/>
  <c r="E11" i="4"/>
  <c r="E9" i="4"/>
  <c r="E20" i="5" l="1"/>
  <c r="E19" i="5"/>
  <c r="E5" i="4"/>
  <c r="E4" i="4"/>
  <c r="C13" i="3" l="1"/>
  <c r="E6" i="4" s="1"/>
  <c r="E8" i="4" s="1"/>
  <c r="E11" i="3"/>
  <c r="E9" i="3"/>
  <c r="E8" i="3"/>
  <c r="E7" i="4" l="1"/>
  <c r="E12" i="3"/>
  <c r="E7" i="3"/>
  <c r="D13" i="3"/>
  <c r="E10" i="4" s="1"/>
  <c r="E6" i="3"/>
  <c r="E10" i="3"/>
  <c r="E5" i="3"/>
  <c r="E18" i="1"/>
  <c r="E18" i="4" l="1"/>
  <c r="E13" i="4"/>
  <c r="E12" i="4"/>
  <c r="E13" i="3"/>
  <c r="E19" i="1"/>
  <c r="E20" i="1"/>
  <c r="E12" i="1"/>
  <c r="E8" i="1"/>
  <c r="E9" i="1"/>
  <c r="E7" i="1"/>
  <c r="C12" i="2"/>
  <c r="D12" i="2"/>
  <c r="E19" i="4" l="1"/>
  <c r="E20" i="4"/>
  <c r="E11" i="1"/>
  <c r="E13" i="1"/>
  <c r="E12" i="2"/>
</calcChain>
</file>

<file path=xl/sharedStrings.xml><?xml version="1.0" encoding="utf-8"?>
<sst xmlns="http://schemas.openxmlformats.org/spreadsheetml/2006/main" count="3178" uniqueCount="657">
  <si>
    <t>№ п.п.</t>
  </si>
  <si>
    <t>Наименование</t>
  </si>
  <si>
    <t>Ед. изм.</t>
  </si>
  <si>
    <t>Коэф. расхода</t>
  </si>
  <si>
    <t>Объем</t>
  </si>
  <si>
    <t>м²</t>
  </si>
  <si>
    <t>кг</t>
  </si>
  <si>
    <t>пог. м</t>
  </si>
  <si>
    <t>Грунтовка БЕТОН-КОНТАКТ</t>
  </si>
  <si>
    <t>1.2</t>
  </si>
  <si>
    <t>Грунтовка универсальный ЛАСТИМИН_ / LP-51 А</t>
  </si>
  <si>
    <t>2</t>
  </si>
  <si>
    <t>Профиль углозащитный оцинкованный 31х31 мм 0,5 мм</t>
  </si>
  <si>
    <t>Профиль маячковый_/ПМ6</t>
  </si>
  <si>
    <t>2.1</t>
  </si>
  <si>
    <t>2.2</t>
  </si>
  <si>
    <t>Штукатурка гипсовая</t>
  </si>
  <si>
    <t>2.3</t>
  </si>
  <si>
    <t>1.3</t>
  </si>
  <si>
    <t>Помещения:</t>
  </si>
  <si>
    <t>Спецификация выполненных работ</t>
  </si>
  <si>
    <t>Объем, м²</t>
  </si>
  <si>
    <t>по ж/б поверхностям</t>
  </si>
  <si>
    <t xml:space="preserve"> по газобетонному блоку и ПГП</t>
  </si>
  <si>
    <t>2.057</t>
  </si>
  <si>
    <t>2.058</t>
  </si>
  <si>
    <t>2.060</t>
  </si>
  <si>
    <t>2.061</t>
  </si>
  <si>
    <t>2.062</t>
  </si>
  <si>
    <t>2.064</t>
  </si>
  <si>
    <t>2.066</t>
  </si>
  <si>
    <t>Итог</t>
  </si>
  <si>
    <t>Шпатлевка гипсовая_ / белая</t>
  </si>
  <si>
    <t>Уголок малярный</t>
  </si>
  <si>
    <t>Ведомость работ и используемых материалов (Штукатурка)</t>
  </si>
  <si>
    <t>Штукатурка стен  и базовая шпаклевка</t>
  </si>
  <si>
    <t>сумма:</t>
  </si>
  <si>
    <t>Ведомость работ и используемых материалов (Шпаклевка базовая)</t>
  </si>
  <si>
    <t>2.4</t>
  </si>
  <si>
    <t>2.048</t>
  </si>
  <si>
    <t>2.049</t>
  </si>
  <si>
    <t>2.050</t>
  </si>
  <si>
    <t>2.051</t>
  </si>
  <si>
    <t>2.052</t>
  </si>
  <si>
    <t>2.053</t>
  </si>
  <si>
    <t>2.055</t>
  </si>
  <si>
    <t>2.054-2.069</t>
  </si>
  <si>
    <t>Оклейка швов сопряжения бетонных и других поверхностей стен, перегородок (газобетон, ПГП, панели АКОТЕК и др.) стеклохолстом</t>
  </si>
  <si>
    <t>Лента армирующая ( серпянка)_/150мм</t>
  </si>
  <si>
    <t>1</t>
  </si>
  <si>
    <t>3</t>
  </si>
  <si>
    <t>3.1</t>
  </si>
  <si>
    <t>3.2</t>
  </si>
  <si>
    <t>3.3</t>
  </si>
  <si>
    <t>3.4</t>
  </si>
  <si>
    <t>2.045</t>
  </si>
  <si>
    <t>2.046</t>
  </si>
  <si>
    <t>2.047</t>
  </si>
  <si>
    <t>2.036</t>
  </si>
  <si>
    <t>2.038</t>
  </si>
  <si>
    <t>2.039</t>
  </si>
  <si>
    <t>2.040</t>
  </si>
  <si>
    <t>2.041</t>
  </si>
  <si>
    <t>2.042</t>
  </si>
  <si>
    <t>2.071</t>
  </si>
  <si>
    <t>2.043</t>
  </si>
  <si>
    <t>3.050</t>
  </si>
  <si>
    <t>3.051</t>
  </si>
  <si>
    <t>3.054</t>
  </si>
  <si>
    <t>3.058</t>
  </si>
  <si>
    <t>3.061</t>
  </si>
  <si>
    <t>3.062</t>
  </si>
  <si>
    <t>3.053</t>
  </si>
  <si>
    <t>3.059</t>
  </si>
  <si>
    <t>3.049</t>
  </si>
  <si>
    <t>3.060</t>
  </si>
  <si>
    <t>3.005</t>
  </si>
  <si>
    <t>3.046</t>
  </si>
  <si>
    <t>3.043</t>
  </si>
  <si>
    <t>3.039</t>
  </si>
  <si>
    <t>3.041</t>
  </si>
  <si>
    <t>3.044</t>
  </si>
  <si>
    <t>3.045</t>
  </si>
  <si>
    <t>3.038</t>
  </si>
  <si>
    <t>3.040</t>
  </si>
  <si>
    <t>3.042</t>
  </si>
  <si>
    <t>3.037</t>
  </si>
  <si>
    <t>3.036</t>
  </si>
  <si>
    <t>3.027</t>
  </si>
  <si>
    <t>3.028</t>
  </si>
  <si>
    <t>3.030</t>
  </si>
  <si>
    <t>3.066</t>
  </si>
  <si>
    <t>3.031</t>
  </si>
  <si>
    <t>3.057</t>
  </si>
  <si>
    <t>3.055</t>
  </si>
  <si>
    <t>3.064</t>
  </si>
  <si>
    <t>3.033</t>
  </si>
  <si>
    <t>3.032</t>
  </si>
  <si>
    <t>3.035</t>
  </si>
  <si>
    <t>Спецификация выполненных работ (7 секция)</t>
  </si>
  <si>
    <t>Спецификация выполненных работ (6 секция)</t>
  </si>
  <si>
    <t>Спецификация выполненных работ (5 секция)</t>
  </si>
  <si>
    <t>Штукатурка стен  и базовая шпаклевка (4 секция)</t>
  </si>
  <si>
    <t>Столбец1</t>
  </si>
  <si>
    <t>Столбец2</t>
  </si>
  <si>
    <t>Столбец3</t>
  </si>
  <si>
    <t>Столбец4</t>
  </si>
  <si>
    <t>Столбец5</t>
  </si>
  <si>
    <t>Столбец6</t>
  </si>
  <si>
    <t>Столбец7</t>
  </si>
  <si>
    <t>Столбец8</t>
  </si>
  <si>
    <t>Столбец9</t>
  </si>
  <si>
    <t>Столбец10</t>
  </si>
  <si>
    <t>Столбец11</t>
  </si>
  <si>
    <t>Столбец13</t>
  </si>
  <si>
    <t>Столбец14</t>
  </si>
  <si>
    <t>Столбец15</t>
  </si>
  <si>
    <t>Столбец16</t>
  </si>
  <si>
    <t>Столбец17</t>
  </si>
  <si>
    <t>4</t>
  </si>
  <si>
    <t>Грунтовка БЕТОН-КОНТАКТ_/</t>
  </si>
  <si>
    <t>Сетка штукатурная_/пластиковая/5*5</t>
  </si>
  <si>
    <t>Штукатурка цементная</t>
  </si>
  <si>
    <t>м2</t>
  </si>
  <si>
    <t>5</t>
  </si>
  <si>
    <t>4.1</t>
  </si>
  <si>
    <t>4.2</t>
  </si>
  <si>
    <t>4.3</t>
  </si>
  <si>
    <t>4.4</t>
  </si>
  <si>
    <t>5.1</t>
  </si>
  <si>
    <t>5.2</t>
  </si>
  <si>
    <t>5.3</t>
  </si>
  <si>
    <t>5.4</t>
  </si>
  <si>
    <t>Сумма</t>
  </si>
  <si>
    <t>Штукатурка стен цементным, цементно-песчаным раствором с предварительной огрунтовкой / толщ. от 21 до 40 мм / высотой до 4 метров (Штукатурка по ж/б поверхностям)</t>
  </si>
  <si>
    <t>Штукатурка стен цементным, цементно-песчаным раствором с предварительной огрунтовкой / толщ. от 21 до 40 мм / высотой до 4 метров
(Штукатурка  по газобетонному блоку и ПГП)</t>
  </si>
  <si>
    <t>швы</t>
  </si>
  <si>
    <t>штук жб</t>
  </si>
  <si>
    <t>Штукатурка стен (штук. цементная)</t>
  </si>
  <si>
    <t>2эт</t>
  </si>
  <si>
    <t>3эт</t>
  </si>
  <si>
    <t>общая</t>
  </si>
  <si>
    <t>текущь</t>
  </si>
  <si>
    <t>остаток</t>
  </si>
  <si>
    <t>сумма</t>
  </si>
  <si>
    <t>-</t>
  </si>
  <si>
    <t>Что осталось</t>
  </si>
  <si>
    <t>Библиотека и спорт зал</t>
  </si>
  <si>
    <t>Штукатурка стен сухими смесями с установкой маяков с предварительной огрунтовкой / толщ. от 21 до 40 мм (Штукатурка по ж/б поверхностям)</t>
  </si>
  <si>
    <t>Штукатурка стен сухими смесями с установкой маяков с предварительной огрунтовкой / толщ. от 21 до 40 мм (Штукатурка  по газобетонному блоку и ПГП)</t>
  </si>
  <si>
    <t>Штукатурка стен гипсовыми смесями с предварительной огрунтовкой СКБ / толщ. от 21 до 40 мм / высотой от 4,01 до 8 метров (Штукатурка по ж/б поверхностям)</t>
  </si>
  <si>
    <t>Штукатурка стен гипсовыми смесями с предварительной огрунтовкой СКБ / толщ. от 21 до 40 мм / высотой от 4,01 до 8 метров (Штукатурка  по газобетонному блоку и ПГП)</t>
  </si>
  <si>
    <t>Подготовка поверхности СКБ / стен / по штукатурке / 2мм (Шпаклевка базовая)</t>
  </si>
  <si>
    <t>Спортзал</t>
  </si>
  <si>
    <t>1.1.1.1.1.2</t>
  </si>
  <si>
    <t>6.3.1.5.2</t>
  </si>
  <si>
    <t>Стены</t>
  </si>
  <si>
    <t>1.1.1.1.1.2.1</t>
  </si>
  <si>
    <t>6.3.1.5.2.1</t>
  </si>
  <si>
    <t>Черновые работы по поверхности стен</t>
  </si>
  <si>
    <t>1.1.1.1.1.2.1.1</t>
  </si>
  <si>
    <t>6.3.1.5.2.1.1.1</t>
  </si>
  <si>
    <t xml:space="preserve">2эт - 1826,61м.п., 3эт. - 2045,25м.п.
</t>
  </si>
  <si>
    <t>1.1.1.1.1.2.1.1.1</t>
  </si>
  <si>
    <t>Шпатлевка гипсовая_ / белая / Унифицированная по ПИК-СТАНДАРТ, 30кг</t>
  </si>
  <si>
    <t>1.1.1.1.1.2.1.1.2</t>
  </si>
  <si>
    <t>1.1.1.1.1.2.1.2</t>
  </si>
  <si>
    <t>6.3.1.5.2.1.2.3</t>
  </si>
  <si>
    <t>Штукатурка стен сухими смесями с установкой маяков с предварительной огрунтовкой / толщ. от 16,5 мм до 21 мм</t>
  </si>
  <si>
    <t>2 этаж</t>
  </si>
  <si>
    <t>1.1.1.1.1.2.1.2.1</t>
  </si>
  <si>
    <t>Штукатурка гипсовая_ / Унифицированная по ПИК-СТАНДАРТ, 30кг</t>
  </si>
  <si>
    <t>Штукатурка гипсовая Старатели Старт 30 кг</t>
  </si>
  <si>
    <t>1.1.1.1.1.2.1.2.2</t>
  </si>
  <si>
    <t>1.1.1.1.1.2.1.2.3</t>
  </si>
  <si>
    <t>1.1.1.1.1.2.1.3</t>
  </si>
  <si>
    <t>6.3.1.5.2.1.4.2</t>
  </si>
  <si>
    <t>Выравнивание стен с предварительной огрунтовкой / по оштукатуренной поверхности / толщ. 2 мм</t>
  </si>
  <si>
    <t>2 этаж. Шпатлёвка базовая</t>
  </si>
  <si>
    <t>1.1.1.1.1.2.1.3.1</t>
  </si>
  <si>
    <t>Шпаклевка гипсовая Старатели базовая белая 20 кг</t>
  </si>
  <si>
    <t>1.1.1.1.1.2.1.3.2</t>
  </si>
  <si>
    <t>Уголок малярный_ / L=3м /25х25 мм</t>
  </si>
  <si>
    <t>шт</t>
  </si>
  <si>
    <t>1.1.1.1.1.2.1.3.3</t>
  </si>
  <si>
    <t>Лента армированная Серпянка 150мм</t>
  </si>
  <si>
    <t>1.1.1.1.1.2.1.3.4</t>
  </si>
  <si>
    <t>1.1.1.1.1.2.1.4</t>
  </si>
  <si>
    <t>2 этаж. Шпатлёвка финишная</t>
  </si>
  <si>
    <t>1.1.1.1.1.2.1.4.1</t>
  </si>
  <si>
    <t>1.1.1.1.1.2.1.4.2</t>
  </si>
  <si>
    <t>Шпаклевка гипсовая Старатели финишная 20 кг</t>
  </si>
  <si>
    <t>1.1.1.1.1.2.1.5</t>
  </si>
  <si>
    <t>6.3.1.5.2.1.8.5</t>
  </si>
  <si>
    <t>Подготовка поверхности СКБ / стен / по штукатурке / 2мм</t>
  </si>
  <si>
    <t>2 этаж. Шпаклевка финишная для высококачественной отделки.</t>
  </si>
  <si>
    <t>1.1.1.1.1.2.1.5.1</t>
  </si>
  <si>
    <t xml:space="preserve">Шпатлевка финишная TERRACO HANDYCOAT ALL PURPOSE </t>
  </si>
  <si>
    <t>1.1.1.1.1.2.1.5.2</t>
  </si>
  <si>
    <t>1.1.1.1.1.2.1.6</t>
  </si>
  <si>
    <t>3 этаж. Шпаклевка финишная для высококачественной отделки.</t>
  </si>
  <si>
    <t>1.1.1.1.1.2.1.6.1</t>
  </si>
  <si>
    <t>1.1.1.1.1.2.1.6.2</t>
  </si>
  <si>
    <t>1.1.1.1.1.2.1.7</t>
  </si>
  <si>
    <t>2 этаж. Шпаклевка базовая.</t>
  </si>
  <si>
    <t>1.1.1.1.1.2.1.7.1</t>
  </si>
  <si>
    <t>1.1.1.1.1.2.1.7.2</t>
  </si>
  <si>
    <t>1.1.1.1.1.2.1.8</t>
  </si>
  <si>
    <t>3 этаж. Шпаклевка базовая.</t>
  </si>
  <si>
    <t>1.1.1.1.1.2.1.8.1</t>
  </si>
  <si>
    <t>1.1.1.1.1.2.1.8.2</t>
  </si>
  <si>
    <t>1.1.1.1.1.2.1.9</t>
  </si>
  <si>
    <t>6.3.1.5.2.1.10.1</t>
  </si>
  <si>
    <t>Штукатурка стен цементным, цементно-песчаным раствором с предварительной огрунтовкой / толщ. до 20 мм / высотой до 4 метров</t>
  </si>
  <si>
    <t>1.1.1.1.1.2.1.9.1</t>
  </si>
  <si>
    <t>Штукатурка цементная Основит Техно РС21 M 25 кг</t>
  </si>
  <si>
    <t>1.1.1.1.1.2.1.9.2</t>
  </si>
  <si>
    <t>1.1.1.1.1.2.1.9.3</t>
  </si>
  <si>
    <t>1.1.1.1.1.2.1.9.4</t>
  </si>
  <si>
    <t>1.1.1.1.1.2.1.10</t>
  </si>
  <si>
    <t>6.3.1.5.2.1.10.2</t>
  </si>
  <si>
    <t>Штукатурка стен цементным, цементно-песчаным раствором с предварительной огрунтовкой / толщ. от 21 до 40 мм / высотой до 4 метров</t>
  </si>
  <si>
    <t>2 этаж. Штукатурка по ЖБ. Толщина слоя согласованна с ПГ.</t>
  </si>
  <si>
    <t>1.1.1.1.1.2.1.10.1</t>
  </si>
  <si>
    <t>1.1.1.1.1.2.1.10.2</t>
  </si>
  <si>
    <t>1.1.1.1.1.2.1.10.3</t>
  </si>
  <si>
    <t>1.1.1.1.1.2.1.10.4</t>
  </si>
  <si>
    <t>1.1.1.1.1.2.1.11</t>
  </si>
  <si>
    <t>2 этаж. Штукатурка по блоку, ГСП, ПГП. Толщина слоя согласованна с ПГ</t>
  </si>
  <si>
    <t>1.1.1.1.1.2.1.11.1</t>
  </si>
  <si>
    <t>1.1.1.1.1.2.1.11.2</t>
  </si>
  <si>
    <t>1.1.1.1.1.2.1.11.3</t>
  </si>
  <si>
    <t>1.1.1.1.1.2.1.11.4</t>
  </si>
  <si>
    <t>1.1.1.1.1.2.1.12</t>
  </si>
  <si>
    <t>3 этаж. Штукатурка по ЖБ. Толщина слоя согласованна с ПГ.</t>
  </si>
  <si>
    <t>1.1.1.1.1.2.1.12.1</t>
  </si>
  <si>
    <t>1.1.1.1.1.2.1.12.2</t>
  </si>
  <si>
    <t>1.1.1.1.1.2.1.12.3</t>
  </si>
  <si>
    <t>1.1.1.1.1.2.1.12.4</t>
  </si>
  <si>
    <t>1.1.1.1.1.2.1.13</t>
  </si>
  <si>
    <t>3 этаж. Штукатурка по блоку, ГСП, ПГП. Толщина слоя согласованна с ПГ</t>
  </si>
  <si>
    <t>1.1.1.1.1.2.1.13.1</t>
  </si>
  <si>
    <t>1.1.1.1.1.2.1.13.2</t>
  </si>
  <si>
    <t>1.1.1.1.1.2.1.13.3</t>
  </si>
  <si>
    <t>1.1.1.1.1.2.1.13.4</t>
  </si>
  <si>
    <t>1.1.1.1.1.2.1.14</t>
  </si>
  <si>
    <t>6.3.1.5.2.1.12.2</t>
  </si>
  <si>
    <t>Штукатурка стен гипсовыми смесями с предварительной огрунтовкой СКБ / толщ. от 21 до 40 мм / высотой от 4,01 до 8 метров</t>
  </si>
  <si>
    <t>1.1.1.1.1.2.1.14.1</t>
  </si>
  <si>
    <t>1.1.1.1.1.2.1.14.2</t>
  </si>
  <si>
    <t>1.1.1.1.1.2.1.14.3</t>
  </si>
  <si>
    <t>1.1.1.1.1.2.1.15</t>
  </si>
  <si>
    <t>2 этаж. Штукатурка по блоку и ПГП. Толщина слоя согласованна с ПГ</t>
  </si>
  <si>
    <t>1.1.1.1.1.2.1.15.1</t>
  </si>
  <si>
    <t>1.1.1.1.1.2.1.15.2</t>
  </si>
  <si>
    <t>1.1.1.1.1.2.1.15.3</t>
  </si>
  <si>
    <t>1.1.1.1.1.2.1.16</t>
  </si>
  <si>
    <t>1.1.1.1.1.2.1.16.1</t>
  </si>
  <si>
    <t>1.1.1.1.1.2.1.16.2</t>
  </si>
  <si>
    <t>1.1.1.1.1.2.1.16.3</t>
  </si>
  <si>
    <t>1.1.1.1.1.2.1.17</t>
  </si>
  <si>
    <t>3 этаж. Штукатурка по блоку и ПГП. Толщина слоя согласованна с ПГ</t>
  </si>
  <si>
    <t>1.1.1.1.1.2.1.17.1</t>
  </si>
  <si>
    <t>1.1.1.1.1.2.1.17.2</t>
  </si>
  <si>
    <t>1.1.1.1.1.2.1.17.3</t>
  </si>
  <si>
    <t>1.1.1.1.1.2.2</t>
  </si>
  <si>
    <t>6.3.1.5.2.2</t>
  </si>
  <si>
    <t>Чистовые работы по поверхности стен</t>
  </si>
  <si>
    <t>1.1.1.1.1.2.2.1</t>
  </si>
  <si>
    <t>6.3.1.5.2.2.2.1</t>
  </si>
  <si>
    <t>Облицовка поверхности стен с предварительной огрунтовкой и затиркой швов / керамической плиткой</t>
  </si>
  <si>
    <t>1.1.1.1.1.2.2.1.1</t>
  </si>
  <si>
    <t>Профиль для внешнего угла, ПО Г10 2700х20мм / серебро матовое / 2700*30</t>
  </si>
  <si>
    <t>1.1.1.1.1.2.2.1.2</t>
  </si>
  <si>
    <t>Плиточный клей_ / Унифицированный по ПИК-СТАНДАРТ</t>
  </si>
  <si>
    <t>Клей для плитки Стройбриг Базакс АС10 серый класс С0 Т 25 кг</t>
  </si>
  <si>
    <t>1.1.1.1.1.2.2.1.3</t>
  </si>
  <si>
    <t>Керамический гранит Kerama marazzi_ / Серый / 1537/ Калейдоскоп / 200х200</t>
  </si>
  <si>
    <t>Плитка керамическая Kerama Marazzi 200х200х6,9 мм, Калейдоскоп 5281, 5187, 5009, 5111
цвет - аквамарин светлый, ,</t>
  </si>
  <si>
    <t>1.1.1.1.1.2.2.1.4</t>
  </si>
  <si>
    <t>Затирка Цезерит СE33_/04 серебристо-серый</t>
  </si>
  <si>
    <t>1.1.1.1.1.2.2.1.5</t>
  </si>
  <si>
    <t>Грунтовка _ / универсальная водно-дисперсионная</t>
  </si>
  <si>
    <t>1.1.1.1.1.2.2.2</t>
  </si>
  <si>
    <t>1.1.1.1.1.2.2.2.1</t>
  </si>
  <si>
    <t>1.1.1.1.1.2.2.2.2</t>
  </si>
  <si>
    <t>Затирка Цезерит СE33_ /  10 манхетен.</t>
  </si>
  <si>
    <t>затирка Ceresit 07</t>
  </si>
  <si>
    <t>1.1.1.1.1.2.2.2.3</t>
  </si>
  <si>
    <t>Керамическая плитка Pietra Pienza_ / светло-серый Матовый / K909010R0001VTP0/настенная / 300*600*8мм</t>
  </si>
  <si>
    <t>Плитка керамическая Kerama Marazzi Мечты о Париже 11259R, цвет - светло-серый 600х300х9мм (не ниже КМ3)</t>
  </si>
  <si>
    <t>1.1.1.1.1.2.2.2.4</t>
  </si>
  <si>
    <t>1.1.1.1.1.2.2.2.5</t>
  </si>
  <si>
    <t>1.1.1.1.1.2.2.3</t>
  </si>
  <si>
    <t>6.3.1.5.2.2.3.1</t>
  </si>
  <si>
    <t>Окраска поверхности стен с предварительной огрунтовкой / в 2 слоя</t>
  </si>
  <si>
    <t>1.1.1.1.1.2.2.3.1</t>
  </si>
  <si>
    <t>1.1.1.1.1.2.2.3.2</t>
  </si>
  <si>
    <t>Краска водно-дисперсионная интерьерная Латексная, моющаяся Матовая, Г1(КМ1), RAL 9003</t>
  </si>
  <si>
    <t>Матовая водно-дисперсионная краска для высококачественной отделки Antega Строитель моющаяся, цвет - белый RAL 9003, КМ1</t>
  </si>
  <si>
    <t>1.1.1.1.1.2.2.4</t>
  </si>
  <si>
    <t>1.1.1.1.1.2.2.4.1</t>
  </si>
  <si>
    <t>Краска водно-дисперсионная интерьерная Акриловая, моющаяся Матовая, Г1(КМ1), RAL 7035</t>
  </si>
  <si>
    <t>Матовая водно-дисперсионная краска для высококачественной отделки Antega Строитель моющаяся, цвет - NCS 1502-Y, КМ1</t>
  </si>
  <si>
    <t>1.1.1.1.1.2.2.4.2</t>
  </si>
  <si>
    <t>1.1.1.1.1.2.2.5</t>
  </si>
  <si>
    <t>1.1.1.1.1.2.2.5.1</t>
  </si>
  <si>
    <t>1.1.1.1.1.2.2.5.2</t>
  </si>
  <si>
    <t xml:space="preserve">Краска огнестойкая  / NCS S 0570-Y10R / Protect Decor КМ0 </t>
  </si>
  <si>
    <t>Огнестойкая краска матовая Antega Строитель НГ, цвет - белый RAL 9003, КМ0</t>
  </si>
  <si>
    <t>1.1.1.1.1.2.2.6</t>
  </si>
  <si>
    <t>1.1.1.1.1.2.2.6.1</t>
  </si>
  <si>
    <t>Матовая водно-дисперсионная краска для высококачественной отделки Antega Строитель моющаяся, цвет - голубой RAL NCS S 2030-R80B, КМ1</t>
  </si>
  <si>
    <t>1.1.1.1.1.2.2.6.2</t>
  </si>
  <si>
    <t>1.1.1.1.1.2.2.7</t>
  </si>
  <si>
    <t>1.1.1.1.1.2.2.7.1</t>
  </si>
  <si>
    <t>1.1.1.1.1.2.2.7.2</t>
  </si>
  <si>
    <t>Матовая водно-дисперсионная краска для высококачественной отделки Antega Строитель моющаяся, цвет - зеленый RAL NCS S 2060-G40Y, КМ1</t>
  </si>
  <si>
    <t>1.1.1.1.1.2.2.8</t>
  </si>
  <si>
    <t>1.1.1.1.1.2.2.8.1</t>
  </si>
  <si>
    <t>Матовая водно-дисперсионная краска для высококачественной отделки Antega Строитель моющаяся, цвет - желтый NCS S 1070-Y20R, КМ1</t>
  </si>
  <si>
    <t>1.1.1.1.1.2.2.8.2</t>
  </si>
  <si>
    <t>1.1.1.1.1.2.2.9</t>
  </si>
  <si>
    <t>1.1.1.1.1.2.2.9.1</t>
  </si>
  <si>
    <t>1.1.1.1.1.2.2.9.2</t>
  </si>
  <si>
    <t>1.1.1.1.1.2.2.10</t>
  </si>
  <si>
    <t>6.3.1.5.2.2.8.1</t>
  </si>
  <si>
    <t>Лакокрасочные работы СКБ / окраска стен / в 2 слоя</t>
  </si>
  <si>
    <t>2 этаж. СТ-1.1</t>
  </si>
  <si>
    <t>1.1.1.1.1.2.2.10.1</t>
  </si>
  <si>
    <t>Краска водно-дисперсионная интерьерная Акриловая, моющаяся Глянцевая, матовая, Г1(КМ1), RAL 9003</t>
  </si>
  <si>
    <t>Краска матовая водно-дисперсионная для высококачественной отделки стен, ANTEGA СТРОИТЕЛЬ моющаяся, белая, RAL 9003, 2 класс истирания, КМ1</t>
  </si>
  <si>
    <t>1.1.1.1.1.2.2.10.2</t>
  </si>
  <si>
    <t>1.1.1.1.1.2.2.11</t>
  </si>
  <si>
    <t>2 этаж. СТ-1.2</t>
  </si>
  <si>
    <t>1.1.1.1.1.2.2.11.1</t>
  </si>
  <si>
    <t>1.1.1.1.1.2.2.11.2</t>
  </si>
  <si>
    <t>Краска матовая водно-дисперсионная для высококачественной отделки стен ANTEGA СТРОИТЕЛЬ моющаяся, NCS S 2030-R80B, 2 класс истирания, КМ1</t>
  </si>
  <si>
    <t>1.1.1.1.1.2.2.12</t>
  </si>
  <si>
    <t>2 этаж. СТ-1.3</t>
  </si>
  <si>
    <t>1.1.1.1.1.2.2.12.1</t>
  </si>
  <si>
    <t>Краска матовая водно-дисперсионная для высококачественной отделки стен ANTEGA СТРОИТЕЛЬ моющаяся, NCS S 5030-R90B, 2 класс истирания, КМ1</t>
  </si>
  <si>
    <t>1.1.1.1.1.2.2.12.2</t>
  </si>
  <si>
    <t>1.1.1.1.1.2.2.13</t>
  </si>
  <si>
    <t>2 этаж. СТ-1.4</t>
  </si>
  <si>
    <t>1.1.1.1.1.2.2.13.1</t>
  </si>
  <si>
    <t>1.1.1.1.1.2.2.13.2</t>
  </si>
  <si>
    <t>Краска матовая водно-дисперсионная для высококачественной отделки стен ANTEGA СТРОИТЕЛЬ моющаяся, NCS S 1070-Y30R, 2 класс истирания, КМ1</t>
  </si>
  <si>
    <t>1.1.1.1.1.2.2.14</t>
  </si>
  <si>
    <t>2 этаж. СТ-1.5</t>
  </si>
  <si>
    <t>1.1.1.1.1.2.2.14.1</t>
  </si>
  <si>
    <t>Краска матовая водно-дисперсионная для высококачественной отделки стен ANTEGA СТРОИТЕЛЬ моющаяся, NCS S 5020-R70B, 2 класс истирания, КМ1</t>
  </si>
  <si>
    <t>1.1.1.1.1.2.2.14.2</t>
  </si>
  <si>
    <t>1.1.1.1.1.2.2.15</t>
  </si>
  <si>
    <t>2 этаж. СТ-1.7</t>
  </si>
  <si>
    <t>1.1.1.1.1.2.2.15.1</t>
  </si>
  <si>
    <t>1.1.1.1.1.2.2.15.2</t>
  </si>
  <si>
    <t>Краска матовая водно-дисперсионная для высококачественной отделки стен ANTEGA СТРОИТЕЛЬ моющаяся, NCS S 3040-R20B, 2 класс истирания, КМ1</t>
  </si>
  <si>
    <t>1.1.1.1.1.2.2.16</t>
  </si>
  <si>
    <t>2 этаж. СТ-1.11</t>
  </si>
  <si>
    <t>1.1.1.1.1.2.2.16.1</t>
  </si>
  <si>
    <t>Краска матовая водно-дисперсионная для высококачественной отделки стен, ANTEGA СТРОИТЕЛЬ моющаяся, NCS S 1080-Y10R, 2 класс истирания, КМ1</t>
  </si>
  <si>
    <t>1.1.1.1.1.2.2.16.2</t>
  </si>
  <si>
    <t>1.1.1.1.1.2.2.17</t>
  </si>
  <si>
    <t>2 этаж. СТ-1.13</t>
  </si>
  <si>
    <t>1.1.1.1.1.2.2.17.1</t>
  </si>
  <si>
    <t>1.1.1.1.1.2.2.17.2</t>
  </si>
  <si>
    <t>Краска матовая водно-дисперсионная для высококачественной отделки стен, ANTEGA СТРОИТЕЛЬ моющаяся, NCS S 1502-Y, 2 класс истирания, КМ1</t>
  </si>
  <si>
    <t>1.1.1.1.1.2.2.18</t>
  </si>
  <si>
    <t>2 этаж. СТ-2.1</t>
  </si>
  <si>
    <t>1.1.1.1.1.2.2.18.1</t>
  </si>
  <si>
    <t xml:space="preserve">Матовая огнестойкая краска для высококачественной отделки стен
ANTEGA СТРОИТЕЛЬ НГ, белая, RAL 9003, 1 класс истирания, КМ0
</t>
  </si>
  <si>
    <t>1.1.1.1.1.2.2.18.2</t>
  </si>
  <si>
    <t>1.1.1.1.1.2.2.19</t>
  </si>
  <si>
    <t>2 этаж. СТ-2.16</t>
  </si>
  <si>
    <t>1.1.1.1.1.2.2.19.1</t>
  </si>
  <si>
    <t>1.1.1.1.1.2.2.19.2</t>
  </si>
  <si>
    <t xml:space="preserve">Матовая моющаяся влагостойкая водно-дисперсионная силикатная
краска НГ, RAL 7016, 1 класс истирания, КМ0
</t>
  </si>
  <si>
    <t>1.1.1.1.1.2.2.20</t>
  </si>
  <si>
    <t>2 этаж. СТ-1.8</t>
  </si>
  <si>
    <t>1.1.1.1.1.2.2.20.1</t>
  </si>
  <si>
    <t>Краска матовая водно-дисперсионная для высококачественной отделки стен ANTEGA СТРОИТЕЛЬ моющаяся, NCS S 2060-G40Y, 2 класс истирания, КМ1</t>
  </si>
  <si>
    <t>1.1.1.1.1.2.2.20.2</t>
  </si>
  <si>
    <t>1.1.1.1.1.2.2.21</t>
  </si>
  <si>
    <t>3 этаж. СТ-1.1</t>
  </si>
  <si>
    <t>1.1.1.1.1.2.2.21.1</t>
  </si>
  <si>
    <t>1.1.1.1.1.2.2.21.2</t>
  </si>
  <si>
    <t>1.1.1.1.1.2.2.22</t>
  </si>
  <si>
    <t>3 этаж. СТ-1.2</t>
  </si>
  <si>
    <t>1.1.1.1.1.2.2.22.1</t>
  </si>
  <si>
    <t>1.1.1.1.1.2.2.22.2</t>
  </si>
  <si>
    <t>1.1.1.1.1.2.2.23</t>
  </si>
  <si>
    <t>3 этаж. СТ-1.3</t>
  </si>
  <si>
    <t>1.1.1.1.1.2.2.23.1</t>
  </si>
  <si>
    <t>1.1.1.1.1.2.2.23.2</t>
  </si>
  <si>
    <t>1.1.1.1.1.2.2.24</t>
  </si>
  <si>
    <t>3 этаж. СТ-1.4</t>
  </si>
  <si>
    <t>1.1.1.1.1.2.2.24.1</t>
  </si>
  <si>
    <t>1.1.1.1.1.2.2.24.2</t>
  </si>
  <si>
    <t>1.1.1.1.1.2.2.25</t>
  </si>
  <si>
    <t>3 этаж. СТ-1.5</t>
  </si>
  <si>
    <t>1.1.1.1.1.2.2.25.1</t>
  </si>
  <si>
    <t>1.1.1.1.1.2.2.25.2</t>
  </si>
  <si>
    <t>1.1.1.1.1.2.2.26</t>
  </si>
  <si>
    <t>3 этаж. СТ-1.7</t>
  </si>
  <si>
    <t>1.1.1.1.1.2.2.26.1</t>
  </si>
  <si>
    <t>1.1.1.1.1.2.2.26.2</t>
  </si>
  <si>
    <t>1.1.1.1.1.2.2.27</t>
  </si>
  <si>
    <t>3 этаж. СТ-1.8</t>
  </si>
  <si>
    <t>1.1.1.1.1.2.2.27.1</t>
  </si>
  <si>
    <t>1.1.1.1.1.2.2.27.2</t>
  </si>
  <si>
    <t>1.1.1.1.1.2.2.28</t>
  </si>
  <si>
    <t>3 этаж. СТ-1.13</t>
  </si>
  <si>
    <t>1.1.1.1.1.2.2.28.1</t>
  </si>
  <si>
    <t>1.1.1.1.1.2.2.28.2</t>
  </si>
  <si>
    <t>1.1.1.1.1.2.2.29</t>
  </si>
  <si>
    <t>3 этаж. СТ-2.1</t>
  </si>
  <si>
    <t>1.1.1.1.1.2.2.29.1</t>
  </si>
  <si>
    <t>1.1.1.1.1.2.2.29.2</t>
  </si>
  <si>
    <t>1.1.1.1.1.2.2.30</t>
  </si>
  <si>
    <t>3 этаж. СТ-2.10</t>
  </si>
  <si>
    <t>1.1.1.1.1.2.2.30.1</t>
  </si>
  <si>
    <t>Краска негорючая моющаяся Protect Decor_ / NCS S 0570-Y10R</t>
  </si>
  <si>
    <t>Краска негорючая ANTEGA СТРОИТЕЛЬ НГ, NCS S 1502-Y, 1 класс истирания, КМ0</t>
  </si>
  <si>
    <t>1.1.1.1.1.2.2.30.2</t>
  </si>
  <si>
    <t>1.1.1.1.1.2.2.31</t>
  </si>
  <si>
    <t>3 этаж. СТ-2.16</t>
  </si>
  <si>
    <t>1.1.1.1.1.2.2.31.1</t>
  </si>
  <si>
    <t>1.1.1.1.1.2.2.31.2</t>
  </si>
  <si>
    <t>Матовая моющаяся влагостойкая водно-дисперсионная силикатная
краска НГ, RAL 7016, 1 класс истирания, КМ0</t>
  </si>
  <si>
    <t>1.1.1.1.1.2.2.32</t>
  </si>
  <si>
    <t>6.3.1.5.2.2.9.1</t>
  </si>
  <si>
    <t>Облицовка поверхности стен СКБ с затиркой швов / керамической, керамогранитной плиткой до 0,2м2/шт</t>
  </si>
  <si>
    <t>2 этаж. СТ-6.1</t>
  </si>
  <si>
    <t>1.1.1.1.1.2.2.32.1</t>
  </si>
  <si>
    <t>1.1.1.1.1.2.2.32.2</t>
  </si>
  <si>
    <t>1.1.1.1.1.2.2.32.3</t>
  </si>
  <si>
    <t>Плиточный клей_ /  Унифицированный по ПИК-СТАНДАРТ</t>
  </si>
  <si>
    <t>1.1.1.1.1.2.2.32.4</t>
  </si>
  <si>
    <t>Керамический гранит Kerama marazzi_ / Белый / 5009/ Калейдоскоп / 200х200</t>
  </si>
  <si>
    <t>Kerama Marazzi Калейдоскоп белый 5009 200х200х6,9мм</t>
  </si>
  <si>
    <t>1.1.1.1.1.2.2.33</t>
  </si>
  <si>
    <t>2 этаж. СТ-6.2</t>
  </si>
  <si>
    <t>1.1.1.1.1.2.2.33.1</t>
  </si>
  <si>
    <t>Керамический гранит Kerama marazzi_ / Синий /  SG1547N /  200х200 мм</t>
  </si>
  <si>
    <t>Kerama Marazzi Калейдоскоп 5281 аквамарин-светлый 200х200х6,9мм</t>
  </si>
  <si>
    <t>1.1.1.1.1.2.2.33.2</t>
  </si>
  <si>
    <t>1.1.1.1.1.2.2.33.3</t>
  </si>
  <si>
    <t>1.1.1.1.1.2.2.33.4</t>
  </si>
  <si>
    <t>1.1.1.1.1.2.2.34</t>
  </si>
  <si>
    <t>2 этаж. СТ-6.3</t>
  </si>
  <si>
    <t>1.1.1.1.1.2.2.34.1</t>
  </si>
  <si>
    <t>1.1.1.1.1.2.2.34.2</t>
  </si>
  <si>
    <t>1.1.1.1.1.2.2.34.3</t>
  </si>
  <si>
    <t>1.1.1.1.1.2.2.34.4</t>
  </si>
  <si>
    <t>Керамический гранит Kerama marazzi_ / Оранжевый / 5108/Калейдоскоп / 200х200</t>
  </si>
  <si>
    <t>Kerama Marazzi Калейдоскоп 5187 оранжевый 200х200х6,9мм</t>
  </si>
  <si>
    <t>1.1.1.1.1.2.2.35</t>
  </si>
  <si>
    <t>2 этаж. СТ-6.4</t>
  </si>
  <si>
    <t>1.1.1.1.1.2.2.35.1</t>
  </si>
  <si>
    <t>Керамический гранит Kerama marazzi_ / Зеленый/ Калейдоскоп / 5111 / 200х200</t>
  </si>
  <si>
    <t>Kerama Marazzi Калейдоскоп 5111 зеленый, 200х200х6,9мм</t>
  </si>
  <si>
    <t>1.1.1.1.1.2.2.35.2</t>
  </si>
  <si>
    <t>1.1.1.1.1.2.2.35.3</t>
  </si>
  <si>
    <t>1.1.1.1.1.2.2.36</t>
  </si>
  <si>
    <t>2 этаж. СТ-6.5</t>
  </si>
  <si>
    <t>1.1.1.1.1.2.2.36.1</t>
  </si>
  <si>
    <t>1.1.1.1.1.2.2.36.2</t>
  </si>
  <si>
    <t>1.1.1.1.1.2.2.36.3</t>
  </si>
  <si>
    <t>1.1.1.1.1.2.2.36.4</t>
  </si>
  <si>
    <t>Kerama Marazzi Калейдоскоп 5109 ярко-желтый, 200х200х6,9мм</t>
  </si>
  <si>
    <t>1.1.1.1.1.2.2.37</t>
  </si>
  <si>
    <t>2 этаж. СТ-8</t>
  </si>
  <si>
    <t>1.1.1.1.1.2.2.37.1</t>
  </si>
  <si>
    <t xml:space="preserve"> Kerama Marazzi Белое солнце 8000, 300х200х6,9мм</t>
  </si>
  <si>
    <t>1.1.1.1.1.2.2.37.2</t>
  </si>
  <si>
    <t>1.1.1.1.1.2.2.37.3</t>
  </si>
  <si>
    <t>1.1.1.1.1.2.2.38</t>
  </si>
  <si>
    <t>2 этаж. СТ-11</t>
  </si>
  <si>
    <t>1.1.1.1.1.2.2.38.1</t>
  </si>
  <si>
    <t>Ceresit 07 серая</t>
  </si>
  <si>
    <t>1.1.1.1.1.2.2.38.2</t>
  </si>
  <si>
    <t>1.1.1.1.1.2.2.38.3</t>
  </si>
  <si>
    <t>ПР-2. Профиль Y-образный алюминиевый ПО-97-02, цвет: 02 серебро матовое</t>
  </si>
  <si>
    <t>1.1.1.1.1.2.2.38.4</t>
  </si>
  <si>
    <t>Профиль для внешнего угла / серебро матовое / ПМЮ-02 / 2700*30</t>
  </si>
  <si>
    <t>ПР-1. Профиль Г-образный для внешнего угла ПО Г10, цвет 02, серебро матовое</t>
  </si>
  <si>
    <t>1.1.1.1.1.2.2.38.5</t>
  </si>
  <si>
    <t>Kerama Marazzi Мечты о Париже Про Матрикс 11259R серый, 300х600х9мм</t>
  </si>
  <si>
    <t>1.1.1.1.1.2.2.39</t>
  </si>
  <si>
    <t>3 этаж. СТ-6.1</t>
  </si>
  <si>
    <t>1.1.1.1.1.2.2.39.1</t>
  </si>
  <si>
    <t xml:space="preserve">Kerama Marazzi Калейдоскоп белый 5009 200х200х6,9мм.
</t>
  </si>
  <si>
    <t>1.1.1.1.1.2.2.39.2</t>
  </si>
  <si>
    <t xml:space="preserve">ПР-1. Профиль Г-образный для внешнего угла ПО Г10, цвет 02, серебро матовое
</t>
  </si>
  <si>
    <t>1.1.1.1.1.2.2.39.3</t>
  </si>
  <si>
    <t>1.1.1.1.1.2.2.39.4</t>
  </si>
  <si>
    <t>1.1.1.1.1.2.2.39.5</t>
  </si>
  <si>
    <t>1.1.1.1.1.2.2.40</t>
  </si>
  <si>
    <t>3 этаж. СТ-6.2</t>
  </si>
  <si>
    <t>1.1.1.1.1.2.2.40.1</t>
  </si>
  <si>
    <t>1.1.1.1.1.2.2.40.2</t>
  </si>
  <si>
    <t>1.1.1.1.1.2.2.40.3</t>
  </si>
  <si>
    <t>1.1.1.1.1.2.2.40.4</t>
  </si>
  <si>
    <t>1.1.1.1.1.2.2.41</t>
  </si>
  <si>
    <t>3 этаж. СТ-6.3</t>
  </si>
  <si>
    <t>1.1.1.1.1.2.2.41.1</t>
  </si>
  <si>
    <t>1.1.1.1.1.2.2.41.2</t>
  </si>
  <si>
    <t>1.1.1.1.1.2.2.41.3</t>
  </si>
  <si>
    <t>1.1.1.1.1.2.2.41.4</t>
  </si>
  <si>
    <t>1.1.1.1.1.2.2.42</t>
  </si>
  <si>
    <t>3 этаж. СТ-6.4</t>
  </si>
  <si>
    <t>1.1.1.1.1.2.2.42.1</t>
  </si>
  <si>
    <t>1.1.1.1.1.2.2.42.2</t>
  </si>
  <si>
    <t>1.1.1.1.1.2.2.42.3</t>
  </si>
  <si>
    <t>1.1.1.1.1.2.2.42.4</t>
  </si>
  <si>
    <t xml:space="preserve"> Kerama Marazzi Калейдоскоп 5111 зеленый, 200х200х6,9мм</t>
  </si>
  <si>
    <t>1.1.1.1.1.2.2.43</t>
  </si>
  <si>
    <t>3 этаж. СТ-6.5</t>
  </si>
  <si>
    <t>1.1.1.1.1.2.2.43.1</t>
  </si>
  <si>
    <t>1.1.1.1.1.2.2.43.2</t>
  </si>
  <si>
    <t>1.1.1.1.1.2.2.43.3</t>
  </si>
  <si>
    <t>1.1.1.1.1.2.2.43.4</t>
  </si>
  <si>
    <t>1.1.1.1.1.2.2.44</t>
  </si>
  <si>
    <t>3 этаж. СТ-8</t>
  </si>
  <si>
    <t>1.1.1.1.1.2.2.44.1</t>
  </si>
  <si>
    <t>1.1.1.1.1.2.2.44.2</t>
  </si>
  <si>
    <t>1.1.1.1.1.2.2.44.3</t>
  </si>
  <si>
    <t>1.1.1.1.1.2.2.44.4</t>
  </si>
  <si>
    <t>Kerama Marazzi Белое солнце 8000, 300х200х6,9мм</t>
  </si>
  <si>
    <t>1.1.1.1.1.2.2.45</t>
  </si>
  <si>
    <t>3 этаж. СТ-11</t>
  </si>
  <si>
    <t>1.1.1.1.1.2.2.45.1</t>
  </si>
  <si>
    <t>1.1.1.1.1.2.2.45.2</t>
  </si>
  <si>
    <t>1.1.1.1.1.2.2.45.3</t>
  </si>
  <si>
    <t>1.1.1.1.1.2.2.45.4</t>
  </si>
  <si>
    <t>1.1.1.1.1.2.2.45.5</t>
  </si>
  <si>
    <t>Затирка Цезерит СE33_/16 графит</t>
  </si>
  <si>
    <t xml:space="preserve"> Ceresit 07 серая</t>
  </si>
  <si>
    <t>1.1.1.1.1.2.2.46</t>
  </si>
  <si>
    <t>6.3.1.5.2.2.9.2</t>
  </si>
  <si>
    <t>Облицовка поверхности стен СКБ с затиркой швов / керамической, керамогранитной плиткой от 0,2м2/шт</t>
  </si>
  <si>
    <t>2 этаж. СТ-14</t>
  </si>
  <si>
    <t>1.1.1.1.1.2.2.46.1</t>
  </si>
  <si>
    <t>Керамический гранит Kerama marazzi "Радуга"_ / оранжевый / SG610100R / 600*600*11мм</t>
  </si>
  <si>
    <t>Kerama Marazzi Про Матрикс, арт. DD602020R 600х600х9мм</t>
  </si>
  <si>
    <t>1.1.1.1.1.2.2.46.2</t>
  </si>
  <si>
    <t>1.1.1.1.1.2.2.46.3</t>
  </si>
  <si>
    <t>1.1.1.1.1.2.2.46.4</t>
  </si>
  <si>
    <t>1.1.1.1.1.2.2.47</t>
  </si>
  <si>
    <t>3 этаж. СТ-14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</si>
  <si>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</si>
  <si>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</si>
  <si>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</si>
  <si>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</si>
  <si>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</si>
  <si>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Коэф.расхода</t>
  </si>
  <si>
    <t>Общее кол-во</t>
  </si>
  <si>
    <t>Осталось 
закрыть</t>
  </si>
  <si>
    <t>1.1.1.1.1.2.2.47.1</t>
  </si>
  <si>
    <t>1.1.1.1.1.2.2.47.2</t>
  </si>
  <si>
    <t>1.1.1.1.1.2.2.47.3</t>
  </si>
  <si>
    <t>1.1.1.1.1.2.2.47.4</t>
  </si>
  <si>
    <t>Керамический гранит Kerama marazzi_ / Светлый серый /  DD600300R, Estima LF01 UnitileVento grey PG  / 600х600х10мм</t>
  </si>
  <si>
    <t xml:space="preserve"> Kerama Marazzi Про Матрикс, арт. DD602020R 600х600х9мм</t>
  </si>
  <si>
    <t>1.n</t>
  </si>
  <si>
    <t>2.n</t>
  </si>
  <si>
    <t>3.n</t>
  </si>
  <si>
    <t>4.n</t>
  </si>
  <si>
    <t>5.n</t>
  </si>
  <si>
    <t>6.n</t>
  </si>
  <si>
    <t>7.n</t>
  </si>
  <si>
    <t>8.n</t>
  </si>
  <si>
    <t>9.n</t>
  </si>
  <si>
    <t>10.n</t>
  </si>
  <si>
    <t>Столбец22</t>
  </si>
  <si>
    <t>Номер секции</t>
  </si>
  <si>
    <t>11.n</t>
  </si>
  <si>
    <t>12.n</t>
  </si>
  <si>
    <t xml:space="preserve">второй свет театра </t>
  </si>
  <si>
    <t>швы 2эт</t>
  </si>
  <si>
    <t>швы 3эт</t>
  </si>
  <si>
    <t>Железобетон</t>
  </si>
  <si>
    <t>Кирпич</t>
  </si>
  <si>
    <t>Газобетон</t>
  </si>
  <si>
    <t>ГСП</t>
  </si>
  <si>
    <t>ПГП</t>
  </si>
  <si>
    <t>Утеплитель</t>
  </si>
  <si>
    <t>Раздевальная</t>
  </si>
  <si>
    <t>Душевая</t>
  </si>
  <si>
    <t>Туалет</t>
  </si>
  <si>
    <t>Коридор</t>
  </si>
  <si>
    <t>Лаборантская</t>
  </si>
  <si>
    <t>Книгохранилище</t>
  </si>
  <si>
    <t>Кладовая</t>
  </si>
  <si>
    <r>
      <rPr>
        <i/>
        <sz val="10"/>
        <rFont val="ГОСТ тип А"/>
        <family val="2"/>
        <charset val="204"/>
      </rPr>
      <t>Ведомость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отделки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помещений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2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этажа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(начало)</t>
    </r>
  </si>
  <si>
    <r>
      <rPr>
        <i/>
        <sz val="10"/>
        <rFont val="ГОСТ тип А"/>
        <family val="2"/>
        <charset val="204"/>
      </rPr>
      <t>Номер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помещени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я</t>
    </r>
  </si>
  <si>
    <r>
      <rPr>
        <i/>
        <sz val="10"/>
        <rFont val="ГОСТ тип А"/>
        <family val="2"/>
        <charset val="204"/>
      </rPr>
      <t>Наименование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помещения</t>
    </r>
  </si>
  <si>
    <r>
      <rPr>
        <i/>
        <sz val="10"/>
        <rFont val="ГОСТ тип А"/>
        <family val="2"/>
        <charset val="204"/>
      </rPr>
      <t>ЧЕРНОВАЯ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ОТДЕЛКА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СТЕН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ИЛИ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ПЕРЕГОРОДОК</t>
    </r>
  </si>
  <si>
    <r>
      <rPr>
        <i/>
        <sz val="10"/>
        <rFont val="ГОСТ тип А"/>
        <family val="2"/>
        <charset val="204"/>
      </rPr>
      <t>Финишный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слой</t>
    </r>
  </si>
  <si>
    <r>
      <rPr>
        <i/>
        <sz val="10"/>
        <rFont val="ГОСТ тип А"/>
        <family val="2"/>
        <charset val="204"/>
      </rPr>
      <t>Вид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отделки</t>
    </r>
  </si>
  <si>
    <r>
      <rPr>
        <i/>
        <sz val="10"/>
        <rFont val="ГОСТ тип А"/>
        <family val="2"/>
        <charset val="204"/>
      </rPr>
      <t>Площадь,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м²</t>
    </r>
  </si>
  <si>
    <r>
      <rPr>
        <i/>
        <sz val="10"/>
        <rFont val="ГОСТ тип А"/>
        <family val="2"/>
        <charset val="204"/>
      </rPr>
      <t>Универсальное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помещение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возможностью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проведения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занятий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во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внеурочное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время,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в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том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числе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групп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продленного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дня</t>
    </r>
  </si>
  <si>
    <r>
      <rPr>
        <i/>
        <sz val="10"/>
        <rFont val="ГОСТ тип А"/>
        <family val="2"/>
        <charset val="204"/>
      </rPr>
      <t>-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грунтовка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"Бетоноконтакт";
-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гипсовая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штукатурка;
-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грунтовка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глубокого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проникновения;
-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шпатлёвка;
-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грунтовка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глубокого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проникновения
δ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=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25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мм</t>
    </r>
  </si>
  <si>
    <r>
      <rPr>
        <i/>
        <sz val="10"/>
        <rFont val="ГОСТ тип А"/>
        <family val="2"/>
        <charset val="204"/>
      </rPr>
      <t>-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грунтовка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глубокого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проникновения;
-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гипсовая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штукатурка;
-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грунтовка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глубокого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проникновения;
-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шпатлёвка;
-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грунтовка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глубокого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проникновения
δ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=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25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мм</t>
    </r>
  </si>
  <si>
    <r>
      <rPr>
        <i/>
        <sz val="10"/>
        <rFont val="ГОСТ тип А"/>
        <family val="2"/>
        <charset val="204"/>
      </rPr>
      <t>см.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раздел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АИ</t>
    </r>
  </si>
  <si>
    <r>
      <rPr>
        <i/>
        <sz val="10"/>
        <rFont val="ГОСТ тип А"/>
        <family val="2"/>
        <charset val="204"/>
      </rPr>
      <t>Рекреация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начальных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классов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(с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коридором)</t>
    </r>
  </si>
  <si>
    <r>
      <rPr>
        <i/>
        <sz val="10"/>
        <rFont val="ГОСТ тип А"/>
        <family val="2"/>
        <charset val="204"/>
      </rPr>
      <t>Кабинет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рабочим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пространством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учителей</t>
    </r>
  </si>
  <si>
    <r>
      <rPr>
        <i/>
        <sz val="10"/>
        <rFont val="ГОСТ тип А"/>
        <family val="2"/>
        <charset val="204"/>
      </rPr>
      <t>-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грунтовка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глубокого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проникновения;
-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шпатлёвка;
-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грунтовка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глубокого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проникновения
δ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=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5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мм</t>
    </r>
  </si>
  <si>
    <r>
      <rPr>
        <i/>
        <sz val="10"/>
        <rFont val="ГОСТ тип А"/>
        <family val="2"/>
        <charset val="204"/>
      </rPr>
      <t>Административный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кабинет</t>
    </r>
  </si>
  <si>
    <r>
      <rPr>
        <i/>
        <sz val="10"/>
        <rFont val="ГОСТ тип А"/>
        <family val="2"/>
        <charset val="204"/>
      </rPr>
      <t>Верхние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ряды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актового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зала</t>
    </r>
  </si>
  <si>
    <r>
      <rPr>
        <i/>
        <sz val="10"/>
        <rFont val="ГОСТ тип А"/>
        <family val="2"/>
        <charset val="204"/>
      </rPr>
      <t>Технический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центр</t>
    </r>
  </si>
  <si>
    <r>
      <rPr>
        <i/>
        <sz val="10"/>
        <rFont val="ГОСТ тип А"/>
        <family val="2"/>
        <charset val="204"/>
      </rPr>
      <t>Лестничная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клетка</t>
    </r>
  </si>
  <si>
    <r>
      <rPr>
        <i/>
        <sz val="10"/>
        <rFont val="ГОСТ тип А"/>
        <family val="2"/>
        <charset val="204"/>
      </rPr>
      <t>Лифтовый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холл.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Зона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безопасности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МГН</t>
    </r>
  </si>
  <si>
    <r>
      <rPr>
        <i/>
        <sz val="10"/>
        <rFont val="ГОСТ тип А"/>
        <family val="2"/>
        <charset val="204"/>
      </rPr>
      <t>Санузел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девочек</t>
    </r>
  </si>
  <si>
    <r>
      <rPr>
        <i/>
        <sz val="10"/>
        <rFont val="ГОСТ тип А"/>
        <family val="2"/>
        <charset val="204"/>
      </rPr>
      <t>-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грунтовка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"Бетоноконтакт";
-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штукатурка
цементно-песчаным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раствором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М100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(армированная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стекловолоконной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или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пластиковой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сеткой);
-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грунтовка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глубокого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проникновения
δ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=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20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мм</t>
    </r>
  </si>
  <si>
    <r>
      <rPr>
        <i/>
        <sz val="10"/>
        <rFont val="ГОСТ тип А"/>
        <family val="2"/>
        <charset val="204"/>
      </rPr>
      <t>-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грунтовка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глубокого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проникновения;
-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штукатурка
цементно-песчаным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раствором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М100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(армированная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стекловолоконной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или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пластиковой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сеткой);
-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грунтовка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глубокого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проникновения
δ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=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20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мм</t>
    </r>
  </si>
  <si>
    <r>
      <rPr>
        <i/>
        <sz val="10"/>
        <rFont val="ГОСТ тип А"/>
        <family val="2"/>
        <charset val="204"/>
      </rPr>
      <t>Помещение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уборочного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инвентаря</t>
    </r>
  </si>
  <si>
    <r>
      <rPr>
        <i/>
        <sz val="10"/>
        <rFont val="ГОСТ тип А"/>
        <family val="2"/>
        <charset val="204"/>
      </rPr>
      <t>Учебный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кабинет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(2-4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классы)</t>
    </r>
  </si>
  <si>
    <r>
      <rPr>
        <i/>
        <sz val="10"/>
        <rFont val="ГОСТ тип А"/>
        <family val="2"/>
        <charset val="204"/>
      </rPr>
      <t>Санузел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мальчиков</t>
    </r>
  </si>
  <si>
    <r>
      <rPr>
        <i/>
        <sz val="10"/>
        <rFont val="ГОСТ тип А"/>
        <family val="2"/>
        <charset val="204"/>
      </rPr>
      <t>Туалет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МГН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детей)</t>
    </r>
  </si>
  <si>
    <r>
      <rPr>
        <i/>
        <sz val="10"/>
        <rFont val="ГОСТ тип А"/>
        <family val="2"/>
        <charset val="204"/>
      </rPr>
      <t>Санузел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персонала,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комната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личной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гигиены</t>
    </r>
  </si>
  <si>
    <r>
      <rPr>
        <i/>
        <sz val="10"/>
        <rFont val="ГОСТ тип А"/>
        <family val="2"/>
        <charset val="204"/>
      </rPr>
      <t>Многофункциональный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информационный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библиотечный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центр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зонами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индивидуальных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групповых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занятий,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медиатеки,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хранения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закрытый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фонд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выдачи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книг</t>
    </r>
  </si>
  <si>
    <r>
      <rPr>
        <i/>
        <sz val="10"/>
        <rFont val="ГОСТ тип А"/>
        <family val="2"/>
        <charset val="204"/>
      </rPr>
      <t>Комната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инструктора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(с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душем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туалетом)</t>
    </r>
  </si>
  <si>
    <r>
      <rPr>
        <i/>
        <sz val="10"/>
        <rFont val="ГОСТ тип А"/>
        <family val="2"/>
        <charset val="204"/>
      </rPr>
      <t>Раздевальная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МГН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душем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туалетом)</t>
    </r>
  </si>
  <si>
    <r>
      <rPr>
        <i/>
        <sz val="10"/>
        <rFont val="ГОСТ тип А"/>
        <family val="2"/>
        <charset val="204"/>
      </rPr>
      <t>Инвентарная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(снарядная)</t>
    </r>
  </si>
  <si>
    <r>
      <rPr>
        <i/>
        <sz val="10"/>
        <rFont val="ГОСТ тип А"/>
        <family val="2"/>
        <charset val="204"/>
      </rPr>
      <t>Кабинет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иностранного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языка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возможностью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деления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трансформируемой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перегородкой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на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два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помещения</t>
    </r>
  </si>
  <si>
    <r>
      <rPr>
        <i/>
        <sz val="10"/>
        <rFont val="ГОСТ тип А"/>
        <family val="2"/>
        <charset val="204"/>
      </rPr>
      <t>Универсальный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трансформируемый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спортивный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зал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18x30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м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разделительным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занавесом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на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электрическом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приводе</t>
    </r>
  </si>
  <si>
    <r>
      <rPr>
        <i/>
        <sz val="10"/>
        <rFont val="ГОСТ тип А"/>
        <family val="2"/>
        <charset val="204"/>
      </rPr>
      <t>Кабинет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музыки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пения</t>
    </r>
  </si>
  <si>
    <r>
      <rPr>
        <i/>
        <sz val="10"/>
        <rFont val="ГОСТ тип А"/>
        <family val="2"/>
        <charset val="204"/>
      </rPr>
      <t>Учебный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кабинет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универсального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назначения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5-9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классы)</t>
    </r>
  </si>
  <si>
    <r>
      <rPr>
        <i/>
        <sz val="10"/>
        <rFont val="ГОСТ тип А"/>
        <family val="2"/>
        <charset val="204"/>
      </rPr>
      <t>Рекреация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коридором</t>
    </r>
  </si>
  <si>
    <r>
      <rPr>
        <i/>
        <sz val="10"/>
        <rFont val="ГОСТ тип А"/>
        <family val="2"/>
        <charset val="204"/>
      </rPr>
      <t>Специализированный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учебный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кабинет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естествознания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(тип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В: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экология+география+ОБЖ)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зонами</t>
    </r>
  </si>
  <si>
    <r>
      <rPr>
        <i/>
        <sz val="10"/>
        <rFont val="ГОСТ тип А"/>
        <family val="2"/>
        <charset val="204"/>
      </rPr>
      <t>Лаборантская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тип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АВ)</t>
    </r>
  </si>
  <si>
    <r>
      <rPr>
        <i/>
        <sz val="10"/>
        <rFont val="ГОСТ тип А"/>
        <family val="2"/>
        <charset val="204"/>
      </rPr>
      <t>Инженерный
лабороторно-исследовательский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комплекс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возможностью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деления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трансформируемыми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перегородками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на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зоны</t>
    </r>
  </si>
  <si>
    <r>
      <rPr>
        <i/>
        <sz val="10"/>
        <rFont val="ГОСТ тип А"/>
        <family val="2"/>
        <charset val="204"/>
      </rPr>
      <t>Санузел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мальчиков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основной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средней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школы</t>
    </r>
  </si>
  <si>
    <r>
      <rPr>
        <i/>
        <sz val="10"/>
        <rFont val="ГОСТ тип А"/>
        <family val="2"/>
        <charset val="204"/>
      </rPr>
      <t>Санузел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девочек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основной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средней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школы</t>
    </r>
  </si>
  <si>
    <r>
      <rPr>
        <i/>
        <sz val="10"/>
        <rFont val="ГОСТ тип А"/>
        <family val="2"/>
        <charset val="204"/>
      </rPr>
      <t>Верхние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ряды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многофункционального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пространства</t>
    </r>
  </si>
  <si>
    <r>
      <rPr>
        <i/>
        <sz val="10"/>
        <rFont val="ГОСТ тип А"/>
        <family val="2"/>
        <charset val="204"/>
      </rPr>
      <t>Академический
лабораторно-исследовательский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комплекс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возможностью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деления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трансформируемыми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перегородками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на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зоны</t>
    </r>
  </si>
  <si>
    <r>
      <rPr>
        <i/>
        <sz val="10"/>
        <rFont val="ГОСТ тип А"/>
        <family val="2"/>
        <charset val="204"/>
      </rPr>
      <t>Лекционная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аудитория</t>
    </r>
  </si>
  <si>
    <r>
      <rPr>
        <i/>
        <sz val="10"/>
        <rFont val="ГОСТ тип А"/>
        <family val="2"/>
        <charset val="204"/>
      </rPr>
      <t>Комната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личной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гигиены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девочек</t>
    </r>
  </si>
  <si>
    <r>
      <rPr>
        <i/>
        <sz val="10"/>
        <rFont val="ГОСТ тип А"/>
        <family val="2"/>
        <charset val="204"/>
      </rPr>
      <t>Зона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безопасности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МГН</t>
    </r>
  </si>
  <si>
    <r>
      <rPr>
        <i/>
        <sz val="10"/>
        <rFont val="ГОСТ тип А"/>
        <family val="2"/>
        <charset val="204"/>
      </rPr>
      <t>Шахматный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кружок</t>
    </r>
  </si>
  <si>
    <r>
      <rPr>
        <i/>
        <sz val="10"/>
        <rFont val="ГОСТ тип А"/>
        <family val="2"/>
        <charset val="204"/>
      </rPr>
      <t>Лабораторно-исследовательский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комплекс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изучения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естествознания</t>
    </r>
  </si>
  <si>
    <r>
      <rPr>
        <i/>
        <sz val="10"/>
        <rFont val="ГОСТ тип А"/>
        <family val="2"/>
        <charset val="204"/>
      </rPr>
      <t>Учебный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кабинет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изучения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естествознания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(биология)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фронтальной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формой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обучения</t>
    </r>
  </si>
  <si>
    <r>
      <rPr>
        <i/>
        <sz val="10"/>
        <rFont val="ГОСТ тип А"/>
        <family val="2"/>
        <charset val="204"/>
      </rPr>
      <t>Учебный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кабинет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универсального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назначения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(10-11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классы)</t>
    </r>
  </si>
  <si>
    <r>
      <rPr>
        <i/>
        <sz val="10"/>
        <rFont val="ГОСТ тип А"/>
        <family val="2"/>
        <charset val="204"/>
      </rPr>
      <t>Специализированный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учебный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кабинет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естествознания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(тип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А: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физика+химия+биология)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зонами</t>
    </r>
  </si>
  <si>
    <r>
      <rPr>
        <i/>
        <sz val="10"/>
        <rFont val="ГОСТ тип А"/>
        <family val="2"/>
        <charset val="204"/>
      </rPr>
      <t>Лаборантская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тип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А)</t>
    </r>
  </si>
  <si>
    <r>
      <rPr>
        <i/>
        <sz val="10"/>
        <rFont val="ГОСТ тип А"/>
        <family val="2"/>
        <charset val="204"/>
      </rPr>
      <t>Кабинет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информатики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возможностью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деления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трансформируемой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перегородкой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на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два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помещения</t>
    </r>
  </si>
  <si>
    <r>
      <rPr>
        <i/>
        <sz val="10"/>
        <rFont val="ГОСТ тип А"/>
        <family val="2"/>
        <charset val="204"/>
      </rPr>
      <t>Медицинский
лабороторно-исследовательский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комплекс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возможностью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деления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трансформируемыми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перегородками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на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зоны</t>
    </r>
  </si>
  <si>
    <r>
      <rPr>
        <i/>
        <sz val="10"/>
        <rFont val="ГОСТ тип А"/>
        <family val="2"/>
        <charset val="204"/>
      </rPr>
      <t>IT-полигон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возможностью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деления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трансформируемыми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перегородками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на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зоны</t>
    </r>
  </si>
  <si>
    <r>
      <rPr>
        <i/>
        <sz val="10"/>
        <rFont val="ГОСТ тип А"/>
        <family val="2"/>
        <charset val="204"/>
      </rPr>
      <t>Мастерская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акварельной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живописи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рисунка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c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кладовой</t>
    </r>
  </si>
  <si>
    <r>
      <rPr>
        <i/>
        <sz val="10"/>
        <rFont val="ГОСТ тип А"/>
        <family val="2"/>
        <charset val="204"/>
      </rPr>
      <t>Санузел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девочек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основной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старшей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школы</t>
    </r>
  </si>
  <si>
    <r>
      <rPr>
        <i/>
        <sz val="10"/>
        <rFont val="ГОСТ тип А"/>
        <family val="2"/>
        <charset val="204"/>
      </rPr>
      <t>Учебный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кабинет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изучения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естествознания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(физика)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фронтальной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формой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обучения</t>
    </r>
  </si>
  <si>
    <r>
      <rPr>
        <i/>
        <sz val="10"/>
        <rFont val="ГОСТ тип А"/>
        <family val="2"/>
        <charset val="204"/>
      </rPr>
      <t>Помещение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обработки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материалов</t>
    </r>
  </si>
  <si>
    <r>
      <rPr>
        <i/>
        <sz val="10"/>
        <rFont val="ГОСТ тип А"/>
        <family val="2"/>
        <charset val="204"/>
      </rPr>
      <t>Помещение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установки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технологического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оборудования</t>
    </r>
  </si>
  <si>
    <r>
      <rPr>
        <i/>
        <sz val="10"/>
        <rFont val="ГОСТ тип А"/>
        <family val="2"/>
        <charset val="204"/>
      </rPr>
      <t>Помещение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хранения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оборудования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расходных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материалов</t>
    </r>
  </si>
  <si>
    <t>Ведомость работ и используемых материалов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</si>
</sst>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"/>
    <numFmt numFmtId="166" formatCode="#,##0.000"/>
  </numFmts>
  <fonts count="25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ГОСТ тип А"/>
      <family val="2"/>
      <charset val="204"/>
    </font>
    <font>
      <sz val="10"/>
      <color theme="1"/>
      <name val="ГОСТ тип А"/>
      <family val="2"/>
      <charset val="204"/>
    </font>
    <font>
      <sz val="10"/>
      <name val="ГОСТ тип А"/>
      <family val="2"/>
      <charset val="204"/>
    </font>
    <font>
      <sz val="11"/>
      <color rgb="FF000000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theme="0" tint="-0.34998626667073579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i/>
      <sz val="10"/>
      <color rgb="FF000000"/>
      <name val="ГОСТ тип А"/>
      <family val="2"/>
      <charset val="204"/>
    </font>
    <font>
      <sz val="12"/>
      <color rgb="FFFF000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</font>
    <font>
      <i/>
      <sz val="12"/>
      <color theme="0" tint="-0.34998626667073579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sz val="12"/>
      <color theme="0" tint="-0.14999847407452621"/>
      <name val="Times New Roman"/>
      <family val="1"/>
      <charset val="204"/>
    </font>
    <font>
      <sz val="12"/>
      <color theme="0" tint="-0.249977111117893"/>
      <name val="Times New Roman"/>
      <family val="1"/>
      <charset val="204"/>
    </font>
    <font>
      <b/>
      <sz val="12"/>
      <color rgb="FF002060"/>
      <name val="Times New Roman"/>
      <family val="1"/>
      <charset val="204"/>
    </font>
    <font>
      <b/>
      <sz val="12"/>
      <color rgb="FF000000"/>
      <name val="Times New Roman"/>
    </font>
    <font>
      <b/>
      <sz val="12"/>
      <color rgb="FF0070C0"/>
      <name val="Calibri"/>
      <family val="2"/>
      <charset val="204"/>
    </font>
    <font>
      <sz val="10"/>
      <color rgb="FF000000"/>
      <name val="ГОСТ тип А"/>
      <family val="2"/>
      <charset val="204"/>
    </font>
    <font>
      <b/>
      <sz val="10"/>
      <color rgb="FF000000"/>
      <name val="ГОСТ тип А"/>
      <family val="2"/>
      <charset val="204"/>
    </font>
    <font>
      <i/>
      <sz val="10"/>
      <name val="ГОСТ тип А"/>
      <family val="2"/>
      <charset val="204"/>
    </font>
  </fonts>
  <fills count="3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E4BC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99FFCC"/>
        <bgColor rgb="FF000000"/>
      </patternFill>
    </fill>
    <fill>
      <patternFill patternType="solid">
        <fgColor rgb="FF99FFCC"/>
        <bgColor indexed="64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theme="0" tint="-0.14999847407452621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6" tint="0.59999389629810485"/>
        <bgColor theme="0" tint="-0.14999847407452621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4" tint="0.59999389629810485"/>
        <bgColor theme="0" tint="-0.1499984740745262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79998168889431442"/>
        <bgColor theme="0" tint="-0.14999847407452621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6" tint="-0.249977111117893"/>
        <bgColor theme="0" tint="-0.14999847407452621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249977111117893"/>
        <bgColor rgb="FF000000"/>
      </patternFill>
    </fill>
    <fill>
      <patternFill patternType="solid">
        <fgColor theme="9" tint="0.79998168889431442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403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2" fontId="1" fillId="0" borderId="5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 indent="2"/>
    </xf>
    <xf numFmtId="2" fontId="2" fillId="0" borderId="8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 indent="2"/>
    </xf>
    <xf numFmtId="2" fontId="2" fillId="0" borderId="15" xfId="0" applyNumberFormat="1" applyFont="1" applyBorder="1" applyAlignment="1">
      <alignment horizontal="center" vertical="center"/>
    </xf>
    <xf numFmtId="2" fontId="2" fillId="0" borderId="16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indent="2"/>
    </xf>
    <xf numFmtId="164" fontId="2" fillId="0" borderId="16" xfId="0" applyNumberFormat="1" applyFont="1" applyBorder="1" applyAlignment="1">
      <alignment horizontal="center" vertical="center"/>
    </xf>
    <xf numFmtId="2" fontId="2" fillId="0" borderId="18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right" vertical="center"/>
    </xf>
    <xf numFmtId="0" fontId="1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 indent="2"/>
    </xf>
    <xf numFmtId="49" fontId="2" fillId="0" borderId="12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vertical="center" wrapText="1"/>
    </xf>
    <xf numFmtId="2" fontId="2" fillId="0" borderId="13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2" fontId="1" fillId="0" borderId="11" xfId="0" applyNumberFormat="1" applyFont="1" applyBorder="1" applyAlignment="1">
      <alignment horizontal="center" vertical="center"/>
    </xf>
    <xf numFmtId="2" fontId="1" fillId="0" borderId="15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 indent="2"/>
    </xf>
    <xf numFmtId="2" fontId="2" fillId="0" borderId="19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right" vertical="center"/>
    </xf>
    <xf numFmtId="0" fontId="2" fillId="0" borderId="19" xfId="0" applyFont="1" applyBorder="1" applyAlignment="1">
      <alignment vertical="center" wrapText="1"/>
    </xf>
    <xf numFmtId="49" fontId="2" fillId="0" borderId="20" xfId="0" applyNumberFormat="1" applyFont="1" applyBorder="1" applyAlignment="1">
      <alignment horizontal="center" vertical="center"/>
    </xf>
    <xf numFmtId="2" fontId="2" fillId="0" borderId="21" xfId="0" applyNumberFormat="1" applyFont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vertical="center" wrapText="1"/>
    </xf>
    <xf numFmtId="2" fontId="2" fillId="0" borderId="23" xfId="0" applyNumberFormat="1" applyFont="1" applyBorder="1" applyAlignment="1">
      <alignment horizontal="center" vertical="center"/>
    </xf>
    <xf numFmtId="164" fontId="2" fillId="0" borderId="23" xfId="0" applyNumberFormat="1" applyFont="1" applyBorder="1" applyAlignment="1">
      <alignment horizontal="center" vertical="center"/>
    </xf>
    <xf numFmtId="2" fontId="2" fillId="0" borderId="24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vertical="center" wrapText="1"/>
    </xf>
    <xf numFmtId="49" fontId="1" fillId="0" borderId="25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left" vertical="center"/>
    </xf>
    <xf numFmtId="2" fontId="1" fillId="0" borderId="26" xfId="0" applyNumberFormat="1" applyFont="1" applyBorder="1" applyAlignment="1">
      <alignment horizontal="center" vertical="center"/>
    </xf>
    <xf numFmtId="2" fontId="1" fillId="0" borderId="27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2" fontId="1" fillId="0" borderId="13" xfId="0" applyNumberFormat="1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2" fontId="2" fillId="0" borderId="8" xfId="0" applyNumberFormat="1" applyFont="1" applyFill="1" applyBorder="1" applyAlignment="1">
      <alignment horizontal="center" vertical="center"/>
    </xf>
    <xf numFmtId="0" fontId="5" fillId="0" borderId="0" xfId="2" applyFill="1" applyBorder="1" applyAlignment="1">
      <alignment horizontal="left" vertical="top"/>
    </xf>
    <xf numFmtId="165" fontId="5" fillId="0" borderId="0" xfId="2" applyNumberFormat="1" applyFill="1" applyBorder="1" applyAlignment="1">
      <alignment horizontal="left" vertical="top"/>
    </xf>
    <xf numFmtId="3" fontId="5" fillId="0" borderId="0" xfId="2" applyNumberFormat="1" applyFill="1" applyBorder="1" applyAlignment="1">
      <alignment horizontal="left" vertical="top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0" xfId="0" applyFont="1"/>
    <xf numFmtId="0" fontId="2" fillId="0" borderId="8" xfId="0" applyFont="1" applyBorder="1"/>
    <xf numFmtId="165" fontId="2" fillId="0" borderId="8" xfId="0" applyNumberFormat="1" applyFont="1" applyBorder="1"/>
    <xf numFmtId="0" fontId="2" fillId="3" borderId="8" xfId="0" applyFont="1" applyFill="1" applyBorder="1"/>
    <xf numFmtId="0" fontId="2" fillId="0" borderId="11" xfId="0" applyFont="1" applyBorder="1" applyAlignment="1">
      <alignment horizontal="left" vertical="center" wrapText="1" indent="2"/>
    </xf>
    <xf numFmtId="49" fontId="2" fillId="0" borderId="8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2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49" fontId="2" fillId="3" borderId="8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left" vertical="center" wrapText="1"/>
    </xf>
    <xf numFmtId="2" fontId="2" fillId="3" borderId="8" xfId="0" applyNumberFormat="1" applyFont="1" applyFill="1" applyBorder="1" applyAlignment="1">
      <alignment horizontal="center" vertical="center"/>
    </xf>
    <xf numFmtId="164" fontId="2" fillId="3" borderId="8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left" vertical="center" wrapText="1" indent="2"/>
    </xf>
    <xf numFmtId="165" fontId="2" fillId="3" borderId="8" xfId="0" applyNumberFormat="1" applyFont="1" applyFill="1" applyBorder="1"/>
    <xf numFmtId="2" fontId="0" fillId="0" borderId="0" xfId="0" applyNumberFormat="1"/>
    <xf numFmtId="164" fontId="2" fillId="0" borderId="8" xfId="0" applyNumberFormat="1" applyFont="1" applyBorder="1"/>
    <xf numFmtId="0" fontId="2" fillId="0" borderId="33" xfId="0" applyFont="1" applyBorder="1"/>
    <xf numFmtId="164" fontId="2" fillId="3" borderId="8" xfId="0" applyNumberFormat="1" applyFont="1" applyFill="1" applyBorder="1"/>
    <xf numFmtId="0" fontId="0" fillId="0" borderId="8" xfId="0" applyBorder="1"/>
    <xf numFmtId="166" fontId="6" fillId="0" borderId="8" xfId="0" applyNumberFormat="1" applyFont="1" applyBorder="1" applyAlignment="1" applyProtection="1">
      <alignment horizontal="center" vertical="center" wrapText="1"/>
    </xf>
    <xf numFmtId="2" fontId="2" fillId="0" borderId="8" xfId="0" applyNumberFormat="1" applyFont="1" applyBorder="1" applyAlignment="1">
      <alignment vertical="center" wrapText="1"/>
    </xf>
    <xf numFmtId="166" fontId="2" fillId="0" borderId="8" xfId="0" applyNumberFormat="1" applyFont="1" applyBorder="1" applyAlignment="1">
      <alignment vertical="center" wrapText="1"/>
    </xf>
    <xf numFmtId="2" fontId="0" fillId="0" borderId="8" xfId="0" applyNumberFormat="1" applyBorder="1"/>
    <xf numFmtId="166" fontId="0" fillId="0" borderId="8" xfId="0" applyNumberFormat="1" applyBorder="1"/>
    <xf numFmtId="166" fontId="6" fillId="4" borderId="8" xfId="0" applyNumberFormat="1" applyFont="1" applyFill="1" applyBorder="1" applyAlignment="1" applyProtection="1">
      <alignment horizontal="center" vertical="center" wrapText="1"/>
    </xf>
    <xf numFmtId="166" fontId="6" fillId="5" borderId="8" xfId="0" applyNumberFormat="1" applyFont="1" applyFill="1" applyBorder="1" applyAlignment="1" applyProtection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3" fontId="11" fillId="6" borderId="28" xfId="2" applyNumberFormat="1" applyFont="1" applyFill="1" applyBorder="1" applyAlignment="1">
      <alignment horizontal="center" vertical="center" shrinkToFit="1"/>
    </xf>
    <xf numFmtId="165" fontId="11" fillId="6" borderId="28" xfId="2" applyNumberFormat="1" applyFont="1" applyFill="1" applyBorder="1" applyAlignment="1">
      <alignment horizontal="center" vertical="center" shrinkToFit="1"/>
    </xf>
    <xf numFmtId="3" fontId="11" fillId="0" borderId="28" xfId="2" applyNumberFormat="1" applyFont="1" applyBorder="1" applyAlignment="1">
      <alignment horizontal="center" vertical="center" shrinkToFit="1"/>
    </xf>
    <xf numFmtId="165" fontId="11" fillId="0" borderId="28" xfId="2" applyNumberFormat="1" applyFont="1" applyBorder="1" applyAlignment="1">
      <alignment horizontal="center" vertical="center" shrinkToFit="1"/>
    </xf>
    <xf numFmtId="3" fontId="11" fillId="0" borderId="30" xfId="2" applyNumberFormat="1" applyFont="1" applyBorder="1" applyAlignment="1">
      <alignment horizontal="center" vertical="center" shrinkToFit="1"/>
    </xf>
    <xf numFmtId="165" fontId="11" fillId="0" borderId="30" xfId="2" applyNumberFormat="1" applyFont="1" applyBorder="1" applyAlignment="1">
      <alignment horizontal="center" vertical="center" shrinkToFit="1"/>
    </xf>
    <xf numFmtId="3" fontId="11" fillId="6" borderId="30" xfId="2" applyNumberFormat="1" applyFont="1" applyFill="1" applyBorder="1" applyAlignment="1">
      <alignment horizontal="center" vertical="center" shrinkToFit="1"/>
    </xf>
    <xf numFmtId="165" fontId="11" fillId="6" borderId="30" xfId="2" applyNumberFormat="1" applyFont="1" applyFill="1" applyBorder="1" applyAlignment="1">
      <alignment horizontal="center" vertical="center" shrinkToFit="1"/>
    </xf>
    <xf numFmtId="165" fontId="11" fillId="2" borderId="28" xfId="2" applyNumberFormat="1" applyFont="1" applyFill="1" applyBorder="1" applyAlignment="1">
      <alignment horizontal="center" vertical="center" shrinkToFit="1"/>
    </xf>
    <xf numFmtId="165" fontId="11" fillId="2" borderId="30" xfId="2" applyNumberFormat="1" applyFont="1" applyFill="1" applyBorder="1" applyAlignment="1">
      <alignment horizontal="center" vertical="center" shrinkToFit="1"/>
    </xf>
    <xf numFmtId="0" fontId="7" fillId="0" borderId="30" xfId="0" applyFont="1" applyBorder="1" applyAlignment="1">
      <alignment horizontal="center" vertical="center" wrapText="1"/>
    </xf>
    <xf numFmtId="0" fontId="7" fillId="11" borderId="30" xfId="0" applyFont="1" applyFill="1" applyBorder="1" applyAlignment="1">
      <alignment horizontal="left" vertical="center"/>
    </xf>
    <xf numFmtId="0" fontId="8" fillId="0" borderId="30" xfId="0" applyFont="1" applyBorder="1" applyAlignment="1">
      <alignment horizontal="left" vertical="center"/>
    </xf>
    <xf numFmtId="0" fontId="8" fillId="11" borderId="30" xfId="0" applyFont="1" applyFill="1" applyBorder="1" applyAlignment="1">
      <alignment horizontal="left" vertical="center"/>
    </xf>
    <xf numFmtId="0" fontId="7" fillId="0" borderId="30" xfId="0" applyFont="1" applyBorder="1" applyAlignment="1">
      <alignment horizontal="left" vertical="center"/>
    </xf>
    <xf numFmtId="0" fontId="9" fillId="11" borderId="30" xfId="0" applyFont="1" applyFill="1" applyBorder="1" applyAlignment="1">
      <alignment horizontal="left" vertical="center"/>
    </xf>
    <xf numFmtId="0" fontId="9" fillId="0" borderId="30" xfId="0" applyFont="1" applyBorder="1" applyAlignment="1">
      <alignment horizontal="left" vertical="center"/>
    </xf>
    <xf numFmtId="0" fontId="10" fillId="11" borderId="30" xfId="0" applyFont="1" applyFill="1" applyBorder="1" applyAlignment="1">
      <alignment horizontal="left" vertical="center"/>
    </xf>
    <xf numFmtId="0" fontId="8" fillId="8" borderId="30" xfId="0" applyFont="1" applyFill="1" applyBorder="1" applyAlignment="1">
      <alignment horizontal="left" vertical="center"/>
    </xf>
    <xf numFmtId="0" fontId="7" fillId="0" borderId="39" xfId="0" applyFont="1" applyBorder="1" applyAlignment="1">
      <alignment horizontal="center" vertical="center" wrapText="1"/>
    </xf>
    <xf numFmtId="0" fontId="7" fillId="11" borderId="39" xfId="0" applyFont="1" applyFill="1" applyBorder="1" applyAlignment="1">
      <alignment horizontal="left" vertical="center"/>
    </xf>
    <xf numFmtId="0" fontId="8" fillId="0" borderId="39" xfId="0" applyFont="1" applyBorder="1" applyAlignment="1">
      <alignment horizontal="left" vertical="center"/>
    </xf>
    <xf numFmtId="0" fontId="8" fillId="11" borderId="39" xfId="0" applyFont="1" applyFill="1" applyBorder="1" applyAlignment="1">
      <alignment horizontal="left" vertical="center"/>
    </xf>
    <xf numFmtId="0" fontId="7" fillId="0" borderId="39" xfId="0" applyFont="1" applyBorder="1" applyAlignment="1">
      <alignment horizontal="left" vertical="center"/>
    </xf>
    <xf numFmtId="0" fontId="9" fillId="11" borderId="39" xfId="0" applyFont="1" applyFill="1" applyBorder="1" applyAlignment="1">
      <alignment horizontal="left" vertical="center"/>
    </xf>
    <xf numFmtId="0" fontId="9" fillId="0" borderId="39" xfId="0" applyFont="1" applyBorder="1" applyAlignment="1">
      <alignment horizontal="left" vertical="center"/>
    </xf>
    <xf numFmtId="0" fontId="10" fillId="11" borderId="39" xfId="0" applyFont="1" applyFill="1" applyBorder="1" applyAlignment="1">
      <alignment horizontal="left" vertical="center"/>
    </xf>
    <xf numFmtId="0" fontId="8" fillId="8" borderId="39" xfId="0" applyFont="1" applyFill="1" applyBorder="1" applyAlignment="1">
      <alignment horizontal="left" vertical="center"/>
    </xf>
    <xf numFmtId="0" fontId="10" fillId="7" borderId="34" xfId="0" applyFont="1" applyFill="1" applyBorder="1" applyAlignment="1">
      <alignment vertical="center"/>
    </xf>
    <xf numFmtId="166" fontId="10" fillId="7" borderId="34" xfId="0" applyNumberFormat="1" applyFont="1" applyFill="1" applyBorder="1" applyAlignment="1">
      <alignment horizontal="center" vertical="center" wrapText="1"/>
    </xf>
    <xf numFmtId="166" fontId="12" fillId="7" borderId="34" xfId="0" applyNumberFormat="1" applyFont="1" applyFill="1" applyBorder="1" applyAlignment="1">
      <alignment horizontal="center" vertical="center"/>
    </xf>
    <xf numFmtId="166" fontId="12" fillId="7" borderId="34" xfId="0" applyNumberFormat="1" applyFont="1" applyFill="1" applyBorder="1" applyAlignment="1">
      <alignment horizontal="center" vertical="center" wrapText="1"/>
    </xf>
    <xf numFmtId="166" fontId="10" fillId="7" borderId="34" xfId="0" applyNumberFormat="1" applyFont="1" applyFill="1" applyBorder="1" applyAlignment="1">
      <alignment horizontal="center" vertical="center"/>
    </xf>
    <xf numFmtId="0" fontId="13" fillId="0" borderId="0" xfId="0" applyFont="1"/>
    <xf numFmtId="0" fontId="12" fillId="11" borderId="39" xfId="0" applyFont="1" applyFill="1" applyBorder="1" applyAlignment="1">
      <alignment horizontal="left" vertical="center"/>
    </xf>
    <xf numFmtId="0" fontId="12" fillId="11" borderId="30" xfId="0" applyFont="1" applyFill="1" applyBorder="1" applyAlignment="1">
      <alignment horizontal="left" vertical="center"/>
    </xf>
    <xf numFmtId="0" fontId="10" fillId="11" borderId="30" xfId="0" applyFont="1" applyFill="1" applyBorder="1" applyAlignment="1">
      <alignment vertical="center"/>
    </xf>
    <xf numFmtId="0" fontId="10" fillId="11" borderId="39" xfId="0" applyFont="1" applyFill="1" applyBorder="1" applyAlignment="1">
      <alignment vertical="center"/>
    </xf>
    <xf numFmtId="0" fontId="12" fillId="0" borderId="3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0" fillId="0" borderId="30" xfId="0" applyFont="1" applyBorder="1" applyAlignment="1">
      <alignment vertical="center"/>
    </xf>
    <xf numFmtId="0" fontId="10" fillId="0" borderId="39" xfId="0" applyFont="1" applyBorder="1" applyAlignment="1">
      <alignment vertical="center"/>
    </xf>
    <xf numFmtId="0" fontId="7" fillId="11" borderId="30" xfId="0" applyFont="1" applyFill="1" applyBorder="1" applyAlignment="1">
      <alignment horizontal="left" vertical="center" wrapText="1"/>
    </xf>
    <xf numFmtId="0" fontId="7" fillId="11" borderId="30" xfId="0" applyFont="1" applyFill="1" applyBorder="1" applyAlignment="1">
      <alignment horizontal="center" vertical="center" wrapText="1"/>
    </xf>
    <xf numFmtId="166" fontId="7" fillId="11" borderId="30" xfId="0" applyNumberFormat="1" applyFont="1" applyFill="1" applyBorder="1" applyAlignment="1">
      <alignment horizontal="center" vertical="center" wrapText="1"/>
    </xf>
    <xf numFmtId="0" fontId="15" fillId="9" borderId="30" xfId="0" applyFont="1" applyFill="1" applyBorder="1" applyAlignment="1">
      <alignment horizontal="right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/>
    </xf>
    <xf numFmtId="166" fontId="8" fillId="0" borderId="30" xfId="0" applyNumberFormat="1" applyFont="1" applyBorder="1" applyAlignment="1">
      <alignment horizontal="center" vertical="center"/>
    </xf>
    <xf numFmtId="0" fontId="15" fillId="11" borderId="30" xfId="0" applyFont="1" applyFill="1" applyBorder="1" applyAlignment="1">
      <alignment horizontal="right" vertical="center" wrapText="1"/>
    </xf>
    <xf numFmtId="0" fontId="8" fillId="11" borderId="30" xfId="0" applyFont="1" applyFill="1" applyBorder="1" applyAlignment="1">
      <alignment horizontal="center" vertical="center" wrapText="1"/>
    </xf>
    <xf numFmtId="0" fontId="8" fillId="11" borderId="30" xfId="0" applyFont="1" applyFill="1" applyBorder="1" applyAlignment="1">
      <alignment horizontal="center" vertical="center"/>
    </xf>
    <xf numFmtId="166" fontId="8" fillId="11" borderId="30" xfId="0" applyNumberFormat="1" applyFont="1" applyFill="1" applyBorder="1" applyAlignment="1">
      <alignment horizontal="center" vertical="center"/>
    </xf>
    <xf numFmtId="0" fontId="8" fillId="0" borderId="30" xfId="0" applyFont="1" applyBorder="1" applyAlignment="1">
      <alignment horizontal="left" vertical="center" wrapText="1"/>
    </xf>
    <xf numFmtId="166" fontId="8" fillId="0" borderId="30" xfId="0" applyNumberFormat="1" applyFont="1" applyBorder="1" applyAlignment="1">
      <alignment horizontal="center" vertical="center" wrapText="1"/>
    </xf>
    <xf numFmtId="0" fontId="15" fillId="0" borderId="30" xfId="0" applyFont="1" applyBorder="1" applyAlignment="1">
      <alignment horizontal="right" vertical="center" wrapText="1"/>
    </xf>
    <xf numFmtId="4" fontId="9" fillId="13" borderId="36" xfId="0" applyNumberFormat="1" applyFont="1" applyFill="1" applyBorder="1" applyAlignment="1">
      <alignment horizontal="center" vertical="center" wrapText="1"/>
    </xf>
    <xf numFmtId="4" fontId="8" fillId="12" borderId="38" xfId="0" applyNumberFormat="1" applyFont="1" applyFill="1" applyBorder="1" applyAlignment="1">
      <alignment horizontal="center" vertical="center"/>
    </xf>
    <xf numFmtId="4" fontId="9" fillId="13" borderId="38" xfId="0" applyNumberFormat="1" applyFont="1" applyFill="1" applyBorder="1" applyAlignment="1">
      <alignment horizontal="center" vertical="center" wrapText="1"/>
    </xf>
    <xf numFmtId="0" fontId="8" fillId="11" borderId="30" xfId="0" applyFont="1" applyFill="1" applyBorder="1" applyAlignment="1">
      <alignment horizontal="left" vertical="center" wrapText="1"/>
    </xf>
    <xf numFmtId="166" fontId="8" fillId="11" borderId="30" xfId="0" applyNumberFormat="1" applyFont="1" applyFill="1" applyBorder="1" applyAlignment="1">
      <alignment horizontal="center" vertical="center" wrapText="1"/>
    </xf>
    <xf numFmtId="0" fontId="7" fillId="0" borderId="30" xfId="0" applyFont="1" applyBorder="1" applyAlignment="1">
      <alignment horizontal="left" vertical="center" wrapText="1"/>
    </xf>
    <xf numFmtId="166" fontId="7" fillId="0" borderId="30" xfId="0" applyNumberFormat="1" applyFont="1" applyBorder="1" applyAlignment="1">
      <alignment horizontal="center" vertical="center" wrapText="1"/>
    </xf>
    <xf numFmtId="4" fontId="8" fillId="13" borderId="38" xfId="0" applyNumberFormat="1" applyFont="1" applyFill="1" applyBorder="1" applyAlignment="1">
      <alignment horizontal="center" vertical="center" wrapText="1"/>
    </xf>
    <xf numFmtId="0" fontId="16" fillId="9" borderId="30" xfId="0" applyFont="1" applyFill="1" applyBorder="1" applyAlignment="1">
      <alignment horizontal="right" vertical="center" wrapText="1"/>
    </xf>
    <xf numFmtId="0" fontId="9" fillId="11" borderId="30" xfId="0" applyFont="1" applyFill="1" applyBorder="1" applyAlignment="1">
      <alignment horizontal="center" vertical="center" wrapText="1"/>
    </xf>
    <xf numFmtId="0" fontId="9" fillId="11" borderId="30" xfId="0" applyFont="1" applyFill="1" applyBorder="1" applyAlignment="1">
      <alignment horizontal="center" vertical="center"/>
    </xf>
    <xf numFmtId="166" fontId="9" fillId="11" borderId="30" xfId="0" applyNumberFormat="1" applyFont="1" applyFill="1" applyBorder="1" applyAlignment="1">
      <alignment horizontal="center" vertical="center"/>
    </xf>
    <xf numFmtId="0" fontId="16" fillId="0" borderId="30" xfId="0" applyFont="1" applyBorder="1" applyAlignment="1">
      <alignment horizontal="right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/>
    </xf>
    <xf numFmtId="166" fontId="9" fillId="0" borderId="30" xfId="0" applyNumberFormat="1" applyFont="1" applyBorder="1" applyAlignment="1">
      <alignment horizontal="center" vertical="center"/>
    </xf>
    <xf numFmtId="0" fontId="14" fillId="13" borderId="35" xfId="0" applyFont="1" applyFill="1" applyBorder="1"/>
    <xf numFmtId="4" fontId="17" fillId="12" borderId="38" xfId="0" applyNumberFormat="1" applyFont="1" applyFill="1" applyBorder="1" applyAlignment="1">
      <alignment horizontal="center" vertical="center"/>
    </xf>
    <xf numFmtId="4" fontId="17" fillId="13" borderId="38" xfId="0" applyNumberFormat="1" applyFont="1" applyFill="1" applyBorder="1" applyAlignment="1">
      <alignment horizontal="center" vertical="center" wrapText="1"/>
    </xf>
    <xf numFmtId="4" fontId="18" fillId="12" borderId="38" xfId="0" applyNumberFormat="1" applyFont="1" applyFill="1" applyBorder="1" applyAlignment="1">
      <alignment horizontal="center" vertical="center"/>
    </xf>
    <xf numFmtId="4" fontId="18" fillId="13" borderId="38" xfId="0" applyNumberFormat="1" applyFont="1" applyFill="1" applyBorder="1" applyAlignment="1">
      <alignment horizontal="center" vertical="center" wrapText="1"/>
    </xf>
    <xf numFmtId="4" fontId="9" fillId="12" borderId="38" xfId="0" applyNumberFormat="1" applyFont="1" applyFill="1" applyBorder="1" applyAlignment="1">
      <alignment horizontal="center" vertical="center"/>
    </xf>
    <xf numFmtId="0" fontId="8" fillId="0" borderId="30" xfId="0" applyFont="1" applyBorder="1" applyAlignment="1">
      <alignment horizontal="right" vertical="center" wrapText="1"/>
    </xf>
    <xf numFmtId="0" fontId="8" fillId="11" borderId="30" xfId="0" applyFont="1" applyFill="1" applyBorder="1" applyAlignment="1">
      <alignment horizontal="right" vertical="center" wrapText="1"/>
    </xf>
    <xf numFmtId="4" fontId="19" fillId="13" borderId="38" xfId="0" applyNumberFormat="1" applyFont="1" applyFill="1" applyBorder="1" applyAlignment="1">
      <alignment horizontal="center" vertical="center" wrapText="1"/>
    </xf>
    <xf numFmtId="0" fontId="10" fillId="11" borderId="30" xfId="0" applyFont="1" applyFill="1" applyBorder="1" applyAlignment="1">
      <alignment horizontal="left" vertical="center" wrapText="1"/>
    </xf>
    <xf numFmtId="0" fontId="10" fillId="11" borderId="30" xfId="0" applyFont="1" applyFill="1" applyBorder="1" applyAlignment="1">
      <alignment horizontal="center" vertical="center" wrapText="1"/>
    </xf>
    <xf numFmtId="166" fontId="10" fillId="11" borderId="30" xfId="0" applyNumberFormat="1" applyFont="1" applyFill="1" applyBorder="1" applyAlignment="1">
      <alignment horizontal="center" vertical="center" wrapText="1"/>
    </xf>
    <xf numFmtId="0" fontId="15" fillId="10" borderId="30" xfId="0" applyFont="1" applyFill="1" applyBorder="1" applyAlignment="1">
      <alignment horizontal="right" vertical="center" wrapText="1"/>
    </xf>
    <xf numFmtId="0" fontId="15" fillId="8" borderId="30" xfId="0" applyFont="1" applyFill="1" applyBorder="1" applyAlignment="1">
      <alignment horizontal="right" vertical="center" wrapText="1"/>
    </xf>
    <xf numFmtId="0" fontId="8" fillId="8" borderId="30" xfId="0" applyFont="1" applyFill="1" applyBorder="1" applyAlignment="1">
      <alignment horizontal="center" vertical="center" wrapText="1"/>
    </xf>
    <xf numFmtId="0" fontId="8" fillId="8" borderId="30" xfId="0" applyFont="1" applyFill="1" applyBorder="1" applyAlignment="1">
      <alignment horizontal="center" vertical="center"/>
    </xf>
    <xf numFmtId="166" fontId="8" fillId="8" borderId="30" xfId="0" applyNumberFormat="1" applyFont="1" applyFill="1" applyBorder="1" applyAlignment="1">
      <alignment horizontal="center" vertical="center"/>
    </xf>
    <xf numFmtId="0" fontId="8" fillId="10" borderId="30" xfId="0" applyFont="1" applyFill="1" applyBorder="1" applyAlignment="1">
      <alignment horizontal="right" vertical="center" wrapText="1"/>
    </xf>
    <xf numFmtId="0" fontId="8" fillId="8" borderId="30" xfId="0" applyFont="1" applyFill="1" applyBorder="1" applyAlignment="1">
      <alignment horizontal="right" vertical="center" wrapText="1"/>
    </xf>
    <xf numFmtId="4" fontId="8" fillId="12" borderId="37" xfId="0" applyNumberFormat="1" applyFont="1" applyFill="1" applyBorder="1" applyAlignment="1">
      <alignment horizontal="center" vertical="center"/>
    </xf>
    <xf numFmtId="49" fontId="2" fillId="3" borderId="7" xfId="0" applyNumberFormat="1" applyFont="1" applyFill="1" applyBorder="1" applyAlignment="1">
      <alignment horizontal="center" vertical="center"/>
    </xf>
    <xf numFmtId="2" fontId="2" fillId="3" borderId="9" xfId="0" applyNumberFormat="1" applyFont="1" applyFill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 wrapText="1" indent="2"/>
    </xf>
    <xf numFmtId="2" fontId="2" fillId="3" borderId="5" xfId="0" applyNumberFormat="1" applyFont="1" applyFill="1" applyBorder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 vertical="center"/>
    </xf>
    <xf numFmtId="2" fontId="2" fillId="3" borderId="6" xfId="0" applyNumberFormat="1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2" fontId="13" fillId="0" borderId="8" xfId="0" applyNumberFormat="1" applyFont="1" applyBorder="1"/>
    <xf numFmtId="2" fontId="13" fillId="0" borderId="0" xfId="0" applyNumberFormat="1" applyFont="1"/>
    <xf numFmtId="165" fontId="14" fillId="12" borderId="0" xfId="0" applyNumberFormat="1" applyFont="1" applyFill="1" applyBorder="1"/>
    <xf numFmtId="4" fontId="9" fillId="13" borderId="0" xfId="0" applyNumberFormat="1" applyFont="1" applyFill="1" applyBorder="1" applyAlignment="1">
      <alignment horizontal="center" vertical="center" wrapText="1"/>
    </xf>
    <xf numFmtId="4" fontId="8" fillId="12" borderId="0" xfId="0" applyNumberFormat="1" applyFont="1" applyFill="1" applyBorder="1" applyAlignment="1">
      <alignment horizontal="center" vertical="center"/>
    </xf>
    <xf numFmtId="4" fontId="8" fillId="13" borderId="0" xfId="0" applyNumberFormat="1" applyFont="1" applyFill="1" applyBorder="1" applyAlignment="1">
      <alignment horizontal="center" vertical="center" wrapText="1"/>
    </xf>
    <xf numFmtId="4" fontId="17" fillId="12" borderId="0" xfId="0" applyNumberFormat="1" applyFont="1" applyFill="1" applyBorder="1" applyAlignment="1">
      <alignment horizontal="center" vertical="center"/>
    </xf>
    <xf numFmtId="4" fontId="17" fillId="13" borderId="0" xfId="0" applyNumberFormat="1" applyFont="1" applyFill="1" applyBorder="1" applyAlignment="1">
      <alignment horizontal="center" vertical="center" wrapText="1"/>
    </xf>
    <xf numFmtId="4" fontId="18" fillId="12" borderId="0" xfId="0" applyNumberFormat="1" applyFont="1" applyFill="1" applyBorder="1" applyAlignment="1">
      <alignment horizontal="center" vertical="center"/>
    </xf>
    <xf numFmtId="4" fontId="18" fillId="13" borderId="0" xfId="0" applyNumberFormat="1" applyFont="1" applyFill="1" applyBorder="1" applyAlignment="1">
      <alignment horizontal="center" vertical="center" wrapText="1"/>
    </xf>
    <xf numFmtId="4" fontId="9" fillId="12" borderId="0" xfId="0" applyNumberFormat="1" applyFont="1" applyFill="1" applyBorder="1" applyAlignment="1">
      <alignment horizontal="center" vertical="center"/>
    </xf>
    <xf numFmtId="4" fontId="19" fillId="13" borderId="0" xfId="0" applyNumberFormat="1" applyFont="1" applyFill="1" applyBorder="1" applyAlignment="1">
      <alignment horizontal="center" vertical="center" wrapText="1"/>
    </xf>
    <xf numFmtId="0" fontId="10" fillId="7" borderId="40" xfId="0" applyFont="1" applyFill="1" applyBorder="1" applyAlignment="1">
      <alignment horizontal="center" vertical="center" wrapText="1"/>
    </xf>
    <xf numFmtId="4" fontId="8" fillId="12" borderId="36" xfId="0" applyNumberFormat="1" applyFont="1" applyFill="1" applyBorder="1" applyAlignment="1">
      <alignment horizontal="center" vertical="center"/>
    </xf>
    <xf numFmtId="0" fontId="14" fillId="12" borderId="41" xfId="0" applyFont="1" applyFill="1" applyBorder="1"/>
    <xf numFmtId="4" fontId="18" fillId="12" borderId="36" xfId="0" applyNumberFormat="1" applyFont="1" applyFill="1" applyBorder="1" applyAlignment="1">
      <alignment horizontal="center" vertical="center"/>
    </xf>
    <xf numFmtId="4" fontId="9" fillId="12" borderId="36" xfId="0" applyNumberFormat="1" applyFont="1" applyFill="1" applyBorder="1" applyAlignment="1">
      <alignment horizontal="center" vertical="center"/>
    </xf>
    <xf numFmtId="4" fontId="19" fillId="13" borderId="36" xfId="0" applyNumberFormat="1" applyFont="1" applyFill="1" applyBorder="1" applyAlignment="1">
      <alignment horizontal="center" vertical="center" wrapText="1"/>
    </xf>
    <xf numFmtId="0" fontId="10" fillId="12" borderId="8" xfId="0" applyFont="1" applyFill="1" applyBorder="1" applyAlignment="1">
      <alignment vertical="center" wrapText="1"/>
    </xf>
    <xf numFmtId="0" fontId="10" fillId="7" borderId="8" xfId="0" applyFont="1" applyFill="1" applyBorder="1" applyAlignment="1">
      <alignment vertical="center"/>
    </xf>
    <xf numFmtId="165" fontId="14" fillId="12" borderId="8" xfId="0" applyNumberFormat="1" applyFont="1" applyFill="1" applyBorder="1"/>
    <xf numFmtId="165" fontId="8" fillId="12" borderId="8" xfId="0" applyNumberFormat="1" applyFont="1" applyFill="1" applyBorder="1" applyAlignment="1">
      <alignment horizontal="center" vertical="center"/>
    </xf>
    <xf numFmtId="4" fontId="8" fillId="12" borderId="8" xfId="0" applyNumberFormat="1" applyFont="1" applyFill="1" applyBorder="1" applyAlignment="1">
      <alignment horizontal="center" vertical="center"/>
    </xf>
    <xf numFmtId="4" fontId="18" fillId="12" borderId="8" xfId="0" applyNumberFormat="1" applyFont="1" applyFill="1" applyBorder="1" applyAlignment="1">
      <alignment horizontal="center" vertical="center"/>
    </xf>
    <xf numFmtId="4" fontId="18" fillId="13" borderId="8" xfId="0" applyNumberFormat="1" applyFont="1" applyFill="1" applyBorder="1" applyAlignment="1">
      <alignment horizontal="center" vertical="center" wrapText="1"/>
    </xf>
    <xf numFmtId="4" fontId="9" fillId="13" borderId="8" xfId="0" applyNumberFormat="1" applyFont="1" applyFill="1" applyBorder="1" applyAlignment="1">
      <alignment horizontal="center" vertical="center" wrapText="1"/>
    </xf>
    <xf numFmtId="4" fontId="9" fillId="12" borderId="8" xfId="0" applyNumberFormat="1" applyFont="1" applyFill="1" applyBorder="1" applyAlignment="1">
      <alignment horizontal="center" vertical="center"/>
    </xf>
    <xf numFmtId="4" fontId="8" fillId="13" borderId="8" xfId="0" applyNumberFormat="1" applyFont="1" applyFill="1" applyBorder="1" applyAlignment="1">
      <alignment horizontal="center" vertical="center" wrapText="1"/>
    </xf>
    <xf numFmtId="4" fontId="19" fillId="13" borderId="8" xfId="0" applyNumberFormat="1" applyFont="1" applyFill="1" applyBorder="1" applyAlignment="1">
      <alignment horizontal="center" vertical="center" wrapText="1"/>
    </xf>
    <xf numFmtId="165" fontId="10" fillId="7" borderId="8" xfId="0" applyNumberFormat="1" applyFont="1" applyFill="1" applyBorder="1" applyAlignment="1">
      <alignment vertical="center"/>
    </xf>
    <xf numFmtId="165" fontId="14" fillId="13" borderId="0" xfId="0" applyNumberFormat="1" applyFont="1" applyFill="1" applyBorder="1"/>
    <xf numFmtId="165" fontId="14" fillId="13" borderId="8" xfId="0" applyNumberFormat="1" applyFont="1" applyFill="1" applyBorder="1"/>
    <xf numFmtId="0" fontId="2" fillId="0" borderId="8" xfId="0" applyFont="1" applyBorder="1" applyAlignment="1">
      <alignment horizontal="center" vertical="center" wrapText="1"/>
    </xf>
    <xf numFmtId="165" fontId="21" fillId="12" borderId="8" xfId="0" applyNumberFormat="1" applyFont="1" applyFill="1" applyBorder="1" applyAlignment="1">
      <alignment horizontal="center" vertical="center"/>
    </xf>
    <xf numFmtId="166" fontId="10" fillId="15" borderId="34" xfId="0" applyNumberFormat="1" applyFont="1" applyFill="1" applyBorder="1" applyAlignment="1">
      <alignment horizontal="center" vertical="center" wrapText="1"/>
    </xf>
    <xf numFmtId="165" fontId="21" fillId="14" borderId="8" xfId="0" applyNumberFormat="1" applyFont="1" applyFill="1" applyBorder="1" applyAlignment="1">
      <alignment horizontal="center" vertical="center"/>
    </xf>
    <xf numFmtId="165" fontId="14" fillId="14" borderId="8" xfId="0" applyNumberFormat="1" applyFont="1" applyFill="1" applyBorder="1"/>
    <xf numFmtId="2" fontId="13" fillId="15" borderId="8" xfId="0" applyNumberFormat="1" applyFont="1" applyFill="1" applyBorder="1"/>
    <xf numFmtId="0" fontId="13" fillId="15" borderId="0" xfId="0" applyFont="1" applyFill="1"/>
    <xf numFmtId="0" fontId="7" fillId="16" borderId="39" xfId="0" applyFont="1" applyFill="1" applyBorder="1" applyAlignment="1">
      <alignment horizontal="left" vertical="center"/>
    </xf>
    <xf numFmtId="0" fontId="7" fillId="16" borderId="30" xfId="0" applyFont="1" applyFill="1" applyBorder="1" applyAlignment="1">
      <alignment horizontal="left" vertical="center"/>
    </xf>
    <xf numFmtId="0" fontId="7" fillId="16" borderId="30" xfId="0" applyFont="1" applyFill="1" applyBorder="1" applyAlignment="1">
      <alignment horizontal="left" vertical="center" wrapText="1"/>
    </xf>
    <xf numFmtId="0" fontId="7" fillId="16" borderId="30" xfId="0" applyFont="1" applyFill="1" applyBorder="1" applyAlignment="1">
      <alignment horizontal="center" vertical="center" wrapText="1"/>
    </xf>
    <xf numFmtId="166" fontId="7" fillId="16" borderId="30" xfId="0" applyNumberFormat="1" applyFont="1" applyFill="1" applyBorder="1" applyAlignment="1">
      <alignment horizontal="center" vertical="center" wrapText="1"/>
    </xf>
    <xf numFmtId="166" fontId="10" fillId="17" borderId="34" xfId="0" applyNumberFormat="1" applyFont="1" applyFill="1" applyBorder="1" applyAlignment="1">
      <alignment horizontal="center" vertical="center" wrapText="1"/>
    </xf>
    <xf numFmtId="165" fontId="21" fillId="18" borderId="8" xfId="0" applyNumberFormat="1" applyFont="1" applyFill="1" applyBorder="1" applyAlignment="1">
      <alignment horizontal="center" vertical="center"/>
    </xf>
    <xf numFmtId="165" fontId="14" fillId="18" borderId="8" xfId="0" applyNumberFormat="1" applyFont="1" applyFill="1" applyBorder="1"/>
    <xf numFmtId="2" fontId="13" fillId="17" borderId="8" xfId="0" applyNumberFormat="1" applyFont="1" applyFill="1" applyBorder="1"/>
    <xf numFmtId="0" fontId="13" fillId="17" borderId="0" xfId="0" applyFont="1" applyFill="1"/>
    <xf numFmtId="0" fontId="7" fillId="19" borderId="39" xfId="0" applyFont="1" applyFill="1" applyBorder="1" applyAlignment="1">
      <alignment horizontal="left" vertical="center"/>
    </xf>
    <xf numFmtId="0" fontId="7" fillId="19" borderId="30" xfId="0" applyFont="1" applyFill="1" applyBorder="1" applyAlignment="1">
      <alignment horizontal="left" vertical="center"/>
    </xf>
    <xf numFmtId="0" fontId="7" fillId="19" borderId="30" xfId="0" applyFont="1" applyFill="1" applyBorder="1" applyAlignment="1">
      <alignment horizontal="left" vertical="center" wrapText="1"/>
    </xf>
    <xf numFmtId="0" fontId="7" fillId="19" borderId="30" xfId="0" applyFont="1" applyFill="1" applyBorder="1" applyAlignment="1">
      <alignment horizontal="center" vertical="center" wrapText="1"/>
    </xf>
    <xf numFmtId="166" fontId="7" fillId="19" borderId="30" xfId="0" applyNumberFormat="1" applyFont="1" applyFill="1" applyBorder="1" applyAlignment="1">
      <alignment horizontal="center" vertical="center" wrapText="1"/>
    </xf>
    <xf numFmtId="166" fontId="10" fillId="4" borderId="34" xfId="0" applyNumberFormat="1" applyFont="1" applyFill="1" applyBorder="1" applyAlignment="1">
      <alignment horizontal="center" vertical="center" wrapText="1"/>
    </xf>
    <xf numFmtId="165" fontId="21" fillId="20" borderId="8" xfId="0" applyNumberFormat="1" applyFont="1" applyFill="1" applyBorder="1" applyAlignment="1">
      <alignment horizontal="center" vertical="center"/>
    </xf>
    <xf numFmtId="165" fontId="14" fillId="20" borderId="8" xfId="0" applyNumberFormat="1" applyFont="1" applyFill="1" applyBorder="1"/>
    <xf numFmtId="2" fontId="13" fillId="4" borderId="8" xfId="0" applyNumberFormat="1" applyFont="1" applyFill="1" applyBorder="1"/>
    <xf numFmtId="0" fontId="13" fillId="4" borderId="0" xfId="0" applyFont="1" applyFill="1"/>
    <xf numFmtId="0" fontId="7" fillId="21" borderId="39" xfId="0" applyFont="1" applyFill="1" applyBorder="1" applyAlignment="1">
      <alignment horizontal="left" vertical="center"/>
    </xf>
    <xf numFmtId="0" fontId="7" fillId="21" borderId="30" xfId="0" applyFont="1" applyFill="1" applyBorder="1" applyAlignment="1">
      <alignment horizontal="left" vertical="center"/>
    </xf>
    <xf numFmtId="0" fontId="7" fillId="21" borderId="30" xfId="0" applyFont="1" applyFill="1" applyBorder="1" applyAlignment="1">
      <alignment horizontal="left" vertical="center" wrapText="1"/>
    </xf>
    <xf numFmtId="0" fontId="7" fillId="21" borderId="30" xfId="0" applyFont="1" applyFill="1" applyBorder="1" applyAlignment="1">
      <alignment horizontal="center" vertical="center" wrapText="1"/>
    </xf>
    <xf numFmtId="166" fontId="7" fillId="21" borderId="30" xfId="0" applyNumberFormat="1" applyFont="1" applyFill="1" applyBorder="1" applyAlignment="1">
      <alignment horizontal="center" vertical="center" wrapText="1"/>
    </xf>
    <xf numFmtId="166" fontId="10" fillId="22" borderId="34" xfId="0" applyNumberFormat="1" applyFont="1" applyFill="1" applyBorder="1" applyAlignment="1">
      <alignment horizontal="center" vertical="center" wrapText="1"/>
    </xf>
    <xf numFmtId="165" fontId="21" fillId="23" borderId="8" xfId="0" applyNumberFormat="1" applyFont="1" applyFill="1" applyBorder="1" applyAlignment="1">
      <alignment horizontal="center" vertical="center"/>
    </xf>
    <xf numFmtId="165" fontId="14" fillId="23" borderId="8" xfId="0" applyNumberFormat="1" applyFont="1" applyFill="1" applyBorder="1"/>
    <xf numFmtId="2" fontId="13" fillId="22" borderId="8" xfId="0" applyNumberFormat="1" applyFont="1" applyFill="1" applyBorder="1"/>
    <xf numFmtId="0" fontId="13" fillId="22" borderId="0" xfId="0" applyFont="1" applyFill="1"/>
    <xf numFmtId="0" fontId="7" fillId="24" borderId="39" xfId="0" applyFont="1" applyFill="1" applyBorder="1" applyAlignment="1">
      <alignment horizontal="left" vertical="center"/>
    </xf>
    <xf numFmtId="0" fontId="7" fillId="24" borderId="30" xfId="0" applyFont="1" applyFill="1" applyBorder="1" applyAlignment="1">
      <alignment horizontal="left" vertical="center"/>
    </xf>
    <xf numFmtId="0" fontId="7" fillId="24" borderId="30" xfId="0" applyFont="1" applyFill="1" applyBorder="1" applyAlignment="1">
      <alignment horizontal="left" vertical="center" wrapText="1"/>
    </xf>
    <xf numFmtId="0" fontId="7" fillId="24" borderId="30" xfId="0" applyFont="1" applyFill="1" applyBorder="1" applyAlignment="1">
      <alignment horizontal="center" vertical="center" wrapText="1"/>
    </xf>
    <xf numFmtId="166" fontId="7" fillId="24" borderId="30" xfId="0" applyNumberFormat="1" applyFont="1" applyFill="1" applyBorder="1" applyAlignment="1">
      <alignment horizontal="center" vertical="center" wrapText="1"/>
    </xf>
    <xf numFmtId="166" fontId="10" fillId="3" borderId="34" xfId="0" applyNumberFormat="1" applyFont="1" applyFill="1" applyBorder="1" applyAlignment="1">
      <alignment horizontal="center" vertical="center" wrapText="1"/>
    </xf>
    <xf numFmtId="165" fontId="21" fillId="25" borderId="8" xfId="0" applyNumberFormat="1" applyFont="1" applyFill="1" applyBorder="1" applyAlignment="1">
      <alignment horizontal="center" vertical="center"/>
    </xf>
    <xf numFmtId="165" fontId="14" fillId="25" borderId="8" xfId="0" applyNumberFormat="1" applyFont="1" applyFill="1" applyBorder="1"/>
    <xf numFmtId="2" fontId="13" fillId="3" borderId="8" xfId="0" applyNumberFormat="1" applyFont="1" applyFill="1" applyBorder="1"/>
    <xf numFmtId="0" fontId="13" fillId="3" borderId="0" xfId="0" applyFont="1" applyFill="1"/>
    <xf numFmtId="166" fontId="10" fillId="26" borderId="34" xfId="0" applyNumberFormat="1" applyFont="1" applyFill="1" applyBorder="1" applyAlignment="1">
      <alignment horizontal="center" vertical="center" wrapText="1"/>
    </xf>
    <xf numFmtId="165" fontId="21" fillId="27" borderId="8" xfId="0" applyNumberFormat="1" applyFont="1" applyFill="1" applyBorder="1" applyAlignment="1">
      <alignment horizontal="center" vertical="center"/>
    </xf>
    <xf numFmtId="165" fontId="14" fillId="27" borderId="8" xfId="0" applyNumberFormat="1" applyFont="1" applyFill="1" applyBorder="1"/>
    <xf numFmtId="2" fontId="13" fillId="26" borderId="8" xfId="0" applyNumberFormat="1" applyFont="1" applyFill="1" applyBorder="1"/>
    <xf numFmtId="0" fontId="13" fillId="26" borderId="0" xfId="0" applyFont="1" applyFill="1"/>
    <xf numFmtId="0" fontId="7" fillId="28" borderId="39" xfId="0" applyFont="1" applyFill="1" applyBorder="1" applyAlignment="1">
      <alignment horizontal="left" vertical="center"/>
    </xf>
    <xf numFmtId="0" fontId="7" fillId="28" borderId="30" xfId="0" applyFont="1" applyFill="1" applyBorder="1" applyAlignment="1">
      <alignment horizontal="left" vertical="center"/>
    </xf>
    <xf numFmtId="0" fontId="7" fillId="28" borderId="30" xfId="0" applyFont="1" applyFill="1" applyBorder="1" applyAlignment="1">
      <alignment horizontal="left" vertical="center" wrapText="1"/>
    </xf>
    <xf numFmtId="0" fontId="7" fillId="28" borderId="30" xfId="0" applyFont="1" applyFill="1" applyBorder="1" applyAlignment="1">
      <alignment horizontal="center" vertical="center" wrapText="1"/>
    </xf>
    <xf numFmtId="166" fontId="7" fillId="28" borderId="30" xfId="0" applyNumberFormat="1" applyFont="1" applyFill="1" applyBorder="1" applyAlignment="1">
      <alignment horizontal="center" vertical="center" wrapText="1"/>
    </xf>
    <xf numFmtId="166" fontId="10" fillId="29" borderId="34" xfId="0" applyNumberFormat="1" applyFont="1" applyFill="1" applyBorder="1" applyAlignment="1">
      <alignment horizontal="center" vertical="center" wrapText="1"/>
    </xf>
    <xf numFmtId="165" fontId="21" fillId="30" borderId="8" xfId="0" applyNumberFormat="1" applyFont="1" applyFill="1" applyBorder="1" applyAlignment="1">
      <alignment horizontal="center" vertical="center"/>
    </xf>
    <xf numFmtId="165" fontId="14" fillId="30" borderId="8" xfId="0" applyNumberFormat="1" applyFont="1" applyFill="1" applyBorder="1"/>
    <xf numFmtId="2" fontId="13" fillId="29" borderId="8" xfId="0" applyNumberFormat="1" applyFont="1" applyFill="1" applyBorder="1"/>
    <xf numFmtId="0" fontId="13" fillId="29" borderId="0" xfId="0" applyFont="1" applyFill="1"/>
    <xf numFmtId="0" fontId="7" fillId="15" borderId="39" xfId="0" applyFont="1" applyFill="1" applyBorder="1" applyAlignment="1">
      <alignment horizontal="left" vertical="center"/>
    </xf>
    <xf numFmtId="0" fontId="7" fillId="15" borderId="30" xfId="0" applyFont="1" applyFill="1" applyBorder="1" applyAlignment="1">
      <alignment horizontal="left" vertical="center"/>
    </xf>
    <xf numFmtId="0" fontId="7" fillId="15" borderId="30" xfId="0" applyFont="1" applyFill="1" applyBorder="1" applyAlignment="1">
      <alignment horizontal="left" vertical="center" wrapText="1"/>
    </xf>
    <xf numFmtId="0" fontId="7" fillId="15" borderId="30" xfId="0" applyFont="1" applyFill="1" applyBorder="1" applyAlignment="1">
      <alignment horizontal="center" vertical="center" wrapText="1"/>
    </xf>
    <xf numFmtId="166" fontId="7" fillId="15" borderId="30" xfId="0" applyNumberFormat="1" applyFont="1" applyFill="1" applyBorder="1" applyAlignment="1">
      <alignment horizontal="center" vertical="center" wrapText="1"/>
    </xf>
    <xf numFmtId="0" fontId="7" fillId="26" borderId="39" xfId="0" applyFont="1" applyFill="1" applyBorder="1" applyAlignment="1">
      <alignment horizontal="left" vertical="center"/>
    </xf>
    <xf numFmtId="0" fontId="7" fillId="26" borderId="30" xfId="0" applyFont="1" applyFill="1" applyBorder="1" applyAlignment="1">
      <alignment horizontal="left" vertical="center"/>
    </xf>
    <xf numFmtId="0" fontId="7" fillId="26" borderId="30" xfId="0" applyFont="1" applyFill="1" applyBorder="1" applyAlignment="1">
      <alignment horizontal="left" vertical="center" wrapText="1"/>
    </xf>
    <xf numFmtId="0" fontId="7" fillId="26" borderId="30" xfId="0" applyFont="1" applyFill="1" applyBorder="1" applyAlignment="1">
      <alignment horizontal="center" vertical="center" wrapText="1"/>
    </xf>
    <xf numFmtId="166" fontId="7" fillId="26" borderId="30" xfId="0" applyNumberFormat="1" applyFont="1" applyFill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13" fillId="0" borderId="8" xfId="0" applyFont="1" applyBorder="1"/>
    <xf numFmtId="0" fontId="13" fillId="0" borderId="0" xfId="0" applyFont="1" applyFill="1"/>
    <xf numFmtId="165" fontId="13" fillId="0" borderId="8" xfId="0" applyNumberFormat="1" applyFont="1" applyBorder="1"/>
    <xf numFmtId="165" fontId="13" fillId="17" borderId="8" xfId="0" applyNumberFormat="1" applyFont="1" applyFill="1" applyBorder="1"/>
    <xf numFmtId="165" fontId="13" fillId="26" borderId="8" xfId="0" applyNumberFormat="1" applyFont="1" applyFill="1" applyBorder="1"/>
    <xf numFmtId="165" fontId="13" fillId="29" borderId="8" xfId="0" applyNumberFormat="1" applyFont="1" applyFill="1" applyBorder="1"/>
    <xf numFmtId="165" fontId="13" fillId="15" borderId="8" xfId="0" applyNumberFormat="1" applyFont="1" applyFill="1" applyBorder="1"/>
    <xf numFmtId="165" fontId="13" fillId="4" borderId="8" xfId="0" applyNumberFormat="1" applyFont="1" applyFill="1" applyBorder="1"/>
    <xf numFmtId="165" fontId="13" fillId="3" borderId="8" xfId="0" applyNumberFormat="1" applyFont="1" applyFill="1" applyBorder="1"/>
    <xf numFmtId="165" fontId="13" fillId="22" borderId="8" xfId="0" applyNumberFormat="1" applyFont="1" applyFill="1" applyBorder="1"/>
    <xf numFmtId="165" fontId="13" fillId="31" borderId="8" xfId="0" applyNumberFormat="1" applyFont="1" applyFill="1" applyBorder="1"/>
    <xf numFmtId="165" fontId="13" fillId="0" borderId="0" xfId="0" applyNumberFormat="1" applyFont="1" applyFill="1"/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2" fillId="0" borderId="28" xfId="2" applyFont="1" applyFill="1" applyBorder="1" applyAlignment="1">
      <alignment vertical="center" wrapText="1"/>
    </xf>
    <xf numFmtId="0" fontId="22" fillId="0" borderId="29" xfId="2" applyFont="1" applyFill="1" applyBorder="1" applyAlignment="1">
      <alignment vertical="center" wrapText="1"/>
    </xf>
    <xf numFmtId="0" fontId="22" fillId="0" borderId="0" xfId="2" applyFont="1" applyFill="1" applyBorder="1" applyAlignment="1">
      <alignment vertical="center"/>
    </xf>
    <xf numFmtId="0" fontId="22" fillId="0" borderId="30" xfId="2" applyFont="1" applyFill="1" applyBorder="1" applyAlignment="1">
      <alignment vertical="center" wrapText="1"/>
    </xf>
    <xf numFmtId="0" fontId="22" fillId="0" borderId="31" xfId="2" applyFont="1" applyFill="1" applyBorder="1" applyAlignment="1">
      <alignment vertical="center" wrapText="1"/>
    </xf>
    <xf numFmtId="0" fontId="22" fillId="0" borderId="0" xfId="2" applyFont="1" applyFill="1" applyBorder="1" applyAlignment="1">
      <alignment vertical="center" wrapText="1"/>
    </xf>
    <xf numFmtId="0" fontId="22" fillId="0" borderId="32" xfId="2" applyFont="1" applyFill="1" applyBorder="1" applyAlignment="1">
      <alignment vertical="center" wrapText="1"/>
    </xf>
    <xf numFmtId="0" fontId="22" fillId="0" borderId="28" xfId="2" applyFont="1" applyFill="1" applyBorder="1" applyAlignment="1">
      <alignment vertical="center" wrapText="1"/>
    </xf>
    <xf numFmtId="0" fontId="22" fillId="0" borderId="32" xfId="2" applyFont="1" applyFill="1" applyBorder="1" applyAlignment="1">
      <alignment vertical="center" wrapText="1"/>
    </xf>
    <xf numFmtId="0" fontId="22" fillId="0" borderId="30" xfId="2" applyFont="1" applyFill="1" applyBorder="1" applyAlignment="1">
      <alignment vertical="center" wrapText="1"/>
    </xf>
    <xf numFmtId="0" fontId="24" fillId="0" borderId="30" xfId="2" applyFont="1" applyFill="1" applyBorder="1" applyAlignment="1">
      <alignment vertical="center" wrapText="1"/>
    </xf>
    <xf numFmtId="0" fontId="24" fillId="0" borderId="28" xfId="2" applyFont="1" applyFill="1" applyBorder="1" applyAlignment="1">
      <alignment vertical="center" wrapText="1"/>
    </xf>
    <xf numFmtId="0" fontId="24" fillId="0" borderId="29" xfId="2" applyFont="1" applyFill="1" applyBorder="1" applyAlignment="1">
      <alignment vertical="center" wrapText="1"/>
    </xf>
    <xf numFmtId="3" fontId="11" fillId="0" borderId="32" xfId="2" applyNumberFormat="1" applyFont="1" applyFill="1" applyBorder="1" applyAlignment="1">
      <alignment vertical="center" shrinkToFit="1"/>
    </xf>
    <xf numFmtId="165" fontId="11" fillId="0" borderId="32" xfId="2" applyNumberFormat="1" applyFont="1" applyFill="1" applyBorder="1" applyAlignment="1">
      <alignment vertical="center" shrinkToFit="1"/>
    </xf>
    <xf numFmtId="0" fontId="24" fillId="0" borderId="32" xfId="2" applyFont="1" applyFill="1" applyBorder="1" applyAlignment="1">
      <alignment vertical="center" wrapText="1"/>
    </xf>
    <xf numFmtId="3" fontId="11" fillId="0" borderId="28" xfId="2" applyNumberFormat="1" applyFont="1" applyFill="1" applyBorder="1" applyAlignment="1">
      <alignment vertical="center" shrinkToFit="1"/>
    </xf>
    <xf numFmtId="165" fontId="11" fillId="0" borderId="28" xfId="2" applyNumberFormat="1" applyFont="1" applyFill="1" applyBorder="1" applyAlignment="1">
      <alignment vertical="center" shrinkToFit="1"/>
    </xf>
    <xf numFmtId="0" fontId="24" fillId="0" borderId="28" xfId="2" applyFont="1" applyFill="1" applyBorder="1" applyAlignment="1">
      <alignment vertical="center" wrapText="1"/>
    </xf>
    <xf numFmtId="3" fontId="11" fillId="0" borderId="30" xfId="2" applyNumberFormat="1" applyFont="1" applyFill="1" applyBorder="1" applyAlignment="1">
      <alignment vertical="center" shrinkToFit="1"/>
    </xf>
    <xf numFmtId="165" fontId="11" fillId="0" borderId="30" xfId="2" applyNumberFormat="1" applyFont="1" applyFill="1" applyBorder="1" applyAlignment="1">
      <alignment vertical="center" shrinkToFit="1"/>
    </xf>
    <xf numFmtId="0" fontId="24" fillId="0" borderId="30" xfId="2" applyFont="1" applyFill="1" applyBorder="1" applyAlignment="1">
      <alignment vertical="center" wrapText="1"/>
    </xf>
    <xf numFmtId="165" fontId="11" fillId="2" borderId="30" xfId="2" applyNumberFormat="1" applyFont="1" applyFill="1" applyBorder="1" applyAlignment="1">
      <alignment vertical="center" shrinkToFit="1"/>
    </xf>
    <xf numFmtId="165" fontId="11" fillId="2" borderId="28" xfId="2" applyNumberFormat="1" applyFont="1" applyFill="1" applyBorder="1" applyAlignment="1">
      <alignment vertical="center" shrinkToFit="1"/>
    </xf>
    <xf numFmtId="0" fontId="11" fillId="0" borderId="0" xfId="2" applyFont="1" applyFill="1" applyBorder="1" applyAlignment="1">
      <alignment horizontal="center" vertical="center"/>
    </xf>
    <xf numFmtId="0" fontId="11" fillId="0" borderId="0" xfId="2" applyFont="1" applyFill="1" applyBorder="1" applyAlignment="1">
      <alignment horizontal="center" vertical="center" wrapText="1"/>
    </xf>
    <xf numFmtId="0" fontId="11" fillId="0" borderId="23" xfId="2" applyFont="1" applyFill="1" applyBorder="1" applyAlignment="1">
      <alignment horizontal="center" vertical="center"/>
    </xf>
    <xf numFmtId="2" fontId="2" fillId="0" borderId="23" xfId="0" applyNumberFormat="1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0" fontId="23" fillId="11" borderId="8" xfId="0" applyFont="1" applyFill="1" applyBorder="1" applyAlignment="1">
      <alignment horizontal="left" vertical="center" wrapText="1"/>
    </xf>
    <xf numFmtId="0" fontId="23" fillId="11" borderId="8" xfId="0" applyFont="1" applyFill="1" applyBorder="1" applyAlignment="1">
      <alignment horizontal="center" vertical="center" wrapText="1"/>
    </xf>
    <xf numFmtId="166" fontId="23" fillId="11" borderId="8" xfId="0" applyNumberFormat="1" applyFont="1" applyFill="1" applyBorder="1" applyAlignment="1">
      <alignment horizontal="center" vertical="center" wrapText="1"/>
    </xf>
    <xf numFmtId="0" fontId="23" fillId="0" borderId="8" xfId="0" applyFont="1" applyBorder="1" applyAlignment="1">
      <alignment horizontal="left" vertical="center" wrapText="1"/>
    </xf>
    <xf numFmtId="166" fontId="23" fillId="0" borderId="8" xfId="0" applyNumberFormat="1" applyFont="1" applyBorder="1" applyAlignment="1">
      <alignment horizontal="center" vertical="center" wrapText="1"/>
    </xf>
    <xf numFmtId="0" fontId="23" fillId="16" borderId="8" xfId="0" applyFont="1" applyFill="1" applyBorder="1" applyAlignment="1">
      <alignment horizontal="left" vertical="center" wrapText="1"/>
    </xf>
    <xf numFmtId="0" fontId="23" fillId="16" borderId="8" xfId="0" applyFont="1" applyFill="1" applyBorder="1" applyAlignment="1">
      <alignment horizontal="center" vertical="center" wrapText="1"/>
    </xf>
    <xf numFmtId="166" fontId="23" fillId="16" borderId="8" xfId="0" applyNumberFormat="1" applyFont="1" applyFill="1" applyBorder="1" applyAlignment="1">
      <alignment horizontal="center" vertical="center" wrapText="1"/>
    </xf>
    <xf numFmtId="0" fontId="23" fillId="26" borderId="8" xfId="0" applyFont="1" applyFill="1" applyBorder="1" applyAlignment="1">
      <alignment horizontal="left" vertical="center" wrapText="1"/>
    </xf>
    <xf numFmtId="0" fontId="23" fillId="26" borderId="8" xfId="0" applyFont="1" applyFill="1" applyBorder="1" applyAlignment="1">
      <alignment horizontal="center" vertical="center" wrapText="1"/>
    </xf>
    <xf numFmtId="166" fontId="23" fillId="26" borderId="8" xfId="0" applyNumberFormat="1" applyFont="1" applyFill="1" applyBorder="1" applyAlignment="1">
      <alignment horizontal="center" vertical="center" wrapText="1"/>
    </xf>
    <xf numFmtId="0" fontId="23" fillId="28" borderId="8" xfId="0" applyFont="1" applyFill="1" applyBorder="1" applyAlignment="1">
      <alignment horizontal="left" vertical="center" wrapText="1"/>
    </xf>
    <xf numFmtId="0" fontId="23" fillId="28" borderId="8" xfId="0" applyFont="1" applyFill="1" applyBorder="1" applyAlignment="1">
      <alignment horizontal="center" vertical="center" wrapText="1"/>
    </xf>
    <xf numFmtId="166" fontId="23" fillId="28" borderId="8" xfId="0" applyNumberFormat="1" applyFont="1" applyFill="1" applyBorder="1" applyAlignment="1">
      <alignment horizontal="center" vertical="center" wrapText="1"/>
    </xf>
    <xf numFmtId="0" fontId="23" fillId="15" borderId="8" xfId="0" applyFont="1" applyFill="1" applyBorder="1" applyAlignment="1">
      <alignment horizontal="left" vertical="center" wrapText="1"/>
    </xf>
    <xf numFmtId="0" fontId="23" fillId="15" borderId="8" xfId="0" applyFont="1" applyFill="1" applyBorder="1" applyAlignment="1">
      <alignment horizontal="center" vertical="center" wrapText="1"/>
    </xf>
    <xf numFmtId="166" fontId="23" fillId="15" borderId="8" xfId="0" applyNumberFormat="1" applyFont="1" applyFill="1" applyBorder="1" applyAlignment="1">
      <alignment horizontal="center" vertical="center" wrapText="1"/>
    </xf>
    <xf numFmtId="0" fontId="23" fillId="19" borderId="8" xfId="0" applyFont="1" applyFill="1" applyBorder="1" applyAlignment="1">
      <alignment horizontal="left" vertical="center" wrapText="1"/>
    </xf>
    <xf numFmtId="0" fontId="23" fillId="19" borderId="8" xfId="0" applyFont="1" applyFill="1" applyBorder="1" applyAlignment="1">
      <alignment horizontal="center" vertical="center" wrapText="1"/>
    </xf>
    <xf numFmtId="166" fontId="23" fillId="19" borderId="8" xfId="0" applyNumberFormat="1" applyFont="1" applyFill="1" applyBorder="1" applyAlignment="1">
      <alignment horizontal="center" vertical="center" wrapText="1"/>
    </xf>
    <xf numFmtId="0" fontId="23" fillId="24" borderId="8" xfId="0" applyFont="1" applyFill="1" applyBorder="1" applyAlignment="1">
      <alignment horizontal="left" vertical="center" wrapText="1"/>
    </xf>
    <xf numFmtId="0" fontId="23" fillId="24" borderId="8" xfId="0" applyFont="1" applyFill="1" applyBorder="1" applyAlignment="1">
      <alignment horizontal="center" vertical="center" wrapText="1"/>
    </xf>
    <xf numFmtId="166" fontId="23" fillId="24" borderId="8" xfId="0" applyNumberFormat="1" applyFont="1" applyFill="1" applyBorder="1" applyAlignment="1">
      <alignment horizontal="center" vertical="center" wrapText="1"/>
    </xf>
    <xf numFmtId="0" fontId="23" fillId="21" borderId="8" xfId="0" applyFont="1" applyFill="1" applyBorder="1" applyAlignment="1">
      <alignment horizontal="left" vertical="center" wrapText="1"/>
    </xf>
    <xf numFmtId="0" fontId="23" fillId="21" borderId="8" xfId="0" applyFont="1" applyFill="1" applyBorder="1" applyAlignment="1">
      <alignment horizontal="center" vertical="center" wrapText="1"/>
    </xf>
    <xf numFmtId="166" fontId="23" fillId="21" borderId="8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right" vertical="center"/>
    </xf>
  </cellXfs>
  <cellStyles count="3">
    <cellStyle name="Обычный" xfId="0" builtinId="0"/>
    <cellStyle name="Обычный 2" xfId="1"/>
    <cellStyle name="Обычный 3" xfId="2"/>
  </cellStyles>
  <dxfs count="53"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0" formatCode="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rgb="FF000000"/>
        </left>
        <right/>
        <top/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ГОСТ тип А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/>
        <bottom style="thin">
          <color rgb="FF000000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rgb="FF000000"/>
        </left>
        <right/>
        <top/>
        <bottom style="thin">
          <color rgb="FF000000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ГОСТ тип А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/>
        <bottom style="thin">
          <color rgb="FF000000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rgb="FF000000"/>
        </left>
        <right/>
        <top/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ГОСТ тип А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/>
        <bottom style="thin">
          <color rgb="FF000000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rgb="FF000000"/>
        </left>
        <right/>
        <top/>
        <bottom style="thin">
          <color rgb="FF000000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ГОСТ тип А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/>
        <bottom style="thin">
          <color rgb="FF000000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rgb="FF000000"/>
        </left>
        <right/>
        <top/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ГОСТ тип А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/>
        <bottom style="thin">
          <color rgb="FF000000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rgb="FF000000"/>
        </left>
        <right/>
        <top/>
        <bottom style="thin">
          <color rgb="FF000000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ГОСТ тип А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/>
        <bottom style="thin">
          <color rgb="FF000000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rgb="FF000000"/>
        </left>
        <right/>
        <top/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ГОСТ тип А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ГОСТ тип А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name val="ГОСТ тип А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rgb="FF000000"/>
        </left>
        <right/>
        <top/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2"/>
      </font>
      <numFmt numFmtId="2" formatCode="0.00"/>
    </dxf>
    <dxf>
      <font>
        <strike val="0"/>
        <outline val="0"/>
        <shadow val="0"/>
        <u val="none"/>
        <vertAlign val="baseline"/>
        <sz val="12"/>
      </font>
      <numFmt numFmtId="2" formatCode="0.00"/>
    </dxf>
    <dxf>
      <font>
        <strike val="0"/>
        <outline val="0"/>
        <shadow val="0"/>
        <u val="none"/>
        <vertAlign val="baseline"/>
        <sz val="12"/>
      </font>
      <numFmt numFmtId="2" formatCode="0.00"/>
    </dxf>
    <dxf>
      <font>
        <strike val="0"/>
        <outline val="0"/>
        <shadow val="0"/>
        <u val="none"/>
        <vertAlign val="baseline"/>
        <sz val="12"/>
      </font>
      <numFmt numFmtId="2" formatCode="0.00"/>
    </dxf>
    <dxf>
      <font>
        <strike val="0"/>
        <outline val="0"/>
        <shadow val="0"/>
        <u val="none"/>
        <vertAlign val="baseline"/>
        <sz val="12"/>
      </font>
      <numFmt numFmtId="2" formatCode="0.00"/>
    </dxf>
    <dxf>
      <font>
        <strike val="0"/>
        <outline val="0"/>
        <shadow val="0"/>
        <u val="none"/>
        <vertAlign val="baseline"/>
        <sz val="12"/>
      </font>
      <numFmt numFmtId="2" formatCode="0.00"/>
    </dxf>
    <dxf>
      <font>
        <strike val="0"/>
        <outline val="0"/>
        <shadow val="0"/>
        <u val="none"/>
        <vertAlign val="baseline"/>
        <sz val="12"/>
      </font>
      <numFmt numFmtId="2" formatCode="0.00"/>
    </dxf>
    <dxf>
      <font>
        <strike val="0"/>
        <outline val="0"/>
        <shadow val="0"/>
        <u val="none"/>
        <vertAlign val="baseline"/>
        <sz val="12"/>
      </font>
      <numFmt numFmtId="2" formatCode="0.00"/>
    </dxf>
    <dxf>
      <font>
        <strike val="0"/>
        <outline val="0"/>
        <shadow val="0"/>
        <u val="none"/>
        <vertAlign val="baseline"/>
        <sz val="12"/>
      </font>
      <numFmt numFmtId="2" formatCode="0.00"/>
    </dxf>
    <dxf>
      <font>
        <strike val="0"/>
        <outline val="0"/>
        <shadow val="0"/>
        <u val="none"/>
        <vertAlign val="baseline"/>
        <sz val="12"/>
      </font>
      <numFmt numFmtId="2" formatCode="0.00"/>
    </dxf>
    <dxf>
      <font>
        <strike val="0"/>
        <outline val="0"/>
        <shadow val="0"/>
        <u val="none"/>
        <vertAlign val="baseline"/>
        <sz val="12"/>
      </font>
      <numFmt numFmtId="2" formatCode="0.00"/>
    </dxf>
    <dxf>
      <font>
        <strike val="0"/>
        <outline val="0"/>
        <shadow val="0"/>
        <u val="none"/>
        <vertAlign val="baseline"/>
        <sz val="12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 tint="-0.34998626667073579"/>
        <name val="Times New Roman"/>
        <scheme val="none"/>
      </font>
      <numFmt numFmtId="165" formatCode="0.0"/>
      <fill>
        <patternFill patternType="solid">
          <fgColor rgb="FF000000"/>
          <bgColor rgb="FF99FFCC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 tint="-0.34998626667073579"/>
        <name val="Times New Roman"/>
        <scheme val="none"/>
      </font>
      <numFmt numFmtId="4" formatCode="#,##0.00"/>
      <fill>
        <patternFill patternType="solid">
          <fgColor rgb="FF000000"/>
          <bgColor rgb="FF99FFCC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scheme val="none"/>
      </font>
      <numFmt numFmtId="166" formatCode="#,##0.000"/>
      <fill>
        <patternFill patternType="solid">
          <fgColor indexed="64"/>
          <bgColor rgb="FFCCFFCC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 tint="-0.34998626667073579"/>
        <name val="Times New Roman"/>
        <scheme val="none"/>
      </font>
      <numFmt numFmtId="166" formatCode="#,##0.0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 tint="-0.34998626667073579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 tint="-0.34998626667073579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 tint="-0.34998626667073579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0" tint="-0.34998626667073579"/>
        <name val="Times New Roman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 tint="-0.34998626667073579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 tint="-0.34998626667073579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border outline="0">
        <left style="thin">
          <color rgb="FF000000"/>
        </lef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Таблица2" displayName="Таблица2" ref="A1:V252" totalsRowShown="0" headerRowDxfId="52" dataDxfId="51" tableBorderDxfId="50">
  <autoFilter ref="A1:V252">
    <filterColumn colId="1">
      <customFilters>
        <customFilter operator="notEqual" val=" "/>
      </customFilters>
    </filterColumn>
    <filterColumn colId="7">
      <customFilters>
        <customFilter operator="notEqual" val="0"/>
      </customFilters>
    </filterColumn>
  </autoFilter>
  <tableColumns count="22">
    <tableColumn id="1" name="Номер п/п" dataDxfId="49"/>
    <tableColumn id="2" name="Код узла ИСР" dataDxfId="48"/>
    <tableColumn id="3" name="Наименование затрат" dataDxfId="47"/>
    <tableColumn id="4" name="Комментарий по ИСР" dataDxfId="46"/>
    <tableColumn id="5" name="Комментарий подрядчика" dataDxfId="45"/>
    <tableColumn id="6" name="Ед. изм." dataDxfId="44"/>
    <tableColumn id="7" name="Коэф.расхода" dataDxfId="43"/>
    <tableColumn id="9" name="Общее кол-во" dataDxfId="42"/>
    <tableColumn id="10" name="Осталось _x000a_закрыть" dataDxfId="41"/>
    <tableColumn id="8" name="Сумма" dataDxfId="40">
      <calculatedColumnFormula>SUM(Таблица2[[#This Row],[1.n]:[12.n]])</calculatedColumnFormula>
    </tableColumn>
    <tableColumn id="11" name="1.n" dataDxfId="39">
      <calculatedColumnFormula>'1.n2'!E1</calculatedColumnFormula>
    </tableColumn>
    <tableColumn id="12" name="2.n" dataDxfId="38">
      <calculatedColumnFormula>'2.n2'!E1</calculatedColumnFormula>
    </tableColumn>
    <tableColumn id="13" name="3.n" dataDxfId="37">
      <calculatedColumnFormula>'3.n2'!E1</calculatedColumnFormula>
    </tableColumn>
    <tableColumn id="14" name="4.n" dataDxfId="36">
      <calculatedColumnFormula>'4.n2'!E1</calculatedColumnFormula>
    </tableColumn>
    <tableColumn id="15" name="5.n" dataDxfId="35">
      <calculatedColumnFormula>'5.n3'!E1</calculatedColumnFormula>
    </tableColumn>
    <tableColumn id="16" name="6.n" dataDxfId="34">
      <calculatedColumnFormula>'6.n3э'!E1</calculatedColumnFormula>
    </tableColumn>
    <tableColumn id="17" name="7.n" dataDxfId="33">
      <calculatedColumnFormula>'7.n2'!E1</calculatedColumnFormula>
    </tableColumn>
    <tableColumn id="18" name="8.n" dataDxfId="32">
      <calculatedColumnFormula>'8.n2'!E1</calculatedColumnFormula>
    </tableColumn>
    <tableColumn id="19" name="9.n" dataDxfId="31">
      <calculatedColumnFormula>'9.n2'!E1</calculatedColumnFormula>
    </tableColumn>
    <tableColumn id="20" name="10.n" dataDxfId="30">
      <calculatedColumnFormula>'10.n3'!E1</calculatedColumnFormula>
    </tableColumn>
    <tableColumn id="21" name="11.n" dataDxfId="29"/>
    <tableColumn id="22" name="12.n" dataDxfId="28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3" name="Таблица3" displayName="Таблица3" ref="A5:Q142" totalsRowShown="0" headerRowDxfId="8" dataDxfId="7" headerRowBorderDxfId="26" tableBorderDxfId="27" headerRowCellStyle="Обычный 3" dataCellStyle="Обычный 3">
  <autoFilter ref="A5:Q142">
    <filterColumn colId="0">
      <customFilters>
        <customFilter operator="lessThan" val="3000"/>
      </customFilters>
    </filterColumn>
    <filterColumn colId="2">
      <filters>
        <filter val="7"/>
      </filters>
    </filterColumn>
  </autoFilter>
  <tableColumns count="17">
    <tableColumn id="1" name="Столбец1" dataDxfId="25" dataCellStyle="Обычный 3"/>
    <tableColumn id="2" name="Столбец2" dataDxfId="24" dataCellStyle="Обычный 3"/>
    <tableColumn id="12" name="Столбец22" dataDxfId="23" dataCellStyle="Обычный 3"/>
    <tableColumn id="3" name="Столбец3" dataDxfId="22" dataCellStyle="Обычный 3"/>
    <tableColumn id="4" name="Столбец4" dataDxfId="21" dataCellStyle="Обычный 3"/>
    <tableColumn id="5" name="Столбец5" dataDxfId="20" dataCellStyle="Обычный 3"/>
    <tableColumn id="6" name="Столбец6" dataDxfId="19" dataCellStyle="Обычный 3"/>
    <tableColumn id="7" name="Столбец7" dataDxfId="18" dataCellStyle="Обычный 3"/>
    <tableColumn id="8" name="Столбец8" dataDxfId="17" dataCellStyle="Обычный 3"/>
    <tableColumn id="9" name="Столбец9" dataDxfId="16" dataCellStyle="Обычный 3"/>
    <tableColumn id="10" name="Столбец10" dataDxfId="15" dataCellStyle="Обычный 3"/>
    <tableColumn id="11" name="Столбец11" dataDxfId="14" dataCellStyle="Обычный 3"/>
    <tableColumn id="13" name="Столбец13" dataDxfId="13" dataCellStyle="Обычный 3"/>
    <tableColumn id="14" name="Столбец14" dataDxfId="12" dataCellStyle="Обычный 3"/>
    <tableColumn id="15" name="Столбец15" dataDxfId="11" dataCellStyle="Обычный 3"/>
    <tableColumn id="16" name="Столбец16" dataDxfId="10" dataCellStyle="Обычный 3"/>
    <tableColumn id="17" name="Столбец17" dataDxfId="9" dataCellStyle="Обычный 3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id="1" name="Таблица1" displayName="Таблица1" ref="R4:U143" totalsRowShown="0" dataDxfId="0" headerRowBorderDxfId="5" tableBorderDxfId="6" dataCellStyle="Обычный 3">
  <autoFilter ref="R4:U143"/>
  <tableColumns count="4">
    <tableColumn id="1" name="Столбец1" dataDxfId="4" dataCellStyle="Обычный 3"/>
    <tableColumn id="2" name="по ж/б поверхностям" dataDxfId="3" dataCellStyle="Обычный 3"/>
    <tableColumn id="3" name=" по газобетонному блоку и ПГП" dataDxfId="2" dataCellStyle="Обычный 3"/>
    <tableColumn id="4" name="Итог" dataDxfId="1" dataCellStyle="Обычный 3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1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N11"/>
  <sheetViews>
    <sheetView workbookViewId="0"/>
    <sheetView workbookViewId="1"/>
  </sheetViews>
  <sheetFormatPr defaultRowHeight="14.4" x14ac:dyDescent="0.3"/>
  <cols>
    <col min="2" max="2" width="54.88671875" customWidth="1"/>
    <col min="3" max="5" width="22.44140625" customWidth="1"/>
    <col min="13" max="13" width="29" customWidth="1"/>
  </cols>
  <sheetData>
    <row r="1" spans="2:14" x14ac:dyDescent="0.3">
      <c r="B1" s="106"/>
      <c r="C1" s="106"/>
      <c r="D1" s="106"/>
      <c r="E1" s="106"/>
      <c r="F1" s="106" t="s">
        <v>139</v>
      </c>
      <c r="G1" s="106" t="s">
        <v>139</v>
      </c>
      <c r="H1" s="106" t="s">
        <v>139</v>
      </c>
      <c r="I1" s="106" t="s">
        <v>139</v>
      </c>
      <c r="J1" s="106" t="s">
        <v>139</v>
      </c>
      <c r="K1" s="106" t="s">
        <v>139</v>
      </c>
      <c r="L1" s="106" t="s">
        <v>139</v>
      </c>
    </row>
    <row r="2" spans="2:14" x14ac:dyDescent="0.3">
      <c r="B2" s="106" t="s">
        <v>139</v>
      </c>
      <c r="C2" s="106" t="s">
        <v>141</v>
      </c>
      <c r="D2" s="106" t="s">
        <v>142</v>
      </c>
      <c r="E2" s="106" t="s">
        <v>143</v>
      </c>
      <c r="F2" s="106">
        <v>7</v>
      </c>
      <c r="G2" s="106">
        <v>6</v>
      </c>
      <c r="H2" s="106">
        <v>5</v>
      </c>
      <c r="I2" s="106">
        <v>4</v>
      </c>
      <c r="J2" s="106">
        <v>3</v>
      </c>
      <c r="K2" s="106">
        <v>2</v>
      </c>
      <c r="L2" s="106">
        <v>1</v>
      </c>
      <c r="M2" t="s">
        <v>146</v>
      </c>
      <c r="N2" t="s">
        <v>153</v>
      </c>
    </row>
    <row r="3" spans="2:14" ht="39.6" x14ac:dyDescent="0.3">
      <c r="B3" s="65" t="s">
        <v>148</v>
      </c>
      <c r="C3" s="112">
        <v>3617.6</v>
      </c>
      <c r="D3" s="108">
        <f>SUM(F3:L3)</f>
        <v>1991.3284768087999</v>
      </c>
      <c r="E3" s="109">
        <f>C3-D3</f>
        <v>1626.2715231912</v>
      </c>
      <c r="F3" s="110">
        <f>'1.n2'!E6</f>
        <v>410.02</v>
      </c>
      <c r="G3" s="110">
        <f>'2.n2'!E6</f>
        <v>333.82</v>
      </c>
      <c r="H3" s="110">
        <f>'3.n2'!E6</f>
        <v>161.16999999999999</v>
      </c>
      <c r="I3" s="110">
        <f>'4.n2'!E6</f>
        <v>361.91847680879999</v>
      </c>
      <c r="J3" s="106"/>
      <c r="K3" s="110">
        <f>'7.n2'!E6</f>
        <v>724.40000000000009</v>
      </c>
      <c r="L3" s="106" t="s">
        <v>145</v>
      </c>
      <c r="M3" t="s">
        <v>147</v>
      </c>
      <c r="N3" s="102">
        <f>'8.n2'!E6</f>
        <v>292.20000000000005</v>
      </c>
    </row>
    <row r="4" spans="2:14" ht="39.6" x14ac:dyDescent="0.3">
      <c r="B4" s="65" t="s">
        <v>149</v>
      </c>
      <c r="C4" s="113">
        <v>4510.8</v>
      </c>
      <c r="D4" s="108">
        <f>SUM(F4:L4)</f>
        <v>3293.4997905873001</v>
      </c>
      <c r="E4" s="109">
        <f>C4-D4</f>
        <v>1217.3002094127</v>
      </c>
      <c r="F4" s="110">
        <f>'1.n2'!E10</f>
        <v>603.16000000000008</v>
      </c>
      <c r="G4" s="110">
        <f>'2.n2'!E10</f>
        <v>502.91</v>
      </c>
      <c r="H4" s="110">
        <f>'3.n2'!E10</f>
        <v>341.46999999999997</v>
      </c>
      <c r="I4" s="110">
        <f>'4.n2'!E10</f>
        <v>697.45979058729995</v>
      </c>
      <c r="J4" s="106"/>
      <c r="K4" s="110">
        <f>'7.n2'!E10</f>
        <v>1148.5</v>
      </c>
      <c r="L4" s="106" t="s">
        <v>145</v>
      </c>
      <c r="N4" s="102">
        <f>'8.n2'!E10</f>
        <v>240.6</v>
      </c>
    </row>
    <row r="5" spans="2:14" x14ac:dyDescent="0.3">
      <c r="B5" s="106" t="s">
        <v>144</v>
      </c>
      <c r="C5" s="111">
        <f>SUM(C3:C4)</f>
        <v>8128.4</v>
      </c>
      <c r="D5" s="111">
        <f t="shared" ref="D5:E5" si="0">SUM(D3:D4)</f>
        <v>5284.8282673961003</v>
      </c>
      <c r="E5" s="111">
        <f t="shared" si="0"/>
        <v>2843.5717326039003</v>
      </c>
      <c r="F5" s="106"/>
      <c r="G5" s="106"/>
      <c r="H5" s="106"/>
      <c r="I5" s="106"/>
      <c r="J5" s="106"/>
      <c r="K5" s="106"/>
      <c r="L5" s="106"/>
    </row>
    <row r="8" spans="2:14" x14ac:dyDescent="0.3">
      <c r="B8" s="106" t="s">
        <v>140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</row>
    <row r="9" spans="2:14" ht="39.6" x14ac:dyDescent="0.3">
      <c r="B9" s="65" t="s">
        <v>148</v>
      </c>
      <c r="C9" s="107">
        <v>3125.2</v>
      </c>
      <c r="D9" s="108">
        <f>SUM(F9:L9)</f>
        <v>2109.6395421799998</v>
      </c>
      <c r="E9" s="109">
        <f t="shared" ref="E9" si="1">C9-D9</f>
        <v>1015.56045782</v>
      </c>
      <c r="F9" s="110">
        <f>'5.n3'!E6</f>
        <v>1389.7395421799999</v>
      </c>
      <c r="G9" s="106" t="s">
        <v>145</v>
      </c>
      <c r="H9" s="106" t="s">
        <v>145</v>
      </c>
      <c r="I9" s="106" t="s">
        <v>145</v>
      </c>
      <c r="J9" s="106"/>
      <c r="K9" s="110">
        <f>'6.n3э'!E6</f>
        <v>719.9</v>
      </c>
      <c r="L9" s="106" t="s">
        <v>145</v>
      </c>
    </row>
    <row r="10" spans="2:14" ht="39.6" x14ac:dyDescent="0.3">
      <c r="B10" s="65" t="s">
        <v>149</v>
      </c>
      <c r="C10" s="107">
        <v>4248.8</v>
      </c>
      <c r="D10" s="108">
        <f>SUM(F10:L10)</f>
        <v>3666.3019152800002</v>
      </c>
      <c r="E10" s="109">
        <f>C10-D10</f>
        <v>582.49808471999995</v>
      </c>
      <c r="F10" s="110">
        <f>'5.n3'!E10</f>
        <v>2747.8019152800002</v>
      </c>
      <c r="G10" s="106" t="s">
        <v>145</v>
      </c>
      <c r="H10" s="106" t="s">
        <v>145</v>
      </c>
      <c r="I10" s="106" t="s">
        <v>145</v>
      </c>
      <c r="J10" s="106"/>
      <c r="K10" s="110">
        <f>'6.n3э'!E10</f>
        <v>918.5</v>
      </c>
      <c r="L10" s="106" t="s">
        <v>145</v>
      </c>
    </row>
    <row r="11" spans="2:14" x14ac:dyDescent="0.3">
      <c r="B11" s="106"/>
      <c r="C11" s="111">
        <f>SUM(C9:C10)</f>
        <v>7374</v>
      </c>
      <c r="D11" s="111">
        <f t="shared" ref="D11" si="2">SUM(D9:D10)</f>
        <v>5775.9414574599996</v>
      </c>
      <c r="E11" s="111">
        <f t="shared" ref="E11" si="3">SUM(E9:E10)</f>
        <v>1598.05854254</v>
      </c>
      <c r="F11" s="106"/>
      <c r="G11" s="106"/>
      <c r="H11" s="106"/>
      <c r="I11" s="106"/>
      <c r="J11" s="106"/>
      <c r="K11" s="106"/>
      <c r="L11" s="106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E21"/>
  <sheetViews>
    <sheetView workbookViewId="0">
      <selection sqref="A1:E1"/>
    </sheetView>
    <sheetView workbookViewId="1">
      <selection activeCell="H14" sqref="H14"/>
    </sheetView>
  </sheetViews>
  <sheetFormatPr defaultRowHeight="14.4" x14ac:dyDescent="0.3"/>
  <cols>
    <col min="1" max="1" width="7.5546875" customWidth="1"/>
    <col min="2" max="2" width="54.88671875" customWidth="1"/>
    <col min="3" max="3" width="9.109375" customWidth="1"/>
    <col min="4" max="4" width="14.5546875" customWidth="1"/>
    <col min="5" max="5" width="8.88671875" customWidth="1"/>
  </cols>
  <sheetData>
    <row r="1" spans="1:5" x14ac:dyDescent="0.3">
      <c r="A1" s="1"/>
      <c r="B1" s="37" t="s">
        <v>34</v>
      </c>
      <c r="C1" s="2"/>
      <c r="D1" s="2"/>
      <c r="E1" s="3"/>
    </row>
    <row r="2" spans="1:5" x14ac:dyDescent="0.3">
      <c r="A2" s="44" t="s">
        <v>0</v>
      </c>
      <c r="B2" s="45" t="s">
        <v>1</v>
      </c>
      <c r="C2" s="46" t="s">
        <v>2</v>
      </c>
      <c r="D2" s="46" t="s">
        <v>3</v>
      </c>
      <c r="E2" s="47" t="s">
        <v>4</v>
      </c>
    </row>
    <row r="3" spans="1:5" ht="39.6" x14ac:dyDescent="0.3">
      <c r="A3" s="55" t="s">
        <v>49</v>
      </c>
      <c r="B3" s="54" t="s">
        <v>47</v>
      </c>
      <c r="C3" s="52" t="s">
        <v>7</v>
      </c>
      <c r="D3" s="57">
        <v>1</v>
      </c>
      <c r="E3" s="56">
        <v>267.16000000000003</v>
      </c>
    </row>
    <row r="4" spans="1:5" x14ac:dyDescent="0.3">
      <c r="A4" s="55" t="s">
        <v>9</v>
      </c>
      <c r="B4" s="54" t="s">
        <v>16</v>
      </c>
      <c r="C4" s="52" t="s">
        <v>6</v>
      </c>
      <c r="D4" s="57">
        <v>0.1</v>
      </c>
      <c r="E4" s="56">
        <f>D4*E3</f>
        <v>26.716000000000005</v>
      </c>
    </row>
    <row r="5" spans="1:5" ht="15" thickBot="1" x14ac:dyDescent="0.35">
      <c r="A5" s="55" t="s">
        <v>18</v>
      </c>
      <c r="B5" s="54" t="s">
        <v>48</v>
      </c>
      <c r="C5" s="52" t="s">
        <v>7</v>
      </c>
      <c r="D5" s="57">
        <v>1.1000000000000001</v>
      </c>
      <c r="E5" s="56">
        <f>D5*E3</f>
        <v>293.87600000000003</v>
      </c>
    </row>
    <row r="6" spans="1:5" ht="39.6" x14ac:dyDescent="0.3">
      <c r="A6" s="39">
        <v>1</v>
      </c>
      <c r="B6" s="40" t="s">
        <v>150</v>
      </c>
      <c r="C6" s="41" t="s">
        <v>5</v>
      </c>
      <c r="D6" s="42">
        <v>1</v>
      </c>
      <c r="E6" s="43">
        <v>410.02</v>
      </c>
    </row>
    <row r="7" spans="1:5" ht="15" thickBot="1" x14ac:dyDescent="0.35">
      <c r="A7" s="8">
        <v>1.1000000000000001</v>
      </c>
      <c r="B7" s="38" t="s">
        <v>8</v>
      </c>
      <c r="C7" s="10" t="s">
        <v>6</v>
      </c>
      <c r="D7" s="11">
        <v>0.25</v>
      </c>
      <c r="E7" s="12">
        <f>$E$6*D7</f>
        <v>102.505</v>
      </c>
    </row>
    <row r="8" spans="1:5" x14ac:dyDescent="0.3">
      <c r="A8" s="8" t="s">
        <v>9</v>
      </c>
      <c r="B8" s="38" t="s">
        <v>13</v>
      </c>
      <c r="C8" s="10" t="s">
        <v>7</v>
      </c>
      <c r="D8" s="42">
        <v>1</v>
      </c>
      <c r="E8" s="12">
        <f t="shared" ref="E8:E9" si="0">$E$6*D8</f>
        <v>410.02</v>
      </c>
    </row>
    <row r="9" spans="1:5" ht="15" thickBot="1" x14ac:dyDescent="0.35">
      <c r="A9" s="49" t="s">
        <v>18</v>
      </c>
      <c r="B9" s="18" t="s">
        <v>16</v>
      </c>
      <c r="C9" s="50" t="s">
        <v>6</v>
      </c>
      <c r="D9" s="13">
        <v>1</v>
      </c>
      <c r="E9" s="19">
        <f t="shared" si="0"/>
        <v>410.02</v>
      </c>
    </row>
    <row r="10" spans="1:5" ht="39.6" x14ac:dyDescent="0.3">
      <c r="A10" s="39" t="s">
        <v>11</v>
      </c>
      <c r="B10" s="40" t="s">
        <v>151</v>
      </c>
      <c r="C10" s="41" t="s">
        <v>5</v>
      </c>
      <c r="D10" s="42">
        <v>1</v>
      </c>
      <c r="E10" s="43">
        <v>603.16000000000008</v>
      </c>
    </row>
    <row r="11" spans="1:5" x14ac:dyDescent="0.3">
      <c r="A11" s="8" t="s">
        <v>14</v>
      </c>
      <c r="B11" s="38" t="s">
        <v>16</v>
      </c>
      <c r="C11" s="10" t="s">
        <v>6</v>
      </c>
      <c r="D11" s="11">
        <v>1</v>
      </c>
      <c r="E11" s="12">
        <f>$E$10*D11</f>
        <v>603.16000000000008</v>
      </c>
    </row>
    <row r="12" spans="1:5" ht="15" thickBot="1" x14ac:dyDescent="0.35">
      <c r="A12" s="8" t="s">
        <v>15</v>
      </c>
      <c r="B12" s="38" t="s">
        <v>10</v>
      </c>
      <c r="C12" s="10" t="s">
        <v>6</v>
      </c>
      <c r="D12" s="11">
        <v>0.15</v>
      </c>
      <c r="E12" s="12">
        <f t="shared" ref="E12:E13" si="1">$E$10*D12</f>
        <v>90.474000000000004</v>
      </c>
    </row>
    <row r="13" spans="1:5" x14ac:dyDescent="0.3">
      <c r="A13" s="8" t="s">
        <v>17</v>
      </c>
      <c r="B13" s="38" t="s">
        <v>13</v>
      </c>
      <c r="C13" s="10" t="s">
        <v>7</v>
      </c>
      <c r="D13" s="42">
        <v>1</v>
      </c>
      <c r="E13" s="12">
        <f t="shared" si="1"/>
        <v>603.16000000000008</v>
      </c>
    </row>
    <row r="14" spans="1:5" ht="15" thickBot="1" x14ac:dyDescent="0.35">
      <c r="A14" s="14" t="s">
        <v>38</v>
      </c>
      <c r="B14" s="51" t="s">
        <v>12</v>
      </c>
      <c r="C14" s="15" t="s">
        <v>7</v>
      </c>
      <c r="D14" s="16">
        <v>1</v>
      </c>
      <c r="E14" s="17">
        <v>295.41000000000003</v>
      </c>
    </row>
    <row r="15" spans="1:5" ht="15" thickBot="1" x14ac:dyDescent="0.35"/>
    <row r="16" spans="1:5" x14ac:dyDescent="0.3">
      <c r="A16" s="1"/>
      <c r="B16" s="37" t="s">
        <v>37</v>
      </c>
      <c r="C16" s="2"/>
      <c r="D16" s="2"/>
      <c r="E16" s="3"/>
    </row>
    <row r="17" spans="1:5" ht="15" thickBot="1" x14ac:dyDescent="0.35">
      <c r="A17" s="4" t="s">
        <v>0</v>
      </c>
      <c r="B17" s="5" t="s">
        <v>1</v>
      </c>
      <c r="C17" s="6" t="s">
        <v>2</v>
      </c>
      <c r="D17" s="6" t="s">
        <v>3</v>
      </c>
      <c r="E17" s="7" t="s">
        <v>4</v>
      </c>
    </row>
    <row r="18" spans="1:5" ht="26.4" x14ac:dyDescent="0.3">
      <c r="A18" s="39">
        <v>1</v>
      </c>
      <c r="B18" s="40" t="s">
        <v>152</v>
      </c>
      <c r="C18" s="41" t="s">
        <v>5</v>
      </c>
      <c r="D18" s="42">
        <v>1</v>
      </c>
      <c r="E18" s="43">
        <f>E10+E6</f>
        <v>1013.1800000000001</v>
      </c>
    </row>
    <row r="19" spans="1:5" x14ac:dyDescent="0.3">
      <c r="A19" s="8">
        <v>1.1000000000000001</v>
      </c>
      <c r="B19" s="18" t="s">
        <v>10</v>
      </c>
      <c r="C19" s="10" t="s">
        <v>6</v>
      </c>
      <c r="D19" s="13">
        <v>0.15</v>
      </c>
      <c r="E19" s="19">
        <f>$E$18*D19</f>
        <v>151.977</v>
      </c>
    </row>
    <row r="20" spans="1:5" x14ac:dyDescent="0.3">
      <c r="A20" s="8" t="s">
        <v>9</v>
      </c>
      <c r="B20" s="9" t="s">
        <v>32</v>
      </c>
      <c r="C20" s="10" t="s">
        <v>6</v>
      </c>
      <c r="D20" s="11">
        <v>1.8</v>
      </c>
      <c r="E20" s="19">
        <f>$E$18*D20</f>
        <v>1823.7240000000002</v>
      </c>
    </row>
    <row r="21" spans="1:5" ht="15" thickBot="1" x14ac:dyDescent="0.35">
      <c r="A21" s="14" t="s">
        <v>18</v>
      </c>
      <c r="B21" s="21" t="s">
        <v>33</v>
      </c>
      <c r="C21" s="15" t="s">
        <v>7</v>
      </c>
      <c r="D21" s="22">
        <v>0.3</v>
      </c>
      <c r="E21" s="17">
        <v>24.01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E17"/>
  <sheetViews>
    <sheetView workbookViewId="0">
      <selection sqref="A1:E1"/>
    </sheetView>
    <sheetView workbookViewId="1">
      <selection activeCell="D20" sqref="D20"/>
    </sheetView>
  </sheetViews>
  <sheetFormatPr defaultColWidth="9.109375" defaultRowHeight="13.2" x14ac:dyDescent="0.3"/>
  <cols>
    <col min="1" max="1" width="9.109375" style="29"/>
    <col min="2" max="2" width="13.6640625" style="29" customWidth="1"/>
    <col min="3" max="3" width="12.6640625" style="29" customWidth="1"/>
    <col min="4" max="4" width="17" style="29" customWidth="1"/>
    <col min="5" max="16384" width="9.109375" style="29"/>
  </cols>
  <sheetData>
    <row r="1" spans="1:5" ht="15" customHeight="1" x14ac:dyDescent="0.3">
      <c r="A1" s="335" t="s">
        <v>20</v>
      </c>
      <c r="B1" s="336"/>
      <c r="C1" s="336"/>
      <c r="D1" s="336"/>
      <c r="E1" s="337"/>
    </row>
    <row r="2" spans="1:5" ht="14.25" customHeight="1" x14ac:dyDescent="0.3">
      <c r="A2" s="338" t="s">
        <v>35</v>
      </c>
      <c r="B2" s="339"/>
      <c r="C2" s="339"/>
      <c r="D2" s="339"/>
      <c r="E2" s="340"/>
    </row>
    <row r="3" spans="1:5" ht="26.4" x14ac:dyDescent="0.3">
      <c r="A3" s="25"/>
      <c r="B3" s="30"/>
      <c r="C3" s="27" t="s">
        <v>22</v>
      </c>
      <c r="D3" s="31" t="s">
        <v>23</v>
      </c>
      <c r="E3" s="32" t="s">
        <v>31</v>
      </c>
    </row>
    <row r="4" spans="1:5" x14ac:dyDescent="0.3">
      <c r="A4" s="25" t="s">
        <v>0</v>
      </c>
      <c r="B4" s="28" t="s">
        <v>19</v>
      </c>
      <c r="C4" s="10" t="s">
        <v>21</v>
      </c>
      <c r="D4" s="10" t="s">
        <v>21</v>
      </c>
      <c r="E4" s="32"/>
    </row>
    <row r="5" spans="1:5" x14ac:dyDescent="0.3">
      <c r="A5" s="25">
        <v>1</v>
      </c>
      <c r="B5" s="30">
        <v>2057</v>
      </c>
      <c r="C5" s="10">
        <v>10.8</v>
      </c>
      <c r="D5" s="10">
        <v>48.9</v>
      </c>
      <c r="E5" s="12">
        <v>59.7</v>
      </c>
    </row>
    <row r="6" spans="1:5" x14ac:dyDescent="0.3">
      <c r="A6" s="25">
        <v>2</v>
      </c>
      <c r="B6" s="30">
        <v>2058</v>
      </c>
      <c r="C6" s="10">
        <v>143.5</v>
      </c>
      <c r="D6" s="26">
        <v>105.9</v>
      </c>
      <c r="E6" s="12">
        <v>249.4</v>
      </c>
    </row>
    <row r="7" spans="1:5" x14ac:dyDescent="0.3">
      <c r="A7" s="25">
        <v>3</v>
      </c>
      <c r="B7" s="30">
        <v>2060</v>
      </c>
      <c r="C7" s="26">
        <v>20.5</v>
      </c>
      <c r="D7" s="26">
        <v>67.099999999999994</v>
      </c>
      <c r="E7" s="12">
        <v>87.6</v>
      </c>
    </row>
    <row r="8" spans="1:5" x14ac:dyDescent="0.3">
      <c r="A8" s="25">
        <v>4</v>
      </c>
      <c r="B8" s="30">
        <v>2061</v>
      </c>
      <c r="C8" s="26">
        <v>61</v>
      </c>
      <c r="D8" s="26">
        <v>152.80000000000001</v>
      </c>
      <c r="E8" s="12">
        <v>213.8</v>
      </c>
    </row>
    <row r="9" spans="1:5" x14ac:dyDescent="0.3">
      <c r="A9" s="25">
        <v>5</v>
      </c>
      <c r="B9" s="30">
        <v>2062</v>
      </c>
      <c r="C9" s="26">
        <v>110.2</v>
      </c>
      <c r="D9" s="26">
        <v>159.9</v>
      </c>
      <c r="E9" s="12">
        <v>270.10000000000002</v>
      </c>
    </row>
    <row r="10" spans="1:5" x14ac:dyDescent="0.3">
      <c r="A10" s="25">
        <v>6</v>
      </c>
      <c r="B10" s="30">
        <v>2064</v>
      </c>
      <c r="C10" s="26">
        <v>58.5</v>
      </c>
      <c r="D10" s="26">
        <v>53.6</v>
      </c>
      <c r="E10" s="12">
        <v>112.1</v>
      </c>
    </row>
    <row r="11" spans="1:5" ht="13.8" thickBot="1" x14ac:dyDescent="0.35">
      <c r="A11" s="24">
        <v>7</v>
      </c>
      <c r="B11" s="35">
        <v>2066</v>
      </c>
      <c r="C11" s="33">
        <v>67.5</v>
      </c>
      <c r="D11" s="33">
        <v>91.7</v>
      </c>
      <c r="E11" s="17">
        <v>159.19999999999999</v>
      </c>
    </row>
    <row r="12" spans="1:5" ht="13.8" thickBot="1" x14ac:dyDescent="0.35">
      <c r="A12" s="34"/>
      <c r="B12" s="36" t="s">
        <v>36</v>
      </c>
      <c r="C12" s="20">
        <f>SUM(C5:C11)</f>
        <v>472</v>
      </c>
      <c r="D12" s="20">
        <f>SUM(D5:D11)</f>
        <v>679.90000000000009</v>
      </c>
      <c r="E12" s="23">
        <f>SUM(E5:E11)</f>
        <v>1151.9000000000001</v>
      </c>
    </row>
    <row r="16" spans="1:5" x14ac:dyDescent="0.3">
      <c r="B16" s="366"/>
      <c r="C16" s="366"/>
      <c r="D16" s="366"/>
      <c r="E16" s="366"/>
    </row>
    <row r="17" spans="2:5" x14ac:dyDescent="0.3">
      <c r="B17" s="366"/>
      <c r="C17" s="366"/>
      <c r="D17" s="366"/>
      <c r="E17" s="366"/>
    </row>
  </sheetData>
  <mergeCells count="2">
    <mergeCell ref="A1:E1"/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E21"/>
  <sheetViews>
    <sheetView workbookViewId="0">
      <selection sqref="A1:E1"/>
    </sheetView>
    <sheetView workbookViewId="1"/>
  </sheetViews>
  <sheetFormatPr defaultRowHeight="14.4" x14ac:dyDescent="0.3"/>
  <cols>
    <col min="1" max="1" width="7.5546875" customWidth="1"/>
    <col min="2" max="2" width="54.88671875" customWidth="1"/>
    <col min="3" max="3" width="9.109375" customWidth="1"/>
    <col min="4" max="4" width="14.5546875" customWidth="1"/>
    <col min="5" max="5" width="8.88671875" customWidth="1"/>
  </cols>
  <sheetData>
    <row r="1" spans="1:5" x14ac:dyDescent="0.3">
      <c r="A1" s="1"/>
      <c r="B1" s="37" t="s">
        <v>34</v>
      </c>
      <c r="C1" s="2"/>
      <c r="D1" s="2"/>
      <c r="E1" s="3"/>
    </row>
    <row r="2" spans="1:5" x14ac:dyDescent="0.3">
      <c r="A2" s="44" t="s">
        <v>0</v>
      </c>
      <c r="B2" s="45" t="s">
        <v>1</v>
      </c>
      <c r="C2" s="46" t="s">
        <v>2</v>
      </c>
      <c r="D2" s="46" t="s">
        <v>3</v>
      </c>
      <c r="E2" s="47" t="s">
        <v>4</v>
      </c>
    </row>
    <row r="3" spans="1:5" ht="39.6" x14ac:dyDescent="0.3">
      <c r="A3" s="55" t="s">
        <v>49</v>
      </c>
      <c r="B3" s="54" t="s">
        <v>47</v>
      </c>
      <c r="C3" s="52" t="s">
        <v>7</v>
      </c>
      <c r="D3" s="57">
        <v>1</v>
      </c>
      <c r="E3" s="56">
        <v>233</v>
      </c>
    </row>
    <row r="4" spans="1:5" x14ac:dyDescent="0.3">
      <c r="A4" s="55" t="s">
        <v>9</v>
      </c>
      <c r="B4" s="54" t="s">
        <v>16</v>
      </c>
      <c r="C4" s="52" t="s">
        <v>6</v>
      </c>
      <c r="D4" s="57">
        <v>0.1</v>
      </c>
      <c r="E4" s="56">
        <f>D4*E3</f>
        <v>23.3</v>
      </c>
    </row>
    <row r="5" spans="1:5" ht="15" thickBot="1" x14ac:dyDescent="0.35">
      <c r="A5" s="55" t="s">
        <v>18</v>
      </c>
      <c r="B5" s="54" t="s">
        <v>48</v>
      </c>
      <c r="C5" s="52" t="s">
        <v>7</v>
      </c>
      <c r="D5" s="57">
        <v>1.1000000000000001</v>
      </c>
      <c r="E5" s="56">
        <f>D5*E3</f>
        <v>256.3</v>
      </c>
    </row>
    <row r="6" spans="1:5" ht="39.6" x14ac:dyDescent="0.3">
      <c r="A6" s="39" t="s">
        <v>11</v>
      </c>
      <c r="B6" s="40" t="str">
        <f>'1.n2'!B6</f>
        <v>Штукатурка стен гипсовыми смесями с предварительной огрунтовкой СКБ / толщ. от 21 до 40 мм / высотой от 4,01 до 8 метров (Штукатурка по ж/б поверхностям)</v>
      </c>
      <c r="C6" s="41" t="s">
        <v>5</v>
      </c>
      <c r="D6" s="42">
        <v>1</v>
      </c>
      <c r="E6" s="43">
        <f>'спец 6с'!C13</f>
        <v>333.82</v>
      </c>
    </row>
    <row r="7" spans="1:5" ht="15" thickBot="1" x14ac:dyDescent="0.35">
      <c r="A7" s="8" t="s">
        <v>14</v>
      </c>
      <c r="B7" s="38" t="s">
        <v>8</v>
      </c>
      <c r="C7" s="10" t="s">
        <v>6</v>
      </c>
      <c r="D7" s="11">
        <v>0.25</v>
      </c>
      <c r="E7" s="12">
        <f>$E$6*D7</f>
        <v>83.454999999999998</v>
      </c>
    </row>
    <row r="8" spans="1:5" x14ac:dyDescent="0.3">
      <c r="A8" s="8" t="s">
        <v>15</v>
      </c>
      <c r="B8" s="38" t="s">
        <v>13</v>
      </c>
      <c r="C8" s="10" t="s">
        <v>7</v>
      </c>
      <c r="D8" s="42">
        <v>1</v>
      </c>
      <c r="E8" s="12">
        <f t="shared" ref="E8" si="0">$E$6*D8</f>
        <v>333.82</v>
      </c>
    </row>
    <row r="9" spans="1:5" ht="15" thickBot="1" x14ac:dyDescent="0.35">
      <c r="A9" s="8" t="s">
        <v>17</v>
      </c>
      <c r="B9" s="18" t="s">
        <v>16</v>
      </c>
      <c r="C9" s="50" t="s">
        <v>6</v>
      </c>
      <c r="D9" s="13">
        <v>1</v>
      </c>
      <c r="E9" s="19">
        <f>$E$6*D9*28.57</f>
        <v>9537.2374</v>
      </c>
    </row>
    <row r="10" spans="1:5" ht="39.6" x14ac:dyDescent="0.3">
      <c r="A10" s="39" t="s">
        <v>50</v>
      </c>
      <c r="B10" s="40" t="str">
        <f>'1.n2'!B10</f>
        <v>Штукатурка стен гипсовыми смесями с предварительной огрунтовкой СКБ / толщ. от 21 до 40 мм / высотой от 4,01 до 8 метров (Штукатурка  по газобетонному блоку и ПГП)</v>
      </c>
      <c r="C10" s="41" t="s">
        <v>5</v>
      </c>
      <c r="D10" s="42">
        <v>1</v>
      </c>
      <c r="E10" s="43">
        <f>'спец 6с'!D13</f>
        <v>502.91</v>
      </c>
    </row>
    <row r="11" spans="1:5" x14ac:dyDescent="0.3">
      <c r="A11" s="8" t="s">
        <v>51</v>
      </c>
      <c r="B11" s="38" t="s">
        <v>16</v>
      </c>
      <c r="C11" s="10" t="s">
        <v>6</v>
      </c>
      <c r="D11" s="11">
        <v>1</v>
      </c>
      <c r="E11" s="12">
        <f>$E$10*D11*32.51</f>
        <v>16349.6041</v>
      </c>
    </row>
    <row r="12" spans="1:5" ht="15" thickBot="1" x14ac:dyDescent="0.35">
      <c r="A12" s="8" t="s">
        <v>52</v>
      </c>
      <c r="B12" s="38" t="s">
        <v>10</v>
      </c>
      <c r="C12" s="10" t="s">
        <v>6</v>
      </c>
      <c r="D12" s="11">
        <v>0.15</v>
      </c>
      <c r="E12" s="12">
        <f t="shared" ref="E12:E13" si="1">$E$10*D12</f>
        <v>75.436499999999995</v>
      </c>
    </row>
    <row r="13" spans="1:5" x14ac:dyDescent="0.3">
      <c r="A13" s="8" t="s">
        <v>53</v>
      </c>
      <c r="B13" s="38" t="s">
        <v>13</v>
      </c>
      <c r="C13" s="10" t="s">
        <v>7</v>
      </c>
      <c r="D13" s="42">
        <v>1</v>
      </c>
      <c r="E13" s="12">
        <f t="shared" si="1"/>
        <v>502.91</v>
      </c>
    </row>
    <row r="14" spans="1:5" ht="15" thickBot="1" x14ac:dyDescent="0.35">
      <c r="A14" s="8" t="s">
        <v>54</v>
      </c>
      <c r="B14" s="51" t="s">
        <v>12</v>
      </c>
      <c r="C14" s="15" t="s">
        <v>7</v>
      </c>
      <c r="D14" s="16">
        <v>1</v>
      </c>
      <c r="E14" s="17">
        <v>97.47</v>
      </c>
    </row>
    <row r="15" spans="1:5" ht="15" thickBot="1" x14ac:dyDescent="0.35"/>
    <row r="16" spans="1:5" x14ac:dyDescent="0.3">
      <c r="A16" s="1"/>
      <c r="B16" s="37" t="s">
        <v>37</v>
      </c>
      <c r="C16" s="2"/>
      <c r="D16" s="2"/>
      <c r="E16" s="3"/>
    </row>
    <row r="17" spans="1:5" ht="15" thickBot="1" x14ac:dyDescent="0.35">
      <c r="A17" s="4" t="s">
        <v>0</v>
      </c>
      <c r="B17" s="5" t="s">
        <v>1</v>
      </c>
      <c r="C17" s="6" t="s">
        <v>2</v>
      </c>
      <c r="D17" s="6" t="s">
        <v>3</v>
      </c>
      <c r="E17" s="7" t="s">
        <v>4</v>
      </c>
    </row>
    <row r="18" spans="1:5" ht="26.4" x14ac:dyDescent="0.3">
      <c r="A18" s="39">
        <v>1</v>
      </c>
      <c r="B18" s="40" t="str">
        <f>'1.n2'!B18</f>
        <v>Подготовка поверхности СКБ / стен / по штукатурке / 2мм (Шпаклевка базовая)</v>
      </c>
      <c r="C18" s="41" t="s">
        <v>5</v>
      </c>
      <c r="D18" s="42">
        <v>1</v>
      </c>
      <c r="E18" s="43">
        <f>E10+E6</f>
        <v>836.73</v>
      </c>
    </row>
    <row r="19" spans="1:5" x14ac:dyDescent="0.3">
      <c r="A19" s="8">
        <v>1.1000000000000001</v>
      </c>
      <c r="B19" s="18" t="s">
        <v>10</v>
      </c>
      <c r="C19" s="10" t="s">
        <v>6</v>
      </c>
      <c r="D19" s="13">
        <v>0.15</v>
      </c>
      <c r="E19" s="19">
        <f>$E$18*D19</f>
        <v>125.5095</v>
      </c>
    </row>
    <row r="20" spans="1:5" x14ac:dyDescent="0.3">
      <c r="A20" s="8" t="s">
        <v>9</v>
      </c>
      <c r="B20" s="9" t="s">
        <v>32</v>
      </c>
      <c r="C20" s="10" t="s">
        <v>6</v>
      </c>
      <c r="D20" s="11">
        <v>1.8</v>
      </c>
      <c r="E20" s="19">
        <f>$E$18*D20</f>
        <v>1506.114</v>
      </c>
    </row>
    <row r="21" spans="1:5" ht="15" thickBot="1" x14ac:dyDescent="0.35">
      <c r="A21" s="14" t="s">
        <v>18</v>
      </c>
      <c r="B21" s="21" t="s">
        <v>33</v>
      </c>
      <c r="C21" s="15" t="s">
        <v>7</v>
      </c>
      <c r="D21" s="22">
        <v>0.3</v>
      </c>
      <c r="E21" s="17">
        <v>24.01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sqref="A1:E1"/>
    </sheetView>
    <sheetView workbookViewId="1">
      <selection sqref="A1:E1"/>
    </sheetView>
  </sheetViews>
  <sheetFormatPr defaultRowHeight="14.4" x14ac:dyDescent="0.3"/>
  <cols>
    <col min="2" max="2" width="13.6640625" customWidth="1"/>
    <col min="3" max="3" width="12.6640625" customWidth="1"/>
    <col min="4" max="4" width="17" customWidth="1"/>
    <col min="5" max="5" width="10.109375" customWidth="1"/>
  </cols>
  <sheetData>
    <row r="1" spans="1:5" x14ac:dyDescent="0.3">
      <c r="A1" s="341" t="s">
        <v>20</v>
      </c>
      <c r="B1" s="341"/>
      <c r="C1" s="341"/>
      <c r="D1" s="341"/>
      <c r="E1" s="341"/>
    </row>
    <row r="2" spans="1:5" x14ac:dyDescent="0.3">
      <c r="A2" s="339" t="s">
        <v>35</v>
      </c>
      <c r="B2" s="339"/>
      <c r="C2" s="339"/>
      <c r="D2" s="339"/>
      <c r="E2" s="339"/>
    </row>
    <row r="3" spans="1:5" ht="26.4" x14ac:dyDescent="0.3">
      <c r="A3" s="26"/>
      <c r="B3" s="30"/>
      <c r="C3" s="27" t="s">
        <v>22</v>
      </c>
      <c r="D3" s="48" t="s">
        <v>23</v>
      </c>
      <c r="E3" s="26" t="s">
        <v>31</v>
      </c>
    </row>
    <row r="4" spans="1:5" x14ac:dyDescent="0.3">
      <c r="A4" s="26" t="s">
        <v>0</v>
      </c>
      <c r="B4" s="28" t="s">
        <v>19</v>
      </c>
      <c r="C4" s="10" t="s">
        <v>21</v>
      </c>
      <c r="D4" s="10" t="s">
        <v>21</v>
      </c>
      <c r="E4" s="26"/>
    </row>
    <row r="5" spans="1:5" x14ac:dyDescent="0.3">
      <c r="A5" s="26">
        <v>1</v>
      </c>
      <c r="B5" s="30" t="s">
        <v>39</v>
      </c>
      <c r="C5" s="10">
        <v>41.24</v>
      </c>
      <c r="D5" s="10">
        <v>153.84</v>
      </c>
      <c r="E5" s="10">
        <f>C5+D5</f>
        <v>195.08</v>
      </c>
    </row>
    <row r="6" spans="1:5" x14ac:dyDescent="0.3">
      <c r="A6" s="26">
        <v>2</v>
      </c>
      <c r="B6" s="30" t="s">
        <v>40</v>
      </c>
      <c r="C6" s="10">
        <v>153.37</v>
      </c>
      <c r="D6" s="10">
        <v>103.52</v>
      </c>
      <c r="E6" s="10">
        <f t="shared" ref="E6:E11" si="0">C6+D6</f>
        <v>256.89</v>
      </c>
    </row>
    <row r="7" spans="1:5" x14ac:dyDescent="0.3">
      <c r="A7" s="26">
        <v>3</v>
      </c>
      <c r="B7" s="30" t="s">
        <v>41</v>
      </c>
      <c r="C7" s="10">
        <v>40.340000000000003</v>
      </c>
      <c r="D7" s="10">
        <v>48.01</v>
      </c>
      <c r="E7" s="10">
        <f t="shared" si="0"/>
        <v>88.35</v>
      </c>
    </row>
    <row r="8" spans="1:5" x14ac:dyDescent="0.3">
      <c r="A8" s="26">
        <v>4</v>
      </c>
      <c r="B8" s="30" t="s">
        <v>42</v>
      </c>
      <c r="C8" s="10">
        <v>15.91</v>
      </c>
      <c r="D8" s="10">
        <v>70.86</v>
      </c>
      <c r="E8" s="10">
        <f t="shared" si="0"/>
        <v>86.77</v>
      </c>
    </row>
    <row r="9" spans="1:5" x14ac:dyDescent="0.3">
      <c r="A9" s="26">
        <v>5</v>
      </c>
      <c r="B9" s="30" t="s">
        <v>43</v>
      </c>
      <c r="C9" s="10">
        <v>3.2</v>
      </c>
      <c r="D9" s="10">
        <v>29.57</v>
      </c>
      <c r="E9" s="10">
        <f t="shared" si="0"/>
        <v>32.770000000000003</v>
      </c>
    </row>
    <row r="10" spans="1:5" x14ac:dyDescent="0.3">
      <c r="A10" s="26">
        <v>6</v>
      </c>
      <c r="B10" s="30" t="s">
        <v>44</v>
      </c>
      <c r="C10" s="10">
        <v>0</v>
      </c>
      <c r="D10" s="10">
        <v>35.28</v>
      </c>
      <c r="E10" s="10">
        <f t="shared" si="0"/>
        <v>35.28</v>
      </c>
    </row>
    <row r="11" spans="1:5" x14ac:dyDescent="0.3">
      <c r="A11" s="26">
        <v>7</v>
      </c>
      <c r="B11" s="30" t="s">
        <v>46</v>
      </c>
      <c r="C11" s="10">
        <v>43.07</v>
      </c>
      <c r="D11" s="10">
        <v>48.19</v>
      </c>
      <c r="E11" s="10">
        <f t="shared" si="0"/>
        <v>91.259999999999991</v>
      </c>
    </row>
    <row r="12" spans="1:5" x14ac:dyDescent="0.3">
      <c r="A12" s="26">
        <v>8</v>
      </c>
      <c r="B12" s="30" t="s">
        <v>45</v>
      </c>
      <c r="C12" s="10">
        <v>36.69</v>
      </c>
      <c r="D12" s="10">
        <v>13.64</v>
      </c>
      <c r="E12" s="10">
        <f t="shared" ref="E12" si="1">C12+D12</f>
        <v>50.33</v>
      </c>
    </row>
    <row r="13" spans="1:5" x14ac:dyDescent="0.3">
      <c r="A13" s="26"/>
      <c r="B13" s="53" t="s">
        <v>36</v>
      </c>
      <c r="C13" s="10">
        <f>SUM(C5:C12)</f>
        <v>333.82</v>
      </c>
      <c r="D13" s="10">
        <f>SUM(D5:D12)</f>
        <v>502.91</v>
      </c>
      <c r="E13" s="10">
        <f>SUM(E5:E12)</f>
        <v>836.73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E21"/>
  <sheetViews>
    <sheetView workbookViewId="0">
      <selection sqref="A1:E1"/>
    </sheetView>
    <sheetView workbookViewId="1"/>
  </sheetViews>
  <sheetFormatPr defaultRowHeight="14.4" x14ac:dyDescent="0.3"/>
  <cols>
    <col min="1" max="1" width="7.5546875" customWidth="1"/>
    <col min="2" max="2" width="54.88671875" customWidth="1"/>
    <col min="3" max="3" width="9.109375" customWidth="1"/>
    <col min="4" max="4" width="14.5546875" customWidth="1"/>
    <col min="5" max="5" width="8.88671875" customWidth="1"/>
  </cols>
  <sheetData>
    <row r="1" spans="1:5" ht="15" thickBot="1" x14ac:dyDescent="0.35">
      <c r="A1" s="66"/>
      <c r="B1" s="67" t="s">
        <v>34</v>
      </c>
      <c r="C1" s="68"/>
      <c r="D1" s="68"/>
      <c r="E1" s="69"/>
    </row>
    <row r="2" spans="1:5" x14ac:dyDescent="0.3">
      <c r="A2" s="70" t="s">
        <v>0</v>
      </c>
      <c r="B2" s="71" t="s">
        <v>1</v>
      </c>
      <c r="C2" s="72" t="s">
        <v>2</v>
      </c>
      <c r="D2" s="72" t="s">
        <v>3</v>
      </c>
      <c r="E2" s="73" t="s">
        <v>4</v>
      </c>
    </row>
    <row r="3" spans="1:5" ht="27.75" customHeight="1" x14ac:dyDescent="0.3">
      <c r="A3" s="8" t="s">
        <v>49</v>
      </c>
      <c r="B3" s="65" t="s">
        <v>47</v>
      </c>
      <c r="C3" s="10" t="s">
        <v>7</v>
      </c>
      <c r="D3" s="11">
        <v>1</v>
      </c>
      <c r="E3" s="12">
        <v>323.32</v>
      </c>
    </row>
    <row r="4" spans="1:5" x14ac:dyDescent="0.3">
      <c r="A4" s="8" t="s">
        <v>9</v>
      </c>
      <c r="B4" s="65" t="s">
        <v>16</v>
      </c>
      <c r="C4" s="10" t="s">
        <v>6</v>
      </c>
      <c r="D4" s="11">
        <v>0.1</v>
      </c>
      <c r="E4" s="12">
        <f>D4*E3</f>
        <v>32.332000000000001</v>
      </c>
    </row>
    <row r="5" spans="1:5" ht="15" thickBot="1" x14ac:dyDescent="0.35">
      <c r="A5" s="14" t="s">
        <v>18</v>
      </c>
      <c r="B5" s="74" t="s">
        <v>48</v>
      </c>
      <c r="C5" s="15" t="s">
        <v>7</v>
      </c>
      <c r="D5" s="16">
        <v>1.1000000000000001</v>
      </c>
      <c r="E5" s="17">
        <f>D5*E3</f>
        <v>355.65200000000004</v>
      </c>
    </row>
    <row r="6" spans="1:5" ht="39.6" x14ac:dyDescent="0.3">
      <c r="A6" s="60" t="s">
        <v>11</v>
      </c>
      <c r="B6" s="61" t="str">
        <f>'1.n2'!B6</f>
        <v>Штукатурка стен гипсовыми смесями с предварительной огрунтовкой СКБ / толщ. от 21 до 40 мм / высотой от 4,01 до 8 метров (Штукатурка по ж/б поверхностям)</v>
      </c>
      <c r="C6" s="62" t="s">
        <v>5</v>
      </c>
      <c r="D6" s="63">
        <v>1</v>
      </c>
      <c r="E6" s="64">
        <f>'спец 5с'!C8</f>
        <v>161.16999999999999</v>
      </c>
    </row>
    <row r="7" spans="1:5" ht="15" thickBot="1" x14ac:dyDescent="0.35">
      <c r="A7" s="8" t="s">
        <v>14</v>
      </c>
      <c r="B7" s="38" t="s">
        <v>8</v>
      </c>
      <c r="C7" s="10" t="s">
        <v>6</v>
      </c>
      <c r="D7" s="11">
        <v>0.25</v>
      </c>
      <c r="E7" s="12">
        <f>$E$6*D7</f>
        <v>40.292499999999997</v>
      </c>
    </row>
    <row r="8" spans="1:5" x14ac:dyDescent="0.3">
      <c r="A8" s="8" t="s">
        <v>15</v>
      </c>
      <c r="B8" s="38" t="s">
        <v>13</v>
      </c>
      <c r="C8" s="10" t="s">
        <v>7</v>
      </c>
      <c r="D8" s="42">
        <v>1</v>
      </c>
      <c r="E8" s="12">
        <f t="shared" ref="E8" si="0">$E$6*D8</f>
        <v>161.16999999999999</v>
      </c>
    </row>
    <row r="9" spans="1:5" ht="15" thickBot="1" x14ac:dyDescent="0.35">
      <c r="A9" s="8" t="s">
        <v>17</v>
      </c>
      <c r="B9" s="18" t="s">
        <v>16</v>
      </c>
      <c r="C9" s="50" t="s">
        <v>6</v>
      </c>
      <c r="D9" s="13">
        <v>1</v>
      </c>
      <c r="E9" s="19">
        <f>$E$6*D9*28.57</f>
        <v>4604.6268999999993</v>
      </c>
    </row>
    <row r="10" spans="1:5" ht="39.6" x14ac:dyDescent="0.3">
      <c r="A10" s="39" t="s">
        <v>50</v>
      </c>
      <c r="B10" s="40" t="str">
        <f>'1.n2'!B10</f>
        <v>Штукатурка стен гипсовыми смесями с предварительной огрунтовкой СКБ / толщ. от 21 до 40 мм / высотой от 4,01 до 8 метров (Штукатурка  по газобетонному блоку и ПГП)</v>
      </c>
      <c r="C10" s="41" t="s">
        <v>5</v>
      </c>
      <c r="D10" s="42">
        <v>1</v>
      </c>
      <c r="E10" s="43">
        <f>'спец 5с'!D8</f>
        <v>341.46999999999997</v>
      </c>
    </row>
    <row r="11" spans="1:5" x14ac:dyDescent="0.3">
      <c r="A11" s="8" t="s">
        <v>51</v>
      </c>
      <c r="B11" s="38" t="s">
        <v>16</v>
      </c>
      <c r="C11" s="10" t="s">
        <v>6</v>
      </c>
      <c r="D11" s="11">
        <v>1</v>
      </c>
      <c r="E11" s="12">
        <f>$E$10*D11*32.51</f>
        <v>11101.189699999999</v>
      </c>
    </row>
    <row r="12" spans="1:5" ht="15" thickBot="1" x14ac:dyDescent="0.35">
      <c r="A12" s="8" t="s">
        <v>52</v>
      </c>
      <c r="B12" s="38" t="s">
        <v>10</v>
      </c>
      <c r="C12" s="10" t="s">
        <v>6</v>
      </c>
      <c r="D12" s="11">
        <v>0.15</v>
      </c>
      <c r="E12" s="12">
        <f t="shared" ref="E12:E13" si="1">$E$10*D12</f>
        <v>51.220499999999994</v>
      </c>
    </row>
    <row r="13" spans="1:5" x14ac:dyDescent="0.3">
      <c r="A13" s="8" t="s">
        <v>53</v>
      </c>
      <c r="B13" s="38" t="s">
        <v>13</v>
      </c>
      <c r="C13" s="10" t="s">
        <v>7</v>
      </c>
      <c r="D13" s="42">
        <v>1</v>
      </c>
      <c r="E13" s="12">
        <f t="shared" si="1"/>
        <v>341.46999999999997</v>
      </c>
    </row>
    <row r="14" spans="1:5" ht="15" thickBot="1" x14ac:dyDescent="0.35">
      <c r="A14" s="14" t="s">
        <v>54</v>
      </c>
      <c r="B14" s="51" t="s">
        <v>12</v>
      </c>
      <c r="C14" s="15" t="s">
        <v>7</v>
      </c>
      <c r="D14" s="16">
        <v>1</v>
      </c>
      <c r="E14" s="17">
        <v>97.97</v>
      </c>
    </row>
    <row r="15" spans="1:5" ht="15" thickBot="1" x14ac:dyDescent="0.35"/>
    <row r="16" spans="1:5" x14ac:dyDescent="0.3">
      <c r="A16" s="1"/>
      <c r="B16" s="37" t="s">
        <v>37</v>
      </c>
      <c r="C16" s="2"/>
      <c r="D16" s="2"/>
      <c r="E16" s="3"/>
    </row>
    <row r="17" spans="1:5" ht="15" thickBot="1" x14ac:dyDescent="0.35">
      <c r="A17" s="4" t="s">
        <v>0</v>
      </c>
      <c r="B17" s="5" t="s">
        <v>1</v>
      </c>
      <c r="C17" s="6" t="s">
        <v>2</v>
      </c>
      <c r="D17" s="6" t="s">
        <v>3</v>
      </c>
      <c r="E17" s="7" t="s">
        <v>4</v>
      </c>
    </row>
    <row r="18" spans="1:5" ht="26.4" x14ac:dyDescent="0.3">
      <c r="A18" s="39">
        <v>1</v>
      </c>
      <c r="B18" s="40" t="str">
        <f>'1.n2'!B18</f>
        <v>Подготовка поверхности СКБ / стен / по штукатурке / 2мм (Шпаклевка базовая)</v>
      </c>
      <c r="C18" s="41" t="s">
        <v>5</v>
      </c>
      <c r="D18" s="42">
        <v>1</v>
      </c>
      <c r="E18" s="43">
        <f>E10+E6</f>
        <v>502.64</v>
      </c>
    </row>
    <row r="19" spans="1:5" x14ac:dyDescent="0.3">
      <c r="A19" s="8">
        <v>1.1000000000000001</v>
      </c>
      <c r="B19" s="18" t="s">
        <v>10</v>
      </c>
      <c r="C19" s="10" t="s">
        <v>6</v>
      </c>
      <c r="D19" s="13">
        <v>0.15</v>
      </c>
      <c r="E19" s="19">
        <f>$E$18*D19</f>
        <v>75.396000000000001</v>
      </c>
    </row>
    <row r="20" spans="1:5" x14ac:dyDescent="0.3">
      <c r="A20" s="8" t="s">
        <v>9</v>
      </c>
      <c r="B20" s="9" t="s">
        <v>32</v>
      </c>
      <c r="C20" s="10" t="s">
        <v>6</v>
      </c>
      <c r="D20" s="11">
        <v>1.8</v>
      </c>
      <c r="E20" s="19">
        <f>$E$18*D20</f>
        <v>904.75199999999995</v>
      </c>
    </row>
    <row r="21" spans="1:5" ht="15" thickBot="1" x14ac:dyDescent="0.35">
      <c r="A21" s="14" t="s">
        <v>18</v>
      </c>
      <c r="B21" s="21" t="s">
        <v>33</v>
      </c>
      <c r="C21" s="15" t="s">
        <v>7</v>
      </c>
      <c r="D21" s="22">
        <v>0.3</v>
      </c>
      <c r="E21" s="17">
        <v>24.01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E8"/>
  <sheetViews>
    <sheetView workbookViewId="0">
      <selection sqref="A1:E1"/>
    </sheetView>
    <sheetView workbookViewId="1">
      <selection sqref="A1:E1"/>
    </sheetView>
  </sheetViews>
  <sheetFormatPr defaultRowHeight="14.4" x14ac:dyDescent="0.3"/>
  <cols>
    <col min="2" max="2" width="13.6640625" customWidth="1"/>
    <col min="3" max="3" width="12.6640625" customWidth="1"/>
    <col min="4" max="4" width="17" customWidth="1"/>
    <col min="5" max="5" width="10.109375" customWidth="1"/>
  </cols>
  <sheetData>
    <row r="1" spans="1:5" x14ac:dyDescent="0.3">
      <c r="A1" s="341" t="s">
        <v>20</v>
      </c>
      <c r="B1" s="341"/>
      <c r="C1" s="341"/>
      <c r="D1" s="341"/>
      <c r="E1" s="341"/>
    </row>
    <row r="2" spans="1:5" x14ac:dyDescent="0.3">
      <c r="A2" s="339" t="s">
        <v>35</v>
      </c>
      <c r="B2" s="339"/>
      <c r="C2" s="339"/>
      <c r="D2" s="339"/>
      <c r="E2" s="339"/>
    </row>
    <row r="3" spans="1:5" ht="26.4" x14ac:dyDescent="0.3">
      <c r="A3" s="59"/>
      <c r="B3" s="30"/>
      <c r="C3" s="27" t="s">
        <v>22</v>
      </c>
      <c r="D3" s="58" t="s">
        <v>23</v>
      </c>
      <c r="E3" s="59" t="s">
        <v>31</v>
      </c>
    </row>
    <row r="4" spans="1:5" x14ac:dyDescent="0.3">
      <c r="A4" s="59" t="s">
        <v>0</v>
      </c>
      <c r="B4" s="28" t="s">
        <v>19</v>
      </c>
      <c r="C4" s="10" t="s">
        <v>21</v>
      </c>
      <c r="D4" s="10" t="s">
        <v>21</v>
      </c>
      <c r="E4" s="59"/>
    </row>
    <row r="5" spans="1:5" x14ac:dyDescent="0.3">
      <c r="A5" s="59">
        <v>1</v>
      </c>
      <c r="B5" s="30" t="s">
        <v>55</v>
      </c>
      <c r="C5" s="10">
        <v>82.77</v>
      </c>
      <c r="D5" s="10">
        <v>145.32</v>
      </c>
      <c r="E5" s="10">
        <f>C5+D5</f>
        <v>228.08999999999997</v>
      </c>
    </row>
    <row r="6" spans="1:5" x14ac:dyDescent="0.3">
      <c r="A6" s="59">
        <v>2</v>
      </c>
      <c r="B6" s="30" t="s">
        <v>56</v>
      </c>
      <c r="C6" s="10">
        <v>71.44</v>
      </c>
      <c r="D6" s="10">
        <v>123.07</v>
      </c>
      <c r="E6" s="10">
        <f t="shared" ref="E6:E7" si="0">C6+D6</f>
        <v>194.51</v>
      </c>
    </row>
    <row r="7" spans="1:5" x14ac:dyDescent="0.3">
      <c r="A7" s="59">
        <v>3</v>
      </c>
      <c r="B7" s="30" t="s">
        <v>57</v>
      </c>
      <c r="C7" s="10">
        <v>6.96</v>
      </c>
      <c r="D7" s="10">
        <v>73.08</v>
      </c>
      <c r="E7" s="10">
        <f t="shared" si="0"/>
        <v>80.039999999999992</v>
      </c>
    </row>
    <row r="8" spans="1:5" x14ac:dyDescent="0.3">
      <c r="A8" s="59"/>
      <c r="B8" s="53" t="s">
        <v>36</v>
      </c>
      <c r="C8" s="10">
        <f>SUM(C5:C7)</f>
        <v>161.16999999999999</v>
      </c>
      <c r="D8" s="10">
        <f>SUM(D5:D7)</f>
        <v>341.46999999999997</v>
      </c>
      <c r="E8" s="10">
        <f>SUM(E5:E7)</f>
        <v>502.64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E21"/>
  <sheetViews>
    <sheetView workbookViewId="0">
      <selection sqref="A1:E1"/>
    </sheetView>
    <sheetView workbookViewId="1"/>
  </sheetViews>
  <sheetFormatPr defaultRowHeight="14.4" x14ac:dyDescent="0.3"/>
  <cols>
    <col min="1" max="1" width="7.5546875" customWidth="1"/>
    <col min="2" max="2" width="54.88671875" customWidth="1"/>
    <col min="3" max="3" width="9.109375" customWidth="1"/>
    <col min="4" max="4" width="14.5546875" customWidth="1"/>
    <col min="5" max="5" width="8.88671875" customWidth="1"/>
  </cols>
  <sheetData>
    <row r="1" spans="1:5" ht="15" thickBot="1" x14ac:dyDescent="0.35">
      <c r="A1" s="66"/>
      <c r="B1" s="67" t="s">
        <v>34</v>
      </c>
      <c r="C1" s="68"/>
      <c r="D1" s="68"/>
      <c r="E1" s="69"/>
    </row>
    <row r="2" spans="1:5" x14ac:dyDescent="0.3">
      <c r="A2" s="70" t="s">
        <v>0</v>
      </c>
      <c r="B2" s="71" t="s">
        <v>1</v>
      </c>
      <c r="C2" s="72" t="s">
        <v>2</v>
      </c>
      <c r="D2" s="72" t="s">
        <v>3</v>
      </c>
      <c r="E2" s="73" t="s">
        <v>4</v>
      </c>
    </row>
    <row r="3" spans="1:5" ht="27.75" customHeight="1" x14ac:dyDescent="0.3">
      <c r="A3" s="8" t="s">
        <v>49</v>
      </c>
      <c r="B3" s="65" t="s">
        <v>47</v>
      </c>
      <c r="C3" s="10" t="s">
        <v>7</v>
      </c>
      <c r="D3" s="11">
        <v>1</v>
      </c>
      <c r="E3" s="12">
        <v>396.86</v>
      </c>
    </row>
    <row r="4" spans="1:5" x14ac:dyDescent="0.3">
      <c r="A4" s="8" t="s">
        <v>9</v>
      </c>
      <c r="B4" s="65" t="s">
        <v>16</v>
      </c>
      <c r="C4" s="10" t="s">
        <v>6</v>
      </c>
      <c r="D4" s="11">
        <v>0.1</v>
      </c>
      <c r="E4" s="12">
        <f>D4*E3</f>
        <v>39.686000000000007</v>
      </c>
    </row>
    <row r="5" spans="1:5" ht="15" thickBot="1" x14ac:dyDescent="0.35">
      <c r="A5" s="14" t="s">
        <v>18</v>
      </c>
      <c r="B5" s="74" t="s">
        <v>48</v>
      </c>
      <c r="C5" s="15" t="s">
        <v>7</v>
      </c>
      <c r="D5" s="16">
        <v>1.1000000000000001</v>
      </c>
      <c r="E5" s="17">
        <f>D5*E3</f>
        <v>436.54600000000005</v>
      </c>
    </row>
    <row r="6" spans="1:5" ht="39.6" x14ac:dyDescent="0.3">
      <c r="A6" s="60" t="s">
        <v>11</v>
      </c>
      <c r="B6" s="61" t="str">
        <f>'1.n2'!B6</f>
        <v>Штукатурка стен гипсовыми смесями с предварительной огрунтовкой СКБ / толщ. от 21 до 40 мм / высотой от 4,01 до 8 метров (Штукатурка по ж/б поверхностям)</v>
      </c>
      <c r="C6" s="62" t="s">
        <v>5</v>
      </c>
      <c r="D6" s="63">
        <v>1</v>
      </c>
      <c r="E6" s="64">
        <f>'спец 4с'!C14</f>
        <v>361.91847680879999</v>
      </c>
    </row>
    <row r="7" spans="1:5" ht="15" thickBot="1" x14ac:dyDescent="0.35">
      <c r="A7" s="8" t="s">
        <v>14</v>
      </c>
      <c r="B7" s="38" t="s">
        <v>8</v>
      </c>
      <c r="C7" s="10" t="s">
        <v>6</v>
      </c>
      <c r="D7" s="11">
        <v>0.25</v>
      </c>
      <c r="E7" s="12">
        <f>$E$6*D7</f>
        <v>90.479619202199999</v>
      </c>
    </row>
    <row r="8" spans="1:5" x14ac:dyDescent="0.3">
      <c r="A8" s="8" t="s">
        <v>15</v>
      </c>
      <c r="B8" s="38" t="s">
        <v>13</v>
      </c>
      <c r="C8" s="10" t="s">
        <v>7</v>
      </c>
      <c r="D8" s="42">
        <v>1</v>
      </c>
      <c r="E8" s="12">
        <f t="shared" ref="E8" si="0">$E$6*D8</f>
        <v>361.91847680879999</v>
      </c>
    </row>
    <row r="9" spans="1:5" ht="15" thickBot="1" x14ac:dyDescent="0.35">
      <c r="A9" s="8" t="s">
        <v>17</v>
      </c>
      <c r="B9" s="18" t="s">
        <v>16</v>
      </c>
      <c r="C9" s="50" t="s">
        <v>6</v>
      </c>
      <c r="D9" s="13">
        <v>1</v>
      </c>
      <c r="E9" s="19">
        <f>$E$6*D9*28.57</f>
        <v>10340.010882427416</v>
      </c>
    </row>
    <row r="10" spans="1:5" ht="39.6" x14ac:dyDescent="0.3">
      <c r="A10" s="39" t="s">
        <v>50</v>
      </c>
      <c r="B10" s="40" t="str">
        <f>'1.n2'!B10</f>
        <v>Штукатурка стен гипсовыми смесями с предварительной огрунтовкой СКБ / толщ. от 21 до 40 мм / высотой от 4,01 до 8 метров (Штукатурка  по газобетонному блоку и ПГП)</v>
      </c>
      <c r="C10" s="41" t="s">
        <v>5</v>
      </c>
      <c r="D10" s="42">
        <v>1</v>
      </c>
      <c r="E10" s="43">
        <f>'спец 4с'!D14</f>
        <v>697.45979058729995</v>
      </c>
    </row>
    <row r="11" spans="1:5" x14ac:dyDescent="0.3">
      <c r="A11" s="8" t="s">
        <v>51</v>
      </c>
      <c r="B11" s="38" t="s">
        <v>16</v>
      </c>
      <c r="C11" s="10" t="s">
        <v>6</v>
      </c>
      <c r="D11" s="11">
        <v>1</v>
      </c>
      <c r="E11" s="12">
        <f>$E$10*D11*32.51</f>
        <v>22674.417791993121</v>
      </c>
    </row>
    <row r="12" spans="1:5" ht="15" thickBot="1" x14ac:dyDescent="0.35">
      <c r="A12" s="8" t="s">
        <v>52</v>
      </c>
      <c r="B12" s="38" t="s">
        <v>10</v>
      </c>
      <c r="C12" s="10" t="s">
        <v>6</v>
      </c>
      <c r="D12" s="11">
        <v>0.15</v>
      </c>
      <c r="E12" s="12">
        <f t="shared" ref="E12:E13" si="1">$E$10*D12</f>
        <v>104.61896858809499</v>
      </c>
    </row>
    <row r="13" spans="1:5" x14ac:dyDescent="0.3">
      <c r="A13" s="8" t="s">
        <v>53</v>
      </c>
      <c r="B13" s="38" t="s">
        <v>13</v>
      </c>
      <c r="C13" s="10" t="s">
        <v>7</v>
      </c>
      <c r="D13" s="42">
        <v>1</v>
      </c>
      <c r="E13" s="12">
        <f t="shared" si="1"/>
        <v>697.45979058729995</v>
      </c>
    </row>
    <row r="14" spans="1:5" ht="15" thickBot="1" x14ac:dyDescent="0.35">
      <c r="A14" s="14" t="s">
        <v>54</v>
      </c>
      <c r="B14" s="51" t="s">
        <v>12</v>
      </c>
      <c r="C14" s="15" t="s">
        <v>7</v>
      </c>
      <c r="D14" s="16">
        <v>1</v>
      </c>
      <c r="E14" s="17">
        <f>15*3.98</f>
        <v>59.7</v>
      </c>
    </row>
    <row r="15" spans="1:5" ht="15" thickBot="1" x14ac:dyDescent="0.35"/>
    <row r="16" spans="1:5" x14ac:dyDescent="0.3">
      <c r="A16" s="1"/>
      <c r="B16" s="37" t="s">
        <v>37</v>
      </c>
      <c r="C16" s="2"/>
      <c r="D16" s="2"/>
      <c r="E16" s="3"/>
    </row>
    <row r="17" spans="1:5" ht="15" thickBot="1" x14ac:dyDescent="0.35">
      <c r="A17" s="4" t="s">
        <v>0</v>
      </c>
      <c r="B17" s="5" t="s">
        <v>1</v>
      </c>
      <c r="C17" s="6" t="s">
        <v>2</v>
      </c>
      <c r="D17" s="6" t="s">
        <v>3</v>
      </c>
      <c r="E17" s="7" t="s">
        <v>4</v>
      </c>
    </row>
    <row r="18" spans="1:5" ht="26.4" x14ac:dyDescent="0.3">
      <c r="A18" s="39">
        <v>1</v>
      </c>
      <c r="B18" s="40" t="str">
        <f>'1.n2'!B18</f>
        <v>Подготовка поверхности СКБ / стен / по штукатурке / 2мм (Шпаклевка базовая)</v>
      </c>
      <c r="C18" s="41" t="s">
        <v>5</v>
      </c>
      <c r="D18" s="42">
        <v>1</v>
      </c>
      <c r="E18" s="43">
        <f>E10+E6</f>
        <v>1059.3782673961</v>
      </c>
    </row>
    <row r="19" spans="1:5" x14ac:dyDescent="0.3">
      <c r="A19" s="8">
        <v>1.1000000000000001</v>
      </c>
      <c r="B19" s="18" t="s">
        <v>10</v>
      </c>
      <c r="C19" s="10" t="s">
        <v>6</v>
      </c>
      <c r="D19" s="13">
        <v>0.15</v>
      </c>
      <c r="E19" s="19">
        <f>$E$18*D19</f>
        <v>158.90674010941498</v>
      </c>
    </row>
    <row r="20" spans="1:5" x14ac:dyDescent="0.3">
      <c r="A20" s="8" t="s">
        <v>9</v>
      </c>
      <c r="B20" s="9" t="s">
        <v>32</v>
      </c>
      <c r="C20" s="10" t="s">
        <v>6</v>
      </c>
      <c r="D20" s="11">
        <v>1.8</v>
      </c>
      <c r="E20" s="19">
        <f>$E$18*D20</f>
        <v>1906.8808813129801</v>
      </c>
    </row>
    <row r="21" spans="1:5" ht="15" thickBot="1" x14ac:dyDescent="0.35">
      <c r="A21" s="14" t="s">
        <v>18</v>
      </c>
      <c r="B21" s="21" t="s">
        <v>33</v>
      </c>
      <c r="C21" s="15" t="s">
        <v>7</v>
      </c>
      <c r="D21" s="22">
        <v>0.3</v>
      </c>
      <c r="E21" s="17">
        <v>24.01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E14"/>
  <sheetViews>
    <sheetView workbookViewId="0">
      <selection sqref="A1:E1"/>
    </sheetView>
    <sheetView workbookViewId="1">
      <selection sqref="A1:E1"/>
    </sheetView>
  </sheetViews>
  <sheetFormatPr defaultRowHeight="14.4" x14ac:dyDescent="0.3"/>
  <cols>
    <col min="2" max="2" width="13.6640625" customWidth="1"/>
    <col min="3" max="3" width="12.6640625" customWidth="1"/>
    <col min="4" max="4" width="17" customWidth="1"/>
    <col min="5" max="5" width="10.109375" customWidth="1"/>
  </cols>
  <sheetData>
    <row r="1" spans="1:5" x14ac:dyDescent="0.3">
      <c r="A1" s="341" t="s">
        <v>20</v>
      </c>
      <c r="B1" s="341"/>
      <c r="C1" s="341"/>
      <c r="D1" s="341"/>
      <c r="E1" s="341"/>
    </row>
    <row r="2" spans="1:5" x14ac:dyDescent="0.3">
      <c r="A2" s="339" t="s">
        <v>35</v>
      </c>
      <c r="B2" s="339"/>
      <c r="C2" s="339"/>
      <c r="D2" s="339"/>
      <c r="E2" s="339"/>
    </row>
    <row r="3" spans="1:5" ht="26.4" x14ac:dyDescent="0.3">
      <c r="A3" s="76"/>
      <c r="B3" s="30"/>
      <c r="C3" s="27" t="s">
        <v>22</v>
      </c>
      <c r="D3" s="75" t="s">
        <v>23</v>
      </c>
      <c r="E3" s="76" t="s">
        <v>31</v>
      </c>
    </row>
    <row r="4" spans="1:5" x14ac:dyDescent="0.3">
      <c r="A4" s="76" t="s">
        <v>0</v>
      </c>
      <c r="B4" s="28" t="s">
        <v>19</v>
      </c>
      <c r="C4" s="10" t="s">
        <v>21</v>
      </c>
      <c r="D4" s="10" t="s">
        <v>21</v>
      </c>
      <c r="E4" s="76"/>
    </row>
    <row r="5" spans="1:5" ht="15.75" customHeight="1" x14ac:dyDescent="0.3">
      <c r="A5" s="76">
        <v>1</v>
      </c>
      <c r="B5" s="30" t="s">
        <v>58</v>
      </c>
      <c r="C5" s="10">
        <v>27.473938947900002</v>
      </c>
      <c r="D5" s="10">
        <v>100.70855333499999</v>
      </c>
      <c r="E5" s="10">
        <f>C5+D5</f>
        <v>128.1824922829</v>
      </c>
    </row>
    <row r="6" spans="1:5" ht="15.75" customHeight="1" x14ac:dyDescent="0.3">
      <c r="A6" s="76">
        <v>2</v>
      </c>
      <c r="B6" s="30" t="s">
        <v>59</v>
      </c>
      <c r="C6" s="10">
        <v>49.624980822800005</v>
      </c>
      <c r="D6" s="10">
        <v>56.0445512175</v>
      </c>
      <c r="E6" s="10">
        <f t="shared" ref="E6:E7" si="0">C6+D6</f>
        <v>105.6695320403</v>
      </c>
    </row>
    <row r="7" spans="1:5" ht="15.75" customHeight="1" x14ac:dyDescent="0.3">
      <c r="A7" s="76">
        <v>3</v>
      </c>
      <c r="B7" s="30" t="s">
        <v>60</v>
      </c>
      <c r="C7" s="10">
        <v>42.740829176200002</v>
      </c>
      <c r="D7" s="10">
        <v>59.509028052599994</v>
      </c>
      <c r="E7" s="10">
        <f t="shared" si="0"/>
        <v>102.2498572288</v>
      </c>
    </row>
    <row r="8" spans="1:5" ht="15.75" customHeight="1" x14ac:dyDescent="0.3">
      <c r="A8" s="76">
        <v>4</v>
      </c>
      <c r="B8" s="30" t="s">
        <v>61</v>
      </c>
      <c r="C8" s="10">
        <v>69.465545464800002</v>
      </c>
      <c r="D8" s="10">
        <v>36.453381392200001</v>
      </c>
      <c r="E8" s="10">
        <f>C8+D8</f>
        <v>105.918926857</v>
      </c>
    </row>
    <row r="9" spans="1:5" ht="15.75" customHeight="1" x14ac:dyDescent="0.3">
      <c r="A9" s="76">
        <v>5</v>
      </c>
      <c r="B9" s="30" t="s">
        <v>62</v>
      </c>
      <c r="C9" s="10">
        <v>70.613545464799998</v>
      </c>
      <c r="D9" s="10">
        <v>36.0466199233</v>
      </c>
      <c r="E9" s="10">
        <f t="shared" ref="E9:E11" si="1">C9+D9</f>
        <v>106.6601653881</v>
      </c>
    </row>
    <row r="10" spans="1:5" ht="15.75" customHeight="1" x14ac:dyDescent="0.3">
      <c r="A10" s="76">
        <v>6</v>
      </c>
      <c r="B10" s="30" t="s">
        <v>63</v>
      </c>
      <c r="C10" s="10">
        <v>18.623236932599998</v>
      </c>
      <c r="D10" s="10">
        <v>171.0372205095</v>
      </c>
      <c r="E10" s="10">
        <f t="shared" si="1"/>
        <v>189.66045744210001</v>
      </c>
    </row>
    <row r="11" spans="1:5" ht="15.75" customHeight="1" x14ac:dyDescent="0.3">
      <c r="A11" s="76">
        <v>7</v>
      </c>
      <c r="B11" s="30" t="s">
        <v>65</v>
      </c>
      <c r="C11" s="10">
        <v>36.700000000000003</v>
      </c>
      <c r="D11" s="10">
        <v>13.64</v>
      </c>
      <c r="E11" s="10">
        <f t="shared" si="1"/>
        <v>50.34</v>
      </c>
    </row>
    <row r="12" spans="1:5" ht="15.75" customHeight="1" x14ac:dyDescent="0.3">
      <c r="A12" s="76">
        <v>8</v>
      </c>
      <c r="B12" s="30" t="s">
        <v>56</v>
      </c>
      <c r="C12" s="10">
        <v>31.876399999699998</v>
      </c>
      <c r="D12" s="10">
        <v>105.4742089912</v>
      </c>
      <c r="E12" s="10">
        <f t="shared" ref="E12:E13" si="2">C12+D12</f>
        <v>137.35060899090001</v>
      </c>
    </row>
    <row r="13" spans="1:5" ht="15.75" customHeight="1" x14ac:dyDescent="0.3">
      <c r="A13" s="76">
        <v>9</v>
      </c>
      <c r="B13" s="30" t="s">
        <v>64</v>
      </c>
      <c r="C13" s="10">
        <v>14.8</v>
      </c>
      <c r="D13" s="10">
        <v>118.54622716599999</v>
      </c>
      <c r="E13" s="10">
        <f t="shared" si="2"/>
        <v>133.34622716600001</v>
      </c>
    </row>
    <row r="14" spans="1:5" x14ac:dyDescent="0.3">
      <c r="A14" s="76"/>
      <c r="B14" s="53" t="s">
        <v>36</v>
      </c>
      <c r="C14" s="10">
        <f>SUM(C5:C13)</f>
        <v>361.91847680879999</v>
      </c>
      <c r="D14" s="10">
        <f>SUM(D5:D13)</f>
        <v>697.45979058729995</v>
      </c>
      <c r="E14" s="10">
        <f>SUM(C14:D14)</f>
        <v>1059.3782673961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G21"/>
  <sheetViews>
    <sheetView workbookViewId="0">
      <selection sqref="A1:E1"/>
    </sheetView>
    <sheetView workbookViewId="1"/>
  </sheetViews>
  <sheetFormatPr defaultRowHeight="14.4" x14ac:dyDescent="0.3"/>
  <cols>
    <col min="1" max="1" width="7.5546875" customWidth="1"/>
    <col min="2" max="2" width="54.88671875" customWidth="1"/>
    <col min="3" max="3" width="9.109375" customWidth="1"/>
    <col min="4" max="4" width="14.5546875" customWidth="1"/>
    <col min="5" max="5" width="8.88671875" customWidth="1"/>
  </cols>
  <sheetData>
    <row r="1" spans="1:7" ht="15" thickBot="1" x14ac:dyDescent="0.35">
      <c r="A1" s="66"/>
      <c r="B1" s="67" t="s">
        <v>34</v>
      </c>
      <c r="C1" s="68"/>
      <c r="D1" s="68"/>
      <c r="E1" s="69"/>
    </row>
    <row r="2" spans="1:7" x14ac:dyDescent="0.3">
      <c r="A2" s="70" t="s">
        <v>0</v>
      </c>
      <c r="B2" s="71" t="s">
        <v>1</v>
      </c>
      <c r="C2" s="72" t="s">
        <v>2</v>
      </c>
      <c r="D2" s="72" t="s">
        <v>3</v>
      </c>
      <c r="E2" s="73" t="s">
        <v>4</v>
      </c>
    </row>
    <row r="3" spans="1:7" ht="39.6" x14ac:dyDescent="0.3">
      <c r="A3" s="8" t="s">
        <v>49</v>
      </c>
      <c r="B3" s="65" t="s">
        <v>47</v>
      </c>
      <c r="C3" s="10" t="s">
        <v>7</v>
      </c>
      <c r="D3" s="11">
        <v>1</v>
      </c>
      <c r="E3" s="12">
        <f>290*3.8</f>
        <v>1102</v>
      </c>
    </row>
    <row r="4" spans="1:7" x14ac:dyDescent="0.3">
      <c r="A4" s="8" t="s">
        <v>9</v>
      </c>
      <c r="B4" s="65" t="s">
        <v>16</v>
      </c>
      <c r="C4" s="10" t="s">
        <v>6</v>
      </c>
      <c r="D4" s="11">
        <v>0.1</v>
      </c>
      <c r="E4" s="12">
        <f>D4*E3</f>
        <v>110.2</v>
      </c>
    </row>
    <row r="5" spans="1:7" ht="15" thickBot="1" x14ac:dyDescent="0.35">
      <c r="A5" s="14" t="s">
        <v>18</v>
      </c>
      <c r="B5" s="74" t="s">
        <v>48</v>
      </c>
      <c r="C5" s="15" t="s">
        <v>7</v>
      </c>
      <c r="D5" s="16">
        <v>1.1000000000000001</v>
      </c>
      <c r="E5" s="17">
        <f>D5*E3</f>
        <v>1212.2</v>
      </c>
    </row>
    <row r="6" spans="1:7" ht="39.6" x14ac:dyDescent="0.3">
      <c r="A6" s="60" t="s">
        <v>11</v>
      </c>
      <c r="B6" s="61" t="str">
        <f>'1.n2'!B6</f>
        <v>Штукатурка стен гипсовыми смесями с предварительной огрунтовкой СКБ / толщ. от 21 до 40 мм / высотой от 4,01 до 8 метров (Штукатурка по ж/б поверхностям)</v>
      </c>
      <c r="C6" s="62" t="s">
        <v>5</v>
      </c>
      <c r="D6" s="63">
        <v>1</v>
      </c>
      <c r="E6" s="64">
        <f>Спец7с3э!C16+Спец6с3э!C14+Спец5с3э!C7+Спец4с3э!C16</f>
        <v>1389.7395421799999</v>
      </c>
      <c r="G6" s="102"/>
    </row>
    <row r="7" spans="1:7" ht="15" thickBot="1" x14ac:dyDescent="0.35">
      <c r="A7" s="8" t="s">
        <v>14</v>
      </c>
      <c r="B7" s="38" t="s">
        <v>8</v>
      </c>
      <c r="C7" s="10" t="s">
        <v>6</v>
      </c>
      <c r="D7" s="11">
        <v>0.25</v>
      </c>
      <c r="E7" s="12">
        <f>$E$6*D7</f>
        <v>347.43488554499999</v>
      </c>
    </row>
    <row r="8" spans="1:7" x14ac:dyDescent="0.3">
      <c r="A8" s="8" t="s">
        <v>15</v>
      </c>
      <c r="B8" s="38" t="s">
        <v>13</v>
      </c>
      <c r="C8" s="10" t="s">
        <v>7</v>
      </c>
      <c r="D8" s="42">
        <v>1</v>
      </c>
      <c r="E8" s="12">
        <f t="shared" ref="E8" si="0">$E$6*D8</f>
        <v>1389.7395421799999</v>
      </c>
    </row>
    <row r="9" spans="1:7" ht="15" thickBot="1" x14ac:dyDescent="0.35">
      <c r="A9" s="8" t="s">
        <v>17</v>
      </c>
      <c r="B9" s="18" t="s">
        <v>16</v>
      </c>
      <c r="C9" s="50" t="s">
        <v>6</v>
      </c>
      <c r="D9" s="13">
        <v>1</v>
      </c>
      <c r="E9" s="19">
        <f>$E$6*D9*28.57</f>
        <v>39704.8587200826</v>
      </c>
    </row>
    <row r="10" spans="1:7" ht="39.6" x14ac:dyDescent="0.3">
      <c r="A10" s="39" t="s">
        <v>50</v>
      </c>
      <c r="B10" s="40" t="str">
        <f>'1.n2'!B10</f>
        <v>Штукатурка стен гипсовыми смесями с предварительной огрунтовкой СКБ / толщ. от 21 до 40 мм / высотой от 4,01 до 8 метров (Штукатурка  по газобетонному блоку и ПГП)</v>
      </c>
      <c r="C10" s="41" t="s">
        <v>5</v>
      </c>
      <c r="D10" s="42">
        <v>1</v>
      </c>
      <c r="E10" s="43">
        <f>Спец7с3э!D16+Спец6с3э!D14+Спец5с3э!D7+Спец4с3э!D16</f>
        <v>2747.8019152800002</v>
      </c>
    </row>
    <row r="11" spans="1:7" x14ac:dyDescent="0.3">
      <c r="A11" s="8" t="s">
        <v>51</v>
      </c>
      <c r="B11" s="38" t="s">
        <v>16</v>
      </c>
      <c r="C11" s="10" t="s">
        <v>6</v>
      </c>
      <c r="D11" s="11">
        <v>1</v>
      </c>
      <c r="E11" s="12">
        <f>$E$10*D11*32.51</f>
        <v>89331.040265752803</v>
      </c>
    </row>
    <row r="12" spans="1:7" ht="15" thickBot="1" x14ac:dyDescent="0.35">
      <c r="A12" s="8" t="s">
        <v>52</v>
      </c>
      <c r="B12" s="38" t="s">
        <v>10</v>
      </c>
      <c r="C12" s="10" t="s">
        <v>6</v>
      </c>
      <c r="D12" s="11">
        <v>0.15</v>
      </c>
      <c r="E12" s="12">
        <f t="shared" ref="E12:E13" si="1">$E$10*D12</f>
        <v>412.17028729200001</v>
      </c>
    </row>
    <row r="13" spans="1:7" x14ac:dyDescent="0.3">
      <c r="A13" s="8" t="s">
        <v>53</v>
      </c>
      <c r="B13" s="38" t="s">
        <v>13</v>
      </c>
      <c r="C13" s="10" t="s">
        <v>7</v>
      </c>
      <c r="D13" s="42">
        <v>1</v>
      </c>
      <c r="E13" s="12">
        <f t="shared" si="1"/>
        <v>2747.8019152800002</v>
      </c>
    </row>
    <row r="14" spans="1:7" ht="15" thickBot="1" x14ac:dyDescent="0.35">
      <c r="A14" s="14" t="s">
        <v>54</v>
      </c>
      <c r="B14" s="51" t="s">
        <v>12</v>
      </c>
      <c r="C14" s="15" t="s">
        <v>7</v>
      </c>
      <c r="D14" s="16">
        <v>1</v>
      </c>
      <c r="E14" s="17">
        <f>235.75*4</f>
        <v>943</v>
      </c>
    </row>
    <row r="15" spans="1:7" ht="15" thickBot="1" x14ac:dyDescent="0.35"/>
    <row r="16" spans="1:7" x14ac:dyDescent="0.3">
      <c r="A16" s="1"/>
      <c r="B16" s="37" t="s">
        <v>37</v>
      </c>
      <c r="C16" s="2"/>
      <c r="D16" s="2"/>
      <c r="E16" s="3"/>
    </row>
    <row r="17" spans="1:5" ht="15" thickBot="1" x14ac:dyDescent="0.35">
      <c r="A17" s="4" t="s">
        <v>0</v>
      </c>
      <c r="B17" s="5" t="s">
        <v>1</v>
      </c>
      <c r="C17" s="6" t="s">
        <v>2</v>
      </c>
      <c r="D17" s="6" t="s">
        <v>3</v>
      </c>
      <c r="E17" s="7" t="s">
        <v>4</v>
      </c>
    </row>
    <row r="18" spans="1:5" ht="26.4" x14ac:dyDescent="0.3">
      <c r="A18" s="39">
        <v>1</v>
      </c>
      <c r="B18" s="40" t="str">
        <f>'1.n2'!B18</f>
        <v>Подготовка поверхности СКБ / стен / по штукатурке / 2мм (Шпаклевка базовая)</v>
      </c>
      <c r="C18" s="41" t="s">
        <v>5</v>
      </c>
      <c r="D18" s="42">
        <v>1</v>
      </c>
      <c r="E18" s="43">
        <f>E10+E6</f>
        <v>4137.5414574599999</v>
      </c>
    </row>
    <row r="19" spans="1:5" x14ac:dyDescent="0.3">
      <c r="A19" s="8">
        <v>1.1000000000000001</v>
      </c>
      <c r="B19" s="18" t="s">
        <v>10</v>
      </c>
      <c r="C19" s="10" t="s">
        <v>6</v>
      </c>
      <c r="D19" s="13">
        <v>0.15</v>
      </c>
      <c r="E19" s="19">
        <f>$E$18*D19</f>
        <v>620.63121861899992</v>
      </c>
    </row>
    <row r="20" spans="1:5" x14ac:dyDescent="0.3">
      <c r="A20" s="8" t="s">
        <v>9</v>
      </c>
      <c r="B20" s="9" t="s">
        <v>32</v>
      </c>
      <c r="C20" s="10" t="s">
        <v>6</v>
      </c>
      <c r="D20" s="11">
        <v>1.8</v>
      </c>
      <c r="E20" s="19">
        <f>$E$18*D20</f>
        <v>7447.5746234280005</v>
      </c>
    </row>
    <row r="21" spans="1:5" ht="15" thickBot="1" x14ac:dyDescent="0.35">
      <c r="A21" s="14" t="s">
        <v>18</v>
      </c>
      <c r="B21" s="21" t="s">
        <v>33</v>
      </c>
      <c r="C21" s="15" t="s">
        <v>7</v>
      </c>
      <c r="D21" s="22">
        <v>0.3</v>
      </c>
      <c r="E21" s="17">
        <v>75.13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sqref="A1:E1"/>
    </sheetView>
    <sheetView workbookViewId="1">
      <selection sqref="A1:E1"/>
    </sheetView>
  </sheetViews>
  <sheetFormatPr defaultRowHeight="14.4" x14ac:dyDescent="0.3"/>
  <cols>
    <col min="2" max="2" width="13.6640625" customWidth="1"/>
    <col min="3" max="3" width="12.6640625" customWidth="1"/>
    <col min="4" max="4" width="17" customWidth="1"/>
    <col min="5" max="5" width="10.109375" customWidth="1"/>
  </cols>
  <sheetData>
    <row r="1" spans="1:5" x14ac:dyDescent="0.3">
      <c r="A1" s="341" t="s">
        <v>99</v>
      </c>
      <c r="B1" s="341"/>
      <c r="C1" s="341"/>
      <c r="D1" s="341"/>
      <c r="E1" s="341"/>
    </row>
    <row r="2" spans="1:5" x14ac:dyDescent="0.3">
      <c r="A2" s="339" t="s">
        <v>35</v>
      </c>
      <c r="B2" s="339"/>
      <c r="C2" s="339"/>
      <c r="D2" s="339"/>
      <c r="E2" s="339"/>
    </row>
    <row r="3" spans="1:5" ht="26.4" x14ac:dyDescent="0.3">
      <c r="A3" s="78"/>
      <c r="B3" s="30"/>
      <c r="C3" s="27" t="s">
        <v>22</v>
      </c>
      <c r="D3" s="77" t="s">
        <v>23</v>
      </c>
      <c r="E3" s="78" t="s">
        <v>31</v>
      </c>
    </row>
    <row r="4" spans="1:5" x14ac:dyDescent="0.3">
      <c r="A4" s="78" t="s">
        <v>0</v>
      </c>
      <c r="B4" s="28" t="s">
        <v>19</v>
      </c>
      <c r="C4" s="10" t="s">
        <v>21</v>
      </c>
      <c r="D4" s="10" t="s">
        <v>21</v>
      </c>
      <c r="E4" s="78"/>
    </row>
    <row r="5" spans="1:5" x14ac:dyDescent="0.3">
      <c r="A5" s="78">
        <v>1</v>
      </c>
      <c r="B5" s="30" t="s">
        <v>76</v>
      </c>
      <c r="C5" s="10">
        <v>4.4658036399999999</v>
      </c>
      <c r="D5" s="10">
        <v>69.887666919999987</v>
      </c>
      <c r="E5" s="80">
        <f>C5+D5</f>
        <v>74.353470559999991</v>
      </c>
    </row>
    <row r="6" spans="1:5" x14ac:dyDescent="0.3">
      <c r="A6" s="78">
        <v>2</v>
      </c>
      <c r="B6" s="30" t="s">
        <v>74</v>
      </c>
      <c r="C6" s="10">
        <v>11.899999999999999</v>
      </c>
      <c r="D6" s="10">
        <v>83.583314279999996</v>
      </c>
      <c r="E6" s="80">
        <f t="shared" ref="E6:E7" si="0">C6+D6</f>
        <v>95.483314280000002</v>
      </c>
    </row>
    <row r="7" spans="1:5" x14ac:dyDescent="0.3">
      <c r="A7" s="78">
        <v>3</v>
      </c>
      <c r="B7" s="30" t="s">
        <v>66</v>
      </c>
      <c r="C7" s="10">
        <v>82.408188199999998</v>
      </c>
      <c r="D7" s="10">
        <v>126.88863340000002</v>
      </c>
      <c r="E7" s="80">
        <f t="shared" si="0"/>
        <v>209.29682160000002</v>
      </c>
    </row>
    <row r="8" spans="1:5" x14ac:dyDescent="0.3">
      <c r="A8" s="78">
        <v>4</v>
      </c>
      <c r="B8" s="30" t="s">
        <v>67</v>
      </c>
      <c r="C8" s="10">
        <v>66.421027600000002</v>
      </c>
      <c r="D8" s="10">
        <v>220.50730367</v>
      </c>
      <c r="E8" s="80">
        <f>C8+D8</f>
        <v>286.92833127</v>
      </c>
    </row>
    <row r="9" spans="1:5" x14ac:dyDescent="0.3">
      <c r="A9" s="78">
        <v>5</v>
      </c>
      <c r="B9" s="30" t="s">
        <v>72</v>
      </c>
      <c r="C9" s="10">
        <v>107.2082332</v>
      </c>
      <c r="D9" s="10">
        <v>120.97256036</v>
      </c>
      <c r="E9" s="80">
        <f t="shared" ref="E9:E15" si="1">C9+D9</f>
        <v>228.18079355999998</v>
      </c>
    </row>
    <row r="10" spans="1:5" x14ac:dyDescent="0.3">
      <c r="A10" s="78">
        <v>6</v>
      </c>
      <c r="B10" s="30" t="s">
        <v>68</v>
      </c>
      <c r="C10" s="10">
        <v>58.46</v>
      </c>
      <c r="D10" s="10">
        <v>80.532918559999999</v>
      </c>
      <c r="E10" s="80">
        <f t="shared" si="1"/>
        <v>138.99291855999999</v>
      </c>
    </row>
    <row r="11" spans="1:5" x14ac:dyDescent="0.3">
      <c r="A11" s="78">
        <v>7</v>
      </c>
      <c r="B11" s="30" t="s">
        <v>69</v>
      </c>
      <c r="C11" s="10">
        <v>32.572800000000001</v>
      </c>
      <c r="D11" s="10">
        <v>101.40153359999999</v>
      </c>
      <c r="E11" s="80">
        <f t="shared" si="1"/>
        <v>133.97433359999999</v>
      </c>
    </row>
    <row r="12" spans="1:5" x14ac:dyDescent="0.3">
      <c r="A12" s="78">
        <v>8</v>
      </c>
      <c r="B12" s="30" t="s">
        <v>73</v>
      </c>
      <c r="C12" s="10">
        <v>12.385599999999998</v>
      </c>
      <c r="D12" s="10">
        <v>16.096</v>
      </c>
      <c r="E12" s="80">
        <f t="shared" si="1"/>
        <v>28.4816</v>
      </c>
    </row>
    <row r="13" spans="1:5" x14ac:dyDescent="0.3">
      <c r="A13" s="78">
        <v>9</v>
      </c>
      <c r="B13" s="30" t="s">
        <v>75</v>
      </c>
      <c r="C13" s="10">
        <v>66.115608219999999</v>
      </c>
      <c r="D13" s="10">
        <v>36.970356110000004</v>
      </c>
      <c r="E13" s="80">
        <f t="shared" si="1"/>
        <v>103.08596433</v>
      </c>
    </row>
    <row r="14" spans="1:5" x14ac:dyDescent="0.3">
      <c r="A14" s="78">
        <v>10</v>
      </c>
      <c r="B14" s="30" t="s">
        <v>70</v>
      </c>
      <c r="C14" s="10">
        <v>6.8</v>
      </c>
      <c r="D14" s="10">
        <v>47.174515600000007</v>
      </c>
      <c r="E14" s="80">
        <f t="shared" si="1"/>
        <v>53.974515600000004</v>
      </c>
    </row>
    <row r="15" spans="1:5" x14ac:dyDescent="0.3">
      <c r="A15" s="78">
        <v>11</v>
      </c>
      <c r="B15" s="30" t="s">
        <v>71</v>
      </c>
      <c r="C15" s="10">
        <v>13.792</v>
      </c>
      <c r="D15" s="10">
        <v>36.183082400000004</v>
      </c>
      <c r="E15" s="80">
        <f t="shared" si="1"/>
        <v>49.975082400000005</v>
      </c>
    </row>
    <row r="16" spans="1:5" x14ac:dyDescent="0.3">
      <c r="A16" s="78"/>
      <c r="B16" s="53" t="s">
        <v>36</v>
      </c>
      <c r="C16" s="10">
        <f>SUM(C5:C15)</f>
        <v>462.52926085999997</v>
      </c>
      <c r="D16" s="10">
        <f t="shared" ref="D16:E16" si="2">SUM(D5:D15)</f>
        <v>940.19788490000008</v>
      </c>
      <c r="E16" s="10">
        <f t="shared" si="2"/>
        <v>1402.7271457599998</v>
      </c>
    </row>
  </sheetData>
  <sortState ref="B5:B15">
    <sortCondition ref="B5"/>
  </sortState>
  <mergeCells count="2">
    <mergeCell ref="A1:E1"/>
    <mergeCell ref="A2:E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sqref="A1:E1"/>
    </sheetView>
    <sheetView workbookViewId="1">
      <selection sqref="A1:E1"/>
    </sheetView>
  </sheetViews>
  <sheetFormatPr defaultRowHeight="14.4" x14ac:dyDescent="0.3"/>
  <cols>
    <col min="2" max="2" width="13.6640625" customWidth="1"/>
    <col min="3" max="3" width="12.6640625" customWidth="1"/>
    <col min="4" max="4" width="17" customWidth="1"/>
    <col min="5" max="5" width="10.109375" customWidth="1"/>
  </cols>
  <sheetData>
    <row r="1" spans="1:5" x14ac:dyDescent="0.3">
      <c r="A1" s="341" t="s">
        <v>100</v>
      </c>
      <c r="B1" s="341"/>
      <c r="C1" s="341"/>
      <c r="D1" s="341"/>
      <c r="E1" s="341"/>
    </row>
    <row r="2" spans="1:5" x14ac:dyDescent="0.3">
      <c r="A2" s="339" t="s">
        <v>35</v>
      </c>
      <c r="B2" s="339"/>
      <c r="C2" s="339"/>
      <c r="D2" s="339"/>
      <c r="E2" s="339"/>
    </row>
    <row r="3" spans="1:5" ht="26.4" x14ac:dyDescent="0.3">
      <c r="A3" s="78"/>
      <c r="B3" s="30"/>
      <c r="C3" s="27" t="s">
        <v>22</v>
      </c>
      <c r="D3" s="77" t="s">
        <v>23</v>
      </c>
      <c r="E3" s="78" t="s">
        <v>31</v>
      </c>
    </row>
    <row r="4" spans="1:5" x14ac:dyDescent="0.3">
      <c r="A4" s="78" t="s">
        <v>0</v>
      </c>
      <c r="B4" s="28" t="s">
        <v>19</v>
      </c>
      <c r="C4" s="10" t="s">
        <v>21</v>
      </c>
      <c r="D4" s="10" t="s">
        <v>21</v>
      </c>
      <c r="E4" s="78"/>
    </row>
    <row r="5" spans="1:5" x14ac:dyDescent="0.3">
      <c r="A5" s="78">
        <v>1</v>
      </c>
      <c r="B5" s="30" t="s">
        <v>83</v>
      </c>
      <c r="C5" s="10">
        <v>62.963999999999999</v>
      </c>
      <c r="D5" s="10">
        <v>181.70322495999997</v>
      </c>
      <c r="E5" s="10">
        <f>C5+D5</f>
        <v>244.66722495999997</v>
      </c>
    </row>
    <row r="6" spans="1:5" x14ac:dyDescent="0.3">
      <c r="A6" s="78">
        <v>2</v>
      </c>
      <c r="B6" s="30" t="s">
        <v>79</v>
      </c>
      <c r="C6" s="10">
        <v>4.3300179999999999</v>
      </c>
      <c r="D6" s="10">
        <v>67.694470760000002</v>
      </c>
      <c r="E6" s="10">
        <f t="shared" ref="E6:E7" si="0">C6+D6</f>
        <v>72.024488759999997</v>
      </c>
    </row>
    <row r="7" spans="1:5" x14ac:dyDescent="0.3">
      <c r="A7" s="78">
        <v>3</v>
      </c>
      <c r="B7" s="30" t="s">
        <v>84</v>
      </c>
      <c r="C7" s="10">
        <v>64.902808519999994</v>
      </c>
      <c r="D7" s="10">
        <v>100.62324375999999</v>
      </c>
      <c r="E7" s="10">
        <f t="shared" si="0"/>
        <v>165.52605227999999</v>
      </c>
    </row>
    <row r="8" spans="1:5" x14ac:dyDescent="0.3">
      <c r="A8" s="78">
        <v>4</v>
      </c>
      <c r="B8" s="30" t="s">
        <v>80</v>
      </c>
      <c r="C8" s="10">
        <v>197.50406935999999</v>
      </c>
      <c r="D8" s="10">
        <v>149.17202871999996</v>
      </c>
      <c r="E8" s="10">
        <f>C8+D8</f>
        <v>346.67609807999997</v>
      </c>
    </row>
    <row r="9" spans="1:5" x14ac:dyDescent="0.3">
      <c r="A9" s="78">
        <v>5</v>
      </c>
      <c r="B9" s="30" t="s">
        <v>85</v>
      </c>
      <c r="C9" s="10">
        <v>16.28</v>
      </c>
      <c r="D9" s="10">
        <v>71.948570680000003</v>
      </c>
      <c r="E9" s="10">
        <f t="shared" ref="E9:E13" si="1">C9+D9</f>
        <v>88.228570680000004</v>
      </c>
    </row>
    <row r="10" spans="1:5" x14ac:dyDescent="0.3">
      <c r="A10" s="78">
        <v>6</v>
      </c>
      <c r="B10" s="30" t="s">
        <v>78</v>
      </c>
      <c r="C10" s="10">
        <v>45.676007200000001</v>
      </c>
      <c r="D10" s="10">
        <v>49.025836000000005</v>
      </c>
      <c r="E10" s="10">
        <f t="shared" si="1"/>
        <v>94.701843200000013</v>
      </c>
    </row>
    <row r="11" spans="1:5" x14ac:dyDescent="0.3">
      <c r="A11" s="78">
        <v>7</v>
      </c>
      <c r="B11" s="30" t="s">
        <v>81</v>
      </c>
      <c r="C11" s="10">
        <v>3.2</v>
      </c>
      <c r="D11" s="10">
        <v>29.332000000000001</v>
      </c>
      <c r="E11" s="10">
        <f t="shared" si="1"/>
        <v>32.532000000000004</v>
      </c>
    </row>
    <row r="12" spans="1:5" x14ac:dyDescent="0.3">
      <c r="A12" s="78">
        <v>8</v>
      </c>
      <c r="B12" s="30" t="s">
        <v>82</v>
      </c>
      <c r="C12" s="10">
        <v>0</v>
      </c>
      <c r="D12" s="10">
        <v>35.037599999999998</v>
      </c>
      <c r="E12" s="10">
        <f t="shared" si="1"/>
        <v>35.037599999999998</v>
      </c>
    </row>
    <row r="13" spans="1:5" x14ac:dyDescent="0.3">
      <c r="A13" s="78">
        <v>9</v>
      </c>
      <c r="B13" s="30" t="s">
        <v>77</v>
      </c>
      <c r="C13" s="10">
        <v>25.695999999999998</v>
      </c>
      <c r="D13" s="10">
        <v>18.758199999999999</v>
      </c>
      <c r="E13" s="10">
        <f t="shared" si="1"/>
        <v>44.4542</v>
      </c>
    </row>
    <row r="14" spans="1:5" x14ac:dyDescent="0.3">
      <c r="A14" s="78"/>
      <c r="B14" s="53" t="s">
        <v>36</v>
      </c>
      <c r="C14" s="10">
        <f>SUM(C5:C13)</f>
        <v>420.55290307999996</v>
      </c>
      <c r="D14" s="10">
        <f>SUM(D5:D13)</f>
        <v>703.29517487999999</v>
      </c>
      <c r="E14" s="10">
        <f>SUM(E5:E13)</f>
        <v>1123.8480779599997</v>
      </c>
    </row>
  </sheetData>
  <sortState ref="B5:B15">
    <sortCondition ref="B5"/>
  </sortState>
  <mergeCells count="2">
    <mergeCell ref="A1:E1"/>
    <mergeCell ref="A2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sqref="A1:E1"/>
    </sheetView>
    <sheetView workbookViewId="1">
      <selection sqref="A1:E1"/>
    </sheetView>
  </sheetViews>
  <sheetFormatPr defaultRowHeight="14.4" x14ac:dyDescent="0.3"/>
  <cols>
    <col min="2" max="2" width="13.6640625" customWidth="1"/>
    <col min="3" max="3" width="12.6640625" customWidth="1"/>
    <col min="4" max="4" width="17" customWidth="1"/>
    <col min="5" max="5" width="10.109375" customWidth="1"/>
  </cols>
  <sheetData>
    <row r="1" spans="1:5" x14ac:dyDescent="0.3">
      <c r="A1" s="341" t="s">
        <v>101</v>
      </c>
      <c r="B1" s="341"/>
      <c r="C1" s="341"/>
      <c r="D1" s="341"/>
      <c r="E1" s="341"/>
    </row>
    <row r="2" spans="1:5" x14ac:dyDescent="0.3">
      <c r="A2" s="339" t="s">
        <v>35</v>
      </c>
      <c r="B2" s="339"/>
      <c r="C2" s="339"/>
      <c r="D2" s="339"/>
      <c r="E2" s="339"/>
    </row>
    <row r="3" spans="1:5" ht="26.4" x14ac:dyDescent="0.3">
      <c r="A3" s="78"/>
      <c r="B3" s="30"/>
      <c r="C3" s="27" t="s">
        <v>22</v>
      </c>
      <c r="D3" s="77" t="s">
        <v>23</v>
      </c>
      <c r="E3" s="78" t="s">
        <v>31</v>
      </c>
    </row>
    <row r="4" spans="1:5" x14ac:dyDescent="0.3">
      <c r="A4" s="78" t="s">
        <v>0</v>
      </c>
      <c r="B4" s="28" t="s">
        <v>19</v>
      </c>
      <c r="C4" s="10" t="s">
        <v>21</v>
      </c>
      <c r="D4" s="10" t="s">
        <v>21</v>
      </c>
      <c r="E4" s="78"/>
    </row>
    <row r="5" spans="1:5" x14ac:dyDescent="0.3">
      <c r="A5" s="78">
        <v>1</v>
      </c>
      <c r="B5" s="30" t="s">
        <v>87</v>
      </c>
      <c r="C5" s="10">
        <v>19.2</v>
      </c>
      <c r="D5" s="10">
        <v>98.868097649999996</v>
      </c>
      <c r="E5" s="10">
        <f>C5+D5</f>
        <v>118.06809765</v>
      </c>
    </row>
    <row r="6" spans="1:5" x14ac:dyDescent="0.3">
      <c r="A6" s="78">
        <v>2</v>
      </c>
      <c r="B6" s="30" t="s">
        <v>86</v>
      </c>
      <c r="C6" s="10">
        <v>87.732303720000004</v>
      </c>
      <c r="D6" s="10">
        <v>161.63025861</v>
      </c>
      <c r="E6" s="10">
        <f t="shared" ref="E6" si="0">C6+D6</f>
        <v>249.36256233</v>
      </c>
    </row>
    <row r="7" spans="1:5" x14ac:dyDescent="0.3">
      <c r="A7" s="78"/>
      <c r="B7" s="53" t="s">
        <v>36</v>
      </c>
      <c r="C7" s="10">
        <f>SUM(C5:C6)</f>
        <v>106.93230372000001</v>
      </c>
      <c r="D7" s="10">
        <f>SUM(D5:D6)</f>
        <v>260.49835625999998</v>
      </c>
      <c r="E7" s="10">
        <f>SUM(E5:E6)</f>
        <v>367.43065997999997</v>
      </c>
    </row>
  </sheetData>
  <sortState ref="B5:B6">
    <sortCondition ref="B6"/>
  </sortState>
  <mergeCells count="2">
    <mergeCell ref="A1:E1"/>
    <mergeCell ref="A2:E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sqref="A1:E1"/>
    </sheetView>
    <sheetView workbookViewId="1">
      <selection sqref="A1:E1"/>
    </sheetView>
  </sheetViews>
  <sheetFormatPr defaultRowHeight="14.4" x14ac:dyDescent="0.3"/>
  <cols>
    <col min="2" max="2" width="13.6640625" customWidth="1"/>
    <col min="3" max="3" width="12.6640625" customWidth="1"/>
    <col min="4" max="4" width="17" customWidth="1"/>
    <col min="5" max="5" width="10.109375" customWidth="1"/>
  </cols>
  <sheetData>
    <row r="1" spans="1:5" x14ac:dyDescent="0.3">
      <c r="A1" s="341" t="s">
        <v>20</v>
      </c>
      <c r="B1" s="341"/>
      <c r="C1" s="341"/>
      <c r="D1" s="341"/>
      <c r="E1" s="341"/>
    </row>
    <row r="2" spans="1:5" x14ac:dyDescent="0.3">
      <c r="A2" s="339" t="s">
        <v>102</v>
      </c>
      <c r="B2" s="339"/>
      <c r="C2" s="339"/>
      <c r="D2" s="339"/>
      <c r="E2" s="339"/>
    </row>
    <row r="3" spans="1:5" ht="26.4" x14ac:dyDescent="0.3">
      <c r="A3" s="78"/>
      <c r="B3" s="30"/>
      <c r="C3" s="27" t="s">
        <v>22</v>
      </c>
      <c r="D3" s="77" t="s">
        <v>23</v>
      </c>
      <c r="E3" s="78" t="s">
        <v>31</v>
      </c>
    </row>
    <row r="4" spans="1:5" x14ac:dyDescent="0.3">
      <c r="A4" s="78" t="s">
        <v>0</v>
      </c>
      <c r="B4" s="28" t="s">
        <v>19</v>
      </c>
      <c r="C4" s="10" t="s">
        <v>21</v>
      </c>
      <c r="D4" s="10" t="s">
        <v>21</v>
      </c>
      <c r="E4" s="78"/>
    </row>
    <row r="5" spans="1:5" x14ac:dyDescent="0.3">
      <c r="A5" s="78">
        <v>1</v>
      </c>
      <c r="B5" s="30" t="s">
        <v>88</v>
      </c>
      <c r="C5" s="10">
        <v>31.24</v>
      </c>
      <c r="D5" s="10">
        <v>108.48</v>
      </c>
      <c r="E5" s="10">
        <f>C5+D5</f>
        <v>139.72</v>
      </c>
    </row>
    <row r="6" spans="1:5" x14ac:dyDescent="0.3">
      <c r="A6" s="78">
        <v>2</v>
      </c>
      <c r="B6" s="30" t="s">
        <v>89</v>
      </c>
      <c r="C6" s="10">
        <v>21.409132</v>
      </c>
      <c r="D6" s="10">
        <v>85.789200000000008</v>
      </c>
      <c r="E6" s="10">
        <f t="shared" ref="E6" si="0">C6+D6</f>
        <v>107.19833200000001</v>
      </c>
    </row>
    <row r="7" spans="1:5" x14ac:dyDescent="0.3">
      <c r="A7" s="78">
        <v>3</v>
      </c>
      <c r="B7" s="30" t="s">
        <v>90</v>
      </c>
      <c r="C7" s="10">
        <v>47.185615720000008</v>
      </c>
      <c r="D7" s="10">
        <v>70.117447959999993</v>
      </c>
      <c r="E7" s="10">
        <f>C7+D7</f>
        <v>117.30306368000001</v>
      </c>
    </row>
    <row r="8" spans="1:5" x14ac:dyDescent="0.3">
      <c r="A8" s="78">
        <v>4</v>
      </c>
      <c r="B8" s="30" t="s">
        <v>91</v>
      </c>
      <c r="C8" s="10">
        <v>66.699999999999989</v>
      </c>
      <c r="D8" s="10">
        <v>262.95395388000003</v>
      </c>
      <c r="E8" s="10">
        <f t="shared" ref="E8:E13" si="1">C8+D8</f>
        <v>329.65395388000002</v>
      </c>
    </row>
    <row r="9" spans="1:5" x14ac:dyDescent="0.3">
      <c r="A9" s="78">
        <v>5</v>
      </c>
      <c r="B9" s="30" t="s">
        <v>92</v>
      </c>
      <c r="C9" s="10">
        <v>74.399999999999991</v>
      </c>
      <c r="D9" s="10">
        <v>36.715817960000003</v>
      </c>
      <c r="E9" s="10">
        <f t="shared" si="1"/>
        <v>111.11581795999999</v>
      </c>
    </row>
    <row r="10" spans="1:5" x14ac:dyDescent="0.3">
      <c r="A10" s="78">
        <v>6</v>
      </c>
      <c r="B10" s="30" t="s">
        <v>93</v>
      </c>
      <c r="C10" s="10">
        <v>7.82</v>
      </c>
      <c r="D10" s="10">
        <v>31.377599999999997</v>
      </c>
      <c r="E10" s="10">
        <f t="shared" si="1"/>
        <v>39.197599999999994</v>
      </c>
    </row>
    <row r="11" spans="1:5" x14ac:dyDescent="0.3">
      <c r="A11" s="78">
        <v>7</v>
      </c>
      <c r="B11" s="30" t="s">
        <v>94</v>
      </c>
      <c r="C11" s="10">
        <v>1.2003268</v>
      </c>
      <c r="D11" s="10">
        <v>60.312200000000004</v>
      </c>
      <c r="E11" s="10">
        <f t="shared" si="1"/>
        <v>61.512526800000003</v>
      </c>
    </row>
    <row r="12" spans="1:5" x14ac:dyDescent="0.3">
      <c r="A12" s="78">
        <v>8</v>
      </c>
      <c r="B12" s="30" t="s">
        <v>95</v>
      </c>
      <c r="C12" s="10">
        <v>0</v>
      </c>
      <c r="D12" s="10">
        <v>63.162099999999995</v>
      </c>
      <c r="E12" s="10">
        <f t="shared" si="1"/>
        <v>63.162099999999995</v>
      </c>
    </row>
    <row r="13" spans="1:5" x14ac:dyDescent="0.3">
      <c r="A13" s="79">
        <v>9</v>
      </c>
      <c r="B13" s="30" t="s">
        <v>96</v>
      </c>
      <c r="C13" s="10">
        <v>25.72</v>
      </c>
      <c r="D13" s="10">
        <v>17.779999999999998</v>
      </c>
      <c r="E13" s="10">
        <f t="shared" si="1"/>
        <v>43.5</v>
      </c>
    </row>
    <row r="14" spans="1:5" x14ac:dyDescent="0.3">
      <c r="A14" s="79">
        <v>10</v>
      </c>
      <c r="B14" s="30" t="s">
        <v>98</v>
      </c>
      <c r="C14" s="10">
        <v>48.6</v>
      </c>
      <c r="D14" s="10">
        <v>67.62636148</v>
      </c>
      <c r="E14" s="10">
        <f t="shared" ref="E14:E15" si="2">C14+D14</f>
        <v>116.22636148000001</v>
      </c>
    </row>
    <row r="15" spans="1:5" x14ac:dyDescent="0.3">
      <c r="A15" s="79">
        <v>11</v>
      </c>
      <c r="B15" s="30" t="s">
        <v>97</v>
      </c>
      <c r="C15" s="10">
        <v>75.45</v>
      </c>
      <c r="D15" s="10">
        <v>39.495817960000004</v>
      </c>
      <c r="E15" s="10">
        <f t="shared" si="2"/>
        <v>114.94581796</v>
      </c>
    </row>
    <row r="16" spans="1:5" x14ac:dyDescent="0.3">
      <c r="A16" s="78"/>
      <c r="B16" s="53" t="s">
        <v>36</v>
      </c>
      <c r="C16" s="10">
        <f>SUM(C5:C15)</f>
        <v>399.72507451999996</v>
      </c>
      <c r="D16" s="10">
        <f>SUM(D5:D15)</f>
        <v>843.81049924000001</v>
      </c>
      <c r="E16" s="10">
        <f>SUM(E5:E15)</f>
        <v>1243.5355737599998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"/>
  <sheetViews>
    <sheetView workbookViewId="0"/>
    <sheetView workbookViewId="1"/>
  </sheetViews>
  <sheetFormatPr defaultRowHeight="14.4" x14ac:dyDescent="0.3"/>
  <cols>
    <col min="1" max="3" width="9.109375" style="81"/>
  </cols>
  <sheetData>
    <row r="1" spans="1:3" x14ac:dyDescent="0.3">
      <c r="A1" s="83">
        <v>2001</v>
      </c>
      <c r="B1" s="82">
        <v>72.7</v>
      </c>
      <c r="C1" s="82">
        <v>52.5</v>
      </c>
    </row>
    <row r="2" spans="1:3" x14ac:dyDescent="0.3">
      <c r="A2" s="83">
        <v>2002</v>
      </c>
      <c r="B2" s="82">
        <v>53.1</v>
      </c>
      <c r="C2" s="82">
        <v>62.400000000000006</v>
      </c>
    </row>
    <row r="3" spans="1:3" x14ac:dyDescent="0.3">
      <c r="A3" s="83">
        <v>2003</v>
      </c>
      <c r="B3" s="82">
        <v>144.80000000000001</v>
      </c>
      <c r="C3" s="82">
        <v>171.6</v>
      </c>
    </row>
    <row r="4" spans="1:3" x14ac:dyDescent="0.3">
      <c r="A4" s="83">
        <v>2004</v>
      </c>
      <c r="B4" s="82">
        <v>44.3</v>
      </c>
      <c r="C4" s="82">
        <v>70.900000000000006</v>
      </c>
    </row>
    <row r="5" spans="1:3" x14ac:dyDescent="0.3">
      <c r="A5" s="83">
        <v>2005</v>
      </c>
      <c r="B5" s="82">
        <v>23.9</v>
      </c>
      <c r="C5" s="82">
        <v>40.5</v>
      </c>
    </row>
    <row r="6" spans="1:3" x14ac:dyDescent="0.3">
      <c r="A6" s="83">
        <v>2006</v>
      </c>
      <c r="B6" s="82">
        <v>20.399999999999999</v>
      </c>
      <c r="C6" s="82">
        <v>45.8</v>
      </c>
    </row>
    <row r="7" spans="1:3" x14ac:dyDescent="0.3">
      <c r="A7" s="83">
        <v>2007</v>
      </c>
      <c r="B7" s="82">
        <v>27.9</v>
      </c>
      <c r="C7" s="82">
        <v>137</v>
      </c>
    </row>
    <row r="8" spans="1:3" x14ac:dyDescent="0.3">
      <c r="A8" s="83">
        <v>2008</v>
      </c>
      <c r="B8" s="82">
        <v>101.7</v>
      </c>
      <c r="C8" s="82">
        <v>0</v>
      </c>
    </row>
    <row r="9" spans="1:3" x14ac:dyDescent="0.3">
      <c r="A9" s="83">
        <v>2009</v>
      </c>
      <c r="B9" s="82">
        <v>35.9</v>
      </c>
      <c r="C9" s="82">
        <v>13.1</v>
      </c>
    </row>
    <row r="10" spans="1:3" x14ac:dyDescent="0.3">
      <c r="A10" s="83">
        <v>2010</v>
      </c>
      <c r="B10" s="82">
        <v>10.8</v>
      </c>
      <c r="C10" s="82">
        <v>80</v>
      </c>
    </row>
    <row r="11" spans="1:3" x14ac:dyDescent="0.3">
      <c r="A11" s="83">
        <v>2011</v>
      </c>
      <c r="B11" s="82">
        <v>0</v>
      </c>
      <c r="C11" s="82">
        <v>33</v>
      </c>
    </row>
    <row r="12" spans="1:3" x14ac:dyDescent="0.3">
      <c r="A12" s="83">
        <v>2012</v>
      </c>
      <c r="B12" s="82">
        <v>25.9</v>
      </c>
      <c r="C12" s="82">
        <v>90.2</v>
      </c>
    </row>
    <row r="13" spans="1:3" x14ac:dyDescent="0.3">
      <c r="A13" s="83">
        <v>2013</v>
      </c>
      <c r="B13" s="82">
        <v>26.5</v>
      </c>
      <c r="C13" s="82">
        <v>89.8</v>
      </c>
    </row>
    <row r="14" spans="1:3" x14ac:dyDescent="0.3">
      <c r="A14" s="83">
        <v>2014</v>
      </c>
      <c r="B14" s="82">
        <v>41.1</v>
      </c>
      <c r="C14" s="82">
        <v>76.5</v>
      </c>
    </row>
    <row r="15" spans="1:3" x14ac:dyDescent="0.3">
      <c r="A15" s="83">
        <v>2015</v>
      </c>
      <c r="B15" s="82">
        <v>34.299999999999997</v>
      </c>
      <c r="C15" s="82">
        <v>84.9</v>
      </c>
    </row>
    <row r="16" spans="1:3" x14ac:dyDescent="0.3">
      <c r="A16" s="83">
        <v>2016</v>
      </c>
      <c r="B16" s="82">
        <v>52.6</v>
      </c>
      <c r="C16" s="82">
        <v>61.5</v>
      </c>
    </row>
    <row r="17" spans="1:3" x14ac:dyDescent="0.3">
      <c r="A17" s="83">
        <v>2017</v>
      </c>
      <c r="B17" s="82">
        <v>174.9</v>
      </c>
      <c r="C17" s="82">
        <v>189.2</v>
      </c>
    </row>
    <row r="18" spans="1:3" x14ac:dyDescent="0.3">
      <c r="A18" s="83">
        <v>2018</v>
      </c>
      <c r="B18" s="82">
        <v>26.1</v>
      </c>
      <c r="C18" s="82">
        <v>52.3</v>
      </c>
    </row>
    <row r="19" spans="1:3" x14ac:dyDescent="0.3">
      <c r="A19" s="83">
        <v>2019</v>
      </c>
      <c r="B19" s="82">
        <v>102.3</v>
      </c>
      <c r="C19" s="82">
        <v>14.6</v>
      </c>
    </row>
    <row r="20" spans="1:3" x14ac:dyDescent="0.3">
      <c r="A20" s="83">
        <v>2020</v>
      </c>
      <c r="B20" s="82">
        <v>16.3</v>
      </c>
      <c r="C20" s="82">
        <v>32.799999999999997</v>
      </c>
    </row>
    <row r="21" spans="1:3" x14ac:dyDescent="0.3">
      <c r="A21" s="83">
        <v>2021</v>
      </c>
      <c r="B21" s="82">
        <v>7.4</v>
      </c>
      <c r="C21" s="82">
        <v>26.3</v>
      </c>
    </row>
    <row r="22" spans="1:3" x14ac:dyDescent="0.3">
      <c r="A22" s="83">
        <v>2022</v>
      </c>
      <c r="B22" s="82">
        <v>197.9</v>
      </c>
      <c r="C22" s="82">
        <v>325.70000000000005</v>
      </c>
    </row>
    <row r="23" spans="1:3" x14ac:dyDescent="0.3">
      <c r="A23" s="83">
        <v>2023</v>
      </c>
      <c r="B23" s="82">
        <v>78.400000000000006</v>
      </c>
      <c r="C23" s="82">
        <v>14.5</v>
      </c>
    </row>
    <row r="24" spans="1:3" x14ac:dyDescent="0.3">
      <c r="A24" s="83">
        <v>2024</v>
      </c>
      <c r="B24" s="82">
        <v>89.8</v>
      </c>
      <c r="C24" s="82">
        <v>0</v>
      </c>
    </row>
    <row r="25" spans="1:3" x14ac:dyDescent="0.3">
      <c r="A25" s="83">
        <v>2025</v>
      </c>
      <c r="B25" s="82">
        <v>35.9</v>
      </c>
      <c r="C25" s="82">
        <v>52.5</v>
      </c>
    </row>
    <row r="26" spans="1:3" x14ac:dyDescent="0.3">
      <c r="A26" s="83">
        <v>2026</v>
      </c>
      <c r="B26" s="82">
        <v>3.8</v>
      </c>
      <c r="C26" s="82">
        <v>56.3</v>
      </c>
    </row>
    <row r="27" spans="1:3" x14ac:dyDescent="0.3">
      <c r="A27" s="83">
        <v>2027</v>
      </c>
      <c r="B27" s="82">
        <v>9.6999999999999993</v>
      </c>
      <c r="C27" s="82">
        <v>37.200000000000003</v>
      </c>
    </row>
    <row r="28" spans="1:3" x14ac:dyDescent="0.3">
      <c r="A28" s="83">
        <v>2028</v>
      </c>
      <c r="B28" s="82">
        <v>5.6</v>
      </c>
      <c r="C28" s="82">
        <v>77.099999999999994</v>
      </c>
    </row>
    <row r="29" spans="1:3" x14ac:dyDescent="0.3">
      <c r="A29" s="83">
        <v>2029</v>
      </c>
      <c r="B29" s="82">
        <v>3.5</v>
      </c>
      <c r="C29" s="82">
        <v>39.1</v>
      </c>
    </row>
    <row r="30" spans="1:3" x14ac:dyDescent="0.3">
      <c r="A30" s="83">
        <v>2030</v>
      </c>
      <c r="B30" s="82">
        <v>12.8</v>
      </c>
      <c r="C30" s="82">
        <v>71.3</v>
      </c>
    </row>
    <row r="31" spans="1:3" x14ac:dyDescent="0.3">
      <c r="A31" s="83">
        <v>2031</v>
      </c>
      <c r="B31" s="82">
        <v>6.3</v>
      </c>
      <c r="C31" s="82">
        <v>68.800000000000011</v>
      </c>
    </row>
    <row r="32" spans="1:3" x14ac:dyDescent="0.3">
      <c r="A32" s="83">
        <v>2032</v>
      </c>
      <c r="B32" s="82">
        <v>5.2</v>
      </c>
      <c r="C32" s="82">
        <v>69.900000000000006</v>
      </c>
    </row>
    <row r="33" spans="1:3" x14ac:dyDescent="0.3">
      <c r="A33" s="83">
        <v>2033</v>
      </c>
      <c r="B33" s="82">
        <v>6.2</v>
      </c>
      <c r="C33" s="82">
        <v>106.7</v>
      </c>
    </row>
    <row r="34" spans="1:3" x14ac:dyDescent="0.3">
      <c r="A34" s="83">
        <v>2034</v>
      </c>
      <c r="B34" s="82">
        <v>0</v>
      </c>
      <c r="C34" s="82">
        <v>43.199999999999996</v>
      </c>
    </row>
    <row r="35" spans="1:3" x14ac:dyDescent="0.3">
      <c r="A35" s="83">
        <v>2035</v>
      </c>
      <c r="B35" s="82">
        <v>3.1</v>
      </c>
      <c r="C35" s="82">
        <v>36.700000000000003</v>
      </c>
    </row>
    <row r="36" spans="1:3" x14ac:dyDescent="0.3">
      <c r="A36" s="83">
        <v>2036</v>
      </c>
      <c r="B36" s="82">
        <v>40.5</v>
      </c>
      <c r="C36" s="82">
        <v>91.800000000000011</v>
      </c>
    </row>
    <row r="37" spans="1:3" x14ac:dyDescent="0.3">
      <c r="A37" s="83">
        <v>2037</v>
      </c>
      <c r="B37" s="82">
        <v>301.60000000000002</v>
      </c>
      <c r="C37" s="82">
        <v>252.9</v>
      </c>
    </row>
    <row r="38" spans="1:3" x14ac:dyDescent="0.3">
      <c r="A38" s="83">
        <v>2038</v>
      </c>
      <c r="B38" s="82">
        <v>11.2</v>
      </c>
      <c r="C38" s="82">
        <v>0</v>
      </c>
    </row>
    <row r="39" spans="1:3" x14ac:dyDescent="0.3">
      <c r="A39" s="83">
        <v>2039</v>
      </c>
      <c r="B39" s="82">
        <v>49.7</v>
      </c>
      <c r="C39" s="82">
        <v>57.5</v>
      </c>
    </row>
    <row r="40" spans="1:3" x14ac:dyDescent="0.3">
      <c r="A40" s="83">
        <v>2040</v>
      </c>
      <c r="B40" s="82">
        <v>73.099999999999994</v>
      </c>
      <c r="C40" s="82">
        <v>37</v>
      </c>
    </row>
    <row r="41" spans="1:3" x14ac:dyDescent="0.3">
      <c r="A41" s="83">
        <v>2041</v>
      </c>
      <c r="B41" s="82">
        <v>75.400000000000006</v>
      </c>
      <c r="C41" s="82">
        <v>36.799999999999997</v>
      </c>
    </row>
    <row r="42" spans="1:3" x14ac:dyDescent="0.3">
      <c r="A42" s="83">
        <v>2042</v>
      </c>
      <c r="B42" s="82">
        <v>28.5</v>
      </c>
      <c r="C42" s="82">
        <v>152.79999999999998</v>
      </c>
    </row>
    <row r="43" spans="1:3" x14ac:dyDescent="0.3">
      <c r="A43" s="83">
        <v>2043</v>
      </c>
      <c r="B43" s="82">
        <v>35.9</v>
      </c>
      <c r="C43" s="82">
        <v>13.1</v>
      </c>
    </row>
    <row r="44" spans="1:3" x14ac:dyDescent="0.3">
      <c r="A44" s="83">
        <v>2044</v>
      </c>
      <c r="B44" s="82">
        <v>109.4</v>
      </c>
      <c r="C44" s="82">
        <v>0</v>
      </c>
    </row>
    <row r="45" spans="1:3" x14ac:dyDescent="0.3">
      <c r="A45" s="83">
        <v>2045</v>
      </c>
      <c r="B45" s="82">
        <v>124.2</v>
      </c>
      <c r="C45" s="82">
        <v>154.19999999999999</v>
      </c>
    </row>
    <row r="46" spans="1:3" x14ac:dyDescent="0.3">
      <c r="A46" s="83">
        <v>2046</v>
      </c>
      <c r="B46" s="82">
        <v>154.19999999999999</v>
      </c>
      <c r="C46" s="82">
        <v>212.6</v>
      </c>
    </row>
    <row r="47" spans="1:3" x14ac:dyDescent="0.3">
      <c r="A47" s="83">
        <v>2047</v>
      </c>
      <c r="B47" s="82">
        <v>15.2</v>
      </c>
      <c r="C47" s="82">
        <v>74</v>
      </c>
    </row>
    <row r="48" spans="1:3" x14ac:dyDescent="0.3">
      <c r="A48" s="83">
        <v>2048</v>
      </c>
      <c r="B48" s="82">
        <v>75.099999999999994</v>
      </c>
      <c r="C48" s="82">
        <v>155.60000000000002</v>
      </c>
    </row>
    <row r="49" spans="1:3" x14ac:dyDescent="0.3">
      <c r="A49" s="83">
        <v>2049</v>
      </c>
      <c r="B49" s="82">
        <v>161.9</v>
      </c>
      <c r="C49" s="82">
        <v>107.5</v>
      </c>
    </row>
    <row r="50" spans="1:3" x14ac:dyDescent="0.3">
      <c r="A50" s="83">
        <v>2050</v>
      </c>
      <c r="B50" s="82">
        <v>46</v>
      </c>
      <c r="C50" s="82">
        <v>43.8</v>
      </c>
    </row>
    <row r="51" spans="1:3" x14ac:dyDescent="0.3">
      <c r="A51" s="83">
        <v>2051</v>
      </c>
      <c r="B51" s="82">
        <v>15.8</v>
      </c>
      <c r="C51" s="82">
        <v>69.7</v>
      </c>
    </row>
    <row r="52" spans="1:3" x14ac:dyDescent="0.3">
      <c r="A52" s="83">
        <v>2052</v>
      </c>
      <c r="B52" s="82">
        <v>3</v>
      </c>
      <c r="C52" s="82">
        <v>28.900000000000002</v>
      </c>
    </row>
    <row r="53" spans="1:3" x14ac:dyDescent="0.3">
      <c r="A53" s="83">
        <v>2053</v>
      </c>
      <c r="B53" s="82">
        <v>1</v>
      </c>
      <c r="C53" s="82">
        <v>33.299999999999997</v>
      </c>
    </row>
    <row r="54" spans="1:3" x14ac:dyDescent="0.3">
      <c r="A54" s="83">
        <v>2054</v>
      </c>
      <c r="B54" s="82">
        <v>39.200000000000003</v>
      </c>
      <c r="C54" s="82">
        <v>40.299999999999997</v>
      </c>
    </row>
    <row r="55" spans="1:3" x14ac:dyDescent="0.3">
      <c r="A55" s="83">
        <v>2055</v>
      </c>
      <c r="B55" s="82">
        <v>35.9</v>
      </c>
      <c r="C55" s="82">
        <v>13.1</v>
      </c>
    </row>
    <row r="56" spans="1:3" x14ac:dyDescent="0.3">
      <c r="A56" s="83">
        <v>2056</v>
      </c>
      <c r="B56" s="82">
        <v>108.4</v>
      </c>
      <c r="C56" s="82">
        <v>0</v>
      </c>
    </row>
    <row r="57" spans="1:3" x14ac:dyDescent="0.3">
      <c r="A57" s="83">
        <v>2057</v>
      </c>
      <c r="B57" s="82">
        <v>12.1</v>
      </c>
      <c r="C57" s="82">
        <v>52.9</v>
      </c>
    </row>
    <row r="58" spans="1:3" x14ac:dyDescent="0.3">
      <c r="A58" s="83">
        <v>2058</v>
      </c>
      <c r="B58" s="82">
        <v>147.5</v>
      </c>
      <c r="C58" s="82">
        <v>109.6</v>
      </c>
    </row>
    <row r="59" spans="1:3" x14ac:dyDescent="0.3">
      <c r="A59" s="83">
        <v>2059</v>
      </c>
      <c r="B59" s="82">
        <v>8</v>
      </c>
      <c r="C59" s="82">
        <v>23.5</v>
      </c>
    </row>
    <row r="60" spans="1:3" x14ac:dyDescent="0.3">
      <c r="A60" s="83">
        <v>2060</v>
      </c>
      <c r="B60" s="82">
        <v>23.1</v>
      </c>
      <c r="C60" s="82">
        <v>70.599999999999994</v>
      </c>
    </row>
    <row r="61" spans="1:3" x14ac:dyDescent="0.3">
      <c r="A61" s="83">
        <v>2061</v>
      </c>
      <c r="B61" s="82">
        <v>64.400000000000006</v>
      </c>
      <c r="C61" s="82">
        <v>156.69999999999999</v>
      </c>
    </row>
    <row r="62" spans="1:3" x14ac:dyDescent="0.3">
      <c r="A62" s="83">
        <v>2062</v>
      </c>
      <c r="B62" s="82">
        <v>114.8</v>
      </c>
      <c r="C62" s="82">
        <v>165.5</v>
      </c>
    </row>
    <row r="63" spans="1:3" x14ac:dyDescent="0.3">
      <c r="A63" s="83">
        <v>2063</v>
      </c>
      <c r="B63" s="82">
        <v>85.7</v>
      </c>
      <c r="C63" s="82">
        <v>0</v>
      </c>
    </row>
    <row r="64" spans="1:3" x14ac:dyDescent="0.3">
      <c r="A64" s="83">
        <v>2064</v>
      </c>
      <c r="B64" s="82">
        <v>60.5</v>
      </c>
      <c r="C64" s="82">
        <v>55.900000000000006</v>
      </c>
    </row>
    <row r="65" spans="1:3" x14ac:dyDescent="0.3">
      <c r="A65" s="83">
        <v>2065</v>
      </c>
      <c r="B65" s="82">
        <v>1.7</v>
      </c>
      <c r="C65" s="82">
        <v>29.5</v>
      </c>
    </row>
    <row r="66" spans="1:3" x14ac:dyDescent="0.3">
      <c r="A66" s="83">
        <v>2066</v>
      </c>
      <c r="B66" s="82">
        <v>71</v>
      </c>
      <c r="C66" s="82">
        <v>94.600000000000009</v>
      </c>
    </row>
    <row r="67" spans="1:3" x14ac:dyDescent="0.3">
      <c r="A67" s="83">
        <v>2067</v>
      </c>
      <c r="B67" s="82">
        <v>58.2</v>
      </c>
      <c r="C67" s="82">
        <v>181.1</v>
      </c>
    </row>
    <row r="68" spans="1:3" x14ac:dyDescent="0.3">
      <c r="A68" s="83">
        <v>2068</v>
      </c>
      <c r="B68" s="82">
        <v>40.200000000000003</v>
      </c>
      <c r="C68" s="82">
        <v>160.69999999999999</v>
      </c>
    </row>
    <row r="69" spans="1:3" x14ac:dyDescent="0.3">
      <c r="A69" s="83">
        <v>2069</v>
      </c>
      <c r="B69" s="82">
        <v>8.3000000000000007</v>
      </c>
      <c r="C69" s="82">
        <v>6.3</v>
      </c>
    </row>
    <row r="70" spans="1:3" x14ac:dyDescent="0.3">
      <c r="A70" s="83">
        <v>2070</v>
      </c>
      <c r="B70" s="82">
        <v>32.9</v>
      </c>
      <c r="C70" s="82">
        <v>23.4</v>
      </c>
    </row>
    <row r="71" spans="1:3" x14ac:dyDescent="0.3">
      <c r="A71" s="83">
        <v>2071</v>
      </c>
      <c r="B71" s="82">
        <v>57.7</v>
      </c>
      <c r="C71" s="82">
        <v>189.7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E31"/>
  <sheetViews>
    <sheetView workbookViewId="0">
      <selection sqref="A1:E1"/>
    </sheetView>
    <sheetView workbookViewId="1"/>
  </sheetViews>
  <sheetFormatPr defaultColWidth="9.109375" defaultRowHeight="13.2" x14ac:dyDescent="0.25"/>
  <cols>
    <col min="1" max="1" width="7.5546875" style="86" customWidth="1"/>
    <col min="2" max="2" width="54.88671875" style="86" customWidth="1"/>
    <col min="3" max="3" width="9.109375" style="86" customWidth="1"/>
    <col min="4" max="4" width="14.5546875" style="86" customWidth="1"/>
    <col min="5" max="5" width="8.88671875" style="86" customWidth="1"/>
    <col min="6" max="16384" width="9.109375" style="86"/>
  </cols>
  <sheetData>
    <row r="1" spans="1:5" ht="13.8" thickBot="1" x14ac:dyDescent="0.3">
      <c r="A1" s="66"/>
      <c r="B1" s="67" t="s">
        <v>34</v>
      </c>
      <c r="C1" s="68"/>
      <c r="D1" s="68"/>
      <c r="E1" s="69"/>
    </row>
    <row r="2" spans="1:5" x14ac:dyDescent="0.25">
      <c r="A2" s="70" t="s">
        <v>0</v>
      </c>
      <c r="B2" s="71" t="s">
        <v>1</v>
      </c>
      <c r="C2" s="72" t="s">
        <v>2</v>
      </c>
      <c r="D2" s="72" t="s">
        <v>3</v>
      </c>
      <c r="E2" s="73" t="s">
        <v>4</v>
      </c>
    </row>
    <row r="3" spans="1:5" ht="39.6" x14ac:dyDescent="0.25">
      <c r="A3" s="8" t="s">
        <v>49</v>
      </c>
      <c r="B3" s="65" t="s">
        <v>47</v>
      </c>
      <c r="C3" s="10" t="s">
        <v>7</v>
      </c>
      <c r="D3" s="11">
        <v>1</v>
      </c>
      <c r="E3" s="12">
        <f>(E6+E10+E15+E20)*0.45</f>
        <v>852.66000000000008</v>
      </c>
    </row>
    <row r="4" spans="1:5" x14ac:dyDescent="0.25">
      <c r="A4" s="8" t="s">
        <v>9</v>
      </c>
      <c r="B4" s="65" t="s">
        <v>16</v>
      </c>
      <c r="C4" s="10" t="s">
        <v>6</v>
      </c>
      <c r="D4" s="11">
        <v>0.1</v>
      </c>
      <c r="E4" s="12">
        <f>D4*E3</f>
        <v>85.26600000000002</v>
      </c>
    </row>
    <row r="5" spans="1:5" ht="13.8" thickBot="1" x14ac:dyDescent="0.3">
      <c r="A5" s="14" t="s">
        <v>18</v>
      </c>
      <c r="B5" s="74" t="s">
        <v>48</v>
      </c>
      <c r="C5" s="15" t="s">
        <v>7</v>
      </c>
      <c r="D5" s="16">
        <v>1.1000000000000001</v>
      </c>
      <c r="E5" s="17">
        <f>D5*E3</f>
        <v>937.92600000000016</v>
      </c>
    </row>
    <row r="6" spans="1:5" ht="39.6" x14ac:dyDescent="0.25">
      <c r="A6" s="60" t="s">
        <v>11</v>
      </c>
      <c r="B6" s="61" t="str">
        <f>'1.n2'!B6</f>
        <v>Штукатурка стен гипсовыми смесями с предварительной огрунтовкой СКБ / толщ. от 21 до 40 мм / высотой от 4,01 до 8 метров (Штукатурка по ж/б поверхностям)</v>
      </c>
      <c r="C6" s="62" t="s">
        <v>5</v>
      </c>
      <c r="D6" s="63">
        <v>1</v>
      </c>
      <c r="E6" s="64">
        <f>'6n;п.'!C16</f>
        <v>719.9</v>
      </c>
    </row>
    <row r="7" spans="1:5" ht="13.8" thickBot="1" x14ac:dyDescent="0.3">
      <c r="A7" s="8" t="s">
        <v>14</v>
      </c>
      <c r="B7" s="38" t="s">
        <v>8</v>
      </c>
      <c r="C7" s="10" t="s">
        <v>6</v>
      </c>
      <c r="D7" s="11">
        <v>0.25</v>
      </c>
      <c r="E7" s="12">
        <f>$E$6*D7</f>
        <v>179.97499999999999</v>
      </c>
    </row>
    <row r="8" spans="1:5" x14ac:dyDescent="0.25">
      <c r="A8" s="8" t="s">
        <v>15</v>
      </c>
      <c r="B8" s="38" t="s">
        <v>13</v>
      </c>
      <c r="C8" s="10" t="s">
        <v>7</v>
      </c>
      <c r="D8" s="42">
        <v>1</v>
      </c>
      <c r="E8" s="12">
        <f t="shared" ref="E8" si="0">$E$6*D8</f>
        <v>719.9</v>
      </c>
    </row>
    <row r="9" spans="1:5" ht="13.8" thickBot="1" x14ac:dyDescent="0.3">
      <c r="A9" s="8" t="s">
        <v>17</v>
      </c>
      <c r="B9" s="18" t="s">
        <v>16</v>
      </c>
      <c r="C9" s="50" t="s">
        <v>6</v>
      </c>
      <c r="D9" s="13">
        <v>1</v>
      </c>
      <c r="E9" s="19">
        <f>$E$6*D9*28.57</f>
        <v>20567.542999999998</v>
      </c>
    </row>
    <row r="10" spans="1:5" ht="39.6" x14ac:dyDescent="0.25">
      <c r="A10" s="39" t="s">
        <v>50</v>
      </c>
      <c r="B10" s="40" t="str">
        <f>'1.n2'!B10</f>
        <v>Штукатурка стен гипсовыми смесями с предварительной огрунтовкой СКБ / толщ. от 21 до 40 мм / высотой от 4,01 до 8 метров (Штукатурка  по газобетонному блоку и ПГП)</v>
      </c>
      <c r="C10" s="41" t="s">
        <v>5</v>
      </c>
      <c r="D10" s="42">
        <v>1</v>
      </c>
      <c r="E10" s="43">
        <f>'6n;п.'!D16</f>
        <v>918.5</v>
      </c>
    </row>
    <row r="11" spans="1:5" x14ac:dyDescent="0.25">
      <c r="A11" s="8" t="s">
        <v>51</v>
      </c>
      <c r="B11" s="38" t="s">
        <v>16</v>
      </c>
      <c r="C11" s="10" t="s">
        <v>6</v>
      </c>
      <c r="D11" s="11">
        <v>1</v>
      </c>
      <c r="E11" s="12">
        <f>$E$10*D11*32.51</f>
        <v>29860.434999999998</v>
      </c>
    </row>
    <row r="12" spans="1:5" ht="13.8" thickBot="1" x14ac:dyDescent="0.3">
      <c r="A12" s="8" t="s">
        <v>52</v>
      </c>
      <c r="B12" s="38" t="s">
        <v>10</v>
      </c>
      <c r="C12" s="10" t="s">
        <v>6</v>
      </c>
      <c r="D12" s="11">
        <v>0.15</v>
      </c>
      <c r="E12" s="12">
        <f t="shared" ref="E12:E13" si="1">$E$10*D12</f>
        <v>137.77500000000001</v>
      </c>
    </row>
    <row r="13" spans="1:5" x14ac:dyDescent="0.25">
      <c r="A13" s="8" t="s">
        <v>53</v>
      </c>
      <c r="B13" s="38" t="s">
        <v>13</v>
      </c>
      <c r="C13" s="10" t="s">
        <v>7</v>
      </c>
      <c r="D13" s="42">
        <v>1</v>
      </c>
      <c r="E13" s="12">
        <f t="shared" si="1"/>
        <v>918.5</v>
      </c>
    </row>
    <row r="14" spans="1:5" x14ac:dyDescent="0.25">
      <c r="A14" s="49" t="s">
        <v>54</v>
      </c>
      <c r="B14" s="90" t="s">
        <v>12</v>
      </c>
      <c r="C14" s="50" t="s">
        <v>7</v>
      </c>
      <c r="D14" s="13">
        <v>1</v>
      </c>
      <c r="E14" s="19">
        <f>35.75*4</f>
        <v>143</v>
      </c>
    </row>
    <row r="15" spans="1:5" ht="39.6" x14ac:dyDescent="0.25">
      <c r="A15" s="96" t="s">
        <v>119</v>
      </c>
      <c r="B15" s="97" t="s">
        <v>134</v>
      </c>
      <c r="C15" s="98" t="s">
        <v>123</v>
      </c>
      <c r="D15" s="99">
        <v>1</v>
      </c>
      <c r="E15" s="98">
        <f>'6n;п.'!C27</f>
        <v>62.5</v>
      </c>
    </row>
    <row r="16" spans="1:5" x14ac:dyDescent="0.25">
      <c r="A16" s="96" t="s">
        <v>125</v>
      </c>
      <c r="B16" s="100" t="s">
        <v>120</v>
      </c>
      <c r="C16" s="98" t="s">
        <v>6</v>
      </c>
      <c r="D16" s="99">
        <v>0.25</v>
      </c>
      <c r="E16" s="98">
        <f>D16*$E$15</f>
        <v>15.625</v>
      </c>
    </row>
    <row r="17" spans="1:5" x14ac:dyDescent="0.25">
      <c r="A17" s="96" t="s">
        <v>126</v>
      </c>
      <c r="B17" s="100" t="s">
        <v>13</v>
      </c>
      <c r="C17" s="98" t="s">
        <v>7</v>
      </c>
      <c r="D17" s="99">
        <v>1</v>
      </c>
      <c r="E17" s="98">
        <f t="shared" ref="E17:E18" si="2">D17*$E$15</f>
        <v>62.5</v>
      </c>
    </row>
    <row r="18" spans="1:5" x14ac:dyDescent="0.25">
      <c r="A18" s="96" t="s">
        <v>127</v>
      </c>
      <c r="B18" s="100" t="s">
        <v>121</v>
      </c>
      <c r="C18" s="98" t="s">
        <v>123</v>
      </c>
      <c r="D18" s="99">
        <v>1.1000000000000001</v>
      </c>
      <c r="E18" s="98">
        <f t="shared" si="2"/>
        <v>68.75</v>
      </c>
    </row>
    <row r="19" spans="1:5" x14ac:dyDescent="0.25">
      <c r="A19" s="96" t="s">
        <v>128</v>
      </c>
      <c r="B19" s="100" t="s">
        <v>122</v>
      </c>
      <c r="C19" s="98" t="s">
        <v>6</v>
      </c>
      <c r="D19" s="99">
        <v>1.3</v>
      </c>
      <c r="E19" s="98">
        <f>D19*$E$15*40</f>
        <v>3250</v>
      </c>
    </row>
    <row r="20" spans="1:5" ht="52.8" x14ac:dyDescent="0.25">
      <c r="A20" s="96" t="s">
        <v>124</v>
      </c>
      <c r="B20" s="97" t="s">
        <v>135</v>
      </c>
      <c r="C20" s="98" t="s">
        <v>123</v>
      </c>
      <c r="D20" s="99">
        <v>1</v>
      </c>
      <c r="E20" s="98">
        <f>'6n;п.'!D27</f>
        <v>193.9</v>
      </c>
    </row>
    <row r="21" spans="1:5" x14ac:dyDescent="0.25">
      <c r="A21" s="96" t="s">
        <v>129</v>
      </c>
      <c r="B21" s="100" t="s">
        <v>10</v>
      </c>
      <c r="C21" s="98" t="s">
        <v>6</v>
      </c>
      <c r="D21" s="99">
        <v>0.15</v>
      </c>
      <c r="E21" s="98">
        <f>$E$20*D21</f>
        <v>29.085000000000001</v>
      </c>
    </row>
    <row r="22" spans="1:5" x14ac:dyDescent="0.25">
      <c r="A22" s="96" t="s">
        <v>130</v>
      </c>
      <c r="B22" s="100" t="s">
        <v>13</v>
      </c>
      <c r="C22" s="98" t="s">
        <v>7</v>
      </c>
      <c r="D22" s="99">
        <v>1</v>
      </c>
      <c r="E22" s="98">
        <f t="shared" ref="E22:E23" si="3">$E$20*D22</f>
        <v>193.9</v>
      </c>
    </row>
    <row r="23" spans="1:5" x14ac:dyDescent="0.25">
      <c r="A23" s="96" t="s">
        <v>131</v>
      </c>
      <c r="B23" s="100" t="s">
        <v>121</v>
      </c>
      <c r="C23" s="98" t="s">
        <v>123</v>
      </c>
      <c r="D23" s="99">
        <v>1.1000000000000001</v>
      </c>
      <c r="E23" s="98">
        <f t="shared" si="3"/>
        <v>213.29000000000002</v>
      </c>
    </row>
    <row r="24" spans="1:5" x14ac:dyDescent="0.25">
      <c r="A24" s="96" t="s">
        <v>132</v>
      </c>
      <c r="B24" s="100" t="s">
        <v>122</v>
      </c>
      <c r="C24" s="98" t="s">
        <v>6</v>
      </c>
      <c r="D24" s="99">
        <v>1.3</v>
      </c>
      <c r="E24" s="98">
        <f>$E$20*D24*40</f>
        <v>10082.800000000001</v>
      </c>
    </row>
    <row r="26" spans="1:5" x14ac:dyDescent="0.25">
      <c r="A26" s="92"/>
      <c r="B26" s="93" t="s">
        <v>37</v>
      </c>
      <c r="C26" s="94"/>
      <c r="D26" s="94"/>
      <c r="E26" s="94"/>
    </row>
    <row r="27" spans="1:5" x14ac:dyDescent="0.25">
      <c r="A27" s="92" t="s">
        <v>0</v>
      </c>
      <c r="B27" s="95" t="s">
        <v>1</v>
      </c>
      <c r="C27" s="94" t="s">
        <v>2</v>
      </c>
      <c r="D27" s="94" t="s">
        <v>3</v>
      </c>
      <c r="E27" s="94" t="s">
        <v>4</v>
      </c>
    </row>
    <row r="28" spans="1:5" ht="26.4" x14ac:dyDescent="0.25">
      <c r="A28" s="91">
        <v>1</v>
      </c>
      <c r="B28" s="65" t="str">
        <f>'1.n2'!B18</f>
        <v>Подготовка поверхности СКБ / стен / по штукатурке / 2мм (Шпаклевка базовая)</v>
      </c>
      <c r="C28" s="10" t="s">
        <v>5</v>
      </c>
      <c r="D28" s="11">
        <v>1</v>
      </c>
      <c r="E28" s="10">
        <f>'6n;п.'!E16</f>
        <v>1638.4</v>
      </c>
    </row>
    <row r="29" spans="1:5" x14ac:dyDescent="0.25">
      <c r="A29" s="91">
        <v>1.1000000000000001</v>
      </c>
      <c r="B29" s="38" t="s">
        <v>10</v>
      </c>
      <c r="C29" s="10" t="s">
        <v>6</v>
      </c>
      <c r="D29" s="11">
        <v>0.15</v>
      </c>
      <c r="E29" s="10">
        <f>D29*E28</f>
        <v>245.76</v>
      </c>
    </row>
    <row r="30" spans="1:5" x14ac:dyDescent="0.25">
      <c r="A30" s="91" t="s">
        <v>9</v>
      </c>
      <c r="B30" s="9" t="s">
        <v>32</v>
      </c>
      <c r="C30" s="10" t="s">
        <v>6</v>
      </c>
      <c r="D30" s="11">
        <v>1.8</v>
      </c>
      <c r="E30" s="10">
        <f t="shared" ref="E30:E31" si="4">D30*E29</f>
        <v>442.36799999999999</v>
      </c>
    </row>
    <row r="31" spans="1:5" x14ac:dyDescent="0.25">
      <c r="A31" s="91" t="s">
        <v>18</v>
      </c>
      <c r="B31" s="38" t="s">
        <v>33</v>
      </c>
      <c r="C31" s="10" t="s">
        <v>7</v>
      </c>
      <c r="D31" s="11">
        <v>0.3</v>
      </c>
      <c r="E31" s="10">
        <f t="shared" si="4"/>
        <v>132.71039999999999</v>
      </c>
    </row>
  </sheetData>
  <pageMargins left="0.7" right="0.7" top="0.75" bottom="0.75" header="0.3" footer="0.3"/>
  <pageSetup paperSize="9" scale="71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E27"/>
  <sheetViews>
    <sheetView workbookViewId="0">
      <selection sqref="A1:E1"/>
    </sheetView>
    <sheetView workbookViewId="1">
      <selection sqref="A1:E1"/>
    </sheetView>
  </sheetViews>
  <sheetFormatPr defaultColWidth="9.109375" defaultRowHeight="13.2" x14ac:dyDescent="0.25"/>
  <cols>
    <col min="1" max="1" width="8.88671875" style="86" customWidth="1"/>
    <col min="2" max="2" width="11.88671875" style="86" customWidth="1"/>
    <col min="3" max="3" width="12.5546875" style="86" customWidth="1"/>
    <col min="4" max="4" width="15" style="86" customWidth="1"/>
    <col min="5" max="5" width="10.5546875" style="86" customWidth="1"/>
    <col min="6" max="16384" width="9.109375" style="86"/>
  </cols>
  <sheetData>
    <row r="1" spans="1:5" x14ac:dyDescent="0.25">
      <c r="A1" s="341" t="s">
        <v>20</v>
      </c>
      <c r="B1" s="341"/>
      <c r="C1" s="341"/>
      <c r="D1" s="341"/>
      <c r="E1" s="341"/>
    </row>
    <row r="2" spans="1:5" x14ac:dyDescent="0.25">
      <c r="A2" s="339" t="s">
        <v>35</v>
      </c>
      <c r="B2" s="339"/>
      <c r="C2" s="339"/>
      <c r="D2" s="339"/>
      <c r="E2" s="339"/>
    </row>
    <row r="3" spans="1:5" ht="39.6" x14ac:dyDescent="0.25">
      <c r="A3" s="85"/>
      <c r="B3" s="30"/>
      <c r="C3" s="27" t="s">
        <v>22</v>
      </c>
      <c r="D3" s="84" t="s">
        <v>23</v>
      </c>
      <c r="E3" s="85" t="s">
        <v>31</v>
      </c>
    </row>
    <row r="4" spans="1:5" x14ac:dyDescent="0.25">
      <c r="A4" s="85" t="s">
        <v>0</v>
      </c>
      <c r="B4" s="28" t="s">
        <v>19</v>
      </c>
      <c r="C4" s="10" t="s">
        <v>21</v>
      </c>
      <c r="D4" s="10" t="s">
        <v>21</v>
      </c>
      <c r="E4" s="85"/>
    </row>
    <row r="5" spans="1:5" x14ac:dyDescent="0.25">
      <c r="A5" s="87">
        <v>1</v>
      </c>
      <c r="B5" s="87">
        <v>3.0009999999999999</v>
      </c>
      <c r="C5" s="87">
        <v>67.599999999999994</v>
      </c>
      <c r="D5" s="87">
        <v>55.5</v>
      </c>
      <c r="E5" s="87">
        <v>123.1</v>
      </c>
    </row>
    <row r="6" spans="1:5" x14ac:dyDescent="0.25">
      <c r="A6" s="87">
        <v>2</v>
      </c>
      <c r="B6" s="87">
        <v>3.0019999999999998</v>
      </c>
      <c r="C6" s="87">
        <v>50.1</v>
      </c>
      <c r="D6" s="87">
        <v>58.2</v>
      </c>
      <c r="E6" s="87">
        <v>108.30000000000001</v>
      </c>
    </row>
    <row r="7" spans="1:5" x14ac:dyDescent="0.25">
      <c r="A7" s="87">
        <v>3</v>
      </c>
      <c r="B7" s="87">
        <v>3.0030000000000001</v>
      </c>
      <c r="C7" s="87">
        <v>62.4</v>
      </c>
      <c r="D7" s="87">
        <v>71.900000000000006</v>
      </c>
      <c r="E7" s="87">
        <v>134.30000000000001</v>
      </c>
    </row>
    <row r="8" spans="1:5" x14ac:dyDescent="0.25">
      <c r="A8" s="87">
        <v>4</v>
      </c>
      <c r="B8" s="87">
        <v>3.004</v>
      </c>
      <c r="C8" s="87">
        <v>185.1</v>
      </c>
      <c r="D8" s="87">
        <v>162.9</v>
      </c>
      <c r="E8" s="87">
        <v>348</v>
      </c>
    </row>
    <row r="9" spans="1:5" x14ac:dyDescent="0.25">
      <c r="A9" s="87">
        <v>5</v>
      </c>
      <c r="B9" s="87">
        <v>3.0070000000000001</v>
      </c>
      <c r="C9" s="88">
        <v>20.8</v>
      </c>
      <c r="D9" s="88">
        <v>11.299999999999999</v>
      </c>
      <c r="E9" s="87">
        <v>32.1</v>
      </c>
    </row>
    <row r="10" spans="1:5" x14ac:dyDescent="0.25">
      <c r="A10" s="87">
        <v>6</v>
      </c>
      <c r="B10" s="103">
        <v>3.01</v>
      </c>
      <c r="C10" s="88">
        <v>38.9</v>
      </c>
      <c r="D10" s="88">
        <v>115.1</v>
      </c>
      <c r="E10" s="87">
        <v>154</v>
      </c>
    </row>
    <row r="11" spans="1:5" x14ac:dyDescent="0.25">
      <c r="A11" s="87">
        <v>7</v>
      </c>
      <c r="B11" s="87">
        <v>3.0110000000000001</v>
      </c>
      <c r="C11" s="88">
        <v>37.700000000000003</v>
      </c>
      <c r="D11" s="88">
        <v>97.6</v>
      </c>
      <c r="E11" s="87">
        <v>135.30000000000001</v>
      </c>
    </row>
    <row r="12" spans="1:5" x14ac:dyDescent="0.25">
      <c r="A12" s="87">
        <v>8</v>
      </c>
      <c r="B12" s="87">
        <v>3.012</v>
      </c>
      <c r="C12" s="88">
        <v>149.79999999999998</v>
      </c>
      <c r="D12" s="88">
        <v>189.5</v>
      </c>
      <c r="E12" s="87">
        <v>339.29999999999995</v>
      </c>
    </row>
    <row r="13" spans="1:5" x14ac:dyDescent="0.25">
      <c r="A13" s="87">
        <v>9</v>
      </c>
      <c r="B13" s="87">
        <v>3.0129999999999999</v>
      </c>
      <c r="C13" s="88">
        <v>30.5</v>
      </c>
      <c r="D13" s="88">
        <v>79.300000000000011</v>
      </c>
      <c r="E13" s="87">
        <v>109.80000000000001</v>
      </c>
    </row>
    <row r="14" spans="1:5" x14ac:dyDescent="0.25">
      <c r="A14" s="87">
        <v>10</v>
      </c>
      <c r="B14" s="87">
        <v>3.0139999999999998</v>
      </c>
      <c r="C14" s="88">
        <v>50</v>
      </c>
      <c r="D14" s="88">
        <v>57.7</v>
      </c>
      <c r="E14" s="87">
        <v>107.7</v>
      </c>
    </row>
    <row r="15" spans="1:5" x14ac:dyDescent="0.25">
      <c r="A15" s="87">
        <v>11</v>
      </c>
      <c r="B15" s="87">
        <v>3.0670000000000002</v>
      </c>
      <c r="C15" s="88">
        <v>27</v>
      </c>
      <c r="D15" s="88">
        <v>19.5</v>
      </c>
      <c r="E15" s="87">
        <v>46.5</v>
      </c>
    </row>
    <row r="16" spans="1:5" x14ac:dyDescent="0.25">
      <c r="A16" s="87"/>
      <c r="B16" s="87" t="s">
        <v>133</v>
      </c>
      <c r="C16" s="87">
        <f>SUM(C5:C15)</f>
        <v>719.9</v>
      </c>
      <c r="D16" s="87">
        <f>SUM(D5:D15)</f>
        <v>918.5</v>
      </c>
      <c r="E16" s="87">
        <f>SUM(E5:E15)</f>
        <v>1638.4</v>
      </c>
    </row>
    <row r="18" spans="1:5" ht="12.75" customHeight="1" x14ac:dyDescent="0.25">
      <c r="A18" s="341" t="s">
        <v>20</v>
      </c>
      <c r="B18" s="341"/>
      <c r="C18" s="341"/>
      <c r="D18" s="341"/>
      <c r="E18" s="341"/>
    </row>
    <row r="19" spans="1:5" ht="12.75" customHeight="1" x14ac:dyDescent="0.25">
      <c r="A19" s="339" t="s">
        <v>138</v>
      </c>
      <c r="B19" s="339"/>
      <c r="C19" s="339"/>
      <c r="D19" s="339"/>
      <c r="E19" s="339"/>
    </row>
    <row r="20" spans="1:5" ht="39.6" x14ac:dyDescent="0.25">
      <c r="A20" s="85"/>
      <c r="B20" s="30"/>
      <c r="C20" s="27" t="s">
        <v>22</v>
      </c>
      <c r="D20" s="84" t="s">
        <v>23</v>
      </c>
      <c r="E20" s="85" t="s">
        <v>31</v>
      </c>
    </row>
    <row r="21" spans="1:5" x14ac:dyDescent="0.25">
      <c r="A21" s="85" t="s">
        <v>0</v>
      </c>
      <c r="B21" s="28" t="s">
        <v>19</v>
      </c>
      <c r="C21" s="10" t="s">
        <v>21</v>
      </c>
      <c r="D21" s="10" t="s">
        <v>21</v>
      </c>
      <c r="E21" s="85"/>
    </row>
    <row r="22" spans="1:5" x14ac:dyDescent="0.25">
      <c r="A22" s="89">
        <v>2</v>
      </c>
      <c r="B22" s="89">
        <v>3.0089999999999999</v>
      </c>
      <c r="C22" s="101">
        <v>10.1</v>
      </c>
      <c r="D22" s="101">
        <v>77</v>
      </c>
      <c r="E22" s="89">
        <v>87.1</v>
      </c>
    </row>
    <row r="23" spans="1:5" x14ac:dyDescent="0.25">
      <c r="A23" s="89">
        <v>3</v>
      </c>
      <c r="B23" s="89">
        <v>3.0150000000000001</v>
      </c>
      <c r="C23" s="101">
        <v>21.3</v>
      </c>
      <c r="D23" s="101">
        <v>48.3</v>
      </c>
      <c r="E23" s="89">
        <v>69.599999999999994</v>
      </c>
    </row>
    <row r="24" spans="1:5" x14ac:dyDescent="0.25">
      <c r="A24" s="89">
        <v>4</v>
      </c>
      <c r="B24" s="89">
        <v>3.0169999999999999</v>
      </c>
      <c r="C24" s="101">
        <v>18.100000000000001</v>
      </c>
      <c r="D24" s="101">
        <v>24.700000000000003</v>
      </c>
      <c r="E24" s="89">
        <v>42.800000000000004</v>
      </c>
    </row>
    <row r="25" spans="1:5" x14ac:dyDescent="0.25">
      <c r="A25" s="89">
        <v>5</v>
      </c>
      <c r="B25" s="89">
        <v>3.0179999999999998</v>
      </c>
      <c r="C25" s="101">
        <v>7.1</v>
      </c>
      <c r="D25" s="101">
        <v>22.400000000000002</v>
      </c>
      <c r="E25" s="89">
        <v>29.5</v>
      </c>
    </row>
    <row r="26" spans="1:5" x14ac:dyDescent="0.25">
      <c r="A26" s="89">
        <v>6</v>
      </c>
      <c r="B26" s="89">
        <v>3.0289999999999999</v>
      </c>
      <c r="C26" s="101">
        <v>5.9</v>
      </c>
      <c r="D26" s="101">
        <v>21.5</v>
      </c>
      <c r="E26" s="89">
        <v>27.4</v>
      </c>
    </row>
    <row r="27" spans="1:5" x14ac:dyDescent="0.25">
      <c r="A27" s="89"/>
      <c r="B27" s="89" t="s">
        <v>133</v>
      </c>
      <c r="C27" s="101">
        <f>SUM(C21:C26)</f>
        <v>62.5</v>
      </c>
      <c r="D27" s="101">
        <f t="shared" ref="D27:E27" si="0">SUM(D21:D26)</f>
        <v>193.9</v>
      </c>
      <c r="E27" s="101">
        <f t="shared" si="0"/>
        <v>256.39999999999998</v>
      </c>
    </row>
  </sheetData>
  <mergeCells count="4">
    <mergeCell ref="A1:E1"/>
    <mergeCell ref="A2:E2"/>
    <mergeCell ref="A18:E18"/>
    <mergeCell ref="A19:E19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E31"/>
  <sheetViews>
    <sheetView workbookViewId="0">
      <selection sqref="A1:E1"/>
    </sheetView>
    <sheetView workbookViewId="1"/>
  </sheetViews>
  <sheetFormatPr defaultColWidth="9.109375" defaultRowHeight="13.2" x14ac:dyDescent="0.25"/>
  <cols>
    <col min="1" max="1" width="7.5546875" style="86" customWidth="1"/>
    <col min="2" max="2" width="54.88671875" style="86" customWidth="1"/>
    <col min="3" max="3" width="9.109375" style="86" customWidth="1"/>
    <col min="4" max="4" width="14.5546875" style="86" customWidth="1"/>
    <col min="5" max="5" width="8.88671875" style="86" customWidth="1"/>
    <col min="6" max="16384" width="9.109375" style="86"/>
  </cols>
  <sheetData>
    <row r="1" spans="1:5" ht="13.8" thickBot="1" x14ac:dyDescent="0.3">
      <c r="A1" s="66"/>
      <c r="B1" s="67" t="s">
        <v>34</v>
      </c>
      <c r="C1" s="68"/>
      <c r="D1" s="68"/>
      <c r="E1" s="69"/>
    </row>
    <row r="2" spans="1:5" x14ac:dyDescent="0.25">
      <c r="A2" s="70" t="s">
        <v>0</v>
      </c>
      <c r="B2" s="71" t="s">
        <v>1</v>
      </c>
      <c r="C2" s="72" t="s">
        <v>2</v>
      </c>
      <c r="D2" s="72" t="s">
        <v>3</v>
      </c>
      <c r="E2" s="73" t="s">
        <v>4</v>
      </c>
    </row>
    <row r="3" spans="1:5" ht="39.6" x14ac:dyDescent="0.25">
      <c r="A3" s="8" t="s">
        <v>49</v>
      </c>
      <c r="B3" s="65" t="s">
        <v>47</v>
      </c>
      <c r="C3" s="10" t="s">
        <v>7</v>
      </c>
      <c r="D3" s="11">
        <v>1</v>
      </c>
      <c r="E3" s="12">
        <f>(E6+E10+E15+E20)*0.45</f>
        <v>969.07500000000005</v>
      </c>
    </row>
    <row r="4" spans="1:5" x14ac:dyDescent="0.25">
      <c r="A4" s="8" t="s">
        <v>9</v>
      </c>
      <c r="B4" s="65" t="s">
        <v>16</v>
      </c>
      <c r="C4" s="10" t="s">
        <v>6</v>
      </c>
      <c r="D4" s="11">
        <v>0.1</v>
      </c>
      <c r="E4" s="12">
        <f>D4*E3</f>
        <v>96.907500000000013</v>
      </c>
    </row>
    <row r="5" spans="1:5" ht="13.8" thickBot="1" x14ac:dyDescent="0.3">
      <c r="A5" s="14" t="s">
        <v>18</v>
      </c>
      <c r="B5" s="74" t="s">
        <v>48</v>
      </c>
      <c r="C5" s="15" t="s">
        <v>7</v>
      </c>
      <c r="D5" s="16">
        <v>1.1000000000000001</v>
      </c>
      <c r="E5" s="17">
        <f>D5*E3</f>
        <v>1065.9825000000001</v>
      </c>
    </row>
    <row r="6" spans="1:5" ht="39.6" x14ac:dyDescent="0.25">
      <c r="A6" s="60" t="s">
        <v>11</v>
      </c>
      <c r="B6" s="61" t="str">
        <f>'1.n2'!B6</f>
        <v>Штукатурка стен гипсовыми смесями с предварительной огрунтовкой СКБ / толщ. от 21 до 40 мм / высотой от 4,01 до 8 метров (Штукатурка по ж/б поверхностям)</v>
      </c>
      <c r="C6" s="62" t="s">
        <v>5</v>
      </c>
      <c r="D6" s="63">
        <v>1</v>
      </c>
      <c r="E6" s="64">
        <f>'7n;п.'!C20</f>
        <v>724.40000000000009</v>
      </c>
    </row>
    <row r="7" spans="1:5" ht="13.8" thickBot="1" x14ac:dyDescent="0.3">
      <c r="A7" s="8" t="s">
        <v>14</v>
      </c>
      <c r="B7" s="38" t="s">
        <v>8</v>
      </c>
      <c r="C7" s="10" t="s">
        <v>6</v>
      </c>
      <c r="D7" s="11">
        <v>0.25</v>
      </c>
      <c r="E7" s="12">
        <f>$E$6*D7</f>
        <v>181.10000000000002</v>
      </c>
    </row>
    <row r="8" spans="1:5" x14ac:dyDescent="0.25">
      <c r="A8" s="8" t="s">
        <v>15</v>
      </c>
      <c r="B8" s="38" t="s">
        <v>13</v>
      </c>
      <c r="C8" s="10" t="s">
        <v>7</v>
      </c>
      <c r="D8" s="42">
        <v>1</v>
      </c>
      <c r="E8" s="12">
        <f t="shared" ref="E8" si="0">$E$6*D8</f>
        <v>724.40000000000009</v>
      </c>
    </row>
    <row r="9" spans="1:5" ht="13.8" thickBot="1" x14ac:dyDescent="0.3">
      <c r="A9" s="8" t="s">
        <v>17</v>
      </c>
      <c r="B9" s="18" t="s">
        <v>16</v>
      </c>
      <c r="C9" s="50" t="s">
        <v>6</v>
      </c>
      <c r="D9" s="13">
        <v>1</v>
      </c>
      <c r="E9" s="19">
        <f>$E$6*D9*28.57</f>
        <v>20696.108000000004</v>
      </c>
    </row>
    <row r="10" spans="1:5" ht="39.6" x14ac:dyDescent="0.25">
      <c r="A10" s="39" t="s">
        <v>50</v>
      </c>
      <c r="B10" s="40" t="str">
        <f>'1.n2'!B10</f>
        <v>Штукатурка стен гипсовыми смесями с предварительной огрунтовкой СКБ / толщ. от 21 до 40 мм / высотой от 4,01 до 8 метров (Штукатурка  по газобетонному блоку и ПГП)</v>
      </c>
      <c r="C10" s="41" t="s">
        <v>5</v>
      </c>
      <c r="D10" s="42">
        <v>1</v>
      </c>
      <c r="E10" s="43">
        <f>'7n;п.'!D20</f>
        <v>1148.5</v>
      </c>
    </row>
    <row r="11" spans="1:5" x14ac:dyDescent="0.25">
      <c r="A11" s="8" t="s">
        <v>51</v>
      </c>
      <c r="B11" s="38" t="s">
        <v>16</v>
      </c>
      <c r="C11" s="10" t="s">
        <v>6</v>
      </c>
      <c r="D11" s="11">
        <v>1</v>
      </c>
      <c r="E11" s="12">
        <f>$E$10*D11*32.51</f>
        <v>37337.735000000001</v>
      </c>
    </row>
    <row r="12" spans="1:5" ht="13.8" thickBot="1" x14ac:dyDescent="0.3">
      <c r="A12" s="8" t="s">
        <v>52</v>
      </c>
      <c r="B12" s="38" t="s">
        <v>10</v>
      </c>
      <c r="C12" s="10" t="s">
        <v>6</v>
      </c>
      <c r="D12" s="11">
        <v>0.15</v>
      </c>
      <c r="E12" s="12">
        <f t="shared" ref="E12:E13" si="1">$E$10*D12</f>
        <v>172.27500000000001</v>
      </c>
    </row>
    <row r="13" spans="1:5" x14ac:dyDescent="0.25">
      <c r="A13" s="8" t="s">
        <v>53</v>
      </c>
      <c r="B13" s="38" t="s">
        <v>13</v>
      </c>
      <c r="C13" s="10" t="s">
        <v>7</v>
      </c>
      <c r="D13" s="42">
        <v>1</v>
      </c>
      <c r="E13" s="12">
        <f t="shared" si="1"/>
        <v>1148.5</v>
      </c>
    </row>
    <row r="14" spans="1:5" x14ac:dyDescent="0.25">
      <c r="A14" s="49" t="s">
        <v>54</v>
      </c>
      <c r="B14" s="90" t="s">
        <v>12</v>
      </c>
      <c r="C14" s="50" t="s">
        <v>7</v>
      </c>
      <c r="D14" s="13">
        <v>1</v>
      </c>
      <c r="E14" s="19">
        <f>75.75*4</f>
        <v>303</v>
      </c>
    </row>
    <row r="15" spans="1:5" ht="39.6" x14ac:dyDescent="0.25">
      <c r="A15" s="96" t="s">
        <v>119</v>
      </c>
      <c r="B15" s="97" t="s">
        <v>134</v>
      </c>
      <c r="C15" s="98" t="s">
        <v>123</v>
      </c>
      <c r="D15" s="99">
        <v>1</v>
      </c>
      <c r="E15" s="98">
        <f>'7n;п.'!C32</f>
        <v>59</v>
      </c>
    </row>
    <row r="16" spans="1:5" x14ac:dyDescent="0.25">
      <c r="A16" s="96" t="s">
        <v>125</v>
      </c>
      <c r="B16" s="100" t="s">
        <v>120</v>
      </c>
      <c r="C16" s="98" t="s">
        <v>6</v>
      </c>
      <c r="D16" s="99">
        <v>0.25</v>
      </c>
      <c r="E16" s="98">
        <f>D16*$E$15</f>
        <v>14.75</v>
      </c>
    </row>
    <row r="17" spans="1:5" x14ac:dyDescent="0.25">
      <c r="A17" s="96" t="s">
        <v>126</v>
      </c>
      <c r="B17" s="100" t="s">
        <v>13</v>
      </c>
      <c r="C17" s="98" t="s">
        <v>7</v>
      </c>
      <c r="D17" s="99">
        <v>1</v>
      </c>
      <c r="E17" s="98">
        <f t="shared" ref="E17:E18" si="2">D17*$E$15</f>
        <v>59</v>
      </c>
    </row>
    <row r="18" spans="1:5" x14ac:dyDescent="0.25">
      <c r="A18" s="96" t="s">
        <v>127</v>
      </c>
      <c r="B18" s="100" t="s">
        <v>121</v>
      </c>
      <c r="C18" s="98" t="s">
        <v>123</v>
      </c>
      <c r="D18" s="99">
        <v>1.1000000000000001</v>
      </c>
      <c r="E18" s="98">
        <f t="shared" si="2"/>
        <v>64.900000000000006</v>
      </c>
    </row>
    <row r="19" spans="1:5" x14ac:dyDescent="0.25">
      <c r="A19" s="96" t="s">
        <v>128</v>
      </c>
      <c r="B19" s="100" t="s">
        <v>122</v>
      </c>
      <c r="C19" s="98" t="s">
        <v>6</v>
      </c>
      <c r="D19" s="99">
        <v>1.3</v>
      </c>
      <c r="E19" s="98">
        <f>D19*$E$15*40</f>
        <v>3068</v>
      </c>
    </row>
    <row r="20" spans="1:5" ht="52.8" x14ac:dyDescent="0.25">
      <c r="A20" s="96" t="s">
        <v>124</v>
      </c>
      <c r="B20" s="97" t="s">
        <v>135</v>
      </c>
      <c r="C20" s="98" t="s">
        <v>123</v>
      </c>
      <c r="D20" s="99">
        <v>1</v>
      </c>
      <c r="E20" s="98">
        <f>'7n;п.'!D32</f>
        <v>221.60000000000002</v>
      </c>
    </row>
    <row r="21" spans="1:5" x14ac:dyDescent="0.25">
      <c r="A21" s="96" t="s">
        <v>129</v>
      </c>
      <c r="B21" s="100" t="s">
        <v>10</v>
      </c>
      <c r="C21" s="98" t="s">
        <v>6</v>
      </c>
      <c r="D21" s="99">
        <v>0.15</v>
      </c>
      <c r="E21" s="98">
        <f>$E$20*D21</f>
        <v>33.24</v>
      </c>
    </row>
    <row r="22" spans="1:5" x14ac:dyDescent="0.25">
      <c r="A22" s="96" t="s">
        <v>130</v>
      </c>
      <c r="B22" s="100" t="s">
        <v>13</v>
      </c>
      <c r="C22" s="98" t="s">
        <v>7</v>
      </c>
      <c r="D22" s="99">
        <v>1</v>
      </c>
      <c r="E22" s="98">
        <f t="shared" ref="E22:E23" si="3">$E$20*D22</f>
        <v>221.60000000000002</v>
      </c>
    </row>
    <row r="23" spans="1:5" x14ac:dyDescent="0.25">
      <c r="A23" s="96" t="s">
        <v>131</v>
      </c>
      <c r="B23" s="100" t="s">
        <v>121</v>
      </c>
      <c r="C23" s="98" t="s">
        <v>123</v>
      </c>
      <c r="D23" s="99">
        <v>1.1000000000000001</v>
      </c>
      <c r="E23" s="98">
        <f t="shared" si="3"/>
        <v>243.76000000000005</v>
      </c>
    </row>
    <row r="24" spans="1:5" x14ac:dyDescent="0.25">
      <c r="A24" s="96" t="s">
        <v>132</v>
      </c>
      <c r="B24" s="100" t="s">
        <v>122</v>
      </c>
      <c r="C24" s="98" t="s">
        <v>6</v>
      </c>
      <c r="D24" s="99">
        <v>1.3</v>
      </c>
      <c r="E24" s="98">
        <f>$E$20*D24*40</f>
        <v>11523.2</v>
      </c>
    </row>
    <row r="26" spans="1:5" x14ac:dyDescent="0.25">
      <c r="A26" s="92"/>
      <c r="B26" s="93" t="s">
        <v>37</v>
      </c>
      <c r="C26" s="94"/>
      <c r="D26" s="94"/>
      <c r="E26" s="94"/>
    </row>
    <row r="27" spans="1:5" x14ac:dyDescent="0.25">
      <c r="A27" s="92" t="s">
        <v>0</v>
      </c>
      <c r="B27" s="95" t="s">
        <v>1</v>
      </c>
      <c r="C27" s="94" t="s">
        <v>2</v>
      </c>
      <c r="D27" s="94" t="s">
        <v>3</v>
      </c>
      <c r="E27" s="94" t="s">
        <v>4</v>
      </c>
    </row>
    <row r="28" spans="1:5" ht="26.4" x14ac:dyDescent="0.25">
      <c r="A28" s="91">
        <v>1</v>
      </c>
      <c r="B28" s="65" t="str">
        <f>'1.n2'!B18</f>
        <v>Подготовка поверхности СКБ / стен / по штукатурке / 2мм (Шпаклевка базовая)</v>
      </c>
      <c r="C28" s="10" t="s">
        <v>5</v>
      </c>
      <c r="D28" s="11">
        <v>1</v>
      </c>
      <c r="E28" s="10">
        <f>'7n;п.'!E20</f>
        <v>1872.9</v>
      </c>
    </row>
    <row r="29" spans="1:5" x14ac:dyDescent="0.25">
      <c r="A29" s="91">
        <v>1.1000000000000001</v>
      </c>
      <c r="B29" s="38" t="s">
        <v>10</v>
      </c>
      <c r="C29" s="10" t="s">
        <v>6</v>
      </c>
      <c r="D29" s="11">
        <v>0.15</v>
      </c>
      <c r="E29" s="10">
        <f>D29*E28</f>
        <v>280.935</v>
      </c>
    </row>
    <row r="30" spans="1:5" x14ac:dyDescent="0.25">
      <c r="A30" s="91" t="s">
        <v>9</v>
      </c>
      <c r="B30" s="9" t="s">
        <v>32</v>
      </c>
      <c r="C30" s="10" t="s">
        <v>6</v>
      </c>
      <c r="D30" s="11">
        <v>1.8</v>
      </c>
      <c r="E30" s="10">
        <f t="shared" ref="E30:E31" si="4">D30*E29</f>
        <v>505.68299999999999</v>
      </c>
    </row>
    <row r="31" spans="1:5" x14ac:dyDescent="0.25">
      <c r="A31" s="91" t="s">
        <v>18</v>
      </c>
      <c r="B31" s="38" t="s">
        <v>33</v>
      </c>
      <c r="C31" s="10" t="s">
        <v>7</v>
      </c>
      <c r="D31" s="11">
        <v>0.3</v>
      </c>
      <c r="E31" s="10">
        <f t="shared" si="4"/>
        <v>151.70489999999998</v>
      </c>
    </row>
  </sheetData>
  <pageMargins left="0.7" right="0.7" top="0.75" bottom="0.75" header="0.3" footer="0.3"/>
  <pageSetup paperSize="9" scale="92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E32"/>
  <sheetViews>
    <sheetView workbookViewId="0">
      <selection sqref="A1:E1"/>
    </sheetView>
    <sheetView workbookViewId="1">
      <selection sqref="A1:E1"/>
    </sheetView>
  </sheetViews>
  <sheetFormatPr defaultColWidth="9.109375" defaultRowHeight="13.2" x14ac:dyDescent="0.25"/>
  <cols>
    <col min="1" max="1" width="8.88671875" style="86" customWidth="1"/>
    <col min="2" max="2" width="11.88671875" style="86" customWidth="1"/>
    <col min="3" max="3" width="12.5546875" style="86" customWidth="1"/>
    <col min="4" max="4" width="18.5546875" style="86" customWidth="1"/>
    <col min="5" max="5" width="10.5546875" style="86" customWidth="1"/>
    <col min="6" max="16384" width="9.109375" style="86"/>
  </cols>
  <sheetData>
    <row r="1" spans="1:5" x14ac:dyDescent="0.25">
      <c r="A1" s="341" t="s">
        <v>20</v>
      </c>
      <c r="B1" s="341"/>
      <c r="C1" s="341"/>
      <c r="D1" s="341"/>
      <c r="E1" s="341"/>
    </row>
    <row r="2" spans="1:5" x14ac:dyDescent="0.25">
      <c r="A2" s="339" t="s">
        <v>35</v>
      </c>
      <c r="B2" s="339"/>
      <c r="C2" s="339"/>
      <c r="D2" s="339"/>
      <c r="E2" s="339"/>
    </row>
    <row r="3" spans="1:5" ht="26.4" x14ac:dyDescent="0.25">
      <c r="A3" s="85"/>
      <c r="B3" s="30"/>
      <c r="C3" s="27" t="s">
        <v>22</v>
      </c>
      <c r="D3" s="84" t="s">
        <v>23</v>
      </c>
      <c r="E3" s="85" t="s">
        <v>31</v>
      </c>
    </row>
    <row r="4" spans="1:5" x14ac:dyDescent="0.25">
      <c r="A4" s="85" t="s">
        <v>0</v>
      </c>
      <c r="B4" s="28" t="s">
        <v>19</v>
      </c>
      <c r="C4" s="10" t="s">
        <v>21</v>
      </c>
      <c r="D4" s="10" t="s">
        <v>21</v>
      </c>
      <c r="E4" s="85"/>
    </row>
    <row r="5" spans="1:5" x14ac:dyDescent="0.25">
      <c r="A5" s="87">
        <v>1</v>
      </c>
      <c r="B5" s="87">
        <v>2.0009999999999999</v>
      </c>
      <c r="C5" s="87">
        <v>67.900000000000006</v>
      </c>
      <c r="D5" s="88">
        <v>48.5</v>
      </c>
      <c r="E5" s="88">
        <f>C5+D5</f>
        <v>116.4</v>
      </c>
    </row>
    <row r="6" spans="1:5" x14ac:dyDescent="0.25">
      <c r="A6" s="87">
        <v>2</v>
      </c>
      <c r="B6" s="87">
        <v>2.0019999999999998</v>
      </c>
      <c r="C6" s="87">
        <v>47.5</v>
      </c>
      <c r="D6" s="88">
        <v>60.400000000000006</v>
      </c>
      <c r="E6" s="88">
        <f t="shared" ref="E6:E19" si="0">C6+D6</f>
        <v>107.9</v>
      </c>
    </row>
    <row r="7" spans="1:5" x14ac:dyDescent="0.25">
      <c r="A7" s="87">
        <v>3</v>
      </c>
      <c r="B7" s="87">
        <v>2.0030000000000001</v>
      </c>
      <c r="C7" s="87">
        <v>140.30000000000001</v>
      </c>
      <c r="D7" s="88">
        <v>170.6</v>
      </c>
      <c r="E7" s="88">
        <f t="shared" si="0"/>
        <v>310.89999999999998</v>
      </c>
    </row>
    <row r="8" spans="1:5" x14ac:dyDescent="0.25">
      <c r="A8" s="87">
        <v>4</v>
      </c>
      <c r="B8" s="87">
        <v>2.004</v>
      </c>
      <c r="C8" s="87">
        <v>38.599999999999994</v>
      </c>
      <c r="D8" s="88">
        <v>64.900000000000006</v>
      </c>
      <c r="E8" s="88">
        <f t="shared" si="0"/>
        <v>103.5</v>
      </c>
    </row>
    <row r="9" spans="1:5" x14ac:dyDescent="0.25">
      <c r="A9" s="104">
        <v>5</v>
      </c>
      <c r="B9" s="87">
        <v>2.0049999999999999</v>
      </c>
      <c r="C9" s="87">
        <v>19.5</v>
      </c>
      <c r="D9" s="88">
        <v>35.5</v>
      </c>
      <c r="E9" s="88">
        <f t="shared" si="0"/>
        <v>55</v>
      </c>
    </row>
    <row r="10" spans="1:5" x14ac:dyDescent="0.25">
      <c r="A10" s="104">
        <v>6</v>
      </c>
      <c r="B10" s="103">
        <v>2.0070000000000001</v>
      </c>
      <c r="C10" s="87">
        <v>22.299999999999997</v>
      </c>
      <c r="D10" s="88">
        <v>134</v>
      </c>
      <c r="E10" s="88">
        <f t="shared" si="0"/>
        <v>156.30000000000001</v>
      </c>
    </row>
    <row r="11" spans="1:5" x14ac:dyDescent="0.25">
      <c r="A11" s="104">
        <v>7</v>
      </c>
      <c r="B11" s="87">
        <v>2.0089999999999999</v>
      </c>
      <c r="C11" s="87">
        <v>30</v>
      </c>
      <c r="D11" s="88">
        <v>10.1</v>
      </c>
      <c r="E11" s="88">
        <f t="shared" si="0"/>
        <v>40.1</v>
      </c>
    </row>
    <row r="12" spans="1:5" x14ac:dyDescent="0.25">
      <c r="A12" s="104">
        <v>8</v>
      </c>
      <c r="B12" s="87">
        <v>2.0110000000000001</v>
      </c>
      <c r="C12" s="87">
        <v>0</v>
      </c>
      <c r="D12" s="88">
        <v>28</v>
      </c>
      <c r="E12" s="88">
        <f t="shared" si="0"/>
        <v>28</v>
      </c>
    </row>
    <row r="13" spans="1:5" x14ac:dyDescent="0.25">
      <c r="A13" s="104">
        <v>9</v>
      </c>
      <c r="B13" s="87">
        <v>2.012</v>
      </c>
      <c r="C13" s="87">
        <v>21.299999999999997</v>
      </c>
      <c r="D13" s="88">
        <v>84.2</v>
      </c>
      <c r="E13" s="88">
        <f t="shared" si="0"/>
        <v>105.5</v>
      </c>
    </row>
    <row r="14" spans="1:5" x14ac:dyDescent="0.25">
      <c r="A14" s="104">
        <v>10</v>
      </c>
      <c r="B14" s="87">
        <v>2.0129999999999999</v>
      </c>
      <c r="C14" s="87">
        <v>22.8</v>
      </c>
      <c r="D14" s="88">
        <v>85.8</v>
      </c>
      <c r="E14" s="88">
        <f t="shared" si="0"/>
        <v>108.6</v>
      </c>
    </row>
    <row r="15" spans="1:5" x14ac:dyDescent="0.25">
      <c r="A15" s="87">
        <v>11</v>
      </c>
      <c r="B15" s="87">
        <v>2.0139999999999998</v>
      </c>
      <c r="C15" s="87">
        <v>35.700000000000003</v>
      </c>
      <c r="D15" s="88">
        <v>75.5</v>
      </c>
      <c r="E15" s="88">
        <f t="shared" si="0"/>
        <v>111.2</v>
      </c>
    </row>
    <row r="16" spans="1:5" x14ac:dyDescent="0.25">
      <c r="A16" s="87">
        <v>12</v>
      </c>
      <c r="B16" s="87">
        <v>2.0150000000000001</v>
      </c>
      <c r="C16" s="87">
        <v>30.699999999999996</v>
      </c>
      <c r="D16" s="88">
        <v>83.9</v>
      </c>
      <c r="E16" s="88">
        <f t="shared" si="0"/>
        <v>114.6</v>
      </c>
    </row>
    <row r="17" spans="1:5" x14ac:dyDescent="0.25">
      <c r="A17" s="87">
        <v>13</v>
      </c>
      <c r="B17" s="87">
        <v>2.016</v>
      </c>
      <c r="C17" s="87">
        <v>47.2</v>
      </c>
      <c r="D17" s="88">
        <v>59.5</v>
      </c>
      <c r="E17" s="88">
        <f t="shared" si="0"/>
        <v>106.7</v>
      </c>
    </row>
    <row r="18" spans="1:5" ht="12.75" customHeight="1" x14ac:dyDescent="0.25">
      <c r="A18" s="87">
        <v>14</v>
      </c>
      <c r="B18" s="87">
        <v>2.0169999999999999</v>
      </c>
      <c r="C18" s="87">
        <v>171.3</v>
      </c>
      <c r="D18" s="88">
        <v>188.2</v>
      </c>
      <c r="E18" s="88">
        <f t="shared" si="0"/>
        <v>359.5</v>
      </c>
    </row>
    <row r="19" spans="1:5" ht="12.75" customHeight="1" x14ac:dyDescent="0.25">
      <c r="A19" s="87">
        <v>15</v>
      </c>
      <c r="B19" s="103">
        <v>2.0699999999999998</v>
      </c>
      <c r="C19" s="87">
        <v>29.299999999999997</v>
      </c>
      <c r="D19" s="88">
        <v>19.399999999999999</v>
      </c>
      <c r="E19" s="88">
        <f t="shared" si="0"/>
        <v>48.699999999999996</v>
      </c>
    </row>
    <row r="20" spans="1:5" x14ac:dyDescent="0.25">
      <c r="A20" s="87"/>
      <c r="B20" s="87" t="s">
        <v>133</v>
      </c>
      <c r="C20" s="87">
        <f>SUM(C5:C19)</f>
        <v>724.40000000000009</v>
      </c>
      <c r="D20" s="87">
        <f t="shared" ref="D20:E20" si="1">SUM(D5:D19)</f>
        <v>1148.5</v>
      </c>
      <c r="E20" s="87">
        <f t="shared" si="1"/>
        <v>1872.9</v>
      </c>
    </row>
    <row r="22" spans="1:5" x14ac:dyDescent="0.25">
      <c r="A22" s="341" t="s">
        <v>20</v>
      </c>
      <c r="B22" s="341"/>
      <c r="C22" s="341"/>
      <c r="D22" s="341"/>
      <c r="E22" s="341"/>
    </row>
    <row r="23" spans="1:5" x14ac:dyDescent="0.25">
      <c r="A23" s="339" t="s">
        <v>138</v>
      </c>
      <c r="B23" s="339"/>
      <c r="C23" s="339"/>
      <c r="D23" s="339"/>
      <c r="E23" s="339"/>
    </row>
    <row r="24" spans="1:5" ht="24.75" customHeight="1" x14ac:dyDescent="0.25">
      <c r="A24" s="85"/>
      <c r="B24" s="30"/>
      <c r="C24" s="27" t="s">
        <v>22</v>
      </c>
      <c r="D24" s="84" t="s">
        <v>23</v>
      </c>
      <c r="E24" s="85" t="s">
        <v>31</v>
      </c>
    </row>
    <row r="25" spans="1:5" x14ac:dyDescent="0.25">
      <c r="A25" s="85" t="s">
        <v>0</v>
      </c>
      <c r="B25" s="28" t="s">
        <v>19</v>
      </c>
      <c r="C25" s="10" t="s">
        <v>21</v>
      </c>
      <c r="D25" s="10" t="s">
        <v>21</v>
      </c>
      <c r="E25" s="85"/>
    </row>
    <row r="26" spans="1:5" x14ac:dyDescent="0.25">
      <c r="A26" s="89">
        <v>1</v>
      </c>
      <c r="B26" s="105">
        <v>2.0099999999999998</v>
      </c>
      <c r="C26" s="101">
        <v>10.199999999999999</v>
      </c>
      <c r="D26" s="101">
        <v>79.5</v>
      </c>
      <c r="E26" s="101">
        <f>C26+D26</f>
        <v>89.7</v>
      </c>
    </row>
    <row r="27" spans="1:5" x14ac:dyDescent="0.25">
      <c r="A27" s="89">
        <v>2</v>
      </c>
      <c r="B27" s="89">
        <v>2.0110000000000001</v>
      </c>
      <c r="C27" s="101">
        <v>0</v>
      </c>
      <c r="D27" s="101">
        <v>32.4</v>
      </c>
      <c r="E27" s="101">
        <f t="shared" ref="E27:E30" si="2">C27+D27</f>
        <v>32.4</v>
      </c>
    </row>
    <row r="28" spans="1:5" x14ac:dyDescent="0.25">
      <c r="A28" s="89">
        <v>3</v>
      </c>
      <c r="B28" s="89">
        <v>2.0179999999999998</v>
      </c>
      <c r="C28" s="101">
        <v>25.8</v>
      </c>
      <c r="D28" s="101">
        <v>51.9</v>
      </c>
      <c r="E28" s="101">
        <f t="shared" si="2"/>
        <v>77.7</v>
      </c>
    </row>
    <row r="29" spans="1:5" x14ac:dyDescent="0.25">
      <c r="A29" s="89">
        <v>4</v>
      </c>
      <c r="B29" s="105">
        <v>2.02</v>
      </c>
      <c r="C29" s="101">
        <v>16.100000000000001</v>
      </c>
      <c r="D29" s="101">
        <v>32.4</v>
      </c>
      <c r="E29" s="101">
        <f t="shared" si="2"/>
        <v>48.5</v>
      </c>
    </row>
    <row r="30" spans="1:5" x14ac:dyDescent="0.25">
      <c r="A30" s="89">
        <v>5</v>
      </c>
      <c r="B30" s="89">
        <v>2.0209999999999999</v>
      </c>
      <c r="C30" s="101">
        <v>6.9</v>
      </c>
      <c r="D30" s="101">
        <v>25.4</v>
      </c>
      <c r="E30" s="101">
        <f t="shared" si="2"/>
        <v>32.299999999999997</v>
      </c>
    </row>
    <row r="31" spans="1:5" x14ac:dyDescent="0.25">
      <c r="A31" s="89">
        <v>6</v>
      </c>
      <c r="B31" s="89">
        <v>2.0590000000000002</v>
      </c>
      <c r="C31" s="101">
        <v>7.9</v>
      </c>
      <c r="D31" s="101">
        <v>23.1</v>
      </c>
      <c r="E31" s="101">
        <f>C31+D31</f>
        <v>31</v>
      </c>
    </row>
    <row r="32" spans="1:5" x14ac:dyDescent="0.25">
      <c r="A32" s="89"/>
      <c r="B32" s="89" t="s">
        <v>133</v>
      </c>
      <c r="C32" s="101">
        <f>SUM(C25:C30)</f>
        <v>59</v>
      </c>
      <c r="D32" s="101">
        <f t="shared" ref="D32:E32" si="3">SUM(D25:D30)</f>
        <v>221.60000000000002</v>
      </c>
      <c r="E32" s="101">
        <f t="shared" si="3"/>
        <v>280.60000000000002</v>
      </c>
    </row>
  </sheetData>
  <mergeCells count="4">
    <mergeCell ref="A1:E1"/>
    <mergeCell ref="A2:E2"/>
    <mergeCell ref="A22:E22"/>
    <mergeCell ref="A23:E23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14:L16"/>
  <sheetViews>
    <sheetView workbookViewId="0"/>
    <sheetView workbookViewId="1"/>
  </sheetViews>
  <sheetFormatPr defaultRowHeight="14.4" x14ac:dyDescent="0.3"/>
  <sheetData>
    <row r="14" spans="11:12" x14ac:dyDescent="0.3">
      <c r="K14" t="s">
        <v>136</v>
      </c>
      <c r="L14" s="102">
        <f>'7.n2'!E3+'6.n3э'!E3</f>
        <v>1821.7350000000001</v>
      </c>
    </row>
    <row r="15" spans="11:12" x14ac:dyDescent="0.3">
      <c r="K15" t="s">
        <v>137</v>
      </c>
      <c r="L15" s="102">
        <f>'7.n2'!E6+'6.n3э'!E6</f>
        <v>1444.3000000000002</v>
      </c>
    </row>
    <row r="16" spans="11:12" x14ac:dyDescent="0.3">
      <c r="L16" s="102">
        <f>'7.n2'!E10+'6.n3э'!E10</f>
        <v>2067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E29"/>
  <sheetViews>
    <sheetView workbookViewId="0">
      <selection sqref="A1:E1"/>
    </sheetView>
    <sheetView workbookViewId="1"/>
  </sheetViews>
  <sheetFormatPr defaultColWidth="9.109375" defaultRowHeight="13.2" x14ac:dyDescent="0.25"/>
  <cols>
    <col min="1" max="1" width="7.5546875" style="86" customWidth="1"/>
    <col min="2" max="2" width="54.88671875" style="86" customWidth="1"/>
    <col min="3" max="3" width="9.109375" style="86" customWidth="1"/>
    <col min="4" max="4" width="14.5546875" style="86" customWidth="1"/>
    <col min="5" max="5" width="8.88671875" style="86" customWidth="1"/>
    <col min="6" max="16384" width="9.109375" style="86"/>
  </cols>
  <sheetData>
    <row r="1" spans="1:5" ht="13.8" thickBot="1" x14ac:dyDescent="0.3">
      <c r="A1" s="66"/>
      <c r="B1" s="67" t="s">
        <v>34</v>
      </c>
      <c r="C1" s="68"/>
      <c r="D1" s="68"/>
      <c r="E1" s="69"/>
    </row>
    <row r="2" spans="1:5" x14ac:dyDescent="0.25">
      <c r="A2" s="70" t="s">
        <v>0</v>
      </c>
      <c r="B2" s="71" t="s">
        <v>1</v>
      </c>
      <c r="C2" s="72" t="s">
        <v>2</v>
      </c>
      <c r="D2" s="72" t="s">
        <v>3</v>
      </c>
      <c r="E2" s="73" t="s">
        <v>4</v>
      </c>
    </row>
    <row r="3" spans="1:5" ht="39.6" x14ac:dyDescent="0.25">
      <c r="A3" s="8" t="s">
        <v>49</v>
      </c>
      <c r="B3" s="65" t="s">
        <v>47</v>
      </c>
      <c r="C3" s="10" t="s">
        <v>7</v>
      </c>
      <c r="D3" s="11">
        <v>1</v>
      </c>
      <c r="E3" s="12">
        <f>(E6+E10)*0.45</f>
        <v>239.76000000000005</v>
      </c>
    </row>
    <row r="4" spans="1:5" x14ac:dyDescent="0.25">
      <c r="A4" s="8" t="s">
        <v>9</v>
      </c>
      <c r="B4" s="65" t="s">
        <v>16</v>
      </c>
      <c r="C4" s="10" t="s">
        <v>6</v>
      </c>
      <c r="D4" s="11">
        <v>0.1</v>
      </c>
      <c r="E4" s="12">
        <f>D4*E3</f>
        <v>23.976000000000006</v>
      </c>
    </row>
    <row r="5" spans="1:5" ht="13.8" thickBot="1" x14ac:dyDescent="0.3">
      <c r="A5" s="14" t="s">
        <v>18</v>
      </c>
      <c r="B5" s="74" t="s">
        <v>48</v>
      </c>
      <c r="C5" s="15" t="s">
        <v>7</v>
      </c>
      <c r="D5" s="16">
        <v>1.1000000000000001</v>
      </c>
      <c r="E5" s="17">
        <f>D5*E3</f>
        <v>263.73600000000005</v>
      </c>
    </row>
    <row r="6" spans="1:5" ht="39.6" x14ac:dyDescent="0.25">
      <c r="A6" s="60" t="s">
        <v>11</v>
      </c>
      <c r="B6" s="61" t="str">
        <f>'1.n2'!B6</f>
        <v>Штукатурка стен гипсовыми смесями с предварительной огрунтовкой СКБ / толщ. от 21 до 40 мм / высотой от 4,01 до 8 метров (Штукатурка по ж/б поверхностям)</v>
      </c>
      <c r="C6" s="62" t="s">
        <v>5</v>
      </c>
      <c r="D6" s="63">
        <v>1</v>
      </c>
      <c r="E6" s="64">
        <f>301.6-9.4</f>
        <v>292.20000000000005</v>
      </c>
    </row>
    <row r="7" spans="1:5" ht="13.8" thickBot="1" x14ac:dyDescent="0.3">
      <c r="A7" s="8" t="s">
        <v>14</v>
      </c>
      <c r="B7" s="38" t="s">
        <v>8</v>
      </c>
      <c r="C7" s="10" t="s">
        <v>6</v>
      </c>
      <c r="D7" s="11">
        <v>0.25</v>
      </c>
      <c r="E7" s="12">
        <f>$E$6*D7</f>
        <v>73.050000000000011</v>
      </c>
    </row>
    <row r="8" spans="1:5" x14ac:dyDescent="0.25">
      <c r="A8" s="8" t="s">
        <v>15</v>
      </c>
      <c r="B8" s="38" t="s">
        <v>13</v>
      </c>
      <c r="C8" s="10" t="s">
        <v>7</v>
      </c>
      <c r="D8" s="42">
        <v>1</v>
      </c>
      <c r="E8" s="12">
        <f t="shared" ref="E8" si="0">$E$6*D8</f>
        <v>292.20000000000005</v>
      </c>
    </row>
    <row r="9" spans="1:5" ht="13.8" thickBot="1" x14ac:dyDescent="0.3">
      <c r="A9" s="8" t="s">
        <v>17</v>
      </c>
      <c r="B9" s="18" t="s">
        <v>16</v>
      </c>
      <c r="C9" s="50" t="s">
        <v>6</v>
      </c>
      <c r="D9" s="13">
        <v>1</v>
      </c>
      <c r="E9" s="19">
        <f>$E$6*D9*28.57</f>
        <v>8348.1540000000023</v>
      </c>
    </row>
    <row r="10" spans="1:5" ht="39.6" x14ac:dyDescent="0.25">
      <c r="A10" s="39" t="s">
        <v>50</v>
      </c>
      <c r="B10" s="40" t="str">
        <f>'1.n2'!B10</f>
        <v>Штукатурка стен гипсовыми смесями с предварительной огрунтовкой СКБ / толщ. от 21 до 40 мм / высотой от 4,01 до 8 метров (Штукатурка  по газобетонному блоку и ПГП)</v>
      </c>
      <c r="C10" s="41" t="s">
        <v>5</v>
      </c>
      <c r="D10" s="42">
        <v>1</v>
      </c>
      <c r="E10" s="43">
        <f>252.9-12.3</f>
        <v>240.6</v>
      </c>
    </row>
    <row r="11" spans="1:5" x14ac:dyDescent="0.25">
      <c r="A11" s="8" t="s">
        <v>51</v>
      </c>
      <c r="B11" s="38" t="s">
        <v>16</v>
      </c>
      <c r="C11" s="10" t="s">
        <v>6</v>
      </c>
      <c r="D11" s="11">
        <v>1</v>
      </c>
      <c r="E11" s="12">
        <f>$E$10*D11*32.51</f>
        <v>7821.905999999999</v>
      </c>
    </row>
    <row r="12" spans="1:5" ht="13.8" thickBot="1" x14ac:dyDescent="0.3">
      <c r="A12" s="8" t="s">
        <v>52</v>
      </c>
      <c r="B12" s="38" t="s">
        <v>10</v>
      </c>
      <c r="C12" s="10" t="s">
        <v>6</v>
      </c>
      <c r="D12" s="11">
        <v>0.15</v>
      </c>
      <c r="E12" s="12">
        <f t="shared" ref="E12:E13" si="1">$E$10*D12</f>
        <v>36.089999999999996</v>
      </c>
    </row>
    <row r="13" spans="1:5" x14ac:dyDescent="0.25">
      <c r="A13" s="8" t="s">
        <v>53</v>
      </c>
      <c r="B13" s="38" t="s">
        <v>13</v>
      </c>
      <c r="C13" s="10" t="s">
        <v>7</v>
      </c>
      <c r="D13" s="42">
        <v>1</v>
      </c>
      <c r="E13" s="12">
        <f t="shared" si="1"/>
        <v>240.6</v>
      </c>
    </row>
    <row r="14" spans="1:5" x14ac:dyDescent="0.25">
      <c r="A14" s="49" t="s">
        <v>54</v>
      </c>
      <c r="B14" s="90" t="s">
        <v>12</v>
      </c>
      <c r="C14" s="50" t="s">
        <v>7</v>
      </c>
      <c r="D14" s="13">
        <v>1</v>
      </c>
      <c r="E14" s="19">
        <f>32*8.25</f>
        <v>264</v>
      </c>
    </row>
    <row r="16" spans="1:5" x14ac:dyDescent="0.25">
      <c r="A16" s="92"/>
      <c r="B16" s="93" t="s">
        <v>37</v>
      </c>
      <c r="C16" s="94"/>
      <c r="D16" s="94"/>
      <c r="E16" s="94"/>
    </row>
    <row r="17" spans="1:5" x14ac:dyDescent="0.25">
      <c r="A17" s="92" t="s">
        <v>0</v>
      </c>
      <c r="B17" s="95" t="s">
        <v>1</v>
      </c>
      <c r="C17" s="94" t="s">
        <v>2</v>
      </c>
      <c r="D17" s="94" t="s">
        <v>3</v>
      </c>
      <c r="E17" s="94" t="s">
        <v>4</v>
      </c>
    </row>
    <row r="18" spans="1:5" ht="26.4" x14ac:dyDescent="0.25">
      <c r="A18" s="91">
        <v>1</v>
      </c>
      <c r="B18" s="65" t="str">
        <f>'1.n2'!B18</f>
        <v>Подготовка поверхности СКБ / стен / по штукатурке / 2мм (Шпаклевка базовая)</v>
      </c>
      <c r="C18" s="10" t="s">
        <v>5</v>
      </c>
      <c r="D18" s="11">
        <v>1</v>
      </c>
      <c r="E18" s="10">
        <f>E10+E6</f>
        <v>532.80000000000007</v>
      </c>
    </row>
    <row r="19" spans="1:5" x14ac:dyDescent="0.25">
      <c r="A19" s="91">
        <v>1.1000000000000001</v>
      </c>
      <c r="B19" s="38" t="s">
        <v>10</v>
      </c>
      <c r="C19" s="10" t="s">
        <v>6</v>
      </c>
      <c r="D19" s="11">
        <v>0.15</v>
      </c>
      <c r="E19" s="10">
        <f>D19*E18</f>
        <v>79.92</v>
      </c>
    </row>
    <row r="20" spans="1:5" x14ac:dyDescent="0.25">
      <c r="A20" s="91" t="s">
        <v>9</v>
      </c>
      <c r="B20" s="9" t="s">
        <v>32</v>
      </c>
      <c r="C20" s="10" t="s">
        <v>6</v>
      </c>
      <c r="D20" s="11">
        <v>1.8</v>
      </c>
      <c r="E20" s="10">
        <f t="shared" ref="E20:E21" si="2">D20*E19</f>
        <v>143.85599999999999</v>
      </c>
    </row>
    <row r="21" spans="1:5" x14ac:dyDescent="0.25">
      <c r="A21" s="91" t="s">
        <v>18</v>
      </c>
      <c r="B21" s="38" t="s">
        <v>33</v>
      </c>
      <c r="C21" s="10" t="s">
        <v>7</v>
      </c>
      <c r="D21" s="11">
        <v>0.3</v>
      </c>
      <c r="E21" s="10">
        <f t="shared" si="2"/>
        <v>43.156799999999997</v>
      </c>
    </row>
    <row r="29" spans="1:5" x14ac:dyDescent="0.25">
      <c r="B29" s="86">
        <v>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E31"/>
  <sheetViews>
    <sheetView workbookViewId="0">
      <selection sqref="A1:E1"/>
    </sheetView>
    <sheetView workbookViewId="1"/>
  </sheetViews>
  <sheetFormatPr defaultRowHeight="14.4" x14ac:dyDescent="0.3"/>
  <cols>
    <col min="1" max="1" width="7.5546875" customWidth="1"/>
    <col min="2" max="2" width="54.88671875" customWidth="1"/>
    <col min="3" max="3" width="9.109375" customWidth="1"/>
    <col min="4" max="4" width="14.5546875" customWidth="1"/>
    <col min="5" max="5" width="8.88671875" customWidth="1"/>
  </cols>
  <sheetData>
    <row r="1" spans="1:5" ht="15" thickBot="1" x14ac:dyDescent="0.35">
      <c r="A1" s="66"/>
      <c r="B1" s="67" t="s">
        <v>34</v>
      </c>
      <c r="C1" s="68"/>
      <c r="D1" s="68"/>
      <c r="E1" s="69"/>
    </row>
    <row r="2" spans="1:5" x14ac:dyDescent="0.3">
      <c r="A2" s="70" t="s">
        <v>0</v>
      </c>
      <c r="B2" s="71" t="s">
        <v>1</v>
      </c>
      <c r="C2" s="72" t="s">
        <v>2</v>
      </c>
      <c r="D2" s="72" t="s">
        <v>3</v>
      </c>
      <c r="E2" s="73" t="s">
        <v>4</v>
      </c>
    </row>
    <row r="3" spans="1:5" ht="39.6" x14ac:dyDescent="0.3">
      <c r="A3" s="8" t="s">
        <v>49</v>
      </c>
      <c r="B3" s="65" t="s">
        <v>47</v>
      </c>
      <c r="C3" s="10" t="s">
        <v>7</v>
      </c>
      <c r="D3" s="11">
        <v>1</v>
      </c>
      <c r="E3" s="12">
        <f>(170.6)</f>
        <v>170.6</v>
      </c>
    </row>
    <row r="4" spans="1:5" x14ac:dyDescent="0.3">
      <c r="A4" s="8" t="s">
        <v>9</v>
      </c>
      <c r="B4" s="65" t="s">
        <v>16</v>
      </c>
      <c r="C4" s="10" t="s">
        <v>6</v>
      </c>
      <c r="D4" s="11">
        <v>0.1</v>
      </c>
      <c r="E4" s="12">
        <f>D4*E3</f>
        <v>17.059999999999999</v>
      </c>
    </row>
    <row r="5" spans="1:5" ht="15" thickBot="1" x14ac:dyDescent="0.35">
      <c r="A5" s="14" t="s">
        <v>18</v>
      </c>
      <c r="B5" s="74" t="s">
        <v>48</v>
      </c>
      <c r="C5" s="15" t="s">
        <v>7</v>
      </c>
      <c r="D5" s="16">
        <v>1.1000000000000001</v>
      </c>
      <c r="E5" s="17">
        <f>D5*E3</f>
        <v>187.66</v>
      </c>
    </row>
    <row r="6" spans="1:5" ht="39.6" x14ac:dyDescent="0.3">
      <c r="A6" s="60" t="s">
        <v>11</v>
      </c>
      <c r="B6" s="61" t="str">
        <f>'1.n2'!B6</f>
        <v>Штукатурка стен гипсовыми смесями с предварительной огрунтовкой СКБ / толщ. от 21 до 40 мм / высотой от 4,01 до 8 метров (Штукатурка по ж/б поверхностям)</v>
      </c>
      <c r="C6" s="62" t="s">
        <v>5</v>
      </c>
      <c r="D6" s="63">
        <v>1</v>
      </c>
      <c r="E6" s="64">
        <f>'9.n;п.'!C14</f>
        <v>342.4</v>
      </c>
    </row>
    <row r="7" spans="1:5" x14ac:dyDescent="0.3">
      <c r="A7" s="8" t="s">
        <v>14</v>
      </c>
      <c r="B7" s="38" t="s">
        <v>8</v>
      </c>
      <c r="C7" s="10" t="s">
        <v>6</v>
      </c>
      <c r="D7" s="11">
        <v>0.25</v>
      </c>
      <c r="E7" s="12">
        <f>$E$6*D7</f>
        <v>85.6</v>
      </c>
    </row>
    <row r="8" spans="1:5" x14ac:dyDescent="0.3">
      <c r="A8" s="8" t="s">
        <v>15</v>
      </c>
      <c r="B8" s="38" t="s">
        <v>13</v>
      </c>
      <c r="C8" s="10" t="s">
        <v>7</v>
      </c>
      <c r="D8" s="11">
        <v>1</v>
      </c>
      <c r="E8" s="12">
        <f t="shared" ref="E8" si="0">$E$6*D8</f>
        <v>342.4</v>
      </c>
    </row>
    <row r="9" spans="1:5" ht="15" thickBot="1" x14ac:dyDescent="0.35">
      <c r="A9" s="49" t="s">
        <v>17</v>
      </c>
      <c r="B9" s="18" t="s">
        <v>16</v>
      </c>
      <c r="C9" s="50" t="s">
        <v>6</v>
      </c>
      <c r="D9" s="13">
        <v>1</v>
      </c>
      <c r="E9" s="19">
        <f>$E$6*D9*28.57</f>
        <v>9782.3679999999986</v>
      </c>
    </row>
    <row r="10" spans="1:5" ht="39.6" x14ac:dyDescent="0.3">
      <c r="A10" s="39" t="s">
        <v>50</v>
      </c>
      <c r="B10" s="40" t="str">
        <f>'1.n2'!B10</f>
        <v>Штукатурка стен гипсовыми смесями с предварительной огрунтовкой СКБ / толщ. от 21 до 40 мм / высотой от 4,01 до 8 метров (Штукатурка  по газобетонному блоку и ПГП)</v>
      </c>
      <c r="C10" s="41" t="s">
        <v>5</v>
      </c>
      <c r="D10" s="42">
        <v>1</v>
      </c>
      <c r="E10" s="43">
        <f>'9.n;п.'!D14</f>
        <v>804.69999999999982</v>
      </c>
    </row>
    <row r="11" spans="1:5" x14ac:dyDescent="0.3">
      <c r="A11" s="8" t="s">
        <v>51</v>
      </c>
      <c r="B11" s="38" t="s">
        <v>16</v>
      </c>
      <c r="C11" s="10" t="s">
        <v>6</v>
      </c>
      <c r="D11" s="11">
        <v>1</v>
      </c>
      <c r="E11" s="12">
        <f>$E$10*D11*32.51</f>
        <v>26160.796999999991</v>
      </c>
    </row>
    <row r="12" spans="1:5" x14ac:dyDescent="0.3">
      <c r="A12" s="8" t="s">
        <v>52</v>
      </c>
      <c r="B12" s="38" t="s">
        <v>10</v>
      </c>
      <c r="C12" s="10" t="s">
        <v>6</v>
      </c>
      <c r="D12" s="11">
        <v>0.15</v>
      </c>
      <c r="E12" s="12">
        <f t="shared" ref="E12:E13" si="1">$E$10*D12</f>
        <v>120.70499999999997</v>
      </c>
    </row>
    <row r="13" spans="1:5" x14ac:dyDescent="0.3">
      <c r="A13" s="8" t="s">
        <v>53</v>
      </c>
      <c r="B13" s="38" t="s">
        <v>13</v>
      </c>
      <c r="C13" s="10" t="s">
        <v>7</v>
      </c>
      <c r="D13" s="11">
        <v>1</v>
      </c>
      <c r="E13" s="12">
        <f t="shared" si="1"/>
        <v>804.69999999999982</v>
      </c>
    </row>
    <row r="14" spans="1:5" x14ac:dyDescent="0.3">
      <c r="A14" s="49" t="s">
        <v>54</v>
      </c>
      <c r="B14" s="90" t="s">
        <v>12</v>
      </c>
      <c r="C14" s="50" t="s">
        <v>7</v>
      </c>
      <c r="D14" s="13">
        <v>1</v>
      </c>
      <c r="E14" s="19">
        <f>75.75*4</f>
        <v>303</v>
      </c>
    </row>
    <row r="15" spans="1:5" ht="39.6" x14ac:dyDescent="0.3">
      <c r="A15" s="210" t="s">
        <v>119</v>
      </c>
      <c r="B15" s="97" t="s">
        <v>134</v>
      </c>
      <c r="C15" s="98" t="s">
        <v>123</v>
      </c>
      <c r="D15" s="99">
        <v>1</v>
      </c>
      <c r="E15" s="211">
        <f>'9.n;п.'!C25</f>
        <v>27.999999999999996</v>
      </c>
    </row>
    <row r="16" spans="1:5" x14ac:dyDescent="0.3">
      <c r="A16" s="210" t="s">
        <v>125</v>
      </c>
      <c r="B16" s="100" t="s">
        <v>120</v>
      </c>
      <c r="C16" s="98" t="s">
        <v>6</v>
      </c>
      <c r="D16" s="99">
        <v>0.25</v>
      </c>
      <c r="E16" s="211">
        <f>D16*$E$15</f>
        <v>6.9999999999999991</v>
      </c>
    </row>
    <row r="17" spans="1:5" x14ac:dyDescent="0.3">
      <c r="A17" s="210" t="s">
        <v>126</v>
      </c>
      <c r="B17" s="100" t="s">
        <v>13</v>
      </c>
      <c r="C17" s="98" t="s">
        <v>7</v>
      </c>
      <c r="D17" s="99">
        <v>1</v>
      </c>
      <c r="E17" s="211">
        <f t="shared" ref="E17:E18" si="2">D17*$E$15</f>
        <v>27.999999999999996</v>
      </c>
    </row>
    <row r="18" spans="1:5" x14ac:dyDescent="0.3">
      <c r="A18" s="210" t="s">
        <v>127</v>
      </c>
      <c r="B18" s="100" t="s">
        <v>121</v>
      </c>
      <c r="C18" s="98" t="s">
        <v>123</v>
      </c>
      <c r="D18" s="99">
        <v>1.1000000000000001</v>
      </c>
      <c r="E18" s="211">
        <f t="shared" si="2"/>
        <v>30.799999999999997</v>
      </c>
    </row>
    <row r="19" spans="1:5" x14ac:dyDescent="0.3">
      <c r="A19" s="210" t="s">
        <v>128</v>
      </c>
      <c r="B19" s="100" t="s">
        <v>122</v>
      </c>
      <c r="C19" s="98" t="s">
        <v>6</v>
      </c>
      <c r="D19" s="99">
        <v>1.3</v>
      </c>
      <c r="E19" s="211">
        <f>D19*$E$15*40</f>
        <v>1456</v>
      </c>
    </row>
    <row r="20" spans="1:5" ht="52.8" x14ac:dyDescent="0.3">
      <c r="A20" s="210" t="s">
        <v>124</v>
      </c>
      <c r="B20" s="97" t="s">
        <v>135</v>
      </c>
      <c r="C20" s="98" t="s">
        <v>123</v>
      </c>
      <c r="D20" s="99">
        <v>1</v>
      </c>
      <c r="E20" s="211">
        <f>'9.n;п.'!D25</f>
        <v>272.39999999999998</v>
      </c>
    </row>
    <row r="21" spans="1:5" x14ac:dyDescent="0.3">
      <c r="A21" s="210" t="s">
        <v>129</v>
      </c>
      <c r="B21" s="100" t="s">
        <v>10</v>
      </c>
      <c r="C21" s="98" t="s">
        <v>6</v>
      </c>
      <c r="D21" s="99">
        <v>0.15</v>
      </c>
      <c r="E21" s="211">
        <f>$E$20*D21</f>
        <v>40.859999999999992</v>
      </c>
    </row>
    <row r="22" spans="1:5" x14ac:dyDescent="0.3">
      <c r="A22" s="210" t="s">
        <v>130</v>
      </c>
      <c r="B22" s="100" t="s">
        <v>13</v>
      </c>
      <c r="C22" s="98" t="s">
        <v>7</v>
      </c>
      <c r="D22" s="99">
        <v>1</v>
      </c>
      <c r="E22" s="211">
        <f t="shared" ref="E22:E23" si="3">$E$20*D22</f>
        <v>272.39999999999998</v>
      </c>
    </row>
    <row r="23" spans="1:5" x14ac:dyDescent="0.3">
      <c r="A23" s="210" t="s">
        <v>131</v>
      </c>
      <c r="B23" s="100" t="s">
        <v>121</v>
      </c>
      <c r="C23" s="98" t="s">
        <v>123</v>
      </c>
      <c r="D23" s="99">
        <v>1.1000000000000001</v>
      </c>
      <c r="E23" s="211">
        <f t="shared" si="3"/>
        <v>299.64</v>
      </c>
    </row>
    <row r="24" spans="1:5" ht="15" thickBot="1" x14ac:dyDescent="0.35">
      <c r="A24" s="212" t="s">
        <v>132</v>
      </c>
      <c r="B24" s="213" t="s">
        <v>122</v>
      </c>
      <c r="C24" s="214" t="s">
        <v>6</v>
      </c>
      <c r="D24" s="215">
        <v>1.3</v>
      </c>
      <c r="E24" s="216">
        <f>$E$20*D24*40</f>
        <v>14164.8</v>
      </c>
    </row>
    <row r="25" spans="1:5" x14ac:dyDescent="0.3">
      <c r="A25" s="86"/>
      <c r="B25" s="86"/>
      <c r="C25" s="86"/>
      <c r="D25" s="86"/>
      <c r="E25" s="86"/>
    </row>
    <row r="26" spans="1:5" x14ac:dyDescent="0.3">
      <c r="A26" s="92"/>
      <c r="B26" s="93" t="s">
        <v>37</v>
      </c>
      <c r="C26" s="94"/>
      <c r="D26" s="94"/>
      <c r="E26" s="94"/>
    </row>
    <row r="27" spans="1:5" x14ac:dyDescent="0.3">
      <c r="A27" s="92" t="s">
        <v>0</v>
      </c>
      <c r="B27" s="95" t="s">
        <v>1</v>
      </c>
      <c r="C27" s="94" t="s">
        <v>2</v>
      </c>
      <c r="D27" s="94" t="s">
        <v>3</v>
      </c>
      <c r="E27" s="94" t="s">
        <v>4</v>
      </c>
    </row>
    <row r="28" spans="1:5" ht="26.4" x14ac:dyDescent="0.3">
      <c r="A28" s="91">
        <v>1</v>
      </c>
      <c r="B28" s="65" t="str">
        <f>'1.n2'!B18</f>
        <v>Подготовка поверхности СКБ / стен / по штукатурке / 2мм (Шпаклевка базовая)</v>
      </c>
      <c r="C28" s="10" t="s">
        <v>5</v>
      </c>
      <c r="D28" s="11">
        <v>1</v>
      </c>
      <c r="E28" s="10">
        <f>'9.n;п.'!E14</f>
        <v>1147.1000000000001</v>
      </c>
    </row>
    <row r="29" spans="1:5" x14ac:dyDescent="0.3">
      <c r="A29" s="91">
        <v>1.1000000000000001</v>
      </c>
      <c r="B29" s="38" t="s">
        <v>10</v>
      </c>
      <c r="C29" s="10" t="s">
        <v>6</v>
      </c>
      <c r="D29" s="11">
        <v>0.15</v>
      </c>
      <c r="E29" s="10">
        <f>D29*E28</f>
        <v>172.06500000000003</v>
      </c>
    </row>
    <row r="30" spans="1:5" x14ac:dyDescent="0.3">
      <c r="A30" s="91" t="s">
        <v>9</v>
      </c>
      <c r="B30" s="9" t="s">
        <v>32</v>
      </c>
      <c r="C30" s="10" t="s">
        <v>6</v>
      </c>
      <c r="D30" s="11">
        <v>1.8</v>
      </c>
      <c r="E30" s="10">
        <f t="shared" ref="E30:E31" si="4">D30*E29</f>
        <v>309.71700000000004</v>
      </c>
    </row>
    <row r="31" spans="1:5" x14ac:dyDescent="0.3">
      <c r="A31" s="91" t="s">
        <v>18</v>
      </c>
      <c r="B31" s="38" t="s">
        <v>33</v>
      </c>
      <c r="C31" s="10" t="s">
        <v>7</v>
      </c>
      <c r="D31" s="11">
        <v>0.3</v>
      </c>
      <c r="E31" s="10">
        <f t="shared" si="4"/>
        <v>92.91510000000001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E25"/>
  <sheetViews>
    <sheetView workbookViewId="0">
      <selection sqref="A1:E1"/>
    </sheetView>
    <sheetView workbookViewId="1">
      <selection sqref="A1:E1"/>
    </sheetView>
  </sheetViews>
  <sheetFormatPr defaultRowHeight="13.2" x14ac:dyDescent="0.25"/>
  <cols>
    <col min="1" max="1" width="8.88671875" style="86" customWidth="1"/>
    <col min="2" max="2" width="11.88671875" style="86" customWidth="1"/>
    <col min="3" max="3" width="12.5546875" style="86" customWidth="1"/>
    <col min="4" max="4" width="15" style="86" customWidth="1"/>
    <col min="5" max="5" width="10.5546875" style="86" customWidth="1"/>
    <col min="6" max="16384" width="8.88671875" style="86"/>
  </cols>
  <sheetData>
    <row r="1" spans="1:5" x14ac:dyDescent="0.25">
      <c r="A1" s="341" t="s">
        <v>20</v>
      </c>
      <c r="B1" s="341"/>
      <c r="C1" s="341"/>
      <c r="D1" s="341"/>
      <c r="E1" s="341"/>
    </row>
    <row r="2" spans="1:5" x14ac:dyDescent="0.25">
      <c r="A2" s="339" t="s">
        <v>35</v>
      </c>
      <c r="B2" s="339"/>
      <c r="C2" s="339"/>
      <c r="D2" s="339"/>
      <c r="E2" s="339"/>
    </row>
    <row r="3" spans="1:5" ht="39.6" x14ac:dyDescent="0.25">
      <c r="A3" s="115"/>
      <c r="B3" s="30"/>
      <c r="C3" s="27" t="s">
        <v>22</v>
      </c>
      <c r="D3" s="114" t="s">
        <v>23</v>
      </c>
      <c r="E3" s="115" t="s">
        <v>31</v>
      </c>
    </row>
    <row r="4" spans="1:5" x14ac:dyDescent="0.25">
      <c r="A4" s="115" t="s">
        <v>0</v>
      </c>
      <c r="B4" s="28" t="s">
        <v>19</v>
      </c>
      <c r="C4" s="10" t="s">
        <v>21</v>
      </c>
      <c r="D4" s="10" t="s">
        <v>21</v>
      </c>
      <c r="E4" s="10" t="s">
        <v>21</v>
      </c>
    </row>
    <row r="5" spans="1:5" x14ac:dyDescent="0.25">
      <c r="A5" s="87">
        <v>1</v>
      </c>
      <c r="B5" s="118">
        <v>2022</v>
      </c>
      <c r="C5" s="119">
        <v>192.3</v>
      </c>
      <c r="D5" s="119">
        <v>324.2</v>
      </c>
      <c r="E5" s="87">
        <f>SUM(C5:D5)</f>
        <v>516.5</v>
      </c>
    </row>
    <row r="6" spans="1:5" x14ac:dyDescent="0.25">
      <c r="A6" s="87">
        <v>2</v>
      </c>
      <c r="B6" s="120">
        <v>2025</v>
      </c>
      <c r="C6" s="121">
        <v>33.1</v>
      </c>
      <c r="D6" s="121">
        <v>49.3</v>
      </c>
      <c r="E6" s="87">
        <f t="shared" ref="E6:E13" si="0">SUM(C6:D6)</f>
        <v>82.4</v>
      </c>
    </row>
    <row r="7" spans="1:5" x14ac:dyDescent="0.25">
      <c r="A7" s="87">
        <v>3</v>
      </c>
      <c r="B7" s="118">
        <v>2030</v>
      </c>
      <c r="C7" s="119">
        <v>11.6</v>
      </c>
      <c r="D7" s="119">
        <v>68.400000000000006</v>
      </c>
      <c r="E7" s="87">
        <f t="shared" si="0"/>
        <v>80</v>
      </c>
    </row>
    <row r="8" spans="1:5" x14ac:dyDescent="0.25">
      <c r="A8" s="87">
        <v>4</v>
      </c>
      <c r="B8" s="118">
        <v>2032</v>
      </c>
      <c r="C8" s="119">
        <v>5.0999999999999996</v>
      </c>
      <c r="D8" s="119">
        <v>65.7</v>
      </c>
      <c r="E8" s="87">
        <f t="shared" si="0"/>
        <v>70.8</v>
      </c>
    </row>
    <row r="9" spans="1:5" x14ac:dyDescent="0.25">
      <c r="A9" s="87">
        <v>5</v>
      </c>
      <c r="B9" s="120">
        <v>2034</v>
      </c>
      <c r="C9" s="121">
        <v>0</v>
      </c>
      <c r="D9" s="121">
        <v>41.7</v>
      </c>
      <c r="E9" s="87">
        <f t="shared" si="0"/>
        <v>41.7</v>
      </c>
    </row>
    <row r="10" spans="1:5" x14ac:dyDescent="0.25">
      <c r="A10" s="87">
        <v>6</v>
      </c>
      <c r="B10" s="118">
        <v>2035</v>
      </c>
      <c r="C10" s="119">
        <v>3.1</v>
      </c>
      <c r="D10" s="119">
        <v>34.799999999999997</v>
      </c>
      <c r="E10" s="87">
        <f t="shared" si="0"/>
        <v>37.9</v>
      </c>
    </row>
    <row r="11" spans="1:5" x14ac:dyDescent="0.25">
      <c r="A11" s="87">
        <v>7</v>
      </c>
      <c r="B11" s="122">
        <v>2065</v>
      </c>
      <c r="C11" s="123">
        <v>1.6</v>
      </c>
      <c r="D11" s="123">
        <v>26.4</v>
      </c>
      <c r="E11" s="87">
        <f t="shared" si="0"/>
        <v>28</v>
      </c>
    </row>
    <row r="12" spans="1:5" x14ac:dyDescent="0.25">
      <c r="A12" s="87">
        <v>8</v>
      </c>
      <c r="B12" s="118">
        <v>2067</v>
      </c>
      <c r="C12" s="119">
        <v>56.5</v>
      </c>
      <c r="D12" s="119">
        <v>176.9</v>
      </c>
      <c r="E12" s="87">
        <f t="shared" si="0"/>
        <v>233.4</v>
      </c>
    </row>
    <row r="13" spans="1:5" x14ac:dyDescent="0.25">
      <c r="A13" s="87">
        <v>9</v>
      </c>
      <c r="B13" s="120">
        <v>2068</v>
      </c>
      <c r="C13" s="121">
        <v>39.1</v>
      </c>
      <c r="D13" s="121">
        <v>17.3</v>
      </c>
      <c r="E13" s="87">
        <f t="shared" si="0"/>
        <v>56.400000000000006</v>
      </c>
    </row>
    <row r="14" spans="1:5" x14ac:dyDescent="0.25">
      <c r="A14" s="87"/>
      <c r="B14" s="87" t="s">
        <v>133</v>
      </c>
      <c r="C14" s="87">
        <f>SUM(C5:C13)</f>
        <v>342.4</v>
      </c>
      <c r="D14" s="87">
        <f>SUM(D5:D13)</f>
        <v>804.69999999999982</v>
      </c>
      <c r="E14" s="87">
        <f>SUM(E5:E13)</f>
        <v>1147.1000000000001</v>
      </c>
    </row>
    <row r="16" spans="1:5" x14ac:dyDescent="0.25">
      <c r="A16" s="341" t="s">
        <v>20</v>
      </c>
      <c r="B16" s="341"/>
      <c r="C16" s="341"/>
      <c r="D16" s="341"/>
      <c r="E16" s="341"/>
    </row>
    <row r="17" spans="1:5" x14ac:dyDescent="0.25">
      <c r="A17" s="339" t="s">
        <v>138</v>
      </c>
      <c r="B17" s="339"/>
      <c r="C17" s="339"/>
      <c r="D17" s="339"/>
      <c r="E17" s="339"/>
    </row>
    <row r="18" spans="1:5" ht="39.6" x14ac:dyDescent="0.25">
      <c r="A18" s="115"/>
      <c r="B18" s="30"/>
      <c r="C18" s="27" t="s">
        <v>22</v>
      </c>
      <c r="D18" s="114" t="s">
        <v>23</v>
      </c>
      <c r="E18" s="115" t="s">
        <v>31</v>
      </c>
    </row>
    <row r="19" spans="1:5" x14ac:dyDescent="0.25">
      <c r="A19" s="115" t="s">
        <v>0</v>
      </c>
      <c r="B19" s="28" t="s">
        <v>19</v>
      </c>
      <c r="C19" s="10" t="s">
        <v>21</v>
      </c>
      <c r="D19" s="10" t="s">
        <v>21</v>
      </c>
      <c r="E19" s="10" t="s">
        <v>21</v>
      </c>
    </row>
    <row r="20" spans="1:5" x14ac:dyDescent="0.25">
      <c r="A20" s="89">
        <v>1</v>
      </c>
      <c r="B20" s="118">
        <v>2026</v>
      </c>
      <c r="C20" s="126">
        <v>3.6</v>
      </c>
      <c r="D20" s="119">
        <v>55.2</v>
      </c>
      <c r="E20" s="89">
        <f>SUM(C20:D20)</f>
        <v>58.800000000000004</v>
      </c>
    </row>
    <row r="21" spans="1:5" x14ac:dyDescent="0.25">
      <c r="A21" s="89">
        <v>2</v>
      </c>
      <c r="B21" s="120">
        <v>2027</v>
      </c>
      <c r="C21" s="126">
        <v>9.5</v>
      </c>
      <c r="D21" s="121">
        <v>36.299999999999997</v>
      </c>
      <c r="E21" s="89">
        <f t="shared" ref="E21:E24" si="1">SUM(C21:D21)</f>
        <v>45.8</v>
      </c>
    </row>
    <row r="22" spans="1:5" x14ac:dyDescent="0.25">
      <c r="A22" s="89">
        <v>3</v>
      </c>
      <c r="B22" s="124">
        <v>2028</v>
      </c>
      <c r="C22" s="127">
        <v>5.3</v>
      </c>
      <c r="D22" s="125">
        <v>75.7</v>
      </c>
      <c r="E22" s="89">
        <f t="shared" si="1"/>
        <v>81</v>
      </c>
    </row>
    <row r="23" spans="1:5" x14ac:dyDescent="0.25">
      <c r="A23" s="89">
        <v>4</v>
      </c>
      <c r="B23" s="120">
        <v>2029</v>
      </c>
      <c r="C23" s="126">
        <v>3.4</v>
      </c>
      <c r="D23" s="121">
        <v>38.299999999999997</v>
      </c>
      <c r="E23" s="89">
        <f t="shared" si="1"/>
        <v>41.699999999999996</v>
      </c>
    </row>
    <row r="24" spans="1:5" x14ac:dyDescent="0.25">
      <c r="A24" s="89">
        <v>5</v>
      </c>
      <c r="B24" s="120">
        <v>2031</v>
      </c>
      <c r="C24" s="126">
        <v>6.2</v>
      </c>
      <c r="D24" s="121">
        <v>66.900000000000006</v>
      </c>
      <c r="E24" s="89">
        <f t="shared" si="1"/>
        <v>73.100000000000009</v>
      </c>
    </row>
    <row r="25" spans="1:5" x14ac:dyDescent="0.25">
      <c r="A25" s="89"/>
      <c r="B25" s="89" t="s">
        <v>133</v>
      </c>
      <c r="C25" s="101">
        <f>SUM(C19:C24)</f>
        <v>27.999999999999996</v>
      </c>
      <c r="D25" s="101">
        <f t="shared" ref="D25:E25" si="2">SUM(D19:D24)</f>
        <v>272.39999999999998</v>
      </c>
      <c r="E25" s="101">
        <f t="shared" si="2"/>
        <v>300.39999999999998</v>
      </c>
    </row>
  </sheetData>
  <mergeCells count="4">
    <mergeCell ref="A1:E1"/>
    <mergeCell ref="A2:E2"/>
    <mergeCell ref="A16:E16"/>
    <mergeCell ref="A17:E17"/>
  </mergeCells>
  <pageMargins left="0.7" right="0.7" top="0.75" bottom="0.75" header="0.3" footer="0.3"/>
  <pageSetup orientation="portrait" horizontalDpi="1200" verticalDpi="1200" r:id="rId1"/>
  <ignoredErrors>
    <ignoredError sqref="E5 A16:E18 A14:E15 A24:B24 A19:D19 A6:B6 E6 A7:B7 E7 A8:B8 E8 A9:C9 E9 A10:C10 E10 A11:B11 E11 A12:B12 E12 A13:B13 E13 A20:B20 E20 A21:B21 E21 A22:B22 E22 A23:B23 E23 E2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E31"/>
  <sheetViews>
    <sheetView workbookViewId="0">
      <selection sqref="A1:E1"/>
    </sheetView>
    <sheetView workbookViewId="1"/>
  </sheetViews>
  <sheetFormatPr defaultRowHeight="14.4" x14ac:dyDescent="0.3"/>
  <cols>
    <col min="1" max="1" width="7.5546875" customWidth="1"/>
    <col min="2" max="2" width="54.88671875" customWidth="1"/>
    <col min="3" max="3" width="9.109375" customWidth="1"/>
    <col min="4" max="4" width="14.5546875" customWidth="1"/>
    <col min="5" max="5" width="8.88671875" customWidth="1"/>
  </cols>
  <sheetData>
    <row r="1" spans="1:5" ht="15" thickBot="1" x14ac:dyDescent="0.35">
      <c r="A1" s="66"/>
      <c r="B1" s="67" t="s">
        <v>34</v>
      </c>
      <c r="C1" s="68"/>
      <c r="D1" s="68"/>
      <c r="E1" s="69"/>
    </row>
    <row r="2" spans="1:5" x14ac:dyDescent="0.3">
      <c r="A2" s="70" t="s">
        <v>0</v>
      </c>
      <c r="B2" s="71" t="s">
        <v>1</v>
      </c>
      <c r="C2" s="72" t="s">
        <v>2</v>
      </c>
      <c r="D2" s="72" t="s">
        <v>3</v>
      </c>
      <c r="E2" s="73" t="s">
        <v>4</v>
      </c>
    </row>
    <row r="3" spans="1:5" ht="39.6" x14ac:dyDescent="0.3">
      <c r="A3" s="8" t="s">
        <v>49</v>
      </c>
      <c r="B3" s="65" t="s">
        <v>47</v>
      </c>
      <c r="C3" s="10" t="s">
        <v>7</v>
      </c>
      <c r="D3" s="11">
        <v>1</v>
      </c>
      <c r="E3" s="12">
        <f>194.7</f>
        <v>194.7</v>
      </c>
    </row>
    <row r="4" spans="1:5" x14ac:dyDescent="0.3">
      <c r="A4" s="8" t="s">
        <v>9</v>
      </c>
      <c r="B4" s="65" t="s">
        <v>16</v>
      </c>
      <c r="C4" s="10" t="s">
        <v>6</v>
      </c>
      <c r="D4" s="11">
        <v>0.1</v>
      </c>
      <c r="E4" s="12">
        <f>D4*E3</f>
        <v>19.47</v>
      </c>
    </row>
    <row r="5" spans="1:5" ht="15" thickBot="1" x14ac:dyDescent="0.35">
      <c r="A5" s="14" t="s">
        <v>18</v>
      </c>
      <c r="B5" s="74" t="s">
        <v>48</v>
      </c>
      <c r="C5" s="15" t="s">
        <v>7</v>
      </c>
      <c r="D5" s="16">
        <v>1.1000000000000001</v>
      </c>
      <c r="E5" s="17">
        <f>D5*E3</f>
        <v>214.17000000000002</v>
      </c>
    </row>
    <row r="6" spans="1:5" ht="39.6" x14ac:dyDescent="0.3">
      <c r="A6" s="60" t="s">
        <v>11</v>
      </c>
      <c r="B6" s="61" t="str">
        <f>'1.n2'!B6</f>
        <v>Штукатурка стен гипсовыми смесями с предварительной огрунтовкой СКБ / толщ. от 21 до 40 мм / высотой от 4,01 до 8 метров (Штукатурка по ж/б поверхностям)</v>
      </c>
      <c r="C6" s="62" t="s">
        <v>5</v>
      </c>
      <c r="D6" s="63">
        <v>1</v>
      </c>
      <c r="E6" s="64">
        <f>'10.n;п.'!C12</f>
        <v>273.8</v>
      </c>
    </row>
    <row r="7" spans="1:5" x14ac:dyDescent="0.3">
      <c r="A7" s="8" t="s">
        <v>14</v>
      </c>
      <c r="B7" s="38" t="s">
        <v>8</v>
      </c>
      <c r="C7" s="10" t="s">
        <v>6</v>
      </c>
      <c r="D7" s="11">
        <v>0.25</v>
      </c>
      <c r="E7" s="12">
        <f>$E$6*D7</f>
        <v>68.45</v>
      </c>
    </row>
    <row r="8" spans="1:5" x14ac:dyDescent="0.3">
      <c r="A8" s="8" t="s">
        <v>15</v>
      </c>
      <c r="B8" s="38" t="s">
        <v>13</v>
      </c>
      <c r="C8" s="10" t="s">
        <v>7</v>
      </c>
      <c r="D8" s="11">
        <v>1</v>
      </c>
      <c r="E8" s="12">
        <f t="shared" ref="E8" si="0">$E$6*D8</f>
        <v>273.8</v>
      </c>
    </row>
    <row r="9" spans="1:5" ht="15" thickBot="1" x14ac:dyDescent="0.35">
      <c r="A9" s="8" t="s">
        <v>17</v>
      </c>
      <c r="B9" s="18" t="s">
        <v>16</v>
      </c>
      <c r="C9" s="50" t="s">
        <v>6</v>
      </c>
      <c r="D9" s="13">
        <v>1</v>
      </c>
      <c r="E9" s="19">
        <f>$E$6*D9*28.57</f>
        <v>7822.4660000000003</v>
      </c>
    </row>
    <row r="10" spans="1:5" ht="39.6" x14ac:dyDescent="0.3">
      <c r="A10" s="39" t="s">
        <v>50</v>
      </c>
      <c r="B10" s="40" t="str">
        <f>'1.n2'!B10</f>
        <v>Штукатурка стен гипсовыми смесями с предварительной огрунтовкой СКБ / толщ. от 21 до 40 мм / высотой от 4,01 до 8 метров (Штукатурка  по газобетонному блоку и ПГП)</v>
      </c>
      <c r="C10" s="41" t="s">
        <v>5</v>
      </c>
      <c r="D10" s="42">
        <v>1</v>
      </c>
      <c r="E10" s="43">
        <f>'10.n;п.'!D12</f>
        <v>954.30000000000007</v>
      </c>
    </row>
    <row r="11" spans="1:5" x14ac:dyDescent="0.3">
      <c r="A11" s="8" t="s">
        <v>51</v>
      </c>
      <c r="B11" s="38" t="s">
        <v>16</v>
      </c>
      <c r="C11" s="10" t="s">
        <v>6</v>
      </c>
      <c r="D11" s="11">
        <v>1</v>
      </c>
      <c r="E11" s="12">
        <f>$E$10*D11*32.51</f>
        <v>31024.293000000001</v>
      </c>
    </row>
    <row r="12" spans="1:5" x14ac:dyDescent="0.3">
      <c r="A12" s="8" t="s">
        <v>52</v>
      </c>
      <c r="B12" s="38" t="s">
        <v>10</v>
      </c>
      <c r="C12" s="10" t="s">
        <v>6</v>
      </c>
      <c r="D12" s="11">
        <v>0.15</v>
      </c>
      <c r="E12" s="12">
        <f t="shared" ref="E12:E13" si="1">$E$10*D12</f>
        <v>143.14500000000001</v>
      </c>
    </row>
    <row r="13" spans="1:5" x14ac:dyDescent="0.3">
      <c r="A13" s="8" t="s">
        <v>53</v>
      </c>
      <c r="B13" s="38" t="s">
        <v>13</v>
      </c>
      <c r="C13" s="10" t="s">
        <v>7</v>
      </c>
      <c r="D13" s="11">
        <v>1</v>
      </c>
      <c r="E13" s="12">
        <f t="shared" si="1"/>
        <v>954.30000000000007</v>
      </c>
    </row>
    <row r="14" spans="1:5" x14ac:dyDescent="0.3">
      <c r="A14" s="49" t="s">
        <v>54</v>
      </c>
      <c r="B14" s="90" t="s">
        <v>12</v>
      </c>
      <c r="C14" s="50" t="s">
        <v>7</v>
      </c>
      <c r="D14" s="13">
        <v>1</v>
      </c>
      <c r="E14" s="19">
        <f>75.75*4</f>
        <v>303</v>
      </c>
    </row>
    <row r="15" spans="1:5" ht="39.6" x14ac:dyDescent="0.3">
      <c r="A15" s="96" t="s">
        <v>119</v>
      </c>
      <c r="B15" s="97" t="s">
        <v>134</v>
      </c>
      <c r="C15" s="98" t="s">
        <v>123</v>
      </c>
      <c r="D15" s="99">
        <v>1</v>
      </c>
      <c r="E15" s="98">
        <f>'10.n;п.'!C19</f>
        <v>2.9</v>
      </c>
    </row>
    <row r="16" spans="1:5" x14ac:dyDescent="0.3">
      <c r="A16" s="96" t="s">
        <v>125</v>
      </c>
      <c r="B16" s="100" t="s">
        <v>120</v>
      </c>
      <c r="C16" s="98" t="s">
        <v>6</v>
      </c>
      <c r="D16" s="99">
        <v>0.25</v>
      </c>
      <c r="E16" s="98">
        <f>D16*$E$15</f>
        <v>0.72499999999999998</v>
      </c>
    </row>
    <row r="17" spans="1:5" x14ac:dyDescent="0.3">
      <c r="A17" s="96" t="s">
        <v>126</v>
      </c>
      <c r="B17" s="100" t="s">
        <v>13</v>
      </c>
      <c r="C17" s="98" t="s">
        <v>7</v>
      </c>
      <c r="D17" s="99">
        <v>1</v>
      </c>
      <c r="E17" s="98">
        <f t="shared" ref="E17:E18" si="2">D17*$E$15</f>
        <v>2.9</v>
      </c>
    </row>
    <row r="18" spans="1:5" x14ac:dyDescent="0.3">
      <c r="A18" s="96" t="s">
        <v>127</v>
      </c>
      <c r="B18" s="100" t="s">
        <v>121</v>
      </c>
      <c r="C18" s="98" t="s">
        <v>123</v>
      </c>
      <c r="D18" s="99">
        <v>1.1000000000000001</v>
      </c>
      <c r="E18" s="98">
        <f t="shared" si="2"/>
        <v>3.19</v>
      </c>
    </row>
    <row r="19" spans="1:5" x14ac:dyDescent="0.3">
      <c r="A19" s="96" t="s">
        <v>128</v>
      </c>
      <c r="B19" s="100" t="s">
        <v>122</v>
      </c>
      <c r="C19" s="98" t="s">
        <v>6</v>
      </c>
      <c r="D19" s="99">
        <v>1.3</v>
      </c>
      <c r="E19" s="98">
        <f>D19*$E$15*40</f>
        <v>150.80000000000001</v>
      </c>
    </row>
    <row r="20" spans="1:5" ht="52.8" x14ac:dyDescent="0.3">
      <c r="A20" s="96" t="s">
        <v>124</v>
      </c>
      <c r="B20" s="97" t="s">
        <v>135</v>
      </c>
      <c r="C20" s="98" t="s">
        <v>123</v>
      </c>
      <c r="D20" s="99">
        <v>1</v>
      </c>
      <c r="E20" s="98">
        <f>'10.n;п.'!D19</f>
        <v>37.4</v>
      </c>
    </row>
    <row r="21" spans="1:5" x14ac:dyDescent="0.3">
      <c r="A21" s="96" t="s">
        <v>129</v>
      </c>
      <c r="B21" s="100" t="s">
        <v>10</v>
      </c>
      <c r="C21" s="98" t="s">
        <v>6</v>
      </c>
      <c r="D21" s="99">
        <v>0.15</v>
      </c>
      <c r="E21" s="98">
        <f>$E$20*D21</f>
        <v>5.6099999999999994</v>
      </c>
    </row>
    <row r="22" spans="1:5" x14ac:dyDescent="0.3">
      <c r="A22" s="96" t="s">
        <v>130</v>
      </c>
      <c r="B22" s="100" t="s">
        <v>13</v>
      </c>
      <c r="C22" s="98" t="s">
        <v>7</v>
      </c>
      <c r="D22" s="99">
        <v>1</v>
      </c>
      <c r="E22" s="98">
        <f t="shared" ref="E22:E23" si="3">$E$20*D22</f>
        <v>37.4</v>
      </c>
    </row>
    <row r="23" spans="1:5" x14ac:dyDescent="0.3">
      <c r="A23" s="96" t="s">
        <v>131</v>
      </c>
      <c r="B23" s="100" t="s">
        <v>121</v>
      </c>
      <c r="C23" s="98" t="s">
        <v>123</v>
      </c>
      <c r="D23" s="99">
        <v>1.1000000000000001</v>
      </c>
      <c r="E23" s="98">
        <f t="shared" si="3"/>
        <v>41.14</v>
      </c>
    </row>
    <row r="24" spans="1:5" x14ac:dyDescent="0.3">
      <c r="A24" s="96" t="s">
        <v>132</v>
      </c>
      <c r="B24" s="100" t="s">
        <v>122</v>
      </c>
      <c r="C24" s="98" t="s">
        <v>6</v>
      </c>
      <c r="D24" s="99">
        <v>1.3</v>
      </c>
      <c r="E24" s="98">
        <f>$E$20*D24*40</f>
        <v>1944.8</v>
      </c>
    </row>
    <row r="25" spans="1:5" x14ac:dyDescent="0.3">
      <c r="A25" s="86"/>
      <c r="B25" s="86"/>
      <c r="C25" s="86"/>
      <c r="D25" s="86"/>
      <c r="E25" s="86"/>
    </row>
    <row r="26" spans="1:5" x14ac:dyDescent="0.3">
      <c r="A26" s="92"/>
      <c r="B26" s="93" t="s">
        <v>37</v>
      </c>
      <c r="C26" s="94"/>
      <c r="D26" s="94"/>
      <c r="E26" s="94"/>
    </row>
    <row r="27" spans="1:5" x14ac:dyDescent="0.3">
      <c r="A27" s="92" t="s">
        <v>0</v>
      </c>
      <c r="B27" s="95" t="s">
        <v>1</v>
      </c>
      <c r="C27" s="94" t="s">
        <v>2</v>
      </c>
      <c r="D27" s="94" t="s">
        <v>3</v>
      </c>
      <c r="E27" s="94" t="s">
        <v>4</v>
      </c>
    </row>
    <row r="28" spans="1:5" ht="26.4" x14ac:dyDescent="0.3">
      <c r="A28" s="91">
        <v>1</v>
      </c>
      <c r="B28" s="65" t="str">
        <f>'1.n2'!B18</f>
        <v>Подготовка поверхности СКБ / стен / по штукатурке / 2мм (Шпаклевка базовая)</v>
      </c>
      <c r="C28" s="10" t="s">
        <v>5</v>
      </c>
      <c r="D28" s="11">
        <v>1</v>
      </c>
      <c r="E28" s="10">
        <f>'10.n;п.'!E12</f>
        <v>1228.1000000000001</v>
      </c>
    </row>
    <row r="29" spans="1:5" x14ac:dyDescent="0.3">
      <c r="A29" s="91">
        <v>1.1000000000000001</v>
      </c>
      <c r="B29" s="38" t="s">
        <v>10</v>
      </c>
      <c r="C29" s="10" t="s">
        <v>6</v>
      </c>
      <c r="D29" s="11">
        <v>0.15</v>
      </c>
      <c r="E29" s="10">
        <f>D29*E28</f>
        <v>184.215</v>
      </c>
    </row>
    <row r="30" spans="1:5" x14ac:dyDescent="0.3">
      <c r="A30" s="91" t="s">
        <v>9</v>
      </c>
      <c r="B30" s="9" t="s">
        <v>32</v>
      </c>
      <c r="C30" s="10" t="s">
        <v>6</v>
      </c>
      <c r="D30" s="11">
        <v>1.8</v>
      </c>
      <c r="E30" s="10">
        <f t="shared" ref="E30:E31" si="4">D30*E29</f>
        <v>331.58699999999999</v>
      </c>
    </row>
    <row r="31" spans="1:5" x14ac:dyDescent="0.3">
      <c r="A31" s="91" t="s">
        <v>18</v>
      </c>
      <c r="B31" s="38" t="s">
        <v>33</v>
      </c>
      <c r="C31" s="10" t="s">
        <v>7</v>
      </c>
      <c r="D31" s="11">
        <v>0.3</v>
      </c>
      <c r="E31" s="10">
        <f t="shared" si="4"/>
        <v>99.476099999999988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E19"/>
  <sheetViews>
    <sheetView workbookViewId="0">
      <selection sqref="A1:E1"/>
    </sheetView>
    <sheetView workbookViewId="1">
      <selection sqref="A1:E1"/>
    </sheetView>
  </sheetViews>
  <sheetFormatPr defaultRowHeight="13.2" x14ac:dyDescent="0.25"/>
  <cols>
    <col min="1" max="1" width="8.88671875" style="86" customWidth="1"/>
    <col min="2" max="2" width="11.88671875" style="86" customWidth="1"/>
    <col min="3" max="3" width="12.5546875" style="86" customWidth="1"/>
    <col min="4" max="4" width="15" style="86" customWidth="1"/>
    <col min="5" max="5" width="10.5546875" style="86" customWidth="1"/>
    <col min="6" max="16384" width="8.88671875" style="86"/>
  </cols>
  <sheetData>
    <row r="1" spans="1:5" x14ac:dyDescent="0.25">
      <c r="A1" s="341" t="s">
        <v>20</v>
      </c>
      <c r="B1" s="341"/>
      <c r="C1" s="341"/>
      <c r="D1" s="341"/>
      <c r="E1" s="341"/>
    </row>
    <row r="2" spans="1:5" x14ac:dyDescent="0.25">
      <c r="A2" s="339" t="s">
        <v>35</v>
      </c>
      <c r="B2" s="339"/>
      <c r="C2" s="339"/>
      <c r="D2" s="339"/>
      <c r="E2" s="339"/>
    </row>
    <row r="3" spans="1:5" ht="39.6" x14ac:dyDescent="0.25">
      <c r="A3" s="117"/>
      <c r="B3" s="30"/>
      <c r="C3" s="27" t="s">
        <v>22</v>
      </c>
      <c r="D3" s="116" t="s">
        <v>23</v>
      </c>
      <c r="E3" s="117" t="s">
        <v>31</v>
      </c>
    </row>
    <row r="4" spans="1:5" x14ac:dyDescent="0.25">
      <c r="A4" s="117" t="s">
        <v>0</v>
      </c>
      <c r="B4" s="28" t="s">
        <v>19</v>
      </c>
      <c r="C4" s="10" t="s">
        <v>21</v>
      </c>
      <c r="D4" s="10" t="s">
        <v>21</v>
      </c>
      <c r="E4" s="10" t="s">
        <v>21</v>
      </c>
    </row>
    <row r="5" spans="1:5" x14ac:dyDescent="0.25">
      <c r="A5" s="87">
        <v>1</v>
      </c>
      <c r="B5" s="124">
        <v>3019</v>
      </c>
      <c r="C5" s="125">
        <v>38.1</v>
      </c>
      <c r="D5" s="119">
        <v>255.3</v>
      </c>
      <c r="E5" s="87">
        <f>SUM(C5:D5)</f>
        <v>293.40000000000003</v>
      </c>
    </row>
    <row r="6" spans="1:5" x14ac:dyDescent="0.25">
      <c r="A6" s="87">
        <v>2</v>
      </c>
      <c r="B6" s="120">
        <v>3021</v>
      </c>
      <c r="C6" s="121">
        <v>15.7</v>
      </c>
      <c r="D6" s="121">
        <v>61.7</v>
      </c>
      <c r="E6" s="87">
        <f t="shared" ref="E6:E11" si="0">SUM(C6:D6)</f>
        <v>77.400000000000006</v>
      </c>
    </row>
    <row r="7" spans="1:5" x14ac:dyDescent="0.25">
      <c r="A7" s="87">
        <v>3</v>
      </c>
      <c r="B7" s="118">
        <v>3022</v>
      </c>
      <c r="C7" s="119">
        <v>52.8</v>
      </c>
      <c r="D7" s="119">
        <v>78.400000000000006</v>
      </c>
      <c r="E7" s="87">
        <f t="shared" si="0"/>
        <v>131.19999999999999</v>
      </c>
    </row>
    <row r="8" spans="1:5" x14ac:dyDescent="0.25">
      <c r="A8" s="87">
        <v>4</v>
      </c>
      <c r="B8" s="120">
        <v>3023</v>
      </c>
      <c r="C8" s="121">
        <v>79.7</v>
      </c>
      <c r="D8" s="119">
        <v>267.3</v>
      </c>
      <c r="E8" s="87">
        <f t="shared" si="0"/>
        <v>347</v>
      </c>
    </row>
    <row r="9" spans="1:5" x14ac:dyDescent="0.25">
      <c r="A9" s="87">
        <v>5</v>
      </c>
      <c r="B9" s="118">
        <v>3025</v>
      </c>
      <c r="C9" s="119">
        <v>0</v>
      </c>
      <c r="D9" s="121">
        <v>42.2</v>
      </c>
      <c r="E9" s="87">
        <f t="shared" si="0"/>
        <v>42.2</v>
      </c>
    </row>
    <row r="10" spans="1:5" x14ac:dyDescent="0.25">
      <c r="A10" s="87">
        <v>6</v>
      </c>
      <c r="B10" s="118">
        <v>3048</v>
      </c>
      <c r="C10" s="119">
        <v>36.200000000000003</v>
      </c>
      <c r="D10" s="119">
        <v>131.5</v>
      </c>
      <c r="E10" s="87">
        <f t="shared" si="0"/>
        <v>167.7</v>
      </c>
    </row>
    <row r="11" spans="1:5" x14ac:dyDescent="0.25">
      <c r="A11" s="87">
        <v>7</v>
      </c>
      <c r="B11" s="120">
        <v>3063</v>
      </c>
      <c r="C11" s="121">
        <v>51.3</v>
      </c>
      <c r="D11" s="123">
        <v>117.9</v>
      </c>
      <c r="E11" s="87">
        <f t="shared" si="0"/>
        <v>169.2</v>
      </c>
    </row>
    <row r="12" spans="1:5" x14ac:dyDescent="0.25">
      <c r="A12" s="87"/>
      <c r="B12" s="87" t="s">
        <v>133</v>
      </c>
      <c r="C12" s="87">
        <f>SUM(C5:C11)</f>
        <v>273.8</v>
      </c>
      <c r="D12" s="87">
        <f>SUM(D5:D11)</f>
        <v>954.30000000000007</v>
      </c>
      <c r="E12" s="87">
        <f>SUM(E5:E11)</f>
        <v>1228.1000000000001</v>
      </c>
    </row>
    <row r="14" spans="1:5" x14ac:dyDescent="0.25">
      <c r="A14" s="341" t="s">
        <v>20</v>
      </c>
      <c r="B14" s="341"/>
      <c r="C14" s="341"/>
      <c r="D14" s="341"/>
      <c r="E14" s="341"/>
    </row>
    <row r="15" spans="1:5" x14ac:dyDescent="0.25">
      <c r="A15" s="339" t="s">
        <v>138</v>
      </c>
      <c r="B15" s="339"/>
      <c r="C15" s="339"/>
      <c r="D15" s="339"/>
      <c r="E15" s="339"/>
    </row>
    <row r="16" spans="1:5" ht="39.6" x14ac:dyDescent="0.25">
      <c r="A16" s="117"/>
      <c r="B16" s="30"/>
      <c r="C16" s="27" t="s">
        <v>22</v>
      </c>
      <c r="D16" s="116" t="s">
        <v>23</v>
      </c>
      <c r="E16" s="117" t="s">
        <v>31</v>
      </c>
    </row>
    <row r="17" spans="1:5" x14ac:dyDescent="0.25">
      <c r="A17" s="117" t="s">
        <v>0</v>
      </c>
      <c r="B17" s="28" t="s">
        <v>19</v>
      </c>
      <c r="C17" s="10" t="s">
        <v>21</v>
      </c>
      <c r="D17" s="10" t="s">
        <v>21</v>
      </c>
      <c r="E17" s="10" t="s">
        <v>21</v>
      </c>
    </row>
    <row r="18" spans="1:5" x14ac:dyDescent="0.25">
      <c r="A18" s="89">
        <v>1</v>
      </c>
      <c r="B18" s="118">
        <v>3026</v>
      </c>
      <c r="C18" s="126">
        <v>2.9</v>
      </c>
      <c r="D18" s="119">
        <v>37.4</v>
      </c>
      <c r="E18" s="89">
        <f>SUM(C18:D18)</f>
        <v>40.299999999999997</v>
      </c>
    </row>
    <row r="19" spans="1:5" x14ac:dyDescent="0.25">
      <c r="A19" s="89"/>
      <c r="B19" s="89" t="s">
        <v>133</v>
      </c>
      <c r="C19" s="101">
        <f>SUM(C17:C18)</f>
        <v>2.9</v>
      </c>
      <c r="D19" s="101">
        <f>SUM(D17:D18)</f>
        <v>37.4</v>
      </c>
      <c r="E19" s="101">
        <f>SUM(E17:E18)</f>
        <v>40.299999999999997</v>
      </c>
    </row>
  </sheetData>
  <mergeCells count="4">
    <mergeCell ref="A14:E14"/>
    <mergeCell ref="A15:E15"/>
    <mergeCell ref="A1:E1"/>
    <mergeCell ref="A2:E2"/>
  </mergeCells>
  <pageMargins left="0.7" right="0.7" top="0.75" bottom="0.75" header="0.3" footer="0.3"/>
  <pageSetup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R252"/>
  <sheetViews>
    <sheetView zoomScale="55" zoomScaleNormal="55" workbookViewId="0">
      <selection activeCell="G68" sqref="C1:G68"/>
    </sheetView>
    <sheetView tabSelected="1" zoomScale="55" zoomScaleNormal="55" workbookViewId="1">
      <selection activeCell="C68" sqref="C68"/>
    </sheetView>
  </sheetViews>
  <sheetFormatPr defaultRowHeight="15.6" x14ac:dyDescent="0.3"/>
  <cols>
    <col min="1" max="1" width="18.5546875" style="151" customWidth="1"/>
    <col min="2" max="2" width="16.77734375" style="151" customWidth="1"/>
    <col min="3" max="3" width="66.33203125" style="151" customWidth="1"/>
    <col min="4" max="4" width="17.77734375" style="151" customWidth="1"/>
    <col min="5" max="5" width="50.21875" style="151" customWidth="1"/>
    <col min="6" max="6" width="11.109375" style="151" customWidth="1"/>
    <col min="7" max="7" width="16.44140625" style="151" customWidth="1"/>
    <col min="8" max="8" width="14" style="151" customWidth="1"/>
    <col min="9" max="10" width="17" style="151" customWidth="1"/>
    <col min="11" max="11" width="14.88671875" style="151" customWidth="1"/>
    <col min="12" max="20" width="8.88671875" style="151" customWidth="1"/>
    <col min="21" max="21" width="9.21875" style="151" hidden="1" customWidth="1"/>
    <col min="22" max="22" width="8.88671875" style="151" hidden="1" customWidth="1"/>
    <col min="23" max="23" width="8.88671875" style="324" hidden="1" customWidth="1"/>
    <col min="24" max="24" width="8.88671875" style="324" customWidth="1"/>
    <col min="25" max="31" width="8.88671875" style="151"/>
    <col min="32" max="174" width="8.88671875" style="324"/>
    <col min="175" max="16384" width="8.88671875" style="151"/>
  </cols>
  <sheetData>
    <row r="1" spans="1:31" ht="55.2" customHeight="1" x14ac:dyDescent="0.3">
      <c r="A1" s="137" t="s">
        <v>551</v>
      </c>
      <c r="B1" s="128" t="s">
        <v>552</v>
      </c>
      <c r="C1" s="128" t="s">
        <v>553</v>
      </c>
      <c r="D1" s="128" t="s">
        <v>554</v>
      </c>
      <c r="E1" s="128" t="s">
        <v>555</v>
      </c>
      <c r="F1" s="128" t="s">
        <v>2</v>
      </c>
      <c r="G1" s="128" t="s">
        <v>556</v>
      </c>
      <c r="H1" s="230" t="s">
        <v>557</v>
      </c>
      <c r="I1" s="236" t="s">
        <v>558</v>
      </c>
      <c r="J1" s="236" t="s">
        <v>133</v>
      </c>
      <c r="K1" s="217" t="s">
        <v>565</v>
      </c>
      <c r="L1" s="217" t="s">
        <v>566</v>
      </c>
      <c r="M1" s="217" t="s">
        <v>567</v>
      </c>
      <c r="N1" s="217" t="s">
        <v>568</v>
      </c>
      <c r="O1" s="217" t="s">
        <v>569</v>
      </c>
      <c r="P1" s="217" t="s">
        <v>570</v>
      </c>
      <c r="Q1" s="217" t="s">
        <v>571</v>
      </c>
      <c r="R1" s="217" t="s">
        <v>572</v>
      </c>
      <c r="S1" s="217" t="s">
        <v>573</v>
      </c>
      <c r="T1" s="217" t="s">
        <v>574</v>
      </c>
      <c r="U1" s="322" t="s">
        <v>577</v>
      </c>
      <c r="V1" s="217" t="s">
        <v>578</v>
      </c>
      <c r="Y1" s="323">
        <v>7</v>
      </c>
      <c r="Z1" s="323">
        <v>6</v>
      </c>
      <c r="AA1" s="323">
        <v>5</v>
      </c>
      <c r="AB1" s="323">
        <v>4</v>
      </c>
      <c r="AC1" s="323">
        <v>3</v>
      </c>
      <c r="AD1" s="323">
        <v>2</v>
      </c>
      <c r="AE1" s="323">
        <v>1</v>
      </c>
    </row>
    <row r="2" spans="1:31" x14ac:dyDescent="0.3">
      <c r="A2" s="152" t="s">
        <v>154</v>
      </c>
      <c r="B2" s="153" t="s">
        <v>155</v>
      </c>
      <c r="C2" s="154" t="s">
        <v>156</v>
      </c>
      <c r="D2" s="155"/>
      <c r="E2" s="155"/>
      <c r="F2" s="155"/>
      <c r="G2" s="155"/>
      <c r="H2" s="146"/>
      <c r="I2" s="237"/>
      <c r="J2" s="247">
        <f>SUM(Таблица2[[#This Row],[1.n]:[12.n]])</f>
        <v>0</v>
      </c>
      <c r="K2" s="218">
        <f>'1.n2'!E1</f>
        <v>0</v>
      </c>
      <c r="L2" s="218">
        <f>'2.n2'!E1</f>
        <v>0</v>
      </c>
      <c r="M2" s="218">
        <f>'3.n2'!E1</f>
        <v>0</v>
      </c>
      <c r="N2" s="218">
        <f>'4.n2'!E1</f>
        <v>0</v>
      </c>
      <c r="O2" s="218">
        <f>'5.n3'!E1</f>
        <v>0</v>
      </c>
      <c r="P2" s="218">
        <f>'6.n3э'!E1</f>
        <v>0</v>
      </c>
      <c r="Q2" s="218">
        <f>'7.n2'!E1</f>
        <v>0</v>
      </c>
      <c r="R2" s="218">
        <f>'8.n2'!E1</f>
        <v>0</v>
      </c>
      <c r="S2" s="218">
        <f>'9.n2'!E1</f>
        <v>0</v>
      </c>
      <c r="T2" s="218">
        <f>'10.n3'!E1</f>
        <v>0</v>
      </c>
      <c r="U2" s="218"/>
      <c r="V2" s="218"/>
      <c r="Y2" s="325"/>
      <c r="Z2" s="325"/>
      <c r="AA2" s="325"/>
      <c r="AB2" s="325"/>
      <c r="AC2" s="325"/>
      <c r="AD2" s="325"/>
      <c r="AE2" s="325"/>
    </row>
    <row r="3" spans="1:31" x14ac:dyDescent="0.3">
      <c r="A3" s="156" t="s">
        <v>157</v>
      </c>
      <c r="B3" s="157" t="s">
        <v>158</v>
      </c>
      <c r="C3" s="158" t="s">
        <v>159</v>
      </c>
      <c r="D3" s="159"/>
      <c r="E3" s="159"/>
      <c r="F3" s="159"/>
      <c r="G3" s="159"/>
      <c r="H3" s="146"/>
      <c r="I3" s="237"/>
      <c r="J3" s="247">
        <f>SUM(Таблица2[[#This Row],[1.n]:[12.n]])</f>
        <v>0</v>
      </c>
      <c r="K3" s="218" t="str">
        <f>'1.n2'!E2</f>
        <v>Объем</v>
      </c>
      <c r="L3" s="218" t="str">
        <f>'2.n2'!E2</f>
        <v>Объем</v>
      </c>
      <c r="M3" s="218" t="str">
        <f>'3.n2'!E2</f>
        <v>Объем</v>
      </c>
      <c r="N3" s="218" t="str">
        <f>'4.n2'!E2</f>
        <v>Объем</v>
      </c>
      <c r="O3" s="218" t="str">
        <f>'5.n3'!E2</f>
        <v>Объем</v>
      </c>
      <c r="P3" s="218" t="str">
        <f>'6.n3э'!E2</f>
        <v>Объем</v>
      </c>
      <c r="Q3" s="218" t="str">
        <f>'7.n2'!E2</f>
        <v>Объем</v>
      </c>
      <c r="R3" s="218" t="str">
        <f>'8.n2'!E2</f>
        <v>Объем</v>
      </c>
      <c r="S3" s="218" t="str">
        <f>'9.n2'!E2</f>
        <v>Объем</v>
      </c>
      <c r="T3" s="218" t="str">
        <f>'10.n3'!E2</f>
        <v>Объем</v>
      </c>
      <c r="U3" s="218"/>
      <c r="V3" s="218"/>
      <c r="Y3" s="325"/>
      <c r="Z3" s="325"/>
      <c r="AA3" s="325"/>
      <c r="AB3" s="325"/>
      <c r="AC3" s="325"/>
      <c r="AD3" s="325"/>
      <c r="AE3" s="325"/>
    </row>
    <row r="4" spans="1:31" ht="46.8" x14ac:dyDescent="0.3">
      <c r="A4" s="138" t="s">
        <v>160</v>
      </c>
      <c r="B4" s="129" t="s">
        <v>161</v>
      </c>
      <c r="C4" s="160" t="s">
        <v>47</v>
      </c>
      <c r="D4" s="161"/>
      <c r="E4" s="161" t="s">
        <v>162</v>
      </c>
      <c r="F4" s="161" t="s">
        <v>7</v>
      </c>
      <c r="G4" s="162">
        <v>1</v>
      </c>
      <c r="H4" s="147">
        <v>3479</v>
      </c>
      <c r="I4" s="251">
        <f>Таблица2[[#This Row],[Общее кол-во]]-SUM(Таблица2[[#This Row],[1.n]:[12.n]])</f>
        <v>-1270.1350000000002</v>
      </c>
      <c r="J4" s="238">
        <f>SUM(Таблица2[[#This Row],[1.n]:[12.n]])</f>
        <v>4749.1350000000002</v>
      </c>
      <c r="K4" s="218">
        <f>'1.n2'!E3</f>
        <v>267.16000000000003</v>
      </c>
      <c r="L4" s="218">
        <f>'2.n2'!E3</f>
        <v>233</v>
      </c>
      <c r="M4" s="218">
        <f>'3.n2'!E3</f>
        <v>323.32</v>
      </c>
      <c r="N4" s="218">
        <f>'4.n2'!E3</f>
        <v>396.86</v>
      </c>
      <c r="O4" s="218">
        <f>'5.n3'!E3</f>
        <v>1102</v>
      </c>
      <c r="P4" s="218">
        <f>'6.n3э'!E3</f>
        <v>852.66000000000008</v>
      </c>
      <c r="Q4" s="218">
        <f>'7.n2'!E3</f>
        <v>969.07500000000005</v>
      </c>
      <c r="R4" s="218">
        <f>'8.n2'!E3</f>
        <v>239.76000000000005</v>
      </c>
      <c r="S4" s="218">
        <f>'9.n2'!E3</f>
        <v>170.6</v>
      </c>
      <c r="T4" s="218">
        <f>'10.n3'!E3</f>
        <v>194.7</v>
      </c>
      <c r="U4" s="218"/>
      <c r="V4" s="218"/>
      <c r="Y4" s="325"/>
      <c r="Z4" s="325"/>
      <c r="AA4" s="325"/>
      <c r="AB4" s="325"/>
      <c r="AC4" s="325"/>
      <c r="AD4" s="325"/>
      <c r="AE4" s="325"/>
    </row>
    <row r="5" spans="1:31" ht="31.2" hidden="1" x14ac:dyDescent="0.3">
      <c r="A5" s="139" t="s">
        <v>163</v>
      </c>
      <c r="B5" s="130"/>
      <c r="C5" s="163" t="s">
        <v>164</v>
      </c>
      <c r="D5" s="164"/>
      <c r="E5" s="164"/>
      <c r="F5" s="165" t="s">
        <v>6</v>
      </c>
      <c r="G5" s="166">
        <v>0.3</v>
      </c>
      <c r="H5" s="148">
        <v>1043.7</v>
      </c>
      <c r="I5" s="238">
        <f>Таблица2[[#This Row],[Общее кол-во]]-SUM(Таблица2[[#This Row],[1.n]:[11.n]])</f>
        <v>568.78649999999993</v>
      </c>
      <c r="J5" s="248">
        <f>SUM(Таблица2[[#This Row],[1.n]:[12.n]])</f>
        <v>474.91350000000011</v>
      </c>
      <c r="K5" s="219">
        <f>'1.n2'!E4</f>
        <v>26.716000000000005</v>
      </c>
      <c r="L5" s="219">
        <f>'2.n2'!E4</f>
        <v>23.3</v>
      </c>
      <c r="M5" s="219">
        <f>'3.n2'!E4</f>
        <v>32.332000000000001</v>
      </c>
      <c r="N5" s="219">
        <f>'4.n2'!E4</f>
        <v>39.686000000000007</v>
      </c>
      <c r="O5" s="219">
        <f>'5.n3'!E4</f>
        <v>110.2</v>
      </c>
      <c r="P5" s="219">
        <f>'6.n3э'!E4</f>
        <v>85.26600000000002</v>
      </c>
      <c r="Q5" s="219">
        <f>'7.n2'!E4</f>
        <v>96.907500000000013</v>
      </c>
      <c r="R5" s="219">
        <f>'8.n2'!E4</f>
        <v>23.976000000000006</v>
      </c>
      <c r="S5" s="219">
        <f>'9.n2'!E4</f>
        <v>17.059999999999999</v>
      </c>
      <c r="T5" s="219">
        <f>'10.n3'!E4</f>
        <v>19.47</v>
      </c>
      <c r="U5" s="219"/>
      <c r="V5" s="219"/>
      <c r="Y5" s="325"/>
      <c r="Z5" s="325"/>
      <c r="AA5" s="325"/>
      <c r="AB5" s="325"/>
      <c r="AC5" s="325"/>
      <c r="AD5" s="325"/>
      <c r="AE5" s="325"/>
    </row>
    <row r="6" spans="1:31" hidden="1" x14ac:dyDescent="0.3">
      <c r="A6" s="140" t="s">
        <v>165</v>
      </c>
      <c r="B6" s="131"/>
      <c r="C6" s="167" t="s">
        <v>48</v>
      </c>
      <c r="D6" s="168"/>
      <c r="E6" s="168"/>
      <c r="F6" s="169" t="s">
        <v>7</v>
      </c>
      <c r="G6" s="170">
        <v>1.1000000000000001</v>
      </c>
      <c r="H6" s="148">
        <v>3826.9</v>
      </c>
      <c r="I6" s="238">
        <f>Таблица2[[#This Row],[Общее кол-во]]-SUM(Таблица2[[#This Row],[1.n]:[11.n]])</f>
        <v>-1397.1485000000007</v>
      </c>
      <c r="J6" s="248">
        <f>SUM(Таблица2[[#This Row],[1.n]:[12.n]])</f>
        <v>5224.0485000000008</v>
      </c>
      <c r="K6" s="219">
        <f>'1.n2'!E5</f>
        <v>293.87600000000003</v>
      </c>
      <c r="L6" s="219">
        <f>'2.n2'!E5</f>
        <v>256.3</v>
      </c>
      <c r="M6" s="219">
        <f>'3.n2'!E5</f>
        <v>355.65200000000004</v>
      </c>
      <c r="N6" s="219">
        <f>'4.n2'!E5</f>
        <v>436.54600000000005</v>
      </c>
      <c r="O6" s="219">
        <f>'5.n3'!E5</f>
        <v>1212.2</v>
      </c>
      <c r="P6" s="219">
        <f>'6.n3э'!E5</f>
        <v>937.92600000000016</v>
      </c>
      <c r="Q6" s="219">
        <f>'7.n2'!E5</f>
        <v>1065.9825000000001</v>
      </c>
      <c r="R6" s="219">
        <f>'8.n2'!E5</f>
        <v>263.73600000000005</v>
      </c>
      <c r="S6" s="219">
        <f>'9.n2'!E5</f>
        <v>187.66</v>
      </c>
      <c r="T6" s="219">
        <f>'10.n3'!E5</f>
        <v>214.17000000000002</v>
      </c>
      <c r="U6" s="219"/>
      <c r="V6" s="219"/>
      <c r="Y6" s="325"/>
      <c r="Z6" s="325"/>
      <c r="AA6" s="325"/>
      <c r="AB6" s="325"/>
      <c r="AC6" s="325"/>
      <c r="AD6" s="325"/>
      <c r="AE6" s="325"/>
    </row>
    <row r="7" spans="1:31" ht="31.2" hidden="1" x14ac:dyDescent="0.3">
      <c r="A7" s="139" t="s">
        <v>166</v>
      </c>
      <c r="B7" s="130" t="s">
        <v>167</v>
      </c>
      <c r="C7" s="171" t="s">
        <v>168</v>
      </c>
      <c r="D7" s="164"/>
      <c r="E7" s="164" t="s">
        <v>169</v>
      </c>
      <c r="F7" s="164" t="s">
        <v>123</v>
      </c>
      <c r="G7" s="172">
        <v>1</v>
      </c>
      <c r="H7" s="149">
        <v>0</v>
      </c>
      <c r="I7" s="238">
        <f>Таблица2[[#This Row],[Общее кол-во]]-SUM(Таблица2[[#This Row],[1.n]:[11.n]])</f>
        <v>-5009.3680189888</v>
      </c>
      <c r="J7" s="248">
        <f>SUM(Таблица2[[#This Row],[1.n]:[12.n]])</f>
        <v>5009.3680189888</v>
      </c>
      <c r="K7" s="219">
        <f>'1.n2'!E6</f>
        <v>410.02</v>
      </c>
      <c r="L7" s="219">
        <f>'2.n2'!E6</f>
        <v>333.82</v>
      </c>
      <c r="M7" s="219">
        <f>'3.n2'!E6</f>
        <v>161.16999999999999</v>
      </c>
      <c r="N7" s="219">
        <f>'4.n2'!E6</f>
        <v>361.91847680879999</v>
      </c>
      <c r="O7" s="219">
        <f>'5.n3'!E6</f>
        <v>1389.7395421799999</v>
      </c>
      <c r="P7" s="219">
        <f>'6.n3э'!E6</f>
        <v>719.9</v>
      </c>
      <c r="Q7" s="219">
        <f>'7.n2'!E6</f>
        <v>724.40000000000009</v>
      </c>
      <c r="R7" s="219">
        <f>'8.n2'!E6</f>
        <v>292.20000000000005</v>
      </c>
      <c r="S7" s="219">
        <f>'9.n2'!E6</f>
        <v>342.4</v>
      </c>
      <c r="T7" s="219">
        <f>'10.n3'!E6</f>
        <v>273.8</v>
      </c>
      <c r="U7" s="219"/>
      <c r="V7" s="219"/>
      <c r="Y7" s="325"/>
      <c r="Z7" s="325"/>
      <c r="AA7" s="325"/>
      <c r="AB7" s="325"/>
      <c r="AC7" s="325"/>
      <c r="AD7" s="325"/>
      <c r="AE7" s="325"/>
    </row>
    <row r="8" spans="1:31" ht="31.2" hidden="1" x14ac:dyDescent="0.3">
      <c r="A8" s="140" t="s">
        <v>170</v>
      </c>
      <c r="B8" s="131"/>
      <c r="C8" s="163" t="s">
        <v>171</v>
      </c>
      <c r="D8" s="168"/>
      <c r="E8" s="168" t="s">
        <v>172</v>
      </c>
      <c r="F8" s="169" t="s">
        <v>6</v>
      </c>
      <c r="G8" s="170">
        <v>1</v>
      </c>
      <c r="H8" s="148">
        <v>0</v>
      </c>
      <c r="I8" s="238">
        <f>Таблица2[[#This Row],[Общее кол-во]]-SUM(Таблица2[[#This Row],[1.n]:[11.n]])</f>
        <v>-1252.3420047472</v>
      </c>
      <c r="J8" s="248">
        <f>SUM(Таблица2[[#This Row],[1.n]:[12.n]])</f>
        <v>1252.3420047472</v>
      </c>
      <c r="K8" s="219">
        <f>'1.n2'!E7</f>
        <v>102.505</v>
      </c>
      <c r="L8" s="219">
        <f>'2.n2'!E7</f>
        <v>83.454999999999998</v>
      </c>
      <c r="M8" s="219">
        <f>'3.n2'!E7</f>
        <v>40.292499999999997</v>
      </c>
      <c r="N8" s="219">
        <f>'4.n2'!E7</f>
        <v>90.479619202199999</v>
      </c>
      <c r="O8" s="219">
        <f>'5.n3'!E7</f>
        <v>347.43488554499999</v>
      </c>
      <c r="P8" s="219">
        <f>'6.n3э'!E7</f>
        <v>179.97499999999999</v>
      </c>
      <c r="Q8" s="219">
        <f>'7.n2'!E7</f>
        <v>181.10000000000002</v>
      </c>
      <c r="R8" s="219">
        <f>'8.n2'!E7</f>
        <v>73.050000000000011</v>
      </c>
      <c r="S8" s="219">
        <f>'9.n2'!E7</f>
        <v>85.6</v>
      </c>
      <c r="T8" s="219">
        <f>'10.n3'!E7</f>
        <v>68.45</v>
      </c>
      <c r="U8" s="219"/>
      <c r="V8" s="219"/>
      <c r="Y8" s="325"/>
      <c r="Z8" s="325"/>
      <c r="AA8" s="325"/>
      <c r="AB8" s="325"/>
      <c r="AC8" s="325"/>
      <c r="AD8" s="325"/>
      <c r="AE8" s="325"/>
    </row>
    <row r="9" spans="1:31" hidden="1" x14ac:dyDescent="0.3">
      <c r="A9" s="139" t="s">
        <v>173</v>
      </c>
      <c r="B9" s="130"/>
      <c r="C9" s="173" t="s">
        <v>120</v>
      </c>
      <c r="D9" s="164"/>
      <c r="E9" s="164"/>
      <c r="F9" s="165" t="s">
        <v>6</v>
      </c>
      <c r="G9" s="166">
        <v>0.25</v>
      </c>
      <c r="H9" s="148">
        <v>0</v>
      </c>
      <c r="I9" s="238">
        <f>Таблица2[[#This Row],[Общее кол-во]]-SUM(Таблица2[[#This Row],[1.n]:[11.n]])</f>
        <v>-5009.3680189888</v>
      </c>
      <c r="J9" s="248">
        <f>SUM(Таблица2[[#This Row],[1.n]:[12.n]])</f>
        <v>5009.3680189888</v>
      </c>
      <c r="K9" s="219">
        <f>'1.n2'!E8</f>
        <v>410.02</v>
      </c>
      <c r="L9" s="219">
        <f>'2.n2'!E8</f>
        <v>333.82</v>
      </c>
      <c r="M9" s="219">
        <f>'3.n2'!E8</f>
        <v>161.16999999999999</v>
      </c>
      <c r="N9" s="219">
        <f>'4.n2'!E8</f>
        <v>361.91847680879999</v>
      </c>
      <c r="O9" s="219">
        <f>'5.n3'!E8</f>
        <v>1389.7395421799999</v>
      </c>
      <c r="P9" s="219">
        <f>'6.n3э'!E8</f>
        <v>719.9</v>
      </c>
      <c r="Q9" s="219">
        <f>'7.n2'!E8</f>
        <v>724.40000000000009</v>
      </c>
      <c r="R9" s="219">
        <f>'8.n2'!E8</f>
        <v>292.20000000000005</v>
      </c>
      <c r="S9" s="219">
        <f>'9.n2'!E8</f>
        <v>342.4</v>
      </c>
      <c r="T9" s="219">
        <f>'10.n3'!E8</f>
        <v>273.8</v>
      </c>
      <c r="U9" s="219"/>
      <c r="V9" s="219"/>
      <c r="Y9" s="325"/>
      <c r="Z9" s="325"/>
      <c r="AA9" s="325"/>
      <c r="AB9" s="325"/>
      <c r="AC9" s="325"/>
      <c r="AD9" s="325"/>
      <c r="AE9" s="325"/>
    </row>
    <row r="10" spans="1:31" hidden="1" x14ac:dyDescent="0.3">
      <c r="A10" s="140" t="s">
        <v>174</v>
      </c>
      <c r="B10" s="131"/>
      <c r="C10" s="167" t="s">
        <v>13</v>
      </c>
      <c r="D10" s="168"/>
      <c r="E10" s="168"/>
      <c r="F10" s="169" t="s">
        <v>7</v>
      </c>
      <c r="G10" s="170">
        <v>1.05</v>
      </c>
      <c r="H10" s="148">
        <v>0</v>
      </c>
      <c r="I10" s="238">
        <f>Таблица2[[#This Row],[Общее кол-во]]-SUM(Таблица2[[#This Row],[1.n]:[11.n]])</f>
        <v>-131813.39290251004</v>
      </c>
      <c r="J10" s="248">
        <f>SUM(Таблица2[[#This Row],[1.n]:[12.n]])</f>
        <v>131813.39290251004</v>
      </c>
      <c r="K10" s="219">
        <f>'1.n2'!E9</f>
        <v>410.02</v>
      </c>
      <c r="L10" s="219">
        <f>'2.n2'!E9</f>
        <v>9537.2374</v>
      </c>
      <c r="M10" s="219">
        <f>'3.n2'!E9</f>
        <v>4604.6268999999993</v>
      </c>
      <c r="N10" s="219">
        <f>'4.n2'!E9</f>
        <v>10340.010882427416</v>
      </c>
      <c r="O10" s="219">
        <f>'5.n3'!E9</f>
        <v>39704.8587200826</v>
      </c>
      <c r="P10" s="219">
        <f>'6.n3э'!E9</f>
        <v>20567.542999999998</v>
      </c>
      <c r="Q10" s="219">
        <f>'7.n2'!E9</f>
        <v>20696.108000000004</v>
      </c>
      <c r="R10" s="219">
        <f>'8.n2'!E9</f>
        <v>8348.1540000000023</v>
      </c>
      <c r="S10" s="219">
        <f>'9.n2'!E9</f>
        <v>9782.3679999999986</v>
      </c>
      <c r="T10" s="219">
        <f>'10.n3'!E9</f>
        <v>7822.4660000000003</v>
      </c>
      <c r="U10" s="219"/>
      <c r="V10" s="219"/>
      <c r="Y10" s="325"/>
      <c r="Z10" s="325"/>
      <c r="AA10" s="325"/>
      <c r="AB10" s="325"/>
      <c r="AC10" s="325"/>
      <c r="AD10" s="325"/>
      <c r="AE10" s="325"/>
    </row>
    <row r="11" spans="1:31" ht="31.2" hidden="1" x14ac:dyDescent="0.3">
      <c r="A11" s="139" t="s">
        <v>175</v>
      </c>
      <c r="B11" s="130" t="s">
        <v>176</v>
      </c>
      <c r="C11" s="171" t="s">
        <v>177</v>
      </c>
      <c r="D11" s="164"/>
      <c r="E11" s="164" t="s">
        <v>178</v>
      </c>
      <c r="F11" s="164" t="s">
        <v>123</v>
      </c>
      <c r="G11" s="172">
        <v>1</v>
      </c>
      <c r="H11" s="149">
        <v>0</v>
      </c>
      <c r="I11" s="238">
        <f>Таблица2[[#This Row],[Общее кол-во]]-SUM(Таблица2[[#This Row],[1.n]:[11.n]])</f>
        <v>-8959.4017058672998</v>
      </c>
      <c r="J11" s="221">
        <f>SUM(Таблица2[[#This Row],[1.n]:[12.n]])</f>
        <v>8959.4017058672998</v>
      </c>
      <c r="K11" s="219">
        <f>'1.n2'!E10</f>
        <v>603.16000000000008</v>
      </c>
      <c r="L11" s="219">
        <f>'2.n2'!E10</f>
        <v>502.91</v>
      </c>
      <c r="M11" s="219">
        <f>'3.n2'!E10</f>
        <v>341.46999999999997</v>
      </c>
      <c r="N11" s="219">
        <f>'4.n2'!E10</f>
        <v>697.45979058729995</v>
      </c>
      <c r="O11" s="219">
        <f>'5.n3'!E10</f>
        <v>2747.8019152800002</v>
      </c>
      <c r="P11" s="219">
        <f>'6.n3э'!E10</f>
        <v>918.5</v>
      </c>
      <c r="Q11" s="219">
        <f>'7.n2'!E10</f>
        <v>1148.5</v>
      </c>
      <c r="R11" s="219">
        <f>'8.n2'!E10</f>
        <v>240.6</v>
      </c>
      <c r="S11" s="219">
        <f>'9.n2'!E10</f>
        <v>804.69999999999982</v>
      </c>
      <c r="T11" s="219">
        <f>'10.n3'!E10</f>
        <v>954.30000000000007</v>
      </c>
      <c r="U11" s="219"/>
      <c r="V11" s="219"/>
      <c r="Y11" s="325"/>
      <c r="Z11" s="325"/>
      <c r="AA11" s="325"/>
      <c r="AB11" s="325"/>
      <c r="AC11" s="325"/>
      <c r="AD11" s="325"/>
      <c r="AE11" s="325"/>
    </row>
    <row r="12" spans="1:31" ht="31.2" hidden="1" x14ac:dyDescent="0.3">
      <c r="A12" s="140" t="s">
        <v>179</v>
      </c>
      <c r="B12" s="131"/>
      <c r="C12" s="163" t="s">
        <v>164</v>
      </c>
      <c r="D12" s="168"/>
      <c r="E12" s="168" t="s">
        <v>180</v>
      </c>
      <c r="F12" s="169" t="s">
        <v>6</v>
      </c>
      <c r="G12" s="170">
        <v>1.8</v>
      </c>
      <c r="H12" s="148">
        <v>0</v>
      </c>
      <c r="I12" s="238">
        <f>Таблица2[[#This Row],[Общее кол-во]]-SUM(Таблица2[[#This Row],[1.n]:[11.n]])</f>
        <v>-272264.57785774593</v>
      </c>
      <c r="J12" s="222">
        <f>SUM(Таблица2[[#This Row],[1.n]:[12.n]])</f>
        <v>272264.57785774593</v>
      </c>
      <c r="K12" s="219">
        <f>'1.n2'!E11</f>
        <v>603.16000000000008</v>
      </c>
      <c r="L12" s="219">
        <f>'2.n2'!E11</f>
        <v>16349.6041</v>
      </c>
      <c r="M12" s="219">
        <f>'3.n2'!E11</f>
        <v>11101.189699999999</v>
      </c>
      <c r="N12" s="219">
        <f>'4.n2'!E11</f>
        <v>22674.417791993121</v>
      </c>
      <c r="O12" s="219">
        <f>'5.n3'!E11</f>
        <v>89331.040265752803</v>
      </c>
      <c r="P12" s="219">
        <f>'6.n3э'!E11</f>
        <v>29860.434999999998</v>
      </c>
      <c r="Q12" s="219">
        <f>'7.n2'!E11</f>
        <v>37337.735000000001</v>
      </c>
      <c r="R12" s="219">
        <f>'8.n2'!E11</f>
        <v>7821.905999999999</v>
      </c>
      <c r="S12" s="219">
        <f>'9.n2'!E11</f>
        <v>26160.796999999991</v>
      </c>
      <c r="T12" s="219">
        <f>'10.n3'!E11</f>
        <v>31024.293000000001</v>
      </c>
      <c r="U12" s="219"/>
      <c r="V12" s="219"/>
      <c r="Y12" s="325"/>
      <c r="Z12" s="325"/>
      <c r="AA12" s="325"/>
      <c r="AB12" s="325"/>
      <c r="AC12" s="325"/>
      <c r="AD12" s="325"/>
      <c r="AE12" s="325"/>
    </row>
    <row r="13" spans="1:31" hidden="1" x14ac:dyDescent="0.3">
      <c r="A13" s="139" t="s">
        <v>181</v>
      </c>
      <c r="B13" s="130"/>
      <c r="C13" s="173" t="s">
        <v>182</v>
      </c>
      <c r="D13" s="164"/>
      <c r="E13" s="164"/>
      <c r="F13" s="165" t="s">
        <v>183</v>
      </c>
      <c r="G13" s="166">
        <v>0.3</v>
      </c>
      <c r="H13" s="148">
        <v>0</v>
      </c>
      <c r="I13" s="238">
        <f>Таблица2[[#This Row],[Общее кол-во]]-SUM(Таблица2[[#This Row],[1.n]:[11.n]])</f>
        <v>-1343.9102558800948</v>
      </c>
      <c r="J13" s="222">
        <f>SUM(Таблица2[[#This Row],[1.n]:[12.n]])</f>
        <v>1343.9102558800948</v>
      </c>
      <c r="K13" s="219">
        <f>'1.n2'!E12</f>
        <v>90.474000000000004</v>
      </c>
      <c r="L13" s="219">
        <f>'2.n2'!E12</f>
        <v>75.436499999999995</v>
      </c>
      <c r="M13" s="219">
        <f>'3.n2'!E12</f>
        <v>51.220499999999994</v>
      </c>
      <c r="N13" s="219">
        <f>'4.n2'!E12</f>
        <v>104.61896858809499</v>
      </c>
      <c r="O13" s="219">
        <f>'5.n3'!E12</f>
        <v>412.17028729200001</v>
      </c>
      <c r="P13" s="219">
        <f>'6.n3э'!E12</f>
        <v>137.77500000000001</v>
      </c>
      <c r="Q13" s="219">
        <f>'7.n2'!E12</f>
        <v>172.27500000000001</v>
      </c>
      <c r="R13" s="219">
        <f>'8.n2'!E12</f>
        <v>36.089999999999996</v>
      </c>
      <c r="S13" s="219">
        <f>'9.n2'!E12</f>
        <v>120.70499999999997</v>
      </c>
      <c r="T13" s="219">
        <f>'10.n3'!E12</f>
        <v>143.14500000000001</v>
      </c>
      <c r="U13" s="219"/>
      <c r="V13" s="219"/>
      <c r="Y13" s="325"/>
      <c r="Z13" s="325"/>
      <c r="AA13" s="325"/>
      <c r="AB13" s="325"/>
      <c r="AC13" s="325"/>
      <c r="AD13" s="325"/>
      <c r="AE13" s="325"/>
    </row>
    <row r="14" spans="1:31" hidden="1" x14ac:dyDescent="0.3">
      <c r="A14" s="140" t="s">
        <v>184</v>
      </c>
      <c r="B14" s="131"/>
      <c r="C14" s="167" t="s">
        <v>185</v>
      </c>
      <c r="D14" s="168"/>
      <c r="E14" s="168"/>
      <c r="F14" s="169" t="s">
        <v>7</v>
      </c>
      <c r="G14" s="170">
        <v>1</v>
      </c>
      <c r="H14" s="148">
        <v>0</v>
      </c>
      <c r="I14" s="238">
        <f>Таблица2[[#This Row],[Общее кол-во]]-SUM(Таблица2[[#This Row],[1.n]:[11.n]])</f>
        <v>-8959.4017058672998</v>
      </c>
      <c r="J14" s="221">
        <f>SUM(Таблица2[[#This Row],[1.n]:[12.n]])</f>
        <v>8959.4017058672998</v>
      </c>
      <c r="K14" s="219">
        <f>'1.n2'!E13</f>
        <v>603.16000000000008</v>
      </c>
      <c r="L14" s="219">
        <f>'2.n2'!E13</f>
        <v>502.91</v>
      </c>
      <c r="M14" s="219">
        <f>'3.n2'!E13</f>
        <v>341.46999999999997</v>
      </c>
      <c r="N14" s="219">
        <f>'4.n2'!E13</f>
        <v>697.45979058729995</v>
      </c>
      <c r="O14" s="219">
        <f>'5.n3'!E13</f>
        <v>2747.8019152800002</v>
      </c>
      <c r="P14" s="219">
        <f>'6.n3э'!E13</f>
        <v>918.5</v>
      </c>
      <c r="Q14" s="219">
        <f>'7.n2'!E13</f>
        <v>1148.5</v>
      </c>
      <c r="R14" s="219">
        <f>'8.n2'!E13</f>
        <v>240.6</v>
      </c>
      <c r="S14" s="219">
        <f>'9.n2'!E13</f>
        <v>804.69999999999982</v>
      </c>
      <c r="T14" s="219">
        <f>'10.n3'!E13</f>
        <v>954.30000000000007</v>
      </c>
      <c r="U14" s="219"/>
      <c r="V14" s="219"/>
      <c r="Y14" s="325"/>
      <c r="Z14" s="325"/>
      <c r="AA14" s="325"/>
      <c r="AB14" s="325"/>
      <c r="AC14" s="325"/>
      <c r="AD14" s="325"/>
      <c r="AE14" s="325"/>
    </row>
    <row r="15" spans="1:31" hidden="1" x14ac:dyDescent="0.3">
      <c r="A15" s="139" t="s">
        <v>186</v>
      </c>
      <c r="B15" s="130"/>
      <c r="C15" s="173" t="s">
        <v>10</v>
      </c>
      <c r="D15" s="164"/>
      <c r="E15" s="164"/>
      <c r="F15" s="165" t="s">
        <v>6</v>
      </c>
      <c r="G15" s="166">
        <v>0.15</v>
      </c>
      <c r="H15" s="148">
        <v>0</v>
      </c>
      <c r="I15" s="238">
        <f>Таблица2[[#This Row],[Общее кол-во]]-SUM(Таблица2[[#This Row],[1.n]:[11.n]])</f>
        <v>-2809.55</v>
      </c>
      <c r="J15" s="222">
        <f>SUM(Таблица2[[#This Row],[1.n]:[12.n]])</f>
        <v>2809.55</v>
      </c>
      <c r="K15" s="219">
        <f>'1.n2'!E14</f>
        <v>295.41000000000003</v>
      </c>
      <c r="L15" s="219">
        <f>'2.n2'!E14</f>
        <v>97.47</v>
      </c>
      <c r="M15" s="219">
        <f>'3.n2'!E14</f>
        <v>97.97</v>
      </c>
      <c r="N15" s="219">
        <f>'4.n2'!E14</f>
        <v>59.7</v>
      </c>
      <c r="O15" s="219">
        <f>'5.n3'!E14</f>
        <v>943</v>
      </c>
      <c r="P15" s="219">
        <f>'6.n3э'!E14</f>
        <v>143</v>
      </c>
      <c r="Q15" s="219">
        <f>'7.n2'!E14</f>
        <v>303</v>
      </c>
      <c r="R15" s="219">
        <f>'8.n2'!E14</f>
        <v>264</v>
      </c>
      <c r="S15" s="219">
        <f>'9.n2'!E14</f>
        <v>303</v>
      </c>
      <c r="T15" s="219">
        <f>'10.n3'!E14</f>
        <v>303</v>
      </c>
      <c r="U15" s="219"/>
      <c r="V15" s="219"/>
      <c r="Y15" s="325"/>
      <c r="Z15" s="325"/>
      <c r="AA15" s="325"/>
      <c r="AB15" s="325"/>
      <c r="AC15" s="325"/>
      <c r="AD15" s="325"/>
      <c r="AE15" s="325"/>
    </row>
    <row r="16" spans="1:31" ht="31.2" hidden="1" x14ac:dyDescent="0.3">
      <c r="A16" s="140" t="s">
        <v>187</v>
      </c>
      <c r="B16" s="131" t="s">
        <v>176</v>
      </c>
      <c r="C16" s="177" t="s">
        <v>177</v>
      </c>
      <c r="D16" s="168"/>
      <c r="E16" s="168" t="s">
        <v>188</v>
      </c>
      <c r="F16" s="168" t="s">
        <v>123</v>
      </c>
      <c r="G16" s="178">
        <v>1</v>
      </c>
      <c r="H16" s="149">
        <v>0</v>
      </c>
      <c r="I16" s="238">
        <f>Таблица2[[#This Row],[Общее кол-во]]-SUM(Таблица2[[#This Row],[1.n]:[11.n]])</f>
        <v>-152.4</v>
      </c>
      <c r="J16" s="222">
        <f>SUM(Таблица2[[#This Row],[1.n]:[12.n]])</f>
        <v>152.4</v>
      </c>
      <c r="K16" s="219">
        <f>'1.n2'!E15</f>
        <v>0</v>
      </c>
      <c r="L16" s="219">
        <f>'2.n2'!E15</f>
        <v>0</v>
      </c>
      <c r="M16" s="219">
        <f>'3.n2'!E15</f>
        <v>0</v>
      </c>
      <c r="N16" s="219">
        <f>'4.n2'!E15</f>
        <v>0</v>
      </c>
      <c r="O16" s="219">
        <f>'5.n3'!E15</f>
        <v>0</v>
      </c>
      <c r="P16" s="219">
        <f>'6.n3э'!E15</f>
        <v>62.5</v>
      </c>
      <c r="Q16" s="219">
        <f>'7.n2'!E15</f>
        <v>59</v>
      </c>
      <c r="R16" s="219">
        <f>'8.n2'!E15</f>
        <v>0</v>
      </c>
      <c r="S16" s="219">
        <f>'9.n2'!E15</f>
        <v>27.999999999999996</v>
      </c>
      <c r="T16" s="219">
        <f>'10.n3'!E15</f>
        <v>2.9</v>
      </c>
      <c r="U16" s="219"/>
      <c r="V16" s="219"/>
      <c r="Y16" s="325"/>
      <c r="Z16" s="325"/>
      <c r="AA16" s="325"/>
      <c r="AB16" s="325"/>
      <c r="AC16" s="325"/>
      <c r="AD16" s="325"/>
      <c r="AE16" s="325"/>
    </row>
    <row r="17" spans="1:39" hidden="1" x14ac:dyDescent="0.3">
      <c r="A17" s="139" t="s">
        <v>189</v>
      </c>
      <c r="B17" s="130"/>
      <c r="C17" s="173" t="s">
        <v>10</v>
      </c>
      <c r="D17" s="164"/>
      <c r="E17" s="164"/>
      <c r="F17" s="165" t="s">
        <v>6</v>
      </c>
      <c r="G17" s="166">
        <v>0.15</v>
      </c>
      <c r="H17" s="148">
        <v>0</v>
      </c>
      <c r="I17" s="238">
        <f>Таблица2[[#This Row],[Общее кол-во]]-SUM(Таблица2[[#This Row],[1.n]:[11.n]])</f>
        <v>-38.1</v>
      </c>
      <c r="J17" s="222">
        <f>SUM(Таблица2[[#This Row],[1.n]:[12.n]])</f>
        <v>38.1</v>
      </c>
      <c r="K17" s="219">
        <f>'1.n2'!E16</f>
        <v>0</v>
      </c>
      <c r="L17" s="219">
        <f>'2.n2'!E16</f>
        <v>0</v>
      </c>
      <c r="M17" s="219">
        <f>'3.n2'!E16</f>
        <v>0</v>
      </c>
      <c r="N17" s="219">
        <f>'4.n2'!E16</f>
        <v>0</v>
      </c>
      <c r="O17" s="219">
        <f>'5.n3'!E16</f>
        <v>0</v>
      </c>
      <c r="P17" s="219">
        <f>'6.n3э'!E16</f>
        <v>15.625</v>
      </c>
      <c r="Q17" s="219">
        <f>'7.n2'!E16</f>
        <v>14.75</v>
      </c>
      <c r="R17" s="219">
        <f>'8.n2'!E16</f>
        <v>0</v>
      </c>
      <c r="S17" s="219">
        <f>'9.n2'!E16</f>
        <v>6.9999999999999991</v>
      </c>
      <c r="T17" s="219">
        <f>'10.n3'!E16</f>
        <v>0.72499999999999998</v>
      </c>
      <c r="U17" s="219"/>
      <c r="V17" s="219"/>
      <c r="Y17" s="325"/>
      <c r="Z17" s="325"/>
      <c r="AA17" s="325"/>
      <c r="AB17" s="325"/>
      <c r="AC17" s="325"/>
      <c r="AD17" s="325"/>
      <c r="AE17" s="325"/>
    </row>
    <row r="18" spans="1:39" ht="31.2" hidden="1" x14ac:dyDescent="0.3">
      <c r="A18" s="140" t="s">
        <v>190</v>
      </c>
      <c r="B18" s="131"/>
      <c r="C18" s="163" t="s">
        <v>164</v>
      </c>
      <c r="D18" s="168"/>
      <c r="E18" s="168" t="s">
        <v>191</v>
      </c>
      <c r="F18" s="169" t="s">
        <v>6</v>
      </c>
      <c r="G18" s="170">
        <v>1.8</v>
      </c>
      <c r="H18" s="148">
        <v>0</v>
      </c>
      <c r="I18" s="238">
        <f>Таблица2[[#This Row],[Общее кол-во]]-SUM(Таблица2[[#This Row],[1.n]:[11.n]])</f>
        <v>-152.4</v>
      </c>
      <c r="J18" s="221">
        <f>SUM(Таблица2[[#This Row],[1.n]:[12.n]])</f>
        <v>152.4</v>
      </c>
      <c r="K18" s="219" t="str">
        <f>'1.n2'!E17</f>
        <v>Объем</v>
      </c>
      <c r="L18" s="219" t="str">
        <f>'2.n2'!E17</f>
        <v>Объем</v>
      </c>
      <c r="M18" s="219" t="str">
        <f>'3.n2'!E17</f>
        <v>Объем</v>
      </c>
      <c r="N18" s="219" t="str">
        <f>'4.n2'!E17</f>
        <v>Объем</v>
      </c>
      <c r="O18" s="219" t="str">
        <f>'5.n3'!E17</f>
        <v>Объем</v>
      </c>
      <c r="P18" s="219">
        <f>'6.n3э'!E17</f>
        <v>62.5</v>
      </c>
      <c r="Q18" s="219">
        <f>'7.n2'!E17</f>
        <v>59</v>
      </c>
      <c r="R18" s="219" t="str">
        <f>'8.n2'!E17</f>
        <v>Объем</v>
      </c>
      <c r="S18" s="219">
        <f>'9.n2'!E17</f>
        <v>27.999999999999996</v>
      </c>
      <c r="T18" s="219">
        <f>'10.n3'!E17</f>
        <v>2.9</v>
      </c>
      <c r="U18" s="219"/>
      <c r="V18" s="219"/>
      <c r="Y18" s="325"/>
      <c r="Z18" s="325"/>
      <c r="AA18" s="325"/>
      <c r="AB18" s="325"/>
      <c r="AC18" s="325"/>
      <c r="AD18" s="325"/>
      <c r="AE18" s="325"/>
    </row>
    <row r="19" spans="1:39" ht="31.2" x14ac:dyDescent="0.3">
      <c r="A19" s="141" t="s">
        <v>192</v>
      </c>
      <c r="B19" s="132" t="s">
        <v>193</v>
      </c>
      <c r="C19" s="179" t="s">
        <v>194</v>
      </c>
      <c r="D19" s="128"/>
      <c r="E19" s="128" t="s">
        <v>195</v>
      </c>
      <c r="F19" s="128" t="s">
        <v>123</v>
      </c>
      <c r="G19" s="180">
        <v>1</v>
      </c>
      <c r="H19" s="147">
        <v>8128.4</v>
      </c>
      <c r="I19" s="251">
        <f>Таблица2[[#This Row],[Общее кол-во]]-SUM(Таблица2[[#This Row],[1.n]:[12.n]])</f>
        <v>8128.4</v>
      </c>
      <c r="J19" s="239">
        <f>SUM(Таблица2[[#This Row],[1.n]:[12.n]])</f>
        <v>0</v>
      </c>
      <c r="K19" s="218"/>
      <c r="L19" s="218"/>
      <c r="M19" s="218"/>
      <c r="N19" s="218"/>
      <c r="O19" s="218"/>
      <c r="P19" s="218"/>
      <c r="Q19" s="218"/>
      <c r="R19" s="218"/>
      <c r="S19" s="218"/>
      <c r="T19" s="218"/>
      <c r="U19" s="218"/>
      <c r="V19" s="218"/>
      <c r="Y19" s="325">
        <f>(Y36+Y41+Y56+Y60)*0.19</f>
        <v>244.15</v>
      </c>
      <c r="Z19" s="325">
        <f t="shared" ref="Z19:AE19" si="0">(Z36+Z41+Z56+Z60)*0.19</f>
        <v>188.68899999999999</v>
      </c>
      <c r="AA19" s="325">
        <f t="shared" si="0"/>
        <v>139.53600000000003</v>
      </c>
      <c r="AB19" s="325">
        <f t="shared" si="0"/>
        <v>328.22500000000002</v>
      </c>
      <c r="AC19" s="325">
        <f t="shared" si="0"/>
        <v>336.77499999999998</v>
      </c>
      <c r="AD19" s="325">
        <f t="shared" si="0"/>
        <v>183.02700000000002</v>
      </c>
      <c r="AE19" s="325">
        <f t="shared" si="0"/>
        <v>283.68899999999996</v>
      </c>
      <c r="AF19" s="324" t="s">
        <v>580</v>
      </c>
    </row>
    <row r="20" spans="1:39" hidden="1" x14ac:dyDescent="0.3">
      <c r="A20" s="140" t="s">
        <v>196</v>
      </c>
      <c r="B20" s="131"/>
      <c r="C20" s="167" t="s">
        <v>197</v>
      </c>
      <c r="D20" s="168"/>
      <c r="E20" s="168"/>
      <c r="F20" s="169" t="s">
        <v>6</v>
      </c>
      <c r="G20" s="170">
        <v>1</v>
      </c>
      <c r="H20" s="148">
        <v>8128.4</v>
      </c>
      <c r="I20" s="238">
        <f>Таблица2[[#This Row],[Общее кол-во]]-SUM(Таблица2[[#This Row],[1.n]:[11.n]])</f>
        <v>-1008.7404587284145</v>
      </c>
      <c r="J20" s="223">
        <f>SUM(Таблица2[[#This Row],[1.n]:[12.n]])</f>
        <v>9137.1404587284142</v>
      </c>
      <c r="K20" s="219">
        <f>'1.n2'!E19</f>
        <v>151.977</v>
      </c>
      <c r="L20" s="219">
        <f>'2.n2'!E19</f>
        <v>125.5095</v>
      </c>
      <c r="M20" s="219">
        <f>'3.n2'!E19</f>
        <v>75.396000000000001</v>
      </c>
      <c r="N20" s="219">
        <f>'4.n2'!E19</f>
        <v>158.90674010941498</v>
      </c>
      <c r="O20" s="219">
        <f>'5.n3'!E19</f>
        <v>620.63121861899992</v>
      </c>
      <c r="P20" s="219">
        <f>'6.n3э'!E19</f>
        <v>3250</v>
      </c>
      <c r="Q20" s="219">
        <f>'7.n2'!E19</f>
        <v>3068</v>
      </c>
      <c r="R20" s="219">
        <f>'8.n2'!E19</f>
        <v>79.92</v>
      </c>
      <c r="S20" s="219">
        <f>'9.n2'!E19</f>
        <v>1456</v>
      </c>
      <c r="T20" s="219">
        <f>'10.n3'!E19</f>
        <v>150.80000000000001</v>
      </c>
      <c r="U20" s="219"/>
      <c r="V20" s="219"/>
      <c r="Y20" s="325">
        <f t="shared" ref="Y20:Y21" si="1">(Y37+Y42+Y57+Y61)*0.2037</f>
        <v>0</v>
      </c>
      <c r="Z20" s="325">
        <f t="shared" ref="Z20:AE20" si="2">(Z37+Z42+Z57+Z61)*0.2037</f>
        <v>0</v>
      </c>
      <c r="AA20" s="325">
        <f t="shared" si="2"/>
        <v>0</v>
      </c>
      <c r="AB20" s="325">
        <f t="shared" si="2"/>
        <v>0</v>
      </c>
      <c r="AC20" s="325">
        <f t="shared" si="2"/>
        <v>0</v>
      </c>
      <c r="AD20" s="325">
        <f t="shared" si="2"/>
        <v>0</v>
      </c>
      <c r="AE20" s="325">
        <f t="shared" si="2"/>
        <v>0</v>
      </c>
    </row>
    <row r="21" spans="1:39" hidden="1" x14ac:dyDescent="0.3">
      <c r="A21" s="139" t="s">
        <v>198</v>
      </c>
      <c r="B21" s="130"/>
      <c r="C21" s="173" t="s">
        <v>10</v>
      </c>
      <c r="D21" s="164"/>
      <c r="E21" s="164"/>
      <c r="F21" s="165" t="s">
        <v>6</v>
      </c>
      <c r="G21" s="166">
        <v>0.15</v>
      </c>
      <c r="H21" s="148">
        <v>1219.26</v>
      </c>
      <c r="I21" s="238">
        <f>Таблица2[[#This Row],[Общее кол-во]]-SUM(Таблица2[[#This Row],[1.n]:[11.n]])</f>
        <v>-13238.94150474098</v>
      </c>
      <c r="J21" s="222">
        <f>SUM(Таблица2[[#This Row],[1.n]:[12.n]])</f>
        <v>14458.20150474098</v>
      </c>
      <c r="K21" s="219">
        <f>'1.n2'!E20</f>
        <v>1823.7240000000002</v>
      </c>
      <c r="L21" s="219">
        <f>'2.n2'!E20</f>
        <v>1506.114</v>
      </c>
      <c r="M21" s="219">
        <f>'3.n2'!E20</f>
        <v>904.75199999999995</v>
      </c>
      <c r="N21" s="219">
        <f>'4.n2'!E20</f>
        <v>1906.8808813129801</v>
      </c>
      <c r="O21" s="219">
        <f>'5.n3'!E20</f>
        <v>7447.5746234280005</v>
      </c>
      <c r="P21" s="219">
        <f>'6.n3э'!E20</f>
        <v>193.9</v>
      </c>
      <c r="Q21" s="219">
        <f>'7.n2'!E20</f>
        <v>221.60000000000002</v>
      </c>
      <c r="R21" s="219">
        <f>'8.n2'!E20</f>
        <v>143.85599999999999</v>
      </c>
      <c r="S21" s="219">
        <f>'9.n2'!E20</f>
        <v>272.39999999999998</v>
      </c>
      <c r="T21" s="219">
        <f>'10.n3'!E20</f>
        <v>37.4</v>
      </c>
      <c r="U21" s="219"/>
      <c r="V21" s="219"/>
      <c r="Y21" s="325">
        <f t="shared" si="1"/>
        <v>0</v>
      </c>
      <c r="Z21" s="325">
        <f t="shared" ref="Z21:AE21" si="3">(Z38+Z43+Z58+Z62)*0.2037</f>
        <v>0</v>
      </c>
      <c r="AA21" s="325">
        <f t="shared" si="3"/>
        <v>0</v>
      </c>
      <c r="AB21" s="325">
        <f t="shared" si="3"/>
        <v>0</v>
      </c>
      <c r="AC21" s="325">
        <f t="shared" si="3"/>
        <v>0</v>
      </c>
      <c r="AD21" s="325">
        <f t="shared" si="3"/>
        <v>0</v>
      </c>
      <c r="AE21" s="325">
        <f t="shared" si="3"/>
        <v>0</v>
      </c>
    </row>
    <row r="22" spans="1:39" ht="31.2" x14ac:dyDescent="0.3">
      <c r="A22" s="138" t="s">
        <v>199</v>
      </c>
      <c r="B22" s="129" t="s">
        <v>193</v>
      </c>
      <c r="C22" s="160" t="s">
        <v>194</v>
      </c>
      <c r="D22" s="161"/>
      <c r="E22" s="161" t="s">
        <v>200</v>
      </c>
      <c r="F22" s="161" t="s">
        <v>123</v>
      </c>
      <c r="G22" s="162">
        <v>1</v>
      </c>
      <c r="H22" s="147">
        <v>7374</v>
      </c>
      <c r="I22" s="251">
        <f>Таблица2[[#This Row],[Общее кол-во]]-SUM(Таблица2[[#This Row],[1.n]:[12.n]])</f>
        <v>7374</v>
      </c>
      <c r="J22" s="239">
        <f>SUM(Таблица2[[#This Row],[1.n]:[12.n]])</f>
        <v>0</v>
      </c>
      <c r="K22" s="218"/>
      <c r="L22" s="218"/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Y22" s="325">
        <f>(Y46+Y51+Y64+Y68)*0.24</f>
        <v>364.03200000000004</v>
      </c>
      <c r="Z22" s="325">
        <f t="shared" ref="Z22:AE22" si="4">(Z46+Z51+Z64+Z68)*0.24</f>
        <v>301.39200000000005</v>
      </c>
      <c r="AA22" s="325">
        <f t="shared" si="4"/>
        <v>86.903999999999996</v>
      </c>
      <c r="AB22" s="325">
        <f t="shared" si="4"/>
        <v>347.47199999999998</v>
      </c>
      <c r="AC22" s="325">
        <f t="shared" si="4"/>
        <v>287.52</v>
      </c>
      <c r="AD22" s="325">
        <f t="shared" si="4"/>
        <v>229.96799999999999</v>
      </c>
      <c r="AE22" s="325">
        <f t="shared" si="4"/>
        <v>308.64</v>
      </c>
      <c r="AF22" s="324" t="s">
        <v>581</v>
      </c>
    </row>
    <row r="23" spans="1:39" hidden="1" x14ac:dyDescent="0.3">
      <c r="A23" s="139" t="s">
        <v>201</v>
      </c>
      <c r="B23" s="130"/>
      <c r="C23" s="173" t="s">
        <v>10</v>
      </c>
      <c r="D23" s="164"/>
      <c r="E23" s="164"/>
      <c r="F23" s="165" t="s">
        <v>6</v>
      </c>
      <c r="G23" s="166">
        <v>0.15</v>
      </c>
      <c r="H23" s="148">
        <v>1106.0999999999999</v>
      </c>
      <c r="I23" s="238">
        <f>Таблица2[[#This Row],[Общее кол-во]]-SUM(Таблица2[[#This Row],[1.n]:[11.n]])</f>
        <v>380.79999999999995</v>
      </c>
      <c r="J23" s="222">
        <f>SUM(Таблица2[[#This Row],[1.n]:[12.n]])</f>
        <v>725.3</v>
      </c>
      <c r="K23" s="219">
        <f>'1.n2'!E22</f>
        <v>0</v>
      </c>
      <c r="L23" s="219">
        <f>'2.n2'!E22</f>
        <v>0</v>
      </c>
      <c r="M23" s="219">
        <f>'3.n2'!E22</f>
        <v>0</v>
      </c>
      <c r="N23" s="219">
        <f>'4.n2'!E22</f>
        <v>0</v>
      </c>
      <c r="O23" s="219">
        <f>'5.n3'!E22</f>
        <v>0</v>
      </c>
      <c r="P23" s="219">
        <f>'6.n3э'!E22</f>
        <v>193.9</v>
      </c>
      <c r="Q23" s="219">
        <f>'7.n2'!E22</f>
        <v>221.60000000000002</v>
      </c>
      <c r="R23" s="219">
        <f>'8.n2'!E22</f>
        <v>0</v>
      </c>
      <c r="S23" s="219">
        <f>'9.n2'!E22</f>
        <v>272.39999999999998</v>
      </c>
      <c r="T23" s="219">
        <f>'10.n3'!E22</f>
        <v>37.4</v>
      </c>
      <c r="U23" s="219"/>
      <c r="V23" s="219"/>
      <c r="Y23" s="325"/>
      <c r="Z23" s="325"/>
      <c r="AA23" s="325"/>
      <c r="AB23" s="325"/>
      <c r="AC23" s="325"/>
      <c r="AD23" s="325"/>
      <c r="AE23" s="325"/>
    </row>
    <row r="24" spans="1:39" hidden="1" x14ac:dyDescent="0.3">
      <c r="A24" s="140" t="s">
        <v>202</v>
      </c>
      <c r="B24" s="131"/>
      <c r="C24" s="167" t="s">
        <v>197</v>
      </c>
      <c r="D24" s="168"/>
      <c r="E24" s="168"/>
      <c r="F24" s="169" t="s">
        <v>6</v>
      </c>
      <c r="G24" s="170">
        <v>1</v>
      </c>
      <c r="H24" s="148">
        <v>7374</v>
      </c>
      <c r="I24" s="238">
        <f>Таблица2[[#This Row],[Общее кол-во]]-SUM(Таблица2[[#This Row],[1.n]:[11.n]])</f>
        <v>6576.17</v>
      </c>
      <c r="J24" s="222">
        <f>SUM(Таблица2[[#This Row],[1.n]:[12.n]])</f>
        <v>797.83</v>
      </c>
      <c r="K24" s="219">
        <f>'1.n2'!E23</f>
        <v>0</v>
      </c>
      <c r="L24" s="219">
        <f>'2.n2'!E23</f>
        <v>0</v>
      </c>
      <c r="M24" s="219">
        <f>'3.n2'!E23</f>
        <v>0</v>
      </c>
      <c r="N24" s="219">
        <f>'4.n2'!E23</f>
        <v>0</v>
      </c>
      <c r="O24" s="219">
        <f>'5.n3'!E23</f>
        <v>0</v>
      </c>
      <c r="P24" s="219">
        <f>'6.n3э'!E23</f>
        <v>213.29000000000002</v>
      </c>
      <c r="Q24" s="219">
        <f>'7.n2'!E23</f>
        <v>243.76000000000005</v>
      </c>
      <c r="R24" s="219">
        <f>'8.n2'!E23</f>
        <v>0</v>
      </c>
      <c r="S24" s="219">
        <f>'9.n2'!E23</f>
        <v>299.64</v>
      </c>
      <c r="T24" s="219">
        <f>'10.n3'!E23</f>
        <v>41.14</v>
      </c>
      <c r="U24" s="219"/>
      <c r="V24" s="219"/>
      <c r="Y24" s="325"/>
      <c r="Z24" s="325"/>
      <c r="AA24" s="325"/>
      <c r="AB24" s="325"/>
      <c r="AC24" s="325"/>
      <c r="AD24" s="325"/>
      <c r="AE24" s="325"/>
    </row>
    <row r="25" spans="1:39" x14ac:dyDescent="0.3">
      <c r="A25" s="141" t="s">
        <v>203</v>
      </c>
      <c r="B25" s="132" t="s">
        <v>193</v>
      </c>
      <c r="C25" s="179" t="s">
        <v>194</v>
      </c>
      <c r="D25" s="128"/>
      <c r="E25" s="128" t="s">
        <v>204</v>
      </c>
      <c r="F25" s="128" t="s">
        <v>123</v>
      </c>
      <c r="G25" s="180">
        <v>1</v>
      </c>
      <c r="H25" s="147">
        <v>8128.4</v>
      </c>
      <c r="I25" s="251">
        <f>Таблица2[[#This Row],[Общее кол-во]]-SUM(Таблица2[[#This Row],[1.n]:[12.n]])</f>
        <v>1163.6717326038988</v>
      </c>
      <c r="J25" s="238">
        <f>SUM(Таблица2[[#This Row],[1.n]:[12.n]])</f>
        <v>6964.7282673961008</v>
      </c>
      <c r="K25" s="218">
        <f>'1.n2'!E18</f>
        <v>1013.1800000000001</v>
      </c>
      <c r="L25" s="218">
        <f>'2.n2'!E18</f>
        <v>836.73</v>
      </c>
      <c r="M25" s="218">
        <f>'3.n2'!E18</f>
        <v>502.64</v>
      </c>
      <c r="N25" s="218">
        <f>'4.n2'!E18</f>
        <v>1059.3782673961</v>
      </c>
      <c r="O25" s="218"/>
      <c r="P25" s="218"/>
      <c r="Q25" s="218">
        <f>'7.n2'!E28</f>
        <v>1872.9</v>
      </c>
      <c r="R25" s="218">
        <f>'8.n2'!E18</f>
        <v>532.80000000000007</v>
      </c>
      <c r="S25" s="218">
        <f>'9.n2'!E28</f>
        <v>1147.1000000000001</v>
      </c>
      <c r="T25" s="218"/>
      <c r="U25" s="218">
        <v>0</v>
      </c>
      <c r="V25" s="218"/>
      <c r="Y25" s="325">
        <f>SUM(Y56:Y60)</f>
        <v>1285</v>
      </c>
      <c r="Z25" s="325">
        <f t="shared" ref="Z25:AE25" si="5">SUM(Z56:Z60)</f>
        <v>747.3</v>
      </c>
      <c r="AA25" s="325">
        <f t="shared" si="5"/>
        <v>734.40000000000009</v>
      </c>
      <c r="AB25" s="333">
        <v>1883.2</v>
      </c>
      <c r="AC25" s="325">
        <f t="shared" si="5"/>
        <v>1319</v>
      </c>
      <c r="AD25" s="325">
        <f t="shared" si="5"/>
        <v>770.6</v>
      </c>
      <c r="AE25" s="325">
        <f t="shared" si="5"/>
        <v>1402.3</v>
      </c>
      <c r="AF25" s="324">
        <f>SUM(Y25:AE25)-Таблица2[[#This Row],[Общее кол-во]]</f>
        <v>13.400000000000546</v>
      </c>
    </row>
    <row r="26" spans="1:39" ht="31.2" hidden="1" x14ac:dyDescent="0.3">
      <c r="A26" s="142" t="s">
        <v>205</v>
      </c>
      <c r="B26" s="133"/>
      <c r="C26" s="182" t="s">
        <v>164</v>
      </c>
      <c r="D26" s="183"/>
      <c r="E26" s="183"/>
      <c r="F26" s="184" t="s">
        <v>6</v>
      </c>
      <c r="G26" s="185">
        <v>1.8</v>
      </c>
      <c r="H26" s="148">
        <v>14631.12</v>
      </c>
      <c r="I26" s="238">
        <f>Таблица2[[#This Row],[Общее кол-во]]-SUM(Таблица2[[#This Row],[1.n]:[11.n]])</f>
        <v>14631.12</v>
      </c>
      <c r="J26" s="222">
        <f>SUM(Таблица2[[#This Row],[1.n]:[12.n]])</f>
        <v>0</v>
      </c>
      <c r="K26" s="219">
        <f>'1.n2'!E25</f>
        <v>0</v>
      </c>
      <c r="L26" s="219">
        <f>'2.n2'!E25</f>
        <v>0</v>
      </c>
      <c r="M26" s="219">
        <f>'3.n2'!E25</f>
        <v>0</v>
      </c>
      <c r="N26" s="219">
        <f>'4.n2'!E25</f>
        <v>0</v>
      </c>
      <c r="O26" s="219">
        <f>'5.n3'!E25</f>
        <v>0</v>
      </c>
      <c r="P26" s="219">
        <f>'6.n3э'!E25</f>
        <v>0</v>
      </c>
      <c r="Q26" s="219">
        <f>'7.n2'!E25</f>
        <v>0</v>
      </c>
      <c r="R26" s="219">
        <f>'8.n2'!E25</f>
        <v>0</v>
      </c>
      <c r="S26" s="219">
        <f>'9.n2'!E25</f>
        <v>0</v>
      </c>
      <c r="T26" s="219">
        <f>'10.n3'!E25</f>
        <v>0</v>
      </c>
      <c r="U26" s="219"/>
      <c r="V26" s="219"/>
      <c r="Y26" s="325"/>
      <c r="Z26" s="325"/>
      <c r="AA26" s="325"/>
      <c r="AB26" s="325"/>
      <c r="AC26" s="325"/>
      <c r="AD26" s="325"/>
      <c r="AE26" s="325"/>
      <c r="AF26" s="324">
        <f>SUM(Y26:AE26)-Таблица2[[#This Row],[Общее кол-во]]</f>
        <v>-14631.12</v>
      </c>
    </row>
    <row r="27" spans="1:39" hidden="1" x14ac:dyDescent="0.3">
      <c r="A27" s="143" t="s">
        <v>206</v>
      </c>
      <c r="B27" s="134"/>
      <c r="C27" s="186" t="s">
        <v>10</v>
      </c>
      <c r="D27" s="187"/>
      <c r="E27" s="187"/>
      <c r="F27" s="188" t="s">
        <v>6</v>
      </c>
      <c r="G27" s="189">
        <v>0.15</v>
      </c>
      <c r="H27" s="148">
        <v>1219.26</v>
      </c>
      <c r="I27" s="238">
        <f>Таблица2[[#This Row],[Общее кол-во]]-SUM(Таблица2[[#This Row],[1.n]:[11.n]])</f>
        <v>1219.26</v>
      </c>
      <c r="J27" s="222">
        <f>SUM(Таблица2[[#This Row],[1.n]:[12.n]])</f>
        <v>0</v>
      </c>
      <c r="K27" s="219">
        <f>'1.n2'!E26</f>
        <v>0</v>
      </c>
      <c r="L27" s="219">
        <f>'2.n2'!E26</f>
        <v>0</v>
      </c>
      <c r="M27" s="219">
        <f>'3.n2'!E26</f>
        <v>0</v>
      </c>
      <c r="N27" s="219">
        <f>'4.n2'!E26</f>
        <v>0</v>
      </c>
      <c r="O27" s="219">
        <f>'5.n3'!E26</f>
        <v>0</v>
      </c>
      <c r="P27" s="219">
        <f>'6.n3э'!E26</f>
        <v>0</v>
      </c>
      <c r="Q27" s="219">
        <f>'7.n2'!E26</f>
        <v>0</v>
      </c>
      <c r="R27" s="219">
        <f>'8.n2'!E26</f>
        <v>0</v>
      </c>
      <c r="S27" s="219">
        <f>'9.n2'!E26</f>
        <v>0</v>
      </c>
      <c r="T27" s="219">
        <f>'10.n3'!E26</f>
        <v>0</v>
      </c>
      <c r="U27" s="219"/>
      <c r="V27" s="219"/>
      <c r="Y27" s="325"/>
      <c r="Z27" s="325"/>
      <c r="AA27" s="325"/>
      <c r="AB27" s="325"/>
      <c r="AC27" s="325"/>
      <c r="AD27" s="325"/>
      <c r="AE27" s="325"/>
      <c r="AF27" s="324">
        <f>SUM(Y27:AE27)-Таблица2[[#This Row],[Общее кол-во]]</f>
        <v>-1219.26</v>
      </c>
    </row>
    <row r="28" spans="1:39" x14ac:dyDescent="0.3">
      <c r="A28" s="138" t="s">
        <v>207</v>
      </c>
      <c r="B28" s="129" t="s">
        <v>193</v>
      </c>
      <c r="C28" s="160" t="s">
        <v>194</v>
      </c>
      <c r="D28" s="161"/>
      <c r="E28" s="161" t="s">
        <v>208</v>
      </c>
      <c r="F28" s="161" t="s">
        <v>123</v>
      </c>
      <c r="G28" s="162">
        <v>1</v>
      </c>
      <c r="H28" s="147">
        <v>7374</v>
      </c>
      <c r="I28" s="251">
        <f>Таблица2[[#This Row],[Общее кол-во]]-SUM(Таблица2[[#This Row],[1.n]:[12.n]])</f>
        <v>369.95854254000005</v>
      </c>
      <c r="J28" s="238">
        <f>SUM(Таблица2[[#This Row],[1.n]:[12.n]])</f>
        <v>7004.0414574599999</v>
      </c>
      <c r="K28" s="218"/>
      <c r="L28" s="218"/>
      <c r="M28" s="218"/>
      <c r="N28" s="218"/>
      <c r="O28" s="218">
        <f>'5.n3'!E18</f>
        <v>4137.5414574599999</v>
      </c>
      <c r="P28" s="218">
        <f>'6.n3э'!E28</f>
        <v>1638.4</v>
      </c>
      <c r="Q28" s="218"/>
      <c r="R28" s="218"/>
      <c r="S28" s="218"/>
      <c r="T28" s="218">
        <f>'10.n3'!E28</f>
        <v>1228.1000000000001</v>
      </c>
      <c r="U28" s="218"/>
      <c r="V28" s="218">
        <v>0</v>
      </c>
      <c r="Y28" s="325">
        <f>SUM(Y64:Y68)</f>
        <v>1516.8000000000002</v>
      </c>
      <c r="Z28" s="325">
        <f t="shared" ref="Z28:AE28" si="6">SUM(Z64:Z68)</f>
        <v>1010</v>
      </c>
      <c r="AA28" s="325">
        <f t="shared" si="6"/>
        <v>362.1</v>
      </c>
      <c r="AB28" s="325">
        <f t="shared" si="6"/>
        <v>1293.0999999999999</v>
      </c>
      <c r="AC28" s="325">
        <f t="shared" si="6"/>
        <v>1155.9000000000001</v>
      </c>
      <c r="AD28" s="325">
        <f t="shared" si="6"/>
        <v>765</v>
      </c>
      <c r="AE28" s="325">
        <f t="shared" si="6"/>
        <v>1195.2</v>
      </c>
      <c r="AF28" s="324">
        <f>SUM(Y28:AE28)-Таблица2[[#This Row],[Общее кол-во]]</f>
        <v>-75.900000000000546</v>
      </c>
      <c r="AK28" s="324">
        <v>47.17655080503944</v>
      </c>
      <c r="AL28" s="324">
        <v>52.823449194960567</v>
      </c>
      <c r="AM28" s="324">
        <v>3479</v>
      </c>
    </row>
    <row r="29" spans="1:39" hidden="1" x14ac:dyDescent="0.3">
      <c r="A29" s="139" t="s">
        <v>209</v>
      </c>
      <c r="B29" s="130"/>
      <c r="C29" s="173" t="s">
        <v>10</v>
      </c>
      <c r="D29" s="164"/>
      <c r="E29" s="164"/>
      <c r="F29" s="165" t="s">
        <v>6</v>
      </c>
      <c r="G29" s="166">
        <v>0.15</v>
      </c>
      <c r="H29" s="148">
        <v>1106.0999999999999</v>
      </c>
      <c r="I29" s="238">
        <f>Таблица2[[#This Row],[Общее кол-во]]-SUM(Таблица2[[#This Row],[1.n]:[11.n]])</f>
        <v>-4780.4000000000015</v>
      </c>
      <c r="J29" s="222">
        <f>SUM(Таблица2[[#This Row],[1.n]:[12.n]])</f>
        <v>5886.5000000000009</v>
      </c>
      <c r="K29" s="219">
        <f>'1.n2'!E28</f>
        <v>0</v>
      </c>
      <c r="L29" s="219">
        <f>'2.n2'!E28</f>
        <v>0</v>
      </c>
      <c r="M29" s="219">
        <f>'3.n2'!E28</f>
        <v>0</v>
      </c>
      <c r="N29" s="219">
        <f>'4.n2'!E28</f>
        <v>0</v>
      </c>
      <c r="O29" s="219">
        <f>'5.n3'!E28</f>
        <v>0</v>
      </c>
      <c r="P29" s="219">
        <f>'6.n3э'!E28</f>
        <v>1638.4</v>
      </c>
      <c r="Q29" s="219">
        <f>'7.n2'!E28</f>
        <v>1872.9</v>
      </c>
      <c r="R29" s="219">
        <f>'8.n2'!E28</f>
        <v>0</v>
      </c>
      <c r="S29" s="219">
        <f>'9.n2'!E28</f>
        <v>1147.1000000000001</v>
      </c>
      <c r="T29" s="219">
        <f>'10.n3'!E28</f>
        <v>1228.1000000000001</v>
      </c>
      <c r="U29" s="219"/>
      <c r="V29" s="219"/>
      <c r="Y29" s="325"/>
      <c r="Z29" s="325"/>
      <c r="AA29" s="325"/>
      <c r="AB29" s="325"/>
      <c r="AC29" s="325"/>
      <c r="AD29" s="325"/>
      <c r="AE29" s="325"/>
      <c r="AF29" s="324">
        <f>SUM(Y29:AE29)-Таблица2[[#This Row],[Общее кол-во]]</f>
        <v>-1106.0999999999999</v>
      </c>
    </row>
    <row r="30" spans="1:39" ht="31.2" hidden="1" x14ac:dyDescent="0.3">
      <c r="A30" s="140" t="s">
        <v>210</v>
      </c>
      <c r="B30" s="131"/>
      <c r="C30" s="163" t="s">
        <v>164</v>
      </c>
      <c r="D30" s="168"/>
      <c r="E30" s="168"/>
      <c r="F30" s="169" t="s">
        <v>6</v>
      </c>
      <c r="G30" s="170">
        <v>1.8</v>
      </c>
      <c r="H30" s="148">
        <v>13273.2</v>
      </c>
      <c r="I30" s="238">
        <f>Таблица2[[#This Row],[Общее кол-во]]-SUM(Таблица2[[#This Row],[1.n]:[11.n]])</f>
        <v>12390.225</v>
      </c>
      <c r="J30" s="222">
        <f>SUM(Таблица2[[#This Row],[1.n]:[12.n]])</f>
        <v>882.97500000000002</v>
      </c>
      <c r="K30" s="219">
        <f>'1.n2'!E29</f>
        <v>0</v>
      </c>
      <c r="L30" s="219">
        <f>'2.n2'!E29</f>
        <v>0</v>
      </c>
      <c r="M30" s="219">
        <f>'3.n2'!E29</f>
        <v>0</v>
      </c>
      <c r="N30" s="219">
        <f>'4.n2'!E29</f>
        <v>0</v>
      </c>
      <c r="O30" s="219">
        <f>'5.n3'!E29</f>
        <v>0</v>
      </c>
      <c r="P30" s="219">
        <f>'6.n3э'!E29</f>
        <v>245.76</v>
      </c>
      <c r="Q30" s="219">
        <f>'7.n2'!E29</f>
        <v>280.935</v>
      </c>
      <c r="R30" s="219">
        <f>'8.n2'!E29</f>
        <v>0</v>
      </c>
      <c r="S30" s="219">
        <f>'9.n2'!E29</f>
        <v>172.06500000000003</v>
      </c>
      <c r="T30" s="219">
        <f>'10.n3'!E29</f>
        <v>184.215</v>
      </c>
      <c r="U30" s="219"/>
      <c r="V30" s="219"/>
      <c r="Y30" s="325"/>
      <c r="Z30" s="325"/>
      <c r="AA30" s="325"/>
      <c r="AB30" s="325"/>
      <c r="AC30" s="325"/>
      <c r="AD30" s="325"/>
      <c r="AE30" s="325"/>
      <c r="AF30" s="324">
        <f>SUM(Y30:AE30)-Таблица2[[#This Row],[Общее кол-во]]</f>
        <v>-13273.2</v>
      </c>
    </row>
    <row r="31" spans="1:39" ht="46.8" hidden="1" x14ac:dyDescent="0.3">
      <c r="A31" s="139" t="s">
        <v>211</v>
      </c>
      <c r="B31" s="130" t="s">
        <v>212</v>
      </c>
      <c r="C31" s="171" t="s">
        <v>213</v>
      </c>
      <c r="D31" s="164"/>
      <c r="E31" s="164" t="s">
        <v>169</v>
      </c>
      <c r="F31" s="164" t="s">
        <v>123</v>
      </c>
      <c r="G31" s="172">
        <v>1</v>
      </c>
      <c r="H31" s="149">
        <v>0</v>
      </c>
      <c r="I31" s="238">
        <f>Таблица2[[#This Row],[Общее кол-во]]-SUM(Таблица2[[#This Row],[1.n]:[11.n]])</f>
        <v>-1589.355</v>
      </c>
      <c r="J31" s="222">
        <f>SUM(Таблица2[[#This Row],[1.n]:[12.n]])</f>
        <v>1589.355</v>
      </c>
      <c r="K31" s="219">
        <f>'1.n2'!E30</f>
        <v>0</v>
      </c>
      <c r="L31" s="219">
        <f>'2.n2'!E30</f>
        <v>0</v>
      </c>
      <c r="M31" s="219">
        <f>'3.n2'!E30</f>
        <v>0</v>
      </c>
      <c r="N31" s="219">
        <f>'4.n2'!E30</f>
        <v>0</v>
      </c>
      <c r="O31" s="219">
        <f>'5.n3'!E30</f>
        <v>0</v>
      </c>
      <c r="P31" s="219">
        <f>'6.n3э'!E30</f>
        <v>442.36799999999999</v>
      </c>
      <c r="Q31" s="219">
        <f>'7.n2'!E30</f>
        <v>505.68299999999999</v>
      </c>
      <c r="R31" s="219">
        <f>'8.n2'!E30</f>
        <v>0</v>
      </c>
      <c r="S31" s="219">
        <f>'9.n2'!E30</f>
        <v>309.71700000000004</v>
      </c>
      <c r="T31" s="219">
        <f>'10.n3'!E30</f>
        <v>331.58699999999999</v>
      </c>
      <c r="U31" s="219"/>
      <c r="V31" s="219"/>
      <c r="Y31" s="325"/>
      <c r="Z31" s="325"/>
      <c r="AA31" s="325"/>
      <c r="AB31" s="325"/>
      <c r="AC31" s="325"/>
      <c r="AD31" s="325"/>
      <c r="AE31" s="325"/>
      <c r="AF31" s="324">
        <f>SUM(Y31:AE31)-Таблица2[[#This Row],[Общее кол-во]]</f>
        <v>0</v>
      </c>
    </row>
    <row r="32" spans="1:39" ht="31.2" hidden="1" x14ac:dyDescent="0.3">
      <c r="A32" s="140" t="s">
        <v>214</v>
      </c>
      <c r="B32" s="131"/>
      <c r="C32" s="167" t="s">
        <v>122</v>
      </c>
      <c r="D32" s="168"/>
      <c r="E32" s="168" t="s">
        <v>215</v>
      </c>
      <c r="F32" s="169" t="s">
        <v>6</v>
      </c>
      <c r="G32" s="170">
        <v>1.3</v>
      </c>
      <c r="H32" s="148">
        <v>0</v>
      </c>
      <c r="I32" s="238">
        <f>Таблица2[[#This Row],[Общее кол-во]]-SUM(Таблица2[[#This Row],[1.n]:[11.n]])</f>
        <v>-476.80649999999997</v>
      </c>
      <c r="J32" s="222">
        <f>SUM(Таблица2[[#This Row],[1.n]:[12.n]])</f>
        <v>476.80649999999997</v>
      </c>
      <c r="K32" s="219">
        <f>'1.n2'!E31</f>
        <v>0</v>
      </c>
      <c r="L32" s="219">
        <f>'2.n2'!E31</f>
        <v>0</v>
      </c>
      <c r="M32" s="219">
        <f>'3.n2'!E31</f>
        <v>0</v>
      </c>
      <c r="N32" s="219">
        <f>'4.n2'!E31</f>
        <v>0</v>
      </c>
      <c r="O32" s="219">
        <f>'5.n3'!E31</f>
        <v>0</v>
      </c>
      <c r="P32" s="219">
        <f>'6.n3э'!E31</f>
        <v>132.71039999999999</v>
      </c>
      <c r="Q32" s="219">
        <f>'7.n2'!E31</f>
        <v>151.70489999999998</v>
      </c>
      <c r="R32" s="219">
        <f>'8.n2'!E31</f>
        <v>0</v>
      </c>
      <c r="S32" s="219">
        <f>'9.n2'!E31</f>
        <v>92.91510000000001</v>
      </c>
      <c r="T32" s="219">
        <f>'10.n3'!E31</f>
        <v>99.476099999999988</v>
      </c>
      <c r="U32" s="219"/>
      <c r="V32" s="219"/>
      <c r="Y32" s="325"/>
      <c r="Z32" s="325"/>
      <c r="AA32" s="325"/>
      <c r="AB32" s="325"/>
      <c r="AC32" s="325"/>
      <c r="AD32" s="325"/>
      <c r="AE32" s="325"/>
      <c r="AF32" s="324">
        <f>SUM(Y32:AE32)-Таблица2[[#This Row],[Общее кол-во]]</f>
        <v>0</v>
      </c>
    </row>
    <row r="33" spans="1:174" hidden="1" x14ac:dyDescent="0.3">
      <c r="A33" s="139" t="s">
        <v>216</v>
      </c>
      <c r="B33" s="130"/>
      <c r="C33" s="173" t="s">
        <v>121</v>
      </c>
      <c r="D33" s="164"/>
      <c r="E33" s="164"/>
      <c r="F33" s="165" t="s">
        <v>123</v>
      </c>
      <c r="G33" s="166">
        <v>1.1000000000000001</v>
      </c>
      <c r="H33" s="148">
        <v>0</v>
      </c>
      <c r="I33" s="238">
        <f>Таблица2[[#This Row],[Общее кол-во]]-SUM(Таблица2[[#This Row],[1.n]:[11.n]])</f>
        <v>0</v>
      </c>
      <c r="J33" s="222">
        <f>SUM(Таблица2[[#This Row],[1.n]:[12.n]])</f>
        <v>0</v>
      </c>
      <c r="K33" s="219">
        <f>'1.n2'!E32</f>
        <v>0</v>
      </c>
      <c r="L33" s="219">
        <f>'2.n2'!E32</f>
        <v>0</v>
      </c>
      <c r="M33" s="219">
        <f>'3.n2'!E32</f>
        <v>0</v>
      </c>
      <c r="N33" s="219">
        <f>'4.n2'!E32</f>
        <v>0</v>
      </c>
      <c r="O33" s="219">
        <f>'5.n3'!E32</f>
        <v>0</v>
      </c>
      <c r="P33" s="219">
        <f>'6.n3э'!E32</f>
        <v>0</v>
      </c>
      <c r="Q33" s="219">
        <f>'7.n2'!E32</f>
        <v>0</v>
      </c>
      <c r="R33" s="219">
        <f>'8.n2'!E32</f>
        <v>0</v>
      </c>
      <c r="S33" s="219">
        <f>'9.n2'!E32</f>
        <v>0</v>
      </c>
      <c r="T33" s="219">
        <f>'10.n3'!E32</f>
        <v>0</v>
      </c>
      <c r="U33" s="219"/>
      <c r="V33" s="219"/>
      <c r="Y33" s="325"/>
      <c r="Z33" s="325"/>
      <c r="AA33" s="325"/>
      <c r="AB33" s="325"/>
      <c r="AC33" s="325"/>
      <c r="AD33" s="325"/>
      <c r="AE33" s="325"/>
      <c r="AF33" s="324">
        <f>SUM(Y33:AE33)-Таблица2[[#This Row],[Общее кол-во]]</f>
        <v>0</v>
      </c>
    </row>
    <row r="34" spans="1:174" hidden="1" x14ac:dyDescent="0.3">
      <c r="A34" s="140" t="s">
        <v>217</v>
      </c>
      <c r="B34" s="131"/>
      <c r="C34" s="167" t="s">
        <v>13</v>
      </c>
      <c r="D34" s="168"/>
      <c r="E34" s="168"/>
      <c r="F34" s="169" t="s">
        <v>7</v>
      </c>
      <c r="G34" s="170">
        <v>1</v>
      </c>
      <c r="H34" s="148">
        <v>0</v>
      </c>
      <c r="I34" s="238">
        <f>Таблица2[[#This Row],[Общее кол-во]]-SUM(Таблица2[[#This Row],[1.n]:[11.n]])</f>
        <v>0</v>
      </c>
      <c r="J34" s="222">
        <f>SUM(Таблица2[[#This Row],[1.n]:[12.n]])</f>
        <v>0</v>
      </c>
      <c r="K34" s="219">
        <f>'1.n2'!E33</f>
        <v>0</v>
      </c>
      <c r="L34" s="219">
        <f>'2.n2'!E33</f>
        <v>0</v>
      </c>
      <c r="M34" s="219">
        <f>'3.n2'!E33</f>
        <v>0</v>
      </c>
      <c r="N34" s="219">
        <f>'4.n2'!E33</f>
        <v>0</v>
      </c>
      <c r="O34" s="219">
        <f>'5.n3'!E33</f>
        <v>0</v>
      </c>
      <c r="P34" s="219">
        <f>'6.n3э'!E33</f>
        <v>0</v>
      </c>
      <c r="Q34" s="219">
        <f>'7.n2'!E33</f>
        <v>0</v>
      </c>
      <c r="R34" s="219">
        <f>'8.n2'!E33</f>
        <v>0</v>
      </c>
      <c r="S34" s="219">
        <f>'9.n2'!E33</f>
        <v>0</v>
      </c>
      <c r="T34" s="219">
        <f>'10.n3'!E33</f>
        <v>0</v>
      </c>
      <c r="U34" s="219"/>
      <c r="V34" s="219"/>
      <c r="Y34" s="325"/>
      <c r="Z34" s="325"/>
      <c r="AA34" s="325"/>
      <c r="AB34" s="325"/>
      <c r="AC34" s="325"/>
      <c r="AD34" s="325"/>
      <c r="AE34" s="325"/>
      <c r="AF34" s="324">
        <f>SUM(Y34:AE34)-Таблица2[[#This Row],[Общее кол-во]]</f>
        <v>0</v>
      </c>
    </row>
    <row r="35" spans="1:174" hidden="1" x14ac:dyDescent="0.3">
      <c r="A35" s="139" t="s">
        <v>218</v>
      </c>
      <c r="B35" s="130"/>
      <c r="C35" s="173" t="s">
        <v>120</v>
      </c>
      <c r="D35" s="164"/>
      <c r="E35" s="164"/>
      <c r="F35" s="165" t="s">
        <v>6</v>
      </c>
      <c r="G35" s="166">
        <v>0.25</v>
      </c>
      <c r="H35" s="148">
        <v>0</v>
      </c>
      <c r="I35" s="238">
        <f>Таблица2[[#This Row],[Общее кол-во]]-SUM(Таблица2[[#This Row],[1.n]:[11.n]])</f>
        <v>0</v>
      </c>
      <c r="J35" s="222">
        <f>SUM(Таблица2[[#This Row],[1.n]:[12.n]])</f>
        <v>0</v>
      </c>
      <c r="K35" s="219">
        <f>'1.n2'!E34</f>
        <v>0</v>
      </c>
      <c r="L35" s="219">
        <f>'2.n2'!E34</f>
        <v>0</v>
      </c>
      <c r="M35" s="219">
        <f>'3.n2'!E34</f>
        <v>0</v>
      </c>
      <c r="N35" s="219">
        <f>'4.n2'!E34</f>
        <v>0</v>
      </c>
      <c r="O35" s="219">
        <f>'5.n3'!E34</f>
        <v>0</v>
      </c>
      <c r="P35" s="219">
        <f>'6.n3э'!E34</f>
        <v>0</v>
      </c>
      <c r="Q35" s="219">
        <f>'7.n2'!E34</f>
        <v>0</v>
      </c>
      <c r="R35" s="219">
        <f>'8.n2'!E34</f>
        <v>0</v>
      </c>
      <c r="S35" s="219">
        <f>'9.n2'!E34</f>
        <v>0</v>
      </c>
      <c r="T35" s="219">
        <f>'10.n3'!E34</f>
        <v>0</v>
      </c>
      <c r="U35" s="219"/>
      <c r="V35" s="219"/>
      <c r="Y35" s="325"/>
      <c r="Z35" s="325"/>
      <c r="AA35" s="325"/>
      <c r="AB35" s="325"/>
      <c r="AC35" s="325"/>
      <c r="AD35" s="325"/>
      <c r="AE35" s="325"/>
      <c r="AF35" s="324">
        <f>SUM(Y35:AE35)-Таблица2[[#This Row],[Общее кол-во]]</f>
        <v>0</v>
      </c>
    </row>
    <row r="36" spans="1:174" s="266" customFormat="1" ht="46.8" x14ac:dyDescent="0.3">
      <c r="A36" s="257" t="s">
        <v>219</v>
      </c>
      <c r="B36" s="258" t="s">
        <v>220</v>
      </c>
      <c r="C36" s="259" t="s">
        <v>221</v>
      </c>
      <c r="D36" s="260"/>
      <c r="E36" s="260" t="s">
        <v>222</v>
      </c>
      <c r="F36" s="260" t="s">
        <v>123</v>
      </c>
      <c r="G36" s="261">
        <v>1</v>
      </c>
      <c r="H36" s="262">
        <v>174.8</v>
      </c>
      <c r="I36" s="263">
        <f>Таблица2[[#This Row],[Общее кол-во]]-SUM(Таблица2[[#This Row],[1.n]:[12.n]])</f>
        <v>87.800000000000011</v>
      </c>
      <c r="J36" s="264">
        <f>SUM(Таблица2[[#This Row],[1.n]:[12.n]])</f>
        <v>87</v>
      </c>
      <c r="K36" s="265"/>
      <c r="L36" s="265"/>
      <c r="M36" s="265"/>
      <c r="N36" s="265"/>
      <c r="O36" s="265"/>
      <c r="P36" s="265"/>
      <c r="Q36" s="265">
        <f>'7.n2'!E15</f>
        <v>59</v>
      </c>
      <c r="R36" s="265"/>
      <c r="S36" s="265">
        <f>'9.n2'!E15</f>
        <v>27.999999999999996</v>
      </c>
      <c r="T36" s="265"/>
      <c r="U36" s="265"/>
      <c r="V36" s="265"/>
      <c r="W36" s="324"/>
      <c r="X36" s="324"/>
      <c r="Y36" s="326">
        <v>0</v>
      </c>
      <c r="Z36" s="326">
        <v>67.3</v>
      </c>
      <c r="AA36" s="326">
        <v>0</v>
      </c>
      <c r="AB36" s="326">
        <v>0</v>
      </c>
      <c r="AC36" s="326">
        <v>38.9</v>
      </c>
      <c r="AD36" s="326">
        <v>57.8</v>
      </c>
      <c r="AE36" s="326">
        <v>10.8</v>
      </c>
      <c r="AF36" s="324">
        <f>SUM(Y36:AE36)-Таблица2[[#This Row],[Общее кол-во]]</f>
        <v>0</v>
      </c>
      <c r="AG36" s="324"/>
      <c r="AH36" s="324"/>
      <c r="AI36" s="324">
        <v>1826.61</v>
      </c>
      <c r="AJ36" s="324">
        <v>2045.25</v>
      </c>
      <c r="AK36" s="324">
        <f>AI36/AM36*100</f>
        <v>47.17655080503944</v>
      </c>
      <c r="AL36" s="324">
        <f>AJ36/AM36*100</f>
        <v>52.823449194960567</v>
      </c>
      <c r="AM36" s="324">
        <f>SUM(AI36:AJ36)</f>
        <v>3871.8599999999997</v>
      </c>
      <c r="AN36" s="324"/>
      <c r="AO36" s="324"/>
      <c r="AP36" s="324"/>
      <c r="AQ36" s="324"/>
      <c r="AR36" s="324"/>
      <c r="AS36" s="324"/>
      <c r="AT36" s="324"/>
      <c r="AU36" s="324"/>
      <c r="AV36" s="324"/>
      <c r="AW36" s="324"/>
      <c r="AX36" s="324"/>
      <c r="AY36" s="324"/>
      <c r="AZ36" s="324"/>
      <c r="BA36" s="324"/>
      <c r="BB36" s="324"/>
      <c r="BC36" s="324"/>
      <c r="BD36" s="324"/>
      <c r="BE36" s="324"/>
      <c r="BF36" s="324"/>
      <c r="BG36" s="324"/>
      <c r="BH36" s="324"/>
      <c r="BI36" s="324"/>
      <c r="BJ36" s="324"/>
      <c r="BK36" s="324"/>
      <c r="BL36" s="324"/>
      <c r="BM36" s="324"/>
      <c r="BN36" s="324"/>
      <c r="BO36" s="324"/>
      <c r="BP36" s="324"/>
      <c r="BQ36" s="324"/>
      <c r="BR36" s="324"/>
      <c r="BS36" s="324"/>
      <c r="BT36" s="324"/>
      <c r="BU36" s="324"/>
      <c r="BV36" s="324"/>
      <c r="BW36" s="324"/>
      <c r="BX36" s="324"/>
      <c r="BY36" s="324"/>
      <c r="BZ36" s="324"/>
      <c r="CA36" s="324"/>
      <c r="CB36" s="324"/>
      <c r="CC36" s="324"/>
      <c r="CD36" s="324"/>
      <c r="CE36" s="324"/>
      <c r="CF36" s="324"/>
      <c r="CG36" s="324"/>
      <c r="CH36" s="324"/>
      <c r="CI36" s="324"/>
      <c r="CJ36" s="324"/>
      <c r="CK36" s="324"/>
      <c r="CL36" s="324"/>
      <c r="CM36" s="324"/>
      <c r="CN36" s="324"/>
      <c r="CO36" s="324"/>
      <c r="CP36" s="324"/>
      <c r="CQ36" s="324"/>
      <c r="CR36" s="324"/>
      <c r="CS36" s="324"/>
      <c r="CT36" s="324"/>
      <c r="CU36" s="324"/>
      <c r="CV36" s="324"/>
      <c r="CW36" s="324"/>
      <c r="CX36" s="324"/>
      <c r="CY36" s="324"/>
      <c r="CZ36" s="324"/>
      <c r="DA36" s="324"/>
      <c r="DB36" s="324"/>
      <c r="DC36" s="324"/>
      <c r="DD36" s="324"/>
      <c r="DE36" s="324"/>
      <c r="DF36" s="324"/>
      <c r="DG36" s="324"/>
      <c r="DH36" s="324"/>
      <c r="DI36" s="324"/>
      <c r="DJ36" s="324"/>
      <c r="DK36" s="324"/>
      <c r="DL36" s="324"/>
      <c r="DM36" s="324"/>
      <c r="DN36" s="324"/>
      <c r="DO36" s="324"/>
      <c r="DP36" s="324"/>
      <c r="DQ36" s="324"/>
      <c r="DR36" s="324"/>
      <c r="DS36" s="324"/>
      <c r="DT36" s="324"/>
      <c r="DU36" s="324"/>
      <c r="DV36" s="324"/>
      <c r="DW36" s="324"/>
      <c r="DX36" s="324"/>
      <c r="DY36" s="324"/>
      <c r="DZ36" s="324"/>
      <c r="EA36" s="324"/>
      <c r="EB36" s="324"/>
      <c r="EC36" s="324"/>
      <c r="ED36" s="324"/>
      <c r="EE36" s="324"/>
      <c r="EF36" s="324"/>
      <c r="EG36" s="324"/>
      <c r="EH36" s="324"/>
      <c r="EI36" s="324"/>
      <c r="EJ36" s="324"/>
      <c r="EK36" s="324"/>
      <c r="EL36" s="324"/>
      <c r="EM36" s="324"/>
      <c r="EN36" s="324"/>
      <c r="EO36" s="324"/>
      <c r="EP36" s="324"/>
      <c r="EQ36" s="324"/>
      <c r="ER36" s="324"/>
      <c r="ES36" s="324"/>
      <c r="ET36" s="324"/>
      <c r="EU36" s="324"/>
      <c r="EV36" s="324"/>
      <c r="EW36" s="324"/>
      <c r="EX36" s="324"/>
      <c r="EY36" s="324"/>
      <c r="EZ36" s="324"/>
      <c r="FA36" s="324"/>
      <c r="FB36" s="324"/>
      <c r="FC36" s="324"/>
      <c r="FD36" s="324"/>
      <c r="FE36" s="324"/>
      <c r="FF36" s="324"/>
      <c r="FG36" s="324"/>
      <c r="FH36" s="324"/>
      <c r="FI36" s="324"/>
      <c r="FJ36" s="324"/>
      <c r="FK36" s="324"/>
      <c r="FL36" s="324"/>
      <c r="FM36" s="324"/>
      <c r="FN36" s="324"/>
      <c r="FO36" s="324"/>
      <c r="FP36" s="324"/>
      <c r="FQ36" s="324"/>
      <c r="FR36" s="324"/>
    </row>
    <row r="37" spans="1:174" hidden="1" x14ac:dyDescent="0.3">
      <c r="A37" s="139" t="s">
        <v>223</v>
      </c>
      <c r="B37" s="130"/>
      <c r="C37" s="173" t="s">
        <v>122</v>
      </c>
      <c r="D37" s="164"/>
      <c r="E37" s="164"/>
      <c r="F37" s="165" t="s">
        <v>6</v>
      </c>
      <c r="G37" s="166">
        <v>1.3</v>
      </c>
      <c r="H37" s="148">
        <v>7953.4</v>
      </c>
      <c r="I37" s="238">
        <f>Таблица2[[#This Row],[Общее кол-во]]-SUM(Таблица2[[#This Row],[1.n]:[11.n]])</f>
        <v>7953.4</v>
      </c>
      <c r="J37" s="222">
        <f>SUM(Таблица2[[#This Row],[1.n]:[12.n]])</f>
        <v>0</v>
      </c>
      <c r="K37" s="219">
        <f>'1.n2'!E36</f>
        <v>0</v>
      </c>
      <c r="L37" s="219">
        <f>'2.n2'!E36</f>
        <v>0</v>
      </c>
      <c r="M37" s="219">
        <f>'3.n2'!E36</f>
        <v>0</v>
      </c>
      <c r="N37" s="219">
        <f>'4.n2'!E36</f>
        <v>0</v>
      </c>
      <c r="O37" s="219">
        <f>'5.n3'!E36</f>
        <v>0</v>
      </c>
      <c r="P37" s="219">
        <f>'6.n3э'!E36</f>
        <v>0</v>
      </c>
      <c r="Q37" s="219">
        <f>'7.n2'!E36</f>
        <v>0</v>
      </c>
      <c r="R37" s="219">
        <f>'8.n2'!E36</f>
        <v>0</v>
      </c>
      <c r="S37" s="219">
        <f>'9.n2'!E36</f>
        <v>0</v>
      </c>
      <c r="T37" s="219">
        <f>'10.n3'!E36</f>
        <v>0</v>
      </c>
      <c r="U37" s="219"/>
      <c r="V37" s="219"/>
      <c r="Y37" s="325"/>
      <c r="Z37" s="325"/>
      <c r="AA37" s="325"/>
      <c r="AB37" s="325"/>
      <c r="AC37" s="325"/>
      <c r="AD37" s="325"/>
      <c r="AE37" s="325"/>
      <c r="AF37" s="324">
        <f>SUM(Y37:AE37)-Таблица2[[#This Row],[Общее кол-во]]</f>
        <v>-7953.4</v>
      </c>
    </row>
    <row r="38" spans="1:174" hidden="1" x14ac:dyDescent="0.3">
      <c r="A38" s="140" t="s">
        <v>224</v>
      </c>
      <c r="B38" s="131"/>
      <c r="C38" s="167" t="s">
        <v>121</v>
      </c>
      <c r="D38" s="168"/>
      <c r="E38" s="168"/>
      <c r="F38" s="169" t="s">
        <v>123</v>
      </c>
      <c r="G38" s="170">
        <v>1.1000000000000001</v>
      </c>
      <c r="H38" s="148">
        <v>192.28</v>
      </c>
      <c r="I38" s="238">
        <f>Таблица2[[#This Row],[Общее кол-во]]-SUM(Таблица2[[#This Row],[1.n]:[11.n]])</f>
        <v>192.28</v>
      </c>
      <c r="J38" s="222">
        <f>SUM(Таблица2[[#This Row],[1.n]:[12.n]])</f>
        <v>0</v>
      </c>
      <c r="K38" s="219">
        <f>'1.n2'!E37</f>
        <v>0</v>
      </c>
      <c r="L38" s="219">
        <f>'2.n2'!E37</f>
        <v>0</v>
      </c>
      <c r="M38" s="219">
        <f>'3.n2'!E37</f>
        <v>0</v>
      </c>
      <c r="N38" s="219">
        <f>'4.n2'!E37</f>
        <v>0</v>
      </c>
      <c r="O38" s="219">
        <f>'5.n3'!E37</f>
        <v>0</v>
      </c>
      <c r="P38" s="219">
        <f>'6.n3э'!E37</f>
        <v>0</v>
      </c>
      <c r="Q38" s="219">
        <f>'7.n2'!E37</f>
        <v>0</v>
      </c>
      <c r="R38" s="219">
        <f>'8.n2'!E37</f>
        <v>0</v>
      </c>
      <c r="S38" s="219">
        <f>'9.n2'!E37</f>
        <v>0</v>
      </c>
      <c r="T38" s="219">
        <f>'10.n3'!E37</f>
        <v>0</v>
      </c>
      <c r="U38" s="219"/>
      <c r="V38" s="219"/>
      <c r="Y38" s="325"/>
      <c r="Z38" s="325"/>
      <c r="AA38" s="325"/>
      <c r="AB38" s="325"/>
      <c r="AC38" s="325"/>
      <c r="AD38" s="325"/>
      <c r="AE38" s="325"/>
      <c r="AF38" s="324">
        <f>SUM(Y38:AE38)-Таблица2[[#This Row],[Общее кол-во]]</f>
        <v>-192.28</v>
      </c>
    </row>
    <row r="39" spans="1:174" hidden="1" x14ac:dyDescent="0.3">
      <c r="A39" s="139" t="s">
        <v>225</v>
      </c>
      <c r="B39" s="130"/>
      <c r="C39" s="173" t="s">
        <v>13</v>
      </c>
      <c r="D39" s="164"/>
      <c r="E39" s="164"/>
      <c r="F39" s="165" t="s">
        <v>7</v>
      </c>
      <c r="G39" s="166">
        <v>1</v>
      </c>
      <c r="H39" s="148">
        <v>174.8</v>
      </c>
      <c r="I39" s="238">
        <f>Таблица2[[#This Row],[Общее кол-во]]-SUM(Таблица2[[#This Row],[1.n]:[11.n]])</f>
        <v>174.8</v>
      </c>
      <c r="J39" s="222">
        <f>SUM(Таблица2[[#This Row],[1.n]:[12.n]])</f>
        <v>0</v>
      </c>
      <c r="K39" s="219">
        <f>'1.n2'!E38</f>
        <v>0</v>
      </c>
      <c r="L39" s="219">
        <f>'2.n2'!E38</f>
        <v>0</v>
      </c>
      <c r="M39" s="219">
        <f>'3.n2'!E38</f>
        <v>0</v>
      </c>
      <c r="N39" s="219">
        <f>'4.n2'!E38</f>
        <v>0</v>
      </c>
      <c r="O39" s="219">
        <f>'5.n3'!E38</f>
        <v>0</v>
      </c>
      <c r="P39" s="219">
        <f>'6.n3э'!E38</f>
        <v>0</v>
      </c>
      <c r="Q39" s="219">
        <f>'7.n2'!E38</f>
        <v>0</v>
      </c>
      <c r="R39" s="219">
        <f>'8.n2'!E38</f>
        <v>0</v>
      </c>
      <c r="S39" s="219">
        <f>'9.n2'!E38</f>
        <v>0</v>
      </c>
      <c r="T39" s="219">
        <f>'10.n3'!E38</f>
        <v>0</v>
      </c>
      <c r="U39" s="219"/>
      <c r="V39" s="219"/>
      <c r="Y39" s="325"/>
      <c r="Z39" s="325"/>
      <c r="AA39" s="325"/>
      <c r="AB39" s="325"/>
      <c r="AC39" s="325"/>
      <c r="AD39" s="325"/>
      <c r="AE39" s="325"/>
      <c r="AF39" s="324">
        <f>SUM(Y39:AE39)-Таблица2[[#This Row],[Общее кол-во]]</f>
        <v>-174.8</v>
      </c>
    </row>
    <row r="40" spans="1:174" hidden="1" x14ac:dyDescent="0.3">
      <c r="A40" s="140" t="s">
        <v>226</v>
      </c>
      <c r="B40" s="131"/>
      <c r="C40" s="167" t="s">
        <v>120</v>
      </c>
      <c r="D40" s="168"/>
      <c r="E40" s="168"/>
      <c r="F40" s="169" t="s">
        <v>6</v>
      </c>
      <c r="G40" s="170">
        <v>0.25</v>
      </c>
      <c r="H40" s="148">
        <v>43.7</v>
      </c>
      <c r="I40" s="238">
        <f>Таблица2[[#This Row],[Общее кол-во]]-SUM(Таблица2[[#This Row],[1.n]:[11.n]])</f>
        <v>43.7</v>
      </c>
      <c r="J40" s="222">
        <f>SUM(Таблица2[[#This Row],[1.n]:[12.n]])</f>
        <v>0</v>
      </c>
      <c r="K40" s="219">
        <f>'1.n2'!E39</f>
        <v>0</v>
      </c>
      <c r="L40" s="219">
        <f>'2.n2'!E39</f>
        <v>0</v>
      </c>
      <c r="M40" s="219">
        <f>'3.n2'!E39</f>
        <v>0</v>
      </c>
      <c r="N40" s="219">
        <f>'4.n2'!E39</f>
        <v>0</v>
      </c>
      <c r="O40" s="219">
        <f>'5.n3'!E39</f>
        <v>0</v>
      </c>
      <c r="P40" s="219">
        <f>'6.n3э'!E39</f>
        <v>0</v>
      </c>
      <c r="Q40" s="219">
        <f>'7.n2'!E39</f>
        <v>0</v>
      </c>
      <c r="R40" s="219">
        <f>'8.n2'!E39</f>
        <v>0</v>
      </c>
      <c r="S40" s="219">
        <f>'9.n2'!E39</f>
        <v>0</v>
      </c>
      <c r="T40" s="219">
        <f>'10.n3'!E39</f>
        <v>0</v>
      </c>
      <c r="U40" s="219"/>
      <c r="V40" s="219"/>
      <c r="Y40" s="325"/>
      <c r="Z40" s="325"/>
      <c r="AA40" s="325"/>
      <c r="AB40" s="325"/>
      <c r="AC40" s="325"/>
      <c r="AD40" s="325"/>
      <c r="AE40" s="325"/>
      <c r="AF40" s="324">
        <f>SUM(Y40:AE40)-Таблица2[[#This Row],[Общее кол-во]]</f>
        <v>-43.7</v>
      </c>
    </row>
    <row r="41" spans="1:174" s="301" customFormat="1" ht="46.8" x14ac:dyDescent="0.3">
      <c r="A41" s="317" t="s">
        <v>227</v>
      </c>
      <c r="B41" s="318" t="s">
        <v>220</v>
      </c>
      <c r="C41" s="319" t="s">
        <v>221</v>
      </c>
      <c r="D41" s="320"/>
      <c r="E41" s="320" t="s">
        <v>228</v>
      </c>
      <c r="F41" s="320" t="s">
        <v>123</v>
      </c>
      <c r="G41" s="321">
        <v>1</v>
      </c>
      <c r="H41" s="297">
        <v>808</v>
      </c>
      <c r="I41" s="298">
        <f>Таблица2[[#This Row],[Общее кол-во]]-SUM(Таблица2[[#This Row],[1.n]:[12.n]])</f>
        <v>314</v>
      </c>
      <c r="J41" s="299">
        <f>SUM(Таблица2[[#This Row],[1.n]:[12.n]])</f>
        <v>494</v>
      </c>
      <c r="K41" s="300"/>
      <c r="L41" s="300"/>
      <c r="M41" s="300"/>
      <c r="N41" s="300"/>
      <c r="O41" s="300"/>
      <c r="P41" s="300"/>
      <c r="Q41" s="300">
        <f>'7.n2'!E20</f>
        <v>221.60000000000002</v>
      </c>
      <c r="R41" s="300"/>
      <c r="S41" s="300">
        <f>'9.n2'!E20</f>
        <v>272.39999999999998</v>
      </c>
      <c r="T41" s="300"/>
      <c r="U41" s="300"/>
      <c r="V41" s="300"/>
      <c r="W41" s="324"/>
      <c r="X41" s="324"/>
      <c r="Y41" s="327">
        <v>0</v>
      </c>
      <c r="Z41" s="327">
        <v>178.5</v>
      </c>
      <c r="AA41" s="327">
        <v>0</v>
      </c>
      <c r="AB41" s="327">
        <v>0</v>
      </c>
      <c r="AC41" s="327">
        <v>414.6</v>
      </c>
      <c r="AD41" s="327">
        <v>134.9</v>
      </c>
      <c r="AE41" s="327">
        <v>80</v>
      </c>
      <c r="AF41" s="324">
        <f>SUM(Y41:AE41)-Таблица2[[#This Row],[Общее кол-во]]</f>
        <v>0</v>
      </c>
      <c r="AG41" s="324"/>
      <c r="AH41" s="324"/>
      <c r="AI41" s="324">
        <v>2</v>
      </c>
      <c r="AJ41" s="334">
        <f>SUM(Y36:AE41)+SUM(Y56:AE63)</f>
        <v>8968.9000000000015</v>
      </c>
      <c r="AK41" s="324">
        <v>1826.61</v>
      </c>
      <c r="AL41" s="324">
        <f>AK41/AJ41</f>
        <v>0.20366042658519992</v>
      </c>
      <c r="AM41" s="324"/>
      <c r="AN41" s="324"/>
      <c r="AO41" s="324"/>
      <c r="AP41" s="324"/>
      <c r="AQ41" s="324"/>
      <c r="AR41" s="324"/>
      <c r="AS41" s="324"/>
      <c r="AT41" s="324"/>
      <c r="AU41" s="324"/>
      <c r="AV41" s="324"/>
      <c r="AW41" s="324"/>
      <c r="AX41" s="324"/>
      <c r="AY41" s="324"/>
      <c r="AZ41" s="324"/>
      <c r="BA41" s="324"/>
      <c r="BB41" s="324"/>
      <c r="BC41" s="324"/>
      <c r="BD41" s="324"/>
      <c r="BE41" s="324"/>
      <c r="BF41" s="324"/>
      <c r="BG41" s="324"/>
      <c r="BH41" s="324"/>
      <c r="BI41" s="324"/>
      <c r="BJ41" s="324"/>
      <c r="BK41" s="324"/>
      <c r="BL41" s="324"/>
      <c r="BM41" s="324"/>
      <c r="BN41" s="324"/>
      <c r="BO41" s="324"/>
      <c r="BP41" s="324"/>
      <c r="BQ41" s="324"/>
      <c r="BR41" s="324"/>
      <c r="BS41" s="324"/>
      <c r="BT41" s="324"/>
      <c r="BU41" s="324"/>
      <c r="BV41" s="324"/>
      <c r="BW41" s="324"/>
      <c r="BX41" s="324"/>
      <c r="BY41" s="324"/>
      <c r="BZ41" s="324"/>
      <c r="CA41" s="324"/>
      <c r="CB41" s="324"/>
      <c r="CC41" s="324"/>
      <c r="CD41" s="324"/>
      <c r="CE41" s="324"/>
      <c r="CF41" s="324"/>
      <c r="CG41" s="324"/>
      <c r="CH41" s="324"/>
      <c r="CI41" s="324"/>
      <c r="CJ41" s="324"/>
      <c r="CK41" s="324"/>
      <c r="CL41" s="324"/>
      <c r="CM41" s="324"/>
      <c r="CN41" s="324"/>
      <c r="CO41" s="324"/>
      <c r="CP41" s="324"/>
      <c r="CQ41" s="324"/>
      <c r="CR41" s="324"/>
      <c r="CS41" s="324"/>
      <c r="CT41" s="324"/>
      <c r="CU41" s="324"/>
      <c r="CV41" s="324"/>
      <c r="CW41" s="324"/>
      <c r="CX41" s="324"/>
      <c r="CY41" s="324"/>
      <c r="CZ41" s="324"/>
      <c r="DA41" s="324"/>
      <c r="DB41" s="324"/>
      <c r="DC41" s="324"/>
      <c r="DD41" s="324"/>
      <c r="DE41" s="324"/>
      <c r="DF41" s="324"/>
      <c r="DG41" s="324"/>
      <c r="DH41" s="324"/>
      <c r="DI41" s="324"/>
      <c r="DJ41" s="324"/>
      <c r="DK41" s="324"/>
      <c r="DL41" s="324"/>
      <c r="DM41" s="324"/>
      <c r="DN41" s="324"/>
      <c r="DO41" s="324"/>
      <c r="DP41" s="324"/>
      <c r="DQ41" s="324"/>
      <c r="DR41" s="324"/>
      <c r="DS41" s="324"/>
      <c r="DT41" s="324"/>
      <c r="DU41" s="324"/>
      <c r="DV41" s="324"/>
      <c r="DW41" s="324"/>
      <c r="DX41" s="324"/>
      <c r="DY41" s="324"/>
      <c r="DZ41" s="324"/>
      <c r="EA41" s="324"/>
      <c r="EB41" s="324"/>
      <c r="EC41" s="324"/>
      <c r="ED41" s="324"/>
      <c r="EE41" s="324"/>
      <c r="EF41" s="324"/>
      <c r="EG41" s="324"/>
      <c r="EH41" s="324"/>
      <c r="EI41" s="324"/>
      <c r="EJ41" s="324"/>
      <c r="EK41" s="324"/>
      <c r="EL41" s="324"/>
      <c r="EM41" s="324"/>
      <c r="EN41" s="324"/>
      <c r="EO41" s="324"/>
      <c r="EP41" s="324"/>
      <c r="EQ41" s="324"/>
      <c r="ER41" s="324"/>
      <c r="ES41" s="324"/>
      <c r="ET41" s="324"/>
      <c r="EU41" s="324"/>
      <c r="EV41" s="324"/>
      <c r="EW41" s="324"/>
      <c r="EX41" s="324"/>
      <c r="EY41" s="324"/>
      <c r="EZ41" s="324"/>
      <c r="FA41" s="324"/>
      <c r="FB41" s="324"/>
      <c r="FC41" s="324"/>
      <c r="FD41" s="324"/>
      <c r="FE41" s="324"/>
      <c r="FF41" s="324"/>
      <c r="FG41" s="324"/>
      <c r="FH41" s="324"/>
      <c r="FI41" s="324"/>
      <c r="FJ41" s="324"/>
      <c r="FK41" s="324"/>
      <c r="FL41" s="324"/>
      <c r="FM41" s="324"/>
      <c r="FN41" s="324"/>
      <c r="FO41" s="324"/>
      <c r="FP41" s="324"/>
      <c r="FQ41" s="324"/>
      <c r="FR41" s="324"/>
    </row>
    <row r="42" spans="1:174" hidden="1" x14ac:dyDescent="0.3">
      <c r="A42" s="140" t="s">
        <v>229</v>
      </c>
      <c r="B42" s="131"/>
      <c r="C42" s="167" t="s">
        <v>10</v>
      </c>
      <c r="D42" s="168"/>
      <c r="E42" s="168"/>
      <c r="F42" s="169" t="s">
        <v>6</v>
      </c>
      <c r="G42" s="170">
        <v>0.15</v>
      </c>
      <c r="H42" s="148">
        <v>121.2</v>
      </c>
      <c r="I42" s="174"/>
      <c r="J42" s="221">
        <f>SUM(Таблица2[[#This Row],[1.n]:[12.n]])</f>
        <v>0</v>
      </c>
      <c r="K42" s="219">
        <f>'1.n2'!E41</f>
        <v>0</v>
      </c>
      <c r="L42" s="219">
        <f>'2.n2'!E41</f>
        <v>0</v>
      </c>
      <c r="M42" s="219">
        <f>'3.n2'!E41</f>
        <v>0</v>
      </c>
      <c r="N42" s="219">
        <f>'4.n2'!E41</f>
        <v>0</v>
      </c>
      <c r="O42" s="219">
        <f>'5.n3'!E41</f>
        <v>0</v>
      </c>
      <c r="P42" s="219">
        <f>'6.n3э'!E41</f>
        <v>0</v>
      </c>
      <c r="Q42" s="219">
        <f>'7.n2'!E41</f>
        <v>0</v>
      </c>
      <c r="R42" s="219">
        <f>'8.n2'!E41</f>
        <v>0</v>
      </c>
      <c r="S42" s="219">
        <f>'9.n2'!E41</f>
        <v>0</v>
      </c>
      <c r="T42" s="219">
        <f>'10.n3'!E41</f>
        <v>0</v>
      </c>
      <c r="U42" s="219"/>
      <c r="V42" s="219"/>
      <c r="Y42" s="325"/>
      <c r="Z42" s="325"/>
      <c r="AA42" s="325"/>
      <c r="AB42" s="325"/>
      <c r="AC42" s="325"/>
      <c r="AD42" s="325"/>
      <c r="AE42" s="325"/>
      <c r="AF42" s="324">
        <f>SUM(Y42:AE42)-Таблица2[[#This Row],[Общее кол-во]]</f>
        <v>-121.2</v>
      </c>
      <c r="AJ42" s="334">
        <f t="shared" ref="AJ42:AJ45" si="7">SUM(Y42:AE47)+SUM(Y60:AE64)</f>
        <v>7668.1999999999989</v>
      </c>
      <c r="AL42" s="324">
        <f t="shared" ref="AL42:AL46" si="8">AK42/AJ42</f>
        <v>0</v>
      </c>
    </row>
    <row r="43" spans="1:174" hidden="1" x14ac:dyDescent="0.3">
      <c r="A43" s="139" t="s">
        <v>230</v>
      </c>
      <c r="B43" s="130"/>
      <c r="C43" s="173" t="s">
        <v>13</v>
      </c>
      <c r="D43" s="164"/>
      <c r="E43" s="164"/>
      <c r="F43" s="165" t="s">
        <v>7</v>
      </c>
      <c r="G43" s="166">
        <v>1</v>
      </c>
      <c r="H43" s="148">
        <v>808</v>
      </c>
      <c r="I43" s="175"/>
      <c r="J43" s="222">
        <f>SUM(Таблица2[[#This Row],[1.n]:[12.n]])</f>
        <v>0</v>
      </c>
      <c r="K43" s="219">
        <f>'1.n2'!E42</f>
        <v>0</v>
      </c>
      <c r="L43" s="219">
        <f>'2.n2'!E42</f>
        <v>0</v>
      </c>
      <c r="M43" s="219">
        <f>'3.n2'!E42</f>
        <v>0</v>
      </c>
      <c r="N43" s="219">
        <f>'4.n2'!E42</f>
        <v>0</v>
      </c>
      <c r="O43" s="219">
        <f>'5.n3'!E42</f>
        <v>0</v>
      </c>
      <c r="P43" s="219">
        <f>'6.n3э'!E42</f>
        <v>0</v>
      </c>
      <c r="Q43" s="219">
        <f>'7.n2'!E42</f>
        <v>0</v>
      </c>
      <c r="R43" s="219">
        <f>'8.n2'!E42</f>
        <v>0</v>
      </c>
      <c r="S43" s="219">
        <f>'9.n2'!E42</f>
        <v>0</v>
      </c>
      <c r="T43" s="219">
        <f>'10.n3'!E42</f>
        <v>0</v>
      </c>
      <c r="U43" s="219"/>
      <c r="V43" s="219"/>
      <c r="Y43" s="325"/>
      <c r="Z43" s="325"/>
      <c r="AA43" s="325"/>
      <c r="AB43" s="325"/>
      <c r="AC43" s="325"/>
      <c r="AD43" s="325"/>
      <c r="AE43" s="325"/>
      <c r="AF43" s="324">
        <f>SUM(Y43:AE43)-Таблица2[[#This Row],[Общее кол-во]]</f>
        <v>-808</v>
      </c>
      <c r="AJ43" s="334">
        <f t="shared" si="7"/>
        <v>3279.4</v>
      </c>
      <c r="AL43" s="324">
        <f t="shared" si="8"/>
        <v>0</v>
      </c>
    </row>
    <row r="44" spans="1:174" hidden="1" x14ac:dyDescent="0.3">
      <c r="A44" s="140" t="s">
        <v>231</v>
      </c>
      <c r="B44" s="131"/>
      <c r="C44" s="167" t="s">
        <v>121</v>
      </c>
      <c r="D44" s="168"/>
      <c r="E44" s="168"/>
      <c r="F44" s="169" t="s">
        <v>123</v>
      </c>
      <c r="G44" s="170">
        <v>1.1000000000000001</v>
      </c>
      <c r="H44" s="148">
        <v>888.8</v>
      </c>
      <c r="I44" s="175"/>
      <c r="J44" s="222">
        <f>SUM(Таблица2[[#This Row],[1.n]:[12.n]])</f>
        <v>0</v>
      </c>
      <c r="K44" s="219">
        <f>'1.n2'!E43</f>
        <v>0</v>
      </c>
      <c r="L44" s="219">
        <f>'2.n2'!E43</f>
        <v>0</v>
      </c>
      <c r="M44" s="219">
        <f>'3.n2'!E43</f>
        <v>0</v>
      </c>
      <c r="N44" s="219">
        <f>'4.n2'!E43</f>
        <v>0</v>
      </c>
      <c r="O44" s="219">
        <f>'5.n3'!E43</f>
        <v>0</v>
      </c>
      <c r="P44" s="219">
        <f>'6.n3э'!E43</f>
        <v>0</v>
      </c>
      <c r="Q44" s="219">
        <f>'7.n2'!E43</f>
        <v>0</v>
      </c>
      <c r="R44" s="219">
        <f>'8.n2'!E43</f>
        <v>0</v>
      </c>
      <c r="S44" s="219">
        <f>'9.n2'!E43</f>
        <v>0</v>
      </c>
      <c r="T44" s="219">
        <f>'10.n3'!E43</f>
        <v>0</v>
      </c>
      <c r="U44" s="219"/>
      <c r="V44" s="219"/>
      <c r="Y44" s="325"/>
      <c r="Z44" s="325"/>
      <c r="AA44" s="325"/>
      <c r="AB44" s="325"/>
      <c r="AC44" s="325"/>
      <c r="AD44" s="325"/>
      <c r="AE44" s="325"/>
      <c r="AF44" s="324">
        <f>SUM(Y44:AE44)-Таблица2[[#This Row],[Общее кол-во]]</f>
        <v>-888.8</v>
      </c>
      <c r="AJ44" s="334">
        <f t="shared" si="7"/>
        <v>3279.4</v>
      </c>
      <c r="AL44" s="324">
        <f t="shared" si="8"/>
        <v>0</v>
      </c>
    </row>
    <row r="45" spans="1:174" hidden="1" x14ac:dyDescent="0.3">
      <c r="A45" s="139" t="s">
        <v>232</v>
      </c>
      <c r="B45" s="130"/>
      <c r="C45" s="173" t="s">
        <v>122</v>
      </c>
      <c r="D45" s="164"/>
      <c r="E45" s="164"/>
      <c r="F45" s="165" t="s">
        <v>6</v>
      </c>
      <c r="G45" s="166">
        <v>1.3</v>
      </c>
      <c r="H45" s="148">
        <v>36764</v>
      </c>
      <c r="I45" s="175"/>
      <c r="J45" s="222">
        <f>SUM(Таблица2[[#This Row],[1.n]:[12.n]])</f>
        <v>0</v>
      </c>
      <c r="K45" s="219">
        <f>'1.n2'!E44</f>
        <v>0</v>
      </c>
      <c r="L45" s="219">
        <f>'2.n2'!E44</f>
        <v>0</v>
      </c>
      <c r="M45" s="219">
        <f>'3.n2'!E44</f>
        <v>0</v>
      </c>
      <c r="N45" s="219">
        <f>'4.n2'!E44</f>
        <v>0</v>
      </c>
      <c r="O45" s="219">
        <f>'5.n3'!E44</f>
        <v>0</v>
      </c>
      <c r="P45" s="219">
        <f>'6.n3э'!E44</f>
        <v>0</v>
      </c>
      <c r="Q45" s="219">
        <f>'7.n2'!E44</f>
        <v>0</v>
      </c>
      <c r="R45" s="219">
        <f>'8.n2'!E44</f>
        <v>0</v>
      </c>
      <c r="S45" s="219">
        <f>'9.n2'!E44</f>
        <v>0</v>
      </c>
      <c r="T45" s="219">
        <f>'10.n3'!E44</f>
        <v>0</v>
      </c>
      <c r="U45" s="219"/>
      <c r="V45" s="219"/>
      <c r="Y45" s="325"/>
      <c r="Z45" s="325"/>
      <c r="AA45" s="325"/>
      <c r="AB45" s="325"/>
      <c r="AC45" s="325"/>
      <c r="AD45" s="325"/>
      <c r="AE45" s="325"/>
      <c r="AF45" s="324">
        <f>SUM(Y45:AE45)-Таблица2[[#This Row],[Общее кол-во]]</f>
        <v>-36764</v>
      </c>
      <c r="AJ45" s="334">
        <f t="shared" si="7"/>
        <v>3279.4</v>
      </c>
      <c r="AL45" s="324">
        <f t="shared" si="8"/>
        <v>0</v>
      </c>
    </row>
    <row r="46" spans="1:174" s="311" customFormat="1" ht="46.8" x14ac:dyDescent="0.3">
      <c r="A46" s="302" t="s">
        <v>233</v>
      </c>
      <c r="B46" s="303" t="s">
        <v>220</v>
      </c>
      <c r="C46" s="304" t="s">
        <v>221</v>
      </c>
      <c r="D46" s="305"/>
      <c r="E46" s="305" t="s">
        <v>234</v>
      </c>
      <c r="F46" s="305" t="s">
        <v>123</v>
      </c>
      <c r="G46" s="306">
        <v>1</v>
      </c>
      <c r="H46" s="307">
        <v>154.19999999999999</v>
      </c>
      <c r="I46" s="308">
        <f>Таблица2[[#This Row],[Общее кол-во]]-SUM(Таблица2[[#This Row],[1.n]:[12.n]])</f>
        <v>88.799999999999983</v>
      </c>
      <c r="J46" s="309">
        <f>SUM(Таблица2[[#This Row],[1.n]:[12.n]])</f>
        <v>65.400000000000006</v>
      </c>
      <c r="K46" s="310"/>
      <c r="L46" s="310"/>
      <c r="M46" s="310"/>
      <c r="N46" s="310"/>
      <c r="O46" s="310"/>
      <c r="P46" s="310">
        <f>'6.n3э'!E15</f>
        <v>62.5</v>
      </c>
      <c r="Q46" s="310"/>
      <c r="R46" s="310"/>
      <c r="S46" s="310"/>
      <c r="T46" s="310">
        <f>'10.n3'!E15</f>
        <v>2.9</v>
      </c>
      <c r="U46" s="310"/>
      <c r="V46" s="310"/>
      <c r="W46" s="324"/>
      <c r="X46" s="324"/>
      <c r="Y46" s="328">
        <v>0</v>
      </c>
      <c r="Z46" s="328">
        <v>67.5</v>
      </c>
      <c r="AA46" s="328">
        <v>0</v>
      </c>
      <c r="AB46" s="328">
        <v>12</v>
      </c>
      <c r="AC46" s="328">
        <v>3.1</v>
      </c>
      <c r="AD46" s="328">
        <v>60.7</v>
      </c>
      <c r="AE46" s="328">
        <v>10.9</v>
      </c>
      <c r="AF46" s="324">
        <f>SUM(Y46:AE46)-Таблица2[[#This Row],[Общее кол-во]]</f>
        <v>0</v>
      </c>
      <c r="AG46" s="324"/>
      <c r="AH46" s="324"/>
      <c r="AI46" s="324">
        <v>3</v>
      </c>
      <c r="AJ46" s="334">
        <f>SUM(Y46:AE51)+SUM(Y64:AE68)</f>
        <v>8024.7</v>
      </c>
      <c r="AK46" s="324">
        <v>2045.25</v>
      </c>
      <c r="AL46" s="324">
        <f t="shared" si="8"/>
        <v>0.25486934090994057</v>
      </c>
      <c r="AM46" s="324"/>
      <c r="AN46" s="324"/>
      <c r="AO46" s="324"/>
      <c r="AP46" s="324"/>
      <c r="AQ46" s="324"/>
      <c r="AR46" s="324"/>
      <c r="AS46" s="324"/>
      <c r="AT46" s="324"/>
      <c r="AU46" s="324"/>
      <c r="AV46" s="324"/>
      <c r="AW46" s="324"/>
      <c r="AX46" s="324"/>
      <c r="AY46" s="324"/>
      <c r="AZ46" s="324"/>
      <c r="BA46" s="324"/>
      <c r="BB46" s="324"/>
      <c r="BC46" s="324"/>
      <c r="BD46" s="324"/>
      <c r="BE46" s="324"/>
      <c r="BF46" s="324"/>
      <c r="BG46" s="324"/>
      <c r="BH46" s="324"/>
      <c r="BI46" s="324"/>
      <c r="BJ46" s="324"/>
      <c r="BK46" s="324"/>
      <c r="BL46" s="324"/>
      <c r="BM46" s="324"/>
      <c r="BN46" s="324"/>
      <c r="BO46" s="324"/>
      <c r="BP46" s="324"/>
      <c r="BQ46" s="324"/>
      <c r="BR46" s="324"/>
      <c r="BS46" s="324"/>
      <c r="BT46" s="324"/>
      <c r="BU46" s="324"/>
      <c r="BV46" s="324"/>
      <c r="BW46" s="324"/>
      <c r="BX46" s="324"/>
      <c r="BY46" s="324"/>
      <c r="BZ46" s="324"/>
      <c r="CA46" s="324"/>
      <c r="CB46" s="324"/>
      <c r="CC46" s="324"/>
      <c r="CD46" s="324"/>
      <c r="CE46" s="324"/>
      <c r="CF46" s="324"/>
      <c r="CG46" s="324"/>
      <c r="CH46" s="324"/>
      <c r="CI46" s="324"/>
      <c r="CJ46" s="324"/>
      <c r="CK46" s="324"/>
      <c r="CL46" s="324"/>
      <c r="CM46" s="324"/>
      <c r="CN46" s="324"/>
      <c r="CO46" s="324"/>
      <c r="CP46" s="324"/>
      <c r="CQ46" s="324"/>
      <c r="CR46" s="324"/>
      <c r="CS46" s="324"/>
      <c r="CT46" s="324"/>
      <c r="CU46" s="324"/>
      <c r="CV46" s="324"/>
      <c r="CW46" s="324"/>
      <c r="CX46" s="324"/>
      <c r="CY46" s="324"/>
      <c r="CZ46" s="324"/>
      <c r="DA46" s="324"/>
      <c r="DB46" s="324"/>
      <c r="DC46" s="324"/>
      <c r="DD46" s="324"/>
      <c r="DE46" s="324"/>
      <c r="DF46" s="324"/>
      <c r="DG46" s="324"/>
      <c r="DH46" s="324"/>
      <c r="DI46" s="324"/>
      <c r="DJ46" s="324"/>
      <c r="DK46" s="324"/>
      <c r="DL46" s="324"/>
      <c r="DM46" s="324"/>
      <c r="DN46" s="324"/>
      <c r="DO46" s="324"/>
      <c r="DP46" s="324"/>
      <c r="DQ46" s="324"/>
      <c r="DR46" s="324"/>
      <c r="DS46" s="324"/>
      <c r="DT46" s="324"/>
      <c r="DU46" s="324"/>
      <c r="DV46" s="324"/>
      <c r="DW46" s="324"/>
      <c r="DX46" s="324"/>
      <c r="DY46" s="324"/>
      <c r="DZ46" s="324"/>
      <c r="EA46" s="324"/>
      <c r="EB46" s="324"/>
      <c r="EC46" s="324"/>
      <c r="ED46" s="324"/>
      <c r="EE46" s="324"/>
      <c r="EF46" s="324"/>
      <c r="EG46" s="324"/>
      <c r="EH46" s="324"/>
      <c r="EI46" s="324"/>
      <c r="EJ46" s="324"/>
      <c r="EK46" s="324"/>
      <c r="EL46" s="324"/>
      <c r="EM46" s="324"/>
      <c r="EN46" s="324"/>
      <c r="EO46" s="324"/>
      <c r="EP46" s="324"/>
      <c r="EQ46" s="324"/>
      <c r="ER46" s="324"/>
      <c r="ES46" s="324"/>
      <c r="ET46" s="324"/>
      <c r="EU46" s="324"/>
      <c r="EV46" s="324"/>
      <c r="EW46" s="324"/>
      <c r="EX46" s="324"/>
      <c r="EY46" s="324"/>
      <c r="EZ46" s="324"/>
      <c r="FA46" s="324"/>
      <c r="FB46" s="324"/>
      <c r="FC46" s="324"/>
      <c r="FD46" s="324"/>
      <c r="FE46" s="324"/>
      <c r="FF46" s="324"/>
      <c r="FG46" s="324"/>
      <c r="FH46" s="324"/>
      <c r="FI46" s="324"/>
      <c r="FJ46" s="324"/>
      <c r="FK46" s="324"/>
      <c r="FL46" s="324"/>
      <c r="FM46" s="324"/>
      <c r="FN46" s="324"/>
      <c r="FO46" s="324"/>
      <c r="FP46" s="324"/>
      <c r="FQ46" s="324"/>
      <c r="FR46" s="324"/>
    </row>
    <row r="47" spans="1:174" hidden="1" x14ac:dyDescent="0.3">
      <c r="A47" s="139" t="s">
        <v>235</v>
      </c>
      <c r="B47" s="130"/>
      <c r="C47" s="173" t="s">
        <v>122</v>
      </c>
      <c r="D47" s="164"/>
      <c r="E47" s="164"/>
      <c r="F47" s="165" t="s">
        <v>6</v>
      </c>
      <c r="G47" s="166">
        <v>1.3</v>
      </c>
      <c r="H47" s="148">
        <v>7016.1</v>
      </c>
      <c r="I47" s="232">
        <v>314</v>
      </c>
      <c r="J47" s="220">
        <f>SUM(Таблица2[[#This Row],[1.n]:[12.n]])</f>
        <v>0</v>
      </c>
      <c r="K47" s="219">
        <f>'1.n2'!E46</f>
        <v>0</v>
      </c>
      <c r="L47" s="219">
        <f>'2.n2'!E46</f>
        <v>0</v>
      </c>
      <c r="M47" s="219">
        <f>'3.n2'!E46</f>
        <v>0</v>
      </c>
      <c r="N47" s="219">
        <f>'4.n2'!E46</f>
        <v>0</v>
      </c>
      <c r="O47" s="219">
        <f>'5.n3'!E46</f>
        <v>0</v>
      </c>
      <c r="P47" s="219">
        <f>'6.n3э'!E46</f>
        <v>0</v>
      </c>
      <c r="Q47" s="219">
        <f>'7.n2'!E46</f>
        <v>0</v>
      </c>
      <c r="R47" s="219">
        <f>'8.n2'!E46</f>
        <v>0</v>
      </c>
      <c r="S47" s="219">
        <f>'9.n2'!E46</f>
        <v>0</v>
      </c>
      <c r="T47" s="219">
        <f>'10.n3'!E46</f>
        <v>0</v>
      </c>
      <c r="U47" s="219"/>
      <c r="V47" s="219"/>
      <c r="Y47" s="325"/>
      <c r="Z47" s="325"/>
      <c r="AA47" s="325"/>
      <c r="AB47" s="325"/>
      <c r="AC47" s="325"/>
      <c r="AD47" s="325"/>
      <c r="AE47" s="325"/>
      <c r="AF47" s="324">
        <f>SUM(Y47:AE47)-Таблица2[[#This Row],[Общее кол-во]]</f>
        <v>-7016.1</v>
      </c>
    </row>
    <row r="48" spans="1:174" hidden="1" x14ac:dyDescent="0.3">
      <c r="A48" s="140" t="s">
        <v>236</v>
      </c>
      <c r="B48" s="131"/>
      <c r="C48" s="167" t="s">
        <v>121</v>
      </c>
      <c r="D48" s="168"/>
      <c r="E48" s="168"/>
      <c r="F48" s="169" t="s">
        <v>123</v>
      </c>
      <c r="G48" s="170">
        <v>1.1000000000000001</v>
      </c>
      <c r="H48" s="148">
        <v>169.62</v>
      </c>
      <c r="I48" s="176"/>
      <c r="J48" s="221">
        <f>SUM(Таблица2[[#This Row],[1.n]:[12.n]])</f>
        <v>0</v>
      </c>
      <c r="K48" s="219">
        <f>'1.n2'!E47</f>
        <v>0</v>
      </c>
      <c r="L48" s="219">
        <f>'2.n2'!E47</f>
        <v>0</v>
      </c>
      <c r="M48" s="219">
        <f>'3.n2'!E47</f>
        <v>0</v>
      </c>
      <c r="N48" s="219">
        <f>'4.n2'!E47</f>
        <v>0</v>
      </c>
      <c r="O48" s="219">
        <f>'5.n3'!E47</f>
        <v>0</v>
      </c>
      <c r="P48" s="219">
        <f>'6.n3э'!E47</f>
        <v>0</v>
      </c>
      <c r="Q48" s="219">
        <f>'7.n2'!E47</f>
        <v>0</v>
      </c>
      <c r="R48" s="219">
        <f>'8.n2'!E47</f>
        <v>0</v>
      </c>
      <c r="S48" s="219">
        <f>'9.n2'!E47</f>
        <v>0</v>
      </c>
      <c r="T48" s="219">
        <f>'10.n3'!E47</f>
        <v>0</v>
      </c>
      <c r="U48" s="219"/>
      <c r="V48" s="219"/>
      <c r="Y48" s="325"/>
      <c r="Z48" s="325"/>
      <c r="AA48" s="325"/>
      <c r="AB48" s="325"/>
      <c r="AC48" s="325"/>
      <c r="AD48" s="325"/>
      <c r="AE48" s="325"/>
      <c r="AF48" s="324">
        <f>SUM(Y48:AE48)-Таблица2[[#This Row],[Общее кол-во]]</f>
        <v>-169.62</v>
      </c>
    </row>
    <row r="49" spans="1:174" hidden="1" x14ac:dyDescent="0.3">
      <c r="A49" s="139" t="s">
        <v>237</v>
      </c>
      <c r="B49" s="130"/>
      <c r="C49" s="173" t="s">
        <v>13</v>
      </c>
      <c r="D49" s="164"/>
      <c r="E49" s="164"/>
      <c r="F49" s="165" t="s">
        <v>7</v>
      </c>
      <c r="G49" s="166">
        <v>1</v>
      </c>
      <c r="H49" s="148">
        <v>154.19999999999999</v>
      </c>
      <c r="I49" s="175"/>
      <c r="J49" s="222">
        <f>SUM(Таблица2[[#This Row],[1.n]:[12.n]])</f>
        <v>0</v>
      </c>
      <c r="K49" s="219">
        <f>'1.n2'!E48</f>
        <v>0</v>
      </c>
      <c r="L49" s="219">
        <f>'2.n2'!E48</f>
        <v>0</v>
      </c>
      <c r="M49" s="219">
        <f>'3.n2'!E48</f>
        <v>0</v>
      </c>
      <c r="N49" s="219">
        <f>'4.n2'!E48</f>
        <v>0</v>
      </c>
      <c r="O49" s="219">
        <f>'5.n3'!E48</f>
        <v>0</v>
      </c>
      <c r="P49" s="219">
        <f>'6.n3э'!E48</f>
        <v>0</v>
      </c>
      <c r="Q49" s="219">
        <f>'7.n2'!E48</f>
        <v>0</v>
      </c>
      <c r="R49" s="219">
        <f>'8.n2'!E48</f>
        <v>0</v>
      </c>
      <c r="S49" s="219">
        <f>'9.n2'!E48</f>
        <v>0</v>
      </c>
      <c r="T49" s="219">
        <f>'10.n3'!E48</f>
        <v>0</v>
      </c>
      <c r="U49" s="219"/>
      <c r="V49" s="219"/>
      <c r="Y49" s="325"/>
      <c r="Z49" s="325"/>
      <c r="AA49" s="325"/>
      <c r="AB49" s="325"/>
      <c r="AC49" s="325"/>
      <c r="AD49" s="325"/>
      <c r="AE49" s="325"/>
      <c r="AF49" s="324">
        <f>SUM(Y49:AE49)-Таблица2[[#This Row],[Общее кол-во]]</f>
        <v>-154.19999999999999</v>
      </c>
    </row>
    <row r="50" spans="1:174" hidden="1" x14ac:dyDescent="0.3">
      <c r="A50" s="140" t="s">
        <v>238</v>
      </c>
      <c r="B50" s="131"/>
      <c r="C50" s="167" t="s">
        <v>120</v>
      </c>
      <c r="D50" s="168"/>
      <c r="E50" s="168"/>
      <c r="F50" s="169" t="s">
        <v>6</v>
      </c>
      <c r="G50" s="170">
        <v>0.25</v>
      </c>
      <c r="H50" s="148">
        <v>38.549999999999997</v>
      </c>
      <c r="I50" s="175"/>
      <c r="J50" s="222">
        <f>SUM(Таблица2[[#This Row],[1.n]:[12.n]])</f>
        <v>0</v>
      </c>
      <c r="K50" s="219">
        <f>'1.n2'!E49</f>
        <v>0</v>
      </c>
      <c r="L50" s="219">
        <f>'2.n2'!E49</f>
        <v>0</v>
      </c>
      <c r="M50" s="219">
        <f>'3.n2'!E49</f>
        <v>0</v>
      </c>
      <c r="N50" s="219">
        <f>'4.n2'!E49</f>
        <v>0</v>
      </c>
      <c r="O50" s="219">
        <f>'5.n3'!E49</f>
        <v>0</v>
      </c>
      <c r="P50" s="219">
        <f>'6.n3э'!E49</f>
        <v>0</v>
      </c>
      <c r="Q50" s="219">
        <f>'7.n2'!E49</f>
        <v>0</v>
      </c>
      <c r="R50" s="219">
        <f>'8.n2'!E49</f>
        <v>0</v>
      </c>
      <c r="S50" s="219">
        <f>'9.n2'!E49</f>
        <v>0</v>
      </c>
      <c r="T50" s="219">
        <f>'10.n3'!E49</f>
        <v>0</v>
      </c>
      <c r="U50" s="219"/>
      <c r="V50" s="219"/>
      <c r="Y50" s="325"/>
      <c r="Z50" s="325"/>
      <c r="AA50" s="325"/>
      <c r="AB50" s="325"/>
      <c r="AC50" s="325"/>
      <c r="AD50" s="325"/>
      <c r="AE50" s="325"/>
      <c r="AF50" s="324">
        <f>SUM(Y50:AE50)-Таблица2[[#This Row],[Общее кол-во]]</f>
        <v>-38.549999999999997</v>
      </c>
    </row>
    <row r="51" spans="1:174" s="256" customFormat="1" ht="46.8" x14ac:dyDescent="0.3">
      <c r="A51" s="312" t="s">
        <v>239</v>
      </c>
      <c r="B51" s="313" t="s">
        <v>220</v>
      </c>
      <c r="C51" s="314" t="s">
        <v>221</v>
      </c>
      <c r="D51" s="315"/>
      <c r="E51" s="315" t="s">
        <v>240</v>
      </c>
      <c r="F51" s="315" t="s">
        <v>123</v>
      </c>
      <c r="G51" s="316">
        <v>1</v>
      </c>
      <c r="H51" s="252">
        <v>572.4</v>
      </c>
      <c r="I51" s="253">
        <f>Таблица2[[#This Row],[Общее кол-во]]-SUM(Таблица2[[#This Row],[1.n]:[12.n]])</f>
        <v>341.09999999999997</v>
      </c>
      <c r="J51" s="254">
        <f>SUM(Таблица2[[#This Row],[1.n]:[12.n]])</f>
        <v>231.3</v>
      </c>
      <c r="K51" s="255"/>
      <c r="L51" s="255"/>
      <c r="M51" s="255"/>
      <c r="N51" s="255"/>
      <c r="O51" s="255"/>
      <c r="P51" s="255">
        <f>'6.n3э'!E20</f>
        <v>193.9</v>
      </c>
      <c r="Q51" s="255"/>
      <c r="R51" s="255"/>
      <c r="S51" s="255"/>
      <c r="T51" s="255">
        <f>'10.n3'!E20</f>
        <v>37.4</v>
      </c>
      <c r="U51" s="255"/>
      <c r="V51" s="255"/>
      <c r="W51" s="324"/>
      <c r="X51" s="324"/>
      <c r="Y51" s="329">
        <v>0</v>
      </c>
      <c r="Z51" s="329">
        <v>178.3</v>
      </c>
      <c r="AA51" s="329">
        <v>0</v>
      </c>
      <c r="AB51" s="329">
        <v>142.69999999999999</v>
      </c>
      <c r="AC51" s="329">
        <v>39</v>
      </c>
      <c r="AD51" s="329">
        <v>132.5</v>
      </c>
      <c r="AE51" s="329">
        <v>79.900000000000006</v>
      </c>
      <c r="AF51" s="324">
        <f>SUM(Y51:AE51)-Таблица2[[#This Row],[Общее кол-во]]</f>
        <v>0</v>
      </c>
      <c r="AG51" s="324"/>
      <c r="AH51" s="324"/>
      <c r="AI51" s="324"/>
      <c r="AJ51" s="324"/>
      <c r="AK51" s="324"/>
      <c r="AL51" s="324"/>
      <c r="AM51" s="324"/>
      <c r="AN51" s="324"/>
      <c r="AO51" s="324"/>
      <c r="AP51" s="324"/>
      <c r="AQ51" s="324"/>
      <c r="AR51" s="324"/>
      <c r="AS51" s="324"/>
      <c r="AT51" s="324"/>
      <c r="AU51" s="324"/>
      <c r="AV51" s="324"/>
      <c r="AW51" s="324"/>
      <c r="AX51" s="324"/>
      <c r="AY51" s="324"/>
      <c r="AZ51" s="324"/>
      <c r="BA51" s="324"/>
      <c r="BB51" s="324"/>
      <c r="BC51" s="324"/>
      <c r="BD51" s="324"/>
      <c r="BE51" s="324"/>
      <c r="BF51" s="324"/>
      <c r="BG51" s="324"/>
      <c r="BH51" s="324"/>
      <c r="BI51" s="324"/>
      <c r="BJ51" s="324"/>
      <c r="BK51" s="324"/>
      <c r="BL51" s="324"/>
      <c r="BM51" s="324"/>
      <c r="BN51" s="324"/>
      <c r="BO51" s="324"/>
      <c r="BP51" s="324"/>
      <c r="BQ51" s="324"/>
      <c r="BR51" s="324"/>
      <c r="BS51" s="324"/>
      <c r="BT51" s="324"/>
      <c r="BU51" s="324"/>
      <c r="BV51" s="324"/>
      <c r="BW51" s="324"/>
      <c r="BX51" s="324"/>
      <c r="BY51" s="324"/>
      <c r="BZ51" s="324"/>
      <c r="CA51" s="324"/>
      <c r="CB51" s="324"/>
      <c r="CC51" s="324"/>
      <c r="CD51" s="324"/>
      <c r="CE51" s="324"/>
      <c r="CF51" s="324"/>
      <c r="CG51" s="324"/>
      <c r="CH51" s="324"/>
      <c r="CI51" s="324"/>
      <c r="CJ51" s="324"/>
      <c r="CK51" s="324"/>
      <c r="CL51" s="324"/>
      <c r="CM51" s="324"/>
      <c r="CN51" s="324"/>
      <c r="CO51" s="324"/>
      <c r="CP51" s="324"/>
      <c r="CQ51" s="324"/>
      <c r="CR51" s="324"/>
      <c r="CS51" s="324"/>
      <c r="CT51" s="324"/>
      <c r="CU51" s="324"/>
      <c r="CV51" s="324"/>
      <c r="CW51" s="324"/>
      <c r="CX51" s="324"/>
      <c r="CY51" s="324"/>
      <c r="CZ51" s="324"/>
      <c r="DA51" s="324"/>
      <c r="DB51" s="324"/>
      <c r="DC51" s="324"/>
      <c r="DD51" s="324"/>
      <c r="DE51" s="324"/>
      <c r="DF51" s="324"/>
      <c r="DG51" s="324"/>
      <c r="DH51" s="324"/>
      <c r="DI51" s="324"/>
      <c r="DJ51" s="324"/>
      <c r="DK51" s="324"/>
      <c r="DL51" s="324"/>
      <c r="DM51" s="324"/>
      <c r="DN51" s="324"/>
      <c r="DO51" s="324"/>
      <c r="DP51" s="324"/>
      <c r="DQ51" s="324"/>
      <c r="DR51" s="324"/>
      <c r="DS51" s="324"/>
      <c r="DT51" s="324"/>
      <c r="DU51" s="324"/>
      <c r="DV51" s="324"/>
      <c r="DW51" s="324"/>
      <c r="DX51" s="324"/>
      <c r="DY51" s="324"/>
      <c r="DZ51" s="324"/>
      <c r="EA51" s="324"/>
      <c r="EB51" s="324"/>
      <c r="EC51" s="324"/>
      <c r="ED51" s="324"/>
      <c r="EE51" s="324"/>
      <c r="EF51" s="324"/>
      <c r="EG51" s="324"/>
      <c r="EH51" s="324"/>
      <c r="EI51" s="324"/>
      <c r="EJ51" s="324"/>
      <c r="EK51" s="324"/>
      <c r="EL51" s="324"/>
      <c r="EM51" s="324"/>
      <c r="EN51" s="324"/>
      <c r="EO51" s="324"/>
      <c r="EP51" s="324"/>
      <c r="EQ51" s="324"/>
      <c r="ER51" s="324"/>
      <c r="ES51" s="324"/>
      <c r="ET51" s="324"/>
      <c r="EU51" s="324"/>
      <c r="EV51" s="324"/>
      <c r="EW51" s="324"/>
      <c r="EX51" s="324"/>
      <c r="EY51" s="324"/>
      <c r="EZ51" s="324"/>
      <c r="FA51" s="324"/>
      <c r="FB51" s="324"/>
      <c r="FC51" s="324"/>
      <c r="FD51" s="324"/>
      <c r="FE51" s="324"/>
      <c r="FF51" s="324"/>
      <c r="FG51" s="324"/>
      <c r="FH51" s="324"/>
      <c r="FI51" s="324"/>
      <c r="FJ51" s="324"/>
      <c r="FK51" s="324"/>
      <c r="FL51" s="324"/>
      <c r="FM51" s="324"/>
      <c r="FN51" s="324"/>
      <c r="FO51" s="324"/>
      <c r="FP51" s="324"/>
      <c r="FQ51" s="324"/>
      <c r="FR51" s="324"/>
    </row>
    <row r="52" spans="1:174" hidden="1" x14ac:dyDescent="0.3">
      <c r="A52" s="140" t="s">
        <v>241</v>
      </c>
      <c r="B52" s="131"/>
      <c r="C52" s="167" t="s">
        <v>10</v>
      </c>
      <c r="D52" s="168"/>
      <c r="E52" s="168"/>
      <c r="F52" s="169" t="s">
        <v>6</v>
      </c>
      <c r="G52" s="170">
        <v>0.15</v>
      </c>
      <c r="H52" s="148">
        <v>85.86</v>
      </c>
      <c r="I52" s="231"/>
      <c r="J52" s="222">
        <f>SUM(Таблица2[[#This Row],[1.n]:[12.n]])</f>
        <v>0</v>
      </c>
      <c r="K52" s="219">
        <f>'1.n2'!E51</f>
        <v>0</v>
      </c>
      <c r="L52" s="219">
        <f>'2.n2'!E51</f>
        <v>0</v>
      </c>
      <c r="M52" s="219">
        <f>'3.n2'!E51</f>
        <v>0</v>
      </c>
      <c r="N52" s="219">
        <f>'4.n2'!E51</f>
        <v>0</v>
      </c>
      <c r="O52" s="219">
        <f>'5.n3'!E51</f>
        <v>0</v>
      </c>
      <c r="P52" s="219">
        <f>'6.n3э'!E51</f>
        <v>0</v>
      </c>
      <c r="Q52" s="219">
        <f>'7.n2'!E51</f>
        <v>0</v>
      </c>
      <c r="R52" s="219">
        <f>'8.n2'!E51</f>
        <v>0</v>
      </c>
      <c r="S52" s="219">
        <f>'9.n2'!E51</f>
        <v>0</v>
      </c>
      <c r="T52" s="219">
        <f>'10.n3'!E51</f>
        <v>0</v>
      </c>
      <c r="U52" s="219"/>
      <c r="V52" s="219"/>
      <c r="Y52" s="325"/>
      <c r="Z52" s="325"/>
      <c r="AA52" s="325"/>
      <c r="AB52" s="325"/>
      <c r="AC52" s="325"/>
      <c r="AD52" s="325"/>
      <c r="AE52" s="325"/>
      <c r="AF52" s="324">
        <f>SUM(Y52:AE52)-Таблица2[[#This Row],[Общее кол-во]]</f>
        <v>-85.86</v>
      </c>
    </row>
    <row r="53" spans="1:174" hidden="1" x14ac:dyDescent="0.3">
      <c r="A53" s="139" t="s">
        <v>242</v>
      </c>
      <c r="B53" s="130"/>
      <c r="C53" s="173" t="s">
        <v>13</v>
      </c>
      <c r="D53" s="164"/>
      <c r="E53" s="164"/>
      <c r="F53" s="165" t="s">
        <v>7</v>
      </c>
      <c r="G53" s="166">
        <v>1</v>
      </c>
      <c r="H53" s="148">
        <v>572.4</v>
      </c>
      <c r="I53" s="175"/>
      <c r="J53" s="222">
        <f>SUM(Таблица2[[#This Row],[1.n]:[12.n]])</f>
        <v>0</v>
      </c>
      <c r="K53" s="219">
        <f>'1.n2'!E52</f>
        <v>0</v>
      </c>
      <c r="L53" s="219">
        <f>'2.n2'!E52</f>
        <v>0</v>
      </c>
      <c r="M53" s="219">
        <f>'3.n2'!E52</f>
        <v>0</v>
      </c>
      <c r="N53" s="219">
        <f>'4.n2'!E52</f>
        <v>0</v>
      </c>
      <c r="O53" s="219">
        <f>'5.n3'!E52</f>
        <v>0</v>
      </c>
      <c r="P53" s="219">
        <f>'6.n3э'!E52</f>
        <v>0</v>
      </c>
      <c r="Q53" s="219">
        <f>'7.n2'!E52</f>
        <v>0</v>
      </c>
      <c r="R53" s="219">
        <f>'8.n2'!E52</f>
        <v>0</v>
      </c>
      <c r="S53" s="219">
        <f>'9.n2'!E52</f>
        <v>0</v>
      </c>
      <c r="T53" s="219">
        <f>'10.n3'!E52</f>
        <v>0</v>
      </c>
      <c r="U53" s="219"/>
      <c r="V53" s="219"/>
      <c r="Y53" s="325"/>
      <c r="Z53" s="325"/>
      <c r="AA53" s="325"/>
      <c r="AB53" s="325"/>
      <c r="AC53" s="325"/>
      <c r="AD53" s="325"/>
      <c r="AE53" s="325"/>
      <c r="AF53" s="324">
        <f>SUM(Y53:AE53)-Таблица2[[#This Row],[Общее кол-во]]</f>
        <v>-572.4</v>
      </c>
    </row>
    <row r="54" spans="1:174" hidden="1" x14ac:dyDescent="0.3">
      <c r="A54" s="140" t="s">
        <v>243</v>
      </c>
      <c r="B54" s="131"/>
      <c r="C54" s="167" t="s">
        <v>121</v>
      </c>
      <c r="D54" s="168"/>
      <c r="E54" s="168"/>
      <c r="F54" s="169" t="s">
        <v>123</v>
      </c>
      <c r="G54" s="170">
        <v>1.1000000000000001</v>
      </c>
      <c r="H54" s="148">
        <v>629.64</v>
      </c>
      <c r="I54" s="181"/>
      <c r="J54" s="223">
        <f>SUM(Таблица2[[#This Row],[1.n]:[12.n]])</f>
        <v>0</v>
      </c>
      <c r="K54" s="219">
        <f>'1.n2'!E53</f>
        <v>0</v>
      </c>
      <c r="L54" s="219">
        <f>'2.n2'!E53</f>
        <v>0</v>
      </c>
      <c r="M54" s="219">
        <f>'3.n2'!E53</f>
        <v>0</v>
      </c>
      <c r="N54" s="219">
        <f>'4.n2'!E53</f>
        <v>0</v>
      </c>
      <c r="O54" s="219">
        <f>'5.n3'!E53</f>
        <v>0</v>
      </c>
      <c r="P54" s="219">
        <f>'6.n3э'!E53</f>
        <v>0</v>
      </c>
      <c r="Q54" s="219">
        <f>'7.n2'!E53</f>
        <v>0</v>
      </c>
      <c r="R54" s="219">
        <f>'8.n2'!E53</f>
        <v>0</v>
      </c>
      <c r="S54" s="219">
        <f>'9.n2'!E53</f>
        <v>0</v>
      </c>
      <c r="T54" s="219">
        <f>'10.n3'!E53</f>
        <v>0</v>
      </c>
      <c r="U54" s="219"/>
      <c r="V54" s="219"/>
      <c r="Y54" s="325"/>
      <c r="Z54" s="325"/>
      <c r="AA54" s="325"/>
      <c r="AB54" s="325"/>
      <c r="AC54" s="325"/>
      <c r="AD54" s="325"/>
      <c r="AE54" s="325"/>
      <c r="AF54" s="324">
        <f>SUM(Y54:AE54)-Таблица2[[#This Row],[Общее кол-во]]</f>
        <v>-629.64</v>
      </c>
    </row>
    <row r="55" spans="1:174" hidden="1" x14ac:dyDescent="0.3">
      <c r="A55" s="139" t="s">
        <v>244</v>
      </c>
      <c r="B55" s="130"/>
      <c r="C55" s="173" t="s">
        <v>122</v>
      </c>
      <c r="D55" s="164"/>
      <c r="E55" s="164"/>
      <c r="F55" s="165" t="s">
        <v>6</v>
      </c>
      <c r="G55" s="166">
        <v>1.3</v>
      </c>
      <c r="H55" s="148">
        <v>26044.2</v>
      </c>
      <c r="I55" s="175"/>
      <c r="J55" s="222">
        <f>SUM(Таблица2[[#This Row],[1.n]:[12.n]])</f>
        <v>0</v>
      </c>
      <c r="K55" s="219">
        <f>'1.n2'!E54</f>
        <v>0</v>
      </c>
      <c r="L55" s="219">
        <f>'2.n2'!E54</f>
        <v>0</v>
      </c>
      <c r="M55" s="219">
        <f>'3.n2'!E54</f>
        <v>0</v>
      </c>
      <c r="N55" s="219">
        <f>'4.n2'!E54</f>
        <v>0</v>
      </c>
      <c r="O55" s="219">
        <f>'5.n3'!E54</f>
        <v>0</v>
      </c>
      <c r="P55" s="219">
        <f>'6.n3э'!E54</f>
        <v>0</v>
      </c>
      <c r="Q55" s="219">
        <f>'7.n2'!E54</f>
        <v>0</v>
      </c>
      <c r="R55" s="219">
        <f>'8.n2'!E54</f>
        <v>0</v>
      </c>
      <c r="S55" s="219">
        <f>'9.n2'!E54</f>
        <v>0</v>
      </c>
      <c r="T55" s="219">
        <f>'10.n3'!E54</f>
        <v>0</v>
      </c>
      <c r="U55" s="219"/>
      <c r="V55" s="219"/>
      <c r="Y55" s="325"/>
      <c r="Z55" s="325"/>
      <c r="AA55" s="325"/>
      <c r="AB55" s="325"/>
      <c r="AC55" s="325"/>
      <c r="AD55" s="325"/>
      <c r="AE55" s="325"/>
      <c r="AF55" s="324">
        <f>SUM(Y55:AE55)-Таблица2[[#This Row],[Общее кол-во]]</f>
        <v>-26044.2</v>
      </c>
    </row>
    <row r="56" spans="1:174" s="276" customFormat="1" ht="46.8" x14ac:dyDescent="0.3">
      <c r="A56" s="267" t="s">
        <v>245</v>
      </c>
      <c r="B56" s="268" t="s">
        <v>246</v>
      </c>
      <c r="C56" s="269" t="s">
        <v>247</v>
      </c>
      <c r="D56" s="270"/>
      <c r="E56" s="270" t="s">
        <v>222</v>
      </c>
      <c r="F56" s="270" t="s">
        <v>123</v>
      </c>
      <c r="G56" s="271">
        <v>1</v>
      </c>
      <c r="H56" s="272">
        <v>3617.6</v>
      </c>
      <c r="I56" s="273">
        <f>Таблица2[[#This Row],[Общее кол-во]]-SUM(Таблица2[[#This Row],[1.n]:[12.n]])</f>
        <v>991.67152319119987</v>
      </c>
      <c r="J56" s="274">
        <f>SUM(Таблица2[[#This Row],[1.n]:[12.n]])</f>
        <v>2625.9284768088</v>
      </c>
      <c r="K56" s="275">
        <f>'1.n2'!E6</f>
        <v>410.02</v>
      </c>
      <c r="L56" s="275">
        <f>'2.n2'!E6</f>
        <v>333.82</v>
      </c>
      <c r="M56" s="275">
        <f>'3.n2'!E6</f>
        <v>161.16999999999999</v>
      </c>
      <c r="N56" s="275">
        <f>'4.n2'!E6</f>
        <v>361.91847680879999</v>
      </c>
      <c r="O56" s="275"/>
      <c r="P56" s="275"/>
      <c r="Q56" s="275">
        <f>'7.n2'!E6</f>
        <v>724.40000000000009</v>
      </c>
      <c r="R56" s="275">
        <f>'8.n2'!E6</f>
        <v>292.20000000000005</v>
      </c>
      <c r="S56" s="275">
        <f>'9.n2'!E6</f>
        <v>342.4</v>
      </c>
      <c r="T56" s="275"/>
      <c r="U56" s="275">
        <v>0</v>
      </c>
      <c r="V56" s="275"/>
      <c r="W56" s="324"/>
      <c r="X56" s="324"/>
      <c r="Y56" s="330">
        <v>579.20000000000005</v>
      </c>
      <c r="Z56" s="330">
        <v>427.3</v>
      </c>
      <c r="AA56" s="330">
        <v>293.60000000000002</v>
      </c>
      <c r="AB56" s="330">
        <v>789.2</v>
      </c>
      <c r="AC56" s="330">
        <v>513.20000000000005</v>
      </c>
      <c r="AD56" s="330">
        <v>397</v>
      </c>
      <c r="AE56" s="330">
        <v>597.79999999999995</v>
      </c>
      <c r="AF56" s="324">
        <f>SUM(Y56:AE56)-Таблица2[[#This Row],[Общее кол-во]]</f>
        <v>-20.299999999999727</v>
      </c>
      <c r="AG56" s="324" t="s">
        <v>579</v>
      </c>
      <c r="AH56" s="324"/>
      <c r="AI56" s="324"/>
      <c r="AJ56" s="324"/>
      <c r="AK56" s="324"/>
      <c r="AL56" s="324"/>
      <c r="AM56" s="324"/>
      <c r="AN56" s="324"/>
      <c r="AO56" s="324"/>
      <c r="AP56" s="324"/>
      <c r="AQ56" s="324"/>
      <c r="AR56" s="324"/>
      <c r="AS56" s="324"/>
      <c r="AT56" s="324"/>
      <c r="AU56" s="324"/>
      <c r="AV56" s="324"/>
      <c r="AW56" s="324"/>
      <c r="AX56" s="324"/>
      <c r="AY56" s="324"/>
      <c r="AZ56" s="324"/>
      <c r="BA56" s="324"/>
      <c r="BB56" s="324"/>
      <c r="BC56" s="324"/>
      <c r="BD56" s="324"/>
      <c r="BE56" s="324"/>
      <c r="BF56" s="324"/>
      <c r="BG56" s="324"/>
      <c r="BH56" s="324"/>
      <c r="BI56" s="324"/>
      <c r="BJ56" s="324"/>
      <c r="BK56" s="324"/>
      <c r="BL56" s="324"/>
      <c r="BM56" s="324"/>
      <c r="BN56" s="324"/>
      <c r="BO56" s="324"/>
      <c r="BP56" s="324"/>
      <c r="BQ56" s="324"/>
      <c r="BR56" s="324"/>
      <c r="BS56" s="324"/>
      <c r="BT56" s="324"/>
      <c r="BU56" s="324"/>
      <c r="BV56" s="324"/>
      <c r="BW56" s="324"/>
      <c r="BX56" s="324"/>
      <c r="BY56" s="324"/>
      <c r="BZ56" s="324"/>
      <c r="CA56" s="324"/>
      <c r="CB56" s="324"/>
      <c r="CC56" s="324"/>
      <c r="CD56" s="324"/>
      <c r="CE56" s="324"/>
      <c r="CF56" s="324"/>
      <c r="CG56" s="324"/>
      <c r="CH56" s="324"/>
      <c r="CI56" s="324"/>
      <c r="CJ56" s="324"/>
      <c r="CK56" s="324"/>
      <c r="CL56" s="324"/>
      <c r="CM56" s="324"/>
      <c r="CN56" s="324"/>
      <c r="CO56" s="324"/>
      <c r="CP56" s="324"/>
      <c r="CQ56" s="324"/>
      <c r="CR56" s="324"/>
      <c r="CS56" s="324"/>
      <c r="CT56" s="324"/>
      <c r="CU56" s="324"/>
      <c r="CV56" s="324"/>
      <c r="CW56" s="324"/>
      <c r="CX56" s="324"/>
      <c r="CY56" s="324"/>
      <c r="CZ56" s="324"/>
      <c r="DA56" s="324"/>
      <c r="DB56" s="324"/>
      <c r="DC56" s="324"/>
      <c r="DD56" s="324"/>
      <c r="DE56" s="324"/>
      <c r="DF56" s="324"/>
      <c r="DG56" s="324"/>
      <c r="DH56" s="324"/>
      <c r="DI56" s="324"/>
      <c r="DJ56" s="324"/>
      <c r="DK56" s="324"/>
      <c r="DL56" s="324"/>
      <c r="DM56" s="324"/>
      <c r="DN56" s="324"/>
      <c r="DO56" s="324"/>
      <c r="DP56" s="324"/>
      <c r="DQ56" s="324"/>
      <c r="DR56" s="324"/>
      <c r="DS56" s="324"/>
      <c r="DT56" s="324"/>
      <c r="DU56" s="324"/>
      <c r="DV56" s="324"/>
      <c r="DW56" s="324"/>
      <c r="DX56" s="324"/>
      <c r="DY56" s="324"/>
      <c r="DZ56" s="324"/>
      <c r="EA56" s="324"/>
      <c r="EB56" s="324"/>
      <c r="EC56" s="324"/>
      <c r="ED56" s="324"/>
      <c r="EE56" s="324"/>
      <c r="EF56" s="324"/>
      <c r="EG56" s="324"/>
      <c r="EH56" s="324"/>
      <c r="EI56" s="324"/>
      <c r="EJ56" s="324"/>
      <c r="EK56" s="324"/>
      <c r="EL56" s="324"/>
      <c r="EM56" s="324"/>
      <c r="EN56" s="324"/>
      <c r="EO56" s="324"/>
      <c r="EP56" s="324"/>
      <c r="EQ56" s="324"/>
      <c r="ER56" s="324"/>
      <c r="ES56" s="324"/>
      <c r="ET56" s="324"/>
      <c r="EU56" s="324"/>
      <c r="EV56" s="324"/>
      <c r="EW56" s="324"/>
      <c r="EX56" s="324"/>
      <c r="EY56" s="324"/>
      <c r="EZ56" s="324"/>
      <c r="FA56" s="324"/>
      <c r="FB56" s="324"/>
      <c r="FC56" s="324"/>
      <c r="FD56" s="324"/>
      <c r="FE56" s="324"/>
      <c r="FF56" s="324"/>
      <c r="FG56" s="324"/>
      <c r="FH56" s="324"/>
      <c r="FI56" s="324"/>
      <c r="FJ56" s="324"/>
      <c r="FK56" s="324"/>
      <c r="FL56" s="324"/>
      <c r="FM56" s="324"/>
      <c r="FN56" s="324"/>
      <c r="FO56" s="324"/>
      <c r="FP56" s="324"/>
      <c r="FQ56" s="324"/>
      <c r="FR56" s="324"/>
    </row>
    <row r="57" spans="1:174" ht="31.2" hidden="1" x14ac:dyDescent="0.3">
      <c r="A57" s="139" t="s">
        <v>248</v>
      </c>
      <c r="B57" s="130"/>
      <c r="C57" s="163" t="s">
        <v>171</v>
      </c>
      <c r="D57" s="164"/>
      <c r="E57" s="164"/>
      <c r="F57" s="165" t="s">
        <v>6</v>
      </c>
      <c r="G57" s="166">
        <v>1</v>
      </c>
      <c r="H57" s="148">
        <v>126616</v>
      </c>
      <c r="I57" s="231"/>
      <c r="J57" s="222">
        <f>SUM(Таблица2[[#This Row],[1.n]:[12.n]])</f>
        <v>0</v>
      </c>
      <c r="K57" s="219">
        <f>'1.n2'!E56</f>
        <v>0</v>
      </c>
      <c r="L57" s="219">
        <f>'2.n2'!E56</f>
        <v>0</v>
      </c>
      <c r="M57" s="219">
        <f>'3.n2'!E56</f>
        <v>0</v>
      </c>
      <c r="N57" s="219">
        <f>'4.n2'!E56</f>
        <v>0</v>
      </c>
      <c r="O57" s="219">
        <f>'5.n3'!E56</f>
        <v>0</v>
      </c>
      <c r="P57" s="219">
        <f>'6.n3э'!E56</f>
        <v>0</v>
      </c>
      <c r="Q57" s="219">
        <f>'7.n2'!E56</f>
        <v>0</v>
      </c>
      <c r="R57" s="219">
        <f>'8.n2'!E56</f>
        <v>0</v>
      </c>
      <c r="S57" s="219">
        <f>'9.n2'!E56</f>
        <v>0</v>
      </c>
      <c r="T57" s="219">
        <f>'10.n3'!E56</f>
        <v>0</v>
      </c>
      <c r="U57" s="219"/>
      <c r="V57" s="219"/>
      <c r="Y57" s="325"/>
      <c r="Z57" s="325"/>
      <c r="AA57" s="325"/>
      <c r="AB57" s="325"/>
      <c r="AC57" s="325"/>
      <c r="AD57" s="325"/>
      <c r="AE57" s="325"/>
      <c r="AF57" s="324">
        <f>SUM(Y57:AE57)-Таблица2[[#This Row],[Общее кол-во]]</f>
        <v>-126616</v>
      </c>
    </row>
    <row r="58" spans="1:174" hidden="1" x14ac:dyDescent="0.3">
      <c r="A58" s="140" t="s">
        <v>249</v>
      </c>
      <c r="B58" s="131"/>
      <c r="C58" s="167" t="s">
        <v>13</v>
      </c>
      <c r="D58" s="168"/>
      <c r="E58" s="168"/>
      <c r="F58" s="169" t="s">
        <v>7</v>
      </c>
      <c r="G58" s="170">
        <v>1</v>
      </c>
      <c r="H58" s="148">
        <v>3617.6</v>
      </c>
      <c r="I58" s="175"/>
      <c r="J58" s="222">
        <f>SUM(Таблица2[[#This Row],[1.n]:[12.n]])</f>
        <v>0</v>
      </c>
      <c r="K58" s="219">
        <f>'1.n2'!E57</f>
        <v>0</v>
      </c>
      <c r="L58" s="219">
        <f>'2.n2'!E57</f>
        <v>0</v>
      </c>
      <c r="M58" s="219">
        <f>'3.n2'!E57</f>
        <v>0</v>
      </c>
      <c r="N58" s="219">
        <f>'4.n2'!E57</f>
        <v>0</v>
      </c>
      <c r="O58" s="219">
        <f>'5.n3'!E57</f>
        <v>0</v>
      </c>
      <c r="P58" s="219">
        <f>'6.n3э'!E57</f>
        <v>0</v>
      </c>
      <c r="Q58" s="219">
        <f>'7.n2'!E57</f>
        <v>0</v>
      </c>
      <c r="R58" s="219">
        <f>'8.n2'!E57</f>
        <v>0</v>
      </c>
      <c r="S58" s="219">
        <f>'9.n2'!E57</f>
        <v>0</v>
      </c>
      <c r="T58" s="219">
        <f>'10.n3'!E57</f>
        <v>0</v>
      </c>
      <c r="U58" s="219"/>
      <c r="V58" s="219"/>
      <c r="Y58" s="325"/>
      <c r="Z58" s="325"/>
      <c r="AA58" s="325"/>
      <c r="AB58" s="325"/>
      <c r="AC58" s="325"/>
      <c r="AD58" s="325"/>
      <c r="AE58" s="325"/>
      <c r="AF58" s="324">
        <f>SUM(Y58:AE58)-Таблица2[[#This Row],[Общее кол-во]]</f>
        <v>-3617.6</v>
      </c>
    </row>
    <row r="59" spans="1:174" hidden="1" x14ac:dyDescent="0.3">
      <c r="A59" s="139" t="s">
        <v>250</v>
      </c>
      <c r="B59" s="130"/>
      <c r="C59" s="173" t="s">
        <v>120</v>
      </c>
      <c r="D59" s="164"/>
      <c r="E59" s="164"/>
      <c r="F59" s="165" t="s">
        <v>6</v>
      </c>
      <c r="G59" s="166">
        <v>0.25</v>
      </c>
      <c r="H59" s="148">
        <v>904.4</v>
      </c>
      <c r="I59" s="175"/>
      <c r="J59" s="222">
        <f>SUM(Таблица2[[#This Row],[1.n]:[12.n]])</f>
        <v>0</v>
      </c>
      <c r="K59" s="219">
        <f>'1.n2'!E58</f>
        <v>0</v>
      </c>
      <c r="L59" s="219">
        <f>'2.n2'!E58</f>
        <v>0</v>
      </c>
      <c r="M59" s="219">
        <f>'3.n2'!E58</f>
        <v>0</v>
      </c>
      <c r="N59" s="219">
        <f>'4.n2'!E58</f>
        <v>0</v>
      </c>
      <c r="O59" s="219">
        <f>'5.n3'!E58</f>
        <v>0</v>
      </c>
      <c r="P59" s="219">
        <f>'6.n3э'!E58</f>
        <v>0</v>
      </c>
      <c r="Q59" s="219">
        <f>'7.n2'!E58</f>
        <v>0</v>
      </c>
      <c r="R59" s="219">
        <f>'8.n2'!E58</f>
        <v>0</v>
      </c>
      <c r="S59" s="219">
        <f>'9.n2'!E58</f>
        <v>0</v>
      </c>
      <c r="T59" s="219">
        <f>'10.n3'!E58</f>
        <v>0</v>
      </c>
      <c r="U59" s="219"/>
      <c r="V59" s="219"/>
      <c r="Y59" s="325"/>
      <c r="Z59" s="325"/>
      <c r="AA59" s="325"/>
      <c r="AB59" s="325"/>
      <c r="AC59" s="325"/>
      <c r="AD59" s="325"/>
      <c r="AE59" s="325"/>
      <c r="AF59" s="324">
        <f>SUM(Y59:AE59)-Таблица2[[#This Row],[Общее кол-во]]</f>
        <v>-904.4</v>
      </c>
    </row>
    <row r="60" spans="1:174" s="296" customFormat="1" ht="46.8" x14ac:dyDescent="0.3">
      <c r="A60" s="287" t="s">
        <v>251</v>
      </c>
      <c r="B60" s="288" t="s">
        <v>246</v>
      </c>
      <c r="C60" s="289" t="s">
        <v>247</v>
      </c>
      <c r="D60" s="290"/>
      <c r="E60" s="290" t="s">
        <v>252</v>
      </c>
      <c r="F60" s="290" t="s">
        <v>123</v>
      </c>
      <c r="G60" s="291">
        <v>1</v>
      </c>
      <c r="H60" s="292">
        <v>4460.8</v>
      </c>
      <c r="I60" s="293">
        <f>Таблица2[[#This Row],[Общее кол-во]]-SUM(Таблица2[[#This Row],[1.n]:[12.n]])</f>
        <v>122.00020941270031</v>
      </c>
      <c r="J60" s="294">
        <f>SUM(Таблица2[[#This Row],[1.n]:[12.n]])</f>
        <v>4338.7997905872999</v>
      </c>
      <c r="K60" s="295">
        <f>'1.n2'!E10</f>
        <v>603.16000000000008</v>
      </c>
      <c r="L60" s="295">
        <f>'2.n2'!E10</f>
        <v>502.91</v>
      </c>
      <c r="M60" s="295">
        <f>'3.n2'!E10</f>
        <v>341.46999999999997</v>
      </c>
      <c r="N60" s="295">
        <f>'4.n2'!E10</f>
        <v>697.45979058729995</v>
      </c>
      <c r="O60" s="295"/>
      <c r="P60" s="295"/>
      <c r="Q60" s="295">
        <f>'7.n2'!E10</f>
        <v>1148.5</v>
      </c>
      <c r="R60" s="295">
        <f>'8.n2'!E10</f>
        <v>240.6</v>
      </c>
      <c r="S60" s="295">
        <f>'9.n2'!E10</f>
        <v>804.69999999999982</v>
      </c>
      <c r="T60" s="295"/>
      <c r="U60" s="295">
        <v>0</v>
      </c>
      <c r="V60" s="295"/>
      <c r="W60" s="324"/>
      <c r="X60" s="324"/>
      <c r="Y60" s="331">
        <v>705.8</v>
      </c>
      <c r="Z60" s="331">
        <v>320</v>
      </c>
      <c r="AA60" s="331">
        <v>440.8</v>
      </c>
      <c r="AB60" s="331">
        <v>938.3</v>
      </c>
      <c r="AC60" s="331">
        <v>805.8</v>
      </c>
      <c r="AD60" s="331">
        <v>373.6</v>
      </c>
      <c r="AE60" s="331">
        <v>804.5</v>
      </c>
      <c r="AF60" s="324">
        <f>SUM(Y60:AE60)-Таблица2[[#This Row],[Общее кол-во]]</f>
        <v>-72.000000000000909</v>
      </c>
      <c r="AG60" s="324" t="s">
        <v>579</v>
      </c>
      <c r="AH60" s="324"/>
      <c r="AI60" s="324"/>
      <c r="AJ60" s="324"/>
      <c r="AK60" s="324"/>
      <c r="AL60" s="324"/>
      <c r="AM60" s="324"/>
      <c r="AN60" s="324"/>
      <c r="AO60" s="324"/>
      <c r="AP60" s="324"/>
      <c r="AQ60" s="324"/>
      <c r="AR60" s="324"/>
      <c r="AS60" s="324"/>
      <c r="AT60" s="324"/>
      <c r="AU60" s="324"/>
      <c r="AV60" s="324"/>
      <c r="AW60" s="324"/>
      <c r="AX60" s="324"/>
      <c r="AY60" s="324"/>
      <c r="AZ60" s="324"/>
      <c r="BA60" s="324"/>
      <c r="BB60" s="324"/>
      <c r="BC60" s="324"/>
      <c r="BD60" s="324"/>
      <c r="BE60" s="324"/>
      <c r="BF60" s="324"/>
      <c r="BG60" s="324"/>
      <c r="BH60" s="324"/>
      <c r="BI60" s="324"/>
      <c r="BJ60" s="324"/>
      <c r="BK60" s="324"/>
      <c r="BL60" s="324"/>
      <c r="BM60" s="324"/>
      <c r="BN60" s="324"/>
      <c r="BO60" s="324"/>
      <c r="BP60" s="324"/>
      <c r="BQ60" s="324"/>
      <c r="BR60" s="324"/>
      <c r="BS60" s="324"/>
      <c r="BT60" s="324"/>
      <c r="BU60" s="324"/>
      <c r="BV60" s="324"/>
      <c r="BW60" s="324"/>
      <c r="BX60" s="324"/>
      <c r="BY60" s="324"/>
      <c r="BZ60" s="324"/>
      <c r="CA60" s="324"/>
      <c r="CB60" s="324"/>
      <c r="CC60" s="324"/>
      <c r="CD60" s="324"/>
      <c r="CE60" s="324"/>
      <c r="CF60" s="324"/>
      <c r="CG60" s="324"/>
      <c r="CH60" s="324"/>
      <c r="CI60" s="324"/>
      <c r="CJ60" s="324"/>
      <c r="CK60" s="324"/>
      <c r="CL60" s="324"/>
      <c r="CM60" s="324"/>
      <c r="CN60" s="324"/>
      <c r="CO60" s="324"/>
      <c r="CP60" s="324"/>
      <c r="CQ60" s="324"/>
      <c r="CR60" s="324"/>
      <c r="CS60" s="324"/>
      <c r="CT60" s="324"/>
      <c r="CU60" s="324"/>
      <c r="CV60" s="324"/>
      <c r="CW60" s="324"/>
      <c r="CX60" s="324"/>
      <c r="CY60" s="324"/>
      <c r="CZ60" s="324"/>
      <c r="DA60" s="324"/>
      <c r="DB60" s="324"/>
      <c r="DC60" s="324"/>
      <c r="DD60" s="324"/>
      <c r="DE60" s="324"/>
      <c r="DF60" s="324"/>
      <c r="DG60" s="324"/>
      <c r="DH60" s="324"/>
      <c r="DI60" s="324"/>
      <c r="DJ60" s="324"/>
      <c r="DK60" s="324"/>
      <c r="DL60" s="324"/>
      <c r="DM60" s="324"/>
      <c r="DN60" s="324"/>
      <c r="DO60" s="324"/>
      <c r="DP60" s="324"/>
      <c r="DQ60" s="324"/>
      <c r="DR60" s="324"/>
      <c r="DS60" s="324"/>
      <c r="DT60" s="324"/>
      <c r="DU60" s="324"/>
      <c r="DV60" s="324"/>
      <c r="DW60" s="324"/>
      <c r="DX60" s="324"/>
      <c r="DY60" s="324"/>
      <c r="DZ60" s="324"/>
      <c r="EA60" s="324"/>
      <c r="EB60" s="324"/>
      <c r="EC60" s="324"/>
      <c r="ED60" s="324"/>
      <c r="EE60" s="324"/>
      <c r="EF60" s="324"/>
      <c r="EG60" s="324"/>
      <c r="EH60" s="324"/>
      <c r="EI60" s="324"/>
      <c r="EJ60" s="324"/>
      <c r="EK60" s="324"/>
      <c r="EL60" s="324"/>
      <c r="EM60" s="324"/>
      <c r="EN60" s="324"/>
      <c r="EO60" s="324"/>
      <c r="EP60" s="324"/>
      <c r="EQ60" s="324"/>
      <c r="ER60" s="324"/>
      <c r="ES60" s="324"/>
      <c r="ET60" s="324"/>
      <c r="EU60" s="324"/>
      <c r="EV60" s="324"/>
      <c r="EW60" s="324"/>
      <c r="EX60" s="324"/>
      <c r="EY60" s="324"/>
      <c r="EZ60" s="324"/>
      <c r="FA60" s="324"/>
      <c r="FB60" s="324"/>
      <c r="FC60" s="324"/>
      <c r="FD60" s="324"/>
      <c r="FE60" s="324"/>
      <c r="FF60" s="324"/>
      <c r="FG60" s="324"/>
      <c r="FH60" s="324"/>
      <c r="FI60" s="324"/>
      <c r="FJ60" s="324"/>
      <c r="FK60" s="324"/>
      <c r="FL60" s="324"/>
      <c r="FM60" s="324"/>
      <c r="FN60" s="324"/>
      <c r="FO60" s="324"/>
      <c r="FP60" s="324"/>
      <c r="FQ60" s="324"/>
      <c r="FR60" s="324"/>
    </row>
    <row r="61" spans="1:174" hidden="1" x14ac:dyDescent="0.3">
      <c r="A61" s="139" t="s">
        <v>253</v>
      </c>
      <c r="B61" s="130"/>
      <c r="C61" s="173" t="s">
        <v>10</v>
      </c>
      <c r="D61" s="164"/>
      <c r="E61" s="164"/>
      <c r="F61" s="165" t="s">
        <v>6</v>
      </c>
      <c r="G61" s="166">
        <v>0.15</v>
      </c>
      <c r="H61" s="148">
        <v>669.12</v>
      </c>
      <c r="I61" s="231"/>
      <c r="J61" s="222">
        <f>SUM(Таблица2[[#This Row],[1.n]:[12.n]])</f>
        <v>0</v>
      </c>
      <c r="K61" s="219">
        <f>'1.n2'!E60</f>
        <v>0</v>
      </c>
      <c r="L61" s="219">
        <f>'2.n2'!E60</f>
        <v>0</v>
      </c>
      <c r="M61" s="219">
        <f>'3.n2'!E60</f>
        <v>0</v>
      </c>
      <c r="N61" s="219">
        <f>'4.n2'!E60</f>
        <v>0</v>
      </c>
      <c r="O61" s="219">
        <f>'5.n3'!E60</f>
        <v>0</v>
      </c>
      <c r="P61" s="219">
        <f>'6.n3э'!E60</f>
        <v>0</v>
      </c>
      <c r="Q61" s="219">
        <f>'7.n2'!E60</f>
        <v>0</v>
      </c>
      <c r="R61" s="219">
        <f>'8.n2'!E60</f>
        <v>0</v>
      </c>
      <c r="S61" s="219">
        <f>'9.n2'!E60</f>
        <v>0</v>
      </c>
      <c r="T61" s="219">
        <f>'10.n3'!E60</f>
        <v>0</v>
      </c>
      <c r="U61" s="219"/>
      <c r="V61" s="219"/>
      <c r="Y61" s="325"/>
      <c r="Z61" s="325"/>
      <c r="AA61" s="325"/>
      <c r="AB61" s="325"/>
      <c r="AC61" s="325"/>
      <c r="AD61" s="325"/>
      <c r="AE61" s="325"/>
      <c r="AF61" s="324">
        <f>SUM(Y61:AE61)-Таблица2[[#This Row],[Общее кол-во]]</f>
        <v>-669.12</v>
      </c>
    </row>
    <row r="62" spans="1:174" hidden="1" x14ac:dyDescent="0.3">
      <c r="A62" s="140" t="s">
        <v>254</v>
      </c>
      <c r="B62" s="131"/>
      <c r="C62" s="167" t="s">
        <v>13</v>
      </c>
      <c r="D62" s="168"/>
      <c r="E62" s="168"/>
      <c r="F62" s="169" t="s">
        <v>7</v>
      </c>
      <c r="G62" s="170">
        <v>1</v>
      </c>
      <c r="H62" s="148">
        <v>4460.8</v>
      </c>
      <c r="I62" s="176"/>
      <c r="J62" s="221">
        <f>SUM(Таблица2[[#This Row],[1.n]:[12.n]])</f>
        <v>0</v>
      </c>
      <c r="K62" s="219">
        <f>'1.n2'!E61</f>
        <v>0</v>
      </c>
      <c r="L62" s="219">
        <f>'2.n2'!E61</f>
        <v>0</v>
      </c>
      <c r="M62" s="219">
        <f>'3.n2'!E61</f>
        <v>0</v>
      </c>
      <c r="N62" s="219">
        <f>'4.n2'!E61</f>
        <v>0</v>
      </c>
      <c r="O62" s="219">
        <f>'5.n3'!E61</f>
        <v>0</v>
      </c>
      <c r="P62" s="219">
        <f>'6.n3э'!E61</f>
        <v>0</v>
      </c>
      <c r="Q62" s="219">
        <f>'7.n2'!E61</f>
        <v>0</v>
      </c>
      <c r="R62" s="219">
        <f>'8.n2'!E61</f>
        <v>0</v>
      </c>
      <c r="S62" s="219">
        <f>'9.n2'!E61</f>
        <v>0</v>
      </c>
      <c r="T62" s="219">
        <f>'10.n3'!E61</f>
        <v>0</v>
      </c>
      <c r="U62" s="219"/>
      <c r="V62" s="219"/>
      <c r="Y62" s="325"/>
      <c r="Z62" s="325"/>
      <c r="AA62" s="325"/>
      <c r="AB62" s="325"/>
      <c r="AC62" s="325"/>
      <c r="AD62" s="325"/>
      <c r="AE62" s="325"/>
      <c r="AF62" s="324">
        <f>SUM(Y62:AE62)-Таблица2[[#This Row],[Общее кол-во]]</f>
        <v>-4460.8</v>
      </c>
    </row>
    <row r="63" spans="1:174" ht="31.2" hidden="1" x14ac:dyDescent="0.3">
      <c r="A63" s="139" t="s">
        <v>255</v>
      </c>
      <c r="B63" s="130"/>
      <c r="C63" s="163" t="s">
        <v>171</v>
      </c>
      <c r="D63" s="164"/>
      <c r="E63" s="164"/>
      <c r="F63" s="165" t="s">
        <v>6</v>
      </c>
      <c r="G63" s="166">
        <v>1</v>
      </c>
      <c r="H63" s="148">
        <v>156128</v>
      </c>
      <c r="I63" s="175"/>
      <c r="J63" s="222">
        <f>SUM(Таблица2[[#This Row],[1.n]:[12.n]])</f>
        <v>0</v>
      </c>
      <c r="K63" s="219">
        <f>'1.n2'!E62</f>
        <v>0</v>
      </c>
      <c r="L63" s="219">
        <f>'2.n2'!E62</f>
        <v>0</v>
      </c>
      <c r="M63" s="219">
        <f>'3.n2'!E62</f>
        <v>0</v>
      </c>
      <c r="N63" s="219">
        <f>'4.n2'!E62</f>
        <v>0</v>
      </c>
      <c r="O63" s="219">
        <f>'5.n3'!E62</f>
        <v>0</v>
      </c>
      <c r="P63" s="219">
        <f>'6.n3э'!E62</f>
        <v>0</v>
      </c>
      <c r="Q63" s="219">
        <f>'7.n2'!E62</f>
        <v>0</v>
      </c>
      <c r="R63" s="219">
        <f>'8.n2'!E62</f>
        <v>0</v>
      </c>
      <c r="S63" s="219">
        <f>'9.n2'!E62</f>
        <v>0</v>
      </c>
      <c r="T63" s="219">
        <f>'10.n3'!E62</f>
        <v>0</v>
      </c>
      <c r="U63" s="219"/>
      <c r="V63" s="219"/>
      <c r="Y63" s="325"/>
      <c r="Z63" s="325"/>
      <c r="AA63" s="325"/>
      <c r="AB63" s="325"/>
      <c r="AC63" s="325"/>
      <c r="AD63" s="325"/>
      <c r="AE63" s="325"/>
      <c r="AF63" s="324">
        <f>SUM(Y63:AE63)-Таблица2[[#This Row],[Общее кол-во]]</f>
        <v>-156128</v>
      </c>
    </row>
    <row r="64" spans="1:174" s="266" customFormat="1" ht="46.8" x14ac:dyDescent="0.3">
      <c r="A64" s="257" t="s">
        <v>256</v>
      </c>
      <c r="B64" s="258" t="s">
        <v>246</v>
      </c>
      <c r="C64" s="259" t="s">
        <v>247</v>
      </c>
      <c r="D64" s="260"/>
      <c r="E64" s="260" t="s">
        <v>234</v>
      </c>
      <c r="F64" s="260" t="s">
        <v>123</v>
      </c>
      <c r="G64" s="261">
        <v>1</v>
      </c>
      <c r="H64" s="262">
        <v>3125.2</v>
      </c>
      <c r="I64" s="263">
        <f>Таблица2[[#This Row],[Общее кол-во]]-SUM(Таблица2[[#This Row],[1.n]:[12.n]])</f>
        <v>741.76045781999983</v>
      </c>
      <c r="J64" s="264">
        <f>SUM(Таблица2[[#This Row],[1.n]:[12.n]])</f>
        <v>2383.43954218</v>
      </c>
      <c r="K64" s="265"/>
      <c r="L64" s="265"/>
      <c r="M64" s="265"/>
      <c r="N64" s="265"/>
      <c r="O64" s="265">
        <f>'5.n3'!E6</f>
        <v>1389.7395421799999</v>
      </c>
      <c r="P64" s="265">
        <f>'6.n3э'!E6</f>
        <v>719.9</v>
      </c>
      <c r="Q64" s="265"/>
      <c r="R64" s="265"/>
      <c r="S64" s="265"/>
      <c r="T64" s="265">
        <f>'10.n3'!E6</f>
        <v>273.8</v>
      </c>
      <c r="U64" s="265"/>
      <c r="V64" s="265">
        <v>0</v>
      </c>
      <c r="W64" s="324"/>
      <c r="X64" s="324"/>
      <c r="Y64" s="326">
        <v>572.20000000000005</v>
      </c>
      <c r="Z64" s="326">
        <v>516.6</v>
      </c>
      <c r="AA64" s="326">
        <v>118.4</v>
      </c>
      <c r="AB64" s="326">
        <v>466.7</v>
      </c>
      <c r="AC64" s="326">
        <v>480.5</v>
      </c>
      <c r="AD64" s="326">
        <v>377.2</v>
      </c>
      <c r="AE64" s="326">
        <v>593.6</v>
      </c>
      <c r="AF64" s="324">
        <f>SUM(Y64:AE64)-Таблица2[[#This Row],[Общее кол-во]]</f>
        <v>0</v>
      </c>
      <c r="AG64" s="324"/>
      <c r="AH64" s="324"/>
      <c r="AI64" s="324"/>
      <c r="AJ64" s="324"/>
      <c r="AK64" s="324"/>
      <c r="AL64" s="324"/>
      <c r="AM64" s="324"/>
      <c r="AN64" s="324"/>
      <c r="AO64" s="324"/>
      <c r="AP64" s="324"/>
      <c r="AQ64" s="324"/>
      <c r="AR64" s="324"/>
      <c r="AS64" s="324"/>
      <c r="AT64" s="324"/>
      <c r="AU64" s="324"/>
      <c r="AV64" s="324"/>
      <c r="AW64" s="324"/>
      <c r="AX64" s="324"/>
      <c r="AY64" s="324"/>
      <c r="AZ64" s="324"/>
      <c r="BA64" s="324"/>
      <c r="BB64" s="324"/>
      <c r="BC64" s="324"/>
      <c r="BD64" s="324"/>
      <c r="BE64" s="324"/>
      <c r="BF64" s="324"/>
      <c r="BG64" s="324"/>
      <c r="BH64" s="324"/>
      <c r="BI64" s="324"/>
      <c r="BJ64" s="324"/>
      <c r="BK64" s="324"/>
      <c r="BL64" s="324"/>
      <c r="BM64" s="324"/>
      <c r="BN64" s="324"/>
      <c r="BO64" s="324"/>
      <c r="BP64" s="324"/>
      <c r="BQ64" s="324"/>
      <c r="BR64" s="324"/>
      <c r="BS64" s="324"/>
      <c r="BT64" s="324"/>
      <c r="BU64" s="324"/>
      <c r="BV64" s="324"/>
      <c r="BW64" s="324"/>
      <c r="BX64" s="324"/>
      <c r="BY64" s="324"/>
      <c r="BZ64" s="324"/>
      <c r="CA64" s="324"/>
      <c r="CB64" s="324"/>
      <c r="CC64" s="324"/>
      <c r="CD64" s="324"/>
      <c r="CE64" s="324"/>
      <c r="CF64" s="324"/>
      <c r="CG64" s="324"/>
      <c r="CH64" s="324"/>
      <c r="CI64" s="324"/>
      <c r="CJ64" s="324"/>
      <c r="CK64" s="324"/>
      <c r="CL64" s="324"/>
      <c r="CM64" s="324"/>
      <c r="CN64" s="324"/>
      <c r="CO64" s="324"/>
      <c r="CP64" s="324"/>
      <c r="CQ64" s="324"/>
      <c r="CR64" s="324"/>
      <c r="CS64" s="324"/>
      <c r="CT64" s="324"/>
      <c r="CU64" s="324"/>
      <c r="CV64" s="324"/>
      <c r="CW64" s="324"/>
      <c r="CX64" s="324"/>
      <c r="CY64" s="324"/>
      <c r="CZ64" s="324"/>
      <c r="DA64" s="324"/>
      <c r="DB64" s="324"/>
      <c r="DC64" s="324"/>
      <c r="DD64" s="324"/>
      <c r="DE64" s="324"/>
      <c r="DF64" s="324"/>
      <c r="DG64" s="324"/>
      <c r="DH64" s="324"/>
      <c r="DI64" s="324"/>
      <c r="DJ64" s="324"/>
      <c r="DK64" s="324"/>
      <c r="DL64" s="324"/>
      <c r="DM64" s="324"/>
      <c r="DN64" s="324"/>
      <c r="DO64" s="324"/>
      <c r="DP64" s="324"/>
      <c r="DQ64" s="324"/>
      <c r="DR64" s="324"/>
      <c r="DS64" s="324"/>
      <c r="DT64" s="324"/>
      <c r="DU64" s="324"/>
      <c r="DV64" s="324"/>
      <c r="DW64" s="324"/>
      <c r="DX64" s="324"/>
      <c r="DY64" s="324"/>
      <c r="DZ64" s="324"/>
      <c r="EA64" s="324"/>
      <c r="EB64" s="324"/>
      <c r="EC64" s="324"/>
      <c r="ED64" s="324"/>
      <c r="EE64" s="324"/>
      <c r="EF64" s="324"/>
      <c r="EG64" s="324"/>
      <c r="EH64" s="324"/>
      <c r="EI64" s="324"/>
      <c r="EJ64" s="324"/>
      <c r="EK64" s="324"/>
      <c r="EL64" s="324"/>
      <c r="EM64" s="324"/>
      <c r="EN64" s="324"/>
      <c r="EO64" s="324"/>
      <c r="EP64" s="324"/>
      <c r="EQ64" s="324"/>
      <c r="ER64" s="324"/>
      <c r="ES64" s="324"/>
      <c r="ET64" s="324"/>
      <c r="EU64" s="324"/>
      <c r="EV64" s="324"/>
      <c r="EW64" s="324"/>
      <c r="EX64" s="324"/>
      <c r="EY64" s="324"/>
      <c r="EZ64" s="324"/>
      <c r="FA64" s="324"/>
      <c r="FB64" s="324"/>
      <c r="FC64" s="324"/>
      <c r="FD64" s="324"/>
      <c r="FE64" s="324"/>
      <c r="FF64" s="324"/>
      <c r="FG64" s="324"/>
      <c r="FH64" s="324"/>
      <c r="FI64" s="324"/>
      <c r="FJ64" s="324"/>
      <c r="FK64" s="324"/>
      <c r="FL64" s="324"/>
      <c r="FM64" s="324"/>
      <c r="FN64" s="324"/>
      <c r="FO64" s="324"/>
      <c r="FP64" s="324"/>
      <c r="FQ64" s="324"/>
      <c r="FR64" s="324"/>
    </row>
    <row r="65" spans="1:174" ht="31.2" hidden="1" x14ac:dyDescent="0.3">
      <c r="A65" s="139" t="s">
        <v>257</v>
      </c>
      <c r="B65" s="130"/>
      <c r="C65" s="163" t="s">
        <v>171</v>
      </c>
      <c r="D65" s="164"/>
      <c r="E65" s="164"/>
      <c r="F65" s="165" t="s">
        <v>6</v>
      </c>
      <c r="G65" s="166">
        <v>1</v>
      </c>
      <c r="H65" s="148">
        <v>109382</v>
      </c>
      <c r="I65" s="231"/>
      <c r="J65" s="222">
        <f>SUM(Таблица2[[#This Row],[1.n]:[12.n]])</f>
        <v>2.9</v>
      </c>
      <c r="K65" s="219">
        <f>'1.n2'!E64</f>
        <v>0</v>
      </c>
      <c r="L65" s="219">
        <f>'2.n2'!E64</f>
        <v>0</v>
      </c>
      <c r="M65" s="219">
        <f>'3.n2'!E64</f>
        <v>0</v>
      </c>
      <c r="N65" s="219">
        <f>'4.n2'!E64</f>
        <v>0</v>
      </c>
      <c r="O65" s="219">
        <f>'5.n3'!E64</f>
        <v>0</v>
      </c>
      <c r="P65" s="219">
        <f>'6.n3э'!E64</f>
        <v>0</v>
      </c>
      <c r="Q65" s="219">
        <f>'7.n2'!E64</f>
        <v>0</v>
      </c>
      <c r="R65" s="219">
        <f>'8.n2'!E64</f>
        <v>0</v>
      </c>
      <c r="S65" s="219">
        <f>'9.n2'!E64</f>
        <v>0</v>
      </c>
      <c r="T65" s="219">
        <f>'10.n3'!E15</f>
        <v>2.9</v>
      </c>
      <c r="U65" s="219"/>
      <c r="V65" s="219"/>
      <c r="Y65" s="325"/>
      <c r="Z65" s="325"/>
      <c r="AA65" s="325"/>
      <c r="AB65" s="325"/>
      <c r="AC65" s="325"/>
      <c r="AD65" s="325"/>
      <c r="AE65" s="325"/>
      <c r="AF65" s="324">
        <f>SUM(Y65:AE65)-Таблица2[[#This Row],[Общее кол-во]]</f>
        <v>-109382</v>
      </c>
    </row>
    <row r="66" spans="1:174" hidden="1" x14ac:dyDescent="0.3">
      <c r="A66" s="140" t="s">
        <v>258</v>
      </c>
      <c r="B66" s="131"/>
      <c r="C66" s="167" t="s">
        <v>13</v>
      </c>
      <c r="D66" s="168"/>
      <c r="E66" s="168"/>
      <c r="F66" s="169" t="s">
        <v>7</v>
      </c>
      <c r="G66" s="170">
        <v>1</v>
      </c>
      <c r="H66" s="148">
        <v>3125.2</v>
      </c>
      <c r="I66" s="175"/>
      <c r="J66" s="222">
        <f>SUM(Таблица2[[#This Row],[1.n]:[12.n]])</f>
        <v>0</v>
      </c>
      <c r="K66" s="219">
        <f>'1.n2'!E65</f>
        <v>0</v>
      </c>
      <c r="L66" s="219">
        <f>'2.n2'!E65</f>
        <v>0</v>
      </c>
      <c r="M66" s="219">
        <f>'3.n2'!E65</f>
        <v>0</v>
      </c>
      <c r="N66" s="219">
        <f>'4.n2'!E65</f>
        <v>0</v>
      </c>
      <c r="O66" s="219">
        <f>'5.n3'!E65</f>
        <v>0</v>
      </c>
      <c r="P66" s="219">
        <f>'6.n3э'!E65</f>
        <v>0</v>
      </c>
      <c r="Q66" s="219">
        <f>'7.n2'!E65</f>
        <v>0</v>
      </c>
      <c r="R66" s="219">
        <f>'8.n2'!E65</f>
        <v>0</v>
      </c>
      <c r="S66" s="219">
        <f>'9.n2'!E65</f>
        <v>0</v>
      </c>
      <c r="T66" s="219">
        <f>'10.n3'!E65</f>
        <v>0</v>
      </c>
      <c r="U66" s="219"/>
      <c r="V66" s="219"/>
      <c r="Y66" s="325"/>
      <c r="Z66" s="325"/>
      <c r="AA66" s="325"/>
      <c r="AB66" s="325"/>
      <c r="AC66" s="325"/>
      <c r="AD66" s="325"/>
      <c r="AE66" s="325"/>
      <c r="AF66" s="324">
        <f>SUM(Y66:AE66)-Таблица2[[#This Row],[Общее кол-во]]</f>
        <v>-3125.2</v>
      </c>
    </row>
    <row r="67" spans="1:174" hidden="1" x14ac:dyDescent="0.3">
      <c r="A67" s="139" t="s">
        <v>259</v>
      </c>
      <c r="B67" s="130"/>
      <c r="C67" s="173" t="s">
        <v>120</v>
      </c>
      <c r="D67" s="164"/>
      <c r="E67" s="164"/>
      <c r="F67" s="165" t="s">
        <v>6</v>
      </c>
      <c r="G67" s="166">
        <v>0.25</v>
      </c>
      <c r="H67" s="148">
        <v>781.3</v>
      </c>
      <c r="I67" s="175"/>
      <c r="J67" s="222">
        <f>SUM(Таблица2[[#This Row],[1.n]:[12.n]])</f>
        <v>0</v>
      </c>
      <c r="K67" s="219">
        <f>'1.n2'!E66</f>
        <v>0</v>
      </c>
      <c r="L67" s="219">
        <f>'2.n2'!E66</f>
        <v>0</v>
      </c>
      <c r="M67" s="219">
        <f>'3.n2'!E66</f>
        <v>0</v>
      </c>
      <c r="N67" s="219">
        <f>'4.n2'!E66</f>
        <v>0</v>
      </c>
      <c r="O67" s="219">
        <f>'5.n3'!E66</f>
        <v>0</v>
      </c>
      <c r="P67" s="219">
        <f>'6.n3э'!E66</f>
        <v>0</v>
      </c>
      <c r="Q67" s="219">
        <f>'7.n2'!E66</f>
        <v>0</v>
      </c>
      <c r="R67" s="219">
        <f>'8.n2'!E66</f>
        <v>0</v>
      </c>
      <c r="S67" s="219">
        <f>'9.n2'!E66</f>
        <v>0</v>
      </c>
      <c r="T67" s="219">
        <f>'10.n3'!E66</f>
        <v>0</v>
      </c>
      <c r="U67" s="219"/>
      <c r="V67" s="219"/>
      <c r="Y67" s="325"/>
      <c r="Z67" s="325"/>
      <c r="AA67" s="325"/>
      <c r="AB67" s="325"/>
      <c r="AC67" s="325"/>
      <c r="AD67" s="325"/>
      <c r="AE67" s="325"/>
      <c r="AF67" s="324">
        <f>SUM(Y67:AE67)-Таблица2[[#This Row],[Общее кол-во]]</f>
        <v>-781.3</v>
      </c>
    </row>
    <row r="68" spans="1:174" s="286" customFormat="1" ht="46.8" x14ac:dyDescent="0.3">
      <c r="A68" s="277" t="s">
        <v>260</v>
      </c>
      <c r="B68" s="278" t="s">
        <v>246</v>
      </c>
      <c r="C68" s="279" t="s">
        <v>247</v>
      </c>
      <c r="D68" s="280"/>
      <c r="E68" s="280" t="s">
        <v>261</v>
      </c>
      <c r="F68" s="280" t="s">
        <v>123</v>
      </c>
      <c r="G68" s="281">
        <v>1</v>
      </c>
      <c r="H68" s="282">
        <v>4198.8</v>
      </c>
      <c r="I68" s="283">
        <f>Таблица2[[#This Row],[Общее кол-во]]-SUM(Таблица2[[#This Row],[1.n]:[12.n]])</f>
        <v>-421.80191527999978</v>
      </c>
      <c r="J68" s="284">
        <f>SUM(Таблица2[[#This Row],[1.n]:[12.n]])</f>
        <v>4620.60191528</v>
      </c>
      <c r="K68" s="285"/>
      <c r="L68" s="285"/>
      <c r="M68" s="285"/>
      <c r="N68" s="285"/>
      <c r="O68" s="285">
        <f>'5.n3'!E10</f>
        <v>2747.8019152800002</v>
      </c>
      <c r="P68" s="285">
        <f>'6.n3э'!E10</f>
        <v>918.5</v>
      </c>
      <c r="Q68" s="285"/>
      <c r="R68" s="285"/>
      <c r="S68" s="285"/>
      <c r="T68" s="285">
        <f>'10.n3'!E10</f>
        <v>954.30000000000007</v>
      </c>
      <c r="U68" s="285"/>
      <c r="V68" s="285">
        <v>0</v>
      </c>
      <c r="W68" s="324"/>
      <c r="X68" s="324"/>
      <c r="Y68" s="332">
        <v>944.6</v>
      </c>
      <c r="Z68" s="332">
        <v>493.4</v>
      </c>
      <c r="AA68" s="332">
        <v>243.7</v>
      </c>
      <c r="AB68" s="332">
        <v>826.4</v>
      </c>
      <c r="AC68" s="332">
        <v>675.4</v>
      </c>
      <c r="AD68" s="332">
        <v>387.8</v>
      </c>
      <c r="AE68" s="332">
        <v>601.6</v>
      </c>
      <c r="AF68" s="324">
        <f>SUM(Y68:AE68)-Таблица2[[#This Row],[Общее кол-во]]</f>
        <v>-25.899999999999636</v>
      </c>
      <c r="AG68" s="324"/>
      <c r="AH68" s="324"/>
      <c r="AI68" s="324"/>
      <c r="AJ68" s="324"/>
      <c r="AK68" s="324"/>
      <c r="AL68" s="324"/>
      <c r="AM68" s="324"/>
      <c r="AN68" s="324"/>
      <c r="AO68" s="324"/>
      <c r="AP68" s="324"/>
      <c r="AQ68" s="324"/>
      <c r="AR68" s="324"/>
      <c r="AS68" s="324"/>
      <c r="AT68" s="324"/>
      <c r="AU68" s="324"/>
      <c r="AV68" s="324"/>
      <c r="AW68" s="324"/>
      <c r="AX68" s="324"/>
      <c r="AY68" s="324"/>
      <c r="AZ68" s="324"/>
      <c r="BA68" s="324"/>
      <c r="BB68" s="324"/>
      <c r="BC68" s="324"/>
      <c r="BD68" s="324"/>
      <c r="BE68" s="324"/>
      <c r="BF68" s="324"/>
      <c r="BG68" s="324"/>
      <c r="BH68" s="324"/>
      <c r="BI68" s="324"/>
      <c r="BJ68" s="324"/>
      <c r="BK68" s="324"/>
      <c r="BL68" s="324"/>
      <c r="BM68" s="324"/>
      <c r="BN68" s="324"/>
      <c r="BO68" s="324"/>
      <c r="BP68" s="324"/>
      <c r="BQ68" s="324"/>
      <c r="BR68" s="324"/>
      <c r="BS68" s="324"/>
      <c r="BT68" s="324"/>
      <c r="BU68" s="324"/>
      <c r="BV68" s="324"/>
      <c r="BW68" s="324"/>
      <c r="BX68" s="324"/>
      <c r="BY68" s="324"/>
      <c r="BZ68" s="324"/>
      <c r="CA68" s="324"/>
      <c r="CB68" s="324"/>
      <c r="CC68" s="324"/>
      <c r="CD68" s="324"/>
      <c r="CE68" s="324"/>
      <c r="CF68" s="324"/>
      <c r="CG68" s="324"/>
      <c r="CH68" s="324"/>
      <c r="CI68" s="324"/>
      <c r="CJ68" s="324"/>
      <c r="CK68" s="324"/>
      <c r="CL68" s="324"/>
      <c r="CM68" s="324"/>
      <c r="CN68" s="324"/>
      <c r="CO68" s="324"/>
      <c r="CP68" s="324"/>
      <c r="CQ68" s="324"/>
      <c r="CR68" s="324"/>
      <c r="CS68" s="324"/>
      <c r="CT68" s="324"/>
      <c r="CU68" s="324"/>
      <c r="CV68" s="324"/>
      <c r="CW68" s="324"/>
      <c r="CX68" s="324"/>
      <c r="CY68" s="324"/>
      <c r="CZ68" s="324"/>
      <c r="DA68" s="324"/>
      <c r="DB68" s="324"/>
      <c r="DC68" s="324"/>
      <c r="DD68" s="324"/>
      <c r="DE68" s="324"/>
      <c r="DF68" s="324"/>
      <c r="DG68" s="324"/>
      <c r="DH68" s="324"/>
      <c r="DI68" s="324"/>
      <c r="DJ68" s="324"/>
      <c r="DK68" s="324"/>
      <c r="DL68" s="324"/>
      <c r="DM68" s="324"/>
      <c r="DN68" s="324"/>
      <c r="DO68" s="324"/>
      <c r="DP68" s="324"/>
      <c r="DQ68" s="324"/>
      <c r="DR68" s="324"/>
      <c r="DS68" s="324"/>
      <c r="DT68" s="324"/>
      <c r="DU68" s="324"/>
      <c r="DV68" s="324"/>
      <c r="DW68" s="324"/>
      <c r="DX68" s="324"/>
      <c r="DY68" s="324"/>
      <c r="DZ68" s="324"/>
      <c r="EA68" s="324"/>
      <c r="EB68" s="324"/>
      <c r="EC68" s="324"/>
      <c r="ED68" s="324"/>
      <c r="EE68" s="324"/>
      <c r="EF68" s="324"/>
      <c r="EG68" s="324"/>
      <c r="EH68" s="324"/>
      <c r="EI68" s="324"/>
      <c r="EJ68" s="324"/>
      <c r="EK68" s="324"/>
      <c r="EL68" s="324"/>
      <c r="EM68" s="324"/>
      <c r="EN68" s="324"/>
      <c r="EO68" s="324"/>
      <c r="EP68" s="324"/>
      <c r="EQ68" s="324"/>
      <c r="ER68" s="324"/>
      <c r="ES68" s="324"/>
      <c r="ET68" s="324"/>
      <c r="EU68" s="324"/>
      <c r="EV68" s="324"/>
      <c r="EW68" s="324"/>
      <c r="EX68" s="324"/>
      <c r="EY68" s="324"/>
      <c r="EZ68" s="324"/>
      <c r="FA68" s="324"/>
      <c r="FB68" s="324"/>
      <c r="FC68" s="324"/>
      <c r="FD68" s="324"/>
      <c r="FE68" s="324"/>
      <c r="FF68" s="324"/>
      <c r="FG68" s="324"/>
      <c r="FH68" s="324"/>
      <c r="FI68" s="324"/>
      <c r="FJ68" s="324"/>
      <c r="FK68" s="324"/>
      <c r="FL68" s="324"/>
      <c r="FM68" s="324"/>
      <c r="FN68" s="324"/>
      <c r="FO68" s="324"/>
      <c r="FP68" s="324"/>
      <c r="FQ68" s="324"/>
      <c r="FR68" s="324"/>
    </row>
    <row r="69" spans="1:174" hidden="1" x14ac:dyDescent="0.3">
      <c r="A69" s="139" t="s">
        <v>262</v>
      </c>
      <c r="B69" s="130"/>
      <c r="C69" s="173" t="s">
        <v>10</v>
      </c>
      <c r="D69" s="164"/>
      <c r="E69" s="164"/>
      <c r="F69" s="165" t="s">
        <v>6</v>
      </c>
      <c r="G69" s="166">
        <v>0.15</v>
      </c>
      <c r="H69" s="148">
        <v>629.82000000000005</v>
      </c>
      <c r="I69" s="231"/>
      <c r="J69" s="222">
        <f>SUM(Таблица2[[#This Row],[1.n]:[12.n]])</f>
        <v>0</v>
      </c>
      <c r="K69" s="219">
        <f>'1.n2'!E68</f>
        <v>0</v>
      </c>
      <c r="L69" s="219">
        <f>'2.n2'!E68</f>
        <v>0</v>
      </c>
      <c r="M69" s="219">
        <f>'3.n2'!E68</f>
        <v>0</v>
      </c>
      <c r="N69" s="219">
        <f>'4.n2'!E68</f>
        <v>0</v>
      </c>
      <c r="O69" s="219">
        <f>'5.n3'!E68</f>
        <v>0</v>
      </c>
      <c r="P69" s="219">
        <f>'6.n3э'!E68</f>
        <v>0</v>
      </c>
      <c r="Q69" s="219">
        <f>'7.n2'!E68</f>
        <v>0</v>
      </c>
      <c r="R69" s="219">
        <f>'8.n2'!E68</f>
        <v>0</v>
      </c>
      <c r="S69" s="219">
        <f>'9.n2'!E68</f>
        <v>0</v>
      </c>
      <c r="T69" s="219">
        <f>'10.n3'!E68</f>
        <v>0</v>
      </c>
      <c r="U69" s="219"/>
      <c r="V69" s="219"/>
    </row>
    <row r="70" spans="1:174" hidden="1" x14ac:dyDescent="0.3">
      <c r="A70" s="140" t="s">
        <v>263</v>
      </c>
      <c r="B70" s="131"/>
      <c r="C70" s="167" t="s">
        <v>13</v>
      </c>
      <c r="D70" s="168"/>
      <c r="E70" s="168"/>
      <c r="F70" s="169" t="s">
        <v>7</v>
      </c>
      <c r="G70" s="170">
        <v>1</v>
      </c>
      <c r="H70" s="148">
        <v>4198.8</v>
      </c>
      <c r="I70" s="175"/>
      <c r="J70" s="222">
        <f>SUM(Таблица2[[#This Row],[1.n]:[12.n]])</f>
        <v>0</v>
      </c>
      <c r="K70" s="219">
        <f>'1.n2'!E69</f>
        <v>0</v>
      </c>
      <c r="L70" s="219">
        <f>'2.n2'!E69</f>
        <v>0</v>
      </c>
      <c r="M70" s="219">
        <f>'3.n2'!E69</f>
        <v>0</v>
      </c>
      <c r="N70" s="219">
        <f>'4.n2'!E69</f>
        <v>0</v>
      </c>
      <c r="O70" s="219">
        <f>'5.n3'!E69</f>
        <v>0</v>
      </c>
      <c r="P70" s="219">
        <f>'6.n3э'!E69</f>
        <v>0</v>
      </c>
      <c r="Q70" s="219">
        <f>'7.n2'!E69</f>
        <v>0</v>
      </c>
      <c r="R70" s="219">
        <f>'8.n2'!E69</f>
        <v>0</v>
      </c>
      <c r="S70" s="219">
        <f>'9.n2'!E69</f>
        <v>0</v>
      </c>
      <c r="T70" s="219">
        <f>'10.n3'!E69</f>
        <v>0</v>
      </c>
      <c r="U70" s="219"/>
      <c r="V70" s="219"/>
    </row>
    <row r="71" spans="1:174" ht="31.2" hidden="1" x14ac:dyDescent="0.3">
      <c r="A71" s="139" t="s">
        <v>264</v>
      </c>
      <c r="B71" s="130"/>
      <c r="C71" s="163" t="s">
        <v>171</v>
      </c>
      <c r="D71" s="164"/>
      <c r="E71" s="164"/>
      <c r="F71" s="165" t="s">
        <v>6</v>
      </c>
      <c r="G71" s="166">
        <v>1</v>
      </c>
      <c r="H71" s="148">
        <v>146958</v>
      </c>
      <c r="I71" s="175"/>
      <c r="J71" s="222">
        <f>SUM(Таблица2[[#This Row],[1.n]:[12.n]])</f>
        <v>0</v>
      </c>
      <c r="K71" s="219">
        <f>'1.n2'!E70</f>
        <v>0</v>
      </c>
      <c r="L71" s="219">
        <f>'2.n2'!E70</f>
        <v>0</v>
      </c>
      <c r="M71" s="219">
        <f>'3.n2'!E70</f>
        <v>0</v>
      </c>
      <c r="N71" s="219">
        <f>'4.n2'!E70</f>
        <v>0</v>
      </c>
      <c r="O71" s="219">
        <f>'5.n3'!E70</f>
        <v>0</v>
      </c>
      <c r="P71" s="219">
        <f>'6.n3э'!E70</f>
        <v>0</v>
      </c>
      <c r="Q71" s="219">
        <f>'7.n2'!E70</f>
        <v>0</v>
      </c>
      <c r="R71" s="219">
        <f>'8.n2'!E70</f>
        <v>0</v>
      </c>
      <c r="S71" s="219">
        <f>'9.n2'!E70</f>
        <v>0</v>
      </c>
      <c r="T71" s="219">
        <f>'10.n3'!E70</f>
        <v>0</v>
      </c>
      <c r="U71" s="219"/>
      <c r="V71" s="219"/>
    </row>
    <row r="72" spans="1:174" x14ac:dyDescent="0.3">
      <c r="A72" s="144" t="s">
        <v>265</v>
      </c>
      <c r="B72" s="135" t="s">
        <v>266</v>
      </c>
      <c r="C72" s="154" t="s">
        <v>267</v>
      </c>
      <c r="D72" s="155"/>
      <c r="E72" s="155"/>
      <c r="F72" s="155"/>
      <c r="G72" s="155"/>
      <c r="H72" s="146"/>
      <c r="I72" s="251">
        <f>Таблица2[[#This Row],[Общее кол-во]]-SUM(Таблица2[[#This Row],[1.n]:[12.n]])</f>
        <v>0</v>
      </c>
      <c r="J72" s="240">
        <f>SUM(Таблица2[[#This Row],[1.n]:[12.n]])</f>
        <v>0</v>
      </c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</row>
    <row r="73" spans="1:174" ht="31.2" hidden="1" x14ac:dyDescent="0.3">
      <c r="A73" s="139" t="s">
        <v>268</v>
      </c>
      <c r="B73" s="130" t="s">
        <v>269</v>
      </c>
      <c r="C73" s="171" t="s">
        <v>270</v>
      </c>
      <c r="D73" s="164"/>
      <c r="E73" s="164" t="s">
        <v>169</v>
      </c>
      <c r="F73" s="164" t="s">
        <v>123</v>
      </c>
      <c r="G73" s="172">
        <v>1</v>
      </c>
      <c r="H73" s="149">
        <v>0</v>
      </c>
      <c r="I73" s="231"/>
      <c r="J73" s="222">
        <f>SUM(Таблица2[[#This Row],[1.n]:[12.n]])</f>
        <v>0</v>
      </c>
      <c r="K73" s="219">
        <f>'1.n2'!E72</f>
        <v>0</v>
      </c>
      <c r="L73" s="219">
        <f>'2.n2'!E72</f>
        <v>0</v>
      </c>
      <c r="M73" s="219">
        <f>'3.n2'!E72</f>
        <v>0</v>
      </c>
      <c r="N73" s="219">
        <f>'4.n2'!E72</f>
        <v>0</v>
      </c>
      <c r="O73" s="219">
        <f>'5.n3'!E72</f>
        <v>0</v>
      </c>
      <c r="P73" s="219">
        <f>'6.n3э'!E72</f>
        <v>0</v>
      </c>
      <c r="Q73" s="219">
        <f>'7.n2'!E72</f>
        <v>0</v>
      </c>
      <c r="R73" s="219">
        <f>'8.n2'!E72</f>
        <v>0</v>
      </c>
      <c r="S73" s="219">
        <f>'9.n2'!E72</f>
        <v>0</v>
      </c>
      <c r="T73" s="219">
        <f>'10.n3'!E72</f>
        <v>0</v>
      </c>
      <c r="U73" s="219"/>
      <c r="V73" s="219"/>
    </row>
    <row r="74" spans="1:174" ht="31.2" hidden="1" x14ac:dyDescent="0.3">
      <c r="A74" s="140" t="s">
        <v>271</v>
      </c>
      <c r="B74" s="131"/>
      <c r="C74" s="167" t="s">
        <v>272</v>
      </c>
      <c r="D74" s="168"/>
      <c r="E74" s="168"/>
      <c r="F74" s="169" t="s">
        <v>7</v>
      </c>
      <c r="G74" s="170">
        <v>0.23</v>
      </c>
      <c r="H74" s="148">
        <v>0</v>
      </c>
      <c r="I74" s="190"/>
      <c r="J74" s="248">
        <f>SUM(Таблица2[[#This Row],[1.n]:[12.n]])</f>
        <v>0</v>
      </c>
      <c r="K74" s="219">
        <f>'1.n2'!E73</f>
        <v>0</v>
      </c>
      <c r="L74" s="219">
        <f>'2.n2'!E73</f>
        <v>0</v>
      </c>
      <c r="M74" s="219">
        <f>'3.n2'!E73</f>
        <v>0</v>
      </c>
      <c r="N74" s="219">
        <f>'4.n2'!E73</f>
        <v>0</v>
      </c>
      <c r="O74" s="219">
        <f>'5.n3'!E73</f>
        <v>0</v>
      </c>
      <c r="P74" s="219">
        <f>'6.n3э'!E73</f>
        <v>0</v>
      </c>
      <c r="Q74" s="219">
        <f>'7.n2'!E73</f>
        <v>0</v>
      </c>
      <c r="R74" s="219">
        <f>'8.n2'!E73</f>
        <v>0</v>
      </c>
      <c r="S74" s="219">
        <f>'9.n2'!E73</f>
        <v>0</v>
      </c>
      <c r="T74" s="219">
        <f>'10.n3'!E73</f>
        <v>0</v>
      </c>
      <c r="U74" s="219"/>
      <c r="V74" s="219"/>
    </row>
    <row r="75" spans="1:174" ht="31.2" hidden="1" x14ac:dyDescent="0.3">
      <c r="A75" s="139" t="s">
        <v>273</v>
      </c>
      <c r="B75" s="130"/>
      <c r="C75" s="163" t="s">
        <v>274</v>
      </c>
      <c r="D75" s="164"/>
      <c r="E75" s="164" t="s">
        <v>275</v>
      </c>
      <c r="F75" s="165" t="s">
        <v>6</v>
      </c>
      <c r="G75" s="166">
        <v>1.2</v>
      </c>
      <c r="H75" s="148">
        <v>0</v>
      </c>
      <c r="I75" s="176"/>
      <c r="J75" s="221">
        <f>SUM(Таблица2[[#This Row],[1.n]:[12.n]])</f>
        <v>0</v>
      </c>
      <c r="K75" s="219">
        <f>'1.n2'!E74</f>
        <v>0</v>
      </c>
      <c r="L75" s="219">
        <f>'2.n2'!E74</f>
        <v>0</v>
      </c>
      <c r="M75" s="219">
        <f>'3.n2'!E74</f>
        <v>0</v>
      </c>
      <c r="N75" s="219">
        <f>'4.n2'!E74</f>
        <v>0</v>
      </c>
      <c r="O75" s="219">
        <f>'5.n3'!E74</f>
        <v>0</v>
      </c>
      <c r="P75" s="219">
        <f>'6.n3э'!E74</f>
        <v>0</v>
      </c>
      <c r="Q75" s="219">
        <f>'7.n2'!E74</f>
        <v>0</v>
      </c>
      <c r="R75" s="219">
        <f>'8.n2'!E74</f>
        <v>0</v>
      </c>
      <c r="S75" s="219">
        <f>'9.n2'!E74</f>
        <v>0</v>
      </c>
      <c r="T75" s="219">
        <f>'10.n3'!E74</f>
        <v>0</v>
      </c>
      <c r="U75" s="219"/>
      <c r="V75" s="219"/>
    </row>
    <row r="76" spans="1:174" ht="46.8" hidden="1" x14ac:dyDescent="0.3">
      <c r="A76" s="140" t="s">
        <v>276</v>
      </c>
      <c r="B76" s="131"/>
      <c r="C76" s="163" t="s">
        <v>277</v>
      </c>
      <c r="D76" s="168"/>
      <c r="E76" s="168" t="s">
        <v>278</v>
      </c>
      <c r="F76" s="169" t="s">
        <v>123</v>
      </c>
      <c r="G76" s="170">
        <v>1.07</v>
      </c>
      <c r="H76" s="148">
        <v>0</v>
      </c>
      <c r="I76" s="175"/>
      <c r="J76" s="222">
        <f>SUM(Таблица2[[#This Row],[1.n]:[12.n]])</f>
        <v>0</v>
      </c>
      <c r="K76" s="219">
        <f>'1.n2'!E75</f>
        <v>0</v>
      </c>
      <c r="L76" s="219">
        <f>'2.n2'!E75</f>
        <v>0</v>
      </c>
      <c r="M76" s="219">
        <f>'3.n2'!E75</f>
        <v>0</v>
      </c>
      <c r="N76" s="219">
        <f>'4.n2'!E75</f>
        <v>0</v>
      </c>
      <c r="O76" s="219">
        <f>'5.n3'!E75</f>
        <v>0</v>
      </c>
      <c r="P76" s="219">
        <f>'6.n3э'!E75</f>
        <v>0</v>
      </c>
      <c r="Q76" s="219">
        <f>'7.n2'!E75</f>
        <v>0</v>
      </c>
      <c r="R76" s="219">
        <f>'8.n2'!E75</f>
        <v>0</v>
      </c>
      <c r="S76" s="219">
        <f>'9.n2'!E75</f>
        <v>0</v>
      </c>
      <c r="T76" s="219">
        <f>'10.n3'!E75</f>
        <v>0</v>
      </c>
      <c r="U76" s="219"/>
      <c r="V76" s="219"/>
    </row>
    <row r="77" spans="1:174" hidden="1" x14ac:dyDescent="0.3">
      <c r="A77" s="139" t="s">
        <v>279</v>
      </c>
      <c r="B77" s="130"/>
      <c r="C77" s="173" t="s">
        <v>280</v>
      </c>
      <c r="D77" s="164"/>
      <c r="E77" s="164"/>
      <c r="F77" s="165" t="s">
        <v>6</v>
      </c>
      <c r="G77" s="166">
        <v>0.25</v>
      </c>
      <c r="H77" s="148">
        <v>0</v>
      </c>
      <c r="I77" s="175"/>
      <c r="J77" s="222">
        <f>SUM(Таблица2[[#This Row],[1.n]:[12.n]])</f>
        <v>0</v>
      </c>
      <c r="K77" s="219">
        <f>'1.n2'!E76</f>
        <v>0</v>
      </c>
      <c r="L77" s="219">
        <f>'2.n2'!E76</f>
        <v>0</v>
      </c>
      <c r="M77" s="219">
        <f>'3.n2'!E76</f>
        <v>0</v>
      </c>
      <c r="N77" s="219">
        <f>'4.n2'!E76</f>
        <v>0</v>
      </c>
      <c r="O77" s="219">
        <f>'5.n3'!E76</f>
        <v>0</v>
      </c>
      <c r="P77" s="219">
        <f>'6.n3э'!E76</f>
        <v>0</v>
      </c>
      <c r="Q77" s="219">
        <f>'7.n2'!E76</f>
        <v>0</v>
      </c>
      <c r="R77" s="219">
        <f>'8.n2'!E76</f>
        <v>0</v>
      </c>
      <c r="S77" s="219">
        <f>'9.n2'!E76</f>
        <v>0</v>
      </c>
      <c r="T77" s="219">
        <f>'10.n3'!E76</f>
        <v>0</v>
      </c>
      <c r="U77" s="219"/>
      <c r="V77" s="219"/>
    </row>
    <row r="78" spans="1:174" hidden="1" x14ac:dyDescent="0.3">
      <c r="A78" s="140" t="s">
        <v>281</v>
      </c>
      <c r="B78" s="131"/>
      <c r="C78" s="167" t="s">
        <v>282</v>
      </c>
      <c r="D78" s="168"/>
      <c r="E78" s="168"/>
      <c r="F78" s="169" t="s">
        <v>6</v>
      </c>
      <c r="G78" s="170">
        <v>0.15</v>
      </c>
      <c r="H78" s="148">
        <v>0</v>
      </c>
      <c r="I78" s="181"/>
      <c r="J78" s="223">
        <f>SUM(Таблица2[[#This Row],[1.n]:[12.n]])</f>
        <v>0</v>
      </c>
      <c r="K78" s="219">
        <f>'1.n2'!E77</f>
        <v>0</v>
      </c>
      <c r="L78" s="219">
        <f>'2.n2'!E77</f>
        <v>0</v>
      </c>
      <c r="M78" s="219">
        <f>'3.n2'!E77</f>
        <v>0</v>
      </c>
      <c r="N78" s="219">
        <f>'4.n2'!E77</f>
        <v>0</v>
      </c>
      <c r="O78" s="219">
        <f>'5.n3'!E77</f>
        <v>0</v>
      </c>
      <c r="P78" s="219">
        <f>'6.n3э'!E77</f>
        <v>0</v>
      </c>
      <c r="Q78" s="219">
        <f>'7.n2'!E77</f>
        <v>0</v>
      </c>
      <c r="R78" s="219">
        <f>'8.n2'!E77</f>
        <v>0</v>
      </c>
      <c r="S78" s="219">
        <f>'9.n2'!E77</f>
        <v>0</v>
      </c>
      <c r="T78" s="219">
        <f>'10.n3'!E77</f>
        <v>0</v>
      </c>
      <c r="U78" s="219"/>
      <c r="V78" s="219"/>
    </row>
    <row r="79" spans="1:174" ht="31.2" hidden="1" x14ac:dyDescent="0.3">
      <c r="A79" s="139" t="s">
        <v>283</v>
      </c>
      <c r="B79" s="130" t="s">
        <v>269</v>
      </c>
      <c r="C79" s="171" t="s">
        <v>270</v>
      </c>
      <c r="D79" s="164"/>
      <c r="E79" s="164" t="s">
        <v>169</v>
      </c>
      <c r="F79" s="164" t="s">
        <v>123</v>
      </c>
      <c r="G79" s="172">
        <v>1</v>
      </c>
      <c r="H79" s="149">
        <v>0</v>
      </c>
      <c r="I79" s="175"/>
      <c r="J79" s="222">
        <f>SUM(Таблица2[[#This Row],[1.n]:[12.n]])</f>
        <v>0</v>
      </c>
      <c r="K79" s="219">
        <f>'1.n2'!E78</f>
        <v>0</v>
      </c>
      <c r="L79" s="219">
        <f>'2.n2'!E78</f>
        <v>0</v>
      </c>
      <c r="M79" s="219">
        <f>'3.n2'!E78</f>
        <v>0</v>
      </c>
      <c r="N79" s="219">
        <f>'4.n2'!E78</f>
        <v>0</v>
      </c>
      <c r="O79" s="219">
        <f>'5.n3'!E78</f>
        <v>0</v>
      </c>
      <c r="P79" s="219">
        <f>'6.n3э'!E78</f>
        <v>0</v>
      </c>
      <c r="Q79" s="219">
        <f>'7.n2'!E78</f>
        <v>0</v>
      </c>
      <c r="R79" s="219">
        <f>'8.n2'!E78</f>
        <v>0</v>
      </c>
      <c r="S79" s="219">
        <f>'9.n2'!E78</f>
        <v>0</v>
      </c>
      <c r="T79" s="219">
        <f>'10.n3'!E78</f>
        <v>0</v>
      </c>
      <c r="U79" s="219"/>
      <c r="V79" s="219"/>
    </row>
    <row r="80" spans="1:174" hidden="1" x14ac:dyDescent="0.3">
      <c r="A80" s="140" t="s">
        <v>284</v>
      </c>
      <c r="B80" s="131"/>
      <c r="C80" s="167" t="s">
        <v>282</v>
      </c>
      <c r="D80" s="168"/>
      <c r="E80" s="168"/>
      <c r="F80" s="169" t="s">
        <v>6</v>
      </c>
      <c r="G80" s="170">
        <v>0.15</v>
      </c>
      <c r="H80" s="148">
        <v>0</v>
      </c>
      <c r="I80" s="175"/>
      <c r="J80" s="222">
        <f>SUM(Таблица2[[#This Row],[1.n]:[12.n]])</f>
        <v>0</v>
      </c>
      <c r="K80" s="219">
        <f>'1.n2'!E79</f>
        <v>0</v>
      </c>
      <c r="L80" s="219">
        <f>'2.n2'!E79</f>
        <v>0</v>
      </c>
      <c r="M80" s="219">
        <f>'3.n2'!E79</f>
        <v>0</v>
      </c>
      <c r="N80" s="219">
        <f>'4.n2'!E79</f>
        <v>0</v>
      </c>
      <c r="O80" s="219">
        <f>'5.n3'!E79</f>
        <v>0</v>
      </c>
      <c r="P80" s="219">
        <f>'6.n3э'!E79</f>
        <v>0</v>
      </c>
      <c r="Q80" s="219">
        <f>'7.n2'!E79</f>
        <v>0</v>
      </c>
      <c r="R80" s="219">
        <f>'8.n2'!E79</f>
        <v>0</v>
      </c>
      <c r="S80" s="219">
        <f>'9.n2'!E79</f>
        <v>0</v>
      </c>
      <c r="T80" s="219">
        <f>'10.n3'!E79</f>
        <v>0</v>
      </c>
      <c r="U80" s="219"/>
      <c r="V80" s="219"/>
    </row>
    <row r="81" spans="1:22" hidden="1" x14ac:dyDescent="0.3">
      <c r="A81" s="139" t="s">
        <v>285</v>
      </c>
      <c r="B81" s="130"/>
      <c r="C81" s="173" t="s">
        <v>286</v>
      </c>
      <c r="D81" s="164"/>
      <c r="E81" s="164" t="s">
        <v>287</v>
      </c>
      <c r="F81" s="165" t="s">
        <v>6</v>
      </c>
      <c r="G81" s="166">
        <v>0.25</v>
      </c>
      <c r="H81" s="148">
        <v>0</v>
      </c>
      <c r="I81" s="176"/>
      <c r="J81" s="221">
        <f>SUM(Таблица2[[#This Row],[1.n]:[12.n]])</f>
        <v>0</v>
      </c>
      <c r="K81" s="219">
        <f>'1.n2'!E80</f>
        <v>0</v>
      </c>
      <c r="L81" s="219">
        <f>'2.n2'!E80</f>
        <v>0</v>
      </c>
      <c r="M81" s="219">
        <f>'3.n2'!E80</f>
        <v>0</v>
      </c>
      <c r="N81" s="219">
        <f>'4.n2'!E80</f>
        <v>0</v>
      </c>
      <c r="O81" s="219">
        <f>'5.n3'!E80</f>
        <v>0</v>
      </c>
      <c r="P81" s="219">
        <f>'6.n3э'!E80</f>
        <v>0</v>
      </c>
      <c r="Q81" s="219">
        <f>'7.n2'!E80</f>
        <v>0</v>
      </c>
      <c r="R81" s="219">
        <f>'8.n2'!E80</f>
        <v>0</v>
      </c>
      <c r="S81" s="219">
        <f>'9.n2'!E80</f>
        <v>0</v>
      </c>
      <c r="T81" s="219">
        <f>'10.n3'!E80</f>
        <v>0</v>
      </c>
      <c r="U81" s="219"/>
      <c r="V81" s="219"/>
    </row>
    <row r="82" spans="1:22" ht="46.8" hidden="1" x14ac:dyDescent="0.3">
      <c r="A82" s="140" t="s">
        <v>288</v>
      </c>
      <c r="B82" s="131"/>
      <c r="C82" s="167" t="s">
        <v>289</v>
      </c>
      <c r="D82" s="168"/>
      <c r="E82" s="168" t="s">
        <v>290</v>
      </c>
      <c r="F82" s="169" t="s">
        <v>123</v>
      </c>
      <c r="G82" s="170">
        <v>1.07</v>
      </c>
      <c r="H82" s="148">
        <v>0</v>
      </c>
      <c r="I82" s="175"/>
      <c r="J82" s="222">
        <f>SUM(Таблица2[[#This Row],[1.n]:[12.n]])</f>
        <v>0</v>
      </c>
      <c r="K82" s="219">
        <f>'1.n2'!E81</f>
        <v>0</v>
      </c>
      <c r="L82" s="219">
        <f>'2.n2'!E81</f>
        <v>0</v>
      </c>
      <c r="M82" s="219">
        <f>'3.n2'!E81</f>
        <v>0</v>
      </c>
      <c r="N82" s="219">
        <f>'4.n2'!E81</f>
        <v>0</v>
      </c>
      <c r="O82" s="219">
        <f>'5.n3'!E81</f>
        <v>0</v>
      </c>
      <c r="P82" s="219">
        <f>'6.n3э'!E81</f>
        <v>0</v>
      </c>
      <c r="Q82" s="219">
        <f>'7.n2'!E81</f>
        <v>0</v>
      </c>
      <c r="R82" s="219">
        <f>'8.n2'!E81</f>
        <v>0</v>
      </c>
      <c r="S82" s="219">
        <f>'9.n2'!E81</f>
        <v>0</v>
      </c>
      <c r="T82" s="219">
        <f>'10.n3'!E81</f>
        <v>0</v>
      </c>
      <c r="U82" s="219"/>
      <c r="V82" s="219"/>
    </row>
    <row r="83" spans="1:22" ht="31.2" hidden="1" x14ac:dyDescent="0.3">
      <c r="A83" s="139" t="s">
        <v>291</v>
      </c>
      <c r="B83" s="130"/>
      <c r="C83" s="163" t="s">
        <v>274</v>
      </c>
      <c r="D83" s="164"/>
      <c r="E83" s="164" t="s">
        <v>275</v>
      </c>
      <c r="F83" s="165" t="s">
        <v>6</v>
      </c>
      <c r="G83" s="166">
        <v>1.2</v>
      </c>
      <c r="H83" s="148">
        <v>0</v>
      </c>
      <c r="I83" s="181"/>
      <c r="J83" s="223">
        <f>SUM(Таблица2[[#This Row],[1.n]:[12.n]])</f>
        <v>0</v>
      </c>
      <c r="K83" s="219">
        <f>'1.n2'!E82</f>
        <v>0</v>
      </c>
      <c r="L83" s="219">
        <f>'2.n2'!E82</f>
        <v>0</v>
      </c>
      <c r="M83" s="219">
        <f>'3.n2'!E82</f>
        <v>0</v>
      </c>
      <c r="N83" s="219">
        <f>'4.n2'!E82</f>
        <v>0</v>
      </c>
      <c r="O83" s="219">
        <f>'5.n3'!E82</f>
        <v>0</v>
      </c>
      <c r="P83" s="219">
        <f>'6.n3э'!E82</f>
        <v>0</v>
      </c>
      <c r="Q83" s="219">
        <f>'7.n2'!E82</f>
        <v>0</v>
      </c>
      <c r="R83" s="219">
        <f>'8.n2'!E82</f>
        <v>0</v>
      </c>
      <c r="S83" s="219">
        <f>'9.n2'!E82</f>
        <v>0</v>
      </c>
      <c r="T83" s="219">
        <f>'10.n3'!E82</f>
        <v>0</v>
      </c>
      <c r="U83" s="219"/>
      <c r="V83" s="219"/>
    </row>
    <row r="84" spans="1:22" ht="31.2" hidden="1" x14ac:dyDescent="0.3">
      <c r="A84" s="140" t="s">
        <v>292</v>
      </c>
      <c r="B84" s="131"/>
      <c r="C84" s="167" t="s">
        <v>272</v>
      </c>
      <c r="D84" s="168"/>
      <c r="E84" s="168"/>
      <c r="F84" s="169" t="s">
        <v>7</v>
      </c>
      <c r="G84" s="170">
        <v>0.23</v>
      </c>
      <c r="H84" s="148">
        <v>0</v>
      </c>
      <c r="I84" s="175"/>
      <c r="J84" s="222">
        <f>SUM(Таблица2[[#This Row],[1.n]:[12.n]])</f>
        <v>0</v>
      </c>
      <c r="K84" s="219">
        <f>'1.n2'!E83</f>
        <v>0</v>
      </c>
      <c r="L84" s="219">
        <f>'2.n2'!E83</f>
        <v>0</v>
      </c>
      <c r="M84" s="219">
        <f>'3.n2'!E83</f>
        <v>0</v>
      </c>
      <c r="N84" s="219">
        <f>'4.n2'!E83</f>
        <v>0</v>
      </c>
      <c r="O84" s="219">
        <f>'5.n3'!E83</f>
        <v>0</v>
      </c>
      <c r="P84" s="219">
        <f>'6.n3э'!E83</f>
        <v>0</v>
      </c>
      <c r="Q84" s="219">
        <f>'7.n2'!E83</f>
        <v>0</v>
      </c>
      <c r="R84" s="219">
        <f>'8.n2'!E83</f>
        <v>0</v>
      </c>
      <c r="S84" s="219">
        <f>'9.n2'!E83</f>
        <v>0</v>
      </c>
      <c r="T84" s="219">
        <f>'10.n3'!E83</f>
        <v>0</v>
      </c>
      <c r="U84" s="219"/>
      <c r="V84" s="219"/>
    </row>
    <row r="85" spans="1:22" ht="31.2" hidden="1" x14ac:dyDescent="0.3">
      <c r="A85" s="139" t="s">
        <v>293</v>
      </c>
      <c r="B85" s="130" t="s">
        <v>294</v>
      </c>
      <c r="C85" s="171" t="s">
        <v>295</v>
      </c>
      <c r="D85" s="164"/>
      <c r="E85" s="164" t="s">
        <v>169</v>
      </c>
      <c r="F85" s="164" t="s">
        <v>123</v>
      </c>
      <c r="G85" s="172">
        <v>1</v>
      </c>
      <c r="H85" s="149">
        <v>0</v>
      </c>
      <c r="I85" s="181"/>
      <c r="J85" s="223">
        <f>SUM(Таблица2[[#This Row],[1.n]:[12.n]])</f>
        <v>0</v>
      </c>
      <c r="K85" s="219">
        <f>'1.n2'!E84</f>
        <v>0</v>
      </c>
      <c r="L85" s="219">
        <f>'2.n2'!E84</f>
        <v>0</v>
      </c>
      <c r="M85" s="219">
        <f>'3.n2'!E84</f>
        <v>0</v>
      </c>
      <c r="N85" s="219">
        <f>'4.n2'!E84</f>
        <v>0</v>
      </c>
      <c r="O85" s="219">
        <f>'5.n3'!E84</f>
        <v>0</v>
      </c>
      <c r="P85" s="219">
        <f>'6.n3э'!E84</f>
        <v>0</v>
      </c>
      <c r="Q85" s="219">
        <f>'7.n2'!E84</f>
        <v>0</v>
      </c>
      <c r="R85" s="219">
        <f>'8.n2'!E84</f>
        <v>0</v>
      </c>
      <c r="S85" s="219">
        <f>'9.n2'!E84</f>
        <v>0</v>
      </c>
      <c r="T85" s="219">
        <f>'10.n3'!E84</f>
        <v>0</v>
      </c>
      <c r="U85" s="219"/>
      <c r="V85" s="219"/>
    </row>
    <row r="86" spans="1:22" hidden="1" x14ac:dyDescent="0.3">
      <c r="A86" s="140" t="s">
        <v>296</v>
      </c>
      <c r="B86" s="131"/>
      <c r="C86" s="167" t="s">
        <v>10</v>
      </c>
      <c r="D86" s="168"/>
      <c r="E86" s="168"/>
      <c r="F86" s="169" t="s">
        <v>6</v>
      </c>
      <c r="G86" s="170">
        <v>0.15</v>
      </c>
      <c r="H86" s="148">
        <v>0</v>
      </c>
      <c r="I86" s="175"/>
      <c r="J86" s="222">
        <f>SUM(Таблица2[[#This Row],[1.n]:[12.n]])</f>
        <v>0</v>
      </c>
      <c r="K86" s="219">
        <f>'1.n2'!E85</f>
        <v>0</v>
      </c>
      <c r="L86" s="219">
        <f>'2.n2'!E85</f>
        <v>0</v>
      </c>
      <c r="M86" s="219">
        <f>'3.n2'!E85</f>
        <v>0</v>
      </c>
      <c r="N86" s="219">
        <f>'4.n2'!E85</f>
        <v>0</v>
      </c>
      <c r="O86" s="219">
        <f>'5.n3'!E85</f>
        <v>0</v>
      </c>
      <c r="P86" s="219">
        <f>'6.n3э'!E85</f>
        <v>0</v>
      </c>
      <c r="Q86" s="219">
        <f>'7.n2'!E85</f>
        <v>0</v>
      </c>
      <c r="R86" s="219">
        <f>'8.n2'!E85</f>
        <v>0</v>
      </c>
      <c r="S86" s="219">
        <f>'9.n2'!E85</f>
        <v>0</v>
      </c>
      <c r="T86" s="219">
        <f>'10.n3'!E85</f>
        <v>0</v>
      </c>
      <c r="U86" s="219"/>
      <c r="V86" s="219"/>
    </row>
    <row r="87" spans="1:22" ht="46.8" hidden="1" x14ac:dyDescent="0.3">
      <c r="A87" s="139" t="s">
        <v>297</v>
      </c>
      <c r="B87" s="130"/>
      <c r="C87" s="173" t="s">
        <v>298</v>
      </c>
      <c r="D87" s="164"/>
      <c r="E87" s="164" t="s">
        <v>299</v>
      </c>
      <c r="F87" s="165" t="s">
        <v>6</v>
      </c>
      <c r="G87" s="166">
        <v>0.3</v>
      </c>
      <c r="H87" s="148">
        <v>0</v>
      </c>
      <c r="I87" s="176"/>
      <c r="J87" s="221">
        <f>SUM(Таблица2[[#This Row],[1.n]:[12.n]])</f>
        <v>0</v>
      </c>
      <c r="K87" s="219">
        <f>'1.n2'!E86</f>
        <v>0</v>
      </c>
      <c r="L87" s="219">
        <f>'2.n2'!E86</f>
        <v>0</v>
      </c>
      <c r="M87" s="219">
        <f>'3.n2'!E86</f>
        <v>0</v>
      </c>
      <c r="N87" s="219">
        <f>'4.n2'!E86</f>
        <v>0</v>
      </c>
      <c r="O87" s="219">
        <f>'5.n3'!E86</f>
        <v>0</v>
      </c>
      <c r="P87" s="219">
        <f>'6.n3э'!E86</f>
        <v>0</v>
      </c>
      <c r="Q87" s="219">
        <f>'7.n2'!E86</f>
        <v>0</v>
      </c>
      <c r="R87" s="219">
        <f>'8.n2'!E86</f>
        <v>0</v>
      </c>
      <c r="S87" s="219">
        <f>'9.n2'!E86</f>
        <v>0</v>
      </c>
      <c r="T87" s="219">
        <f>'10.n3'!E86</f>
        <v>0</v>
      </c>
      <c r="U87" s="219"/>
      <c r="V87" s="219"/>
    </row>
    <row r="88" spans="1:22" ht="31.2" hidden="1" x14ac:dyDescent="0.3">
      <c r="A88" s="140" t="s">
        <v>300</v>
      </c>
      <c r="B88" s="131" t="s">
        <v>294</v>
      </c>
      <c r="C88" s="177" t="s">
        <v>295</v>
      </c>
      <c r="D88" s="168"/>
      <c r="E88" s="168" t="s">
        <v>169</v>
      </c>
      <c r="F88" s="168" t="s">
        <v>123</v>
      </c>
      <c r="G88" s="178">
        <v>1</v>
      </c>
      <c r="H88" s="149">
        <v>0</v>
      </c>
      <c r="I88" s="191"/>
      <c r="J88" s="224">
        <f>SUM(Таблица2[[#This Row],[1.n]:[12.n]])</f>
        <v>0</v>
      </c>
      <c r="K88" s="219">
        <f>'1.n2'!E87</f>
        <v>0</v>
      </c>
      <c r="L88" s="219">
        <f>'2.n2'!E87</f>
        <v>0</v>
      </c>
      <c r="M88" s="219">
        <f>'3.n2'!E87</f>
        <v>0</v>
      </c>
      <c r="N88" s="219">
        <f>'4.n2'!E87</f>
        <v>0</v>
      </c>
      <c r="O88" s="219">
        <f>'5.n3'!E87</f>
        <v>0</v>
      </c>
      <c r="P88" s="219">
        <f>'6.n3э'!E87</f>
        <v>0</v>
      </c>
      <c r="Q88" s="219">
        <f>'7.n2'!E87</f>
        <v>0</v>
      </c>
      <c r="R88" s="219">
        <f>'8.n2'!E87</f>
        <v>0</v>
      </c>
      <c r="S88" s="219">
        <f>'9.n2'!E87</f>
        <v>0</v>
      </c>
      <c r="T88" s="219">
        <f>'10.n3'!E87</f>
        <v>0</v>
      </c>
      <c r="U88" s="219"/>
      <c r="V88" s="219"/>
    </row>
    <row r="89" spans="1:22" ht="46.8" hidden="1" x14ac:dyDescent="0.3">
      <c r="A89" s="139" t="s">
        <v>301</v>
      </c>
      <c r="B89" s="130"/>
      <c r="C89" s="173" t="s">
        <v>302</v>
      </c>
      <c r="D89" s="164"/>
      <c r="E89" s="164" t="s">
        <v>303</v>
      </c>
      <c r="F89" s="165" t="s">
        <v>6</v>
      </c>
      <c r="G89" s="166">
        <v>0.3</v>
      </c>
      <c r="H89" s="148">
        <v>0</v>
      </c>
      <c r="I89" s="190"/>
      <c r="J89" s="248">
        <f>SUM(Таблица2[[#This Row],[1.n]:[12.n]])</f>
        <v>0</v>
      </c>
      <c r="K89" s="219">
        <f>'1.n2'!E88</f>
        <v>0</v>
      </c>
      <c r="L89" s="219">
        <f>'2.n2'!E88</f>
        <v>0</v>
      </c>
      <c r="M89" s="219">
        <f>'3.n2'!E88</f>
        <v>0</v>
      </c>
      <c r="N89" s="219">
        <f>'4.n2'!E88</f>
        <v>0</v>
      </c>
      <c r="O89" s="219">
        <f>'5.n3'!E88</f>
        <v>0</v>
      </c>
      <c r="P89" s="219">
        <f>'6.n3э'!E88</f>
        <v>0</v>
      </c>
      <c r="Q89" s="219">
        <f>'7.n2'!E88</f>
        <v>0</v>
      </c>
      <c r="R89" s="219">
        <f>'8.n2'!E88</f>
        <v>0</v>
      </c>
      <c r="S89" s="219">
        <f>'9.n2'!E88</f>
        <v>0</v>
      </c>
      <c r="T89" s="219">
        <f>'10.n3'!E88</f>
        <v>0</v>
      </c>
      <c r="U89" s="219"/>
      <c r="V89" s="219"/>
    </row>
    <row r="90" spans="1:22" hidden="1" x14ac:dyDescent="0.3">
      <c r="A90" s="140" t="s">
        <v>304</v>
      </c>
      <c r="B90" s="131"/>
      <c r="C90" s="167" t="s">
        <v>10</v>
      </c>
      <c r="D90" s="168"/>
      <c r="E90" s="168"/>
      <c r="F90" s="169" t="s">
        <v>6</v>
      </c>
      <c r="G90" s="170">
        <v>0.15</v>
      </c>
      <c r="H90" s="148">
        <v>0</v>
      </c>
      <c r="I90" s="192"/>
      <c r="J90" s="225">
        <f>SUM(Таблица2[[#This Row],[1.n]:[12.n]])</f>
        <v>0</v>
      </c>
      <c r="K90" s="219">
        <f>'1.n2'!E89</f>
        <v>0</v>
      </c>
      <c r="L90" s="219">
        <f>'2.n2'!E89</f>
        <v>0</v>
      </c>
      <c r="M90" s="219">
        <f>'3.n2'!E89</f>
        <v>0</v>
      </c>
      <c r="N90" s="219">
        <f>'4.n2'!E89</f>
        <v>0</v>
      </c>
      <c r="O90" s="219">
        <f>'5.n3'!E89</f>
        <v>0</v>
      </c>
      <c r="P90" s="219">
        <f>'6.n3э'!E89</f>
        <v>0</v>
      </c>
      <c r="Q90" s="219">
        <f>'7.n2'!E89</f>
        <v>0</v>
      </c>
      <c r="R90" s="219">
        <f>'8.n2'!E89</f>
        <v>0</v>
      </c>
      <c r="S90" s="219">
        <f>'9.n2'!E89</f>
        <v>0</v>
      </c>
      <c r="T90" s="219">
        <f>'10.n3'!E89</f>
        <v>0</v>
      </c>
      <c r="U90" s="219"/>
      <c r="V90" s="219"/>
    </row>
    <row r="91" spans="1:22" ht="31.2" hidden="1" x14ac:dyDescent="0.3">
      <c r="A91" s="139" t="s">
        <v>305</v>
      </c>
      <c r="B91" s="130" t="s">
        <v>294</v>
      </c>
      <c r="C91" s="171" t="s">
        <v>295</v>
      </c>
      <c r="D91" s="164"/>
      <c r="E91" s="164" t="s">
        <v>169</v>
      </c>
      <c r="F91" s="164" t="s">
        <v>123</v>
      </c>
      <c r="G91" s="172">
        <v>1</v>
      </c>
      <c r="H91" s="149">
        <v>0</v>
      </c>
      <c r="I91" s="191"/>
      <c r="J91" s="224">
        <f>SUM(Таблица2[[#This Row],[1.n]:[12.n]])</f>
        <v>0</v>
      </c>
      <c r="K91" s="219">
        <f>'1.n2'!E90</f>
        <v>0</v>
      </c>
      <c r="L91" s="219">
        <f>'2.n2'!E90</f>
        <v>0</v>
      </c>
      <c r="M91" s="219">
        <f>'3.n2'!E90</f>
        <v>0</v>
      </c>
      <c r="N91" s="219">
        <f>'4.n2'!E90</f>
        <v>0</v>
      </c>
      <c r="O91" s="219">
        <f>'5.n3'!E90</f>
        <v>0</v>
      </c>
      <c r="P91" s="219">
        <f>'6.n3э'!E90</f>
        <v>0</v>
      </c>
      <c r="Q91" s="219">
        <f>'7.n2'!E90</f>
        <v>0</v>
      </c>
      <c r="R91" s="219">
        <f>'8.n2'!E90</f>
        <v>0</v>
      </c>
      <c r="S91" s="219">
        <f>'9.n2'!E90</f>
        <v>0</v>
      </c>
      <c r="T91" s="219">
        <f>'10.n3'!E90</f>
        <v>0</v>
      </c>
      <c r="U91" s="219"/>
      <c r="V91" s="219"/>
    </row>
    <row r="92" spans="1:22" hidden="1" x14ac:dyDescent="0.3">
      <c r="A92" s="140" t="s">
        <v>306</v>
      </c>
      <c r="B92" s="131"/>
      <c r="C92" s="167" t="s">
        <v>10</v>
      </c>
      <c r="D92" s="168"/>
      <c r="E92" s="168"/>
      <c r="F92" s="169" t="s">
        <v>6</v>
      </c>
      <c r="G92" s="170">
        <v>0.15</v>
      </c>
      <c r="H92" s="148">
        <v>0</v>
      </c>
      <c r="I92" s="191"/>
      <c r="J92" s="224">
        <f>SUM(Таблица2[[#This Row],[1.n]:[12.n]])</f>
        <v>0</v>
      </c>
      <c r="K92" s="219">
        <f>'1.n2'!E91</f>
        <v>0</v>
      </c>
      <c r="L92" s="219">
        <f>'2.n2'!E91</f>
        <v>0</v>
      </c>
      <c r="M92" s="219">
        <f>'3.n2'!E91</f>
        <v>0</v>
      </c>
      <c r="N92" s="219">
        <f>'4.n2'!E91</f>
        <v>0</v>
      </c>
      <c r="O92" s="219">
        <f>'5.n3'!E91</f>
        <v>0</v>
      </c>
      <c r="P92" s="219">
        <f>'6.n3э'!E91</f>
        <v>0</v>
      </c>
      <c r="Q92" s="219">
        <f>'7.n2'!E91</f>
        <v>0</v>
      </c>
      <c r="R92" s="219">
        <f>'8.n2'!E91</f>
        <v>0</v>
      </c>
      <c r="S92" s="219">
        <f>'9.n2'!E91</f>
        <v>0</v>
      </c>
      <c r="T92" s="219">
        <f>'10.n3'!E91</f>
        <v>0</v>
      </c>
      <c r="U92" s="219"/>
      <c r="V92" s="219"/>
    </row>
    <row r="93" spans="1:22" ht="31.2" hidden="1" x14ac:dyDescent="0.3">
      <c r="A93" s="139" t="s">
        <v>307</v>
      </c>
      <c r="B93" s="130"/>
      <c r="C93" s="173" t="s">
        <v>308</v>
      </c>
      <c r="D93" s="164"/>
      <c r="E93" s="164" t="s">
        <v>309</v>
      </c>
      <c r="F93" s="165" t="s">
        <v>6</v>
      </c>
      <c r="G93" s="166">
        <v>0.3</v>
      </c>
      <c r="H93" s="148">
        <v>0</v>
      </c>
      <c r="I93" s="191"/>
      <c r="J93" s="224">
        <f>SUM(Таблица2[[#This Row],[1.n]:[12.n]])</f>
        <v>0</v>
      </c>
      <c r="K93" s="219">
        <f>'1.n2'!E92</f>
        <v>0</v>
      </c>
      <c r="L93" s="219">
        <f>'2.n2'!E92</f>
        <v>0</v>
      </c>
      <c r="M93" s="219">
        <f>'3.n2'!E92</f>
        <v>0</v>
      </c>
      <c r="N93" s="219">
        <f>'4.n2'!E92</f>
        <v>0</v>
      </c>
      <c r="O93" s="219">
        <f>'5.n3'!E92</f>
        <v>0</v>
      </c>
      <c r="P93" s="219">
        <f>'6.n3э'!E92</f>
        <v>0</v>
      </c>
      <c r="Q93" s="219">
        <f>'7.n2'!E92</f>
        <v>0</v>
      </c>
      <c r="R93" s="219">
        <f>'8.n2'!E92</f>
        <v>0</v>
      </c>
      <c r="S93" s="219">
        <f>'9.n2'!E92</f>
        <v>0</v>
      </c>
      <c r="T93" s="219">
        <f>'10.n3'!E92</f>
        <v>0</v>
      </c>
      <c r="U93" s="219"/>
      <c r="V93" s="219"/>
    </row>
    <row r="94" spans="1:22" ht="31.2" hidden="1" x14ac:dyDescent="0.3">
      <c r="A94" s="140" t="s">
        <v>310</v>
      </c>
      <c r="B94" s="131" t="s">
        <v>294</v>
      </c>
      <c r="C94" s="177" t="s">
        <v>295</v>
      </c>
      <c r="D94" s="168"/>
      <c r="E94" s="168" t="s">
        <v>169</v>
      </c>
      <c r="F94" s="168" t="s">
        <v>123</v>
      </c>
      <c r="G94" s="178">
        <v>1</v>
      </c>
      <c r="H94" s="149">
        <v>0</v>
      </c>
      <c r="I94" s="191"/>
      <c r="J94" s="224">
        <f>SUM(Таблица2[[#This Row],[1.n]:[12.n]])</f>
        <v>0</v>
      </c>
      <c r="K94" s="219">
        <f>'1.n2'!E93</f>
        <v>0</v>
      </c>
      <c r="L94" s="219">
        <f>'2.n2'!E93</f>
        <v>0</v>
      </c>
      <c r="M94" s="219">
        <f>'3.n2'!E93</f>
        <v>0</v>
      </c>
      <c r="N94" s="219">
        <f>'4.n2'!E93</f>
        <v>0</v>
      </c>
      <c r="O94" s="219">
        <f>'5.n3'!E93</f>
        <v>0</v>
      </c>
      <c r="P94" s="219">
        <f>'6.n3э'!E93</f>
        <v>0</v>
      </c>
      <c r="Q94" s="219">
        <f>'7.n2'!E93</f>
        <v>0</v>
      </c>
      <c r="R94" s="219">
        <f>'8.n2'!E93</f>
        <v>0</v>
      </c>
      <c r="S94" s="219">
        <f>'9.n2'!E93</f>
        <v>0</v>
      </c>
      <c r="T94" s="219">
        <f>'10.n3'!E93</f>
        <v>0</v>
      </c>
      <c r="U94" s="219"/>
      <c r="V94" s="219"/>
    </row>
    <row r="95" spans="1:22" ht="62.4" hidden="1" x14ac:dyDescent="0.3">
      <c r="A95" s="139" t="s">
        <v>311</v>
      </c>
      <c r="B95" s="130"/>
      <c r="C95" s="173" t="s">
        <v>302</v>
      </c>
      <c r="D95" s="164"/>
      <c r="E95" s="164" t="s">
        <v>312</v>
      </c>
      <c r="F95" s="165" t="s">
        <v>6</v>
      </c>
      <c r="G95" s="166">
        <v>0.3</v>
      </c>
      <c r="H95" s="148">
        <v>0</v>
      </c>
      <c r="I95" s="191"/>
      <c r="J95" s="224">
        <f>SUM(Таблица2[[#This Row],[1.n]:[12.n]])</f>
        <v>0</v>
      </c>
      <c r="K95" s="219">
        <f>'1.n2'!E94</f>
        <v>0</v>
      </c>
      <c r="L95" s="219">
        <f>'2.n2'!E94</f>
        <v>0</v>
      </c>
      <c r="M95" s="219">
        <f>'3.n2'!E94</f>
        <v>0</v>
      </c>
      <c r="N95" s="219">
        <f>'4.n2'!E94</f>
        <v>0</v>
      </c>
      <c r="O95" s="219">
        <f>'5.n3'!E94</f>
        <v>0</v>
      </c>
      <c r="P95" s="219">
        <f>'6.n3э'!E94</f>
        <v>0</v>
      </c>
      <c r="Q95" s="219">
        <f>'7.n2'!E94</f>
        <v>0</v>
      </c>
      <c r="R95" s="219">
        <f>'8.n2'!E94</f>
        <v>0</v>
      </c>
      <c r="S95" s="219">
        <f>'9.n2'!E94</f>
        <v>0</v>
      </c>
      <c r="T95" s="219">
        <f>'10.n3'!E94</f>
        <v>0</v>
      </c>
      <c r="U95" s="219"/>
      <c r="V95" s="219"/>
    </row>
    <row r="96" spans="1:22" hidden="1" x14ac:dyDescent="0.3">
      <c r="A96" s="140" t="s">
        <v>313</v>
      </c>
      <c r="B96" s="131"/>
      <c r="C96" s="167" t="s">
        <v>10</v>
      </c>
      <c r="D96" s="168"/>
      <c r="E96" s="168"/>
      <c r="F96" s="169" t="s">
        <v>6</v>
      </c>
      <c r="G96" s="170">
        <v>0.15</v>
      </c>
      <c r="H96" s="148">
        <v>0</v>
      </c>
      <c r="I96" s="176"/>
      <c r="J96" s="221">
        <f>SUM(Таблица2[[#This Row],[1.n]:[12.n]])</f>
        <v>0</v>
      </c>
      <c r="K96" s="219">
        <f>'1.n2'!E95</f>
        <v>0</v>
      </c>
      <c r="L96" s="219">
        <f>'2.n2'!E95</f>
        <v>0</v>
      </c>
      <c r="M96" s="219">
        <f>'3.n2'!E95</f>
        <v>0</v>
      </c>
      <c r="N96" s="219">
        <f>'4.n2'!E95</f>
        <v>0</v>
      </c>
      <c r="O96" s="219">
        <f>'5.n3'!E95</f>
        <v>0</v>
      </c>
      <c r="P96" s="219">
        <f>'6.n3э'!E95</f>
        <v>0</v>
      </c>
      <c r="Q96" s="219">
        <f>'7.n2'!E95</f>
        <v>0</v>
      </c>
      <c r="R96" s="219">
        <f>'8.n2'!E95</f>
        <v>0</v>
      </c>
      <c r="S96" s="219">
        <f>'9.n2'!E95</f>
        <v>0</v>
      </c>
      <c r="T96" s="219">
        <f>'10.n3'!E95</f>
        <v>0</v>
      </c>
      <c r="U96" s="219"/>
      <c r="V96" s="219"/>
    </row>
    <row r="97" spans="1:22" ht="31.2" hidden="1" x14ac:dyDescent="0.3">
      <c r="A97" s="139" t="s">
        <v>314</v>
      </c>
      <c r="B97" s="130" t="s">
        <v>294</v>
      </c>
      <c r="C97" s="171" t="s">
        <v>295</v>
      </c>
      <c r="D97" s="164"/>
      <c r="E97" s="164" t="s">
        <v>169</v>
      </c>
      <c r="F97" s="164" t="s">
        <v>123</v>
      </c>
      <c r="G97" s="172">
        <v>1</v>
      </c>
      <c r="H97" s="149">
        <v>0</v>
      </c>
      <c r="I97" s="191"/>
      <c r="J97" s="224">
        <f>SUM(Таблица2[[#This Row],[1.n]:[12.n]])</f>
        <v>0</v>
      </c>
      <c r="K97" s="219">
        <f>'1.n2'!E96</f>
        <v>0</v>
      </c>
      <c r="L97" s="219">
        <f>'2.n2'!E96</f>
        <v>0</v>
      </c>
      <c r="M97" s="219">
        <f>'3.n2'!E96</f>
        <v>0</v>
      </c>
      <c r="N97" s="219">
        <f>'4.n2'!E96</f>
        <v>0</v>
      </c>
      <c r="O97" s="219">
        <f>'5.n3'!E96</f>
        <v>0</v>
      </c>
      <c r="P97" s="219">
        <f>'6.n3э'!E96</f>
        <v>0</v>
      </c>
      <c r="Q97" s="219">
        <f>'7.n2'!E96</f>
        <v>0</v>
      </c>
      <c r="R97" s="219">
        <f>'8.n2'!E96</f>
        <v>0</v>
      </c>
      <c r="S97" s="219">
        <f>'9.n2'!E96</f>
        <v>0</v>
      </c>
      <c r="T97" s="219">
        <f>'10.n3'!E96</f>
        <v>0</v>
      </c>
      <c r="U97" s="219"/>
      <c r="V97" s="219"/>
    </row>
    <row r="98" spans="1:22" hidden="1" x14ac:dyDescent="0.3">
      <c r="A98" s="140" t="s">
        <v>315</v>
      </c>
      <c r="B98" s="131"/>
      <c r="C98" s="167" t="s">
        <v>10</v>
      </c>
      <c r="D98" s="168"/>
      <c r="E98" s="168"/>
      <c r="F98" s="169" t="s">
        <v>6</v>
      </c>
      <c r="G98" s="170">
        <v>0.15</v>
      </c>
      <c r="H98" s="148">
        <v>0</v>
      </c>
      <c r="I98" s="191"/>
      <c r="J98" s="224">
        <f>SUM(Таблица2[[#This Row],[1.n]:[12.n]])</f>
        <v>0</v>
      </c>
      <c r="K98" s="219">
        <f>'1.n2'!E97</f>
        <v>0</v>
      </c>
      <c r="L98" s="219">
        <f>'2.n2'!E97</f>
        <v>0</v>
      </c>
      <c r="M98" s="219">
        <f>'3.n2'!E97</f>
        <v>0</v>
      </c>
      <c r="N98" s="219">
        <f>'4.n2'!E97</f>
        <v>0</v>
      </c>
      <c r="O98" s="219">
        <f>'5.n3'!E97</f>
        <v>0</v>
      </c>
      <c r="P98" s="219">
        <f>'6.n3э'!E97</f>
        <v>0</v>
      </c>
      <c r="Q98" s="219">
        <f>'7.n2'!E97</f>
        <v>0</v>
      </c>
      <c r="R98" s="219">
        <f>'8.n2'!E97</f>
        <v>0</v>
      </c>
      <c r="S98" s="219">
        <f>'9.n2'!E97</f>
        <v>0</v>
      </c>
      <c r="T98" s="219">
        <f>'10.n3'!E97</f>
        <v>0</v>
      </c>
      <c r="U98" s="219"/>
      <c r="V98" s="219"/>
    </row>
    <row r="99" spans="1:22" ht="62.4" hidden="1" x14ac:dyDescent="0.3">
      <c r="A99" s="139" t="s">
        <v>316</v>
      </c>
      <c r="B99" s="130"/>
      <c r="C99" s="173" t="s">
        <v>302</v>
      </c>
      <c r="D99" s="164"/>
      <c r="E99" s="164" t="s">
        <v>317</v>
      </c>
      <c r="F99" s="165" t="s">
        <v>6</v>
      </c>
      <c r="G99" s="166">
        <v>0.3</v>
      </c>
      <c r="H99" s="148">
        <v>0</v>
      </c>
      <c r="I99" s="191"/>
      <c r="J99" s="224">
        <f>SUM(Таблица2[[#This Row],[1.n]:[12.n]])</f>
        <v>0</v>
      </c>
      <c r="K99" s="219">
        <f>'1.n2'!E98</f>
        <v>0</v>
      </c>
      <c r="L99" s="219">
        <f>'2.n2'!E98</f>
        <v>0</v>
      </c>
      <c r="M99" s="219">
        <f>'3.n2'!E98</f>
        <v>0</v>
      </c>
      <c r="N99" s="219">
        <f>'4.n2'!E98</f>
        <v>0</v>
      </c>
      <c r="O99" s="219">
        <f>'5.n3'!E98</f>
        <v>0</v>
      </c>
      <c r="P99" s="219">
        <f>'6.n3э'!E98</f>
        <v>0</v>
      </c>
      <c r="Q99" s="219">
        <f>'7.n2'!E98</f>
        <v>0</v>
      </c>
      <c r="R99" s="219">
        <f>'8.n2'!E98</f>
        <v>0</v>
      </c>
      <c r="S99" s="219">
        <f>'9.n2'!E98</f>
        <v>0</v>
      </c>
      <c r="T99" s="219">
        <f>'10.n3'!E98</f>
        <v>0</v>
      </c>
      <c r="U99" s="219"/>
      <c r="V99" s="219"/>
    </row>
    <row r="100" spans="1:22" ht="31.2" hidden="1" x14ac:dyDescent="0.3">
      <c r="A100" s="140" t="s">
        <v>318</v>
      </c>
      <c r="B100" s="131" t="s">
        <v>294</v>
      </c>
      <c r="C100" s="177" t="s">
        <v>295</v>
      </c>
      <c r="D100" s="168"/>
      <c r="E100" s="168" t="s">
        <v>169</v>
      </c>
      <c r="F100" s="168" t="s">
        <v>123</v>
      </c>
      <c r="G100" s="178">
        <v>1</v>
      </c>
      <c r="H100" s="149">
        <v>0</v>
      </c>
      <c r="I100" s="191"/>
      <c r="J100" s="224">
        <f>SUM(Таблица2[[#This Row],[1.n]:[12.n]])</f>
        <v>0</v>
      </c>
      <c r="K100" s="219">
        <f>'1.n2'!E99</f>
        <v>0</v>
      </c>
      <c r="L100" s="219">
        <f>'2.n2'!E99</f>
        <v>0</v>
      </c>
      <c r="M100" s="219">
        <f>'3.n2'!E99</f>
        <v>0</v>
      </c>
      <c r="N100" s="219">
        <f>'4.n2'!E99</f>
        <v>0</v>
      </c>
      <c r="O100" s="219">
        <f>'5.n3'!E99</f>
        <v>0</v>
      </c>
      <c r="P100" s="219">
        <f>'6.n3э'!E99</f>
        <v>0</v>
      </c>
      <c r="Q100" s="219">
        <f>'7.n2'!E99</f>
        <v>0</v>
      </c>
      <c r="R100" s="219">
        <f>'8.n2'!E99</f>
        <v>0</v>
      </c>
      <c r="S100" s="219">
        <f>'9.n2'!E99</f>
        <v>0</v>
      </c>
      <c r="T100" s="219">
        <f>'10.n3'!E99</f>
        <v>0</v>
      </c>
      <c r="U100" s="219"/>
      <c r="V100" s="219"/>
    </row>
    <row r="101" spans="1:22" ht="46.8" hidden="1" x14ac:dyDescent="0.3">
      <c r="A101" s="139" t="s">
        <v>319</v>
      </c>
      <c r="B101" s="130"/>
      <c r="C101" s="173" t="s">
        <v>302</v>
      </c>
      <c r="D101" s="164"/>
      <c r="E101" s="164" t="s">
        <v>320</v>
      </c>
      <c r="F101" s="165" t="s">
        <v>6</v>
      </c>
      <c r="G101" s="166">
        <v>0.3</v>
      </c>
      <c r="H101" s="148">
        <v>0</v>
      </c>
      <c r="I101" s="192"/>
      <c r="J101" s="225">
        <f>SUM(Таблица2[[#This Row],[1.n]:[12.n]])</f>
        <v>0</v>
      </c>
      <c r="K101" s="219">
        <f>'1.n2'!E100</f>
        <v>0</v>
      </c>
      <c r="L101" s="219">
        <f>'2.n2'!E100</f>
        <v>0</v>
      </c>
      <c r="M101" s="219">
        <f>'3.n2'!E100</f>
        <v>0</v>
      </c>
      <c r="N101" s="219">
        <f>'4.n2'!E100</f>
        <v>0</v>
      </c>
      <c r="O101" s="219">
        <f>'5.n3'!E100</f>
        <v>0</v>
      </c>
      <c r="P101" s="219">
        <f>'6.n3э'!E100</f>
        <v>0</v>
      </c>
      <c r="Q101" s="219">
        <f>'7.n2'!E100</f>
        <v>0</v>
      </c>
      <c r="R101" s="219">
        <f>'8.n2'!E100</f>
        <v>0</v>
      </c>
      <c r="S101" s="219">
        <f>'9.n2'!E100</f>
        <v>0</v>
      </c>
      <c r="T101" s="219">
        <f>'10.n3'!E100</f>
        <v>0</v>
      </c>
      <c r="U101" s="219"/>
      <c r="V101" s="219"/>
    </row>
    <row r="102" spans="1:22" hidden="1" x14ac:dyDescent="0.3">
      <c r="A102" s="140" t="s">
        <v>321</v>
      </c>
      <c r="B102" s="131"/>
      <c r="C102" s="167" t="s">
        <v>10</v>
      </c>
      <c r="D102" s="168"/>
      <c r="E102" s="168"/>
      <c r="F102" s="169" t="s">
        <v>6</v>
      </c>
      <c r="G102" s="170">
        <v>0.15</v>
      </c>
      <c r="H102" s="148">
        <v>0</v>
      </c>
      <c r="I102" s="191"/>
      <c r="J102" s="224">
        <f>SUM(Таблица2[[#This Row],[1.n]:[12.n]])</f>
        <v>0</v>
      </c>
      <c r="K102" s="219">
        <f>'1.n2'!E101</f>
        <v>0</v>
      </c>
      <c r="L102" s="219">
        <f>'2.n2'!E101</f>
        <v>0</v>
      </c>
      <c r="M102" s="219">
        <f>'3.n2'!E101</f>
        <v>0</v>
      </c>
      <c r="N102" s="219">
        <f>'4.n2'!E101</f>
        <v>0</v>
      </c>
      <c r="O102" s="219">
        <f>'5.n3'!E101</f>
        <v>0</v>
      </c>
      <c r="P102" s="219">
        <f>'6.n3э'!E101</f>
        <v>0</v>
      </c>
      <c r="Q102" s="219">
        <f>'7.n2'!E101</f>
        <v>0</v>
      </c>
      <c r="R102" s="219">
        <f>'8.n2'!E101</f>
        <v>0</v>
      </c>
      <c r="S102" s="219">
        <f>'9.n2'!E101</f>
        <v>0</v>
      </c>
      <c r="T102" s="219">
        <f>'10.n3'!E101</f>
        <v>0</v>
      </c>
      <c r="U102" s="219"/>
      <c r="V102" s="219"/>
    </row>
    <row r="103" spans="1:22" ht="31.2" hidden="1" x14ac:dyDescent="0.3">
      <c r="A103" s="139" t="s">
        <v>322</v>
      </c>
      <c r="B103" s="130" t="s">
        <v>294</v>
      </c>
      <c r="C103" s="171" t="s">
        <v>295</v>
      </c>
      <c r="D103" s="164"/>
      <c r="E103" s="164" t="s">
        <v>169</v>
      </c>
      <c r="F103" s="164" t="s">
        <v>123</v>
      </c>
      <c r="G103" s="172">
        <v>1</v>
      </c>
      <c r="H103" s="149">
        <v>0</v>
      </c>
      <c r="I103" s="191"/>
      <c r="J103" s="224">
        <f>SUM(Таблица2[[#This Row],[1.n]:[12.n]])</f>
        <v>0</v>
      </c>
      <c r="K103" s="219">
        <f>'1.n2'!E102</f>
        <v>0</v>
      </c>
      <c r="L103" s="219">
        <f>'2.n2'!E102</f>
        <v>0</v>
      </c>
      <c r="M103" s="219">
        <f>'3.n2'!E102</f>
        <v>0</v>
      </c>
      <c r="N103" s="219">
        <f>'4.n2'!E102</f>
        <v>0</v>
      </c>
      <c r="O103" s="219">
        <f>'5.n3'!E102</f>
        <v>0</v>
      </c>
      <c r="P103" s="219">
        <f>'6.n3э'!E102</f>
        <v>0</v>
      </c>
      <c r="Q103" s="219">
        <f>'7.n2'!E102</f>
        <v>0</v>
      </c>
      <c r="R103" s="219">
        <f>'8.n2'!E102</f>
        <v>0</v>
      </c>
      <c r="S103" s="219">
        <f>'9.n2'!E102</f>
        <v>0</v>
      </c>
      <c r="T103" s="219">
        <f>'10.n3'!E102</f>
        <v>0</v>
      </c>
      <c r="U103" s="219"/>
      <c r="V103" s="219"/>
    </row>
    <row r="104" spans="1:22" hidden="1" x14ac:dyDescent="0.3">
      <c r="A104" s="140" t="s">
        <v>323</v>
      </c>
      <c r="B104" s="131"/>
      <c r="C104" s="167" t="s">
        <v>10</v>
      </c>
      <c r="D104" s="168"/>
      <c r="E104" s="168"/>
      <c r="F104" s="169" t="s">
        <v>6</v>
      </c>
      <c r="G104" s="170">
        <v>0.15</v>
      </c>
      <c r="H104" s="148">
        <v>0</v>
      </c>
      <c r="I104" s="176"/>
      <c r="J104" s="221">
        <f>SUM(Таблица2[[#This Row],[1.n]:[12.n]])</f>
        <v>0</v>
      </c>
      <c r="K104" s="219">
        <f>'1.n2'!E103</f>
        <v>0</v>
      </c>
      <c r="L104" s="219">
        <f>'2.n2'!E103</f>
        <v>0</v>
      </c>
      <c r="M104" s="219">
        <f>'3.n2'!E103</f>
        <v>0</v>
      </c>
      <c r="N104" s="219">
        <f>'4.n2'!E103</f>
        <v>0</v>
      </c>
      <c r="O104" s="219">
        <f>'5.n3'!E103</f>
        <v>0</v>
      </c>
      <c r="P104" s="219">
        <f>'6.n3э'!E103</f>
        <v>0</v>
      </c>
      <c r="Q104" s="219">
        <f>'7.n2'!E103</f>
        <v>0</v>
      </c>
      <c r="R104" s="219">
        <f>'8.n2'!E103</f>
        <v>0</v>
      </c>
      <c r="S104" s="219">
        <f>'9.n2'!E103</f>
        <v>0</v>
      </c>
      <c r="T104" s="219">
        <f>'10.n3'!E103</f>
        <v>0</v>
      </c>
      <c r="U104" s="219"/>
      <c r="V104" s="219"/>
    </row>
    <row r="105" spans="1:22" ht="62.4" hidden="1" x14ac:dyDescent="0.3">
      <c r="A105" s="139" t="s">
        <v>324</v>
      </c>
      <c r="B105" s="130"/>
      <c r="C105" s="173" t="s">
        <v>302</v>
      </c>
      <c r="D105" s="164"/>
      <c r="E105" s="164" t="s">
        <v>312</v>
      </c>
      <c r="F105" s="165" t="s">
        <v>6</v>
      </c>
      <c r="G105" s="166">
        <v>0.3</v>
      </c>
      <c r="H105" s="148">
        <v>0</v>
      </c>
      <c r="I105" s="193"/>
      <c r="J105" s="226">
        <f>SUM(Таблица2[[#This Row],[1.n]:[12.n]])</f>
        <v>0</v>
      </c>
      <c r="K105" s="219">
        <f>'1.n2'!E104</f>
        <v>0</v>
      </c>
      <c r="L105" s="219">
        <f>'2.n2'!E104</f>
        <v>0</v>
      </c>
      <c r="M105" s="219">
        <f>'3.n2'!E104</f>
        <v>0</v>
      </c>
      <c r="N105" s="219">
        <f>'4.n2'!E104</f>
        <v>0</v>
      </c>
      <c r="O105" s="219">
        <f>'5.n3'!E104</f>
        <v>0</v>
      </c>
      <c r="P105" s="219">
        <f>'6.n3э'!E104</f>
        <v>0</v>
      </c>
      <c r="Q105" s="219">
        <f>'7.n2'!E104</f>
        <v>0</v>
      </c>
      <c r="R105" s="219">
        <f>'8.n2'!E104</f>
        <v>0</v>
      </c>
      <c r="S105" s="219">
        <f>'9.n2'!E104</f>
        <v>0</v>
      </c>
      <c r="T105" s="219">
        <f>'10.n3'!E104</f>
        <v>0</v>
      </c>
      <c r="U105" s="219"/>
      <c r="V105" s="219"/>
    </row>
    <row r="106" spans="1:22" x14ac:dyDescent="0.3">
      <c r="A106" s="138" t="s">
        <v>325</v>
      </c>
      <c r="B106" s="129" t="s">
        <v>326</v>
      </c>
      <c r="C106" s="160" t="s">
        <v>327</v>
      </c>
      <c r="D106" s="161"/>
      <c r="E106" s="161" t="s">
        <v>328</v>
      </c>
      <c r="F106" s="161" t="s">
        <v>123</v>
      </c>
      <c r="G106" s="162">
        <v>1</v>
      </c>
      <c r="H106" s="147">
        <v>5404.01</v>
      </c>
      <c r="I106" s="251">
        <f>Таблица2[[#This Row],[Общее кол-во]]-SUM(Таблица2[[#This Row],[1.n]:[12.n]])</f>
        <v>5404.01</v>
      </c>
      <c r="J106" s="241">
        <f>SUM(Таблица2[[#This Row],[1.n]:[12.n]])</f>
        <v>0</v>
      </c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</row>
    <row r="107" spans="1:22" ht="62.4" hidden="1" x14ac:dyDescent="0.3">
      <c r="A107" s="139" t="s">
        <v>329</v>
      </c>
      <c r="B107" s="130"/>
      <c r="C107" s="173" t="s">
        <v>330</v>
      </c>
      <c r="D107" s="164"/>
      <c r="E107" s="164" t="s">
        <v>331</v>
      </c>
      <c r="F107" s="165" t="s">
        <v>6</v>
      </c>
      <c r="G107" s="166">
        <v>0.3</v>
      </c>
      <c r="H107" s="148">
        <v>1621.203</v>
      </c>
      <c r="I107" s="233"/>
      <c r="J107" s="226">
        <f>SUM(Таблица2[[#This Row],[1.n]:[12.n]])</f>
        <v>0</v>
      </c>
      <c r="K107" s="219">
        <f>'1.n2'!E106</f>
        <v>0</v>
      </c>
      <c r="L107" s="219">
        <f>'2.n2'!E106</f>
        <v>0</v>
      </c>
      <c r="M107" s="219">
        <f>'3.n2'!E106</f>
        <v>0</v>
      </c>
      <c r="N107" s="219">
        <f>'4.n2'!E106</f>
        <v>0</v>
      </c>
      <c r="O107" s="219">
        <f>'5.n3'!E106</f>
        <v>0</v>
      </c>
      <c r="P107" s="219">
        <f>'6.n3э'!E106</f>
        <v>0</v>
      </c>
      <c r="Q107" s="219">
        <f>'7.n2'!E106</f>
        <v>0</v>
      </c>
      <c r="R107" s="219">
        <f>'8.n2'!E106</f>
        <v>0</v>
      </c>
      <c r="S107" s="219">
        <f>'9.n2'!E106</f>
        <v>0</v>
      </c>
      <c r="T107" s="219">
        <f>'10.n3'!E106</f>
        <v>0</v>
      </c>
      <c r="U107" s="219"/>
      <c r="V107" s="219"/>
    </row>
    <row r="108" spans="1:22" hidden="1" x14ac:dyDescent="0.3">
      <c r="A108" s="140" t="s">
        <v>332</v>
      </c>
      <c r="B108" s="131"/>
      <c r="C108" s="167" t="s">
        <v>10</v>
      </c>
      <c r="D108" s="168"/>
      <c r="E108" s="168"/>
      <c r="F108" s="169" t="s">
        <v>6</v>
      </c>
      <c r="G108" s="170">
        <v>0.15</v>
      </c>
      <c r="H108" s="148">
        <v>810.60199999999998</v>
      </c>
      <c r="I108" s="194"/>
      <c r="J108" s="227">
        <f>SUM(Таблица2[[#This Row],[1.n]:[12.n]])</f>
        <v>0</v>
      </c>
      <c r="K108" s="219">
        <f>'1.n2'!E107</f>
        <v>0</v>
      </c>
      <c r="L108" s="219">
        <f>'2.n2'!E107</f>
        <v>0</v>
      </c>
      <c r="M108" s="219">
        <f>'3.n2'!E107</f>
        <v>0</v>
      </c>
      <c r="N108" s="219">
        <f>'4.n2'!E107</f>
        <v>0</v>
      </c>
      <c r="O108" s="219">
        <f>'5.n3'!E107</f>
        <v>0</v>
      </c>
      <c r="P108" s="219">
        <f>'6.n3э'!E107</f>
        <v>0</v>
      </c>
      <c r="Q108" s="219">
        <f>'7.n2'!E107</f>
        <v>0</v>
      </c>
      <c r="R108" s="219">
        <f>'8.n2'!E107</f>
        <v>0</v>
      </c>
      <c r="S108" s="219">
        <f>'9.n2'!E107</f>
        <v>0</v>
      </c>
      <c r="T108" s="219">
        <f>'10.n3'!E107</f>
        <v>0</v>
      </c>
      <c r="U108" s="219"/>
      <c r="V108" s="219"/>
    </row>
    <row r="109" spans="1:22" x14ac:dyDescent="0.3">
      <c r="A109" s="141" t="s">
        <v>333</v>
      </c>
      <c r="B109" s="132" t="s">
        <v>326</v>
      </c>
      <c r="C109" s="179" t="s">
        <v>327</v>
      </c>
      <c r="D109" s="128"/>
      <c r="E109" s="128" t="s">
        <v>334</v>
      </c>
      <c r="F109" s="128" t="s">
        <v>123</v>
      </c>
      <c r="G109" s="180">
        <v>1</v>
      </c>
      <c r="H109" s="147">
        <v>8.4</v>
      </c>
      <c r="I109" s="251">
        <f>Таблица2[[#This Row],[Общее кол-во]]-SUM(Таблица2[[#This Row],[1.n]:[12.n]])</f>
        <v>8.4</v>
      </c>
      <c r="J109" s="241">
        <f>SUM(Таблица2[[#This Row],[1.n]:[12.n]])</f>
        <v>0</v>
      </c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</row>
    <row r="110" spans="1:22" hidden="1" x14ac:dyDescent="0.3">
      <c r="A110" s="140" t="s">
        <v>335</v>
      </c>
      <c r="B110" s="131"/>
      <c r="C110" s="167" t="s">
        <v>10</v>
      </c>
      <c r="D110" s="168"/>
      <c r="E110" s="168"/>
      <c r="F110" s="169" t="s">
        <v>6</v>
      </c>
      <c r="G110" s="170">
        <v>0.15</v>
      </c>
      <c r="H110" s="148">
        <v>1.26</v>
      </c>
      <c r="I110" s="233"/>
      <c r="J110" s="226">
        <f>SUM(Таблица2[[#This Row],[1.n]:[12.n]])</f>
        <v>0</v>
      </c>
      <c r="K110" s="219">
        <f>'1.n2'!E109</f>
        <v>0</v>
      </c>
      <c r="L110" s="219">
        <f>'2.n2'!E109</f>
        <v>0</v>
      </c>
      <c r="M110" s="219">
        <f>'3.n2'!E109</f>
        <v>0</v>
      </c>
      <c r="N110" s="219">
        <f>'4.n2'!E109</f>
        <v>0</v>
      </c>
      <c r="O110" s="219">
        <f>'5.n3'!E109</f>
        <v>0</v>
      </c>
      <c r="P110" s="219">
        <f>'6.n3э'!E109</f>
        <v>0</v>
      </c>
      <c r="Q110" s="219">
        <f>'7.n2'!E109</f>
        <v>0</v>
      </c>
      <c r="R110" s="219">
        <f>'8.n2'!E109</f>
        <v>0</v>
      </c>
      <c r="S110" s="219">
        <f>'9.n2'!E109</f>
        <v>0</v>
      </c>
      <c r="T110" s="219">
        <f>'10.n3'!E109</f>
        <v>0</v>
      </c>
      <c r="U110" s="219"/>
      <c r="V110" s="219"/>
    </row>
    <row r="111" spans="1:22" ht="62.4" hidden="1" x14ac:dyDescent="0.3">
      <c r="A111" s="139" t="s">
        <v>336</v>
      </c>
      <c r="B111" s="130"/>
      <c r="C111" s="173" t="s">
        <v>302</v>
      </c>
      <c r="D111" s="164"/>
      <c r="E111" s="164" t="s">
        <v>337</v>
      </c>
      <c r="F111" s="165" t="s">
        <v>6</v>
      </c>
      <c r="G111" s="166">
        <v>0.3</v>
      </c>
      <c r="H111" s="148">
        <v>2.52</v>
      </c>
      <c r="I111" s="193"/>
      <c r="J111" s="226">
        <f>SUM(Таблица2[[#This Row],[1.n]:[12.n]])</f>
        <v>0</v>
      </c>
      <c r="K111" s="219">
        <f>'1.n2'!E110</f>
        <v>0</v>
      </c>
      <c r="L111" s="219">
        <f>'2.n2'!E110</f>
        <v>0</v>
      </c>
      <c r="M111" s="219">
        <f>'3.n2'!E110</f>
        <v>0</v>
      </c>
      <c r="N111" s="219">
        <f>'4.n2'!E110</f>
        <v>0</v>
      </c>
      <c r="O111" s="219">
        <f>'5.n3'!E110</f>
        <v>0</v>
      </c>
      <c r="P111" s="219">
        <f>'6.n3э'!E110</f>
        <v>0</v>
      </c>
      <c r="Q111" s="219">
        <f>'7.n2'!E110</f>
        <v>0</v>
      </c>
      <c r="R111" s="219">
        <f>'8.n2'!E110</f>
        <v>0</v>
      </c>
      <c r="S111" s="219">
        <f>'9.n2'!E110</f>
        <v>0</v>
      </c>
      <c r="T111" s="219">
        <f>'10.n3'!E110</f>
        <v>0</v>
      </c>
      <c r="U111" s="219"/>
      <c r="V111" s="219"/>
    </row>
    <row r="112" spans="1:22" x14ac:dyDescent="0.3">
      <c r="A112" s="138" t="s">
        <v>338</v>
      </c>
      <c r="B112" s="129" t="s">
        <v>326</v>
      </c>
      <c r="C112" s="160" t="s">
        <v>327</v>
      </c>
      <c r="D112" s="161"/>
      <c r="E112" s="161" t="s">
        <v>339</v>
      </c>
      <c r="F112" s="161" t="s">
        <v>123</v>
      </c>
      <c r="G112" s="162">
        <v>1</v>
      </c>
      <c r="H112" s="147">
        <v>20.66</v>
      </c>
      <c r="I112" s="251">
        <f>Таблица2[[#This Row],[Общее кол-во]]-SUM(Таблица2[[#This Row],[1.n]:[12.n]])</f>
        <v>20.66</v>
      </c>
      <c r="J112" s="242">
        <f>SUM(Таблица2[[#This Row],[1.n]:[12.n]])</f>
        <v>0</v>
      </c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</row>
    <row r="113" spans="1:22" ht="62.4" hidden="1" x14ac:dyDescent="0.3">
      <c r="A113" s="139" t="s">
        <v>340</v>
      </c>
      <c r="B113" s="130"/>
      <c r="C113" s="173" t="s">
        <v>302</v>
      </c>
      <c r="D113" s="164"/>
      <c r="E113" s="164" t="s">
        <v>341</v>
      </c>
      <c r="F113" s="165" t="s">
        <v>6</v>
      </c>
      <c r="G113" s="166">
        <v>0.3</v>
      </c>
      <c r="H113" s="148">
        <v>6.1980000000000004</v>
      </c>
      <c r="I113" s="233"/>
      <c r="J113" s="226">
        <f>SUM(Таблица2[[#This Row],[1.n]:[12.n]])</f>
        <v>0</v>
      </c>
      <c r="K113" s="219">
        <f>'1.n2'!E112</f>
        <v>0</v>
      </c>
      <c r="L113" s="219">
        <f>'2.n2'!E112</f>
        <v>0</v>
      </c>
      <c r="M113" s="219">
        <f>'3.n2'!E112</f>
        <v>0</v>
      </c>
      <c r="N113" s="219">
        <f>'4.n2'!E112</f>
        <v>0</v>
      </c>
      <c r="O113" s="219">
        <f>'5.n3'!E112</f>
        <v>0</v>
      </c>
      <c r="P113" s="219">
        <f>'6.n3э'!E112</f>
        <v>0</v>
      </c>
      <c r="Q113" s="219">
        <f>'7.n2'!E112</f>
        <v>0</v>
      </c>
      <c r="R113" s="219">
        <f>'8.n2'!E112</f>
        <v>0</v>
      </c>
      <c r="S113" s="219">
        <f>'9.n2'!E112</f>
        <v>0</v>
      </c>
      <c r="T113" s="219">
        <f>'10.n3'!E112</f>
        <v>0</v>
      </c>
      <c r="U113" s="219"/>
      <c r="V113" s="219"/>
    </row>
    <row r="114" spans="1:22" hidden="1" x14ac:dyDescent="0.3">
      <c r="A114" s="140" t="s">
        <v>342</v>
      </c>
      <c r="B114" s="131"/>
      <c r="C114" s="167" t="s">
        <v>10</v>
      </c>
      <c r="D114" s="168"/>
      <c r="E114" s="168"/>
      <c r="F114" s="169" t="s">
        <v>6</v>
      </c>
      <c r="G114" s="170">
        <v>0.15</v>
      </c>
      <c r="H114" s="148">
        <v>3.0990000000000002</v>
      </c>
      <c r="I114" s="193"/>
      <c r="J114" s="226">
        <f>SUM(Таблица2[[#This Row],[1.n]:[12.n]])</f>
        <v>0</v>
      </c>
      <c r="K114" s="219">
        <f>'1.n2'!E113</f>
        <v>0</v>
      </c>
      <c r="L114" s="219">
        <f>'2.n2'!E113</f>
        <v>0</v>
      </c>
      <c r="M114" s="219">
        <f>'3.n2'!E113</f>
        <v>0</v>
      </c>
      <c r="N114" s="219">
        <f>'4.n2'!E113</f>
        <v>0</v>
      </c>
      <c r="O114" s="219">
        <f>'5.n3'!E113</f>
        <v>0</v>
      </c>
      <c r="P114" s="219">
        <f>'6.n3э'!E113</f>
        <v>0</v>
      </c>
      <c r="Q114" s="219">
        <f>'7.n2'!E113</f>
        <v>0</v>
      </c>
      <c r="R114" s="219">
        <f>'8.n2'!E113</f>
        <v>0</v>
      </c>
      <c r="S114" s="219">
        <f>'9.n2'!E113</f>
        <v>0</v>
      </c>
      <c r="T114" s="219">
        <f>'10.n3'!E113</f>
        <v>0</v>
      </c>
      <c r="U114" s="219"/>
      <c r="V114" s="219"/>
    </row>
    <row r="115" spans="1:22" x14ac:dyDescent="0.3">
      <c r="A115" s="141" t="s">
        <v>343</v>
      </c>
      <c r="B115" s="132" t="s">
        <v>326</v>
      </c>
      <c r="C115" s="179" t="s">
        <v>327</v>
      </c>
      <c r="D115" s="128"/>
      <c r="E115" s="128" t="s">
        <v>344</v>
      </c>
      <c r="F115" s="128" t="s">
        <v>123</v>
      </c>
      <c r="G115" s="180">
        <v>1</v>
      </c>
      <c r="H115" s="147">
        <v>10.39</v>
      </c>
      <c r="I115" s="251">
        <f>Таблица2[[#This Row],[Общее кол-во]]-SUM(Таблица2[[#This Row],[1.n]:[12.n]])</f>
        <v>10.39</v>
      </c>
      <c r="J115" s="242">
        <f>SUM(Таблица2[[#This Row],[1.n]:[12.n]])</f>
        <v>0</v>
      </c>
      <c r="K115" s="218"/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  <c r="V115" s="218"/>
    </row>
    <row r="116" spans="1:22" hidden="1" x14ac:dyDescent="0.3">
      <c r="A116" s="140" t="s">
        <v>345</v>
      </c>
      <c r="B116" s="131"/>
      <c r="C116" s="167" t="s">
        <v>10</v>
      </c>
      <c r="D116" s="168"/>
      <c r="E116" s="168"/>
      <c r="F116" s="169" t="s">
        <v>6</v>
      </c>
      <c r="G116" s="170">
        <v>0.15</v>
      </c>
      <c r="H116" s="148">
        <v>1.5589999999999999</v>
      </c>
      <c r="I116" s="233"/>
      <c r="J116" s="226">
        <f>SUM(Таблица2[[#This Row],[1.n]:[12.n]])</f>
        <v>0</v>
      </c>
      <c r="K116" s="219">
        <f>'1.n2'!E115</f>
        <v>0</v>
      </c>
      <c r="L116" s="219">
        <f>'2.n2'!E115</f>
        <v>0</v>
      </c>
      <c r="M116" s="219">
        <f>'3.n2'!E115</f>
        <v>0</v>
      </c>
      <c r="N116" s="219">
        <f>'4.n2'!E115</f>
        <v>0</v>
      </c>
      <c r="O116" s="219">
        <f>'5.n3'!E115</f>
        <v>0</v>
      </c>
      <c r="P116" s="219">
        <f>'6.n3э'!E115</f>
        <v>0</v>
      </c>
      <c r="Q116" s="219">
        <f>'7.n2'!E115</f>
        <v>0</v>
      </c>
      <c r="R116" s="219">
        <f>'8.n2'!E115</f>
        <v>0</v>
      </c>
      <c r="S116" s="219">
        <f>'9.n2'!E115</f>
        <v>0</v>
      </c>
      <c r="T116" s="219">
        <f>'10.n3'!E115</f>
        <v>0</v>
      </c>
      <c r="U116" s="219"/>
      <c r="V116" s="219"/>
    </row>
    <row r="117" spans="1:22" ht="62.4" hidden="1" x14ac:dyDescent="0.3">
      <c r="A117" s="139" t="s">
        <v>346</v>
      </c>
      <c r="B117" s="130"/>
      <c r="C117" s="173" t="s">
        <v>302</v>
      </c>
      <c r="D117" s="164"/>
      <c r="E117" s="164" t="s">
        <v>347</v>
      </c>
      <c r="F117" s="165" t="s">
        <v>6</v>
      </c>
      <c r="G117" s="166">
        <v>0.3</v>
      </c>
      <c r="H117" s="148">
        <v>3.117</v>
      </c>
      <c r="I117" s="193"/>
      <c r="J117" s="226">
        <f>SUM(Таблица2[[#This Row],[1.n]:[12.n]])</f>
        <v>0</v>
      </c>
      <c r="K117" s="219">
        <f>'1.n2'!E116</f>
        <v>0</v>
      </c>
      <c r="L117" s="219">
        <f>'2.n2'!E116</f>
        <v>0</v>
      </c>
      <c r="M117" s="219">
        <f>'3.n2'!E116</f>
        <v>0</v>
      </c>
      <c r="N117" s="219">
        <f>'4.n2'!E116</f>
        <v>0</v>
      </c>
      <c r="O117" s="219">
        <f>'5.n3'!E116</f>
        <v>0</v>
      </c>
      <c r="P117" s="219">
        <f>'6.n3э'!E116</f>
        <v>0</v>
      </c>
      <c r="Q117" s="219">
        <f>'7.n2'!E116</f>
        <v>0</v>
      </c>
      <c r="R117" s="219">
        <f>'8.n2'!E116</f>
        <v>0</v>
      </c>
      <c r="S117" s="219">
        <f>'9.n2'!E116</f>
        <v>0</v>
      </c>
      <c r="T117" s="219">
        <f>'10.n3'!E116</f>
        <v>0</v>
      </c>
      <c r="U117" s="219"/>
      <c r="V117" s="219"/>
    </row>
    <row r="118" spans="1:22" x14ac:dyDescent="0.3">
      <c r="A118" s="138" t="s">
        <v>348</v>
      </c>
      <c r="B118" s="129" t="s">
        <v>326</v>
      </c>
      <c r="C118" s="160" t="s">
        <v>327</v>
      </c>
      <c r="D118" s="161"/>
      <c r="E118" s="161" t="s">
        <v>349</v>
      </c>
      <c r="F118" s="161" t="s">
        <v>123</v>
      </c>
      <c r="G118" s="162">
        <v>1</v>
      </c>
      <c r="H118" s="147">
        <v>5.0999999999999996</v>
      </c>
      <c r="I118" s="251">
        <f>Таблица2[[#This Row],[Общее кол-во]]-SUM(Таблица2[[#This Row],[1.n]:[12.n]])</f>
        <v>5.0999999999999996</v>
      </c>
      <c r="J118" s="242">
        <f>SUM(Таблица2[[#This Row],[1.n]:[12.n]])</f>
        <v>0</v>
      </c>
      <c r="K118" s="218"/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</row>
    <row r="119" spans="1:22" ht="62.4" hidden="1" x14ac:dyDescent="0.3">
      <c r="A119" s="139" t="s">
        <v>350</v>
      </c>
      <c r="B119" s="130"/>
      <c r="C119" s="173" t="s">
        <v>302</v>
      </c>
      <c r="D119" s="164"/>
      <c r="E119" s="164" t="s">
        <v>351</v>
      </c>
      <c r="F119" s="165" t="s">
        <v>6</v>
      </c>
      <c r="G119" s="166">
        <v>0.3</v>
      </c>
      <c r="H119" s="148">
        <v>1.53</v>
      </c>
      <c r="I119" s="233"/>
      <c r="J119" s="226">
        <f>SUM(Таблица2[[#This Row],[1.n]:[12.n]])</f>
        <v>0</v>
      </c>
      <c r="K119" s="219">
        <f>'1.n2'!E118</f>
        <v>0</v>
      </c>
      <c r="L119" s="219">
        <f>'2.n2'!E118</f>
        <v>0</v>
      </c>
      <c r="M119" s="219">
        <f>'3.n2'!E118</f>
        <v>0</v>
      </c>
      <c r="N119" s="219">
        <f>'4.n2'!E118</f>
        <v>0</v>
      </c>
      <c r="O119" s="219">
        <f>'5.n3'!E118</f>
        <v>0</v>
      </c>
      <c r="P119" s="219">
        <f>'6.n3э'!E118</f>
        <v>0</v>
      </c>
      <c r="Q119" s="219">
        <f>'7.n2'!E118</f>
        <v>0</v>
      </c>
      <c r="R119" s="219">
        <f>'8.n2'!E118</f>
        <v>0</v>
      </c>
      <c r="S119" s="219">
        <f>'9.n2'!E118</f>
        <v>0</v>
      </c>
      <c r="T119" s="219">
        <f>'10.n3'!E118</f>
        <v>0</v>
      </c>
      <c r="U119" s="219"/>
      <c r="V119" s="219"/>
    </row>
    <row r="120" spans="1:22" hidden="1" x14ac:dyDescent="0.3">
      <c r="A120" s="140" t="s">
        <v>352</v>
      </c>
      <c r="B120" s="131"/>
      <c r="C120" s="167" t="s">
        <v>10</v>
      </c>
      <c r="D120" s="168"/>
      <c r="E120" s="168"/>
      <c r="F120" s="169" t="s">
        <v>6</v>
      </c>
      <c r="G120" s="170">
        <v>0.15</v>
      </c>
      <c r="H120" s="148">
        <v>0.76500000000000001</v>
      </c>
      <c r="I120" s="193"/>
      <c r="J120" s="226">
        <f>SUM(Таблица2[[#This Row],[1.n]:[12.n]])</f>
        <v>0</v>
      </c>
      <c r="K120" s="219">
        <f>'1.n2'!E119</f>
        <v>0</v>
      </c>
      <c r="L120" s="219">
        <f>'2.n2'!E119</f>
        <v>0</v>
      </c>
      <c r="M120" s="219">
        <f>'3.n2'!E119</f>
        <v>0</v>
      </c>
      <c r="N120" s="219">
        <f>'4.n2'!E119</f>
        <v>0</v>
      </c>
      <c r="O120" s="219">
        <f>'5.n3'!E119</f>
        <v>0</v>
      </c>
      <c r="P120" s="219">
        <f>'6.n3э'!E119</f>
        <v>0</v>
      </c>
      <c r="Q120" s="219">
        <f>'7.n2'!E119</f>
        <v>0</v>
      </c>
      <c r="R120" s="219">
        <f>'8.n2'!E119</f>
        <v>0</v>
      </c>
      <c r="S120" s="219">
        <f>'9.n2'!E119</f>
        <v>0</v>
      </c>
      <c r="T120" s="219">
        <f>'10.n3'!E119</f>
        <v>0</v>
      </c>
      <c r="U120" s="219"/>
      <c r="V120" s="219"/>
    </row>
    <row r="121" spans="1:22" x14ac:dyDescent="0.3">
      <c r="A121" s="141" t="s">
        <v>353</v>
      </c>
      <c r="B121" s="132" t="s">
        <v>326</v>
      </c>
      <c r="C121" s="179" t="s">
        <v>327</v>
      </c>
      <c r="D121" s="128"/>
      <c r="E121" s="128" t="s">
        <v>354</v>
      </c>
      <c r="F121" s="128" t="s">
        <v>123</v>
      </c>
      <c r="G121" s="180">
        <v>1</v>
      </c>
      <c r="H121" s="147">
        <v>11.75</v>
      </c>
      <c r="I121" s="251">
        <f>Таблица2[[#This Row],[Общее кол-во]]-SUM(Таблица2[[#This Row],[1.n]:[12.n]])</f>
        <v>11.75</v>
      </c>
      <c r="J121" s="243">
        <f>SUM(Таблица2[[#This Row],[1.n]:[12.n]])</f>
        <v>0</v>
      </c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8"/>
    </row>
    <row r="122" spans="1:22" hidden="1" x14ac:dyDescent="0.3">
      <c r="A122" s="140" t="s">
        <v>355</v>
      </c>
      <c r="B122" s="131"/>
      <c r="C122" s="167" t="s">
        <v>10</v>
      </c>
      <c r="D122" s="168"/>
      <c r="E122" s="168"/>
      <c r="F122" s="169" t="s">
        <v>6</v>
      </c>
      <c r="G122" s="170">
        <v>0.15</v>
      </c>
      <c r="H122" s="148">
        <v>1.7629999999999999</v>
      </c>
      <c r="I122" s="233"/>
      <c r="J122" s="226">
        <f>SUM(Таблица2[[#This Row],[1.n]:[12.n]])</f>
        <v>0</v>
      </c>
      <c r="K122" s="219">
        <f>'1.n2'!E121</f>
        <v>0</v>
      </c>
      <c r="L122" s="219">
        <f>'2.n2'!E121</f>
        <v>0</v>
      </c>
      <c r="M122" s="219">
        <f>'3.n2'!E121</f>
        <v>0</v>
      </c>
      <c r="N122" s="219">
        <f>'4.n2'!E121</f>
        <v>0</v>
      </c>
      <c r="O122" s="219">
        <f>'5.n3'!E121</f>
        <v>0</v>
      </c>
      <c r="P122" s="219">
        <f>'6.n3э'!E121</f>
        <v>0</v>
      </c>
      <c r="Q122" s="219">
        <f>'7.n2'!E121</f>
        <v>0</v>
      </c>
      <c r="R122" s="219">
        <f>'8.n2'!E121</f>
        <v>0</v>
      </c>
      <c r="S122" s="219">
        <f>'9.n2'!E121</f>
        <v>0</v>
      </c>
      <c r="T122" s="219">
        <f>'10.n3'!E121</f>
        <v>0</v>
      </c>
      <c r="U122" s="219"/>
      <c r="V122" s="219"/>
    </row>
    <row r="123" spans="1:22" ht="62.4" hidden="1" x14ac:dyDescent="0.3">
      <c r="A123" s="139" t="s">
        <v>356</v>
      </c>
      <c r="B123" s="130"/>
      <c r="C123" s="173" t="s">
        <v>302</v>
      </c>
      <c r="D123" s="164"/>
      <c r="E123" s="164" t="s">
        <v>357</v>
      </c>
      <c r="F123" s="165" t="s">
        <v>6</v>
      </c>
      <c r="G123" s="166">
        <v>0.3</v>
      </c>
      <c r="H123" s="148">
        <v>3.5249999999999999</v>
      </c>
      <c r="I123" s="194"/>
      <c r="J123" s="227">
        <f>SUM(Таблица2[[#This Row],[1.n]:[12.n]])</f>
        <v>0</v>
      </c>
      <c r="K123" s="219">
        <f>'1.n2'!E122</f>
        <v>0</v>
      </c>
      <c r="L123" s="219">
        <f>'2.n2'!E122</f>
        <v>0</v>
      </c>
      <c r="M123" s="219">
        <f>'3.n2'!E122</f>
        <v>0</v>
      </c>
      <c r="N123" s="219">
        <f>'4.n2'!E122</f>
        <v>0</v>
      </c>
      <c r="O123" s="219">
        <f>'5.n3'!E122</f>
        <v>0</v>
      </c>
      <c r="P123" s="219">
        <f>'6.n3э'!E122</f>
        <v>0</v>
      </c>
      <c r="Q123" s="219">
        <f>'7.n2'!E122</f>
        <v>0</v>
      </c>
      <c r="R123" s="219">
        <f>'8.n2'!E122</f>
        <v>0</v>
      </c>
      <c r="S123" s="219">
        <f>'9.n2'!E122</f>
        <v>0</v>
      </c>
      <c r="T123" s="219">
        <f>'10.n3'!E122</f>
        <v>0</v>
      </c>
      <c r="U123" s="219"/>
      <c r="V123" s="219"/>
    </row>
    <row r="124" spans="1:22" x14ac:dyDescent="0.3">
      <c r="A124" s="138" t="s">
        <v>358</v>
      </c>
      <c r="B124" s="129" t="s">
        <v>326</v>
      </c>
      <c r="C124" s="160" t="s">
        <v>327</v>
      </c>
      <c r="D124" s="161"/>
      <c r="E124" s="161" t="s">
        <v>359</v>
      </c>
      <c r="F124" s="161" t="s">
        <v>123</v>
      </c>
      <c r="G124" s="162">
        <v>1</v>
      </c>
      <c r="H124" s="147">
        <v>78.400000000000006</v>
      </c>
      <c r="I124" s="251">
        <f>Таблица2[[#This Row],[Общее кол-во]]-SUM(Таблица2[[#This Row],[1.n]:[12.n]])</f>
        <v>78.400000000000006</v>
      </c>
      <c r="J124" s="241">
        <f>SUM(Таблица2[[#This Row],[1.n]:[12.n]])</f>
        <v>0</v>
      </c>
      <c r="K124" s="218"/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</row>
    <row r="125" spans="1:22" ht="62.4" hidden="1" x14ac:dyDescent="0.3">
      <c r="A125" s="139" t="s">
        <v>360</v>
      </c>
      <c r="B125" s="130"/>
      <c r="C125" s="173" t="s">
        <v>302</v>
      </c>
      <c r="D125" s="164"/>
      <c r="E125" s="164" t="s">
        <v>361</v>
      </c>
      <c r="F125" s="165" t="s">
        <v>6</v>
      </c>
      <c r="G125" s="166">
        <v>0.3</v>
      </c>
      <c r="H125" s="148">
        <v>23.52</v>
      </c>
      <c r="I125" s="174"/>
      <c r="J125" s="221">
        <f>SUM(Таблица2[[#This Row],[1.n]:[12.n]])</f>
        <v>0</v>
      </c>
      <c r="K125" s="219">
        <f>'1.n2'!E124</f>
        <v>0</v>
      </c>
      <c r="L125" s="219">
        <f>'2.n2'!E124</f>
        <v>0</v>
      </c>
      <c r="M125" s="219">
        <f>'3.n2'!E124</f>
        <v>0</v>
      </c>
      <c r="N125" s="219">
        <f>'4.n2'!E124</f>
        <v>0</v>
      </c>
      <c r="O125" s="219">
        <f>'5.n3'!E124</f>
        <v>0</v>
      </c>
      <c r="P125" s="219">
        <f>'6.n3э'!E124</f>
        <v>0</v>
      </c>
      <c r="Q125" s="219">
        <f>'7.n2'!E124</f>
        <v>0</v>
      </c>
      <c r="R125" s="219">
        <f>'8.n2'!E124</f>
        <v>0</v>
      </c>
      <c r="S125" s="219">
        <f>'9.n2'!E124</f>
        <v>0</v>
      </c>
      <c r="T125" s="219">
        <f>'10.n3'!E124</f>
        <v>0</v>
      </c>
      <c r="U125" s="219"/>
      <c r="V125" s="219"/>
    </row>
    <row r="126" spans="1:22" hidden="1" x14ac:dyDescent="0.3">
      <c r="A126" s="140" t="s">
        <v>362</v>
      </c>
      <c r="B126" s="131"/>
      <c r="C126" s="167" t="s">
        <v>10</v>
      </c>
      <c r="D126" s="168"/>
      <c r="E126" s="168"/>
      <c r="F126" s="169" t="s">
        <v>6</v>
      </c>
      <c r="G126" s="170">
        <v>0.15</v>
      </c>
      <c r="H126" s="148">
        <v>11.76</v>
      </c>
      <c r="I126" s="195"/>
      <c r="J126" s="228">
        <f>SUM(Таблица2[[#This Row],[1.n]:[12.n]])</f>
        <v>0</v>
      </c>
      <c r="K126" s="219">
        <f>'1.n2'!E125</f>
        <v>0</v>
      </c>
      <c r="L126" s="219">
        <f>'2.n2'!E125</f>
        <v>0</v>
      </c>
      <c r="M126" s="219">
        <f>'3.n2'!E125</f>
        <v>0</v>
      </c>
      <c r="N126" s="219">
        <f>'4.n2'!E125</f>
        <v>0</v>
      </c>
      <c r="O126" s="219">
        <f>'5.n3'!E125</f>
        <v>0</v>
      </c>
      <c r="P126" s="219">
        <f>'6.n3э'!E125</f>
        <v>0</v>
      </c>
      <c r="Q126" s="219">
        <f>'7.n2'!E125</f>
        <v>0</v>
      </c>
      <c r="R126" s="219">
        <f>'8.n2'!E125</f>
        <v>0</v>
      </c>
      <c r="S126" s="219">
        <f>'9.n2'!E125</f>
        <v>0</v>
      </c>
      <c r="T126" s="219">
        <f>'10.n3'!E125</f>
        <v>0</v>
      </c>
      <c r="U126" s="219"/>
      <c r="V126" s="219"/>
    </row>
    <row r="127" spans="1:22" x14ac:dyDescent="0.3">
      <c r="A127" s="141" t="s">
        <v>363</v>
      </c>
      <c r="B127" s="132" t="s">
        <v>326</v>
      </c>
      <c r="C127" s="179" t="s">
        <v>327</v>
      </c>
      <c r="D127" s="128"/>
      <c r="E127" s="128" t="s">
        <v>364</v>
      </c>
      <c r="F127" s="128" t="s">
        <v>123</v>
      </c>
      <c r="G127" s="180">
        <v>1</v>
      </c>
      <c r="H127" s="147">
        <v>351.8</v>
      </c>
      <c r="I127" s="251">
        <f>Таблица2[[#This Row],[Общее кол-во]]-SUM(Таблица2[[#This Row],[1.n]:[12.n]])</f>
        <v>351.8</v>
      </c>
      <c r="J127" s="244">
        <f>SUM(Таблица2[[#This Row],[1.n]:[12.n]])</f>
        <v>0</v>
      </c>
      <c r="K127" s="218"/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  <c r="V127" s="218"/>
    </row>
    <row r="128" spans="1:22" hidden="1" x14ac:dyDescent="0.3">
      <c r="A128" s="140" t="s">
        <v>365</v>
      </c>
      <c r="B128" s="131"/>
      <c r="C128" s="167" t="s">
        <v>10</v>
      </c>
      <c r="D128" s="168"/>
      <c r="E128" s="168"/>
      <c r="F128" s="169" t="s">
        <v>6</v>
      </c>
      <c r="G128" s="170">
        <v>0.15</v>
      </c>
      <c r="H128" s="148">
        <v>52.77</v>
      </c>
      <c r="I128" s="234"/>
      <c r="J128" s="228">
        <f>SUM(Таблица2[[#This Row],[1.n]:[12.n]])</f>
        <v>0</v>
      </c>
      <c r="K128" s="219">
        <f>'1.n2'!E127</f>
        <v>0</v>
      </c>
      <c r="L128" s="219">
        <f>'2.n2'!E127</f>
        <v>0</v>
      </c>
      <c r="M128" s="219">
        <f>'3.n2'!E127</f>
        <v>0</v>
      </c>
      <c r="N128" s="219">
        <f>'4.n2'!E127</f>
        <v>0</v>
      </c>
      <c r="O128" s="219">
        <f>'5.n3'!E127</f>
        <v>0</v>
      </c>
      <c r="P128" s="219">
        <f>'6.n3э'!E127</f>
        <v>0</v>
      </c>
      <c r="Q128" s="219">
        <f>'7.n2'!E127</f>
        <v>0</v>
      </c>
      <c r="R128" s="219">
        <f>'8.n2'!E127</f>
        <v>0</v>
      </c>
      <c r="S128" s="219">
        <f>'9.n2'!E127</f>
        <v>0</v>
      </c>
      <c r="T128" s="219">
        <f>'10.n3'!E127</f>
        <v>0</v>
      </c>
      <c r="U128" s="219"/>
      <c r="V128" s="219"/>
    </row>
    <row r="129" spans="1:22" ht="62.4" hidden="1" x14ac:dyDescent="0.3">
      <c r="A129" s="139" t="s">
        <v>366</v>
      </c>
      <c r="B129" s="130"/>
      <c r="C129" s="173" t="s">
        <v>302</v>
      </c>
      <c r="D129" s="164"/>
      <c r="E129" s="164" t="s">
        <v>367</v>
      </c>
      <c r="F129" s="165" t="s">
        <v>6</v>
      </c>
      <c r="G129" s="166">
        <v>0.3</v>
      </c>
      <c r="H129" s="148">
        <v>105.54</v>
      </c>
      <c r="I129" s="195"/>
      <c r="J129" s="228">
        <f>SUM(Таблица2[[#This Row],[1.n]:[12.n]])</f>
        <v>0</v>
      </c>
      <c r="K129" s="219">
        <f>'1.n2'!E128</f>
        <v>0</v>
      </c>
      <c r="L129" s="219">
        <f>'2.n2'!E128</f>
        <v>0</v>
      </c>
      <c r="M129" s="219">
        <f>'3.n2'!E128</f>
        <v>0</v>
      </c>
      <c r="N129" s="219">
        <f>'4.n2'!E128</f>
        <v>0</v>
      </c>
      <c r="O129" s="219">
        <f>'5.n3'!E128</f>
        <v>0</v>
      </c>
      <c r="P129" s="219">
        <f>'6.n3э'!E128</f>
        <v>0</v>
      </c>
      <c r="Q129" s="219">
        <f>'7.n2'!E128</f>
        <v>0</v>
      </c>
      <c r="R129" s="219">
        <f>'8.n2'!E128</f>
        <v>0</v>
      </c>
      <c r="S129" s="219">
        <f>'9.n2'!E128</f>
        <v>0</v>
      </c>
      <c r="T129" s="219">
        <f>'10.n3'!E128</f>
        <v>0</v>
      </c>
      <c r="U129" s="219"/>
      <c r="V129" s="219"/>
    </row>
    <row r="130" spans="1:22" x14ac:dyDescent="0.3">
      <c r="A130" s="138" t="s">
        <v>368</v>
      </c>
      <c r="B130" s="129" t="s">
        <v>326</v>
      </c>
      <c r="C130" s="160" t="s">
        <v>327</v>
      </c>
      <c r="D130" s="161"/>
      <c r="E130" s="161" t="s">
        <v>369</v>
      </c>
      <c r="F130" s="161" t="s">
        <v>123</v>
      </c>
      <c r="G130" s="162">
        <v>1</v>
      </c>
      <c r="H130" s="147">
        <v>2020.16</v>
      </c>
      <c r="I130" s="251">
        <f>Таблица2[[#This Row],[Общее кол-во]]-SUM(Таблица2[[#This Row],[1.n]:[12.n]])</f>
        <v>2020.16</v>
      </c>
      <c r="J130" s="243">
        <f>SUM(Таблица2[[#This Row],[1.n]:[12.n]])</f>
        <v>0</v>
      </c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  <c r="U130" s="218"/>
      <c r="V130" s="218"/>
    </row>
    <row r="131" spans="1:22" ht="78" hidden="1" x14ac:dyDescent="0.3">
      <c r="A131" s="139" t="s">
        <v>370</v>
      </c>
      <c r="B131" s="130"/>
      <c r="C131" s="173" t="s">
        <v>308</v>
      </c>
      <c r="D131" s="164"/>
      <c r="E131" s="164" t="s">
        <v>371</v>
      </c>
      <c r="F131" s="165" t="s">
        <v>6</v>
      </c>
      <c r="G131" s="166">
        <v>0.3</v>
      </c>
      <c r="H131" s="148">
        <v>606.048</v>
      </c>
      <c r="I131" s="234"/>
      <c r="J131" s="228">
        <f>SUM(Таблица2[[#This Row],[1.n]:[12.n]])</f>
        <v>0</v>
      </c>
      <c r="K131" s="219">
        <f>'1.n2'!E130</f>
        <v>0</v>
      </c>
      <c r="L131" s="219">
        <f>'2.n2'!E130</f>
        <v>0</v>
      </c>
      <c r="M131" s="219">
        <f>'3.n2'!E130</f>
        <v>0</v>
      </c>
      <c r="N131" s="219">
        <f>'4.n2'!E130</f>
        <v>0</v>
      </c>
      <c r="O131" s="219">
        <f>'5.n3'!E130</f>
        <v>0</v>
      </c>
      <c r="P131" s="219">
        <f>'6.n3э'!E130</f>
        <v>0</v>
      </c>
      <c r="Q131" s="219">
        <f>'7.n2'!E130</f>
        <v>0</v>
      </c>
      <c r="R131" s="219">
        <f>'8.n2'!E130</f>
        <v>0</v>
      </c>
      <c r="S131" s="219">
        <f>'9.n2'!E130</f>
        <v>0</v>
      </c>
      <c r="T131" s="219">
        <f>'10.n3'!E130</f>
        <v>0</v>
      </c>
      <c r="U131" s="219"/>
      <c r="V131" s="219"/>
    </row>
    <row r="132" spans="1:22" hidden="1" x14ac:dyDescent="0.3">
      <c r="A132" s="140" t="s">
        <v>372</v>
      </c>
      <c r="B132" s="131"/>
      <c r="C132" s="167" t="s">
        <v>10</v>
      </c>
      <c r="D132" s="168"/>
      <c r="E132" s="168"/>
      <c r="F132" s="169" t="s">
        <v>6</v>
      </c>
      <c r="G132" s="170">
        <v>0.15</v>
      </c>
      <c r="H132" s="148">
        <v>303.024</v>
      </c>
      <c r="I132" s="195"/>
      <c r="J132" s="228">
        <f>SUM(Таблица2[[#This Row],[1.n]:[12.n]])</f>
        <v>0</v>
      </c>
      <c r="K132" s="219">
        <f>'1.n2'!E131</f>
        <v>0</v>
      </c>
      <c r="L132" s="219">
        <f>'2.n2'!E131</f>
        <v>0</v>
      </c>
      <c r="M132" s="219">
        <f>'3.n2'!E131</f>
        <v>0</v>
      </c>
      <c r="N132" s="219">
        <f>'4.n2'!E131</f>
        <v>0</v>
      </c>
      <c r="O132" s="219">
        <f>'5.n3'!E131</f>
        <v>0</v>
      </c>
      <c r="P132" s="219">
        <f>'6.n3э'!E131</f>
        <v>0</v>
      </c>
      <c r="Q132" s="219">
        <f>'7.n2'!E131</f>
        <v>0</v>
      </c>
      <c r="R132" s="219">
        <f>'8.n2'!E131</f>
        <v>0</v>
      </c>
      <c r="S132" s="219">
        <f>'9.n2'!E131</f>
        <v>0</v>
      </c>
      <c r="T132" s="219">
        <f>'10.n3'!E131</f>
        <v>0</v>
      </c>
      <c r="U132" s="219"/>
      <c r="V132" s="219"/>
    </row>
    <row r="133" spans="1:22" x14ac:dyDescent="0.3">
      <c r="A133" s="139" t="s">
        <v>373</v>
      </c>
      <c r="B133" s="130" t="s">
        <v>326</v>
      </c>
      <c r="C133" s="171" t="s">
        <v>327</v>
      </c>
      <c r="D133" s="164"/>
      <c r="E133" s="164" t="s">
        <v>374</v>
      </c>
      <c r="F133" s="164" t="s">
        <v>123</v>
      </c>
      <c r="G133" s="172">
        <v>1</v>
      </c>
      <c r="H133" s="149">
        <v>141.44999999999999</v>
      </c>
      <c r="I133" s="251">
        <f>Таблица2[[#This Row],[Общее кол-во]]-SUM(Таблица2[[#This Row],[1.n]:[12.n]])</f>
        <v>141.44999999999999</v>
      </c>
      <c r="J133" s="244">
        <f>SUM(Таблица2[[#This Row],[1.n]:[12.n]])</f>
        <v>0</v>
      </c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</row>
    <row r="134" spans="1:22" hidden="1" x14ac:dyDescent="0.3">
      <c r="A134" s="140" t="s">
        <v>375</v>
      </c>
      <c r="B134" s="131"/>
      <c r="C134" s="167" t="s">
        <v>10</v>
      </c>
      <c r="D134" s="168"/>
      <c r="E134" s="168"/>
      <c r="F134" s="169" t="s">
        <v>6</v>
      </c>
      <c r="G134" s="170">
        <v>0.15</v>
      </c>
      <c r="H134" s="148">
        <v>21.218</v>
      </c>
      <c r="I134" s="234"/>
      <c r="J134" s="228">
        <f>SUM(Таблица2[[#This Row],[1.n]:[12.n]])</f>
        <v>0</v>
      </c>
      <c r="K134" s="219">
        <f>'1.n2'!E133</f>
        <v>0</v>
      </c>
      <c r="L134" s="219">
        <f>'2.n2'!E133</f>
        <v>0</v>
      </c>
      <c r="M134" s="219">
        <f>'3.n2'!E133</f>
        <v>0</v>
      </c>
      <c r="N134" s="219">
        <f>'4.n2'!E133</f>
        <v>0</v>
      </c>
      <c r="O134" s="219">
        <f>'5.n3'!E133</f>
        <v>0</v>
      </c>
      <c r="P134" s="219">
        <f>'6.n3э'!E133</f>
        <v>0</v>
      </c>
      <c r="Q134" s="219">
        <f>'7.n2'!E133</f>
        <v>0</v>
      </c>
      <c r="R134" s="219">
        <f>'8.n2'!E133</f>
        <v>0</v>
      </c>
      <c r="S134" s="219">
        <f>'9.n2'!E133</f>
        <v>0</v>
      </c>
      <c r="T134" s="219">
        <f>'10.n3'!E133</f>
        <v>0</v>
      </c>
      <c r="U134" s="219"/>
      <c r="V134" s="219"/>
    </row>
    <row r="135" spans="1:22" ht="62.4" hidden="1" x14ac:dyDescent="0.3">
      <c r="A135" s="139" t="s">
        <v>376</v>
      </c>
      <c r="B135" s="130"/>
      <c r="C135" s="173" t="s">
        <v>302</v>
      </c>
      <c r="D135" s="164"/>
      <c r="E135" s="164" t="s">
        <v>377</v>
      </c>
      <c r="F135" s="165" t="s">
        <v>6</v>
      </c>
      <c r="G135" s="166">
        <v>0.3</v>
      </c>
      <c r="H135" s="148">
        <v>42.435000000000002</v>
      </c>
      <c r="I135" s="176"/>
      <c r="J135" s="221">
        <f>SUM(Таблица2[[#This Row],[1.n]:[12.n]])</f>
        <v>0</v>
      </c>
      <c r="K135" s="219">
        <f>'1.n2'!E134</f>
        <v>0</v>
      </c>
      <c r="L135" s="219">
        <f>'2.n2'!E134</f>
        <v>0</v>
      </c>
      <c r="M135" s="219">
        <f>'3.n2'!E134</f>
        <v>0</v>
      </c>
      <c r="N135" s="219">
        <f>'4.n2'!E134</f>
        <v>0</v>
      </c>
      <c r="O135" s="219">
        <f>'5.n3'!E134</f>
        <v>0</v>
      </c>
      <c r="P135" s="219">
        <f>'6.n3э'!E134</f>
        <v>0</v>
      </c>
      <c r="Q135" s="219">
        <f>'7.n2'!E134</f>
        <v>0</v>
      </c>
      <c r="R135" s="219">
        <f>'8.n2'!E134</f>
        <v>0</v>
      </c>
      <c r="S135" s="219">
        <f>'9.n2'!E134</f>
        <v>0</v>
      </c>
      <c r="T135" s="219">
        <f>'10.n3'!E134</f>
        <v>0</v>
      </c>
      <c r="U135" s="219"/>
      <c r="V135" s="219"/>
    </row>
    <row r="136" spans="1:22" x14ac:dyDescent="0.3">
      <c r="A136" s="138" t="s">
        <v>378</v>
      </c>
      <c r="B136" s="129" t="s">
        <v>326</v>
      </c>
      <c r="C136" s="160" t="s">
        <v>327</v>
      </c>
      <c r="D136" s="161"/>
      <c r="E136" s="161" t="s">
        <v>379</v>
      </c>
      <c r="F136" s="161" t="s">
        <v>123</v>
      </c>
      <c r="G136" s="162">
        <v>1</v>
      </c>
      <c r="H136" s="147">
        <v>25.11</v>
      </c>
      <c r="I136" s="251">
        <f>Таблица2[[#This Row],[Общее кол-во]]-SUM(Таблица2[[#This Row],[1.n]:[12.n]])</f>
        <v>25.11</v>
      </c>
      <c r="J136" s="244">
        <f>SUM(Таблица2[[#This Row],[1.n]:[12.n]])</f>
        <v>0</v>
      </c>
      <c r="K136" s="218"/>
      <c r="L136" s="218"/>
      <c r="M136" s="218"/>
      <c r="N136" s="218"/>
      <c r="O136" s="218"/>
      <c r="P136" s="218"/>
      <c r="Q136" s="218"/>
      <c r="R136" s="218"/>
      <c r="S136" s="218"/>
      <c r="T136" s="218"/>
      <c r="U136" s="218"/>
      <c r="V136" s="218"/>
    </row>
    <row r="137" spans="1:22" ht="62.4" hidden="1" x14ac:dyDescent="0.3">
      <c r="A137" s="139" t="s">
        <v>380</v>
      </c>
      <c r="B137" s="130"/>
      <c r="C137" s="173" t="s">
        <v>302</v>
      </c>
      <c r="D137" s="164"/>
      <c r="E137" s="164" t="s">
        <v>381</v>
      </c>
      <c r="F137" s="165" t="s">
        <v>6</v>
      </c>
      <c r="G137" s="166">
        <v>0.3</v>
      </c>
      <c r="H137" s="148">
        <v>7.5330000000000004</v>
      </c>
      <c r="I137" s="234"/>
      <c r="J137" s="228">
        <f>SUM(Таблица2[[#This Row],[1.n]:[12.n]])</f>
        <v>0</v>
      </c>
      <c r="K137" s="219">
        <f>'1.n2'!E136</f>
        <v>0</v>
      </c>
      <c r="L137" s="219">
        <f>'2.n2'!E136</f>
        <v>0</v>
      </c>
      <c r="M137" s="219">
        <f>'3.n2'!E136</f>
        <v>0</v>
      </c>
      <c r="N137" s="219">
        <f>'4.n2'!E136</f>
        <v>0</v>
      </c>
      <c r="O137" s="219">
        <f>'5.n3'!E136</f>
        <v>0</v>
      </c>
      <c r="P137" s="219">
        <f>'6.n3э'!E136</f>
        <v>0</v>
      </c>
      <c r="Q137" s="219">
        <f>'7.n2'!E136</f>
        <v>0</v>
      </c>
      <c r="R137" s="219">
        <f>'8.n2'!E136</f>
        <v>0</v>
      </c>
      <c r="S137" s="219">
        <f>'9.n2'!E136</f>
        <v>0</v>
      </c>
      <c r="T137" s="219">
        <f>'10.n3'!E136</f>
        <v>0</v>
      </c>
      <c r="U137" s="219"/>
      <c r="V137" s="219"/>
    </row>
    <row r="138" spans="1:22" hidden="1" x14ac:dyDescent="0.3">
      <c r="A138" s="140" t="s">
        <v>382</v>
      </c>
      <c r="B138" s="131"/>
      <c r="C138" s="167" t="s">
        <v>10</v>
      </c>
      <c r="D138" s="168"/>
      <c r="E138" s="168"/>
      <c r="F138" s="169" t="s">
        <v>6</v>
      </c>
      <c r="G138" s="170">
        <v>0.15</v>
      </c>
      <c r="H138" s="148">
        <v>3.7669999999999999</v>
      </c>
      <c r="I138" s="195"/>
      <c r="J138" s="228">
        <f>SUM(Таблица2[[#This Row],[1.n]:[12.n]])</f>
        <v>0</v>
      </c>
      <c r="K138" s="219">
        <f>'1.n2'!E137</f>
        <v>0</v>
      </c>
      <c r="L138" s="219">
        <f>'2.n2'!E137</f>
        <v>0</v>
      </c>
      <c r="M138" s="219">
        <f>'3.n2'!E137</f>
        <v>0</v>
      </c>
      <c r="N138" s="219">
        <f>'4.n2'!E137</f>
        <v>0</v>
      </c>
      <c r="O138" s="219">
        <f>'5.n3'!E137</f>
        <v>0</v>
      </c>
      <c r="P138" s="219">
        <f>'6.n3э'!E137</f>
        <v>0</v>
      </c>
      <c r="Q138" s="219">
        <f>'7.n2'!E137</f>
        <v>0</v>
      </c>
      <c r="R138" s="219">
        <f>'8.n2'!E137</f>
        <v>0</v>
      </c>
      <c r="S138" s="219">
        <f>'9.n2'!E137</f>
        <v>0</v>
      </c>
      <c r="T138" s="219">
        <f>'10.n3'!E137</f>
        <v>0</v>
      </c>
      <c r="U138" s="219"/>
      <c r="V138" s="219"/>
    </row>
    <row r="139" spans="1:22" x14ac:dyDescent="0.3">
      <c r="A139" s="141" t="s">
        <v>383</v>
      </c>
      <c r="B139" s="132" t="s">
        <v>326</v>
      </c>
      <c r="C139" s="179" t="s">
        <v>327</v>
      </c>
      <c r="D139" s="128"/>
      <c r="E139" s="128" t="s">
        <v>384</v>
      </c>
      <c r="F139" s="128" t="s">
        <v>123</v>
      </c>
      <c r="G139" s="180">
        <v>1</v>
      </c>
      <c r="H139" s="147">
        <v>4509.45</v>
      </c>
      <c r="I139" s="251">
        <f>Таблица2[[#This Row],[Общее кол-во]]-SUM(Таблица2[[#This Row],[1.n]:[12.n]])</f>
        <v>4509.45</v>
      </c>
      <c r="J139" s="244">
        <f>SUM(Таблица2[[#This Row],[1.n]:[12.n]])</f>
        <v>0</v>
      </c>
      <c r="K139" s="218"/>
      <c r="L139" s="218"/>
      <c r="M139" s="218"/>
      <c r="N139" s="218"/>
      <c r="O139" s="218"/>
      <c r="P139" s="218"/>
      <c r="Q139" s="218"/>
      <c r="R139" s="218"/>
      <c r="S139" s="218"/>
      <c r="T139" s="218"/>
      <c r="U139" s="218"/>
      <c r="V139" s="218"/>
    </row>
    <row r="140" spans="1:22" hidden="1" x14ac:dyDescent="0.3">
      <c r="A140" s="140" t="s">
        <v>385</v>
      </c>
      <c r="B140" s="131"/>
      <c r="C140" s="167" t="s">
        <v>10</v>
      </c>
      <c r="D140" s="168"/>
      <c r="E140" s="168"/>
      <c r="F140" s="169" t="s">
        <v>6</v>
      </c>
      <c r="G140" s="170">
        <v>0.15</v>
      </c>
      <c r="H140" s="148">
        <v>676.41800000000001</v>
      </c>
      <c r="I140" s="174"/>
      <c r="J140" s="221">
        <f>SUM(Таблица2[[#This Row],[1.n]:[12.n]])</f>
        <v>0</v>
      </c>
      <c r="K140" s="219">
        <f>'1.n2'!E139</f>
        <v>0</v>
      </c>
      <c r="L140" s="219">
        <f>'2.n2'!E139</f>
        <v>0</v>
      </c>
      <c r="M140" s="219">
        <f>'3.n2'!E139</f>
        <v>0</v>
      </c>
      <c r="N140" s="219">
        <f>'4.n2'!E139</f>
        <v>0</v>
      </c>
      <c r="O140" s="219">
        <f>'5.n3'!E139</f>
        <v>0</v>
      </c>
      <c r="P140" s="219">
        <f>'6.n3э'!E139</f>
        <v>0</v>
      </c>
      <c r="Q140" s="219">
        <f>'7.n2'!E139</f>
        <v>0</v>
      </c>
      <c r="R140" s="219">
        <f>'8.n2'!E139</f>
        <v>0</v>
      </c>
      <c r="S140" s="219">
        <f>'9.n2'!E139</f>
        <v>0</v>
      </c>
      <c r="T140" s="219">
        <f>'10.n3'!E139</f>
        <v>0</v>
      </c>
      <c r="U140" s="219"/>
      <c r="V140" s="219"/>
    </row>
    <row r="141" spans="1:22" ht="62.4" hidden="1" x14ac:dyDescent="0.3">
      <c r="A141" s="139" t="s">
        <v>386</v>
      </c>
      <c r="B141" s="130"/>
      <c r="C141" s="173" t="s">
        <v>330</v>
      </c>
      <c r="D141" s="164"/>
      <c r="E141" s="164" t="s">
        <v>331</v>
      </c>
      <c r="F141" s="165" t="s">
        <v>6</v>
      </c>
      <c r="G141" s="166">
        <v>0.3</v>
      </c>
      <c r="H141" s="148">
        <v>1352.835</v>
      </c>
      <c r="I141" s="195"/>
      <c r="J141" s="228">
        <f>SUM(Таблица2[[#This Row],[1.n]:[12.n]])</f>
        <v>0</v>
      </c>
      <c r="K141" s="219">
        <f>'1.n2'!E140</f>
        <v>0</v>
      </c>
      <c r="L141" s="219">
        <f>'2.n2'!E140</f>
        <v>0</v>
      </c>
      <c r="M141" s="219">
        <f>'3.n2'!E140</f>
        <v>0</v>
      </c>
      <c r="N141" s="219">
        <f>'4.n2'!E140</f>
        <v>0</v>
      </c>
      <c r="O141" s="219">
        <f>'5.n3'!E140</f>
        <v>0</v>
      </c>
      <c r="P141" s="219">
        <f>'6.n3э'!E140</f>
        <v>0</v>
      </c>
      <c r="Q141" s="219">
        <f>'7.n2'!E140</f>
        <v>0</v>
      </c>
      <c r="R141" s="219">
        <f>'8.n2'!E140</f>
        <v>0</v>
      </c>
      <c r="S141" s="219">
        <f>'9.n2'!E140</f>
        <v>0</v>
      </c>
      <c r="T141" s="219">
        <f>'10.n3'!E140</f>
        <v>0</v>
      </c>
      <c r="U141" s="219"/>
      <c r="V141" s="219"/>
    </row>
    <row r="142" spans="1:22" x14ac:dyDescent="0.3">
      <c r="A142" s="138" t="s">
        <v>387</v>
      </c>
      <c r="B142" s="129" t="s">
        <v>326</v>
      </c>
      <c r="C142" s="160" t="s">
        <v>327</v>
      </c>
      <c r="D142" s="161"/>
      <c r="E142" s="161" t="s">
        <v>388</v>
      </c>
      <c r="F142" s="161" t="s">
        <v>123</v>
      </c>
      <c r="G142" s="162">
        <v>1</v>
      </c>
      <c r="H142" s="147">
        <v>8.64</v>
      </c>
      <c r="I142" s="251">
        <f>Таблица2[[#This Row],[Общее кол-во]]-SUM(Таблица2[[#This Row],[1.n]:[12.n]])</f>
        <v>8.64</v>
      </c>
      <c r="J142" s="244">
        <f>SUM(Таблица2[[#This Row],[1.n]:[12.n]])</f>
        <v>0</v>
      </c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</row>
    <row r="143" spans="1:22" ht="62.4" hidden="1" x14ac:dyDescent="0.3">
      <c r="A143" s="139" t="s">
        <v>389</v>
      </c>
      <c r="B143" s="130"/>
      <c r="C143" s="173" t="s">
        <v>302</v>
      </c>
      <c r="D143" s="164"/>
      <c r="E143" s="164" t="s">
        <v>337</v>
      </c>
      <c r="F143" s="165" t="s">
        <v>6</v>
      </c>
      <c r="G143" s="166">
        <v>0.3</v>
      </c>
      <c r="H143" s="148">
        <v>2.5920000000000001</v>
      </c>
      <c r="I143" s="234"/>
      <c r="J143" s="228">
        <f>SUM(Таблица2[[#This Row],[1.n]:[12.n]])</f>
        <v>0</v>
      </c>
      <c r="K143" s="219">
        <f>'1.n2'!E142</f>
        <v>0</v>
      </c>
      <c r="L143" s="219">
        <f>'2.n2'!E142</f>
        <v>0</v>
      </c>
      <c r="M143" s="219">
        <f>'3.n2'!E142</f>
        <v>0</v>
      </c>
      <c r="N143" s="219">
        <f>'4.n2'!E142</f>
        <v>0</v>
      </c>
      <c r="O143" s="219">
        <f>'5.n3'!E142</f>
        <v>0</v>
      </c>
      <c r="P143" s="219">
        <f>'6.n3э'!E142</f>
        <v>0</v>
      </c>
      <c r="Q143" s="219">
        <f>'7.n2'!E142</f>
        <v>0</v>
      </c>
      <c r="R143" s="219">
        <f>'8.n2'!E142</f>
        <v>0</v>
      </c>
      <c r="S143" s="219">
        <f>'9.n2'!E142</f>
        <v>0</v>
      </c>
      <c r="T143" s="219">
        <f>'10.n3'!E142</f>
        <v>0</v>
      </c>
      <c r="U143" s="219"/>
      <c r="V143" s="219"/>
    </row>
    <row r="144" spans="1:22" hidden="1" x14ac:dyDescent="0.3">
      <c r="A144" s="140" t="s">
        <v>390</v>
      </c>
      <c r="B144" s="131"/>
      <c r="C144" s="167" t="s">
        <v>10</v>
      </c>
      <c r="D144" s="168"/>
      <c r="E144" s="168"/>
      <c r="F144" s="169" t="s">
        <v>6</v>
      </c>
      <c r="G144" s="170">
        <v>0.15</v>
      </c>
      <c r="H144" s="148">
        <v>1.296</v>
      </c>
      <c r="I144" s="195"/>
      <c r="J144" s="228">
        <f>SUM(Таблица2[[#This Row],[1.n]:[12.n]])</f>
        <v>0</v>
      </c>
      <c r="K144" s="219">
        <f>'1.n2'!E143</f>
        <v>0</v>
      </c>
      <c r="L144" s="219">
        <f>'2.n2'!E143</f>
        <v>0</v>
      </c>
      <c r="M144" s="219">
        <f>'3.n2'!E143</f>
        <v>0</v>
      </c>
      <c r="N144" s="219">
        <f>'4.n2'!E143</f>
        <v>0</v>
      </c>
      <c r="O144" s="219">
        <f>'5.n3'!E143</f>
        <v>0</v>
      </c>
      <c r="P144" s="219">
        <f>'6.n3э'!E143</f>
        <v>0</v>
      </c>
      <c r="Q144" s="219">
        <f>'7.n2'!E143</f>
        <v>0</v>
      </c>
      <c r="R144" s="219">
        <f>'8.n2'!E143</f>
        <v>0</v>
      </c>
      <c r="S144" s="219">
        <f>'9.n2'!E143</f>
        <v>0</v>
      </c>
      <c r="T144" s="219">
        <f>'10.n3'!E143</f>
        <v>0</v>
      </c>
      <c r="U144" s="219"/>
      <c r="V144" s="219"/>
    </row>
    <row r="145" spans="1:22" x14ac:dyDescent="0.3">
      <c r="A145" s="141" t="s">
        <v>391</v>
      </c>
      <c r="B145" s="132" t="s">
        <v>326</v>
      </c>
      <c r="C145" s="179" t="s">
        <v>327</v>
      </c>
      <c r="D145" s="128"/>
      <c r="E145" s="128" t="s">
        <v>392</v>
      </c>
      <c r="F145" s="128" t="s">
        <v>123</v>
      </c>
      <c r="G145" s="180">
        <v>1</v>
      </c>
      <c r="H145" s="147">
        <v>34.68</v>
      </c>
      <c r="I145" s="251">
        <f>Таблица2[[#This Row],[Общее кол-во]]-SUM(Таблица2[[#This Row],[1.n]:[12.n]])</f>
        <v>34.68</v>
      </c>
      <c r="J145" s="243">
        <f>SUM(Таблица2[[#This Row],[1.n]:[12.n]])</f>
        <v>0</v>
      </c>
      <c r="K145" s="218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</row>
    <row r="146" spans="1:22" hidden="1" x14ac:dyDescent="0.3">
      <c r="A146" s="140" t="s">
        <v>393</v>
      </c>
      <c r="B146" s="131"/>
      <c r="C146" s="167" t="s">
        <v>10</v>
      </c>
      <c r="D146" s="168"/>
      <c r="E146" s="168"/>
      <c r="F146" s="169" t="s">
        <v>6</v>
      </c>
      <c r="G146" s="170">
        <v>0.15</v>
      </c>
      <c r="H146" s="148">
        <v>5.202</v>
      </c>
      <c r="I146" s="234"/>
      <c r="J146" s="228">
        <f>SUM(Таблица2[[#This Row],[1.n]:[12.n]])</f>
        <v>0</v>
      </c>
      <c r="K146" s="219">
        <f>'1.n2'!E145</f>
        <v>0</v>
      </c>
      <c r="L146" s="219">
        <f>'2.n2'!E145</f>
        <v>0</v>
      </c>
      <c r="M146" s="219">
        <f>'3.n2'!E145</f>
        <v>0</v>
      </c>
      <c r="N146" s="219">
        <f>'4.n2'!E145</f>
        <v>0</v>
      </c>
      <c r="O146" s="219">
        <f>'5.n3'!E145</f>
        <v>0</v>
      </c>
      <c r="P146" s="219">
        <f>'6.n3э'!E145</f>
        <v>0</v>
      </c>
      <c r="Q146" s="219">
        <f>'7.n2'!E145</f>
        <v>0</v>
      </c>
      <c r="R146" s="219">
        <f>'8.n2'!E145</f>
        <v>0</v>
      </c>
      <c r="S146" s="219">
        <f>'9.n2'!E145</f>
        <v>0</v>
      </c>
      <c r="T146" s="219">
        <f>'10.n3'!E145</f>
        <v>0</v>
      </c>
      <c r="U146" s="219"/>
      <c r="V146" s="219"/>
    </row>
    <row r="147" spans="1:22" ht="62.4" hidden="1" x14ac:dyDescent="0.3">
      <c r="A147" s="139" t="s">
        <v>394</v>
      </c>
      <c r="B147" s="130"/>
      <c r="C147" s="173" t="s">
        <v>302</v>
      </c>
      <c r="D147" s="164"/>
      <c r="E147" s="164" t="s">
        <v>341</v>
      </c>
      <c r="F147" s="165" t="s">
        <v>6</v>
      </c>
      <c r="G147" s="166">
        <v>0.3</v>
      </c>
      <c r="H147" s="148">
        <v>10.404</v>
      </c>
      <c r="I147" s="195"/>
      <c r="J147" s="228">
        <f>SUM(Таблица2[[#This Row],[1.n]:[12.n]])</f>
        <v>0</v>
      </c>
      <c r="K147" s="219">
        <f>'1.n2'!E146</f>
        <v>0</v>
      </c>
      <c r="L147" s="219">
        <f>'2.n2'!E146</f>
        <v>0</v>
      </c>
      <c r="M147" s="219">
        <f>'3.n2'!E146</f>
        <v>0</v>
      </c>
      <c r="N147" s="219">
        <f>'4.n2'!E146</f>
        <v>0</v>
      </c>
      <c r="O147" s="219">
        <f>'5.n3'!E146</f>
        <v>0</v>
      </c>
      <c r="P147" s="219">
        <f>'6.n3э'!E146</f>
        <v>0</v>
      </c>
      <c r="Q147" s="219">
        <f>'7.n2'!E146</f>
        <v>0</v>
      </c>
      <c r="R147" s="219">
        <f>'8.n2'!E146</f>
        <v>0</v>
      </c>
      <c r="S147" s="219">
        <f>'9.n2'!E146</f>
        <v>0</v>
      </c>
      <c r="T147" s="219">
        <f>'10.n3'!E146</f>
        <v>0</v>
      </c>
      <c r="U147" s="219"/>
      <c r="V147" s="219"/>
    </row>
    <row r="148" spans="1:22" x14ac:dyDescent="0.3">
      <c r="A148" s="138" t="s">
        <v>395</v>
      </c>
      <c r="B148" s="129" t="s">
        <v>326</v>
      </c>
      <c r="C148" s="160" t="s">
        <v>327</v>
      </c>
      <c r="D148" s="161"/>
      <c r="E148" s="161" t="s">
        <v>396</v>
      </c>
      <c r="F148" s="161" t="s">
        <v>123</v>
      </c>
      <c r="G148" s="162">
        <v>1</v>
      </c>
      <c r="H148" s="147">
        <v>24.37</v>
      </c>
      <c r="I148" s="251">
        <f>Таблица2[[#This Row],[Общее кол-во]]-SUM(Таблица2[[#This Row],[1.n]:[12.n]])</f>
        <v>24.37</v>
      </c>
      <c r="J148" s="244">
        <f>SUM(Таблица2[[#This Row],[1.n]:[12.n]])</f>
        <v>0</v>
      </c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</row>
    <row r="149" spans="1:22" ht="62.4" hidden="1" x14ac:dyDescent="0.3">
      <c r="A149" s="139" t="s">
        <v>397</v>
      </c>
      <c r="B149" s="130"/>
      <c r="C149" s="173" t="s">
        <v>302</v>
      </c>
      <c r="D149" s="164"/>
      <c r="E149" s="164" t="s">
        <v>347</v>
      </c>
      <c r="F149" s="165" t="s">
        <v>6</v>
      </c>
      <c r="G149" s="166">
        <v>0.3</v>
      </c>
      <c r="H149" s="148">
        <v>7.3109999999999999</v>
      </c>
      <c r="I149" s="234"/>
      <c r="J149" s="228">
        <f>SUM(Таблица2[[#This Row],[1.n]:[12.n]])</f>
        <v>0</v>
      </c>
      <c r="K149" s="219">
        <f>'1.n2'!E148</f>
        <v>0</v>
      </c>
      <c r="L149" s="219">
        <f>'2.n2'!E148</f>
        <v>0</v>
      </c>
      <c r="M149" s="219">
        <f>'3.n2'!E148</f>
        <v>0</v>
      </c>
      <c r="N149" s="219">
        <f>'4.n2'!E148</f>
        <v>0</v>
      </c>
      <c r="O149" s="219">
        <f>'5.n3'!E148</f>
        <v>0</v>
      </c>
      <c r="P149" s="219">
        <f>'6.n3э'!E148</f>
        <v>0</v>
      </c>
      <c r="Q149" s="219">
        <f>'7.n2'!E148</f>
        <v>0</v>
      </c>
      <c r="R149" s="219">
        <f>'8.n2'!E148</f>
        <v>0</v>
      </c>
      <c r="S149" s="219">
        <f>'9.n2'!E148</f>
        <v>0</v>
      </c>
      <c r="T149" s="219">
        <f>'10.n3'!E148</f>
        <v>0</v>
      </c>
      <c r="U149" s="219"/>
      <c r="V149" s="219"/>
    </row>
    <row r="150" spans="1:22" hidden="1" x14ac:dyDescent="0.3">
      <c r="A150" s="140" t="s">
        <v>398</v>
      </c>
      <c r="B150" s="131"/>
      <c r="C150" s="167" t="s">
        <v>10</v>
      </c>
      <c r="D150" s="168"/>
      <c r="E150" s="168"/>
      <c r="F150" s="169" t="s">
        <v>6</v>
      </c>
      <c r="G150" s="170">
        <v>0.15</v>
      </c>
      <c r="H150" s="148">
        <v>3.6560000000000001</v>
      </c>
      <c r="I150" s="176"/>
      <c r="J150" s="221">
        <f>SUM(Таблица2[[#This Row],[1.n]:[12.n]])</f>
        <v>0</v>
      </c>
      <c r="K150" s="219">
        <f>'1.n2'!E149</f>
        <v>0</v>
      </c>
      <c r="L150" s="219">
        <f>'2.n2'!E149</f>
        <v>0</v>
      </c>
      <c r="M150" s="219">
        <f>'3.n2'!E149</f>
        <v>0</v>
      </c>
      <c r="N150" s="219">
        <f>'4.n2'!E149</f>
        <v>0</v>
      </c>
      <c r="O150" s="219">
        <f>'5.n3'!E149</f>
        <v>0</v>
      </c>
      <c r="P150" s="219">
        <f>'6.n3э'!E149</f>
        <v>0</v>
      </c>
      <c r="Q150" s="219">
        <f>'7.n2'!E149</f>
        <v>0</v>
      </c>
      <c r="R150" s="219">
        <f>'8.n2'!E149</f>
        <v>0</v>
      </c>
      <c r="S150" s="219">
        <f>'9.n2'!E149</f>
        <v>0</v>
      </c>
      <c r="T150" s="219">
        <f>'10.n3'!E149</f>
        <v>0</v>
      </c>
      <c r="U150" s="219"/>
      <c r="V150" s="219"/>
    </row>
    <row r="151" spans="1:22" x14ac:dyDescent="0.3">
      <c r="A151" s="141" t="s">
        <v>399</v>
      </c>
      <c r="B151" s="132" t="s">
        <v>326</v>
      </c>
      <c r="C151" s="179" t="s">
        <v>327</v>
      </c>
      <c r="D151" s="128"/>
      <c r="E151" s="128" t="s">
        <v>400</v>
      </c>
      <c r="F151" s="128" t="s">
        <v>123</v>
      </c>
      <c r="G151" s="180">
        <v>1</v>
      </c>
      <c r="H151" s="147">
        <v>4.95</v>
      </c>
      <c r="I151" s="251">
        <f>Таблица2[[#This Row],[Общее кол-во]]-SUM(Таблица2[[#This Row],[1.n]:[12.n]])</f>
        <v>4.95</v>
      </c>
      <c r="J151" s="244">
        <f>SUM(Таблица2[[#This Row],[1.n]:[12.n]])</f>
        <v>0</v>
      </c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</row>
    <row r="152" spans="1:22" hidden="1" x14ac:dyDescent="0.3">
      <c r="A152" s="140" t="s">
        <v>401</v>
      </c>
      <c r="B152" s="131"/>
      <c r="C152" s="167" t="s">
        <v>10</v>
      </c>
      <c r="D152" s="168"/>
      <c r="E152" s="168"/>
      <c r="F152" s="169" t="s">
        <v>6</v>
      </c>
      <c r="G152" s="170">
        <v>0.15</v>
      </c>
      <c r="H152" s="148">
        <v>0.74299999999999999</v>
      </c>
      <c r="I152" s="234"/>
      <c r="J152" s="228">
        <f>SUM(Таблица2[[#This Row],[1.n]:[12.n]])</f>
        <v>0</v>
      </c>
      <c r="K152" s="219">
        <f>'1.n2'!E151</f>
        <v>0</v>
      </c>
      <c r="L152" s="219">
        <f>'2.n2'!E151</f>
        <v>0</v>
      </c>
      <c r="M152" s="219">
        <f>'3.n2'!E151</f>
        <v>0</v>
      </c>
      <c r="N152" s="219">
        <f>'4.n2'!E151</f>
        <v>0</v>
      </c>
      <c r="O152" s="219">
        <f>'5.n3'!E151</f>
        <v>0</v>
      </c>
      <c r="P152" s="219">
        <f>'6.n3э'!E151</f>
        <v>0</v>
      </c>
      <c r="Q152" s="219">
        <f>'7.n2'!E151</f>
        <v>0</v>
      </c>
      <c r="R152" s="219">
        <f>'8.n2'!E151</f>
        <v>0</v>
      </c>
      <c r="S152" s="219">
        <f>'9.n2'!E151</f>
        <v>0</v>
      </c>
      <c r="T152" s="219">
        <f>'10.n3'!E151</f>
        <v>0</v>
      </c>
      <c r="U152" s="219"/>
      <c r="V152" s="219"/>
    </row>
    <row r="153" spans="1:22" ht="62.4" hidden="1" x14ac:dyDescent="0.3">
      <c r="A153" s="139" t="s">
        <v>402</v>
      </c>
      <c r="B153" s="130"/>
      <c r="C153" s="173" t="s">
        <v>302</v>
      </c>
      <c r="D153" s="164"/>
      <c r="E153" s="164" t="s">
        <v>351</v>
      </c>
      <c r="F153" s="165" t="s">
        <v>6</v>
      </c>
      <c r="G153" s="166">
        <v>0.3</v>
      </c>
      <c r="H153" s="148">
        <v>1.4850000000000001</v>
      </c>
      <c r="I153" s="195"/>
      <c r="J153" s="228">
        <f>SUM(Таблица2[[#This Row],[1.n]:[12.n]])</f>
        <v>0</v>
      </c>
      <c r="K153" s="219">
        <f>'1.n2'!E152</f>
        <v>0</v>
      </c>
      <c r="L153" s="219">
        <f>'2.n2'!E152</f>
        <v>0</v>
      </c>
      <c r="M153" s="219">
        <f>'3.n2'!E152</f>
        <v>0</v>
      </c>
      <c r="N153" s="219">
        <f>'4.n2'!E152</f>
        <v>0</v>
      </c>
      <c r="O153" s="219">
        <f>'5.n3'!E152</f>
        <v>0</v>
      </c>
      <c r="P153" s="219">
        <f>'6.n3э'!E152</f>
        <v>0</v>
      </c>
      <c r="Q153" s="219">
        <f>'7.n2'!E152</f>
        <v>0</v>
      </c>
      <c r="R153" s="219">
        <f>'8.n2'!E152</f>
        <v>0</v>
      </c>
      <c r="S153" s="219">
        <f>'9.n2'!E152</f>
        <v>0</v>
      </c>
      <c r="T153" s="219">
        <f>'10.n3'!E152</f>
        <v>0</v>
      </c>
      <c r="U153" s="219"/>
      <c r="V153" s="219"/>
    </row>
    <row r="154" spans="1:22" x14ac:dyDescent="0.3">
      <c r="A154" s="138" t="s">
        <v>403</v>
      </c>
      <c r="B154" s="129" t="s">
        <v>326</v>
      </c>
      <c r="C154" s="160" t="s">
        <v>327</v>
      </c>
      <c r="D154" s="161"/>
      <c r="E154" s="161" t="s">
        <v>404</v>
      </c>
      <c r="F154" s="161" t="s">
        <v>123</v>
      </c>
      <c r="G154" s="162">
        <v>1</v>
      </c>
      <c r="H154" s="147">
        <v>11.73</v>
      </c>
      <c r="I154" s="251">
        <f>Таблица2[[#This Row],[Общее кол-во]]-SUM(Таблица2[[#This Row],[1.n]:[12.n]])</f>
        <v>11.73</v>
      </c>
      <c r="J154" s="244">
        <f>SUM(Таблица2[[#This Row],[1.n]:[12.n]])</f>
        <v>0</v>
      </c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</row>
    <row r="155" spans="1:22" ht="62.4" hidden="1" x14ac:dyDescent="0.3">
      <c r="A155" s="139" t="s">
        <v>405</v>
      </c>
      <c r="B155" s="130"/>
      <c r="C155" s="196" t="s">
        <v>302</v>
      </c>
      <c r="D155" s="164"/>
      <c r="E155" s="164" t="s">
        <v>357</v>
      </c>
      <c r="F155" s="165" t="s">
        <v>6</v>
      </c>
      <c r="G155" s="166">
        <v>0.3</v>
      </c>
      <c r="H155" s="148">
        <v>3.5190000000000001</v>
      </c>
      <c r="I155" s="174"/>
      <c r="J155" s="221">
        <f>SUM(Таблица2[[#This Row],[1.n]:[12.n]])</f>
        <v>0</v>
      </c>
      <c r="K155" s="219">
        <f>'1.n2'!E154</f>
        <v>0</v>
      </c>
      <c r="L155" s="219">
        <f>'2.n2'!E154</f>
        <v>0</v>
      </c>
      <c r="M155" s="219">
        <f>'3.n2'!E154</f>
        <v>0</v>
      </c>
      <c r="N155" s="219">
        <f>'4.n2'!E154</f>
        <v>0</v>
      </c>
      <c r="O155" s="219">
        <f>'5.n3'!E154</f>
        <v>0</v>
      </c>
      <c r="P155" s="219">
        <f>'6.n3э'!E154</f>
        <v>0</v>
      </c>
      <c r="Q155" s="219">
        <f>'7.n2'!E154</f>
        <v>0</v>
      </c>
      <c r="R155" s="219">
        <f>'8.n2'!E154</f>
        <v>0</v>
      </c>
      <c r="S155" s="219">
        <f>'9.n2'!E154</f>
        <v>0</v>
      </c>
      <c r="T155" s="219">
        <f>'10.n3'!E154</f>
        <v>0</v>
      </c>
      <c r="U155" s="219"/>
      <c r="V155" s="219"/>
    </row>
    <row r="156" spans="1:22" hidden="1" x14ac:dyDescent="0.3">
      <c r="A156" s="140" t="s">
        <v>406</v>
      </c>
      <c r="B156" s="131"/>
      <c r="C156" s="197" t="s">
        <v>10</v>
      </c>
      <c r="D156" s="168"/>
      <c r="E156" s="168"/>
      <c r="F156" s="169" t="s">
        <v>6</v>
      </c>
      <c r="G156" s="170">
        <v>0.15</v>
      </c>
      <c r="H156" s="148">
        <v>1.76</v>
      </c>
      <c r="I156" s="195"/>
      <c r="J156" s="228">
        <f>SUM(Таблица2[[#This Row],[1.n]:[12.n]])</f>
        <v>0</v>
      </c>
      <c r="K156" s="219">
        <f>'1.n2'!E155</f>
        <v>0</v>
      </c>
      <c r="L156" s="219">
        <f>'2.n2'!E155</f>
        <v>0</v>
      </c>
      <c r="M156" s="219">
        <f>'3.n2'!E155</f>
        <v>0</v>
      </c>
      <c r="N156" s="219">
        <f>'4.n2'!E155</f>
        <v>0</v>
      </c>
      <c r="O156" s="219">
        <f>'5.n3'!E155</f>
        <v>0</v>
      </c>
      <c r="P156" s="219">
        <f>'6.n3э'!E155</f>
        <v>0</v>
      </c>
      <c r="Q156" s="219">
        <f>'7.n2'!E155</f>
        <v>0</v>
      </c>
      <c r="R156" s="219">
        <f>'8.n2'!E155</f>
        <v>0</v>
      </c>
      <c r="S156" s="219">
        <f>'9.n2'!E155</f>
        <v>0</v>
      </c>
      <c r="T156" s="219">
        <f>'10.n3'!E155</f>
        <v>0</v>
      </c>
      <c r="U156" s="219"/>
      <c r="V156" s="219"/>
    </row>
    <row r="157" spans="1:22" x14ac:dyDescent="0.3">
      <c r="A157" s="141" t="s">
        <v>407</v>
      </c>
      <c r="B157" s="132" t="s">
        <v>326</v>
      </c>
      <c r="C157" s="179" t="s">
        <v>327</v>
      </c>
      <c r="D157" s="128"/>
      <c r="E157" s="128" t="s">
        <v>408</v>
      </c>
      <c r="F157" s="128" t="s">
        <v>123</v>
      </c>
      <c r="G157" s="180">
        <v>1</v>
      </c>
      <c r="H157" s="147">
        <v>18.63</v>
      </c>
      <c r="I157" s="251">
        <f>Таблица2[[#This Row],[Общее кол-во]]-SUM(Таблица2[[#This Row],[1.n]:[12.n]])</f>
        <v>18.63</v>
      </c>
      <c r="J157" s="244">
        <f>SUM(Таблица2[[#This Row],[1.n]:[12.n]])</f>
        <v>0</v>
      </c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</row>
    <row r="158" spans="1:22" hidden="1" x14ac:dyDescent="0.3">
      <c r="A158" s="140" t="s">
        <v>409</v>
      </c>
      <c r="B158" s="131"/>
      <c r="C158" s="167" t="s">
        <v>10</v>
      </c>
      <c r="D158" s="168"/>
      <c r="E158" s="168"/>
      <c r="F158" s="169" t="s">
        <v>6</v>
      </c>
      <c r="G158" s="170">
        <v>0.15</v>
      </c>
      <c r="H158" s="148">
        <v>2.7949999999999999</v>
      </c>
      <c r="I158" s="234"/>
      <c r="J158" s="228">
        <f>SUM(Таблица2[[#This Row],[1.n]:[12.n]])</f>
        <v>0</v>
      </c>
      <c r="K158" s="219">
        <f>'1.n2'!E157</f>
        <v>0</v>
      </c>
      <c r="L158" s="219">
        <f>'2.n2'!E157</f>
        <v>0</v>
      </c>
      <c r="M158" s="219">
        <f>'3.n2'!E157</f>
        <v>0</v>
      </c>
      <c r="N158" s="219">
        <f>'4.n2'!E157</f>
        <v>0</v>
      </c>
      <c r="O158" s="219">
        <f>'5.n3'!E157</f>
        <v>0</v>
      </c>
      <c r="P158" s="219">
        <f>'6.n3э'!E157</f>
        <v>0</v>
      </c>
      <c r="Q158" s="219">
        <f>'7.n2'!E157</f>
        <v>0</v>
      </c>
      <c r="R158" s="219">
        <f>'8.n2'!E157</f>
        <v>0</v>
      </c>
      <c r="S158" s="219">
        <f>'9.n2'!E157</f>
        <v>0</v>
      </c>
      <c r="T158" s="219">
        <f>'10.n3'!E157</f>
        <v>0</v>
      </c>
      <c r="U158" s="219"/>
      <c r="V158" s="219"/>
    </row>
    <row r="159" spans="1:22" ht="62.4" hidden="1" x14ac:dyDescent="0.3">
      <c r="A159" s="139" t="s">
        <v>410</v>
      </c>
      <c r="B159" s="130"/>
      <c r="C159" s="173" t="s">
        <v>302</v>
      </c>
      <c r="D159" s="164"/>
      <c r="E159" s="164" t="s">
        <v>381</v>
      </c>
      <c r="F159" s="165" t="s">
        <v>6</v>
      </c>
      <c r="G159" s="166">
        <v>0.3</v>
      </c>
      <c r="H159" s="148">
        <v>5.5890000000000004</v>
      </c>
      <c r="I159" s="195"/>
      <c r="J159" s="228">
        <f>SUM(Таблица2[[#This Row],[1.n]:[12.n]])</f>
        <v>0</v>
      </c>
      <c r="K159" s="219">
        <f>'1.n2'!E158</f>
        <v>0</v>
      </c>
      <c r="L159" s="219">
        <f>'2.n2'!E158</f>
        <v>0</v>
      </c>
      <c r="M159" s="219">
        <f>'3.n2'!E158</f>
        <v>0</v>
      </c>
      <c r="N159" s="219">
        <f>'4.n2'!E158</f>
        <v>0</v>
      </c>
      <c r="O159" s="219">
        <f>'5.n3'!E158</f>
        <v>0</v>
      </c>
      <c r="P159" s="219">
        <f>'6.n3э'!E158</f>
        <v>0</v>
      </c>
      <c r="Q159" s="219">
        <f>'7.n2'!E158</f>
        <v>0</v>
      </c>
      <c r="R159" s="219">
        <f>'8.n2'!E158</f>
        <v>0</v>
      </c>
      <c r="S159" s="219">
        <f>'9.n2'!E158</f>
        <v>0</v>
      </c>
      <c r="T159" s="219">
        <f>'10.n3'!E158</f>
        <v>0</v>
      </c>
      <c r="U159" s="219"/>
      <c r="V159" s="219"/>
    </row>
    <row r="160" spans="1:22" x14ac:dyDescent="0.3">
      <c r="A160" s="138" t="s">
        <v>411</v>
      </c>
      <c r="B160" s="129" t="s">
        <v>326</v>
      </c>
      <c r="C160" s="160" t="s">
        <v>327</v>
      </c>
      <c r="D160" s="161"/>
      <c r="E160" s="161" t="s">
        <v>412</v>
      </c>
      <c r="F160" s="161" t="s">
        <v>123</v>
      </c>
      <c r="G160" s="162">
        <v>1</v>
      </c>
      <c r="H160" s="147">
        <v>390.43</v>
      </c>
      <c r="I160" s="251">
        <f>Таблица2[[#This Row],[Общее кол-во]]-SUM(Таблица2[[#This Row],[1.n]:[12.n]])</f>
        <v>390.43</v>
      </c>
      <c r="J160" s="249">
        <f>SUM(Таблица2[[#This Row],[1.n]:[12.n]])</f>
        <v>0</v>
      </c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</row>
    <row r="161" spans="1:22" ht="62.4" hidden="1" x14ac:dyDescent="0.3">
      <c r="A161" s="139" t="s">
        <v>413</v>
      </c>
      <c r="B161" s="130"/>
      <c r="C161" s="173" t="s">
        <v>302</v>
      </c>
      <c r="D161" s="164"/>
      <c r="E161" s="164" t="s">
        <v>367</v>
      </c>
      <c r="F161" s="165" t="s">
        <v>6</v>
      </c>
      <c r="G161" s="166">
        <v>0.3</v>
      </c>
      <c r="H161" s="148">
        <v>117.129</v>
      </c>
      <c r="I161" s="190"/>
      <c r="J161" s="248">
        <f>SUM(Таблица2[[#This Row],[1.n]:[12.n]])</f>
        <v>0</v>
      </c>
      <c r="K161" s="219">
        <f>'1.n2'!E160</f>
        <v>0</v>
      </c>
      <c r="L161" s="219">
        <f>'2.n2'!E160</f>
        <v>0</v>
      </c>
      <c r="M161" s="219">
        <f>'3.n2'!E160</f>
        <v>0</v>
      </c>
      <c r="N161" s="219">
        <f>'4.n2'!E160</f>
        <v>0</v>
      </c>
      <c r="O161" s="219">
        <f>'5.n3'!E160</f>
        <v>0</v>
      </c>
      <c r="P161" s="219">
        <f>'6.n3э'!E160</f>
        <v>0</v>
      </c>
      <c r="Q161" s="219">
        <f>'7.n2'!E160</f>
        <v>0</v>
      </c>
      <c r="R161" s="219">
        <f>'8.n2'!E160</f>
        <v>0</v>
      </c>
      <c r="S161" s="219">
        <f>'9.n2'!E160</f>
        <v>0</v>
      </c>
      <c r="T161" s="219">
        <f>'10.n3'!E160</f>
        <v>0</v>
      </c>
      <c r="U161" s="219"/>
      <c r="V161" s="219"/>
    </row>
    <row r="162" spans="1:22" hidden="1" x14ac:dyDescent="0.3">
      <c r="A162" s="140" t="s">
        <v>414</v>
      </c>
      <c r="B162" s="131"/>
      <c r="C162" s="167" t="s">
        <v>10</v>
      </c>
      <c r="D162" s="168"/>
      <c r="E162" s="168"/>
      <c r="F162" s="169" t="s">
        <v>6</v>
      </c>
      <c r="G162" s="170">
        <v>0.15</v>
      </c>
      <c r="H162" s="148">
        <v>58.564999999999998</v>
      </c>
      <c r="I162" s="198">
        <f>H162-K162</f>
        <v>58.564999999999998</v>
      </c>
      <c r="J162" s="229">
        <f>SUM(Таблица2[[#This Row],[1.n]:[12.n]])</f>
        <v>0</v>
      </c>
      <c r="K162" s="219">
        <f>'1.n2'!E161</f>
        <v>0</v>
      </c>
      <c r="L162" s="219">
        <f>'2.n2'!E161</f>
        <v>0</v>
      </c>
      <c r="M162" s="219">
        <f>'3.n2'!E161</f>
        <v>0</v>
      </c>
      <c r="N162" s="219">
        <f>'4.n2'!E161</f>
        <v>0</v>
      </c>
      <c r="O162" s="219">
        <f>'5.n3'!E161</f>
        <v>0</v>
      </c>
      <c r="P162" s="219">
        <f>'6.n3э'!E161</f>
        <v>0</v>
      </c>
      <c r="Q162" s="219">
        <f>'7.n2'!E161</f>
        <v>0</v>
      </c>
      <c r="R162" s="219">
        <f>'8.n2'!E161</f>
        <v>0</v>
      </c>
      <c r="S162" s="219">
        <f>'9.n2'!E161</f>
        <v>0</v>
      </c>
      <c r="T162" s="219">
        <f>'10.n3'!E161</f>
        <v>0</v>
      </c>
      <c r="U162" s="219"/>
      <c r="V162" s="219"/>
    </row>
    <row r="163" spans="1:22" x14ac:dyDescent="0.3">
      <c r="A163" s="141" t="s">
        <v>415</v>
      </c>
      <c r="B163" s="132" t="s">
        <v>326</v>
      </c>
      <c r="C163" s="179" t="s">
        <v>327</v>
      </c>
      <c r="D163" s="128"/>
      <c r="E163" s="128" t="s">
        <v>416</v>
      </c>
      <c r="F163" s="128" t="s">
        <v>123</v>
      </c>
      <c r="G163" s="180">
        <v>1</v>
      </c>
      <c r="H163" s="147">
        <v>2002.74</v>
      </c>
      <c r="I163" s="251">
        <f>Таблица2[[#This Row],[Общее кол-во]]-SUM(Таблица2[[#This Row],[1.n]:[12.n]])</f>
        <v>2002.74</v>
      </c>
      <c r="J163" s="244">
        <f>SUM(Таблица2[[#This Row],[1.n]:[12.n]])</f>
        <v>0</v>
      </c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</row>
    <row r="164" spans="1:22" hidden="1" x14ac:dyDescent="0.3">
      <c r="A164" s="140" t="s">
        <v>417</v>
      </c>
      <c r="B164" s="131"/>
      <c r="C164" s="167" t="s">
        <v>10</v>
      </c>
      <c r="D164" s="168"/>
      <c r="E164" s="168"/>
      <c r="F164" s="169" t="s">
        <v>6</v>
      </c>
      <c r="G164" s="170">
        <v>0.15</v>
      </c>
      <c r="H164" s="148">
        <v>300.411</v>
      </c>
      <c r="I164" s="234"/>
      <c r="J164" s="228">
        <f>SUM(Таблица2[[#This Row],[1.n]:[12.n]])</f>
        <v>0</v>
      </c>
      <c r="K164" s="219">
        <f>'1.n2'!E163</f>
        <v>0</v>
      </c>
      <c r="L164" s="219">
        <f>'2.n2'!E163</f>
        <v>0</v>
      </c>
      <c r="M164" s="219">
        <f>'3.n2'!E163</f>
        <v>0</v>
      </c>
      <c r="N164" s="219">
        <f>'4.n2'!E163</f>
        <v>0</v>
      </c>
      <c r="O164" s="219">
        <f>'5.n3'!E163</f>
        <v>0</v>
      </c>
      <c r="P164" s="219">
        <f>'6.n3э'!E163</f>
        <v>0</v>
      </c>
      <c r="Q164" s="219">
        <f>'7.n2'!E163</f>
        <v>0</v>
      </c>
      <c r="R164" s="219">
        <f>'8.n2'!E163</f>
        <v>0</v>
      </c>
      <c r="S164" s="219">
        <f>'9.n2'!E163</f>
        <v>0</v>
      </c>
      <c r="T164" s="219">
        <f>'10.n3'!E163</f>
        <v>0</v>
      </c>
      <c r="U164" s="219"/>
      <c r="V164" s="219"/>
    </row>
    <row r="165" spans="1:22" ht="78" hidden="1" x14ac:dyDescent="0.3">
      <c r="A165" s="139" t="s">
        <v>418</v>
      </c>
      <c r="B165" s="130"/>
      <c r="C165" s="173" t="s">
        <v>308</v>
      </c>
      <c r="D165" s="164"/>
      <c r="E165" s="164" t="s">
        <v>371</v>
      </c>
      <c r="F165" s="165" t="s">
        <v>6</v>
      </c>
      <c r="G165" s="166">
        <v>0.3</v>
      </c>
      <c r="H165" s="148">
        <v>600.822</v>
      </c>
      <c r="I165" s="176"/>
      <c r="J165" s="221">
        <f>SUM(Таблица2[[#This Row],[1.n]:[12.n]])</f>
        <v>0</v>
      </c>
      <c r="K165" s="219">
        <f>'1.n2'!E164</f>
        <v>0</v>
      </c>
      <c r="L165" s="219">
        <f>'2.n2'!E164</f>
        <v>0</v>
      </c>
      <c r="M165" s="219">
        <f>'3.n2'!E164</f>
        <v>0</v>
      </c>
      <c r="N165" s="219">
        <f>'4.n2'!E164</f>
        <v>0</v>
      </c>
      <c r="O165" s="219">
        <f>'5.n3'!E164</f>
        <v>0</v>
      </c>
      <c r="P165" s="219">
        <f>'6.n3э'!E164</f>
        <v>0</v>
      </c>
      <c r="Q165" s="219">
        <f>'7.n2'!E164</f>
        <v>0</v>
      </c>
      <c r="R165" s="219">
        <f>'8.n2'!E164</f>
        <v>0</v>
      </c>
      <c r="S165" s="219">
        <f>'9.n2'!E164</f>
        <v>0</v>
      </c>
      <c r="T165" s="219">
        <f>'10.n3'!E164</f>
        <v>0</v>
      </c>
      <c r="U165" s="219"/>
      <c r="V165" s="219"/>
    </row>
    <row r="166" spans="1:22" x14ac:dyDescent="0.3">
      <c r="A166" s="138" t="s">
        <v>419</v>
      </c>
      <c r="B166" s="129" t="s">
        <v>326</v>
      </c>
      <c r="C166" s="160" t="s">
        <v>327</v>
      </c>
      <c r="D166" s="161"/>
      <c r="E166" s="161" t="s">
        <v>420</v>
      </c>
      <c r="F166" s="161" t="s">
        <v>123</v>
      </c>
      <c r="G166" s="162">
        <v>1</v>
      </c>
      <c r="H166" s="147">
        <v>23.23</v>
      </c>
      <c r="I166" s="251">
        <f>Таблица2[[#This Row],[Общее кол-во]]-SUM(Таблица2[[#This Row],[1.n]:[12.n]])</f>
        <v>23.23</v>
      </c>
      <c r="J166" s="244">
        <f>SUM(Таблица2[[#This Row],[1.n]:[12.n]])</f>
        <v>0</v>
      </c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  <c r="V166" s="218"/>
    </row>
    <row r="167" spans="1:22" ht="31.2" hidden="1" x14ac:dyDescent="0.3">
      <c r="A167" s="139" t="s">
        <v>421</v>
      </c>
      <c r="B167" s="130"/>
      <c r="C167" s="173" t="s">
        <v>422</v>
      </c>
      <c r="D167" s="164"/>
      <c r="E167" s="164" t="s">
        <v>423</v>
      </c>
      <c r="F167" s="165" t="s">
        <v>6</v>
      </c>
      <c r="G167" s="166">
        <v>0.3</v>
      </c>
      <c r="H167" s="148">
        <v>6.9690000000000003</v>
      </c>
      <c r="I167" s="234"/>
      <c r="J167" s="228">
        <f>SUM(Таблица2[[#This Row],[1.n]:[12.n]])</f>
        <v>0</v>
      </c>
      <c r="K167" s="219">
        <f>'1.n2'!E166</f>
        <v>0</v>
      </c>
      <c r="L167" s="219">
        <f>'2.n2'!E166</f>
        <v>0</v>
      </c>
      <c r="M167" s="219">
        <f>'3.n2'!E166</f>
        <v>0</v>
      </c>
      <c r="N167" s="219">
        <f>'4.n2'!E166</f>
        <v>0</v>
      </c>
      <c r="O167" s="219">
        <f>'5.n3'!E166</f>
        <v>0</v>
      </c>
      <c r="P167" s="219">
        <f>'6.n3э'!E166</f>
        <v>0</v>
      </c>
      <c r="Q167" s="219">
        <f>'7.n2'!E166</f>
        <v>0</v>
      </c>
      <c r="R167" s="219">
        <f>'8.n2'!E166</f>
        <v>0</v>
      </c>
      <c r="S167" s="219">
        <f>'9.n2'!E166</f>
        <v>0</v>
      </c>
      <c r="T167" s="219">
        <f>'10.n3'!E166</f>
        <v>0</v>
      </c>
      <c r="U167" s="219"/>
      <c r="V167" s="219"/>
    </row>
    <row r="168" spans="1:22" hidden="1" x14ac:dyDescent="0.3">
      <c r="A168" s="140" t="s">
        <v>424</v>
      </c>
      <c r="B168" s="131"/>
      <c r="C168" s="167" t="s">
        <v>10</v>
      </c>
      <c r="D168" s="168"/>
      <c r="E168" s="168"/>
      <c r="F168" s="169" t="s">
        <v>6</v>
      </c>
      <c r="G168" s="170">
        <v>0.15</v>
      </c>
      <c r="H168" s="148">
        <v>3.4849999999999999</v>
      </c>
      <c r="I168" s="195"/>
      <c r="J168" s="228">
        <f>SUM(Таблица2[[#This Row],[1.n]:[12.n]])</f>
        <v>0</v>
      </c>
      <c r="K168" s="219">
        <f>'1.n2'!E167</f>
        <v>0</v>
      </c>
      <c r="L168" s="219">
        <f>'2.n2'!E167</f>
        <v>0</v>
      </c>
      <c r="M168" s="219">
        <f>'3.n2'!E167</f>
        <v>0</v>
      </c>
      <c r="N168" s="219">
        <f>'4.n2'!E167</f>
        <v>0</v>
      </c>
      <c r="O168" s="219">
        <f>'5.n3'!E167</f>
        <v>0</v>
      </c>
      <c r="P168" s="219">
        <f>'6.n3э'!E167</f>
        <v>0</v>
      </c>
      <c r="Q168" s="219">
        <f>'7.n2'!E167</f>
        <v>0</v>
      </c>
      <c r="R168" s="219">
        <f>'8.n2'!E167</f>
        <v>0</v>
      </c>
      <c r="S168" s="219">
        <f>'9.n2'!E167</f>
        <v>0</v>
      </c>
      <c r="T168" s="219">
        <f>'10.n3'!E167</f>
        <v>0</v>
      </c>
      <c r="U168" s="219"/>
      <c r="V168" s="219"/>
    </row>
    <row r="169" spans="1:22" x14ac:dyDescent="0.3">
      <c r="A169" s="141" t="s">
        <v>425</v>
      </c>
      <c r="B169" s="132" t="s">
        <v>326</v>
      </c>
      <c r="C169" s="179" t="s">
        <v>327</v>
      </c>
      <c r="D169" s="128"/>
      <c r="E169" s="128" t="s">
        <v>426</v>
      </c>
      <c r="F169" s="128" t="s">
        <v>123</v>
      </c>
      <c r="G169" s="180">
        <v>1</v>
      </c>
      <c r="H169" s="147">
        <v>107.1</v>
      </c>
      <c r="I169" s="251">
        <f>Таблица2[[#This Row],[Общее кол-во]]-SUM(Таблица2[[#This Row],[1.n]:[12.n]])</f>
        <v>107.1</v>
      </c>
      <c r="J169" s="243">
        <f>SUM(Таблица2[[#This Row],[1.n]:[12.n]])</f>
        <v>0</v>
      </c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</row>
    <row r="170" spans="1:22" hidden="1" x14ac:dyDescent="0.3">
      <c r="A170" s="140" t="s">
        <v>427</v>
      </c>
      <c r="B170" s="131"/>
      <c r="C170" s="167" t="s">
        <v>10</v>
      </c>
      <c r="D170" s="168"/>
      <c r="E170" s="168"/>
      <c r="F170" s="169" t="s">
        <v>6</v>
      </c>
      <c r="G170" s="170">
        <v>0.15</v>
      </c>
      <c r="H170" s="148">
        <v>16.065000000000001</v>
      </c>
      <c r="I170" s="234"/>
      <c r="J170" s="228">
        <f>SUM(Таблица2[[#This Row],[1.n]:[12.n]])</f>
        <v>0</v>
      </c>
      <c r="K170" s="219">
        <f>'1.n2'!E169</f>
        <v>0</v>
      </c>
      <c r="L170" s="219">
        <f>'2.n2'!E169</f>
        <v>0</v>
      </c>
      <c r="M170" s="219">
        <f>'3.n2'!E169</f>
        <v>0</v>
      </c>
      <c r="N170" s="219">
        <f>'4.n2'!E169</f>
        <v>0</v>
      </c>
      <c r="O170" s="219">
        <f>'5.n3'!E169</f>
        <v>0</v>
      </c>
      <c r="P170" s="219">
        <f>'6.n3э'!E169</f>
        <v>0</v>
      </c>
      <c r="Q170" s="219">
        <f>'7.n2'!E169</f>
        <v>0</v>
      </c>
      <c r="R170" s="219">
        <f>'8.n2'!E169</f>
        <v>0</v>
      </c>
      <c r="S170" s="219">
        <f>'9.n2'!E169</f>
        <v>0</v>
      </c>
      <c r="T170" s="219">
        <f>'10.n3'!E169</f>
        <v>0</v>
      </c>
      <c r="U170" s="219"/>
      <c r="V170" s="219"/>
    </row>
    <row r="171" spans="1:22" ht="46.8" hidden="1" x14ac:dyDescent="0.3">
      <c r="A171" s="139" t="s">
        <v>428</v>
      </c>
      <c r="B171" s="130"/>
      <c r="C171" s="173" t="s">
        <v>302</v>
      </c>
      <c r="D171" s="164"/>
      <c r="E171" s="164" t="s">
        <v>429</v>
      </c>
      <c r="F171" s="165" t="s">
        <v>6</v>
      </c>
      <c r="G171" s="166">
        <v>0.3</v>
      </c>
      <c r="H171" s="148">
        <v>32.130000000000003</v>
      </c>
      <c r="I171" s="195"/>
      <c r="J171" s="228">
        <f>SUM(Таблица2[[#This Row],[1.n]:[12.n]])</f>
        <v>0</v>
      </c>
      <c r="K171" s="219">
        <f>'1.n2'!E170</f>
        <v>0</v>
      </c>
      <c r="L171" s="219">
        <f>'2.n2'!E170</f>
        <v>0</v>
      </c>
      <c r="M171" s="219">
        <f>'3.n2'!E170</f>
        <v>0</v>
      </c>
      <c r="N171" s="219">
        <f>'4.n2'!E170</f>
        <v>0</v>
      </c>
      <c r="O171" s="219">
        <f>'5.n3'!E170</f>
        <v>0</v>
      </c>
      <c r="P171" s="219">
        <f>'6.n3э'!E170</f>
        <v>0</v>
      </c>
      <c r="Q171" s="219">
        <f>'7.n2'!E170</f>
        <v>0</v>
      </c>
      <c r="R171" s="219">
        <f>'8.n2'!E170</f>
        <v>0</v>
      </c>
      <c r="S171" s="219">
        <f>'9.n2'!E170</f>
        <v>0</v>
      </c>
      <c r="T171" s="219">
        <f>'10.n3'!E170</f>
        <v>0</v>
      </c>
      <c r="U171" s="219"/>
      <c r="V171" s="219"/>
    </row>
    <row r="172" spans="1:22" ht="31.2" x14ac:dyDescent="0.3">
      <c r="A172" s="138" t="s">
        <v>430</v>
      </c>
      <c r="B172" s="135" t="s">
        <v>431</v>
      </c>
      <c r="C172" s="199" t="s">
        <v>432</v>
      </c>
      <c r="D172" s="200"/>
      <c r="E172" s="200" t="s">
        <v>433</v>
      </c>
      <c r="F172" s="200" t="s">
        <v>123</v>
      </c>
      <c r="G172" s="201">
        <v>1</v>
      </c>
      <c r="H172" s="147">
        <v>205.88</v>
      </c>
      <c r="I172" s="251">
        <f>Таблица2[[#This Row],[Общее кол-во]]-SUM(Таблица2[[#This Row],[1.n]:[12.n]])</f>
        <v>205.88</v>
      </c>
      <c r="J172" s="244">
        <f>SUM(Таблица2[[#This Row],[1.n]:[12.n]])</f>
        <v>0</v>
      </c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</row>
    <row r="173" spans="1:22" hidden="1" x14ac:dyDescent="0.3">
      <c r="A173" s="139" t="s">
        <v>434</v>
      </c>
      <c r="B173" s="130"/>
      <c r="C173" s="173" t="s">
        <v>280</v>
      </c>
      <c r="D173" s="164"/>
      <c r="E173" s="164"/>
      <c r="F173" s="165" t="s">
        <v>6</v>
      </c>
      <c r="G173" s="166">
        <v>0.25</v>
      </c>
      <c r="H173" s="148">
        <v>51.47</v>
      </c>
      <c r="I173" s="234"/>
      <c r="J173" s="228">
        <f>SUM(Таблица2[[#This Row],[1.n]:[12.n]])</f>
        <v>0</v>
      </c>
      <c r="K173" s="219">
        <f>'1.n2'!E172</f>
        <v>0</v>
      </c>
      <c r="L173" s="219">
        <f>'2.n2'!E172</f>
        <v>0</v>
      </c>
      <c r="M173" s="219">
        <f>'3.n2'!E172</f>
        <v>0</v>
      </c>
      <c r="N173" s="219">
        <f>'4.n2'!E172</f>
        <v>0</v>
      </c>
      <c r="O173" s="219">
        <f>'5.n3'!E172</f>
        <v>0</v>
      </c>
      <c r="P173" s="219">
        <f>'6.n3э'!E172</f>
        <v>0</v>
      </c>
      <c r="Q173" s="219">
        <f>'7.n2'!E172</f>
        <v>0</v>
      </c>
      <c r="R173" s="219">
        <f>'8.n2'!E172</f>
        <v>0</v>
      </c>
      <c r="S173" s="219">
        <f>'9.n2'!E172</f>
        <v>0</v>
      </c>
      <c r="T173" s="219">
        <f>'10.n3'!E172</f>
        <v>0</v>
      </c>
      <c r="U173" s="219"/>
      <c r="V173" s="219"/>
    </row>
    <row r="174" spans="1:22" hidden="1" x14ac:dyDescent="0.3">
      <c r="A174" s="140" t="s">
        <v>435</v>
      </c>
      <c r="B174" s="131"/>
      <c r="C174" s="167" t="s">
        <v>282</v>
      </c>
      <c r="D174" s="168"/>
      <c r="E174" s="168"/>
      <c r="F174" s="169" t="s">
        <v>6</v>
      </c>
      <c r="G174" s="170">
        <v>0.15</v>
      </c>
      <c r="H174" s="148">
        <v>30.882000000000001</v>
      </c>
      <c r="I174" s="176"/>
      <c r="J174" s="221">
        <f>SUM(Таблица2[[#This Row],[1.n]:[12.n]])</f>
        <v>0</v>
      </c>
      <c r="K174" s="219">
        <f>'1.n2'!E173</f>
        <v>0</v>
      </c>
      <c r="L174" s="219">
        <f>'2.n2'!E173</f>
        <v>0</v>
      </c>
      <c r="M174" s="219">
        <f>'3.n2'!E173</f>
        <v>0</v>
      </c>
      <c r="N174" s="219">
        <f>'4.n2'!E173</f>
        <v>0</v>
      </c>
      <c r="O174" s="219">
        <f>'5.n3'!E173</f>
        <v>0</v>
      </c>
      <c r="P174" s="219">
        <f>'6.n3э'!E173</f>
        <v>0</v>
      </c>
      <c r="Q174" s="219">
        <f>'7.n2'!E173</f>
        <v>0</v>
      </c>
      <c r="R174" s="219">
        <f>'8.n2'!E173</f>
        <v>0</v>
      </c>
      <c r="S174" s="219">
        <f>'9.n2'!E173</f>
        <v>0</v>
      </c>
      <c r="T174" s="219">
        <f>'10.n3'!E173</f>
        <v>0</v>
      </c>
      <c r="U174" s="219"/>
      <c r="V174" s="219"/>
    </row>
    <row r="175" spans="1:22" ht="31.2" hidden="1" x14ac:dyDescent="0.3">
      <c r="A175" s="139" t="s">
        <v>436</v>
      </c>
      <c r="B175" s="130"/>
      <c r="C175" s="202" t="s">
        <v>437</v>
      </c>
      <c r="D175" s="164"/>
      <c r="E175" s="164" t="s">
        <v>275</v>
      </c>
      <c r="F175" s="165" t="s">
        <v>6</v>
      </c>
      <c r="G175" s="166">
        <v>1.2</v>
      </c>
      <c r="H175" s="148">
        <v>494.11200000000002</v>
      </c>
      <c r="I175" s="195"/>
      <c r="J175" s="228">
        <f>SUM(Таблица2[[#This Row],[1.n]:[12.n]])</f>
        <v>0</v>
      </c>
      <c r="K175" s="219">
        <f>'1.n2'!E174</f>
        <v>0</v>
      </c>
      <c r="L175" s="219">
        <f>'2.n2'!E174</f>
        <v>0</v>
      </c>
      <c r="M175" s="219">
        <f>'3.n2'!E174</f>
        <v>0</v>
      </c>
      <c r="N175" s="219">
        <f>'4.n2'!E174</f>
        <v>0</v>
      </c>
      <c r="O175" s="219">
        <f>'5.n3'!E174</f>
        <v>0</v>
      </c>
      <c r="P175" s="219">
        <f>'6.n3э'!E174</f>
        <v>0</v>
      </c>
      <c r="Q175" s="219">
        <f>'7.n2'!E174</f>
        <v>0</v>
      </c>
      <c r="R175" s="219">
        <f>'8.n2'!E174</f>
        <v>0</v>
      </c>
      <c r="S175" s="219">
        <f>'9.n2'!E174</f>
        <v>0</v>
      </c>
      <c r="T175" s="219">
        <f>'10.n3'!E174</f>
        <v>0</v>
      </c>
      <c r="U175" s="219"/>
      <c r="V175" s="219"/>
    </row>
    <row r="176" spans="1:22" ht="31.2" hidden="1" x14ac:dyDescent="0.3">
      <c r="A176" s="140" t="s">
        <v>438</v>
      </c>
      <c r="B176" s="131"/>
      <c r="C176" s="202" t="s">
        <v>439</v>
      </c>
      <c r="D176" s="168"/>
      <c r="E176" s="168" t="s">
        <v>440</v>
      </c>
      <c r="F176" s="169" t="s">
        <v>123</v>
      </c>
      <c r="G176" s="170">
        <v>1.07</v>
      </c>
      <c r="H176" s="148">
        <v>220.292</v>
      </c>
      <c r="I176" s="195"/>
      <c r="J176" s="228">
        <f>SUM(Таблица2[[#This Row],[1.n]:[12.n]])</f>
        <v>0</v>
      </c>
      <c r="K176" s="219">
        <f>'1.n2'!E175</f>
        <v>0</v>
      </c>
      <c r="L176" s="219">
        <f>'2.n2'!E175</f>
        <v>0</v>
      </c>
      <c r="M176" s="219">
        <f>'3.n2'!E175</f>
        <v>0</v>
      </c>
      <c r="N176" s="219">
        <f>'4.n2'!E175</f>
        <v>0</v>
      </c>
      <c r="O176" s="219">
        <f>'5.n3'!E175</f>
        <v>0</v>
      </c>
      <c r="P176" s="219">
        <f>'6.n3э'!E175</f>
        <v>0</v>
      </c>
      <c r="Q176" s="219">
        <f>'7.n2'!E175</f>
        <v>0</v>
      </c>
      <c r="R176" s="219">
        <f>'8.n2'!E175</f>
        <v>0</v>
      </c>
      <c r="S176" s="219">
        <f>'9.n2'!E175</f>
        <v>0</v>
      </c>
      <c r="T176" s="219">
        <f>'10.n3'!E175</f>
        <v>0</v>
      </c>
      <c r="U176" s="219"/>
      <c r="V176" s="219"/>
    </row>
    <row r="177" spans="1:22" ht="31.2" x14ac:dyDescent="0.3">
      <c r="A177" s="141" t="s">
        <v>441</v>
      </c>
      <c r="B177" s="132" t="s">
        <v>431</v>
      </c>
      <c r="C177" s="179" t="s">
        <v>432</v>
      </c>
      <c r="D177" s="128"/>
      <c r="E177" s="128" t="s">
        <v>442</v>
      </c>
      <c r="F177" s="128" t="s">
        <v>123</v>
      </c>
      <c r="G177" s="180">
        <v>1</v>
      </c>
      <c r="H177" s="147">
        <v>33.03</v>
      </c>
      <c r="I177" s="251">
        <f>Таблица2[[#This Row],[Общее кол-во]]-SUM(Таблица2[[#This Row],[1.n]:[12.n]])</f>
        <v>33.03</v>
      </c>
      <c r="J177" s="243">
        <f>SUM(Таблица2[[#This Row],[1.n]:[12.n]])</f>
        <v>0</v>
      </c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</row>
    <row r="178" spans="1:22" ht="31.2" hidden="1" x14ac:dyDescent="0.3">
      <c r="A178" s="140" t="s">
        <v>443</v>
      </c>
      <c r="B178" s="131"/>
      <c r="C178" s="202" t="s">
        <v>444</v>
      </c>
      <c r="D178" s="168"/>
      <c r="E178" s="168" t="s">
        <v>445</v>
      </c>
      <c r="F178" s="169" t="s">
        <v>123</v>
      </c>
      <c r="G178" s="170">
        <v>1.07</v>
      </c>
      <c r="H178" s="148">
        <v>35.341999999999999</v>
      </c>
      <c r="I178" s="231"/>
      <c r="J178" s="222">
        <f>SUM(Таблица2[[#This Row],[1.n]:[12.n]])</f>
        <v>0</v>
      </c>
      <c r="K178" s="219">
        <f>'1.n2'!E177</f>
        <v>0</v>
      </c>
      <c r="L178" s="219">
        <f>'2.n2'!E177</f>
        <v>0</v>
      </c>
      <c r="M178" s="219">
        <f>'3.n2'!E177</f>
        <v>0</v>
      </c>
      <c r="N178" s="219">
        <f>'4.n2'!E177</f>
        <v>0</v>
      </c>
      <c r="O178" s="219">
        <f>'5.n3'!E177</f>
        <v>0</v>
      </c>
      <c r="P178" s="219">
        <f>'6.n3э'!E177</f>
        <v>0</v>
      </c>
      <c r="Q178" s="219">
        <f>'7.n2'!E177</f>
        <v>0</v>
      </c>
      <c r="R178" s="219">
        <f>'8.n2'!E177</f>
        <v>0</v>
      </c>
      <c r="S178" s="219">
        <f>'9.n2'!E177</f>
        <v>0</v>
      </c>
      <c r="T178" s="219">
        <f>'10.n3'!E177</f>
        <v>0</v>
      </c>
      <c r="U178" s="219"/>
      <c r="V178" s="219"/>
    </row>
    <row r="179" spans="1:22" ht="31.2" hidden="1" x14ac:dyDescent="0.3">
      <c r="A179" s="139" t="s">
        <v>446</v>
      </c>
      <c r="B179" s="130"/>
      <c r="C179" s="202" t="s">
        <v>437</v>
      </c>
      <c r="D179" s="164"/>
      <c r="E179" s="164" t="s">
        <v>275</v>
      </c>
      <c r="F179" s="165" t="s">
        <v>6</v>
      </c>
      <c r="G179" s="166">
        <v>1.2</v>
      </c>
      <c r="H179" s="148">
        <v>79.272000000000006</v>
      </c>
      <c r="I179" s="175"/>
      <c r="J179" s="222">
        <f>SUM(Таблица2[[#This Row],[1.n]:[12.n]])</f>
        <v>0</v>
      </c>
      <c r="K179" s="219">
        <f>'1.n2'!E178</f>
        <v>0</v>
      </c>
      <c r="L179" s="219">
        <f>'2.n2'!E178</f>
        <v>0</v>
      </c>
      <c r="M179" s="219">
        <f>'3.n2'!E178</f>
        <v>0</v>
      </c>
      <c r="N179" s="219">
        <f>'4.n2'!E178</f>
        <v>0</v>
      </c>
      <c r="O179" s="219">
        <f>'5.n3'!E178</f>
        <v>0</v>
      </c>
      <c r="P179" s="219">
        <f>'6.n3э'!E178</f>
        <v>0</v>
      </c>
      <c r="Q179" s="219">
        <f>'7.n2'!E178</f>
        <v>0</v>
      </c>
      <c r="R179" s="219">
        <f>'8.n2'!E178</f>
        <v>0</v>
      </c>
      <c r="S179" s="219">
        <f>'9.n2'!E178</f>
        <v>0</v>
      </c>
      <c r="T179" s="219">
        <f>'10.n3'!E178</f>
        <v>0</v>
      </c>
      <c r="U179" s="219"/>
      <c r="V179" s="219"/>
    </row>
    <row r="180" spans="1:22" hidden="1" x14ac:dyDescent="0.3">
      <c r="A180" s="140" t="s">
        <v>447</v>
      </c>
      <c r="B180" s="131"/>
      <c r="C180" s="167" t="s">
        <v>282</v>
      </c>
      <c r="D180" s="168"/>
      <c r="E180" s="168"/>
      <c r="F180" s="169" t="s">
        <v>6</v>
      </c>
      <c r="G180" s="170">
        <v>0.15</v>
      </c>
      <c r="H180" s="148">
        <v>4.9550000000000001</v>
      </c>
      <c r="I180" s="176"/>
      <c r="J180" s="221">
        <f>SUM(Таблица2[[#This Row],[1.n]:[12.n]])</f>
        <v>0</v>
      </c>
      <c r="K180" s="219">
        <f>'1.n2'!E179</f>
        <v>0</v>
      </c>
      <c r="L180" s="219">
        <f>'2.n2'!E179</f>
        <v>0</v>
      </c>
      <c r="M180" s="219">
        <f>'3.n2'!E179</f>
        <v>0</v>
      </c>
      <c r="N180" s="219">
        <f>'4.n2'!E179</f>
        <v>0</v>
      </c>
      <c r="O180" s="219">
        <f>'5.n3'!E179</f>
        <v>0</v>
      </c>
      <c r="P180" s="219">
        <f>'6.n3э'!E179</f>
        <v>0</v>
      </c>
      <c r="Q180" s="219">
        <f>'7.n2'!E179</f>
        <v>0</v>
      </c>
      <c r="R180" s="219">
        <f>'8.n2'!E179</f>
        <v>0</v>
      </c>
      <c r="S180" s="219">
        <f>'9.n2'!E179</f>
        <v>0</v>
      </c>
      <c r="T180" s="219">
        <f>'10.n3'!E179</f>
        <v>0</v>
      </c>
      <c r="U180" s="219"/>
      <c r="V180" s="219"/>
    </row>
    <row r="181" spans="1:22" hidden="1" x14ac:dyDescent="0.3">
      <c r="A181" s="139" t="s">
        <v>448</v>
      </c>
      <c r="B181" s="130"/>
      <c r="C181" s="173" t="s">
        <v>280</v>
      </c>
      <c r="D181" s="164"/>
      <c r="E181" s="164"/>
      <c r="F181" s="165" t="s">
        <v>6</v>
      </c>
      <c r="G181" s="166">
        <v>0.25</v>
      </c>
      <c r="H181" s="148">
        <v>8.2579999999999991</v>
      </c>
      <c r="I181" s="175"/>
      <c r="J181" s="222">
        <f>SUM(Таблица2[[#This Row],[1.n]:[12.n]])</f>
        <v>0</v>
      </c>
      <c r="K181" s="219">
        <f>'1.n2'!E180</f>
        <v>0</v>
      </c>
      <c r="L181" s="219">
        <f>'2.n2'!E180</f>
        <v>0</v>
      </c>
      <c r="M181" s="219">
        <f>'3.n2'!E180</f>
        <v>0</v>
      </c>
      <c r="N181" s="219">
        <f>'4.n2'!E180</f>
        <v>0</v>
      </c>
      <c r="O181" s="219">
        <f>'5.n3'!E180</f>
        <v>0</v>
      </c>
      <c r="P181" s="219">
        <f>'6.n3э'!E180</f>
        <v>0</v>
      </c>
      <c r="Q181" s="219">
        <f>'7.n2'!E180</f>
        <v>0</v>
      </c>
      <c r="R181" s="219">
        <f>'8.n2'!E180</f>
        <v>0</v>
      </c>
      <c r="S181" s="219">
        <f>'9.n2'!E180</f>
        <v>0</v>
      </c>
      <c r="T181" s="219">
        <f>'10.n3'!E180</f>
        <v>0</v>
      </c>
      <c r="U181" s="219"/>
      <c r="V181" s="219"/>
    </row>
    <row r="182" spans="1:22" ht="31.2" x14ac:dyDescent="0.3">
      <c r="A182" s="138" t="s">
        <v>449</v>
      </c>
      <c r="B182" s="129" t="s">
        <v>431</v>
      </c>
      <c r="C182" s="160" t="s">
        <v>432</v>
      </c>
      <c r="D182" s="161"/>
      <c r="E182" s="161" t="s">
        <v>450</v>
      </c>
      <c r="F182" s="161" t="s">
        <v>123</v>
      </c>
      <c r="G182" s="162">
        <v>1</v>
      </c>
      <c r="H182" s="147">
        <v>55.79</v>
      </c>
      <c r="I182" s="251">
        <f>Таблица2[[#This Row],[Общее кол-во]]-SUM(Таблица2[[#This Row],[1.n]:[12.n]])</f>
        <v>55.79</v>
      </c>
      <c r="J182" s="240">
        <f>SUM(Таблица2[[#This Row],[1.n]:[12.n]])</f>
        <v>0</v>
      </c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</row>
    <row r="183" spans="1:22" hidden="1" x14ac:dyDescent="0.3">
      <c r="A183" s="139" t="s">
        <v>451</v>
      </c>
      <c r="B183" s="130"/>
      <c r="C183" s="173" t="s">
        <v>280</v>
      </c>
      <c r="D183" s="164"/>
      <c r="E183" s="164"/>
      <c r="F183" s="165" t="s">
        <v>6</v>
      </c>
      <c r="G183" s="166">
        <v>0.25</v>
      </c>
      <c r="H183" s="148">
        <v>13.948</v>
      </c>
      <c r="I183" s="235">
        <f>H183-K183</f>
        <v>13.948</v>
      </c>
      <c r="J183" s="229">
        <f>SUM(Таблица2[[#This Row],[1.n]:[12.n]])</f>
        <v>0</v>
      </c>
      <c r="K183" s="219">
        <f>'1.n2'!E182</f>
        <v>0</v>
      </c>
      <c r="L183" s="219">
        <f>'2.n2'!E182</f>
        <v>0</v>
      </c>
      <c r="M183" s="219">
        <f>'3.n2'!E182</f>
        <v>0</v>
      </c>
      <c r="N183" s="219">
        <f>'4.n2'!E182</f>
        <v>0</v>
      </c>
      <c r="O183" s="219">
        <f>'5.n3'!E182</f>
        <v>0</v>
      </c>
      <c r="P183" s="219">
        <f>'6.n3э'!E182</f>
        <v>0</v>
      </c>
      <c r="Q183" s="219">
        <f>'7.n2'!E182</f>
        <v>0</v>
      </c>
      <c r="R183" s="219">
        <f>'8.n2'!E182</f>
        <v>0</v>
      </c>
      <c r="S183" s="219">
        <f>'9.n2'!E182</f>
        <v>0</v>
      </c>
      <c r="T183" s="219">
        <f>'10.n3'!E182</f>
        <v>0</v>
      </c>
      <c r="U183" s="219"/>
      <c r="V183" s="219"/>
    </row>
    <row r="184" spans="1:22" hidden="1" x14ac:dyDescent="0.3">
      <c r="A184" s="140" t="s">
        <v>452</v>
      </c>
      <c r="B184" s="131"/>
      <c r="C184" s="167" t="s">
        <v>282</v>
      </c>
      <c r="D184" s="168"/>
      <c r="E184" s="168"/>
      <c r="F184" s="169" t="s">
        <v>6</v>
      </c>
      <c r="G184" s="170">
        <v>0.15</v>
      </c>
      <c r="H184" s="148">
        <v>8.3689999999999998</v>
      </c>
      <c r="I184" s="195"/>
      <c r="J184" s="228">
        <f>SUM(Таблица2[[#This Row],[1.n]:[12.n]])</f>
        <v>0</v>
      </c>
      <c r="K184" s="219">
        <f>'1.n2'!E183</f>
        <v>0</v>
      </c>
      <c r="L184" s="219">
        <f>'2.n2'!E183</f>
        <v>0</v>
      </c>
      <c r="M184" s="219">
        <f>'3.n2'!E183</f>
        <v>0</v>
      </c>
      <c r="N184" s="219">
        <f>'4.n2'!E183</f>
        <v>0</v>
      </c>
      <c r="O184" s="219">
        <f>'5.n3'!E183</f>
        <v>0</v>
      </c>
      <c r="P184" s="219">
        <f>'6.n3э'!E183</f>
        <v>0</v>
      </c>
      <c r="Q184" s="219">
        <f>'7.n2'!E183</f>
        <v>0</v>
      </c>
      <c r="R184" s="219">
        <f>'8.n2'!E183</f>
        <v>0</v>
      </c>
      <c r="S184" s="219">
        <f>'9.n2'!E183</f>
        <v>0</v>
      </c>
      <c r="T184" s="219">
        <f>'10.n3'!E183</f>
        <v>0</v>
      </c>
      <c r="U184" s="219"/>
      <c r="V184" s="219"/>
    </row>
    <row r="185" spans="1:22" ht="31.2" hidden="1" x14ac:dyDescent="0.3">
      <c r="A185" s="139" t="s">
        <v>453</v>
      </c>
      <c r="B185" s="130"/>
      <c r="C185" s="202" t="s">
        <v>437</v>
      </c>
      <c r="D185" s="164"/>
      <c r="E185" s="164" t="s">
        <v>275</v>
      </c>
      <c r="F185" s="165" t="s">
        <v>6</v>
      </c>
      <c r="G185" s="166">
        <v>1.2</v>
      </c>
      <c r="H185" s="148">
        <v>133.89599999999999</v>
      </c>
      <c r="I185" s="195"/>
      <c r="J185" s="228">
        <f>SUM(Таблица2[[#This Row],[1.n]:[12.n]])</f>
        <v>0</v>
      </c>
      <c r="K185" s="219">
        <f>'1.n2'!E184</f>
        <v>0</v>
      </c>
      <c r="L185" s="219">
        <f>'2.n2'!E184</f>
        <v>0</v>
      </c>
      <c r="M185" s="219">
        <f>'3.n2'!E184</f>
        <v>0</v>
      </c>
      <c r="N185" s="219">
        <f>'4.n2'!E184</f>
        <v>0</v>
      </c>
      <c r="O185" s="219">
        <f>'5.n3'!E184</f>
        <v>0</v>
      </c>
      <c r="P185" s="219">
        <f>'6.n3э'!E184</f>
        <v>0</v>
      </c>
      <c r="Q185" s="219">
        <f>'7.n2'!E184</f>
        <v>0</v>
      </c>
      <c r="R185" s="219">
        <f>'8.n2'!E184</f>
        <v>0</v>
      </c>
      <c r="S185" s="219">
        <f>'9.n2'!E184</f>
        <v>0</v>
      </c>
      <c r="T185" s="219">
        <f>'10.n3'!E184</f>
        <v>0</v>
      </c>
      <c r="U185" s="219"/>
      <c r="V185" s="219"/>
    </row>
    <row r="186" spans="1:22" ht="31.2" hidden="1" x14ac:dyDescent="0.3">
      <c r="A186" s="140" t="s">
        <v>454</v>
      </c>
      <c r="B186" s="131"/>
      <c r="C186" s="202" t="s">
        <v>455</v>
      </c>
      <c r="D186" s="168"/>
      <c r="E186" s="168" t="s">
        <v>456</v>
      </c>
      <c r="F186" s="169" t="s">
        <v>123</v>
      </c>
      <c r="G186" s="170">
        <v>1.07</v>
      </c>
      <c r="H186" s="148">
        <v>59.695</v>
      </c>
      <c r="I186" s="198">
        <f>H186-K186</f>
        <v>59.695</v>
      </c>
      <c r="J186" s="229">
        <f>SUM(Таблица2[[#This Row],[1.n]:[12.n]])</f>
        <v>0</v>
      </c>
      <c r="K186" s="219">
        <f>'1.n2'!E185</f>
        <v>0</v>
      </c>
      <c r="L186" s="219">
        <f>'2.n2'!E185</f>
        <v>0</v>
      </c>
      <c r="M186" s="219">
        <f>'3.n2'!E185</f>
        <v>0</v>
      </c>
      <c r="N186" s="219">
        <f>'4.n2'!E185</f>
        <v>0</v>
      </c>
      <c r="O186" s="219">
        <f>'5.n3'!E185</f>
        <v>0</v>
      </c>
      <c r="P186" s="219">
        <f>'6.n3э'!E185</f>
        <v>0</v>
      </c>
      <c r="Q186" s="219">
        <f>'7.n2'!E185</f>
        <v>0</v>
      </c>
      <c r="R186" s="219">
        <f>'8.n2'!E185</f>
        <v>0</v>
      </c>
      <c r="S186" s="219">
        <f>'9.n2'!E185</f>
        <v>0</v>
      </c>
      <c r="T186" s="219">
        <f>'10.n3'!E185</f>
        <v>0</v>
      </c>
      <c r="U186" s="219"/>
      <c r="V186" s="219"/>
    </row>
    <row r="187" spans="1:22" ht="31.2" x14ac:dyDescent="0.3">
      <c r="A187" s="141" t="s">
        <v>457</v>
      </c>
      <c r="B187" s="132" t="s">
        <v>431</v>
      </c>
      <c r="C187" s="179" t="s">
        <v>432</v>
      </c>
      <c r="D187" s="128"/>
      <c r="E187" s="128" t="s">
        <v>458</v>
      </c>
      <c r="F187" s="128" t="s">
        <v>123</v>
      </c>
      <c r="G187" s="180">
        <v>1</v>
      </c>
      <c r="H187" s="147">
        <v>5.65</v>
      </c>
      <c r="I187" s="251">
        <f>Таблица2[[#This Row],[Общее кол-во]]-SUM(Таблица2[[#This Row],[1.n]:[12.n]])</f>
        <v>5.65</v>
      </c>
      <c r="J187" s="240">
        <f>SUM(Таблица2[[#This Row],[1.n]:[12.n]])</f>
        <v>0</v>
      </c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</row>
    <row r="188" spans="1:22" ht="31.2" hidden="1" x14ac:dyDescent="0.3">
      <c r="A188" s="140" t="s">
        <v>459</v>
      </c>
      <c r="B188" s="131"/>
      <c r="C188" s="202" t="s">
        <v>460</v>
      </c>
      <c r="D188" s="168"/>
      <c r="E188" s="168" t="s">
        <v>461</v>
      </c>
      <c r="F188" s="169" t="s">
        <v>123</v>
      </c>
      <c r="G188" s="170">
        <v>1.07</v>
      </c>
      <c r="H188" s="148">
        <v>6.0460000000000003</v>
      </c>
      <c r="I188" s="231"/>
      <c r="J188" s="222">
        <f>SUM(Таблица2[[#This Row],[1.n]:[12.n]])</f>
        <v>0</v>
      </c>
      <c r="K188" s="219">
        <f>'1.n2'!E187</f>
        <v>0</v>
      </c>
      <c r="L188" s="219">
        <f>'2.n2'!E187</f>
        <v>0</v>
      </c>
      <c r="M188" s="219">
        <f>'3.n2'!E187</f>
        <v>0</v>
      </c>
      <c r="N188" s="219">
        <f>'4.n2'!E187</f>
        <v>0</v>
      </c>
      <c r="O188" s="219">
        <f>'5.n3'!E187</f>
        <v>0</v>
      </c>
      <c r="P188" s="219">
        <f>'6.n3э'!E187</f>
        <v>0</v>
      </c>
      <c r="Q188" s="219">
        <f>'7.n2'!E187</f>
        <v>0</v>
      </c>
      <c r="R188" s="219">
        <f>'8.n2'!E187</f>
        <v>0</v>
      </c>
      <c r="S188" s="219">
        <f>'9.n2'!E187</f>
        <v>0</v>
      </c>
      <c r="T188" s="219">
        <f>'10.n3'!E187</f>
        <v>0</v>
      </c>
      <c r="U188" s="219"/>
      <c r="V188" s="219"/>
    </row>
    <row r="189" spans="1:22" ht="31.2" hidden="1" x14ac:dyDescent="0.3">
      <c r="A189" s="139" t="s">
        <v>462</v>
      </c>
      <c r="B189" s="130"/>
      <c r="C189" s="202" t="s">
        <v>437</v>
      </c>
      <c r="D189" s="164"/>
      <c r="E189" s="164" t="s">
        <v>275</v>
      </c>
      <c r="F189" s="165" t="s">
        <v>6</v>
      </c>
      <c r="G189" s="166">
        <v>1.2</v>
      </c>
      <c r="H189" s="148">
        <v>13.56</v>
      </c>
      <c r="I189" s="181"/>
      <c r="J189" s="223">
        <f>SUM(Таблица2[[#This Row],[1.n]:[12.n]])</f>
        <v>0</v>
      </c>
      <c r="K189" s="219">
        <f>'1.n2'!E188</f>
        <v>0</v>
      </c>
      <c r="L189" s="219">
        <f>'2.n2'!E188</f>
        <v>0</v>
      </c>
      <c r="M189" s="219">
        <f>'3.n2'!E188</f>
        <v>0</v>
      </c>
      <c r="N189" s="219">
        <f>'4.n2'!E188</f>
        <v>0</v>
      </c>
      <c r="O189" s="219">
        <f>'5.n3'!E188</f>
        <v>0</v>
      </c>
      <c r="P189" s="219">
        <f>'6.n3э'!E188</f>
        <v>0</v>
      </c>
      <c r="Q189" s="219">
        <f>'7.n2'!E188</f>
        <v>0</v>
      </c>
      <c r="R189" s="219">
        <f>'8.n2'!E188</f>
        <v>0</v>
      </c>
      <c r="S189" s="219">
        <f>'9.n2'!E188</f>
        <v>0</v>
      </c>
      <c r="T189" s="219">
        <f>'10.n3'!E188</f>
        <v>0</v>
      </c>
      <c r="U189" s="219"/>
      <c r="V189" s="219"/>
    </row>
    <row r="190" spans="1:22" hidden="1" x14ac:dyDescent="0.3">
      <c r="A190" s="140" t="s">
        <v>463</v>
      </c>
      <c r="B190" s="131"/>
      <c r="C190" s="167" t="s">
        <v>280</v>
      </c>
      <c r="D190" s="168"/>
      <c r="E190" s="168"/>
      <c r="F190" s="169" t="s">
        <v>6</v>
      </c>
      <c r="G190" s="170">
        <v>0.25</v>
      </c>
      <c r="H190" s="148">
        <v>1.413</v>
      </c>
      <c r="I190" s="175"/>
      <c r="J190" s="222">
        <f>SUM(Таблица2[[#This Row],[1.n]:[12.n]])</f>
        <v>0</v>
      </c>
      <c r="K190" s="219">
        <f>'1.n2'!E189</f>
        <v>0</v>
      </c>
      <c r="L190" s="219">
        <f>'2.n2'!E189</f>
        <v>0</v>
      </c>
      <c r="M190" s="219">
        <f>'3.n2'!E189</f>
        <v>0</v>
      </c>
      <c r="N190" s="219">
        <f>'4.n2'!E189</f>
        <v>0</v>
      </c>
      <c r="O190" s="219">
        <f>'5.n3'!E189</f>
        <v>0</v>
      </c>
      <c r="P190" s="219">
        <f>'6.n3э'!E189</f>
        <v>0</v>
      </c>
      <c r="Q190" s="219">
        <f>'7.n2'!E189</f>
        <v>0</v>
      </c>
      <c r="R190" s="219">
        <f>'8.n2'!E189</f>
        <v>0</v>
      </c>
      <c r="S190" s="219">
        <f>'9.n2'!E189</f>
        <v>0</v>
      </c>
      <c r="T190" s="219">
        <f>'10.n3'!E189</f>
        <v>0</v>
      </c>
      <c r="U190" s="219"/>
      <c r="V190" s="219"/>
    </row>
    <row r="191" spans="1:22" ht="31.2" x14ac:dyDescent="0.3">
      <c r="A191" s="141" t="s">
        <v>464</v>
      </c>
      <c r="B191" s="132" t="s">
        <v>431</v>
      </c>
      <c r="C191" s="179" t="s">
        <v>432</v>
      </c>
      <c r="D191" s="128"/>
      <c r="E191" s="128" t="s">
        <v>465</v>
      </c>
      <c r="F191" s="128" t="s">
        <v>123</v>
      </c>
      <c r="G191" s="180">
        <v>1</v>
      </c>
      <c r="H191" s="147">
        <v>8.18</v>
      </c>
      <c r="I191" s="251">
        <f>Таблица2[[#This Row],[Общее кол-во]]-SUM(Таблица2[[#This Row],[1.n]:[12.n]])</f>
        <v>8.18</v>
      </c>
      <c r="J191" s="240">
        <f>SUM(Таблица2[[#This Row],[1.n]:[12.n]])</f>
        <v>0</v>
      </c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</row>
    <row r="192" spans="1:22" hidden="1" x14ac:dyDescent="0.3">
      <c r="A192" s="145" t="s">
        <v>466</v>
      </c>
      <c r="B192" s="136"/>
      <c r="C192" s="203" t="s">
        <v>280</v>
      </c>
      <c r="D192" s="204"/>
      <c r="E192" s="204"/>
      <c r="F192" s="205" t="s">
        <v>6</v>
      </c>
      <c r="G192" s="206">
        <v>0.25</v>
      </c>
      <c r="H192" s="148">
        <v>2.0449999999999999</v>
      </c>
      <c r="I192" s="231"/>
      <c r="J192" s="222">
        <f>SUM(Таблица2[[#This Row],[1.n]:[12.n]])</f>
        <v>0</v>
      </c>
      <c r="K192" s="219">
        <f>'1.n2'!E191</f>
        <v>0</v>
      </c>
      <c r="L192" s="219">
        <f>'2.n2'!E191</f>
        <v>0</v>
      </c>
      <c r="M192" s="219">
        <f>'3.n2'!E191</f>
        <v>0</v>
      </c>
      <c r="N192" s="219">
        <f>'4.n2'!E191</f>
        <v>0</v>
      </c>
      <c r="O192" s="219">
        <f>'5.n3'!E191</f>
        <v>0</v>
      </c>
      <c r="P192" s="219">
        <f>'6.n3э'!E191</f>
        <v>0</v>
      </c>
      <c r="Q192" s="219">
        <f>'7.n2'!E191</f>
        <v>0</v>
      </c>
      <c r="R192" s="219">
        <f>'8.n2'!E191</f>
        <v>0</v>
      </c>
      <c r="S192" s="219">
        <f>'9.n2'!E191</f>
        <v>0</v>
      </c>
      <c r="T192" s="219">
        <f>'10.n3'!E191</f>
        <v>0</v>
      </c>
      <c r="U192" s="219"/>
      <c r="V192" s="219"/>
    </row>
    <row r="193" spans="1:22" hidden="1" x14ac:dyDescent="0.3">
      <c r="A193" s="145" t="s">
        <v>467</v>
      </c>
      <c r="B193" s="136"/>
      <c r="C193" s="203" t="s">
        <v>282</v>
      </c>
      <c r="D193" s="204"/>
      <c r="E193" s="204"/>
      <c r="F193" s="205" t="s">
        <v>6</v>
      </c>
      <c r="G193" s="206">
        <v>0.15</v>
      </c>
      <c r="H193" s="148">
        <v>1.2270000000000001</v>
      </c>
      <c r="I193" s="175"/>
      <c r="J193" s="222">
        <f>SUM(Таблица2[[#This Row],[1.n]:[12.n]])</f>
        <v>0</v>
      </c>
      <c r="K193" s="219">
        <f>'1.n2'!E192</f>
        <v>0</v>
      </c>
      <c r="L193" s="219">
        <f>'2.n2'!E192</f>
        <v>0</v>
      </c>
      <c r="M193" s="219">
        <f>'3.n2'!E192</f>
        <v>0</v>
      </c>
      <c r="N193" s="219">
        <f>'4.n2'!E192</f>
        <v>0</v>
      </c>
      <c r="O193" s="219">
        <f>'5.n3'!E192</f>
        <v>0</v>
      </c>
      <c r="P193" s="219">
        <f>'6.n3э'!E192</f>
        <v>0</v>
      </c>
      <c r="Q193" s="219">
        <f>'7.n2'!E192</f>
        <v>0</v>
      </c>
      <c r="R193" s="219">
        <f>'8.n2'!E192</f>
        <v>0</v>
      </c>
      <c r="S193" s="219">
        <f>'9.n2'!E192</f>
        <v>0</v>
      </c>
      <c r="T193" s="219">
        <f>'10.n3'!E192</f>
        <v>0</v>
      </c>
      <c r="U193" s="219"/>
      <c r="V193" s="219"/>
    </row>
    <row r="194" spans="1:22" ht="31.2" hidden="1" x14ac:dyDescent="0.3">
      <c r="A194" s="145" t="s">
        <v>468</v>
      </c>
      <c r="B194" s="136"/>
      <c r="C194" s="202" t="s">
        <v>437</v>
      </c>
      <c r="D194" s="204"/>
      <c r="E194" s="204" t="s">
        <v>275</v>
      </c>
      <c r="F194" s="205" t="s">
        <v>6</v>
      </c>
      <c r="G194" s="206">
        <v>1.2</v>
      </c>
      <c r="H194" s="148">
        <v>19.632000000000001</v>
      </c>
      <c r="I194" s="198">
        <f>H194-K194</f>
        <v>19.632000000000001</v>
      </c>
      <c r="J194" s="229">
        <f>SUM(Таблица2[[#This Row],[1.n]:[12.n]])</f>
        <v>0</v>
      </c>
      <c r="K194" s="219">
        <f>'1.n2'!E193</f>
        <v>0</v>
      </c>
      <c r="L194" s="219">
        <f>'2.n2'!E193</f>
        <v>0</v>
      </c>
      <c r="M194" s="219">
        <f>'3.n2'!E193</f>
        <v>0</v>
      </c>
      <c r="N194" s="219">
        <f>'4.n2'!E193</f>
        <v>0</v>
      </c>
      <c r="O194" s="219">
        <f>'5.n3'!E193</f>
        <v>0</v>
      </c>
      <c r="P194" s="219">
        <f>'6.n3э'!E193</f>
        <v>0</v>
      </c>
      <c r="Q194" s="219">
        <f>'7.n2'!E193</f>
        <v>0</v>
      </c>
      <c r="R194" s="219">
        <f>'8.n2'!E193</f>
        <v>0</v>
      </c>
      <c r="S194" s="219">
        <f>'9.n2'!E193</f>
        <v>0</v>
      </c>
      <c r="T194" s="219">
        <f>'10.n3'!E193</f>
        <v>0</v>
      </c>
      <c r="U194" s="219"/>
      <c r="V194" s="219"/>
    </row>
    <row r="195" spans="1:22" ht="31.2" hidden="1" x14ac:dyDescent="0.3">
      <c r="A195" s="145" t="s">
        <v>469</v>
      </c>
      <c r="B195" s="136"/>
      <c r="C195" s="202" t="s">
        <v>455</v>
      </c>
      <c r="D195" s="204"/>
      <c r="E195" s="204" t="s">
        <v>470</v>
      </c>
      <c r="F195" s="205" t="s">
        <v>123</v>
      </c>
      <c r="G195" s="206">
        <v>1.07</v>
      </c>
      <c r="H195" s="148">
        <v>8.7530000000000001</v>
      </c>
      <c r="I195" s="175"/>
      <c r="J195" s="222">
        <f>SUM(Таблица2[[#This Row],[1.n]:[12.n]])</f>
        <v>0</v>
      </c>
      <c r="K195" s="219">
        <f>'1.n2'!E194</f>
        <v>0</v>
      </c>
      <c r="L195" s="219">
        <f>'2.n2'!E194</f>
        <v>0</v>
      </c>
      <c r="M195" s="219">
        <f>'3.n2'!E194</f>
        <v>0</v>
      </c>
      <c r="N195" s="219">
        <f>'4.n2'!E194</f>
        <v>0</v>
      </c>
      <c r="O195" s="219">
        <f>'5.n3'!E194</f>
        <v>0</v>
      </c>
      <c r="P195" s="219">
        <f>'6.n3э'!E194</f>
        <v>0</v>
      </c>
      <c r="Q195" s="219">
        <f>'7.n2'!E194</f>
        <v>0</v>
      </c>
      <c r="R195" s="219">
        <f>'8.n2'!E194</f>
        <v>0</v>
      </c>
      <c r="S195" s="219">
        <f>'9.n2'!E194</f>
        <v>0</v>
      </c>
      <c r="T195" s="219">
        <f>'10.n3'!E194</f>
        <v>0</v>
      </c>
      <c r="U195" s="219"/>
      <c r="V195" s="219"/>
    </row>
    <row r="196" spans="1:22" ht="31.2" x14ac:dyDescent="0.3">
      <c r="A196" s="138" t="s">
        <v>471</v>
      </c>
      <c r="B196" s="129" t="s">
        <v>431</v>
      </c>
      <c r="C196" s="160" t="s">
        <v>432</v>
      </c>
      <c r="D196" s="161"/>
      <c r="E196" s="161" t="s">
        <v>472</v>
      </c>
      <c r="F196" s="161" t="s">
        <v>123</v>
      </c>
      <c r="G196" s="162">
        <v>1</v>
      </c>
      <c r="H196" s="147">
        <v>175.58</v>
      </c>
      <c r="I196" s="251">
        <f>Таблица2[[#This Row],[Общее кол-во]]-SUM(Таблица2[[#This Row],[1.n]:[12.n]])</f>
        <v>175.58</v>
      </c>
      <c r="J196" s="240">
        <f>SUM(Таблица2[[#This Row],[1.n]:[12.n]])</f>
        <v>0</v>
      </c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</row>
    <row r="197" spans="1:22" ht="31.2" hidden="1" x14ac:dyDescent="0.3">
      <c r="A197" s="145" t="s">
        <v>473</v>
      </c>
      <c r="B197" s="136"/>
      <c r="C197" s="202" t="s">
        <v>444</v>
      </c>
      <c r="D197" s="204"/>
      <c r="E197" s="204" t="s">
        <v>474</v>
      </c>
      <c r="F197" s="205" t="s">
        <v>123</v>
      </c>
      <c r="G197" s="206">
        <v>1.07</v>
      </c>
      <c r="H197" s="148">
        <v>187.87100000000001</v>
      </c>
      <c r="I197" s="231"/>
      <c r="J197" s="222">
        <f>SUM(Таблица2[[#This Row],[1.n]:[12.n]])</f>
        <v>0</v>
      </c>
      <c r="K197" s="219">
        <f>'1.n2'!E196</f>
        <v>0</v>
      </c>
      <c r="L197" s="219">
        <f>'2.n2'!E196</f>
        <v>0</v>
      </c>
      <c r="M197" s="219">
        <f>'3.n2'!E196</f>
        <v>0</v>
      </c>
      <c r="N197" s="219">
        <f>'4.n2'!E196</f>
        <v>0</v>
      </c>
      <c r="O197" s="219">
        <f>'5.n3'!E196</f>
        <v>0</v>
      </c>
      <c r="P197" s="219">
        <f>'6.n3э'!E196</f>
        <v>0</v>
      </c>
      <c r="Q197" s="219">
        <f>'7.n2'!E196</f>
        <v>0</v>
      </c>
      <c r="R197" s="219">
        <f>'8.n2'!E196</f>
        <v>0</v>
      </c>
      <c r="S197" s="219">
        <f>'9.n2'!E196</f>
        <v>0</v>
      </c>
      <c r="T197" s="219">
        <f>'10.n3'!E196</f>
        <v>0</v>
      </c>
      <c r="U197" s="219"/>
      <c r="V197" s="219"/>
    </row>
    <row r="198" spans="1:22" ht="31.2" hidden="1" x14ac:dyDescent="0.3">
      <c r="A198" s="145" t="s">
        <v>475</v>
      </c>
      <c r="B198" s="136"/>
      <c r="C198" s="202" t="s">
        <v>437</v>
      </c>
      <c r="D198" s="204"/>
      <c r="E198" s="204" t="s">
        <v>275</v>
      </c>
      <c r="F198" s="205" t="s">
        <v>6</v>
      </c>
      <c r="G198" s="206">
        <v>1.2</v>
      </c>
      <c r="H198" s="148">
        <v>421.392</v>
      </c>
      <c r="I198" s="175"/>
      <c r="J198" s="222">
        <f>SUM(Таблица2[[#This Row],[1.n]:[12.n]])</f>
        <v>0</v>
      </c>
      <c r="K198" s="219">
        <f>'1.n2'!E197</f>
        <v>0</v>
      </c>
      <c r="L198" s="219">
        <f>'2.n2'!E197</f>
        <v>0</v>
      </c>
      <c r="M198" s="219">
        <f>'3.n2'!E197</f>
        <v>0</v>
      </c>
      <c r="N198" s="219">
        <f>'4.n2'!E197</f>
        <v>0</v>
      </c>
      <c r="O198" s="219">
        <f>'5.n3'!E197</f>
        <v>0</v>
      </c>
      <c r="P198" s="219">
        <f>'6.n3э'!E197</f>
        <v>0</v>
      </c>
      <c r="Q198" s="219">
        <f>'7.n2'!E197</f>
        <v>0</v>
      </c>
      <c r="R198" s="219">
        <f>'8.n2'!E197</f>
        <v>0</v>
      </c>
      <c r="S198" s="219">
        <f>'9.n2'!E197</f>
        <v>0</v>
      </c>
      <c r="T198" s="219">
        <f>'10.n3'!E197</f>
        <v>0</v>
      </c>
      <c r="U198" s="219"/>
      <c r="V198" s="219"/>
    </row>
    <row r="199" spans="1:22" hidden="1" x14ac:dyDescent="0.3">
      <c r="A199" s="145" t="s">
        <v>476</v>
      </c>
      <c r="B199" s="136"/>
      <c r="C199" s="203" t="s">
        <v>280</v>
      </c>
      <c r="D199" s="204"/>
      <c r="E199" s="204"/>
      <c r="F199" s="205" t="s">
        <v>6</v>
      </c>
      <c r="G199" s="206">
        <v>0.25</v>
      </c>
      <c r="H199" s="150">
        <v>43.895000000000003</v>
      </c>
      <c r="I199" s="198">
        <f>H199-K199</f>
        <v>43.895000000000003</v>
      </c>
      <c r="J199" s="229">
        <f>SUM(Таблица2[[#This Row],[1.n]:[12.n]])</f>
        <v>0</v>
      </c>
      <c r="K199" s="219">
        <f>'1.n2'!E198</f>
        <v>0</v>
      </c>
      <c r="L199" s="219">
        <f>'2.n2'!E198</f>
        <v>0</v>
      </c>
      <c r="M199" s="219">
        <f>'3.n2'!E198</f>
        <v>0</v>
      </c>
      <c r="N199" s="219">
        <f>'4.n2'!E198</f>
        <v>0</v>
      </c>
      <c r="O199" s="219">
        <f>'5.n3'!E198</f>
        <v>0</v>
      </c>
      <c r="P199" s="219">
        <f>'6.n3э'!E198</f>
        <v>0</v>
      </c>
      <c r="Q199" s="219">
        <f>'7.n2'!E198</f>
        <v>0</v>
      </c>
      <c r="R199" s="219">
        <f>'8.n2'!E198</f>
        <v>0</v>
      </c>
      <c r="S199" s="219">
        <f>'9.n2'!E198</f>
        <v>0</v>
      </c>
      <c r="T199" s="219">
        <f>'10.n3'!E198</f>
        <v>0</v>
      </c>
      <c r="U199" s="219"/>
      <c r="V199" s="219"/>
    </row>
    <row r="200" spans="1:22" ht="31.2" x14ac:dyDescent="0.3">
      <c r="A200" s="138" t="s">
        <v>477</v>
      </c>
      <c r="B200" s="129" t="s">
        <v>431</v>
      </c>
      <c r="C200" s="160" t="s">
        <v>432</v>
      </c>
      <c r="D200" s="161"/>
      <c r="E200" s="161" t="s">
        <v>478</v>
      </c>
      <c r="F200" s="161" t="s">
        <v>123</v>
      </c>
      <c r="G200" s="162">
        <v>1</v>
      </c>
      <c r="H200" s="147">
        <v>400.4</v>
      </c>
      <c r="I200" s="251">
        <f>Таблица2[[#This Row],[Общее кол-во]]-SUM(Таблица2[[#This Row],[1.n]:[12.n]])</f>
        <v>400.4</v>
      </c>
      <c r="J200" s="240">
        <f>SUM(Таблица2[[#This Row],[1.n]:[12.n]])</f>
        <v>0</v>
      </c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</row>
    <row r="201" spans="1:22" hidden="1" x14ac:dyDescent="0.3">
      <c r="A201" s="145" t="s">
        <v>479</v>
      </c>
      <c r="B201" s="136"/>
      <c r="C201" s="203" t="s">
        <v>286</v>
      </c>
      <c r="D201" s="204"/>
      <c r="E201" s="204" t="s">
        <v>480</v>
      </c>
      <c r="F201" s="205" t="s">
        <v>6</v>
      </c>
      <c r="G201" s="206">
        <v>0.25</v>
      </c>
      <c r="H201" s="148">
        <v>100.1</v>
      </c>
      <c r="I201" s="231"/>
      <c r="J201" s="222">
        <f>SUM(Таблица2[[#This Row],[1.n]:[12.n]])</f>
        <v>0</v>
      </c>
      <c r="K201" s="219">
        <f>'1.n2'!E200</f>
        <v>0</v>
      </c>
      <c r="L201" s="219">
        <f>'2.n2'!E200</f>
        <v>0</v>
      </c>
      <c r="M201" s="219">
        <f>'3.n2'!E200</f>
        <v>0</v>
      </c>
      <c r="N201" s="219">
        <f>'4.n2'!E200</f>
        <v>0</v>
      </c>
      <c r="O201" s="219">
        <f>'5.n3'!E200</f>
        <v>0</v>
      </c>
      <c r="P201" s="219">
        <f>'6.n3э'!E200</f>
        <v>0</v>
      </c>
      <c r="Q201" s="219">
        <f>'7.n2'!E200</f>
        <v>0</v>
      </c>
      <c r="R201" s="219">
        <f>'8.n2'!E200</f>
        <v>0</v>
      </c>
      <c r="S201" s="219">
        <f>'9.n2'!E200</f>
        <v>0</v>
      </c>
      <c r="T201" s="219">
        <f>'10.n3'!E200</f>
        <v>0</v>
      </c>
      <c r="U201" s="219"/>
      <c r="V201" s="219"/>
    </row>
    <row r="202" spans="1:22" ht="31.2" hidden="1" x14ac:dyDescent="0.3">
      <c r="A202" s="145" t="s">
        <v>481</v>
      </c>
      <c r="B202" s="136"/>
      <c r="C202" s="202" t="s">
        <v>437</v>
      </c>
      <c r="D202" s="204"/>
      <c r="E202" s="204" t="s">
        <v>275</v>
      </c>
      <c r="F202" s="205" t="s">
        <v>6</v>
      </c>
      <c r="G202" s="206">
        <v>1.2</v>
      </c>
      <c r="H202" s="148">
        <v>960.96</v>
      </c>
      <c r="I202" s="175"/>
      <c r="J202" s="222">
        <f>SUM(Таблица2[[#This Row],[1.n]:[12.n]])</f>
        <v>0</v>
      </c>
      <c r="K202" s="219">
        <f>'1.n2'!E201</f>
        <v>0</v>
      </c>
      <c r="L202" s="219">
        <f>'2.n2'!E201</f>
        <v>0</v>
      </c>
      <c r="M202" s="219">
        <f>'3.n2'!E201</f>
        <v>0</v>
      </c>
      <c r="N202" s="219">
        <f>'4.n2'!E201</f>
        <v>0</v>
      </c>
      <c r="O202" s="219">
        <f>'5.n3'!E201</f>
        <v>0</v>
      </c>
      <c r="P202" s="219">
        <f>'6.n3э'!E201</f>
        <v>0</v>
      </c>
      <c r="Q202" s="219">
        <f>'7.n2'!E201</f>
        <v>0</v>
      </c>
      <c r="R202" s="219">
        <f>'8.n2'!E201</f>
        <v>0</v>
      </c>
      <c r="S202" s="219">
        <f>'9.n2'!E201</f>
        <v>0</v>
      </c>
      <c r="T202" s="219">
        <f>'10.n3'!E201</f>
        <v>0</v>
      </c>
      <c r="U202" s="219"/>
      <c r="V202" s="219"/>
    </row>
    <row r="203" spans="1:22" ht="31.2" hidden="1" x14ac:dyDescent="0.3">
      <c r="A203" s="145" t="s">
        <v>482</v>
      </c>
      <c r="B203" s="136"/>
      <c r="C203" s="203" t="s">
        <v>272</v>
      </c>
      <c r="D203" s="204"/>
      <c r="E203" s="204" t="s">
        <v>483</v>
      </c>
      <c r="F203" s="205" t="s">
        <v>7</v>
      </c>
      <c r="G203" s="206">
        <v>0.23</v>
      </c>
      <c r="H203" s="148">
        <v>13.444000000000001</v>
      </c>
      <c r="I203" s="175"/>
      <c r="J203" s="222">
        <f>SUM(Таблица2[[#This Row],[1.n]:[12.n]])</f>
        <v>0</v>
      </c>
      <c r="K203" s="219">
        <f>'1.n2'!E202</f>
        <v>0</v>
      </c>
      <c r="L203" s="219">
        <f>'2.n2'!E202</f>
        <v>0</v>
      </c>
      <c r="M203" s="219">
        <f>'3.n2'!E202</f>
        <v>0</v>
      </c>
      <c r="N203" s="219">
        <f>'4.n2'!E202</f>
        <v>0</v>
      </c>
      <c r="O203" s="219">
        <f>'5.n3'!E202</f>
        <v>0</v>
      </c>
      <c r="P203" s="219">
        <f>'6.n3э'!E202</f>
        <v>0</v>
      </c>
      <c r="Q203" s="219">
        <f>'7.n2'!E202</f>
        <v>0</v>
      </c>
      <c r="R203" s="219">
        <f>'8.n2'!E202</f>
        <v>0</v>
      </c>
      <c r="S203" s="219">
        <f>'9.n2'!E202</f>
        <v>0</v>
      </c>
      <c r="T203" s="219">
        <f>'10.n3'!E202</f>
        <v>0</v>
      </c>
      <c r="U203" s="219"/>
      <c r="V203" s="219"/>
    </row>
    <row r="204" spans="1:22" ht="31.2" hidden="1" x14ac:dyDescent="0.3">
      <c r="A204" s="145" t="s">
        <v>484</v>
      </c>
      <c r="B204" s="136"/>
      <c r="C204" s="202" t="s">
        <v>485</v>
      </c>
      <c r="D204" s="204"/>
      <c r="E204" s="204" t="s">
        <v>486</v>
      </c>
      <c r="F204" s="205" t="s">
        <v>7</v>
      </c>
      <c r="G204" s="206">
        <v>0.23</v>
      </c>
      <c r="H204" s="148">
        <v>12.537000000000001</v>
      </c>
      <c r="I204" s="198">
        <f>H204-K204</f>
        <v>12.537000000000001</v>
      </c>
      <c r="J204" s="229">
        <f>SUM(Таблица2[[#This Row],[1.n]:[12.n]])</f>
        <v>0</v>
      </c>
      <c r="K204" s="219">
        <f>'1.n2'!E203</f>
        <v>0</v>
      </c>
      <c r="L204" s="219">
        <f>'2.n2'!E203</f>
        <v>0</v>
      </c>
      <c r="M204" s="219">
        <f>'3.n2'!E203</f>
        <v>0</v>
      </c>
      <c r="N204" s="219">
        <f>'4.n2'!E203</f>
        <v>0</v>
      </c>
      <c r="O204" s="219">
        <f>'5.n3'!E203</f>
        <v>0</v>
      </c>
      <c r="P204" s="219">
        <f>'6.n3э'!E203</f>
        <v>0</v>
      </c>
      <c r="Q204" s="219">
        <f>'7.n2'!E203</f>
        <v>0</v>
      </c>
      <c r="R204" s="219">
        <f>'8.n2'!E203</f>
        <v>0</v>
      </c>
      <c r="S204" s="219">
        <f>'9.n2'!E203</f>
        <v>0</v>
      </c>
      <c r="T204" s="219">
        <f>'10.n3'!E203</f>
        <v>0</v>
      </c>
      <c r="U204" s="219"/>
      <c r="V204" s="219"/>
    </row>
    <row r="205" spans="1:22" ht="31.2" hidden="1" x14ac:dyDescent="0.3">
      <c r="A205" s="145" t="s">
        <v>487</v>
      </c>
      <c r="B205" s="136"/>
      <c r="C205" s="202" t="s">
        <v>444</v>
      </c>
      <c r="D205" s="204"/>
      <c r="E205" s="204" t="s">
        <v>488</v>
      </c>
      <c r="F205" s="205" t="s">
        <v>123</v>
      </c>
      <c r="G205" s="206">
        <v>1.07</v>
      </c>
      <c r="H205" s="148">
        <v>428.428</v>
      </c>
      <c r="I205" s="175"/>
      <c r="J205" s="222">
        <f>SUM(Таблица2[[#This Row],[1.n]:[12.n]])</f>
        <v>0</v>
      </c>
      <c r="K205" s="219">
        <f>'1.n2'!E204</f>
        <v>0</v>
      </c>
      <c r="L205" s="219">
        <f>'2.n2'!E204</f>
        <v>0</v>
      </c>
      <c r="M205" s="219">
        <f>'3.n2'!E204</f>
        <v>0</v>
      </c>
      <c r="N205" s="219">
        <f>'4.n2'!E204</f>
        <v>0</v>
      </c>
      <c r="O205" s="219">
        <f>'5.n3'!E204</f>
        <v>0</v>
      </c>
      <c r="P205" s="219">
        <f>'6.n3э'!E204</f>
        <v>0</v>
      </c>
      <c r="Q205" s="219">
        <f>'7.n2'!E204</f>
        <v>0</v>
      </c>
      <c r="R205" s="219">
        <f>'8.n2'!E204</f>
        <v>0</v>
      </c>
      <c r="S205" s="219">
        <f>'9.n2'!E204</f>
        <v>0</v>
      </c>
      <c r="T205" s="219">
        <f>'10.n3'!E204</f>
        <v>0</v>
      </c>
      <c r="U205" s="219"/>
      <c r="V205" s="219"/>
    </row>
    <row r="206" spans="1:22" ht="31.2" x14ac:dyDescent="0.3">
      <c r="A206" s="141" t="s">
        <v>539</v>
      </c>
      <c r="B206" s="132" t="s">
        <v>540</v>
      </c>
      <c r="C206" s="179" t="s">
        <v>541</v>
      </c>
      <c r="D206" s="128"/>
      <c r="E206" s="128" t="s">
        <v>542</v>
      </c>
      <c r="F206" s="128" t="s">
        <v>123</v>
      </c>
      <c r="G206" s="180">
        <v>1</v>
      </c>
      <c r="H206" s="147">
        <v>3.87</v>
      </c>
      <c r="I206" s="251">
        <f>Таблица2[[#This Row],[Общее кол-во]]-SUM(Таблица2[[#This Row],[1.n]:[12.n]])</f>
        <v>3.87</v>
      </c>
      <c r="J206" s="245">
        <f>SUM(Таблица2[[#This Row],[1.n]:[12.n]])</f>
        <v>0</v>
      </c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</row>
    <row r="207" spans="1:22" ht="31.2" hidden="1" x14ac:dyDescent="0.3">
      <c r="A207" s="145" t="s">
        <v>543</v>
      </c>
      <c r="B207" s="136"/>
      <c r="C207" s="203" t="s">
        <v>544</v>
      </c>
      <c r="D207" s="204"/>
      <c r="E207" s="204" t="s">
        <v>545</v>
      </c>
      <c r="F207" s="205" t="s">
        <v>123</v>
      </c>
      <c r="G207" s="206">
        <v>1.1000000000000001</v>
      </c>
      <c r="H207" s="148">
        <v>4.2569999999999997</v>
      </c>
      <c r="I207" s="231"/>
      <c r="J207" s="222">
        <f>SUM(Таблица2[[#This Row],[1.n]:[12.n]])</f>
        <v>0</v>
      </c>
      <c r="K207" s="219">
        <f>'1.n2'!E206</f>
        <v>0</v>
      </c>
      <c r="L207" s="219">
        <f>'2.n2'!E206</f>
        <v>0</v>
      </c>
      <c r="M207" s="219">
        <f>'3.n2'!E206</f>
        <v>0</v>
      </c>
      <c r="N207" s="219">
        <f>'4.n2'!E206</f>
        <v>0</v>
      </c>
      <c r="O207" s="219">
        <f>'5.n3'!E206</f>
        <v>0</v>
      </c>
      <c r="P207" s="219">
        <f>'6.n3э'!E206</f>
        <v>0</v>
      </c>
      <c r="Q207" s="219">
        <f>'7.n2'!E206</f>
        <v>0</v>
      </c>
      <c r="R207" s="219">
        <f>'8.n2'!E206</f>
        <v>0</v>
      </c>
      <c r="S207" s="219">
        <f>'9.n2'!E206</f>
        <v>0</v>
      </c>
      <c r="T207" s="219">
        <f>'10.n3'!E206</f>
        <v>0</v>
      </c>
      <c r="U207" s="219"/>
      <c r="V207" s="219"/>
    </row>
    <row r="208" spans="1:22" ht="31.2" hidden="1" x14ac:dyDescent="0.3">
      <c r="A208" s="145" t="s">
        <v>546</v>
      </c>
      <c r="B208" s="136"/>
      <c r="C208" s="202" t="s">
        <v>437</v>
      </c>
      <c r="D208" s="204"/>
      <c r="E208" s="204" t="s">
        <v>275</v>
      </c>
      <c r="F208" s="205" t="s">
        <v>6</v>
      </c>
      <c r="G208" s="206">
        <v>1.2</v>
      </c>
      <c r="H208" s="148">
        <v>9.2880000000000003</v>
      </c>
      <c r="I208" s="175"/>
      <c r="J208" s="222">
        <f>SUM(Таблица2[[#This Row],[1.n]:[12.n]])</f>
        <v>0</v>
      </c>
      <c r="K208" s="219">
        <f>'1.n2'!E207</f>
        <v>0</v>
      </c>
      <c r="L208" s="219">
        <f>'2.n2'!E207</f>
        <v>0</v>
      </c>
      <c r="M208" s="219">
        <f>'3.n2'!E207</f>
        <v>0</v>
      </c>
      <c r="N208" s="219">
        <f>'4.n2'!E207</f>
        <v>0</v>
      </c>
      <c r="O208" s="219">
        <f>'5.n3'!E207</f>
        <v>0</v>
      </c>
      <c r="P208" s="219">
        <f>'6.n3э'!E207</f>
        <v>0</v>
      </c>
      <c r="Q208" s="219">
        <f>'7.n2'!E207</f>
        <v>0</v>
      </c>
      <c r="R208" s="219">
        <f>'8.n2'!E207</f>
        <v>0</v>
      </c>
      <c r="S208" s="219">
        <f>'9.n2'!E207</f>
        <v>0</v>
      </c>
      <c r="T208" s="219">
        <f>'10.n3'!E207</f>
        <v>0</v>
      </c>
      <c r="U208" s="219"/>
      <c r="V208" s="219"/>
    </row>
    <row r="209" spans="1:22" hidden="1" x14ac:dyDescent="0.3">
      <c r="A209" s="145" t="s">
        <v>547</v>
      </c>
      <c r="B209" s="136"/>
      <c r="C209" s="203" t="s">
        <v>280</v>
      </c>
      <c r="D209" s="204"/>
      <c r="E209" s="204"/>
      <c r="F209" s="205" t="s">
        <v>6</v>
      </c>
      <c r="G209" s="206">
        <v>0.25</v>
      </c>
      <c r="H209" s="148">
        <v>0.96799999999999997</v>
      </c>
      <c r="I209" s="181"/>
      <c r="J209" s="223">
        <f>SUM(Таблица2[[#This Row],[1.n]:[12.n]])</f>
        <v>0</v>
      </c>
      <c r="K209" s="219">
        <f>'1.n2'!E208</f>
        <v>0</v>
      </c>
      <c r="L209" s="219">
        <f>'2.n2'!E208</f>
        <v>0</v>
      </c>
      <c r="M209" s="219">
        <f>'3.n2'!E208</f>
        <v>0</v>
      </c>
      <c r="N209" s="219">
        <f>'4.n2'!E208</f>
        <v>0</v>
      </c>
      <c r="O209" s="219">
        <f>'5.n3'!E208</f>
        <v>0</v>
      </c>
      <c r="P209" s="219">
        <f>'6.n3э'!E208</f>
        <v>0</v>
      </c>
      <c r="Q209" s="219">
        <f>'7.n2'!E208</f>
        <v>0</v>
      </c>
      <c r="R209" s="219">
        <f>'8.n2'!E208</f>
        <v>0</v>
      </c>
      <c r="S209" s="219">
        <f>'9.n2'!E208</f>
        <v>0</v>
      </c>
      <c r="T209" s="219">
        <f>'10.n3'!E208</f>
        <v>0</v>
      </c>
      <c r="U209" s="219"/>
      <c r="V209" s="219"/>
    </row>
    <row r="210" spans="1:22" hidden="1" x14ac:dyDescent="0.3">
      <c r="A210" s="145" t="s">
        <v>548</v>
      </c>
      <c r="B210" s="136"/>
      <c r="C210" s="203" t="s">
        <v>282</v>
      </c>
      <c r="D210" s="204"/>
      <c r="E210" s="204"/>
      <c r="F210" s="205" t="s">
        <v>6</v>
      </c>
      <c r="G210" s="206">
        <v>0.15</v>
      </c>
      <c r="H210" s="148">
        <v>0.58099999999999996</v>
      </c>
      <c r="I210" s="175"/>
      <c r="J210" s="222">
        <f>SUM(Таблица2[[#This Row],[1.n]:[12.n]])</f>
        <v>0</v>
      </c>
      <c r="K210" s="219">
        <f>'1.n2'!E209</f>
        <v>0</v>
      </c>
      <c r="L210" s="219">
        <f>'2.n2'!E209</f>
        <v>0</v>
      </c>
      <c r="M210" s="219">
        <f>'3.n2'!E209</f>
        <v>0</v>
      </c>
      <c r="N210" s="219">
        <f>'4.n2'!E209</f>
        <v>0</v>
      </c>
      <c r="O210" s="219">
        <f>'5.n3'!E209</f>
        <v>0</v>
      </c>
      <c r="P210" s="219">
        <f>'6.n3э'!E209</f>
        <v>0</v>
      </c>
      <c r="Q210" s="219">
        <f>'7.n2'!E209</f>
        <v>0</v>
      </c>
      <c r="R210" s="219">
        <f>'8.n2'!E209</f>
        <v>0</v>
      </c>
      <c r="S210" s="219">
        <f>'9.n2'!E209</f>
        <v>0</v>
      </c>
      <c r="T210" s="219">
        <f>'10.n3'!E209</f>
        <v>0</v>
      </c>
      <c r="U210" s="219"/>
      <c r="V210" s="219"/>
    </row>
    <row r="211" spans="1:22" ht="31.2" x14ac:dyDescent="0.3">
      <c r="A211" s="138" t="s">
        <v>489</v>
      </c>
      <c r="B211" s="129" t="s">
        <v>431</v>
      </c>
      <c r="C211" s="160" t="s">
        <v>432</v>
      </c>
      <c r="D211" s="161"/>
      <c r="E211" s="161" t="s">
        <v>490</v>
      </c>
      <c r="F211" s="161" t="s">
        <v>123</v>
      </c>
      <c r="G211" s="162">
        <v>1</v>
      </c>
      <c r="H211" s="147">
        <v>158.19</v>
      </c>
      <c r="I211" s="251">
        <f>Таблица2[[#This Row],[Общее кол-во]]-SUM(Таблица2[[#This Row],[1.n]:[12.n]])</f>
        <v>158.19</v>
      </c>
      <c r="J211" s="240">
        <f>SUM(Таблица2[[#This Row],[1.n]:[12.n]])</f>
        <v>0</v>
      </c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  <c r="V211" s="218"/>
    </row>
    <row r="212" spans="1:22" ht="46.8" hidden="1" x14ac:dyDescent="0.3">
      <c r="A212" s="145" t="s">
        <v>491</v>
      </c>
      <c r="B212" s="136"/>
      <c r="C212" s="202" t="s">
        <v>439</v>
      </c>
      <c r="D212" s="204"/>
      <c r="E212" s="204" t="s">
        <v>492</v>
      </c>
      <c r="F212" s="205" t="s">
        <v>123</v>
      </c>
      <c r="G212" s="206">
        <v>1.07</v>
      </c>
      <c r="H212" s="148">
        <v>169.26300000000001</v>
      </c>
      <c r="I212" s="231"/>
      <c r="J212" s="222">
        <f>SUM(Таблица2[[#This Row],[1.n]:[12.n]])</f>
        <v>0</v>
      </c>
      <c r="K212" s="219">
        <f>'1.n2'!E211</f>
        <v>0</v>
      </c>
      <c r="L212" s="219">
        <f>'2.n2'!E211</f>
        <v>0</v>
      </c>
      <c r="M212" s="219">
        <f>'3.n2'!E211</f>
        <v>0</v>
      </c>
      <c r="N212" s="219">
        <f>'4.n2'!E211</f>
        <v>0</v>
      </c>
      <c r="O212" s="219">
        <f>'5.n3'!E211</f>
        <v>0</v>
      </c>
      <c r="P212" s="219">
        <f>'6.n3э'!E211</f>
        <v>0</v>
      </c>
      <c r="Q212" s="219">
        <f>'7.n2'!E211</f>
        <v>0</v>
      </c>
      <c r="R212" s="219">
        <f>'8.n2'!E211</f>
        <v>0</v>
      </c>
      <c r="S212" s="219">
        <f>'9.n2'!E211</f>
        <v>0</v>
      </c>
      <c r="T212" s="219">
        <f>'10.n3'!E211</f>
        <v>0</v>
      </c>
      <c r="U212" s="219"/>
      <c r="V212" s="219"/>
    </row>
    <row r="213" spans="1:22" ht="46.8" hidden="1" x14ac:dyDescent="0.3">
      <c r="A213" s="145" t="s">
        <v>493</v>
      </c>
      <c r="B213" s="136"/>
      <c r="C213" s="202" t="s">
        <v>485</v>
      </c>
      <c r="D213" s="204"/>
      <c r="E213" s="204" t="s">
        <v>494</v>
      </c>
      <c r="F213" s="205" t="s">
        <v>7</v>
      </c>
      <c r="G213" s="206">
        <v>0.23</v>
      </c>
      <c r="H213" s="148">
        <v>7.9489999999999998</v>
      </c>
      <c r="I213" s="175"/>
      <c r="J213" s="222">
        <f>SUM(Таблица2[[#This Row],[1.n]:[12.n]])</f>
        <v>0</v>
      </c>
      <c r="K213" s="219">
        <f>'1.n2'!E212</f>
        <v>0</v>
      </c>
      <c r="L213" s="219">
        <f>'2.n2'!E212</f>
        <v>0</v>
      </c>
      <c r="M213" s="219">
        <f>'3.n2'!E212</f>
        <v>0</v>
      </c>
      <c r="N213" s="219">
        <f>'4.n2'!E212</f>
        <v>0</v>
      </c>
      <c r="O213" s="219">
        <f>'5.n3'!E212</f>
        <v>0</v>
      </c>
      <c r="P213" s="219">
        <f>'6.n3э'!E212</f>
        <v>0</v>
      </c>
      <c r="Q213" s="219">
        <f>'7.n2'!E212</f>
        <v>0</v>
      </c>
      <c r="R213" s="219">
        <f>'8.n2'!E212</f>
        <v>0</v>
      </c>
      <c r="S213" s="219">
        <f>'9.n2'!E212</f>
        <v>0</v>
      </c>
      <c r="T213" s="219">
        <f>'10.n3'!E212</f>
        <v>0</v>
      </c>
      <c r="U213" s="219"/>
      <c r="V213" s="219"/>
    </row>
    <row r="214" spans="1:22" ht="31.2" hidden="1" x14ac:dyDescent="0.3">
      <c r="A214" s="145" t="s">
        <v>495</v>
      </c>
      <c r="B214" s="136"/>
      <c r="C214" s="202" t="s">
        <v>437</v>
      </c>
      <c r="D214" s="204"/>
      <c r="E214" s="204" t="s">
        <v>275</v>
      </c>
      <c r="F214" s="205" t="s">
        <v>6</v>
      </c>
      <c r="G214" s="206">
        <v>1.2</v>
      </c>
      <c r="H214" s="148">
        <v>379.65600000000001</v>
      </c>
      <c r="I214" s="198">
        <f>H214-K214</f>
        <v>379.65600000000001</v>
      </c>
      <c r="J214" s="229">
        <f>SUM(Таблица2[[#This Row],[1.n]:[12.n]])</f>
        <v>0</v>
      </c>
      <c r="K214" s="219">
        <f>'1.n2'!E213</f>
        <v>0</v>
      </c>
      <c r="L214" s="219">
        <f>'2.n2'!E213</f>
        <v>0</v>
      </c>
      <c r="M214" s="219">
        <f>'3.n2'!E213</f>
        <v>0</v>
      </c>
      <c r="N214" s="219">
        <f>'4.n2'!E213</f>
        <v>0</v>
      </c>
      <c r="O214" s="219">
        <f>'5.n3'!E213</f>
        <v>0</v>
      </c>
      <c r="P214" s="219">
        <f>'6.n3э'!E213</f>
        <v>0</v>
      </c>
      <c r="Q214" s="219">
        <f>'7.n2'!E213</f>
        <v>0</v>
      </c>
      <c r="R214" s="219">
        <f>'8.n2'!E213</f>
        <v>0</v>
      </c>
      <c r="S214" s="219">
        <f>'9.n2'!E213</f>
        <v>0</v>
      </c>
      <c r="T214" s="219">
        <f>'10.n3'!E213</f>
        <v>0</v>
      </c>
      <c r="U214" s="219"/>
      <c r="V214" s="219"/>
    </row>
    <row r="215" spans="1:22" hidden="1" x14ac:dyDescent="0.3">
      <c r="A215" s="145" t="s">
        <v>496</v>
      </c>
      <c r="B215" s="136"/>
      <c r="C215" s="203" t="s">
        <v>282</v>
      </c>
      <c r="D215" s="204"/>
      <c r="E215" s="204"/>
      <c r="F215" s="205" t="s">
        <v>6</v>
      </c>
      <c r="G215" s="206">
        <v>0.15</v>
      </c>
      <c r="H215" s="148">
        <v>23.728999999999999</v>
      </c>
      <c r="I215" s="175"/>
      <c r="J215" s="222">
        <f>SUM(Таблица2[[#This Row],[1.n]:[12.n]])</f>
        <v>0</v>
      </c>
      <c r="K215" s="219">
        <f>'1.n2'!E214</f>
        <v>0</v>
      </c>
      <c r="L215" s="219">
        <f>'2.n2'!E214</f>
        <v>0</v>
      </c>
      <c r="M215" s="219">
        <f>'3.n2'!E214</f>
        <v>0</v>
      </c>
      <c r="N215" s="219">
        <f>'4.n2'!E214</f>
        <v>0</v>
      </c>
      <c r="O215" s="219">
        <f>'5.n3'!E214</f>
        <v>0</v>
      </c>
      <c r="P215" s="219">
        <f>'6.n3э'!E214</f>
        <v>0</v>
      </c>
      <c r="Q215" s="219">
        <f>'7.n2'!E214</f>
        <v>0</v>
      </c>
      <c r="R215" s="219">
        <f>'8.n2'!E214</f>
        <v>0</v>
      </c>
      <c r="S215" s="219">
        <f>'9.n2'!E214</f>
        <v>0</v>
      </c>
      <c r="T215" s="219">
        <f>'10.n3'!E214</f>
        <v>0</v>
      </c>
      <c r="U215" s="219"/>
      <c r="V215" s="219"/>
    </row>
    <row r="216" spans="1:22" hidden="1" x14ac:dyDescent="0.3">
      <c r="A216" s="145" t="s">
        <v>497</v>
      </c>
      <c r="B216" s="136"/>
      <c r="C216" s="203" t="s">
        <v>280</v>
      </c>
      <c r="D216" s="204"/>
      <c r="E216" s="204"/>
      <c r="F216" s="205" t="s">
        <v>6</v>
      </c>
      <c r="G216" s="206">
        <v>0.25</v>
      </c>
      <c r="H216" s="148">
        <v>39.548000000000002</v>
      </c>
      <c r="I216" s="175"/>
      <c r="J216" s="222">
        <f>SUM(Таблица2[[#This Row],[1.n]:[12.n]])</f>
        <v>0</v>
      </c>
      <c r="K216" s="219">
        <f>'1.n2'!E215</f>
        <v>0</v>
      </c>
      <c r="L216" s="219">
        <f>'2.n2'!E215</f>
        <v>0</v>
      </c>
      <c r="M216" s="219">
        <f>'3.n2'!E215</f>
        <v>0</v>
      </c>
      <c r="N216" s="219">
        <f>'4.n2'!E215</f>
        <v>0</v>
      </c>
      <c r="O216" s="219">
        <f>'5.n3'!E215</f>
        <v>0</v>
      </c>
      <c r="P216" s="219">
        <f>'6.n3э'!E215</f>
        <v>0</v>
      </c>
      <c r="Q216" s="219">
        <f>'7.n2'!E215</f>
        <v>0</v>
      </c>
      <c r="R216" s="219">
        <f>'8.n2'!E215</f>
        <v>0</v>
      </c>
      <c r="S216" s="219">
        <f>'9.n2'!E215</f>
        <v>0</v>
      </c>
      <c r="T216" s="219">
        <f>'10.n3'!E215</f>
        <v>0</v>
      </c>
      <c r="U216" s="219"/>
      <c r="V216" s="219"/>
    </row>
    <row r="217" spans="1:22" ht="31.2" x14ac:dyDescent="0.3">
      <c r="A217" s="138" t="s">
        <v>498</v>
      </c>
      <c r="B217" s="129" t="s">
        <v>431</v>
      </c>
      <c r="C217" s="160" t="s">
        <v>432</v>
      </c>
      <c r="D217" s="161"/>
      <c r="E217" s="161" t="s">
        <v>499</v>
      </c>
      <c r="F217" s="161" t="s">
        <v>123</v>
      </c>
      <c r="G217" s="162">
        <v>1</v>
      </c>
      <c r="H217" s="147">
        <v>15.27</v>
      </c>
      <c r="I217" s="251">
        <f>Таблица2[[#This Row],[Общее кол-во]]-SUM(Таблица2[[#This Row],[1.n]:[12.n]])</f>
        <v>15.27</v>
      </c>
      <c r="J217" s="240">
        <f>SUM(Таблица2[[#This Row],[1.n]:[12.n]])</f>
        <v>0</v>
      </c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  <c r="V217" s="218"/>
    </row>
    <row r="218" spans="1:22" hidden="1" x14ac:dyDescent="0.3">
      <c r="A218" s="145" t="s">
        <v>500</v>
      </c>
      <c r="B218" s="136"/>
      <c r="C218" s="203" t="s">
        <v>280</v>
      </c>
      <c r="D218" s="204"/>
      <c r="E218" s="204"/>
      <c r="F218" s="205" t="s">
        <v>6</v>
      </c>
      <c r="G218" s="206">
        <v>0.25</v>
      </c>
      <c r="H218" s="148">
        <v>3.8180000000000001</v>
      </c>
      <c r="I218" s="231"/>
      <c r="J218" s="222">
        <f>SUM(Таблица2[[#This Row],[1.n]:[12.n]])</f>
        <v>0</v>
      </c>
      <c r="K218" s="219">
        <f>'1.n2'!E217</f>
        <v>0</v>
      </c>
      <c r="L218" s="219">
        <f>'2.n2'!E217</f>
        <v>0</v>
      </c>
      <c r="M218" s="219">
        <f>'3.n2'!E217</f>
        <v>0</v>
      </c>
      <c r="N218" s="219">
        <f>'4.n2'!E217</f>
        <v>0</v>
      </c>
      <c r="O218" s="219">
        <f>'5.n3'!E217</f>
        <v>0</v>
      </c>
      <c r="P218" s="219">
        <f>'6.n3э'!E217</f>
        <v>0</v>
      </c>
      <c r="Q218" s="219">
        <f>'7.n2'!E217</f>
        <v>0</v>
      </c>
      <c r="R218" s="219">
        <f>'8.n2'!E217</f>
        <v>0</v>
      </c>
      <c r="S218" s="219">
        <f>'9.n2'!E217</f>
        <v>0</v>
      </c>
      <c r="T218" s="219">
        <f>'10.n3'!E217</f>
        <v>0</v>
      </c>
      <c r="U218" s="219"/>
      <c r="V218" s="219"/>
    </row>
    <row r="219" spans="1:22" hidden="1" x14ac:dyDescent="0.3">
      <c r="A219" s="145" t="s">
        <v>501</v>
      </c>
      <c r="B219" s="136"/>
      <c r="C219" s="203" t="s">
        <v>282</v>
      </c>
      <c r="D219" s="204"/>
      <c r="E219" s="204"/>
      <c r="F219" s="205" t="s">
        <v>6</v>
      </c>
      <c r="G219" s="206">
        <v>0.15</v>
      </c>
      <c r="H219" s="148">
        <v>2.2909999999999999</v>
      </c>
      <c r="I219" s="198">
        <f>H219-K219</f>
        <v>2.2909999999999999</v>
      </c>
      <c r="J219" s="229">
        <f>SUM(Таблица2[[#This Row],[1.n]:[12.n]])</f>
        <v>0</v>
      </c>
      <c r="K219" s="219">
        <f>'1.n2'!E218</f>
        <v>0</v>
      </c>
      <c r="L219" s="219">
        <f>'2.n2'!E218</f>
        <v>0</v>
      </c>
      <c r="M219" s="219">
        <f>'3.n2'!E218</f>
        <v>0</v>
      </c>
      <c r="N219" s="219">
        <f>'4.n2'!E218</f>
        <v>0</v>
      </c>
      <c r="O219" s="219">
        <f>'5.n3'!E218</f>
        <v>0</v>
      </c>
      <c r="P219" s="219">
        <f>'6.n3э'!E218</f>
        <v>0</v>
      </c>
      <c r="Q219" s="219">
        <f>'7.n2'!E218</f>
        <v>0</v>
      </c>
      <c r="R219" s="219">
        <f>'8.n2'!E218</f>
        <v>0</v>
      </c>
      <c r="S219" s="219">
        <f>'9.n2'!E218</f>
        <v>0</v>
      </c>
      <c r="T219" s="219">
        <f>'10.n3'!E218</f>
        <v>0</v>
      </c>
      <c r="U219" s="219"/>
      <c r="V219" s="219"/>
    </row>
    <row r="220" spans="1:22" ht="31.2" hidden="1" x14ac:dyDescent="0.3">
      <c r="A220" s="145" t="s">
        <v>502</v>
      </c>
      <c r="B220" s="136"/>
      <c r="C220" s="202" t="s">
        <v>437</v>
      </c>
      <c r="D220" s="204"/>
      <c r="E220" s="204" t="s">
        <v>275</v>
      </c>
      <c r="F220" s="205" t="s">
        <v>6</v>
      </c>
      <c r="G220" s="206">
        <v>1.2</v>
      </c>
      <c r="H220" s="148">
        <v>36.648000000000003</v>
      </c>
      <c r="I220" s="175"/>
      <c r="J220" s="222">
        <f>SUM(Таблица2[[#This Row],[1.n]:[12.n]])</f>
        <v>0</v>
      </c>
      <c r="K220" s="219">
        <f>'1.n2'!E219</f>
        <v>0</v>
      </c>
      <c r="L220" s="219">
        <f>'2.n2'!E219</f>
        <v>0</v>
      </c>
      <c r="M220" s="219">
        <f>'3.n2'!E219</f>
        <v>0</v>
      </c>
      <c r="N220" s="219">
        <f>'4.n2'!E219</f>
        <v>0</v>
      </c>
      <c r="O220" s="219">
        <f>'5.n3'!E219</f>
        <v>0</v>
      </c>
      <c r="P220" s="219">
        <f>'6.n3э'!E219</f>
        <v>0</v>
      </c>
      <c r="Q220" s="219">
        <f>'7.n2'!E219</f>
        <v>0</v>
      </c>
      <c r="R220" s="219">
        <f>'8.n2'!E219</f>
        <v>0</v>
      </c>
      <c r="S220" s="219">
        <f>'9.n2'!E219</f>
        <v>0</v>
      </c>
      <c r="T220" s="219">
        <f>'10.n3'!E219</f>
        <v>0</v>
      </c>
      <c r="U220" s="219"/>
      <c r="V220" s="219"/>
    </row>
    <row r="221" spans="1:22" ht="31.2" hidden="1" x14ac:dyDescent="0.3">
      <c r="A221" s="145" t="s">
        <v>503</v>
      </c>
      <c r="B221" s="136"/>
      <c r="C221" s="202" t="s">
        <v>444</v>
      </c>
      <c r="D221" s="204"/>
      <c r="E221" s="204" t="s">
        <v>445</v>
      </c>
      <c r="F221" s="205" t="s">
        <v>123</v>
      </c>
      <c r="G221" s="206">
        <v>1.07</v>
      </c>
      <c r="H221" s="148">
        <v>16.338999999999999</v>
      </c>
      <c r="I221" s="175"/>
      <c r="J221" s="222">
        <f>SUM(Таблица2[[#This Row],[1.n]:[12.n]])</f>
        <v>0</v>
      </c>
      <c r="K221" s="219">
        <f>'1.n2'!E220</f>
        <v>0</v>
      </c>
      <c r="L221" s="219">
        <f>'2.n2'!E220</f>
        <v>0</v>
      </c>
      <c r="M221" s="219">
        <f>'3.n2'!E220</f>
        <v>0</v>
      </c>
      <c r="N221" s="219">
        <f>'4.n2'!E220</f>
        <v>0</v>
      </c>
      <c r="O221" s="219">
        <f>'5.n3'!E220</f>
        <v>0</v>
      </c>
      <c r="P221" s="219">
        <f>'6.n3э'!E220</f>
        <v>0</v>
      </c>
      <c r="Q221" s="219">
        <f>'7.n2'!E220</f>
        <v>0</v>
      </c>
      <c r="R221" s="219">
        <f>'8.n2'!E220</f>
        <v>0</v>
      </c>
      <c r="S221" s="219">
        <f>'9.n2'!E220</f>
        <v>0</v>
      </c>
      <c r="T221" s="219">
        <f>'10.n3'!E220</f>
        <v>0</v>
      </c>
      <c r="U221" s="219"/>
      <c r="V221" s="219"/>
    </row>
    <row r="222" spans="1:22" ht="31.2" x14ac:dyDescent="0.3">
      <c r="A222" s="141" t="s">
        <v>504</v>
      </c>
      <c r="B222" s="132" t="s">
        <v>431</v>
      </c>
      <c r="C222" s="179" t="s">
        <v>432</v>
      </c>
      <c r="D222" s="128"/>
      <c r="E222" s="128" t="s">
        <v>505</v>
      </c>
      <c r="F222" s="128" t="s">
        <v>123</v>
      </c>
      <c r="G222" s="180">
        <v>1</v>
      </c>
      <c r="H222" s="147">
        <v>35.9</v>
      </c>
      <c r="I222" s="251">
        <f>Таблица2[[#This Row],[Общее кол-во]]-SUM(Таблица2[[#This Row],[1.n]:[12.n]])</f>
        <v>35.9</v>
      </c>
      <c r="J222" s="240">
        <f>SUM(Таблица2[[#This Row],[1.n]:[12.n]])</f>
        <v>0</v>
      </c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</row>
    <row r="223" spans="1:22" ht="31.2" hidden="1" x14ac:dyDescent="0.3">
      <c r="A223" s="145" t="s">
        <v>506</v>
      </c>
      <c r="B223" s="136"/>
      <c r="C223" s="202" t="s">
        <v>455</v>
      </c>
      <c r="D223" s="204"/>
      <c r="E223" s="204" t="s">
        <v>456</v>
      </c>
      <c r="F223" s="205" t="s">
        <v>123</v>
      </c>
      <c r="G223" s="206">
        <v>1.07</v>
      </c>
      <c r="H223" s="148">
        <v>38.412999999999997</v>
      </c>
      <c r="I223" s="235">
        <f>H223-K223</f>
        <v>38.412999999999997</v>
      </c>
      <c r="J223" s="229">
        <f>SUM(Таблица2[[#This Row],[1.n]:[12.n]])</f>
        <v>0</v>
      </c>
      <c r="K223" s="219">
        <f>'1.n2'!E222</f>
        <v>0</v>
      </c>
      <c r="L223" s="219">
        <f>'2.n2'!E222</f>
        <v>0</v>
      </c>
      <c r="M223" s="219">
        <f>'3.n2'!E222</f>
        <v>0</v>
      </c>
      <c r="N223" s="219">
        <f>'4.n2'!E222</f>
        <v>0</v>
      </c>
      <c r="O223" s="219">
        <f>'5.n3'!E222</f>
        <v>0</v>
      </c>
      <c r="P223" s="219">
        <f>'6.n3э'!E222</f>
        <v>0</v>
      </c>
      <c r="Q223" s="219">
        <f>'7.n2'!E222</f>
        <v>0</v>
      </c>
      <c r="R223" s="219">
        <f>'8.n2'!E222</f>
        <v>0</v>
      </c>
      <c r="S223" s="219">
        <f>'9.n2'!E222</f>
        <v>0</v>
      </c>
      <c r="T223" s="219">
        <f>'10.n3'!E222</f>
        <v>0</v>
      </c>
      <c r="U223" s="219"/>
      <c r="V223" s="219"/>
    </row>
    <row r="224" spans="1:22" ht="31.2" hidden="1" x14ac:dyDescent="0.3">
      <c r="A224" s="145" t="s">
        <v>507</v>
      </c>
      <c r="B224" s="136"/>
      <c r="C224" s="202" t="s">
        <v>437</v>
      </c>
      <c r="D224" s="204"/>
      <c r="E224" s="204" t="s">
        <v>275</v>
      </c>
      <c r="F224" s="205" t="s">
        <v>6</v>
      </c>
      <c r="G224" s="206">
        <v>1.2</v>
      </c>
      <c r="H224" s="148">
        <v>86.16</v>
      </c>
      <c r="I224" s="175"/>
      <c r="J224" s="222">
        <f>SUM(Таблица2[[#This Row],[1.n]:[12.n]])</f>
        <v>0</v>
      </c>
      <c r="K224" s="219">
        <f>'1.n2'!E223</f>
        <v>0</v>
      </c>
      <c r="L224" s="219">
        <f>'2.n2'!E223</f>
        <v>0</v>
      </c>
      <c r="M224" s="219">
        <f>'3.n2'!E223</f>
        <v>0</v>
      </c>
      <c r="N224" s="219">
        <f>'4.n2'!E223</f>
        <v>0</v>
      </c>
      <c r="O224" s="219">
        <f>'5.n3'!E223</f>
        <v>0</v>
      </c>
      <c r="P224" s="219">
        <f>'6.n3э'!E223</f>
        <v>0</v>
      </c>
      <c r="Q224" s="219">
        <f>'7.n2'!E223</f>
        <v>0</v>
      </c>
      <c r="R224" s="219">
        <f>'8.n2'!E223</f>
        <v>0</v>
      </c>
      <c r="S224" s="219">
        <f>'9.n2'!E223</f>
        <v>0</v>
      </c>
      <c r="T224" s="219">
        <f>'10.n3'!E223</f>
        <v>0</v>
      </c>
      <c r="U224" s="219"/>
      <c r="V224" s="219"/>
    </row>
    <row r="225" spans="1:22" hidden="1" x14ac:dyDescent="0.3">
      <c r="A225" s="145" t="s">
        <v>508</v>
      </c>
      <c r="B225" s="136"/>
      <c r="C225" s="203" t="s">
        <v>282</v>
      </c>
      <c r="D225" s="204"/>
      <c r="E225" s="204"/>
      <c r="F225" s="205" t="s">
        <v>6</v>
      </c>
      <c r="G225" s="206">
        <v>0.15</v>
      </c>
      <c r="H225" s="148">
        <v>5.3849999999999998</v>
      </c>
      <c r="I225" s="175"/>
      <c r="J225" s="222">
        <f>SUM(Таблица2[[#This Row],[1.n]:[12.n]])</f>
        <v>0</v>
      </c>
      <c r="K225" s="219">
        <f>'1.n2'!E224</f>
        <v>0</v>
      </c>
      <c r="L225" s="219">
        <f>'2.n2'!E224</f>
        <v>0</v>
      </c>
      <c r="M225" s="219">
        <f>'3.n2'!E224</f>
        <v>0</v>
      </c>
      <c r="N225" s="219">
        <f>'4.n2'!E224</f>
        <v>0</v>
      </c>
      <c r="O225" s="219">
        <f>'5.n3'!E224</f>
        <v>0</v>
      </c>
      <c r="P225" s="219">
        <f>'6.n3э'!E224</f>
        <v>0</v>
      </c>
      <c r="Q225" s="219">
        <f>'7.n2'!E224</f>
        <v>0</v>
      </c>
      <c r="R225" s="219">
        <f>'8.n2'!E224</f>
        <v>0</v>
      </c>
      <c r="S225" s="219">
        <f>'9.n2'!E224</f>
        <v>0</v>
      </c>
      <c r="T225" s="219">
        <f>'10.n3'!E224</f>
        <v>0</v>
      </c>
      <c r="U225" s="219"/>
      <c r="V225" s="219"/>
    </row>
    <row r="226" spans="1:22" hidden="1" x14ac:dyDescent="0.3">
      <c r="A226" s="145" t="s">
        <v>509</v>
      </c>
      <c r="B226" s="136"/>
      <c r="C226" s="203" t="s">
        <v>280</v>
      </c>
      <c r="D226" s="204"/>
      <c r="E226" s="204"/>
      <c r="F226" s="205" t="s">
        <v>6</v>
      </c>
      <c r="G226" s="206">
        <v>0.25</v>
      </c>
      <c r="H226" s="148">
        <v>8.9749999999999996</v>
      </c>
      <c r="I226" s="175"/>
      <c r="J226" s="222">
        <f>SUM(Таблица2[[#This Row],[1.n]:[12.n]])</f>
        <v>0</v>
      </c>
      <c r="K226" s="219">
        <f>'1.n2'!E225</f>
        <v>0</v>
      </c>
      <c r="L226" s="219">
        <f>'2.n2'!E225</f>
        <v>0</v>
      </c>
      <c r="M226" s="219">
        <f>'3.n2'!E225</f>
        <v>0</v>
      </c>
      <c r="N226" s="219">
        <f>'4.n2'!E225</f>
        <v>0</v>
      </c>
      <c r="O226" s="219">
        <f>'5.n3'!E225</f>
        <v>0</v>
      </c>
      <c r="P226" s="219">
        <f>'6.n3э'!E225</f>
        <v>0</v>
      </c>
      <c r="Q226" s="219">
        <f>'7.n2'!E225</f>
        <v>0</v>
      </c>
      <c r="R226" s="219">
        <f>'8.n2'!E225</f>
        <v>0</v>
      </c>
      <c r="S226" s="219">
        <f>'9.n2'!E225</f>
        <v>0</v>
      </c>
      <c r="T226" s="219">
        <f>'10.n3'!E225</f>
        <v>0</v>
      </c>
      <c r="U226" s="219"/>
      <c r="V226" s="219"/>
    </row>
    <row r="227" spans="1:22" ht="31.2" x14ac:dyDescent="0.3">
      <c r="A227" s="138" t="s">
        <v>510</v>
      </c>
      <c r="B227" s="129" t="s">
        <v>431</v>
      </c>
      <c r="C227" s="160" t="s">
        <v>432</v>
      </c>
      <c r="D227" s="161"/>
      <c r="E227" s="161" t="s">
        <v>511</v>
      </c>
      <c r="F227" s="161" t="s">
        <v>123</v>
      </c>
      <c r="G227" s="162">
        <v>1</v>
      </c>
      <c r="H227" s="147">
        <v>5.75</v>
      </c>
      <c r="I227" s="251">
        <f>Таблица2[[#This Row],[Общее кол-во]]-SUM(Таблица2[[#This Row],[1.n]:[12.n]])</f>
        <v>5.75</v>
      </c>
      <c r="J227" s="246">
        <f>SUM(Таблица2[[#This Row],[1.n]:[12.n]])</f>
        <v>0</v>
      </c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</row>
    <row r="228" spans="1:22" hidden="1" x14ac:dyDescent="0.3">
      <c r="A228" s="145" t="s">
        <v>512</v>
      </c>
      <c r="B228" s="136"/>
      <c r="C228" s="203" t="s">
        <v>280</v>
      </c>
      <c r="D228" s="204"/>
      <c r="E228" s="204"/>
      <c r="F228" s="205" t="s">
        <v>6</v>
      </c>
      <c r="G228" s="206">
        <v>0.25</v>
      </c>
      <c r="H228" s="148">
        <v>1.4379999999999999</v>
      </c>
      <c r="I228" s="231"/>
      <c r="J228" s="222">
        <f>SUM(Таблица2[[#This Row],[1.n]:[12.n]])</f>
        <v>0</v>
      </c>
      <c r="K228" s="219">
        <f>'1.n2'!E227</f>
        <v>0</v>
      </c>
      <c r="L228" s="219">
        <f>'2.n2'!E227</f>
        <v>0</v>
      </c>
      <c r="M228" s="219">
        <f>'3.n2'!E227</f>
        <v>0</v>
      </c>
      <c r="N228" s="219">
        <f>'4.n2'!E227</f>
        <v>0</v>
      </c>
      <c r="O228" s="219">
        <f>'5.n3'!E227</f>
        <v>0</v>
      </c>
      <c r="P228" s="219">
        <f>'6.n3э'!E227</f>
        <v>0</v>
      </c>
      <c r="Q228" s="219">
        <f>'7.n2'!E227</f>
        <v>0</v>
      </c>
      <c r="R228" s="219">
        <f>'8.n2'!E227</f>
        <v>0</v>
      </c>
      <c r="S228" s="219">
        <f>'9.n2'!E227</f>
        <v>0</v>
      </c>
      <c r="T228" s="219">
        <f>'10.n3'!E227</f>
        <v>0</v>
      </c>
      <c r="U228" s="219"/>
      <c r="V228" s="219"/>
    </row>
    <row r="229" spans="1:22" hidden="1" x14ac:dyDescent="0.3">
      <c r="A229" s="145" t="s">
        <v>513</v>
      </c>
      <c r="B229" s="136"/>
      <c r="C229" s="203" t="s">
        <v>282</v>
      </c>
      <c r="D229" s="204"/>
      <c r="E229" s="204"/>
      <c r="F229" s="205" t="s">
        <v>6</v>
      </c>
      <c r="G229" s="206">
        <v>0.15</v>
      </c>
      <c r="H229" s="148">
        <v>0.86299999999999999</v>
      </c>
      <c r="I229" s="175"/>
      <c r="J229" s="222">
        <f>SUM(Таблица2[[#This Row],[1.n]:[12.n]])</f>
        <v>0</v>
      </c>
      <c r="K229" s="219">
        <f>'1.n2'!E228</f>
        <v>0</v>
      </c>
      <c r="L229" s="219">
        <f>'2.n2'!E228</f>
        <v>0</v>
      </c>
      <c r="M229" s="219">
        <f>'3.n2'!E228</f>
        <v>0</v>
      </c>
      <c r="N229" s="219">
        <f>'4.n2'!E228</f>
        <v>0</v>
      </c>
      <c r="O229" s="219">
        <f>'5.n3'!E228</f>
        <v>0</v>
      </c>
      <c r="P229" s="219">
        <f>'6.n3э'!E228</f>
        <v>0</v>
      </c>
      <c r="Q229" s="219">
        <f>'7.n2'!E228</f>
        <v>0</v>
      </c>
      <c r="R229" s="219">
        <f>'8.n2'!E228</f>
        <v>0</v>
      </c>
      <c r="S229" s="219">
        <f>'9.n2'!E228</f>
        <v>0</v>
      </c>
      <c r="T229" s="219">
        <f>'10.n3'!E228</f>
        <v>0</v>
      </c>
      <c r="U229" s="219"/>
      <c r="V229" s="219"/>
    </row>
    <row r="230" spans="1:22" ht="31.2" hidden="1" x14ac:dyDescent="0.3">
      <c r="A230" s="145" t="s">
        <v>514</v>
      </c>
      <c r="B230" s="136"/>
      <c r="C230" s="202" t="s">
        <v>437</v>
      </c>
      <c r="D230" s="204"/>
      <c r="E230" s="204" t="s">
        <v>275</v>
      </c>
      <c r="F230" s="205" t="s">
        <v>6</v>
      </c>
      <c r="G230" s="206">
        <v>1.2</v>
      </c>
      <c r="H230" s="148">
        <v>13.8</v>
      </c>
      <c r="I230" s="175"/>
      <c r="J230" s="222">
        <f>SUM(Таблица2[[#This Row],[1.n]:[12.n]])</f>
        <v>0</v>
      </c>
      <c r="K230" s="219">
        <f>'1.n2'!E229</f>
        <v>0</v>
      </c>
      <c r="L230" s="219">
        <f>'2.n2'!E229</f>
        <v>0</v>
      </c>
      <c r="M230" s="219">
        <f>'3.n2'!E229</f>
        <v>0</v>
      </c>
      <c r="N230" s="219">
        <f>'4.n2'!E229</f>
        <v>0</v>
      </c>
      <c r="O230" s="219">
        <f>'5.n3'!E229</f>
        <v>0</v>
      </c>
      <c r="P230" s="219">
        <f>'6.n3э'!E229</f>
        <v>0</v>
      </c>
      <c r="Q230" s="219">
        <f>'7.n2'!E229</f>
        <v>0</v>
      </c>
      <c r="R230" s="219">
        <f>'8.n2'!E229</f>
        <v>0</v>
      </c>
      <c r="S230" s="219">
        <f>'9.n2'!E229</f>
        <v>0</v>
      </c>
      <c r="T230" s="219">
        <f>'10.n3'!E229</f>
        <v>0</v>
      </c>
      <c r="U230" s="219"/>
      <c r="V230" s="219"/>
    </row>
    <row r="231" spans="1:22" ht="31.2" hidden="1" x14ac:dyDescent="0.3">
      <c r="A231" s="145" t="s">
        <v>515</v>
      </c>
      <c r="B231" s="136"/>
      <c r="C231" s="202" t="s">
        <v>460</v>
      </c>
      <c r="D231" s="204"/>
      <c r="E231" s="204" t="s">
        <v>516</v>
      </c>
      <c r="F231" s="205" t="s">
        <v>123</v>
      </c>
      <c r="G231" s="206">
        <v>1.07</v>
      </c>
      <c r="H231" s="148">
        <v>6.1529999999999996</v>
      </c>
      <c r="I231" s="198">
        <f>H231-K231</f>
        <v>6.1529999999999996</v>
      </c>
      <c r="J231" s="229">
        <f>SUM(Таблица2[[#This Row],[1.n]:[12.n]])</f>
        <v>0</v>
      </c>
      <c r="K231" s="219">
        <f>'1.n2'!E230</f>
        <v>0</v>
      </c>
      <c r="L231" s="219">
        <f>'2.n2'!E230</f>
        <v>0</v>
      </c>
      <c r="M231" s="219">
        <f>'3.n2'!E230</f>
        <v>0</v>
      </c>
      <c r="N231" s="219">
        <f>'4.n2'!E230</f>
        <v>0</v>
      </c>
      <c r="O231" s="219">
        <f>'5.n3'!E230</f>
        <v>0</v>
      </c>
      <c r="P231" s="219">
        <f>'6.n3э'!E230</f>
        <v>0</v>
      </c>
      <c r="Q231" s="219">
        <f>'7.n2'!E230</f>
        <v>0</v>
      </c>
      <c r="R231" s="219">
        <f>'8.n2'!E230</f>
        <v>0</v>
      </c>
      <c r="S231" s="219">
        <f>'9.n2'!E230</f>
        <v>0</v>
      </c>
      <c r="T231" s="219">
        <f>'10.n3'!E230</f>
        <v>0</v>
      </c>
      <c r="U231" s="219"/>
      <c r="V231" s="219"/>
    </row>
    <row r="232" spans="1:22" ht="31.2" x14ac:dyDescent="0.3">
      <c r="A232" s="141" t="s">
        <v>517</v>
      </c>
      <c r="B232" s="132" t="s">
        <v>431</v>
      </c>
      <c r="C232" s="179" t="s">
        <v>432</v>
      </c>
      <c r="D232" s="128"/>
      <c r="E232" s="128" t="s">
        <v>518</v>
      </c>
      <c r="F232" s="128" t="s">
        <v>123</v>
      </c>
      <c r="G232" s="180">
        <v>1</v>
      </c>
      <c r="H232" s="147">
        <v>8.15</v>
      </c>
      <c r="I232" s="251">
        <f>Таблица2[[#This Row],[Общее кол-во]]-SUM(Таблица2[[#This Row],[1.n]:[12.n]])</f>
        <v>8.15</v>
      </c>
      <c r="J232" s="240">
        <f>SUM(Таблица2[[#This Row],[1.n]:[12.n]])</f>
        <v>0</v>
      </c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</row>
    <row r="233" spans="1:22" ht="31.2" hidden="1" x14ac:dyDescent="0.3">
      <c r="A233" s="145" t="s">
        <v>519</v>
      </c>
      <c r="B233" s="136"/>
      <c r="C233" s="207" t="s">
        <v>455</v>
      </c>
      <c r="D233" s="204"/>
      <c r="E233" s="204" t="s">
        <v>470</v>
      </c>
      <c r="F233" s="205" t="s">
        <v>123</v>
      </c>
      <c r="G233" s="206">
        <v>1.07</v>
      </c>
      <c r="H233" s="148">
        <v>8.7210000000000001</v>
      </c>
      <c r="I233" s="231"/>
      <c r="J233" s="222">
        <f>SUM(Таблица2[[#This Row],[1.n]:[12.n]])</f>
        <v>0</v>
      </c>
      <c r="K233" s="219">
        <f>'1.n2'!E232</f>
        <v>0</v>
      </c>
      <c r="L233" s="219">
        <f>'2.n2'!E232</f>
        <v>0</v>
      </c>
      <c r="M233" s="219">
        <f>'3.n2'!E232</f>
        <v>0</v>
      </c>
      <c r="N233" s="219">
        <f>'4.n2'!E232</f>
        <v>0</v>
      </c>
      <c r="O233" s="219">
        <f>'5.n3'!E232</f>
        <v>0</v>
      </c>
      <c r="P233" s="219">
        <f>'6.n3э'!E232</f>
        <v>0</v>
      </c>
      <c r="Q233" s="219">
        <f>'7.n2'!E232</f>
        <v>0</v>
      </c>
      <c r="R233" s="219">
        <f>'8.n2'!E232</f>
        <v>0</v>
      </c>
      <c r="S233" s="219">
        <f>'9.n2'!E232</f>
        <v>0</v>
      </c>
      <c r="T233" s="219">
        <f>'10.n3'!E232</f>
        <v>0</v>
      </c>
      <c r="U233" s="219"/>
      <c r="V233" s="219"/>
    </row>
    <row r="234" spans="1:22" ht="31.2" hidden="1" x14ac:dyDescent="0.3">
      <c r="A234" s="145" t="s">
        <v>520</v>
      </c>
      <c r="B234" s="136"/>
      <c r="C234" s="207" t="s">
        <v>437</v>
      </c>
      <c r="D234" s="204"/>
      <c r="E234" s="204" t="s">
        <v>275</v>
      </c>
      <c r="F234" s="205" t="s">
        <v>6</v>
      </c>
      <c r="G234" s="206">
        <v>1.2</v>
      </c>
      <c r="H234" s="148">
        <v>19.559999999999999</v>
      </c>
      <c r="I234" s="175"/>
      <c r="J234" s="222">
        <f>SUM(Таблица2[[#This Row],[1.n]:[12.n]])</f>
        <v>0</v>
      </c>
      <c r="K234" s="219">
        <f>'1.n2'!E233</f>
        <v>0</v>
      </c>
      <c r="L234" s="219">
        <f>'2.n2'!E233</f>
        <v>0</v>
      </c>
      <c r="M234" s="219">
        <f>'3.n2'!E233</f>
        <v>0</v>
      </c>
      <c r="N234" s="219">
        <f>'4.n2'!E233</f>
        <v>0</v>
      </c>
      <c r="O234" s="219">
        <f>'5.n3'!E233</f>
        <v>0</v>
      </c>
      <c r="P234" s="219">
        <f>'6.n3э'!E233</f>
        <v>0</v>
      </c>
      <c r="Q234" s="219">
        <f>'7.n2'!E233</f>
        <v>0</v>
      </c>
      <c r="R234" s="219">
        <f>'8.n2'!E233</f>
        <v>0</v>
      </c>
      <c r="S234" s="219">
        <f>'9.n2'!E233</f>
        <v>0</v>
      </c>
      <c r="T234" s="219">
        <f>'10.n3'!E233</f>
        <v>0</v>
      </c>
      <c r="U234" s="219"/>
      <c r="V234" s="219"/>
    </row>
    <row r="235" spans="1:22" hidden="1" x14ac:dyDescent="0.3">
      <c r="A235" s="145" t="s">
        <v>521</v>
      </c>
      <c r="B235" s="136"/>
      <c r="C235" s="208" t="s">
        <v>282</v>
      </c>
      <c r="D235" s="204"/>
      <c r="E235" s="204"/>
      <c r="F235" s="205" t="s">
        <v>6</v>
      </c>
      <c r="G235" s="206">
        <v>0.15</v>
      </c>
      <c r="H235" s="148">
        <v>1.2230000000000001</v>
      </c>
      <c r="I235" s="190"/>
      <c r="J235" s="248">
        <f>SUM(Таблица2[[#This Row],[1.n]:[12.n]])</f>
        <v>0</v>
      </c>
      <c r="K235" s="219">
        <f>'1.n2'!E234</f>
        <v>0</v>
      </c>
      <c r="L235" s="219">
        <f>'2.n2'!E234</f>
        <v>0</v>
      </c>
      <c r="M235" s="219">
        <f>'3.n2'!E234</f>
        <v>0</v>
      </c>
      <c r="N235" s="219">
        <f>'4.n2'!E234</f>
        <v>0</v>
      </c>
      <c r="O235" s="219">
        <f>'5.n3'!E234</f>
        <v>0</v>
      </c>
      <c r="P235" s="219">
        <f>'6.n3э'!E234</f>
        <v>0</v>
      </c>
      <c r="Q235" s="219">
        <f>'7.n2'!E234</f>
        <v>0</v>
      </c>
      <c r="R235" s="219">
        <f>'8.n2'!E234</f>
        <v>0</v>
      </c>
      <c r="S235" s="219">
        <f>'9.n2'!E234</f>
        <v>0</v>
      </c>
      <c r="T235" s="219">
        <f>'10.n3'!E234</f>
        <v>0</v>
      </c>
      <c r="U235" s="219"/>
      <c r="V235" s="219"/>
    </row>
    <row r="236" spans="1:22" hidden="1" x14ac:dyDescent="0.3">
      <c r="A236" s="145" t="s">
        <v>522</v>
      </c>
      <c r="B236" s="136"/>
      <c r="C236" s="208" t="s">
        <v>280</v>
      </c>
      <c r="D236" s="204"/>
      <c r="E236" s="204"/>
      <c r="F236" s="205" t="s">
        <v>6</v>
      </c>
      <c r="G236" s="206">
        <v>0.25</v>
      </c>
      <c r="H236" s="148">
        <v>2.0379999999999998</v>
      </c>
      <c r="I236" s="181"/>
      <c r="J236" s="223">
        <f>SUM(Таблица2[[#This Row],[1.n]:[12.n]])</f>
        <v>0</v>
      </c>
      <c r="K236" s="219">
        <f>'1.n2'!E235</f>
        <v>0</v>
      </c>
      <c r="L236" s="219">
        <f>'2.n2'!E235</f>
        <v>0</v>
      </c>
      <c r="M236" s="219">
        <f>'3.n2'!E235</f>
        <v>0</v>
      </c>
      <c r="N236" s="219">
        <f>'4.n2'!E235</f>
        <v>0</v>
      </c>
      <c r="O236" s="219">
        <f>'5.n3'!E235</f>
        <v>0</v>
      </c>
      <c r="P236" s="219">
        <f>'6.n3э'!E235</f>
        <v>0</v>
      </c>
      <c r="Q236" s="219">
        <f>'7.n2'!E235</f>
        <v>0</v>
      </c>
      <c r="R236" s="219">
        <f>'8.n2'!E235</f>
        <v>0</v>
      </c>
      <c r="S236" s="219">
        <f>'9.n2'!E235</f>
        <v>0</v>
      </c>
      <c r="T236" s="219">
        <f>'10.n3'!E235</f>
        <v>0</v>
      </c>
      <c r="U236" s="219"/>
      <c r="V236" s="219"/>
    </row>
    <row r="237" spans="1:22" ht="31.2" x14ac:dyDescent="0.3">
      <c r="A237" s="138" t="s">
        <v>523</v>
      </c>
      <c r="B237" s="129" t="s">
        <v>431</v>
      </c>
      <c r="C237" s="160" t="s">
        <v>432</v>
      </c>
      <c r="D237" s="161"/>
      <c r="E237" s="161" t="s">
        <v>524</v>
      </c>
      <c r="F237" s="161" t="s">
        <v>123</v>
      </c>
      <c r="G237" s="162">
        <v>1</v>
      </c>
      <c r="H237" s="147">
        <v>127.34</v>
      </c>
      <c r="I237" s="251">
        <f>Таблица2[[#This Row],[Общее кол-во]]-SUM(Таблица2[[#This Row],[1.n]:[12.n]])</f>
        <v>127.34</v>
      </c>
      <c r="J237" s="240">
        <f>SUM(Таблица2[[#This Row],[1.n]:[12.n]])</f>
        <v>0</v>
      </c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</row>
    <row r="238" spans="1:22" hidden="1" x14ac:dyDescent="0.3">
      <c r="A238" s="145" t="s">
        <v>525</v>
      </c>
      <c r="B238" s="136"/>
      <c r="C238" s="208" t="s">
        <v>280</v>
      </c>
      <c r="D238" s="204"/>
      <c r="E238" s="204"/>
      <c r="F238" s="205" t="s">
        <v>6</v>
      </c>
      <c r="G238" s="206">
        <v>0.25</v>
      </c>
      <c r="H238" s="148">
        <v>31.835000000000001</v>
      </c>
      <c r="I238" s="231"/>
      <c r="J238" s="222">
        <f>SUM(Таблица2[[#This Row],[1.n]:[12.n]])</f>
        <v>0</v>
      </c>
      <c r="K238" s="219">
        <f>'1.n2'!E237</f>
        <v>0</v>
      </c>
      <c r="L238" s="219">
        <f>'2.n2'!E237</f>
        <v>0</v>
      </c>
      <c r="M238" s="219">
        <f>'3.n2'!E237</f>
        <v>0</v>
      </c>
      <c r="N238" s="219">
        <f>'4.n2'!E237</f>
        <v>0</v>
      </c>
      <c r="O238" s="219">
        <f>'5.n3'!E237</f>
        <v>0</v>
      </c>
      <c r="P238" s="219">
        <f>'6.n3э'!E237</f>
        <v>0</v>
      </c>
      <c r="Q238" s="219">
        <f>'7.n2'!E237</f>
        <v>0</v>
      </c>
      <c r="R238" s="219">
        <f>'8.n2'!E237</f>
        <v>0</v>
      </c>
      <c r="S238" s="219">
        <f>'9.n2'!E237</f>
        <v>0</v>
      </c>
      <c r="T238" s="219">
        <f>'10.n3'!E237</f>
        <v>0</v>
      </c>
      <c r="U238" s="219"/>
      <c r="V238" s="219"/>
    </row>
    <row r="239" spans="1:22" hidden="1" x14ac:dyDescent="0.3">
      <c r="A239" s="145" t="s">
        <v>526</v>
      </c>
      <c r="B239" s="136"/>
      <c r="C239" s="208" t="s">
        <v>282</v>
      </c>
      <c r="D239" s="204"/>
      <c r="E239" s="204"/>
      <c r="F239" s="205" t="s">
        <v>6</v>
      </c>
      <c r="G239" s="206">
        <v>0.15</v>
      </c>
      <c r="H239" s="148">
        <v>19.100999999999999</v>
      </c>
      <c r="I239" s="175"/>
      <c r="J239" s="222">
        <f>SUM(Таблица2[[#This Row],[1.n]:[12.n]])</f>
        <v>0</v>
      </c>
      <c r="K239" s="219">
        <f>'1.n2'!E238</f>
        <v>0</v>
      </c>
      <c r="L239" s="219">
        <f>'2.n2'!E238</f>
        <v>0</v>
      </c>
      <c r="M239" s="219">
        <f>'3.n2'!E238</f>
        <v>0</v>
      </c>
      <c r="N239" s="219">
        <f>'4.n2'!E238</f>
        <v>0</v>
      </c>
      <c r="O239" s="219">
        <f>'5.n3'!E238</f>
        <v>0</v>
      </c>
      <c r="P239" s="219">
        <f>'6.n3э'!E238</f>
        <v>0</v>
      </c>
      <c r="Q239" s="219">
        <f>'7.n2'!E238</f>
        <v>0</v>
      </c>
      <c r="R239" s="219">
        <f>'8.n2'!E238</f>
        <v>0</v>
      </c>
      <c r="S239" s="219">
        <f>'9.n2'!E238</f>
        <v>0</v>
      </c>
      <c r="T239" s="219">
        <f>'10.n3'!E238</f>
        <v>0</v>
      </c>
      <c r="U239" s="219"/>
      <c r="V239" s="219"/>
    </row>
    <row r="240" spans="1:22" ht="31.2" hidden="1" x14ac:dyDescent="0.3">
      <c r="A240" s="145" t="s">
        <v>527</v>
      </c>
      <c r="B240" s="136"/>
      <c r="C240" s="207" t="s">
        <v>437</v>
      </c>
      <c r="D240" s="204"/>
      <c r="E240" s="204" t="s">
        <v>275</v>
      </c>
      <c r="F240" s="205" t="s">
        <v>6</v>
      </c>
      <c r="G240" s="206">
        <v>1.2</v>
      </c>
      <c r="H240" s="148">
        <v>305.61599999999999</v>
      </c>
      <c r="I240" s="175"/>
      <c r="J240" s="222">
        <f>SUM(Таблица2[[#This Row],[1.n]:[12.n]])</f>
        <v>0</v>
      </c>
      <c r="K240" s="219">
        <f>'1.n2'!E239</f>
        <v>0</v>
      </c>
      <c r="L240" s="219">
        <f>'2.n2'!E239</f>
        <v>0</v>
      </c>
      <c r="M240" s="219">
        <f>'3.n2'!E239</f>
        <v>0</v>
      </c>
      <c r="N240" s="219">
        <f>'4.n2'!E239</f>
        <v>0</v>
      </c>
      <c r="O240" s="219">
        <f>'5.n3'!E239</f>
        <v>0</v>
      </c>
      <c r="P240" s="219">
        <f>'6.n3э'!E239</f>
        <v>0</v>
      </c>
      <c r="Q240" s="219">
        <f>'7.n2'!E239</f>
        <v>0</v>
      </c>
      <c r="R240" s="219">
        <f>'8.n2'!E239</f>
        <v>0</v>
      </c>
      <c r="S240" s="219">
        <f>'9.n2'!E239</f>
        <v>0</v>
      </c>
      <c r="T240" s="219">
        <f>'10.n3'!E239</f>
        <v>0</v>
      </c>
      <c r="U240" s="219"/>
      <c r="V240" s="219"/>
    </row>
    <row r="241" spans="1:22" ht="31.2" hidden="1" x14ac:dyDescent="0.3">
      <c r="A241" s="145" t="s">
        <v>528</v>
      </c>
      <c r="B241" s="136"/>
      <c r="C241" s="207" t="s">
        <v>444</v>
      </c>
      <c r="D241" s="204"/>
      <c r="E241" s="204" t="s">
        <v>529</v>
      </c>
      <c r="F241" s="205" t="s">
        <v>123</v>
      </c>
      <c r="G241" s="206">
        <v>1.07</v>
      </c>
      <c r="H241" s="148">
        <v>136.25399999999999</v>
      </c>
      <c r="I241" s="175"/>
      <c r="J241" s="222">
        <f>SUM(Таблица2[[#This Row],[1.n]:[12.n]])</f>
        <v>0</v>
      </c>
      <c r="K241" s="219">
        <f>'1.n2'!E240</f>
        <v>0</v>
      </c>
      <c r="L241" s="219">
        <f>'2.n2'!E240</f>
        <v>0</v>
      </c>
      <c r="M241" s="219">
        <f>'3.n2'!E240</f>
        <v>0</v>
      </c>
      <c r="N241" s="219">
        <f>'4.n2'!E240</f>
        <v>0</v>
      </c>
      <c r="O241" s="219">
        <f>'5.n3'!E240</f>
        <v>0</v>
      </c>
      <c r="P241" s="219">
        <f>'6.n3э'!E240</f>
        <v>0</v>
      </c>
      <c r="Q241" s="219">
        <f>'7.n2'!E240</f>
        <v>0</v>
      </c>
      <c r="R241" s="219">
        <f>'8.n2'!E240</f>
        <v>0</v>
      </c>
      <c r="S241" s="219">
        <f>'9.n2'!E240</f>
        <v>0</v>
      </c>
      <c r="T241" s="219">
        <f>'10.n3'!E240</f>
        <v>0</v>
      </c>
      <c r="U241" s="219"/>
      <c r="V241" s="219"/>
    </row>
    <row r="242" spans="1:22" ht="31.2" x14ac:dyDescent="0.3">
      <c r="A242" s="141" t="s">
        <v>530</v>
      </c>
      <c r="B242" s="132" t="s">
        <v>431</v>
      </c>
      <c r="C242" s="179" t="s">
        <v>432</v>
      </c>
      <c r="D242" s="128"/>
      <c r="E242" s="128" t="s">
        <v>531</v>
      </c>
      <c r="F242" s="128" t="s">
        <v>123</v>
      </c>
      <c r="G242" s="180">
        <v>1</v>
      </c>
      <c r="H242" s="147">
        <v>351.08</v>
      </c>
      <c r="I242" s="251">
        <f>Таблица2[[#This Row],[Общее кол-во]]-SUM(Таблица2[[#This Row],[1.n]:[12.n]])</f>
        <v>351.08</v>
      </c>
      <c r="J242" s="245">
        <f>SUM(Таблица2[[#This Row],[1.n]:[12.n]])</f>
        <v>0</v>
      </c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</row>
    <row r="243" spans="1:22" ht="31.2" hidden="1" x14ac:dyDescent="0.3">
      <c r="A243" s="145" t="s">
        <v>532</v>
      </c>
      <c r="B243" s="136"/>
      <c r="C243" s="207" t="s">
        <v>444</v>
      </c>
      <c r="D243" s="204"/>
      <c r="E243" s="204" t="s">
        <v>488</v>
      </c>
      <c r="F243" s="205" t="s">
        <v>123</v>
      </c>
      <c r="G243" s="206">
        <v>1.07</v>
      </c>
      <c r="H243" s="148">
        <v>375.65600000000001</v>
      </c>
      <c r="I243" s="231"/>
      <c r="J243" s="222">
        <f>SUM(Таблица2[[#This Row],[1.n]:[12.n]])</f>
        <v>0</v>
      </c>
      <c r="K243" s="219">
        <f>'1.n2'!E242</f>
        <v>0</v>
      </c>
      <c r="L243" s="219">
        <f>'2.n2'!E242</f>
        <v>0</v>
      </c>
      <c r="M243" s="219">
        <f>'3.n2'!E242</f>
        <v>0</v>
      </c>
      <c r="N243" s="219">
        <f>'4.n2'!E242</f>
        <v>0</v>
      </c>
      <c r="O243" s="219">
        <f>'5.n3'!E242</f>
        <v>0</v>
      </c>
      <c r="P243" s="219">
        <f>'6.n3э'!E242</f>
        <v>0</v>
      </c>
      <c r="Q243" s="219">
        <f>'7.n2'!E242</f>
        <v>0</v>
      </c>
      <c r="R243" s="219">
        <f>'8.n2'!E242</f>
        <v>0</v>
      </c>
      <c r="S243" s="219">
        <f>'9.n2'!E242</f>
        <v>0</v>
      </c>
      <c r="T243" s="219">
        <f>'10.n3'!E242</f>
        <v>0</v>
      </c>
      <c r="U243" s="219"/>
      <c r="V243" s="219"/>
    </row>
    <row r="244" spans="1:22" ht="31.2" hidden="1" x14ac:dyDescent="0.3">
      <c r="A244" s="145" t="s">
        <v>533</v>
      </c>
      <c r="B244" s="136"/>
      <c r="C244" s="207" t="s">
        <v>485</v>
      </c>
      <c r="D244" s="204"/>
      <c r="E244" s="204" t="s">
        <v>483</v>
      </c>
      <c r="F244" s="205" t="s">
        <v>7</v>
      </c>
      <c r="G244" s="206">
        <v>0.23</v>
      </c>
      <c r="H244" s="148">
        <v>17.728000000000002</v>
      </c>
      <c r="I244" s="175"/>
      <c r="J244" s="222">
        <f>SUM(Таблица2[[#This Row],[1.n]:[12.n]])</f>
        <v>0</v>
      </c>
      <c r="K244" s="219">
        <f>'1.n2'!E243</f>
        <v>0</v>
      </c>
      <c r="L244" s="219">
        <f>'2.n2'!E243</f>
        <v>0</v>
      </c>
      <c r="M244" s="219">
        <f>'3.n2'!E243</f>
        <v>0</v>
      </c>
      <c r="N244" s="219">
        <f>'4.n2'!E243</f>
        <v>0</v>
      </c>
      <c r="O244" s="219">
        <f>'5.n3'!E243</f>
        <v>0</v>
      </c>
      <c r="P244" s="219">
        <f>'6.n3э'!E243</f>
        <v>0</v>
      </c>
      <c r="Q244" s="219">
        <f>'7.n2'!E243</f>
        <v>0</v>
      </c>
      <c r="R244" s="219">
        <f>'8.n2'!E243</f>
        <v>0</v>
      </c>
      <c r="S244" s="219">
        <f>'9.n2'!E243</f>
        <v>0</v>
      </c>
      <c r="T244" s="219">
        <f>'10.n3'!E243</f>
        <v>0</v>
      </c>
      <c r="U244" s="219"/>
      <c r="V244" s="219"/>
    </row>
    <row r="245" spans="1:22" ht="31.2" hidden="1" x14ac:dyDescent="0.3">
      <c r="A245" s="145" t="s">
        <v>534</v>
      </c>
      <c r="B245" s="136"/>
      <c r="C245" s="207" t="s">
        <v>437</v>
      </c>
      <c r="D245" s="204"/>
      <c r="E245" s="204" t="s">
        <v>275</v>
      </c>
      <c r="F245" s="205" t="s">
        <v>6</v>
      </c>
      <c r="G245" s="206">
        <v>1.2</v>
      </c>
      <c r="H245" s="148">
        <v>842.59199999999998</v>
      </c>
      <c r="I245" s="175"/>
      <c r="J245" s="222">
        <f>SUM(Таблица2[[#This Row],[1.n]:[12.n]])</f>
        <v>0</v>
      </c>
      <c r="K245" s="219">
        <f>'1.n2'!E244</f>
        <v>0</v>
      </c>
      <c r="L245" s="219">
        <f>'2.n2'!E244</f>
        <v>0</v>
      </c>
      <c r="M245" s="219">
        <f>'3.n2'!E244</f>
        <v>0</v>
      </c>
      <c r="N245" s="219">
        <f>'4.n2'!E244</f>
        <v>0</v>
      </c>
      <c r="O245" s="219">
        <f>'5.n3'!E244</f>
        <v>0</v>
      </c>
      <c r="P245" s="219">
        <f>'6.n3э'!E244</f>
        <v>0</v>
      </c>
      <c r="Q245" s="219">
        <f>'7.n2'!E244</f>
        <v>0</v>
      </c>
      <c r="R245" s="219">
        <f>'8.n2'!E244</f>
        <v>0</v>
      </c>
      <c r="S245" s="219">
        <f>'9.n2'!E244</f>
        <v>0</v>
      </c>
      <c r="T245" s="219">
        <f>'10.n3'!E244</f>
        <v>0</v>
      </c>
      <c r="U245" s="219"/>
      <c r="V245" s="219"/>
    </row>
    <row r="246" spans="1:22" hidden="1" x14ac:dyDescent="0.3">
      <c r="A246" s="145" t="s">
        <v>535</v>
      </c>
      <c r="B246" s="136"/>
      <c r="C246" s="208" t="s">
        <v>282</v>
      </c>
      <c r="D246" s="204"/>
      <c r="E246" s="204"/>
      <c r="F246" s="205" t="s">
        <v>6</v>
      </c>
      <c r="G246" s="206">
        <v>0.15</v>
      </c>
      <c r="H246" s="148">
        <v>52.661999999999999</v>
      </c>
      <c r="I246" s="175"/>
      <c r="J246" s="222">
        <f>SUM(Таблица2[[#This Row],[1.n]:[12.n]])</f>
        <v>0</v>
      </c>
      <c r="K246" s="219">
        <f>'1.n2'!E245</f>
        <v>0</v>
      </c>
      <c r="L246" s="219">
        <f>'2.n2'!E245</f>
        <v>0</v>
      </c>
      <c r="M246" s="219">
        <f>'3.n2'!E245</f>
        <v>0</v>
      </c>
      <c r="N246" s="219">
        <f>'4.n2'!E245</f>
        <v>0</v>
      </c>
      <c r="O246" s="219">
        <f>'5.n3'!E245</f>
        <v>0</v>
      </c>
      <c r="P246" s="219">
        <f>'6.n3э'!E245</f>
        <v>0</v>
      </c>
      <c r="Q246" s="219">
        <f>'7.n2'!E245</f>
        <v>0</v>
      </c>
      <c r="R246" s="219">
        <f>'8.n2'!E245</f>
        <v>0</v>
      </c>
      <c r="S246" s="219">
        <f>'9.n2'!E245</f>
        <v>0</v>
      </c>
      <c r="T246" s="219">
        <f>'10.n3'!E245</f>
        <v>0</v>
      </c>
      <c r="U246" s="219"/>
      <c r="V246" s="219"/>
    </row>
    <row r="247" spans="1:22" hidden="1" x14ac:dyDescent="0.3">
      <c r="A247" s="145" t="s">
        <v>536</v>
      </c>
      <c r="B247" s="136"/>
      <c r="C247" s="208" t="s">
        <v>537</v>
      </c>
      <c r="D247" s="204"/>
      <c r="E247" s="204" t="s">
        <v>538</v>
      </c>
      <c r="F247" s="205" t="s">
        <v>6</v>
      </c>
      <c r="G247" s="206">
        <v>0.25</v>
      </c>
      <c r="H247" s="148">
        <v>87.77</v>
      </c>
      <c r="I247" s="175"/>
      <c r="J247" s="222">
        <f>SUM(Таблица2[[#This Row],[1.n]:[12.n]])</f>
        <v>0</v>
      </c>
      <c r="K247" s="219">
        <f>'1.n2'!E246</f>
        <v>0</v>
      </c>
      <c r="L247" s="219">
        <f>'2.n2'!E246</f>
        <v>0</v>
      </c>
      <c r="M247" s="219">
        <f>'3.n2'!E246</f>
        <v>0</v>
      </c>
      <c r="N247" s="219">
        <f>'4.n2'!E246</f>
        <v>0</v>
      </c>
      <c r="O247" s="219">
        <f>'5.n3'!E246</f>
        <v>0</v>
      </c>
      <c r="P247" s="219">
        <f>'6.n3э'!E246</f>
        <v>0</v>
      </c>
      <c r="Q247" s="219">
        <f>'7.n2'!E246</f>
        <v>0</v>
      </c>
      <c r="R247" s="219">
        <f>'8.n2'!E246</f>
        <v>0</v>
      </c>
      <c r="S247" s="219">
        <f>'9.n2'!E246</f>
        <v>0</v>
      </c>
      <c r="T247" s="219">
        <f>'10.n3'!E246</f>
        <v>0</v>
      </c>
      <c r="U247" s="219"/>
      <c r="V247" s="219"/>
    </row>
    <row r="248" spans="1:22" ht="31.2" x14ac:dyDescent="0.3">
      <c r="A248" s="138" t="s">
        <v>549</v>
      </c>
      <c r="B248" s="129" t="s">
        <v>540</v>
      </c>
      <c r="C248" s="160" t="s">
        <v>541</v>
      </c>
      <c r="D248" s="161"/>
      <c r="E248" s="161" t="s">
        <v>550</v>
      </c>
      <c r="F248" s="161" t="s">
        <v>123</v>
      </c>
      <c r="G248" s="162">
        <v>1</v>
      </c>
      <c r="H248" s="147">
        <v>4.41</v>
      </c>
      <c r="I248" s="251">
        <f>Таблица2[[#This Row],[Общее кол-во]]-SUM(Таблица2[[#This Row],[1.n]:[12.n]])</f>
        <v>4.41</v>
      </c>
      <c r="J248" s="240">
        <f>SUM(Таблица2[[#This Row],[1.n]:[12.n]])</f>
        <v>0</v>
      </c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</row>
    <row r="249" spans="1:22" hidden="1" x14ac:dyDescent="0.3">
      <c r="A249" s="145" t="s">
        <v>559</v>
      </c>
      <c r="B249" s="136"/>
      <c r="C249" s="203" t="s">
        <v>282</v>
      </c>
      <c r="D249" s="204"/>
      <c r="E249" s="204"/>
      <c r="F249" s="205" t="s">
        <v>6</v>
      </c>
      <c r="G249" s="206">
        <v>0.15</v>
      </c>
      <c r="H249" s="148">
        <v>0.66200000000000003</v>
      </c>
      <c r="I249" s="231"/>
      <c r="J249" s="222">
        <f>SUM(Таблица2[[#This Row],[1.n]:[12.n]])</f>
        <v>0</v>
      </c>
      <c r="K249" s="219">
        <f>'1.n2'!E248</f>
        <v>0</v>
      </c>
      <c r="L249" s="219">
        <f>'2.n2'!E248</f>
        <v>0</v>
      </c>
      <c r="M249" s="219">
        <f>'3.n2'!E248</f>
        <v>0</v>
      </c>
      <c r="N249" s="219">
        <f>'4.n2'!E248</f>
        <v>0</v>
      </c>
      <c r="O249" s="219">
        <f>'5.n3'!E248</f>
        <v>0</v>
      </c>
      <c r="P249" s="219">
        <f>'6.n3э'!E248</f>
        <v>0</v>
      </c>
      <c r="Q249" s="219">
        <f>'7.n2'!E248</f>
        <v>0</v>
      </c>
      <c r="R249" s="219">
        <f>'8.n2'!E248</f>
        <v>0</v>
      </c>
      <c r="S249" s="219">
        <f>'9.n2'!E248</f>
        <v>0</v>
      </c>
      <c r="T249" s="219">
        <f>'10.n3'!E248</f>
        <v>0</v>
      </c>
      <c r="U249" s="219"/>
      <c r="V249" s="219"/>
    </row>
    <row r="250" spans="1:22" hidden="1" x14ac:dyDescent="0.3">
      <c r="A250" s="145" t="s">
        <v>560</v>
      </c>
      <c r="B250" s="136"/>
      <c r="C250" s="203" t="s">
        <v>537</v>
      </c>
      <c r="D250" s="204"/>
      <c r="E250" s="204"/>
      <c r="F250" s="205" t="s">
        <v>6</v>
      </c>
      <c r="G250" s="206">
        <v>0.25</v>
      </c>
      <c r="H250" s="148">
        <v>1.103</v>
      </c>
      <c r="I250" s="175"/>
      <c r="J250" s="222">
        <f>SUM(Таблица2[[#This Row],[1.n]:[12.n]])</f>
        <v>0</v>
      </c>
      <c r="K250" s="219">
        <f>'1.n2'!E249</f>
        <v>0</v>
      </c>
      <c r="L250" s="219">
        <f>'2.n2'!E249</f>
        <v>0</v>
      </c>
      <c r="M250" s="219">
        <f>'3.n2'!E249</f>
        <v>0</v>
      </c>
      <c r="N250" s="219">
        <f>'4.n2'!E249</f>
        <v>0</v>
      </c>
      <c r="O250" s="219">
        <f>'5.n3'!E249</f>
        <v>0</v>
      </c>
      <c r="P250" s="219">
        <f>'6.n3э'!E249</f>
        <v>0</v>
      </c>
      <c r="Q250" s="219">
        <f>'7.n2'!E249</f>
        <v>0</v>
      </c>
      <c r="R250" s="219">
        <f>'8.n2'!E249</f>
        <v>0</v>
      </c>
      <c r="S250" s="219">
        <f>'9.n2'!E249</f>
        <v>0</v>
      </c>
      <c r="T250" s="219">
        <f>'10.n3'!E249</f>
        <v>0</v>
      </c>
      <c r="U250" s="219"/>
      <c r="V250" s="219"/>
    </row>
    <row r="251" spans="1:22" ht="31.2" hidden="1" x14ac:dyDescent="0.3">
      <c r="A251" s="145" t="s">
        <v>561</v>
      </c>
      <c r="B251" s="136"/>
      <c r="C251" s="203" t="s">
        <v>437</v>
      </c>
      <c r="D251" s="204"/>
      <c r="E251" s="204" t="s">
        <v>275</v>
      </c>
      <c r="F251" s="205" t="s">
        <v>6</v>
      </c>
      <c r="G251" s="206">
        <v>1.2</v>
      </c>
      <c r="H251" s="148">
        <v>10.584</v>
      </c>
      <c r="I251" s="175"/>
      <c r="J251" s="222">
        <f>SUM(Таблица2[[#This Row],[1.n]:[12.n]])</f>
        <v>0</v>
      </c>
      <c r="K251" s="219">
        <f>'1.n2'!E250</f>
        <v>0</v>
      </c>
      <c r="L251" s="219">
        <f>'2.n2'!E250</f>
        <v>0</v>
      </c>
      <c r="M251" s="219">
        <f>'3.n2'!E250</f>
        <v>0</v>
      </c>
      <c r="N251" s="219">
        <f>'4.n2'!E250</f>
        <v>0</v>
      </c>
      <c r="O251" s="219">
        <f>'5.n3'!E250</f>
        <v>0</v>
      </c>
      <c r="P251" s="219">
        <f>'6.n3э'!E250</f>
        <v>0</v>
      </c>
      <c r="Q251" s="219">
        <f>'7.n2'!E250</f>
        <v>0</v>
      </c>
      <c r="R251" s="219">
        <f>'8.n2'!E250</f>
        <v>0</v>
      </c>
      <c r="S251" s="219">
        <f>'9.n2'!E250</f>
        <v>0</v>
      </c>
      <c r="T251" s="219">
        <f>'10.n3'!E250</f>
        <v>0</v>
      </c>
      <c r="U251" s="219"/>
      <c r="V251" s="219"/>
    </row>
    <row r="252" spans="1:22" ht="31.2" hidden="1" x14ac:dyDescent="0.3">
      <c r="A252" s="145" t="s">
        <v>562</v>
      </c>
      <c r="B252" s="136"/>
      <c r="C252" s="203" t="s">
        <v>563</v>
      </c>
      <c r="D252" s="204"/>
      <c r="E252" s="204" t="s">
        <v>564</v>
      </c>
      <c r="F252" s="205" t="s">
        <v>123</v>
      </c>
      <c r="G252" s="206">
        <v>1.1000000000000001</v>
      </c>
      <c r="H252" s="148">
        <v>4.851</v>
      </c>
      <c r="I252" s="209"/>
      <c r="J252" s="222">
        <f>SUM(Таблица2[[#This Row],[1.n]:[12.n]])</f>
        <v>0</v>
      </c>
      <c r="K252" s="219">
        <f>'1.n2'!E251</f>
        <v>0</v>
      </c>
      <c r="L252" s="219">
        <f>'2.n2'!E251</f>
        <v>0</v>
      </c>
      <c r="M252" s="219">
        <f>'3.n2'!E251</f>
        <v>0</v>
      </c>
      <c r="N252" s="219">
        <f>'4.n2'!E251</f>
        <v>0</v>
      </c>
      <c r="O252" s="219">
        <f>'5.n3'!E251</f>
        <v>0</v>
      </c>
      <c r="P252" s="219">
        <f>'6.n3э'!E251</f>
        <v>0</v>
      </c>
      <c r="Q252" s="219">
        <f>'7.n2'!E251</f>
        <v>0</v>
      </c>
      <c r="R252" s="219">
        <f>'8.n2'!E251</f>
        <v>0</v>
      </c>
      <c r="S252" s="219">
        <f>'9.n2'!E251</f>
        <v>0</v>
      </c>
      <c r="T252" s="219">
        <f>'10.n3'!E251</f>
        <v>0</v>
      </c>
      <c r="U252" s="219"/>
      <c r="V252" s="219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U142"/>
  <sheetViews>
    <sheetView topLeftCell="G1" zoomScale="70" zoomScaleNormal="70" workbookViewId="0">
      <selection activeCell="R4" sqref="R4:U71"/>
    </sheetView>
    <sheetView zoomScale="70" zoomScaleNormal="70" workbookViewId="1">
      <selection activeCell="P147" sqref="P147"/>
    </sheetView>
  </sheetViews>
  <sheetFormatPr defaultColWidth="9.109375" defaultRowHeight="13.2" x14ac:dyDescent="0.3"/>
  <cols>
    <col min="1" max="1" width="11.5546875" style="344" customWidth="1"/>
    <col min="2" max="2" width="31.109375" style="344" customWidth="1"/>
    <col min="3" max="3" width="14.77734375" style="344" customWidth="1"/>
    <col min="4" max="4" width="43.5546875" style="344" customWidth="1"/>
    <col min="5" max="5" width="12" style="344" customWidth="1"/>
    <col min="6" max="6" width="13.88671875" style="344" hidden="1" customWidth="1"/>
    <col min="7" max="7" width="15.88671875" style="344" customWidth="1"/>
    <col min="8" max="8" width="43" style="344" hidden="1" customWidth="1"/>
    <col min="9" max="9" width="12.109375" style="344" customWidth="1"/>
    <col min="10" max="10" width="22" style="344" hidden="1" customWidth="1"/>
    <col min="11" max="11" width="16.33203125" style="344" customWidth="1"/>
    <col min="12" max="12" width="43.88671875" style="344" hidden="1" customWidth="1"/>
    <col min="13" max="13" width="15.88671875" style="344" customWidth="1"/>
    <col min="14" max="14" width="22.5546875" style="344" hidden="1" customWidth="1"/>
    <col min="15" max="15" width="22.33203125" style="344" hidden="1" customWidth="1"/>
    <col min="16" max="16" width="19.33203125" style="344" customWidth="1"/>
    <col min="17" max="17" width="15.44140625" style="344" customWidth="1"/>
    <col min="18" max="18" width="13.33203125" style="366" customWidth="1"/>
    <col min="19" max="19" width="25.5546875" style="366" customWidth="1"/>
    <col min="20" max="20" width="36.6640625" style="366" customWidth="1"/>
    <col min="21" max="21" width="9.109375" style="366"/>
    <col min="22" max="16384" width="9.109375" style="344"/>
  </cols>
  <sheetData>
    <row r="1" spans="1:21" ht="23.25" customHeight="1" x14ac:dyDescent="0.3">
      <c r="A1" s="342" t="s">
        <v>595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</row>
    <row r="2" spans="1:21" ht="25.5" customHeight="1" x14ac:dyDescent="0.3">
      <c r="A2" s="345" t="s">
        <v>596</v>
      </c>
      <c r="B2" s="345" t="s">
        <v>597</v>
      </c>
      <c r="C2" s="352" t="s">
        <v>576</v>
      </c>
      <c r="D2" s="342" t="s">
        <v>598</v>
      </c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3"/>
    </row>
    <row r="3" spans="1:21" s="347" customFormat="1" x14ac:dyDescent="0.3">
      <c r="A3" s="346"/>
      <c r="B3" s="346"/>
      <c r="C3" s="346"/>
      <c r="D3" s="353" t="s">
        <v>582</v>
      </c>
      <c r="E3" s="354"/>
      <c r="F3" s="353" t="s">
        <v>583</v>
      </c>
      <c r="G3" s="354"/>
      <c r="H3" s="353" t="s">
        <v>584</v>
      </c>
      <c r="I3" s="354"/>
      <c r="J3" s="353" t="s">
        <v>585</v>
      </c>
      <c r="K3" s="354"/>
      <c r="L3" s="353" t="s">
        <v>586</v>
      </c>
      <c r="M3" s="354"/>
      <c r="N3" s="353" t="s">
        <v>587</v>
      </c>
      <c r="O3" s="354"/>
      <c r="P3" s="342" t="s">
        <v>599</v>
      </c>
      <c r="Q3" s="343"/>
      <c r="R3" s="367"/>
      <c r="S3" s="367"/>
      <c r="T3" s="367"/>
      <c r="U3" s="367"/>
    </row>
    <row r="4" spans="1:21" ht="66" x14ac:dyDescent="0.3">
      <c r="A4" s="348"/>
      <c r="B4" s="348"/>
      <c r="C4" s="348"/>
      <c r="D4" s="349" t="s">
        <v>600</v>
      </c>
      <c r="E4" s="349" t="s">
        <v>601</v>
      </c>
      <c r="F4" s="349" t="s">
        <v>600</v>
      </c>
      <c r="G4" s="349" t="s">
        <v>601</v>
      </c>
      <c r="H4" s="349" t="s">
        <v>600</v>
      </c>
      <c r="I4" s="349" t="s">
        <v>601</v>
      </c>
      <c r="J4" s="349" t="s">
        <v>600</v>
      </c>
      <c r="K4" s="349" t="s">
        <v>601</v>
      </c>
      <c r="L4" s="349" t="s">
        <v>600</v>
      </c>
      <c r="M4" s="349" t="s">
        <v>601</v>
      </c>
      <c r="N4" s="349" t="s">
        <v>600</v>
      </c>
      <c r="O4" s="349" t="s">
        <v>601</v>
      </c>
      <c r="P4" s="349" t="s">
        <v>600</v>
      </c>
      <c r="Q4" s="349" t="s">
        <v>601</v>
      </c>
      <c r="R4" s="368" t="s">
        <v>103</v>
      </c>
      <c r="S4" s="369" t="s">
        <v>22</v>
      </c>
      <c r="T4" s="370" t="s">
        <v>23</v>
      </c>
      <c r="U4" s="371" t="s">
        <v>31</v>
      </c>
    </row>
    <row r="5" spans="1:21" x14ac:dyDescent="0.3">
      <c r="A5" s="355" t="s">
        <v>103</v>
      </c>
      <c r="B5" s="350" t="s">
        <v>104</v>
      </c>
      <c r="C5" s="350" t="s">
        <v>575</v>
      </c>
      <c r="D5" s="350" t="s">
        <v>105</v>
      </c>
      <c r="E5" s="356" t="s">
        <v>106</v>
      </c>
      <c r="F5" s="357" t="s">
        <v>107</v>
      </c>
      <c r="G5" s="356" t="s">
        <v>108</v>
      </c>
      <c r="H5" s="350" t="s">
        <v>109</v>
      </c>
      <c r="I5" s="356" t="s">
        <v>110</v>
      </c>
      <c r="J5" s="357" t="s">
        <v>111</v>
      </c>
      <c r="K5" s="356" t="s">
        <v>112</v>
      </c>
      <c r="L5" s="350" t="s">
        <v>113</v>
      </c>
      <c r="M5" s="356" t="s">
        <v>114</v>
      </c>
      <c r="N5" s="357" t="s">
        <v>115</v>
      </c>
      <c r="O5" s="356" t="s">
        <v>116</v>
      </c>
      <c r="P5" s="350" t="s">
        <v>117</v>
      </c>
      <c r="Q5" s="356" t="s">
        <v>118</v>
      </c>
      <c r="R5" s="28" t="s">
        <v>19</v>
      </c>
      <c r="S5" s="10" t="s">
        <v>21</v>
      </c>
      <c r="T5" s="10" t="s">
        <v>21</v>
      </c>
      <c r="U5" s="32"/>
    </row>
    <row r="6" spans="1:21" ht="79.2" hidden="1" x14ac:dyDescent="0.3">
      <c r="A6" s="358">
        <v>2001</v>
      </c>
      <c r="B6" s="349" t="s">
        <v>602</v>
      </c>
      <c r="C6" s="349">
        <v>1</v>
      </c>
      <c r="D6" s="349" t="s">
        <v>603</v>
      </c>
      <c r="E6" s="359">
        <v>72.7</v>
      </c>
      <c r="F6" s="360" t="s">
        <v>145</v>
      </c>
      <c r="G6" s="359">
        <v>0</v>
      </c>
      <c r="H6" s="349" t="s">
        <v>604</v>
      </c>
      <c r="I6" s="359">
        <v>33</v>
      </c>
      <c r="J6" s="360" t="s">
        <v>145</v>
      </c>
      <c r="K6" s="359">
        <v>0</v>
      </c>
      <c r="L6" s="349" t="s">
        <v>604</v>
      </c>
      <c r="M6" s="359">
        <v>19.5</v>
      </c>
      <c r="N6" s="360" t="s">
        <v>145</v>
      </c>
      <c r="O6" s="359">
        <v>0</v>
      </c>
      <c r="P6" s="349" t="s">
        <v>605</v>
      </c>
      <c r="Q6" s="359">
        <v>125.2</v>
      </c>
      <c r="R6" s="366">
        <f>Таблица3[[#This Row],[Столбец1]]</f>
        <v>2001</v>
      </c>
      <c r="S6" s="366">
        <f ca="1">ROUND(Таблица3[[#This Row],[Столбец4]] *0.99 - RANDBETWEEN(1, 3) - RANDBETWEEN(1,10) / 10, 1)</f>
        <v>70.099999999999994</v>
      </c>
      <c r="T6" s="366">
        <f ca="1">ROUND(SUM(Таблица3[[#This Row],[Столбец6]:[Столбец13]]) * 0.99 - RANDBETWEEN(1, 3) - RANDBETWEEN(1,10) / 10, 1)</f>
        <v>48.4</v>
      </c>
      <c r="U6" s="366">
        <f ca="1">SUM(S6:T6)</f>
        <v>118.5</v>
      </c>
    </row>
    <row r="7" spans="1:21" ht="79.2" hidden="1" x14ac:dyDescent="0.3">
      <c r="A7" s="358">
        <v>2002</v>
      </c>
      <c r="B7" s="349" t="s">
        <v>602</v>
      </c>
      <c r="C7" s="349">
        <v>1</v>
      </c>
      <c r="D7" s="349" t="s">
        <v>603</v>
      </c>
      <c r="E7" s="359">
        <v>53.1</v>
      </c>
      <c r="F7" s="360" t="s">
        <v>145</v>
      </c>
      <c r="G7" s="359">
        <v>0</v>
      </c>
      <c r="H7" s="349" t="s">
        <v>604</v>
      </c>
      <c r="I7" s="359">
        <v>43.1</v>
      </c>
      <c r="J7" s="360" t="s">
        <v>145</v>
      </c>
      <c r="K7" s="359">
        <v>0</v>
      </c>
      <c r="L7" s="349" t="s">
        <v>604</v>
      </c>
      <c r="M7" s="359">
        <v>19.3</v>
      </c>
      <c r="N7" s="360" t="s">
        <v>145</v>
      </c>
      <c r="O7" s="359">
        <v>0</v>
      </c>
      <c r="P7" s="349" t="s">
        <v>605</v>
      </c>
      <c r="Q7" s="359">
        <v>115.4</v>
      </c>
      <c r="R7" s="366">
        <f>Таблица3[[#This Row],[Столбец1]]</f>
        <v>2002</v>
      </c>
      <c r="S7" s="366">
        <f ca="1">ROUND(Таблица3[[#This Row],[Столбец4]] *0.99 - RANDBETWEEN(1, 3) - RANDBETWEEN(1,10) / 10, 1)</f>
        <v>50.9</v>
      </c>
      <c r="T7" s="366">
        <f ca="1">ROUND(SUM(Таблица3[[#This Row],[Столбец6]:[Столбец13]]) * 0.99 - RANDBETWEEN(1, 3) - RANDBETWEEN(1,10) / 10, 1)</f>
        <v>59.6</v>
      </c>
      <c r="U7" s="366">
        <f t="shared" ref="U7" ca="1" si="0">SUM(S7:T7)</f>
        <v>110.5</v>
      </c>
    </row>
    <row r="8" spans="1:21" ht="79.2" hidden="1" x14ac:dyDescent="0.3">
      <c r="A8" s="358">
        <v>2003</v>
      </c>
      <c r="B8" s="349" t="s">
        <v>606</v>
      </c>
      <c r="C8" s="349">
        <v>1</v>
      </c>
      <c r="D8" s="349" t="s">
        <v>603</v>
      </c>
      <c r="E8" s="359">
        <v>144.80000000000001</v>
      </c>
      <c r="F8" s="360" t="s">
        <v>145</v>
      </c>
      <c r="G8" s="359">
        <v>0</v>
      </c>
      <c r="H8" s="349" t="s">
        <v>604</v>
      </c>
      <c r="I8" s="359">
        <v>149.1</v>
      </c>
      <c r="J8" s="360" t="s">
        <v>145</v>
      </c>
      <c r="K8" s="359">
        <v>0</v>
      </c>
      <c r="L8" s="349" t="s">
        <v>604</v>
      </c>
      <c r="M8" s="359">
        <v>22.5</v>
      </c>
      <c r="N8" s="360" t="s">
        <v>145</v>
      </c>
      <c r="O8" s="359">
        <v>0</v>
      </c>
      <c r="P8" s="349" t="s">
        <v>605</v>
      </c>
      <c r="Q8" s="359">
        <v>316.5</v>
      </c>
      <c r="R8" s="366">
        <f>Таблица3[[#This Row],[Столбец1]]</f>
        <v>2003</v>
      </c>
      <c r="S8" s="366">
        <f ca="1">ROUND(Таблица3[[#This Row],[Столбец4]] *0.99 - RANDBETWEEN(1, 3) - RANDBETWEEN(1,10) / 10, 1)</f>
        <v>140.4</v>
      </c>
      <c r="T8" s="366">
        <f ca="1">ROUND(SUM(Таблица3[[#This Row],[Столбец6]:[Столбец13]]) * 0.99 - RANDBETWEEN(1, 3) - RANDBETWEEN(1,10) / 10, 1)</f>
        <v>167.2</v>
      </c>
      <c r="U8" s="366">
        <f t="shared" ref="U8:U71" ca="1" si="1">SUM(S8:T8)</f>
        <v>307.60000000000002</v>
      </c>
    </row>
    <row r="9" spans="1:21" ht="105.6" hidden="1" x14ac:dyDescent="0.3">
      <c r="A9" s="358">
        <v>2004</v>
      </c>
      <c r="B9" s="349" t="s">
        <v>607</v>
      </c>
      <c r="C9" s="349">
        <v>1</v>
      </c>
      <c r="D9" s="349" t="s">
        <v>603</v>
      </c>
      <c r="E9" s="359">
        <v>44.3</v>
      </c>
      <c r="F9" s="360" t="s">
        <v>145</v>
      </c>
      <c r="G9" s="359">
        <v>0</v>
      </c>
      <c r="H9" s="349" t="s">
        <v>604</v>
      </c>
      <c r="I9" s="359">
        <v>24.4</v>
      </c>
      <c r="J9" s="349" t="s">
        <v>608</v>
      </c>
      <c r="K9" s="359">
        <v>9.5</v>
      </c>
      <c r="L9" s="349" t="s">
        <v>604</v>
      </c>
      <c r="M9" s="359">
        <v>37</v>
      </c>
      <c r="N9" s="360" t="s">
        <v>145</v>
      </c>
      <c r="O9" s="359">
        <v>0</v>
      </c>
      <c r="P9" s="349" t="s">
        <v>605</v>
      </c>
      <c r="Q9" s="359">
        <v>115.2</v>
      </c>
      <c r="R9" s="366">
        <f>Таблица3[[#This Row],[Столбец1]]</f>
        <v>2004</v>
      </c>
      <c r="S9" s="366">
        <f ca="1">ROUND(Таблица3[[#This Row],[Столбец4]] *0.99 - RANDBETWEEN(1, 3) - RANDBETWEEN(1,10) / 10, 1)</f>
        <v>40.4</v>
      </c>
      <c r="T9" s="366">
        <f ca="1">ROUND(SUM(Таблица3[[#This Row],[Столбец6]:[Столбец13]]) * 0.99 - RANDBETWEEN(1, 3) - RANDBETWEEN(1,10) / 10, 1)</f>
        <v>68.5</v>
      </c>
      <c r="U9" s="366">
        <f t="shared" ca="1" si="1"/>
        <v>108.9</v>
      </c>
    </row>
    <row r="10" spans="1:21" ht="79.2" hidden="1" x14ac:dyDescent="0.3">
      <c r="A10" s="358">
        <v>2005</v>
      </c>
      <c r="B10" s="349" t="s">
        <v>609</v>
      </c>
      <c r="C10" s="349">
        <v>1</v>
      </c>
      <c r="D10" s="349" t="s">
        <v>603</v>
      </c>
      <c r="E10" s="359">
        <v>23.9</v>
      </c>
      <c r="F10" s="360" t="s">
        <v>145</v>
      </c>
      <c r="G10" s="359">
        <v>0</v>
      </c>
      <c r="H10" s="349" t="s">
        <v>604</v>
      </c>
      <c r="I10" s="359">
        <v>36</v>
      </c>
      <c r="J10" s="360" t="s">
        <v>145</v>
      </c>
      <c r="K10" s="359">
        <v>0</v>
      </c>
      <c r="L10" s="349" t="s">
        <v>604</v>
      </c>
      <c r="M10" s="359">
        <v>4.5</v>
      </c>
      <c r="N10" s="360" t="s">
        <v>145</v>
      </c>
      <c r="O10" s="359">
        <v>0</v>
      </c>
      <c r="P10" s="349" t="s">
        <v>605</v>
      </c>
      <c r="Q10" s="359">
        <v>64.400000000000006</v>
      </c>
      <c r="R10" s="366">
        <f>Таблица3[[#This Row],[Столбец1]]</f>
        <v>2005</v>
      </c>
      <c r="S10" s="366">
        <f ca="1">ROUND(Таблица3[[#This Row],[Столбец4]] *0.99 - RANDBETWEEN(1, 3) - RANDBETWEEN(1,10) / 10, 1)</f>
        <v>20</v>
      </c>
      <c r="T10" s="366">
        <f ca="1">ROUND(SUM(Таблица3[[#This Row],[Столбец6]:[Столбец13]]) * 0.99 - RANDBETWEEN(1, 3) - RANDBETWEEN(1,10) / 10, 1)</f>
        <v>37.6</v>
      </c>
      <c r="U10" s="366">
        <f t="shared" ca="1" si="1"/>
        <v>57.6</v>
      </c>
    </row>
    <row r="11" spans="1:21" ht="79.2" hidden="1" x14ac:dyDescent="0.3">
      <c r="A11" s="358">
        <v>2006</v>
      </c>
      <c r="B11" s="349" t="s">
        <v>610</v>
      </c>
      <c r="C11" s="349" t="s">
        <v>145</v>
      </c>
      <c r="D11" s="349" t="s">
        <v>603</v>
      </c>
      <c r="E11" s="359">
        <v>20.399999999999999</v>
      </c>
      <c r="F11" s="360" t="s">
        <v>145</v>
      </c>
      <c r="G11" s="359">
        <v>0</v>
      </c>
      <c r="H11" s="349" t="s">
        <v>604</v>
      </c>
      <c r="I11" s="359">
        <v>45.8</v>
      </c>
      <c r="J11" s="360" t="s">
        <v>145</v>
      </c>
      <c r="K11" s="359">
        <v>0</v>
      </c>
      <c r="L11" s="360" t="s">
        <v>145</v>
      </c>
      <c r="M11" s="359">
        <v>0</v>
      </c>
      <c r="N11" s="360" t="s">
        <v>145</v>
      </c>
      <c r="O11" s="359">
        <v>0</v>
      </c>
      <c r="P11" s="349" t="s">
        <v>605</v>
      </c>
      <c r="Q11" s="359">
        <v>66.2</v>
      </c>
      <c r="R11" s="366">
        <f>Таблица3[[#This Row],[Столбец1]]</f>
        <v>2006</v>
      </c>
      <c r="S11" s="366">
        <f ca="1">ROUND(Таблица3[[#This Row],[Столбец4]] *0.99 - RANDBETWEEN(1, 3) - RANDBETWEEN(1,10) / 10, 1)</f>
        <v>16.3</v>
      </c>
      <c r="T11" s="366">
        <f ca="1">ROUND(SUM(Таблица3[[#This Row],[Столбец6]:[Столбец13]]) * 0.99 - RANDBETWEEN(1, 3) - RANDBETWEEN(1,10) / 10, 1)</f>
        <v>44.1</v>
      </c>
      <c r="U11" s="366">
        <f t="shared" ca="1" si="1"/>
        <v>60.400000000000006</v>
      </c>
    </row>
    <row r="12" spans="1:21" ht="79.2" hidden="1" x14ac:dyDescent="0.3">
      <c r="A12" s="358">
        <v>2007</v>
      </c>
      <c r="B12" s="349" t="s">
        <v>611</v>
      </c>
      <c r="C12" s="349">
        <v>1</v>
      </c>
      <c r="D12" s="349" t="s">
        <v>603</v>
      </c>
      <c r="E12" s="359">
        <v>27.9</v>
      </c>
      <c r="F12" s="360" t="s">
        <v>145</v>
      </c>
      <c r="G12" s="359">
        <v>0</v>
      </c>
      <c r="H12" s="349" t="s">
        <v>604</v>
      </c>
      <c r="I12" s="359">
        <v>110.2</v>
      </c>
      <c r="J12" s="360" t="s">
        <v>145</v>
      </c>
      <c r="K12" s="359">
        <v>0</v>
      </c>
      <c r="L12" s="349" t="s">
        <v>604</v>
      </c>
      <c r="M12" s="359">
        <v>26.8</v>
      </c>
      <c r="N12" s="360" t="s">
        <v>145</v>
      </c>
      <c r="O12" s="359">
        <v>0</v>
      </c>
      <c r="P12" s="349" t="s">
        <v>605</v>
      </c>
      <c r="Q12" s="359">
        <v>164.9</v>
      </c>
      <c r="R12" s="366">
        <f>Таблица3[[#This Row],[Столбец1]]</f>
        <v>2007</v>
      </c>
      <c r="S12" s="366">
        <f ca="1">ROUND(Таблица3[[#This Row],[Столбец4]] *0.99 - RANDBETWEEN(1, 3) - RANDBETWEEN(1,10) / 10, 1)</f>
        <v>24.3</v>
      </c>
      <c r="T12" s="366">
        <f ca="1">ROUND(SUM(Таблица3[[#This Row],[Столбец6]:[Столбец13]]) * 0.99 - RANDBETWEEN(1, 3) - RANDBETWEEN(1,10) / 10, 1)</f>
        <v>132.69999999999999</v>
      </c>
      <c r="U12" s="366">
        <f t="shared" ca="1" si="1"/>
        <v>157</v>
      </c>
    </row>
    <row r="13" spans="1:21" ht="79.2" hidden="1" x14ac:dyDescent="0.3">
      <c r="A13" s="358">
        <v>2008</v>
      </c>
      <c r="B13" s="349" t="s">
        <v>612</v>
      </c>
      <c r="C13" s="349">
        <v>1</v>
      </c>
      <c r="D13" s="349" t="s">
        <v>603</v>
      </c>
      <c r="E13" s="359">
        <v>101.7</v>
      </c>
      <c r="F13" s="360" t="s">
        <v>145</v>
      </c>
      <c r="G13" s="359">
        <v>0</v>
      </c>
      <c r="H13" s="360" t="s">
        <v>145</v>
      </c>
      <c r="I13" s="359">
        <v>0</v>
      </c>
      <c r="J13" s="360" t="s">
        <v>145</v>
      </c>
      <c r="K13" s="359">
        <v>0</v>
      </c>
      <c r="L13" s="360" t="s">
        <v>145</v>
      </c>
      <c r="M13" s="359">
        <v>0</v>
      </c>
      <c r="N13" s="360" t="s">
        <v>145</v>
      </c>
      <c r="O13" s="359">
        <v>0</v>
      </c>
      <c r="P13" s="349" t="s">
        <v>605</v>
      </c>
      <c r="Q13" s="359">
        <v>101.7</v>
      </c>
      <c r="R13" s="366">
        <f>Таблица3[[#This Row],[Столбец1]]</f>
        <v>2008</v>
      </c>
      <c r="S13" s="366">
        <f ca="1">ROUND(Таблица3[[#This Row],[Столбец4]] *0.99 - RANDBETWEEN(1, 3) - RANDBETWEEN(1,10) / 10, 1)</f>
        <v>98.1</v>
      </c>
      <c r="T13" s="366">
        <f ca="1">ROUND(SUM(Таблица3[[#This Row],[Столбец6]:[Столбец13]]) * 0.99 - RANDBETWEEN(1, 3) - RANDBETWEEN(1,10) / 10, 1)</f>
        <v>-3.8</v>
      </c>
      <c r="U13" s="366">
        <f t="shared" ca="1" si="1"/>
        <v>94.3</v>
      </c>
    </row>
    <row r="14" spans="1:21" ht="79.2" hidden="1" x14ac:dyDescent="0.3">
      <c r="A14" s="361">
        <v>2009</v>
      </c>
      <c r="B14" s="351" t="s">
        <v>613</v>
      </c>
      <c r="C14" s="351">
        <v>1</v>
      </c>
      <c r="D14" s="351" t="s">
        <v>603</v>
      </c>
      <c r="E14" s="362">
        <v>35.9</v>
      </c>
      <c r="F14" s="363" t="s">
        <v>145</v>
      </c>
      <c r="G14" s="362">
        <v>0</v>
      </c>
      <c r="H14" s="363" t="s">
        <v>145</v>
      </c>
      <c r="I14" s="362">
        <v>0</v>
      </c>
      <c r="J14" s="363" t="s">
        <v>145</v>
      </c>
      <c r="K14" s="362">
        <v>0</v>
      </c>
      <c r="L14" s="351" t="s">
        <v>604</v>
      </c>
      <c r="M14" s="362">
        <v>13.1</v>
      </c>
      <c r="N14" s="363" t="s">
        <v>145</v>
      </c>
      <c r="O14" s="362">
        <v>0</v>
      </c>
      <c r="P14" s="351" t="s">
        <v>605</v>
      </c>
      <c r="Q14" s="362">
        <v>49</v>
      </c>
      <c r="R14" s="366">
        <f>Таблица3[[#This Row],[Столбец1]]</f>
        <v>2009</v>
      </c>
      <c r="S14" s="366">
        <f ca="1">ROUND(Таблица3[[#This Row],[Столбец4]] *0.99 - RANDBETWEEN(1, 3) - RANDBETWEEN(1,10) / 10, 1)</f>
        <v>33.299999999999997</v>
      </c>
      <c r="T14" s="366">
        <f ca="1">ROUND(SUM(Таблица3[[#This Row],[Столбец6]:[Столбец13]]) * 0.99 - RANDBETWEEN(1, 3) - RANDBETWEEN(1,10) / 10, 1)</f>
        <v>10.1</v>
      </c>
      <c r="U14" s="366">
        <f t="shared" ca="1" si="1"/>
        <v>43.4</v>
      </c>
    </row>
    <row r="15" spans="1:21" ht="92.4" hidden="1" x14ac:dyDescent="0.3">
      <c r="A15" s="361">
        <v>2010</v>
      </c>
      <c r="B15" s="351" t="s">
        <v>614</v>
      </c>
      <c r="C15" s="351">
        <v>1</v>
      </c>
      <c r="D15" s="351" t="s">
        <v>615</v>
      </c>
      <c r="E15" s="364">
        <v>10.8</v>
      </c>
      <c r="F15" s="363" t="s">
        <v>145</v>
      </c>
      <c r="G15" s="362">
        <v>0</v>
      </c>
      <c r="H15" s="351" t="s">
        <v>616</v>
      </c>
      <c r="I15" s="362">
        <v>36.9</v>
      </c>
      <c r="J15" s="363" t="s">
        <v>145</v>
      </c>
      <c r="K15" s="362">
        <v>0</v>
      </c>
      <c r="L15" s="351" t="s">
        <v>616</v>
      </c>
      <c r="M15" s="362">
        <v>43.1</v>
      </c>
      <c r="N15" s="363" t="s">
        <v>145</v>
      </c>
      <c r="O15" s="362">
        <v>0</v>
      </c>
      <c r="P15" s="351" t="s">
        <v>605</v>
      </c>
      <c r="Q15" s="362">
        <v>100.8</v>
      </c>
      <c r="R15" s="366">
        <f>Таблица3[[#This Row],[Столбец1]]</f>
        <v>2010</v>
      </c>
      <c r="S15" s="366">
        <f ca="1">ROUND(Таблица3[[#This Row],[Столбец4]] *0.99 - RANDBETWEEN(1, 3) - RANDBETWEEN(1,10) / 10, 1)</f>
        <v>7</v>
      </c>
      <c r="T15" s="366">
        <f ca="1">ROUND(SUM(Таблица3[[#This Row],[Столбец6]:[Столбец13]]) * 0.99 - RANDBETWEEN(1, 3) - RANDBETWEEN(1,10) / 10, 1)</f>
        <v>78.099999999999994</v>
      </c>
      <c r="U15" s="366">
        <f t="shared" ca="1" si="1"/>
        <v>85.1</v>
      </c>
    </row>
    <row r="16" spans="1:21" ht="92.4" hidden="1" x14ac:dyDescent="0.3">
      <c r="A16" s="358">
        <v>2011</v>
      </c>
      <c r="B16" s="349" t="s">
        <v>617</v>
      </c>
      <c r="C16" s="349">
        <v>1</v>
      </c>
      <c r="D16" s="360" t="s">
        <v>145</v>
      </c>
      <c r="E16" s="359">
        <v>0</v>
      </c>
      <c r="F16" s="360" t="s">
        <v>145</v>
      </c>
      <c r="G16" s="359">
        <v>0</v>
      </c>
      <c r="H16" s="349" t="s">
        <v>616</v>
      </c>
      <c r="I16" s="359">
        <v>3</v>
      </c>
      <c r="J16" s="360" t="s">
        <v>145</v>
      </c>
      <c r="K16" s="359">
        <v>0</v>
      </c>
      <c r="L16" s="349" t="s">
        <v>616</v>
      </c>
      <c r="M16" s="359">
        <v>30</v>
      </c>
      <c r="N16" s="360" t="s">
        <v>145</v>
      </c>
      <c r="O16" s="359">
        <v>0</v>
      </c>
      <c r="P16" s="349" t="s">
        <v>605</v>
      </c>
      <c r="Q16" s="359">
        <v>33</v>
      </c>
      <c r="R16" s="366">
        <f>Таблица3[[#This Row],[Столбец1]]</f>
        <v>2011</v>
      </c>
      <c r="S16" s="366">
        <f ca="1">ROUND(Таблица3[[#This Row],[Столбец4]] *0.99 - RANDBETWEEN(1, 3) - RANDBETWEEN(1,10) / 10, 1)</f>
        <v>-1.1000000000000001</v>
      </c>
      <c r="T16" s="366">
        <f ca="1">ROUND(SUM(Таблица3[[#This Row],[Столбец6]:[Столбец13]]) * 0.99 - RANDBETWEEN(1, 3) - RANDBETWEEN(1,10) / 10, 1)</f>
        <v>31</v>
      </c>
      <c r="U16" s="366">
        <f t="shared" ca="1" si="1"/>
        <v>29.9</v>
      </c>
    </row>
    <row r="17" spans="1:21" ht="79.2" hidden="1" x14ac:dyDescent="0.3">
      <c r="A17" s="358">
        <v>2012</v>
      </c>
      <c r="B17" s="349" t="s">
        <v>618</v>
      </c>
      <c r="C17" s="349">
        <v>1</v>
      </c>
      <c r="D17" s="349" t="s">
        <v>603</v>
      </c>
      <c r="E17" s="359">
        <v>25.9</v>
      </c>
      <c r="F17" s="360" t="s">
        <v>145</v>
      </c>
      <c r="G17" s="359">
        <v>0</v>
      </c>
      <c r="H17" s="349" t="s">
        <v>604</v>
      </c>
      <c r="I17" s="359">
        <v>61.5</v>
      </c>
      <c r="J17" s="360" t="s">
        <v>145</v>
      </c>
      <c r="K17" s="359">
        <v>0</v>
      </c>
      <c r="L17" s="349" t="s">
        <v>604</v>
      </c>
      <c r="M17" s="359">
        <v>28.7</v>
      </c>
      <c r="N17" s="360" t="s">
        <v>145</v>
      </c>
      <c r="O17" s="359">
        <v>0</v>
      </c>
      <c r="P17" s="349" t="s">
        <v>605</v>
      </c>
      <c r="Q17" s="359">
        <v>116.2</v>
      </c>
      <c r="R17" s="366">
        <f>Таблица3[[#This Row],[Столбец1]]</f>
        <v>2012</v>
      </c>
      <c r="S17" s="366">
        <f ca="1">ROUND(Таблица3[[#This Row],[Столбец4]] *0.99 - RANDBETWEEN(1, 3) - RANDBETWEEN(1,10) / 10, 1)</f>
        <v>22.5</v>
      </c>
      <c r="T17" s="366">
        <f ca="1">ROUND(SUM(Таблица3[[#This Row],[Столбец6]:[Столбец13]]) * 0.99 - RANDBETWEEN(1, 3) - RANDBETWEEN(1,10) / 10, 1)</f>
        <v>87.4</v>
      </c>
      <c r="U17" s="366">
        <f t="shared" ca="1" si="1"/>
        <v>109.9</v>
      </c>
    </row>
    <row r="18" spans="1:21" ht="79.2" hidden="1" x14ac:dyDescent="0.3">
      <c r="A18" s="358">
        <v>2013</v>
      </c>
      <c r="B18" s="349" t="s">
        <v>618</v>
      </c>
      <c r="C18" s="349">
        <v>1</v>
      </c>
      <c r="D18" s="349" t="s">
        <v>603</v>
      </c>
      <c r="E18" s="359">
        <v>26.5</v>
      </c>
      <c r="F18" s="360" t="s">
        <v>145</v>
      </c>
      <c r="G18" s="359">
        <v>0</v>
      </c>
      <c r="H18" s="349" t="s">
        <v>604</v>
      </c>
      <c r="I18" s="359">
        <v>63</v>
      </c>
      <c r="J18" s="360" t="s">
        <v>145</v>
      </c>
      <c r="K18" s="359">
        <v>0</v>
      </c>
      <c r="L18" s="349" t="s">
        <v>604</v>
      </c>
      <c r="M18" s="359">
        <v>26.8</v>
      </c>
      <c r="N18" s="360" t="s">
        <v>145</v>
      </c>
      <c r="O18" s="359">
        <v>0</v>
      </c>
      <c r="P18" s="349" t="s">
        <v>605</v>
      </c>
      <c r="Q18" s="359">
        <v>116.2</v>
      </c>
      <c r="R18" s="366">
        <f>Таблица3[[#This Row],[Столбец1]]</f>
        <v>2013</v>
      </c>
      <c r="S18" s="366">
        <f ca="1">ROUND(Таблица3[[#This Row],[Столбец4]] *0.99 - RANDBETWEEN(1, 3) - RANDBETWEEN(1,10) / 10, 1)</f>
        <v>25</v>
      </c>
      <c r="T18" s="366">
        <f ca="1">ROUND(SUM(Таблица3[[#This Row],[Столбец6]:[Столбец13]]) * 0.99 - RANDBETWEEN(1, 3) - RANDBETWEEN(1,10) / 10, 1)</f>
        <v>85.1</v>
      </c>
      <c r="U18" s="366">
        <f t="shared" ca="1" si="1"/>
        <v>110.1</v>
      </c>
    </row>
    <row r="19" spans="1:21" ht="79.2" hidden="1" x14ac:dyDescent="0.3">
      <c r="A19" s="358">
        <v>2014</v>
      </c>
      <c r="B19" s="349" t="s">
        <v>618</v>
      </c>
      <c r="C19" s="349">
        <v>1</v>
      </c>
      <c r="D19" s="349" t="s">
        <v>603</v>
      </c>
      <c r="E19" s="359">
        <v>41.1</v>
      </c>
      <c r="F19" s="360" t="s">
        <v>145</v>
      </c>
      <c r="G19" s="359">
        <v>0</v>
      </c>
      <c r="H19" s="349" t="s">
        <v>604</v>
      </c>
      <c r="I19" s="359">
        <v>61.3</v>
      </c>
      <c r="J19" s="360" t="s">
        <v>145</v>
      </c>
      <c r="K19" s="359">
        <v>0</v>
      </c>
      <c r="L19" s="349" t="s">
        <v>604</v>
      </c>
      <c r="M19" s="359">
        <v>15.2</v>
      </c>
      <c r="N19" s="360" t="s">
        <v>145</v>
      </c>
      <c r="O19" s="359">
        <v>0</v>
      </c>
      <c r="P19" s="349" t="s">
        <v>605</v>
      </c>
      <c r="Q19" s="359">
        <v>117.6</v>
      </c>
      <c r="R19" s="366">
        <f>Таблица3[[#This Row],[Столбец1]]</f>
        <v>2014</v>
      </c>
      <c r="S19" s="366">
        <f ca="1">ROUND(Таблица3[[#This Row],[Столбец4]] *0.99 - RANDBETWEEN(1, 3) - RANDBETWEEN(1,10) / 10, 1)</f>
        <v>37.4</v>
      </c>
      <c r="T19" s="366">
        <f ca="1">ROUND(SUM(Таблица3[[#This Row],[Столбец6]:[Столбец13]]) * 0.99 - RANDBETWEEN(1, 3) - RANDBETWEEN(1,10) / 10, 1)</f>
        <v>73</v>
      </c>
      <c r="U19" s="366">
        <f t="shared" ca="1" si="1"/>
        <v>110.4</v>
      </c>
    </row>
    <row r="20" spans="1:21" ht="79.2" hidden="1" x14ac:dyDescent="0.3">
      <c r="A20" s="358">
        <v>2015</v>
      </c>
      <c r="B20" s="349" t="s">
        <v>618</v>
      </c>
      <c r="C20" s="349">
        <v>2</v>
      </c>
      <c r="D20" s="349" t="s">
        <v>603</v>
      </c>
      <c r="E20" s="359">
        <v>34.299999999999997</v>
      </c>
      <c r="F20" s="360" t="s">
        <v>145</v>
      </c>
      <c r="G20" s="359">
        <v>0</v>
      </c>
      <c r="H20" s="349" t="s">
        <v>604</v>
      </c>
      <c r="I20" s="359">
        <v>59.8</v>
      </c>
      <c r="J20" s="360" t="s">
        <v>145</v>
      </c>
      <c r="K20" s="359">
        <v>0</v>
      </c>
      <c r="L20" s="349" t="s">
        <v>604</v>
      </c>
      <c r="M20" s="359">
        <v>25.1</v>
      </c>
      <c r="N20" s="360" t="s">
        <v>145</v>
      </c>
      <c r="O20" s="359">
        <v>0</v>
      </c>
      <c r="P20" s="349" t="s">
        <v>605</v>
      </c>
      <c r="Q20" s="359">
        <v>119.3</v>
      </c>
      <c r="R20" s="366">
        <f>Таблица3[[#This Row],[Столбец1]]</f>
        <v>2015</v>
      </c>
      <c r="S20" s="366">
        <f ca="1">ROUND(Таблица3[[#This Row],[Столбец4]] *0.99 - RANDBETWEEN(1, 3) - RANDBETWEEN(1,10) / 10, 1)</f>
        <v>30.1</v>
      </c>
      <c r="T20" s="366">
        <f ca="1">ROUND(SUM(Таблица3[[#This Row],[Столбец6]:[Столбец13]]) * 0.99 - RANDBETWEEN(1, 3) - RANDBETWEEN(1,10) / 10, 1)</f>
        <v>82.8</v>
      </c>
      <c r="U20" s="366">
        <f t="shared" ca="1" si="1"/>
        <v>112.9</v>
      </c>
    </row>
    <row r="21" spans="1:21" ht="79.2" hidden="1" x14ac:dyDescent="0.3">
      <c r="A21" s="358">
        <v>2016</v>
      </c>
      <c r="B21" s="349" t="s">
        <v>618</v>
      </c>
      <c r="C21" s="349">
        <v>2</v>
      </c>
      <c r="D21" s="349" t="s">
        <v>603</v>
      </c>
      <c r="E21" s="359">
        <v>52.6</v>
      </c>
      <c r="F21" s="360" t="s">
        <v>145</v>
      </c>
      <c r="G21" s="359">
        <v>0</v>
      </c>
      <c r="H21" s="349" t="s">
        <v>604</v>
      </c>
      <c r="I21" s="359">
        <v>49.3</v>
      </c>
      <c r="J21" s="360" t="s">
        <v>145</v>
      </c>
      <c r="K21" s="359">
        <v>0</v>
      </c>
      <c r="L21" s="349" t="s">
        <v>604</v>
      </c>
      <c r="M21" s="359">
        <v>12.2</v>
      </c>
      <c r="N21" s="360" t="s">
        <v>145</v>
      </c>
      <c r="O21" s="359">
        <v>0</v>
      </c>
      <c r="P21" s="349" t="s">
        <v>605</v>
      </c>
      <c r="Q21" s="359">
        <v>114.1</v>
      </c>
      <c r="R21" s="366">
        <f>Таблица3[[#This Row],[Столбец1]]</f>
        <v>2016</v>
      </c>
      <c r="S21" s="366">
        <f ca="1">ROUND(Таблица3[[#This Row],[Столбец4]] *0.99 - RANDBETWEEN(1, 3) - RANDBETWEEN(1,10) / 10, 1)</f>
        <v>50</v>
      </c>
      <c r="T21" s="366">
        <f ca="1">ROUND(SUM(Таблица3[[#This Row],[Столбец6]:[Столбец13]]) * 0.99 - RANDBETWEEN(1, 3) - RANDBETWEEN(1,10) / 10, 1)</f>
        <v>58.3</v>
      </c>
      <c r="U21" s="366">
        <f t="shared" ca="1" si="1"/>
        <v>108.3</v>
      </c>
    </row>
    <row r="22" spans="1:21" ht="105.6" hidden="1" x14ac:dyDescent="0.3">
      <c r="A22" s="358">
        <v>2017</v>
      </c>
      <c r="B22" s="349" t="s">
        <v>606</v>
      </c>
      <c r="C22" s="349">
        <v>2</v>
      </c>
      <c r="D22" s="349" t="s">
        <v>603</v>
      </c>
      <c r="E22" s="359">
        <v>174.9</v>
      </c>
      <c r="F22" s="360" t="s">
        <v>145</v>
      </c>
      <c r="G22" s="359">
        <v>0</v>
      </c>
      <c r="H22" s="349" t="s">
        <v>604</v>
      </c>
      <c r="I22" s="359">
        <v>145.6</v>
      </c>
      <c r="J22" s="349" t="s">
        <v>608</v>
      </c>
      <c r="K22" s="359">
        <v>10.6</v>
      </c>
      <c r="L22" s="349" t="s">
        <v>604</v>
      </c>
      <c r="M22" s="359">
        <v>33</v>
      </c>
      <c r="N22" s="360" t="s">
        <v>145</v>
      </c>
      <c r="O22" s="359">
        <v>0</v>
      </c>
      <c r="P22" s="349" t="s">
        <v>605</v>
      </c>
      <c r="Q22" s="359">
        <v>364</v>
      </c>
      <c r="R22" s="366">
        <f>Таблица3[[#This Row],[Столбец1]]</f>
        <v>2017</v>
      </c>
      <c r="S22" s="366">
        <f ca="1">ROUND(Таблица3[[#This Row],[Столбец4]] *0.99 - RANDBETWEEN(1, 3) - RANDBETWEEN(1,10) / 10, 1)</f>
        <v>171.9</v>
      </c>
      <c r="T22" s="366">
        <f ca="1">ROUND(SUM(Таблица3[[#This Row],[Столбец6]:[Столбец13]]) * 0.99 - RANDBETWEEN(1, 3) - RANDBETWEEN(1,10) / 10, 1)</f>
        <v>183.5</v>
      </c>
      <c r="U22" s="366">
        <f t="shared" ca="1" si="1"/>
        <v>355.4</v>
      </c>
    </row>
    <row r="23" spans="1:21" ht="92.4" hidden="1" x14ac:dyDescent="0.3">
      <c r="A23" s="358">
        <v>2018</v>
      </c>
      <c r="B23" s="349" t="s">
        <v>619</v>
      </c>
      <c r="C23" s="349">
        <v>2</v>
      </c>
      <c r="D23" s="349" t="s">
        <v>615</v>
      </c>
      <c r="E23" s="365">
        <v>26.1</v>
      </c>
      <c r="F23" s="360" t="s">
        <v>145</v>
      </c>
      <c r="G23" s="359">
        <v>0</v>
      </c>
      <c r="H23" s="349" t="s">
        <v>616</v>
      </c>
      <c r="I23" s="359">
        <v>10.4</v>
      </c>
      <c r="J23" s="360" t="s">
        <v>145</v>
      </c>
      <c r="K23" s="359">
        <v>0</v>
      </c>
      <c r="L23" s="349" t="s">
        <v>616</v>
      </c>
      <c r="M23" s="359">
        <v>41.9</v>
      </c>
      <c r="N23" s="360" t="s">
        <v>145</v>
      </c>
      <c r="O23" s="359">
        <v>0</v>
      </c>
      <c r="P23" s="349" t="s">
        <v>605</v>
      </c>
      <c r="Q23" s="359">
        <v>78.400000000000006</v>
      </c>
      <c r="R23" s="366">
        <f>Таблица3[[#This Row],[Столбец1]]</f>
        <v>2018</v>
      </c>
      <c r="S23" s="366">
        <f ca="1">ROUND(Таблица3[[#This Row],[Столбец4]] *0.99 - RANDBETWEEN(1, 3) - RANDBETWEEN(1,10) / 10, 1)</f>
        <v>24.3</v>
      </c>
      <c r="T23" s="366">
        <f ca="1">ROUND(SUM(Таблица3[[#This Row],[Столбец6]:[Столбец13]]) * 0.99 - RANDBETWEEN(1, 3) - RANDBETWEEN(1,10) / 10, 1)</f>
        <v>49.5</v>
      </c>
      <c r="U23" s="366">
        <f t="shared" ca="1" si="1"/>
        <v>73.8</v>
      </c>
    </row>
    <row r="24" spans="1:21" ht="79.2" hidden="1" x14ac:dyDescent="0.3">
      <c r="A24" s="361">
        <v>2019</v>
      </c>
      <c r="B24" s="351" t="s">
        <v>612</v>
      </c>
      <c r="C24" s="351">
        <v>2</v>
      </c>
      <c r="D24" s="351" t="s">
        <v>603</v>
      </c>
      <c r="E24" s="362">
        <v>102.3</v>
      </c>
      <c r="F24" s="363" t="s">
        <v>145</v>
      </c>
      <c r="G24" s="362">
        <v>0</v>
      </c>
      <c r="H24" s="351" t="s">
        <v>604</v>
      </c>
      <c r="I24" s="362">
        <v>14.6</v>
      </c>
      <c r="J24" s="363" t="s">
        <v>145</v>
      </c>
      <c r="K24" s="362">
        <v>0</v>
      </c>
      <c r="L24" s="363" t="s">
        <v>145</v>
      </c>
      <c r="M24" s="362">
        <v>0</v>
      </c>
      <c r="N24" s="363" t="s">
        <v>145</v>
      </c>
      <c r="O24" s="362">
        <v>0</v>
      </c>
      <c r="P24" s="351" t="s">
        <v>605</v>
      </c>
      <c r="Q24" s="362">
        <v>116.8</v>
      </c>
      <c r="R24" s="366">
        <f>Таблица3[[#This Row],[Столбец1]]</f>
        <v>2019</v>
      </c>
      <c r="S24" s="366">
        <f ca="1">ROUND(Таблица3[[#This Row],[Столбец4]] *0.99 - RANDBETWEEN(1, 3) - RANDBETWEEN(1,10) / 10, 1)</f>
        <v>100.1</v>
      </c>
      <c r="T24" s="366">
        <f ca="1">ROUND(SUM(Таблица3[[#This Row],[Столбец6]:[Столбец13]]) * 0.99 - RANDBETWEEN(1, 3) - RANDBETWEEN(1,10) / 10, 1)</f>
        <v>13.4</v>
      </c>
      <c r="U24" s="366">
        <f t="shared" ca="1" si="1"/>
        <v>113.5</v>
      </c>
    </row>
    <row r="25" spans="1:21" ht="92.4" hidden="1" x14ac:dyDescent="0.3">
      <c r="A25" s="358">
        <v>2020</v>
      </c>
      <c r="B25" s="349" t="s">
        <v>620</v>
      </c>
      <c r="C25" s="349">
        <v>2</v>
      </c>
      <c r="D25" s="349" t="s">
        <v>615</v>
      </c>
      <c r="E25" s="365">
        <v>16.3</v>
      </c>
      <c r="F25" s="360" t="s">
        <v>145</v>
      </c>
      <c r="G25" s="359">
        <v>0</v>
      </c>
      <c r="H25" s="349" t="s">
        <v>616</v>
      </c>
      <c r="I25" s="359">
        <v>12.9</v>
      </c>
      <c r="J25" s="360" t="s">
        <v>145</v>
      </c>
      <c r="K25" s="359">
        <v>0</v>
      </c>
      <c r="L25" s="349" t="s">
        <v>616</v>
      </c>
      <c r="M25" s="359">
        <v>19.899999999999999</v>
      </c>
      <c r="N25" s="360" t="s">
        <v>145</v>
      </c>
      <c r="O25" s="359">
        <v>0</v>
      </c>
      <c r="P25" s="349" t="s">
        <v>605</v>
      </c>
      <c r="Q25" s="359">
        <v>49.1</v>
      </c>
      <c r="R25" s="366">
        <f>Таблица3[[#This Row],[Столбец1]]</f>
        <v>2020</v>
      </c>
      <c r="S25" s="366">
        <f ca="1">ROUND(Таблица3[[#This Row],[Столбец4]] *0.99 - RANDBETWEEN(1, 3) - RANDBETWEEN(1,10) / 10, 1)</f>
        <v>14.8</v>
      </c>
      <c r="T25" s="366">
        <f ca="1">ROUND(SUM(Таблица3[[#This Row],[Столбец6]:[Столбец13]]) * 0.99 - RANDBETWEEN(1, 3) - RANDBETWEEN(1,10) / 10, 1)</f>
        <v>29.9</v>
      </c>
      <c r="U25" s="366">
        <f t="shared" ca="1" si="1"/>
        <v>44.7</v>
      </c>
    </row>
    <row r="26" spans="1:21" ht="92.4" hidden="1" x14ac:dyDescent="0.3">
      <c r="A26" s="358">
        <v>2021</v>
      </c>
      <c r="B26" s="349" t="s">
        <v>621</v>
      </c>
      <c r="C26" s="349">
        <v>2</v>
      </c>
      <c r="D26" s="349" t="s">
        <v>615</v>
      </c>
      <c r="E26" s="365">
        <v>7.4</v>
      </c>
      <c r="F26" s="360" t="s">
        <v>145</v>
      </c>
      <c r="G26" s="359">
        <v>0</v>
      </c>
      <c r="H26" s="360" t="s">
        <v>145</v>
      </c>
      <c r="I26" s="359">
        <v>0</v>
      </c>
      <c r="J26" s="360" t="s">
        <v>145</v>
      </c>
      <c r="K26" s="359">
        <v>0</v>
      </c>
      <c r="L26" s="349" t="s">
        <v>616</v>
      </c>
      <c r="M26" s="359">
        <v>26.3</v>
      </c>
      <c r="N26" s="360" t="s">
        <v>145</v>
      </c>
      <c r="O26" s="359">
        <v>0</v>
      </c>
      <c r="P26" s="349" t="s">
        <v>605</v>
      </c>
      <c r="Q26" s="359">
        <v>33.799999999999997</v>
      </c>
      <c r="R26" s="366">
        <f>Таблица3[[#This Row],[Столбец1]]</f>
        <v>2021</v>
      </c>
      <c r="S26" s="366">
        <f ca="1">ROUND(Таблица3[[#This Row],[Столбец4]] *0.99 - RANDBETWEEN(1, 3) - RANDBETWEEN(1,10) / 10, 1)</f>
        <v>5.9</v>
      </c>
      <c r="T26" s="366">
        <f ca="1">ROUND(SUM(Таблица3[[#This Row],[Столбец6]:[Столбец13]]) * 0.99 - RANDBETWEEN(1, 3) - RANDBETWEEN(1,10) / 10, 1)</f>
        <v>24.9</v>
      </c>
      <c r="U26" s="366">
        <f t="shared" ca="1" si="1"/>
        <v>30.799999999999997</v>
      </c>
    </row>
    <row r="27" spans="1:21" ht="105.6" hidden="1" x14ac:dyDescent="0.3">
      <c r="A27" s="358">
        <v>2022</v>
      </c>
      <c r="B27" s="349" t="s">
        <v>622</v>
      </c>
      <c r="C27" s="349">
        <v>3</v>
      </c>
      <c r="D27" s="349" t="s">
        <v>603</v>
      </c>
      <c r="E27" s="359">
        <v>197.9</v>
      </c>
      <c r="F27" s="360" t="s">
        <v>145</v>
      </c>
      <c r="G27" s="359">
        <v>0</v>
      </c>
      <c r="H27" s="349" t="s">
        <v>604</v>
      </c>
      <c r="I27" s="359">
        <v>153.30000000000001</v>
      </c>
      <c r="J27" s="349" t="s">
        <v>608</v>
      </c>
      <c r="K27" s="359">
        <v>35.299999999999997</v>
      </c>
      <c r="L27" s="349" t="s">
        <v>604</v>
      </c>
      <c r="M27" s="359">
        <v>137.1</v>
      </c>
      <c r="N27" s="360" t="s">
        <v>145</v>
      </c>
      <c r="O27" s="359">
        <v>0</v>
      </c>
      <c r="P27" s="349" t="s">
        <v>605</v>
      </c>
      <c r="Q27" s="359">
        <v>523.6</v>
      </c>
      <c r="R27" s="366">
        <f>Таблица3[[#This Row],[Столбец1]]</f>
        <v>2022</v>
      </c>
      <c r="S27" s="366">
        <f ca="1">ROUND(Таблица3[[#This Row],[Столбец4]] *0.99 - RANDBETWEEN(1, 3) - RANDBETWEEN(1,10) / 10, 1)</f>
        <v>193.9</v>
      </c>
      <c r="T27" s="366">
        <f ca="1">ROUND(SUM(Таблица3[[#This Row],[Столбец6]:[Столбец13]]) * 0.99 - RANDBETWEEN(1, 3) - RANDBETWEEN(1,10) / 10, 1)</f>
        <v>320.2</v>
      </c>
      <c r="U27" s="366">
        <f t="shared" ca="1" si="1"/>
        <v>514.1</v>
      </c>
    </row>
    <row r="28" spans="1:21" ht="79.2" hidden="1" x14ac:dyDescent="0.3">
      <c r="A28" s="358">
        <v>2023</v>
      </c>
      <c r="B28" s="349" t="s">
        <v>612</v>
      </c>
      <c r="C28" s="349">
        <v>3</v>
      </c>
      <c r="D28" s="349" t="s">
        <v>603</v>
      </c>
      <c r="E28" s="359">
        <v>78.400000000000006</v>
      </c>
      <c r="F28" s="360" t="s">
        <v>145</v>
      </c>
      <c r="G28" s="359">
        <v>0</v>
      </c>
      <c r="H28" s="349" t="s">
        <v>604</v>
      </c>
      <c r="I28" s="359">
        <v>14.5</v>
      </c>
      <c r="J28" s="360" t="s">
        <v>145</v>
      </c>
      <c r="K28" s="359">
        <v>0</v>
      </c>
      <c r="L28" s="360" t="s">
        <v>145</v>
      </c>
      <c r="M28" s="359">
        <v>0</v>
      </c>
      <c r="N28" s="360" t="s">
        <v>145</v>
      </c>
      <c r="O28" s="359">
        <v>0</v>
      </c>
      <c r="P28" s="349" t="s">
        <v>605</v>
      </c>
      <c r="Q28" s="359">
        <v>92.8</v>
      </c>
      <c r="R28" s="366">
        <f>Таблица3[[#This Row],[Столбец1]]</f>
        <v>2023</v>
      </c>
      <c r="S28" s="366">
        <f ca="1">ROUND(Таблица3[[#This Row],[Столбец4]] *0.99 - RANDBETWEEN(1, 3) - RANDBETWEEN(1,10) / 10, 1)</f>
        <v>74.900000000000006</v>
      </c>
      <c r="T28" s="366">
        <f ca="1">ROUND(SUM(Таблица3[[#This Row],[Столбец6]:[Столбец13]]) * 0.99 - RANDBETWEEN(1, 3) - RANDBETWEEN(1,10) / 10, 1)</f>
        <v>10.7</v>
      </c>
      <c r="U28" s="366">
        <f t="shared" ca="1" si="1"/>
        <v>85.600000000000009</v>
      </c>
    </row>
    <row r="29" spans="1:21" ht="79.2" hidden="1" x14ac:dyDescent="0.3">
      <c r="A29" s="358">
        <v>2024</v>
      </c>
      <c r="B29" s="349" t="s">
        <v>612</v>
      </c>
      <c r="C29" s="349">
        <v>3</v>
      </c>
      <c r="D29" s="349" t="s">
        <v>603</v>
      </c>
      <c r="E29" s="359">
        <v>89.8</v>
      </c>
      <c r="F29" s="360" t="s">
        <v>145</v>
      </c>
      <c r="G29" s="359">
        <v>0</v>
      </c>
      <c r="H29" s="360" t="s">
        <v>145</v>
      </c>
      <c r="I29" s="359">
        <v>0</v>
      </c>
      <c r="J29" s="360" t="s">
        <v>145</v>
      </c>
      <c r="K29" s="359">
        <v>0</v>
      </c>
      <c r="L29" s="360" t="s">
        <v>145</v>
      </c>
      <c r="M29" s="359">
        <v>0</v>
      </c>
      <c r="N29" s="360" t="s">
        <v>145</v>
      </c>
      <c r="O29" s="359">
        <v>0</v>
      </c>
      <c r="P29" s="349" t="s">
        <v>605</v>
      </c>
      <c r="Q29" s="359">
        <v>89.8</v>
      </c>
      <c r="R29" s="366">
        <f>Таблица3[[#This Row],[Столбец1]]</f>
        <v>2024</v>
      </c>
      <c r="S29" s="366">
        <f ca="1">ROUND(Таблица3[[#This Row],[Столбец4]] *0.99 - RANDBETWEEN(1, 3) - RANDBETWEEN(1,10) / 10, 1)</f>
        <v>86.9</v>
      </c>
      <c r="T29" s="366">
        <f ca="1">ROUND(SUM(Таблица3[[#This Row],[Столбец6]:[Столбец13]]) * 0.99 - RANDBETWEEN(1, 3) - RANDBETWEEN(1,10) / 10, 1)</f>
        <v>-4</v>
      </c>
      <c r="U29" s="366">
        <f t="shared" ca="1" si="1"/>
        <v>82.9</v>
      </c>
    </row>
    <row r="30" spans="1:21" ht="79.2" hidden="1" x14ac:dyDescent="0.3">
      <c r="A30" s="358">
        <v>2025</v>
      </c>
      <c r="B30" s="360" t="s">
        <v>588</v>
      </c>
      <c r="C30" s="360">
        <v>3</v>
      </c>
      <c r="D30" s="349" t="s">
        <v>603</v>
      </c>
      <c r="E30" s="359">
        <v>35.9</v>
      </c>
      <c r="F30" s="360" t="s">
        <v>145</v>
      </c>
      <c r="G30" s="359">
        <v>0</v>
      </c>
      <c r="H30" s="349" t="s">
        <v>604</v>
      </c>
      <c r="I30" s="359">
        <v>23.9</v>
      </c>
      <c r="J30" s="360" t="s">
        <v>145</v>
      </c>
      <c r="K30" s="359">
        <v>0</v>
      </c>
      <c r="L30" s="349" t="s">
        <v>604</v>
      </c>
      <c r="M30" s="359">
        <v>28.6</v>
      </c>
      <c r="N30" s="360" t="s">
        <v>145</v>
      </c>
      <c r="O30" s="359">
        <v>0</v>
      </c>
      <c r="P30" s="349" t="s">
        <v>605</v>
      </c>
      <c r="Q30" s="359">
        <v>88.4</v>
      </c>
      <c r="R30" s="366">
        <f>Таблица3[[#This Row],[Столбец1]]</f>
        <v>2025</v>
      </c>
      <c r="S30" s="366">
        <f ca="1">ROUND(Таблица3[[#This Row],[Столбец4]] *0.99 - RANDBETWEEN(1, 3) - RANDBETWEEN(1,10) / 10, 1)</f>
        <v>34.299999999999997</v>
      </c>
      <c r="T30" s="366">
        <f ca="1">ROUND(SUM(Таблица3[[#This Row],[Столбец6]:[Столбец13]]) * 0.99 - RANDBETWEEN(1, 3) - RANDBETWEEN(1,10) / 10, 1)</f>
        <v>49</v>
      </c>
      <c r="U30" s="366">
        <f t="shared" ca="1" si="1"/>
        <v>83.3</v>
      </c>
    </row>
    <row r="31" spans="1:21" ht="92.4" hidden="1" x14ac:dyDescent="0.3">
      <c r="A31" s="358">
        <v>2026</v>
      </c>
      <c r="B31" s="360" t="s">
        <v>589</v>
      </c>
      <c r="C31" s="360">
        <v>3</v>
      </c>
      <c r="D31" s="349" t="s">
        <v>615</v>
      </c>
      <c r="E31" s="365">
        <v>3.8</v>
      </c>
      <c r="F31" s="360" t="s">
        <v>145</v>
      </c>
      <c r="G31" s="359">
        <v>0</v>
      </c>
      <c r="H31" s="349" t="s">
        <v>616</v>
      </c>
      <c r="I31" s="359">
        <v>17.899999999999999</v>
      </c>
      <c r="J31" s="360" t="s">
        <v>145</v>
      </c>
      <c r="K31" s="359">
        <v>0</v>
      </c>
      <c r="L31" s="349" t="s">
        <v>616</v>
      </c>
      <c r="M31" s="359">
        <v>38.4</v>
      </c>
      <c r="N31" s="360" t="s">
        <v>145</v>
      </c>
      <c r="O31" s="359">
        <v>0</v>
      </c>
      <c r="P31" s="349" t="s">
        <v>605</v>
      </c>
      <c r="Q31" s="359">
        <v>60</v>
      </c>
      <c r="R31" s="366">
        <f>Таблица3[[#This Row],[Столбец1]]</f>
        <v>2026</v>
      </c>
      <c r="S31" s="366">
        <f ca="1">ROUND(Таблица3[[#This Row],[Столбец4]] *0.99 - RANDBETWEEN(1, 3) - RANDBETWEEN(1,10) / 10, 1)</f>
        <v>2.2000000000000002</v>
      </c>
      <c r="T31" s="366">
        <f ca="1">ROUND(SUM(Таблица3[[#This Row],[Столбец6]:[Столбец13]]) * 0.99 - RANDBETWEEN(1, 3) - RANDBETWEEN(1,10) / 10, 1)</f>
        <v>52</v>
      </c>
      <c r="U31" s="366">
        <f t="shared" ca="1" si="1"/>
        <v>54.2</v>
      </c>
    </row>
    <row r="32" spans="1:21" ht="92.4" hidden="1" x14ac:dyDescent="0.3">
      <c r="A32" s="358">
        <v>2027</v>
      </c>
      <c r="B32" s="360" t="s">
        <v>590</v>
      </c>
      <c r="C32" s="360">
        <v>3</v>
      </c>
      <c r="D32" s="349" t="s">
        <v>615</v>
      </c>
      <c r="E32" s="365">
        <v>9.6999999999999993</v>
      </c>
      <c r="F32" s="360" t="s">
        <v>145</v>
      </c>
      <c r="G32" s="359">
        <v>0</v>
      </c>
      <c r="H32" s="360" t="s">
        <v>145</v>
      </c>
      <c r="I32" s="359">
        <v>0</v>
      </c>
      <c r="J32" s="360" t="s">
        <v>145</v>
      </c>
      <c r="K32" s="359">
        <v>0</v>
      </c>
      <c r="L32" s="349" t="s">
        <v>616</v>
      </c>
      <c r="M32" s="359">
        <v>37.200000000000003</v>
      </c>
      <c r="N32" s="360" t="s">
        <v>145</v>
      </c>
      <c r="O32" s="359">
        <v>0</v>
      </c>
      <c r="P32" s="349" t="s">
        <v>605</v>
      </c>
      <c r="Q32" s="359">
        <v>47.2</v>
      </c>
      <c r="R32" s="366">
        <f>Таблица3[[#This Row],[Столбец1]]</f>
        <v>2027</v>
      </c>
      <c r="S32" s="366">
        <f ca="1">ROUND(Таблица3[[#This Row],[Столбец4]] *0.99 - RANDBETWEEN(1, 3) - RANDBETWEEN(1,10) / 10, 1)</f>
        <v>8.1999999999999993</v>
      </c>
      <c r="T32" s="366">
        <f ca="1">ROUND(SUM(Таблица3[[#This Row],[Столбец6]:[Столбец13]]) * 0.99 - RANDBETWEEN(1, 3) - RANDBETWEEN(1,10) / 10, 1)</f>
        <v>33.200000000000003</v>
      </c>
      <c r="U32" s="366">
        <f t="shared" ca="1" si="1"/>
        <v>41.400000000000006</v>
      </c>
    </row>
    <row r="33" spans="1:21" ht="92.4" hidden="1" x14ac:dyDescent="0.3">
      <c r="A33" s="361">
        <v>2028</v>
      </c>
      <c r="B33" s="363" t="s">
        <v>589</v>
      </c>
      <c r="C33" s="363">
        <v>3</v>
      </c>
      <c r="D33" s="351" t="s">
        <v>615</v>
      </c>
      <c r="E33" s="364">
        <v>5.6</v>
      </c>
      <c r="F33" s="363" t="s">
        <v>145</v>
      </c>
      <c r="G33" s="362">
        <v>0</v>
      </c>
      <c r="H33" s="351" t="s">
        <v>616</v>
      </c>
      <c r="I33" s="362">
        <v>24.6</v>
      </c>
      <c r="J33" s="363" t="s">
        <v>145</v>
      </c>
      <c r="K33" s="362">
        <v>0</v>
      </c>
      <c r="L33" s="351" t="s">
        <v>616</v>
      </c>
      <c r="M33" s="362">
        <v>52.5</v>
      </c>
      <c r="N33" s="363" t="s">
        <v>145</v>
      </c>
      <c r="O33" s="362">
        <v>0</v>
      </c>
      <c r="P33" s="351" t="s">
        <v>605</v>
      </c>
      <c r="Q33" s="362">
        <v>82.7</v>
      </c>
      <c r="R33" s="366">
        <f>Таблица3[[#This Row],[Столбец1]]</f>
        <v>2028</v>
      </c>
      <c r="S33" s="366">
        <f ca="1">ROUND(Таблица3[[#This Row],[Столбец4]] *0.99 - RANDBETWEEN(1, 3) - RANDBETWEEN(1,10) / 10, 1)</f>
        <v>4</v>
      </c>
      <c r="T33" s="366">
        <f ca="1">ROUND(SUM(Таблица3[[#This Row],[Столбец6]:[Столбец13]]) * 0.99 - RANDBETWEEN(1, 3) - RANDBETWEEN(1,10) / 10, 1)</f>
        <v>74.400000000000006</v>
      </c>
      <c r="U33" s="366">
        <f t="shared" ca="1" si="1"/>
        <v>78.400000000000006</v>
      </c>
    </row>
    <row r="34" spans="1:21" ht="92.4" hidden="1" x14ac:dyDescent="0.3">
      <c r="A34" s="358">
        <v>2029</v>
      </c>
      <c r="B34" s="360" t="s">
        <v>590</v>
      </c>
      <c r="C34" s="360">
        <v>3</v>
      </c>
      <c r="D34" s="349" t="s">
        <v>615</v>
      </c>
      <c r="E34" s="365">
        <v>3.5</v>
      </c>
      <c r="F34" s="360" t="s">
        <v>145</v>
      </c>
      <c r="G34" s="359">
        <v>0</v>
      </c>
      <c r="H34" s="349" t="s">
        <v>616</v>
      </c>
      <c r="I34" s="359">
        <v>6.7</v>
      </c>
      <c r="J34" s="360" t="s">
        <v>145</v>
      </c>
      <c r="K34" s="359">
        <v>0</v>
      </c>
      <c r="L34" s="349" t="s">
        <v>616</v>
      </c>
      <c r="M34" s="359">
        <v>32.4</v>
      </c>
      <c r="N34" s="360" t="s">
        <v>145</v>
      </c>
      <c r="O34" s="359">
        <v>0</v>
      </c>
      <c r="P34" s="349" t="s">
        <v>605</v>
      </c>
      <c r="Q34" s="359">
        <v>42.6</v>
      </c>
      <c r="R34" s="366">
        <f>Таблица3[[#This Row],[Столбец1]]</f>
        <v>2029</v>
      </c>
      <c r="S34" s="366">
        <f ca="1">ROUND(Таблица3[[#This Row],[Столбец4]] *0.99 - RANDBETWEEN(1, 3) - RANDBETWEEN(1,10) / 10, 1)</f>
        <v>2.2000000000000002</v>
      </c>
      <c r="T34" s="366">
        <f ca="1">ROUND(SUM(Таблица3[[#This Row],[Столбец6]:[Столбец13]]) * 0.99 - RANDBETWEEN(1, 3) - RANDBETWEEN(1,10) / 10, 1)</f>
        <v>36.9</v>
      </c>
      <c r="U34" s="366">
        <f t="shared" ca="1" si="1"/>
        <v>39.1</v>
      </c>
    </row>
    <row r="35" spans="1:21" ht="79.2" hidden="1" x14ac:dyDescent="0.3">
      <c r="A35" s="358">
        <v>2030</v>
      </c>
      <c r="B35" s="360" t="s">
        <v>588</v>
      </c>
      <c r="C35" s="360">
        <v>3</v>
      </c>
      <c r="D35" s="349" t="s">
        <v>603</v>
      </c>
      <c r="E35" s="359">
        <v>12.8</v>
      </c>
      <c r="F35" s="360" t="s">
        <v>145</v>
      </c>
      <c r="G35" s="359">
        <v>0</v>
      </c>
      <c r="H35" s="349" t="s">
        <v>604</v>
      </c>
      <c r="I35" s="359">
        <v>46.4</v>
      </c>
      <c r="J35" s="360" t="s">
        <v>145</v>
      </c>
      <c r="K35" s="359">
        <v>0</v>
      </c>
      <c r="L35" s="349" t="s">
        <v>604</v>
      </c>
      <c r="M35" s="359">
        <v>24.9</v>
      </c>
      <c r="N35" s="360" t="s">
        <v>145</v>
      </c>
      <c r="O35" s="359">
        <v>0</v>
      </c>
      <c r="P35" s="349" t="s">
        <v>605</v>
      </c>
      <c r="Q35" s="359">
        <v>84.1</v>
      </c>
      <c r="R35" s="366">
        <f>Таблица3[[#This Row],[Столбец1]]</f>
        <v>2030</v>
      </c>
      <c r="S35" s="366">
        <f ca="1">ROUND(Таблица3[[#This Row],[Столбец4]] *0.99 - RANDBETWEEN(1, 3) - RANDBETWEEN(1,10) / 10, 1)</f>
        <v>9.1999999999999993</v>
      </c>
      <c r="T35" s="366">
        <f ca="1">ROUND(SUM(Таблица3[[#This Row],[Столбец6]:[Столбец13]]) * 0.99 - RANDBETWEEN(1, 3) - RANDBETWEEN(1,10) / 10, 1)</f>
        <v>68.3</v>
      </c>
      <c r="U35" s="366">
        <f t="shared" ca="1" si="1"/>
        <v>77.5</v>
      </c>
    </row>
    <row r="36" spans="1:21" ht="92.4" hidden="1" x14ac:dyDescent="0.3">
      <c r="A36" s="358">
        <v>2031</v>
      </c>
      <c r="B36" s="349" t="s">
        <v>623</v>
      </c>
      <c r="C36" s="349">
        <v>3</v>
      </c>
      <c r="D36" s="349" t="s">
        <v>615</v>
      </c>
      <c r="E36" s="365">
        <v>6.3</v>
      </c>
      <c r="F36" s="360" t="s">
        <v>145</v>
      </c>
      <c r="G36" s="359">
        <v>0</v>
      </c>
      <c r="H36" s="349" t="s">
        <v>616</v>
      </c>
      <c r="I36" s="359">
        <v>22.6</v>
      </c>
      <c r="J36" s="360" t="s">
        <v>145</v>
      </c>
      <c r="K36" s="359">
        <v>0</v>
      </c>
      <c r="L36" s="349" t="s">
        <v>616</v>
      </c>
      <c r="M36" s="359">
        <v>46.2</v>
      </c>
      <c r="N36" s="360" t="s">
        <v>145</v>
      </c>
      <c r="O36" s="359">
        <v>0</v>
      </c>
      <c r="P36" s="349" t="s">
        <v>605</v>
      </c>
      <c r="Q36" s="359">
        <v>75.2</v>
      </c>
      <c r="R36" s="366">
        <f>Таблица3[[#This Row],[Столбец1]]</f>
        <v>2031</v>
      </c>
      <c r="S36" s="366">
        <f ca="1">ROUND(Таблица3[[#This Row],[Столбец4]] *0.99 - RANDBETWEEN(1, 3) - RANDBETWEEN(1,10) / 10, 1)</f>
        <v>4</v>
      </c>
      <c r="T36" s="366">
        <f ca="1">ROUND(SUM(Таблица3[[#This Row],[Столбец6]:[Столбец13]]) * 0.99 - RANDBETWEEN(1, 3) - RANDBETWEEN(1,10) / 10, 1)</f>
        <v>66.3</v>
      </c>
      <c r="U36" s="366">
        <f t="shared" ca="1" si="1"/>
        <v>70.3</v>
      </c>
    </row>
    <row r="37" spans="1:21" ht="92.4" hidden="1" x14ac:dyDescent="0.3">
      <c r="A37" s="358">
        <v>2032</v>
      </c>
      <c r="B37" s="349" t="s">
        <v>624</v>
      </c>
      <c r="C37" s="349">
        <v>3</v>
      </c>
      <c r="D37" s="349" t="s">
        <v>615</v>
      </c>
      <c r="E37" s="359">
        <v>5.2</v>
      </c>
      <c r="F37" s="360" t="s">
        <v>145</v>
      </c>
      <c r="G37" s="359">
        <v>0</v>
      </c>
      <c r="H37" s="349" t="s">
        <v>616</v>
      </c>
      <c r="I37" s="359">
        <v>19.100000000000001</v>
      </c>
      <c r="J37" s="360" t="s">
        <v>145</v>
      </c>
      <c r="K37" s="359">
        <v>0</v>
      </c>
      <c r="L37" s="349" t="s">
        <v>616</v>
      </c>
      <c r="M37" s="359">
        <v>50.8</v>
      </c>
      <c r="N37" s="360" t="s">
        <v>145</v>
      </c>
      <c r="O37" s="359">
        <v>0</v>
      </c>
      <c r="P37" s="349" t="s">
        <v>605</v>
      </c>
      <c r="Q37" s="359">
        <v>75.099999999999994</v>
      </c>
      <c r="R37" s="366">
        <f>Таблица3[[#This Row],[Столбец1]]</f>
        <v>2032</v>
      </c>
      <c r="S37" s="366">
        <f ca="1">ROUND(Таблица3[[#This Row],[Столбец4]] *0.99 - RANDBETWEEN(1, 3) - RANDBETWEEN(1,10) / 10, 1)</f>
        <v>1.5</v>
      </c>
      <c r="T37" s="366">
        <f ca="1">ROUND(SUM(Таблица3[[#This Row],[Столбец6]:[Столбец13]]) * 0.99 - RANDBETWEEN(1, 3) - RANDBETWEEN(1,10) / 10, 1)</f>
        <v>68.099999999999994</v>
      </c>
      <c r="U37" s="366">
        <f t="shared" ca="1" si="1"/>
        <v>69.599999999999994</v>
      </c>
    </row>
    <row r="38" spans="1:21" ht="79.2" hidden="1" x14ac:dyDescent="0.3">
      <c r="A38" s="358">
        <v>2033</v>
      </c>
      <c r="B38" s="349" t="s">
        <v>625</v>
      </c>
      <c r="C38" s="349">
        <v>4</v>
      </c>
      <c r="D38" s="349" t="s">
        <v>603</v>
      </c>
      <c r="E38" s="359">
        <v>6.2</v>
      </c>
      <c r="F38" s="360" t="s">
        <v>145</v>
      </c>
      <c r="G38" s="359">
        <v>0</v>
      </c>
      <c r="H38" s="349" t="s">
        <v>604</v>
      </c>
      <c r="I38" s="359">
        <v>73.5</v>
      </c>
      <c r="J38" s="360" t="s">
        <v>145</v>
      </c>
      <c r="K38" s="359">
        <v>0</v>
      </c>
      <c r="L38" s="349" t="s">
        <v>604</v>
      </c>
      <c r="M38" s="359">
        <v>33.200000000000003</v>
      </c>
      <c r="N38" s="360" t="s">
        <v>145</v>
      </c>
      <c r="O38" s="359">
        <v>0</v>
      </c>
      <c r="P38" s="349" t="s">
        <v>605</v>
      </c>
      <c r="Q38" s="359">
        <v>112.9</v>
      </c>
      <c r="R38" s="366">
        <f>Таблица3[[#This Row],[Столбец1]]</f>
        <v>2033</v>
      </c>
      <c r="S38" s="366">
        <f ca="1">ROUND(Таблица3[[#This Row],[Столбец4]] *0.99 - RANDBETWEEN(1, 3) - RANDBETWEEN(1,10) / 10, 1)</f>
        <v>3.8</v>
      </c>
      <c r="T38" s="366">
        <f ca="1">ROUND(SUM(Таблица3[[#This Row],[Столбец6]:[Столбец13]]) * 0.99 - RANDBETWEEN(1, 3) - RANDBETWEEN(1,10) / 10, 1)</f>
        <v>102.5</v>
      </c>
      <c r="U38" s="366">
        <f t="shared" ca="1" si="1"/>
        <v>106.3</v>
      </c>
    </row>
    <row r="39" spans="1:21" ht="92.4" hidden="1" x14ac:dyDescent="0.3">
      <c r="A39" s="358">
        <v>2034</v>
      </c>
      <c r="B39" s="349" t="s">
        <v>621</v>
      </c>
      <c r="C39" s="349">
        <v>3</v>
      </c>
      <c r="D39" s="360" t="s">
        <v>145</v>
      </c>
      <c r="E39" s="359">
        <v>0</v>
      </c>
      <c r="F39" s="360" t="s">
        <v>145</v>
      </c>
      <c r="G39" s="359">
        <v>0</v>
      </c>
      <c r="H39" s="349" t="s">
        <v>616</v>
      </c>
      <c r="I39" s="359">
        <v>5.9</v>
      </c>
      <c r="J39" s="360" t="s">
        <v>145</v>
      </c>
      <c r="K39" s="359">
        <v>0</v>
      </c>
      <c r="L39" s="349" t="s">
        <v>616</v>
      </c>
      <c r="M39" s="359">
        <v>37.299999999999997</v>
      </c>
      <c r="N39" s="360" t="s">
        <v>145</v>
      </c>
      <c r="O39" s="359">
        <v>0</v>
      </c>
      <c r="P39" s="349" t="s">
        <v>605</v>
      </c>
      <c r="Q39" s="359">
        <v>43.2</v>
      </c>
      <c r="R39" s="366">
        <f>Таблица3[[#This Row],[Столбец1]]</f>
        <v>2034</v>
      </c>
      <c r="S39" s="366">
        <f ca="1">ROUND(Таблица3[[#This Row],[Столбец4]] *0.99 - RANDBETWEEN(1, 3) - RANDBETWEEN(1,10) / 10, 1)</f>
        <v>-3.1</v>
      </c>
      <c r="T39" s="366">
        <f ca="1">ROUND(SUM(Таблица3[[#This Row],[Столбец6]:[Столбец13]]) * 0.99 - RANDBETWEEN(1, 3) - RANDBETWEEN(1,10) / 10, 1)</f>
        <v>41.4</v>
      </c>
      <c r="U39" s="366">
        <f t="shared" ca="1" si="1"/>
        <v>38.299999999999997</v>
      </c>
    </row>
    <row r="40" spans="1:21" ht="92.4" hidden="1" x14ac:dyDescent="0.3">
      <c r="A40" s="358">
        <v>2035</v>
      </c>
      <c r="B40" s="349" t="s">
        <v>617</v>
      </c>
      <c r="C40" s="349">
        <v>3</v>
      </c>
      <c r="D40" s="349" t="s">
        <v>615</v>
      </c>
      <c r="E40" s="359">
        <v>3.1</v>
      </c>
      <c r="F40" s="360" t="s">
        <v>145</v>
      </c>
      <c r="G40" s="359">
        <v>0</v>
      </c>
      <c r="H40" s="349" t="s">
        <v>616</v>
      </c>
      <c r="I40" s="359">
        <v>16.8</v>
      </c>
      <c r="J40" s="360" t="s">
        <v>145</v>
      </c>
      <c r="K40" s="359">
        <v>0</v>
      </c>
      <c r="L40" s="349" t="s">
        <v>616</v>
      </c>
      <c r="M40" s="359">
        <v>19.899999999999999</v>
      </c>
      <c r="N40" s="360" t="s">
        <v>145</v>
      </c>
      <c r="O40" s="359">
        <v>0</v>
      </c>
      <c r="P40" s="349" t="s">
        <v>605</v>
      </c>
      <c r="Q40" s="359">
        <v>39.700000000000003</v>
      </c>
      <c r="R40" s="366">
        <f>Таблица3[[#This Row],[Столбец1]]</f>
        <v>2035</v>
      </c>
      <c r="S40" s="366">
        <f ca="1">ROUND(Таблица3[[#This Row],[Столбец4]] *0.99 - RANDBETWEEN(1, 3) - RANDBETWEEN(1,10) / 10, 1)</f>
        <v>0.2</v>
      </c>
      <c r="T40" s="366">
        <f ca="1">ROUND(SUM(Таблица3[[#This Row],[Столбец6]:[Столбец13]]) * 0.99 - RANDBETWEEN(1, 3) - RANDBETWEEN(1,10) / 10, 1)</f>
        <v>33.6</v>
      </c>
      <c r="U40" s="366">
        <f t="shared" ca="1" si="1"/>
        <v>33.800000000000004</v>
      </c>
    </row>
    <row r="41" spans="1:21" ht="79.2" hidden="1" x14ac:dyDescent="0.3">
      <c r="A41" s="358">
        <v>2036</v>
      </c>
      <c r="B41" s="349" t="s">
        <v>626</v>
      </c>
      <c r="C41" s="349">
        <v>4</v>
      </c>
      <c r="D41" s="349" t="s">
        <v>603</v>
      </c>
      <c r="E41" s="359">
        <v>40.5</v>
      </c>
      <c r="F41" s="360" t="s">
        <v>145</v>
      </c>
      <c r="G41" s="359">
        <v>0</v>
      </c>
      <c r="H41" s="349" t="s">
        <v>604</v>
      </c>
      <c r="I41" s="359">
        <v>72.7</v>
      </c>
      <c r="J41" s="360" t="s">
        <v>145</v>
      </c>
      <c r="K41" s="359">
        <v>0</v>
      </c>
      <c r="L41" s="349" t="s">
        <v>604</v>
      </c>
      <c r="M41" s="359">
        <v>19.100000000000001</v>
      </c>
      <c r="N41" s="360" t="s">
        <v>145</v>
      </c>
      <c r="O41" s="359">
        <v>0</v>
      </c>
      <c r="P41" s="349" t="s">
        <v>605</v>
      </c>
      <c r="Q41" s="359">
        <v>132.30000000000001</v>
      </c>
      <c r="R41" s="366">
        <f>Таблица3[[#This Row],[Столбец1]]</f>
        <v>2036</v>
      </c>
      <c r="S41" s="366">
        <f ca="1">ROUND(Таблица3[[#This Row],[Столбец4]] *0.99 - RANDBETWEEN(1, 3) - RANDBETWEEN(1,10) / 10, 1)</f>
        <v>36.6</v>
      </c>
      <c r="T41" s="366">
        <f ca="1">ROUND(SUM(Таблица3[[#This Row],[Столбец6]:[Столбец13]]) * 0.99 - RANDBETWEEN(1, 3) - RANDBETWEEN(1,10) / 10, 1)</f>
        <v>86.9</v>
      </c>
      <c r="U41" s="366">
        <f t="shared" ca="1" si="1"/>
        <v>123.5</v>
      </c>
    </row>
    <row r="42" spans="1:21" ht="79.2" hidden="1" x14ac:dyDescent="0.3">
      <c r="A42" s="361">
        <v>2037</v>
      </c>
      <c r="B42" s="351" t="s">
        <v>627</v>
      </c>
      <c r="C42" s="351">
        <v>4</v>
      </c>
      <c r="D42" s="351" t="s">
        <v>603</v>
      </c>
      <c r="E42" s="362">
        <v>301.60000000000002</v>
      </c>
      <c r="F42" s="363" t="s">
        <v>145</v>
      </c>
      <c r="G42" s="362">
        <v>0</v>
      </c>
      <c r="H42" s="351" t="s">
        <v>604</v>
      </c>
      <c r="I42" s="362">
        <v>252.9</v>
      </c>
      <c r="J42" s="363" t="s">
        <v>145</v>
      </c>
      <c r="K42" s="362">
        <v>0</v>
      </c>
      <c r="L42" s="363" t="s">
        <v>145</v>
      </c>
      <c r="M42" s="362">
        <v>0</v>
      </c>
      <c r="N42" s="363" t="s">
        <v>145</v>
      </c>
      <c r="O42" s="362">
        <v>0.7</v>
      </c>
      <c r="P42" s="351" t="s">
        <v>605</v>
      </c>
      <c r="Q42" s="362">
        <v>555.29999999999995</v>
      </c>
      <c r="R42" s="366">
        <f>Таблица3[[#This Row],[Столбец1]]</f>
        <v>2037</v>
      </c>
      <c r="S42" s="366">
        <f ca="1">ROUND(Таблица3[[#This Row],[Столбец4]] *0.99 - RANDBETWEEN(1, 3) - RANDBETWEEN(1,10) / 10, 1)</f>
        <v>296.7</v>
      </c>
      <c r="T42" s="366">
        <f ca="1">ROUND(SUM(Таблица3[[#This Row],[Столбец6]:[Столбец13]]) * 0.99 - RANDBETWEEN(1, 3) - RANDBETWEEN(1,10) / 10, 1)</f>
        <v>248.5</v>
      </c>
      <c r="U42" s="366">
        <f t="shared" ca="1" si="1"/>
        <v>545.20000000000005</v>
      </c>
    </row>
    <row r="43" spans="1:21" ht="79.2" hidden="1" x14ac:dyDescent="0.3">
      <c r="A43" s="358">
        <v>2038</v>
      </c>
      <c r="B43" s="349" t="s">
        <v>628</v>
      </c>
      <c r="C43" s="349">
        <v>4</v>
      </c>
      <c r="D43" s="349" t="s">
        <v>603</v>
      </c>
      <c r="E43" s="359">
        <v>11.2</v>
      </c>
      <c r="F43" s="360" t="s">
        <v>145</v>
      </c>
      <c r="G43" s="359">
        <v>0</v>
      </c>
      <c r="H43" s="360" t="s">
        <v>145</v>
      </c>
      <c r="I43" s="359">
        <v>0</v>
      </c>
      <c r="J43" s="360" t="s">
        <v>145</v>
      </c>
      <c r="K43" s="359">
        <v>0</v>
      </c>
      <c r="L43" s="360" t="s">
        <v>145</v>
      </c>
      <c r="M43" s="359">
        <v>0</v>
      </c>
      <c r="N43" s="360" t="s">
        <v>145</v>
      </c>
      <c r="O43" s="359">
        <v>0</v>
      </c>
      <c r="P43" s="349" t="s">
        <v>605</v>
      </c>
      <c r="Q43" s="359">
        <v>115.9</v>
      </c>
      <c r="R43" s="366">
        <f>Таблица3[[#This Row],[Столбец1]]</f>
        <v>2038</v>
      </c>
      <c r="S43" s="366">
        <f ca="1">ROUND(Таблица3[[#This Row],[Столбец4]] *0.99 - RANDBETWEEN(1, 3) - RANDBETWEEN(1,10) / 10, 1)</f>
        <v>8.3000000000000007</v>
      </c>
      <c r="T43" s="366">
        <f ca="1">ROUND(SUM(Таблица3[[#This Row],[Столбец6]:[Столбец13]]) * 0.99 - RANDBETWEEN(1, 3) - RANDBETWEEN(1,10) / 10, 1)</f>
        <v>-3.6</v>
      </c>
      <c r="U43" s="366">
        <f t="shared" ca="1" si="1"/>
        <v>4.7000000000000011</v>
      </c>
    </row>
    <row r="44" spans="1:21" ht="79.2" hidden="1" x14ac:dyDescent="0.3">
      <c r="A44" s="358">
        <v>2039</v>
      </c>
      <c r="B44" s="349" t="s">
        <v>629</v>
      </c>
      <c r="C44" s="349">
        <v>4</v>
      </c>
      <c r="D44" s="349" t="s">
        <v>603</v>
      </c>
      <c r="E44" s="359">
        <v>49.7</v>
      </c>
      <c r="F44" s="360" t="s">
        <v>145</v>
      </c>
      <c r="G44" s="359">
        <v>0</v>
      </c>
      <c r="H44" s="349" t="s">
        <v>604</v>
      </c>
      <c r="I44" s="359">
        <v>37.9</v>
      </c>
      <c r="J44" s="360" t="s">
        <v>145</v>
      </c>
      <c r="K44" s="359">
        <v>0</v>
      </c>
      <c r="L44" s="349" t="s">
        <v>604</v>
      </c>
      <c r="M44" s="359">
        <v>19.600000000000001</v>
      </c>
      <c r="N44" s="360" t="s">
        <v>145</v>
      </c>
      <c r="O44" s="359">
        <v>0</v>
      </c>
      <c r="P44" s="349" t="s">
        <v>605</v>
      </c>
      <c r="Q44" s="359">
        <v>107.2</v>
      </c>
      <c r="R44" s="366">
        <f>Таблица3[[#This Row],[Столбец1]]</f>
        <v>2039</v>
      </c>
      <c r="S44" s="366">
        <f ca="1">ROUND(Таблица3[[#This Row],[Столбец4]] *0.99 - RANDBETWEEN(1, 3) - RANDBETWEEN(1,10) / 10, 1)</f>
        <v>48</v>
      </c>
      <c r="T44" s="366">
        <f ca="1">ROUND(SUM(Таблица3[[#This Row],[Столбец6]:[Столбец13]]) * 0.99 - RANDBETWEEN(1, 3) - RANDBETWEEN(1,10) / 10, 1)</f>
        <v>55.6</v>
      </c>
      <c r="U44" s="366">
        <f t="shared" ca="1" si="1"/>
        <v>103.6</v>
      </c>
    </row>
    <row r="45" spans="1:21" ht="79.2" hidden="1" x14ac:dyDescent="0.3">
      <c r="A45" s="358">
        <v>2040</v>
      </c>
      <c r="B45" s="349" t="s">
        <v>629</v>
      </c>
      <c r="C45" s="349">
        <v>4</v>
      </c>
      <c r="D45" s="349" t="s">
        <v>603</v>
      </c>
      <c r="E45" s="359">
        <v>73.099999999999994</v>
      </c>
      <c r="F45" s="360" t="s">
        <v>145</v>
      </c>
      <c r="G45" s="359">
        <v>0</v>
      </c>
      <c r="H45" s="349" t="s">
        <v>604</v>
      </c>
      <c r="I45" s="359">
        <v>20.5</v>
      </c>
      <c r="J45" s="360" t="s">
        <v>145</v>
      </c>
      <c r="K45" s="359">
        <v>0</v>
      </c>
      <c r="L45" s="349" t="s">
        <v>604</v>
      </c>
      <c r="M45" s="359">
        <v>16.5</v>
      </c>
      <c r="N45" s="360" t="s">
        <v>145</v>
      </c>
      <c r="O45" s="359">
        <v>0</v>
      </c>
      <c r="P45" s="349" t="s">
        <v>605</v>
      </c>
      <c r="Q45" s="359">
        <v>110.2</v>
      </c>
      <c r="R45" s="366">
        <f>Таблица3[[#This Row],[Столбец1]]</f>
        <v>2040</v>
      </c>
      <c r="S45" s="366">
        <f ca="1">ROUND(Таблица3[[#This Row],[Столбец4]] *0.99 - RANDBETWEEN(1, 3) - RANDBETWEEN(1,10) / 10, 1)</f>
        <v>69.900000000000006</v>
      </c>
      <c r="T45" s="366">
        <f ca="1">ROUND(SUM(Таблица3[[#This Row],[Столбец6]:[Столбец13]]) * 0.99 - RANDBETWEEN(1, 3) - RANDBETWEEN(1,10) / 10, 1)</f>
        <v>33.299999999999997</v>
      </c>
      <c r="U45" s="366">
        <f t="shared" ca="1" si="1"/>
        <v>103.2</v>
      </c>
    </row>
    <row r="46" spans="1:21" ht="79.2" hidden="1" x14ac:dyDescent="0.3">
      <c r="A46" s="358">
        <v>2041</v>
      </c>
      <c r="B46" s="349" t="s">
        <v>629</v>
      </c>
      <c r="C46" s="349">
        <v>4</v>
      </c>
      <c r="D46" s="349" t="s">
        <v>603</v>
      </c>
      <c r="E46" s="359">
        <v>75.400000000000006</v>
      </c>
      <c r="F46" s="360" t="s">
        <v>145</v>
      </c>
      <c r="G46" s="359">
        <v>0</v>
      </c>
      <c r="H46" s="349" t="s">
        <v>604</v>
      </c>
      <c r="I46" s="359">
        <v>11</v>
      </c>
      <c r="J46" s="360" t="s">
        <v>145</v>
      </c>
      <c r="K46" s="359">
        <v>0</v>
      </c>
      <c r="L46" s="349" t="s">
        <v>604</v>
      </c>
      <c r="M46" s="359">
        <v>25.8</v>
      </c>
      <c r="N46" s="360" t="s">
        <v>145</v>
      </c>
      <c r="O46" s="359">
        <v>0</v>
      </c>
      <c r="P46" s="349" t="s">
        <v>605</v>
      </c>
      <c r="Q46" s="359">
        <v>112.3</v>
      </c>
      <c r="R46" s="366">
        <f>Таблица3[[#This Row],[Столбец1]]</f>
        <v>2041</v>
      </c>
      <c r="S46" s="366">
        <f ca="1">ROUND(Таблица3[[#This Row],[Столбец4]] *0.99 - RANDBETWEEN(1, 3) - RANDBETWEEN(1,10) / 10, 1)</f>
        <v>71.2</v>
      </c>
      <c r="T46" s="366">
        <f ca="1">ROUND(SUM(Таблица3[[#This Row],[Столбец6]:[Столбец13]]) * 0.99 - RANDBETWEEN(1, 3) - RANDBETWEEN(1,10) / 10, 1)</f>
        <v>34.1</v>
      </c>
      <c r="U46" s="366">
        <f t="shared" ca="1" si="1"/>
        <v>105.30000000000001</v>
      </c>
    </row>
    <row r="47" spans="1:21" ht="105.6" hidden="1" x14ac:dyDescent="0.3">
      <c r="A47" s="358">
        <v>2042</v>
      </c>
      <c r="B47" s="349" t="s">
        <v>630</v>
      </c>
      <c r="C47" s="349">
        <v>4</v>
      </c>
      <c r="D47" s="349" t="s">
        <v>603</v>
      </c>
      <c r="E47" s="359">
        <v>28.5</v>
      </c>
      <c r="F47" s="360" t="s">
        <v>145</v>
      </c>
      <c r="G47" s="359">
        <v>0</v>
      </c>
      <c r="H47" s="349" t="s">
        <v>604</v>
      </c>
      <c r="I47" s="359">
        <v>113.7</v>
      </c>
      <c r="J47" s="349" t="s">
        <v>608</v>
      </c>
      <c r="K47" s="359">
        <v>21.5</v>
      </c>
      <c r="L47" s="349" t="s">
        <v>604</v>
      </c>
      <c r="M47" s="359">
        <v>17.600000000000001</v>
      </c>
      <c r="N47" s="360" t="s">
        <v>145</v>
      </c>
      <c r="O47" s="359">
        <v>0</v>
      </c>
      <c r="P47" s="349" t="s">
        <v>605</v>
      </c>
      <c r="Q47" s="359">
        <v>181.3</v>
      </c>
      <c r="R47" s="366">
        <f>Таблица3[[#This Row],[Столбец1]]</f>
        <v>2042</v>
      </c>
      <c r="S47" s="366">
        <f ca="1">ROUND(Таблица3[[#This Row],[Столбец4]] *0.99 - RANDBETWEEN(1, 3) - RANDBETWEEN(1,10) / 10, 1)</f>
        <v>24.3</v>
      </c>
      <c r="T47" s="366">
        <f ca="1">ROUND(SUM(Таблица3[[#This Row],[Столбец6]:[Столбец13]]) * 0.99 - RANDBETWEEN(1, 3) - RANDBETWEEN(1,10) / 10, 1)</f>
        <v>148.6</v>
      </c>
      <c r="U47" s="366">
        <f t="shared" ca="1" si="1"/>
        <v>172.9</v>
      </c>
    </row>
    <row r="48" spans="1:21" ht="79.2" hidden="1" x14ac:dyDescent="0.3">
      <c r="A48" s="358">
        <v>2043</v>
      </c>
      <c r="B48" s="349" t="s">
        <v>613</v>
      </c>
      <c r="C48" s="349">
        <v>4</v>
      </c>
      <c r="D48" s="349" t="s">
        <v>603</v>
      </c>
      <c r="E48" s="359">
        <v>35.9</v>
      </c>
      <c r="F48" s="360" t="s">
        <v>145</v>
      </c>
      <c r="G48" s="359">
        <v>0</v>
      </c>
      <c r="H48" s="360" t="s">
        <v>145</v>
      </c>
      <c r="I48" s="359">
        <v>0</v>
      </c>
      <c r="J48" s="360" t="s">
        <v>145</v>
      </c>
      <c r="K48" s="359">
        <v>0</v>
      </c>
      <c r="L48" s="349" t="s">
        <v>604</v>
      </c>
      <c r="M48" s="359">
        <v>13.1</v>
      </c>
      <c r="N48" s="360" t="s">
        <v>145</v>
      </c>
      <c r="O48" s="359">
        <v>0</v>
      </c>
      <c r="P48" s="349" t="s">
        <v>605</v>
      </c>
      <c r="Q48" s="359">
        <v>49</v>
      </c>
      <c r="R48" s="366">
        <f>Таблица3[[#This Row],[Столбец1]]</f>
        <v>2043</v>
      </c>
      <c r="S48" s="366">
        <f ca="1">ROUND(Таблица3[[#This Row],[Столбец4]] *0.99 - RANDBETWEEN(1, 3) - RANDBETWEEN(1,10) / 10, 1)</f>
        <v>31.5</v>
      </c>
      <c r="T48" s="366">
        <f ca="1">ROUND(SUM(Таблица3[[#This Row],[Столбец6]:[Столбец13]]) * 0.99 - RANDBETWEEN(1, 3) - RANDBETWEEN(1,10) / 10, 1)</f>
        <v>9.1</v>
      </c>
      <c r="U48" s="366">
        <f t="shared" ca="1" si="1"/>
        <v>40.6</v>
      </c>
    </row>
    <row r="49" spans="1:21" ht="79.2" hidden="1" x14ac:dyDescent="0.3">
      <c r="A49" s="358">
        <v>2044</v>
      </c>
      <c r="B49" s="349" t="s">
        <v>612</v>
      </c>
      <c r="C49" s="349">
        <v>4</v>
      </c>
      <c r="D49" s="349" t="s">
        <v>603</v>
      </c>
      <c r="E49" s="359">
        <v>109.4</v>
      </c>
      <c r="F49" s="360" t="s">
        <v>145</v>
      </c>
      <c r="G49" s="359">
        <v>0</v>
      </c>
      <c r="H49" s="360" t="s">
        <v>145</v>
      </c>
      <c r="I49" s="359">
        <v>0</v>
      </c>
      <c r="J49" s="360" t="s">
        <v>145</v>
      </c>
      <c r="K49" s="359">
        <v>0</v>
      </c>
      <c r="L49" s="360" t="s">
        <v>145</v>
      </c>
      <c r="M49" s="359">
        <v>0</v>
      </c>
      <c r="N49" s="360" t="s">
        <v>145</v>
      </c>
      <c r="O49" s="359">
        <v>0</v>
      </c>
      <c r="P49" s="349" t="s">
        <v>605</v>
      </c>
      <c r="Q49" s="359">
        <v>109.4</v>
      </c>
      <c r="R49" s="366">
        <f>Таблица3[[#This Row],[Столбец1]]</f>
        <v>2044</v>
      </c>
      <c r="S49" s="366">
        <f ca="1">ROUND(Таблица3[[#This Row],[Столбец4]] *0.99 - RANDBETWEEN(1, 3) - RANDBETWEEN(1,10) / 10, 1)</f>
        <v>105.6</v>
      </c>
      <c r="T49" s="366">
        <f ca="1">ROUND(SUM(Таблица3[[#This Row],[Столбец6]:[Столбец13]]) * 0.99 - RANDBETWEEN(1, 3) - RANDBETWEEN(1,10) / 10, 1)</f>
        <v>-3.5</v>
      </c>
      <c r="U49" s="366">
        <f t="shared" ca="1" si="1"/>
        <v>102.1</v>
      </c>
    </row>
    <row r="50" spans="1:21" ht="79.2" hidden="1" x14ac:dyDescent="0.3">
      <c r="A50" s="358">
        <v>2045</v>
      </c>
      <c r="B50" s="349" t="s">
        <v>631</v>
      </c>
      <c r="C50" s="349">
        <v>5</v>
      </c>
      <c r="D50" s="349" t="s">
        <v>603</v>
      </c>
      <c r="E50" s="359">
        <v>124.2</v>
      </c>
      <c r="F50" s="360" t="s">
        <v>145</v>
      </c>
      <c r="G50" s="359">
        <v>0</v>
      </c>
      <c r="H50" s="349" t="s">
        <v>604</v>
      </c>
      <c r="I50" s="359">
        <v>58.2</v>
      </c>
      <c r="J50" s="360" t="s">
        <v>145</v>
      </c>
      <c r="K50" s="359">
        <v>0</v>
      </c>
      <c r="L50" s="349" t="s">
        <v>604</v>
      </c>
      <c r="M50" s="359">
        <v>96</v>
      </c>
      <c r="N50" s="360" t="s">
        <v>145</v>
      </c>
      <c r="O50" s="359">
        <v>0</v>
      </c>
      <c r="P50" s="349" t="s">
        <v>605</v>
      </c>
      <c r="Q50" s="359">
        <v>278.60000000000002</v>
      </c>
      <c r="R50" s="366">
        <f>Таблица3[[#This Row],[Столбец1]]</f>
        <v>2045</v>
      </c>
      <c r="S50" s="366">
        <f ca="1">ROUND(Таблица3[[#This Row],[Столбец4]] *0.99 - RANDBETWEEN(1, 3) - RANDBETWEEN(1,10) / 10, 1)</f>
        <v>119.5</v>
      </c>
      <c r="T50" s="366">
        <f ca="1">ROUND(SUM(Таблица3[[#This Row],[Столбец6]:[Столбец13]]) * 0.99 - RANDBETWEEN(1, 3) - RANDBETWEEN(1,10) / 10, 1)</f>
        <v>148.69999999999999</v>
      </c>
      <c r="U50" s="366">
        <f t="shared" ca="1" si="1"/>
        <v>268.2</v>
      </c>
    </row>
    <row r="51" spans="1:21" ht="79.2" hidden="1" x14ac:dyDescent="0.3">
      <c r="A51" s="361">
        <v>2046</v>
      </c>
      <c r="B51" s="363" t="s">
        <v>591</v>
      </c>
      <c r="C51" s="363">
        <v>5</v>
      </c>
      <c r="D51" s="351" t="s">
        <v>603</v>
      </c>
      <c r="E51" s="362">
        <v>154.19999999999999</v>
      </c>
      <c r="F51" s="363" t="s">
        <v>145</v>
      </c>
      <c r="G51" s="362">
        <v>0</v>
      </c>
      <c r="H51" s="351" t="s">
        <v>604</v>
      </c>
      <c r="I51" s="362">
        <v>191.5</v>
      </c>
      <c r="J51" s="363" t="s">
        <v>145</v>
      </c>
      <c r="K51" s="362">
        <v>0</v>
      </c>
      <c r="L51" s="351" t="s">
        <v>604</v>
      </c>
      <c r="M51" s="362">
        <v>21.1</v>
      </c>
      <c r="N51" s="363" t="s">
        <v>145</v>
      </c>
      <c r="O51" s="362">
        <v>0</v>
      </c>
      <c r="P51" s="351" t="s">
        <v>605</v>
      </c>
      <c r="Q51" s="362">
        <v>367</v>
      </c>
      <c r="R51" s="366">
        <f>Таблица3[[#This Row],[Столбец1]]</f>
        <v>2046</v>
      </c>
      <c r="S51" s="366">
        <f ca="1">ROUND(Таблица3[[#This Row],[Столбец4]] *0.99 - RANDBETWEEN(1, 3) - RANDBETWEEN(1,10) / 10, 1)</f>
        <v>149.5</v>
      </c>
      <c r="T51" s="366">
        <f ca="1">ROUND(SUM(Таблица3[[#This Row],[Столбец6]:[Столбец13]]) * 0.99 - RANDBETWEEN(1, 3) - RANDBETWEEN(1,10) / 10, 1)</f>
        <v>207</v>
      </c>
      <c r="U51" s="366">
        <f t="shared" ca="1" si="1"/>
        <v>356.5</v>
      </c>
    </row>
    <row r="52" spans="1:21" ht="79.2" hidden="1" x14ac:dyDescent="0.3">
      <c r="A52" s="361">
        <v>2047</v>
      </c>
      <c r="B52" s="351" t="s">
        <v>632</v>
      </c>
      <c r="C52" s="351">
        <v>5</v>
      </c>
      <c r="D52" s="351" t="s">
        <v>603</v>
      </c>
      <c r="E52" s="362">
        <v>15.2</v>
      </c>
      <c r="F52" s="363" t="s">
        <v>145</v>
      </c>
      <c r="G52" s="362">
        <v>0</v>
      </c>
      <c r="H52" s="351" t="s">
        <v>604</v>
      </c>
      <c r="I52" s="362">
        <v>55.7</v>
      </c>
      <c r="J52" s="363" t="s">
        <v>145</v>
      </c>
      <c r="K52" s="362">
        <v>0</v>
      </c>
      <c r="L52" s="351" t="s">
        <v>604</v>
      </c>
      <c r="M52" s="362">
        <v>18.3</v>
      </c>
      <c r="N52" s="363" t="s">
        <v>145</v>
      </c>
      <c r="O52" s="362">
        <v>0</v>
      </c>
      <c r="P52" s="351" t="s">
        <v>605</v>
      </c>
      <c r="Q52" s="362">
        <v>89.2</v>
      </c>
      <c r="R52" s="366">
        <f>Таблица3[[#This Row],[Столбец1]]</f>
        <v>2047</v>
      </c>
      <c r="S52" s="366">
        <f ca="1">ROUND(Таблица3[[#This Row],[Столбец4]] *0.99 - RANDBETWEEN(1, 3) - RANDBETWEEN(1,10) / 10, 1)</f>
        <v>11.9</v>
      </c>
      <c r="T52" s="366">
        <f ca="1">ROUND(SUM(Таблица3[[#This Row],[Столбец6]:[Столбец13]]) * 0.99 - RANDBETWEEN(1, 3) - RANDBETWEEN(1,10) / 10, 1)</f>
        <v>69.900000000000006</v>
      </c>
      <c r="U52" s="366">
        <f t="shared" ca="1" si="1"/>
        <v>81.800000000000011</v>
      </c>
    </row>
    <row r="53" spans="1:21" ht="79.2" hidden="1" x14ac:dyDescent="0.3">
      <c r="A53" s="358">
        <v>2048</v>
      </c>
      <c r="B53" s="349" t="s">
        <v>633</v>
      </c>
      <c r="C53" s="349">
        <v>6</v>
      </c>
      <c r="D53" s="349" t="s">
        <v>603</v>
      </c>
      <c r="E53" s="359">
        <v>75.099999999999994</v>
      </c>
      <c r="F53" s="360" t="s">
        <v>145</v>
      </c>
      <c r="G53" s="359">
        <v>0</v>
      </c>
      <c r="H53" s="349" t="s">
        <v>604</v>
      </c>
      <c r="I53" s="359">
        <v>62.7</v>
      </c>
      <c r="J53" s="360" t="s">
        <v>145</v>
      </c>
      <c r="K53" s="359">
        <v>0</v>
      </c>
      <c r="L53" s="349" t="s">
        <v>604</v>
      </c>
      <c r="M53" s="359">
        <v>92.9</v>
      </c>
      <c r="N53" s="360" t="s">
        <v>145</v>
      </c>
      <c r="O53" s="359">
        <v>0</v>
      </c>
      <c r="P53" s="349" t="s">
        <v>605</v>
      </c>
      <c r="Q53" s="359">
        <v>230.9</v>
      </c>
      <c r="R53" s="366">
        <f>Таблица3[[#This Row],[Столбец1]]</f>
        <v>2048</v>
      </c>
      <c r="S53" s="366">
        <f ca="1">ROUND(Таблица3[[#This Row],[Столбец4]] *0.99 - RANDBETWEEN(1, 3) - RANDBETWEEN(1,10) / 10, 1)</f>
        <v>71.400000000000006</v>
      </c>
      <c r="T53" s="366">
        <f ca="1">ROUND(SUM(Таблица3[[#This Row],[Столбец6]:[Столбец13]]) * 0.99 - RANDBETWEEN(1, 3) - RANDBETWEEN(1,10) / 10, 1)</f>
        <v>152.9</v>
      </c>
      <c r="U53" s="366">
        <f t="shared" ca="1" si="1"/>
        <v>224.3</v>
      </c>
    </row>
    <row r="54" spans="1:21" ht="79.2" hidden="1" x14ac:dyDescent="0.3">
      <c r="A54" s="358">
        <v>2049</v>
      </c>
      <c r="B54" s="360" t="s">
        <v>591</v>
      </c>
      <c r="C54" s="360">
        <v>6</v>
      </c>
      <c r="D54" s="349" t="s">
        <v>603</v>
      </c>
      <c r="E54" s="359">
        <v>161.9</v>
      </c>
      <c r="F54" s="360" t="s">
        <v>145</v>
      </c>
      <c r="G54" s="359">
        <v>0</v>
      </c>
      <c r="H54" s="349" t="s">
        <v>604</v>
      </c>
      <c r="I54" s="359">
        <v>90.7</v>
      </c>
      <c r="J54" s="360" t="s">
        <v>145</v>
      </c>
      <c r="K54" s="359">
        <v>0</v>
      </c>
      <c r="L54" s="349" t="s">
        <v>604</v>
      </c>
      <c r="M54" s="359">
        <v>16.8</v>
      </c>
      <c r="N54" s="360" t="s">
        <v>145</v>
      </c>
      <c r="O54" s="359">
        <v>0</v>
      </c>
      <c r="P54" s="349" t="s">
        <v>605</v>
      </c>
      <c r="Q54" s="359">
        <v>269.60000000000002</v>
      </c>
      <c r="R54" s="366">
        <f>Таблица3[[#This Row],[Столбец1]]</f>
        <v>2049</v>
      </c>
      <c r="S54" s="366">
        <f ca="1">ROUND(Таблица3[[#This Row],[Столбец4]] *0.99 - RANDBETWEEN(1, 3) - RANDBETWEEN(1,10) / 10, 1)</f>
        <v>159.19999999999999</v>
      </c>
      <c r="T54" s="366">
        <f ca="1">ROUND(SUM(Таблица3[[#This Row],[Столбец6]:[Столбец13]]) * 0.99 - RANDBETWEEN(1, 3) - RANDBETWEEN(1,10) / 10, 1)</f>
        <v>104.7</v>
      </c>
      <c r="U54" s="366">
        <f t="shared" ca="1" si="1"/>
        <v>263.89999999999998</v>
      </c>
    </row>
    <row r="55" spans="1:21" ht="79.2" hidden="1" x14ac:dyDescent="0.3">
      <c r="A55" s="358">
        <v>2050</v>
      </c>
      <c r="B55" s="360" t="s">
        <v>592</v>
      </c>
      <c r="C55" s="360">
        <v>6</v>
      </c>
      <c r="D55" s="349" t="s">
        <v>603</v>
      </c>
      <c r="E55" s="359">
        <v>46</v>
      </c>
      <c r="F55" s="360" t="s">
        <v>145</v>
      </c>
      <c r="G55" s="359">
        <v>0</v>
      </c>
      <c r="H55" s="349" t="s">
        <v>604</v>
      </c>
      <c r="I55" s="359">
        <v>7.8</v>
      </c>
      <c r="J55" s="360" t="s">
        <v>145</v>
      </c>
      <c r="K55" s="359">
        <v>0</v>
      </c>
      <c r="L55" s="349" t="s">
        <v>604</v>
      </c>
      <c r="M55" s="359">
        <v>36</v>
      </c>
      <c r="N55" s="360" t="s">
        <v>145</v>
      </c>
      <c r="O55" s="359">
        <v>0</v>
      </c>
      <c r="P55" s="349" t="s">
        <v>605</v>
      </c>
      <c r="Q55" s="359">
        <v>89.8</v>
      </c>
      <c r="R55" s="366">
        <f>Таблица3[[#This Row],[Столбец1]]</f>
        <v>2050</v>
      </c>
      <c r="S55" s="366">
        <f ca="1">ROUND(Таблица3[[#This Row],[Столбец4]] *0.99 - RANDBETWEEN(1, 3) - RANDBETWEEN(1,10) / 10, 1)</f>
        <v>44.3</v>
      </c>
      <c r="T55" s="366">
        <f ca="1">ROUND(SUM(Таблица3[[#This Row],[Столбец6]:[Столбец13]]) * 0.99 - RANDBETWEEN(1, 3) - RANDBETWEEN(1,10) / 10, 1)</f>
        <v>40</v>
      </c>
      <c r="U55" s="366">
        <f t="shared" ca="1" si="1"/>
        <v>84.3</v>
      </c>
    </row>
    <row r="56" spans="1:21" ht="92.4" hidden="1" x14ac:dyDescent="0.3">
      <c r="A56" s="358">
        <v>2051</v>
      </c>
      <c r="B56" s="349" t="s">
        <v>634</v>
      </c>
      <c r="C56" s="349">
        <v>6</v>
      </c>
      <c r="D56" s="349" t="s">
        <v>615</v>
      </c>
      <c r="E56" s="359">
        <v>15.8</v>
      </c>
      <c r="F56" s="360" t="s">
        <v>145</v>
      </c>
      <c r="G56" s="359">
        <v>0</v>
      </c>
      <c r="H56" s="349" t="s">
        <v>616</v>
      </c>
      <c r="I56" s="359">
        <v>10.5</v>
      </c>
      <c r="J56" s="360" t="s">
        <v>145</v>
      </c>
      <c r="K56" s="359">
        <v>0</v>
      </c>
      <c r="L56" s="349" t="s">
        <v>616</v>
      </c>
      <c r="M56" s="359">
        <v>59.2</v>
      </c>
      <c r="N56" s="360" t="s">
        <v>145</v>
      </c>
      <c r="O56" s="359">
        <v>0</v>
      </c>
      <c r="P56" s="349" t="s">
        <v>605</v>
      </c>
      <c r="Q56" s="359">
        <v>86</v>
      </c>
      <c r="R56" s="366">
        <f>Таблица3[[#This Row],[Столбец1]]</f>
        <v>2051</v>
      </c>
      <c r="S56" s="366">
        <f ca="1">ROUND(Таблица3[[#This Row],[Столбец4]] *0.99 - RANDBETWEEN(1, 3) - RANDBETWEEN(1,10) / 10, 1)</f>
        <v>12.7</v>
      </c>
      <c r="T56" s="366">
        <f ca="1">ROUND(SUM(Таблица3[[#This Row],[Столбец6]:[Столбец13]]) * 0.99 - RANDBETWEEN(1, 3) - RANDBETWEEN(1,10) / 10, 1)</f>
        <v>65.7</v>
      </c>
      <c r="U56" s="366">
        <f t="shared" ca="1" si="1"/>
        <v>78.400000000000006</v>
      </c>
    </row>
    <row r="57" spans="1:21" ht="92.4" hidden="1" x14ac:dyDescent="0.3">
      <c r="A57" s="358">
        <v>2052</v>
      </c>
      <c r="B57" s="349" t="s">
        <v>617</v>
      </c>
      <c r="C57" s="349">
        <v>6</v>
      </c>
      <c r="D57" s="349" t="s">
        <v>615</v>
      </c>
      <c r="E57" s="359">
        <v>3</v>
      </c>
      <c r="F57" s="360" t="s">
        <v>145</v>
      </c>
      <c r="G57" s="359">
        <v>0</v>
      </c>
      <c r="H57" s="349" t="s">
        <v>616</v>
      </c>
      <c r="I57" s="359">
        <v>2.6</v>
      </c>
      <c r="J57" s="360" t="s">
        <v>145</v>
      </c>
      <c r="K57" s="359">
        <v>0</v>
      </c>
      <c r="L57" s="349" t="s">
        <v>616</v>
      </c>
      <c r="M57" s="359">
        <v>26.3</v>
      </c>
      <c r="N57" s="360" t="s">
        <v>145</v>
      </c>
      <c r="O57" s="359">
        <v>0</v>
      </c>
      <c r="P57" s="349" t="s">
        <v>605</v>
      </c>
      <c r="Q57" s="359">
        <v>31.8</v>
      </c>
      <c r="R57" s="366">
        <f>Таблица3[[#This Row],[Столбец1]]</f>
        <v>2052</v>
      </c>
      <c r="S57" s="366">
        <f ca="1">ROUND(Таблица3[[#This Row],[Столбец4]] *0.99 - RANDBETWEEN(1, 3) - RANDBETWEEN(1,10) / 10, 1)</f>
        <v>0.6</v>
      </c>
      <c r="T57" s="366">
        <f ca="1">ROUND(SUM(Таблица3[[#This Row],[Столбец6]:[Столбец13]]) * 0.99 - RANDBETWEEN(1, 3) - RANDBETWEEN(1,10) / 10, 1)</f>
        <v>26.8</v>
      </c>
      <c r="U57" s="366">
        <f t="shared" ca="1" si="1"/>
        <v>27.400000000000002</v>
      </c>
    </row>
    <row r="58" spans="1:21" ht="92.4" hidden="1" x14ac:dyDescent="0.3">
      <c r="A58" s="358">
        <v>2053</v>
      </c>
      <c r="B58" s="349" t="s">
        <v>620</v>
      </c>
      <c r="C58" s="349">
        <v>6</v>
      </c>
      <c r="D58" s="349" t="s">
        <v>615</v>
      </c>
      <c r="E58" s="359">
        <v>1</v>
      </c>
      <c r="F58" s="360" t="s">
        <v>145</v>
      </c>
      <c r="G58" s="359">
        <v>0</v>
      </c>
      <c r="H58" s="349" t="s">
        <v>616</v>
      </c>
      <c r="I58" s="359">
        <v>5.9</v>
      </c>
      <c r="J58" s="360" t="s">
        <v>145</v>
      </c>
      <c r="K58" s="359">
        <v>0</v>
      </c>
      <c r="L58" s="349" t="s">
        <v>616</v>
      </c>
      <c r="M58" s="359">
        <v>27.4</v>
      </c>
      <c r="N58" s="360" t="s">
        <v>145</v>
      </c>
      <c r="O58" s="359">
        <v>0</v>
      </c>
      <c r="P58" s="349" t="s">
        <v>605</v>
      </c>
      <c r="Q58" s="359">
        <v>34.299999999999997</v>
      </c>
      <c r="R58" s="366">
        <f>Таблица3[[#This Row],[Столбец1]]</f>
        <v>2053</v>
      </c>
      <c r="S58" s="366">
        <f ca="1">ROUND(Таблица3[[#This Row],[Столбец4]] *0.99 - RANDBETWEEN(1, 3) - RANDBETWEEN(1,10) / 10, 1)</f>
        <v>-1.1000000000000001</v>
      </c>
      <c r="T58" s="366">
        <f ca="1">ROUND(SUM(Таблица3[[#This Row],[Столбец6]:[Столбец13]]) * 0.99 - RANDBETWEEN(1, 3) - RANDBETWEEN(1,10) / 10, 1)</f>
        <v>29.5</v>
      </c>
      <c r="U58" s="366">
        <f t="shared" ca="1" si="1"/>
        <v>28.4</v>
      </c>
    </row>
    <row r="59" spans="1:21" ht="92.4" hidden="1" x14ac:dyDescent="0.3">
      <c r="A59" s="358">
        <v>2054</v>
      </c>
      <c r="B59" s="349" t="s">
        <v>635</v>
      </c>
      <c r="C59" s="349">
        <v>6</v>
      </c>
      <c r="D59" s="349" t="s">
        <v>615</v>
      </c>
      <c r="E59" s="359">
        <v>39.200000000000003</v>
      </c>
      <c r="F59" s="360" t="s">
        <v>145</v>
      </c>
      <c r="G59" s="359">
        <v>0</v>
      </c>
      <c r="H59" s="349" t="s">
        <v>616</v>
      </c>
      <c r="I59" s="359">
        <v>11.7</v>
      </c>
      <c r="J59" s="360" t="s">
        <v>145</v>
      </c>
      <c r="K59" s="359">
        <v>0</v>
      </c>
      <c r="L59" s="349" t="s">
        <v>616</v>
      </c>
      <c r="M59" s="359">
        <v>28.6</v>
      </c>
      <c r="N59" s="360" t="s">
        <v>145</v>
      </c>
      <c r="O59" s="359">
        <v>0</v>
      </c>
      <c r="P59" s="349" t="s">
        <v>605</v>
      </c>
      <c r="Q59" s="359">
        <v>86.6</v>
      </c>
      <c r="R59" s="366">
        <f>Таблица3[[#This Row],[Столбец1]]</f>
        <v>2054</v>
      </c>
      <c r="S59" s="366">
        <f ca="1">ROUND(Таблица3[[#This Row],[Столбец4]] *0.99 - RANDBETWEEN(1, 3) - RANDBETWEEN(1,10) / 10, 1)</f>
        <v>35</v>
      </c>
      <c r="T59" s="366">
        <f ca="1">ROUND(SUM(Таблица3[[#This Row],[Столбец6]:[Столбец13]]) * 0.99 - RANDBETWEEN(1, 3) - RANDBETWEEN(1,10) / 10, 1)</f>
        <v>36</v>
      </c>
      <c r="U59" s="366">
        <f t="shared" ca="1" si="1"/>
        <v>71</v>
      </c>
    </row>
    <row r="60" spans="1:21" ht="79.2" hidden="1" x14ac:dyDescent="0.3">
      <c r="A60" s="358">
        <v>2055</v>
      </c>
      <c r="B60" s="349" t="s">
        <v>613</v>
      </c>
      <c r="C60" s="349">
        <v>6</v>
      </c>
      <c r="D60" s="349" t="s">
        <v>603</v>
      </c>
      <c r="E60" s="359">
        <v>35.9</v>
      </c>
      <c r="F60" s="360" t="s">
        <v>145</v>
      </c>
      <c r="G60" s="359">
        <v>0</v>
      </c>
      <c r="H60" s="360" t="s">
        <v>145</v>
      </c>
      <c r="I60" s="359">
        <v>0</v>
      </c>
      <c r="J60" s="360" t="s">
        <v>145</v>
      </c>
      <c r="K60" s="359">
        <v>0</v>
      </c>
      <c r="L60" s="349" t="s">
        <v>604</v>
      </c>
      <c r="M60" s="359">
        <v>13.1</v>
      </c>
      <c r="N60" s="360" t="s">
        <v>145</v>
      </c>
      <c r="O60" s="359">
        <v>0</v>
      </c>
      <c r="P60" s="349" t="s">
        <v>605</v>
      </c>
      <c r="Q60" s="359">
        <v>49</v>
      </c>
      <c r="R60" s="366">
        <f>Таблица3[[#This Row],[Столбец1]]</f>
        <v>2055</v>
      </c>
      <c r="S60" s="366">
        <f ca="1">ROUND(Таблица3[[#This Row],[Столбец4]] *0.99 - RANDBETWEEN(1, 3) - RANDBETWEEN(1,10) / 10, 1)</f>
        <v>33.200000000000003</v>
      </c>
      <c r="T60" s="366">
        <f ca="1">ROUND(SUM(Таблица3[[#This Row],[Столбец6]:[Столбец13]]) * 0.99 - RANDBETWEEN(1, 3) - RANDBETWEEN(1,10) / 10, 1)</f>
        <v>11.9</v>
      </c>
      <c r="U60" s="366">
        <f t="shared" ca="1" si="1"/>
        <v>45.1</v>
      </c>
    </row>
    <row r="61" spans="1:21" ht="79.2" hidden="1" x14ac:dyDescent="0.3">
      <c r="A61" s="361">
        <v>2056</v>
      </c>
      <c r="B61" s="351" t="s">
        <v>612</v>
      </c>
      <c r="C61" s="351">
        <v>6</v>
      </c>
      <c r="D61" s="351" t="s">
        <v>603</v>
      </c>
      <c r="E61" s="362">
        <v>108.4</v>
      </c>
      <c r="F61" s="363" t="s">
        <v>145</v>
      </c>
      <c r="G61" s="362">
        <v>0</v>
      </c>
      <c r="H61" s="363" t="s">
        <v>145</v>
      </c>
      <c r="I61" s="362">
        <v>0</v>
      </c>
      <c r="J61" s="363" t="s">
        <v>145</v>
      </c>
      <c r="K61" s="362">
        <v>0</v>
      </c>
      <c r="L61" s="363" t="s">
        <v>145</v>
      </c>
      <c r="M61" s="362">
        <v>0</v>
      </c>
      <c r="N61" s="363" t="s">
        <v>145</v>
      </c>
      <c r="O61" s="362">
        <v>0</v>
      </c>
      <c r="P61" s="351" t="s">
        <v>605</v>
      </c>
      <c r="Q61" s="362">
        <v>108.4</v>
      </c>
      <c r="R61" s="366">
        <f>Таблица3[[#This Row],[Столбец1]]</f>
        <v>2056</v>
      </c>
      <c r="S61" s="366">
        <f ca="1">ROUND(Таблица3[[#This Row],[Столбец4]] *0.99 - RANDBETWEEN(1, 3) - RANDBETWEEN(1,10) / 10, 1)</f>
        <v>105</v>
      </c>
      <c r="T61" s="366">
        <f ca="1">ROUND(SUM(Таблица3[[#This Row],[Столбец6]:[Столбец13]]) * 0.99 - RANDBETWEEN(1, 3) - RANDBETWEEN(1,10) / 10, 1)</f>
        <v>-3.6</v>
      </c>
      <c r="U61" s="366">
        <f t="shared" ca="1" si="1"/>
        <v>101.4</v>
      </c>
    </row>
    <row r="62" spans="1:21" ht="79.2" x14ac:dyDescent="0.3">
      <c r="A62" s="358">
        <v>2057</v>
      </c>
      <c r="B62" s="349" t="s">
        <v>611</v>
      </c>
      <c r="C62" s="349">
        <v>7</v>
      </c>
      <c r="D62" s="349" t="s">
        <v>603</v>
      </c>
      <c r="E62" s="359">
        <v>12.1</v>
      </c>
      <c r="F62" s="360" t="s">
        <v>145</v>
      </c>
      <c r="G62" s="359">
        <v>0</v>
      </c>
      <c r="H62" s="349" t="s">
        <v>604</v>
      </c>
      <c r="I62" s="359">
        <v>35.9</v>
      </c>
      <c r="J62" s="360" t="s">
        <v>145</v>
      </c>
      <c r="K62" s="359">
        <v>0</v>
      </c>
      <c r="L62" s="349" t="s">
        <v>604</v>
      </c>
      <c r="M62" s="359">
        <v>17</v>
      </c>
      <c r="N62" s="360" t="s">
        <v>145</v>
      </c>
      <c r="O62" s="359">
        <v>0</v>
      </c>
      <c r="P62" s="349" t="s">
        <v>605</v>
      </c>
      <c r="Q62" s="359">
        <v>65</v>
      </c>
      <c r="R62" s="366">
        <f>Таблица3[[#This Row],[Столбец1]]</f>
        <v>2057</v>
      </c>
      <c r="S62" s="366">
        <f ca="1">ROUND(Таблица3[[#This Row],[Столбец4]] *0.99 - RANDBETWEEN(1, 3) - RANDBETWEEN(1,10) / 10, 1)</f>
        <v>9.6999999999999993</v>
      </c>
      <c r="T62" s="366">
        <f ca="1">ROUND(SUM(Таблица3[[#This Row],[Столбец6]:[Столбец13]]) * 0.99 - RANDBETWEEN(1, 3) - RANDBETWEEN(1,10) / 10, 1)</f>
        <v>48.9</v>
      </c>
      <c r="U62" s="366">
        <f t="shared" ca="1" si="1"/>
        <v>58.599999999999994</v>
      </c>
    </row>
    <row r="63" spans="1:21" ht="79.2" x14ac:dyDescent="0.3">
      <c r="A63" s="358">
        <v>2058</v>
      </c>
      <c r="B63" s="349" t="s">
        <v>636</v>
      </c>
      <c r="C63" s="349">
        <v>7</v>
      </c>
      <c r="D63" s="349" t="s">
        <v>603</v>
      </c>
      <c r="E63" s="359">
        <v>147.5</v>
      </c>
      <c r="F63" s="360" t="s">
        <v>145</v>
      </c>
      <c r="G63" s="359">
        <v>0</v>
      </c>
      <c r="H63" s="349" t="s">
        <v>604</v>
      </c>
      <c r="I63" s="359">
        <v>97.1</v>
      </c>
      <c r="J63" s="360" t="s">
        <v>145</v>
      </c>
      <c r="K63" s="359">
        <v>0</v>
      </c>
      <c r="L63" s="349" t="s">
        <v>604</v>
      </c>
      <c r="M63" s="359">
        <v>12.5</v>
      </c>
      <c r="N63" s="360" t="s">
        <v>145</v>
      </c>
      <c r="O63" s="359">
        <v>0</v>
      </c>
      <c r="P63" s="349" t="s">
        <v>605</v>
      </c>
      <c r="Q63" s="359">
        <v>257</v>
      </c>
      <c r="R63" s="366">
        <f>Таблица3[[#This Row],[Столбец1]]</f>
        <v>2058</v>
      </c>
      <c r="S63" s="366">
        <f ca="1">ROUND(Таблица3[[#This Row],[Столбец4]] *0.99 - RANDBETWEEN(1, 3) - RANDBETWEEN(1,10) / 10, 1)</f>
        <v>144.4</v>
      </c>
      <c r="T63" s="366">
        <f ca="1">ROUND(SUM(Таблица3[[#This Row],[Столбец6]:[Столбец13]]) * 0.99 - RANDBETWEEN(1, 3) - RANDBETWEEN(1,10) / 10, 1)</f>
        <v>105.7</v>
      </c>
      <c r="U63" s="366">
        <f t="shared" ca="1" si="1"/>
        <v>250.10000000000002</v>
      </c>
    </row>
    <row r="64" spans="1:21" ht="92.4" hidden="1" x14ac:dyDescent="0.3">
      <c r="A64" s="358">
        <v>2059</v>
      </c>
      <c r="B64" s="349" t="s">
        <v>617</v>
      </c>
      <c r="C64" s="349">
        <v>2</v>
      </c>
      <c r="D64" s="349" t="s">
        <v>615</v>
      </c>
      <c r="E64" s="359">
        <v>8</v>
      </c>
      <c r="F64" s="360" t="s">
        <v>145</v>
      </c>
      <c r="G64" s="359">
        <v>0</v>
      </c>
      <c r="H64" s="360" t="s">
        <v>145</v>
      </c>
      <c r="I64" s="359">
        <v>0</v>
      </c>
      <c r="J64" s="360" t="s">
        <v>145</v>
      </c>
      <c r="K64" s="359">
        <v>0</v>
      </c>
      <c r="L64" s="349" t="s">
        <v>616</v>
      </c>
      <c r="M64" s="359">
        <v>23.5</v>
      </c>
      <c r="N64" s="360" t="s">
        <v>145</v>
      </c>
      <c r="O64" s="359">
        <v>0</v>
      </c>
      <c r="P64" s="349" t="s">
        <v>605</v>
      </c>
      <c r="Q64" s="359">
        <v>31.5</v>
      </c>
      <c r="R64" s="366">
        <f>Таблица3[[#This Row],[Столбец1]]</f>
        <v>2059</v>
      </c>
      <c r="S64" s="366">
        <f ca="1">ROUND(Таблица3[[#This Row],[Столбец4]] *0.99 - RANDBETWEEN(1, 3) - RANDBETWEEN(1,10) / 10, 1)</f>
        <v>5.3</v>
      </c>
      <c r="T64" s="366">
        <f ca="1">ROUND(SUM(Таблица3[[#This Row],[Столбец6]:[Столбец13]]) * 0.99 - RANDBETWEEN(1, 3) - RANDBETWEEN(1,10) / 10, 1)</f>
        <v>20.7</v>
      </c>
      <c r="U64" s="366">
        <f t="shared" ca="1" si="1"/>
        <v>26</v>
      </c>
    </row>
    <row r="65" spans="1:21" ht="79.2" x14ac:dyDescent="0.3">
      <c r="A65" s="358">
        <v>2060</v>
      </c>
      <c r="B65" s="360" t="s">
        <v>592</v>
      </c>
      <c r="C65" s="360">
        <v>7</v>
      </c>
      <c r="D65" s="349" t="s">
        <v>603</v>
      </c>
      <c r="E65" s="359">
        <v>23.1</v>
      </c>
      <c r="F65" s="360" t="s">
        <v>145</v>
      </c>
      <c r="G65" s="359">
        <v>0</v>
      </c>
      <c r="H65" s="349" t="s">
        <v>604</v>
      </c>
      <c r="I65" s="359">
        <v>12.6</v>
      </c>
      <c r="J65" s="360" t="s">
        <v>145</v>
      </c>
      <c r="K65" s="359">
        <v>0</v>
      </c>
      <c r="L65" s="349" t="s">
        <v>604</v>
      </c>
      <c r="M65" s="359">
        <v>58</v>
      </c>
      <c r="N65" s="360" t="s">
        <v>145</v>
      </c>
      <c r="O65" s="359">
        <v>0</v>
      </c>
      <c r="P65" s="349" t="s">
        <v>605</v>
      </c>
      <c r="Q65" s="359">
        <v>93.7</v>
      </c>
      <c r="R65" s="366">
        <f>Таблица3[[#This Row],[Столбец1]]</f>
        <v>2060</v>
      </c>
      <c r="S65" s="366">
        <f ca="1">ROUND(Таблица3[[#This Row],[Столбец4]] *0.99 - RANDBETWEEN(1, 3) - RANDBETWEEN(1,10) / 10, 1)</f>
        <v>19.100000000000001</v>
      </c>
      <c r="T65" s="366">
        <f ca="1">ROUND(SUM(Таблица3[[#This Row],[Столбец6]:[Столбец13]]) * 0.99 - RANDBETWEEN(1, 3) - RANDBETWEEN(1,10) / 10, 1)</f>
        <v>68.8</v>
      </c>
      <c r="U65" s="366">
        <f t="shared" ca="1" si="1"/>
        <v>87.9</v>
      </c>
    </row>
    <row r="66" spans="1:21" ht="79.2" x14ac:dyDescent="0.3">
      <c r="A66" s="358">
        <v>2061</v>
      </c>
      <c r="B66" s="349" t="s">
        <v>637</v>
      </c>
      <c r="C66" s="349">
        <v>7</v>
      </c>
      <c r="D66" s="349" t="s">
        <v>603</v>
      </c>
      <c r="E66" s="359">
        <v>64.400000000000006</v>
      </c>
      <c r="F66" s="360" t="s">
        <v>145</v>
      </c>
      <c r="G66" s="359">
        <v>0</v>
      </c>
      <c r="H66" s="349" t="s">
        <v>604</v>
      </c>
      <c r="I66" s="359">
        <v>66.8</v>
      </c>
      <c r="J66" s="360" t="s">
        <v>145</v>
      </c>
      <c r="K66" s="359">
        <v>0</v>
      </c>
      <c r="L66" s="349" t="s">
        <v>604</v>
      </c>
      <c r="M66" s="359">
        <v>89.9</v>
      </c>
      <c r="N66" s="360" t="s">
        <v>145</v>
      </c>
      <c r="O66" s="359">
        <v>0</v>
      </c>
      <c r="P66" s="349" t="s">
        <v>605</v>
      </c>
      <c r="Q66" s="359">
        <v>221.1</v>
      </c>
      <c r="R66" s="366">
        <f>Таблица3[[#This Row],[Столбец1]]</f>
        <v>2061</v>
      </c>
      <c r="S66" s="366">
        <f ca="1">ROUND(Таблица3[[#This Row],[Столбец4]] *0.99 - RANDBETWEEN(1, 3) - RANDBETWEEN(1,10) / 10, 1)</f>
        <v>60.7</v>
      </c>
      <c r="T66" s="366">
        <f ca="1">ROUND(SUM(Таблица3[[#This Row],[Столбец6]:[Столбец13]]) * 0.99 - RANDBETWEEN(1, 3) - RANDBETWEEN(1,10) / 10, 1)</f>
        <v>151.6</v>
      </c>
      <c r="U66" s="366">
        <f t="shared" ca="1" si="1"/>
        <v>212.3</v>
      </c>
    </row>
    <row r="67" spans="1:21" ht="79.2" x14ac:dyDescent="0.3">
      <c r="A67" s="358">
        <v>2062</v>
      </c>
      <c r="B67" s="349" t="s">
        <v>630</v>
      </c>
      <c r="C67" s="349">
        <v>7</v>
      </c>
      <c r="D67" s="349" t="s">
        <v>603</v>
      </c>
      <c r="E67" s="359">
        <v>114.8</v>
      </c>
      <c r="F67" s="360" t="s">
        <v>145</v>
      </c>
      <c r="G67" s="359">
        <v>0</v>
      </c>
      <c r="H67" s="349" t="s">
        <v>604</v>
      </c>
      <c r="I67" s="359">
        <v>99.3</v>
      </c>
      <c r="J67" s="360" t="s">
        <v>145</v>
      </c>
      <c r="K67" s="359">
        <v>0</v>
      </c>
      <c r="L67" s="349" t="s">
        <v>604</v>
      </c>
      <c r="M67" s="359">
        <v>66.2</v>
      </c>
      <c r="N67" s="360" t="s">
        <v>145</v>
      </c>
      <c r="O67" s="359">
        <v>0</v>
      </c>
      <c r="P67" s="349" t="s">
        <v>605</v>
      </c>
      <c r="Q67" s="359">
        <v>280.3</v>
      </c>
      <c r="R67" s="366">
        <f>Таблица3[[#This Row],[Столбец1]]</f>
        <v>2062</v>
      </c>
      <c r="S67" s="366">
        <f ca="1">ROUND(Таблица3[[#This Row],[Столбец4]] *0.99 - RANDBETWEEN(1, 3) - RANDBETWEEN(1,10) / 10, 1)</f>
        <v>112</v>
      </c>
      <c r="T67" s="366">
        <f ca="1">ROUND(SUM(Таблица3[[#This Row],[Столбец6]:[Столбец13]]) * 0.99 - RANDBETWEEN(1, 3) - RANDBETWEEN(1,10) / 10, 1)</f>
        <v>160.9</v>
      </c>
      <c r="U67" s="366">
        <f t="shared" ca="1" si="1"/>
        <v>272.89999999999998</v>
      </c>
    </row>
    <row r="68" spans="1:21" ht="79.2" x14ac:dyDescent="0.3">
      <c r="A68" s="358">
        <v>2063</v>
      </c>
      <c r="B68" s="349" t="s">
        <v>612</v>
      </c>
      <c r="C68" s="349">
        <v>7</v>
      </c>
      <c r="D68" s="349" t="s">
        <v>603</v>
      </c>
      <c r="E68" s="359">
        <v>85.7</v>
      </c>
      <c r="F68" s="360" t="s">
        <v>145</v>
      </c>
      <c r="G68" s="359">
        <v>0</v>
      </c>
      <c r="H68" s="360" t="s">
        <v>145</v>
      </c>
      <c r="I68" s="359">
        <v>0</v>
      </c>
      <c r="J68" s="360" t="s">
        <v>145</v>
      </c>
      <c r="K68" s="359">
        <v>0</v>
      </c>
      <c r="L68" s="360" t="s">
        <v>145</v>
      </c>
      <c r="M68" s="359">
        <v>0</v>
      </c>
      <c r="N68" s="360" t="s">
        <v>145</v>
      </c>
      <c r="O68" s="359">
        <v>0</v>
      </c>
      <c r="P68" s="349" t="s">
        <v>605</v>
      </c>
      <c r="Q68" s="359">
        <v>85.7</v>
      </c>
      <c r="R68" s="366">
        <f>Таблица3[[#This Row],[Столбец1]]</f>
        <v>2063</v>
      </c>
      <c r="S68" s="366">
        <f ca="1">ROUND(Таблица3[[#This Row],[Столбец4]] *0.99 - RANDBETWEEN(1, 3) - RANDBETWEEN(1,10) / 10, 1)</f>
        <v>82.3</v>
      </c>
      <c r="T68" s="366">
        <f ca="1">ROUND(SUM(Таблица3[[#This Row],[Столбец6]:[Столбец13]]) * 0.99 - RANDBETWEEN(1, 3) - RANDBETWEEN(1,10) / 10, 1)</f>
        <v>-3.6</v>
      </c>
      <c r="U68" s="366">
        <f t="shared" ca="1" si="1"/>
        <v>78.7</v>
      </c>
    </row>
    <row r="69" spans="1:21" ht="79.2" x14ac:dyDescent="0.3">
      <c r="A69" s="358">
        <v>2064</v>
      </c>
      <c r="B69" s="349" t="s">
        <v>629</v>
      </c>
      <c r="C69" s="349">
        <v>7</v>
      </c>
      <c r="D69" s="349" t="s">
        <v>603</v>
      </c>
      <c r="E69" s="359">
        <v>60.5</v>
      </c>
      <c r="F69" s="360" t="s">
        <v>145</v>
      </c>
      <c r="G69" s="359">
        <v>0</v>
      </c>
      <c r="H69" s="349" t="s">
        <v>604</v>
      </c>
      <c r="I69" s="359">
        <v>30.8</v>
      </c>
      <c r="J69" s="360" t="s">
        <v>145</v>
      </c>
      <c r="K69" s="359">
        <v>0</v>
      </c>
      <c r="L69" s="349" t="s">
        <v>604</v>
      </c>
      <c r="M69" s="359">
        <v>25.1</v>
      </c>
      <c r="N69" s="360" t="s">
        <v>145</v>
      </c>
      <c r="O69" s="359">
        <v>0</v>
      </c>
      <c r="P69" s="349" t="s">
        <v>605</v>
      </c>
      <c r="Q69" s="359">
        <v>116.4</v>
      </c>
      <c r="R69" s="366">
        <f>Таблица3[[#This Row],[Столбец1]]</f>
        <v>2064</v>
      </c>
      <c r="S69" s="366">
        <f ca="1">ROUND(Таблица3[[#This Row],[Столбец4]] *0.99 - RANDBETWEEN(1, 3) - RANDBETWEEN(1,10) / 10, 1)</f>
        <v>57.1</v>
      </c>
      <c r="T69" s="366">
        <f ca="1">ROUND(SUM(Таблица3[[#This Row],[Столбец6]:[Столбец13]]) * 0.99 - RANDBETWEEN(1, 3) - RANDBETWEEN(1,10) / 10, 1)</f>
        <v>51.9</v>
      </c>
      <c r="U69" s="366">
        <f t="shared" ca="1" si="1"/>
        <v>109</v>
      </c>
    </row>
    <row r="70" spans="1:21" ht="92.4" hidden="1" x14ac:dyDescent="0.3">
      <c r="A70" s="361">
        <v>2065</v>
      </c>
      <c r="B70" s="351" t="s">
        <v>617</v>
      </c>
      <c r="C70" s="351">
        <v>3</v>
      </c>
      <c r="D70" s="351" t="s">
        <v>615</v>
      </c>
      <c r="E70" s="362">
        <v>1.7</v>
      </c>
      <c r="F70" s="363" t="s">
        <v>145</v>
      </c>
      <c r="G70" s="362">
        <v>0</v>
      </c>
      <c r="H70" s="351" t="s">
        <v>616</v>
      </c>
      <c r="I70" s="362">
        <v>6.1</v>
      </c>
      <c r="J70" s="363" t="s">
        <v>145</v>
      </c>
      <c r="K70" s="362">
        <v>0</v>
      </c>
      <c r="L70" s="351" t="s">
        <v>616</v>
      </c>
      <c r="M70" s="362">
        <v>23.4</v>
      </c>
      <c r="N70" s="363" t="s">
        <v>145</v>
      </c>
      <c r="O70" s="362">
        <v>0</v>
      </c>
      <c r="P70" s="351" t="s">
        <v>605</v>
      </c>
      <c r="Q70" s="362">
        <v>31.2</v>
      </c>
      <c r="R70" s="366">
        <f>Таблица3[[#This Row],[Столбец1]]</f>
        <v>2065</v>
      </c>
      <c r="S70" s="366">
        <f ca="1">ROUND(Таблица3[[#This Row],[Столбец4]] *0.99 - RANDBETWEEN(1, 3) - RANDBETWEEN(1,10) / 10, 1)</f>
        <v>0.1</v>
      </c>
      <c r="T70" s="366">
        <f ca="1">ROUND(SUM(Таблица3[[#This Row],[Столбец6]:[Столбец13]]) * 0.99 - RANDBETWEEN(1, 3) - RANDBETWEEN(1,10) / 10, 1)</f>
        <v>27.4</v>
      </c>
      <c r="U70" s="366">
        <f t="shared" ca="1" si="1"/>
        <v>27.5</v>
      </c>
    </row>
    <row r="71" spans="1:21" ht="105.6" x14ac:dyDescent="0.3">
      <c r="A71" s="358">
        <v>2066</v>
      </c>
      <c r="B71" s="349" t="s">
        <v>638</v>
      </c>
      <c r="C71" s="349">
        <v>7</v>
      </c>
      <c r="D71" s="349" t="s">
        <v>603</v>
      </c>
      <c r="E71" s="359">
        <v>71</v>
      </c>
      <c r="F71" s="360" t="s">
        <v>145</v>
      </c>
      <c r="G71" s="359">
        <v>0</v>
      </c>
      <c r="H71" s="349" t="s">
        <v>604</v>
      </c>
      <c r="I71" s="359">
        <v>42.2</v>
      </c>
      <c r="J71" s="349" t="s">
        <v>608</v>
      </c>
      <c r="K71" s="359">
        <v>28.6</v>
      </c>
      <c r="L71" s="349" t="s">
        <v>604</v>
      </c>
      <c r="M71" s="359">
        <v>23.8</v>
      </c>
      <c r="N71" s="360" t="s">
        <v>145</v>
      </c>
      <c r="O71" s="359">
        <v>0</v>
      </c>
      <c r="P71" s="349" t="s">
        <v>605</v>
      </c>
      <c r="Q71" s="359">
        <v>165.5</v>
      </c>
      <c r="R71" s="366">
        <f>Таблица3[[#This Row],[Столбец1]]</f>
        <v>2066</v>
      </c>
      <c r="S71" s="366">
        <f ca="1">ROUND(Таблица3[[#This Row],[Столбец4]] *0.99 - RANDBETWEEN(1, 3) - RANDBETWEEN(1,10) / 10, 1)</f>
        <v>67.2</v>
      </c>
      <c r="T71" s="366">
        <f ca="1">ROUND(SUM(Таблица3[[#This Row],[Столбец6]:[Столбец13]]) * 0.99 - RANDBETWEEN(1, 3) - RANDBETWEEN(1,10) / 10, 1)</f>
        <v>90.6</v>
      </c>
      <c r="U71" s="366">
        <f t="shared" ca="1" si="1"/>
        <v>157.80000000000001</v>
      </c>
    </row>
    <row r="72" spans="1:21" ht="79.2" hidden="1" x14ac:dyDescent="0.3">
      <c r="A72" s="358">
        <v>2067</v>
      </c>
      <c r="B72" s="360" t="s">
        <v>591</v>
      </c>
      <c r="C72" s="360">
        <v>3</v>
      </c>
      <c r="D72" s="349" t="s">
        <v>603</v>
      </c>
      <c r="E72" s="359">
        <v>58.2</v>
      </c>
      <c r="F72" s="360" t="s">
        <v>145</v>
      </c>
      <c r="G72" s="359">
        <v>0</v>
      </c>
      <c r="H72" s="349" t="s">
        <v>604</v>
      </c>
      <c r="I72" s="359">
        <v>155</v>
      </c>
      <c r="J72" s="360" t="s">
        <v>145</v>
      </c>
      <c r="K72" s="359">
        <v>0</v>
      </c>
      <c r="L72" s="349" t="s">
        <v>604</v>
      </c>
      <c r="M72" s="359">
        <v>26.1</v>
      </c>
      <c r="N72" s="360" t="s">
        <v>145</v>
      </c>
      <c r="O72" s="359">
        <v>0</v>
      </c>
      <c r="P72" s="349" t="s">
        <v>605</v>
      </c>
      <c r="Q72" s="359">
        <v>239.3</v>
      </c>
      <c r="R72" s="366">
        <f>Таблица3[[#This Row],[Столбец1]]</f>
        <v>2067</v>
      </c>
      <c r="S72" s="366">
        <f ca="1">ROUND(Таблица3[[#This Row],[Столбец4]] *0.99 - RANDBETWEEN(1, 3) - RANDBETWEEN(1,10) / 10, 1)</f>
        <v>54.6</v>
      </c>
      <c r="T72" s="366">
        <f ca="1">ROUND(SUM(Таблица3[[#This Row],[Столбец6]:[Столбец13]]) * 0.99 - RANDBETWEEN(1, 3) - RANDBETWEEN(1,10) / 10, 1)</f>
        <v>178.2</v>
      </c>
      <c r="U72" s="366">
        <f t="shared" ref="U72:U135" ca="1" si="2">SUM(S72:T72)</f>
        <v>232.79999999999998</v>
      </c>
    </row>
    <row r="73" spans="1:21" ht="79.2" hidden="1" x14ac:dyDescent="0.3">
      <c r="A73" s="358">
        <v>2068</v>
      </c>
      <c r="B73" s="360" t="s">
        <v>593</v>
      </c>
      <c r="C73" s="360">
        <v>3</v>
      </c>
      <c r="D73" s="349" t="s">
        <v>603</v>
      </c>
      <c r="E73" s="359">
        <v>40.200000000000003</v>
      </c>
      <c r="F73" s="360" t="s">
        <v>145</v>
      </c>
      <c r="G73" s="359">
        <v>0</v>
      </c>
      <c r="H73" s="349" t="s">
        <v>604</v>
      </c>
      <c r="I73" s="359">
        <v>43.9</v>
      </c>
      <c r="J73" s="360" t="s">
        <v>145</v>
      </c>
      <c r="K73" s="359">
        <v>0</v>
      </c>
      <c r="L73" s="349" t="s">
        <v>604</v>
      </c>
      <c r="M73" s="359">
        <v>116.8</v>
      </c>
      <c r="N73" s="360" t="s">
        <v>145</v>
      </c>
      <c r="O73" s="359">
        <v>0</v>
      </c>
      <c r="P73" s="349" t="s">
        <v>605</v>
      </c>
      <c r="Q73" s="359">
        <v>200.9</v>
      </c>
      <c r="R73" s="366">
        <f>Таблица3[[#This Row],[Столбец1]]</f>
        <v>2068</v>
      </c>
      <c r="S73" s="366">
        <f ca="1">ROUND(Таблица3[[#This Row],[Столбец4]] *0.99 - RANDBETWEEN(1, 3) - RANDBETWEEN(1,10) / 10, 1)</f>
        <v>36</v>
      </c>
      <c r="T73" s="366">
        <f ca="1">ROUND(SUM(Таблица3[[#This Row],[Столбец6]:[Столбец13]]) * 0.99 - RANDBETWEEN(1, 3) - RANDBETWEEN(1,10) / 10, 1)</f>
        <v>156.6</v>
      </c>
      <c r="U73" s="366">
        <f t="shared" ca="1" si="2"/>
        <v>192.6</v>
      </c>
    </row>
    <row r="74" spans="1:21" ht="92.4" hidden="1" x14ac:dyDescent="0.3">
      <c r="A74" s="358">
        <v>2069</v>
      </c>
      <c r="B74" s="349" t="s">
        <v>639</v>
      </c>
      <c r="C74" s="349">
        <v>6</v>
      </c>
      <c r="D74" s="349" t="s">
        <v>615</v>
      </c>
      <c r="E74" s="359">
        <v>8.3000000000000007</v>
      </c>
      <c r="F74" s="360" t="s">
        <v>145</v>
      </c>
      <c r="G74" s="359">
        <v>0</v>
      </c>
      <c r="H74" s="360" t="s">
        <v>145</v>
      </c>
      <c r="I74" s="359">
        <v>0</v>
      </c>
      <c r="J74" s="360" t="s">
        <v>145</v>
      </c>
      <c r="K74" s="359">
        <v>0</v>
      </c>
      <c r="L74" s="349" t="s">
        <v>616</v>
      </c>
      <c r="M74" s="359">
        <v>6.3</v>
      </c>
      <c r="N74" s="360" t="s">
        <v>145</v>
      </c>
      <c r="O74" s="359">
        <v>0</v>
      </c>
      <c r="P74" s="349" t="s">
        <v>605</v>
      </c>
      <c r="Q74" s="359">
        <v>21.1</v>
      </c>
      <c r="R74" s="366">
        <f>Таблица3[[#This Row],[Столбец1]]</f>
        <v>2069</v>
      </c>
      <c r="S74" s="366">
        <f ca="1">ROUND(Таблица3[[#This Row],[Столбец4]] *0.99 - RANDBETWEEN(1, 3) - RANDBETWEEN(1,10) / 10, 1)</f>
        <v>4.8</v>
      </c>
      <c r="T74" s="366">
        <f ca="1">ROUND(SUM(Таблица3[[#This Row],[Столбец6]:[Столбец13]]) * 0.99 - RANDBETWEEN(1, 3) - RANDBETWEEN(1,10) / 10, 1)</f>
        <v>4.8</v>
      </c>
      <c r="U74" s="366">
        <f t="shared" ca="1" si="2"/>
        <v>9.6</v>
      </c>
    </row>
    <row r="75" spans="1:21" ht="79.2" hidden="1" x14ac:dyDescent="0.3">
      <c r="A75" s="358">
        <v>2070</v>
      </c>
      <c r="B75" s="349" t="s">
        <v>640</v>
      </c>
      <c r="C75" s="349">
        <v>2</v>
      </c>
      <c r="D75" s="349" t="s">
        <v>603</v>
      </c>
      <c r="E75" s="359">
        <v>32.9</v>
      </c>
      <c r="F75" s="360" t="s">
        <v>145</v>
      </c>
      <c r="G75" s="359">
        <v>0</v>
      </c>
      <c r="H75" s="349" t="s">
        <v>604</v>
      </c>
      <c r="I75" s="359">
        <v>14.6</v>
      </c>
      <c r="J75" s="360" t="s">
        <v>145</v>
      </c>
      <c r="K75" s="359">
        <v>0</v>
      </c>
      <c r="L75" s="349" t="s">
        <v>604</v>
      </c>
      <c r="M75" s="359">
        <v>8.8000000000000007</v>
      </c>
      <c r="N75" s="360" t="s">
        <v>145</v>
      </c>
      <c r="O75" s="359">
        <v>0</v>
      </c>
      <c r="P75" s="349" t="s">
        <v>605</v>
      </c>
      <c r="Q75" s="359">
        <v>56.2</v>
      </c>
      <c r="R75" s="366">
        <f>Таблица3[[#This Row],[Столбец1]]</f>
        <v>2070</v>
      </c>
      <c r="S75" s="366">
        <f ca="1">ROUND(Таблица3[[#This Row],[Столбец4]] *0.99 - RANDBETWEEN(1, 3) - RANDBETWEEN(1,10) / 10, 1)</f>
        <v>29.6</v>
      </c>
      <c r="T75" s="366">
        <f ca="1">ROUND(SUM(Таблица3[[#This Row],[Столбец6]:[Столбец13]]) * 0.99 - RANDBETWEEN(1, 3) - RANDBETWEEN(1,10) / 10, 1)</f>
        <v>19.3</v>
      </c>
      <c r="U75" s="366">
        <f t="shared" ca="1" si="2"/>
        <v>48.900000000000006</v>
      </c>
    </row>
    <row r="76" spans="1:21" ht="79.2" hidden="1" x14ac:dyDescent="0.3">
      <c r="A76" s="358">
        <v>2071</v>
      </c>
      <c r="B76" s="360" t="s">
        <v>591</v>
      </c>
      <c r="C76" s="360">
        <v>4</v>
      </c>
      <c r="D76" s="349" t="s">
        <v>603</v>
      </c>
      <c r="E76" s="359">
        <v>57.7</v>
      </c>
      <c r="F76" s="360" t="s">
        <v>145</v>
      </c>
      <c r="G76" s="359">
        <v>0</v>
      </c>
      <c r="H76" s="349" t="s">
        <v>604</v>
      </c>
      <c r="I76" s="359">
        <v>132</v>
      </c>
      <c r="J76" s="360" t="s">
        <v>145</v>
      </c>
      <c r="K76" s="359">
        <v>0</v>
      </c>
      <c r="L76" s="349" t="s">
        <v>604</v>
      </c>
      <c r="M76" s="359">
        <v>57.7</v>
      </c>
      <c r="N76" s="360" t="s">
        <v>145</v>
      </c>
      <c r="O76" s="359">
        <v>0</v>
      </c>
      <c r="P76" s="349" t="s">
        <v>605</v>
      </c>
      <c r="Q76" s="359">
        <v>247.4</v>
      </c>
      <c r="R76" s="366">
        <f>Таблица3[[#This Row],[Столбец1]]</f>
        <v>2071</v>
      </c>
      <c r="S76" s="366">
        <f ca="1">ROUND(Таблица3[[#This Row],[Столбец4]] *0.99 - RANDBETWEEN(1, 3) - RANDBETWEEN(1,10) / 10, 1)</f>
        <v>55</v>
      </c>
      <c r="T76" s="366">
        <f ca="1">ROUND(SUM(Таблица3[[#This Row],[Столбец6]:[Столбец13]]) * 0.99 - RANDBETWEEN(1, 3) - RANDBETWEEN(1,10) / 10, 1)</f>
        <v>184.2</v>
      </c>
      <c r="U76" s="366">
        <f t="shared" ca="1" si="2"/>
        <v>239.2</v>
      </c>
    </row>
    <row r="77" spans="1:21" ht="79.2" hidden="1" x14ac:dyDescent="0.3">
      <c r="A77" s="358">
        <v>3001</v>
      </c>
      <c r="B77" s="349" t="s">
        <v>618</v>
      </c>
      <c r="C77" s="349">
        <v>1</v>
      </c>
      <c r="D77" s="349" t="s">
        <v>603</v>
      </c>
      <c r="E77" s="359">
        <v>69.900000000000006</v>
      </c>
      <c r="F77" s="360" t="s">
        <v>145</v>
      </c>
      <c r="G77" s="359">
        <v>0</v>
      </c>
      <c r="H77" s="349" t="s">
        <v>604</v>
      </c>
      <c r="I77" s="359">
        <v>36.799999999999997</v>
      </c>
      <c r="J77" s="360" t="s">
        <v>145</v>
      </c>
      <c r="K77" s="359">
        <v>0</v>
      </c>
      <c r="L77" s="349" t="s">
        <v>604</v>
      </c>
      <c r="M77" s="359">
        <v>22.2</v>
      </c>
      <c r="N77" s="360" t="s">
        <v>145</v>
      </c>
      <c r="O77" s="359">
        <v>0</v>
      </c>
      <c r="P77" s="349" t="s">
        <v>605</v>
      </c>
      <c r="Q77" s="359">
        <v>129</v>
      </c>
      <c r="R77" s="366">
        <f>Таблица3[[#This Row],[Столбец1]]</f>
        <v>3001</v>
      </c>
      <c r="S77" s="366">
        <f ca="1">ROUND(Таблица3[[#This Row],[Столбец4]] *0.99 - RANDBETWEEN(1, 3) - RANDBETWEEN(1,10) / 10, 1)</f>
        <v>67.599999999999994</v>
      </c>
      <c r="T77" s="366">
        <f ca="1">ROUND(SUM(Таблица3[[#This Row],[Столбец6]:[Столбец13]]) * 0.99 - RANDBETWEEN(1, 3) - RANDBETWEEN(1,10) / 10, 1)</f>
        <v>56.3</v>
      </c>
      <c r="U77" s="366">
        <f t="shared" ca="1" si="2"/>
        <v>123.89999999999999</v>
      </c>
    </row>
    <row r="78" spans="1:21" ht="79.2" hidden="1" x14ac:dyDescent="0.3">
      <c r="A78" s="358">
        <v>3002</v>
      </c>
      <c r="B78" s="349" t="s">
        <v>618</v>
      </c>
      <c r="C78" s="349">
        <v>1</v>
      </c>
      <c r="D78" s="349" t="s">
        <v>603</v>
      </c>
      <c r="E78" s="359">
        <v>51.4</v>
      </c>
      <c r="F78" s="360" t="s">
        <v>145</v>
      </c>
      <c r="G78" s="359">
        <v>0</v>
      </c>
      <c r="H78" s="349" t="s">
        <v>604</v>
      </c>
      <c r="I78" s="359">
        <v>40.799999999999997</v>
      </c>
      <c r="J78" s="360" t="s">
        <v>145</v>
      </c>
      <c r="K78" s="359">
        <v>0</v>
      </c>
      <c r="L78" s="349" t="s">
        <v>604</v>
      </c>
      <c r="M78" s="359">
        <v>20.8</v>
      </c>
      <c r="N78" s="360" t="s">
        <v>145</v>
      </c>
      <c r="O78" s="359">
        <v>0</v>
      </c>
      <c r="P78" s="349" t="s">
        <v>605</v>
      </c>
      <c r="Q78" s="359">
        <v>112.9</v>
      </c>
      <c r="R78" s="366">
        <f>Таблица3[[#This Row],[Столбец1]]</f>
        <v>3002</v>
      </c>
      <c r="S78" s="366">
        <f ca="1">ROUND(Таблица3[[#This Row],[Столбец4]] *0.99 - RANDBETWEEN(1, 3) - RANDBETWEEN(1,10) / 10, 1)</f>
        <v>48.1</v>
      </c>
      <c r="T78" s="366">
        <f ca="1">ROUND(SUM(Таблица3[[#This Row],[Столбец6]:[Столбец13]]) * 0.99 - RANDBETWEEN(1, 3) - RANDBETWEEN(1,10) / 10, 1)</f>
        <v>58</v>
      </c>
      <c r="U78" s="366">
        <f t="shared" ca="1" si="2"/>
        <v>106.1</v>
      </c>
    </row>
    <row r="79" spans="1:21" ht="79.2" hidden="1" x14ac:dyDescent="0.3">
      <c r="A79" s="358">
        <v>3003</v>
      </c>
      <c r="B79" s="349" t="s">
        <v>641</v>
      </c>
      <c r="C79" s="349">
        <v>1</v>
      </c>
      <c r="D79" s="349" t="s">
        <v>603</v>
      </c>
      <c r="E79" s="359">
        <v>65.5</v>
      </c>
      <c r="F79" s="360" t="s">
        <v>145</v>
      </c>
      <c r="G79" s="359">
        <v>0</v>
      </c>
      <c r="H79" s="349" t="s">
        <v>604</v>
      </c>
      <c r="I79" s="359">
        <v>16.2</v>
      </c>
      <c r="J79" s="360" t="s">
        <v>145</v>
      </c>
      <c r="K79" s="359">
        <v>0</v>
      </c>
      <c r="L79" s="349" t="s">
        <v>604</v>
      </c>
      <c r="M79" s="359">
        <v>56.4</v>
      </c>
      <c r="N79" s="360" t="s">
        <v>145</v>
      </c>
      <c r="O79" s="359">
        <v>0</v>
      </c>
      <c r="P79" s="349" t="s">
        <v>605</v>
      </c>
      <c r="Q79" s="359">
        <v>138.1</v>
      </c>
      <c r="R79" s="366">
        <f>Таблица3[[#This Row],[Столбец1]]</f>
        <v>3003</v>
      </c>
      <c r="S79" s="366">
        <f ca="1">ROUND(Таблица3[[#This Row],[Столбец4]] *0.99 - RANDBETWEEN(1, 3) - RANDBETWEEN(1,10) / 10, 1)</f>
        <v>61.2</v>
      </c>
      <c r="T79" s="366">
        <f ca="1">ROUND(SUM(Таблица3[[#This Row],[Столбец6]:[Столбец13]]) * 0.99 - RANDBETWEEN(1, 3) - RANDBETWEEN(1,10) / 10, 1)</f>
        <v>70.099999999999994</v>
      </c>
      <c r="U79" s="366">
        <f t="shared" ca="1" si="2"/>
        <v>131.30000000000001</v>
      </c>
    </row>
    <row r="80" spans="1:21" ht="79.2" hidden="1" x14ac:dyDescent="0.3">
      <c r="A80" s="358">
        <v>3004</v>
      </c>
      <c r="B80" s="349" t="s">
        <v>606</v>
      </c>
      <c r="C80" s="349">
        <v>1</v>
      </c>
      <c r="D80" s="349" t="s">
        <v>603</v>
      </c>
      <c r="E80" s="359">
        <v>190</v>
      </c>
      <c r="F80" s="360" t="s">
        <v>145</v>
      </c>
      <c r="G80" s="359">
        <v>0</v>
      </c>
      <c r="H80" s="349" t="s">
        <v>604</v>
      </c>
      <c r="I80" s="359">
        <v>151.19999999999999</v>
      </c>
      <c r="J80" s="360" t="s">
        <v>145</v>
      </c>
      <c r="K80" s="359">
        <v>0</v>
      </c>
      <c r="L80" s="349" t="s">
        <v>604</v>
      </c>
      <c r="M80" s="359">
        <v>19.5</v>
      </c>
      <c r="N80" s="360" t="s">
        <v>145</v>
      </c>
      <c r="O80" s="359">
        <v>0</v>
      </c>
      <c r="P80" s="349" t="s">
        <v>605</v>
      </c>
      <c r="Q80" s="359">
        <v>363.2</v>
      </c>
      <c r="R80" s="366">
        <f>Таблица3[[#This Row],[Столбец1]]</f>
        <v>3004</v>
      </c>
      <c r="S80" s="366">
        <f ca="1">ROUND(Таблица3[[#This Row],[Столбец4]] *0.99 - RANDBETWEEN(1, 3) - RANDBETWEEN(1,10) / 10, 1)</f>
        <v>184.4</v>
      </c>
      <c r="T80" s="366">
        <f ca="1">ROUND(SUM(Таблица3[[#This Row],[Столбец6]:[Столбец13]]) * 0.99 - RANDBETWEEN(1, 3) - RANDBETWEEN(1,10) / 10, 1)</f>
        <v>167.1</v>
      </c>
      <c r="U80" s="366">
        <f t="shared" ca="1" si="2"/>
        <v>351.5</v>
      </c>
    </row>
    <row r="81" spans="1:21" ht="79.2" hidden="1" x14ac:dyDescent="0.3">
      <c r="A81" s="358">
        <v>3005</v>
      </c>
      <c r="B81" s="360" t="s">
        <v>592</v>
      </c>
      <c r="C81" s="360">
        <v>7</v>
      </c>
      <c r="D81" s="349" t="s">
        <v>603</v>
      </c>
      <c r="E81" s="359">
        <v>7</v>
      </c>
      <c r="F81" s="360" t="s">
        <v>145</v>
      </c>
      <c r="G81" s="359">
        <v>0</v>
      </c>
      <c r="H81" s="349" t="s">
        <v>604</v>
      </c>
      <c r="I81" s="359">
        <v>26.2</v>
      </c>
      <c r="J81" s="360" t="s">
        <v>145</v>
      </c>
      <c r="K81" s="359">
        <v>0</v>
      </c>
      <c r="L81" s="349" t="s">
        <v>604</v>
      </c>
      <c r="M81" s="359">
        <v>40</v>
      </c>
      <c r="N81" s="360" t="s">
        <v>145</v>
      </c>
      <c r="O81" s="359">
        <v>0</v>
      </c>
      <c r="P81" s="349" t="s">
        <v>605</v>
      </c>
      <c r="Q81" s="359">
        <v>73.099999999999994</v>
      </c>
      <c r="R81" s="366">
        <f>Таблица3[[#This Row],[Столбец1]]</f>
        <v>3005</v>
      </c>
      <c r="S81" s="366">
        <f ca="1">ROUND(Таблица3[[#This Row],[Столбец4]] *0.99 - RANDBETWEEN(1, 3) - RANDBETWEEN(1,10) / 10, 1)</f>
        <v>3.6</v>
      </c>
      <c r="T81" s="366">
        <f ca="1">ROUND(SUM(Таблица3[[#This Row],[Столбец6]:[Столбец13]]) * 0.99 - RANDBETWEEN(1, 3) - RANDBETWEEN(1,10) / 10, 1)</f>
        <v>64.3</v>
      </c>
      <c r="U81" s="366">
        <f t="shared" ca="1" si="2"/>
        <v>67.899999999999991</v>
      </c>
    </row>
    <row r="82" spans="1:21" ht="79.2" hidden="1" x14ac:dyDescent="0.3">
      <c r="A82" s="358">
        <v>3006</v>
      </c>
      <c r="B82" s="349" t="s">
        <v>612</v>
      </c>
      <c r="C82" s="349">
        <v>1</v>
      </c>
      <c r="D82" s="349" t="s">
        <v>603</v>
      </c>
      <c r="E82" s="359">
        <v>102.7</v>
      </c>
      <c r="F82" s="360" t="s">
        <v>145</v>
      </c>
      <c r="G82" s="359">
        <v>0</v>
      </c>
      <c r="H82" s="360" t="s">
        <v>145</v>
      </c>
      <c r="I82" s="359">
        <v>0</v>
      </c>
      <c r="J82" s="360" t="s">
        <v>145</v>
      </c>
      <c r="K82" s="359">
        <v>0</v>
      </c>
      <c r="L82" s="360" t="s">
        <v>145</v>
      </c>
      <c r="M82" s="359">
        <v>0</v>
      </c>
      <c r="N82" s="360" t="s">
        <v>145</v>
      </c>
      <c r="O82" s="359">
        <v>0</v>
      </c>
      <c r="P82" s="349" t="s">
        <v>605</v>
      </c>
      <c r="Q82" s="359">
        <v>102.7</v>
      </c>
      <c r="R82" s="366">
        <f>Таблица3[[#This Row],[Столбец1]]</f>
        <v>3006</v>
      </c>
      <c r="S82" s="366">
        <f ca="1">ROUND(Таблица3[[#This Row],[Столбец4]] *0.99 - RANDBETWEEN(1, 3) - RANDBETWEEN(1,10) / 10, 1)</f>
        <v>99.6</v>
      </c>
      <c r="T82" s="366">
        <f ca="1">ROUND(SUM(Таблица3[[#This Row],[Столбец6]:[Столбец13]]) * 0.99 - RANDBETWEEN(1, 3) - RANDBETWEEN(1,10) / 10, 1)</f>
        <v>-2.8</v>
      </c>
      <c r="U82" s="366">
        <f t="shared" ca="1" si="2"/>
        <v>96.8</v>
      </c>
    </row>
    <row r="83" spans="1:21" ht="79.2" hidden="1" x14ac:dyDescent="0.3">
      <c r="A83" s="358">
        <v>3007</v>
      </c>
      <c r="B83" s="349" t="s">
        <v>613</v>
      </c>
      <c r="C83" s="349">
        <v>1</v>
      </c>
      <c r="D83" s="349" t="s">
        <v>603</v>
      </c>
      <c r="E83" s="359">
        <v>25.7</v>
      </c>
      <c r="F83" s="360" t="s">
        <v>145</v>
      </c>
      <c r="G83" s="359">
        <v>0</v>
      </c>
      <c r="H83" s="360" t="s">
        <v>145</v>
      </c>
      <c r="I83" s="359">
        <v>0</v>
      </c>
      <c r="J83" s="360" t="s">
        <v>145</v>
      </c>
      <c r="K83" s="359">
        <v>0</v>
      </c>
      <c r="L83" s="349" t="s">
        <v>604</v>
      </c>
      <c r="M83" s="359">
        <v>17.2</v>
      </c>
      <c r="N83" s="360" t="s">
        <v>145</v>
      </c>
      <c r="O83" s="359">
        <v>0</v>
      </c>
      <c r="P83" s="349" t="s">
        <v>605</v>
      </c>
      <c r="Q83" s="359">
        <v>42.9</v>
      </c>
      <c r="R83" s="366">
        <f>Таблица3[[#This Row],[Столбец1]]</f>
        <v>3007</v>
      </c>
      <c r="S83" s="366">
        <f ca="1">ROUND(Таблица3[[#This Row],[Столбец4]] *0.99 - RANDBETWEEN(1, 3) - RANDBETWEEN(1,10) / 10, 1)</f>
        <v>22.4</v>
      </c>
      <c r="T83" s="366">
        <f ca="1">ROUND(SUM(Таблица3[[#This Row],[Столбец6]:[Столбец13]]) * 0.99 - RANDBETWEEN(1, 3) - RANDBETWEEN(1,10) / 10, 1)</f>
        <v>14</v>
      </c>
      <c r="U83" s="366">
        <f t="shared" ca="1" si="2"/>
        <v>36.4</v>
      </c>
    </row>
    <row r="84" spans="1:21" ht="92.4" hidden="1" x14ac:dyDescent="0.3">
      <c r="A84" s="358">
        <v>3008</v>
      </c>
      <c r="B84" s="349" t="s">
        <v>617</v>
      </c>
      <c r="C84" s="349">
        <v>1</v>
      </c>
      <c r="D84" s="360" t="s">
        <v>145</v>
      </c>
      <c r="E84" s="359">
        <v>0</v>
      </c>
      <c r="F84" s="360" t="s">
        <v>145</v>
      </c>
      <c r="G84" s="359">
        <v>0</v>
      </c>
      <c r="H84" s="349" t="s">
        <v>616</v>
      </c>
      <c r="I84" s="359">
        <v>3.1</v>
      </c>
      <c r="J84" s="360" t="s">
        <v>145</v>
      </c>
      <c r="K84" s="359">
        <v>0</v>
      </c>
      <c r="L84" s="349" t="s">
        <v>616</v>
      </c>
      <c r="M84" s="359">
        <v>29.7</v>
      </c>
      <c r="N84" s="360" t="s">
        <v>145</v>
      </c>
      <c r="O84" s="359">
        <v>0</v>
      </c>
      <c r="P84" s="349" t="s">
        <v>605</v>
      </c>
      <c r="Q84" s="359">
        <v>32.700000000000003</v>
      </c>
      <c r="R84" s="366">
        <f>Таблица3[[#This Row],[Столбец1]]</f>
        <v>3008</v>
      </c>
      <c r="S84" s="366">
        <f ca="1">ROUND(Таблица3[[#This Row],[Столбец4]] *0.99 - RANDBETWEEN(1, 3) - RANDBETWEEN(1,10) / 10, 1)</f>
        <v>-2.6</v>
      </c>
      <c r="T84" s="366">
        <f ca="1">ROUND(SUM(Таблица3[[#This Row],[Столбец6]:[Столбец13]]) * 0.99 - RANDBETWEEN(1, 3) - RANDBETWEEN(1,10) / 10, 1)</f>
        <v>30.3</v>
      </c>
      <c r="U84" s="366">
        <f t="shared" ca="1" si="2"/>
        <v>27.7</v>
      </c>
    </row>
    <row r="85" spans="1:21" ht="92.4" hidden="1" x14ac:dyDescent="0.3">
      <c r="A85" s="361">
        <v>3009</v>
      </c>
      <c r="B85" s="351" t="s">
        <v>614</v>
      </c>
      <c r="C85" s="351">
        <v>1</v>
      </c>
      <c r="D85" s="351" t="s">
        <v>615</v>
      </c>
      <c r="E85" s="362">
        <v>10.9</v>
      </c>
      <c r="F85" s="363" t="s">
        <v>145</v>
      </c>
      <c r="G85" s="362">
        <v>0</v>
      </c>
      <c r="H85" s="351" t="s">
        <v>616</v>
      </c>
      <c r="I85" s="362">
        <v>36.9</v>
      </c>
      <c r="J85" s="363" t="s">
        <v>145</v>
      </c>
      <c r="K85" s="362">
        <v>0</v>
      </c>
      <c r="L85" s="351" t="s">
        <v>616</v>
      </c>
      <c r="M85" s="362">
        <v>43</v>
      </c>
      <c r="N85" s="363" t="s">
        <v>145</v>
      </c>
      <c r="O85" s="362">
        <v>0</v>
      </c>
      <c r="P85" s="351" t="s">
        <v>605</v>
      </c>
      <c r="Q85" s="362">
        <v>100.8</v>
      </c>
      <c r="R85" s="366">
        <f>Таблица3[[#This Row],[Столбец1]]</f>
        <v>3009</v>
      </c>
      <c r="S85" s="366">
        <f ca="1">ROUND(Таблица3[[#This Row],[Столбец4]] *0.99 - RANDBETWEEN(1, 3) - RANDBETWEEN(1,10) / 10, 1)</f>
        <v>8.3000000000000007</v>
      </c>
      <c r="T85" s="366">
        <f ca="1">ROUND(SUM(Таблица3[[#This Row],[Столбец6]:[Столбец13]]) * 0.99 - RANDBETWEEN(1, 3) - RANDBETWEEN(1,10) / 10, 1)</f>
        <v>77</v>
      </c>
      <c r="U85" s="366">
        <f t="shared" ca="1" si="2"/>
        <v>85.3</v>
      </c>
    </row>
    <row r="86" spans="1:21" ht="79.2" hidden="1" x14ac:dyDescent="0.3">
      <c r="A86" s="361">
        <v>3010</v>
      </c>
      <c r="B86" s="351" t="s">
        <v>642</v>
      </c>
      <c r="C86" s="351">
        <v>1</v>
      </c>
      <c r="D86" s="351" t="s">
        <v>603</v>
      </c>
      <c r="E86" s="362">
        <v>44.8</v>
      </c>
      <c r="F86" s="363" t="s">
        <v>145</v>
      </c>
      <c r="G86" s="362">
        <v>0</v>
      </c>
      <c r="H86" s="351" t="s">
        <v>604</v>
      </c>
      <c r="I86" s="362">
        <v>75.7</v>
      </c>
      <c r="J86" s="363" t="s">
        <v>145</v>
      </c>
      <c r="K86" s="362">
        <v>0</v>
      </c>
      <c r="L86" s="351" t="s">
        <v>604</v>
      </c>
      <c r="M86" s="362">
        <v>43.3</v>
      </c>
      <c r="N86" s="363" t="s">
        <v>145</v>
      </c>
      <c r="O86" s="362">
        <v>0</v>
      </c>
      <c r="P86" s="351" t="s">
        <v>605</v>
      </c>
      <c r="Q86" s="362">
        <v>163.9</v>
      </c>
      <c r="R86" s="366">
        <f>Таблица3[[#This Row],[Столбец1]]</f>
        <v>3010</v>
      </c>
      <c r="S86" s="366">
        <f ca="1">ROUND(Таблица3[[#This Row],[Столбец4]] *0.99 - RANDBETWEEN(1, 3) - RANDBETWEEN(1,10) / 10, 1)</f>
        <v>42.1</v>
      </c>
      <c r="T86" s="366">
        <f ca="1">ROUND(SUM(Таблица3[[#This Row],[Столбец6]:[Столбец13]]) * 0.99 - RANDBETWEEN(1, 3) - RANDBETWEEN(1,10) / 10, 1)</f>
        <v>114.9</v>
      </c>
      <c r="U86" s="366">
        <f t="shared" ca="1" si="2"/>
        <v>157</v>
      </c>
    </row>
    <row r="87" spans="1:21" ht="79.2" hidden="1" x14ac:dyDescent="0.3">
      <c r="A87" s="358">
        <v>3011</v>
      </c>
      <c r="B87" s="349" t="s">
        <v>626</v>
      </c>
      <c r="C87" s="349">
        <v>1</v>
      </c>
      <c r="D87" s="349" t="s">
        <v>603</v>
      </c>
      <c r="E87" s="359">
        <v>43.6</v>
      </c>
      <c r="F87" s="360" t="s">
        <v>145</v>
      </c>
      <c r="G87" s="359">
        <v>0</v>
      </c>
      <c r="H87" s="349" t="s">
        <v>604</v>
      </c>
      <c r="I87" s="359">
        <v>70.599999999999994</v>
      </c>
      <c r="J87" s="360" t="s">
        <v>145</v>
      </c>
      <c r="K87" s="359">
        <v>0</v>
      </c>
      <c r="L87" s="349" t="s">
        <v>604</v>
      </c>
      <c r="M87" s="359">
        <v>30.9</v>
      </c>
      <c r="N87" s="360" t="s">
        <v>145</v>
      </c>
      <c r="O87" s="359">
        <v>0</v>
      </c>
      <c r="P87" s="349" t="s">
        <v>605</v>
      </c>
      <c r="Q87" s="359">
        <v>145.1</v>
      </c>
      <c r="R87" s="366">
        <f>Таблица3[[#This Row],[Столбец1]]</f>
        <v>3011</v>
      </c>
      <c r="S87" s="366">
        <f ca="1">ROUND(Таблица3[[#This Row],[Столбец4]] *0.99 - RANDBETWEEN(1, 3) - RANDBETWEEN(1,10) / 10, 1)</f>
        <v>39.5</v>
      </c>
      <c r="T87" s="366">
        <f ca="1">ROUND(SUM(Таблица3[[#This Row],[Столбец6]:[Столбец13]]) * 0.99 - RANDBETWEEN(1, 3) - RANDBETWEEN(1,10) / 10, 1)</f>
        <v>98</v>
      </c>
      <c r="U87" s="366">
        <f t="shared" ca="1" si="2"/>
        <v>137.5</v>
      </c>
    </row>
    <row r="88" spans="1:21" ht="105.6" hidden="1" x14ac:dyDescent="0.3">
      <c r="A88" s="358">
        <v>3012</v>
      </c>
      <c r="B88" s="349" t="s">
        <v>606</v>
      </c>
      <c r="C88" s="349">
        <v>2</v>
      </c>
      <c r="D88" s="349" t="s">
        <v>603</v>
      </c>
      <c r="E88" s="359">
        <v>154.69999999999999</v>
      </c>
      <c r="F88" s="360" t="s">
        <v>145</v>
      </c>
      <c r="G88" s="359">
        <v>0</v>
      </c>
      <c r="H88" s="349" t="s">
        <v>604</v>
      </c>
      <c r="I88" s="359">
        <v>153.5</v>
      </c>
      <c r="J88" s="349" t="s">
        <v>608</v>
      </c>
      <c r="K88" s="359">
        <v>10.6</v>
      </c>
      <c r="L88" s="349" t="s">
        <v>604</v>
      </c>
      <c r="M88" s="359">
        <v>38.9</v>
      </c>
      <c r="N88" s="360" t="s">
        <v>145</v>
      </c>
      <c r="O88" s="359">
        <v>0</v>
      </c>
      <c r="P88" s="349" t="s">
        <v>605</v>
      </c>
      <c r="Q88" s="359">
        <v>357.7</v>
      </c>
      <c r="R88" s="366">
        <f>Таблица3[[#This Row],[Столбец1]]</f>
        <v>3012</v>
      </c>
      <c r="S88" s="366">
        <f ca="1">ROUND(Таблица3[[#This Row],[Столбец4]] *0.99 - RANDBETWEEN(1, 3) - RANDBETWEEN(1,10) / 10, 1)</f>
        <v>150.80000000000001</v>
      </c>
      <c r="T88" s="366">
        <f ca="1">ROUND(SUM(Таблица3[[#This Row],[Столбец6]:[Столбец13]]) * 0.99 - RANDBETWEEN(1, 3) - RANDBETWEEN(1,10) / 10, 1)</f>
        <v>197.3</v>
      </c>
      <c r="U88" s="366">
        <f t="shared" ca="1" si="2"/>
        <v>348.1</v>
      </c>
    </row>
    <row r="89" spans="1:21" ht="79.2" hidden="1" x14ac:dyDescent="0.3">
      <c r="A89" s="358">
        <v>3013</v>
      </c>
      <c r="B89" s="349" t="s">
        <v>618</v>
      </c>
      <c r="C89" s="349">
        <v>2</v>
      </c>
      <c r="D89" s="349" t="s">
        <v>603</v>
      </c>
      <c r="E89" s="359">
        <v>34.4</v>
      </c>
      <c r="F89" s="360" t="s">
        <v>145</v>
      </c>
      <c r="G89" s="359">
        <v>0</v>
      </c>
      <c r="H89" s="349" t="s">
        <v>604</v>
      </c>
      <c r="I89" s="359">
        <v>57.2</v>
      </c>
      <c r="J89" s="360" t="s">
        <v>145</v>
      </c>
      <c r="K89" s="359">
        <v>0</v>
      </c>
      <c r="L89" s="349" t="s">
        <v>604</v>
      </c>
      <c r="M89" s="359">
        <v>28</v>
      </c>
      <c r="N89" s="360" t="s">
        <v>145</v>
      </c>
      <c r="O89" s="359">
        <v>0</v>
      </c>
      <c r="P89" s="349" t="s">
        <v>605</v>
      </c>
      <c r="Q89" s="359">
        <v>119.6</v>
      </c>
      <c r="R89" s="366">
        <f>Таблица3[[#This Row],[Столбец1]]</f>
        <v>3013</v>
      </c>
      <c r="S89" s="366">
        <f ca="1">ROUND(Таблица3[[#This Row],[Столбец4]] *0.99 - RANDBETWEEN(1, 3) - RANDBETWEEN(1,10) / 10, 1)</f>
        <v>32.4</v>
      </c>
      <c r="T89" s="366">
        <f ca="1">ROUND(SUM(Таблица3[[#This Row],[Столбец6]:[Столбец13]]) * 0.99 - RANDBETWEEN(1, 3) - RANDBETWEEN(1,10) / 10, 1)</f>
        <v>82.6</v>
      </c>
      <c r="U89" s="366">
        <f t="shared" ca="1" si="2"/>
        <v>115</v>
      </c>
    </row>
    <row r="90" spans="1:21" ht="79.2" hidden="1" x14ac:dyDescent="0.3">
      <c r="A90" s="358">
        <v>3014</v>
      </c>
      <c r="B90" s="349" t="s">
        <v>618</v>
      </c>
      <c r="C90" s="349">
        <v>2</v>
      </c>
      <c r="D90" s="349" t="s">
        <v>603</v>
      </c>
      <c r="E90" s="359">
        <v>52.9</v>
      </c>
      <c r="F90" s="360" t="s">
        <v>145</v>
      </c>
      <c r="G90" s="359">
        <v>0</v>
      </c>
      <c r="H90" s="349" t="s">
        <v>604</v>
      </c>
      <c r="I90" s="359">
        <v>47.6</v>
      </c>
      <c r="J90" s="360" t="s">
        <v>145</v>
      </c>
      <c r="K90" s="359">
        <v>0</v>
      </c>
      <c r="L90" s="349" t="s">
        <v>604</v>
      </c>
      <c r="M90" s="359">
        <v>14</v>
      </c>
      <c r="N90" s="360" t="s">
        <v>145</v>
      </c>
      <c r="O90" s="359">
        <v>0</v>
      </c>
      <c r="P90" s="349" t="s">
        <v>605</v>
      </c>
      <c r="Q90" s="359">
        <v>114.5</v>
      </c>
      <c r="R90" s="366">
        <f>Таблица3[[#This Row],[Столбец1]]</f>
        <v>3014</v>
      </c>
      <c r="S90" s="366">
        <f ca="1">ROUND(Таблица3[[#This Row],[Столбец4]] *0.99 - RANDBETWEEN(1, 3) - RANDBETWEEN(1,10) / 10, 1)</f>
        <v>50.1</v>
      </c>
      <c r="T90" s="366">
        <f ca="1">ROUND(SUM(Таблица3[[#This Row],[Столбец6]:[Столбец13]]) * 0.99 - RANDBETWEEN(1, 3) - RANDBETWEEN(1,10) / 10, 1)</f>
        <v>58.5</v>
      </c>
      <c r="U90" s="366">
        <f t="shared" ca="1" si="2"/>
        <v>108.6</v>
      </c>
    </row>
    <row r="91" spans="1:21" ht="92.4" hidden="1" x14ac:dyDescent="0.3">
      <c r="A91" s="358">
        <v>3015</v>
      </c>
      <c r="B91" s="349" t="s">
        <v>619</v>
      </c>
      <c r="C91" s="349">
        <v>2</v>
      </c>
      <c r="D91" s="349" t="s">
        <v>615</v>
      </c>
      <c r="E91" s="359">
        <v>26.2</v>
      </c>
      <c r="F91" s="360" t="s">
        <v>145</v>
      </c>
      <c r="G91" s="359">
        <v>0</v>
      </c>
      <c r="H91" s="349" t="s">
        <v>616</v>
      </c>
      <c r="I91" s="359">
        <v>10.4</v>
      </c>
      <c r="J91" s="360" t="s">
        <v>145</v>
      </c>
      <c r="K91" s="359">
        <v>0</v>
      </c>
      <c r="L91" s="349" t="s">
        <v>616</v>
      </c>
      <c r="M91" s="359">
        <v>41.8</v>
      </c>
      <c r="N91" s="360" t="s">
        <v>145</v>
      </c>
      <c r="O91" s="359">
        <v>0</v>
      </c>
      <c r="P91" s="349" t="s">
        <v>605</v>
      </c>
      <c r="Q91" s="359">
        <v>78.400000000000006</v>
      </c>
      <c r="R91" s="366">
        <f>Таблица3[[#This Row],[Столбец1]]</f>
        <v>3015</v>
      </c>
      <c r="S91" s="366">
        <f ca="1">ROUND(Таблица3[[#This Row],[Столбец4]] *0.99 - RANDBETWEEN(1, 3) - RANDBETWEEN(1,10) / 10, 1)</f>
        <v>23.4</v>
      </c>
      <c r="T91" s="366">
        <f ca="1">ROUND(SUM(Таблица3[[#This Row],[Столбец6]:[Столбец13]]) * 0.99 - RANDBETWEEN(1, 3) - RANDBETWEEN(1,10) / 10, 1)</f>
        <v>49.4</v>
      </c>
      <c r="U91" s="366">
        <f t="shared" ca="1" si="2"/>
        <v>72.8</v>
      </c>
    </row>
    <row r="92" spans="1:21" ht="79.2" hidden="1" x14ac:dyDescent="0.3">
      <c r="A92" s="358">
        <v>3016</v>
      </c>
      <c r="B92" s="349" t="s">
        <v>612</v>
      </c>
      <c r="C92" s="349">
        <v>2</v>
      </c>
      <c r="D92" s="349" t="s">
        <v>603</v>
      </c>
      <c r="E92" s="359">
        <v>102.3</v>
      </c>
      <c r="F92" s="360" t="s">
        <v>145</v>
      </c>
      <c r="G92" s="359">
        <v>0</v>
      </c>
      <c r="H92" s="349" t="s">
        <v>604</v>
      </c>
      <c r="I92" s="359">
        <v>14.6</v>
      </c>
      <c r="J92" s="360" t="s">
        <v>145</v>
      </c>
      <c r="K92" s="359">
        <v>0</v>
      </c>
      <c r="L92" s="360" t="s">
        <v>145</v>
      </c>
      <c r="M92" s="359">
        <v>0</v>
      </c>
      <c r="N92" s="360" t="s">
        <v>145</v>
      </c>
      <c r="O92" s="359">
        <v>0</v>
      </c>
      <c r="P92" s="349" t="s">
        <v>605</v>
      </c>
      <c r="Q92" s="359">
        <v>116.8</v>
      </c>
      <c r="R92" s="366">
        <f>Таблица3[[#This Row],[Столбец1]]</f>
        <v>3016</v>
      </c>
      <c r="S92" s="366">
        <f ca="1">ROUND(Таблица3[[#This Row],[Столбец4]] *0.99 - RANDBETWEEN(1, 3) - RANDBETWEEN(1,10) / 10, 1)</f>
        <v>97.6</v>
      </c>
      <c r="T92" s="366">
        <f ca="1">ROUND(SUM(Таблица3[[#This Row],[Столбец6]:[Столбец13]]) * 0.99 - RANDBETWEEN(1, 3) - RANDBETWEEN(1,10) / 10, 1)</f>
        <v>12.9</v>
      </c>
      <c r="U92" s="366">
        <f t="shared" ca="1" si="2"/>
        <v>110.5</v>
      </c>
    </row>
    <row r="93" spans="1:21" ht="92.4" hidden="1" x14ac:dyDescent="0.3">
      <c r="A93" s="358">
        <v>3017</v>
      </c>
      <c r="B93" s="349" t="s">
        <v>620</v>
      </c>
      <c r="C93" s="349">
        <v>2</v>
      </c>
      <c r="D93" s="349" t="s">
        <v>615</v>
      </c>
      <c r="E93" s="359">
        <v>21</v>
      </c>
      <c r="F93" s="360" t="s">
        <v>145</v>
      </c>
      <c r="G93" s="359">
        <v>0</v>
      </c>
      <c r="H93" s="349" t="s">
        <v>616</v>
      </c>
      <c r="I93" s="359">
        <v>8.3000000000000007</v>
      </c>
      <c r="J93" s="360" t="s">
        <v>145</v>
      </c>
      <c r="K93" s="359">
        <v>0</v>
      </c>
      <c r="L93" s="349" t="s">
        <v>616</v>
      </c>
      <c r="M93" s="359">
        <v>20.3</v>
      </c>
      <c r="N93" s="360" t="s">
        <v>145</v>
      </c>
      <c r="O93" s="359">
        <v>0</v>
      </c>
      <c r="P93" s="349" t="s">
        <v>605</v>
      </c>
      <c r="Q93" s="359">
        <v>49.7</v>
      </c>
      <c r="R93" s="366">
        <f>Таблица3[[#This Row],[Столбец1]]</f>
        <v>3017</v>
      </c>
      <c r="S93" s="366">
        <f ca="1">ROUND(Таблица3[[#This Row],[Столбец4]] *0.99 - RANDBETWEEN(1, 3) - RANDBETWEEN(1,10) / 10, 1)</f>
        <v>18.5</v>
      </c>
      <c r="T93" s="366">
        <f ca="1">ROUND(SUM(Таблица3[[#This Row],[Столбец6]:[Столбец13]]) * 0.99 - RANDBETWEEN(1, 3) - RANDBETWEEN(1,10) / 10, 1)</f>
        <v>25.2</v>
      </c>
      <c r="U93" s="366">
        <f t="shared" ca="1" si="2"/>
        <v>43.7</v>
      </c>
    </row>
    <row r="94" spans="1:21" ht="92.4" hidden="1" x14ac:dyDescent="0.3">
      <c r="A94" s="358">
        <v>3018</v>
      </c>
      <c r="B94" s="349" t="s">
        <v>621</v>
      </c>
      <c r="C94" s="349">
        <v>2</v>
      </c>
      <c r="D94" s="349" t="s">
        <v>615</v>
      </c>
      <c r="E94" s="359">
        <v>7.4</v>
      </c>
      <c r="F94" s="360" t="s">
        <v>145</v>
      </c>
      <c r="G94" s="359">
        <v>0</v>
      </c>
      <c r="H94" s="360" t="s">
        <v>145</v>
      </c>
      <c r="I94" s="359">
        <v>0</v>
      </c>
      <c r="J94" s="360" t="s">
        <v>145</v>
      </c>
      <c r="K94" s="359">
        <v>0</v>
      </c>
      <c r="L94" s="349" t="s">
        <v>616</v>
      </c>
      <c r="M94" s="359">
        <v>26.3</v>
      </c>
      <c r="N94" s="360" t="s">
        <v>145</v>
      </c>
      <c r="O94" s="359">
        <v>0</v>
      </c>
      <c r="P94" s="349" t="s">
        <v>605</v>
      </c>
      <c r="Q94" s="359">
        <v>33.799999999999997</v>
      </c>
      <c r="R94" s="366">
        <f>Таблица3[[#This Row],[Столбец1]]</f>
        <v>3018</v>
      </c>
      <c r="S94" s="366">
        <f ca="1">ROUND(Таблица3[[#This Row],[Столбец4]] *0.99 - RANDBETWEEN(1, 3) - RANDBETWEEN(1,10) / 10, 1)</f>
        <v>3.9</v>
      </c>
      <c r="T94" s="366">
        <f ca="1">ROUND(SUM(Таблица3[[#This Row],[Столбец6]:[Столбец13]]) * 0.99 - RANDBETWEEN(1, 3) - RANDBETWEEN(1,10) / 10, 1)</f>
        <v>22.3</v>
      </c>
      <c r="U94" s="366">
        <f t="shared" ca="1" si="2"/>
        <v>26.2</v>
      </c>
    </row>
    <row r="95" spans="1:21" ht="105.6" hidden="1" x14ac:dyDescent="0.3">
      <c r="A95" s="361">
        <v>3019</v>
      </c>
      <c r="B95" s="351" t="s">
        <v>622</v>
      </c>
      <c r="C95" s="351">
        <v>3</v>
      </c>
      <c r="D95" s="351" t="s">
        <v>603</v>
      </c>
      <c r="E95" s="362">
        <v>40.299999999999997</v>
      </c>
      <c r="F95" s="363" t="s">
        <v>145</v>
      </c>
      <c r="G95" s="362">
        <v>0</v>
      </c>
      <c r="H95" s="351" t="s">
        <v>604</v>
      </c>
      <c r="I95" s="362">
        <v>38.5</v>
      </c>
      <c r="J95" s="351" t="s">
        <v>608</v>
      </c>
      <c r="K95" s="362">
        <v>48.4</v>
      </c>
      <c r="L95" s="351" t="s">
        <v>604</v>
      </c>
      <c r="M95" s="362">
        <v>174</v>
      </c>
      <c r="N95" s="363" t="s">
        <v>145</v>
      </c>
      <c r="O95" s="362">
        <v>0</v>
      </c>
      <c r="P95" s="351" t="s">
        <v>605</v>
      </c>
      <c r="Q95" s="362">
        <v>301.2</v>
      </c>
      <c r="R95" s="366">
        <f>Таблица3[[#This Row],[Столбец1]]</f>
        <v>3019</v>
      </c>
      <c r="S95" s="366">
        <f ca="1">ROUND(Таблица3[[#This Row],[Столбец4]] *0.99 - RANDBETWEEN(1, 3) - RANDBETWEEN(1,10) / 10, 1)</f>
        <v>37.799999999999997</v>
      </c>
      <c r="T95" s="366">
        <f ca="1">ROUND(SUM(Таблица3[[#This Row],[Столбец6]:[Столбец13]]) * 0.99 - RANDBETWEEN(1, 3) - RANDBETWEEN(1,10) / 10, 1)</f>
        <v>256.5</v>
      </c>
      <c r="U95" s="366">
        <f t="shared" ca="1" si="2"/>
        <v>294.3</v>
      </c>
    </row>
    <row r="96" spans="1:21" ht="79.2" hidden="1" x14ac:dyDescent="0.3">
      <c r="A96" s="358">
        <v>3020</v>
      </c>
      <c r="B96" s="349" t="s">
        <v>612</v>
      </c>
      <c r="C96" s="349">
        <v>3</v>
      </c>
      <c r="D96" s="349" t="s">
        <v>603</v>
      </c>
      <c r="E96" s="359">
        <v>75.7</v>
      </c>
      <c r="F96" s="360" t="s">
        <v>145</v>
      </c>
      <c r="G96" s="359">
        <v>0</v>
      </c>
      <c r="H96" s="349" t="s">
        <v>604</v>
      </c>
      <c r="I96" s="359">
        <v>15.3</v>
      </c>
      <c r="J96" s="360" t="s">
        <v>145</v>
      </c>
      <c r="K96" s="359">
        <v>0</v>
      </c>
      <c r="L96" s="360" t="s">
        <v>145</v>
      </c>
      <c r="M96" s="359">
        <v>0</v>
      </c>
      <c r="N96" s="360" t="s">
        <v>145</v>
      </c>
      <c r="O96" s="359">
        <v>0</v>
      </c>
      <c r="P96" s="349" t="s">
        <v>605</v>
      </c>
      <c r="Q96" s="359">
        <v>90.9</v>
      </c>
      <c r="R96" s="366">
        <f>Таблица3[[#This Row],[Столбец1]]</f>
        <v>3020</v>
      </c>
      <c r="S96" s="366">
        <f ca="1">ROUND(Таблица3[[#This Row],[Столбец4]] *0.99 - RANDBETWEEN(1, 3) - RANDBETWEEN(1,10) / 10, 1)</f>
        <v>72.5</v>
      </c>
      <c r="T96" s="366">
        <f ca="1">ROUND(SUM(Таблица3[[#This Row],[Столбец6]:[Столбец13]]) * 0.99 - RANDBETWEEN(1, 3) - RANDBETWEEN(1,10) / 10, 1)</f>
        <v>12.8</v>
      </c>
      <c r="U96" s="366">
        <f t="shared" ca="1" si="2"/>
        <v>85.3</v>
      </c>
    </row>
    <row r="97" spans="1:21" ht="79.2" hidden="1" x14ac:dyDescent="0.3">
      <c r="A97" s="358">
        <v>3021</v>
      </c>
      <c r="B97" s="360" t="s">
        <v>592</v>
      </c>
      <c r="C97" s="360">
        <v>3</v>
      </c>
      <c r="D97" s="349" t="s">
        <v>603</v>
      </c>
      <c r="E97" s="359">
        <v>16.100000000000001</v>
      </c>
      <c r="F97" s="360" t="s">
        <v>145</v>
      </c>
      <c r="G97" s="359">
        <v>0</v>
      </c>
      <c r="H97" s="349" t="s">
        <v>604</v>
      </c>
      <c r="I97" s="359">
        <v>36.200000000000003</v>
      </c>
      <c r="J97" s="360" t="s">
        <v>145</v>
      </c>
      <c r="K97" s="359">
        <v>0</v>
      </c>
      <c r="L97" s="349" t="s">
        <v>604</v>
      </c>
      <c r="M97" s="359">
        <v>27</v>
      </c>
      <c r="N97" s="360" t="s">
        <v>145</v>
      </c>
      <c r="O97" s="359">
        <v>0</v>
      </c>
      <c r="P97" s="349" t="s">
        <v>605</v>
      </c>
      <c r="Q97" s="359">
        <v>79.3</v>
      </c>
      <c r="R97" s="366">
        <f>Таблица3[[#This Row],[Столбец1]]</f>
        <v>3021</v>
      </c>
      <c r="S97" s="366">
        <f ca="1">ROUND(Таблица3[[#This Row],[Столбец4]] *0.99 - RANDBETWEEN(1, 3) - RANDBETWEEN(1,10) / 10, 1)</f>
        <v>13.2</v>
      </c>
      <c r="T97" s="366">
        <f ca="1">ROUND(SUM(Таблица3[[#This Row],[Столбец6]:[Столбец13]]) * 0.99 - RANDBETWEEN(1, 3) - RANDBETWEEN(1,10) / 10, 1)</f>
        <v>60.5</v>
      </c>
      <c r="U97" s="366">
        <f t="shared" ca="1" si="2"/>
        <v>73.7</v>
      </c>
    </row>
    <row r="98" spans="1:21" ht="79.2" hidden="1" x14ac:dyDescent="0.3">
      <c r="A98" s="358">
        <v>3022</v>
      </c>
      <c r="B98" s="349" t="s">
        <v>643</v>
      </c>
      <c r="C98" s="349">
        <v>3</v>
      </c>
      <c r="D98" s="349" t="s">
        <v>603</v>
      </c>
      <c r="E98" s="359">
        <v>54.8</v>
      </c>
      <c r="F98" s="360" t="s">
        <v>145</v>
      </c>
      <c r="G98" s="359">
        <v>0</v>
      </c>
      <c r="H98" s="349" t="s">
        <v>604</v>
      </c>
      <c r="I98" s="359">
        <v>49.5</v>
      </c>
      <c r="J98" s="360" t="s">
        <v>145</v>
      </c>
      <c r="K98" s="359">
        <v>0</v>
      </c>
      <c r="L98" s="349" t="s">
        <v>604</v>
      </c>
      <c r="M98" s="359">
        <v>32.799999999999997</v>
      </c>
      <c r="N98" s="360" t="s">
        <v>145</v>
      </c>
      <c r="O98" s="359">
        <v>0</v>
      </c>
      <c r="P98" s="349" t="s">
        <v>605</v>
      </c>
      <c r="Q98" s="359">
        <v>137.1</v>
      </c>
      <c r="R98" s="366">
        <f>Таблица3[[#This Row],[Столбец1]]</f>
        <v>3022</v>
      </c>
      <c r="S98" s="366">
        <f ca="1">ROUND(Таблица3[[#This Row],[Столбец4]] *0.99 - RANDBETWEEN(1, 3) - RANDBETWEEN(1,10) / 10, 1)</f>
        <v>51.3</v>
      </c>
      <c r="T98" s="366">
        <f ca="1">ROUND(SUM(Таблица3[[#This Row],[Столбец6]:[Столбец13]]) * 0.99 - RANDBETWEEN(1, 3) - RANDBETWEEN(1,10) / 10, 1)</f>
        <v>78.900000000000006</v>
      </c>
      <c r="U98" s="366">
        <f t="shared" ca="1" si="2"/>
        <v>130.19999999999999</v>
      </c>
    </row>
    <row r="99" spans="1:21" ht="79.2" hidden="1" x14ac:dyDescent="0.3">
      <c r="A99" s="358">
        <v>3023</v>
      </c>
      <c r="B99" s="349" t="s">
        <v>630</v>
      </c>
      <c r="C99" s="349">
        <v>4</v>
      </c>
      <c r="D99" s="349" t="s">
        <v>603</v>
      </c>
      <c r="E99" s="359">
        <v>83.2</v>
      </c>
      <c r="F99" s="360" t="s">
        <v>145</v>
      </c>
      <c r="G99" s="359">
        <v>0</v>
      </c>
      <c r="H99" s="349" t="s">
        <v>604</v>
      </c>
      <c r="I99" s="359">
        <v>193.6</v>
      </c>
      <c r="J99" s="360" t="s">
        <v>145</v>
      </c>
      <c r="K99" s="359">
        <v>0</v>
      </c>
      <c r="L99" s="349" t="s">
        <v>604</v>
      </c>
      <c r="M99" s="359">
        <v>80</v>
      </c>
      <c r="N99" s="360" t="s">
        <v>145</v>
      </c>
      <c r="O99" s="359">
        <v>0</v>
      </c>
      <c r="P99" s="349" t="s">
        <v>605</v>
      </c>
      <c r="Q99" s="359">
        <v>356.9</v>
      </c>
      <c r="R99" s="366">
        <f>Таблица3[[#This Row],[Столбец1]]</f>
        <v>3023</v>
      </c>
      <c r="S99" s="366">
        <f ca="1">ROUND(Таблица3[[#This Row],[Столбец4]] *0.99 - RANDBETWEEN(1, 3) - RANDBETWEEN(1,10) / 10, 1)</f>
        <v>80.400000000000006</v>
      </c>
      <c r="T99" s="366">
        <f ca="1">ROUND(SUM(Таблица3[[#This Row],[Столбец6]:[Столбец13]]) * 0.99 - RANDBETWEEN(1, 3) - RANDBETWEEN(1,10) / 10, 1)</f>
        <v>267.5</v>
      </c>
      <c r="U99" s="366">
        <f t="shared" ca="1" si="2"/>
        <v>347.9</v>
      </c>
    </row>
    <row r="100" spans="1:21" ht="79.2" hidden="1" x14ac:dyDescent="0.3">
      <c r="A100" s="358">
        <v>3024</v>
      </c>
      <c r="B100" s="349" t="s">
        <v>612</v>
      </c>
      <c r="C100" s="349">
        <v>3</v>
      </c>
      <c r="D100" s="349" t="s">
        <v>603</v>
      </c>
      <c r="E100" s="359">
        <v>88.9</v>
      </c>
      <c r="F100" s="360" t="s">
        <v>145</v>
      </c>
      <c r="G100" s="359">
        <v>0</v>
      </c>
      <c r="H100" s="360" t="s">
        <v>145</v>
      </c>
      <c r="I100" s="359">
        <v>0</v>
      </c>
      <c r="J100" s="360" t="s">
        <v>145</v>
      </c>
      <c r="K100" s="359">
        <v>0</v>
      </c>
      <c r="L100" s="360" t="s">
        <v>145</v>
      </c>
      <c r="M100" s="359">
        <v>0</v>
      </c>
      <c r="N100" s="360" t="s">
        <v>145</v>
      </c>
      <c r="O100" s="359">
        <v>0</v>
      </c>
      <c r="P100" s="349" t="s">
        <v>605</v>
      </c>
      <c r="Q100" s="359">
        <v>88.9</v>
      </c>
      <c r="R100" s="366">
        <f>Таблица3[[#This Row],[Столбец1]]</f>
        <v>3024</v>
      </c>
      <c r="S100" s="366">
        <f ca="1">ROUND(Таблица3[[#This Row],[Столбец4]] *0.99 - RANDBETWEEN(1, 3) - RANDBETWEEN(1,10) / 10, 1)</f>
        <v>85</v>
      </c>
      <c r="T100" s="366">
        <f ca="1">ROUND(SUM(Таблица3[[#This Row],[Столбец6]:[Столбец13]]) * 0.99 - RANDBETWEEN(1, 3) - RANDBETWEEN(1,10) / 10, 1)</f>
        <v>-1.5</v>
      </c>
      <c r="U100" s="366">
        <f t="shared" ca="1" si="2"/>
        <v>83.5</v>
      </c>
    </row>
    <row r="101" spans="1:21" ht="92.4" hidden="1" x14ac:dyDescent="0.3">
      <c r="A101" s="358">
        <v>3025</v>
      </c>
      <c r="B101" s="349" t="s">
        <v>621</v>
      </c>
      <c r="C101" s="349">
        <v>3</v>
      </c>
      <c r="D101" s="360" t="s">
        <v>145</v>
      </c>
      <c r="E101" s="359">
        <v>0</v>
      </c>
      <c r="F101" s="360" t="s">
        <v>145</v>
      </c>
      <c r="G101" s="359">
        <v>0</v>
      </c>
      <c r="H101" s="349" t="s">
        <v>616</v>
      </c>
      <c r="I101" s="359">
        <v>5.9</v>
      </c>
      <c r="J101" s="360" t="s">
        <v>145</v>
      </c>
      <c r="K101" s="359">
        <v>0</v>
      </c>
      <c r="L101" s="349" t="s">
        <v>616</v>
      </c>
      <c r="M101" s="359">
        <v>37.200000000000003</v>
      </c>
      <c r="N101" s="360" t="s">
        <v>145</v>
      </c>
      <c r="O101" s="359">
        <v>0</v>
      </c>
      <c r="P101" s="349" t="s">
        <v>605</v>
      </c>
      <c r="Q101" s="359">
        <v>43.1</v>
      </c>
      <c r="R101" s="366">
        <f>Таблица3[[#This Row],[Столбец1]]</f>
        <v>3025</v>
      </c>
      <c r="S101" s="366">
        <f ca="1">ROUND(Таблица3[[#This Row],[Столбец4]] *0.99 - RANDBETWEEN(1, 3) - RANDBETWEEN(1,10) / 10, 1)</f>
        <v>-1.8</v>
      </c>
      <c r="T101" s="366">
        <f ca="1">ROUND(SUM(Таблица3[[#This Row],[Столбец6]:[Столбец13]]) * 0.99 - RANDBETWEEN(1, 3) - RANDBETWEEN(1,10) / 10, 1)</f>
        <v>39.9</v>
      </c>
      <c r="U101" s="366">
        <f t="shared" ca="1" si="2"/>
        <v>38.1</v>
      </c>
    </row>
    <row r="102" spans="1:21" ht="92.4" hidden="1" x14ac:dyDescent="0.3">
      <c r="A102" s="358">
        <v>3026</v>
      </c>
      <c r="B102" s="349" t="s">
        <v>617</v>
      </c>
      <c r="C102" s="349">
        <v>3</v>
      </c>
      <c r="D102" s="349" t="s">
        <v>615</v>
      </c>
      <c r="E102" s="359">
        <v>3.1</v>
      </c>
      <c r="F102" s="360" t="s">
        <v>145</v>
      </c>
      <c r="G102" s="359">
        <v>0</v>
      </c>
      <c r="H102" s="349" t="s">
        <v>616</v>
      </c>
      <c r="I102" s="359">
        <v>17.600000000000001</v>
      </c>
      <c r="J102" s="360" t="s">
        <v>145</v>
      </c>
      <c r="K102" s="359">
        <v>0</v>
      </c>
      <c r="L102" s="349" t="s">
        <v>616</v>
      </c>
      <c r="M102" s="359">
        <v>21.4</v>
      </c>
      <c r="N102" s="360" t="s">
        <v>145</v>
      </c>
      <c r="O102" s="359">
        <v>0</v>
      </c>
      <c r="P102" s="349" t="s">
        <v>605</v>
      </c>
      <c r="Q102" s="359">
        <v>42.1</v>
      </c>
      <c r="R102" s="366">
        <f>Таблица3[[#This Row],[Столбец1]]</f>
        <v>3026</v>
      </c>
      <c r="S102" s="366">
        <f ca="1">ROUND(Таблица3[[#This Row],[Столбец4]] *0.99 - RANDBETWEEN(1, 3) - RANDBETWEEN(1,10) / 10, 1)</f>
        <v>1</v>
      </c>
      <c r="T102" s="366">
        <f ca="1">ROUND(SUM(Таблица3[[#This Row],[Столбец6]:[Столбец13]]) * 0.99 - RANDBETWEEN(1, 3) - RANDBETWEEN(1,10) / 10, 1)</f>
        <v>34.799999999999997</v>
      </c>
      <c r="U102" s="366">
        <f t="shared" ca="1" si="2"/>
        <v>35.799999999999997</v>
      </c>
    </row>
    <row r="103" spans="1:21" ht="79.2" hidden="1" x14ac:dyDescent="0.3">
      <c r="A103" s="358">
        <v>3027</v>
      </c>
      <c r="B103" s="349" t="s">
        <v>626</v>
      </c>
      <c r="C103" s="349">
        <v>4</v>
      </c>
      <c r="D103" s="349" t="s">
        <v>603</v>
      </c>
      <c r="E103" s="359">
        <v>45.8</v>
      </c>
      <c r="F103" s="360" t="s">
        <v>145</v>
      </c>
      <c r="G103" s="359">
        <v>0</v>
      </c>
      <c r="H103" s="349" t="s">
        <v>604</v>
      </c>
      <c r="I103" s="359">
        <v>75</v>
      </c>
      <c r="J103" s="360" t="s">
        <v>145</v>
      </c>
      <c r="K103" s="359">
        <v>0</v>
      </c>
      <c r="L103" s="349" t="s">
        <v>604</v>
      </c>
      <c r="M103" s="359">
        <v>23.1</v>
      </c>
      <c r="N103" s="360" t="s">
        <v>145</v>
      </c>
      <c r="O103" s="359">
        <v>0</v>
      </c>
      <c r="P103" s="349" t="s">
        <v>605</v>
      </c>
      <c r="Q103" s="359">
        <v>144</v>
      </c>
      <c r="R103" s="366">
        <f>Таблица3[[#This Row],[Столбец1]]</f>
        <v>3027</v>
      </c>
      <c r="S103" s="366">
        <f ca="1">ROUND(Таблица3[[#This Row],[Столбец4]] *0.99 - RANDBETWEEN(1, 3) - RANDBETWEEN(1,10) / 10, 1)</f>
        <v>42.7</v>
      </c>
      <c r="T103" s="366">
        <f ca="1">ROUND(SUM(Таблица3[[#This Row],[Столбец6]:[Столбец13]]) * 0.99 - RANDBETWEEN(1, 3) - RANDBETWEEN(1,10) / 10, 1)</f>
        <v>94.5</v>
      </c>
      <c r="U103" s="366">
        <f t="shared" ca="1" si="2"/>
        <v>137.19999999999999</v>
      </c>
    </row>
    <row r="104" spans="1:21" ht="79.2" hidden="1" x14ac:dyDescent="0.3">
      <c r="A104" s="361">
        <v>3028</v>
      </c>
      <c r="B104" s="351" t="s">
        <v>644</v>
      </c>
      <c r="C104" s="351">
        <v>4</v>
      </c>
      <c r="D104" s="351" t="s">
        <v>603</v>
      </c>
      <c r="E104" s="362">
        <v>32.200000000000003</v>
      </c>
      <c r="F104" s="363" t="s">
        <v>145</v>
      </c>
      <c r="G104" s="362">
        <v>0</v>
      </c>
      <c r="H104" s="351" t="s">
        <v>604</v>
      </c>
      <c r="I104" s="362">
        <v>72.400000000000006</v>
      </c>
      <c r="J104" s="363" t="s">
        <v>145</v>
      </c>
      <c r="K104" s="362">
        <v>0</v>
      </c>
      <c r="L104" s="351" t="s">
        <v>604</v>
      </c>
      <c r="M104" s="362">
        <v>5.5</v>
      </c>
      <c r="N104" s="363" t="s">
        <v>145</v>
      </c>
      <c r="O104" s="362">
        <v>0</v>
      </c>
      <c r="P104" s="351" t="s">
        <v>605</v>
      </c>
      <c r="Q104" s="362">
        <v>110.1</v>
      </c>
      <c r="R104" s="366">
        <f>Таблица3[[#This Row],[Столбец1]]</f>
        <v>3028</v>
      </c>
      <c r="S104" s="366">
        <f ca="1">ROUND(Таблица3[[#This Row],[Столбец4]] *0.99 - RANDBETWEEN(1, 3) - RANDBETWEEN(1,10) / 10, 1)</f>
        <v>29.8</v>
      </c>
      <c r="T104" s="366">
        <f ca="1">ROUND(SUM(Таблица3[[#This Row],[Столбец6]:[Столбец13]]) * 0.99 - RANDBETWEEN(1, 3) - RANDBETWEEN(1,10) / 10, 1)</f>
        <v>73.900000000000006</v>
      </c>
      <c r="U104" s="366">
        <f t="shared" ca="1" si="2"/>
        <v>103.7</v>
      </c>
    </row>
    <row r="105" spans="1:21" ht="92.4" hidden="1" x14ac:dyDescent="0.3">
      <c r="A105" s="358">
        <v>3029</v>
      </c>
      <c r="B105" s="349" t="s">
        <v>617</v>
      </c>
      <c r="C105" s="349">
        <v>2</v>
      </c>
      <c r="D105" s="349" t="s">
        <v>615</v>
      </c>
      <c r="E105" s="359">
        <v>6.1</v>
      </c>
      <c r="F105" s="360" t="s">
        <v>145</v>
      </c>
      <c r="G105" s="359">
        <v>0</v>
      </c>
      <c r="H105" s="360" t="s">
        <v>145</v>
      </c>
      <c r="I105" s="359">
        <v>0</v>
      </c>
      <c r="J105" s="360" t="s">
        <v>145</v>
      </c>
      <c r="K105" s="359">
        <v>0</v>
      </c>
      <c r="L105" s="349" t="s">
        <v>616</v>
      </c>
      <c r="M105" s="359">
        <v>25.4</v>
      </c>
      <c r="N105" s="360" t="s">
        <v>145</v>
      </c>
      <c r="O105" s="359">
        <v>0</v>
      </c>
      <c r="P105" s="349" t="s">
        <v>605</v>
      </c>
      <c r="Q105" s="359">
        <v>31.5</v>
      </c>
      <c r="R105" s="366">
        <f>Таблица3[[#This Row],[Столбец1]]</f>
        <v>3029</v>
      </c>
      <c r="S105" s="366">
        <f ca="1">ROUND(Таблица3[[#This Row],[Столбец4]] *0.99 - RANDBETWEEN(1, 3) - RANDBETWEEN(1,10) / 10, 1)</f>
        <v>4.0999999999999996</v>
      </c>
      <c r="T105" s="366">
        <f ca="1">ROUND(SUM(Таблица3[[#This Row],[Столбец6]:[Столбец13]]) * 0.99 - RANDBETWEEN(1, 3) - RANDBETWEEN(1,10) / 10, 1)</f>
        <v>23.5</v>
      </c>
      <c r="U105" s="366">
        <f t="shared" ca="1" si="2"/>
        <v>27.6</v>
      </c>
    </row>
    <row r="106" spans="1:21" ht="79.2" hidden="1" x14ac:dyDescent="0.3">
      <c r="A106" s="358">
        <v>3030</v>
      </c>
      <c r="B106" s="349" t="s">
        <v>644</v>
      </c>
      <c r="C106" s="349">
        <v>4</v>
      </c>
      <c r="D106" s="349" t="s">
        <v>603</v>
      </c>
      <c r="E106" s="359">
        <v>51.7</v>
      </c>
      <c r="F106" s="360" t="s">
        <v>145</v>
      </c>
      <c r="G106" s="359">
        <v>0</v>
      </c>
      <c r="H106" s="349" t="s">
        <v>604</v>
      </c>
      <c r="I106" s="359">
        <v>40.799999999999997</v>
      </c>
      <c r="J106" s="360" t="s">
        <v>145</v>
      </c>
      <c r="K106" s="359">
        <v>0</v>
      </c>
      <c r="L106" s="349" t="s">
        <v>604</v>
      </c>
      <c r="M106" s="359">
        <v>24.7</v>
      </c>
      <c r="N106" s="360" t="s">
        <v>145</v>
      </c>
      <c r="O106" s="359">
        <v>0</v>
      </c>
      <c r="P106" s="349" t="s">
        <v>605</v>
      </c>
      <c r="Q106" s="359">
        <v>117.2</v>
      </c>
      <c r="R106" s="366">
        <f>Таблица3[[#This Row],[Столбец1]]</f>
        <v>3030</v>
      </c>
      <c r="S106" s="366">
        <f ca="1">ROUND(Таблица3[[#This Row],[Столбец4]] *0.99 - RANDBETWEEN(1, 3) - RANDBETWEEN(1,10) / 10, 1)</f>
        <v>50.1</v>
      </c>
      <c r="T106" s="366">
        <f ca="1">ROUND(SUM(Таблица3[[#This Row],[Столбец6]:[Столбец13]]) * 0.99 - RANDBETWEEN(1, 3) - RANDBETWEEN(1,10) / 10, 1)</f>
        <v>62.5</v>
      </c>
      <c r="U106" s="366">
        <f t="shared" ca="1" si="2"/>
        <v>112.6</v>
      </c>
    </row>
    <row r="107" spans="1:21" ht="79.2" hidden="1" x14ac:dyDescent="0.3">
      <c r="A107" s="358">
        <v>3031</v>
      </c>
      <c r="B107" s="349" t="s">
        <v>644</v>
      </c>
      <c r="C107" s="349">
        <v>4</v>
      </c>
      <c r="D107" s="349" t="s">
        <v>603</v>
      </c>
      <c r="E107" s="359">
        <v>74.099999999999994</v>
      </c>
      <c r="F107" s="360" t="s">
        <v>145</v>
      </c>
      <c r="G107" s="359">
        <v>0</v>
      </c>
      <c r="H107" s="349" t="s">
        <v>604</v>
      </c>
      <c r="I107" s="359">
        <v>16.399999999999999</v>
      </c>
      <c r="J107" s="360" t="s">
        <v>145</v>
      </c>
      <c r="K107" s="359">
        <v>0</v>
      </c>
      <c r="L107" s="349" t="s">
        <v>604</v>
      </c>
      <c r="M107" s="359">
        <v>19.7</v>
      </c>
      <c r="N107" s="360" t="s">
        <v>145</v>
      </c>
      <c r="O107" s="359">
        <v>0</v>
      </c>
      <c r="P107" s="349" t="s">
        <v>605</v>
      </c>
      <c r="Q107" s="359">
        <v>110.1</v>
      </c>
      <c r="R107" s="366">
        <f>Таблица3[[#This Row],[Столбец1]]</f>
        <v>3031</v>
      </c>
      <c r="S107" s="366">
        <f ca="1">ROUND(Таблица3[[#This Row],[Столбец4]] *0.99 - RANDBETWEEN(1, 3) - RANDBETWEEN(1,10) / 10, 1)</f>
        <v>70</v>
      </c>
      <c r="T107" s="366">
        <f ca="1">ROUND(SUM(Таблица3[[#This Row],[Столбец6]:[Столбец13]]) * 0.99 - RANDBETWEEN(1, 3) - RANDBETWEEN(1,10) / 10, 1)</f>
        <v>32.9</v>
      </c>
      <c r="U107" s="366">
        <f t="shared" ca="1" si="2"/>
        <v>102.9</v>
      </c>
    </row>
    <row r="108" spans="1:21" ht="79.2" hidden="1" x14ac:dyDescent="0.3">
      <c r="A108" s="358">
        <v>3032</v>
      </c>
      <c r="B108" s="349" t="s">
        <v>644</v>
      </c>
      <c r="C108" s="349">
        <v>4</v>
      </c>
      <c r="D108" s="349" t="s">
        <v>603</v>
      </c>
      <c r="E108" s="359">
        <v>76.3</v>
      </c>
      <c r="F108" s="360" t="s">
        <v>145</v>
      </c>
      <c r="G108" s="359">
        <v>0</v>
      </c>
      <c r="H108" s="349" t="s">
        <v>604</v>
      </c>
      <c r="I108" s="359">
        <v>12.7</v>
      </c>
      <c r="J108" s="360" t="s">
        <v>145</v>
      </c>
      <c r="K108" s="359">
        <v>0</v>
      </c>
      <c r="L108" s="349" t="s">
        <v>604</v>
      </c>
      <c r="M108" s="359">
        <v>25.8</v>
      </c>
      <c r="N108" s="360" t="s">
        <v>145</v>
      </c>
      <c r="O108" s="359">
        <v>0</v>
      </c>
      <c r="P108" s="349" t="s">
        <v>605</v>
      </c>
      <c r="Q108" s="359">
        <v>114.8</v>
      </c>
      <c r="R108" s="366">
        <f>Таблица3[[#This Row],[Столбец1]]</f>
        <v>3032</v>
      </c>
      <c r="S108" s="366">
        <f ca="1">ROUND(Таблица3[[#This Row],[Столбец4]] *0.99 - RANDBETWEEN(1, 3) - RANDBETWEEN(1,10) / 10, 1)</f>
        <v>73.2</v>
      </c>
      <c r="T108" s="366">
        <f ca="1">ROUND(SUM(Таблица3[[#This Row],[Столбец6]:[Столбец13]]) * 0.99 - RANDBETWEEN(1, 3) - RANDBETWEEN(1,10) / 10, 1)</f>
        <v>35.4</v>
      </c>
      <c r="U108" s="366">
        <f t="shared" ca="1" si="2"/>
        <v>108.6</v>
      </c>
    </row>
    <row r="109" spans="1:21" ht="79.2" hidden="1" x14ac:dyDescent="0.3">
      <c r="A109" s="358">
        <v>3033</v>
      </c>
      <c r="B109" s="349" t="s">
        <v>613</v>
      </c>
      <c r="C109" s="349">
        <v>4</v>
      </c>
      <c r="D109" s="349" t="s">
        <v>603</v>
      </c>
      <c r="E109" s="359">
        <v>25.7</v>
      </c>
      <c r="F109" s="360" t="s">
        <v>145</v>
      </c>
      <c r="G109" s="359">
        <v>0</v>
      </c>
      <c r="H109" s="360" t="s">
        <v>145</v>
      </c>
      <c r="I109" s="359">
        <v>0</v>
      </c>
      <c r="J109" s="360" t="s">
        <v>145</v>
      </c>
      <c r="K109" s="359">
        <v>0</v>
      </c>
      <c r="L109" s="349" t="s">
        <v>604</v>
      </c>
      <c r="M109" s="359">
        <v>17.2</v>
      </c>
      <c r="N109" s="360" t="s">
        <v>145</v>
      </c>
      <c r="O109" s="359">
        <v>0</v>
      </c>
      <c r="P109" s="349" t="s">
        <v>605</v>
      </c>
      <c r="Q109" s="359">
        <v>42.9</v>
      </c>
      <c r="R109" s="366">
        <f>Таблица3[[#This Row],[Столбец1]]</f>
        <v>3033</v>
      </c>
      <c r="S109" s="366">
        <f ca="1">ROUND(Таблица3[[#This Row],[Столбец4]] *0.99 - RANDBETWEEN(1, 3) - RANDBETWEEN(1,10) / 10, 1)</f>
        <v>22.3</v>
      </c>
      <c r="T109" s="366">
        <f ca="1">ROUND(SUM(Таблица3[[#This Row],[Столбец6]:[Столбец13]]) * 0.99 - RANDBETWEEN(1, 3) - RANDBETWEEN(1,10) / 10, 1)</f>
        <v>15.4</v>
      </c>
      <c r="U109" s="366">
        <f t="shared" ca="1" si="2"/>
        <v>37.700000000000003</v>
      </c>
    </row>
    <row r="110" spans="1:21" ht="79.2" hidden="1" x14ac:dyDescent="0.3">
      <c r="A110" s="358">
        <v>3034</v>
      </c>
      <c r="B110" s="349" t="s">
        <v>612</v>
      </c>
      <c r="C110" s="349">
        <v>3</v>
      </c>
      <c r="D110" s="349" t="s">
        <v>603</v>
      </c>
      <c r="E110" s="359">
        <v>112.4</v>
      </c>
      <c r="F110" s="360" t="s">
        <v>145</v>
      </c>
      <c r="G110" s="359">
        <v>0</v>
      </c>
      <c r="H110" s="360" t="s">
        <v>145</v>
      </c>
      <c r="I110" s="359">
        <v>0</v>
      </c>
      <c r="J110" s="360" t="s">
        <v>145</v>
      </c>
      <c r="K110" s="359">
        <v>0</v>
      </c>
      <c r="L110" s="360" t="s">
        <v>145</v>
      </c>
      <c r="M110" s="359">
        <v>0</v>
      </c>
      <c r="N110" s="360" t="s">
        <v>145</v>
      </c>
      <c r="O110" s="359">
        <v>0</v>
      </c>
      <c r="P110" s="349" t="s">
        <v>605</v>
      </c>
      <c r="Q110" s="359">
        <v>112.4</v>
      </c>
      <c r="R110" s="366">
        <f>Таблица3[[#This Row],[Столбец1]]</f>
        <v>3034</v>
      </c>
      <c r="S110" s="366">
        <f ca="1">ROUND(Таблица3[[#This Row],[Столбец4]] *0.99 - RANDBETWEEN(1, 3) - RANDBETWEEN(1,10) / 10, 1)</f>
        <v>107.5</v>
      </c>
      <c r="T110" s="366">
        <f ca="1">ROUND(SUM(Таблица3[[#This Row],[Столбец6]:[Столбец13]]) * 0.99 - RANDBETWEEN(1, 3) - RANDBETWEEN(1,10) / 10, 1)</f>
        <v>-2.6</v>
      </c>
      <c r="U110" s="366">
        <f t="shared" ca="1" si="2"/>
        <v>104.9</v>
      </c>
    </row>
    <row r="111" spans="1:21" ht="79.2" hidden="1" x14ac:dyDescent="0.3">
      <c r="A111" s="358">
        <v>3035</v>
      </c>
      <c r="B111" s="349" t="s">
        <v>644</v>
      </c>
      <c r="C111" s="349">
        <v>4</v>
      </c>
      <c r="D111" s="349" t="s">
        <v>603</v>
      </c>
      <c r="E111" s="359">
        <v>52.2</v>
      </c>
      <c r="F111" s="360" t="s">
        <v>145</v>
      </c>
      <c r="G111" s="359">
        <v>0</v>
      </c>
      <c r="H111" s="349" t="s">
        <v>604</v>
      </c>
      <c r="I111" s="359">
        <v>37</v>
      </c>
      <c r="J111" s="360" t="s">
        <v>145</v>
      </c>
      <c r="K111" s="359">
        <v>0</v>
      </c>
      <c r="L111" s="349" t="s">
        <v>604</v>
      </c>
      <c r="M111" s="359">
        <v>25.9</v>
      </c>
      <c r="N111" s="360" t="s">
        <v>145</v>
      </c>
      <c r="O111" s="359">
        <v>0</v>
      </c>
      <c r="P111" s="349" t="s">
        <v>605</v>
      </c>
      <c r="Q111" s="359">
        <v>115.1</v>
      </c>
      <c r="R111" s="366">
        <f>Таблица3[[#This Row],[Столбец1]]</f>
        <v>3035</v>
      </c>
      <c r="S111" s="366">
        <f ca="1">ROUND(Таблица3[[#This Row],[Столбец4]] *0.99 - RANDBETWEEN(1, 3) - RANDBETWEEN(1,10) / 10, 1)</f>
        <v>50.4</v>
      </c>
      <c r="T111" s="366">
        <f ca="1">ROUND(SUM(Таблица3[[#This Row],[Столбец6]:[Столбец13]]) * 0.99 - RANDBETWEEN(1, 3) - RANDBETWEEN(1,10) / 10, 1)</f>
        <v>60.8</v>
      </c>
      <c r="U111" s="366">
        <f t="shared" ca="1" si="2"/>
        <v>111.19999999999999</v>
      </c>
    </row>
    <row r="112" spans="1:21" ht="79.2" hidden="1" x14ac:dyDescent="0.3">
      <c r="A112" s="358">
        <v>3036</v>
      </c>
      <c r="B112" s="349" t="s">
        <v>629</v>
      </c>
      <c r="C112" s="349">
        <v>5</v>
      </c>
      <c r="D112" s="349" t="s">
        <v>603</v>
      </c>
      <c r="E112" s="359">
        <v>27.3</v>
      </c>
      <c r="F112" s="360" t="s">
        <v>145</v>
      </c>
      <c r="G112" s="359">
        <v>0</v>
      </c>
      <c r="H112" s="349" t="s">
        <v>604</v>
      </c>
      <c r="I112" s="359">
        <v>63.7</v>
      </c>
      <c r="J112" s="360" t="s">
        <v>145</v>
      </c>
      <c r="K112" s="359">
        <v>0</v>
      </c>
      <c r="L112" s="349" t="s">
        <v>604</v>
      </c>
      <c r="M112" s="359">
        <v>26.9</v>
      </c>
      <c r="N112" s="360" t="s">
        <v>145</v>
      </c>
      <c r="O112" s="359">
        <v>0</v>
      </c>
      <c r="P112" s="349" t="s">
        <v>605</v>
      </c>
      <c r="Q112" s="359">
        <v>117.9</v>
      </c>
      <c r="R112" s="366">
        <f>Таблица3[[#This Row],[Столбец1]]</f>
        <v>3036</v>
      </c>
      <c r="S112" s="366">
        <f ca="1">ROUND(Таблица3[[#This Row],[Столбец4]] *0.99 - RANDBETWEEN(1, 3) - RANDBETWEEN(1,10) / 10, 1)</f>
        <v>23.3</v>
      </c>
      <c r="T112" s="366">
        <f ca="1">ROUND(SUM(Таблица3[[#This Row],[Столбец6]:[Столбец13]]) * 0.99 - RANDBETWEEN(1, 3) - RANDBETWEEN(1,10) / 10, 1)</f>
        <v>87.9</v>
      </c>
      <c r="U112" s="366">
        <f t="shared" ca="1" si="2"/>
        <v>111.2</v>
      </c>
    </row>
    <row r="113" spans="1:21" ht="79.2" hidden="1" x14ac:dyDescent="0.3">
      <c r="A113" s="361">
        <v>3037</v>
      </c>
      <c r="B113" s="363" t="s">
        <v>591</v>
      </c>
      <c r="C113" s="363">
        <v>5</v>
      </c>
      <c r="D113" s="351" t="s">
        <v>603</v>
      </c>
      <c r="E113" s="362">
        <v>91.1</v>
      </c>
      <c r="F113" s="363" t="s">
        <v>145</v>
      </c>
      <c r="G113" s="362">
        <v>0</v>
      </c>
      <c r="H113" s="351" t="s">
        <v>604</v>
      </c>
      <c r="I113" s="362">
        <v>143.4</v>
      </c>
      <c r="J113" s="363" t="s">
        <v>145</v>
      </c>
      <c r="K113" s="362">
        <v>0</v>
      </c>
      <c r="L113" s="351" t="s">
        <v>604</v>
      </c>
      <c r="M113" s="362">
        <v>9.6999999999999993</v>
      </c>
      <c r="N113" s="363" t="s">
        <v>145</v>
      </c>
      <c r="O113" s="362">
        <v>0</v>
      </c>
      <c r="P113" s="351" t="s">
        <v>605</v>
      </c>
      <c r="Q113" s="362">
        <v>244.2</v>
      </c>
      <c r="R113" s="366">
        <f>Таблица3[[#This Row],[Столбец1]]</f>
        <v>3037</v>
      </c>
      <c r="S113" s="366">
        <f ca="1">ROUND(Таблица3[[#This Row],[Столбец4]] *0.99 - RANDBETWEEN(1, 3) - RANDBETWEEN(1,10) / 10, 1)</f>
        <v>86.2</v>
      </c>
      <c r="T113" s="366">
        <f ca="1">ROUND(SUM(Таблица3[[#This Row],[Столбец6]:[Столбец13]]) * 0.99 - RANDBETWEEN(1, 3) - RANDBETWEEN(1,10) / 10, 1)</f>
        <v>150.1</v>
      </c>
      <c r="U113" s="366">
        <f t="shared" ca="1" si="2"/>
        <v>236.3</v>
      </c>
    </row>
    <row r="114" spans="1:21" ht="79.2" hidden="1" x14ac:dyDescent="0.3">
      <c r="A114" s="361">
        <v>3038</v>
      </c>
      <c r="B114" s="351" t="s">
        <v>645</v>
      </c>
      <c r="C114" s="351">
        <v>6</v>
      </c>
      <c r="D114" s="351" t="s">
        <v>603</v>
      </c>
      <c r="E114" s="362">
        <v>91.2</v>
      </c>
      <c r="F114" s="363" t="s">
        <v>145</v>
      </c>
      <c r="G114" s="362">
        <v>0</v>
      </c>
      <c r="H114" s="351" t="s">
        <v>604</v>
      </c>
      <c r="I114" s="362">
        <v>58.5</v>
      </c>
      <c r="J114" s="363" t="s">
        <v>145</v>
      </c>
      <c r="K114" s="362">
        <v>0</v>
      </c>
      <c r="L114" s="351" t="s">
        <v>604</v>
      </c>
      <c r="M114" s="362">
        <v>109.6</v>
      </c>
      <c r="N114" s="363" t="s">
        <v>145</v>
      </c>
      <c r="O114" s="362">
        <v>0</v>
      </c>
      <c r="P114" s="351" t="s">
        <v>605</v>
      </c>
      <c r="Q114" s="362">
        <v>259.60000000000002</v>
      </c>
      <c r="R114" s="366">
        <f>Таблица3[[#This Row],[Столбец1]]</f>
        <v>3038</v>
      </c>
      <c r="S114" s="366">
        <f ca="1">ROUND(Таблица3[[#This Row],[Столбец4]] *0.99 - RANDBETWEEN(1, 3) - RANDBETWEEN(1,10) / 10, 1)</f>
        <v>87.7</v>
      </c>
      <c r="T114" s="366">
        <f ca="1">ROUND(SUM(Таблица3[[#This Row],[Столбец6]:[Столбец13]]) * 0.99 - RANDBETWEEN(1, 3) - RANDBETWEEN(1,10) / 10, 1)</f>
        <v>163.4</v>
      </c>
      <c r="U114" s="366">
        <f t="shared" ca="1" si="2"/>
        <v>251.10000000000002</v>
      </c>
    </row>
    <row r="115" spans="1:21" ht="79.2" hidden="1" x14ac:dyDescent="0.3">
      <c r="A115" s="358">
        <v>3039</v>
      </c>
      <c r="B115" s="349" t="s">
        <v>646</v>
      </c>
      <c r="C115" s="349">
        <v>6</v>
      </c>
      <c r="D115" s="349" t="s">
        <v>603</v>
      </c>
      <c r="E115" s="359">
        <v>7.1</v>
      </c>
      <c r="F115" s="360" t="s">
        <v>145</v>
      </c>
      <c r="G115" s="359">
        <v>0</v>
      </c>
      <c r="H115" s="349" t="s">
        <v>604</v>
      </c>
      <c r="I115" s="359">
        <v>34.1</v>
      </c>
      <c r="J115" s="360" t="s">
        <v>145</v>
      </c>
      <c r="K115" s="359">
        <v>0</v>
      </c>
      <c r="L115" s="349" t="s">
        <v>604</v>
      </c>
      <c r="M115" s="359">
        <v>29.5</v>
      </c>
      <c r="N115" s="360" t="s">
        <v>145</v>
      </c>
      <c r="O115" s="359">
        <v>0</v>
      </c>
      <c r="P115" s="349" t="s">
        <v>605</v>
      </c>
      <c r="Q115" s="359">
        <v>70.7</v>
      </c>
      <c r="R115" s="366">
        <f>Таблица3[[#This Row],[Столбец1]]</f>
        <v>3039</v>
      </c>
      <c r="S115" s="366">
        <f ca="1">ROUND(Таблица3[[#This Row],[Столбец4]] *0.99 - RANDBETWEEN(1, 3) - RANDBETWEEN(1,10) / 10, 1)</f>
        <v>3.3</v>
      </c>
      <c r="T115" s="366">
        <f ca="1">ROUND(SUM(Таблица3[[#This Row],[Столбец6]:[Столбец13]]) * 0.99 - RANDBETWEEN(1, 3) - RANDBETWEEN(1,10) / 10, 1)</f>
        <v>60.7</v>
      </c>
      <c r="U115" s="366">
        <f t="shared" ca="1" si="2"/>
        <v>64</v>
      </c>
    </row>
    <row r="116" spans="1:21" ht="79.2" hidden="1" x14ac:dyDescent="0.3">
      <c r="A116" s="358">
        <v>3040</v>
      </c>
      <c r="B116" s="349" t="s">
        <v>647</v>
      </c>
      <c r="C116" s="349">
        <v>6</v>
      </c>
      <c r="D116" s="349" t="s">
        <v>603</v>
      </c>
      <c r="E116" s="359">
        <v>77.5</v>
      </c>
      <c r="F116" s="360" t="s">
        <v>145</v>
      </c>
      <c r="G116" s="359">
        <v>0</v>
      </c>
      <c r="H116" s="349" t="s">
        <v>604</v>
      </c>
      <c r="I116" s="359">
        <v>55.2</v>
      </c>
      <c r="J116" s="360" t="s">
        <v>145</v>
      </c>
      <c r="K116" s="359">
        <v>0</v>
      </c>
      <c r="L116" s="349" t="s">
        <v>604</v>
      </c>
      <c r="M116" s="359">
        <v>43</v>
      </c>
      <c r="N116" s="360" t="s">
        <v>145</v>
      </c>
      <c r="O116" s="359">
        <v>0</v>
      </c>
      <c r="P116" s="349" t="s">
        <v>605</v>
      </c>
      <c r="Q116" s="359">
        <v>175.7</v>
      </c>
      <c r="R116" s="366">
        <f>Таблица3[[#This Row],[Столбец1]]</f>
        <v>3040</v>
      </c>
      <c r="S116" s="366">
        <f ca="1">ROUND(Таблица3[[#This Row],[Столбец4]] *0.99 - RANDBETWEEN(1, 3) - RANDBETWEEN(1,10) / 10, 1)</f>
        <v>74.099999999999994</v>
      </c>
      <c r="T116" s="366">
        <f ca="1">ROUND(SUM(Таблица3[[#This Row],[Столбец6]:[Столбец13]]) * 0.99 - RANDBETWEEN(1, 3) - RANDBETWEEN(1,10) / 10, 1)</f>
        <v>96</v>
      </c>
      <c r="U116" s="366">
        <f t="shared" ca="1" si="2"/>
        <v>170.1</v>
      </c>
    </row>
    <row r="117" spans="1:21" ht="79.2" hidden="1" x14ac:dyDescent="0.3">
      <c r="A117" s="358">
        <v>3041</v>
      </c>
      <c r="B117" s="360" t="s">
        <v>591</v>
      </c>
      <c r="C117" s="360">
        <v>6</v>
      </c>
      <c r="D117" s="349" t="s">
        <v>603</v>
      </c>
      <c r="E117" s="359">
        <v>205.7</v>
      </c>
      <c r="F117" s="360" t="s">
        <v>145</v>
      </c>
      <c r="G117" s="359">
        <v>0</v>
      </c>
      <c r="H117" s="349" t="s">
        <v>604</v>
      </c>
      <c r="I117" s="359">
        <v>129.6</v>
      </c>
      <c r="J117" s="360" t="s">
        <v>145</v>
      </c>
      <c r="K117" s="359">
        <v>0</v>
      </c>
      <c r="L117" s="349" t="s">
        <v>604</v>
      </c>
      <c r="M117" s="359">
        <v>16.7</v>
      </c>
      <c r="N117" s="360" t="s">
        <v>145</v>
      </c>
      <c r="O117" s="359">
        <v>0</v>
      </c>
      <c r="P117" s="349" t="s">
        <v>605</v>
      </c>
      <c r="Q117" s="359">
        <v>352.3</v>
      </c>
      <c r="R117" s="366">
        <f>Таблица3[[#This Row],[Столбец1]]</f>
        <v>3041</v>
      </c>
      <c r="S117" s="366">
        <f ca="1">ROUND(Таблица3[[#This Row],[Столбец4]] *0.99 - RANDBETWEEN(1, 3) - RANDBETWEEN(1,10) / 10, 1)</f>
        <v>200.9</v>
      </c>
      <c r="T117" s="366">
        <f ca="1">ROUND(SUM(Таблица3[[#This Row],[Столбец6]:[Столбец13]]) * 0.99 - RANDBETWEEN(1, 3) - RANDBETWEEN(1,10) / 10, 1)</f>
        <v>142.5</v>
      </c>
      <c r="U117" s="366">
        <f t="shared" ca="1" si="2"/>
        <v>343.4</v>
      </c>
    </row>
    <row r="118" spans="1:21" ht="92.4" hidden="1" x14ac:dyDescent="0.3">
      <c r="A118" s="358">
        <v>3042</v>
      </c>
      <c r="B118" s="349" t="s">
        <v>634</v>
      </c>
      <c r="C118" s="349">
        <v>6</v>
      </c>
      <c r="D118" s="349" t="s">
        <v>615</v>
      </c>
      <c r="E118" s="359">
        <v>15.9</v>
      </c>
      <c r="F118" s="360" t="s">
        <v>145</v>
      </c>
      <c r="G118" s="359">
        <v>0</v>
      </c>
      <c r="H118" s="349" t="s">
        <v>616</v>
      </c>
      <c r="I118" s="359">
        <v>10.5</v>
      </c>
      <c r="J118" s="360" t="s">
        <v>145</v>
      </c>
      <c r="K118" s="359">
        <v>0</v>
      </c>
      <c r="L118" s="349" t="s">
        <v>616</v>
      </c>
      <c r="M118" s="359">
        <v>59.3</v>
      </c>
      <c r="N118" s="360" t="s">
        <v>145</v>
      </c>
      <c r="O118" s="359">
        <v>0</v>
      </c>
      <c r="P118" s="349" t="s">
        <v>605</v>
      </c>
      <c r="Q118" s="359">
        <v>86.2</v>
      </c>
      <c r="R118" s="366">
        <f>Таблица3[[#This Row],[Столбец1]]</f>
        <v>3042</v>
      </c>
      <c r="S118" s="366">
        <f ca="1">ROUND(Таблица3[[#This Row],[Столбец4]] *0.99 - RANDBETWEEN(1, 3) - RANDBETWEEN(1,10) / 10, 1)</f>
        <v>11.9</v>
      </c>
      <c r="T118" s="366">
        <f ca="1">ROUND(SUM(Таблица3[[#This Row],[Столбец6]:[Столбец13]]) * 0.99 - RANDBETWEEN(1, 3) - RANDBETWEEN(1,10) / 10, 1)</f>
        <v>65.3</v>
      </c>
      <c r="U118" s="366">
        <f t="shared" ca="1" si="2"/>
        <v>77.2</v>
      </c>
    </row>
    <row r="119" spans="1:21" ht="92.4" hidden="1" x14ac:dyDescent="0.3">
      <c r="A119" s="358">
        <v>3043</v>
      </c>
      <c r="B119" s="349" t="s">
        <v>635</v>
      </c>
      <c r="C119" s="349">
        <v>6</v>
      </c>
      <c r="D119" s="349" t="s">
        <v>615</v>
      </c>
      <c r="E119" s="359">
        <v>39.200000000000003</v>
      </c>
      <c r="F119" s="360" t="s">
        <v>145</v>
      </c>
      <c r="G119" s="359">
        <v>0</v>
      </c>
      <c r="H119" s="349" t="s">
        <v>616</v>
      </c>
      <c r="I119" s="359">
        <v>11.7</v>
      </c>
      <c r="J119" s="360" t="s">
        <v>145</v>
      </c>
      <c r="K119" s="359">
        <v>0</v>
      </c>
      <c r="L119" s="349" t="s">
        <v>616</v>
      </c>
      <c r="M119" s="359">
        <v>28.6</v>
      </c>
      <c r="N119" s="360" t="s">
        <v>145</v>
      </c>
      <c r="O119" s="359">
        <v>0</v>
      </c>
      <c r="P119" s="349" t="s">
        <v>605</v>
      </c>
      <c r="Q119" s="359">
        <v>86.7</v>
      </c>
      <c r="R119" s="366">
        <f>Таблица3[[#This Row],[Столбец1]]</f>
        <v>3043</v>
      </c>
      <c r="S119" s="366">
        <f ca="1">ROUND(Таблица3[[#This Row],[Столбец4]] *0.99 - RANDBETWEEN(1, 3) - RANDBETWEEN(1,10) / 10, 1)</f>
        <v>36.299999999999997</v>
      </c>
      <c r="T119" s="366">
        <f ca="1">ROUND(SUM(Таблица3[[#This Row],[Столбец6]:[Столбец13]]) * 0.99 - RANDBETWEEN(1, 3) - RANDBETWEEN(1,10) / 10, 1)</f>
        <v>36.4</v>
      </c>
      <c r="U119" s="366">
        <f t="shared" ca="1" si="2"/>
        <v>72.699999999999989</v>
      </c>
    </row>
    <row r="120" spans="1:21" ht="92.4" hidden="1" x14ac:dyDescent="0.3">
      <c r="A120" s="358">
        <v>3044</v>
      </c>
      <c r="B120" s="349" t="s">
        <v>617</v>
      </c>
      <c r="C120" s="349">
        <v>6</v>
      </c>
      <c r="D120" s="349" t="s">
        <v>615</v>
      </c>
      <c r="E120" s="359">
        <v>3.1</v>
      </c>
      <c r="F120" s="360" t="s">
        <v>145</v>
      </c>
      <c r="G120" s="359">
        <v>0</v>
      </c>
      <c r="H120" s="349" t="s">
        <v>616</v>
      </c>
      <c r="I120" s="359">
        <v>2.6</v>
      </c>
      <c r="J120" s="360" t="s">
        <v>145</v>
      </c>
      <c r="K120" s="359">
        <v>0</v>
      </c>
      <c r="L120" s="349" t="s">
        <v>616</v>
      </c>
      <c r="M120" s="359">
        <v>26</v>
      </c>
      <c r="N120" s="360" t="s">
        <v>145</v>
      </c>
      <c r="O120" s="359">
        <v>0</v>
      </c>
      <c r="P120" s="349" t="s">
        <v>605</v>
      </c>
      <c r="Q120" s="359">
        <v>31.6</v>
      </c>
      <c r="R120" s="366">
        <f>Таблица3[[#This Row],[Столбец1]]</f>
        <v>3044</v>
      </c>
      <c r="S120" s="366">
        <f ca="1">ROUND(Таблица3[[#This Row],[Столбец4]] *0.99 - RANDBETWEEN(1, 3) - RANDBETWEEN(1,10) / 10, 1)</f>
        <v>-0.5</v>
      </c>
      <c r="T120" s="366">
        <f ca="1">ROUND(SUM(Таблица3[[#This Row],[Столбец6]:[Столбец13]]) * 0.99 - RANDBETWEEN(1, 3) - RANDBETWEEN(1,10) / 10, 1)</f>
        <v>24.7</v>
      </c>
      <c r="U120" s="366">
        <f t="shared" ca="1" si="2"/>
        <v>24.2</v>
      </c>
    </row>
    <row r="121" spans="1:21" ht="92.4" hidden="1" x14ac:dyDescent="0.3">
      <c r="A121" s="358">
        <v>3045</v>
      </c>
      <c r="B121" s="349" t="s">
        <v>620</v>
      </c>
      <c r="C121" s="349">
        <v>6</v>
      </c>
      <c r="D121" s="349" t="s">
        <v>615</v>
      </c>
      <c r="E121" s="359">
        <v>1</v>
      </c>
      <c r="F121" s="360" t="s">
        <v>145</v>
      </c>
      <c r="G121" s="359">
        <v>0</v>
      </c>
      <c r="H121" s="349" t="s">
        <v>616</v>
      </c>
      <c r="I121" s="359">
        <v>5.9</v>
      </c>
      <c r="J121" s="360" t="s">
        <v>145</v>
      </c>
      <c r="K121" s="359">
        <v>0</v>
      </c>
      <c r="L121" s="349" t="s">
        <v>616</v>
      </c>
      <c r="M121" s="359">
        <v>27.4</v>
      </c>
      <c r="N121" s="360" t="s">
        <v>145</v>
      </c>
      <c r="O121" s="359">
        <v>0</v>
      </c>
      <c r="P121" s="349" t="s">
        <v>605</v>
      </c>
      <c r="Q121" s="359">
        <v>34.299999999999997</v>
      </c>
      <c r="R121" s="366">
        <f>Таблица3[[#This Row],[Столбец1]]</f>
        <v>3045</v>
      </c>
      <c r="S121" s="366">
        <f ca="1">ROUND(Таблица3[[#This Row],[Столбец4]] *0.99 - RANDBETWEEN(1, 3) - RANDBETWEEN(1,10) / 10, 1)</f>
        <v>-1.7</v>
      </c>
      <c r="T121" s="366">
        <f ca="1">ROUND(SUM(Таблица3[[#This Row],[Столбец6]:[Столбец13]]) * 0.99 - RANDBETWEEN(1, 3) - RANDBETWEEN(1,10) / 10, 1)</f>
        <v>30.3</v>
      </c>
      <c r="U121" s="366">
        <f t="shared" ca="1" si="2"/>
        <v>28.6</v>
      </c>
    </row>
    <row r="122" spans="1:21" ht="79.2" hidden="1" x14ac:dyDescent="0.3">
      <c r="A122" s="358">
        <v>3046</v>
      </c>
      <c r="B122" s="349" t="s">
        <v>613</v>
      </c>
      <c r="C122" s="349">
        <v>6</v>
      </c>
      <c r="D122" s="349" t="s">
        <v>603</v>
      </c>
      <c r="E122" s="359">
        <v>25.7</v>
      </c>
      <c r="F122" s="360" t="s">
        <v>145</v>
      </c>
      <c r="G122" s="359">
        <v>0</v>
      </c>
      <c r="H122" s="360" t="s">
        <v>145</v>
      </c>
      <c r="I122" s="359">
        <v>0</v>
      </c>
      <c r="J122" s="360" t="s">
        <v>145</v>
      </c>
      <c r="K122" s="359">
        <v>0</v>
      </c>
      <c r="L122" s="349" t="s">
        <v>604</v>
      </c>
      <c r="M122" s="359">
        <v>17.2</v>
      </c>
      <c r="N122" s="360" t="s">
        <v>145</v>
      </c>
      <c r="O122" s="359">
        <v>0</v>
      </c>
      <c r="P122" s="349" t="s">
        <v>605</v>
      </c>
      <c r="Q122" s="359">
        <v>42.9</v>
      </c>
      <c r="R122" s="366">
        <f>Таблица3[[#This Row],[Столбец1]]</f>
        <v>3046</v>
      </c>
      <c r="S122" s="366">
        <f ca="1">ROUND(Таблица3[[#This Row],[Столбец4]] *0.99 - RANDBETWEEN(1, 3) - RANDBETWEEN(1,10) / 10, 1)</f>
        <v>24.3</v>
      </c>
      <c r="T122" s="366">
        <f ca="1">ROUND(SUM(Таблица3[[#This Row],[Столбец6]:[Столбец13]]) * 0.99 - RANDBETWEEN(1, 3) - RANDBETWEEN(1,10) / 10, 1)</f>
        <v>14.1</v>
      </c>
      <c r="U122" s="366">
        <f t="shared" ca="1" si="2"/>
        <v>38.4</v>
      </c>
    </row>
    <row r="123" spans="1:21" ht="79.2" hidden="1" x14ac:dyDescent="0.3">
      <c r="A123" s="361">
        <v>3047</v>
      </c>
      <c r="B123" s="351" t="s">
        <v>612</v>
      </c>
      <c r="C123" s="351">
        <v>6</v>
      </c>
      <c r="D123" s="351" t="s">
        <v>603</v>
      </c>
      <c r="E123" s="362">
        <v>109.4</v>
      </c>
      <c r="F123" s="363" t="s">
        <v>145</v>
      </c>
      <c r="G123" s="362">
        <v>0</v>
      </c>
      <c r="H123" s="363" t="s">
        <v>145</v>
      </c>
      <c r="I123" s="362">
        <v>0</v>
      </c>
      <c r="J123" s="363" t="s">
        <v>145</v>
      </c>
      <c r="K123" s="362">
        <v>0</v>
      </c>
      <c r="L123" s="363" t="s">
        <v>145</v>
      </c>
      <c r="M123" s="362">
        <v>0</v>
      </c>
      <c r="N123" s="363" t="s">
        <v>145</v>
      </c>
      <c r="O123" s="362">
        <v>0</v>
      </c>
      <c r="P123" s="351" t="s">
        <v>605</v>
      </c>
      <c r="Q123" s="362">
        <v>109.4</v>
      </c>
      <c r="R123" s="366">
        <f>Таблица3[[#This Row],[Столбец1]]</f>
        <v>3047</v>
      </c>
      <c r="S123" s="366">
        <f ca="1">ROUND(Таблица3[[#This Row],[Столбец4]] *0.99 - RANDBETWEEN(1, 3) - RANDBETWEEN(1,10) / 10, 1)</f>
        <v>104.4</v>
      </c>
      <c r="T123" s="366">
        <f ca="1">ROUND(SUM(Таблица3[[#This Row],[Столбец6]:[Столбец13]]) * 0.99 - RANDBETWEEN(1, 3) - RANDBETWEEN(1,10) / 10, 1)</f>
        <v>-3</v>
      </c>
      <c r="U123" s="366">
        <f t="shared" ca="1" si="2"/>
        <v>101.4</v>
      </c>
    </row>
    <row r="124" spans="1:21" ht="79.2" hidden="1" x14ac:dyDescent="0.3">
      <c r="A124" s="358">
        <v>3048</v>
      </c>
      <c r="B124" s="349" t="s">
        <v>607</v>
      </c>
      <c r="C124" s="349">
        <v>3</v>
      </c>
      <c r="D124" s="349" t="s">
        <v>603</v>
      </c>
      <c r="E124" s="359">
        <v>38.1</v>
      </c>
      <c r="F124" s="360" t="s">
        <v>145</v>
      </c>
      <c r="G124" s="359">
        <v>0</v>
      </c>
      <c r="H124" s="349" t="s">
        <v>604</v>
      </c>
      <c r="I124" s="359">
        <v>42.3</v>
      </c>
      <c r="J124" s="360" t="s">
        <v>145</v>
      </c>
      <c r="K124" s="359">
        <v>0</v>
      </c>
      <c r="L124" s="349" t="s">
        <v>604</v>
      </c>
      <c r="M124" s="359">
        <v>92.1</v>
      </c>
      <c r="N124" s="360" t="s">
        <v>145</v>
      </c>
      <c r="O124" s="359">
        <v>0</v>
      </c>
      <c r="P124" s="349" t="s">
        <v>605</v>
      </c>
      <c r="Q124" s="359">
        <v>172.5</v>
      </c>
      <c r="R124" s="366">
        <f>Таблица3[[#This Row],[Столбец1]]</f>
        <v>3048</v>
      </c>
      <c r="S124" s="366">
        <f ca="1">ROUND(Таблица3[[#This Row],[Столбец4]] *0.99 - RANDBETWEEN(1, 3) - RANDBETWEEN(1,10) / 10, 1)</f>
        <v>36.5</v>
      </c>
      <c r="T124" s="366">
        <f ca="1">ROUND(SUM(Таблица3[[#This Row],[Столбец6]:[Столбец13]]) * 0.99 - RANDBETWEEN(1, 3) - RANDBETWEEN(1,10) / 10, 1)</f>
        <v>130.6</v>
      </c>
      <c r="U124" s="366">
        <f t="shared" ca="1" si="2"/>
        <v>167.1</v>
      </c>
    </row>
    <row r="125" spans="1:21" ht="79.2" hidden="1" x14ac:dyDescent="0.3">
      <c r="A125" s="358">
        <v>3049</v>
      </c>
      <c r="B125" s="360" t="s">
        <v>592</v>
      </c>
      <c r="C125" s="360">
        <v>7</v>
      </c>
      <c r="D125" s="349" t="s">
        <v>603</v>
      </c>
      <c r="E125" s="359">
        <v>18.7</v>
      </c>
      <c r="F125" s="360" t="s">
        <v>145</v>
      </c>
      <c r="G125" s="359">
        <v>0</v>
      </c>
      <c r="H125" s="349" t="s">
        <v>604</v>
      </c>
      <c r="I125" s="359">
        <v>19.399999999999999</v>
      </c>
      <c r="J125" s="360" t="s">
        <v>145</v>
      </c>
      <c r="K125" s="359">
        <v>0</v>
      </c>
      <c r="L125" s="349" t="s">
        <v>604</v>
      </c>
      <c r="M125" s="359">
        <v>60.8</v>
      </c>
      <c r="N125" s="360" t="s">
        <v>145</v>
      </c>
      <c r="O125" s="359">
        <v>0</v>
      </c>
      <c r="P125" s="349" t="s">
        <v>605</v>
      </c>
      <c r="Q125" s="359">
        <v>98.9</v>
      </c>
      <c r="R125" s="366">
        <f>Таблица3[[#This Row],[Столбец1]]</f>
        <v>3049</v>
      </c>
      <c r="S125" s="366">
        <f ca="1">ROUND(Таблица3[[#This Row],[Столбец4]] *0.99 - RANDBETWEEN(1, 3) - RANDBETWEEN(1,10) / 10, 1)</f>
        <v>17.2</v>
      </c>
      <c r="T125" s="366">
        <f ca="1">ROUND(SUM(Таблица3[[#This Row],[Столбец6]:[Столбец13]]) * 0.99 - RANDBETWEEN(1, 3) - RANDBETWEEN(1,10) / 10, 1)</f>
        <v>76.8</v>
      </c>
      <c r="U125" s="366">
        <f t="shared" ca="1" si="2"/>
        <v>94</v>
      </c>
    </row>
    <row r="126" spans="1:21" ht="79.2" hidden="1" x14ac:dyDescent="0.3">
      <c r="A126" s="358">
        <v>3050</v>
      </c>
      <c r="B126" s="349" t="s">
        <v>648</v>
      </c>
      <c r="C126" s="349">
        <v>7</v>
      </c>
      <c r="D126" s="349" t="s">
        <v>603</v>
      </c>
      <c r="E126" s="359">
        <v>103.8</v>
      </c>
      <c r="F126" s="360" t="s">
        <v>145</v>
      </c>
      <c r="G126" s="359">
        <v>0</v>
      </c>
      <c r="H126" s="349" t="s">
        <v>604</v>
      </c>
      <c r="I126" s="359">
        <v>42.8</v>
      </c>
      <c r="J126" s="360" t="s">
        <v>145</v>
      </c>
      <c r="K126" s="359">
        <v>0</v>
      </c>
      <c r="L126" s="349" t="s">
        <v>604</v>
      </c>
      <c r="M126" s="359">
        <v>77.099999999999994</v>
      </c>
      <c r="N126" s="360" t="s">
        <v>145</v>
      </c>
      <c r="O126" s="359">
        <v>0</v>
      </c>
      <c r="P126" s="349" t="s">
        <v>605</v>
      </c>
      <c r="Q126" s="359">
        <v>223.7</v>
      </c>
      <c r="R126" s="366">
        <f>Таблица3[[#This Row],[Столбец1]]</f>
        <v>3050</v>
      </c>
      <c r="S126" s="366">
        <f ca="1">ROUND(Таблица3[[#This Row],[Столбец4]] *0.99 - RANDBETWEEN(1, 3) - RANDBETWEEN(1,10) / 10, 1)</f>
        <v>101.5</v>
      </c>
      <c r="T126" s="366">
        <f ca="1">ROUND(SUM(Таблица3[[#This Row],[Столбец6]:[Столбец13]]) * 0.99 - RANDBETWEEN(1, 3) - RANDBETWEEN(1,10) / 10, 1)</f>
        <v>116.4</v>
      </c>
      <c r="U126" s="366">
        <f t="shared" ca="1" si="2"/>
        <v>217.9</v>
      </c>
    </row>
    <row r="127" spans="1:21" ht="79.2" hidden="1" x14ac:dyDescent="0.3">
      <c r="A127" s="358">
        <v>3051</v>
      </c>
      <c r="B127" s="349" t="s">
        <v>630</v>
      </c>
      <c r="C127" s="349">
        <v>7</v>
      </c>
      <c r="D127" s="349" t="s">
        <v>603</v>
      </c>
      <c r="E127" s="359">
        <v>107.4</v>
      </c>
      <c r="F127" s="360" t="s">
        <v>145</v>
      </c>
      <c r="G127" s="359">
        <v>0</v>
      </c>
      <c r="H127" s="349" t="s">
        <v>604</v>
      </c>
      <c r="I127" s="359">
        <v>119.6</v>
      </c>
      <c r="J127" s="360" t="s">
        <v>145</v>
      </c>
      <c r="K127" s="359">
        <v>0</v>
      </c>
      <c r="L127" s="349" t="s">
        <v>604</v>
      </c>
      <c r="M127" s="359">
        <v>83.7</v>
      </c>
      <c r="N127" s="360" t="s">
        <v>145</v>
      </c>
      <c r="O127" s="359">
        <v>0</v>
      </c>
      <c r="P127" s="349" t="s">
        <v>605</v>
      </c>
      <c r="Q127" s="359">
        <v>310.60000000000002</v>
      </c>
      <c r="R127" s="366">
        <f>Таблица3[[#This Row],[Столбец1]]</f>
        <v>3051</v>
      </c>
      <c r="S127" s="366">
        <f ca="1">ROUND(Таблица3[[#This Row],[Столбец4]] *0.99 - RANDBETWEEN(1, 3) - RANDBETWEEN(1,10) / 10, 1)</f>
        <v>102.9</v>
      </c>
      <c r="T127" s="366">
        <f ca="1">ROUND(SUM(Таблица3[[#This Row],[Столбец6]:[Столбец13]]) * 0.99 - RANDBETWEEN(1, 3) - RANDBETWEEN(1,10) / 10, 1)</f>
        <v>198.4</v>
      </c>
      <c r="U127" s="366">
        <f t="shared" ca="1" si="2"/>
        <v>301.3</v>
      </c>
    </row>
    <row r="128" spans="1:21" ht="79.2" hidden="1" x14ac:dyDescent="0.3">
      <c r="A128" s="358">
        <v>3052</v>
      </c>
      <c r="B128" s="349" t="s">
        <v>612</v>
      </c>
      <c r="C128" s="349">
        <v>7</v>
      </c>
      <c r="D128" s="349" t="s">
        <v>603</v>
      </c>
      <c r="E128" s="359">
        <v>89.1</v>
      </c>
      <c r="F128" s="360" t="s">
        <v>145</v>
      </c>
      <c r="G128" s="359">
        <v>0</v>
      </c>
      <c r="H128" s="360" t="s">
        <v>145</v>
      </c>
      <c r="I128" s="359">
        <v>0</v>
      </c>
      <c r="J128" s="360" t="s">
        <v>145</v>
      </c>
      <c r="K128" s="359">
        <v>0</v>
      </c>
      <c r="L128" s="360" t="s">
        <v>145</v>
      </c>
      <c r="M128" s="359">
        <v>0</v>
      </c>
      <c r="N128" s="360" t="s">
        <v>145</v>
      </c>
      <c r="O128" s="359">
        <v>0</v>
      </c>
      <c r="P128" s="349" t="s">
        <v>605</v>
      </c>
      <c r="Q128" s="359">
        <v>89.1</v>
      </c>
      <c r="R128" s="366">
        <f>Таблица3[[#This Row],[Столбец1]]</f>
        <v>3052</v>
      </c>
      <c r="S128" s="366">
        <f ca="1">ROUND(Таблица3[[#This Row],[Столбец4]] *0.99 - RANDBETWEEN(1, 3) - RANDBETWEEN(1,10) / 10, 1)</f>
        <v>85.6</v>
      </c>
      <c r="T128" s="366">
        <f ca="1">ROUND(SUM(Таблица3[[#This Row],[Столбец6]:[Столбец13]]) * 0.99 - RANDBETWEEN(1, 3) - RANDBETWEEN(1,10) / 10, 1)</f>
        <v>-1.6</v>
      </c>
      <c r="U128" s="366">
        <f t="shared" ca="1" si="2"/>
        <v>84</v>
      </c>
    </row>
    <row r="129" spans="1:21" ht="105.6" hidden="1" x14ac:dyDescent="0.3">
      <c r="A129" s="358">
        <v>3053</v>
      </c>
      <c r="B129" s="349" t="s">
        <v>649</v>
      </c>
      <c r="C129" s="349">
        <v>7</v>
      </c>
      <c r="D129" s="349" t="s">
        <v>603</v>
      </c>
      <c r="E129" s="359">
        <v>98.1</v>
      </c>
      <c r="F129" s="360" t="s">
        <v>145</v>
      </c>
      <c r="G129" s="359">
        <v>0</v>
      </c>
      <c r="H129" s="349" t="s">
        <v>604</v>
      </c>
      <c r="I129" s="359">
        <v>74.900000000000006</v>
      </c>
      <c r="J129" s="349" t="s">
        <v>608</v>
      </c>
      <c r="K129" s="359">
        <v>4</v>
      </c>
      <c r="L129" s="349" t="s">
        <v>604</v>
      </c>
      <c r="M129" s="359">
        <v>50.1</v>
      </c>
      <c r="N129" s="360" t="s">
        <v>145</v>
      </c>
      <c r="O129" s="359">
        <v>0</v>
      </c>
      <c r="P129" s="349" t="s">
        <v>605</v>
      </c>
      <c r="Q129" s="359">
        <v>227.1</v>
      </c>
      <c r="R129" s="366">
        <f>Таблица3[[#This Row],[Столбец1]]</f>
        <v>3053</v>
      </c>
      <c r="S129" s="366">
        <f ca="1">ROUND(Таблица3[[#This Row],[Столбец4]] *0.99 - RANDBETWEEN(1, 3) - RANDBETWEEN(1,10) / 10, 1)</f>
        <v>93.6</v>
      </c>
      <c r="T129" s="366">
        <f ca="1">ROUND(SUM(Таблица3[[#This Row],[Столбец6]:[Столбец13]]) * 0.99 - RANDBETWEEN(1, 3) - RANDBETWEEN(1,10) / 10, 1)</f>
        <v>125.5</v>
      </c>
      <c r="U129" s="366">
        <f t="shared" ca="1" si="2"/>
        <v>219.1</v>
      </c>
    </row>
    <row r="130" spans="1:21" ht="105.6" hidden="1" x14ac:dyDescent="0.3">
      <c r="A130" s="358">
        <v>3054</v>
      </c>
      <c r="B130" s="349" t="s">
        <v>650</v>
      </c>
      <c r="C130" s="349">
        <v>7</v>
      </c>
      <c r="D130" s="349" t="s">
        <v>603</v>
      </c>
      <c r="E130" s="359">
        <v>59.4</v>
      </c>
      <c r="F130" s="360" t="s">
        <v>145</v>
      </c>
      <c r="G130" s="359">
        <v>0</v>
      </c>
      <c r="H130" s="349" t="s">
        <v>604</v>
      </c>
      <c r="I130" s="359">
        <v>42.2</v>
      </c>
      <c r="J130" s="349" t="s">
        <v>608</v>
      </c>
      <c r="K130" s="359">
        <v>27.3</v>
      </c>
      <c r="L130" s="349" t="s">
        <v>604</v>
      </c>
      <c r="M130" s="359">
        <v>36.799999999999997</v>
      </c>
      <c r="N130" s="360" t="s">
        <v>145</v>
      </c>
      <c r="O130" s="359">
        <v>0</v>
      </c>
      <c r="P130" s="349" t="s">
        <v>605</v>
      </c>
      <c r="Q130" s="359">
        <v>165.6</v>
      </c>
      <c r="R130" s="366">
        <f>Таблица3[[#This Row],[Столбец1]]</f>
        <v>3054</v>
      </c>
      <c r="S130" s="366">
        <f ca="1">ROUND(Таблица3[[#This Row],[Столбец4]] *0.99 - RANDBETWEEN(1, 3) - RANDBETWEEN(1,10) / 10, 1)</f>
        <v>54.9</v>
      </c>
      <c r="T130" s="366">
        <f ca="1">ROUND(SUM(Таблица3[[#This Row],[Столбец6]:[Столбец13]]) * 0.99 - RANDBETWEEN(1, 3) - RANDBETWEEN(1,10) / 10, 1)</f>
        <v>103.5</v>
      </c>
      <c r="U130" s="366">
        <f t="shared" ca="1" si="2"/>
        <v>158.4</v>
      </c>
    </row>
    <row r="131" spans="1:21" ht="92.4" hidden="1" x14ac:dyDescent="0.3">
      <c r="A131" s="358">
        <v>3055</v>
      </c>
      <c r="B131" s="349" t="s">
        <v>651</v>
      </c>
      <c r="C131" s="349">
        <v>4</v>
      </c>
      <c r="D131" s="349" t="s">
        <v>615</v>
      </c>
      <c r="E131" s="359">
        <v>2.9</v>
      </c>
      <c r="F131" s="360" t="s">
        <v>145</v>
      </c>
      <c r="G131" s="359">
        <v>0</v>
      </c>
      <c r="H131" s="349" t="s">
        <v>616</v>
      </c>
      <c r="I131" s="359">
        <v>27</v>
      </c>
      <c r="J131" s="360" t="s">
        <v>145</v>
      </c>
      <c r="K131" s="359">
        <v>0</v>
      </c>
      <c r="L131" s="349" t="s">
        <v>616</v>
      </c>
      <c r="M131" s="359">
        <v>28.5</v>
      </c>
      <c r="N131" s="360" t="s">
        <v>145</v>
      </c>
      <c r="O131" s="359">
        <v>0</v>
      </c>
      <c r="P131" s="349" t="s">
        <v>605</v>
      </c>
      <c r="Q131" s="359">
        <v>58.4</v>
      </c>
      <c r="R131" s="366">
        <f>Таблица3[[#This Row],[Столбец1]]</f>
        <v>3055</v>
      </c>
      <c r="S131" s="366">
        <f ca="1">ROUND(Таблица3[[#This Row],[Столбец4]] *0.99 - RANDBETWEEN(1, 3) - RANDBETWEEN(1,10) / 10, 1)</f>
        <v>1.4</v>
      </c>
      <c r="T131" s="366">
        <f ca="1">ROUND(SUM(Таблица3[[#This Row],[Столбец6]:[Столбец13]]) * 0.99 - RANDBETWEEN(1, 3) - RANDBETWEEN(1,10) / 10, 1)</f>
        <v>52.8</v>
      </c>
      <c r="U131" s="366">
        <f t="shared" ca="1" si="2"/>
        <v>54.199999999999996</v>
      </c>
    </row>
    <row r="132" spans="1:21" ht="92.4" hidden="1" x14ac:dyDescent="0.3">
      <c r="A132" s="361">
        <v>3057</v>
      </c>
      <c r="B132" s="351" t="s">
        <v>639</v>
      </c>
      <c r="C132" s="351">
        <v>4</v>
      </c>
      <c r="D132" s="351" t="s">
        <v>615</v>
      </c>
      <c r="E132" s="362">
        <v>7.5</v>
      </c>
      <c r="F132" s="363" t="s">
        <v>145</v>
      </c>
      <c r="G132" s="362">
        <v>0</v>
      </c>
      <c r="H132" s="351" t="s">
        <v>616</v>
      </c>
      <c r="I132" s="362">
        <v>17.600000000000001</v>
      </c>
      <c r="J132" s="363" t="s">
        <v>145</v>
      </c>
      <c r="K132" s="362">
        <v>0</v>
      </c>
      <c r="L132" s="351" t="s">
        <v>616</v>
      </c>
      <c r="M132" s="362">
        <v>10.8</v>
      </c>
      <c r="N132" s="363" t="s">
        <v>145</v>
      </c>
      <c r="O132" s="362">
        <v>0</v>
      </c>
      <c r="P132" s="351" t="s">
        <v>605</v>
      </c>
      <c r="Q132" s="362">
        <v>37.799999999999997</v>
      </c>
      <c r="R132" s="366">
        <f>Таблица3[[#This Row],[Столбец1]]</f>
        <v>3057</v>
      </c>
      <c r="S132" s="366">
        <f ca="1">ROUND(Таблица3[[#This Row],[Столбец4]] *0.99 - RANDBETWEEN(1, 3) - RANDBETWEEN(1,10) / 10, 1)</f>
        <v>4.3</v>
      </c>
      <c r="T132" s="366">
        <f ca="1">ROUND(SUM(Таблица3[[#This Row],[Столбец6]:[Столбец13]]) * 0.99 - RANDBETWEEN(1, 3) - RANDBETWEEN(1,10) / 10, 1)</f>
        <v>24.9</v>
      </c>
      <c r="U132" s="366">
        <f t="shared" ca="1" si="2"/>
        <v>29.2</v>
      </c>
    </row>
    <row r="133" spans="1:21" ht="79.2" hidden="1" x14ac:dyDescent="0.3">
      <c r="A133" s="361">
        <v>3058</v>
      </c>
      <c r="B133" s="351" t="s">
        <v>652</v>
      </c>
      <c r="C133" s="351">
        <v>7</v>
      </c>
      <c r="D133" s="351" t="s">
        <v>603</v>
      </c>
      <c r="E133" s="362">
        <v>38.5</v>
      </c>
      <c r="F133" s="363" t="s">
        <v>145</v>
      </c>
      <c r="G133" s="362">
        <v>0</v>
      </c>
      <c r="H133" s="351" t="s">
        <v>604</v>
      </c>
      <c r="I133" s="362">
        <v>19.899999999999999</v>
      </c>
      <c r="J133" s="363" t="s">
        <v>145</v>
      </c>
      <c r="K133" s="362">
        <v>0</v>
      </c>
      <c r="L133" s="351" t="s">
        <v>604</v>
      </c>
      <c r="M133" s="362">
        <v>77.7</v>
      </c>
      <c r="N133" s="363" t="s">
        <v>145</v>
      </c>
      <c r="O133" s="362">
        <v>0</v>
      </c>
      <c r="P133" s="351" t="s">
        <v>605</v>
      </c>
      <c r="Q133" s="362">
        <v>136.19999999999999</v>
      </c>
      <c r="R133" s="366">
        <f>Таблица3[[#This Row],[Столбец1]]</f>
        <v>3058</v>
      </c>
      <c r="S133" s="366">
        <f ca="1">ROUND(Таблица3[[#This Row],[Столбец4]] *0.99 - RANDBETWEEN(1, 3) - RANDBETWEEN(1,10) / 10, 1)</f>
        <v>36</v>
      </c>
      <c r="T133" s="366">
        <f ca="1">ROUND(SUM(Таблица3[[#This Row],[Столбец6]:[Столбец13]]) * 0.99 - RANDBETWEEN(1, 3) - RANDBETWEEN(1,10) / 10, 1)</f>
        <v>94.6</v>
      </c>
      <c r="U133" s="366">
        <f t="shared" ca="1" si="2"/>
        <v>130.6</v>
      </c>
    </row>
    <row r="134" spans="1:21" ht="105.6" hidden="1" x14ac:dyDescent="0.3">
      <c r="A134" s="358">
        <v>3059</v>
      </c>
      <c r="B134" s="349" t="s">
        <v>653</v>
      </c>
      <c r="C134" s="349">
        <v>7</v>
      </c>
      <c r="D134" s="349" t="s">
        <v>603</v>
      </c>
      <c r="E134" s="359">
        <v>13.5</v>
      </c>
      <c r="F134" s="360" t="s">
        <v>145</v>
      </c>
      <c r="G134" s="359">
        <v>0</v>
      </c>
      <c r="H134" s="349" t="s">
        <v>604</v>
      </c>
      <c r="I134" s="359">
        <v>13.8</v>
      </c>
      <c r="J134" s="349" t="s">
        <v>608</v>
      </c>
      <c r="K134" s="359">
        <v>18.8</v>
      </c>
      <c r="L134" s="349" t="s">
        <v>604</v>
      </c>
      <c r="M134" s="359">
        <v>6.8</v>
      </c>
      <c r="N134" s="360" t="s">
        <v>145</v>
      </c>
      <c r="O134" s="359">
        <v>0</v>
      </c>
      <c r="P134" s="349" t="s">
        <v>605</v>
      </c>
      <c r="Q134" s="359">
        <v>52.9</v>
      </c>
      <c r="R134" s="366">
        <f>Таблица3[[#This Row],[Столбец1]]</f>
        <v>3059</v>
      </c>
      <c r="S134" s="366">
        <f ca="1">ROUND(Таблица3[[#This Row],[Столбец4]] *0.99 - RANDBETWEEN(1, 3) - RANDBETWEEN(1,10) / 10, 1)</f>
        <v>12.1</v>
      </c>
      <c r="T134" s="366">
        <f ca="1">ROUND(SUM(Таблица3[[#This Row],[Столбец6]:[Столбец13]]) * 0.99 - RANDBETWEEN(1, 3) - RANDBETWEEN(1,10) / 10, 1)</f>
        <v>35.700000000000003</v>
      </c>
      <c r="U134" s="366">
        <f t="shared" ca="1" si="2"/>
        <v>47.800000000000004</v>
      </c>
    </row>
    <row r="135" spans="1:21" ht="79.2" hidden="1" x14ac:dyDescent="0.3">
      <c r="A135" s="358">
        <v>3060</v>
      </c>
      <c r="B135" s="349" t="s">
        <v>654</v>
      </c>
      <c r="C135" s="349">
        <v>7</v>
      </c>
      <c r="D135" s="349" t="s">
        <v>603</v>
      </c>
      <c r="E135" s="359">
        <v>21.1</v>
      </c>
      <c r="F135" s="360" t="s">
        <v>145</v>
      </c>
      <c r="G135" s="359">
        <v>0</v>
      </c>
      <c r="H135" s="349" t="s">
        <v>604</v>
      </c>
      <c r="I135" s="359">
        <v>3.7</v>
      </c>
      <c r="J135" s="360" t="s">
        <v>145</v>
      </c>
      <c r="K135" s="359">
        <v>0</v>
      </c>
      <c r="L135" s="349" t="s">
        <v>604</v>
      </c>
      <c r="M135" s="359">
        <v>19.100000000000001</v>
      </c>
      <c r="N135" s="360" t="s">
        <v>145</v>
      </c>
      <c r="O135" s="359">
        <v>0</v>
      </c>
      <c r="P135" s="349" t="s">
        <v>605</v>
      </c>
      <c r="Q135" s="359">
        <v>43.8</v>
      </c>
      <c r="R135" s="366">
        <f>Таблица3[[#This Row],[Столбец1]]</f>
        <v>3060</v>
      </c>
      <c r="S135" s="366">
        <f ca="1">ROUND(Таблица3[[#This Row],[Столбец4]] *0.99 - RANDBETWEEN(1, 3) - RANDBETWEEN(1,10) / 10, 1)</f>
        <v>17.8</v>
      </c>
      <c r="T135" s="366">
        <f ca="1">ROUND(SUM(Таблица3[[#This Row],[Столбец6]:[Столбец13]]) * 0.99 - RANDBETWEEN(1, 3) - RANDBETWEEN(1,10) / 10, 1)</f>
        <v>19</v>
      </c>
      <c r="U135" s="366">
        <f t="shared" ca="1" si="2"/>
        <v>36.799999999999997</v>
      </c>
    </row>
    <row r="136" spans="1:21" ht="79.2" hidden="1" x14ac:dyDescent="0.3">
      <c r="A136" s="358">
        <v>3061</v>
      </c>
      <c r="B136" s="349" t="s">
        <v>655</v>
      </c>
      <c r="C136" s="349">
        <v>7</v>
      </c>
      <c r="D136" s="349" t="s">
        <v>603</v>
      </c>
      <c r="E136" s="359">
        <v>4.8</v>
      </c>
      <c r="F136" s="360" t="s">
        <v>145</v>
      </c>
      <c r="G136" s="359">
        <v>0</v>
      </c>
      <c r="H136" s="349" t="s">
        <v>604</v>
      </c>
      <c r="I136" s="359">
        <v>25</v>
      </c>
      <c r="J136" s="360" t="s">
        <v>145</v>
      </c>
      <c r="K136" s="359">
        <v>0</v>
      </c>
      <c r="L136" s="349" t="s">
        <v>604</v>
      </c>
      <c r="M136" s="359">
        <v>19.399999999999999</v>
      </c>
      <c r="N136" s="360" t="s">
        <v>145</v>
      </c>
      <c r="O136" s="359">
        <v>0</v>
      </c>
      <c r="P136" s="349" t="s">
        <v>605</v>
      </c>
      <c r="Q136" s="359">
        <v>49.2</v>
      </c>
      <c r="R136" s="366">
        <f>Таблица3[[#This Row],[Столбец1]]</f>
        <v>3061</v>
      </c>
      <c r="S136" s="366">
        <f ca="1">ROUND(Таблица3[[#This Row],[Столбец4]] *0.99 - RANDBETWEEN(1, 3) - RANDBETWEEN(1,10) / 10, 1)</f>
        <v>1.3</v>
      </c>
      <c r="T136" s="366">
        <f ca="1">ROUND(SUM(Таблица3[[#This Row],[Столбец6]:[Столбец13]]) * 0.99 - RANDBETWEEN(1, 3) - RANDBETWEEN(1,10) / 10, 1)</f>
        <v>42.4</v>
      </c>
      <c r="U136" s="366">
        <f t="shared" ref="U136:U142" ca="1" si="3">SUM(S136:T136)</f>
        <v>43.699999999999996</v>
      </c>
    </row>
    <row r="137" spans="1:21" ht="79.2" hidden="1" x14ac:dyDescent="0.3">
      <c r="A137" s="358">
        <v>3062</v>
      </c>
      <c r="B137" s="360" t="s">
        <v>594</v>
      </c>
      <c r="C137" s="360">
        <v>7</v>
      </c>
      <c r="D137" s="349" t="s">
        <v>603</v>
      </c>
      <c r="E137" s="359">
        <v>10.8</v>
      </c>
      <c r="F137" s="360" t="s">
        <v>145</v>
      </c>
      <c r="G137" s="359">
        <v>0</v>
      </c>
      <c r="H137" s="349" t="s">
        <v>604</v>
      </c>
      <c r="I137" s="359">
        <v>35.5</v>
      </c>
      <c r="J137" s="360" t="s">
        <v>145</v>
      </c>
      <c r="K137" s="359">
        <v>0</v>
      </c>
      <c r="L137" s="360" t="s">
        <v>145</v>
      </c>
      <c r="M137" s="359">
        <v>0</v>
      </c>
      <c r="N137" s="360" t="s">
        <v>145</v>
      </c>
      <c r="O137" s="359">
        <v>0</v>
      </c>
      <c r="P137" s="349" t="s">
        <v>605</v>
      </c>
      <c r="Q137" s="359">
        <v>46.2</v>
      </c>
      <c r="R137" s="366">
        <f>Таблица3[[#This Row],[Столбец1]]</f>
        <v>3062</v>
      </c>
      <c r="S137" s="366">
        <f ca="1">ROUND(Таблица3[[#This Row],[Столбец4]] *0.99 - RANDBETWEEN(1, 3) - RANDBETWEEN(1,10) / 10, 1)</f>
        <v>7.5</v>
      </c>
      <c r="T137" s="366">
        <f ca="1">ROUND(SUM(Таблица3[[#This Row],[Столбец6]:[Столбец13]]) * 0.99 - RANDBETWEEN(1, 3) - RANDBETWEEN(1,10) / 10, 1)</f>
        <v>33.5</v>
      </c>
      <c r="U137" s="366">
        <f t="shared" ca="1" si="3"/>
        <v>41</v>
      </c>
    </row>
    <row r="138" spans="1:21" ht="79.2" hidden="1" x14ac:dyDescent="0.3">
      <c r="A138" s="358">
        <v>3063</v>
      </c>
      <c r="B138" s="360" t="s">
        <v>593</v>
      </c>
      <c r="C138" s="360">
        <v>3</v>
      </c>
      <c r="D138" s="349" t="s">
        <v>603</v>
      </c>
      <c r="E138" s="359">
        <v>54.2</v>
      </c>
      <c r="F138" s="360" t="s">
        <v>145</v>
      </c>
      <c r="G138" s="359">
        <v>0</v>
      </c>
      <c r="H138" s="349" t="s">
        <v>604</v>
      </c>
      <c r="I138" s="359">
        <v>63.7</v>
      </c>
      <c r="J138" s="360" t="s">
        <v>145</v>
      </c>
      <c r="K138" s="359">
        <v>0</v>
      </c>
      <c r="L138" s="349" t="s">
        <v>604</v>
      </c>
      <c r="M138" s="359">
        <v>55.6</v>
      </c>
      <c r="N138" s="360" t="s">
        <v>145</v>
      </c>
      <c r="O138" s="359">
        <v>0</v>
      </c>
      <c r="P138" s="349" t="s">
        <v>605</v>
      </c>
      <c r="Q138" s="359">
        <v>173.5</v>
      </c>
      <c r="R138" s="366">
        <f>Таблица3[[#This Row],[Столбец1]]</f>
        <v>3063</v>
      </c>
      <c r="S138" s="366">
        <f ca="1">ROUND(Таблица3[[#This Row],[Столбец4]] *0.99 - RANDBETWEEN(1, 3) - RANDBETWEEN(1,10) / 10, 1)</f>
        <v>50.3</v>
      </c>
      <c r="T138" s="366">
        <f ca="1">ROUND(SUM(Таблица3[[#This Row],[Столбец6]:[Столбец13]]) * 0.99 - RANDBETWEEN(1, 3) - RANDBETWEEN(1,10) / 10, 1)</f>
        <v>115.7</v>
      </c>
      <c r="U138" s="366">
        <f t="shared" ca="1" si="3"/>
        <v>166</v>
      </c>
    </row>
    <row r="139" spans="1:21" ht="92.4" hidden="1" x14ac:dyDescent="0.3">
      <c r="A139" s="358">
        <v>3064</v>
      </c>
      <c r="B139" s="349" t="s">
        <v>634</v>
      </c>
      <c r="C139" s="349">
        <v>4</v>
      </c>
      <c r="D139" s="349" t="s">
        <v>615</v>
      </c>
      <c r="E139" s="359">
        <v>1.6</v>
      </c>
      <c r="F139" s="360" t="s">
        <v>145</v>
      </c>
      <c r="G139" s="359">
        <v>0</v>
      </c>
      <c r="H139" s="349" t="s">
        <v>616</v>
      </c>
      <c r="I139" s="359">
        <v>29.2</v>
      </c>
      <c r="J139" s="360" t="s">
        <v>145</v>
      </c>
      <c r="K139" s="359">
        <v>0</v>
      </c>
      <c r="L139" s="349" t="s">
        <v>616</v>
      </c>
      <c r="M139" s="359">
        <v>29.6</v>
      </c>
      <c r="N139" s="360" t="s">
        <v>145</v>
      </c>
      <c r="O139" s="359">
        <v>0</v>
      </c>
      <c r="P139" s="349" t="s">
        <v>605</v>
      </c>
      <c r="Q139" s="359">
        <v>60.4</v>
      </c>
      <c r="R139" s="366">
        <f>Таблица3[[#This Row],[Столбец1]]</f>
        <v>3064</v>
      </c>
      <c r="S139" s="366">
        <f ca="1">ROUND(Таблица3[[#This Row],[Столбец4]] *0.99 - RANDBETWEEN(1, 3) - RANDBETWEEN(1,10) / 10, 1)</f>
        <v>0.1</v>
      </c>
      <c r="T139" s="366">
        <f ca="1">ROUND(SUM(Таблица3[[#This Row],[Столбец6]:[Столбец13]]) * 0.99 - RANDBETWEEN(1, 3) - RANDBETWEEN(1,10) / 10, 1)</f>
        <v>56.3</v>
      </c>
      <c r="U139" s="366">
        <f t="shared" ca="1" si="3"/>
        <v>56.4</v>
      </c>
    </row>
    <row r="140" spans="1:21" ht="92.4" hidden="1" x14ac:dyDescent="0.3">
      <c r="A140" s="358">
        <v>3065</v>
      </c>
      <c r="B140" s="349" t="s">
        <v>639</v>
      </c>
      <c r="C140" s="349">
        <v>6</v>
      </c>
      <c r="D140" s="349" t="s">
        <v>615</v>
      </c>
      <c r="E140" s="359">
        <v>8.3000000000000007</v>
      </c>
      <c r="F140" s="360" t="s">
        <v>145</v>
      </c>
      <c r="G140" s="359">
        <v>0</v>
      </c>
      <c r="H140" s="360" t="s">
        <v>145</v>
      </c>
      <c r="I140" s="359">
        <v>0</v>
      </c>
      <c r="J140" s="360" t="s">
        <v>145</v>
      </c>
      <c r="K140" s="359">
        <v>0</v>
      </c>
      <c r="L140" s="349" t="s">
        <v>616</v>
      </c>
      <c r="M140" s="359">
        <v>6.3</v>
      </c>
      <c r="N140" s="360" t="s">
        <v>145</v>
      </c>
      <c r="O140" s="359">
        <v>0</v>
      </c>
      <c r="P140" s="349" t="s">
        <v>605</v>
      </c>
      <c r="Q140" s="359">
        <v>21.1</v>
      </c>
      <c r="R140" s="366">
        <f>Таблица3[[#This Row],[Столбец1]]</f>
        <v>3065</v>
      </c>
      <c r="S140" s="366">
        <f ca="1">ROUND(Таблица3[[#This Row],[Столбец4]] *0.99 - RANDBETWEEN(1, 3) - RANDBETWEEN(1,10) / 10, 1)</f>
        <v>5.6</v>
      </c>
      <c r="T140" s="366">
        <f ca="1">ROUND(SUM(Таблица3[[#This Row],[Столбец6]:[Столбец13]]) * 0.99 - RANDBETWEEN(1, 3) - RANDBETWEEN(1,10) / 10, 1)</f>
        <v>3.5</v>
      </c>
      <c r="U140" s="366">
        <f t="shared" ca="1" si="3"/>
        <v>9.1</v>
      </c>
    </row>
    <row r="141" spans="1:21" ht="105.6" hidden="1" x14ac:dyDescent="0.3">
      <c r="A141" s="361">
        <v>3066</v>
      </c>
      <c r="B141" s="351" t="s">
        <v>630</v>
      </c>
      <c r="C141" s="351">
        <v>4</v>
      </c>
      <c r="D141" s="351" t="s">
        <v>603</v>
      </c>
      <c r="E141" s="362">
        <v>25.5</v>
      </c>
      <c r="F141" s="363" t="s">
        <v>145</v>
      </c>
      <c r="G141" s="362">
        <v>0</v>
      </c>
      <c r="H141" s="351" t="s">
        <v>604</v>
      </c>
      <c r="I141" s="362">
        <v>121.4</v>
      </c>
      <c r="J141" s="351" t="s">
        <v>608</v>
      </c>
      <c r="K141" s="362">
        <v>21.5</v>
      </c>
      <c r="L141" s="351" t="s">
        <v>604</v>
      </c>
      <c r="M141" s="362">
        <v>13.7</v>
      </c>
      <c r="N141" s="363" t="s">
        <v>145</v>
      </c>
      <c r="O141" s="362">
        <v>0</v>
      </c>
      <c r="P141" s="351" t="s">
        <v>605</v>
      </c>
      <c r="Q141" s="362">
        <v>182.1</v>
      </c>
      <c r="R141" s="366">
        <f>Таблица3[[#This Row],[Столбец1]]</f>
        <v>3066</v>
      </c>
      <c r="S141" s="366">
        <f ca="1">ROUND(Таблица3[[#This Row],[Столбец4]] *0.99 - RANDBETWEEN(1, 3) - RANDBETWEEN(1,10) / 10, 1)</f>
        <v>22</v>
      </c>
      <c r="T141" s="366">
        <f ca="1">ROUND(SUM(Таблица3[[#This Row],[Столбец6]:[Столбец13]]) * 0.99 - RANDBETWEEN(1, 3) - RANDBETWEEN(1,10) / 10, 1)</f>
        <v>151.80000000000001</v>
      </c>
      <c r="U141" s="366">
        <f t="shared" ca="1" si="3"/>
        <v>173.8</v>
      </c>
    </row>
    <row r="142" spans="1:21" ht="79.2" hidden="1" x14ac:dyDescent="0.3">
      <c r="A142" s="361">
        <v>3067</v>
      </c>
      <c r="B142" s="351" t="s">
        <v>640</v>
      </c>
      <c r="C142" s="351">
        <v>2</v>
      </c>
      <c r="D142" s="351" t="s">
        <v>603</v>
      </c>
      <c r="E142" s="362">
        <v>32.9</v>
      </c>
      <c r="F142" s="363" t="s">
        <v>145</v>
      </c>
      <c r="G142" s="362">
        <v>0</v>
      </c>
      <c r="H142" s="351" t="s">
        <v>604</v>
      </c>
      <c r="I142" s="362">
        <v>14.6</v>
      </c>
      <c r="J142" s="363" t="s">
        <v>145</v>
      </c>
      <c r="K142" s="362">
        <v>0</v>
      </c>
      <c r="L142" s="351" t="s">
        <v>604</v>
      </c>
      <c r="M142" s="362">
        <v>8.8000000000000007</v>
      </c>
      <c r="N142" s="363" t="s">
        <v>145</v>
      </c>
      <c r="O142" s="362">
        <v>0</v>
      </c>
      <c r="P142" s="351" t="s">
        <v>605</v>
      </c>
      <c r="Q142" s="362">
        <v>56.2</v>
      </c>
      <c r="R142" s="366">
        <f>Таблица3[[#This Row],[Столбец1]]</f>
        <v>3067</v>
      </c>
      <c r="S142" s="366">
        <f ca="1">ROUND(Таблица3[[#This Row],[Столбец4]] *0.99 - RANDBETWEEN(1, 3) - RANDBETWEEN(1,10) / 10, 1)</f>
        <v>31.1</v>
      </c>
      <c r="T142" s="366">
        <f ca="1">ROUND(SUM(Таблица3[[#This Row],[Столбец6]:[Столбец13]]) * 0.99 - RANDBETWEEN(1, 3) - RANDBETWEEN(1,10) / 10, 1)</f>
        <v>20</v>
      </c>
      <c r="U142" s="366">
        <f t="shared" ca="1" si="3"/>
        <v>51.1</v>
      </c>
    </row>
  </sheetData>
  <mergeCells count="12">
    <mergeCell ref="N3:O3"/>
    <mergeCell ref="P3:Q3"/>
    <mergeCell ref="A1:Q1"/>
    <mergeCell ref="A2:A4"/>
    <mergeCell ref="B2:B4"/>
    <mergeCell ref="D2:Q2"/>
    <mergeCell ref="D3:E3"/>
    <mergeCell ref="F3:G3"/>
    <mergeCell ref="H3:I3"/>
    <mergeCell ref="J3:K3"/>
    <mergeCell ref="L3:M3"/>
    <mergeCell ref="C2:C4"/>
  </mergeCells>
  <pageMargins left="0.7" right="0.7" top="0.75" bottom="0.75" header="0.3" footer="0.3"/>
  <pageSetup orientation="portrait" horizontalDpi="1200" verticalDpi="1200" r:id="rId1"/>
  <tableParts count="2">
    <tablePart r:id="rId2"/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zoomScale="70" zoomScaleNormal="70" workbookViewId="0">
      <selection activeCell="F16" sqref="F16"/>
    </sheetView>
    <sheetView workbookViewId="1"/>
  </sheetViews>
  <sheetFormatPr defaultRowHeight="13.2" x14ac:dyDescent="0.25"/>
  <cols>
    <col min="1" max="1" width="12" style="86" customWidth="1"/>
    <col min="2" max="2" width="37.88671875" style="86" customWidth="1"/>
    <col min="3" max="3" width="42.44140625" style="86" customWidth="1"/>
    <col min="4" max="4" width="13.77734375" style="86" customWidth="1"/>
    <col min="5" max="5" width="16.44140625" style="86" customWidth="1"/>
    <col min="6" max="16384" width="8.88671875" style="86"/>
  </cols>
  <sheetData>
    <row r="1" spans="1:6" x14ac:dyDescent="0.25">
      <c r="A1" s="92"/>
      <c r="B1" s="93" t="s">
        <v>656</v>
      </c>
      <c r="C1" s="94"/>
      <c r="D1" s="94"/>
      <c r="E1" s="94"/>
      <c r="F1" s="87"/>
    </row>
    <row r="2" spans="1:6" x14ac:dyDescent="0.25">
      <c r="A2" s="92" t="s">
        <v>0</v>
      </c>
      <c r="B2" s="372" t="s">
        <v>553</v>
      </c>
      <c r="C2" s="372" t="s">
        <v>555</v>
      </c>
      <c r="D2" s="372" t="s">
        <v>2</v>
      </c>
      <c r="E2" s="372" t="s">
        <v>556</v>
      </c>
      <c r="F2" s="94" t="s">
        <v>4</v>
      </c>
    </row>
    <row r="3" spans="1:6" ht="52.8" x14ac:dyDescent="0.25">
      <c r="A3" s="399"/>
      <c r="B3" s="373" t="s">
        <v>47</v>
      </c>
      <c r="C3" s="374" t="s">
        <v>162</v>
      </c>
      <c r="D3" s="374" t="s">
        <v>7</v>
      </c>
      <c r="E3" s="375">
        <v>1</v>
      </c>
      <c r="F3" s="402">
        <v>0</v>
      </c>
    </row>
    <row r="4" spans="1:6" ht="26.4" x14ac:dyDescent="0.25">
      <c r="A4" s="399"/>
      <c r="B4" s="376" t="s">
        <v>194</v>
      </c>
      <c r="C4" s="372" t="s">
        <v>195</v>
      </c>
      <c r="D4" s="372" t="s">
        <v>123</v>
      </c>
      <c r="E4" s="377">
        <v>1</v>
      </c>
      <c r="F4" s="402">
        <v>0</v>
      </c>
    </row>
    <row r="5" spans="1:6" ht="26.4" x14ac:dyDescent="0.25">
      <c r="A5" s="399"/>
      <c r="B5" s="373" t="s">
        <v>194</v>
      </c>
      <c r="C5" s="374" t="s">
        <v>200</v>
      </c>
      <c r="D5" s="374" t="s">
        <v>123</v>
      </c>
      <c r="E5" s="375">
        <v>1</v>
      </c>
      <c r="F5" s="402">
        <v>0</v>
      </c>
    </row>
    <row r="6" spans="1:6" ht="26.4" x14ac:dyDescent="0.25">
      <c r="A6" s="399"/>
      <c r="B6" s="376" t="s">
        <v>194</v>
      </c>
      <c r="C6" s="372" t="s">
        <v>204</v>
      </c>
      <c r="D6" s="372" t="s">
        <v>123</v>
      </c>
      <c r="E6" s="377">
        <v>1</v>
      </c>
      <c r="F6" s="402">
        <v>0</v>
      </c>
    </row>
    <row r="7" spans="1:6" ht="26.4" x14ac:dyDescent="0.25">
      <c r="A7" s="399"/>
      <c r="B7" s="373" t="s">
        <v>194</v>
      </c>
      <c r="C7" s="374" t="s">
        <v>208</v>
      </c>
      <c r="D7" s="374" t="s">
        <v>123</v>
      </c>
      <c r="E7" s="375">
        <v>1</v>
      </c>
      <c r="F7" s="402">
        <v>0</v>
      </c>
    </row>
    <row r="8" spans="1:6" ht="52.8" x14ac:dyDescent="0.25">
      <c r="A8" s="399"/>
      <c r="B8" s="378" t="s">
        <v>221</v>
      </c>
      <c r="C8" s="379" t="s">
        <v>222</v>
      </c>
      <c r="D8" s="379" t="s">
        <v>123</v>
      </c>
      <c r="E8" s="380">
        <v>1</v>
      </c>
      <c r="F8" s="402">
        <v>0</v>
      </c>
    </row>
    <row r="9" spans="1:6" ht="52.8" x14ac:dyDescent="0.25">
      <c r="A9" s="399"/>
      <c r="B9" s="381" t="s">
        <v>221</v>
      </c>
      <c r="C9" s="382" t="s">
        <v>228</v>
      </c>
      <c r="D9" s="382" t="s">
        <v>123</v>
      </c>
      <c r="E9" s="383">
        <v>1</v>
      </c>
      <c r="F9" s="402">
        <v>0</v>
      </c>
    </row>
    <row r="10" spans="1:6" ht="52.8" x14ac:dyDescent="0.25">
      <c r="A10" s="399"/>
      <c r="B10" s="384" t="s">
        <v>221</v>
      </c>
      <c r="C10" s="385" t="s">
        <v>234</v>
      </c>
      <c r="D10" s="385" t="s">
        <v>123</v>
      </c>
      <c r="E10" s="386">
        <v>1</v>
      </c>
      <c r="F10" s="402">
        <v>0</v>
      </c>
    </row>
    <row r="11" spans="1:6" ht="52.8" x14ac:dyDescent="0.25">
      <c r="A11" s="399"/>
      <c r="B11" s="387" t="s">
        <v>221</v>
      </c>
      <c r="C11" s="388" t="s">
        <v>240</v>
      </c>
      <c r="D11" s="388" t="s">
        <v>123</v>
      </c>
      <c r="E11" s="389">
        <v>1</v>
      </c>
      <c r="F11" s="402">
        <v>0</v>
      </c>
    </row>
    <row r="12" spans="1:6" ht="52.8" x14ac:dyDescent="0.25">
      <c r="A12" s="399"/>
      <c r="B12" s="390" t="s">
        <v>247</v>
      </c>
      <c r="C12" s="391" t="s">
        <v>222</v>
      </c>
      <c r="D12" s="391" t="s">
        <v>123</v>
      </c>
      <c r="E12" s="392">
        <v>1</v>
      </c>
      <c r="F12" s="402">
        <v>0</v>
      </c>
    </row>
    <row r="13" spans="1:6" ht="52.8" x14ac:dyDescent="0.25">
      <c r="A13" s="399"/>
      <c r="B13" s="393" t="s">
        <v>247</v>
      </c>
      <c r="C13" s="394" t="s">
        <v>252</v>
      </c>
      <c r="D13" s="394" t="s">
        <v>123</v>
      </c>
      <c r="E13" s="395">
        <v>1</v>
      </c>
      <c r="F13" s="402">
        <v>0</v>
      </c>
    </row>
    <row r="14" spans="1:6" ht="52.8" x14ac:dyDescent="0.25">
      <c r="A14" s="399"/>
      <c r="B14" s="378" t="s">
        <v>247</v>
      </c>
      <c r="C14" s="379" t="s">
        <v>234</v>
      </c>
      <c r="D14" s="379" t="s">
        <v>123</v>
      </c>
      <c r="E14" s="380">
        <v>1</v>
      </c>
      <c r="F14" s="402">
        <v>0</v>
      </c>
    </row>
    <row r="15" spans="1:6" ht="52.8" x14ac:dyDescent="0.25">
      <c r="A15" s="399"/>
      <c r="B15" s="396" t="s">
        <v>247</v>
      </c>
      <c r="C15" s="397" t="s">
        <v>261</v>
      </c>
      <c r="D15" s="397" t="s">
        <v>123</v>
      </c>
      <c r="E15" s="398">
        <v>1</v>
      </c>
      <c r="F15" s="40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zoomScale="70" zoomScaleNormal="70" workbookViewId="0">
      <selection activeCell="I7" sqref="I7"/>
    </sheetView>
    <sheetView workbookViewId="1"/>
  </sheetViews>
  <sheetFormatPr defaultRowHeight="13.2" x14ac:dyDescent="0.25"/>
  <cols>
    <col min="1" max="1" width="12" style="86" customWidth="1"/>
    <col min="2" max="2" width="37.88671875" style="86" customWidth="1"/>
    <col min="3" max="3" width="42.44140625" style="86" customWidth="1"/>
    <col min="4" max="4" width="13.77734375" style="86" customWidth="1"/>
    <col min="5" max="5" width="16.44140625" style="86" customWidth="1"/>
    <col min="6" max="16384" width="8.88671875" style="86"/>
  </cols>
  <sheetData>
    <row r="1" spans="1:6" x14ac:dyDescent="0.25">
      <c r="A1" s="92"/>
      <c r="B1" s="93" t="s">
        <v>656</v>
      </c>
      <c r="C1" s="94"/>
      <c r="D1" s="94"/>
      <c r="E1" s="94"/>
      <c r="F1" s="87"/>
    </row>
    <row r="2" spans="1:6" x14ac:dyDescent="0.25">
      <c r="A2" s="92" t="s">
        <v>0</v>
      </c>
      <c r="B2" s="372" t="s">
        <v>553</v>
      </c>
      <c r="C2" s="372" t="s">
        <v>555</v>
      </c>
      <c r="D2" s="372" t="s">
        <v>2</v>
      </c>
      <c r="E2" s="372" t="s">
        <v>556</v>
      </c>
      <c r="F2" s="94" t="s">
        <v>4</v>
      </c>
    </row>
    <row r="3" spans="1:6" ht="52.8" x14ac:dyDescent="0.25">
      <c r="A3" s="399">
        <v>1</v>
      </c>
      <c r="B3" s="373" t="s">
        <v>47</v>
      </c>
      <c r="C3" s="374" t="s">
        <v>162</v>
      </c>
      <c r="D3" s="374" t="s">
        <v>7</v>
      </c>
      <c r="E3" s="375">
        <v>1</v>
      </c>
      <c r="F3" s="402">
        <f>Лист1!Y19</f>
        <v>244.15</v>
      </c>
    </row>
    <row r="4" spans="1:6" ht="26.4" x14ac:dyDescent="0.25">
      <c r="A4" s="399">
        <v>2</v>
      </c>
      <c r="B4" s="376" t="s">
        <v>194</v>
      </c>
      <c r="C4" s="372" t="s">
        <v>204</v>
      </c>
      <c r="D4" s="372" t="s">
        <v>123</v>
      </c>
      <c r="E4" s="377">
        <v>1</v>
      </c>
      <c r="F4" s="402">
        <f>'1.n'!E12</f>
        <v>1151.9000000000001</v>
      </c>
    </row>
    <row r="5" spans="1:6" ht="52.8" x14ac:dyDescent="0.25">
      <c r="A5" s="399">
        <v>3</v>
      </c>
      <c r="B5" s="390" t="s">
        <v>247</v>
      </c>
      <c r="C5" s="391" t="s">
        <v>222</v>
      </c>
      <c r="D5" s="391" t="s">
        <v>123</v>
      </c>
      <c r="E5" s="392">
        <v>1</v>
      </c>
      <c r="F5" s="402">
        <f>'1.n'!C12</f>
        <v>472</v>
      </c>
    </row>
    <row r="6" spans="1:6" ht="52.8" x14ac:dyDescent="0.25">
      <c r="A6" s="399">
        <v>4</v>
      </c>
      <c r="B6" s="393" t="s">
        <v>247</v>
      </c>
      <c r="C6" s="394" t="s">
        <v>252</v>
      </c>
      <c r="D6" s="394" t="s">
        <v>123</v>
      </c>
      <c r="E6" s="395">
        <v>1</v>
      </c>
      <c r="F6" s="402">
        <f>'1.n'!D12</f>
        <v>679.90000000000009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E17"/>
  <sheetViews>
    <sheetView workbookViewId="0">
      <selection activeCell="K11" sqref="K11"/>
    </sheetView>
    <sheetView workbookViewId="1"/>
  </sheetViews>
  <sheetFormatPr defaultColWidth="9.109375" defaultRowHeight="13.2" x14ac:dyDescent="0.3"/>
  <cols>
    <col min="1" max="1" width="9.109375" style="29"/>
    <col min="2" max="2" width="13.6640625" style="29" customWidth="1"/>
    <col min="3" max="3" width="12.6640625" style="29" customWidth="1"/>
    <col min="4" max="4" width="17" style="29" customWidth="1"/>
    <col min="5" max="16384" width="9.109375" style="29"/>
  </cols>
  <sheetData>
    <row r="1" spans="1:5" ht="15" customHeight="1" x14ac:dyDescent="0.3">
      <c r="A1" s="335" t="s">
        <v>20</v>
      </c>
      <c r="B1" s="336"/>
      <c r="C1" s="336"/>
      <c r="D1" s="336"/>
      <c r="E1" s="337"/>
    </row>
    <row r="2" spans="1:5" ht="14.25" customHeight="1" x14ac:dyDescent="0.3">
      <c r="A2" s="338" t="s">
        <v>35</v>
      </c>
      <c r="B2" s="339"/>
      <c r="C2" s="339"/>
      <c r="D2" s="339"/>
      <c r="E2" s="340"/>
    </row>
    <row r="3" spans="1:5" ht="39.6" x14ac:dyDescent="0.3">
      <c r="A3" s="25"/>
      <c r="B3" s="30"/>
      <c r="C3" s="27" t="s">
        <v>22</v>
      </c>
      <c r="D3" s="250" t="s">
        <v>23</v>
      </c>
      <c r="E3" s="32" t="s">
        <v>31</v>
      </c>
    </row>
    <row r="4" spans="1:5" x14ac:dyDescent="0.3">
      <c r="A4" s="25" t="s">
        <v>0</v>
      </c>
      <c r="B4" s="28" t="s">
        <v>19</v>
      </c>
      <c r="C4" s="10" t="s">
        <v>21</v>
      </c>
      <c r="D4" s="10" t="s">
        <v>21</v>
      </c>
      <c r="E4" s="32"/>
    </row>
    <row r="5" spans="1:5" x14ac:dyDescent="0.3">
      <c r="A5" s="25">
        <v>1</v>
      </c>
      <c r="B5" s="30" t="s">
        <v>24</v>
      </c>
      <c r="C5" s="400">
        <v>10.8</v>
      </c>
      <c r="D5" s="400">
        <v>48.9</v>
      </c>
      <c r="E5" s="12">
        <v>59.7</v>
      </c>
    </row>
    <row r="6" spans="1:5" x14ac:dyDescent="0.3">
      <c r="A6" s="25">
        <v>2</v>
      </c>
      <c r="B6" s="30" t="s">
        <v>25</v>
      </c>
      <c r="C6" s="400">
        <v>143.5</v>
      </c>
      <c r="D6" s="400">
        <v>105.9</v>
      </c>
      <c r="E6" s="12">
        <v>249.4</v>
      </c>
    </row>
    <row r="7" spans="1:5" x14ac:dyDescent="0.3">
      <c r="A7" s="25">
        <v>3</v>
      </c>
      <c r="B7" s="30" t="s">
        <v>26</v>
      </c>
      <c r="C7" s="400">
        <v>20.5</v>
      </c>
      <c r="D7" s="400">
        <v>67.099999999999994</v>
      </c>
      <c r="E7" s="12">
        <v>87.6</v>
      </c>
    </row>
    <row r="8" spans="1:5" x14ac:dyDescent="0.3">
      <c r="A8" s="25">
        <v>4</v>
      </c>
      <c r="B8" s="30" t="s">
        <v>27</v>
      </c>
      <c r="C8" s="400">
        <v>61</v>
      </c>
      <c r="D8" s="400">
        <v>152.80000000000001</v>
      </c>
      <c r="E8" s="12">
        <v>213.8</v>
      </c>
    </row>
    <row r="9" spans="1:5" x14ac:dyDescent="0.3">
      <c r="A9" s="25">
        <v>5</v>
      </c>
      <c r="B9" s="30" t="s">
        <v>28</v>
      </c>
      <c r="C9" s="400">
        <v>110.2</v>
      </c>
      <c r="D9" s="400">
        <v>159.9</v>
      </c>
      <c r="E9" s="12">
        <v>270.10000000000002</v>
      </c>
    </row>
    <row r="10" spans="1:5" x14ac:dyDescent="0.3">
      <c r="A10" s="25">
        <v>6</v>
      </c>
      <c r="B10" s="30" t="s">
        <v>29</v>
      </c>
      <c r="C10" s="400">
        <v>58.5</v>
      </c>
      <c r="D10" s="400">
        <v>53.6</v>
      </c>
      <c r="E10" s="12">
        <v>112.1</v>
      </c>
    </row>
    <row r="11" spans="1:5" ht="13.8" thickBot="1" x14ac:dyDescent="0.35">
      <c r="A11" s="24">
        <v>7</v>
      </c>
      <c r="B11" s="35" t="s">
        <v>30</v>
      </c>
      <c r="C11" s="401">
        <v>67.5</v>
      </c>
      <c r="D11" s="401">
        <v>91.7</v>
      </c>
      <c r="E11" s="17">
        <v>159.19999999999999</v>
      </c>
    </row>
    <row r="12" spans="1:5" ht="13.8" thickBot="1" x14ac:dyDescent="0.35">
      <c r="A12" s="34"/>
      <c r="B12" s="36" t="s">
        <v>36</v>
      </c>
      <c r="C12" s="20">
        <f>SUM(C5:C11)</f>
        <v>472</v>
      </c>
      <c r="D12" s="20">
        <f>SUM(D5:D11)</f>
        <v>679.90000000000009</v>
      </c>
      <c r="E12" s="23">
        <f>SUM(E5:E11)</f>
        <v>1151.9000000000001</v>
      </c>
    </row>
    <row r="16" spans="1:5" x14ac:dyDescent="0.3">
      <c r="B16" s="366"/>
      <c r="C16" s="366"/>
      <c r="D16" s="366"/>
      <c r="E16" s="366"/>
    </row>
    <row r="17" spans="2:5" x14ac:dyDescent="0.3">
      <c r="B17" s="366"/>
      <c r="C17" s="366"/>
      <c r="D17" s="366"/>
      <c r="E17" s="366"/>
    </row>
  </sheetData>
  <mergeCells count="2">
    <mergeCell ref="A1:E1"/>
    <mergeCell ref="A2:E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zoomScale="70" zoomScaleNormal="70" workbookViewId="0">
      <selection activeCell="F16" sqref="F16"/>
    </sheetView>
    <sheetView workbookViewId="1"/>
  </sheetViews>
  <sheetFormatPr defaultRowHeight="13.2" x14ac:dyDescent="0.25"/>
  <cols>
    <col min="1" max="1" width="12" style="86" customWidth="1"/>
    <col min="2" max="2" width="37.88671875" style="86" customWidth="1"/>
    <col min="3" max="3" width="42.44140625" style="86" customWidth="1"/>
    <col min="4" max="4" width="13.77734375" style="86" customWidth="1"/>
    <col min="5" max="5" width="16.44140625" style="86" customWidth="1"/>
    <col min="6" max="16384" width="8.88671875" style="86"/>
  </cols>
  <sheetData>
    <row r="1" spans="1:6" x14ac:dyDescent="0.25">
      <c r="A1" s="92"/>
      <c r="B1" s="93" t="s">
        <v>656</v>
      </c>
      <c r="C1" s="94"/>
      <c r="D1" s="94"/>
      <c r="E1" s="94"/>
      <c r="F1" s="87"/>
    </row>
    <row r="2" spans="1:6" x14ac:dyDescent="0.25">
      <c r="A2" s="92" t="s">
        <v>0</v>
      </c>
      <c r="B2" s="372" t="s">
        <v>553</v>
      </c>
      <c r="C2" s="372" t="s">
        <v>555</v>
      </c>
      <c r="D2" s="372" t="s">
        <v>2</v>
      </c>
      <c r="E2" s="372" t="s">
        <v>556</v>
      </c>
      <c r="F2" s="94" t="s">
        <v>4</v>
      </c>
    </row>
    <row r="3" spans="1:6" ht="52.8" x14ac:dyDescent="0.25">
      <c r="A3" s="399"/>
      <c r="B3" s="373" t="s">
        <v>47</v>
      </c>
      <c r="C3" s="374" t="s">
        <v>162</v>
      </c>
      <c r="D3" s="374" t="s">
        <v>7</v>
      </c>
      <c r="E3" s="375">
        <v>1</v>
      </c>
      <c r="F3" s="402">
        <v>0</v>
      </c>
    </row>
    <row r="4" spans="1:6" ht="26.4" x14ac:dyDescent="0.25">
      <c r="A4" s="399"/>
      <c r="B4" s="376" t="s">
        <v>194</v>
      </c>
      <c r="C4" s="372" t="s">
        <v>195</v>
      </c>
      <c r="D4" s="372" t="s">
        <v>123</v>
      </c>
      <c r="E4" s="377">
        <v>1</v>
      </c>
      <c r="F4" s="402">
        <v>0</v>
      </c>
    </row>
    <row r="5" spans="1:6" ht="26.4" x14ac:dyDescent="0.25">
      <c r="A5" s="399"/>
      <c r="B5" s="373" t="s">
        <v>194</v>
      </c>
      <c r="C5" s="374" t="s">
        <v>200</v>
      </c>
      <c r="D5" s="374" t="s">
        <v>123</v>
      </c>
      <c r="E5" s="375">
        <v>1</v>
      </c>
      <c r="F5" s="402">
        <v>0</v>
      </c>
    </row>
    <row r="6" spans="1:6" ht="26.4" x14ac:dyDescent="0.25">
      <c r="A6" s="399"/>
      <c r="B6" s="376" t="s">
        <v>194</v>
      </c>
      <c r="C6" s="372" t="s">
        <v>204</v>
      </c>
      <c r="D6" s="372" t="s">
        <v>123</v>
      </c>
      <c r="E6" s="377">
        <v>1</v>
      </c>
      <c r="F6" s="402">
        <v>0</v>
      </c>
    </row>
    <row r="7" spans="1:6" ht="26.4" x14ac:dyDescent="0.25">
      <c r="A7" s="399"/>
      <c r="B7" s="373" t="s">
        <v>194</v>
      </c>
      <c r="C7" s="374" t="s">
        <v>208</v>
      </c>
      <c r="D7" s="374" t="s">
        <v>123</v>
      </c>
      <c r="E7" s="375">
        <v>1</v>
      </c>
      <c r="F7" s="402">
        <v>0</v>
      </c>
    </row>
    <row r="8" spans="1:6" ht="52.8" x14ac:dyDescent="0.25">
      <c r="A8" s="399"/>
      <c r="B8" s="378" t="s">
        <v>221</v>
      </c>
      <c r="C8" s="379" t="s">
        <v>222</v>
      </c>
      <c r="D8" s="379" t="s">
        <v>123</v>
      </c>
      <c r="E8" s="380">
        <v>1</v>
      </c>
      <c r="F8" s="402">
        <v>0</v>
      </c>
    </row>
    <row r="9" spans="1:6" ht="52.8" x14ac:dyDescent="0.25">
      <c r="A9" s="399"/>
      <c r="B9" s="381" t="s">
        <v>221</v>
      </c>
      <c r="C9" s="382" t="s">
        <v>228</v>
      </c>
      <c r="D9" s="382" t="s">
        <v>123</v>
      </c>
      <c r="E9" s="383">
        <v>1</v>
      </c>
      <c r="F9" s="402">
        <v>0</v>
      </c>
    </row>
    <row r="10" spans="1:6" ht="52.8" x14ac:dyDescent="0.25">
      <c r="A10" s="399"/>
      <c r="B10" s="384" t="s">
        <v>221</v>
      </c>
      <c r="C10" s="385" t="s">
        <v>234</v>
      </c>
      <c r="D10" s="385" t="s">
        <v>123</v>
      </c>
      <c r="E10" s="386">
        <v>1</v>
      </c>
      <c r="F10" s="402">
        <v>0</v>
      </c>
    </row>
    <row r="11" spans="1:6" ht="52.8" x14ac:dyDescent="0.25">
      <c r="A11" s="399"/>
      <c r="B11" s="387" t="s">
        <v>221</v>
      </c>
      <c r="C11" s="388" t="s">
        <v>240</v>
      </c>
      <c r="D11" s="388" t="s">
        <v>123</v>
      </c>
      <c r="E11" s="389">
        <v>1</v>
      </c>
      <c r="F11" s="402">
        <v>0</v>
      </c>
    </row>
    <row r="12" spans="1:6" ht="52.8" x14ac:dyDescent="0.25">
      <c r="A12" s="399"/>
      <c r="B12" s="390" t="s">
        <v>247</v>
      </c>
      <c r="C12" s="391" t="s">
        <v>222</v>
      </c>
      <c r="D12" s="391" t="s">
        <v>123</v>
      </c>
      <c r="E12" s="392">
        <v>1</v>
      </c>
      <c r="F12" s="402">
        <v>0</v>
      </c>
    </row>
    <row r="13" spans="1:6" ht="52.8" x14ac:dyDescent="0.25">
      <c r="A13" s="399"/>
      <c r="B13" s="393" t="s">
        <v>247</v>
      </c>
      <c r="C13" s="394" t="s">
        <v>252</v>
      </c>
      <c r="D13" s="394" t="s">
        <v>123</v>
      </c>
      <c r="E13" s="395">
        <v>1</v>
      </c>
      <c r="F13" s="402">
        <v>0</v>
      </c>
    </row>
    <row r="14" spans="1:6" ht="52.8" x14ac:dyDescent="0.25">
      <c r="A14" s="399"/>
      <c r="B14" s="378" t="s">
        <v>247</v>
      </c>
      <c r="C14" s="379" t="s">
        <v>234</v>
      </c>
      <c r="D14" s="379" t="s">
        <v>123</v>
      </c>
      <c r="E14" s="380">
        <v>1</v>
      </c>
      <c r="F14" s="402">
        <v>0</v>
      </c>
    </row>
    <row r="15" spans="1:6" ht="52.8" x14ac:dyDescent="0.25">
      <c r="A15" s="399"/>
      <c r="B15" s="396" t="s">
        <v>247</v>
      </c>
      <c r="C15" s="397" t="s">
        <v>261</v>
      </c>
      <c r="D15" s="397" t="s">
        <v>123</v>
      </c>
      <c r="E15" s="398">
        <v>1</v>
      </c>
      <c r="F15" s="40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  <sheetView workbookViewId="1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32</vt:i4>
      </vt:variant>
    </vt:vector>
  </HeadingPairs>
  <TitlesOfParts>
    <vt:vector size="32" baseType="lpstr">
      <vt:lpstr>ВедомостьОбщая</vt:lpstr>
      <vt:lpstr>1.n2</vt:lpstr>
      <vt:lpstr>1.n;п.</vt:lpstr>
      <vt:lpstr>2.n2</vt:lpstr>
      <vt:lpstr>спец 6с</vt:lpstr>
      <vt:lpstr>3.n2</vt:lpstr>
      <vt:lpstr>спец 5с</vt:lpstr>
      <vt:lpstr>4.n2</vt:lpstr>
      <vt:lpstr>спец 4с</vt:lpstr>
      <vt:lpstr>5.n3</vt:lpstr>
      <vt:lpstr>Спец7с3э</vt:lpstr>
      <vt:lpstr>Спец6с3э</vt:lpstr>
      <vt:lpstr>Спец5с3э</vt:lpstr>
      <vt:lpstr>Спец4с3э</vt:lpstr>
      <vt:lpstr>Лист2</vt:lpstr>
      <vt:lpstr>6.n3э</vt:lpstr>
      <vt:lpstr>6n;п.</vt:lpstr>
      <vt:lpstr>7.n2</vt:lpstr>
      <vt:lpstr>7n;п.</vt:lpstr>
      <vt:lpstr>2расчет</vt:lpstr>
      <vt:lpstr>8.n2</vt:lpstr>
      <vt:lpstr>9.n2</vt:lpstr>
      <vt:lpstr>9.n;п.</vt:lpstr>
      <vt:lpstr>10.n3</vt:lpstr>
      <vt:lpstr>10.n;п.</vt:lpstr>
      <vt:lpstr>Лист1</vt:lpstr>
      <vt:lpstr>Table 1</vt:lpstr>
      <vt:lpstr>Таб.1этап</vt:lpstr>
      <vt:lpstr>1n.7s2f</vt:lpstr>
      <vt:lpstr>1.n</vt:lpstr>
      <vt:lpstr>Таб.1этап (2)</vt:lpstr>
      <vt:lpstr>3расчет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МирзаяновИИ</dc:creator>
  <cp:lastModifiedBy>Linux</cp:lastModifiedBy>
  <dcterms:created xsi:type="dcterms:W3CDTF">2025-09-20T10:19:57Z</dcterms:created>
  <dcterms:modified xsi:type="dcterms:W3CDTF">2026-01-11T09:01:34Z</dcterms:modified>
</cp:coreProperties>
</file>