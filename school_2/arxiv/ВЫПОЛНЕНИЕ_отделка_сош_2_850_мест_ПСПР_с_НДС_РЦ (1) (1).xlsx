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срк\OneDrive\Рабочий стол\МФ СТРОЙ\СОШ 1.2\СОШ 2\ВЫПОЛНЕНИЕ\"/>
    </mc:Choice>
  </mc:AlternateContent>
  <xr:revisionPtr revIDLastSave="0" documentId="13_ncr:1_{CAC035D0-4157-4207-8864-728283A0D95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ВЫПОЛНЕНИЕ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6" i="3" l="1"/>
  <c r="I96" i="3"/>
  <c r="H96" i="3"/>
  <c r="J320" i="3"/>
  <c r="I320" i="3"/>
  <c r="H320" i="3"/>
  <c r="J316" i="3"/>
  <c r="I316" i="3"/>
  <c r="H316" i="3"/>
  <c r="J245" i="3"/>
  <c r="I245" i="3"/>
  <c r="H245" i="3"/>
  <c r="H211" i="3"/>
  <c r="J211" i="3" s="1"/>
  <c r="H312" i="3"/>
  <c r="J312" i="3" s="1"/>
  <c r="H308" i="3"/>
  <c r="I308" i="3" s="1"/>
  <c r="H238" i="3"/>
  <c r="I211" i="3"/>
  <c r="I238" i="3"/>
  <c r="J308" i="3"/>
  <c r="J627" i="3"/>
  <c r="I627" i="3"/>
  <c r="I312" i="3"/>
  <c r="V921" i="3"/>
  <c r="T921" i="3"/>
  <c r="P921" i="3"/>
  <c r="P920" i="3" s="1"/>
  <c r="P919" i="3" s="1"/>
  <c r="P918" i="3" s="1"/>
  <c r="N921" i="3"/>
  <c r="U920" i="3"/>
  <c r="U919" i="3" s="1"/>
  <c r="U918" i="3" s="1"/>
  <c r="O920" i="3"/>
  <c r="O919" i="3" s="1"/>
  <c r="O918" i="3" s="1"/>
  <c r="U917" i="3"/>
  <c r="O917" i="3"/>
  <c r="U916" i="3"/>
  <c r="O916" i="3"/>
  <c r="U915" i="3"/>
  <c r="O915" i="3"/>
  <c r="U914" i="3"/>
  <c r="O914" i="3"/>
  <c r="U913" i="3"/>
  <c r="O913" i="3"/>
  <c r="U912" i="3"/>
  <c r="O912" i="3"/>
  <c r="U911" i="3"/>
  <c r="O911" i="3"/>
  <c r="U910" i="3"/>
  <c r="O910" i="3"/>
  <c r="U909" i="3"/>
  <c r="O909" i="3"/>
  <c r="U908" i="3"/>
  <c r="O908" i="3"/>
  <c r="U907" i="3"/>
  <c r="O907" i="3"/>
  <c r="U906" i="3"/>
  <c r="O906" i="3"/>
  <c r="U905" i="3"/>
  <c r="O905" i="3"/>
  <c r="U904" i="3"/>
  <c r="O904" i="3"/>
  <c r="U903" i="3"/>
  <c r="O903" i="3"/>
  <c r="U902" i="3"/>
  <c r="O902" i="3"/>
  <c r="U901" i="3"/>
  <c r="O901" i="3"/>
  <c r="V900" i="3"/>
  <c r="P900" i="3"/>
  <c r="U899" i="3"/>
  <c r="O899" i="3"/>
  <c r="U898" i="3"/>
  <c r="O898" i="3"/>
  <c r="U897" i="3"/>
  <c r="O897" i="3"/>
  <c r="U896" i="3"/>
  <c r="O896" i="3"/>
  <c r="U895" i="3"/>
  <c r="O895" i="3"/>
  <c r="U894" i="3"/>
  <c r="O894" i="3"/>
  <c r="U893" i="3"/>
  <c r="O893" i="3"/>
  <c r="U892" i="3"/>
  <c r="O892" i="3"/>
  <c r="U891" i="3"/>
  <c r="O891" i="3"/>
  <c r="U890" i="3"/>
  <c r="O890" i="3"/>
  <c r="U889" i="3"/>
  <c r="O889" i="3"/>
  <c r="U888" i="3"/>
  <c r="O888" i="3"/>
  <c r="U887" i="3"/>
  <c r="O887" i="3"/>
  <c r="U886" i="3"/>
  <c r="O886" i="3"/>
  <c r="U885" i="3"/>
  <c r="O885" i="3"/>
  <c r="U884" i="3"/>
  <c r="O884" i="3"/>
  <c r="U883" i="3"/>
  <c r="O883" i="3"/>
  <c r="U882" i="3"/>
  <c r="O882" i="3"/>
  <c r="U881" i="3"/>
  <c r="O881" i="3"/>
  <c r="U880" i="3"/>
  <c r="O880" i="3"/>
  <c r="V879" i="3"/>
  <c r="P879" i="3"/>
  <c r="V877" i="3"/>
  <c r="T877" i="3"/>
  <c r="P877" i="3"/>
  <c r="Q877" i="3" s="1"/>
  <c r="N877" i="3"/>
  <c r="U876" i="3"/>
  <c r="O876" i="3"/>
  <c r="U875" i="3"/>
  <c r="O875" i="3"/>
  <c r="U874" i="3"/>
  <c r="O874" i="3"/>
  <c r="U873" i="3"/>
  <c r="O873" i="3"/>
  <c r="U872" i="3"/>
  <c r="O872" i="3"/>
  <c r="U871" i="3"/>
  <c r="O871" i="3"/>
  <c r="U870" i="3"/>
  <c r="O870" i="3"/>
  <c r="U869" i="3"/>
  <c r="O869" i="3"/>
  <c r="U868" i="3"/>
  <c r="O868" i="3"/>
  <c r="U867" i="3"/>
  <c r="O867" i="3"/>
  <c r="U866" i="3"/>
  <c r="O866" i="3"/>
  <c r="V865" i="3"/>
  <c r="P865" i="3"/>
  <c r="U864" i="3"/>
  <c r="O864" i="3"/>
  <c r="U863" i="3"/>
  <c r="O863" i="3"/>
  <c r="U862" i="3"/>
  <c r="O862" i="3"/>
  <c r="U861" i="3"/>
  <c r="O861" i="3"/>
  <c r="U860" i="3"/>
  <c r="O860" i="3"/>
  <c r="U859" i="3"/>
  <c r="O859" i="3"/>
  <c r="U858" i="3"/>
  <c r="O858" i="3"/>
  <c r="U857" i="3"/>
  <c r="O857" i="3"/>
  <c r="U856" i="3"/>
  <c r="O856" i="3"/>
  <c r="U855" i="3"/>
  <c r="O855" i="3"/>
  <c r="U854" i="3"/>
  <c r="O854" i="3"/>
  <c r="V853" i="3"/>
  <c r="P853" i="3"/>
  <c r="U852" i="3"/>
  <c r="O852" i="3"/>
  <c r="U851" i="3"/>
  <c r="O851" i="3"/>
  <c r="U850" i="3"/>
  <c r="O850" i="3"/>
  <c r="U849" i="3"/>
  <c r="O849" i="3"/>
  <c r="U848" i="3"/>
  <c r="O848" i="3"/>
  <c r="U847" i="3"/>
  <c r="O847" i="3"/>
  <c r="U846" i="3"/>
  <c r="O846" i="3"/>
  <c r="U845" i="3"/>
  <c r="O845" i="3"/>
  <c r="U844" i="3"/>
  <c r="O844" i="3"/>
  <c r="U843" i="3"/>
  <c r="O843" i="3"/>
  <c r="U842" i="3"/>
  <c r="O842" i="3"/>
  <c r="U841" i="3"/>
  <c r="O841" i="3"/>
  <c r="V840" i="3"/>
  <c r="P840" i="3"/>
  <c r="U839" i="3"/>
  <c r="O839" i="3"/>
  <c r="U838" i="3"/>
  <c r="O838" i="3"/>
  <c r="U837" i="3"/>
  <c r="O837" i="3"/>
  <c r="U836" i="3"/>
  <c r="O836" i="3"/>
  <c r="U835" i="3"/>
  <c r="O835" i="3"/>
  <c r="U834" i="3"/>
  <c r="O834" i="3"/>
  <c r="U833" i="3"/>
  <c r="O833" i="3"/>
  <c r="U832" i="3"/>
  <c r="O832" i="3"/>
  <c r="U831" i="3"/>
  <c r="O831" i="3"/>
  <c r="U830" i="3"/>
  <c r="O830" i="3"/>
  <c r="U829" i="3"/>
  <c r="O829" i="3"/>
  <c r="U828" i="3"/>
  <c r="O828" i="3"/>
  <c r="U827" i="3"/>
  <c r="O827" i="3"/>
  <c r="V826" i="3"/>
  <c r="P826" i="3"/>
  <c r="U825" i="3"/>
  <c r="O825" i="3"/>
  <c r="L824" i="3" s="1"/>
  <c r="V824" i="3"/>
  <c r="P824" i="3"/>
  <c r="U823" i="3"/>
  <c r="R822" i="3" s="1"/>
  <c r="O823" i="3"/>
  <c r="L822" i="3" s="1"/>
  <c r="V822" i="3"/>
  <c r="P822" i="3"/>
  <c r="U821" i="3"/>
  <c r="O821" i="3"/>
  <c r="L820" i="3" s="1"/>
  <c r="V820" i="3"/>
  <c r="P820" i="3"/>
  <c r="U819" i="3"/>
  <c r="R818" i="3" s="1"/>
  <c r="O819" i="3"/>
  <c r="L818" i="3" s="1"/>
  <c r="V818" i="3"/>
  <c r="P818" i="3"/>
  <c r="U817" i="3"/>
  <c r="O817" i="3"/>
  <c r="L816" i="3" s="1"/>
  <c r="V816" i="3"/>
  <c r="P816" i="3"/>
  <c r="U815" i="3"/>
  <c r="R814" i="3" s="1"/>
  <c r="O815" i="3"/>
  <c r="L814" i="3" s="1"/>
  <c r="V814" i="3"/>
  <c r="P814" i="3"/>
  <c r="U813" i="3"/>
  <c r="O813" i="3"/>
  <c r="L812" i="3" s="1"/>
  <c r="O812" i="3" s="1"/>
  <c r="V812" i="3"/>
  <c r="P812" i="3"/>
  <c r="U811" i="3"/>
  <c r="R810" i="3" s="1"/>
  <c r="O811" i="3"/>
  <c r="L810" i="3" s="1"/>
  <c r="V810" i="3"/>
  <c r="P810" i="3"/>
  <c r="U809" i="3"/>
  <c r="O809" i="3"/>
  <c r="L808" i="3" s="1"/>
  <c r="O808" i="3" s="1"/>
  <c r="V808" i="3"/>
  <c r="P808" i="3"/>
  <c r="U807" i="3"/>
  <c r="R806" i="3" s="1"/>
  <c r="O807" i="3"/>
  <c r="L806" i="3" s="1"/>
  <c r="N806" i="3" s="1"/>
  <c r="V806" i="3"/>
  <c r="P806" i="3"/>
  <c r="U804" i="3"/>
  <c r="O804" i="3"/>
  <c r="U803" i="3"/>
  <c r="O803" i="3"/>
  <c r="V802" i="3"/>
  <c r="P802" i="3"/>
  <c r="U801" i="3"/>
  <c r="O801" i="3"/>
  <c r="U800" i="3"/>
  <c r="O800" i="3"/>
  <c r="V799" i="3"/>
  <c r="P799" i="3"/>
  <c r="U798" i="3"/>
  <c r="O798" i="3"/>
  <c r="U797" i="3"/>
  <c r="O797" i="3"/>
  <c r="V796" i="3"/>
  <c r="P796" i="3"/>
  <c r="U795" i="3"/>
  <c r="O795" i="3"/>
  <c r="U794" i="3"/>
  <c r="O794" i="3"/>
  <c r="V793" i="3"/>
  <c r="P793" i="3"/>
  <c r="U792" i="3"/>
  <c r="O792" i="3"/>
  <c r="U791" i="3"/>
  <c r="O791" i="3"/>
  <c r="V790" i="3"/>
  <c r="P790" i="3"/>
  <c r="U789" i="3"/>
  <c r="O789" i="3"/>
  <c r="U788" i="3"/>
  <c r="O788" i="3"/>
  <c r="V787" i="3"/>
  <c r="P787" i="3"/>
  <c r="U786" i="3"/>
  <c r="O786" i="3"/>
  <c r="U785" i="3"/>
  <c r="O785" i="3"/>
  <c r="V784" i="3"/>
  <c r="P784" i="3"/>
  <c r="U783" i="3"/>
  <c r="O783" i="3"/>
  <c r="U782" i="3"/>
  <c r="O782" i="3"/>
  <c r="V781" i="3"/>
  <c r="P781" i="3"/>
  <c r="U780" i="3"/>
  <c r="O780" i="3"/>
  <c r="U779" i="3"/>
  <c r="O779" i="3"/>
  <c r="V778" i="3"/>
  <c r="P778" i="3"/>
  <c r="U777" i="3"/>
  <c r="O777" i="3"/>
  <c r="U776" i="3"/>
  <c r="O776" i="3"/>
  <c r="V775" i="3"/>
  <c r="P775" i="3"/>
  <c r="U774" i="3"/>
  <c r="O774" i="3"/>
  <c r="U773" i="3"/>
  <c r="O773" i="3"/>
  <c r="V772" i="3"/>
  <c r="P772" i="3"/>
  <c r="U771" i="3"/>
  <c r="O771" i="3"/>
  <c r="U770" i="3"/>
  <c r="O770" i="3"/>
  <c r="V769" i="3"/>
  <c r="P769" i="3"/>
  <c r="U768" i="3"/>
  <c r="O768" i="3"/>
  <c r="U767" i="3"/>
  <c r="O767" i="3"/>
  <c r="L766" i="3" s="1"/>
  <c r="V766" i="3"/>
  <c r="P766" i="3"/>
  <c r="U765" i="3"/>
  <c r="O765" i="3"/>
  <c r="U764" i="3"/>
  <c r="O764" i="3"/>
  <c r="V763" i="3"/>
  <c r="P763" i="3"/>
  <c r="U762" i="3"/>
  <c r="O762" i="3"/>
  <c r="U761" i="3"/>
  <c r="O761" i="3"/>
  <c r="V760" i="3"/>
  <c r="P760" i="3"/>
  <c r="U759" i="3"/>
  <c r="O759" i="3"/>
  <c r="U758" i="3"/>
  <c r="O758" i="3"/>
  <c r="V757" i="3"/>
  <c r="P757" i="3"/>
  <c r="U756" i="3"/>
  <c r="O756" i="3"/>
  <c r="U755" i="3"/>
  <c r="O755" i="3"/>
  <c r="L754" i="3" s="1"/>
  <c r="O754" i="3" s="1"/>
  <c r="V754" i="3"/>
  <c r="P754" i="3"/>
  <c r="U753" i="3"/>
  <c r="O753" i="3"/>
  <c r="U752" i="3"/>
  <c r="O752" i="3"/>
  <c r="V751" i="3"/>
  <c r="P751" i="3"/>
  <c r="U750" i="3"/>
  <c r="O750" i="3"/>
  <c r="U749" i="3"/>
  <c r="O749" i="3"/>
  <c r="V748" i="3"/>
  <c r="P748" i="3"/>
  <c r="U747" i="3"/>
  <c r="O747" i="3"/>
  <c r="U746" i="3"/>
  <c r="O746" i="3"/>
  <c r="V745" i="3"/>
  <c r="P745" i="3"/>
  <c r="U744" i="3"/>
  <c r="O744" i="3"/>
  <c r="U743" i="3"/>
  <c r="O743" i="3"/>
  <c r="L742" i="3" s="1"/>
  <c r="V742" i="3"/>
  <c r="P742" i="3"/>
  <c r="U741" i="3"/>
  <c r="O741" i="3"/>
  <c r="U740" i="3"/>
  <c r="O740" i="3"/>
  <c r="V739" i="3"/>
  <c r="P739" i="3"/>
  <c r="U738" i="3"/>
  <c r="O738" i="3"/>
  <c r="U737" i="3"/>
  <c r="O737" i="3"/>
  <c r="V736" i="3"/>
  <c r="P736" i="3"/>
  <c r="U735" i="3"/>
  <c r="O735" i="3"/>
  <c r="U734" i="3"/>
  <c r="O734" i="3"/>
  <c r="V733" i="3"/>
  <c r="P733" i="3"/>
  <c r="U732" i="3"/>
  <c r="O732" i="3"/>
  <c r="U731" i="3"/>
  <c r="O731" i="3"/>
  <c r="V730" i="3"/>
  <c r="P730" i="3"/>
  <c r="U729" i="3"/>
  <c r="O729" i="3"/>
  <c r="U728" i="3"/>
  <c r="O728" i="3"/>
  <c r="V727" i="3"/>
  <c r="P727" i="3"/>
  <c r="U726" i="3"/>
  <c r="O726" i="3"/>
  <c r="U725" i="3"/>
  <c r="O725" i="3"/>
  <c r="V724" i="3"/>
  <c r="P724" i="3"/>
  <c r="U723" i="3"/>
  <c r="O723" i="3"/>
  <c r="U722" i="3"/>
  <c r="O722" i="3"/>
  <c r="V721" i="3"/>
  <c r="P721" i="3"/>
  <c r="U720" i="3"/>
  <c r="O720" i="3"/>
  <c r="U719" i="3"/>
  <c r="O719" i="3"/>
  <c r="V718" i="3"/>
  <c r="P718" i="3"/>
  <c r="U717" i="3"/>
  <c r="O717" i="3"/>
  <c r="U716" i="3"/>
  <c r="O716" i="3"/>
  <c r="V715" i="3"/>
  <c r="P715" i="3"/>
  <c r="U714" i="3"/>
  <c r="O714" i="3"/>
  <c r="U713" i="3"/>
  <c r="O713" i="3"/>
  <c r="V712" i="3"/>
  <c r="P712" i="3"/>
  <c r="U711" i="3"/>
  <c r="O711" i="3"/>
  <c r="U710" i="3"/>
  <c r="O710" i="3"/>
  <c r="V709" i="3"/>
  <c r="P709" i="3"/>
  <c r="U708" i="3"/>
  <c r="O708" i="3"/>
  <c r="U707" i="3"/>
  <c r="O707" i="3"/>
  <c r="V706" i="3"/>
  <c r="P706" i="3"/>
  <c r="U705" i="3"/>
  <c r="O705" i="3"/>
  <c r="U704" i="3"/>
  <c r="O704" i="3"/>
  <c r="V703" i="3"/>
  <c r="P703" i="3"/>
  <c r="U702" i="3"/>
  <c r="O702" i="3"/>
  <c r="U701" i="3"/>
  <c r="O701" i="3"/>
  <c r="V700" i="3"/>
  <c r="P700" i="3"/>
  <c r="U699" i="3"/>
  <c r="O699" i="3"/>
  <c r="U698" i="3"/>
  <c r="O698" i="3"/>
  <c r="V697" i="3"/>
  <c r="P697" i="3"/>
  <c r="U696" i="3"/>
  <c r="O696" i="3"/>
  <c r="U695" i="3"/>
  <c r="O695" i="3"/>
  <c r="L694" i="3" s="1"/>
  <c r="O694" i="3" s="1"/>
  <c r="V694" i="3"/>
  <c r="P694" i="3"/>
  <c r="U693" i="3"/>
  <c r="O693" i="3"/>
  <c r="U692" i="3"/>
  <c r="O692" i="3"/>
  <c r="V691" i="3"/>
  <c r="P691" i="3"/>
  <c r="U690" i="3"/>
  <c r="O690" i="3"/>
  <c r="U689" i="3"/>
  <c r="O689" i="3"/>
  <c r="V688" i="3"/>
  <c r="P688" i="3"/>
  <c r="U687" i="3"/>
  <c r="O687" i="3"/>
  <c r="U686" i="3"/>
  <c r="O686" i="3"/>
  <c r="U685" i="3"/>
  <c r="O685" i="3"/>
  <c r="U684" i="3"/>
  <c r="O684" i="3"/>
  <c r="V682" i="3"/>
  <c r="P682" i="3"/>
  <c r="U681" i="3"/>
  <c r="O681" i="3"/>
  <c r="U680" i="3"/>
  <c r="O680" i="3"/>
  <c r="U679" i="3"/>
  <c r="O679" i="3"/>
  <c r="U678" i="3"/>
  <c r="O678" i="3"/>
  <c r="V676" i="3"/>
  <c r="P676" i="3"/>
  <c r="U675" i="3"/>
  <c r="O675" i="3"/>
  <c r="U674" i="3"/>
  <c r="O674" i="3"/>
  <c r="U673" i="3"/>
  <c r="O673" i="3"/>
  <c r="U672" i="3"/>
  <c r="O672" i="3"/>
  <c r="V670" i="3"/>
  <c r="P670" i="3"/>
  <c r="U669" i="3"/>
  <c r="O669" i="3"/>
  <c r="U668" i="3"/>
  <c r="O668" i="3"/>
  <c r="U667" i="3"/>
  <c r="O667" i="3"/>
  <c r="U666" i="3"/>
  <c r="O666" i="3"/>
  <c r="V664" i="3"/>
  <c r="P664" i="3"/>
  <c r="U663" i="3"/>
  <c r="O663" i="3"/>
  <c r="U662" i="3"/>
  <c r="O662" i="3"/>
  <c r="U661" i="3"/>
  <c r="O661" i="3"/>
  <c r="U660" i="3"/>
  <c r="O660" i="3"/>
  <c r="V658" i="3"/>
  <c r="P658" i="3"/>
  <c r="U657" i="3"/>
  <c r="O657" i="3"/>
  <c r="U656" i="3"/>
  <c r="O656" i="3"/>
  <c r="U655" i="3"/>
  <c r="O655" i="3"/>
  <c r="U654" i="3"/>
  <c r="O654" i="3"/>
  <c r="V652" i="3"/>
  <c r="P652" i="3"/>
  <c r="U651" i="3"/>
  <c r="O651" i="3"/>
  <c r="U650" i="3"/>
  <c r="O650" i="3"/>
  <c r="U649" i="3"/>
  <c r="O649" i="3"/>
  <c r="U648" i="3"/>
  <c r="O648" i="3"/>
  <c r="V646" i="3"/>
  <c r="P646" i="3"/>
  <c r="U645" i="3"/>
  <c r="O645" i="3"/>
  <c r="U644" i="3"/>
  <c r="O644" i="3"/>
  <c r="U643" i="3"/>
  <c r="O643" i="3"/>
  <c r="U642" i="3"/>
  <c r="O642" i="3"/>
  <c r="V640" i="3"/>
  <c r="P640" i="3"/>
  <c r="U638" i="3"/>
  <c r="O638" i="3"/>
  <c r="U637" i="3"/>
  <c r="O637" i="3"/>
  <c r="V636" i="3"/>
  <c r="P636" i="3"/>
  <c r="U635" i="3"/>
  <c r="O635" i="3"/>
  <c r="U634" i="3"/>
  <c r="O634" i="3"/>
  <c r="V633" i="3"/>
  <c r="P633" i="3"/>
  <c r="U632" i="3"/>
  <c r="O632" i="3"/>
  <c r="U631" i="3"/>
  <c r="O631" i="3"/>
  <c r="V630" i="3"/>
  <c r="P630" i="3"/>
  <c r="U629" i="3"/>
  <c r="O629" i="3"/>
  <c r="U628" i="3"/>
  <c r="O628" i="3"/>
  <c r="V627" i="3"/>
  <c r="P627" i="3"/>
  <c r="U626" i="3"/>
  <c r="O626" i="3"/>
  <c r="U625" i="3"/>
  <c r="O625" i="3"/>
  <c r="U624" i="3"/>
  <c r="O624" i="3"/>
  <c r="U623" i="3"/>
  <c r="O623" i="3"/>
  <c r="V621" i="3"/>
  <c r="P621" i="3"/>
  <c r="U618" i="3"/>
  <c r="O618" i="3"/>
  <c r="L617" i="3" s="1"/>
  <c r="O617" i="3" s="1"/>
  <c r="V617" i="3"/>
  <c r="P617" i="3"/>
  <c r="U616" i="3"/>
  <c r="O616" i="3"/>
  <c r="L615" i="3" s="1"/>
  <c r="V615" i="3"/>
  <c r="P615" i="3"/>
  <c r="U613" i="3"/>
  <c r="O613" i="3"/>
  <c r="U612" i="3"/>
  <c r="O612" i="3"/>
  <c r="U611" i="3"/>
  <c r="O611" i="3"/>
  <c r="U610" i="3"/>
  <c r="O610" i="3"/>
  <c r="V609" i="3"/>
  <c r="P609" i="3"/>
  <c r="U608" i="3"/>
  <c r="O608" i="3"/>
  <c r="U607" i="3"/>
  <c r="O607" i="3"/>
  <c r="U606" i="3"/>
  <c r="O606" i="3"/>
  <c r="V605" i="3"/>
  <c r="P605" i="3"/>
  <c r="U604" i="3"/>
  <c r="O604" i="3"/>
  <c r="U603" i="3"/>
  <c r="O603" i="3"/>
  <c r="U602" i="3"/>
  <c r="O602" i="3"/>
  <c r="U601" i="3"/>
  <c r="O601" i="3"/>
  <c r="V600" i="3"/>
  <c r="P600" i="3"/>
  <c r="U599" i="3"/>
  <c r="O599" i="3"/>
  <c r="U598" i="3"/>
  <c r="O598" i="3"/>
  <c r="U597" i="3"/>
  <c r="O597" i="3"/>
  <c r="U596" i="3"/>
  <c r="O596" i="3"/>
  <c r="V595" i="3"/>
  <c r="P595" i="3"/>
  <c r="U594" i="3"/>
  <c r="O594" i="3"/>
  <c r="U593" i="3"/>
  <c r="O593" i="3"/>
  <c r="U592" i="3"/>
  <c r="O592" i="3"/>
  <c r="U591" i="3"/>
  <c r="O591" i="3"/>
  <c r="V590" i="3"/>
  <c r="P590" i="3"/>
  <c r="U589" i="3"/>
  <c r="O589" i="3"/>
  <c r="U588" i="3"/>
  <c r="O588" i="3"/>
  <c r="U587" i="3"/>
  <c r="O587" i="3"/>
  <c r="U586" i="3"/>
  <c r="O586" i="3"/>
  <c r="U585" i="3"/>
  <c r="O585" i="3"/>
  <c r="U584" i="3"/>
  <c r="O584" i="3"/>
  <c r="V582" i="3"/>
  <c r="P582" i="3"/>
  <c r="U581" i="3"/>
  <c r="O581" i="3"/>
  <c r="U580" i="3"/>
  <c r="O580" i="3"/>
  <c r="U579" i="3"/>
  <c r="O579" i="3"/>
  <c r="V578" i="3"/>
  <c r="P578" i="3"/>
  <c r="U577" i="3"/>
  <c r="O577" i="3"/>
  <c r="U576" i="3"/>
  <c r="O576" i="3"/>
  <c r="U575" i="3"/>
  <c r="O575" i="3"/>
  <c r="V574" i="3"/>
  <c r="P574" i="3"/>
  <c r="U573" i="3"/>
  <c r="O573" i="3"/>
  <c r="U572" i="3"/>
  <c r="O572" i="3"/>
  <c r="U571" i="3"/>
  <c r="O571" i="3"/>
  <c r="U570" i="3"/>
  <c r="O570" i="3"/>
  <c r="V569" i="3"/>
  <c r="P569" i="3"/>
  <c r="U568" i="3"/>
  <c r="O568" i="3"/>
  <c r="U567" i="3"/>
  <c r="O567" i="3"/>
  <c r="U566" i="3"/>
  <c r="O566" i="3"/>
  <c r="U565" i="3"/>
  <c r="O565" i="3"/>
  <c r="V564" i="3"/>
  <c r="P564" i="3"/>
  <c r="U563" i="3"/>
  <c r="O563" i="3"/>
  <c r="U562" i="3"/>
  <c r="O562" i="3"/>
  <c r="V561" i="3"/>
  <c r="P561" i="3"/>
  <c r="U560" i="3"/>
  <c r="O560" i="3"/>
  <c r="U559" i="3"/>
  <c r="O559" i="3"/>
  <c r="V558" i="3"/>
  <c r="P558" i="3"/>
  <c r="U557" i="3"/>
  <c r="O557" i="3"/>
  <c r="U556" i="3"/>
  <c r="O556" i="3"/>
  <c r="V555" i="3"/>
  <c r="P555" i="3"/>
  <c r="U554" i="3"/>
  <c r="O554" i="3"/>
  <c r="U553" i="3"/>
  <c r="O553" i="3"/>
  <c r="U552" i="3"/>
  <c r="O552" i="3"/>
  <c r="V551" i="3"/>
  <c r="P551" i="3"/>
  <c r="U550" i="3"/>
  <c r="O550" i="3"/>
  <c r="U549" i="3"/>
  <c r="O549" i="3"/>
  <c r="U548" i="3"/>
  <c r="O548" i="3"/>
  <c r="V547" i="3"/>
  <c r="P547" i="3"/>
  <c r="U546" i="3"/>
  <c r="O546" i="3"/>
  <c r="U545" i="3"/>
  <c r="O545" i="3"/>
  <c r="U544" i="3"/>
  <c r="O544" i="3"/>
  <c r="V543" i="3"/>
  <c r="P543" i="3"/>
  <c r="U542" i="3"/>
  <c r="O542" i="3"/>
  <c r="U541" i="3"/>
  <c r="O541" i="3"/>
  <c r="U540" i="3"/>
  <c r="O540" i="3"/>
  <c r="V539" i="3"/>
  <c r="P539" i="3"/>
  <c r="U537" i="3"/>
  <c r="O537" i="3"/>
  <c r="U536" i="3"/>
  <c r="O536" i="3"/>
  <c r="U535" i="3"/>
  <c r="O535" i="3"/>
  <c r="U534" i="3"/>
  <c r="O534" i="3"/>
  <c r="V533" i="3"/>
  <c r="P533" i="3"/>
  <c r="U532" i="3"/>
  <c r="O532" i="3"/>
  <c r="U531" i="3"/>
  <c r="O531" i="3"/>
  <c r="U530" i="3"/>
  <c r="O530" i="3"/>
  <c r="U529" i="3"/>
  <c r="O529" i="3"/>
  <c r="V528" i="3"/>
  <c r="P528" i="3"/>
  <c r="U527" i="3"/>
  <c r="O527" i="3"/>
  <c r="U526" i="3"/>
  <c r="O526" i="3"/>
  <c r="U525" i="3"/>
  <c r="O525" i="3"/>
  <c r="U524" i="3"/>
  <c r="O524" i="3"/>
  <c r="U523" i="3"/>
  <c r="O523" i="3"/>
  <c r="V522" i="3"/>
  <c r="P522" i="3"/>
  <c r="U521" i="3"/>
  <c r="O521" i="3"/>
  <c r="U520" i="3"/>
  <c r="O520" i="3"/>
  <c r="U519" i="3"/>
  <c r="O519" i="3"/>
  <c r="U518" i="3"/>
  <c r="O518" i="3"/>
  <c r="V517" i="3"/>
  <c r="P517" i="3"/>
  <c r="U516" i="3"/>
  <c r="O516" i="3"/>
  <c r="U515" i="3"/>
  <c r="O515" i="3"/>
  <c r="U514" i="3"/>
  <c r="O514" i="3"/>
  <c r="U513" i="3"/>
  <c r="O513" i="3"/>
  <c r="V512" i="3"/>
  <c r="P512" i="3"/>
  <c r="U511" i="3"/>
  <c r="O511" i="3"/>
  <c r="U510" i="3"/>
  <c r="O510" i="3"/>
  <c r="U509" i="3"/>
  <c r="O509" i="3"/>
  <c r="U508" i="3"/>
  <c r="O508" i="3"/>
  <c r="V507" i="3"/>
  <c r="P507" i="3"/>
  <c r="U506" i="3"/>
  <c r="O506" i="3"/>
  <c r="U505" i="3"/>
  <c r="O505" i="3"/>
  <c r="U504" i="3"/>
  <c r="O504" i="3"/>
  <c r="U503" i="3"/>
  <c r="O503" i="3"/>
  <c r="V502" i="3"/>
  <c r="P502" i="3"/>
  <c r="U501" i="3"/>
  <c r="O501" i="3"/>
  <c r="U500" i="3"/>
  <c r="O500" i="3"/>
  <c r="U499" i="3"/>
  <c r="O499" i="3"/>
  <c r="U498" i="3"/>
  <c r="O498" i="3"/>
  <c r="V497" i="3"/>
  <c r="P497" i="3"/>
  <c r="U496" i="3"/>
  <c r="O496" i="3"/>
  <c r="U495" i="3"/>
  <c r="O495" i="3"/>
  <c r="U494" i="3"/>
  <c r="O494" i="3"/>
  <c r="U493" i="3"/>
  <c r="O493" i="3"/>
  <c r="U492" i="3"/>
  <c r="O492" i="3"/>
  <c r="V491" i="3"/>
  <c r="P491" i="3"/>
  <c r="U490" i="3"/>
  <c r="O490" i="3"/>
  <c r="U489" i="3"/>
  <c r="O489" i="3"/>
  <c r="U488" i="3"/>
  <c r="O488" i="3"/>
  <c r="U487" i="3"/>
  <c r="O487" i="3"/>
  <c r="U486" i="3"/>
  <c r="O486" i="3"/>
  <c r="V485" i="3"/>
  <c r="P485" i="3"/>
  <c r="U484" i="3"/>
  <c r="O484" i="3"/>
  <c r="U483" i="3"/>
  <c r="O483" i="3"/>
  <c r="U482" i="3"/>
  <c r="O482" i="3"/>
  <c r="V481" i="3"/>
  <c r="P481" i="3"/>
  <c r="U480" i="3"/>
  <c r="O480" i="3"/>
  <c r="U479" i="3"/>
  <c r="O479" i="3"/>
  <c r="U478" i="3"/>
  <c r="O478" i="3"/>
  <c r="U477" i="3"/>
  <c r="O477" i="3"/>
  <c r="V476" i="3"/>
  <c r="P476" i="3"/>
  <c r="U475" i="3"/>
  <c r="O475" i="3"/>
  <c r="U474" i="3"/>
  <c r="O474" i="3"/>
  <c r="U473" i="3"/>
  <c r="O473" i="3"/>
  <c r="V472" i="3"/>
  <c r="P472" i="3"/>
  <c r="U471" i="3"/>
  <c r="O471" i="3"/>
  <c r="U470" i="3"/>
  <c r="O470" i="3"/>
  <c r="U469" i="3"/>
  <c r="O469" i="3"/>
  <c r="U468" i="3"/>
  <c r="O468" i="3"/>
  <c r="V467" i="3"/>
  <c r="P467" i="3"/>
  <c r="U466" i="3"/>
  <c r="O466" i="3"/>
  <c r="U465" i="3"/>
  <c r="O465" i="3"/>
  <c r="U464" i="3"/>
  <c r="O464" i="3"/>
  <c r="U463" i="3"/>
  <c r="O463" i="3"/>
  <c r="V462" i="3"/>
  <c r="P462" i="3"/>
  <c r="U461" i="3"/>
  <c r="O461" i="3"/>
  <c r="U460" i="3"/>
  <c r="O460" i="3"/>
  <c r="U459" i="3"/>
  <c r="O459" i="3"/>
  <c r="U458" i="3"/>
  <c r="O458" i="3"/>
  <c r="V457" i="3"/>
  <c r="P457" i="3"/>
  <c r="U456" i="3"/>
  <c r="O456" i="3"/>
  <c r="U455" i="3"/>
  <c r="O455" i="3"/>
  <c r="V454" i="3"/>
  <c r="P454" i="3"/>
  <c r="U453" i="3"/>
  <c r="O453" i="3"/>
  <c r="U452" i="3"/>
  <c r="O452" i="3"/>
  <c r="V451" i="3"/>
  <c r="P451" i="3"/>
  <c r="U450" i="3"/>
  <c r="O450" i="3"/>
  <c r="U449" i="3"/>
  <c r="O449" i="3"/>
  <c r="V448" i="3"/>
  <c r="P448" i="3"/>
  <c r="U447" i="3"/>
  <c r="O447" i="3"/>
  <c r="U446" i="3"/>
  <c r="O446" i="3"/>
  <c r="V445" i="3"/>
  <c r="P445" i="3"/>
  <c r="U444" i="3"/>
  <c r="O444" i="3"/>
  <c r="U443" i="3"/>
  <c r="O443" i="3"/>
  <c r="V442" i="3"/>
  <c r="P442" i="3"/>
  <c r="U441" i="3"/>
  <c r="O441" i="3"/>
  <c r="U440" i="3"/>
  <c r="O440" i="3"/>
  <c r="L439" i="3" s="1"/>
  <c r="V439" i="3"/>
  <c r="P439" i="3"/>
  <c r="U438" i="3"/>
  <c r="O438" i="3"/>
  <c r="U437" i="3"/>
  <c r="O437" i="3"/>
  <c r="V436" i="3"/>
  <c r="P436" i="3"/>
  <c r="U435" i="3"/>
  <c r="O435" i="3"/>
  <c r="U434" i="3"/>
  <c r="O434" i="3"/>
  <c r="V433" i="3"/>
  <c r="P433" i="3"/>
  <c r="U432" i="3"/>
  <c r="O432" i="3"/>
  <c r="U431" i="3"/>
  <c r="O431" i="3"/>
  <c r="V430" i="3"/>
  <c r="P430" i="3"/>
  <c r="U429" i="3"/>
  <c r="O429" i="3"/>
  <c r="U428" i="3"/>
  <c r="O428" i="3"/>
  <c r="V427" i="3"/>
  <c r="P427" i="3"/>
  <c r="U426" i="3"/>
  <c r="O426" i="3"/>
  <c r="U425" i="3"/>
  <c r="O425" i="3"/>
  <c r="V424" i="3"/>
  <c r="P424" i="3"/>
  <c r="U423" i="3"/>
  <c r="O423" i="3"/>
  <c r="U422" i="3"/>
  <c r="O422" i="3"/>
  <c r="V421" i="3"/>
  <c r="P421" i="3"/>
  <c r="U420" i="3"/>
  <c r="O420" i="3"/>
  <c r="U419" i="3"/>
  <c r="O419" i="3"/>
  <c r="V418" i="3"/>
  <c r="P418" i="3"/>
  <c r="U417" i="3"/>
  <c r="O417" i="3"/>
  <c r="U416" i="3"/>
  <c r="O416" i="3"/>
  <c r="V415" i="3"/>
  <c r="P415" i="3"/>
  <c r="U414" i="3"/>
  <c r="O414" i="3"/>
  <c r="U413" i="3"/>
  <c r="O413" i="3"/>
  <c r="V412" i="3"/>
  <c r="P412" i="3"/>
  <c r="U411" i="3"/>
  <c r="O411" i="3"/>
  <c r="U410" i="3"/>
  <c r="O410" i="3"/>
  <c r="V409" i="3"/>
  <c r="P409" i="3"/>
  <c r="U408" i="3"/>
  <c r="O408" i="3"/>
  <c r="U407" i="3"/>
  <c r="O407" i="3"/>
  <c r="V406" i="3"/>
  <c r="P406" i="3"/>
  <c r="U405" i="3"/>
  <c r="O405" i="3"/>
  <c r="U404" i="3"/>
  <c r="O404" i="3"/>
  <c r="V403" i="3"/>
  <c r="P403" i="3"/>
  <c r="U402" i="3"/>
  <c r="O402" i="3"/>
  <c r="U401" i="3"/>
  <c r="O401" i="3"/>
  <c r="V400" i="3"/>
  <c r="P400" i="3"/>
  <c r="U399" i="3"/>
  <c r="O399" i="3"/>
  <c r="U398" i="3"/>
  <c r="O398" i="3"/>
  <c r="V397" i="3"/>
  <c r="P397" i="3"/>
  <c r="U396" i="3"/>
  <c r="O396" i="3"/>
  <c r="U395" i="3"/>
  <c r="O395" i="3"/>
  <c r="V394" i="3"/>
  <c r="P394" i="3"/>
  <c r="U393" i="3"/>
  <c r="O393" i="3"/>
  <c r="U392" i="3"/>
  <c r="O392" i="3"/>
  <c r="V391" i="3"/>
  <c r="P391" i="3"/>
  <c r="U390" i="3"/>
  <c r="O390" i="3"/>
  <c r="U389" i="3"/>
  <c r="O389" i="3"/>
  <c r="U388" i="3"/>
  <c r="O388" i="3"/>
  <c r="U387" i="3"/>
  <c r="O387" i="3"/>
  <c r="V385" i="3"/>
  <c r="P385" i="3"/>
  <c r="U384" i="3"/>
  <c r="O384" i="3"/>
  <c r="U383" i="3"/>
  <c r="O383" i="3"/>
  <c r="U382" i="3"/>
  <c r="O382" i="3"/>
  <c r="U381" i="3"/>
  <c r="O381" i="3"/>
  <c r="V379" i="3"/>
  <c r="P379" i="3"/>
  <c r="U378" i="3"/>
  <c r="O378" i="3"/>
  <c r="U377" i="3"/>
  <c r="O377" i="3"/>
  <c r="U376" i="3"/>
  <c r="O376" i="3"/>
  <c r="U375" i="3"/>
  <c r="O375" i="3"/>
  <c r="L373" i="3" s="1"/>
  <c r="O373" i="3" s="1"/>
  <c r="V373" i="3"/>
  <c r="P373" i="3"/>
  <c r="U372" i="3"/>
  <c r="O372" i="3"/>
  <c r="U371" i="3"/>
  <c r="O371" i="3"/>
  <c r="U370" i="3"/>
  <c r="O370" i="3"/>
  <c r="U369" i="3"/>
  <c r="O369" i="3"/>
  <c r="V367" i="3"/>
  <c r="P367" i="3"/>
  <c r="U366" i="3"/>
  <c r="O366" i="3"/>
  <c r="U365" i="3"/>
  <c r="O365" i="3"/>
  <c r="U364" i="3"/>
  <c r="O364" i="3"/>
  <c r="U363" i="3"/>
  <c r="O363" i="3"/>
  <c r="V361" i="3"/>
  <c r="P361" i="3"/>
  <c r="U360" i="3"/>
  <c r="O360" i="3"/>
  <c r="U359" i="3"/>
  <c r="O359" i="3"/>
  <c r="U358" i="3"/>
  <c r="O358" i="3"/>
  <c r="U357" i="3"/>
  <c r="O357" i="3"/>
  <c r="V355" i="3"/>
  <c r="P355" i="3"/>
  <c r="U354" i="3"/>
  <c r="O354" i="3"/>
  <c r="U353" i="3"/>
  <c r="O353" i="3"/>
  <c r="U352" i="3"/>
  <c r="O352" i="3"/>
  <c r="U351" i="3"/>
  <c r="O351" i="3"/>
  <c r="V349" i="3"/>
  <c r="P349" i="3"/>
  <c r="U348" i="3"/>
  <c r="O348" i="3"/>
  <c r="U347" i="3"/>
  <c r="O347" i="3"/>
  <c r="U346" i="3"/>
  <c r="O346" i="3"/>
  <c r="U345" i="3"/>
  <c r="O345" i="3"/>
  <c r="U344" i="3"/>
  <c r="O344" i="3"/>
  <c r="U343" i="3"/>
  <c r="O343" i="3"/>
  <c r="U342" i="3"/>
  <c r="O342" i="3"/>
  <c r="U341" i="3"/>
  <c r="O341" i="3"/>
  <c r="U340" i="3"/>
  <c r="O340" i="3"/>
  <c r="U339" i="3"/>
  <c r="O339" i="3"/>
  <c r="V337" i="3"/>
  <c r="P337" i="3"/>
  <c r="U336" i="3"/>
  <c r="O336" i="3"/>
  <c r="U335" i="3"/>
  <c r="O335" i="3"/>
  <c r="U334" i="3"/>
  <c r="O334" i="3"/>
  <c r="U333" i="3"/>
  <c r="O333" i="3"/>
  <c r="U332" i="3"/>
  <c r="O332" i="3"/>
  <c r="U331" i="3"/>
  <c r="O331" i="3"/>
  <c r="U330" i="3"/>
  <c r="O330" i="3"/>
  <c r="U329" i="3"/>
  <c r="O329" i="3"/>
  <c r="U328" i="3"/>
  <c r="O328" i="3"/>
  <c r="U327" i="3"/>
  <c r="O327" i="3"/>
  <c r="V325" i="3"/>
  <c r="P325" i="3"/>
  <c r="U323" i="3"/>
  <c r="O323" i="3"/>
  <c r="U322" i="3"/>
  <c r="O322" i="3"/>
  <c r="U321" i="3"/>
  <c r="O321" i="3"/>
  <c r="V320" i="3"/>
  <c r="P320" i="3"/>
  <c r="U319" i="3"/>
  <c r="O319" i="3"/>
  <c r="U318" i="3"/>
  <c r="O318" i="3"/>
  <c r="U317" i="3"/>
  <c r="O317" i="3"/>
  <c r="V316" i="3"/>
  <c r="P316" i="3"/>
  <c r="U315" i="3"/>
  <c r="O315" i="3"/>
  <c r="U314" i="3"/>
  <c r="O314" i="3"/>
  <c r="U313" i="3"/>
  <c r="O313" i="3"/>
  <c r="V312" i="3"/>
  <c r="P312" i="3"/>
  <c r="U311" i="3"/>
  <c r="O311" i="3"/>
  <c r="U310" i="3"/>
  <c r="O310" i="3"/>
  <c r="U309" i="3"/>
  <c r="O309" i="3"/>
  <c r="V308" i="3"/>
  <c r="P308" i="3"/>
  <c r="U307" i="3"/>
  <c r="O307" i="3"/>
  <c r="U306" i="3"/>
  <c r="O306" i="3"/>
  <c r="U305" i="3"/>
  <c r="O305" i="3"/>
  <c r="U304" i="3"/>
  <c r="O304" i="3"/>
  <c r="V303" i="3"/>
  <c r="P303" i="3"/>
  <c r="U302" i="3"/>
  <c r="O302" i="3"/>
  <c r="U301" i="3"/>
  <c r="O301" i="3"/>
  <c r="U300" i="3"/>
  <c r="O300" i="3"/>
  <c r="U299" i="3"/>
  <c r="O299" i="3"/>
  <c r="V298" i="3"/>
  <c r="P298" i="3"/>
  <c r="U297" i="3"/>
  <c r="O297" i="3"/>
  <c r="U296" i="3"/>
  <c r="O296" i="3"/>
  <c r="U295" i="3"/>
  <c r="O295" i="3"/>
  <c r="U294" i="3"/>
  <c r="O294" i="3"/>
  <c r="V293" i="3"/>
  <c r="P293" i="3"/>
  <c r="U292" i="3"/>
  <c r="O292" i="3"/>
  <c r="U291" i="3"/>
  <c r="O291" i="3"/>
  <c r="U290" i="3"/>
  <c r="O290" i="3"/>
  <c r="U289" i="3"/>
  <c r="O289" i="3"/>
  <c r="V288" i="3"/>
  <c r="P288" i="3"/>
  <c r="U287" i="3"/>
  <c r="O287" i="3"/>
  <c r="U286" i="3"/>
  <c r="O286" i="3"/>
  <c r="U285" i="3"/>
  <c r="O285" i="3"/>
  <c r="U284" i="3"/>
  <c r="O284" i="3"/>
  <c r="U283" i="3"/>
  <c r="O283" i="3"/>
  <c r="U282" i="3"/>
  <c r="O282" i="3"/>
  <c r="U281" i="3"/>
  <c r="O281" i="3"/>
  <c r="U280" i="3"/>
  <c r="O280" i="3"/>
  <c r="V278" i="3"/>
  <c r="P278" i="3"/>
  <c r="U277" i="3"/>
  <c r="O277" i="3"/>
  <c r="U276" i="3"/>
  <c r="O276" i="3"/>
  <c r="V275" i="3"/>
  <c r="P275" i="3"/>
  <c r="U274" i="3"/>
  <c r="O274" i="3"/>
  <c r="U273" i="3"/>
  <c r="O273" i="3"/>
  <c r="L272" i="3" s="1"/>
  <c r="N272" i="3" s="1"/>
  <c r="V272" i="3"/>
  <c r="P272" i="3"/>
  <c r="U271" i="3"/>
  <c r="O271" i="3"/>
  <c r="U270" i="3"/>
  <c r="O270" i="3"/>
  <c r="V269" i="3"/>
  <c r="P269" i="3"/>
  <c r="U268" i="3"/>
  <c r="O268" i="3"/>
  <c r="U267" i="3"/>
  <c r="O267" i="3"/>
  <c r="V266" i="3"/>
  <c r="P266" i="3"/>
  <c r="U265" i="3"/>
  <c r="O265" i="3"/>
  <c r="U264" i="3"/>
  <c r="O264" i="3"/>
  <c r="V263" i="3"/>
  <c r="P263" i="3"/>
  <c r="U262" i="3"/>
  <c r="O262" i="3"/>
  <c r="U261" i="3"/>
  <c r="O261" i="3"/>
  <c r="U260" i="3"/>
  <c r="O260" i="3"/>
  <c r="V259" i="3"/>
  <c r="P259" i="3"/>
  <c r="U258" i="3"/>
  <c r="O258" i="3"/>
  <c r="U257" i="3"/>
  <c r="O257" i="3"/>
  <c r="V256" i="3"/>
  <c r="P256" i="3"/>
  <c r="U255" i="3"/>
  <c r="O255" i="3"/>
  <c r="U254" i="3"/>
  <c r="O254" i="3"/>
  <c r="U253" i="3"/>
  <c r="O253" i="3"/>
  <c r="V252" i="3"/>
  <c r="P252" i="3"/>
  <c r="U251" i="3"/>
  <c r="O251" i="3"/>
  <c r="U250" i="3"/>
  <c r="O250" i="3"/>
  <c r="V249" i="3"/>
  <c r="P249" i="3"/>
  <c r="U248" i="3"/>
  <c r="O248" i="3"/>
  <c r="U247" i="3"/>
  <c r="O247" i="3"/>
  <c r="U246" i="3"/>
  <c r="O246" i="3"/>
  <c r="V245" i="3"/>
  <c r="P245" i="3"/>
  <c r="U244" i="3"/>
  <c r="O244" i="3"/>
  <c r="U243" i="3"/>
  <c r="O243" i="3"/>
  <c r="V242" i="3"/>
  <c r="P242" i="3"/>
  <c r="U241" i="3"/>
  <c r="O241" i="3"/>
  <c r="U240" i="3"/>
  <c r="O240" i="3"/>
  <c r="U239" i="3"/>
  <c r="O239" i="3"/>
  <c r="V238" i="3"/>
  <c r="P238" i="3"/>
  <c r="U237" i="3"/>
  <c r="O237" i="3"/>
  <c r="U236" i="3"/>
  <c r="O236" i="3"/>
  <c r="U235" i="3"/>
  <c r="O235" i="3"/>
  <c r="U234" i="3"/>
  <c r="O234" i="3"/>
  <c r="V232" i="3"/>
  <c r="P232" i="3"/>
  <c r="U231" i="3"/>
  <c r="O231" i="3"/>
  <c r="U230" i="3"/>
  <c r="O230" i="3"/>
  <c r="U229" i="3"/>
  <c r="O229" i="3"/>
  <c r="U228" i="3"/>
  <c r="O228" i="3"/>
  <c r="U227" i="3"/>
  <c r="O227" i="3"/>
  <c r="U226" i="3"/>
  <c r="O226" i="3"/>
  <c r="U225" i="3"/>
  <c r="O225" i="3"/>
  <c r="U224" i="3"/>
  <c r="O224" i="3"/>
  <c r="V222" i="3"/>
  <c r="P222" i="3"/>
  <c r="U221" i="3"/>
  <c r="O221" i="3"/>
  <c r="U220" i="3"/>
  <c r="O220" i="3"/>
  <c r="U219" i="3"/>
  <c r="O219" i="3"/>
  <c r="U218" i="3"/>
  <c r="O218" i="3"/>
  <c r="U217" i="3"/>
  <c r="O217" i="3"/>
  <c r="U216" i="3"/>
  <c r="O216" i="3"/>
  <c r="V214" i="3"/>
  <c r="P214" i="3"/>
  <c r="U213" i="3"/>
  <c r="O213" i="3"/>
  <c r="U212" i="3"/>
  <c r="O212" i="3"/>
  <c r="V211" i="3"/>
  <c r="P211" i="3"/>
  <c r="U208" i="3"/>
  <c r="O208" i="3"/>
  <c r="U207" i="3"/>
  <c r="O207" i="3"/>
  <c r="U206" i="3"/>
  <c r="O206" i="3"/>
  <c r="U205" i="3"/>
  <c r="O205" i="3"/>
  <c r="V204" i="3"/>
  <c r="P204" i="3"/>
  <c r="U203" i="3"/>
  <c r="O203" i="3"/>
  <c r="U202" i="3"/>
  <c r="O202" i="3"/>
  <c r="U201" i="3"/>
  <c r="O201" i="3"/>
  <c r="U200" i="3"/>
  <c r="O200" i="3"/>
  <c r="V199" i="3"/>
  <c r="P199" i="3"/>
  <c r="U198" i="3"/>
  <c r="O198" i="3"/>
  <c r="U197" i="3"/>
  <c r="O197" i="3"/>
  <c r="U196" i="3"/>
  <c r="O196" i="3"/>
  <c r="U195" i="3"/>
  <c r="O195" i="3"/>
  <c r="V194" i="3"/>
  <c r="P194" i="3"/>
  <c r="U193" i="3"/>
  <c r="O193" i="3"/>
  <c r="U192" i="3"/>
  <c r="O192" i="3"/>
  <c r="U191" i="3"/>
  <c r="O191" i="3"/>
  <c r="U190" i="3"/>
  <c r="O190" i="3"/>
  <c r="V189" i="3"/>
  <c r="P189" i="3"/>
  <c r="U188" i="3"/>
  <c r="O188" i="3"/>
  <c r="U187" i="3"/>
  <c r="O187" i="3"/>
  <c r="U186" i="3"/>
  <c r="O186" i="3"/>
  <c r="U185" i="3"/>
  <c r="O185" i="3"/>
  <c r="V184" i="3"/>
  <c r="P184" i="3"/>
  <c r="U183" i="3"/>
  <c r="O183" i="3"/>
  <c r="U182" i="3"/>
  <c r="O182" i="3"/>
  <c r="U181" i="3"/>
  <c r="O181" i="3"/>
  <c r="U180" i="3"/>
  <c r="O180" i="3"/>
  <c r="V179" i="3"/>
  <c r="P179" i="3"/>
  <c r="U178" i="3"/>
  <c r="O178" i="3"/>
  <c r="U177" i="3"/>
  <c r="O177" i="3"/>
  <c r="U176" i="3"/>
  <c r="O176" i="3"/>
  <c r="U175" i="3"/>
  <c r="O175" i="3"/>
  <c r="V174" i="3"/>
  <c r="P174" i="3"/>
  <c r="U173" i="3"/>
  <c r="O173" i="3"/>
  <c r="L172" i="3" s="1"/>
  <c r="O172" i="3" s="1"/>
  <c r="V172" i="3"/>
  <c r="P172" i="3"/>
  <c r="U171" i="3"/>
  <c r="O171" i="3"/>
  <c r="L170" i="3" s="1"/>
  <c r="V170" i="3"/>
  <c r="P170" i="3"/>
  <c r="U169" i="3"/>
  <c r="O169" i="3"/>
  <c r="U168" i="3"/>
  <c r="O168" i="3"/>
  <c r="V167" i="3"/>
  <c r="P167" i="3"/>
  <c r="U166" i="3"/>
  <c r="O166" i="3"/>
  <c r="U165" i="3"/>
  <c r="O165" i="3"/>
  <c r="U164" i="3"/>
  <c r="O164" i="3"/>
  <c r="U163" i="3"/>
  <c r="O163" i="3"/>
  <c r="V161" i="3"/>
  <c r="P161" i="3"/>
  <c r="U160" i="3"/>
  <c r="O160" i="3"/>
  <c r="U159" i="3"/>
  <c r="O159" i="3"/>
  <c r="U158" i="3"/>
  <c r="O158" i="3"/>
  <c r="U157" i="3"/>
  <c r="O157" i="3"/>
  <c r="V155" i="3"/>
  <c r="P155" i="3"/>
  <c r="U154" i="3"/>
  <c r="O154" i="3"/>
  <c r="U153" i="3"/>
  <c r="O153" i="3"/>
  <c r="U152" i="3"/>
  <c r="O152" i="3"/>
  <c r="U151" i="3"/>
  <c r="O151" i="3"/>
  <c r="U150" i="3"/>
  <c r="O150" i="3"/>
  <c r="U149" i="3"/>
  <c r="O149" i="3"/>
  <c r="V147" i="3"/>
  <c r="P147" i="3"/>
  <c r="U146" i="3"/>
  <c r="O146" i="3"/>
  <c r="U145" i="3"/>
  <c r="O145" i="3"/>
  <c r="U144" i="3"/>
  <c r="O144" i="3"/>
  <c r="V143" i="3"/>
  <c r="P143" i="3"/>
  <c r="U142" i="3"/>
  <c r="O142" i="3"/>
  <c r="U141" i="3"/>
  <c r="O141" i="3"/>
  <c r="U140" i="3"/>
  <c r="O140" i="3"/>
  <c r="U139" i="3"/>
  <c r="O139" i="3"/>
  <c r="V137" i="3"/>
  <c r="P137" i="3"/>
  <c r="U136" i="3"/>
  <c r="O136" i="3"/>
  <c r="U135" i="3"/>
  <c r="O135" i="3"/>
  <c r="U134" i="3"/>
  <c r="O134" i="3"/>
  <c r="U133" i="3"/>
  <c r="O133" i="3"/>
  <c r="V132" i="3"/>
  <c r="P132" i="3"/>
  <c r="U131" i="3"/>
  <c r="O131" i="3"/>
  <c r="U130" i="3"/>
  <c r="O130" i="3"/>
  <c r="U129" i="3"/>
  <c r="O129" i="3"/>
  <c r="U128" i="3"/>
  <c r="O128" i="3"/>
  <c r="U127" i="3"/>
  <c r="O127" i="3"/>
  <c r="U126" i="3"/>
  <c r="O126" i="3"/>
  <c r="U125" i="3"/>
  <c r="O125" i="3"/>
  <c r="U124" i="3"/>
  <c r="O124" i="3"/>
  <c r="U123" i="3"/>
  <c r="O123" i="3"/>
  <c r="U122" i="3"/>
  <c r="O122" i="3"/>
  <c r="V120" i="3"/>
  <c r="P120" i="3"/>
  <c r="U118" i="3"/>
  <c r="O118" i="3"/>
  <c r="L117" i="3" s="1"/>
  <c r="V117" i="3"/>
  <c r="P117" i="3"/>
  <c r="U116" i="3"/>
  <c r="O116" i="3"/>
  <c r="U115" i="3"/>
  <c r="O115" i="3"/>
  <c r="L113" i="3" s="1"/>
  <c r="V113" i="3"/>
  <c r="P113" i="3"/>
  <c r="U112" i="3"/>
  <c r="O112" i="3"/>
  <c r="L111" i="3" s="1"/>
  <c r="V111" i="3"/>
  <c r="P111" i="3"/>
  <c r="U110" i="3"/>
  <c r="O110" i="3"/>
  <c r="L109" i="3" s="1"/>
  <c r="V109" i="3"/>
  <c r="P109" i="3"/>
  <c r="U108" i="3"/>
  <c r="O108" i="3"/>
  <c r="U107" i="3"/>
  <c r="O107" i="3"/>
  <c r="V106" i="3"/>
  <c r="P106" i="3"/>
  <c r="U105" i="3"/>
  <c r="O105" i="3"/>
  <c r="U104" i="3"/>
  <c r="O104" i="3"/>
  <c r="V103" i="3"/>
  <c r="P103" i="3"/>
  <c r="U101" i="3"/>
  <c r="O101" i="3"/>
  <c r="U100" i="3"/>
  <c r="O100" i="3"/>
  <c r="U99" i="3"/>
  <c r="O99" i="3"/>
  <c r="U98" i="3"/>
  <c r="O98" i="3"/>
  <c r="U97" i="3"/>
  <c r="O97" i="3"/>
  <c r="V96" i="3"/>
  <c r="P96" i="3"/>
  <c r="U95" i="3"/>
  <c r="O95" i="3"/>
  <c r="U94" i="3"/>
  <c r="O94" i="3"/>
  <c r="U93" i="3"/>
  <c r="O93" i="3"/>
  <c r="U92" i="3"/>
  <c r="O92" i="3"/>
  <c r="U91" i="3"/>
  <c r="O91" i="3"/>
  <c r="V90" i="3"/>
  <c r="P90" i="3"/>
  <c r="U89" i="3"/>
  <c r="O89" i="3"/>
  <c r="U88" i="3"/>
  <c r="O88" i="3"/>
  <c r="U87" i="3"/>
  <c r="O87" i="3"/>
  <c r="U86" i="3"/>
  <c r="O86" i="3"/>
  <c r="U85" i="3"/>
  <c r="O85" i="3"/>
  <c r="U84" i="3"/>
  <c r="O84" i="3"/>
  <c r="U83" i="3"/>
  <c r="O83" i="3"/>
  <c r="U82" i="3"/>
  <c r="O82" i="3"/>
  <c r="U81" i="3"/>
  <c r="O81" i="3"/>
  <c r="U80" i="3"/>
  <c r="O80" i="3"/>
  <c r="U79" i="3"/>
  <c r="O79" i="3"/>
  <c r="U78" i="3"/>
  <c r="O78" i="3"/>
  <c r="U77" i="3"/>
  <c r="O77" i="3"/>
  <c r="U76" i="3"/>
  <c r="O76" i="3"/>
  <c r="V74" i="3"/>
  <c r="P74" i="3"/>
  <c r="U73" i="3"/>
  <c r="O73" i="3"/>
  <c r="U72" i="3"/>
  <c r="O72" i="3"/>
  <c r="U71" i="3"/>
  <c r="O71" i="3"/>
  <c r="U70" i="3"/>
  <c r="O70" i="3"/>
  <c r="U69" i="3"/>
  <c r="O69" i="3"/>
  <c r="V68" i="3"/>
  <c r="P68" i="3"/>
  <c r="U67" i="3"/>
  <c r="O67" i="3"/>
  <c r="U66" i="3"/>
  <c r="O66" i="3"/>
  <c r="U65" i="3"/>
  <c r="O65" i="3"/>
  <c r="U64" i="3"/>
  <c r="O64" i="3"/>
  <c r="U63" i="3"/>
  <c r="O63" i="3"/>
  <c r="V62" i="3"/>
  <c r="P62" i="3"/>
  <c r="U61" i="3"/>
  <c r="O61" i="3"/>
  <c r="U60" i="3"/>
  <c r="O60" i="3"/>
  <c r="U59" i="3"/>
  <c r="O59" i="3"/>
  <c r="U58" i="3"/>
  <c r="O58" i="3"/>
  <c r="U57" i="3"/>
  <c r="O57" i="3"/>
  <c r="V56" i="3"/>
  <c r="P56" i="3"/>
  <c r="U55" i="3"/>
  <c r="O55" i="3"/>
  <c r="U54" i="3"/>
  <c r="O54" i="3"/>
  <c r="U53" i="3"/>
  <c r="O53" i="3"/>
  <c r="U52" i="3"/>
  <c r="O52" i="3"/>
  <c r="U51" i="3"/>
  <c r="O51" i="3"/>
  <c r="U50" i="3"/>
  <c r="O50" i="3"/>
  <c r="U49" i="3"/>
  <c r="O49" i="3"/>
  <c r="U48" i="3"/>
  <c r="O48" i="3"/>
  <c r="U47" i="3"/>
  <c r="O47" i="3"/>
  <c r="U46" i="3"/>
  <c r="O46" i="3"/>
  <c r="U45" i="3"/>
  <c r="O45" i="3"/>
  <c r="U44" i="3"/>
  <c r="O44" i="3"/>
  <c r="U43" i="3"/>
  <c r="O43" i="3"/>
  <c r="U42" i="3"/>
  <c r="O42" i="3"/>
  <c r="L40" i="3" s="1"/>
  <c r="O40" i="3" s="1"/>
  <c r="V40" i="3"/>
  <c r="P40" i="3"/>
  <c r="U39" i="3"/>
  <c r="O39" i="3"/>
  <c r="U38" i="3"/>
  <c r="O38" i="3"/>
  <c r="U37" i="3"/>
  <c r="O37" i="3"/>
  <c r="U36" i="3"/>
  <c r="O36" i="3"/>
  <c r="U35" i="3"/>
  <c r="O35" i="3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V24" i="3"/>
  <c r="P24" i="3"/>
  <c r="U23" i="3"/>
  <c r="O23" i="3"/>
  <c r="L22" i="3" s="1"/>
  <c r="V22" i="3"/>
  <c r="P22" i="3"/>
  <c r="U21" i="3"/>
  <c r="O21" i="3"/>
  <c r="U20" i="3"/>
  <c r="O20" i="3"/>
  <c r="U19" i="3"/>
  <c r="O19" i="3"/>
  <c r="V18" i="3"/>
  <c r="P18" i="3"/>
  <c r="U17" i="3"/>
  <c r="O17" i="3"/>
  <c r="U16" i="3"/>
  <c r="O16" i="3"/>
  <c r="V15" i="3"/>
  <c r="P15" i="3"/>
  <c r="J238" i="3" l="1"/>
  <c r="I922" i="3"/>
  <c r="Q923" i="3" s="1"/>
  <c r="Q812" i="3"/>
  <c r="L772" i="3"/>
  <c r="O772" i="3" s="1"/>
  <c r="Q772" i="3" s="1"/>
  <c r="L784" i="3"/>
  <c r="O784" i="3" s="1"/>
  <c r="L320" i="3"/>
  <c r="P878" i="3"/>
  <c r="L769" i="3"/>
  <c r="O769" i="3" s="1"/>
  <c r="L781" i="3"/>
  <c r="R694" i="3"/>
  <c r="U694" i="3" s="1"/>
  <c r="R706" i="3"/>
  <c r="U706" i="3" s="1"/>
  <c r="L349" i="3"/>
  <c r="N349" i="3" s="1"/>
  <c r="L558" i="3"/>
  <c r="Q617" i="3"/>
  <c r="P614" i="3"/>
  <c r="L790" i="3"/>
  <c r="O790" i="3" s="1"/>
  <c r="L802" i="3"/>
  <c r="O802" i="3" s="1"/>
  <c r="Q802" i="3" s="1"/>
  <c r="L436" i="3"/>
  <c r="O436" i="3" s="1"/>
  <c r="Q436" i="3" s="1"/>
  <c r="L691" i="3"/>
  <c r="L739" i="3"/>
  <c r="O739" i="3" s="1"/>
  <c r="R742" i="3"/>
  <c r="R766" i="3"/>
  <c r="T766" i="3" s="1"/>
  <c r="R778" i="3"/>
  <c r="U778" i="3" s="1"/>
  <c r="R481" i="3"/>
  <c r="R640" i="3"/>
  <c r="T640" i="3" s="1"/>
  <c r="R664" i="3"/>
  <c r="T664" i="3" s="1"/>
  <c r="R355" i="3"/>
  <c r="R117" i="3"/>
  <c r="T117" i="3" s="1"/>
  <c r="R275" i="3"/>
  <c r="L418" i="3"/>
  <c r="O418" i="3" s="1"/>
  <c r="Q418" i="3" s="1"/>
  <c r="L721" i="3"/>
  <c r="O721" i="3" s="1"/>
  <c r="Q721" i="3" s="1"/>
  <c r="R748" i="3"/>
  <c r="Q172" i="3"/>
  <c r="R385" i="3"/>
  <c r="U385" i="3" s="1"/>
  <c r="R406" i="3"/>
  <c r="R636" i="3"/>
  <c r="R733" i="3"/>
  <c r="L757" i="3"/>
  <c r="N757" i="3" s="1"/>
  <c r="R109" i="3"/>
  <c r="U109" i="3" s="1"/>
  <c r="R113" i="3"/>
  <c r="R172" i="3"/>
  <c r="T172" i="3" s="1"/>
  <c r="R391" i="3"/>
  <c r="T391" i="3" s="1"/>
  <c r="R403" i="3"/>
  <c r="R415" i="3"/>
  <c r="U415" i="3" s="1"/>
  <c r="R22" i="3"/>
  <c r="R155" i="3"/>
  <c r="U155" i="3" s="1"/>
  <c r="W155" i="3" s="1"/>
  <c r="R316" i="3"/>
  <c r="U316" i="3" s="1"/>
  <c r="R349" i="3"/>
  <c r="Q373" i="3"/>
  <c r="L633" i="3"/>
  <c r="O633" i="3" s="1"/>
  <c r="Q633" i="3" s="1"/>
  <c r="R793" i="3"/>
  <c r="L106" i="3"/>
  <c r="O106" i="3" s="1"/>
  <c r="Q106" i="3" s="1"/>
  <c r="R561" i="3"/>
  <c r="R615" i="3"/>
  <c r="T615" i="3" s="1"/>
  <c r="R630" i="3"/>
  <c r="T630" i="3" s="1"/>
  <c r="R658" i="3"/>
  <c r="R691" i="3"/>
  <c r="R15" i="3"/>
  <c r="T15" i="3" s="1"/>
  <c r="R103" i="3"/>
  <c r="R143" i="3"/>
  <c r="T143" i="3" s="1"/>
  <c r="R170" i="3"/>
  <c r="R232" i="3"/>
  <c r="U232" i="3" s="1"/>
  <c r="R256" i="3"/>
  <c r="T256" i="3" s="1"/>
  <c r="L409" i="3"/>
  <c r="L640" i="3"/>
  <c r="O640" i="3" s="1"/>
  <c r="Q640" i="3" s="1"/>
  <c r="R799" i="3"/>
  <c r="T799" i="3" s="1"/>
  <c r="L242" i="3"/>
  <c r="R361" i="3"/>
  <c r="U361" i="3" s="1"/>
  <c r="W361" i="3" s="1"/>
  <c r="R578" i="3"/>
  <c r="R242" i="3"/>
  <c r="T242" i="3" s="1"/>
  <c r="L266" i="3"/>
  <c r="N266" i="3" s="1"/>
  <c r="R298" i="3"/>
  <c r="R303" i="3"/>
  <c r="U303" i="3" s="1"/>
  <c r="L543" i="3"/>
  <c r="N543" i="3" s="1"/>
  <c r="Q694" i="3"/>
  <c r="L718" i="3"/>
  <c r="N718" i="3" s="1"/>
  <c r="L796" i="3"/>
  <c r="O796" i="3" s="1"/>
  <c r="Q796" i="3" s="1"/>
  <c r="L900" i="3"/>
  <c r="R74" i="3"/>
  <c r="T74" i="3" s="1"/>
  <c r="R199" i="3"/>
  <c r="R222" i="3"/>
  <c r="U222" i="3" s="1"/>
  <c r="R252" i="3"/>
  <c r="L394" i="3"/>
  <c r="O394" i="3" s="1"/>
  <c r="Q394" i="3" s="1"/>
  <c r="L397" i="3"/>
  <c r="N397" i="3" s="1"/>
  <c r="L512" i="3"/>
  <c r="L90" i="3"/>
  <c r="O90" i="3" s="1"/>
  <c r="Q90" i="3" s="1"/>
  <c r="L421" i="3"/>
  <c r="O421" i="3" s="1"/>
  <c r="Q421" i="3" s="1"/>
  <c r="R718" i="3"/>
  <c r="L763" i="3"/>
  <c r="O763" i="3" s="1"/>
  <c r="Q763" i="3" s="1"/>
  <c r="L775" i="3"/>
  <c r="O775" i="3" s="1"/>
  <c r="Q775" i="3" s="1"/>
  <c r="R96" i="3"/>
  <c r="L664" i="3"/>
  <c r="O664" i="3" s="1"/>
  <c r="Q664" i="3" s="1"/>
  <c r="L676" i="3"/>
  <c r="L688" i="3"/>
  <c r="O688" i="3" s="1"/>
  <c r="Q688" i="3" s="1"/>
  <c r="R763" i="3"/>
  <c r="U763" i="3" s="1"/>
  <c r="L787" i="3"/>
  <c r="N787" i="3" s="1"/>
  <c r="Q808" i="3"/>
  <c r="N170" i="3"/>
  <c r="O170" i="3"/>
  <c r="Q170" i="3" s="1"/>
  <c r="O900" i="3"/>
  <c r="Q900" i="3" s="1"/>
  <c r="N900" i="3"/>
  <c r="N117" i="3"/>
  <c r="O117" i="3"/>
  <c r="Q117" i="3" s="1"/>
  <c r="O766" i="3"/>
  <c r="Q766" i="3" s="1"/>
  <c r="N766" i="3"/>
  <c r="N691" i="3"/>
  <c r="O691" i="3"/>
  <c r="Q691" i="3" s="1"/>
  <c r="O820" i="3"/>
  <c r="Q820" i="3" s="1"/>
  <c r="N820" i="3"/>
  <c r="P14" i="3"/>
  <c r="L62" i="3"/>
  <c r="O62" i="3" s="1"/>
  <c r="Q62" i="3" s="1"/>
  <c r="R90" i="3"/>
  <c r="L161" i="3"/>
  <c r="R194" i="3"/>
  <c r="U194" i="3" s="1"/>
  <c r="L222" i="3"/>
  <c r="O222" i="3" s="1"/>
  <c r="Q222" i="3" s="1"/>
  <c r="R245" i="3"/>
  <c r="R293" i="3"/>
  <c r="L406" i="3"/>
  <c r="O406" i="3" s="1"/>
  <c r="Q406" i="3" s="1"/>
  <c r="L528" i="3"/>
  <c r="O528" i="3" s="1"/>
  <c r="Q528" i="3" s="1"/>
  <c r="L582" i="3"/>
  <c r="L652" i="3"/>
  <c r="R682" i="3"/>
  <c r="T682" i="3" s="1"/>
  <c r="P538" i="3"/>
  <c r="L18" i="3"/>
  <c r="O18" i="3" s="1"/>
  <c r="Q18" i="3" s="1"/>
  <c r="R120" i="3"/>
  <c r="L189" i="3"/>
  <c r="O189" i="3" s="1"/>
  <c r="Q189" i="3" s="1"/>
  <c r="R204" i="3"/>
  <c r="T204" i="3" s="1"/>
  <c r="L252" i="3"/>
  <c r="N252" i="3" s="1"/>
  <c r="R263" i="3"/>
  <c r="L312" i="3"/>
  <c r="O312" i="3" s="1"/>
  <c r="Q312" i="3" s="1"/>
  <c r="R337" i="3"/>
  <c r="T337" i="3" s="1"/>
  <c r="L355" i="3"/>
  <c r="O355" i="3" s="1"/>
  <c r="Q355" i="3" s="1"/>
  <c r="L454" i="3"/>
  <c r="O454" i="3" s="1"/>
  <c r="Q454" i="3" s="1"/>
  <c r="R533" i="3"/>
  <c r="L561" i="3"/>
  <c r="N561" i="3" s="1"/>
  <c r="L574" i="3"/>
  <c r="L670" i="3"/>
  <c r="L715" i="3"/>
  <c r="O715" i="3" s="1"/>
  <c r="Q715" i="3" s="1"/>
  <c r="L730" i="3"/>
  <c r="O730" i="3" s="1"/>
  <c r="Q730" i="3" s="1"/>
  <c r="L745" i="3"/>
  <c r="L748" i="3"/>
  <c r="O748" i="3" s="1"/>
  <c r="Q748" i="3" s="1"/>
  <c r="L799" i="3"/>
  <c r="O799" i="3" s="1"/>
  <c r="Q799" i="3" s="1"/>
  <c r="R865" i="3"/>
  <c r="T865" i="3" s="1"/>
  <c r="V878" i="3"/>
  <c r="Q40" i="3"/>
  <c r="V102" i="3"/>
  <c r="L167" i="3"/>
  <c r="N167" i="3" s="1"/>
  <c r="L204" i="3"/>
  <c r="L522" i="3"/>
  <c r="O522" i="3" s="1"/>
  <c r="Q522" i="3" s="1"/>
  <c r="R564" i="3"/>
  <c r="R569" i="3"/>
  <c r="T569" i="3" s="1"/>
  <c r="L879" i="3"/>
  <c r="O879" i="3" s="1"/>
  <c r="R40" i="3"/>
  <c r="R132" i="3"/>
  <c r="R161" i="3"/>
  <c r="L184" i="3"/>
  <c r="O184" i="3" s="1"/>
  <c r="Q184" i="3" s="1"/>
  <c r="R211" i="3"/>
  <c r="T211" i="3" s="1"/>
  <c r="L249" i="3"/>
  <c r="N249" i="3" s="1"/>
  <c r="L278" i="3"/>
  <c r="N278" i="3" s="1"/>
  <c r="R320" i="3"/>
  <c r="R325" i="3"/>
  <c r="L361" i="3"/>
  <c r="N361" i="3" s="1"/>
  <c r="L424" i="3"/>
  <c r="L451" i="3"/>
  <c r="O451" i="3" s="1"/>
  <c r="Q451" i="3" s="1"/>
  <c r="R539" i="3"/>
  <c r="L551" i="3"/>
  <c r="N551" i="3" s="1"/>
  <c r="L700" i="3"/>
  <c r="N700" i="3" s="1"/>
  <c r="L727" i="3"/>
  <c r="L778" i="3"/>
  <c r="R781" i="3"/>
  <c r="U781" i="3" s="1"/>
  <c r="N812" i="3"/>
  <c r="L120" i="3"/>
  <c r="O120" i="3" s="1"/>
  <c r="L155" i="3"/>
  <c r="N155" i="3" s="1"/>
  <c r="L199" i="3"/>
  <c r="O199" i="3" s="1"/>
  <c r="Q199" i="3" s="1"/>
  <c r="L211" i="3"/>
  <c r="N211" i="3" s="1"/>
  <c r="L238" i="3"/>
  <c r="N238" i="3" s="1"/>
  <c r="L256" i="3"/>
  <c r="O256" i="3" s="1"/>
  <c r="Q256" i="3" s="1"/>
  <c r="L385" i="3"/>
  <c r="O385" i="3" s="1"/>
  <c r="Q385" i="3" s="1"/>
  <c r="L507" i="3"/>
  <c r="O507" i="3" s="1"/>
  <c r="Q507" i="3" s="1"/>
  <c r="L517" i="3"/>
  <c r="O517" i="3" s="1"/>
  <c r="Q517" i="3" s="1"/>
  <c r="R543" i="3"/>
  <c r="U543" i="3" s="1"/>
  <c r="R551" i="3"/>
  <c r="U551" i="3" s="1"/>
  <c r="W551" i="3" s="1"/>
  <c r="L609" i="3"/>
  <c r="O609" i="3" s="1"/>
  <c r="Q609" i="3" s="1"/>
  <c r="R621" i="3"/>
  <c r="U621" i="3" s="1"/>
  <c r="W621" i="3" s="1"/>
  <c r="L658" i="3"/>
  <c r="O658" i="3" s="1"/>
  <c r="Q658" i="3" s="1"/>
  <c r="R676" i="3"/>
  <c r="T676" i="3" s="1"/>
  <c r="P805" i="3"/>
  <c r="L865" i="3"/>
  <c r="N865" i="3" s="1"/>
  <c r="R68" i="3"/>
  <c r="L179" i="3"/>
  <c r="O179" i="3" s="1"/>
  <c r="Q179" i="3" s="1"/>
  <c r="R238" i="3"/>
  <c r="R269" i="3"/>
  <c r="L433" i="3"/>
  <c r="N433" i="3" s="1"/>
  <c r="L448" i="3"/>
  <c r="O448" i="3" s="1"/>
  <c r="Q448" i="3" s="1"/>
  <c r="L564" i="3"/>
  <c r="O564" i="3" s="1"/>
  <c r="Q564" i="3" s="1"/>
  <c r="L627" i="3"/>
  <c r="O627" i="3" s="1"/>
  <c r="Q627" i="3" s="1"/>
  <c r="L697" i="3"/>
  <c r="O697" i="3" s="1"/>
  <c r="Q697" i="3" s="1"/>
  <c r="L709" i="3"/>
  <c r="O709" i="3" s="1"/>
  <c r="Q709" i="3" s="1"/>
  <c r="L736" i="3"/>
  <c r="R739" i="3"/>
  <c r="L751" i="3"/>
  <c r="O751" i="3" s="1"/>
  <c r="Q751" i="3" s="1"/>
  <c r="L793" i="3"/>
  <c r="O793" i="3" s="1"/>
  <c r="Q793" i="3" s="1"/>
  <c r="N109" i="3"/>
  <c r="O109" i="3"/>
  <c r="Q109" i="3" s="1"/>
  <c r="O816" i="3"/>
  <c r="Q816" i="3" s="1"/>
  <c r="N816" i="3"/>
  <c r="U245" i="3"/>
  <c r="W245" i="3" s="1"/>
  <c r="T245" i="3"/>
  <c r="O252" i="3"/>
  <c r="Q252" i="3" s="1"/>
  <c r="N799" i="3"/>
  <c r="N204" i="3"/>
  <c r="O204" i="3"/>
  <c r="Q204" i="3" s="1"/>
  <c r="U40" i="3"/>
  <c r="T40" i="3"/>
  <c r="O111" i="3"/>
  <c r="Q111" i="3" s="1"/>
  <c r="N111" i="3"/>
  <c r="O582" i="3"/>
  <c r="Q582" i="3" s="1"/>
  <c r="N582" i="3"/>
  <c r="O824" i="3"/>
  <c r="Q824" i="3" s="1"/>
  <c r="N824" i="3"/>
  <c r="T90" i="3"/>
  <c r="T155" i="3"/>
  <c r="N796" i="3"/>
  <c r="L56" i="3"/>
  <c r="O56" i="3" s="1"/>
  <c r="Q56" i="3" s="1"/>
  <c r="L194" i="3"/>
  <c r="N194" i="3" s="1"/>
  <c r="R249" i="3"/>
  <c r="L275" i="3"/>
  <c r="O275" i="3" s="1"/>
  <c r="Q275" i="3" s="1"/>
  <c r="L308" i="3"/>
  <c r="N308" i="3" s="1"/>
  <c r="L442" i="3"/>
  <c r="O442" i="3" s="1"/>
  <c r="Q442" i="3" s="1"/>
  <c r="L457" i="3"/>
  <c r="O457" i="3" s="1"/>
  <c r="Q457" i="3" s="1"/>
  <c r="L472" i="3"/>
  <c r="O472" i="3" s="1"/>
  <c r="Q472" i="3" s="1"/>
  <c r="L476" i="3"/>
  <c r="R555" i="3"/>
  <c r="R574" i="3"/>
  <c r="R627" i="3"/>
  <c r="L706" i="3"/>
  <c r="O706" i="3" s="1"/>
  <c r="Q706" i="3" s="1"/>
  <c r="Q739" i="3"/>
  <c r="Q754" i="3"/>
  <c r="L760" i="3"/>
  <c r="O760" i="3" s="1"/>
  <c r="Q760" i="3" s="1"/>
  <c r="N769" i="3"/>
  <c r="N772" i="3"/>
  <c r="N784" i="3"/>
  <c r="O787" i="3"/>
  <c r="Q787" i="3" s="1"/>
  <c r="R900" i="3"/>
  <c r="T900" i="3" s="1"/>
  <c r="L103" i="3"/>
  <c r="O103" i="3" s="1"/>
  <c r="L298" i="3"/>
  <c r="R308" i="3"/>
  <c r="T308" i="3" s="1"/>
  <c r="R312" i="3"/>
  <c r="L403" i="3"/>
  <c r="L497" i="3"/>
  <c r="L533" i="3"/>
  <c r="O533" i="3" s="1"/>
  <c r="Q533" i="3" s="1"/>
  <c r="L555" i="3"/>
  <c r="O555" i="3" s="1"/>
  <c r="Q555" i="3" s="1"/>
  <c r="L724" i="3"/>
  <c r="O724" i="3" s="1"/>
  <c r="Q724" i="3" s="1"/>
  <c r="N754" i="3"/>
  <c r="L74" i="3"/>
  <c r="L96" i="3"/>
  <c r="N96" i="3" s="1"/>
  <c r="L132" i="3"/>
  <c r="L269" i="3"/>
  <c r="O269" i="3" s="1"/>
  <c r="Q269" i="3" s="1"/>
  <c r="R272" i="3"/>
  <c r="L288" i="3"/>
  <c r="O288" i="3" s="1"/>
  <c r="Q288" i="3" s="1"/>
  <c r="L379" i="3"/>
  <c r="L391" i="3"/>
  <c r="N391" i="3" s="1"/>
  <c r="R394" i="3"/>
  <c r="U394" i="3" s="1"/>
  <c r="L481" i="3"/>
  <c r="O481" i="3" s="1"/>
  <c r="Q481" i="3" s="1"/>
  <c r="L539" i="3"/>
  <c r="O539" i="3" s="1"/>
  <c r="N617" i="3"/>
  <c r="L636" i="3"/>
  <c r="O636" i="3" s="1"/>
  <c r="Q636" i="3" s="1"/>
  <c r="N694" i="3"/>
  <c r="R697" i="3"/>
  <c r="R703" i="3"/>
  <c r="R790" i="3"/>
  <c r="U790" i="3" s="1"/>
  <c r="L15" i="3"/>
  <c r="O15" i="3" s="1"/>
  <c r="L68" i="3"/>
  <c r="N68" i="3" s="1"/>
  <c r="L232" i="3"/>
  <c r="R259" i="3"/>
  <c r="R288" i="3"/>
  <c r="L293" i="3"/>
  <c r="N293" i="3" s="1"/>
  <c r="R379" i="3"/>
  <c r="L462" i="3"/>
  <c r="O462" i="3" s="1"/>
  <c r="Q462" i="3" s="1"/>
  <c r="L467" i="3"/>
  <c r="N467" i="3" s="1"/>
  <c r="L569" i="3"/>
  <c r="O569" i="3" s="1"/>
  <c r="Q569" i="3" s="1"/>
  <c r="L578" i="3"/>
  <c r="O578" i="3" s="1"/>
  <c r="Q578" i="3" s="1"/>
  <c r="L605" i="3"/>
  <c r="L621" i="3"/>
  <c r="N621" i="3" s="1"/>
  <c r="L703" i="3"/>
  <c r="O703" i="3" s="1"/>
  <c r="Q703" i="3" s="1"/>
  <c r="L826" i="3"/>
  <c r="N826" i="3" s="1"/>
  <c r="L853" i="3"/>
  <c r="O853" i="3" s="1"/>
  <c r="Q853" i="3" s="1"/>
  <c r="R879" i="3"/>
  <c r="T879" i="3" s="1"/>
  <c r="O167" i="3"/>
  <c r="Q167" i="3" s="1"/>
  <c r="L174" i="3"/>
  <c r="O174" i="3" s="1"/>
  <c r="Q174" i="3" s="1"/>
  <c r="L259" i="3"/>
  <c r="O259" i="3" s="1"/>
  <c r="Q259" i="3" s="1"/>
  <c r="L316" i="3"/>
  <c r="L415" i="3"/>
  <c r="O415" i="3" s="1"/>
  <c r="Q415" i="3" s="1"/>
  <c r="L430" i="3"/>
  <c r="O430" i="3" s="1"/>
  <c r="Q430" i="3" s="1"/>
  <c r="R433" i="3"/>
  <c r="L485" i="3"/>
  <c r="O485" i="3" s="1"/>
  <c r="Q485" i="3" s="1"/>
  <c r="L502" i="3"/>
  <c r="N502" i="3" s="1"/>
  <c r="R547" i="3"/>
  <c r="U547" i="3" s="1"/>
  <c r="R688" i="3"/>
  <c r="T688" i="3" s="1"/>
  <c r="R700" i="3"/>
  <c r="Q921" i="3"/>
  <c r="Q920" i="3" s="1"/>
  <c r="Q919" i="3" s="1"/>
  <c r="Q918" i="3" s="1"/>
  <c r="L143" i="3"/>
  <c r="O143" i="3" s="1"/>
  <c r="Q143" i="3" s="1"/>
  <c r="R167" i="3"/>
  <c r="L214" i="3"/>
  <c r="N214" i="3" s="1"/>
  <c r="U238" i="3"/>
  <c r="L245" i="3"/>
  <c r="O245" i="3" s="1"/>
  <c r="Q245" i="3" s="1"/>
  <c r="L263" i="3"/>
  <c r="N263" i="3" s="1"/>
  <c r="R266" i="3"/>
  <c r="L303" i="3"/>
  <c r="L325" i="3"/>
  <c r="O325" i="3" s="1"/>
  <c r="L400" i="3"/>
  <c r="O400" i="3" s="1"/>
  <c r="Q400" i="3" s="1"/>
  <c r="R418" i="3"/>
  <c r="L445" i="3"/>
  <c r="O445" i="3" s="1"/>
  <c r="Q445" i="3" s="1"/>
  <c r="L547" i="3"/>
  <c r="O547" i="3" s="1"/>
  <c r="Q547" i="3" s="1"/>
  <c r="R558" i="3"/>
  <c r="U558" i="3" s="1"/>
  <c r="L630" i="3"/>
  <c r="O630" i="3" s="1"/>
  <c r="Q630" i="3" s="1"/>
  <c r="R633" i="3"/>
  <c r="T633" i="3" s="1"/>
  <c r="L682" i="3"/>
  <c r="N682" i="3" s="1"/>
  <c r="L712" i="3"/>
  <c r="O712" i="3" s="1"/>
  <c r="Q712" i="3" s="1"/>
  <c r="L733" i="3"/>
  <c r="N733" i="3" s="1"/>
  <c r="N22" i="3"/>
  <c r="O22" i="3"/>
  <c r="Q22" i="3" s="1"/>
  <c r="T161" i="3"/>
  <c r="U161" i="3"/>
  <c r="U96" i="3"/>
  <c r="T96" i="3"/>
  <c r="R214" i="3"/>
  <c r="L137" i="3"/>
  <c r="R179" i="3"/>
  <c r="N275" i="3"/>
  <c r="R111" i="3"/>
  <c r="P119" i="3"/>
  <c r="R62" i="3"/>
  <c r="U103" i="3"/>
  <c r="T103" i="3"/>
  <c r="O242" i="3"/>
  <c r="Q242" i="3" s="1"/>
  <c r="N242" i="3"/>
  <c r="U170" i="3"/>
  <c r="T170" i="3"/>
  <c r="R174" i="3"/>
  <c r="U204" i="3"/>
  <c r="O349" i="3"/>
  <c r="Q349" i="3" s="1"/>
  <c r="T22" i="3"/>
  <c r="N143" i="3"/>
  <c r="L147" i="3"/>
  <c r="P210" i="3"/>
  <c r="R184" i="3"/>
  <c r="U355" i="3"/>
  <c r="T355" i="3"/>
  <c r="R106" i="3"/>
  <c r="U113" i="3"/>
  <c r="U117" i="3"/>
  <c r="R189" i="3"/>
  <c r="N298" i="3"/>
  <c r="O298" i="3"/>
  <c r="Q298" i="3" s="1"/>
  <c r="R24" i="3"/>
  <c r="O161" i="3"/>
  <c r="Q161" i="3" s="1"/>
  <c r="N161" i="3"/>
  <c r="O214" i="3"/>
  <c r="Q214" i="3" s="1"/>
  <c r="N40" i="3"/>
  <c r="V14" i="3"/>
  <c r="L24" i="3"/>
  <c r="R56" i="3"/>
  <c r="P102" i="3"/>
  <c r="O113" i="3"/>
  <c r="Q113" i="3" s="1"/>
  <c r="N113" i="3"/>
  <c r="U199" i="3"/>
  <c r="T199" i="3"/>
  <c r="O211" i="3"/>
  <c r="R18" i="3"/>
  <c r="R147" i="3"/>
  <c r="N179" i="3"/>
  <c r="N222" i="3"/>
  <c r="O272" i="3"/>
  <c r="Q272" i="3" s="1"/>
  <c r="P324" i="3"/>
  <c r="U349" i="3"/>
  <c r="T349" i="3"/>
  <c r="R427" i="3"/>
  <c r="R373" i="3"/>
  <c r="N90" i="3"/>
  <c r="R137" i="3"/>
  <c r="N172" i="3"/>
  <c r="V210" i="3"/>
  <c r="Q325" i="3"/>
  <c r="R528" i="3"/>
  <c r="U269" i="3"/>
  <c r="U272" i="3"/>
  <c r="U275" i="3"/>
  <c r="U325" i="3"/>
  <c r="L337" i="3"/>
  <c r="R400" i="3"/>
  <c r="R424" i="3"/>
  <c r="O308" i="3"/>
  <c r="Q308" i="3" s="1"/>
  <c r="V324" i="3"/>
  <c r="V119" i="3"/>
  <c r="T298" i="3"/>
  <c r="O397" i="3"/>
  <c r="Q397" i="3" s="1"/>
  <c r="N421" i="3"/>
  <c r="O497" i="3"/>
  <c r="Q497" i="3" s="1"/>
  <c r="N497" i="3"/>
  <c r="R517" i="3"/>
  <c r="O238" i="3"/>
  <c r="Q238" i="3" s="1"/>
  <c r="O293" i="3"/>
  <c r="Q293" i="3" s="1"/>
  <c r="O379" i="3"/>
  <c r="Q379" i="3" s="1"/>
  <c r="N379" i="3"/>
  <c r="U406" i="3"/>
  <c r="T406" i="3"/>
  <c r="R409" i="3"/>
  <c r="L427" i="3"/>
  <c r="R430" i="3"/>
  <c r="N373" i="3"/>
  <c r="O391" i="3"/>
  <c r="Q391" i="3" s="1"/>
  <c r="N394" i="3"/>
  <c r="O476" i="3"/>
  <c r="Q476" i="3" s="1"/>
  <c r="N476" i="3"/>
  <c r="O512" i="3"/>
  <c r="Q512" i="3" s="1"/>
  <c r="N512" i="3"/>
  <c r="O670" i="3"/>
  <c r="Q670" i="3" s="1"/>
  <c r="N670" i="3"/>
  <c r="R278" i="3"/>
  <c r="O320" i="3"/>
  <c r="Q320" i="3" s="1"/>
  <c r="N320" i="3"/>
  <c r="L367" i="3"/>
  <c r="O409" i="3"/>
  <c r="Q409" i="3" s="1"/>
  <c r="N409" i="3"/>
  <c r="L412" i="3"/>
  <c r="R367" i="3"/>
  <c r="R412" i="3"/>
  <c r="N430" i="3"/>
  <c r="O439" i="3"/>
  <c r="Q439" i="3" s="1"/>
  <c r="N439" i="3"/>
  <c r="R476" i="3"/>
  <c r="O424" i="3"/>
  <c r="Q424" i="3" s="1"/>
  <c r="N424" i="3"/>
  <c r="N445" i="3"/>
  <c r="L491" i="3"/>
  <c r="V620" i="3"/>
  <c r="R397" i="3"/>
  <c r="R421" i="3"/>
  <c r="R457" i="3"/>
  <c r="R467" i="3"/>
  <c r="R497" i="3"/>
  <c r="R507" i="3"/>
  <c r="U561" i="3"/>
  <c r="T561" i="3"/>
  <c r="R582" i="3"/>
  <c r="W694" i="3"/>
  <c r="R522" i="3"/>
  <c r="V538" i="3"/>
  <c r="W706" i="3"/>
  <c r="R436" i="3"/>
  <c r="R485" i="3"/>
  <c r="U533" i="3"/>
  <c r="O551" i="3"/>
  <c r="Q551" i="3" s="1"/>
  <c r="T636" i="3"/>
  <c r="U636" i="3"/>
  <c r="T403" i="3"/>
  <c r="R439" i="3"/>
  <c r="U481" i="3"/>
  <c r="T481" i="3"/>
  <c r="R491" i="3"/>
  <c r="O615" i="3"/>
  <c r="N615" i="3"/>
  <c r="O652" i="3"/>
  <c r="Q652" i="3" s="1"/>
  <c r="N652" i="3"/>
  <c r="R442" i="3"/>
  <c r="R445" i="3"/>
  <c r="R448" i="3"/>
  <c r="R451" i="3"/>
  <c r="R454" i="3"/>
  <c r="R462" i="3"/>
  <c r="R472" i="3"/>
  <c r="R502" i="3"/>
  <c r="R512" i="3"/>
  <c r="T555" i="3"/>
  <c r="O558" i="3"/>
  <c r="Q558" i="3" s="1"/>
  <c r="N558" i="3"/>
  <c r="O574" i="3"/>
  <c r="Q574" i="3" s="1"/>
  <c r="N574" i="3"/>
  <c r="R609" i="3"/>
  <c r="R590" i="3"/>
  <c r="R595" i="3"/>
  <c r="R600" i="3"/>
  <c r="R605" i="3"/>
  <c r="P639" i="3"/>
  <c r="R757" i="3"/>
  <c r="O781" i="3"/>
  <c r="Q781" i="3" s="1"/>
  <c r="N781" i="3"/>
  <c r="V614" i="3"/>
  <c r="U658" i="3"/>
  <c r="R715" i="3"/>
  <c r="R721" i="3"/>
  <c r="U733" i="3"/>
  <c r="T733" i="3"/>
  <c r="R769" i="3"/>
  <c r="R775" i="3"/>
  <c r="N814" i="3"/>
  <c r="O814" i="3"/>
  <c r="Q814" i="3" s="1"/>
  <c r="U578" i="3"/>
  <c r="T578" i="3"/>
  <c r="R617" i="3"/>
  <c r="N633" i="3"/>
  <c r="O742" i="3"/>
  <c r="Q742" i="3" s="1"/>
  <c r="N742" i="3"/>
  <c r="O745" i="3"/>
  <c r="Q745" i="3" s="1"/>
  <c r="N745" i="3"/>
  <c r="N818" i="3"/>
  <c r="O818" i="3"/>
  <c r="Q818" i="3" s="1"/>
  <c r="L590" i="3"/>
  <c r="L595" i="3"/>
  <c r="L600" i="3"/>
  <c r="O621" i="3"/>
  <c r="L646" i="3"/>
  <c r="V639" i="3"/>
  <c r="R652" i="3"/>
  <c r="O757" i="3"/>
  <c r="Q757" i="3" s="1"/>
  <c r="P620" i="3"/>
  <c r="R646" i="3"/>
  <c r="O727" i="3"/>
  <c r="Q727" i="3" s="1"/>
  <c r="N727" i="3"/>
  <c r="O826" i="3"/>
  <c r="Q826" i="3" s="1"/>
  <c r="T627" i="3"/>
  <c r="T691" i="3"/>
  <c r="T694" i="3"/>
  <c r="T697" i="3"/>
  <c r="T700" i="3"/>
  <c r="O736" i="3"/>
  <c r="Q736" i="3" s="1"/>
  <c r="N736" i="3"/>
  <c r="R772" i="3"/>
  <c r="O676" i="3"/>
  <c r="Q676" i="3" s="1"/>
  <c r="N676" i="3"/>
  <c r="T706" i="3"/>
  <c r="R745" i="3"/>
  <c r="R712" i="3"/>
  <c r="R736" i="3"/>
  <c r="R760" i="3"/>
  <c r="Q769" i="3"/>
  <c r="U793" i="3"/>
  <c r="T793" i="3"/>
  <c r="R724" i="3"/>
  <c r="U739" i="3"/>
  <c r="U900" i="3"/>
  <c r="U742" i="3"/>
  <c r="R709" i="3"/>
  <c r="T718" i="3"/>
  <c r="T742" i="3"/>
  <c r="U806" i="3"/>
  <c r="T806" i="3"/>
  <c r="R670" i="3"/>
  <c r="R727" i="3"/>
  <c r="U748" i="3"/>
  <c r="Q784" i="3"/>
  <c r="R784" i="3"/>
  <c r="R796" i="3"/>
  <c r="T748" i="3"/>
  <c r="R751" i="3"/>
  <c r="R730" i="3"/>
  <c r="R754" i="3"/>
  <c r="Q790" i="3"/>
  <c r="N810" i="3"/>
  <c r="O810" i="3"/>
  <c r="Q810" i="3" s="1"/>
  <c r="N822" i="3"/>
  <c r="O822" i="3"/>
  <c r="Q822" i="3" s="1"/>
  <c r="R802" i="3"/>
  <c r="V805" i="3"/>
  <c r="R840" i="3"/>
  <c r="R787" i="3"/>
  <c r="N790" i="3"/>
  <c r="N808" i="3"/>
  <c r="U810" i="3"/>
  <c r="T810" i="3"/>
  <c r="U814" i="3"/>
  <c r="T814" i="3"/>
  <c r="U818" i="3"/>
  <c r="T818" i="3"/>
  <c r="U822" i="3"/>
  <c r="T822" i="3"/>
  <c r="R826" i="3"/>
  <c r="L840" i="3"/>
  <c r="R808" i="3"/>
  <c r="U879" i="3"/>
  <c r="O806" i="3"/>
  <c r="W921" i="3"/>
  <c r="W920" i="3" s="1"/>
  <c r="W919" i="3" s="1"/>
  <c r="W918" i="3" s="1"/>
  <c r="V920" i="3"/>
  <c r="V919" i="3" s="1"/>
  <c r="V918" i="3" s="1"/>
  <c r="R812" i="3"/>
  <c r="R816" i="3"/>
  <c r="R820" i="3"/>
  <c r="R824" i="3"/>
  <c r="R853" i="3"/>
  <c r="W877" i="3"/>
  <c r="U676" i="3" l="1"/>
  <c r="N760" i="3"/>
  <c r="N712" i="3"/>
  <c r="N400" i="3"/>
  <c r="N312" i="3"/>
  <c r="T621" i="3"/>
  <c r="T781" i="3"/>
  <c r="U391" i="3"/>
  <c r="W391" i="3" s="1"/>
  <c r="T558" i="3"/>
  <c r="T232" i="3"/>
  <c r="N721" i="3"/>
  <c r="O266" i="3"/>
  <c r="Q266" i="3" s="1"/>
  <c r="T778" i="3"/>
  <c r="N664" i="3"/>
  <c r="N448" i="3"/>
  <c r="N174" i="3"/>
  <c r="N355" i="3"/>
  <c r="N688" i="3"/>
  <c r="U766" i="3"/>
  <c r="O733" i="3"/>
  <c r="Q733" i="3" s="1"/>
  <c r="N715" i="3"/>
  <c r="U615" i="3"/>
  <c r="O155" i="3"/>
  <c r="Q155" i="3" s="1"/>
  <c r="N18" i="3"/>
  <c r="T194" i="3"/>
  <c r="N454" i="3"/>
  <c r="N517" i="3"/>
  <c r="T547" i="3"/>
  <c r="N245" i="3"/>
  <c r="N106" i="3"/>
  <c r="N739" i="3"/>
  <c r="N418" i="3"/>
  <c r="O718" i="3"/>
  <c r="Q718" i="3" s="1"/>
  <c r="N578" i="3"/>
  <c r="N751" i="3"/>
  <c r="N385" i="3"/>
  <c r="O700" i="3"/>
  <c r="Q700" i="3" s="1"/>
  <c r="N406" i="3"/>
  <c r="O467" i="3"/>
  <c r="Q467" i="3" s="1"/>
  <c r="N528" i="3"/>
  <c r="O561" i="3"/>
  <c r="Q561" i="3" s="1"/>
  <c r="N457" i="3"/>
  <c r="O278" i="3"/>
  <c r="Q278" i="3" s="1"/>
  <c r="N640" i="3"/>
  <c r="N709" i="3"/>
  <c r="N485" i="3"/>
  <c r="N436" i="3"/>
  <c r="N802" i="3"/>
  <c r="O543" i="3"/>
  <c r="Q543" i="3" s="1"/>
  <c r="N706" i="3"/>
  <c r="N442" i="3"/>
  <c r="N555" i="3"/>
  <c r="U15" i="3"/>
  <c r="N56" i="3"/>
  <c r="N636" i="3"/>
  <c r="N763" i="3"/>
  <c r="O68" i="3"/>
  <c r="Q68" i="3" s="1"/>
  <c r="N199" i="3"/>
  <c r="U688" i="3"/>
  <c r="T312" i="3"/>
  <c r="U555" i="3"/>
  <c r="N879" i="3"/>
  <c r="U68" i="3"/>
  <c r="T543" i="3"/>
  <c r="U569" i="3"/>
  <c r="U865" i="3"/>
  <c r="U630" i="3"/>
  <c r="U22" i="3"/>
  <c r="U308" i="3"/>
  <c r="N609" i="3"/>
  <c r="T361" i="3"/>
  <c r="U539" i="3"/>
  <c r="W539" i="3" s="1"/>
  <c r="U211" i="3"/>
  <c r="W211" i="3" s="1"/>
  <c r="U564" i="3"/>
  <c r="T533" i="3"/>
  <c r="T252" i="3"/>
  <c r="U403" i="3"/>
  <c r="T113" i="3"/>
  <c r="T275" i="3"/>
  <c r="W238" i="3"/>
  <c r="W303" i="3"/>
  <c r="U120" i="3"/>
  <c r="T293" i="3"/>
  <c r="T222" i="3"/>
  <c r="U799" i="3"/>
  <c r="T385" i="3"/>
  <c r="U664" i="3"/>
  <c r="T394" i="3"/>
  <c r="T418" i="3"/>
  <c r="T272" i="3"/>
  <c r="U90" i="3"/>
  <c r="T551" i="3"/>
  <c r="O249" i="3"/>
  <c r="Q249" i="3" s="1"/>
  <c r="T303" i="3"/>
  <c r="U172" i="3"/>
  <c r="U718" i="3"/>
  <c r="U298" i="3"/>
  <c r="T316" i="3"/>
  <c r="T109" i="3"/>
  <c r="U167" i="3"/>
  <c r="W167" i="3" s="1"/>
  <c r="U433" i="3"/>
  <c r="T790" i="3"/>
  <c r="W543" i="3"/>
  <c r="T739" i="3"/>
  <c r="U132" i="3"/>
  <c r="U337" i="3"/>
  <c r="T763" i="3"/>
  <c r="U74" i="3"/>
  <c r="U143" i="3"/>
  <c r="U640" i="3"/>
  <c r="O263" i="3"/>
  <c r="Q263" i="3" s="1"/>
  <c r="T703" i="3"/>
  <c r="T269" i="3"/>
  <c r="T325" i="3"/>
  <c r="U682" i="3"/>
  <c r="U242" i="3"/>
  <c r="U691" i="3"/>
  <c r="U633" i="3"/>
  <c r="U697" i="3"/>
  <c r="U627" i="3"/>
  <c r="T238" i="3"/>
  <c r="U320" i="3"/>
  <c r="U263" i="3"/>
  <c r="U256" i="3"/>
  <c r="T266" i="3"/>
  <c r="U700" i="3"/>
  <c r="U288" i="3"/>
  <c r="W316" i="3"/>
  <c r="T574" i="3"/>
  <c r="W40" i="3"/>
  <c r="W232" i="3"/>
  <c r="T658" i="3"/>
  <c r="T415" i="3"/>
  <c r="N539" i="3"/>
  <c r="U312" i="3"/>
  <c r="N189" i="3"/>
  <c r="N658" i="3"/>
  <c r="N730" i="3"/>
  <c r="N120" i="3"/>
  <c r="N569" i="3"/>
  <c r="P13" i="3"/>
  <c r="N627" i="3"/>
  <c r="N256" i="3"/>
  <c r="T132" i="3"/>
  <c r="O361" i="3"/>
  <c r="Q361" i="3" s="1"/>
  <c r="T539" i="3"/>
  <c r="O502" i="3"/>
  <c r="Q502" i="3" s="1"/>
  <c r="O194" i="3"/>
  <c r="Q194" i="3" s="1"/>
  <c r="N269" i="3"/>
  <c r="O433" i="3"/>
  <c r="Q433" i="3" s="1"/>
  <c r="O865" i="3"/>
  <c r="Q865" i="3" s="1"/>
  <c r="U574" i="3"/>
  <c r="T564" i="3"/>
  <c r="U418" i="3"/>
  <c r="U252" i="3"/>
  <c r="N775" i="3"/>
  <c r="O878" i="3"/>
  <c r="Q879" i="3"/>
  <c r="Q878" i="3" s="1"/>
  <c r="N724" i="3"/>
  <c r="T120" i="3"/>
  <c r="T68" i="3"/>
  <c r="N547" i="3"/>
  <c r="N462" i="3"/>
  <c r="N259" i="3"/>
  <c r="T288" i="3"/>
  <c r="N288" i="3"/>
  <c r="N697" i="3"/>
  <c r="N62" i="3"/>
  <c r="T263" i="3"/>
  <c r="O778" i="3"/>
  <c r="Q778" i="3" s="1"/>
  <c r="N778" i="3"/>
  <c r="N325" i="3"/>
  <c r="N853" i="3"/>
  <c r="N748" i="3"/>
  <c r="N451" i="3"/>
  <c r="T167" i="3"/>
  <c r="N184" i="3"/>
  <c r="N564" i="3"/>
  <c r="N507" i="3"/>
  <c r="U293" i="3"/>
  <c r="N793" i="3"/>
  <c r="N522" i="3"/>
  <c r="O682" i="3"/>
  <c r="Q682" i="3" s="1"/>
  <c r="O96" i="3"/>
  <c r="Q96" i="3" s="1"/>
  <c r="T320" i="3"/>
  <c r="N481" i="3"/>
  <c r="T433" i="3"/>
  <c r="N15" i="3"/>
  <c r="N316" i="3"/>
  <c r="O316" i="3"/>
  <c r="Q316" i="3" s="1"/>
  <c r="N132" i="3"/>
  <c r="O132" i="3"/>
  <c r="Q132" i="3" s="1"/>
  <c r="U266" i="3"/>
  <c r="O605" i="3"/>
  <c r="Q605" i="3" s="1"/>
  <c r="N605" i="3"/>
  <c r="N703" i="3"/>
  <c r="N630" i="3"/>
  <c r="N415" i="3"/>
  <c r="N103" i="3"/>
  <c r="U259" i="3"/>
  <c r="T259" i="3"/>
  <c r="O74" i="3"/>
  <c r="Q74" i="3" s="1"/>
  <c r="N74" i="3"/>
  <c r="N403" i="3"/>
  <c r="O403" i="3"/>
  <c r="Q403" i="3" s="1"/>
  <c r="N472" i="3"/>
  <c r="N232" i="3"/>
  <c r="O232" i="3"/>
  <c r="Q232" i="3" s="1"/>
  <c r="U703" i="3"/>
  <c r="N533" i="3"/>
  <c r="P619" i="3"/>
  <c r="N303" i="3"/>
  <c r="O303" i="3"/>
  <c r="Q303" i="3" s="1"/>
  <c r="U379" i="3"/>
  <c r="T379" i="3"/>
  <c r="T249" i="3"/>
  <c r="U249" i="3"/>
  <c r="W814" i="3"/>
  <c r="U605" i="3"/>
  <c r="T605" i="3"/>
  <c r="U106" i="3"/>
  <c r="T106" i="3"/>
  <c r="U853" i="3"/>
  <c r="T853" i="3"/>
  <c r="U812" i="3"/>
  <c r="T812" i="3"/>
  <c r="O840" i="3"/>
  <c r="Q840" i="3" s="1"/>
  <c r="N840" i="3"/>
  <c r="U840" i="3"/>
  <c r="T840" i="3"/>
  <c r="U727" i="3"/>
  <c r="T727" i="3"/>
  <c r="W766" i="3"/>
  <c r="W781" i="3"/>
  <c r="W793" i="3"/>
  <c r="O646" i="3"/>
  <c r="N646" i="3"/>
  <c r="W658" i="3"/>
  <c r="U757" i="3"/>
  <c r="T757" i="3"/>
  <c r="U600" i="3"/>
  <c r="T600" i="3"/>
  <c r="U454" i="3"/>
  <c r="T454" i="3"/>
  <c r="U439" i="3"/>
  <c r="T439" i="3"/>
  <c r="O491" i="3"/>
  <c r="Q491" i="3" s="1"/>
  <c r="N491" i="3"/>
  <c r="W394" i="3"/>
  <c r="W275" i="3"/>
  <c r="W222" i="3"/>
  <c r="U137" i="3"/>
  <c r="T137" i="3"/>
  <c r="W349" i="3"/>
  <c r="U184" i="3"/>
  <c r="T184" i="3"/>
  <c r="U214" i="3"/>
  <c r="T214" i="3"/>
  <c r="W161" i="3"/>
  <c r="U826" i="3"/>
  <c r="T826" i="3"/>
  <c r="W810" i="3"/>
  <c r="U796" i="3"/>
  <c r="T796" i="3"/>
  <c r="U670" i="3"/>
  <c r="T670" i="3"/>
  <c r="W763" i="3"/>
  <c r="U772" i="3"/>
  <c r="T772" i="3"/>
  <c r="U595" i="3"/>
  <c r="T595" i="3"/>
  <c r="Q539" i="3"/>
  <c r="U512" i="3"/>
  <c r="T512" i="3"/>
  <c r="U451" i="3"/>
  <c r="T451" i="3"/>
  <c r="Q615" i="3"/>
  <c r="Q614" i="3" s="1"/>
  <c r="O614" i="3"/>
  <c r="W533" i="3"/>
  <c r="W615" i="3"/>
  <c r="W561" i="3"/>
  <c r="U467" i="3"/>
  <c r="T467" i="3"/>
  <c r="W415" i="3"/>
  <c r="W406" i="3"/>
  <c r="W272" i="3"/>
  <c r="W433" i="3"/>
  <c r="V13" i="3"/>
  <c r="Q120" i="3"/>
  <c r="W204" i="3"/>
  <c r="U62" i="3"/>
  <c r="T62" i="3"/>
  <c r="U111" i="3"/>
  <c r="T111" i="3"/>
  <c r="Q103" i="3"/>
  <c r="Q102" i="3" s="1"/>
  <c r="O102" i="3"/>
  <c r="U497" i="3"/>
  <c r="T497" i="3"/>
  <c r="U824" i="3"/>
  <c r="T824" i="3"/>
  <c r="Q806" i="3"/>
  <c r="W790" i="3"/>
  <c r="W742" i="3"/>
  <c r="T646" i="3"/>
  <c r="U646" i="3"/>
  <c r="W578" i="3"/>
  <c r="W733" i="3"/>
  <c r="U590" i="3"/>
  <c r="T590" i="3"/>
  <c r="U448" i="3"/>
  <c r="T448" i="3"/>
  <c r="U412" i="3"/>
  <c r="T412" i="3"/>
  <c r="N412" i="3"/>
  <c r="O412" i="3"/>
  <c r="Q412" i="3" s="1"/>
  <c r="U424" i="3"/>
  <c r="T424" i="3"/>
  <c r="W269" i="3"/>
  <c r="U147" i="3"/>
  <c r="T147" i="3"/>
  <c r="Q211" i="3"/>
  <c r="W109" i="3"/>
  <c r="P209" i="3"/>
  <c r="U174" i="3"/>
  <c r="T174" i="3"/>
  <c r="W778" i="3"/>
  <c r="U715" i="3"/>
  <c r="T715" i="3"/>
  <c r="U462" i="3"/>
  <c r="T462" i="3"/>
  <c r="W325" i="3"/>
  <c r="N137" i="3"/>
  <c r="O137" i="3"/>
  <c r="Q137" i="3" s="1"/>
  <c r="W822" i="3"/>
  <c r="W739" i="3"/>
  <c r="O620" i="3"/>
  <c r="Q621" i="3"/>
  <c r="Q620" i="3" s="1"/>
  <c r="U502" i="3"/>
  <c r="T502" i="3"/>
  <c r="U445" i="3"/>
  <c r="T445" i="3"/>
  <c r="U522" i="3"/>
  <c r="T522" i="3"/>
  <c r="U457" i="3"/>
  <c r="T457" i="3"/>
  <c r="U476" i="3"/>
  <c r="T476" i="3"/>
  <c r="U430" i="3"/>
  <c r="T430" i="3"/>
  <c r="U373" i="3"/>
  <c r="T373" i="3"/>
  <c r="W308" i="3"/>
  <c r="U18" i="3"/>
  <c r="T18" i="3"/>
  <c r="U24" i="3"/>
  <c r="T24" i="3"/>
  <c r="U617" i="3"/>
  <c r="T617" i="3"/>
  <c r="W355" i="3"/>
  <c r="U820" i="3"/>
  <c r="T820" i="3"/>
  <c r="U802" i="3"/>
  <c r="T802" i="3"/>
  <c r="U754" i="3"/>
  <c r="T754" i="3"/>
  <c r="U784" i="3"/>
  <c r="T784" i="3"/>
  <c r="W806" i="3"/>
  <c r="U760" i="3"/>
  <c r="T760" i="3"/>
  <c r="U652" i="3"/>
  <c r="T652" i="3"/>
  <c r="O600" i="3"/>
  <c r="Q600" i="3" s="1"/>
  <c r="N600" i="3"/>
  <c r="W676" i="3"/>
  <c r="U442" i="3"/>
  <c r="T442" i="3"/>
  <c r="U491" i="3"/>
  <c r="T491" i="3"/>
  <c r="U485" i="3"/>
  <c r="T485" i="3"/>
  <c r="T582" i="3"/>
  <c r="U582" i="3"/>
  <c r="U421" i="3"/>
  <c r="T421" i="3"/>
  <c r="T278" i="3"/>
  <c r="U278" i="3"/>
  <c r="O427" i="3"/>
  <c r="Q427" i="3" s="1"/>
  <c r="N427" i="3"/>
  <c r="U517" i="3"/>
  <c r="T517" i="3"/>
  <c r="U400" i="3"/>
  <c r="T400" i="3"/>
  <c r="W15" i="3"/>
  <c r="U189" i="3"/>
  <c r="T189" i="3"/>
  <c r="W117" i="3"/>
  <c r="W194" i="3"/>
  <c r="U769" i="3"/>
  <c r="T769" i="3"/>
  <c r="W558" i="3"/>
  <c r="W879" i="3"/>
  <c r="U878" i="3"/>
  <c r="W818" i="3"/>
  <c r="U787" i="3"/>
  <c r="T787" i="3"/>
  <c r="U730" i="3"/>
  <c r="T730" i="3"/>
  <c r="U724" i="3"/>
  <c r="T724" i="3"/>
  <c r="U736" i="3"/>
  <c r="T736" i="3"/>
  <c r="W633" i="3"/>
  <c r="O595" i="3"/>
  <c r="Q595" i="3" s="1"/>
  <c r="N595" i="3"/>
  <c r="U775" i="3"/>
  <c r="T775" i="3"/>
  <c r="U721" i="3"/>
  <c r="T721" i="3"/>
  <c r="U609" i="3"/>
  <c r="T609" i="3"/>
  <c r="U472" i="3"/>
  <c r="T472" i="3"/>
  <c r="U436" i="3"/>
  <c r="T436" i="3"/>
  <c r="U507" i="3"/>
  <c r="T507" i="3"/>
  <c r="U397" i="3"/>
  <c r="T397" i="3"/>
  <c r="T367" i="3"/>
  <c r="U367" i="3"/>
  <c r="N367" i="3"/>
  <c r="O367" i="3"/>
  <c r="Q367" i="3" s="1"/>
  <c r="W547" i="3"/>
  <c r="W385" i="3"/>
  <c r="O337" i="3"/>
  <c r="N337" i="3"/>
  <c r="U528" i="3"/>
  <c r="T528" i="3"/>
  <c r="V209" i="3"/>
  <c r="U427" i="3"/>
  <c r="T427" i="3"/>
  <c r="W199" i="3"/>
  <c r="U56" i="3"/>
  <c r="T56" i="3"/>
  <c r="W113" i="3"/>
  <c r="O147" i="3"/>
  <c r="Q147" i="3" s="1"/>
  <c r="N147" i="3"/>
  <c r="W170" i="3"/>
  <c r="W96" i="3"/>
  <c r="U751" i="3"/>
  <c r="T751" i="3"/>
  <c r="U745" i="3"/>
  <c r="T745" i="3"/>
  <c r="U816" i="3"/>
  <c r="T816" i="3"/>
  <c r="U808" i="3"/>
  <c r="T808" i="3"/>
  <c r="W748" i="3"/>
  <c r="U709" i="3"/>
  <c r="T709" i="3"/>
  <c r="W900" i="3"/>
  <c r="U712" i="3"/>
  <c r="T712" i="3"/>
  <c r="O590" i="3"/>
  <c r="Q590" i="3" s="1"/>
  <c r="N590" i="3"/>
  <c r="W481" i="3"/>
  <c r="W636" i="3"/>
  <c r="W564" i="3"/>
  <c r="V619" i="3"/>
  <c r="U409" i="3"/>
  <c r="T409" i="3"/>
  <c r="W418" i="3"/>
  <c r="O24" i="3"/>
  <c r="Q24" i="3" s="1"/>
  <c r="N24" i="3"/>
  <c r="W120" i="3"/>
  <c r="W103" i="3"/>
  <c r="Q15" i="3"/>
  <c r="U179" i="3"/>
  <c r="T179" i="3"/>
  <c r="W68" i="3"/>
  <c r="Q210" i="3" l="1"/>
  <c r="W555" i="3"/>
  <c r="W312" i="3"/>
  <c r="W249" i="3"/>
  <c r="W703" i="3"/>
  <c r="W266" i="3"/>
  <c r="W90" i="3"/>
  <c r="W569" i="3"/>
  <c r="W259" i="3"/>
  <c r="W288" i="3"/>
  <c r="W256" i="3"/>
  <c r="W627" i="3"/>
  <c r="W143" i="3"/>
  <c r="W298" i="3"/>
  <c r="W664" i="3"/>
  <c r="W403" i="3"/>
  <c r="W691" i="3"/>
  <c r="W22" i="3"/>
  <c r="W132" i="3"/>
  <c r="W293" i="3"/>
  <c r="W379" i="3"/>
  <c r="W700" i="3"/>
  <c r="W263" i="3"/>
  <c r="W697" i="3"/>
  <c r="W74" i="3"/>
  <c r="W718" i="3"/>
  <c r="W242" i="3"/>
  <c r="W172" i="3"/>
  <c r="W630" i="3"/>
  <c r="W320" i="3"/>
  <c r="U620" i="3"/>
  <c r="W799" i="3"/>
  <c r="W688" i="3"/>
  <c r="W252" i="3"/>
  <c r="W682" i="3"/>
  <c r="W865" i="3"/>
  <c r="U614" i="3"/>
  <c r="W574" i="3"/>
  <c r="W640" i="3"/>
  <c r="W337" i="3"/>
  <c r="U538" i="3"/>
  <c r="U102" i="3"/>
  <c r="O14" i="3"/>
  <c r="O805" i="3"/>
  <c r="U119" i="3"/>
  <c r="P12" i="3"/>
  <c r="P11" i="3" s="1"/>
  <c r="P10" i="3" s="1"/>
  <c r="P9" i="3" s="1"/>
  <c r="P8" i="3" s="1"/>
  <c r="P922" i="3" s="1"/>
  <c r="O210" i="3"/>
  <c r="U324" i="3"/>
  <c r="V12" i="3"/>
  <c r="V11" i="3" s="1"/>
  <c r="V10" i="3" s="1"/>
  <c r="V9" i="3" s="1"/>
  <c r="V8" i="3" s="1"/>
  <c r="V922" i="3" s="1"/>
  <c r="Q805" i="3"/>
  <c r="W730" i="3"/>
  <c r="W421" i="3"/>
  <c r="W412" i="3"/>
  <c r="W528" i="3"/>
  <c r="W472" i="3"/>
  <c r="W775" i="3"/>
  <c r="W878" i="3"/>
  <c r="W582" i="3"/>
  <c r="W18" i="3"/>
  <c r="W476" i="3"/>
  <c r="W522" i="3"/>
  <c r="W497" i="3"/>
  <c r="W62" i="3"/>
  <c r="W451" i="3"/>
  <c r="W595" i="3"/>
  <c r="O639" i="3"/>
  <c r="O619" i="3" s="1"/>
  <c r="Q646" i="3"/>
  <c r="Q639" i="3" s="1"/>
  <c r="Q619" i="3" s="1"/>
  <c r="W727" i="3"/>
  <c r="W812" i="3"/>
  <c r="W409" i="3"/>
  <c r="W56" i="3"/>
  <c r="U14" i="3"/>
  <c r="W491" i="3"/>
  <c r="W745" i="3"/>
  <c r="W736" i="3"/>
  <c r="W802" i="3"/>
  <c r="W424" i="3"/>
  <c r="W600" i="3"/>
  <c r="W709" i="3"/>
  <c r="W397" i="3"/>
  <c r="W517" i="3"/>
  <c r="W715" i="3"/>
  <c r="W712" i="3"/>
  <c r="W367" i="3"/>
  <c r="W507" i="3"/>
  <c r="W609" i="3"/>
  <c r="W400" i="3"/>
  <c r="W278" i="3"/>
  <c r="W652" i="3"/>
  <c r="U210" i="3"/>
  <c r="W448" i="3"/>
  <c r="W646" i="3"/>
  <c r="U639" i="3"/>
  <c r="W467" i="3"/>
  <c r="W670" i="3"/>
  <c r="W826" i="3"/>
  <c r="W214" i="3"/>
  <c r="W605" i="3"/>
  <c r="W808" i="3"/>
  <c r="Q337" i="3"/>
  <c r="Q324" i="3" s="1"/>
  <c r="O324" i="3"/>
  <c r="W787" i="3"/>
  <c r="W784" i="3"/>
  <c r="W617" i="3"/>
  <c r="W614" i="3" s="1"/>
  <c r="W445" i="3"/>
  <c r="W147" i="3"/>
  <c r="O119" i="3"/>
  <c r="W512" i="3"/>
  <c r="W439" i="3"/>
  <c r="W757" i="3"/>
  <c r="W840" i="3"/>
  <c r="W853" i="3"/>
  <c r="W442" i="3"/>
  <c r="W751" i="3"/>
  <c r="W724" i="3"/>
  <c r="W769" i="3"/>
  <c r="W189" i="3"/>
  <c r="W760" i="3"/>
  <c r="W457" i="3"/>
  <c r="W462" i="3"/>
  <c r="W174" i="3"/>
  <c r="W824" i="3"/>
  <c r="Q119" i="3"/>
  <c r="Q538" i="3"/>
  <c r="W772" i="3"/>
  <c r="W179" i="3"/>
  <c r="W427" i="3"/>
  <c r="W721" i="3"/>
  <c r="W485" i="3"/>
  <c r="W820" i="3"/>
  <c r="W590" i="3"/>
  <c r="W111" i="3"/>
  <c r="O538" i="3"/>
  <c r="W796" i="3"/>
  <c r="W137" i="3"/>
  <c r="W436" i="3"/>
  <c r="W754" i="3"/>
  <c r="W24" i="3"/>
  <c r="Q14" i="3"/>
  <c r="W816" i="3"/>
  <c r="U805" i="3"/>
  <c r="W373" i="3"/>
  <c r="W430" i="3"/>
  <c r="W502" i="3"/>
  <c r="W184" i="3"/>
  <c r="W454" i="3"/>
  <c r="W106" i="3"/>
  <c r="U619" i="3" l="1"/>
  <c r="W620" i="3"/>
  <c r="U13" i="3"/>
  <c r="W102" i="3"/>
  <c r="O13" i="3"/>
  <c r="W210" i="3"/>
  <c r="W14" i="3"/>
  <c r="W119" i="3"/>
  <c r="Q209" i="3"/>
  <c r="W805" i="3"/>
  <c r="W324" i="3"/>
  <c r="U209" i="3"/>
  <c r="W639" i="3"/>
  <c r="W538" i="3"/>
  <c r="O209" i="3"/>
  <c r="Q13" i="3"/>
  <c r="O12" i="3" l="1"/>
  <c r="O11" i="3" s="1"/>
  <c r="O10" i="3" s="1"/>
  <c r="O9" i="3" s="1"/>
  <c r="O8" i="3" s="1"/>
  <c r="O922" i="3" s="1"/>
  <c r="Q922" i="3" s="1"/>
  <c r="W13" i="3"/>
  <c r="W619" i="3"/>
  <c r="U12" i="3"/>
  <c r="U11" i="3" s="1"/>
  <c r="U10" i="3" s="1"/>
  <c r="U9" i="3" s="1"/>
  <c r="U8" i="3" s="1"/>
  <c r="U922" i="3" s="1"/>
  <c r="W922" i="3" s="1"/>
  <c r="W209" i="3"/>
  <c r="Q12" i="3"/>
  <c r="Q11" i="3" s="1"/>
  <c r="Q10" i="3" s="1"/>
  <c r="Q9" i="3" s="1"/>
  <c r="Q8" i="3" s="1"/>
  <c r="W12" i="3" l="1"/>
  <c r="W11" i="3" s="1"/>
  <c r="W10" i="3" s="1"/>
  <c r="W9" i="3" s="1"/>
  <c r="W8" i="3" s="1"/>
</calcChain>
</file>

<file path=xl/sharedStrings.xml><?xml version="1.0" encoding="utf-8"?>
<sst xmlns="http://schemas.openxmlformats.org/spreadsheetml/2006/main" count="3455" uniqueCount="1523">
  <si>
    <t>Указать название организации (на бланке организации)</t>
  </si>
  <si>
    <t>{"tkp_id":null,"is_full":true,"with_vat":true,"price_type":"c4c5aea1-b5cd-11e8-80e5-005056881952","estimate_id":5140471,"estimate_version_id":6826566,"tkp_form_id":null,"fill_recommended_prices":true}</t>
  </si>
  <si>
    <t>8</t>
  </si>
  <si>
    <t>l4tiRkmj+h/fkem1VjuYpj5XOlrgSeMAes72qRC6/fRGvf2pg9A0gmcMj0zn3h2IYsrsbdVRKBNM2VFoR6WhuVmvpDc1/oA6zmzBJGUqsJr5K3itj74q4AFan0WcfA+99SmYPzSxJn5r6vETVSB/E40Qbd4ZMvJyoeGL37xBxpQ=</t>
  </si>
  <si>
    <t>ТЕХНИКО-КОММЕРЧЕСКОЕ ПРЕДЛОЖЕНИЕ (ТКП)</t>
  </si>
  <si>
    <t>г. Москва, Волоколамское ш., Покровское, вл. 71/15, СОШ 2, 850 мест</t>
  </si>
  <si>
    <t>Стоимость, указанная в предложении, включает в себя все необходимые затраты на выполнение полного комплекса работ, с НДС</t>
  </si>
  <si>
    <t>Предельная стоимость производства работ (ПСПР)</t>
  </si>
  <si>
    <t>Заполните : Название компании</t>
  </si>
  <si>
    <t>Заполните : ИНН</t>
  </si>
  <si>
    <t>eF7s/WuTJMdx5wt/lTK9Iru76slb5AVmeAE0G7M1nO6q6azSY1qNjNaX6l2YSIAHgPaitTUjAEGgDiiBFMUVDQQIAjq7e14cOza4DDnEZfAVqr/C80meiKzK6unqiMi/e6VnNXZF2vRMX2bgP49M979HeET8lz957T//ePYnz/zJj05+/Cd7f/IfTn74V7NJ9ZWX/uqHP9z7k9l/Opv9cPGFP3m1/gH95//y4E/OXv7Rj15+6cGfPPPn+hPzr+g/Xn1178HVP/Zg+a89uPrnqp999erHqs/n/zL/Yv5w/of5w8s3Ln/Wm39dffKp/vj1/PH8UW/+5PIn88+Wn5qf+lv9++Ped8wP9uafzL+svvWF8ye/W/33zl5++ZXzF186eW3xH30urL46e/W1F3+kv3b88n8cnj9l8Euvvfjaf77zVy/WX/uve9dpX7p48d/xaP/Lgwf6X/rLH/9A/9sPVn9J/+nFV39wof9cffG1V/5qVn3xP7742r//wX84ee36V3/8yotnsx9U5pivmw9nyZk6mZ2E/VN1dt4Pw1nez4OZ6geBClSa52GhIvNz1d+vqWsbVJgESRZe/95/mL3y6osvv1T/TJpHqUrTvdr8i5df+dENhosXf/jDH7wyM0/D7KXz2fkPKktfXVn/X21D8b1NhkI/wLxxsFnywiaWvPriv2O+ADZTDjYxZaO38eP5r+b/ff7B/Nfz9+a/7ZsP8/f1/381/938f+qPH1Vf+VVv/qH+wq/m/zT/jf70v+k/mb/xK/1Wfqx/4EP7Oxc9M422hfXZoKcpnly+riOFji17vfk/zp/o2PFEf/6kiiFfVd97ouPI5U8HewZQf08HlCfzT+vv6K9+Ov9y0MtC/Uj/f0KlP/9I4//fvWivl6ugN/9q/ujy9cs3rPTxM9N4W/QfXb6h7X+s7Xti7Lv82V7v8s067OpwqUPp5bsarjf/RhM/mn9eeeb3+k8mlD6uuL+Yf3n5D5dv659/dPmG+VntlUfzT6q/Z/5oIvcj/bc+uXxLf/zc/Ncu3zFfXkT2n1Qf3+ktwvan+lvfVI7/evkf0T9Yf+GJDuJPepXLv9Jf/FL/xBf6v/CwZ/4RHfGfXL6h7X+9p5+5f5p/ZHV28sw02ZazP1y68JF22M+WrjVevz4CC1c/qTLVp8Zh1Y98eo1Sv04f6idMv2rWF+quemaktkX5z9rIesAea8sf9Z4xA7KWu+sxXHzhsY1irJ45vl0Uv9YcH9hMLdUz062Z+kHlykeXP9FPjgk/+qPtyVfPPJdty8T3zHNsIssfTEQ1jvxo/jublc+rZ57fmpXmITUv4qMq1Dz1sD4VqGxG76tn9rdm9HvV6FdG68f0obby8fyPVcj0uPl76pnv3UKLdaz7yeW7+uPb+ks6CdlMP1DPHGzN9F/NP9dywUTmrwY2415Qz7ywNeO0Xy///vJvBtWD+voy2Vp9eEc9c2ebZs6/7JvU1pv/Yv5bm33/Rj3zb7Zm32+1UPk7/XAuk9TCVJuVQ/XMcGtW/o8qSmm5qt+YN+efDPyy5276zPfTbZn6vombJj/pF+ehlj7vmCT14MFLRhKaylzb//nT8dYKsDVHf6Tt/12l+j+wx9Lvb8002jNwL33m3tZMtdUZldF+mw/TZ46+1c/t4fY83vTcHm3NtEWEtVc/e9rB0OM8Sp8ZbY2A9uaN02fuf6uf4vHWHN34FN/fmmm0Z+A4feZ4a6Yyo2+ZPjP5Vj+35fY83vTcTrZmWivRd5o+M92E4LWXXzv54Q2AB3/y0smPZot/lg9xfTYQofleEW0y/+yC+fGrP35lYr53qP/JV148+eHB//FXL/74R/pfsyBerCE+W04Pv3OYW+f3DoXtLX/0yvilV1Ajj+xGHgkbOTZLSIiNxlu7K2vWZYSMla9tNOyl3aOloK20IZ/YDZwIGggPt/HS7sQx3FMZC//9i+fns5c2e9f/zO7TPxO3mDb0/9Zu5r8VNxN+AIzHdv+t4wF47jmyoX9R/Svns/HJa/9ef02bnZ6eRaenJ0F/llyofpIHF/08zy76J0kcnMQqCc/PTxY/+crL/3Hxh2Lx2wp49sPZ6uFgpcBw0Jv/Y5XwzGLRo2qtzqxRzh9bvt6v1pQe237crNv+wuqp/JlhDnsKdcp/1X8xjGFntJBCi73DInTkUSG+hM5HewmPir0jF9SREJSiQ8GvrGEaFXsjF9NIiAl/KzdM6MVe6WIrZdiigMZGewAnxd7EBTQRAgppQKSHb1rsTV08UwEeA5Q+uJ4i1vlenZ299qKlzNMp4q9+dDqzjdXNJBHaiJ4rrERRFoZxFCi1jrXI13oIYAtNvvzBj6uE2WhkajPxeaaJ62+0x4lYnjWdAOtdKqs8WnUGmG6OZY+GdZ1ov3hmyKS5kSndOC1kyjBwVJtM49fTIGA8LQodOSw+4lqs6BaTwszIYfCIazD+uG+YwByGl0zDb2SnBsNpz8XEYe2Eay0emhmpx2HslGOssXYZM4TziiOzhIHX6tTpYthIUmoZxDYrn+daib9uaHb5rc4bVUeg6XfZq2czv7x8V+eXr6s2yavZzMt39qpOUv1ZlXSqWo8wHb4fBs8Muegdp6LQnorY1neQi+wmH7FNVnSTSYFn5LB4xLYYfz02zUZ2y0uu5dLpyG7uhG0uHtI5+chu7ZRlbfVcPOgmIblSkn3LRG135vQybCYxJdntfJ5rJ/7WsZLSon3/9zqpfHn5zuVbi0ZN02/8d8sG/T/aaPbDUOcaJlHHuSZy5Bqu9R3kGrvJR2yTFd1kUlAZOSwesS3Gn/pNc43d8pJruXSusZs7YZuLR2tOrrFbO2VZa8xdPsgd5BpXtrGvLtWW504/w4aSs81A2Sx9nmsp/uYx841zSWo/jHRSYZrdcVKJ9w6joNg7TEP9IQ+U/pA5VqHYRB0kmnjvyGAcGYwjg3HkwjhiYyg6BinKjDTFyFCMDMXIUIxcFCM2Bf5abJqQ4r3S0JSGpjQ0pYum5NJIJ6l4b2IQJgZhYhAmLoQJGwEP/ZzEFe9NDcHUEEwNwdRFMGURdFs4udNZ7LW9cHofNpWRzlwFFNNW/M1FE9qH1RzeOzYr98NY5zCmpR3nsGTvMAwi/SEsHJmLy9FB5kr2jozxRy7jj9jGK7rxpOAy0raPjO0jl+0jtu34s75plkr2SsNQuhhKLoN0bkr2JsbwicvwCdtwPH5zMlKyNzV2T112T1l2d5+HXJko8VmfBk6vw8ayMpErFzGtxd9PSi763BycUa0sfboosRZHGzypDvaYV3vz/2b+uDrq4Kd1Y6D5+heXP7l8R/89swvehrkfJjqZMVE7Tma6AgtzXZTpfBbpxJYEe4cq1fWZ/jzVX8/01wr9tSJ1pDouZQepTldlGu1Iox1ptCONdqTRjjTakUY70mhHGu3IgXbERlN0NFJMG2mykSYbabKRJhtpspEmG2mykSYbabKRJhs5yEZsMvw13DRN6upNE5aasNSEpSYsNWGpCUtNWGrCUhOWDsKSSyidRHVFp7EmGmuisSYaa6KxJhprorEmGmuisSYOrAkbC09NnBSrqzxNNdVUU0011VRTTTXVVFNNNdVUU001dVBNWVQGaxkpDdyf+xLxf3z5lb+0oPKysCsPKy9E5BwazFZmEnavqjHNXU9OLteCWfhfVj2Df6x7BRcnGn6pk+unptWjXlpbpGWzX+3J/LOqsePrVeZ+Uh+U8qnZGXn5lsnV1T/3uOoFWRwc9UV1MNYf6x83E6tf6W/9TbWZ8uvFF79cnr5iPjEbK3vLtpO/G5i/8KQXVmeWfeVI+kyXrmdC5xNgTgl87Qcvvoo8svN/NOuT1Rk92iuPL1+/2gpYtcdcvmHOI/umOuHN9MrYzhgz2wivztaqFjffWp0W+Xhx1Fv1+RNz+MuX5t/91IzM5dvaiW9e/sPA5qbvcd2kSG4CXBT1Lv/enLQz/73NzgOunSlm549mJ6/+1SvQS/JVZDPwBa6BGWbg7D/9ePbSqzYDX1ozMBwEQWAz8Q7XxHWd4TCxylWAgUmUxgOrE4dcC8N1oeAw0Si8KpuytNDwhYPj49Hxd45H06PvfWch2LU4D7Pvmug0NCcqRt/dszdK3mWjgelzheYUQevjEOf5wP6kfJ9tLJg/V8Yibteu2124/PsLF9tMvsc2Gcyhm1V3C/s1yc7QzXDIZgCTFqN2Wxiujd65NgQuhCM2giIiwI+P9upubdaN0otrLZhWftxirCl1rCmhWDNmY4HJ6MctxZn7bENzgqGIu8erGHPf/X4es82lZFDW47KwfeyPLyXX/ht1uM9+fmy5748tE7b5YAolFtv6kZnY48qUZakx9fwiOc+z8KSfh2rWT4I07ednZ2F/FsfFRXwRnxUXswWMs7z+0fL5sQByS2xXkZ3SKFE8WyHuoaIU4zaO5yU51tWFb3TAKv2Dq4L8qtb+8geLEnn+L1Wt+Df6199eqwrNPo36yNUPzfno/flH84/nP68OnPn5/Hfzj22+2Zf0jcJ9g9eRNooDSYp1KeChIFSZX8w/s5G8IEmynv09JJRyNLWB3JEEWU+3HhC0aE3zKAxdVasgyo3K1sNCqm7XAYtBmtno7orSEcJjGwVYXYalRmNoqZS6SzFJakLIgCsIdDzHomTUNw8h847luHksSzHiSrKdnp7NTi7ioq+S5KyfZPlF/yQNVD8JT/Pz8PTkPFbLd7hTyWYNVc+F9vPwPK7A8DqXbIIchJiESrZfri2RPDTXDHxdaTizRPJ6dXjkz2qN9hutx4w2+/X8fXObw5Wy+6C6vuaD+cfmZ/5f/clHvXtjFfbmP7c5aV/SSQp30qbaTZCCEIjb0G6CJCLaLRhEStlQ7kiiUHMIABIGeTYIQ6sSHUqydCbf8nyQW+fY7oriEWJlm/otW+b8zK3fJKkJYYOt35wDOhZFo758CFqDgGsczFKM2Cg4nzBrt1XFIcnsJ3ct4EK8ZbSrVhWmueAyG6qovp2tKjaP7nM9mmAe/V+mU4XpJkVyE+CiuKFThWknuKRI0KGuThWmgeDiIC4vPZ0qTBMp62yAgXGWBK45P6aF2+tUKcxeX/0rXK4g595uFS4emEHp3SpJEDi7VbjGgimU2K2Sr7pVcne3CtdkMI22IbY1yc7QzXDIZgAT1wbdKvnOtSFwd6twERQRAX58tFd3a7PWrB2xrQVTC1yrAPGmNNu+dbwpoXgzZqOBSYnWseKONffZhrbfsZKvOlac7+gx21xKJmU9MnX1540xJdd+4Y6VfOea690dK1zzwTRK7VjJdyf22DJlWXprlz8iV8dKQaNE8Tpf/hDkIEzpocX6lpY/BJ2kcCfhhaWN4kCSgjCPSSg7ncsfgiRdL38IolBnYAGQQsWDTFlD4lAS5TasfkjiEUJlGwVZXZYVywnzwl2aSVITogZcUcADOhZFo757CFrD6kfjYJZixJV+S8KLLMhOi34WzjL9E0HYz9OLqJ+dXETFeaou1BY6jiPHWkkUUF2B4XWt3yQ5CEEJ1W+/Wa5uPOyZwzbmT6oVgbfNcsvluzcXRPQXf2AkW74TBkG16qE/iQLH6oekKxTuig1VmiQFId4SVJpZsfls0LOPyguSPCJazSpu7khiUHMFApHbk95QkqMzkRYGg8Qu0kTxCPGwRZEWBYu8vvjdRn0oSk0IGmyR5hzQsSga9cVD0PwirXkwSzHi27stLLLfW/NcFFJdgeF1LtIEOQhBCRVpnW4Lk/SNwn2zqWoTpCAEYIJqc82tSZLI6DXHtjBJEGriADBUkSeuw0wkUToTbcXAPgV6V5SOEB7b1GzhMs2Hbs0mSU0IGWzN5hrPsSgZ9c1DyBokW+NYlmLE+n9/8VTg7PhAPIcoizywQZqsw3bUZZw5uoy55oLtUaim+metkb7SWunrqr318eXblb5a3l646Gx93bS4Vo3Cl2/pn/p9NR22bIKt7km8fLfqHP60Z/qVL9+cf9KzEe9ziROMmNYFbLPwe1wLFclCwLqmYbkaDXPb5Be96tDg3w9M4/Kj6i5kLXirM4XNfOWjq/ODL9+9fKsX9a/6e/d6V3/uL6c+PzX3Xlo7lA+4DgLbswgy8StrEHiBayDYZEVRf67OX66JlH4lwMBokFv7ZIZc+7bW9xvFi/67KPL1+7KxwFxG7/dViZbWro5ftrlgOqN1/EZR3fG7cLLN5Htsk8GU1oYO1iQ7QzfDIZsBTFL8jl9t+LUhcHb8shEUEQF+fLRXd2uz1qwdsa0FUwpcRgCRpoQizZiNBCYhWqevL8rcZ5vaeq/vKsLcd7+dx2xzKbmT9bDUNZk3upRc+2V7fVeR5b4/skzY5oMplNjrqx+ZiT2qTFmWGlNns0jNLmZF/1SFWT8MZ3k/D2aqHwQqUGmeh4VaJlhnreup/Ln1rqPXN4pplChe58sQghyEeTa0ZP5oWRX/rHf5t1VjyKJ1RJdq/ariel1Xaw/r1pH3I3vo3ZeEVjg0XpPaKA4kKQiThYTC0bm+IEgis76QuQpMQRLqNCfAkeSFdaFkKMnR2epCNkiswfuuKB0h6rVRVdW1VbyckY7d9ZUkNSFgwGUBOp5jUTLqa4eQNawuNI5lKUZcry7UUy/mae5weSEZ/MDG+1yk7LyRipIiS+J13o4WGELHgsjzXHvB6RhULtnOMam+9O789zobP15eNL7s4niof/Kr6/0blZBazmwvTygxp24k4eJunOr0kTRwHj7CdUOCuaGNZQemhYpkIWDd/OPFkS7VcsLD66Ok3Oe7HHABwDkcgrpzHAjCNRCckSGINveyANNEytQGYKDKBo5lAaZ9IssCN/ex2b16l201mGLos/65Us45f66xYIahzPnbDLzHNhBMKSQtij4Dh2yrwQxAn9O3mXnENlMRzdzkERixrQRjPVuYu4Z/zLYYDP606Xj363+fbWjLk/E2447ZxlHyU5vjXnItlplst5k4YZsIZifShLrNwinLQmNiXpxHaZBEfZWYRrKL6KxfZEHQD4OoOCkuVBCpJYSzqvMUuezKLnTVdo7zN12cKGDnU+mCHIRJJbQ2/L90pfGFOR2jaiP7SV3+6U8v3zQ9S735P5sTNOZ/MEXe5dvmYI1q46XOefpj0refd7wv6QWFewEvvGwUB5IUhKkyvPq6/OnlGzaSFyRJRObWrSXQHUkM6gwfAJGk0SCxgQwlQTqbWY8GylHzSdIRgiCpmmmYWV+eIB25jwMXpSaEC7aAd43nWJSM+t4hZA0z641jWYoRL84zO4+j4OIk65/OkqSfxHHYP1H5rF+oPIxPT4tZlC8lS6fSLHJJM8fhIG5nYICdSzNBDkJUokizT5bT8Isjxr8wLQ6V/Mr6YeSebxfkVDjnpuJLkIIQTXHx5W5sECQREV+moreusd6RRKEmAgAkGuSFjWMoydGd/gryQWxdebwrykeIdW0qsOUpVpH7SDJRakLM4Csw54iORdmorx7C1qDBGkezFCNeaLCLPJqd6h87Tc6ifhIWZ/3Tk/iiH0ShyqMsVKdq6ZVONVjs0GCxYyOpxxkQYNcaTJKDEJdQDfbRsufhYe/y7+dfGuV1+fr808UMWBCYw8d2lI1zX5JT4ZwbajBJCkI8JWgwR/uBJIiIBAvtHed3JEGoWQDASOOBsnczSIJ0psBCs5Zo7y4V5SNEuhYVWLw87yB2n10hSk2IGGwF5h7RsSgb9d1D2PwKrHk0SzHixamwJ0FRpEHYL07OVV//fNDPZ+lpf3YRn6voJAzT0/MH3SswV/PpUpcTnIEBdq7ABDkIcQlVYB+aZUmtwb6sWlE/f3rDTyXD5u8rx/4eSVCFg24qwQQpCAGVIMFc02CSJCIaLBjEVjV5R5KEmggAjiJKHC2lkiCdibDMtQwpSkcIdW1KsOWmkNi9wUeUmhAx2BLMNZ5jUTLqe4eQNQiwxrEsxYgrAZYqdXIanqVGrOmfTc4v+nmYnfRVGEfnSXEeZvmysbFTAaZcAkxRnYEBdi7ABDkIUQkXYI+qe3i/WB7zas6zqg7mX91DPP/KnG1lDnm18e5L8iqcd1MdJkhBiKoEHeY4oEsSREiGuVYjJVGo+QAAca5GSnJ0JsPC1Hmj5V1RQELMa1OJqWX2Vm4lJklNiBlsJeYZ0rEoHPXlQ+AaxFjjcJZixLf3jqRkkLrEGLlBDgPsXIwJchACEyrGJG9JknSFwl2xqU4TpCDEXIJO89+SJMkjItccUk0Qg5otAIjIuq1lKEnRnVBz3pEkikeIhm3KtGWvd+zu2xelJoQMvkxz3pEkikZ97RC0BpHWOJilGPHtvYg8GWQukUbvoIMAOxdpghyEsISKtO1cRS7pJIU7aVP5JkhBiMUE+eZc7hQkERFugf2OoTuSINQcAmCE4UA51JsgSGfqzX0NuSgeIUy2qd6WXeKxu+dflJoQMdjqzX0NuSga9c1D0BrUW+NglmLERr75VFm75xe6VjATbz9dka/jbfv8Qq6968HiW35+IdcNCeaGFs4v5FqoSBYC1vnOL0w95xdyAdYDtNj5hVwD15Wa4PmFXBPXM8GG5xemsSOcDLkGbvcAQ7bVYI5p9QBDtrFgitn4AEO2gWBOIYlP9Bk4ZFsNpoCWDjBkm6mIZm7yCIzYVoLBnq3EnWvdbIvB6N/aAYZsQ7s4wJBtHCVBtTnuJdfiDg8wZJsIZqfNDzBkWXhrJ9tNxeQo7mIaJwrY9WS7JAdhFgktDrcz2S7pJIU7CS/MbBQHkhSEqTNCdeaabJck6XSyXRKEOuUHYIRROnD0SkiS3ILZdlE8QpwkFTz+2fZkuSElcW8uEqUmhAy2xnfPtouiUV89BM0/2948mKUY8e1taFXOQw4TRXUGBti5fBPkIIQlVL5JNrRKukLhrthUpAlSECIuQaT5G1oleUSkmr2hVRKDmi0AiCjLbBhDSYzOVJq7o1UUjxAO21Rpy50qiXvjkSg1IWawVZq7o1UUjfreIWgNKq1xMEsx4tu7B1w5j0FMvO29NmdggJ2rNEEOQlhCVdrGe8AleRXOu6kUE6QghFWCFHPsAZcEEdFg7j3gkijUfACAxNkgz+yH8UiSdCfFPLvARQEJUa9NMbbckZK4txeJUhOiBl+MeXaBi8JRXz8ErkGONQ5nKUZ8e89EVM4zERNvv65Vm0KAncsxQQ5CYMLlGPdMRElQhYNuqsMEKQgRlaDDnOuWgiRCQsxxJqIkCTURABxhFEbBoHAsXQqydKbEnMciitIRol2bMmy5tSRx7xMSpSYEDbYMcx6LKEpGffUQsgYN1jiWpRjx7b0ZRDk3FSlifx0K2LUGk+QgRCVUg7FvBpHkVDjnhhJMkoIQTQkSzLGxRxJERIGFjptBJEGoWQDASItkkFhnJ4eSJJ3JL8/VIKJ8hFDXogBTy8sklPtqEFFqQshgCzDP1SCibNSXD2HzS7Dm0SzFiG/vBbnKeRiiisnOgAA7l2CCHIS4hEow9gW5kpwK59xUgglSEOIpQYK5ZsEkSUQ0mHs5UhKFmggAEM9ypCRJZyrMc0WuKB8h2rWpwpY938rdwC9KTYgabBXmuSJXlI368iFsDSqscTRLMeJKheXFeZQGSdRXiZr1k4vorF9kQdAPg6g4KS5UEKml6upUhblOO1SK6gwMsHMVJshBiEsUFfaF2WdptmBe/qQ+gEd/evnm5U8u3+nN/9nsxZz/wRyzc/m2mTJbzJIp8zHph9Y1mH1JLyjcC5tqNEEKQrTFNdrlTy/fsJG8IEkiotGsquaOJAY1RQAQKlDBILGRDCVJutNnrkVKUTpCFGxTnS17vZW7cV+UmhAv+OrMtUgpSkZ98RCyBm3WOJalGHG3Zxlas/NzyxNWb8BlYRhHYRqtw237JEOuveuR4ttxkqHznL19rh8SzA8tHGXItVCRLASsi3uXf282ps5/P9DDshqjh73qqJH6jEMzBEuH6x/7WH/tm2d68w/7oTVpH3Dp1mO32DmHXAPBk65w+eY+55Br4nqW2PCcwyguBoXNwCHXQJFzDm/kseELB8fHo+NlJiunh985VNneocr1r2LvMA30r/C7JgJpEJPd9gJrgrvLxgQTFv1gxCIJXQcjso0FMxblYMRntet2F+7//sLFNpPvsU0Gk1Yb0laT7AzdDIdsBjDh0A9OXBqujd65NgQuhCM2giIiwI+P9upubdaatSO2tWCGgSsDIO6UOu6UOu6UOu6UOu6UUNwZsxHBHEU7jdEdc+6zDW35NMZnx6t4c9/9rh6zzaUkVtajUxdd3lhTcu2XOa3xRpy5748zE7b5YDolneT4rPbm7sQeY6YsS42p2PFBBsZZ3HpKe26Ba++ne045Nnq5KFG8zpcTBDkIE2loibyd8xwlnaRwJ+HVqY3iQJJiXR94KAhVqLMjRJBEZLXBdZ6jJAh12hPASLJB4WgHEQTpbLnBfZyjKB4hTLZRlNWl2XIzs3LvTRelJkQMuKqAB3QsikZ98xA072COmwezFCO+vcc5pvao+5zKqa7A8DrXboIchKCEajfJwxwlXaFwV2yq0AQpCPGWoND8hzlK8ojoNEfXriAGNVcAEEVioxhKUnQm0dxnOYriEaJhmxItX2b13C3RJKkJIYMt0dxnOYqiUV87BK1BojUOZilGfHs3rqf2joznVEF1BYbXuUQT5CAEJVSi8betC3IqnHNT/SVIQQimBP3l6tMQBJERXq5t64Ig1BwAYERpPMgdbR+CJN3JL8+2dUk+QqhrU38tz5pR7nODRKkJIYOvvzzb1iXZqC8fwtYgwBpHsxQjrgTYSRgmqUqKfhpWJz3mWf9UnWX9i9PsPDgPc5Wm2xBgic0Vz6UB1RUYXtcCTJKDEJVwAfaVOUz78me9p49tNJ2k/fk31Xferlp9F42+l29evrWaKJu/H9q76/clfaBwH2woziQpCJGWIM5cy5eSJELqzL5dShKEmiAAjEgVQWFfExhKonQmz9JBmNno7orSEcJgi+IsDRbpfPG7jfpQlJoQMtjizDWeY1Ey6puHkPmlWfNYlmLEt3cvezpQNlc8lzoOV3K7AsPrXJoJchBiEirNhHayS3pB4V7YVJwJUhAiLS7OnDvZJUlExJlDmgliUBMEABEWoVOZCZJ0psycO9lF6QhRsE1ltjwfMHWf9ihKTYgXbGXm3MkuSkZ98RCyBmXWOJalGHG3O9mtQvu5NPLCxetw297JzrV3PVJ823eyc/2QYH5oYSc710JFshCwLmLsZHfuYOdSrcdssR3sXAPB3YG4bHPvYOeauJ4dNtzBnsaOIDPkGri1HezapMM00b+U/pXqX9liJ6lOTp4d7GxMMFG1uoOdbSyYqWg72NOo3sG+cLHN5Htsk8Fk1Yak1SQ7QzfDIZsBTDT8Heza8GtD4NzBzkZQRAT48dFe3a3NWrN2xLYWzDBwRQDEnVKbU+q4U+q4U+q4U0JxZ8xGBHNUazvY2Ya2voN9FW/uu9/VY7a5lMTKenTqYssba0qu/bI72Fdx5r4/zkzY5oPplLiDXT8yE3uMmbIsNaZiO6YMjLOo9ZT03MLWsYM9jWmUKF7nywiCHIQJNLQ03s4OdkknKdxJeFVqoziQpCDMGhKqUGcLiCCJyCqDawe7JAh1uhPACKN0EFkX4oaSJJ2tM7i3sIviEeJkG1VZXZstj8BP3RcaiFITQgZcVsADOhZFo756CFrDSkPjYJZixLd3C3vm2MKeJlRXYHidizdBDkJQQsWb5BZ2SVco3BWbSjRBCkK8JUg0/xZ2SR4RoWYt9u5IYlBzBQARZdbl2KEkRmcazb2HXRSPEA7b1GjJMq0nbo0mSU2IGWyN5t7DLopGfe8QtAaN1jiYpRjx7d3Dnjn2sKeK6goMr3ONJshBCEqoRmPvYZfkVDjnpgJMkIIQTAkCzNWpIQgio7wce9glQag5AMDwXL0uSdKd/HLvYRflI4S6NvXX8iqi1H2tlCg1IWTw9Zd7D7soG/XlQ9gaBFjjaJZixLd3D3vm2sOeUl2B4XUuwAQ5CFEJF2ASe9gFfaBwH2wqzgQpCJGWIM6cC5iCJELqzLFRShCEmiAAjDQPc9edn5Ionckz9x52STpCGGxTnKXLdO6+IkmUmhAy2OLMvYddkoz65iFkDdKscSxLMeLbu4c9c+1h959GbnEFhte5NBPkIMQkVJpJ7WEX9ILCvbCpOBOkIERaXJy597ALkoiIM4c0E8SgJggAwnMbuyRJZ8rMvYddko4QBdtUZssLNVL37Sii1IR4wVZm7j3skmTUFw8ha1BmjWNZihF3u4fdGkafS/3HiifrcFvfw860dz1SfOv3sDP9kGB+aGMPO9NCRbIQsA7fw65u3sYe5nvVjvbcvn53wKVcj+Fye9qZBoL7BXEZ59nTzjRxPVtsuKc9Tuz16JBr3/a2tBd7h1mgf4X6V6R/xcutpbl3SzsXE8xb7W5p5xoLJi7ilvZ8taXdeYPHPbbJYO5qQ+Fqkp2hm+GQzQDmnQ22tOc714bAvaWdi6CICPDjo726W5u1Zu2IbS2YYOACAYg7pY47pY47pY47pY47JRR3xmxEMEW1t6Wda2j7W9rz1ZZ257t6zDaXkldZj05de3ljTcm1X3hLe75zzfXuLe1c88F0St3Snu9O7DFmyrLUmIrtoDIwzhrXU+Fz61zXlvaCRonidb6qIMhBmE9DK+UtbWkXdJLCnYQXqTaKA0kKwiQioQh1doQIkogsOji3tAuCUGc/AYx0UNgwhpIYna05ePazS+IRgmQbJVldmC1vKErd902JUhPiBVxTwAM6FkWjvncIWsOqQ+NglmLEt3c/e+7Yz54FVFdgeF0rN0kOQlBClZvkfnZJVyjcFRvqM0kKQrwl6DP/fnZJHhGVZt9TJYlBzRUIhBqo0C7TJEk6k2nuLe2ieISI2KJMy5a3FWXum6dEqQlhgy3T3FvaRdGorx6C5pdpzYNZihHf3i3tuWNLexZSXYHhdS7TBDkIQQmVaewt7ZKcCufcVIMJUhCCKUGDORo1JEFkxJdjS7skCDUHABhxNiisL8hQEqQ79eXe0S7KR4h0bcqv5ZVEmft6KVFqQsTgyy/3jnZRNuq7h7A16K/G0SzFiG/vjvbcsaM9i6iuwPA611+CHISohOsvgR3tkj5QuA821WaCFIRIS9BmrvVLSRIhcWbfNiUJQk0QAEYcBsrGMZTk6EybObezi9IRYmCbyixa5nL3fUmi1IR4wVZmzu3somTU1w4ha9BljWNZihHf3u3suWM7exZTXYHhda7LBDkIMQnVZULb2SW9oHAvbKrMBCkIkRZXZs7t7JIkIsrMocsEMagJAoCIMuvbMZTE6EyWOfeyi9IRQmCbsmx5s0bmviZFlJoQLNiyzLmXXZSM+tYhZA2yrHEsSzFi/b+/2FtsL/5zn+xqd097MfiBDfO5TNkxIxUlRZbcwOxuV3tis/d5rr3rMeOW7mpPw6tN7Xng3NPO9UKCeaGFPe1cCxXJQsC6+cdPbV1/eH2QUuU8NuCACwDuJsT1nHMVlGkguBcQl2nu7epcE9cTwobb1ZMoTQfW6YYh10KRDes3d1bY/XqXbTWYYxj7z6PItf+cbSyYYij7z20G3mMbCOYUkgZFn4FDttVgDqDvL7eZecQ2UxHN3OQRGLGtBKM9W5C7hn/MthgM/8St4M7X/z7b0Ja3gtuMO2YbR8lQbY57ybVYZqu3zcQJ20QwO5G2c9ssnLIsvLWz6YX+5SjuHOexuThRwM7n0wU5CJNJaHEoNZ8u6AWFewEvvWwUB5IUhCkyvP5yz6cLknQ5ny6IQZ3ZAyDiJIzjgWNOXRDlFsypS9IRwiCpnmmYU1+eKZq5z4cVpSYEDLaEd8+pS5JR3zyErGFOvXEsSzHixRag8zgKLk6y/uksSfpJHIf9E5XP+oXKw/j0tJhF+VK0dCrOIpc4K6jOwAA7F2eCHISoRBFnnyxn4p/Mv9S/vjAdqJUAy/ph5J5zF+RUOOem8kuQghBNcfnlbjQVJBGRX6amD20odyRRqIkAAImybBArhwQTROlOggX5II5tfHdF+Qjhrk0RtjxiJXOflyNKTQgbfBHmHNGxKBv17UPYGmRY42iWYsS3dyd2MYgdMiwPyc6AALuWYZIchLiEyjD2XmxJToVzbijDJCkI8ZQgwxxdCJIgIiosdOzFlgShZgEAI0mLeBDbmxokUTrTYJ7d2KJ8hFjXogbLl/t3c/dubFFqQsxgazDPbmxRNurbh7D5NVjzaJZixItDC0+CokiDsF+cnKu+/vmgn8/S0/7sIj5X0UkYpqfnD7rXYIlLg8VUZ2CAnWswQQ5CXEI12IdmdVKrsC+rltTPn96Uvdx0rexdCPuSoAoH3VSECVIQAipBhLnmwiRJRFRYMIitevKOJAk1EQAceZ4l2SC2z4VJsnSmwzLXcqQoHSHatanClttCcvcWH1FqQtBgqzDXeI5FyaivHkLWoMEax7IUI640WKrUyWl4lhq9pn82Ob/o52F20ldhHJ0nxXmY5csWx041mHJpMEV1BgbYuQYT5CBEJVyDPbp83SxCLi/wuPyJ/sLby1sWF7uHvrp85/INc+mHjXdfklfhvJtKMUEKQlQlSLGvYhvIC5IgQkrMtSopiULNBwBItSrpUmKCKJ0psTANnDuCRAEJYa9NMaaWCVy5xZgkNSFssMWYZ0jHonDU9w+Ba9BjjcNZihHf3os8ikHq0mPkXjkMsHM9JshBCEyoHpO8ykPSFQp3xaZSTZCCEHMJUs1/lYckj4hic6g1QQxqtkAg8sw6ATiU5OhOqjkv8hDFI8TDNoXasvE7dzfxi1ITggZfqDkv8hBFo754CFqDTGsczFKM+PbelFsMMpdMo/fSQYCdyzRBDkJYQmXadu7KlXSSwp20qYATpCDEYoKAcy57CpKISDfXXbmSINQcAmDkKh7EiY1kKEnSmXxzX5crikeIk23Kt2XDeO5u/xelJoQMtnxzX5crikZ99RC0BvnWOJilGLHRbz5Z1u6BhqF1PJ8rAjvd8thGtU637fMMufaux4pvxXmGztP29rluSDA3tHCgIddCRbIQsC7uXf69maCc/36gR2U1RFoBv/HUSYdmBJbHG+of+1h/7ZtnevMP+2G0V/0WL35Ti9/SgY35gMu8HtLFzkDkGrgu7gTPQOSauJ47NjwDMVZ5OihsFg65FoqcgXgjvQ1fODg+Hh0vE1w5PfzOYRHuHRaR/hXrX4n+pb5r4pIGMUlvL7DmvbtsTDCP0Q9NDIMwcZ2ayLYWTGSUUxOf1b7bXfj/+4Xzgtd7bJPBXNaG5tUkO0M3wyGbAUxE9FMVl4Zro3euDYEL4YiNoIgI8OOjvbpbm7Vm7YhtLZhj4JIBCDylDjylDjylDjylDjwlFHjGbEQwS9GOavQEnftsS1s+q/HZ8Srg3He/rMdscym5lfXsLKsxf7ApufbLnOV4I9Dc9weaCdt8MKGSznl8Vntzd2IPMlOWpbd2MSIM7FtYnysce8pcmChf12sRkhyEOTa0dt7OWoSkkxTuJLxutVEcSFIQJhYJlahrLUKSpNO1CEkQ6oQogJGF2SC2nmw5lCS5BWsRoniEONlGXVZXZ8uN04V7G7woNSFkwIUFPKBjUTTqq4eg+dcimgezFCO+vR2/oSPuPldEVF9gfJ2rN0EOQlRC1Ztkw6+kKxTuik01miAFIeASNJq/4VeSR0Sp2Rt+JTGoyQKByB0XYUpydKbS3A2/oniEeNimSlteal24LygXpSYEDbZKczf8iqJRXzwErUGlNQ5mKUZ8e8+L1MMf23zxXBFTfYHxda7SBDkIUQlVaezjIiU5Fc65qQQTpCBEU4IEczVsCILIaC/HcZGSINQkAGDERaIGytH/IYjSnQBzHxcpykeIdW0qsOXhNoX7oCJRakLM4Csw93GRomzUtw9ha5BgjaNZihFXEuwkDJNUJUU/Datt9HnWP1VnWf/iNDsPzsNcpelWJFhi88VzRUL1BcbXuQQT5CCEJVyCfWXOKrr8We/pgyJNq2l//k31nberVuBFI/Dlm5dvrWbL5u+H9kPH9iV9oHAfbCrPBCkIoZYgz5yrmIIkQvrMfqudJAg1QwAYOj6naWavOYeSLJ0JtHQQWk8rvytKR4iDbcqzZJnQE7c8k6QmxAy2PHON51iUjPrqIWQN4qxxLEsx4tt757AWZ8rmi+cKRfUFxte5OBPkIAQlVJwJXTks6QWFe2FTeSZIQQi1uDxzXjksSSIizxziTBCDmiEAiChPC2Xv2hhKonSmzZxXDovSEcJgm9pseQ5h4T5WUpSaEDDY2sx55bAoGfXNQ8gatFnjWJZixB3vdrdOhD5XpF66dJ1u67vdmfauh4pv+253phsSzA1t7HZnWqhIFgLWRR3udmcyr0d0ud3uTAPBfYS4qvPsdmeauJ47NtztnkRpOrBOTwy5Fm5vt3u2d1jk+lexdxgGgfkQLredpt797lxQMJO1vN+day2Yyoj73dPVfvfUvd+dazKYzdoQvZpkZ+hmOGQzgKlog/3u6c61IXDvd+ciKCIC/Phor+7WZq1ZO2JbC2YZuGYAQk+pQ0+pQ0+pQ09pQk+JhZ4xGxLMVC3ueOda2v6O93S14935uh6zzaXkV9bTU1dk3nBTcu0X3vGe7lxzvXvHO9d8MKVSd7ynuxN7mJmyLDWmYvurDIyz8vXU/ezq17Xj3XEUsQsT5et8tUGQgzDNhtbPW9rxLugkhTsJr11tFAeSFOsawUNBqEadvSKCJCKLEc4d74Ig1ElRAMNz+q4kSWerEZ4d75J4hDjZRmVW12fL8/YL9+UJotSEkAGXFvCAjkXRqK8eguYdzHHzYJZixLd4x3vo2vGeU32B8XWu3gQ5CFEJVW+iO94FXaFwV2yq0QQpCAGXoNEadrwL8ogoNceeK0EMarJAIFxXXElydKbSPDveJfEI8bBNlZYvE3vuVmmS1ISgwVZpnh3vkmjUFw9Ba1BpjYNZihHf4h3voWvHe0H1BcbXuUoT5CBEJVSl8Xe8C3IqnHNTCSZIQYimBAnmatoQBJHRXq4d74Ig1CQAYCRpEQ9iRw+IIEp3Asyz412SjxDr2lRgy4uNCvctVaLUhJjBV2CeHe+SbNS3D2FrkGCNo1mKEd/iHe+OttnnwmX3AsEZGGDXGkwUhBCYcBEmsOdd1AkKd8KGCk0UgxBuCRLNtZIpiiIk0uw7q0RJqHkC4EiKIgpix8VUojCd6TTnxndZPEI0bFGmmS7BKrMv/2ADP5QFJ4QOtlJzbn6XRaO+gAiaX6gh41nKQd/iDfChYwN8uFTwBGdggN1rNUEQQnRCtZrQFnhRNyjcDRurNUEMQsjF1ZpzE7woiohac2k1QQ5qqgAo4iSM44H1LRmKsnQm1Zz74GXxCMGwVakW1qndfduKLDghbrClmnMvvCwa9f1D0JqkWvN4lnLQ+n9/8V+f0ihOLfbq7Oy1F19+yeIIlhSzt5Zp4zycQZqvc7p2xrutpQisq83xVnOfZ5u7/ph5nAvKqF9qGfV51Rb2WEsls8X63cu/nT++fHfPbLl+NP9m/qWZ/frD/NPLN6u97zd/7M3VDz6qdgU8sjFrYRU9M2SD3wiabvLNYma1BzcMYrPvNjUfzDbcMDQfzNfCzBU4uWAJHQzf8WRojgzNkaE5MjRHhubI0By5aI74NIpOg2+A0jAjAzMyMCMDMzIwIwMzcsGM+DD428aP6dXGSwNVGqjSQJUGqjRQpQuqZEPd2FrXAEV71iaGZGJIJoZkYkgmhmTiIpnwSfBMQ9xop0GmBmRqQKYGZGpApgZk6gKZ8kCqB20BYnLRn/tSaZtnzESOLXaa20eRBc7hwIxlplFPKmXau55QBM6Y0Z98YqYkTMasOq6rk2M+s2fc+ePe5eu9+TfVd76okunj5fkzj81aVO/yp+YfnX9qP6Gm+qe/XC5YVZ/of7065UZ/zfxzT6q//WX1j389f7jclfdpLzIH2+gvX75r8+8+27/reU3u8Bq2iYpkImDe1ek1NkMP2IauF05iR86wLQR38uNzKO4zZ9g2rqfzDQ+diWLXmTNsC7d26EwYJEbrqsVpDyb3eU6a4eOBCY1+1EwcOU+a4VsLZjTaUTPanPqsmaWbbVbf41sN5rXNqqTVnFK8M/RgHPIxwPTBqImWp0AY268PhPPIGT6FIlLAz5Hx7O7KsJslD9dgMNPA03NA8ClN8CnB4DPmo4EpinbYjDvw3Odb2vphM1dB577nbT3mW0xJrazHZjXp6Q84JRtB9siZq2BTD4Dz0Bk+AZhdicWweXZWRt2seTnGVpI2j1R4dp711bnpCAgvin6enlS7aOIsL4rsND5f8DjL4R+dtLvKb4pMV1Gc0DBRPlvh7MGiFM82kOdFQdaVh298wKr6Q13jPpz/sWrL/ElPV9OPzfK+/rQ6a6Y+WuZj/d23qhrY1MpfVDX1z3r/v7/5b/bu6n1RLyjcC3hhacM4EMUgrNURyk53R6YgisgafzCIlA3ljigKdZkRAFHFIMysKENRlO5W+c3lvq51fklAQjxsoxpb1WRJvS7svo5IFpwQO+BCAh/VsSwc9RVE4JpW+ptHtJSDruTaRZ5mZ2cXs/75hQr7SZ6m/ZPzJOtfxNHpmQrSJJ2dPeherrm6ARTVFxhf93JNEIQQnlC55mgmqITZ8rwZ06FpFiUerxoytXz71fy/zz+ozgb8dXVG4G/m/4+Rb7FLvgl6ReFe2Vi+CWIQQnAr8k0QRUS+RfZ27juiJNTUAXCoIhw41ZsgSmfqzfSgZi71JglICI+tqjdV53r3hUWy4ITQwVZv7lEdy8JRX0EErkm9NY9oKQfd5b1FkVOPpR66MM3W6bbeU8K0dz1m/GtPic2/+2z/Jph/W+kpYZqoSCYC5sVNPSVMQ8GVPoI6dPaUMC0EF+xw0efrKWHaSFn4QixUgXPHDdPCLfaUZKanJK+Xdb23F/HxwITWck8J11owo1F7StKrnhL3BUZ8q8G81oYONjA7Qw/GIR8DTB+b9JSkO9cHwtNTwqVQRAr4OTKe3V0ZtmbwiG8wmGngYgIIPqUJPiUYfMZ8NDBFtdhTwrVUoKckveopcV9hxLeYklpZj82qQPMHnJKNIN1Tku5cHwBPTwmXAMyu5J6SdHdl1JqxU56xt3aRwr3Rwn81wA1MlK/7RQpBEMIsHFpVd7VIIegVhXsFLzRtGAeiGOvCwINBKEPdixSCKB0vUgiSUGdIAY44S+0kQ1GS7tYoktB1OL4sICE6tlGbrSq0rJ7Rdt9iJAtOiBxwWYGP6lgWjvoGInDeER0jI1rKQd/ehmD3iob/xgCLLzC+7sWbIAghPKHiTaohWNALCvfCxmJNEIMQclsRa4IoImLN0xAsiELNFQBInA1SK8lQlKQztebtB5YEJITDVtVaXud2921GsuCE0MFWa95+YEk46huIwDWpteYRLeWgq5O/9laL8TpUdHlqSWyj1Xqs8NAGWbRO21GHSWKve59n2wuuxKFyytZhAhz7NX/cq64grDpAlprrd/oHv1xMoi3uAa/OYq1ulXxsLghfNYeEy+aQ+R9trtlnuybBXNNKcwjTREUyETCv8cARpqHgkh1B6DmbQ5gWgitvuH7zNYcwbaSsYAEWprHjzrYh28LtNYeEQb00W/j7QrhkYBqi94Wo1N0WwjUWTEPUtpDiqi3EefPOPb7VYDJqQ8wamJ2hB+OQjwEmjk3aQoqd6wPhaQvhUigiBfwcGc/urgxbM3jENxjMMXBFAISdEgw7Yz4VmJdoHSHOkHOfb6hAQ0hx1RDifE+P+RZT0inrgVnVV/5QU7IRpBtCip3rA+BpCOESgGmV3BBS7K6MWjN2yjO2qpbC/Pzs5Dzqh8lJ2k8ic0VcNCv6SZpm6vQsybLsYsHjrF495Ty3gnU1hIS+a1UsmChf52sKkiCESTS0CP5Q16KfVxXp76sLeKtdDsv69vGiD6Qqkb+sdzi8+OrLP3z5pZ4Kgl6oAmthsy/qBIU7Aa8lr1ZNzA3Eiw6Y3vzn8y8u36ybYXr9ntJ1/Vc24gNRYsIUYgtFqSSJyOKDLl6tleEdUZT1hOxBgWtcFQyi2JoHhqIsnS0/hGk+SB3LD6KAhMjZRsVW121hfaNY6LkhThScEDvgYgMf1bEsHPUdROAalh+AES3loLvd0JrY6LRU81+rAl830tVyA9decIYHVVq3cbmB65oEc00byw1cExXJRMC8pr2oXEPBqaA2lB3TQnBah6TYXMsNXBsp8yOAhVGS228dHrIt3OJyQ7Sc9wtD73IDmwxMQ60uN7CNBdMQcbkhDFfLDaHzSrJ7fKvBZNSGeDUwO0MPxiEfA0wcGyw3aNuvD4R7uYFNoYgU8HNkPLu7MuzGcgPbYDDHwBUAEHZKMOyM+VRgXmptuYFtaPvLDatwc9/znh7zLaakU9YDs6qn/KGmZCMILzeswkw9AO7lBjYBmFapyw362VkZdWO5gWXsrV1uSJzLDRENE+XrfrlBEIQwaYYWwULLDYJOULgT8FoSWW7wLTYI8hImDNsoSQVJul5sEEShTnQCIJEWOlGa2FiGoiy3Y7FBEpAQN9uo11ZVW1RPTUeeyk0SnBA74FIDH9WxLBz1HUTgmhYbmke0lIOu9zqoByu11uFeBzX4gY1XS7fEzhvGSVzkcbzO29Hyg7JLzefZ9oIzPqjy+pf1i8qfXlbQWuxRtbn0q/kfzK5S/cWvbDT7bJoEo2llxYBpoiKZyDTvgG0eOIdDEWVWJfMC20JwPoYktpzrBEwbKRMbgIWRrjGt0nbItlBkneDmhl27Y+/yzQbTAX0RIApV5l4G4JoLpgPKMoDNwnt8C8EEQJKQ6HNwyDcbjPT0KX6bnUd8OxXRzk2eghHfTDDss/W06wkY800G8wBtXt4TBe7zTW15Zt5m3THfOkqyanPsS7bJMrPuNhsnfBvBTEWaV7eZOOWZuAj+YZKqi7AfZYkuzKLgpH96El/0T4uT8DQM84s8WyYwZznmqU/ZJVnoLMpSGihK2P18uiAIYV4Irereu163Lc8Auvyby5/0wqAfWd/ufVFIhUNuXEkJYhCmstqouARJpKbBrWXPHVEU6hQcAKILuDx1dXoJonQ2Cx4p5Sn2JAkJ4Y5UwzRNg6f1pKnnGH1RcELsYMt2z7COZemoLyFC1zQP3jykpRx0t033qY1OCyz/+ZPFOt3WZ72Z9oKTHqg+amvWm0mTYDStzHozTVQkEwHzot78ce+pZvkHLyXZXroT7IVqNzS/p+YP+Z7Sf4zt1zcesGnA2ZI2JBvTQnByhCTFnJPkTBsp8w6AhVE8KEKXxmKaKDJLfiMNWbvp63tVwszfTc8lA/NL2xPpXHPBDEOZSDf99NlVP73zWOZ7fKvBPNOGMDUwO0MPxiEfA0ww9Mn2q0bXbOf6QHj66bkUikgBP0fGs7srw25OynMNBtMMrO6BwFOCgWfMpwJTU5vz9lxTW563Nx312VVHvfNNPeZbTMmprEdmVSz5g03JRpCZ278ZaOoB8HTUcwnA1Eqa+Tcd9dnuyqibawAcY2/tGkDq7Kj3H7l7AxPl634FQBCEMCWGVrjMFQBBSIVD4lWlDeNAFIMwi9dGOSlI0vUKgCAKdfIRAImSQVxYZ92Goii3ZAVAkpAQ7tootFblVn1EfOg59F8UnBA74BqBMKxjWTrqS4jQNa0ANA9pKQdddcI/lb+deuvV2dlrL778ksURLLllzRVaahUeziBT65yutQC3tRQVdbUcYDX3eba564+Zx7mgVrIdwVOtB3xx+ZPLd6rNh+8+tUBgw9HSqXhmyGa6ERLdUJtFxMVcZRTsHWqDzAdzH30Smw/mT0rpD2loPphPM/Nzmfm5LDEfCv0hN3/KzZ8K86dC/ykKElc05fojofsDLy2NE46ME46ME46ME46ME46ME46ME46ME46ME46ME46ME46ME46ME46ME46ME46ME46ME45cTjjiO0HRnYBXp9oHI+ODkfHByPhgZHwwMj4YGR+MjA9Gxgcj44OR8cHI+GBkfDAyPhgZH4yMD0bGByOXD0Z8H+BvOz+nLObRtC9K44vS+KI0viiNL0rji9L4ojS+KI0vSuOL0viiNL4ojS9K44vS+KI0vihdvijZvrgx0dLgC9oLMTEOmBgHTIwDJsYBE+OAiXHAxDhgYhwwMQ6YGAdMjAMmxgET44CJccDEOGBiHDBxOWDCdwCeV4lTNZp/avinhn9q+KeGf2r4p4Z/avinhn9q+KeGf2r4p4Z/avinhn9q+KeGf+rin/L4q7fhwUpedLblLnZ3d0aOQyEiFRVhtqUtd+Z3R/MB115wUUhCbjzsXb6u/6x/+tH8c/2TD81ZflXzwpeXP6tuc/xjT3/4TP/NN+dfV70Kn1aHBf5x8S98aqaBlkcKVCcILM8ArM5XuOpzqP4F/aevq3/86/rvf1l9+oX+W8aKP1SnCZqDGBb/gcufGtNdeojr7PXML9gbwTVRkUxkmnfANg9chaLMTlmndF5gWwiuKJFmnVzNDlwbKQszgIVJHLru++ZaKNLrgO4Fucs3G8xW9EaGMFKhs5GBbS6YrSiNDDYL7/EtBPMTqXJEn4NDvtlgpKcXeDY7j/h2KqKdmzwFI76ZYNhnTyy6ZxXZJoN5gNZZ4IkC9/mmttxZYLPumG8dJVm1OfYl22SZrgGbjRO+jWCmIhWbNhOnPBMrG4uT0yII4r46TeJ+Upxk/fz0JOrnSZpGeaCS82y2oHBWiz86abcboKrAnDVjTANFCW11pQeMUlvaQJ4XBSEskKFF53tVr/tTVd2Ty7cXx8QvCsJ/qWq/v9G//nZ51t6nVT24PEn+G1Ojfjj/9fy9/vyj+cfzn88/mP+T/vi7+cc29+yLukfh7sFrsCsPfW7O2L9e/s4/qiv2+SfVafqf9ea/0P7RJbGu2l83Z/R9FAbmVH1Tblce+2J5gJ/+5kdBb/5xL1Lmi5/Z3HUg6i7CqiOhJnSgvCCKItSyYC1v74iSUBdLAY5I5YV9n9BQFKWzjoUwGsTWxcS7snyEcEyqsRr6FaJ4ubi9+IMN/FAWnBA52GWFc1DHsmzUFxBha+hWAAa0lIOu5OJFeqHOT2Yn/Tg6LfphOJv1T8Ig6p+HaRqenAWnp8Xyae9ULkZOuaio3sAIu5eLgiCE+ITLxXpp4LHWiY+0sNEyyMiap9YJet+fvXLyo5Pe4ckrJ3/91y/2tCB8aJY0zJ7KXnknDYM4CI57aRD8J/OrMAcXm8WKT6rVjD8slxn0z5tFije06Hpn8elSQtn8uC/qR4X7kaQrrass694r76ggCiPtsCgILt/KzYcwNHc4fbX34MFL8/+r8tpnZg3GfNEsB2mNvtCan+hPf69/LT79jv4PPOpV+1p/b/7w3vz90BpsDkS9SUgeBNnpXIoQJBFSnYF1Z8AdURRq1kNAwkGRJzaUoShKd7IzLGL3KogkISGwtyo8Va1TlEd4SoITYgdfeLqHdSxLR30JEbom6dk8pKUcdCU90yDLT+Mi6kfxyVk/uThR/VylJ/0kOivys2wWn1wkD7qXnrFTejo2aLm9gRF2Lz0FQQgRahPp+fD6hNzD3vjF2WuvnJjfXvrrk3pz00pJzp/0n56Ke79qXKnVUvWz3y+CIgiD4yAIwj+djAPzRa2YHi7abqrWGvPfrH5Wi9cd8yt33byxL+pihbu4fVU6/9BMey5vEq1mPs105/e+lwaR/v+xFqZLeX/5VrHQqk9Pgq5p+/ljS8nwe/1v6qGef335s8t3TU1g/vUkiqKr0mH1b9ucfyDqfEIiakPECpJ0LWIFUaj5EwBJkmKQRda+waEoS3cqNs6SQaJshHdlCQk5olUVm9WSx3PChig4IXjwVWxUBI4tl2NZOupbiNA1qdjmIS3loCsVexYVcRSFp/3zItY/m0RJP4+CoD8LT4viNAtT/eMPulexiVPFOnrN3d7ACLtXsYIghAiFqth/fqpZ+mFv/j+qGc9Hi+7t3vyjgzj+gRGXQbLUS/r71cpy1aX9tHy1eWNf1BsK9wYuOG0YB6IYhOhLkG7uZW9BFBHtFgyW9f5N7SaIQs0aAEgYZIPcfmLgUJSlM+2W6LGy6uy7snyEuNiqcivqNF94lJskOCF2sJWbc1DHsmzUNxBha9JtzQNaykEvZh8v8iC9OA/6F1Fw0U/O0qKfnxdF/2w2S4I0vjgJkmWU7VS3Oa+zi4kNoShh57pNEoQQn1Dd9su1nXQPe+bT+ePlTrrX5w8X04OLCa3fmMa/+cfzX8/f178+WE5E3hv3Vdib/9zmkH1RhyjcIZtKN0kMQvhtQ7pJoghJN7Mp5SbKHVEUauIAQNJkkNlV6FAUpTPllueD3LFyLMpHiIxtKrc4XCb6xR9s4Iey4ITQwVZuzkEdy7JRX0CErUG5AQNaykHXVw0vBYsRZB2ee2CdVNXKLLLTLk9vuHGxckenHkSuUw+49q6HkE5PPVgcUPClWResvvJIq7Cv5g9thPtswgQjpB01MP9Hs/Xj8h8u316sWptTE/7OzPpdvmmWO/9x/qEN4ntsCEWCAACiqzsaLIYesA0F96cSBJ1rGZVr4bpWkzyWgGvjeg7Y8FgCFef289mGbAtFjiW4kaZsVzDE5hyz2JxKFptzzOJ0eTB6HO25D0a/ywcF0w/9IIMkjJznGLCtBfMP5RyDZ43zVhcyLNxss/oe32owC7UhYg3MztCDccjHAFMN/ayD1Tnp2vbrA+GiOOJTKCIF/BwZz+6uDFszeMQ3GMw5cCUAhKHShKHShKHShKESDENjPiSYtminKLhD0H2+pS0fovDs+Cr83Pe8t8d8iynplvUArQotf+gp2QgyBy3cDDv1ALgIJnwCMM+SjmF41nh0d2XUmrFTnrHVI3MSz+JIqb46PUn7STHL+qenZ3k/yopZeBpGeXGyHBFnGeup67mlrOt6huXWSxgT5et+mUEQhDCZhlbD64cNoJWuIKXCKfFi8grUHJRg+oe/vNq2tmT/TH/1E7O/8PKt3vUe7Mt3zJeuTRLov/d9jf9yb/zDv3q1l3iOVJD0FWGWkVDPuhcoBFGEFiisReUdURLq9CjAEabhIClsKENRlM7WJ6LIfcCfKCAhprZR260qvHoLfuw5U0EUnBA64LIEH9WxLBz1FUTgmlYomke0lINe9JYk51l2Nov7p2Ge95NURX39t0/NUQzn4Wl6cp6rswfdSz6rstWSL6H6AuPrXvIJghDCEyr5bnaW1PvWrA0mi9UDc8Dy50YZ9vVvj/V3v1n+1GP9ja8XP2Xzzr6odxTuHYJUXDnI23JjOYnrN9VBW2/UG8l698Yq7D3Xs/nlQNQvhNjeiiwURBGShc6+FUEUalICQPJgkNn3Ug1FUTrThWk+SFyyUJKPEHdblYVJLSISjyyUBCeEDrYsdA7qWJaN+gIibE2qsHlASznoShXmp0F6oc6CfnIShPonIv230vOsn6uiCC7ys5mq11M6VYXWwlyrQkX1BcbXvSoUBCFEJ1QVfrS81GN1HKu5VuPryzcvf+KeG+x9p/6WOUzr/5w/mn+xUJVaHc3fm//iu0thOTl55S9nr722vPKj+b9UycsnWnK9UYkv89/8zHTp3DRguWdt+f3l3/5pdS/Il5fvLP6DRagSawmyLzpGCh8jXJvaMA5EMQj5gCAlzVTqZ4Oe/RiLF0SBRASldVXjjigHNZkBFJGyvidDUY7OpKTzNP67snyEYN2qlKxPWoo9h2eJghNCB1tKOgd1LMtGffsQtiYp2TygpRx0JSWz6CI6T4u8n56GST/Ji7hfJBezfpCe58n5rAjOtyIlE5svtJRMqb7A+LqXkoIghOiESsnfXJdpqEpMqrOVekvJePDcvcWfRj966cVXf/zyK6+92ntufzIcHfWOk8CiK/sreXlNOy4m69aUo0UqXv7t8oio6jRY2zjsi46DwsdhY7koiEGI+QS56GywFiSR0Yn2/pc7oiTUXAVwqCIahNYKfiiK0plYDOO4cMtFSUJCQG5VLqa1ukg9clESnBA62HLRM6xjWTrqS4jQNQnG5iEt5aDrPXPLXtuO98w5T1ONczuvRo2KoAjXeTvaNZc7d80x7V0PI23smqsO51wdR2C20b1T6adP67m8qkuumtr7m6rD7pFTSTGpEoyKtlPOZuL32CYqkolM8w7Y5q1H2c13vzXN5TENBXcTULSXexMc00ZKVz5iYZDb7Buy7RPZAndzMd2pk7hmg7mBvqEtClzWfp9vLZgaKBvabBbe41sIJgOSnkQfg0O+2WC0p29Ws9l5xLdTEe3c5CkY8c0EQz9bXHt6Pbkmg0mAtqXMHQTu8y1teUuZzbpjvnWURNXm0Jdsk2W2i9lsnPBtBPMUaUOYzcQpz8RKMcfhxXkSJP3gXBdqSarSflGEYV+dzk7Pzi6CMIqWj66zMvOUquzqzHkv77IxCAZFCTuftJcEIcwRoQXeh1dl2+XPepP+fHE/mrladjmH/uH8/fn/2w/Cq1suro4Lrm9mWBSD80eLH4myINiJrYFhX9Q/CvfPpnWYJAZhRqy9ek0SSGhOPVA2lDuiKNT5PAQkjO1LmUNRks7m1ItgUDhODxblI0RLUgXUMKOeBMvp18UfbOCHsuCE+MEW/c5BHcuyUd8/hK1hPh0Y0FIOulJzcZzlZ1mo+uHpWdhPggvVz8+Doh+qkyKMZkFyVpw/6F7NOa/NXTZeEryBEXav5gRBCPEJVXP/Teu4z6urch+Zfe1Gk/3BbNxy72h6VF0DYYPfF4VXODwu1a52+5trxb5enCJX61jLAQDv6z+aq2zNnq8XXvxPvfm/rHtpcbft4vqwOA/MP/ylzVkHos4iBHRcEF7+9PING8oLoigiUjAYBNZN8ndEUaipCAAxl4DZQIaiIJ0pwdA5A3dXFpAQaluVglGtHDxnuomCEyIHWwq6R3UsC0d9ARG4Ji3YPKKlHLQRgz6N124vRWKj09outtNVnSNhFqzTbbuTgmsvuHiGSrOWOym4VAlG1UYnBddERTIRMC9enSg8MNOZv+vHe4vfrU/4AdtwcKENl2iNc3ZMQ8HlNVyAeXosuDZSlq4AC1MdKazDPWRbKNJlcSP/2A4aTswZw4k5YzipD/dMYs/hnnf5jGCKabclg20tmGMoLRnPGuetzhhOnIf83ONbDWaaNpSpgdkZejAO+RhgaqG3bawO+9S2Xx8IF8URn0IRKeDnyHh2d2XYmsEjvsFg1oHlPRCBShOBShOBSjACjfl8YLJqrxeEbWnLvSDPjq8iz33PK3vMt5iSZFnPzqpu8kedko0g0y9yM+LUA+AimPAJwBRL6iZ51nh0d2XUmrFTnrG3diUicR0vnCQ0TJSv+3UIQZB1+eEbH7DYbXkdQhBe4fB4wbnVdQhBZxFmE/Ei17MOIYjS9TqEIAp1GhQAUYM0t2aOoSjJ7ViIkAQkxNo2yr1V0VcfR5Z4zpcTBSeEDrhSwUd1LAtHfQMRuKaFiOYRLeWgb2+LceI6dnh5XCbBFxhf91JQEIQQnlAp2H2DsaB/FO4fglr82OKUb665beGjXhD2vmPYL9+KA3Noiq5G6/NLen2/42y+OhD1FSHi42KxcUVEEEhEMnq6mAVRqAkLAEmKgSpczSuCKJ1pxiIYRNZphruyfISY3KpkrI8dSzznyImCEwIIWzI6B3Usy0Z9ARG2JsXYPKClHHSlGIuiOL3IZ6f98zxN+kmSZuYIkaB/poI0Dk9OL4KTswfdK0ZrpasVY0r1BcbXvWIUBCFEJ55inP/Soo7MvOE/LG5bMHOMy3m0xUFwtZy07k7YF3WGwp1BkIc2Byzk4eKsuyda+C2Os/vZ/A+X75rbvhey+h/n/31dSJYnPzz5d73vaNQgiL7bS6LLt0JlpOQ1JRlESzFp/mPGq099ZnHqgahTCWmgRR0pCCSkIx0nzEmSULMYwpENVGBFGYqidCYjk6gYRFadfFcWkBCpW9WR9WlkieeAOVFwQgBh60j3qI5l4aivIALXJCSbR7SUg67Pl6tf2I4PmFPOLW+Okxo0bhSnifswCcxcigp8ui06DJx90UyD1+NIG33Rixu1qg7pT83U1TeLk3v1N9406589/ckfzFWrjyoVZBZVP6v+pNVffXTv8i/pT78w68yv97RYMvNfj/UPflH9wOVPq6mwT/eq735TTZV9vryUwvy9R8uLz6p/rPovXLsvbfnfeLJcln3L/OTi2i+bf/fZ/k0w/7bSoc00UZFMZJp3wDYP7IhrUS0yDQVb2ygq0N2HzbSR0iIGWBgHmT0gDdkWivRhoycd3eWbDSYqemt1nCXu1mqutWCeorRW2yy8x7cQTEwkcYs+Bod8s8F4T2+bttl5xLdTEe3c5CkY8c0Egz9b6XtaDLgmg2mA1uHsDgL3+ZbmBEuZQ3/Mt46Sqtoc+pJtskz3ss3GCd9GME+R+pNtJk55JlYiRZ2fpeFF1E9UrD8kquifJidZ//TsND5JT1OVFMv85SwTPYUzu1R0nnanHKfFuEBRws6XFiRBCBNWaLH53qqCfHz5tv7z61WPsq7rnione9+fvXLyo5Pej05eOfnrv37xB09dX2juiVn04F5NiC++3fve99IgiIPgeK93UDmjd++FIOxNX3rxtRd/OPtT7YSXe//uldl/7o3vLK+6SU0fR/UhrJo5bA7eF3Wwwh2Ml3LzD5+u3Rsq94e1sw8Xzu4tFn+WvStVm/QXl68/ePCScW8Uafca16XPT4z3/lOhepdvFb215Qs9NMuRmj/pNy1cSLqXMO9IKEVdd+JIkoisWASD0LFkIYlCnS8FQOJ4kOWOmlYSpbMli1y5q19RQEIGIFV1DUsWqj7wTXlO8BMFJ4QOdiHjHtWxLBz1FUTgGpYsgBEt5aAriXoWFfrfCU/750V8pn82Svq5Tmj9WXhaFKdZmGaz5ePeqUR1HuG3vBOW4A2MsHuJKghCCFCoRP3np1YtHvbm/2P+aP6HSj0ZaTr/6CCOq51yQXK93/dxtRTRJHj2Rb2hcG/getKGcSCKQQi+BN32xfwzG8oLoihCwi1IbCh3RFGoWQMACaNBlFtRhqIonQm3JBhEjpOXRfkIYbFV3VYfzqY8x+2JghNCB1u3OQd1LMtGfQERtibZ1jygpRx0JdvSizxIL86D/kUUXPSTs7To5+dF0T+bzZIgjS9OgmQZZDuVbc57DlVC9QZG2L1sEwQhxCdUtv1yrVvkofuogz/25r+Z/3z+0fzj+a/n7+tfHyznGO+N+yrszX9uc8i+qEMU7pCNlZsgBiH8tqLcBFGklJtZxr3JckeUhZo5AJJkkAbWJDgUJelMueX5IHfNuEnyESJjq8qt3s2uPOcTiIITQgdbuTkHdSzLRn3/ELYm5dY8oKUc9KpHeCnFOu4RTp3izNEUHcZJopKbTdFd9Qg7No88zzZ4PYy00SN87exk/ceHVVdm3bL7mbVtuNoDtder/tKXl/9w+fb84eW7PfPdp/+9yzd7VQOymWd7w8yyfW3k2xuVovvk8p1etdPqSfWvP6oWLt+1eWuf7a0E81YbHb9cExXJRKZ5B2zzwKYvguhr6PjlGgq2euGSztPxy7WR0kaFWJgWzvvNuCZuueWXbTaYd+gtv9okZ8sv21ow7Wze8su2EMwzJKmKPgaHfLPBgN9Wyy/bTkW0c5OnYMQ3E4z+bN3uWSfnmgzmAVrLrzsI3Odb2knLL9s6Sq5qc+hLtsldtvyybQTzVAstvywTKyWVqiS6SE77Z+os6CfnF+f9k4sk66vT/CSKdZ2Yq+XD4az6PHUwu/Jzt/w6e5vtoChh9xPzgiCE6Se0drzejlofi1EePnc8GR+PXhjeO+g9d3/6XJwt23ILtRNn8/fn7/eivWj+vs0H+6I+ULgP8HJrvSv3M/3JJ3Xz88Il33v5hz/8y9lLvf/vvV4YBL2g2t7d1FXbO37uXi8LzI/O35u/H9ncdSDqLsLEXYvlnyCQyMy/q9NWkIM664hQ+EpJQZTOpv3DLBpkVsC7soCEwEsqpprm/fN6mjj3zPtLghPCB7t+cI/qWBaO+goicE0T/80jWspB394rKlJ3p23q7Dt2eQMj7FwZSoIQAhSqDNu9pEISXuHwBEm4xUsqJJ1FiOi4IHRfUiGJIiIF3ZdUSKJQUxEAEqpokASpjWUoytKdHPRcUyEKSIi2bcrBtN6mk3o2XomCE4IHXw56rqkQhaO+gwhcgxwERrSUg171gSQPVjKvwz6QzKn4HC3LkYqDKEmSdeCu+kAc96g9zzYYXJ9DFZvjrLgnRqxcvlNtm3p38YUvnzo0rjrhrZrIWhwXbL632NNv+jxMZ4iWMP9gA99ngycYeBstHVwTFclEpnkHbPPART1cwjl3znMtBNfwcGXm6eXg2khZHwMsjDNV2C/YGbJN3HIvB9tsMHfQeznSNHT2crCtBVPH5r0cbAvBXEHSm+hjcMg3G4z0bfVysO1URDs3eQpGfDPBsM8W3x7pzTUZzAO0Xg53ELjPt7STXg62dZRc1ebQl2yTu+zlYNsI5qkWejlYJhobL5LZaZGmJ/1T/Xs/DGen/Ty4OO0HgQpUmudhoZb5y1m5eWpZdvXm7OVIExooStj9jL0gCGEOCa3/VjPWixLv8eWb5vyLq1b+xUT15/oPb16+VR3Z/VX1o18vpq3rye1/mn9p6sRrWwh0+fjWYib888s3n/5S1RzRv15lzv/4nXt/Otm7qi37V8Xld/d689+b0tP8Vy9fN39Rf3wy/6Q+L/zyZ72wH+6py7f3njpVbv6kX82e/76+zWavl+zFoWvz4b7o0Cl86PDyEB69anDq22ueOtO9cWD/zcs/Oqk+/OXLP/xhb/LiD2e96Pu98dR4sufy5IGoJwnziXgl61mMEEQRWYxw9KVIclBnQQGKJM5tHENRjs5WITy1syQeIX+QasKmNYh652Lq2YoqCk6IGewyKEmcveJjWTrq64fQNS1CNA9pKQddKVw1K7JZkqv+2ewi7Cenp2m/OElmfRXMzlUUpRen58th71ThuntSHG3Zbm9ghN0rXEEQQoTCFe5NRVltUn24WNmo1dByBaMc7/f+dPinz/VK/R+evbq69ubvFvfiaFX0lencNf/EI/3HYC92nzQs6SmFe4ogKD98yh1LwfjCy6+cvtw7uLiY/eVrJ73xKy9fzF599cWXXzr5YS8P0qA36d178d/9+9d6+y+/dPbK7LVZb3w86ilzCHP1IVoeJnzlxPq0Z+PCP2oH5uBxw95+aElXE7IHrjjdayeCJDKCcxDENpQ7oijUpAeAxHkWDorM1f4iCHMbhKckHiGstyo862v1Us9FiaLghNDBFp6h8nW/SNJR30GErkl4Ng9pKQdtlKdPULbb7GKtgLWQzOx0y3sgb5zxsv1WF6bB4PIlKgS30OrCBE8w8FZaXZgmKpKJgHlx7/LvFw3TNkMP2IauR2DBphemheBiJ0mQOZtemDZSFhIBC+NEZYPQJbSYNop0vdxIR8MXDo6PR8fLhFROD7+jJUS+pz8U3zVxwdhvMtNeYE1Od/l4YLJpuTuGay2YbSjdMc8a5+0uHP/9pZttVt/jWw2mnDZEqoHZGXowDvkYYAKhd9AsbTdm71wfCBfFEZ9CESng58h4dndl2JrBI77BYK6BlT4QfEoTfEow+Iz5aGCSarEjh2tpyx05z46vgs59z9t6zLeYklxZj82qePIHnJKNINO1czPY1APgIpjwCcDsSurpedZ4dHdl1JqxU56xt3btI7fXf7pgdexNdmGifN2vfAiCEKbI0IJ3mysfgp5SuKfw8rOTlY9lU03rax+CziZMYLZRQguSdL32IYhCnXcFQGKVBoM8UzaYoSjMbVj7kMQjBPY2yspVcVmfGpJ6zoERBSeEDrgiQsd0LItGfQERtKaFj+bxLOWgb29PeW7fPKdVZ0H1BcbXveoUBCEEJ1x1Yj3J/1t0lAsOncKHjiCD0dHrvKNc0JOERIVrXE9HuSCKjMi1cdwR5aAmWIAiCVwd5YIct0HcSuIR8ker4rao</t>
  </si>
  <si>
    <t>xVDhEbeS4ISYISFuJdGo7x6C1iRum8ezlINenWmzHNTkQadn2hQ23OfCzHGET4Ub5Pk6bldtPqn9uNjn2QaDa66o/uTebLRo6lnKHnMsnxY+qx9u7vXh0icYfRu9PlwTFclEwLyrXp+BEZG/6TsmNrkGg+uwuJhrOryaayi4qkqQau7WH66NlNVJxEIz0VhYJ02HbBu31/qThcuF9yzwdv2wycDcQ+/6iUKXvvg+31ow+RC7frJg1fWTOQ+9u8e3GsxAbShYA7Mz9GAc8jHAVLJB14+2/fpAuLt+2BSKSAE/R8azuyvD1gwe8Q0Gsw1cBgBxpwTjzphPBaYmWsOPO+bc51vafsPPKt7c97yox3yLKSmV9cTUdVVDrCnZCMINP6s4Uw+Au+GHTQAmVmrDj352VkatGTvlGWusPZ+FUXp+cdGPo/PAVLKz/kkYRP3zME3Dk7Pg9LRYJjFn0eop47mFq6vhJwtpmChf50svkiCEqTO09F27kWg5S199rSprH12+qQvbh73v1N96Mv/k8v+cP5p/cWlu4/3ULHW8N//Fd6vbikxjSn1z0fdOXvnL3p1XTv5zdYfR6l4j+D9Yf+fz6jrg16vFAVNXV4fcf17ttuld/rT68pe2kdgXHQmFjwRe49owDkQxCFOSLVa+gkAyixn2oHVHlIQ6pYpwZGE2CCJXIS0I09maRpwkA3tH0l1ZQEJobqMmXFWG4XIWfPEHG/ihLDghhMDlDD6qY1k46kuIwDWsawAjWspBd7tbObRqXi0GIw+e/u463vbXMZgGg7NIqJjb1joGkz7B6FtZx2CaqEgmAuZF6DoG02BwZqlFNcc0FJwsoqg09zoG00bKpAtiYZYWg8w64EO2jVtcx4jr+cTIv47BJQOTT8vrGFxrweRDXceIrtYxIs86BtdqMAO1oVkNzM7Qg3HIxwBTySbrGNHO9YHwrGNwKRSRAn6OjGd3V4bdXMfgGgxmG1j4A3GnBOPOmE8FpqYW1zG4lgqsY0RX6xjOF/WYbzElpbKemFUd5Y81JRtBeh0j2rk+AJ51DC4BmFjJ6xjR7sqom+sYHGNv7TqGfpldCxkxjRMF7H4hQxCEMFuG1r7ousK3cSFDcCQUPhJ4kWvDOBDFIMxCtlj6CgJ1vJAhSEKdQ0U4iiQdpIWrkhaEuR0LGZKAhNDcRlG4Kg3jeto79pSHkuCEEALXM/iojmXhqC8hAte0kNE8oqUc9GqDxpLcSMION2iELnWYeHiDIljn7Wplw9GX8zzb4PUw0sbKxs2DWK8vY9Tnr5rli4fVnt/Pqj99vThIxfzltZ2nleSzge+zwRMMvJVFDaaJimQiYF7TQaxcQ8HppRYVHdNQcMaIotTcixlMGykzL4iFcTbIXQqMaeIW1zLUnv6Qmg+Z+ZDXU4yJf2mDCwpmH/rSRpLF7qUNrrVg9qEubSRXSxvOK4Hu8a0GU1AbKtbA7Aw9GId8DDChbLK0kexcHwjP0gaXQhEp4OfIeHZ3ZdjNpQ2uwWDugUsBIAyVJgyVJgyVJgyVYBga8yHBvEVb6XCHoPt8SwVWOpKrlQ7ne3vMt5iSb1kP0KrQ8oeeko0gvdKR7FwfAM9KB5cAzLPklY5kd2XUzZUOjrHG2tNZlp5mF0H/PI/CfhKFcf8kOFX98+S8OA3yPMwvljzOKtZT17MrWedKh6JxooDdr3QIghCm09BauD529Mnl2/XJV18sjmD6wbKT71+qkvdv9K+/1b9+UnUDmjJ4+dPfmOL5w/mv5+/1dQX88fzn8w/m/6Q//m7+sc1B+6IOUriD8IL06kyq5eLL9aq/nkqYf6J/fzz/rDf/hfbPH/SvL8xSzs/nH4VB7+ok1YV/H16+br75UdCbf9yLlOfgKUl3EWYpCWWxA+UFURSRJY5gYD04+44oCXV2FeAo0kFiTzBDUZTOFjjCdFCkNr67snyEgNxGZbiqD1U9G648NaIkOCFywEUNPKhjWTbqC4iwNS1vNA9oKQe96IxJokxlWdiPo7P81nTGhK7TVZe3ZBKcgQF2rxcFQQjhiaQXrxpVnOsj9SGqD80aizmAs1feicIwCoJjIyvj5ye91BxSX6iqPcZx7LzNZfuiLlO4ywgKcs1r3qWlh3u9789eOfnRSe/w5JWTv/7rF7W8NgqzN39fy8Y3KpFplOX3vpcGUe3P9PnJXu1Q/Wt5qD/u1ANRpxKyBa4z3QecSqKI6MxwkFvV2R1RFGqeA0AiFQ9UXthYhqIs3SlNraVdJ52KAhJieatSs77vNvNcYSwKTggefKnpHNWxLBz1HUTgmrRm84iWctCV1oyUmkWnM9Uvzk7Nof8q6ufJedRPijgJozw8y4vlFH23WjO2OUNrTd81WVZnYIDda01BEEJ8QrXmPxu9U805VruP/4eWkX+oRJOWSb35Rwdx/AOjfcK4txRGD6spSqsq2BeFVzg8rhp7+7NXZq+++FpvX5P2gmQ5iai9UM00Vq1L13Tdg5ds5Aei5ITojEs7zxSiIIqItAsGgUvaCaJQ0woAogYqtMbHoShJZ8IuyQaJdaTuyvIR4marui6rVYDn/l9RcELkYOs656COZdmo7x/C1iTrmge0lIOuZF16kQfpxXnQv4iCi35ylhb9/Lwo+mezWRKk8cVJkCxjbLeyzvoEaFnnu6zK6gwMsHtZJwhCCE+orPullitvVjfy1AfLmE/nj6vJqp9UO9mWVyuZKcTfmBXU+cfzX8/f178+WK5K3xv3Vdib/9zmkH1RhyjcIbjUs2EciGIQom8ruk0QRUq3mTbDmyx3RFmoiQMgiQaB/f7noShJZ8Itzwe5a0JOko8QGVsVbvU9jJnnXk1RcELoYAs356COZdmo7x/C1iTcmge0lIPu+Iw+12pu4cEze/7W8La/k41p8HrQ+PbtZGOCJxh4KzvZmCYqkomAeY072ZiGrgdg+Z1sTEPXlZnoTjamjZTOesDCKHas5Q7ZFm5vI1se7OkPofkQmQ+rs7IK/0Y2LiiYfFreyMa1Fkw+1I1sxdVGNudlhPf4VoMZqA3JamB2hh6MQz4GmE822chW7FwfCM9GNi6FIlLAz5Hx7O7KsDWDR3yDwdQD634gDJUmDJUmDJUmDJVgGBrzIcG01eJGNq6lAhvZiquNbM739phvMSXdsh6gVVnlDz0lG0F6I1uxc30APBvZuARgniVvZCt2V0atGTvlGXt7VxUi10a23HfFkoUTBex8VUEShDB3hpbC8qsKkg5RuEPw+tOGcSCKQZgaJFSnzlUFSZSuVxUkWdaTrocFrXODQaxyG8lQlOQ2rCqI8hEiYxslWl2o5cFyEjr3XAwrCk4IHXB1AQ/qWJaN+v4hbA2rCsCAlnLQt7jLN3LtKMtDqjMwwO6FmyAIITyhwq3dLl9JeIXDbyzSBDEIkbYVkSaIIiXSEhvKHVEUao6AQAplJRmKknSm0Twtu6J8hCDYqkarL/PLPdczioITIgdbo3ladkXZqO8fwtak0ZoHtJSDrjRaEkTnJxens36Y6h9LVHDeP50l5/1Ua8NkdhGfx8VSk3Wr0WKbM7RGi6jOwAC712iCIITwhGo0//71x5dv6z9fXUZxfTv7tVMAlhNtjp3pi2+Wd9IwiIPgePFpaHa1V1vbw9Dsa7c5dF/UoQp3KK77aGcC3DgS4L3qWhDzL1Q3dGqnFaH2WXC014srX5kP+eocgKWD93rmYKqn5PbVFrNeHPcqjV2Z5FXZB6LeJiQZXJ66DwuQRBGRp+7DAiRRqOkRAEniQZ6mNpShKEp3+lQZBW4DvCsLSMgArQrUqNYznlsZRcEJsYMvUJ2jOpaFo76CCFyTQm0e0VIO+hafYxq5NpXlMdUZGGD3ClUQhBCfSAq103NMJR2kcAcRFOdWzzGVdBch7OOS0TOjKYgiIhmd55hKklDTFcARpoM0d606C6J0phg955iK8hECcquCsb7VK/fc0yYKTogcbMHoOcdUlI36AiJsTXqxeUBLOeiO97K55igTL16yjrf1vWxcg9eDxrduLxsXPMHA29jLxjVRkUwEzItWe9kGRib/pm99mA7YBoMbCwjyrWFPG9dQcHMALs48e9q4NlKa7AELI5PBrF0zQ7aJW9zUZm5ny83tbLm5nS2vr0XK/bezsUHBLNTupja2tWAWIm5qy69uZ8s9t7OxrQZTURva1cDsDD0Yh3wMMLFssKktv7qdLW+4nY1NoYgU8HNkPLu7MmzN4BHfYDD3wAUAEIZKE4ZKE4ZKE4ZKMAyN+ZBg3mpvUxvb0vY3teVXt7O539tjvsWUfMt6gFb1lT/0lGwE4U1t+dXtbP6wM+ETgHmWuqktN7ez2UPOlGdsJXehPmrD46xmPeU8u6J1bmpTNE4UsPtVDUEQwiQaWhN3sKlN0CEKdwheiNowDkQxCHOEhPLUvbogiCK0uuDe1CbIQp3eBEjiQeRsmBYk6Wx5wbepTZKPEBnbKNFWhVp9q1buuSZNFJwQOuDqAh7UsSwb9f1D2JqWF5oHtJSDvsWb2mLnpraU6gwMsHvhJghCCE+ocGt5U5sgvMLhcZHm7DKGLrLYM+3N7wfO+ywk3UGI2K2IPUEUKbFnVUh3RFGouQYAyQdpZu2KGYqSdKb1fJvjJPkIwbRVrVffapV77ikTBSdEDrbW822Ok2Sjvn8IW5PWax7QUg76Fl+JGzs3x2VUZ2CA3Ws9QRBCeEK13m24ElfSZQp3GUEhvmd303Yuv5V0HyEv4IrSs59NEEVEUXr2swmiUDMaABIXhY7O1uA8FGXpTFP6Lr8VBSRE7VZFZX2nVu65JE0UnBA82KLSd/mtKBz1HUTgmlRl84iWctC3eENb7NzQllOdgQF2ryoFQQjxiaQqu93QJugghTuIpCG72dDmnIgU9Bgh8uOy0TMRKYgiIhvde9oESagZC+AIlRHA1uA7FGXpTjV6NrVJ8hGCcquisb7PK/dc0CYKTggdfNHo2dQmyUZ9AxG2Js3YPKClHLT+319UWmn5uhot+Oc+cdjyLjeXLCw8vEERrfN2tMstCpy73JgGr0cRmV1uT7Qm0SqkWjN9d/GFL83CcbV7rWcUydMrqtUut8emF3D1t7QO+spMLv7j/MOlPCTvlPtcmxLsRfOvIvMPuGaY9tmeTDBPtrJtjmmiIpkImHdt29x789/1ra/TAdvg9VC/+ba5r6ydJC+wLVwXf6L75Zg2Uvr3AQsjNcitUWjItnB72+UKcwdcYe6AK8wdcEV9+VLuvwOODQqmM/p2uTBVyr1fjmsumM+o++WuLoHLPZfAsa0Gk1obstjA7Aw9GId8DDCjbLJf7uoSuLzhEjg2hSJSwM+R8ezuyrA1g0d8g8GkA9cWQBwqTRwqTRwqTRwqwTg05kOCeYu2X84Tg+7zTRXYMHd1C5z7xT3mW0xJuKwnaFW7+WNPyUaQ3jB3dQucP+5M+ARgpiVvmDO3wNljzpRnbGVtcXJaBEHcV6dJ3E+Kk6yfn56Y5p00jfJAJefZbMHjLIw9UwXs4ti1Ya7w3axi4UQBO181kQQhTNCh5fVqReCb9eUTmTUTSfco3D14QdrZmonFXQei7iLMehLKYeeCiSSKyIKJY7lEkmM9zXs40No6zINB6ujblkS5DaslonyEYNxGWVgXh0V9T1nhuXhOFJwQN+CKBh7UsSwb9QVE2BpWS4ABLeWgb/EevcS1R68Iyc6AALvXioIghPCEasV29+hJwiscHleCNowDUQxCpG1FoQmiiCi0YBApG8odURRqjgBA0kGiYhvJUJSkM43m2VsnykcIgq1qtPqessJz8ZwoOCFysDWaZ2+dKBv1/UPYmjRa84CWctC3+ACsxLW3bnn8KcEZGGD3Gk0QhBCeUI0mfwCWpEMU7pCNdZsgBiH6tqLbBFGEdJvr/CtJFGreAEDiQZ5Zi9ShKElnus1z/pUoHyEwtqrb6tu7Cs99bKLghMjB1m2e869E2ajvH8LWpNuaB7SUg650WxieBWfRSdQ/OS3O+8l5fNIvilnSD4I0PAnO80SdLvVMt7otsTlD67aY6gwMsHvdJghCCE+obrva3X91OfBjI9GeakKud/r/aLHTv97W9ov5E/0zphm5+lyZ1vrqG+8ZsWfWLs03l9cNf7P4ochs/o/sjTX7or5TuO9wiec6HIF8C3C8ugXY5pkDUc8QYj9BNbrakyVJRERjOAhcK7KCKNSkBYBE2SANXSuygiidqcYwylPHzOxdWUJCYG5VN9a3eBWea9lEwQmxg60bPcM6lqWjvoQIXZNybB7SUg6644vZrGOqtWDiwQsztY639S1rXIPXw8a/blnjejLBPNnGljWuiYpkImBeDG5Z4xoM7h5oQxMyLQRb/0laz7VljWsjpYMesDDREcml4ZgWbnHLmrnhrTA3vBXmhreivlqp8N/wxgYF01nLW9bY5oL5jLhlrbi64q3wXPHGthpMam3oYAOzM/RgHPIxwIyywZa14uqKt6Lhijc2hSJSwM+R8ezuyrA1g0d8g8GkAxcTQBwqTRwqTRwqTRwqwTg05kOCeavFLWtsU9vfslZc3fHmfnGP+RZTEi7rCVqVav7YU7IRhLesFVd3vPnjzoRPAGZa6pa1wtzxZo85U56xxtqTNApOgviin12cmGWVMOyfXFzM+ok6jy5OZsGZujhd8DgLY8/MALs4dm5ZUzROFLD7pRJBEMKMHFpeb7BU8pE5d7r64erzXnknVEl2tPysXhTpueb/90VdpXBX4cXpJisgrlP8JJ1AmMhso+AVJOl6EUQQhTr/CoAkxSANrTt8hqIo3S2CxHkyWJLcrJwlCQkht43ib1UC1neNFZ7L40TBCbEDrlsIwzqWpaO+hAhd0yJI85CWctC3uO1ZObempVRnYIDda0JBEEKAQjVhB23Pgg5RuENw5WfDOBDFIMRfgnZztz0LooiIN0/bsyAKNW8AIKnOgC7tJkjSmXbztT1L8hECY6vKrb45rPBcBScKTogcbOXma3uWZKO+fwhbk25rHtBSDvoWHymgnNvVMqozMMDudZsgCCE8obqt5SMFBOEVDr+xRhPEIETaVjSaIIqQRnMeKSCIQs0RAEgYDlRhjXZDUZTORJrvTAFJPkIUbFWk1RdxFZ6r1UTBCaGDLdJ8ZwpIslFfQIStSaQ1D2gpB32LzwhVzr1pOdkZEGD3Ik0QhBCeUJHW+Rmhgu5RuHtwGbflM0IF3UWI+a3IRUEUEbnoWowV5KCmKoAijhItFm0oQ1GUzrSi74xQST5CMG5VK9YXcBWeG9VEwQlxg60VfWeESrJRX0CErUkrNg9oKQdtblTbW0ikLi9Ss46tVoGFBzMo4nXM7nalWdeEn2cbvB48/tfdlfbk8g1sVxrTkwnmyVZ2pTFNVCQTAfNuXKRm7WI9YBu8HuEFd6UxLVwXfKK70pg2UprkAQvjWA3yxGbikG3i1ralRUGwpz+E5kNkPtQ3GBX+m9TYoGA+o29Li7Lcsy2Nay6Y0Kjb0q5uUis8N6mxrQazWhty2MDsDD0Yh3wMMKVssi3t6ia1ouEmNTaFIlLAz5Hx7O7KsDWDR3yDwawD1xRAHCpNHCpNHCpNHCrBODTmQ4KJi7YtzROD7vNNFdiWdnWTmvvFPeZbTMm4rCdoVbP5Y0/JRpDelnZ1k5o/7kz4BGCmJW9LMzep2WPOlGessfa0OFcnSZz3o5Ow6CdpftE/VaZKTpP8/Dw8P4/UFlpZUse2tPpQN5gTBex6lUQUhDAxh9bXH64vjizm8R/N/7jsL259oUTUQwr3EF6UbnWhRNRdhAlPQknsWigRRRFZKAnts2N3REnWc72HBK2w8yAdBI6Na6Ist2CtRJaPEJLbKA6XJaIR99XU+vIPNvBDWXBC6IDrGnhQx7Js1DcQYfOvlSADWspBV4oxPjkr8lmc9tXZueonJ2dZvwjDtJ8X2Vl4dhaenqcnD7agGO2b1nRpS3UGBti9YhQEIYQnVDFudJBBrYH03zJ73N7Qeuqd+lyD8k4aJnkQHJvPtIh8uFjWqTfAVV99rzo1+kmlxz6t/tMPjSD7fPnlz+YPF/9WGgQ75ldoLTf2RX2ucJ+TNKh1ZWrvxlEJHxpP9ObvL1vPH1cq9HvfS4NI//94z7jm8q3qQ2HOS9h7aizmT/pXOtXmuANRxxFSCkGNOhZoREk6FqOCJNRUCHAkQTwIgtzGMhRl6U6M5kHh2DV5V5aQEO9blaNhrV7cV8fJghNiB1+Ouod1LEtHfQsRuiZB2jykpRx0JUjPoiKOovC0f17EZ/0kiZJ+rjVwfxaeFsVpFqbZbPm8dytIY5sztCCNqM7AALsXpIIghACFClJwN16QLCfh9Permbqqn6hJ8eyLekPh3sClog3jQBSDEHwJws09jSiIIqLcnNvzRFGoSQMAyWPHhMxQlKQz4ZbokbI2x9+V5SNExVZlW1TnePfNcbLghMjBlm3OQR3LslHfP4StSbQ1D2gpB32Lj75KHbvzoiCmOgMD7F60CYIQwhMq2sSPvhJ1iMIdsrFuE8QgRN9WdJsgipBucxx9JYpCzRsAiAoGceYSboIonQk399lXsnyEyNiqcIvrPO++uk0WnBA62MLNffaVLBv1BUTYmoRb84CWctAdX9xmFeNaiiUevDBL1/G2vUWObfB60Pjffosc25MJ5skWtsixTVQkEwHzblzcZl3iPmAbDG5WIAhC5wos00JwpwGu89xb5Ng2Uhr2AQuVCgfWsDlkW7jFHXLK7ItLzYfMfFhemKRJfDvk+KBgOmt3hxzfXDCf0XbIaXPqHXJLP9usvse3GkxqbahgA7Mz9GAc8jHAjMLfIWdsvz4Qzh1yfApFpICfI+PZ3ZVhawaP+AaDSQcuJYA4VJo4VJo4VJo4VIJxaMyHBPNWezvk+Ka2vkPuKv7c97y4x3yLKQmX9QStSjV/7CnZCLI75K7iTj0Azh1yfAIw0xJ3yJlnZ2XUmrFTnrG3d6Uic+6QUzROFLD7lQpBEMJ8HFped7BSIegQhTsEL0FtGAeiGITpRkJh6l6pEETpeqVCEIU6UQqA5NEgU1aUoSjKrVipkOQjRMY2arRVpabqiW33/Wqy4ITQAZcX8KCOZdmoLyDC1rRS0TygpRz0Le4Lzpwb1VKqMzDA7oWbIAghPKHCTbovWNAbCvfGxqpNEIMQeltRbYIoQqrN2RcsiEJNGgBIGGeDws4yFGXpTLb5OoMl+QhxsVXZltZZ3n25miw4IXawZZuvM1iSjfoGImxNsq15QEs56Ft8vkDm3M6VUZ2BAXYv2wRBCOEJlW3/a5wvIOhzhfscF4e35nwBQccRUgpBjjq7WwRJRNSo+3wBQRJqKgQ40jQa2BeLhqIonWlR//ECkoSEcN+qGs1q8eK+RU4WnBA62GrUf7yAJB31JUTomvRo85CWctC3+ITUzLlTzX9RisUZGGD3elQQhBCgUD26jRNSBT2kcA+R1OM2T0gVdBch8BM0o3sKUxClY9EoSELNVwiHuU3OeSiVIEt3qtFzQqokHyEkt6oZ81pguG+TkwUnhA6+ZvSckCrJRn0DEbYmxdg8oKUctLlNbnn98AO/Jnx1dvbaiy+/ZPEEQxK6lpQLD2ZQJOuYrq1yblspMq/eLWc19nm2sevPmMexoJTTQkSrFK3KbIZq2VU8M2RbeyPOuc3dLMwt9tCEwd6hTll7hyrO9w7TMHFFOC5OQsfBe5INw5FhODIMR4bhyMVwxGdQdAa8K1kjjAzCyCCMDMLIhTDiI+AvAT/OLnZDaJTSoJQGpXShlGyUG+3tDSi0p2li7J8Y+yfG/onL/gnffjzQE/vbtflTY/7UmD815k9d5k955leP0oMu85ariz30H2F+47rXjjKX3dzn2ebiry2au/5ntT5jNll/qmvkR71qieYTs8P68p3lFMM31cSDKaLfMj9Y9TE97lW/6axnA9zXgDrncSm7znnmUsVQ57woMjcrxtUHnf2ixPwpMbtKk0J/UOZTZfaXKvNpGpsP5tPUfJqZ72bmhzPzd3PzoTA/Uug/xUFsPpg/hZH5kJo0a98Jdsj3WxfJNdw7Ms46Ms46Ms46Ms46Ms46Ms46Ms46Ms46Ms46Ms46Ms46Ms46Ms46Ms46Ms46Ms46Ms46Ms46Ms46Ms46Ms46Ms46Ms46cjnriO8sRXcWKfaOjK9Gxlcj46uR8dXI+GpkfDUyvhoZX42Mr0bGVyPjq5Hx1cj4amR8NTK+GhlfjYyvRsZXI+OrkfHVyPhqZHw1Mr4aGV+NXL4a8X2Fx52N5YK5WVD7rDQ+K43PSuOz0visND4rjc9K47PS+Kw0PiuNz0rjs9L4rDQ+K43PSuOz0visND4rjc9K47PS+Kw0PiuNz0qXz0q2z8R1Sbg3MY6aGEdNjKMmxlET46iJcdTEOGpiHDUxjpoYR02MoybGURPjqIlx1MQ4amIcNTGOmhhHTYyjJsZRE+OoiXHUxDhq4nLUhO8oXDGwBFC4NzV+mho/TY2fpsZPU+OnqfHT1Phpavw0NX6aGj9NjZ+mxk9T46ep8dPU+Glq/DQ1fpoaP02Nn6bGT1Pjp6nx09T4aery05Tnp6eUlvmto5vnI/PRRqEFV+ilyJyjjRnLVFsue59n27suRTY8VOe39SLPYsffT82pOvNPzSLFk/k3WmG9O/+9EVWLs3U+qdpbnixWfC7fMgfpzD+vtg1+pn/gLbsye1S1KS202Z75kUUL+mfLVqPPzQE+ve+YlqP5H/SfV/+NPbOW9Mv5h9XfMatMj8xai1lFeU9b/fH8V/P3agMG363/Cwbmif6Pm36nqr19/pXN/fts968rGsGTeLgmKpKJgHmROYin1++FeZTupeH8q8H8m8FeLzZfHuivR4GOWpFafP3Bg5dsOAdsnPXp5c3P6TFP6WeDnv3ReIFt6Pq6k+RxPVwb13XThsf1xHkWDnLrxPyQbeP2DuwxpVAULi+QNonad0wPGw9Mj4xjenLnIT1sY8H0SDykJwxXh/SEzms37vGtBpPkZsV6vQIXhjtDD8YhHwNMNozauT4sQ9t+fSDch/SwKRSRAn6OjGd3V4bdLC65BoMZB17MBGJPaWJPCcaeMR8NzFHEo3lccec+39D2D+ZZxZz7npf1mG8xJbWynpp6gbgh3pRsBOGDeVaxph4A98E8bAIwtxLrdvPsrIy6WT9zjDXWnqnZeRHkRf90plQ/OZ3l/fz8NO4HF1GenkTnp6cnasHjLK1/dOLu+2OW184CO6Jhony2ItyDRSnEbSDPi4IQmoDQCv3/NuVvtavk0fJcHlNt6+L89UX/5eW79bagT6oS2WzkWXzubNdcbPbxtGvq4i5wNe/tizpQ4Q7EC1gbxoEoBqEnilC4OtspJVFE2ikD+27EO6Ik6xnaQ4IWwGGYhgOlHP2UkjDd9VNGg8xxkI8oHyGUtlHHraq5+mqh0HNXlCg4IXbAJQg8qGNZNuoriLA19FMCA1rKQVdCb3Yyi89Pi7CfFslZP4nN7vE4O+2rs9PoJEzzJMhmD7oXetY+Ri30YqovML7uhZ4gCCE6oULvN1XP5htG4D3Uas3sC//J5ZuX/3D5d5Ve+059fM83l+9qCaeF4Herc31CFZj9xzYX7Iu6QOEu2FiqCWIQwi1BqjWtMQgCiQg2R1l4R5SEmi0AjiRSxSBIXEsWgjCdCbbMMRt3VxaPEBFb1Wv1jUKh54ooUXBCAGHrNdeYjmXRqC8ggtYk15rHs5SDrra/7K10inmmO2xtiQY/sPFqSabsvGGc5Fmu8nXejppbInsV/zzb3vUYsmFzy/99+Ya56Kk6weXN5fmIdSuK+cObl2/NHxuhZaTVV+YMHi2tFp/29Ddfr64f+np5HnZ169NXRopVn3xaXS31TdXL8nk1D1cduGim4MxJO4sfr46YuXaq9pP6lJ7qK19e/t1gcXtUmO4p889/VR3C04vCnkfUMb2bYN5tpXeFaaIimcg074BtHrgySNCJrlN1uBaCC3wU4eduQmHaSFkpAyzMQ5Xba9kh20SRHpSbk6BOocY1G8xP9N6SPErdzSVca8H0RGkusVl4j28hmJBIghZ9DA75ZoORnt44YrPziG+nItq5yVMw4psJhn22unc9AWO+yWAeoDV6uIPAfb6lLXd62Kw75ltHyVVtDn3JNlmmi8Nm44RvI5inSH0aNhOnPBONjaeBKsIgn/XT9GzWT05U2i+yVPXPiiiZJWfBaX66fMmc1aGnXGZXiKGzRnQcIuYCRQm7n7YXBCFMUm1SZLo6NMQ6MgRdpnCX4WUZ5LXqRK2qsH64KKyXh2yZL+mSOQ48Z2VJeoQw4UeoBN3NHYIoMmsFNo47ohzUiUqEIo3DNLGhDEVROlwnUIUN764sHiEEk8qqpnWC+iDO0HO2qig4IWywKwnXmI5l0aivH4LWtE7QPJ6lHHSlEPM0j86y86x/GmdBP0lnF/3iLDntx0UcFBfFyUk8WxY3nSpE9ypCQfUGRti9QhQEIYQnVCHevFlz/ov5r7S+++38g361m/WDSuy9N/+46uiwQe+LQiscGtd4NowDUQxChG1FmAmiiAgz9z1MkijU5ACAREFcDFzXZ0qydCbOwsCzOiAJSIh/rcqzok7nhUeeSYITggdbnrlHdSwLR30HEbgmgdY8oqUc9GIKLz49CfMw6OtKTou5MMz7RTA77Z/NouJcneVxkC1HvVOBFrsEWuTYSeaRqxBh5wJNEoQQoFCBVl31Y6blTO/Gssnj8u1Fm4c5qL1SZfMP5+9b2wb3RXEVjrupNJPEIERXgjRr6LKVBBIRaOFgeaPwDYEmiUJNDgBIHMfWeYihKEh36kwNMmssuCvLR4h9bYqzKFym8shzyoUoOCF88MWZa1DHsmzU1w9ha9BmwICWctB1k22yADfKpMMmW7f6iu28URDkRZTCh8233GSbuM6b59oL9jSh4ukfL9+pzuj91KxtLtczH5uDe68abTfpk10sij65/OnaguGjatn0yfLeIct5wGtdtpGnoZbryQTzZBsNtVwTFclEwLyr8wguf1HPZn6yPLuvWrW12X/Ath9svSJoRlfHLddCsNOKJAJdHbdcGyldTICFRZg4rhMesk3ccsct22wwWdE7buOocHbcsq0Fc9XmHbdsC8HsRJK36GNwyDcbTAVtddyy7VREOzd5CkZ8M8Gwz9b67mlYtslgHqB13LqDwH2+pZ103LKto+SqNoe+ZJvcZcct20YwT7XQccsysZquD/OTNC3O+kqdFv3kJD7tF6ezs36exLOLWREHF/HZgsJZKnpqZ3a56Oy4XS6mwqAoYffT9YIg6/ncN0JgxXn7TkSTdKDCHUit4pZnv9t9aO2+vVbpPe3fyNeMK+kewswgoUh09nxIoggtKVgPJ7sjSkKd0kQ40iRVA6Ozb8IMRWG6W1WIBvaT5O7K8hFCNKnsalpVUPUktPKsKkiCE2IHu9JwDupYlo36CiJsTasKzQNaykFXEjI9OclPY/1jWRon/SS4KPon6kx/CKLwbBari6yugDuVkM6W3MjRoOz2BkbYvYQUBCHEJ1RC/ou5f8bcFTP/our3mH95+a65drDq9liIxXvPxvOvqj9G6vKtSPnWDwThFQ6Pyz8bxoEoBiHU4jLNLArZUF4QRRGRac4DcSVJqDkC4FBpZuMYinJ0ptCyeBC6FhAk+QgRsFWFVu+xiTx7pkTBCWGDrdCcgzqWZaO+fQhbk0JrHtBSDrpSaBeFUrP4LO6HKj/th6E5Nzc4L/pBoAKV5nlYqKVw6VShubtCHB3Kbm9ghN0rNEEQQnxCFZrtNNz1+bqPrp+H2/MehSvJr3D+jUWaIAYh2uIirbFJVxBIRKo5trdLclBTBUKh7MtgQ1GQ7pSau9NDEo8QCFsVavVem8ize0oUnBA6+ELNvWgviUZ9+RC0Jp3WPJ6lHPRiJu0iD9KL86B/EQUX/eQsLfr5eVH0z2azJEjji5MgWUbXTnVa4tJpsaNb2aNaIcLOdZokCCE8oTrt5uZ282nVCWw6cl+v5tZ+tphZ62lV9/NqZfXX8/f1rw/qqbZxX4W9+c9tDtkXdYjCHbKpcJPEIERfgnBzLoJKoohItmCwPAbuhmqTRKEmDgAkjLNoEBRWmKEoTGfKLc8HuUO6ifIRYmOb0i2ut+LEnr1VouCE4MGWbs5BHcuyUV9BhK1BuwEDWspBG/Hm02Tt7qVyq7HYzhfGSabi6AbftvdSce1dDxr/upeK68kE82Qbe6m4JiqSiYB5lr1U1SkEpknxp4tJThvBAZsAbKsnaETXbiquhevyT3I3FddGSoc6YKFvNxXXxC3vpmKbDaardndTsa0Fs9Xmu6nYFoL5iSRo0cfgkG82mAza2k3FtlMR7dzkKRjxzQTDPlvdu3dTsU0G80B7u6nYlnaym4ptHSVXtTn0JdvkLndTsW0E81QLu6lYJt7aCfzEvZsqVjRQlLD7CXxBEMIkFVpzdjCBL+gQhTsEr8tsGAeiGIQ5OEJx5p7AF0TpegJfEIU6ewiANEzgC8Lcigl8ST5CbCTVO00T+PWul9izjUkUnBA82BLfN4EvyUZ9BRG2pgn85gEt5aBv7074xL2NKc6o3sAIu9dugiCE+IRqt9u3E17SgQp3IK71mDvh1+fp/RvgJb1CiP6tSEdBFBHp6NwAL0lCTVsIh3cDvCRMZ8rRswFelI8QmVtVjvVunNizvUoUnBA72MrRswFelI36CiJsTcqxeUBLOej6WN3lhLR60OmxuspGq5VhbqfNwjCOwiBep+2oESS32/s82971ELJhI8iHWnt8bvaoP31plL03Q+uz9+a/WLZo1H0iV+0eN5o9vpg/Wnw78jRxML2QYF5opYmDaaIimQiYF/Uu/97Iw/nvBz2LmLx8u9qk9nUtJgc2nAM2Dri0R1B+zo4OpoXgSh5F0Lk7Opg2UlbJAAvzMMoHLqHGNFGko+NGPhu+cHB8PDpeZrRyevgdrUCKvcMoCcyH8LsmchgIk9/2AmuKu8tnBFMUvf1DBbm7/YNrLZijKO0fzxrn7S68//2lm21W3+NbDWaqNoSugdkZejAO+RhgqqG3iCxtN2bvXB8IF8URn0IRKeDnyHh2d2XYmsEjvsFgvoGrBSAClSYClSYClWAEGvP5wGxF6ztxR5/7fEtb7jt5dnwVee57XtljvsWULMt6dlZ1mD/qlGwEmd6UmxGnHgAXwYRPAKZYUufKs8ajuyuj1oyd8oy9tesgamA9AUDXuo4NuS5MlK/7VRBBEMJcG1os38JVEEEHKtyBeBFrwzgQxSBMPRKKV/eyhSBKx8sWgiTUOVOEI0ljHTmtkwpDUZguly0yV8OLJB8hlLZRza1quvpwithz2IgoOCF2wIUIPKhjWTbqK4iwNS1bNA9oKQd9e8/tVfbdos/pUpTqC4yvc6EnCUKITqjQa/fUXkl4hcNvKtIkMQiBFhdp7lN7JVFERJrz1F5JEmqGADiiJM4HyqHRJFk602iek3tF+QhRsE2NlgTLlL74gw38UBacEDrYGs1zcq8oG/UNRNgaNBowoKUc9O3dUKbsEVhrNMcJKx5fQHzdazRBEEJ0QjWa/HYySYco3CEb6zZBDELwxXWbe3JNEkVIt7m2k0miUNMGABJGYTGIUhvLUJSlM+Hm2U0mykcIja0Kt/r0sMRzHJwoOCF2sIWbZzeZKBv1DUTYmoRb84CWctDdHgdnjUNaikU+uixfp9t2DzDX3vWQ8e3uAeZ6IcG80EYPMNdERTIRMK+pB3h9s5ge1y/Nb59evlMtUn9R/XpY9Qqb4fv06SP5zPh/Xi1cfzF/7Ggf5noCbOciiERX+zDXQrAhC9d+nvZhro2UxibAQl/7MNfE7bUPJ7HpHE6WfXtJ5O0cZuOBia3dzmG2tWBmI3YOJ9Gqc3jhZpvV9/hWg/mtDTlsYHaGHoxDPgaYoDboHNa2Xx8Id+cwm0IRKeDnyHh2d2XYmsEjvsFgqoFrCiD4lCb4lGDwGfPRwBzVXtMw29L2m4ZXQee+52095ltMya2sx2ZVqPkDTslGEG4aXgWbegDcTcNsAjC7UpuG9bOzMmrN2CnP2Fu7TpG6moaTmIaJ8nW/TiEIQpiMQ6vrDtYpBB2icIfgVawN40AUgzDXSChB3esUgihdr1MIolBnSQEQ/zqFIMutWKeQ5COExjYKs1V5FtfT2rGnRJMEJ8QOuKaAB3Usy0Z9AxG2pnWK5gEt5aAr4TYLT+M4Ocv6Z+os1D+bRP2TRIX9i5MkKtRZdnKRLt/mToWbVZ9q4ZZQfYHxdS/cBEEI0QkVbjd3e92YXp8cHB8/tz/q/Zvnjr73Z/uj5ya95+7d642nx+NRedCzeWFf1AsK98LGak0QgxBxW1Frgigias1a4d0R5aAmCoDCu/ogiNKZUkvd99aI8hFiYatKLakTe+JRapLghLjBVmrOQR3LslFfQIStSak1D2gpB91tR0lmo9PaS3npinW6rXeUMO0FV9xQ6bTtjhKmFxLMC610lDBNVCQTAfPiVk6V4+KAa3UEledsC2FaCC65EcSbpy2EaSNl6QqwMIuzxGbgkG3gFptCUtMUkpkPeb04q/ydIVxGMEG13BnCtRbMUNTOEHXVGeK81OAe32owT7Uhaw3MztCDccjHABPNJp0hauf6QHg6Q7gUikgBP0fGs7srw9YMHvENBrMNXBsAEag0Eag0EagEI9CYzwfmqhbbQ7iWCrSHqKv2EOcre8y3mJJjWc/OquryR52SjSDdHqJ2rg+Apz2ESwCmWHJ7iNpdGbVm7JRnbKVtoRUJw+OscT1FPrfOdbaHpDRMlK/7VQZBEMLMGloqd9AeIugQhTsEL0ltGAeiGISJQ0Ip6l5wEEQRWXDwtIcIolCnPAGQMAwcDXJDUZTO1hx83SGSfITI2EZxtirR0nqKOvWUaZLghNAB1xXwoI5l2agvIMLWtObQPKClHPTtPSIuc3aHZGRfQHzd6zZBEEJ0QnVby0fECcIrHH5jjSaIQQi0uEbzHBEniCKk0WIbyR1REmqGADiiKIzswW4oitKZRPOdECfJRwiCrUq0+q66xHP5oCg4IXKwJZrvhDhJNuoLiLA1SbTmAS3loG/vdQ2Z84Q4760UNl9gfN1LNEEQQnRCJdrtu65B0oEKd+DGMk8QgxCscZnnmYoTRBGRec7rGiRJqFkG4YgjnTNdOk+QpTOd57mtQZSPEElb1Xl5LQs8t/CJghNCB1vneW5rEGWjvoEIW5POax7QUg662/Zfa0zVyq3w0eXBOt3W23+Z9q6HjG95+y/TCwnmhVbaf5kmKpKJgHlN7b/yB8oxPQH2chE0orNzmGkh2I1FkX7uzmGmjZSuJsBCT+cw08DtdQ4rcxG1qq+BTQp/0zAXD0xrLTcNc60F8xq1abi4ahp2Xgx1j281mN3aEMMGZmfowTjkY4DpaZOm4WLn+kB4moa5FIpIAT9HxrO7K8PWDB7xDQYTDVxRAMGnNMGnBIPPmI8GZqgW+4W5lgr0CxdX/cLOt/WYbzEls7Iem1WZ5g84JRtBul+42Lk+AJ5+YS4BmF3J/cLF7sqoNWOnPGMrRQv1qBgeZ1HsmRXgFsaufmEV0DBRvs4XNSRBCFNxaG0t3y8s6RCFOwSvYW0YB6IYhJlGQgHqXKSQRBFZpHD3C0uirKdcDwpa0Pr6hSVROluk8PQLi/IRImMbdVldnan6djvlua5QFJwQOuCSAh7UsSwb9QVE2BoWKYABLeWgb+9pcrmrX1h5bwCy+QLj6163CYIQohOq24ROk5P0gsK9sLFYE8QgRNxWxJogiohYc5wmJ8lBTRQAhXvpQRKkM53mOUtOlI8QCVvVafVldspzO6EoOCFqsHWa5yw5UTbq64ewNem05gEt5aC7bSaxTgxq5RV56cJ1um03k3DtBZfbUOG05WYSrhcSzAttNJNwTVQkEwHzmm4nXDtLrnf5t/p7X5lR0n/ra8/xclxCcO2OIPtcTSJcC8ElOIKaczeJcG2kLGUBFhZ5ZO+3G7It3GKXiLl0UCXmg1qu1ir/zYNsRjBptdsqwrYWzFrEVhF1dfOg8tw8yLYazF1tSF0DszP0YBzyMcDks0GriLq6eVA13DzIplBECvg5Mp7dXRm2ZvCIbzCYbuB6AYhApYlApYlAJRiBxnw+MFm11y/CtrT9fhF1df2g+5U95ltMSbKsZ2dVifmjTslGEO4XUVfXD/ojzoRPAKZYar+IMtcP2qPNlGdsJW6hNQrD46x7PYU/t/Z19ovENEyUr/t1B0EQwmwbWj530C8i6BCFOwQvU20YB6IYhMlEQi3qXoIQRBFZgvD0iwiiUKdBAZAwyQb2e2aHoiidrUP4+kUk+QiRsY3ibFWi1ZfVKc/tg6LghNAB1xXwoI5l2agvIMLWtA7RPKClHPTtPV+ucPaLJGRfQHzd6zZBEEJ0QnVbu+fLScIrHH5jjSaIQQi0uEZzny8niSKk0WIbyR1REmqGADiiIhnkiQ1lKIrSmUTznC8nykcIgq1KtPqWOuW5dlAUnBA52BLNc76cKBv1BUTYmiRa84CWctCVRFOh/vQ8iftxMQv7SZym/ZPivOhHp7P4PAmDM/3Zg+4lmjUAa4mmqL7A+LqXaIIghOiESjRLS++NhgYb6L4oqMJBN5ZjghiEoIrLMc+UmSCKiByzlmt3RDmouQCgCItUDVIbylAUpTMxFsXuvl1JPkK4a1WMqTp3e67NEwUnxA22GHMO6liWjfoCImxNYqx5QEs56G77du0CW+ur1IsXreNtvXGXae96zPiWN+4yvZBgXmilcZdpoiKZCJjX1Li7vlPtps5t/2A4rnPAJiyCaHT2/DItBNuocC3o6/ll2khpRwIs9PX8Mi3cYs+vuU5a1Ze5qtTf7svFA3Ndy+2+XGvBXEdt902v2n2d90Hd41sNZrw2FLKB2Rl6MA75GGDK2qTdN925PhCedl8uhSJSwM+R8ezuyrA1g0d8g8FMA5cZQPApTfApweAz5qOBKarFTl+upQKdvulVp6/zbT3mW0xJrazHZlW7+QNOyUaQ7vRNd64PgKfTl0sAZldyp2+6uzJqzdgpz9hK0kLdJYbHWSl7pgrY1bKz1TejcaKA3a9HCIIQJujQgruDVl9BhyjcIXhha8M4EMVYFwUeDEIJ6l63EEQRWbfwtPoKolBnTgEQb6uvIEpnSxe+Vl9JPkJkbKMwW5Vn9bV2ynNPoSg4IXTANQU8qGNZNuoLiLB5B3SMDGgpB317+0i0cHP1+nov87E5AwPsXrgJghDCEyrcNmgkEQRVOOjGgkwQgxBVWxFkgigigszVSCLIQU0GAIW3kUQQpTM15mskkeQjhLtW1Vh9+Zzy3CYoCk6IG2w15mskkWSjvoAIW5Maax7QUg6640YS18RY4cWL1/G23kjCtBdcVkPl0bYbSZheSDAvtNJIwjRRkUwEzGu6TpB/AhyTEFyjIyg/ZzcI00JwqQ0XdL5uEKaNlCUrwMIsSp1ajWnh9rpBUnNPYBqaD1G9Kuu/LJDNCGatlltCuNaCWYvaEnJ1WaDyXBbIthrMXW1oXQOzM/RgHPIxwOSzSUvI1WWBquGyQDaFIlLAz5Hx7O7KsDWDR3yDwXQDFwxABCpNBCpNBCrBCDTm84HJqsW+EK6lAn0hVzcGul/ZY77FlCTLenZWpZg/6pRsBOm+kKsbA/0RZ8InAFMsuS/E3BhojzZTnrGVuIWWIgyPs/D1VP7s4tfVF5IGNE4UsPPlBUkQwnwbWj/L94VIOkThDsHrVBvGgSgGYTqRUIw6lyEkUUSWIdx9IZIo6znXg4IWt6FWM4U10g9FUTpbifD0hYjyESJjG9VZXaOl9Q1zqefKQFFwQuiACwt4UMeybNQXEGFrWIkABrSUg769R8Bp4eboC0n99/LYnAEBdi/cBEEI4QkVbu2eAScJr3D4jUWaIAYh0uIizX0GnCSKkEiLbSR3REmoKQLgiMJsUDj2o0qidKbRPGfAifIRgmCrGq2+XS71XBcoCk6IHGyN5jkDTpSN+gIibE0arXlASznoW9y7G7oOgUsjqjMwwO41miAIITyhGo3fuysJqnDQjfWYIAYhquJ6zDNpJogiosccvbuSHNRkAFCEiYrtpedQFKUzNebp3RXlI4S7VtVYVCdvz912ouCEuMFWY57eXVE26guIsDWpseYBLeWgO+7ddc2BxV68ZB1v2727XHvB/idUHm25d5frhQTzQhu9u1wTFclEwLym3t1tHALHdQ7Yh0UQja62X66FYCcVrgU9bb9cGykdSYCFnrZfroVbbPs1dz6n9Y2raezt+GXjgbmu3Y5ftrVgriN2/KbxquM3dV7adI9vNZjx2lDIBmZn6ME45GOAKWuDjl9t+/WBcHf8sikUkQJ+joxnd1eGrRk84hsMZhq4zACCT2mCTwkGnzEfDUxR7TX7si1tv9l3FXTue97WY77FlNTKemxWtZs/4JRsBOFm31WwqQfA3ezLJgCzK7XZVz87K6PWjJ3yjK0kLdRfYniclbJnqoBdLTubfRMaJwrY/XqEIMi69PANEFhwd9DsK+gQhTsEL2xtGAeiGIT5R0IJ6l63EEQRWbfwNPsKolBnTgEQb7OvIEpnSxe+Zl9JPkJkbKMwW5Vn9d1zqecyQVFwQuiAawp4UMeybNQXEGFrWrpoHtBSDvoWN5JEzmZfRXUGBti9cBMEIYQnVLht0EgiCKpw0I0FmSAGIaq2IsgEUUQEmauRRJCDmgwACm8jiSBKZ2rM10giyUcId62qsfryudRzm6AoOCFusNWYr5FEko36AiJsTWqseUBLOeiOG0msE4BaX6UevDhwz1Zi1lJ0E9ZIwrQXXFZD5dG2G0mYXkgwL7TSSMI0UZFMBMxruE1w/on+wh/qI+BcjR9MGHA5jiDynI0fTAvBVTVcu/kaP5g2UlanAAvzMMoHic3EIdvELXZ+mOv/0voGrtR//R8bD0xOLXd+cK0FkxO18+Pq+r/Uc/0f22owRbUhaQ3MztCDccjHAHPMJp0fV9f/pQ3X/7EpFJECfo6MZ3dXhq0ZPOIbDKYauC4Agk9pgk8JBp8xHw3MUS12fnAtFej8uLr+z/22HvMtpuRW1mOzKrb8AadkI0h3flxd/+cPNhM+AZhdyZ0f5vo/e6CZ8oytNC202GB4nKWtp7Znl7fOzo+MxokCdr+AIAhCmFFDK+QOOj8EHaJwh+CVqA3jQBRjXRR4MAg1qHuhQRBFZKHB0/khiEKd6gRAwigsBpE11A9FWTpbbPC1fkjyEUJjG5XZqj6rr4tLPff/iYITYgdcVMCDOpZlo76BCJt3QMfIgJZy0JVyOw3zkzQtzvpKnRb95CQ+7Rens7N+nsSzi1kRBxfx2YMtKDdX64fv+h2rMzDA7pWbIAghPKHK7Wbrx/wzrdu+qfZQVrPkS3k2/6TaL2m2Wi4+/5dqR+bf6F9/q3/9ZPHj1RbLajumWe6Yf6j13Xv9Suz9fP7B/J/0x9/NP97rxYFLV+yLOlDhDtxY6QliEKJ1K0pPEEVE6YUD6wFrd0RJqGkG4UjS2HUswFAUpjOlF0aDzKX0JPkIobRVpVdfRZd67hYUBSfEDrbScw7qWJaN+goibE1Kr3lASznojttKEhue1m6FF0+t4229rYRpL7hmh0qvbbeVML2QYF5opa2EaaIimQiY13A+CdZWwoQB1/oIQs/ZVsK0EFyyo+g3d1sJ00bK0hdgYRZn1mA4ZBu4vaaSzNwimIX1uq7/AkE2HpiaWm4q4VoLpiZqU8nVBYKp5wJBttVggmpD0BqYnaEH45CPAWaYTZpKri4QTBsuEGRTKCIF/BwZz+6uDFszeMQ3GEw0cFUABJ/SBJ8SDD5jPhqYoVpsKuFaKtBUcnV3oPttPeZbTMmsrMdmVWr5A07JRpBuKrm6O9AfbCZ8AjC7kptKzN2B9kAz5RlbKVpoGcPwOAtbT2XPLm5dTSXLqQyYEwXsfGlCEoQwn4bWx/JNJZIOUbhD8DrUhnEgikGYLiRUoM6lBkkUkaUGd1OJJMp6zvWgoBVtGAapPQIORVE6W2nw9JSI8hEiYxuFWV2eZfVVc5nn7kBRcELogGsKeFDHsmzUFxBha1hpAAa0lIO+xT0liaunJPNd0mN1BgbYvXATBCGEJ1S43b6eEkkHKtyBGws9QQxCtG5F6AmiiAg9Z0+JJAk1zSAccZQ5TyqRZOlM6HlaSkT5CJG0VaFX31eXeS4gFAUnhA620PO0lIiyUd9AhK1J6DUPaCkH3XFLibLhaekWefHSdbxtt5Rw7QVX7FDlteWWEq4XEswLbbSUcE1UJBMB80gnlVjO43N0mXD5wMU/gvRzdZlwLQTX8CiKztllwrWRshYGWFjkkV11DtkWbrHNJDZtJslypTeLvG0mbDwwXbXbZsK2FkxXxDaTLFq1mWTOW/Pu8a0Gk1YbItfA7Aw9GId8DDDrbNBmom2/PhDuNhM2hSJSwM+R8ezuyrA1g0d8g8FMA1cKQPApTfApweAz5qOBKaq9NhO2pe23mayCzn3P23rMt5iSWlmPzar88gecko0g3GayCjb1ALjbTNgEYHaltpnoZ2dl1JqxU56xlaSFVjYMj7PY9VT77ILX2WYS0zhRwO5XKwRBCHNsaM3cQZuJoEMU7hC8NrVhHIhiEKYQCSWoe/VBEEVk9cHTZiKIQp38BEDCJBsk1kg/FEXpbPXB12YiyUeIjG0UZqvyLK4nqz0Xi4qCE0IHXFPAgzqWZaO+gAhb0+pD84CWctC3+NYa5WwzSajOwAC7F26CIITwhAo3/q01kqAKB91YkAliEKJqK4JMEEVEkFljwR1RDmoyACjCIlWD1IYyFEXpTI15bq0R5SOEu1bVWH3lXOa5Q1AUnBA32GrMc2uNKBv1BUTYmtRY84CWctAd94JYA5HWV8qLl63jbb0XhGkvuKyGyqNt94IwvZBgXmilF4RpoiKZCJjXcLzI5dtmxMx4kbtBmITgGh1B+Tm7QZgWgkttuKDzdYMwbaQsWQEWZlHq1GpMC7fYDZKabpCsXpBV/m4QLh6YsFruBuFaCyYsajeIuuoGcV59d49vNZi22pC5BmZn6ME45GOAeWeTbhC1c30gPN0gXApFpICfI+PZ3ZVhawaP+AaDmQauFYDgU5rgU4LBZ8xHA1NUi90gXEsFukHUVTeI82095ltMSa2sx2ZVgPkDTslGkO4GUTvXB8DTDcIlALMruRtE7a6MWjN2yjO2krTQAoThcZa7nnqfXfI6u0FSGicK2P2igiAIYZYNrZo76AYRdIjCHYJXpzaMA1EMwiQioQR1Lz4IoogsPni6QQRRqNOfAEio1UxR2FCGoiidrT/4ukEk+QiRsY3CbFWepfV0teeyUVFwQuiAawp4UMeybNQXEGFrWn9oHtBSDvoWd4Okzm6QjOoMDLB74SYIQghPqHDboBtEEFThoBsLMkEMQlRtRZAJoogIMlc3iCAHNRkAFGGi3CeDCKJ0psZ83SCSfIRw16oaq2+hyzzXCoqCE+IGW435ukEk2agvIMLWpMaaB7SUg9b/+4unX1ejsv7cJ7tabg/JBj+wEWvJVdiJIxXHYa7cpyZj9lKk1NMNImFgn9x7nm0wuNQGS6YbbR0Pr9o/rquny3fmX+2tK6onfa25Hum/8bY5pM38SE//Kw+rf+LT+ZPq/Db9pdd782/0nx/NP6/aF34yf1z9J6ppNP0Tf+zpD5+tTbuZLy/aUcxXvrz8u0FP//UnvSjomZaTZXPKp5fvmDPlqp/54+IHEvP9RxqoOjzO5v59tvsTzP2ttKYwTVQkE5nmHbDNA1f7CBrS2VfCtBBctMOloa+vhGkjZfELsLDIC+fBv0wLRfpKbs6COsUc12wwg9H7RfLMpVK+z7cWzF+UfhGbhff4FoIJiyR60cfgkG82GOjpvSA2O4/4diqinZs8BSO+mWDUZ1cAridgzDcZTAO03g13ELjPt7Tl3g2bdcd86yipqs2hL9kmy/Rl2Gyc8G0E8xSp88Jm4pRnYiX14iS4KIq4nwfJeT9R6Un/JDid9ePTKCiS0/M4u1g+HM760VNR82vI0FVF5o4TNV2kKGLnE/eSIISZrI2qUHDqXhJV4ah4OQXS9ua/1YXtouFfV8u9+ce6pq12bPTmv5t/FIW9w16keq4Z9ANRxxAm9QiFnHMxQBJFZDEgHMQ2kjuiJNTZSIAjUlno3HEgydLZekA+SB0VpCgeIYiSKqOG5YC8Plc69xwULgpOiBzsYsA1pmNZNOr7h6A1rAYA41nKQVcir7gI8/AiTvpFniX9ZHYS9U+DYNY/V8n52SzLL4KL5bvcrciLnCIvproDQ+xe5AmCEOITKvI+MnPyC7Gzvpm0Ejw/MBP682+qy2CqPanVGkC129F8R+0omxv2Rd2gcDfgAtCGcSCKQQi6BLnmmneXJBFSa9a57zuiJNRsgXAEeT4IHPP4kiydqbUodU74i/IRwmGrcq0+iCv3nKwmCk6IHGy55hzUsSwb9Q1E2Jr0WvOAlnLQiwv84tMT/dNBPw7TWT8Jw7xfBLPT/tksKs7VWR4H2XLQu9VrsVOvKao7MMTu9ZogCCFAoXrtQ9M/YS7iM20apqVCC7HLtxeizGx9Wui1D+fvW6cH9kVxFY67sS4TxCBEV4IuMwe8fDbo2U9leUEUSEae2TjuiHJQUwNAkcbWHDcU5ehMmIVqkFnjwF1ZPkLca1WYqTqPe86hEAUnhA62MHMO6liWjfr2IWxNwqx5QEs56EqY5WkenWXnWf80zoJ+ks4u+sVZctqPizgoLoqTk3i2XOjvVpglTmHm6DJ2uwND7F6YCYIQAhQqzG7uT5//Yv6r+cfz384/6M/fM79VFyO/N/+40mg26H1RaIVDbyzPBDEIMZYgz9yrnIIoIsIsGETKhnJHFIWaHQCQKMkGjuNGhqIs3emzwN0qKwpIiH+tCrR6m0zu2fckCk4IHnyB5hzVsSwc9R1E4JoUWvOIlnLQZuPT3kKWdLnfyXrzp1ZeuR2z2t8Vei7vwqylKKq13U7WJaHn2QavR4//vXY7Pbl8oxeFy01Nbex64g5Dgg1DG7ueuCYqkomAedcvZ7Y8ONW5yPP/Nv/FwPTmVWM2f2yWsvUDMP9SD8675g96pBcr2ou1bP39xU/05h/Ofzmw+eCA7YP1lCO3tYprIdhTj0tQz9Yqro2UfnXEwixxXeDMtVBka9WN9Gs7sjcv9g6jIjAfQvMhWp6fmeee8zPv8kHB9ErfjKX/o5lzNxbbXDC/UnZjPWu8tzq9d+Fnm9X3+FaDSbYNeW5gdoYejEM+Bpik6Du2VgdqatuvD4SL4ohPoYgU8HNkPLu7MmzN4BHfYDDpwDUOEIdKE4dKE4dKE4dKMA6N+ZBg3qLtBfPEoPt8U3OCqYj7x1fx577nxT3mW0xJuKwnaFVC+mNPyUaQ2TB2M+7UA+AimPAJwExL2k72rPHo7sqoNWOnPGMroQv1JxseZ6HumbFgF+uug3zzgsaJAna/UCIIQpgo3KjcR7eVCaIqHBWvV20YB6IYhBlOQsnpXh4RRBFZHnFvAhMkoc7MAhxFkBfOPWCCKJ0tjnj2gEniESJeG7XXqgIr6on0wlOFSYITAgdcNqBjOpZFo75+CFrTwkjzeJZy0Ld4D1juOp+3CKjOwAA712OSIITohOoxqR1gkm5QuBs21WqSGISQS9BqruUBSRIhqeZoMpYkoeYKhKOIBpFjtUESpTOp5tkAJspHiIZtarUiWOb2xR9s4Iey4ITAwdZqng1gomzUFxBhaxBrwICWctC3eANYbi+WtVhznF7gdgYG2L1YEwQhhCdUrG26/UsSV+G4G4syQQxCbCWIsobtX5JAMtrMxnFHlIOaGBAKdxuIJElnwsyzAUyUjxD5WhVm9cE7hecgJVFwQvBgCzPPBjBRNur7h7A1CbPmAS3loG/xBrB8kNicoYVZRHUGBti9MBMEIYQnVJi1s/1LElrh0BvLM0EMQoQlyDPn+qYkiogwc2//kkSh5gYAJIkHmQ1kKArSnTTz7P0SBSQEv1a1WVSn8sijzSTBCZGDr808e79E4agvIALXJM6aR7SUgzbqzCe6Wt7zVdjwtNyKfXj5ja1tW9/zxTV4PWr8656vjfZ8cYchwYahjT1fXBMVyUTAPHDP1ydme9f8i8s393rzX84/mn+4V+3mmn/I3wlmc8wB2zHr+UduIxjXQrChHhejno1gXBvXE92GG8HywDX/x7Rve9vAisRs/lLmQ2o+ZMvtF0Xs3QbGBgUzbsvbwNjmgimXuA2siFfbwArn6ZH3+FaDebcNpW5gdoYejEM+Bpi3NtgGpm2/PhDubWBsCkWkgJ8j49ndlWFrBo/4BoMpBy53gDhUmjhUmjhUmjhUgnFozIcEs1aL28DYpra/DWwVf+57XtxjvsWUdMt6glbVpD/2lGwE4W1gq7hTD4B7GxibAMy01G1g+tlZGbVm7JRnbCVzL/IgvTgP+hdRcNFPztKin58XRf9sNkuCNL44CZLlG+us3T2TF+z63bUNrEhonChg9wsmgiDrKsQ3QOAMwM0FE/OprtA+1bXzT3Q99nBRppuult78N/Of65Lu4/mv5+/rXx/8YFF93xv3la7Kf25zyL6oQxTuELzQtWEciGIQpkQJZal7MUUQRWgxxWi+myh3RFGoc7kASBiF9hnBoShJZ6speT7IXYspknyEwNhGibYq1JJ66j3xFGuS4ITIAVcX8KCOZdmo7x/C1rSW0jygpRz0Le5ALpzbxRTVGRhg97pNEIQQnlDdtnEHsiCuwnE3VmWCGITYSlBlTR3IgkAi2szVgSzIQU0MAIV7/UGQozNZ5us/luQjxL1WZVl9X0HhuYBCFJwQOtiyzNd/LMlGffsQtiZZ1jygpRz0Ld7FXzg3hqVUZ2CA3csyQRBCeEJlmdgufkE3KNwNG8s1QQxCzCXINWdvhyCJjE5z7uIXJKHmCoAjN9MRNpKhKElnWs23iV+SjxAMW9VqaZ3aU49WkwQnxA22VvNt4pdko75/CFuTVmse0FIO+hafgFk494plVGdggN1rNUEQQnhCtdomJ2BKoiocdWM9JohBiKsEPeZe1BREERJk1trtjigJNSEAHEkUhNZ5iKEoSWeCzH0ApigeIeC1qsfqm6QKz91gouCEuMHWY+4DMEXRqG8fgtYkx5rHs5SD7nZ3WGQdUy2wvEep5zc2v21/dxjT4PWY8a+7wzbbHcYchgQbhlZ2hzFNVCQTAfNibHeYxI1gXB+sJxrBjWBMC9d1p+hGMKaNlM50xEKVODvkmBZucStYsXcYB4H5EJoP9U08hf9GMDYomF7b3grGNRfMr9StYFc3ghWeG8HYVoNJtg1RbmB2hh6MQz4GmKQ22Qp2dSNY0XAjGJtCESng58h4dndl2JrBI77BYNKBKxsgDpUmDpUmDpUmDpVgHBrzIcG81eZWMK6pAlvBrm4Ec7+4x3yLKQmX9QStSkd/7CnZCNJbwa5uBPPHnQmfAMy05K1g5kYwe8yZ8ow11mJHuRgeZ6HumalgF+vOrWAFjRMF7H49RBCEMD2IlvstnZ0nCK1waLxytWEciGIQZjgJxad7ZUQQRWRlxHN2niAKdXIWAInzgbKSDEVJOlsa8R6eJwlIiH5t1GGraqy+Tarw3A4mCk4IHXAJgY/qWBaO+gYicE3LI80jWspB394NX5FjbeK5ePlkEJyBAXatzkRBCPEJVWcbbvgSxVU47oa6TBSDEFwJusy/4UsUSESd2duIRTmoiQGhcK4ziJJ0J82cW75k+QiRr0VlZiY3qzy+/IMN/FAWnBA8+MrMueVLlo36/iFsfmGGDGgpB317t3xpYWZtG9TCzHv/hs0ZGGD3wkwQhBCeUGEmtOVL1A0Kd8PGgk0QgxBzCYLN0cUhSiKj1BxbvkRJqLkC4UiLQeoSa4IonYk1954vWT5CNGxVrIV1bnffDyYLTggcbLHm3vMly0Z9ARG2JrHWPKClHPTt3fOlxVpic4YWaxHVGRhg92JNEIQQnlCxtsGeL1FUhaNuLMgEMQhxlSDIXCuboihCisxavN0RJaEmBIAjD1xXHw5FUTpTZM5NX7J4hIjXqiCL6vztvhRMFpwQONiCzLnpSxaN+vohaE16rHk8Sznojjd92bvI4iD24mXreNve9MU2eD1m/Oumr002fbGHIcGGoYVNX2wTFclEwDxw01dXV4KxHbOefcR2grEtBDvqKUrUtROMbeN6ottwJ5jKIqfEZFq4tZ1gcZCY/V/KfEjNh+VlPJrEtxOMDwrm3HZ3gvHNBZMubSeYNqfeCbb0s83qe3yrwczbhlI3MDtDD8YhHwPMXPydYMb26wPh3AnGp1BECvg5Mp7dXRm2ZvCIbzCYdOByB4hDpYlDpYlDpYlDJRiHxnxIMG+1txOMb2rrO8Gu4s99z4t7zLeYknBZT9CqnvTHnpKNILsT7Cru1APg3AnGJwAzLXEnmHl2VkatGTvlGVsJXegiCsPjrN490xfsCt6xE0xHKxonCtj9KokgyLoK8Q0QOAcgfimYqEMU7hC81LVhHIhiEKZECYWpey1FEEVkLcV5KZgoCnU2FwDJ1SC3dnUORUm6W0txXgomy0cIjG2UaKtCLakn392XgsmCEyIHXF3AgzqWZaO+fwhb02pK84CWctC3eI+Y4y5DrdsU1RkYYPe6TRCEEJ5Q3bbxHjFBXIXjbqzKBDEIsZWgypr2iAkCiWgzV9+xIAc1MQAUvhUIQZLOhJlvj5gkHyHytSrMVJ3H3deCyYITggdbmPn2iEmyUd8/hK1JmDUPaCkHfYv3iDnaDLUwS6nOwAC7F2aCIITwhAozsT1igm5QuBs2FmyCGISYSxBszv4OQRIZpebcIyZIQs0VAEcaFYPUJdYEUToTa749YpJ8hGjYqlhL69zuvhdMFpwQONhizbdHTJKN+gIibE1irXlASznoW7xHLHTuEcuozsAAuxdrgiCE8ISKtY32iAmiKhx1Y0EmiEGIqwRB5l7XFEQRUmTW4u2OKAk1IQAcUZGlieOqVlGWziSZZ5OYJB4h5LWqyLI6gbtvBpMFJ0QOtiLzbBKTRKO+fwhakyBrHs9SDlr/7y8q8qUSMb/9uU95tbxrzLVy6T1jPcjXebvaNRY5d40xDV4PIpK7xuafzR/Pv1ls5DEbwuaPzf6er6pdYu8uP2VuB5t/NH9v/gv+rjDzg8lesPzRHNkfxnR4gjm8lf1hTBMVyUTAvAjbHyZwKRjbB+s5RnArGNPCddEpuhWMaSOlMx2wME7DbGBd1BqyTdziXjBzK1hobgULw3r7hfdCMD4jmEQ528Cy2L0NjGsumEWp28Dyq21g7gvB+FaDqbQNLW5gdoYejEM+BpigNtkGlu9cHwjPNjAuhSJSwM+R8ezuyrA1g0d8g8GEAxc0QAgqTQgqTQgqwRA05vOB6Yq6A8wZfu7zTRXYAZZf7QBz3wXGt5iSZ1kPz6pY9Iedko0gvQMs37k+AJ4dYFwCMMmSd4Dluyuj1oyd8ow11p4GqtDfn/XT9GzWT05U2i+yVPXPiiiZJWfBaX66fGOdlbhnboJdjTt3gBU0ThSw+zUQQRDChOAm9fzTZXzVtLIsqf/FbA0zXceXf6t//eTpIk3Xb4sS78P5r+fv9attYj+ffzD/J/3xd/OP93px4Jq53xd1mcJdhpe7NowDUQzCjCihYnWvpQiiyKyl2DjuiHJQZ3IRiiTJlvtLbpa/gigdLqREroUUSTxC3GyjeFuVcEU98e6+RUwWnBA24LoDHdOxLBr19UPQmhZSmsezlIO+xfvDHIsWz8VhQHYGBNi5qpMEIUQnVNVtuj9MElfhuJsqMkkMQmglKLKG/WGSQF3qMkkOamIAKHzLEpIonekyzwYxUT5C6GtTmIX1nVOh5xIxUXBC9GALM88GMVE26guIsDUoM2BASznoSplhN8F2r8ysPYZamXkv6bA5AwPsXpkJghDCE6rMbp64NP/F/Ffzj+e/nX/Qn79nfqumzt6bf1yJNBv0vii0wqE31meCGIQIS9BnzhkzSRQRZRYMImVDuSOKQs0NAEgRJK7N+5Ik3Wkz5y3td2UBCdGvVXFW3zEVei4NEwUnhA6+OHOO6lgWjvoGInBN6qx5REs56I5vqXDprciHl9/A23q/MddgsEkK1Uv/+/Qbcx2eYA5vo9+Ya6IimQiYB/Ybd3YfBdcx65lGrgmZayHY1YXrTk8TMtdGSnMUYGGiwsC1nY1r4vaakMPY9B+bWylCtewADCNvEzKbEcysLTchs80FUyuxCTmMVk3IofNSrnt8q8H82oYiNzA7Qw/GIR8DzFobNCFr268PhLsJmU2hiBTwc2Q8u7sybM3gEd9gMOHAZQ0QgkoTgkoTgkowBI35fGC6arEJmW1q+03Iq9Bz3/POHvMtpuRZ1sOzKhj9YadkIwg3Ia9CTj0A7iZkNgGYZKlNyPrZWRm1ZuyUZ2ylb6Gjjw2Pszz3zE+wS3RXE3IY0zhRwO4XRQRBCNOCaJEvfw2FpEMU7hC8wrVhHIhiEGY9CfWoe8FEEEVowcR1DYUkCnW6FgBJs3SQWiP9UBSlsxUTzz0UonyEyNhGebYq0uJ6et1zaaAoOCF0wJUFPKhjWTbqC4iwNa2XNA9oKQd9i/uMY2efcUJ1BgbYvXATBCGEJ1S4bdxnLIircNyNZZkgBiG2EmRZU5+xIJCIOHP1GQtyUBMDQOFdeRBE6UyZ+fqMJfkIoa9VZVZfKBV6bggTBSdED7Yy8/UZS7JRX0CErUmZNQ9oKQd9i/f1x84+Y0V2BgTYvTITBCGEJ1SZ3YZ9/ZIuU7jLNlZ3ghiE+ExQd+5JN0GUTnWdIAc1rSAUeZDErhk3QZTOdJ17X78oHiFutirr6uuoQs/9YqLghLDBlnXuff2iaNTXD0FrUnXN41nKQXfcn5zY8LROS714xTre9vuTmQavx4x/7U9G+5OZDk8wh7fSn8w0UZFMBMyLsf5kifOQuT5YTymCrchMC8HeLoK49LQiM22ktEgBFsZhpOwBcMg2cYutyJnpQs7Nh6LuA0z9rchcRjCJtt2KzDUXzKLUVuT0qhXZeRfXPb7VYCptQ3obmJ2hB+OQjwEmqE1akdOd6wPhaUXmUigiBfwcGc/urgxbM3jENxhMOHD9AoSg0oSg0oSgEgxBYz4fmK7abEXmmirQipxetSI739ljvsWUPMt6eFa1oT/slGwE6VbkdOf6AHhakbkEYJIltyKnuyuj1oyd8ow11mK7hQ2PsxL3TEWwq3FnK3JG40QBu183EQQhzP+h9XxL57MIQiscGi9YbRgHohjr6d+DQag53SsfgigiKx+e81kEUaizrwBIljsuuhyKknS29uE9n0USkBD92ijBVoVYfZ1g6LkeUhScEDrg6gEf1bEsHPUNROC8IzpGRrSUg77F/caJs984pzoDA+xenQmCEOITqs427jcWxFU47sa6TBCDEFwJuqyp31gQSESdufpSBDmoiQGg8C4vCKJ0p808/caSfITQ16o0y+tE7rk3UBScED340szTbyzJRn0BEbYmZdY8oKUc9C3uN06c/cYF2RkQYPfKTBCEEJ5QZXYr+o0FXaZwl22s7gQxCPGZoO7cs26CKJ3qOkEOalpBKCIV2C+UHIqidKbrPP3GkniEuNmqrKvvnQo994iJghPCBlvWefqNJdGorx+C1qTqmsezlIPuuN9Y2fCeiyPvZRxFsI639X5jrsFgk9QmOut/zX5jrsMTzOFt9BtzTVQkEwHzwH7jzs5D5jpmPc/INSFzLQS7ugiK092EzLWR0hwFWJhESe46lYBr4vaakKNwT3+IzId42QEYBd4mZDYjmFlbbkJmmwumVmITchSsmpAj5+Vc9/hWg/m1DT1uYHaGHoxDPgaYtTZoQta2Xx8IdxMym0IRKeDnyHh2d2XYmsEjvsFgwoGLGiAElSYElSYElWAIGvP5wHTVYhMy29T2m5BXoee+55095ltMybOsh6cuGBvCTslGEG5CXoWcegDc</t>
  </si>
  <si>
    <t>TchsAjDJUpuQ9bOzMmrN2CnP2ErfQkfwGR5nee6Zn2CX6K4m5Mh7J9NNThSw88UUSRDCpCBa5MufhyzpEIU7BK9wbRgHohiEOU9CPepcKpFEEVkqcZ+HLIlCna4FQNI4G7hOZ5FE6W61xH0esigfITK2UZ6tirT6usHIc4GkKDghdMCVBTyoY1k26guIsDWslwADWspB3+L+ZEfznhZuEdUZGGD3wk0QhBCeUOG2aX+yJK7CcTeWZYIYhNhKkGUN/cmSQCLizNHHIslBTQwAhXflQRClM2Xm6U8W5SOEvlaVWVQncs+VgqLghOjBVmae/mRRNuoLiLA1KbPmAS3loG9xf7Jy9Scv7wenOAMC7F6ZCYIQwhOqzG5Df7KkyxTuso3VnSAGIT4T1J170k0QpVNdJ8hBTSsIRVoUyjXjJojSma5z9yeL4hHiZquyrr6vKvJcQCYKTggbbFnn7k8WRaO+fghak6prHs9SDlr/7y/+61NyxinbXp2dvfbiyy9ZHMFSba6ptMTHGdzow3Y1KrutpWixq15lq7nPs81df8w8zgUV1//U2un1xRLm5TvzRz0tpB7OPzGNwJfvLEXUN5W0Mkuab5nu4+rHH6/amW2AWkQlzwzZlDcipBtzswC57DVUe4dxbE49TQr9QZlPU9N/mJqvZbH5YL6Rm28U5htFYj7o7yZBYD7E5kNqPuifS8LIfFDmQ64/mFbGJErMB/M3YvM3YvM3YvM3YvM3EvM3EvM3EvM3lPkbyvwNZf5Gar5rbEky86fM/LXc/IgxKDEGJcYWFUTmg/mTsUCZc1yVaaFUkf5HVRy7Qj53lBL6KOHNKWZojszQHJmhOTJDc2SG5sgMzZEZmiMzNEdmaI7M0ByZoTkyQ3NkhubIDM2RGZojMzRHZmiOzNAcmaE5MkNzZIbmyAzNkRmaIzM0R2ZojszQHJmhOTJDc2SG5sgMzZEZmiMzNEdmaI7M0ByZoTkyQ3NkhubIDM2RGZojMzRHZmiOzNAcmaE5MkNzZIbmyAzNkRmaI9fQHPGHRtGHBu+60SMzMiMzMiMzMiMzMiMzMiMzMiMzMiMzMiMzMiMzMiMzMiMzMiMzMiMzMiMzMiMzMiMzMiMzMiMzMiMzMiMzMiMzMiMzMiMzMiMzMiMzMiMzMiMzMiMzMiMzMiMzMiMzMiMzMiMzMiMzMiMzMiMzMiMzMiMzMiMzMiMzMiMzMiMzMiMzMiMzMiMzMiMzco3MiD8yeATn64Rl/6LaK80IlWaESjNCpRmh0oxQaUaoNCNUmhEqzQiVZoRKM0KlGaHSjFBpRqg0I1SaESrNCJVmhEozQqUZodKMUGlGqDQjVJoRKs0IlWaESjNCpRmh0oxQaUaoNCNUmhEqzQiVZoRKM0KlGaHSjFBpRqg0I1SaESrNCJVmhEozQqUZodKMUOkaoZI9Qjea7RpGiBbSJmZYJmZYJmZYJmZYJmZYJmZYJmZYJmZYJmZYJmZYJmZYJmZYJmZYJmZYJmZYJmZYJmZYJmZYJmZYJmZYJmZYJmZYJmZYJmZYJmZYJmZYJmZYJmZYJmZYJmZYJmZYJmZYJmZYJmZYJmZYJmZYJmZYJmZYJmZYJmZYJmZYJmZYJmZYJmZYJmZYJmZYJq5hmfCHBdeVxCZCPSpTMypTMypTMypTMypTMypTMypTMypTMypTMypTMypTMypTMypTMypTMypTMypTMypTMypTMypTMypTMypTMypTMypTMypTMypTMypTMypTMypTMypTMypTMypTMypTMypTMypTMypTMypTMypTMypTMypTMypTMypTMypTMypTMypTMypTMypTMypT16hMeaPylH42g/Pnviqgze2KZur2BzYOXQakdo4wVoEek9j5dGHmMmsAY7HN3ufZ9q4L5A23K/622nNmJlJXx6n6Rf8GOxQf9+Z/MPO71Zzt4muXP9Xf1j+ynNj9wvxndRXylf6Rt82uyPqvflMZ+cbiU5tD99kOXdeyktsRmSYqkolM8w7Y5q1P7ghuCmRauD7VK7opkGkjZbMCYGFSWBe4hmz7RHYE3uxZdZ3UyjYbzEeMTX55Wrg3+XHNBfMRZZOfzcJ7fAvBDESan0Gfg0O+2WCcp09Y2Ow84tupiHZu8hSM+GaCQZ89m+8+3ZdtMpgFiHvt3FHgPt/Ulvfa2aw75ltHSVVtjn3JNllmH53NxgnfRjBTkYpcm4lTnonGxvM4KE7ii/N+EEaqn5zHUT8/T877F2Gen85OZ0ESLdODsx780Um7zTzVqTDOqtBx9KILFCW0VY4eMEr1aAN5XhSEsCqNlpVrfdaf69/e7elS72td1P3UfJx/Nn9iNs1VJ5dUp5z8tjf/ZRj0oiwILt+KgquTanQV+KiqNz8x/+iiaXtRVz6ZP1r8iPlLO7E1ZuyLuk7hrtu4OhPEWE/mHgxCFdfUsy0IJNLbEwwia011RxSF2l8AgMTBIHRVh4IknXX3FNkgs0673ZXlIwRSUnV0Y+Z6rb2nPoQ48pwqLQpOiB/sgsA5qGNZNur7h7B5B3SMDGgpB73o2p5l6Wl2EfTP8yjsJ/pf7Z8Ep6qvf744DfI8zC+Wwq5ToRe5hF7sOPHB7Q2MsHOhJwlCiE+w0FtOzD+5fLs+7uAL/aVH8z82NmsvftrTrG1z0L6ogxTuIFzOzd9bOGQlg68WMx735h8tD1n8YyVvH88/M/fZPTQLJfMvzFLLz+cfaVW80MBX/n14+br55kdBb/5xL1I9Vwf1gai7CGGfIBudzeCSKCKCMbQ3Ad4RJaHmK4SjiKJBZkMZiqJ0JhjDaBBbBfFdWT5CQG5TMMbBUl/EnpPyRMEJkYMtGJ2DOpZlo76ACFuDYAQGtJSDrgTjRZRmQX5y2s9msf7Z+DztFyd50g/DML4Iz0+KeHb+oHvBGDsFY0T1BkbYvWAUBCHEJ1Qwvmdp8XhsZM1n1ZeNVnyj9/3ZKyc/Oun96OSVk7/+6xdrJfnRSgNVn4cqzhbfeM+ct2Ukljm7etk08s1yZnAxm+iYGpT0ncJ9R9CSH66040N7u4zZAbl03+HCfSsfXL6V7hXVEeB7Lp+pKA/3eirMM/0xCArz5zB88OAlLd5NT9AbvX7PKNNKw3+16P6peoIW39X6Vg/PXm/P5u4DUXcTMgpBi7oaUSRJhKRoYBVwd0RRqKkQAFFRNlDWeaChKEqHWjQrBoWyEd6VJSRE+1bVaH1GQew5dEIUnBA72GrUHGLnOg9MFI76DiJwTXK0eURLOehKjp5FRRxF4Wn/vIjP+kkSJf1cp8D+LDwtitMsTPW/8aB7OZo45WhC9QZG2L0cFQQhBChUjv7zUw3JWlH9D62I/lCpKiND5x9pzVIdCRYk15ehlzsn+1fzcjZv7It6Q+HewAWmDeNAFIMQfAnCzT2JKIgiotwCxxVNd0RRqFkDANEWOVCGoiidKbdED5VVZN+V5SOExVZ1W1Jn+cSj2yTBCaGDrducgzqWZaO+gAhbk2xrHtBSDnpx/n5ynmVns7h/GuZ5P0lV1D+JZ6f9pDg5D0/Tk/NcnT3oXrYpp2wjNlKihN3LNkEQQnxCZdvNA/iXk4T2c/gX54KZhsHPzR61vv5NK7j5N8ufeqy/sTw9zOadfVHvKNw7G8s4QQxCLG5FxgmiCMk412n8kijULAKAZLFjdmooStKZikvzQeLYgybKR4iSraq4tE76qUfFSYITIgdbxTkHdSzLRn3/ELYmFdc8oKUcdJeXF0eedkBvc2Si1vm2fRoA1971oPGvpwFUIPtshyaYQ9s4DYBroiKZyDTvgG3eejiXOw2AayG4DxTXdp7TALg2UrZYAhYmrv0eXPu2fBoA22wwH7V8GgDbXDAfbX4aANtCMAORJCv6HBzyzQbjfFunAbDtVEQ7N3kKRnwzwaDP1u/u0wDYJoNZoMXTANim5gRTmWN/zLeOkqraHPuSbXKXpwGwbQQzVQunAbBMvLWz9Z4z4hJvB/RNUJSw89l6SRDCPBRaVnY8Wy/pHYV7Z9MCTBKDMOdGKNScs/WSKB3P1kuiUGcLAZA0dM7WS5Lchtl6UT5ClCSVPg2z9Um90Sfx7NwSBSdEDrba98zWi7JR3z+ErWG2HhjQUg56cZDveRQH6iTqB0V40U+SfNY/uTjL+mF+ehKHaZqcXiwLkE5VnHNuP/E2Dtu8gRF2r+IEQQjxCVVxQKvsQtX1wqA6pUkrvreqXUGP5l8PbC7YF3WBwl2AS7VraxYPe/uzV2avvvhaz7655kCUjxCJW9FwgihCGs7VOCuJQs0hAEgYuBtnJVE6E3GexllRPkKQbFXE1dtjEs+GJ1FwQuhgizhP46woG/UFRNiaRFzzgJZy0JWIS86T8CIIo358os77iZaM/ZMiv+jPwpOzrChydVJPeHcq4pzb75OE6g2MsHsRJwhCiE+oiLNtv394/VCih73xi7PXXjkxv7301yf1VN1qi/e1bU+9+fv1cZxXO/O/XwRFEAbHQRCEfzoZB+aL1YTdsmtkOcVX/WwcBDup/pWbfek2F++LuljhLiaIRM4ufe3IR5dvLy7fq47EWmyu//38US8MI1Uc7/We2oTvGo7UbPOPzYeiOkH1O+aw1V41y2r+JT3+79tvgjkQdTMh4RC0qqsxRJJERKq6d+dLolAzJQCSJOGgcOzOl0TpTKqGcZYMEmUjvCtLSEgGrYrVelNQ4tnlJQpOiB1ssZrHmXvKURKO+g4icE1qtXlESzno23u6aOTenZ9426Vt3sAIu1ergiCEAIWq1e5PF5V0kMIdRNCaWz1dVNJdhLhP0Izu+U1BFCHRaJW/d0RJqPkK4UjDwHW6qCRKd5rRfbqoKB8hILeqGOsNSIlnR5koOCFysBWj53RRUTbqC4iwNQnG5gEt5aBv771DkftcgITYUokSdi8YBUEI8QkWjLfo3iFJ1yncdbiUtGEciGIQAjVB4jXcOyQJJCL03PcOSaJQEw0AEiWOtsqhKElnQs9z75AoHyGQtir06mtqEs+9Q6LghPjBFnqee4dE2ajvH8LWJPSaB7SUg9b/+4unZIHRb3/uE3TtHiXgXKlWjubLIA3DLA7Sdd6OjhKIXUcJcO1dDyIbHyXwhVn1XKx2yh0jsJgF/LQXGbn2pf6HHXtCuF5JMK+0cR4A10RFMpFp3gHbvPUYLXceANdCcCcoLtg85wFwbaRssgQsTBOXEOMauOUDAdhmg1mFfiBApELneQBsa8Gksvl5AGwLwTRC0qHoY3DINxuM822dB8C2UxHt3OQpGPHNBIM+W5S7zwNgmwxmAdp5AO4gcJ9vaU6wlDn0x3zrKJmqzaEv2SZ3eRwA20YwT7VwHADLxErpXeRBenEe9C+i4KKfnKWFrvOKon82myVBGl+cBEn3Pcix+zgA5ejIdoGihJ1P0kuCEOaW0NLw5nEA9nMAFg0JvzFNCvOP57+ev69/fbBs/Lg37quwN/+5zSH7og5RuEM2LrkEMQhTZ4TSzNldIYkiNOnuOgFAEoU66QeAFGnk3D0midLZrHueOy5WuivLR4iMpGqnYdZd1ZuNlGf3mCg4IXSwBb5zUMeybNQXEGFrmHUHBrSUg17sHotjlYRF0g8vTmb9MJzpnw1mWT8IVKDSPA8LtRQ0nSo35xEAKqF6AyPsXrkJghDiE6rc3nt6Sh85oKlnrgc1M/n6Gz+r2imWX/5N1UzxyHShLr60Zxosnlz+w+Xfmc8uXzc/tNpatvyBX4bfMRuYwu/u9Y6fu9crgsC6Lr4v6laFuxXXf9dRUd9eW2Gpe10u39FfeVItj5h9ZtWOM/1Pf7rceLdYS9Ff+Nwsr1Rdws+99Nrs351cNQuvll5uDMm1LWjzT6qfMiK9Ho3qXtn3rQtTB6KDQkhJrahZQRQhNWt9U+6IklBzKcARFlEyUDaUoShKZ2I2UtEgsTZD35UFJGSLVtVsvRlJebaXiYITQgdbzbpHdSwLR30FEbgmOds8oqUcdLf3Tzg3jClHN/SSL1/n23rTCNNecLUP1Ze3rWmE6ZUE80orTSNMExXJRKZ5B2zzwPVDgpZzNo0wLQSXC3GJ5msaYdpIWYoDLIxcO/u59m27Z4RrNphUWu4Z4VoL5pQWeka4FoJZhKQ70cfgkG82GOZb6xnh2qmIdm7yFIz4ZoIxny3CPT0jXJPBJNBizwjX0m56RrjWURJVm0Nfsk3utGeEayOYp9roGeGYWMmo2UUeBhen/SKMwlVZd7LdlYfE0zPi2P3gAkUJu195EAQhzCWhlWF7Kw8/r2rMx6buWy0sUFcesiBWNrfui7pV4W7F67Zv48rD0X7ZC1UQ9f/Mv+AgOBaEWUNCkepecBBE6XjBQZCEOtsJcOSZHWQoCtLZckNs+iwKG+BdWUBCiiCVfU3LDfUOR+XZsioKTggc7ErHPapjWTjqC4jANS03NI9oKQd9e/ueE3f3TOpv8LZ4AyPsXMNKghACFKph5fueJR2icIfg6tOGcSCKQYi/bQg3SRQh4ebqe5ZEoSYOACSJB6mVZChK0pl087Q9i/IRAmObyi2tL8pKPTefiYITIgdbuXnankXZqO8fwtYg3IABLeWgu+0TcZ4Tl0Z2vjCOojjNs3W+bfeJcO0FV/hQJXXL+kS4Xkkwr7TRJ8I1UZFMZJp3wDYPXDMkKDlXnwjXQnCJEBdonj4Rro2U5TfEQhXHriZdrolbbhVhmw3mlXZbRdjWgmll81YRtoVgIiEpT/QxOOSbDUb6tlpF2HYqop2bPAUjvplg2GfLcHerCNtkMA+01yrCtrSTVhG2dZRc1ebQl2yTu2wVYdsI5qkWWkVYJlY1RH52EgXJWf/0tEj7SR4G/dM41H8Kw4voJLwIk7NlmHVWdZ6yll3ZOVtF0oQGihJ2P80uCEKYTUKLw2utIrqwqw7/fr0q7P64vHpvUdmZNoKyF6gs6P9ZGBwvvjh+5eXXZmev9b43O3v5laq7IOjZ3LIv6haFuwUvvXTZbHPG9Vr66pRz8z1Pg8YH819i20Gt4fRA1H2EqTpCaeie5BdEEZrkd3RnSJJQ5xgBjiTV6VrZUIaiKJ1N8nsqUkk8QlQmVVpNc/z11sHUsxlUFJwQOCSKC0k06uuHoDVN8TePZykHfXt7M5SnN8PRSO32BkbYvWgUBCGEJ1Q0dtCbIegQhTsEl4s2jANRDEL0bUW2CaIIyTZnb4YgCjVxACBRrJOg61A6SZbOhJuvO0OSjxAaW1Vu9RVxqefOP1FwQuxgKzdfd4YkG/UNRNiapFvzgJZy0N12Z6ROMeZtGw6Ddb6td2cw7QUX1VAtddu6M5heSTCvtNKdwTRRkUxkmnfANg9cpiNoOWd3BtNCcFUOl2i+7gymjZQVL8DCIrffGz1kG7jt3gyu2WBWabk3g2stmFRa6M3gWgimEZLuRB+DQ77ZYJxvrTeDa6ci2rnJUzDimwkGfbYI90yfck0Gs0CLvRlcS7vpzeBaR8lUbQ59yTa5094Mro1gnmqjN4NjYqWjoO2ShsJZ03mKWnZd5+zNyLz7Cm6CooSdT7NLghDmktDS8NtyjIekWxXuVrxw+zYe4zH/TP/sl7qu/6T6R82ILFpyoiAO+sd58Lz3eA/JMSLMJhKqV+dKhCSK0EqEo4FEkoQ6DQpwRMUgSW0kQ1GSzpYhfOd7iAIScgepHmxYh8jqTYWZZ5eoKDghcrBLIN/5HqJw1DcQgWtYiABGtJSDvr09JKm7hySLqN7ACLsXt4IghACFilv5HhJJhyjcIbgstWEciGIQ4m8ryk0QRUi5uXpIJFGoiQMACZNBZhWhQ1GSzqSbp4NElI8QGFtVbvUteJnnWkNRcELkYCs3TweJKBv1/UPYmoRb84CWctDddpBkTimWePnCdb5td5Bw7QWX/lAldcs6SLheSTCvtNFBwjVRkUxkmnfANg9cTCQoOVcHCddCcO0QF2ieDhKujZR1OcDCyHENDNe8LfePsM0Gc0q7/SNsa8GUsnn/CNtCMImQVCf6GBzyzQajfFv9I2w7FdHOTZ6CEd9MMOSzJbi7f4RtMpgD2usfYVvaSf8I2zpKnmpz6Eu2yV32j7BtBPNUC/0jLBMrFQVNxxsKZ0XnKWnZVZ27f8Sx88EFihJ2P8UuCEKYSUILw29N/4igWxXuVrxs+1b2j/yh+hceLVdUnu4fSYP+nSTwXw8jOUaEuURC7epehRBEEVqFcPWPCJJQJ0EBjtR1O4wkR2dLEN7uEUlAQuYgVYNNaxD1psfMs4tVFJwQN9gFkLd7RBKO+v4hcE2LEM0jWspB397ukczTPeLvAbd4AyPsXtoKghACFCptO+geEXSIwh2Ci1IbxoEoBiH+tqLbBFGEdJuze0QQhZo4AJDYATIUBelMufmaRyT5CHGxVeFWXwKXea71EwUnBA62cPM1j0iyUV8/hK1JtzUPaCkH3W3zSO5SYrm/qzla59t28wjXXnDdDxVSt6x5hOuVBPNKG80jXBMVyUSmeQds88CVRIKQczWPcC0EFw5xfeZpHuHaSFmUAyxcFts3ZBfXvC03j7DNBnNKu80jbGvBlLJ58wjbQjCJkFQn+hgc8s0Go3xbzSNsOxXRzk2eghHfTDDksyW4u3mEbTKYA9prHmFb2knzCNs6Sp5qc+hLtsldNo+wbQTzVAvNIywTKxUFzcYbCmdF5ylp2VWds3kkj2igKGHnM+ySIISZJLQw/LY0j0i6VeFuxcu2b2XzyO+rn3qjWk5ZtI2EgbkJKAqOvW0jkqNDmEUkVK3O5QdJFKHlB0fbiCQJdfoT4Ih0frCBDEVBOlt98PWNiAISkgapEGxYfsjrrY65Z++qKDghcLBrH1/fiCgc9QVE4BrWH4ARLeWgb2/fSO7uG8kTqjcwwu5VrSAIIUChqla+b0TSIQp3CK5HbRgHohiE+NuKcBNEERJurr4RSRRq4gBAwnCQ2ECGoiCdKTdP34goHyEutirc6gvqcs+Fg6LghMDBFm6evhFRNurrh7A16bbmAS3loLvtGymcSszfzxyv8229b4RpL7jkhwqp29Y3wvRKgnmllb4RpomKZCLTvAO2eeAiIkHIOftGmBaCa4a4PvP1jTBtpKzHIRYGzikzpoHb7hzhmg1mlZY7R7jWgkmlhc4RroVgGiHpTvQxOOSbDcb51jpHuHYqop2bPAUjvplg0GeLcE/nCNdkMAu02DnCtbSbzhGudZRM1ebQl2yTO+0c4doI5qk2Okc4JlY6CpqPNxTOms5T1LLrOnfniH/Hww1QlLD7OXZBEMJcEloafms6RwTdqnC34oXbt7JzZLNrayTHiDCbSKhe3csQgihCyxCu/hFBEuo0KMARD6LEBjIUBelsFcLbPyIJSEgdpHKwaRmi3u2Ye7avioITAge7AvL2j0jCUV9ABK5pHaJ5REs56NvbP1K4+0cKf/u3xRsYYefaVhKEEKBQbSvfPyLpEIU7BFelNowDUQxC/G1DuEmiCAk3V/+IJAo1cQAg4SC1rgUNRUE6U26e/hFRPkJcbFO4FfXldIXnukFRcELgYAs3T/+IKBv19UPYGnQbMKClHLT+318Y8uV0uZFjf+7TZ+32k4TWMdbCLLTjZmEYR2Go1nE7aifJXe0kXHvBdUBUV/1GC6dqMmo5WfXk8u1KRD3qmS+YySOz+ain1dR7818su0KeXJvaWvWaoC0jXPIEI2+jZYRroiKZCJinffn32r0P578fmDH4uB/an6cDtsngiiJBz7naSLgWgguIuEzztJFwbaQszgEWqiRIBoHjAhuujSKdJDcy1fCFg+Pj0fEyV5XTw+9obRHt6Q/xd02EMPabpLUXWPPWXT4emHfoHSdJlDs7TtjWgnmH0nHyrHHe7sLx31+62Wb1Pb7VYPZpQ70amJ2hB+OQjwGmEnpXytJ2Y/bO9YFwURzxKRSRAn6OjGd3V4atGTziGwzmGrgEAIJPaYJPCQafMR8NTFK0Lhd34LnPt7TlLpdnx1dB577nbT3mW0xJrqzHZlVX+QNOyUaQ6YS5GWzqAXARTPgEYHYl9ck8azy6uzJqzdgpz9iqVIhjlYQnqh9enMxWKxDZdjtmwsCu3XXtGtE4UcDuFxUEQQiTZ2jx23HDzC9ND4j++3+ry+WrH/I20RRBYO0F2Bd1tcJdjZey1719jRt1Pr+Jpp6k2Os9dzQ5uPNcVUzPfzf/7fzX+vdfzX8z/38s7TTzT6p/oBqZejR0aO3pf9J89XWzu+bxYstNNVvytf79XW9bjeSoESZZCdW8e3VGEEVodcbRViNJQp0dBjjCNNIJxR4XhqIwnS3QuPejiOIRUkwbFe6qzq2P8Sg8B7OIghNCB1ycoWM6lkWjvoAIWtPyTPN4lnLQt7etRgvgyOYMLYBjqjMwwO4FsCAIITqhAriDrhpBhyjcIbhMtWEciGIQgm8ruk0QRUi3ObtqBFGoeQMAyXUATANrCByKsnSm23yNNZJ8hNDYqnCL60Qfe4SbJDghdrCFm6+xRpKN+gYibE3KrXlASznobg9mCV2TkYkPr8jX8bbeSMO0dz1mfAsbaZjkCUbeSiMN00RFMhEwz9JIY03EB2yTwcVNgoRzNtIwLQTXKHFl5mukYdpIWesDLMxd5+Bx7dtiE40yTTRpvY6d+JtouHhgzmm5iYZrLZhzqE00yVUTjfOAtnt8q8HM04ZSNTA7Qw/GIR8DTCObNNEkO9cHwtNEw6VQRAr4OTKe3V0ZtmbwiG8wmGdguQ8En9IEnxIMPmM+GpigWmyi4Voq0ESTXDXRON/WY77FlMTKemxWNZQ/4JRsBOkmmmTn+gB4mmi4BGB2JTfRJLsro9aMnfKMvb1rCI4GeF23KhonCtj9GoIgCGGiDC18O1hDEHSIwh2CF5s2jANRDMI8IKEAda8hCKJ0vYYgiEKdwQRAdBRMbSBDUZBbsYAgyUeIi22UZaviTNXzzcpToEmCEwIHXFHAgzqWZaO+fghb0wJC84CWctC397TA0DHdqmVbSnUGBti9bBMEIYQnVLZ13PvMPixQ0q0Kdysu/m5FnzOpzfnGuYAbdTgLjhchWbWicgVRhFRubCO5I0pCzbIARzRQri4ZQZDORK6nu1kSj5BEWtW4aS2JUo/GlQQnhA22xvV0N0uiUV8+BK1J4jaPZykH3XGPjEu0Zl68Yh1v6z0yTHvBlUpUc26jR4ZJnmDkrfTIME1UJBMB8yw9MlY9ccA2GVy7JIg3Z48M00JwCRLXZL4eGaaNlKU8wMIoGKSuOUWmhVvskslNl0xRL1Rn/i4ZLh6YdVrukuFaC2YdapdMdtUlk3m6ZLhWg7mnDalqYHaGHoxDPgaYSDbpksl2rg+Ep0uGS6GIFPBzZDy7uzJszeAR32Aw08B6Hwg+pQk+JRh8xnw0MEW12CXDtVSgSya76pJxvq3HfIspqZX12KyqKH/AKdkI0l0y2c71AfB0yXAJwOxK7pLJdldGrRk75RlbSVpoacbwOGtWT9HOrludXTKO0/xdnChg98stgiCEmTK09O2gS0bQIQp3CF5u2jAORDEIE4GEEtS9fiCIsi4CPCh4rerpkhFEoc5hAiDxICgKG8lQlKSzFQRfm4wkHyEwtlGXraqz+p6awnPzkCg4IXLAJQU8qGNZNur7h7A1rSE0D2gpB32L22QiZ5tMQXUGBti9bhMEIYQnVLd9a9pkBN2qcLfi6u/b2iajqjaZYuM2GcHxIiSrVmSuIIqQzHW1yQiSULMswJEOwmWOvKlyBUk6U7mePhlJPEIWaVXkFrUmKjwiVxKcEDfYItfTJyOJRn37ELQmjds8nqUcdMd9MtaA+lyyHGs7XhQE63hb7pNh2wuuVaKis/s+GTZ5gpG30CfDNlGRTATMs/TJJDaTD9gmg6uXBPXm6JNhWwguQuKizN0nw7aRspiHWKh1o31SkW3h1vpkkiDc0x+ixVK1tt/XJ8PHA7NOq30yfGvBrEPrk9Hm1H0ySzfbrL7HtxrMPW1IVQOzM/RgHPIxwETC75Mxtl8fCGefDJ9CESng58h4dndl2JrBI77BYKaB9T4QfEoTfEow+Iz5aGCKaq1Phm9p630yV0HnvudtPeZbTEmtrMdmWUU1BZySjSDbJ3MVbOoBcPbJ8AnA7ErskzHPzsqoNWOnPGMrSQutzRgeZ83qKdrZdaujTyYJfFdPWThRwK7XW0RBCDNlaOkr3icj6hCFOwQvN20YB6IYhIlAQgnqWkAQRRFaQHD0yYiiUOcwAZBwoJSrpBUk6WwFwd0nI8tHCIxt1GWr6ixcTDkv/2ADP5QFJ0QOuKSAB3Usy0Z9/xA2/xoCMqClHPQt7pOJHX0yyfJ6DYIzMMDudZsgCCE8obrtW9InI+pWhbsVV3/f1j6ZMMiC/p/FwfFGfTKi40VIVq3IXEEUIZlr75MRJaFmWYBDF/lmMvAmyVCUpDOV6+yTkcUjZJFWRW5UayL3bZmy4IS4wRa5zj4ZWTTq24egNWnc5vEs5aA77pNJbHhatcZevHAdb+t9Mkx7wbVKVHRuo0+GSZ5g5K30yTBNVCQTAfMsfTLKZvIB22Rw9ZKg3px9MkwLwUVIXJT5+mSYNlIW8wALlT1qDNn2bbFLJjFdMqpeqI79XTJcPDDntNwlw7UWzDnULpn4qkvGeffiPb7VYOZpQ6gamJ2hB+OQjwGmkU26ZOKd6wPh6ZLhUigiBfwcGc/urgxbM3jENxjMM7DaB4JPaYJPCQafMR8NTFAtdslwLRXokomvumScb+sx32JKYmU9Nqsayh9wSjaCdJdMvHN9ADxdMlwCMLuSu2Ti3ZVRa8ZOecZWghZamTE8zorVU7Kzq1Znl0xC40QBu19tEQRZlx6+AQIL3w66ZAQdonCH4MWmDeNAFIMwDUgoQN3LB4IoQssHzi4ZQRTqDCYEkqVWkqEoSWfrB74uGUk+QmBsoy5bVWdJPeHsvhVXFpwQOeCSAh7UsSwb9f1D2JpWEJoHtJSDvsVdMomzS0ZRnYEBdq/bBEEI4QnVbd+aLhlBtyrcrbj6+7Z2yaggCvrH2YanyYiOFyFZtSJzBVGEZK51EuCOKAk1ywIc4UBZQYaiIJ2JXE+TjCQeIYm0qnFVLYncF4vKghPCBlvjeppkJNGoLx+C1iRxm8ezlIPuuElG2fC0aE29eNE63tabZJj2gkuVqObcRpMMkzzByFtpkmGaqEgmAuZZmmSsvaoHbJPBxUuCeHM2yTAtBNcgcU3ma5Jh2khZy0Ms1MOsbBYO2RZusU0mM20yeb1SnfrbZLh4YNZpuU2Gay2YdahtMulVm4zz+sV7fKvB3NOGVDUwO0MPxiEfA0wkm7TJpDvXB8LTJsOlUEQK+Dkynt1dGbZm8IhvMJhpYL0PBJ/SBJ8SDD5jPhqYolpsk+FaKtAmk161yTjf1mO+xZTUynpsVlWUP+CUbATpNpl05/oAeNpkuARgdiW3yaS7K6PWjJ3yjK0kLbQ0Y3icNaunaGfXrc42mYzGiQJ2v9wiCEKYKUNL3w7aZAQdonCH4OWmDeNAFGNdFHgwCCWoe/1AEEVo/cDZJiOIQp3DBEB0RZu6VhAESTpbQfC1yUjyEQJjG3XZqjrL6iln97W4suCEyAGXFPCgjmXZqO8fwuYd0DEyoKUc9C1uk1HONhnfDVRWZ2CA3es2QRBCeEJ127emTUbQrQp3K67+vq1tMnGQBP3jaOM2GcHxIiSrVmSuIIqQzHW1yQiSULMswBEPVGQNB0NRks5UrqdPRhKPkEVaFbl5rYncN4vKghPiBlvkevpkJNGobx+C1qRxm8ezlIPuuE/GOquqVWvhxYvX8bbeJ8O0F1yrREXnNvpkmOQJRt5KnwzTREUyETDP0icTumQe02Zw+ZIg35yNMkwLwVVIXJX5GmWYNlJW8wALs9x+udaQbeD2+mTCYE9/COul6sLfJ8PFA7NOy30yXGvBrEPtkymu+mSc1y/e41sN5p42pKqB2Rl6MA75GGAi2aRPpti5PhCePhkuhSJSwM+R8ezuyrA1g0d8g8FEA+t9IPiUJviUYPAZ89HADNVinwzXUoE+meKqT8b5th7zLaZkVtZjs6qi/AGnZCNI98kUO9cHwNMnwyUAsyu5T6bYXRm1ZuyUZ2ylaKG1GcPjrFk9RTu7bnX1yYQBjRMF7Hy9RRKEMFOGlr7yfTKSDlG4Q/By04ZxIIpBmAgkVKDOBQRJFKEFBFefjCTKes71oKAVrdn6YZ26G4qSdLaC4OmTEeUjBMY26rK6OguD5ZRz6LkWVxScEDngkgIe1LEsG/X9Q9ga1hCAAS3loG9xn0zq6pMJ/TdQWZyBAXav2wRBCOEJ1W3flj4ZSbcq3K24+rsVfTJ7jEaZMMiD/p+Fm966JDlghGzVis4VRBHSuY5GGUkSapoFOCLTKWMjGYqSdCZz3Y0yoniENNKqyq1vogw9V4uKghPiBlvluhtlRNGobx+C1iRym8ezlIPuuFEms+Fp2Rp58ZJ1vG03ynDtBRcrUdW5hUYZLnmCkbfRKMM1UZFMBMyzNcpYFcUB22Zw/ZIg31yNMlwLwWVIXJV5GmW4NlKW8wALYxUOcpuFQ7aFW+yUiU2nTLJcrA4jb6cMGw9MO+12yrCtBdMOsVMmjFadMqHzAsZ7fKvB5NOGVjUwO0MPxiEfA8wkG3TKaNuvD4S7U4ZNoYgU8HNkPLu7MmzN4BHfYDDTwIIfCD6lCT4lGHzGfDQwRbXXKcO2tP1OmVXQue95W4/5FlNSK+uxWZVR/oBTshGEO2VWwaYeAHenDJsAzK7UThn97KyMWjN2yjO2krTQ6ozhcRatnqqdXbg6O2ViGicK2P2KiyAIYaoMrX076JQRdIjCHYLXmzaMA1EMwkwgoQR1ryAIogitIDg7ZQRRqJOYAIiKBpl17m4oStLZEoKvU0aSjxAY26jLVtVZXM85e67GFQUnRA64pIAHdSzLRn3/ELamRYTmAS3loG9xp0zm7JRJqM7AALvXbYIghPCE6rZvTaeMoFsV7lZc/X17O2VUEPX/bMM2GcHRIqSqVkSuIIqQyLUuat0RJaHmWIAjDNRAJTaUoShKZyLX0ycjiUdIIq1q3PouytBzuagoOCFwsDWup09GEo36+iFoTRK3eTxLOeiO+2Ssy8datCovnlrH23qfDNNecKkS1Zzb6JNhkicYeSt9MkwTFclEwLwbfTKR/Xk6YJsMLl4S5JuzTYZpIbgGiasyX5sM00bKWh5gYRREgePorCHbxi02yqSmUSar16qVv1GGiwfmnZYbZbjWgnmH2iijrhplnJcw3uNbDWafNsSqgdkZejAO+RhgKtmkUUbtXB8IT6MMl0IRKeDnyHh2d2XYmsEjvsFgroEVPxB8ShN8SjD4jPloYJJqsVGGa6lAo4y6apRxvq3HfIspyZX12KzqKH/AKdkI0o0yauf6AHgaZbgEYHYlN8qo3ZVRa8ZOecZWohZanDE8zqrVU7azK1dno0xK40QBu19wEQQhzJWhxW8HjTKCDlG4Q/CC04ZxIIpBmAokFKHuNQRBFKE1BGejjCAKdRYTAImDeBBEiY1lKMrS2SqCr1VGko8QGtuozFb1WVpPO3uuxxUFJ8QOuKiAB3Usy0Z9AxG2pnWE5gEt5aAr5RbnZydRkJz1T0+LtJ/kYdA/jUP9pzC8iE7CizA5Sx5sQbm5WmUyqjMwwO6VmyAIITyhyu1aQ8eT+WdatS0aMZ7M/1g1ZrzbW8izRR9FoLLFiSOLL45fefm12dlrve/Nzl5+peqdCHo2t+yLukXhbsH12/WuHpdvri3gtNDb8uDBS57mlg/mv9zrzT+p/lbVamTai4ogiPd6IdLYEuh/3jY8B6LDQ8gtrehSQRQhXerqbREkoSZFgCMN0kGQuDYlC7J0Jks9zS2SeISw36oqrW+QDD1XgoqCEyIHW5V6mlsk0ajvH4LWJEqbx7OUg+64uaWw4WmZ6b8MKl3H23pzC9NecHkRVYnbaG5hkicYeSvNLUwTFclEwDxbc4u15+GAbTO44kgQcM7uFqaF4MIhrst83S1MGykLcIiFSThIlM3EIdvELTa3FHuHSRTU68u5v7mFiwfmnZabW7jWgnmH2tySXzW3OG9OvMe3Gsw+bYhVA7Mz9GAc8jHAVLJJc0u+c30gPM0tXApFpICfI+PZ3ZVhawaP+AaDqQZW/EDwKU3wKcHgM+ajgTmqxeYWrqUCzS35VXOL82095ltMya2sx2ZVR/kDTslGkG5uyXeuD4CnuYVLAGZXcnNLvrsyas3YKc/YStNCyymGx1m1esp2duXqbG4paJwoYPdLJIIghLkytPjtoLlF0CEKdwhecNowDkQxCFOBhBrUvYggiCK0iOBsbhFEoc5iAiCRDoP2SD8URelsEcHX2yLJR4iMbRRmq/KsqGedPVfaioITQgdcU8CDOpZlo76ACFvTMkLzgJZy0Lf4GJjC1dsSBVRnYICdCzdJEEJ4QoXbt+UYGEm3KtytuPxb74254YpPTSvK/DP95bV2GWgUqk+/1L++qP4z1RcfPHjpeq9N1Quz8Ktpstuw/0VyCAj5pw3pKokiJF0d/S+SJNTECXAk0SCxv+JDUZTOlKu7/UUUj5AZ2hSuUX0xZOS56VMUnBA42MLV3f4iikZ9/RC0Bt0KjGcpB91t+0tkHVOtRP1XPGXreNtuf+HaCy5AokJyC+0vXPIEI2+j/YVroiKZCJhnuQPJOoF0wDYZXJIkyDdX9wvXQnBlEVdlnu4Xro2UFTrAwkgNQmvcGLIt3F7zSxSZ5pd4uf4chd7mFzYemHXabX5hWwtmHWLzSxSuml8i522I9/hWg7mnDalqYHaGHoxDPgaYSDZoftG2Xx8Id/MLm0IRKeDnyHh2d2XYmsEjvsFgpoH1PhB8ShN8SjD4jPloYIpqr/mFbWn7zS+roHPf87Ye8y2mpFbWY7OqovwBp2QjCDe/rIJNPQDu5hc2AZhdqc0v+tlZGbVm7JRnbCVpofUWw+OsWT1FO7tudTW/RBGNEwXsfg1FEIQwU4aWvvLNL5IOUbhD8HLThnEgikGYCCSUoO4VBEEUoRUEV/OLJAp1DhMAiQdZmtlIhqIkna0geHpfRPkIgbGNumxVnUX1lLPnklpRcELkgEsKeFDHsmzU9w9ha1pDaB7QUg769va+aN1mnc/Uui2mOgMD7F63CYIQwhOq2741vS+CblW4W3H1dyuuQGLcgBQFadC/kwQbXoIkOV6EZNWKzBVEEZK5rkYZQRJqlgU4soGKrSRDUZLOVK6nT0YSj5BFWhW59bWQkeeeT1FwQtxgi1xPn8z/n71/7ZEkuc500b+S2J80kRUBv5lfBOgDuyZUiJ7KjOj0jAMQakHI6z7EnqEAiQc4ZwMCyKYoUqA2KQ3nIrR4Eal9mQ/7DJrdXWKxL8W/EPkXzi85bhHhHhWeZubvWmHLIhvD0bC6uy7d61nmvuxdZq+5SaJR3z4EbUjjDo9nLQcd2CdjW23MnHhlH+/oPhlmvOBeJSo6j+GTYZJnGLkXnwwzREUKEQgvfeyTsak8Zsjg7iVBvVl9MswIwU1IXJS5fDLMGCmbeUCEmYoq62diuDEe0SmjtFMmbzerM7dThosHzjuenTLcaMF5h+qUyXZOGet9iC/5UYOzjw+xqmFGMwfGGR8DnEoOccpko/2BcDhluBSKSAE/Rzqzp11gvYDn/IDBuQZW/EDxqXXxqcHis+CjgZOUR6cMN1IBp0y2c8pY39YLfsSUyZX12HR9lLvg1GwEaadMNtofAIdThksAzq5kp0x22gXVC3bJC3YtaqHdGc1j7VodbTu7c7U6ZRSNEwUMv+MiCEJYK0Ob3wBOGcGEKDwheMNpwpiKYhCWAglNqH0LQRBFaAvB6pQRRKGuYgIgeZFPLF8Em4myBNtFcHllJPkIpdFHZ9b1Z6pddnbcUysKTqgdcFMBD+pClo36BiJsQ/sIwwNay0GvlVuWpiqLr9Q4vr+66/YciiN7ZWKrVyanJgMDDK/cBEEI5QlVboG9Mj/R9o/mz//N6tVbv8npn9F3/JhS/Vw01QpPNa4Jn4R/5hnJQGO+cekgF43gqBGmMS8SWBBFSAIbX6UXoiTU+RfgiFOVTErrB2cEYYJJYIeRRhKPMMV4VcDtpZGJ4xZQUXBC6WArYIeRRhKN+gIiaEMCeHg8aznowEYam6QtnHhVH+/oRhpmvOBWJqpIj2GkYZJnGLkXIw0zREUKEQjPYKQxPv9Tdsjg5iZBwFmNNMwIwT1KXJe5jDTMGCl7fUCE5STPTAHO2AEe0UVTahdN1W5kF24XDRcPnHQ8u2i40YKTDtVFU+xcNNaLF1/yowanHh9KVcOMZg6MMz4GOI8c4qIpRvsD4XDRcCkUkQJ+jnRmT7vAegHP+QGDEw0s94HiU+viU4PFZ8FHA2cojy4abqQCLppi56Kxvq0X/IgpMyvrsemaKHfBqdkI0i6aYrQ/AA4XDZcAnF3JLpritAuqF+ySF+xa0UL7NprH2rI6enZ222p10bgvlXrEiQKG34sRBCEslKGdbwAXjWBCFJ4QvNs0YUxFMQjrgIQO1L6FIIjSFwEOFLxVdbhoBFGoS5gASFMFq9xEMhMlCbaB4PLQSPIRCqOPvqzrzsp2xdlxHa4oOKFywC0FPKgLWTbq+4ewDW0hDA9oLQf9hL83k1g9NBU1GRhgeN0mCEIoT6huC+yh4X9vRjCtCk8rrv6ehF+GZJdpvzeTRuOLMnrnQKeM4HgRJisvMlcQRUjm2pwygiTUWRbgSCaqMk4XM1GSYCrXYZORxCPMIl5Fbnv/ZOK4UFQUnFA32CLXYZORRKO+fQjakMYdHs9aDjqwTcZYUL+WpZELL476eMe2yXDjBfcqUdF5BJsMlzzDyH3YZLghKlKIQHgGm4zx+Z+yQwZ3LwnqzWaT4UYIbkLiosxhk+HGSNnMAyJMs0luOZjHjfB4Ppk0ftb8kGy3qtPI6ZNh44Gzjl+fDDtacNYh+mTSqPPJpNYbGl/yowbnHh9SVcOMZg6MMz4GOJEc4JNpYt8fCLtPhk2hiBTwc6Qze9oF1gt4zg8YnGlgvQ8Un1oXnxosPgs+GjhF+fPJsCP175Ppis57jrf1gh8xZWplPTZtFzVQcGo2grBPpis27QDYfTJsAnB2pfpkmmenC6oX7JIX7FrSQnszmsfaszqadnbfavPJpM77px5zooDB91skQQgrZWjrK++TkUyIwhOCt5smjKkoBmEhkNCCWjcQJFGENhBsPhlJFOoaJgCiJklk2UGQJAm2g+DwyYjyEQqjj76s687i7ZJz6rg5VxScUDnglgIe1IUsG/X9Q9gG9hCAAa3loJ+wTya1+WTShJoMDDC8bhMEIZQnVLd9VXwykmlVeFpx9fdV9cmotU+mOtQnIzlehMnKi8wVRBGSuRafjCQJdZYFOOJokkWZCWUmihJM5tqNMqJ4hGnEq8ptL6tMHbePioITCgdb5dqNMqJo1NcPQRsSucPjWctBBzbKGMtQI1tTJ17cxzu6UYYZL7hZiarOYxhlmOQZRu7FKMMMUZFCBMIzGGWMz/+UHTK4fUmQb1ajDDNCcBcSV2UuowwzRspuHhBhkk3SwhThjB3hEY0ymTbKqHavOnUbZbh44Kzj2SjDjRacdahGmXRnlLFe0fiSHzU49/iQqhpmNHNgnPExwInkEKNMOtofCIdRhkuhiBTwc6Qze9oF1gt4zg8YnGlgvQ8Un1oXnxosPgs+GjhFeTTKcCMVMMqkO6OM9W294EdMmVpZj03XRbkLTs1GkDbKpKP9AXAYZbgE4OxKNsqkp11QvWCXvGDXkhbanNE81p7V0bSz+1arUSajcaKA4TdcBEH60sM1QGDrG8AoI5gQhScEbzdNGFNRDMJCIKEFte8gCKII7SBYjTKCKNQ1TAAkneQqN5HMREmC7SC4jDKSfITC6KMv67qzrF1ydlycKwpOqBxwSwEP6kKWjfr+IWxDewjDA1rLQT9ho0xmNcooajIwwPC6TRCEUJ5Q3faVMcoIplXhacXV31fVKBNHRTT+ehpdHGiUERwvwmTlReYKogjJXOMiwAtREuosC3AUkzQ2Pl4zUZJgKtfhk5HEI8wiXkVue1Fl6rh5VBScUDfYItfhk5FEo759CNqQxh0ez1oOOrBPRpnwGtWaO/GSPt7RfTLMeMG9SlR0HsMnwyTPMHIvPhlmiIoUIhCewSdjfP6n7JDB3UuCerP6ZJgRgpuQuChz+WSYMVI284AIs0llHOYZO8Aj2mQKbZMp253q3G2T4eKBk45nmww3WnDSodpk8p1NxnoB40t+1ODU40OpapjRzIFxxscA55FDbDL5aH8gHDYZLoUiUsDPkc7saRdYL+A5P2BwooHlPlB8al18arD4LPho4Azl0SbDjVTAJpPvbDLWt/WCHzFlZmU9Nl0T5S44NRtB2iaTj/YHwGGT4RKAsyvZJpOfdkH1gl3ygl0rWmhrRvNYW1ZHz85uW602mYLGiQKG324RBCEslKGdbwCbjGBCFJ4QvNs0YUxFMfqiwIFB6EDt+weCKEL7B1abjCAKdQkTAiky41bITJQk2AaCyyYjyUcojD76sq47K9oVZ8fNuKLghMoBtxTwoC5k2ajvH8LmHNAFMqC1HPQTtskoq03GeQmVKRkYYHjdJghCKE+obvvK2GQE06rwtOLq76tqk1FREo0vioO/JyM4XoTJyovMFUQRkrk2m4wgCXWWBTjiSVYay8FMlCSYynXYZCTxCLOIV5Hb3kWZOi4XFQUn1A22yHXYZCTRqG8fgjakcYfHs5aDDmyTMa6qNqq1cuKlfbyj22SY8YJ7lajoPIZNhkmeYeRebDLMEBUpRCA8g02mMIU8ZYcM7l4S1JvVJsOMENyExEWZyybDjJGymYdE2AyzbVGRGeHxfDJZ9Kz5IW63qiu3T4aLB846nn0y3GjBWYfqk6l2PhnrDYwv+VGDc48PqaphRjMHxhkfA5xIDvHJVKP9gXD4ZLgUikgBP0c6s6ddYL2A5/yAwZkG1vtA8al18anB4rPgo4FTlEefDDdSAZ9MtfPJWN/WC37ElKmV9dh0XZS74NRsBGmfTDXaHwCHT4ZLAM6uZJ9MddoF1Qt2yQt2LWmhvRnNY+1ZHU07u2+1+WSyiMaJAgbfb5EEIayUoa2vvE9GMiEKTwjebpowpqIYhIVAQgtq3UCQRBHaQLD5ZCRR+nOuAwVuaSeFceVuJgoSbAPBYZMR5SPURR9tWducZdF2xTlzXIwrCk4oHHBHAQ/qQpaN+vohbANbCMCA1nLQT9gmk9tsMpn7DipDMjDA8LJNEIRQnlDZ9lWxyUimVeFpxcXfV9Umk0ZZNL5IDrXJSI4XYbLyonIFUYRUrsUmI0lCnWUBjnSiYuNqxkyUJJjKtdtkRPEIs4hXkdteRZk57hYVBSfUDbbItdtkRNGobx+CNqRxh8ezloMObJMx2gQa1Zo48bI+3rFtMtx4wa1KVHQewSbDJc8wch82GW6IihQiEJ7BJlOaQp6yQwY3LwnqzWaT4UYI7kHiosxhk+HGSNnLQyIsJ7nFJsON8Ig2mVTbZLLtTnWWOG0ybDxw1vFrk2FHC846RJtMlnQ2mcx6/+JLftTg3ONDqmqY0cyBccbHACeSA2wyTez7A2G3ybApFJECfo50Zk+7wHoBz/kBgzMNrPeB4lPr4lODxWfBRwOnKH82GXak/m0yXdF5z/G2XvAjpkytrMem66LcBadmIwjbZLpi0w6A3SbDJgBnV6pNpnl2uqB6wS55wa4lLbQ3o3msPaujaWf3rVabTErjRAHD77cIghBWytDWN4BNRjAhCk8I3m6aMKaiGISFQEILat9AEEQR2kCw2mQEUahrmABIMilsX0iVJAm2g+DyyUjyEQqjj76s687SdsnZcS+uKDihcsAtBTyoC1k26vuHsA3tIQwPaC0H/YR9MoXVJ5NRk4EBhtdtgiCE8oTqtq+MT0YwrQpPK67+vqo+mSTKo/GLLPr6gT4ZwfEiTFZeZK4gipDMNW53vBAloc6yAIeaqNLmkxEkCaZyHT4ZSTzCLOJV5LY3UWaOq0VFwQl1gy1yHT4ZSTTq24egDWnc4fGs5aAD+2SMPoFGtSonnurjHd0nw4wX3KtERecxfDJM8gwj9+KTYYaoSCEC4Rl8MrFRUUzZMYPblwT5ZjXKMCMEdyFxVeYyyjBjpOzmARGmVTSxfaWaG+IRnTK5dsoU7Wa1cjtluHjgvOPZKcONFpx3qE4ZtXPKWG9gfMmPGpx9fIhVDTOaOTDO+BjgVHKIU0aN9gfC4ZThUigiBfwc6cyedoH1Ap7zAwanGljxA8Wn1sWnBovPgo8GzlEenTLcSAWcMmrnlLG+rRf8iClzK+ux6food8Gp2QjSThk12h8Ah1OGSwDOrmSnjDrtguoFu+QFu9a00O6M5rF2rY62nd25Wp0yOY0TBQy/4yIIQlgrQ5vfAE4ZwYQoPCF4w2nCmIpiEJYCCT2ofQtBEEVoC8HqlBFEoa5iAiCqnKjciDITRQm2ieCyykjyESqjj8asa8/ydtXZcTeuKDihdMA9BTyoC1k26guIsA1tIwwPaC0H/YStMqXVKlNQk4EBhhdugiCE8oQKt6+MVUYwrQpPKy7/noRV5hnDKxOrKBkfapQRHC3CVOVF5QqiCKlcm1FGkIQ6xwIccVxM4sRmlRFkCaZyHVYZSTzCLOJV5La3UWaO60VFwQmVgy1yHVYZSTTq+4egDWnc4fGs5aADW2WMZahRre6LpfI+3tGtMsx4wc1KVHQewyrDJM8wci9WGWaIihQiEN4jq0xifp6m7JDB7UuCfrM6ZZgRgruQuCxzOWWYMVJ284AIkyhKJkVminHGjvGIVpnq2Vmmona3unRbZbh44Lzj2SrDjRacd6hWmXJnlbHewviSHzU4+/gQqxpmNHNgnPExwKnkEKtMOdofCIdVhkuhiBTwc6Qze9oF1gt4zg8YnGtgxQ8Un1oXnxosPgs+GjhJebTKcCMVsMqUO6uM9W294EdMmVxZj03XR7kLTs1GkLbKlKP9AXBYZbgE4OxKtsqUp11QvWCXvGDXohbandE81q7V0bazO1erVaaicaKA4XdcBEEIa2Vo8xvAKiOYEIUnBG84TRhTUQzCUiChCbVvIgiiCG0iWK0ygijUVUwAJI2iSRYbS+BMlCXYLoLLKyPJRyiNPjqzrj+r2mVnx/24ouCE2gE3FfCgLmTZqG8gwja0jzA8oLUc9Fq5peXNVRJlN+Pr6yofZ2Ucja/TuPm7OL5PruL7OLvJ3j+CcrN4ZVRETQYGGFy5SYIQyhOq3PYcHW9WnzSqbePEeLP67dqZ8eOTjTzbGCkiVUTjr8fRxeYnF3/x59+6u/nWyb+9u/nzv1ibJ6ITU1qei6ZF4WnB9du+rceWm70NHA/mlvff/6bD3fKz1U+enax+vf5Ta6+R9hdVUZQ+O4kRZ0vU/OtNwzMVHR7C3OJDl0qiCOlSi7lFkoQ6KQIceSNLy8RY32eiLMFkqd3cIopHKPs+Valq75BUjktBRcEJlYOtSu3mFlE06vuHoA2IUmA8aznosOaW1Dimjcx0XwdV9PGObW7hxgtuL6Iq8QjmFi55hpH7MLdwQ1SkEIHwTOYW4wswZccM7jgSBJzN3cKNENw4xHWZw93CjZGyAQdEmKSTxKgdZ+wIj+dtUYn2tqTb7WUVO70tbDxw2vHrbWFHC047RG+Lijtvi7JenfiSHzU4+fjQqhpmNHNgnPExwJnkAG9LE/v+QNi9LWwKRaSAnyOd2dMusF7Ac37A4EwDC36g+NS6+NRg8Vnw0cApyp+3hR2pf29LV3Tec7ytF/yIKVMr67Hp2ih3wanZCMLelq7YtANg97awCcDZleptaZ6dLqhesEtesGtJC+2maB5r0+ro2tmNq83bohIaJwoYfodEEISwVIb2vvLeFsmEKDwheL9pwpiKYhBWAgktqH0PQRBFaA/B5m2RRKEuYgIg6SQrjSQzUZJgWwgOZ4soH6Ew+ujLuu4sadecHVfaioITKgfcUsCDupBlo75/CNvQJsLwgNZy0GvddnOXFkV6m46vsqu7cZZF5fiquL4bl4kqsuubOCnLrU4Lq9tszpaUmgwMMLxuEwQhlCdUt+05W75cvVp9snrT6LUfPXx/49zof8dlz8vyZ0bTiykvz0XzovC84PJtKDVDDpT9b6qAzhND6qaiqSMUfi+SURBFSDLabCeCJNQZC+DIJ1VemUhmoiTBFKPDdCKJR6jIXgVjeyGjctywKQpOqBtswegwnUiiUd8+BG1ILw6PZy0HHdh0Ylu5y5x4ZR/v6KYTZrzgvh8q4I5hOmGSZxi5F9MJM0RFChEIz2Q6yU0xT9kxg1uBBPlmNZ0wIwR39HBV5jKdMGOk7IwhEUaFuXDM2BEe0XSitOkkb/d9M7fphIsHTjueTSfcaMFph2o6yXamE+s9hC/5UYOTjw+tqmFGMwfGGR8DnEkOMZ1ko/2BcJhOuBSKSAE/Rzqzp11gvYDn/IDBmQYW/EDxqXXxqcHis+CjgVOUR9MJN1IB00m2M51Y39YLfsSUqZX12HRtlLvg1GwEadNJNtofAIfphEsAzq5k00l22gXVC3bJC3YtaaGNDs1jbVodXTu7cbWaThSNEwUMv3khCEJYKkN73wCmE8GEKDwheL9pwpiKYhBWAgktqH0HQRBFaAfBajoRRKEuYgIgcT6JbHcPSaIE20NwuU4k+QiV0Udj1rVnql10dlwPKwpOKB1wTwEP6kKWjfoCImxDuwjDA1rLQT/du4ca4WZzneTUZGCA4YWbIAihPKHC7aty95BkWhWeVlz+9b/H8igVH2sTytrJ0vtECzQK63/8vPnfZ+v/zPon33//m/vfd1m7XzZ5jfMDnS+C+SdMPl50qyCKkG61OV8ESaizJsCRJpPYSDITJQmmWh3OF0k8wqzgVbS29ysqx4WZouCEusEWrQ7niyQa9e1D0IY06/B41nLQzf/707fKjpaif+LSpp6dMDZVWjhwY8fBQixaitp82wlj+Z70O+x4wc1IVFT+fPVrrU0e/qZbDWw0zJvtWuD3tLTZaI+d4WVritG65DdrQaN1yWfrL889/GCtiD7emmI+W2vOjxo99XrzobrNb3v29q+8WX3SyZoP2g/Y/W4d0gfbf2sjrd6cRM8S7bBo/r0PP3j4wJTS5+yUZlhKvVhsmCEqUohAeEnfYpPbLi3ihgzuexJkotVhw4wQ3L7E1Z/LYcOMkbINCESYRGpSGr/kP2OHeESLTaktNvriojzSP8TtfnfhNttwQcGZjW62SdI8s7ttuOGCUxvVbVPs3DbWqwxf8qMGJzgf+ljDjGYOjDM+BjipHOK2KUb7A+Fw23ApFJECfo50Zk+7wHoBz/kBg7MO3GQAdajWdajWdajWdagG69CCDwlOXDTfjaMGvccPVcB4U+yMN9YX94IfMWXGZT1BXRfnrj01G0HaeFOM9gfAYbzhEoAzLdl4U5x2QfWCXfKC1dHeJJXuqK/Ht1V6M86yJBuXSRSN7+Lrqrou4ry4205q1h7ZsWjA7pOtxhvXjU0GThQw/P6NIAhhpQ5ttf/rW91y02b/n003/Zt1H9y0uk0PNk3TP9PTRpTpHQP9869Wv17/6nrTYbz5Se3KMWXjuWg2FJ4NvAU1YUxFMQirkIS21L57IYgitHuRKBPKC1EU6gIqAKLiSWas8jNRkmDbF1kzUka+d2X5CFXRR3/WdWllu97tuGhWFJxQOeDWAh7UhSwb9f1D2IY2MIYHtJaD3rils9uiuLlLx9dxWY6zXCXjq/TuepxVV7fxdX51W6qb948g2mzbGxU1GRhgeNEmCEIoT6hoe+yW3lqgzaZp3BZiys5z0ewoPDsHizhBDEIp9iLiBFGERJzVOi2IQp1EAJA0mpSlsRzORFGCqbi8nGQ2F4okH6FMelVx7c2FynEVpSg4oXSwVZx1UBeybNQXEGEbUnHDA1rLQa9V3HV1q66ytBwnV3HV/N7yfnytrpJxmWfl7W18e5uo7Qp0WBWXmpLxtSyPqMnAAIOrOEkQQnlCVdwvtoaS9jsvv93Ya1+tfrtVcyerf1lbUP56bYXRa3RrN7AWa5vf/rvVm5PmX/OPqw/H6/Nwf7/62eo/NT/+8+pXpgw9F82QwjOEK7nVh5uMdHdN7lw4r09Wv3z4YJ2U327WJFefnKz+ocnPb/SHdLQV6O9Xv4yjk90a5Z5/+ZfRyepXJ4k6scmsqWi6CGXfh2KURBFRjJaTHi9ESajzFcCRVdkkji2KUZIlmGKM9RcJTXzvyvIRSrJPxZi31wrmjmsiRcEJpYOtGK2DupBlo76BCNuAYgQGtJaD3hy2i+6TW5Vdj6+ulRpn6XXW6Mw0Gl+p+/K+VHdFVB1FMWamZDSKMaYmAwMMrxgFQQjlCVWMHxq8y6+1rHnLrnzy7+7+4uo/XJ38h6u/uPpf/9dvbKVko4teNQJKa6D1P6soqja/8KFeJdQSSzuat27o321+UxJFD99LzO6b56K5U3jucC25TczZJjE28s114+tM6SR1SXj4Xv6sajL/hSkbU9FsEOo9QSrajMuSJEJKMTLuUL0QRaFOVABIkkSTpLJJRUGWYFKxypT1jJsoIKEYe9WKcSstHBc2ioITagdbK9pHdSELR30HEbghsTg8orUcdODvO9sWDBMHXhJXfbxjn2rjxtsvGr8/1bYTf8yUZlhKfZxq44aoSCEC4RlOtRnn+Ck7ZPB8gQ9xyIwQPBxAEn22U23cGCkeeyDCNJ1ExgI6Y0d4vENteaqPsmX6B/0F6bz9iGueOA+1sUHBic3zoTZ2uODMRjzUlifdobbcevvYS37U4PzmQxBrmNHMgXHGxwDnlAMOtTWx7w+E/VAbm0IRKeDnSGf2tAusF/CcHzA46cBdBVCHal2Hal2Hal2HarAOLfiQ4Lzl8VAbO9SSECqS/sWu/rzneHEv+BFTJlzWE9Q1be7aU7MRhA+1dXWnHQD7oTY2ATjTUg+1Nc9OF1Qv2CUvWB3tVZ5EV1F6Py7ur/QHDON4fHV/fzfO1G1yf3UX3aj76w2PtUV2rBGw22TbobY8pXGigOH3SQRBCEtzaKd9wD7JL/XnCde/eWPBqV/EKivOt//Ubgac2DYCnoumSuGpwttTbFtEJWV8sr6g6uN1Yj9aG26+1AcA9QLGB9stE3S3RDBJhBVPHw2xIEno3RJBFOpKLQCSqkmaGUdlJooSbLMkTstsUikT4buyhISS7KM57FrE9u7E3HEXpig4oXbAfQ1hWBeydNSXEKEb2i4ZHtJaDvoJu7FT25m6PKMmAwMMrxkFQQgFCtWMx3BjC2ZI4RnCpeKR3diC6SIUfoJotLuxBVGEVKOxXL0QJaHOVwBHUU2SwiYaBVHCiUaHGVuSj1CRvUrGrNUXjsspRcEJlYMvGR1mbEk26guIsA0JxuEBreWgn/BHGFLr8T1FTQYGGF4wCoIQyhMqGAN/hEEyOwrPDi4WTRhTUQxCKfYi4gRRRESc/SMMkijUSQQA0esnRpKZKEkwEef4BoMoH6FKehVx7W1nueP6OlFwQuVgizjHNxhE2ajvH8I2JOKGB7SWg37Cnz9NrSfqcmoyMMDwIk4QhFCeUBEn/PlTyWwoPBsHizZBDELp9SLaBFGERJvt86eSKNRJAwApJ8n244mPRZsgSTDR5vj8qSgfoSp6FW3tdV+54/o2UXBC5WCLNsfnT0XZqO8fwjYk2oYHtJaDDnyyzSbDXF/bT5Koj3f0k23MePs14/cn23aSjZnSDEupl5NtzBAVKUQgPMPJttQU8pQdcr/GC55sY0YInhDABZ/rZBszRorRHohQqUlRmSKcsSM84sk2fV1brq9rK/R1bUV7TVLuvq6NDQpObL5PtnHDBWc26sm23XVtueO6NnbU4PzmQw9rmNHMgXHGxwDnlENOtu2ua8sHrmtjUygiBfwc6cyedoH1Ap7zAwYnHbipAOpQretQretQretQDdahBR8SnLd8nmzjhipwsm13XZv9xb3gR0yZcFlPUNe0uWtPzUaQPtm2u67NXXcu+QTgTEs+2aavazPXnCUv2I0AitKkytNxHt1k46ZLvh+XVXE7LsvmF+Kb/Oq62pYla4vsWCNgt8nWk20ljRMFDL9fIQhCWJlDO+0DTrb9fPs7/rVpwD9+60uAcVTqvzngQ4CCKVR4CvG2FTzxFpfFSfPP/ayhR9wEs0JY+fTRGQuSiGyZOI64CaJQl2wBEFVNcvNJoZkoSrA9kybWcpLYrC6ShITa7KNL7HrF9o6x3HFpnCg4oXbADQ5hWBeydNSXEKEb2jcZHtJaDvoJH3HLrEfcKmoyMMDw4lEQhFCgUPF4jCNughlSeIZwbXjkI26C6SIUfoJotBttBFGEVKPtiJsgCXW+QjjSdFKajwvNRFnCqUbHGTdJPkJJ9qoZ2xvNcscVdaLghNLB14yOM26SbNQ3EGEbUozDA1rLQT/hM26Z7Yxb4bp9xZgMDDC4YpQEIZQnVDEGPuMmmR2FZwdXiyaMqSgGoRT7UHGSKCIqzn7GTRKFOokAIOUkzS0mG0mSYCLOccZNlI9QJX2KuKK9ZKxw3BonCk6oHGwR5zjjJspGff8QtgERBwxoLQf9hM+4ZbYzboXrVhRjMjDA8CJOEIRQnlARJ3zGTTIbCs/GwaJNEINQer2INkEUIdFmO+MmiUKdNACQOJ1UmeWQmyRKMNXmOOQmykcoi15VW3vbV+G4v00UnFA62KrNcchNlI36AiJsQ6pteEBrOejAh9yMNbXRYYkTL+7jHfuQGzfefs34/SG3nWZjpjTDUurjkBs3REUKEQjPcMgtM4U8ZYfcr/Fyh9y4EYKHBXDF5zjkxo2R4rkHIlST7QdqHgs5ZoDHO+NW6NvbCn17W6G2x0oK98VtbEZwSvN8vI0dLjinEY+3FbuL2wrHxW3sqMGZzYcS1jCjmQPjjI8BziYHHG8rdhe3FQMXt7EpFJECfo50Zk+7wHoBz/kBg9MN3E4AJajWJajWJagGS9CCzwdOVh5PtrFD9X+yrdjd2WZ/Zy/4EVNmWdbD03Vq7rJTsxGET7YVuzvb3CXnkk8ATrLUk22FvrPNXG6WvGDXPcNtGt3E6e34vmmEx1mUVeNKpXfjPCrLm7T55+v4dsNj7YsdCwPs3th2sq1IaZwoYPhdCkEQwnIc2l4fcLLtvzbdtjbtrk3Km59yHGZTcRwjx9ok86fw/OGNKnqsrcHXG0C7lD1Dz7RJpoSw0OmjERYkEdkisZ9pk0ShrtACIPkkyizmZEmSYDskcRRXE/PXqd+VJSQUZR+dYdcftld8FY5b20TBCaUDbmoIw7qQpaO+gwjd0C7J8JDWctBP+Eibsh1pKzJqMjDA8KpREIRQoFDVeIQjbZIZUniGcF143CNtkukiFH6CZrT7agRRhESjsVy9ECWhzlcIRzpRNs0oSBJOM9oPtInyEQqyV8XY3vFVOC5tEwUnFA6+YrQfaBNlo75/CNuQXhwe0FoO+gl7oZX1QJuiJgMDDK8XBUEI5QnVi9JeaMFsKDwbuDY0YUxFMQil14tmE0QR0WwOL7QgCnXSAEDiSRYbq99MlCSYaHNZoSX5CFXRq2hr7/QqHJe0iYITKgdbtLms0JJs1PcPYRsSbcMDWstBB7ZCG4V4I8NyJ17Sxzu6FZoZb79m/N4KvZNszJRmWEq9WKGZISpSiEB4Biu0MoU8ZYcMetMIytC6A8yMEHSX4YLPZYVmxkgxaQERlpPYdqaNGeARrdCFdkHrOz8KfedHGbVmxNzth+aCgvOabz80N1xwYqP6ofOdH9p6udhLftTg9OZDDmuY0cyBccbHAKeUQ/zQ+Wh/IBx+aC6FIlLAz5HO7GkXWC/gOT9gcM6BewqgDtW6DtW6DtW6DtVgHVrwIcFpy6cpmhuqgCk635mirS/uBT9iynzLeoK6ns1de2o2grQpOh/tD4DDFM0lAGdasik6P+2C6gW75AW7EUDI1501j7VDdiwRsLtkqynafa3JI04UMPx2hSAIYWEObbQPMEWLXfchmUKFpxDvWlFfdFSdPPx4sywxXqft84cPaPZowcz0RYojMz6aY0ESkV0Thz1aEIW6aguAlJNC2XZNBEmC7ZrErhs/RAkJ5dlHo9i1i0W7zO64IVIUnFA64B6HMKwLWTrqO4jQOYd0gQxpLQf9hO3RudUeXVKTgQGG14+CIIQCherHY9ijBTOk8Azh8vDI9mjBdBEKP0Ez2q02gihCotFmjxYkoc5XCEc1yVMjykwUJZxodPijJfkIFdmrZGxvFCscl8SJghMqB18yOvzRkmzUFxBhGxKMwwNay0E/4Qs/cqs/uqImAwMMLxgFQQjlCRWMoS/8EMyOwrODi0UTxlQUg1CKvYg4QRQREee48EMQhTqJACBNSTRbT2eiJMFEnOvCD0k+QpX0KuLaS74Kx61touCEysEWca4LPyTZqO8fwjYk4oYHtJaDfsKH3Czfw/1aVrpvPzEkAwMMLuIkQQjlCRVxwofcJLOh8GwcKtokMQil14dok0QREm22Q26SKNRJAwBJJlFmJJmJkgQTbY5DbqJ8hKroU7SV7aVepeOWNlFwQuVgizbHITdRNur7h7ANiDZgQGs56MCH3Ixj2sgw93UmaR/v2IfcuPH2a8bvD7ntJBszpRmWUh+H3LghKlKIQHiPDrkZzz5N2QH3K7zcETduhOBZAVzuOY64cWOkWO6RCAs1UZZDbtwQj3fIrUz00TZ96UeZbc+VlLHzfBubEZzSPJ9vY4cLzmnE821l3J1vK633ir3kRw3ObD6UsIYZzRwYZ3wMcDY54HxbE/v+QNjPt7EpFJECfo50Zk+7wHoBz/kBgxMO3E4AJajWJajWJagGS9CCzwdOVx6PtrFD9X+0rSs97zne2Qt+xJR5lvXwdJ2au+zUbATho21dyWkHwH60jU0ATrLUo23Ns9MF1Qt2yQtWR3uVJ9FVlN6Pi/ur+3F2E8fjq/v7u3GmbpP7q7voRt1fb3isfbFjYYDdG9uOtpUJjRMFDL9JIQhCWI5D2+sDjrb9svmNX65/88bDXL+IVVacb/+pPax1Yjuo9Vw0VQpPFd6TnvTPsP3D+v6ON6tXegvnTfO3Xz78TfMPZdNnPTtJseNqklkgLGP6aHQFSUT2P+zH1SRRqOuvCEhZTMrCWFpnoizBdkDitMwmlTIRvitLSCi6Pjq/rv9L2iVzx52PouCE4gE3LYRhXcjSUd9ChG5oF2R4SGs56Cd8YK2wHVgrU2oyMMDwqlAQhFCgUFV4hANrkhlSeIZwMXjcA2uS6SIUfoJqtNtmBFGEZKOxXL0QJaHOVwBHlsSTtDKyzERZwqlG+4k1UT5CSfaqGdsLw0rHHXCi4ITSwdeM9hNromzUNxBhG1KMwwNay0E/YbNzYTuxVmbUZGCA4RWjIAihPKGKUdrsLJgNhWcDV4cmjKkoBqH0elFtgigiqs1hdhZEoU4aAEiWTkrzkslMFCWYanO5nSX5CGXRq2prr+0qHfewiYITSgdbtbnczpJs1BcQYRtSbcMDWstBB3Y7G916jQ5TTrysj3d0tzMz3n7N+L3beafZmCnNsJR6cTszQ1SkEIHwHrmdY+NzOmVHDLrPCMrQugvMjBD0j+GCz2V3ZsZIsWEBEWZRZD60O2NHeES3c66Nzvpej1Lf61Hqez2q9nv6pXL7nrm04OTm2/fMDRec3ai+Z7XzPVsvEXvJjxqc43xoYg0zmjkwzvgY4LxyiO9ZjfYHwuF75lIoIgX8HOnMnnaB9QKe8wMGZx64sQCKUa2LUa2LUa2LUa2LUQ0WowWfFJzBfDqguaEKOKDVzgFtfXsv+BFTpl7WY9R1b+4CVLMRpB3QarQ/AA4HNJcAnG7JDmh12gXVC3bJC1ZHi/liNI+1V3YsFrD7ZasDOqdxooDhdy4EQQhLdGjLfVQHtGCqFJ4qvE/tG6B/2iTs+/p+jpON3+ejtdnlX1evmn/Q/hf9Oz5aW2Fer30vcZyo6uIt38vW</t>
  </si>
  <si>
    <t>Jp3rH1wmacFEEVY/fbTHgiQi+yYOk7QgCnXZFgDJknLS/M/EMhNlCbZx4jZJSxIS6rKPNrFrFvN2pd1xEaQoOKF4wB0OYVgXsnTUtxChG9o8GR7SWg56LRzvsiIu1G06TtWVGmdZpcZlWt6M75P7/P7+Ks7Tq+3zHlY4GmeURji6rzgxJAMDDC8cBUEIBQoVjmuBox3Q+iPMnQv440YRvnr4gf5x9UkjgB6+2/zl89VH2+83v21+eaOV4UfbjzzrQ2QbVfmLRjP993GUbG+BK6JolBr7/+eiGVN4xnD92MD98zienPST95Nxk4BfrwX3b1oL+VBCm3/Xz5s/GUfPTh7+Zr1F9sFJlDxz59iUx6loHgkzBEFe6l3BT5o8fmEC+mNRIBGVGU2S1ITyQhSFOr8BIHEyUeZPgM1EUYKJzCqfJJmJ711ZPkIF9yox21vGSsfFcaLghALClpjWQV3IslFfQIRtSGAOD2gtB70WmLdpVF2l97fjKE6a33ubJuPyNrsd38dleX13fRdlyVEEprECNwLTfSWKIRkYYHiBKQhCKE8yAvPZThCtRaNee9QLarDwdCtNwdQpPHVEpZk8UppfNwhNfYvKj/T673oxt72nWWdzXBXjtaTc6ss/bAQmS18KZo8wPXjUl4JAofWlIAp1egNA4nSSZcapeiaKEk5fFhPzlyzeleUjFHCv+rK9lKx03DInCk4oIHx9aRvUhSwb9QVE2Ib05fCA1nLQT/grD6X1gpKKmgwMMLy+FAQhlCdYXx7hKw+CGVJ4hggy8rhfeRBMF6HsE3Sj/bygIIqIYrR/5UGQhDpfARxVHlnOy89EUYIJRtdHHiT5CBXZq2BsL0ArHTfaiYITKgdbMLo+8iDJRn0BEbYhwTg8oLUc9FowJrdJGulfjKr4fpxl5d346v6mGMfl9VUa53l2fX8UwahMyfhaVrlvijEkAwMMLhglQQjlCRWMwEcetsIxXrseG6X48D29bqZPKk5MKXgumgKFpwBXhM/v/uLuL7/xrZOoaFcCLfcqT0XZCEXYh3yTRBGRb/bPPUiiUKcPACSOIrNlfCZKEky+Ob72IMpHqI8+5VvVXoVWOe62EwUnVA62fHN87UGUjfr+IWwD8g0Y0FoOOvDXHioTXiPI3LcUqD7esb/2wI23XzN+/7WHnY5jpjTDUurjaw/cEBUpRCC8tP+1h9z8oE7ZIfdrvNznHrgRgodlccHn+NwDN8b+bHLg5x5iVU5iYwWdsUM83vceKn27XaVvt6sy/YPSP+TbI9aV+547Ni04vXn+3gM7XHB+I37vodrdc1c57rljRw3Ocj5UsYYZzRwYZ3wMcGY54HsP1e6eu2rgnjs2hSJSwM+RzuxpF1gv4Dk/YHDqgVsLoBjVuhjVuhjVuhjVuhjVYDFa8EnBKczj9x7YoZaEUJExWOyK0HuOt/eCHzFl7mU9Rl3/5i5ANRtB+HsP1e7GO3fxueQTgNMt9XsPlb7xzlx4lrxg14oyuk9uVXY9vrpWapyl19n4Ok6j8ZW6L+9LdVdE1RE2MSw9aNMzJzROFDD8JoYgCGGRDm26D/jew/q6t7WPY/3PKoqqzS98qD3E2iai2+Vtq/27rat6+xUIU+6ei+ZO4bnDW9f+ByDM5Ktfd5nSSeqS0F2FN3n//W+aMjIVzQhh5dNHZyxIIrJlYv/SgyQKdckWAcmrSZKnJpaZKEuwTZMqUxaR+K4sIKEg++gPuy6xvTqtctyGJwpOqB1wa4OP6kIWjvoOInBD2ybDI1rLQT/h7zxUtu88VCk1GRhgeMEoCEKoT6hgpB3Dg4/bUb7zIJkxhWcMl4nH/86DVV8KppIwRxD05cBRPEkgEZlpP4oniUKd4gCQYlJltu0cQZJwItP+pQdRPkIN96ox28vWKsfteaLghPrB15j2Lz2IslHfP4RtSGIOD2gtB/2ET+JVti89VBk1GRhgeIkpCEIoT7DEDH8STzJDCs8QQVIe9SSeZLoIZZ8gG+1WbkEUEcFoPYknSUKdrwCOtKgmubIcxZNkCaYYHUfxRPkIJdmrYmwveqscN/eJghNKB1sxOo7iibJR30CEbUgxDg9oLQe9Vox5dlsUN3fp+Douy+b3qmR8ld5dj7Pq6ja+zq9uS3Xz/hEUY2ZKRqMYFTUZGGB4xSgIQihPqGL8SSNjvtuIvw866/hWKeqfbfTPxkP+nfW3rf6u+ZmPNktsbxrx9OXqzbj5y+vmV3+3/V2vm1/4cvO7TNl5LpodhWcHV4smjKkoBqEUe1FxgigiKi6axMqE8kIUhTqJACBJOikS27qfIEowFZeXk8y2tyzJRyiTXlWcaid9x61zouCE0sFWcdZBXciyUV9AhG1IxQ0PaC0HvVZx2F3N4VWcMiWjUXE5NRkYYHgVJwhCKE+oigM+qKBFXZTtb3a+Xp8HfDPeLWeZsvFcNBsKz8bBqk0Qg1B6vag2QRQh1Wb9jIIgCnXSAEB08ctKE8pMFCWYanN9R0GSj1AWvaq29p6gynH1kyg4oXSwVZvrOwqSbNQXEGEbUm3DA1rLQYf9joJZiTc6zH3tQN7HO/p3FJjx9mvG77+jsNNszJRmWEq9fEeBGaIihQiEZ/iOgnGncMoOuV/jBb+jwIwQPISKKz7XdxSYMVLOciIRKsukOGNHeMTPKJT6uwnVszMVRfqHuD20XLi/oMAFBSc2319Q4IYLzmzULygUuy8oWG8BesmPGpzffOhhDTOaOTDO+BjgnHLIFxSK0f5AOL6gwKVQRAr4OdKZPe0C6wU85wcMTjpwUwHUoVrXoVrXoVrXoRqsQws+JDhv+fx4AjdUgY8nFLuPJ1hf3At+xJQJl/UEdU2bu/bUbATpjycUo/0BcHw8gUsAzrTkjycUp11QvWCXvGB1tNj9yJrH2iI71gjYbbL14wkljRMFDL9hIQhCWJlDO+0DPp7wy+39atuPJ5zUL2KVFefbf2q/EKCPcX1hStVz0VQpPFV4e4p9K0ElZazvoPtsbejWh9i0f/lLvbmzPuu2/Y7Co08omJI0FU0SYcHTR0MsSCKyVeL4fIIgCnWlFgHJJ6n5S68zUZRgWyVxWmaTrQHgcWctSUgoyT6aw65FbO8kqxyXzImCE2oH3NcQhnUhS0d9CRG6oe2S4SGt5aCf7uE2vWNmSkajGStqMjDA8JpREIRQoFDNeIzDbYIZUniGcKl45MNtgukiFH6CaLQbbARRhFSjsVy9ECWhzlcAR5pPcqu/RhAlnGh0nG2T5CNUZK+Ssb2VrHJcMycKTqgcfMnoONsmyUZ9ARG2IcE4PKC1HPTTPdvWCMbUlIyvqch9aYshGRhgaMEoCkIoT6hgDHu2TTQ7Cs8OLhZNGFNRDEIp9iDiRFFERJz1bJsoCnUSAUCagmj+LvdMlCSYiLMfbZPlI1RJjyJOb+Wv5/zt35jAz2TBCZWDLeLsR9tk2ajvH8LmFnHIgNZy0E/3aFsj4jJTMhoR575OwJAMDDC8iBMEIZQnVMTJHm0TzYbCs3GwaBPEIJReL6JNEEVItFmOtomiUCcNACSdlLF55U2UJJhos59sk+UjVEWvoi1u53j7rWiy4ITKwRZt9pNtsmzU9w9hGxJtwwNay0EHPtlmNuypKHHiFX28I59sY8fbrxm/P9m2k2zMlGZYSj2cbGOHqEghAuEZTralppCn7JDBQwYEZWgx8rEjBE8I4ILPfrKNHSPFaA9EmKqJ2XfHDvBoB9tUlOrjbJn+QekftrdxqihxHWzjg4Lzmt+DbfxwwYmNdrCtCac92LbNsynql/yowenNhxzWMKOZA+OMjwFOKfyDbTr2/YGwHmzjUygiBfwc6cyedoH1Ap7zAwbnHLinAOpQretQretQretQDdahBR8SnLb8HWzjh+r9YNuu/rzneHEv+BFT5lvWE9T1bO7aU7MRZA+27epOOwDWg218AnCmJR5s089OF1Qv2CUv2I0AitKkytNxHt1k46ZJvh+XVXE7LsvmF+Kb/Oq62pYla4fsWCJgd8mWg21NtaJxooDhtysEQQgLc2ijfcDBtp9vf8e/Nv33x2/dDhxHpf4b9uXAoilUeArxrhU88BaXxUnzz/2sYSfcRLNCWPj00RgLkojsmFhPuImiUFdsAZC0bEqwcUFlJooSbMukibWcJDaniyQhoTb76BK7XjFt19jtl7fJghNqB9zgEIZ1IUtHfQkRuqFtk+EhreWgn/AJN8uRkUY8ZtRkYIDhxaMgCKFAoeIx/Ak30QwpPEO4NjzqCTfRdBEKP0E02n02gihCqtFYrl6IklDnK4CjzCd6kn9MMhMlCacZrQfcZPkIBdmrYsxaeWG/vE0WnFA4+IrResBNlo36/iFsQ3pxeEBrOegnfMAtth5wU9RkYIDh9aIgCKE8oXox9AE3wewoPDu4VjRhTEUxCKXYi4YTRBHRcI4DboIo1EkEAFGTtDSSzERJgok41wE3ST5ClfQq4lQ759vvbpMFJ1QOtohzHXCTZKO+fwjbkIgbHtBaDvoJH3CLrQfccmoyMMDwIk4QhFCeUBEnfcBNMBsKz8bBok0Qg1B6vYg2QRQh0WY94CaIQp00AJByUhVGkpkoSTDR5jrgJslHqIpeRVvezvH2q9tkwQmVgy3aXAfcJNmo7x/CNiTahge0loMOfMDNtvfq/vJ+2cc7+gE3Zrz9mvH7A247ycZMaYal1MsBN2aIihQiEJ7hgFtmCnnKDrlf4wUPuDEjBE8K4ILPdcCNGSPFcA9EqCZWIccM8IgH3Ep9rE3f3Bbrm9viuD1Y4ry5jQ8Kzmu+D7hxwwUnNuoBt2J3wM1+cxs/anB68yGHNcxo5sA442OAU8ohB9yK0f5AOA64cSkUkQJ+jnRmT7vAegHP+QGDcw7cUwB1qNZ1qNZ1qNZ1qAbr0IIPCU5bPg+4cUMVOOBW7A642W9u40dMmW9ZT1DXs7lrT81GkD7gVoz2B8BxwI1LAM605ANuxWkXVC/YJS/Ydfdwm0Y3cXo7vm9a4nEWZdW4UundOI/K8iZt/vk6vt3wWDtkxxIBu0u2HnAraZwoYPjtCkEQwsIc2mgfcMDtvzZ9t/burr3Km59ynGlrJqAYOt0mmD+F5w9vWU/Q420Nv94K2uXsGXy2TTAnhDVPHz2xIInIZonjbJsgCnWxFgDJJ7FKTSQzUZJgmyVxFFcTpUyE78oSEqqyj/6w6xLLdnXdfnmbLDihdMCtDWFYF7J01HcQoRvaMBke0loO+gkfbUusR9sqajIwwPCyURCEUKBQ2XiMo22CGVJ4hnBheOSjbYLpIhR+gma0O2wEUYREo+1omyAJdb5CONJJaQKZiYKEk4yOk22SfIR67FUwVq26sF/dJgtOqBt8weg42SbJRn39ELYhuTg8oLUc9BM+2ZbYTrbF7itQDMnAAIPLRUkQQnlC5WLgk22S2VF4dnCpaMKYimIQSrEPCSeJIiLh7CfbJFGokwgEUuaWdT9JkmAiznGyTZSPUCV9iri4vekrdlzdJgpOqBxsEec42SbKRn3/ELYBEQcMaC0H/YRPtiW2k22x+0oUQzIwwPAiThCEUJ5QESd8sk0yGwrPxsGiTRCDUHq9iDZBFCHRZjvZJolCnTQAkHjS9N8mkpkoSTDR5jjZJspHqIpeRVt701fsuLpNFJxQOdiizXGyTZSN+v4hbEOibXhAaznowCfbjN1jI8MSJ17Vxzv2yTZuvP2a8fuTbTvJxkxphqXUx8k2boiKFCIQnuFkmzKFPGWHDJ4yIChDm4uPGyF4RAAXfI6TbdwYKU57IMLSso44Ywd4vJNtsb66LdZXt8X66ra4vTIpdl/dxgYF5zXPJ9vY4YITG/FkW7y7ui12XN3Gjhqc3nzIYQ0zmjkwzvgY4JRywMm2eHd1WzxwdRubQhEp4OdIZ/a0C6wX8JwfMDjnwD0FUIdqXYdqXYdqXYdqsA4t+JDgtOXxZBs7VP8n2+Ld1W32F/eCHzFlvmU9QV3P5q49NRtB+GRbvLu6zV13LvkE4ExLPdkW66vbzDVnyQt2I4CQmzo0j7VDdiwRsLtk28m27YVCMCcKGH67QhCEsDCHNtoHnGwTu7pNMoUKTyHetaJn26Lq5OHHm2WJ8Tptnz98QDriJpkZwuKnj+ZYkERk18R+xE0ShbpqC4CUkyIxFuGZKEmwXZPYdXubKCGhPPtoFLt2sb3qK3bc3iYKTigdcI9DGNaFLB31HUTohnZOhoe0loN+wkfcUtsRN720QUsGBhhePwqCEAoUqh+PcMRNMkMKzxAuD497xE0yXYTCT9CMdquNIIqQaDSWqxeiJNT5CuGoJio3kcxEScJpRvsZN1E+QkH2qhjby75ix+1touCEwsFXjPYzbqJs1PcPYRvSi8MDWstBP+Ezbqn1jJuiJgMDDK8XBUEI5QnVi6HPuAlmR+HZwbWiCWMqikEoxV40nCCKiIZznHETRKFOIgBIUxITYzWciZIEE3GuM26SfIQq6VXEtZd9xY7b20TBCZWDLeJcZ9wk2ajvH8I2JOKGB7SWg37CZ9xS6xm3nJoMDDC8iBMEIZQnVMRJn3ETzIbCs3GwaBPEIJReL6JNEEVItFnPuAmiUCcNACSZRNYzboIkwUSb64ybJB+hKnoVbe1lX7Hj9jZRcELlYIs21xk3STbq+4ewDYm24QGt5aADn3GzyTDn1/fTqI939DNuzHj7NeP3Z9x2ko2Z0gxLqZczbswQFSlEILxHZ9yM8/uUHXC/wguecGNGCB4VwOWe64QbM0aK4x6JMCkmqbF+ztghHvGMm769Lda3tyX69rakvTUpdt/exgYF5zXfZ9y44YITG/WM2+72tthxexs7anB68yGHNcxo5sA442OAU8ohZ9x2t7fFA7e3sSkUkQJ+jnRmT7vAegHP+QGDsw7cUwB1qNZ1qNZ1qNZ1qAbr0IIPCU5cPs+4cUMVOOO2u73N/uJe8COmzLisJ6jr2dy1p2YjSJ9x293e5q47l3wCcKYln3HTt7eZa86SF6yO9ipPoqsovR8X91f34+wmjsdX9/d340zdJvdXd9GNur/e8Fg7ZMcSAbtLtp5xK2mcKGD47QpBEMLCHNpoH3DG7ZfNb/xy/Zs3Zub6Rayy4nz7T+2prRPbia3noqlSeKrw7rR/lu0f1nexvVm90ns5b5q//fLhb5p/KJuG69lJCh5bE0wCYT3TR8crSCKyEeI4tiaIQl2IRUDSfJKozMQyE2UJthUSp2U2qZSJ8F1ZQkLN9dH9dT1ge5FX7LibTRScUDzgxoUwrAtZOupbiNANbYcMD2ktB/2ED65l1oNrFTUZGGB4USgIQihQqCg8xsE1wQwpPEO4FjzywTXBdBEKP0E12v0zgihCstFYrl6IklDnK4AjjdQk326/P1aNgizhVKPj6JokH6Eke9WM7W1eseN6NlFwQunga0bH0TVJNuobiLANKcbhAa3loJ/w0bXMdnQtcV5zYkoGBhhcMUqCEMoTqhgDH12TzI7Cs4OrRRPGVBSDUIp9qDhJFBEVZz+6JolCnUQAkLiaxJHlo1WSKMFUnOPsmigfoUz6VHFJe51X4rifTRScUDrYKs5xdk2UjfoCImwDKg4Y0FoO+gmfXctsZ9cS570npmRggOFVnCAIoTyhKk747JpkNhSejYNVmyAGofR6UW2CKEKqzXZ2TRKFOmkAIGk8KVMjykwUJZhqcxxeE+UjlEWvqq29zytxXNAmCk4oHWzV5ji8JspGfQERtiHVNjygtRx04MNrxkLU6LDEiRf38Y59eI0bb79m/P7w2k6zMVOaYSn1cXiNG6IihQiE9+jwWmx8TqfsiMFzBARlaPPycSMEDwHggs9xeo0bI8VLD0SYqiZGy2cIuCEe7/Raom9oS/QNbYm+oS3J9Q/F9uhI4r6mjU0Lzm6ej7CxwwWnN+IRtmR3TVviuKaNHTU4yfkQxRpmNHNgnPExwInlgCNsye6atmTgmjY2hSJSwM+RzuxpF1gv4Dk/YHDqgTsLoBjVuhjVuhjVuhjVuhjVYDFa8EnBKczjOTZ2qP7PsSW7u9rsb+8FP2LK3Mt6jLr2zV2AajaC8Dm2ZHdXm7v4XPIJwOmWeo4t0Xe1mQvPkhesjhazN2sea7PsWC1gN8y2c2zbr4jCnChg+K0LQRDCGh3acx/zHJtkqhSeKrxR7Z9j+2mTsO/r69ZONrbtj9ae5X9dvWr+QduY9e/4aO1ofr22L8dxoqqLt+zL29Nuuf7BcdZNMlGE5U8f/bEgicjGif2smyQKdd0WAEkLNcltF25IsgTbOXGedRMlJNRlH21i1yy2N3oljkvaRMEJxQPucAjDupClo76FCN3Q7snwkNZy0GvheJcVcaFu03GqrtQ4yyo1LtPyZnyf3Of391dxnl5tn/ewwtE4ozTCMaMmAwMMLxwFQQgFChWOa4GjD7JpZ3J3mOvjRhG+eviB/nH1SSOAHr7b/OXz1UdbU/Pb7pc3Whl+tHU+628BbFTlLxrN9N/HUbK91LeIolFq7P+fi2ZM4RnD9WMD98/jZHLSS97Xxw3/r9d6+zftQUBt+P6RVuVrid1ehtz8C34+roomPc9OHv5mvTP2wR+eNMlyZtaUvalo9gjzAkFU6s3AT5rsfWEC+mNRIBFtGU3Md2e8EEWhzmoASFxMisS2lSOIEkxaVvlky/FYWEryEeq2V2HZXv2VOO5yEwUnFBC2sLQO6kKWjfoCImxDsnJ4QGs56Cf8CQVlPRCnqMnAAMPLSkEQQnmCZWX4TyhIZkjhGSLIyKN+QkEyXYSyT9CNdhu3IIqIYrR+QkGShDpfARxllkxUZWSZibIEU4yOTyiI8hFKslfF2N4zljgujhMFJ5QOtmJ0fEJBlI36BiJsQ4pxeEBrOegn/AkFZT18l1OTgQGGV4yCIITyhCrG0J9QEMyOwrODq0UTxlQUg1CKvag4QRQRFef4hIIgCnUSAUBUMslzm4oTRAmm4lyfUJDkI5RJryquvXgscdwkJwpOKB1sFef6hIIkG/UFRNiGVNzwgNZy0GsVd6+ym6sii8Z317dX46y4KsZX0bUaX2eqvE9u7qIqvX//CCrOWIEbFee+N8CQDAwwvIoTBCGUJ1TFgZ9QiPOtM3G9/veBCf25KLrC0XGJdvL87i/u/vIb3zqJinYn16I/p6JwhOrrRbgJoggJN+tXFARRqPMGAFIWk8Joa5yJkoTTbblla/1dWT5CYfSq24p2mndcfiYKTqgcfN1mG9SFLBv1/UPYhnTb8IDWctDN//vTZxu58icuXeb5Ywq5CbNRZKUDM47LPmawjykYG9932PH2a8f/AB9TeNNoO+hjCsyUZlhKvXxMgRmiIoUIhJc8+phCZop4yo64X+oFP6bAjBA8iYrrPtfHFJgxUg50AhGmk9Km55gBHvFTCvoO4FTfAdzMYc0PSXtwuXR/RYELCk5rjK8oVGVq/4oCN1xwXqN+RaHcfUXBes3OS37U4OzmQxVrmNHMgXHGxwBnlEO+olCO9gfC8RUFLoUiUsDPkc7saRdYL+A5P2BwzoFbC6AO1boO1boO1boO1WAdWvAhwWmL+AEFew16jx9qSQgVSf9iV3/ec7y4F/yIKfMt6wnqWjd37anZCNIfUChH+wPg+IAClwCcackfUChPu6B6wS55wW4EUKpu7u7L8f11rMZZepuOr7JSjaMkUlfXt/e30THsJ7n1AwoVjRMFDL9xIQhCWJ9D+2zGBxR0F/0/rf65+dVP1+fjPtL/3H5V4c32j/1rd+hr/fP1izyO4ii62PxjHkUj/b84dnxeQTCRCk8k3rr2P69g+obCsxP9lYWHDyYn//bf5k1cSZORHPqGgmA2CKufPtpiQRKRbZPYXLNeiJJQV20BjmySKFuXLUgSbNekeZsyu99FkpBQl310iF2f2N4TljgufhMFJ1QOuLkhDOtClo76DiJ0Qzsnw0Nay0E/4ZNuue0DCqnrBhVjMjDA4MJREoRQoFDheISTbpIZUniGcEV43JNukukiFH6CZLRabSRRhDSjsVy9ECWhzlcARzVJSuPKxEyUJJhmdJxzE+UjFGSfijFt7yRLHZfMiYITCgdbMTrOuYmyUd8/hG1ALwIDWstBP+FL5nLblxFS190txmRggOH1oiAIoTyhehF0SHMvmZPMhsKzgWtDE8ZUFINQer1oNkEUEc1mt0dLolAnDQikym2iTZAkmGhz3DEnykeoil5FW3slWeq4Y04UnFA52KLNccecKBv1/UPYhkTb8IDWctBP+OMEue3jBGlCTQYGGF60CYIQyhMq2gJ/nEAyOwrPzsEiThCDUIq9iDhBFCERZ/s4gSQKdRKBQFRp3HeeiZIEE3GObxOI8hGqpFcRl7RzvuN2NFFwQuVgizjHtwlE2ajvH8I2JOKGB7SWgw58UbBRmDeyLHXgJU1ienjHPtvGjbdfM35/tm0n2ZgpzbCU+jjbxg1RkUIEwnt8UXBminjKjhg8Z0AQhjYTHzdC8JAArvccZ9u4MVK89kCE2SSz6ThmgMc725bqG4JTfUNwqm8ITttLOdPUebaNDQpOa57PtrHDBec14tm2NO3OtqXWa3Ve8qMGZzcfaljDjGYOjDM+BjijHHC2rYl9fyDsZ9vYFIpIAT9HOrOnXWC9gOf8gME5B24pgDpU6zpU6zpU6zpUg3VowYcEpy2PZ9vYofo/29bVn/ccL+4FP2LKfMt6grqWzV17ajaC8Nm2ru60A2A/28YmAGda6tm25tnpguoFu+QF+3R3Lwrb2bY0o3GigOF3LwRB+irENUBgnx1690IwOwrPDt6PmjCmohiENUhCk2rfvRBECb17IYhCXT2FQKxfVpYkeRK7F5J8hCrpo1/rurb2Aq7UcaOaKDihcsCtBjyoC1k26vuHsA3tXgwPaC0H/YS/rFxYz5kpajIwwPAiThCEUJ5QEQf6hqEvK0uiKxz9YIUmiEGos14UmiCKkEKzmoQFUagzBADSVLzI2JfPREnCKbTc+g1lUT5CCfSq0NoLr1LHDWai4ITKwVdotkFdyLJR3z+EbUihDQ9oLQf9hL8EUFhPduXUZGCA4RWaIAihPKEK7RhfAhDMkMIzhAu5I38JQDBdhLLvRTAKoogIRvuXAARJqPMVwqENyZkJZSaKEkwwuj4FIMlHqMheBWN7t1bquCxNFJxQOdiC0fUpAEk26guIsA0JxuEBreWg14KxUrc3eXyfjDOVNj9kqmp0ZaMwr2+u06v8OldZtRVSYQWjsWw1gtF9A4khGRhgeMEoCEIoT6hgZHxztP286C/Xm7YfNBpKy6C3FNFGaOqPakZpFF08O5muk3Hy8o+j+GT5zW986xv//u7/0SThz0/+57+4+/+cLF6cdF8i3X58M47s3yKVTLDCE4zrzRPRj5FKpoMwKxD0pNXHLEgiJCctHyOVJKHOZgBHNimVzRYtSBJMTZYqsnj73pUFJNRrr3KyvfIrddzhJgpOKBxsOWkf1YUsHPUNROCG9OTwiNZy0PoSt796S39YBeNf3t186xt//k1DIlh60ba2WDo447jqc9pOutmjpajA3WE3Y7jvsMPtP2aO5IJa71/0GbbN4tb6NNvHWoX8bu2xe7M+a/bl2oqn/+7jRo90P/fww4fvrU+h6Z9odF7zyybURpqVfzhj8z6qlnbgw4rl9viMvhoqS/UPRfOD0vdDKX2aRpXND7n+x1yfsMn17yv03xX6F8qk+aHSN0pVzW9uxJn+Yf13la3QcvOR0fOB+5l1Es51Es51Es51Es51Es51Es51Es51Es51Es51Es51Es51Es51Es51Es51Es51Es51Es5tSTjnJ0HRk4BbopsczHUO5joHc52Duc7BXOdgrnMw1zmY6xzMdQ7mOgdznYO5zsFc52CuczDXOZjrHMxtOZjzc4BXAv58sz3Loe8panJR61zUOhe1zkWtc1HrXNQ6F7XORa1zUetc1DoXtc5FrXNR61zUOhe1LRc1OxeP3P0DuaC9EJc6AZc6AZc6AZc6AZc6AZc6AZc6AZc6AZc6AZc6AZc6AZc6AZc6AZc6AZc6AZc6AZe2BFzyE4DPucTzAQ3/UvMvNf9S8y81/1LzLzX/UvMvNf9S8y81/1LzLzX/UvMvNf9S8y81/9LGv+Txr9+GDb+ezIPdKJtaTxNULookso4iFixTh0ws+xzvsOPtT80HHrr/b40M+a72kOm/tm4y07H7V9vj7zvhoc/hf7f5Ha/1ipVedPpCL1o9/Hj7j82/Zv25yk/1pubGmNb80+ZIweYsvV7Y2juJsD1xbzrzvzmgoH/j5w9/O9H/tY8bLfSD1auTJDpxrFAxs9yf8CXP4TNDVKQQmeFN2eH1+07BQ/fMCMHTi5RFKPuhe2aMfb1x4KH7KjOXzxk7wOMdus+08s90c5C1dzimlfu8PZcRnNA45+1Vbj9vzw0XnNKo5+2r3Xl76y0sL/lRgxPbYQ1nty5XjWYOjDM+BjhzMPrE7txrNdofCMd5ey6FIlLAz5HO7GkX2OPGjBswON3AS5xACap1Cap1CarBErTg84GTFfWovbX8vMcPVeCofbU7am99Zy/4EVNmWdbD0y0eu8tOzUaQPmpfjfYHwHHUnksATrLEVlo/O11Qj1tfTrA62pvqOsqTPB/f3lbJOLuKynF1H12Pb8ub29u7sojz2+1DZe2K/8OVX0uH7jUtvXHmvOniMSbKZ+qfHViUHtoE8o4oCGGH8JDm+uFvmi74C/35uvVH5j56+PGztpFe//3W5/uPq39q/ver9SGuxfPYWKOfi+ZD4fnAe0wwJSernzcd/pfrlYD1gbZfrV5tlgNOVv+8+mUSn5y5rb2SiSHsqBK6W6u1VxJFyItRmkheiJL0p3AHCdos52llfO1moiDBrBj5pLQYMUTxCGXWR6vXNnxZeyNU5rjiSxScUDbgLgUd04UsGvXlQ9AGbBjAeNZy0GsNmNyo6zTKynF5e389zqo4GldX6nocXd80P1GqLC2u3w+vAY2rpI0GdF6cYcoFxhdeAwqCEIoTqgHXDlN9xktvfeidikbePHx/4+zQFt21wlv9YvVTq8YT5FU4L67xTBhTUQxCaSUoMr0R9cnkxLy19MeiQDK6zMTxQpSDOjEAFPYtDEmQYKosLifb78s8lmWSfITK51WWtXc+ZY5LvETBCbWDLcusg7qQZaO+fgjbkC4bHtBaDnqty8q8TG6K22J8nRbROMvv7sfVTXY9Tqs0qu6rq6v0LvT5fK3LLBbaLKHmAuMLr8sEQQjVCdVlj7+CufqH1X9e/Wr189XPxqsP9V/WS3EfbhfhTNDPRaEVDn2wOBPEIBRYgjizL5cJoojIMvunkyRRqFMDAJKkE2VGmYmihNNmkf3wkiggofx5FWftXU6Z43IuUXBC7eCLM+uoLmThqK8gAjekzoZHtJaDXh9eetbJEi26AvqGbetiqZM26dMG8g0n5i73HXa8oL0KlU//8eGH61PpH28/Gb4+n756hXuHOyuvPvJ0otYeXt+uYVMGn7MzmGEZ9OEJ5oaoSCEC4SVv383135osf7T9iNVWMrsOpp2sfr3+WtP6q1YPP56YUKdsVNDwRZCUNn8xN0LQsoUrRYe/mBsjxfkERNg05qb4Zuz4jmgv1ucMM30KMcu33r7MfZ0XmxGc9zpG2N/XSJvYai9mhwvOfF24yAjo7HX24sxxnRc7anD+86GfNcxo5sA442OAk1CHQff6ZbvrvLKB67zYFIpIAT9HOrOnXWC9gOf8gMHZBm5CgBJU6xJU6xJUgyVowecD5yqavdhRft7jh+rfXpztbvKyv7MX/Igpkyzr4enaO3fZqdkIwvbibHeTl7vkXPIJwEmWai/O9E1e5nKz5AWro71Rd7dVVFbj6zulxtn1nd74uE7H0X1S5lfJ7fX1ldrwWJtnx2oCt4G22oszGibKF34LQxCkrz9c4wP24Ot+TH/1bdePfdI04b/btF+652q/D/dr3UOvjbWbf7Z+eHhjvnV8ePjZSRrZFt+fiyZQ4QnE+1tTT9vL4fo7xOu1iI82axH608R7ne3b+dWnke2uZMH0EJZKCT2xfZtFEEVkmyWbKBPJC1ES6hIvwJEkUWVGmYmihNtlSSbKaCB/V5aPUKB9NIldq9heOZU57hATBSdUDri/gQd1IctGfQERtqE9luEBreWg1/IxK6P76ibLx1mp0nFW3MXjq5s0GqdZdFskd/dRlm7f5qDy0bYDo6i5wPjCy0dBEEJ1QuXjvzRK500jW96sPlv7kvUNDI3K+XLnSt7c8frXqzfrjZje/RT6dyRq1Pz/NIocHwmWzIrCs4JrQhPGVBSDUIFx7fbwA/N9b38siiKi3SKzee6FKAl16gA48tyEMRPFCKbbinRiPsLwriwfoTJ61W3tRVSZ42YxUXBC1WDrNuugLmTZqC8fwjak24YHtJaDXuu2/L6M8vvbaHyfRPfj7CavGo1XVeObu7ssytP7qyjb1tegus1YfBvdllNzgfGF122CIITqhOq2x85l/Y9rF46Wa99ZK7m/ay8R+yd9TdbqV6t/XP20+d/PtiuCLxdjFZ+s/t6UkOeiCVF4Qg6WbIIYhOKLSzbHcpsgipBk05u8j1FeiKJQpw0ApJkBcyPJTJQkmGwrS/t3ACT5CIXRq2xrr4PKHPd7iYITKgdbtlkHdSHLRn3/ELYh2TY8oLUctNZtLjnm18JsE2KFgy5J0z7d0S3MzHj7JeN/YAszM4MZlkEvFmZmiIoUIhDeQRbm9Ycb9F75DzZ74zYTMxMWtJURFKTVxMyMEDSG4cLQZWJmxkjxVwER2k3MzPiOaGLW96Rk+toUFbUOwsJtYuYygjOfbxMzN1xw7qOamIudidl6PdRLftTgDOhDMGuY0cyBccbHAKehQ0zMxWh/IBwmZi6FIlLAz5HO7GkXWC/gOT9gcLaBuw6gBNW6BNW6BNVgCVrw+cC5yqeJmRuqgIm52JmYre/sBT9iyiTLeni6hs5ddmo2grSJuRjtD4DDxMwlACdZsom5OO2C6gW75AX7ZHczrPcHZa5bkAyYKF/43QxBEMKiHdqFB9jNEEyIwhOCd6wmjKkoBmFNktCL2nczBFH6IsCBgjetjt0MQRTqaioA4trNECR5ErsZknyEwuijOetatLJd/C4dbZokOKFywH0FPKgLWTbq+4ewDe1mDA9oLQf9dM3D9s+3VNRcYHzhZZsgCKE6obItlHlYMCsKz8rB2k0Qg1CBce3mMA8LoghpN+O26QtREurUAXBYzcOCGMF0m8s8LMlHqIxedVvVTvOOKwhFwQlVg63bXOZhSTbqy4ewDem24QGt5aCf7jcDrJ4VFVFzgfEF122SIITqhOq2p/fNAMkEKjyBuMRjfjOgbyVxfypAMiuE2o8rRvtqnySKiGK0fipAkoQ6aQEcrk8FSKIEU42OTwWI8hHqsk/VqNo7r5TjDjNRcELlYKtGx6cCRNmoLyDCNqAagQGt5aDDepczE12jA11XgSRp1qc7tneZGy/o3EJl3FfYu8zNYIZl0Id3mRuiIoUIhJce4l2GPr/MRQW9ZAT9aHMucyME3WC4LHQ4l7kxUkxVQIRpUk0KyzIhN8TjmZdVon3Lqf4h2zoHVew0L7MZwanPs3mZHS44+RHNyyruzMvKennXS37U4BToQzFrmNHMgXHGxwDnoQPMy03s+wNhNy+zKRSRAn6OdGZPu8B6Ac/5AYMTDtx2ACWo1iWo1iWoBkvQgs8HTlcezcvsUP2bl7vS857jnb3gR0yZZ1kPT9fRuctOzUYQNi93JacdALt5mU0ATrJU83Lz7HRB9YJd8oJd61vIMaN5rP2zYwGB20PbzMsqoWGifOF3UwRBCKt2aBsub16WTIjCE4K3rCaMqSgGYVGS0I7atzMEUUS2M+zmZUkU6nIqAJJVkyzPTCgzUZRg+xkO97IoH6Ey+ujOuh6tvY1QOe6XFAUnlA64sYAHdSHLRn0BEbah/YzhAa3loDe67eqqvE6vq3GRp9k4i+6r8ZW6aX6IkvjmLlX3Rdv6BtVtxrXNRrel5FxAfOF1myAIoTqhus3pXt7Ksj9KV1+cbHzKD99LNjskJvjnovAKhz9YowliEAotrtHsJmVJFCGNlppIXoiSUGcIgKMqJ1Vi3L2fiaIEk2gOo7IoH6EIepVoaTujOy4zFAUnVA62RHMYlUXZqC8gwjYk0YYHtJaDfrpG5cxqVM6oucD4wks0QRBCdUIl2hM0KgsmUOEJPFjmCWIQijUu8xxLcYIoIjLP7iwWJKHOMgBHnJVpI/RMLDNRlmA6L04mhU3nSfIRKqlXnddeWqUct5CJghNKB1vnWQd1IctGfQMRtiGdNzygtRx0WGuxMtE1yk056VSf7ujWYma8/ZLxP7C1mJnBDMugF2sxM0RFChEI7yBrMfhZZC4s6PUiSEiruZgZIejWwpWhy1zMjJFiegIidJqLmSEe0Vyca19x0Zr6lNtXzMUD5z3fvmJuuODMR/UVq52v2Hq11kt+1OD850Mua5jRzIFxxscAJ6FDfMVqtD8QDl8xl0IRKeDnSGf2tAusF/CcHzA418A9B1B9al19arD6LPho4CTl01LMDVXAUqx2lmLr63rBj5gyu7Kem66Tc1ecmo0gbSlWo/0BcFiKuQTg/Eq2FKvTLqhesEtesGtVC9lYNI+1b3YsHHB7Z6ulOKdhonzh9z0EQQirdWj7HcBSLJgQhScEb1VNGFNRDMJiJKEJte9jCKKI7GM4LMWCKNRlVADEaSkWRAm2j+GyFEvyESqjj8asa8/a2wCV43pHUXBC6YB7CnhQF7Js1BcQYRvaxxge0FoO+un6VZTVUlxQc4HxhddtgiCE6oTqtifoVxFMoMITeLDOE8QgFGsvOk8QRUTn2f0qgiTUWQbgcPtVBFmC6TyXX0WSj1BJveq8opUFjvsJRcEJpYOt81x+FUk26huIsA3pvOEBreWgm//3p2/pAi3f/sSl5/z6V4ybqo2Sc13zESeP3DmB/CuWG9TeYccL7t+hQuznq8/W3939zkaEGe0jj/wMft0pW2H38UnS/Jv1MbOHH5tS9pydsgxLmRfDCjNERQoRCG93j7cp0Ck7UHADkKD/rGYTZoTgPh4u61xmE2aMlO0wIELrHdzc+I7oNNHXb+ft3beqdDtNuHjgDEV3miSFshtNuNGCUxTVaFLujCbW67Ne8qMGJyofOlfDjGYOjDM+Bjh5HGI0KUf7A+EwmnApFJECfo50Zk+7wHoBz/kBg/MM3CwAxafWxacGi8+CjwZOUDSjib3wvMePVMBnUu58Jta39YIfMWViZT02XQfmLjg1G0HaZ1KO9gfA4TPhEoCzK9lnUp52QfWCXfKCXe9XFFF6F91W4xtVXo+z/PZmfHVX3Y2r7Oo6u7tX9/HNlsfa3zoafm6Pa/WZVDRMlC/8foUgCGGVDW2TP3yrSb78xv/yv/y//uIb//7qZPULvQHx8Ncnq/+8+lj/7UmxaWYvvvbypIqi1MT+XJRd4ex4M2nCmIpiENYLCa2mfatBEEVkq8H+BRRBEupCJ8ARZ4WZZCZKEmyjoUrLSWGcst6VBSTUQB8dWNeHtTf7KcdVjaLghMoBNw+P1ltUZBHbC1k46huIwA1tNQyPaC0H/XStwLnNUpJH1FxgfMElmiQIoTyhEk3eCiyZEIUn5FDdJolBqL4+dJskipBuMzZ2L0RJqLMGwJFVZpCZKEgw2ebwAYvyEcqiT9WWtzfr5Y6rEkXBCXWDrdocPmBRNurrh7ANiDZgQGs56LDfMylMdI0Mix10SZr36Y7tB+HGC26zoSrqq+QH4aYsw1Lmww/CDVGRQgTCSwf8INxAwX06gtiz+UG4EYLbbbiGc/hBuDFStq2ACF0fH+GGeDxLSK5vNszT7a5s7r7UkI0HTlJ0S0gapVZLCDtacJYiWkLy3Z2GueNOQ3bU4FzlQ9pqmNHMgXHGxwDnjwMsIfnuTsN84E5DNoUiUsDPkc7saRdYL+A5P2BwqoH7A6D41Lr41GDxWfDRwDmKZgmxF573+JH6t4Tku9sM7W/rBT9iytzKemy6pstdcGo2grAlJN/dZuguNpd8AnB2pVpCcn2bobnQLHnBPtn9hsJmCckTGibKF36/QRCEsLCGdsoB9hsEE6LwhOBNpgljKopBWDcktKD2/QZBlMD7DYIk1AVPgCNNJpW1oxVEeRI7DpJ8hMLooy3rmrP27rvccZmhKDihcsAdBTyoC1k26guIsA3tOAwPaC0HvZZtd1leVLf3N+Ob/O5qnEV3d+Pqvrge35XqqlTX0U2WbZ/2oLLNZhNJqbnA+MLLNkEQQnVCZdvbTt7Vp/oqw5NGsX2uV8bbr3frXYkvGhH3t6tXa0HXyLdfPnyw/tbIb9cbG589fOfPtH576+Mkq09Wn69/6gv9XRNTpp6LZkrhmTpYzwliEKqyFz0niCKk51ITyQtREup0AnC4bj6URAmm54p4UigT37uyfISK6VXPtRfl5Y6bD0XBCZWDreesg7qQZaO+gAjbkJ4bHtBaDrr9wsi2hmqZFvALI8a61Ci2zEEbJ/bFTyxYihJ721FiWRh8hx1vv4Qc6Cj5F+3q2Ion7e/4WH+hbd9A0mis35ysfrL6cPVPJ/pDbifby1X0t+HerK/D2XpD9D07rzp/SLz1h6x+a0rAc3YCMiwBXvwhzBAVKUQgvKHvhXADBTftCGLO6g9hRgjuveEazeUPYcZI2cMCIkwro2luxo7viOYQpc0h+nqavNA/lO1Obea2iXBBwZmHbhNJVGa/o4YdLjj3UH0i2c4nYr0w7yU/anAG8iFgNcxo5sA442OA88ghPpFstD8QDp8Il0IRKeDnSGf2tAusF/CcHzA45cBdAFCHal2Hal2Hal2HarAOLfiQ4KxFc4w4atB7/FAFLCPZzjJifXEv+BFTplvWE9R1We7aU7MRpC0j2Wh/AByWES4BONOSLSPZaRdUL9glL9i1iLyuchWld2NVltU4uy7L8XVxnzf/GN1cXV3leXJ1t+Gx9rCOpp7bx1otI4qGifKF33sQBCGspKGtsOHi0E/Xmwa/aX760/Vewmer1ycPP1j3vR8/01eN/nz1H1e/XP3j6p9WH272HH6VGpeAn4smQ+HJwHtOE8ZUFIOwSEjoSO3bC4IoUtsLyoTyQhSFurwJgMRpOamMKDNRlGD7C8r2ubd3ZfkIVdFHe9Y1aapdjnZcJioKTigdcGcBD+pClo36AiJsQ/sLwwNay0FvbL7Jba5UEo/vb4vrcRZdZeMyKfNxFt+rKr6+zsr4/v3wms3mF8mpucD4wms2QRBCdUI12396+NHG5vHwd9rkoYXZb1afPvzdWozlo9z4vj4XpVQ45cFiTBCDUFFxMfbwA7P75o9FUUTEWGLbRBAEoc4EAEZRZUaQmShIMCEWT5RNh0niESqdVx3WXjCXO24MFAUnVA22DrON6UIWjfryIWhDMmx4PGs56I1t9/7qNkmv7sf319e34yxNkvFVfF2Mo5u0Km+S7C5Nt2MeVIYZF1kaGVZQc4HxhZdhgiCE4oTKsJ/sbgd8+OHq1UlnKnnrUyPrX1j9bvW5/smHH7Y3CG7cvZ9sLSRvVr/Vi2yr325+NU6eqVGcRNEoUebe67loqhSeqoO1nCAGoSrjWs5u9RAkEZFy8SRSJpQXoijU+QQAyeJ8UhpRZqIo4eRcqibKWPvflQUk1Eyvgq69SS53XA0oCk4oHXxBZx3VhSwc9RVE4IYk3fCI1nLQa0kXq6vbKM+SsSqidJzl99fjKi+uxmlyn1zfRVV+o7aJCSrpMlMuGknnvjrCkAuML7ykEwQhlCdc0r1qFJw+aPVBo8c+a+Xav9gO0T/Tdt/XWt2tPx/35VYL2sy/gslQeDIOFm2CGITKi4s2xwKcIIqIaovMd42+ECWhzhgAR5JadhVmoiThNFtcTRJlAnxXFpBQFL1qtrKd4R0X3omCEyoHX7NZR3UhC0d9AxG4Ic02PKK1HHTY7/VWJrpGhVUOuiQt+nRHP13FjLdfM766p6uYCciwBHg5XcUMUZFCBMIb/PouM9B+HRY8XcWMEPSp46LMdbqKGWO/4B94uirJo0mUmUKcsUM83gGrInrW/BDrH/R3eIvuU5iV+4AVFxScfHwfsOKGC04/1ANW1e6AlfXapZf8qMFJyIdo1TCjmQPjjI8BTiWHHLCqRvsD4ThgxaVQRAr4OdKZPe0C6wU85wcMzjqw8gfqUK3rUK3rUK3rUA3WoQUfEpy4fB6w4oYqcMCq2h2wsr64F/yIKTMu6wnqGit37anZCNIHrKrR/gA4DlhxCcCZlnzAqjrtguoFu+QFq6PFth80j7WNdfTx3FbWdsCqiGiYKF/wLQVJEMLqGdoNH9MlIpkqhacKb0pNGFNRDMKyoYeWVZJEZL/B7hKRROnPxQ4UuAMu0qYDtmw5SLKE23Jw2EREAQlF00f31vZwRXuhXOG4IVAUnFA74MYDH9WFLBz1HUTgBrYcgBGt5aDXmk6p+OZaZbfjq+z+fpzdZTfj6/KmHKu7u+ru6iopy1ajBtV0xrrVaDr3dRKGXGB84TWdIAihPKGa7l+0KFt9vpFsH22uCFwbQNbmj/UxrDgaxWrUaLTVFybk56LICkc+WJsJYhDqK67N7GYQSRQRcZZMEmNheCGKQp0YABBVFJOkNPbnM1GWYOKsjKxn40X5CMXPqzaL25nccdmdKDihdrC1mXVQF7Js1DcQYRuSZsMDWstBP93vGVW2Q1lFQs0FxhdemgmCEKoTKs1kv2ckmQyFJ+Ng0SaIQSi8uGizf89IEkVEtNm/ZySJQp0yAJAqnkR6u/sxykwUJZhmc3zPSJSPUBW9arb2uqTCcf+VKDihdLA1m+N7RqJs1BcQYRvSbMMDWstBP91rSyvbqasipeYC4wuv2QRBCNUJ1Wzy15ZKJkThCTlYtwliEIqvF90miCKk27Qr7jHKC1EU6rQBgKRVMwPmJpSZKEow3ea4t1SUj1AZveq29lqkwnHPlSg4oXSwdZvj3lJRNuoLiLAN6bbhAa3loNt7rrbgWo4FvOcqNo5xI80yB26clH3cQEexLG67d9jx9mvIgUex/uvqo4cfrIXUeiXsdw/fbv7h16s3awPax5tTWW/Wu5jra0Uffrx1nv1k9R8bnfUfDQevuuNaHzX/js/W15a+MqXgOTsFGZYCH4exuCEqUohAeLvDWJOT1S9WPx9npoCn7ID7FVruUBY3QtDbjus1x6EsbowUizgQYRFPKuM4z9gRHvFMlr70qtCXXhXF9hhE4b7vis0IzkD041hxUtmPY7HDBacg4nGsYnffVeG474odNTgR+RCyGmY0c2Cc8TEyIgb9WESxu++qGLjvik2hiBTwc6Qze9oF1gt4zg8YnG/gbgAoQbUuQbUuQTVYghZ8PnC2op3EcpSf9/ih+j+JVeyuurK/sxf8iCnTLOvh6Rotd9mp2QjCJ7GK3VVX7pJzyScAJ1nqSaxCX3VlLjdLXrDrluEuyovrSI2vbqPbcaZKNa6u767H17f311VeRml0s52FrW2so69nt7LWo1iKxokCht9nEAQhrKah3fAvdNv78Nf6g23byxK2B6tePXx/s7ugf05Fo+b/R8+ySP9TavXvCrIrnB3vMU0YU1EMwrogofP8XTNgnzRtsnFc/lgUSGRjwVgkXohyUBc1AQoV52Yr3EyUJNimQlZNth+7etzISvIRyqCPXqzryNq7kArH5Vai4ITiAbcR8KAuZNmo7x/CNrSpMDygtRz0WqXdJPfxbXwTjeObm2ScXd9m4/Ku+aN39/FdXmV5WibX7x9BpRlXMhuVllOTgQGGV2mCIITyxFdpesthvXehvwb3+cOPH3708Lf6IDxFrQnmQOE5OFitCWIQCq5HtSYIFFStCXJQZwuAorJcJjMTBQkm1tJqUhj53pXlI1RDr2KtvTGpcNyAJQpOqB1ssWYd1IUsG/X1Q9iGxNrwgNZy0Jv7Eq6q2+Qmj8dlkt6PsyRV4+u4Ksd3VRHFt9e3hcru3j+CWDM+AY1YK6jJwADDizVBEEJ5gsXa5ptF2hLyoZZpD999+OuT1f/eKLXfrq9S2HhNPt2adPWXih6+pz9apH+cKIsseC6aBYVn4WC5JohBKLkEuWa1dQiSyOg08+L7C1ES6lQBcBTVJE4zE8pMFCWYVnMcjJfEI9RCr1KtvQmpcNxtJQpOqBtsqeY4Fy+JRn39ELQhpTY8nrUcdNhbEmLbdqbrEogkfYR3dG8uM17QEoVKp6N6c5kpyLAUePHmMkNUpBCB8BLUm8sMGPRK+RBxzAhBtxNFnNm9ucwYKaYhIMIinZSFKcIZO8IjenOrZ2eq1JcmlHFrjCvd3lwuIzgD+fbmcsMFpyCqN7fceXOtlye95EcNTkQ+dKuGGc0cGGd8DHAyOcSbW472B8LhzeVSKCIF/BzpzJ52gfUCnvMDBucbWPwDJajWJajWJagGS9CCzwfOVj69udxQBby55c6ba31nL/gRU6ZZ1sPTNVbuslOzEaS9ueVofwAc3lwuATjJkr255WkXVC/YJS/Yp7uRYFkebJrZisaJAobfSBAEISyeod2w1EaCYBYUngW82zRhTEUxCAuCPnpQQZLAGwmCJNSVTICjbCqfsrW0gihPYSNBEo9QC300ZF1bVrULz45b7ETBCXUD7iXQMV3IolFfPwRtaCNheDxrOegnfIoqtvlzS/dFEIZkYIDBlZokCKE6wUrN5ykqSXaFsx+qzyQxCHWWoM8GfLmSQDIyzcTxQpSDOksAFEmeTYwN+EyUJJhGc5yiEuUjlEGfIq1sLzQqHVdUiYITigdbpDlOUYmyUd8/hG1ApQEDWstBP+FTVLHNmFu674QwJAMDDK/SBEEI5Ymv0jycopLMgcJzcLBaE8QgFFyPak0QKKhaE+SgzhYIRRpNlIlkJkoSTK05jlGJ8hHKoVe11t5xVDourRIFJxQPtlpzHKMSZaO+fwjbkFobHtBaDlp/SPfZRqSE/IBuMvkzE2ijxFIzaBJFZZWUSR80mE03McX7Djte0B2FCilfNt1ka9NtfgNs0+WmIMNS4MOmyw1RkUJkhjdlhweapAgSzrYhyo0QtDkRNJndlMuNkeIWQiJMU3OxmLEjFDHlortY7/LDBicRhs82Kwqrz5YdLjiHUHy2pghf8iMEZw2S3kSfgzN+2GClp3toTXGe8+NUxDgPeQrm/DDBss8W3/b9bHbI4DxAtLvaq8B7/FA9211N0V3wo6NMVj7HvmaHLGNlNcV4yY8RnKlIZlVTiEteiGu5DC2/awprE+foZvmNXGxt5RSNFEUMv6guCEJYRUJ7Qb/WB0F2hbMf3GEJYhDWwwid2NBiuiBQ0MV0QQ7qYh5AUancxDET5Qi2lK6ySWwzPkjyEYogqbUZWkpvvzZaOj4fKwpOKB1sNW8d1IUsG/XtQ9iGltKHB7SWg37CxodkYl9wt3z2w54ODDG8ShMEIRQovkrzYX0QzIHCc3CwWhPEIJRcj2pNECioWhPkoM4XCEWZmDhmohzB1FqWTtLUxPeuLB+hGHpVa+1HrErHR8lEwQmlg63WrIO6kGWjvn0I25BaGx7QWg56rdaS5Frd3Wc34yjP1TiO78pxGd1W4yhSkcrLMq7UVsOEVWupVa1ZzlbZ04EhhldrgiCEAoWqtX9avdaLaCerTxpF9ruH72hXRfM//UGzz9aGiuYX9crazlERJ8/U6ovVF83PGCfT56IpUHgKDhZrghiEiksQa1aTgyCJjEqznfqWJKHOFAhHlk+UTaoJogSTamlT060mVUlAQin0qtXac8Kl49y3KDihcrC1mn1UF7Jw1FcQgRsSa8MjWstBB/6ErHFMv6Yq95Gpqo93bG8qN95+0fgKe1O5KciwFPjwpnJDVKQQgfDStz8h+19X/21sFBdTdsCgbcmDkONGCLqUKALN6lblxkgxAAERlpMoMwU4YwcoYlZ9NDuZviBbxc+aHxL9Q6p/yLbfcKwixzcc3+WDgrOQZ3srO1xwGqLYW/9IZ6/7jGxlPW78kh81OBn5UK8aZjRzYJzxMcAJhW6B7b7p2MS+PxA2inM+hSJSwM+RzuxpF1gv4Dk/YHDOgVsAoA7Vug7Vug7Vug7VYB1a8CHBacujuZYdqmdz7R8tdvXnPceLe8GPmDLfsp6gtsMaqD01G0HGgPu47rQDYCO45BOAMy3JnvtHOqOnXVC9YJe8YJ/upkJq+5Zs5T5a+ogTBQy+pSAJQlhHQ9tiiS0FyRQoPAV4z2nCmIpiEBYGfXSigiRhtxQkSajrmQhHMWn+EyaUmShKuC2FqJpkxqnrXVlAQin00ZR1rVn7mYTK8d0LUXBC5YD7CXxUF7Jw1FcQgRvYUgBGtJaDfsJnqiznxxupllCTgQGGl2qCIIT6hEo1ryeqJNkVzn6wRhPEIFRagkYb8OhKAslINRPHC1EO6iwBUKTGWjcTxQgm0hxfkhXlI9RArxotaWf0xKHRJMEJlYOt0RxfkhVlo758CNuQRBse0FoO+gkfqEptX5KtUmoyMMDwEk0QhFCe+BLNw3EqyRwoPAcHSzVBDELB9SjVBIGCSjVBDupsAVDkk8zEMRPlCKbVHN+RFeUjFEOvWi1tp/bUodUkwQmlg63VHN+RFWWjvn0I25BWGx7QWg56rdWUim+uVXY7vsru78fZXXYzvi5vyrG6u6vurq6Ssmx3csNqNWPZarRaRk0GBhheqwmCEMoTqtX+ZfWJ3ug8WXt+P1ovpb1efab3P/VS2lq8xdEoVqP1fqcJ+bkossKRD5ZmghiE+opLs4cfPHxgQvljUZSgokyQgzotABTWj81KcgQTZaX9q7SifISq51WUZe0cnjlEmSQ4oWiwRZl1UBeybNS3D2EbEmXDA1rLQQc+NpWZ8BqZpVx4WdTHO/qxKWa8/ZrxVT42xUxBhqXAy7EpZoiKFCIQXvLo2NSzk83fGN+HKTty0MuOazm7a40ZIWhEJ0g0x/kpZowUPzcQYRJlk9imwJghHvEEVa7PTRX6h1L/ULUnF5T7BBUXFJyQfJ+g4oYLzkjUE1Rqd4LK+t3Cl/yowXnJh47VMKOZA+OMjwHOLYecoFKj/YFwnKDiUigiBfwc6cyedoH1Ap7zAwZnHbgZAOpQretQretQretQDdahBR8SnLh8nqDihipwgkrtTlBZX9wLfsSUGZf1BHXNlrv21GwE6RNUarQ/AI4TVFwCcKYln6BSp11QvWCXvGDX0UIWXs1jbW0dvT27vbWeoMppnChg+H0EQRDCihraIYucoBJMgcJTgLefJoypKAZhidBHLypIIrOtYD1BJUhCXdoEOLKsmkR5ZmKZibIE21xwHqGSBCTUQh9dWdeb5e1idO7ozyTBCaUDbijwUV3IwlHfQQRuaHtheERrOegnfIQqsx6hsnxP2J4MDDC8VhMEIdQnVKv5PUIlyK5w9oNFmiAGodISRNqQL1cQSEarmTheiHJQZwmEIkpsMk0QJJhMcx2ikuQjVEGvKq39LH7luOdAFJxQO9gqzXWISpKN+vohbEMibXhAaznoJ3yIKrMeoiqpycAAw4s0QRBCeeKLNB+HqARzoPAcHCzWBDEIBdejWBMECirWBDmoswVAoQ0jtu8SCZIEU2uuY1SSfIRy6FWtle3kXjrUmiQ4oXiw1ZrrGJUkG/X9Q9iG1NrwgNZy0E/4GFVmPUZVUZOBAYZXa4IghPKEqjUvx6gEkRWOfLA4E8Qg1FdcnDmOUQmiBJVlghzUaQGgKMuJMoHMREGCqTLXOSpJPkLZ86rK2tuKKsf9U6LghKrBVmWuc1SSbNTXD2EbUmXDA1rLQQc+R2UsRF/LI+cHybO4j3fkc1TsePs146t7joqdggxLgYdzVOwQFSlEILxH56iMj9WUHXC/Iosdn2JHCLrQCdLMenyKHSPFzA1EqJTltr0ZO8KjnZ7Ko/hZ80Oif0j1D9t7XxoS1+kpPig4Dfk9PcUPF5yHaKenmnDa01PbPJuifsmPGpyNfKhXDTOaOTDO+BjgjMI/PaVj3x8I6+kpPoUiUsDPkc7saRdYL+A5P2Bw0oFbAKAO1boO1boO1boO1WAdWvAhwXnL3+kpfqjeT0/t6s97jhf3gh8xZcJlPUHbFmuo9tRsBNnTU7u60w6A9fQUnwCcaYmnp/Sz0wXVC3bJC3Ydrbq5rsr0dnx3c5eOs+q2Gl/fX12Pk1Ldqdv8qshvt2+staF1dPTsptZyeqqpVjROFDD09oEoCGEdDe2Lf9E0s691w3Wy+lA3tA/fffjrk9X/3jRgv129ahrbTYv86Z9tGuBERdHD9+JE/1hNlMVV8Fw0CQpPAt52mjCmohiEpUEfzaggicx+guX8lCgJdUkT4UiaylfmJpaZKEuwTQXrnoIsHqEW+ujKut5se13R9m9M4Gey4ITCATcU6JguZNGo7x+C5t5SQMazloN+wmenlOXsVNNSUpOBAYZXaoIghOoEKzWPZ6dE2RXOfrBAE8Qg1FmCQHPbcUWBZHSaieOFKAd1lgAoksJY7GaiHMEUmv3olCwfoQh6lWhJO6Xb75+SBSeUDrZEsx+dkmWjvn0I25BGGx7QWg76CR+dUpajU3mUUpOBAYbXaIIghPLE12iHH50SzYHCc3CwVhPEIBRcj1pNECioVhPkoM4WAIWyHEGYiYIEE2v2k1OyfIRq6FWspe3cbr+AShacUDvYYs1+ckqWjfr6IWxDYm14QGs56Cd8ckpZTk7lUUZNBgYYXqwJghDKEyrWPJycEkVWOPLB2kwQg1BfcW1mPTklihJUlQlyUKcFgCJRlpNToiDBVJn95JQsH6HseVVlWTuJ22+gkgUnVA22KrOfnJJlo75+CNuQKhse0FoOOvDJKaPbotFZyomX9PGOfnKKGW+/ZnyVT04xU5BhKfBycooZoiKFCIS3d3LqF6ufW09OMQMGTey4hrOb1ZgRgg50gjRznJxixkgxcgMRJukkq0wRztgRHvHkVK7PSxX6h7I9rOC8corPCM5Avg9NccMFpyDqoSm1OzRlv3KKHzU4EfkQrhpmNHNgnPExwMnkkENTarQ/EI5DU1wKRaSAnyOd2dMusF7Ac37A4HwDq3+gBNW6BNW6BNVgCVrw+cDZyud5KW6oAuel1O68lP22KX7ElGmW9fB0jZW77NRsBOnzUmq0PwCO81JcAnCSJZ+XUqddUL1gl7xg19FCtx1oHmsb6+jj2a2s9bxUTuNEAcNvGgiCEFbP0G5Y4LYp0RQoPAV4q2nCmIpiEJYDfTSggiQyewjW01KCJNRlTIBDxZO8MH8XVxQl2D6C47IpWUBCKfTRj3VdWd6uO9svm5IFJ1QOuJXAR3UhC0d9BRG4oZ2E4RGt5aCf8IGp3HpgqqAmAwMML9UEQQj1CZVqfg9MCbIrnP1gjSaIQai0BI02ZMIVBJKRaiaOF6Ic1FkCoCgtV+vNREGCyTTXiSlJPkIV9KrSinZOt182JQtOqB1sleY6MSXJRn39ELYhkTY8oLUc9BM+MZVbT0y573IwJAMDDC/SBEEI5Ykv0nycmBLMgcJzcLBYE8QgFFyPYk0QKKhYE+SgzhYARRZbvbmCIMHEmuvElCQfoRp6FWtlO7fb75qSBSfUDrZYc52YkmSjvn4I25BYGx7QWg46sDe3MOE18qty4qV9vKN7c5nxgpYoVD0d1ZvLTEGGpcCLN5cZoiKFCISXot5cZsCgV4qg5Kxbo8wIQbcTQZo5vLnMGCmmISDCZFJkpgBn7ACPZ82No2fND/pmg1jfbBCnrTmucvtzuaDgLOTbn8sNF5yGqP7caufPtV549JIfNTgZ+RCvGmY0c2Cc8THACeUQf2412h8Ihz+XS6GIFPBzpDN72gXWC3jODxicc+AOAKhDta5Dta5Dta5DNViHFnxIcNryadLlhipg0q12Jl3ri3vBj5gy37KeoK7Dcteemo0gbdKtRvsD4DDpcgnAmZZs0q1Ou6B6wS55wa6jhVwimsfazzoaenZPazPpxu7LGx5xooDBNxUkQQjLaGhbLGHSlUyBwlOA95wmjKkoBmFd0EMnKkkis5lgM+lKkvTnWAcJ2tfmkyixeHQlScLtJzg8uqKAhErooydrO7M42q4/x44r50TBCYUDbifwUV3IwlHfQARuYEcBGNFaDvoJe3QLm0c3jqnJwADDKzVBEEJ9QpWaV4+uJLvC2Q+WaIIYhEpLkGgDtg9JIBmlZuJ4IcpBnSUQityEMRPFCCbSHA5dUT5CDfSq0dprimLHtVOi4ITKwdZoDoeuKBv15UPYhiTa8IDWctBP2KFb2By6cUJNBgYYXqIJghDKE1+ieXDoSuZA4Tk4WKoJYhAKrkepJggUVKoJclBnC4AimdgW1AQ5gmk1h0FXlI9QDL1qtfa6othx/5QoOKF0sLWaw6ArykZ9+xC2Ia02PKC1HPQTvtKgsF1pEKfUZGCA4bWaIAihPKFazceVBpLICkc+WJoJYhDqKy7N7FcaSKIEFWWCHNRpAaGY2BbQBDmCiTLHjQaifISq51WUtdcSxY57pkTBCUWDLcocNxqIslHfPoRtSJQND2gtB938vz/d7HO+71Zdf3l3861v/Pk3DYlgiS6b3socnHEa9Tltx6fs0VKk1O4ElTHcd9jh9h8zR3JBwfTTRht9uTmZc7L6/OFHG7H0TAuoj1Zfrl6tT0799tnJw7dXrx5+0PxP701+ZqJqhFP2hzM22qO6aGc7rCxuz3MofYqjsNVBLkRGh8BdsTrycx35uS3yc37kih457oZtAp/rwOe2wOf8wPF3gl95t957pR33ZoCaDfDIQj0AQHteLnXUl7aoL/lR43We6Jxugl7qoJe2oJe8oN8q9zr2P3FNWj7P/GZWc7RyUiTW1GPBMies5n/GeN9hx9sv7Ace+f2XdVevJ6c37bHfbt7anAB+s+76P14f/H2z+tf1Sd4vH3748L3uuK/+hfVM9nnz516ZcJ+zcftTgODxXm6IihQiEN7qF00+N8OyHZLXJ6svjNJCj8H/tPpZoyr0Me3vrD7TymL1a/2z6+Pa2pL+4cnq/2j+2BfN/716+LaJfcpmB09teVm2YIYInrkiLEfYjwpzY6QcXQIiNH4VYcaO7ojnhPPtgbzYfXEPmwycqugHg5NMldaDwexwwcmKeDA43l3cEzsu7mFHDU5ZhzUi3cqMvkHDjnHGxwCnIkYr0h7Qi3cX98QDF/ewKRSRAn6OdGZPu8AedyTcgMEpBl7kAgpPDRaeBZ8KnJVoJ4EdRec9fqj+TwLHu+t67G/qBT9iynTKemS6VUN3sanZCMIngePddT3uQnPJJwCnVmI/q5+dLqjHrSwnWB3t1c3N9U15VYzvsizRZ1GqcRnd3RzzJHA2sZzwa3rdnIaJ8pn6YQcWpSc2gbwjCkLYGUKb5X/Sbdd68bZpzF6vftP8r2nKNgdLnM2y/uWfrpd7P2qa5M9PShU9fC+Jo2h9SHg6y6Nnm69rNf1b87s/Xjfkr1evTtZ2yY/W/8JXphQ+F02hwlNI6G43WXQ1rp9qG+iJdhk8fK8h/1S3wJvviG2+RKb736F8/4HO6r85efyfOPmDZpps0h8nKlqvzOth+Vy32M2/4mRzXmj9n/myyb/+rc1v+nj15WTz32v+DV+cJEkU/b+b0dv8+eZ3P3z34fv6m2gPf6e/fNZ6WT9qyup6xf/Xzf8+1Z28aQinokNI2Cb00qQLogT1FghyUHc3AQpbwy9IEcxZEOdFHE1Sm7lAEpEwhfhoXrsWtr0TJ3bcciQKTqgacN9FGdeFLB71DUTwhvwFw2Nay0Frf8GzjbYLuFOTmCgb9eq6KCBOH7kogu3UGON9hx0vuOyFik8fOzXrf4X+dusrE+pzNmqGoXrZpWGGqEghAuGRd2l+1SjN7+nho+/OMJnBpTMvwo8ZIrgORhB0jt0ZZoyU5SQgwtwY3owd3hG3Z9pLzePCvT3DJQPnJ8b2TFSm9u0ZbrjgDEXdnil22zPW+3de8qMG5ykfClfDjGYOjDM+BjgHHbI9U4z2B8KxPcOlUEQK+DnSmT3tAnu8PcMNGJxj4DYBKDw1WHgWfCpwWiJuz9iLznv8UAW2Z4rd9oz1Tb3gR0yZT1mPTNd0uYtNzUaQ3p4pRvsD4Nie4RKAUyt5e6Y47YJ6vD3DCVZHe5/cZnGepuO7tKyeyvaMxdrXNLiuy1UMmChf+O0ZQRDC2hraIXvbnslLvT9QedmeEUyhwlNIaGvf2p7pdaw6Z59u/qL3Uj5a76l8dyiz01mdRyfrbZwvt7/8+cPfbX7x2cnJH7y1r1JEOu9lFP0/m5/+pEnsr9f/ntfNv1v/9lcn62z/ZtMqP/xwO05FGemNlt/or4g0v/fb3ej8//76v2QnD9/du7Tmy+bf+OOT7Y7Numv/P5p/2V9vjmY8O3n4wea/2J1yfbX+Fz/87fo3fLZ63US8/i/pRr951r5z8vDB+jDH91afbP/LOtIv9JU3Tfvf/DferL6YmB6NqeijQVjA9dL9C6IE3fYR5KAuOgMU1pUEQYynsu8jiUiYm3x0xV1v3N7cFjuu4hMFJ5QNuKGjjOtCFo/6CiJ4Q/s+w2Nay0FvzpW+Jbes8tjrwdLUhNno4sqJmfUxbRs/fo+VGoN9hx1s/xk7/FDpL946XfPaFGyjMit9VpQZceCzoom++yutbOWNC5HRIfDGfHNWtIn83Bb5OT9yRY8cb8jXZ0WbwOe2wOf8wPFHnV9NN+t9ib6nyQJQswGkz4o2UV/aor7kR42XbuLizfqsaBP00hb0khf0+mF5P+T8Y1uZSVwfqY9TZc05HC1rBrKdEeWGi7+Y6Bz0f+mOe2M92DXi2lb5QdOGr42T68b+43Vjvl4y2Hwtav9saPMbTKDPG9Bm/uLShp6/9LWVSaEnsfVMluofcst0xmYKMZ3FzXTWgJxrkHMNcm4DOeeDKDoIqWLNNcdcc8w1x1xzzG0ccz4H/k4dPNnp+wgbnlrz1JqntvHUbB7xuS9u5r4G4lJDXGqISxvEJR8Cn0VYU2HcTIUNw1IzLDXD0saw5DG8NTMG/IpCuv7xz0wczRSZmDmayb1qQCrrWGDhMudH21mYd9jxgq4HdIL8jw8/3G4FfLleB+92CN6e/z7SC8br9W59HuDjbnH71WZFvPldv9UL5Z/o5em1jWzj9Fv/tHl63Rj71vPvf1n9g/N3baJ4+NvJidI+tS9M6XzOTmd/vhJ0AHJDVKQQmeFN2eGBRgp8ud561R03QtAUQViFt3v1uDFSvAVAhGkeVZPKFOKMHaKIX68fuP1zjOywwQmJbsZThS3af8ePFpyPKF48U4Qv+RGCMxCpZ0EfgzN+2GClp7clpjjP+XEqYpyHPAVzfphg2Wdvt9g/4ckOGZwHaOY4exF4jx+pZ2+cKboLfnSUucrn0NfskGV8b6YYL/kxgvMUqSM0hbjkhbhuPhKVXWfXd+OrG5WOs6ukGl/dJum4KpLru0Jd3yTZ9YbC2g7+hyuffrZti2VtCjMaKEpoahwdYJTm0QTyjigIwTWAdpX/TX84dn08/VV7yOjtO8g/evjxn21bwF+vDUra27T5539ZX0z+183//mbtiXqz7Uk3/qdNx/iL1T+uPhyvfrn61ervVz9b/afmx39e/erZSRo1/6lPTv7gndmZcbHjuWgaFZ5GvFXbZFKbsqyZPFn9UhsA18a2dUuuV69/vfabdb9jl+Uk0havT95//5vMf/X6Ciw9Rj/Yjkn7bzQkfCqacILpg9B8WlD+WBRFxCuWTZSJ5IUoCdWqAnDETcANixFmJgoTzjOWTJTlGk9RPkLpJ7VzA4axJNuaizZ/YwI/kwUn1A52B2Md1IUsG/UVRNgG3GLAgNZy0GtpWuZlclPcFuPrtIjGWX53P65usutxWqVRdV9dXaV3264qqDRNrNI0p2YDIwwvTQVBCPUJlaY/6W1SNKrnH1b/uZGSP1/9bLz6UP9lrSs/XP1qfVGUCfq5KLTCoXEhacKYimIQSqwXeSaIIiLP</t>
  </si>
  <si>
    <t>oon5a4AvRFGokwMAorJ4kpVGlpkoSzh5Fjm2JSQBCfXPqz5rP/qTOD7kJApOKB58fWYd1YUsHPUdROCGBNrwiNZy0Gs7/7NuSghsGUlMtI0Acx/qta/TYsFShNXbhpHcahhhxgtu16H66RfrE5GfbN0hWwVl8VD+slFR/7DzerzlJ9n83H9pf9Xp7GByZxi3F2cHM0RFChEILz15+N82X3GanJjW93qm1v464R+sD8P+Tq+w/mrcTOrP2r8ru7+Lt3+XTNLu77Lu7/Lu73Z/Iul+bvdnVfd3xaM/0fy+aPe37b8x6/501v2XVfdzqvuvlN3PlRNznZuyhwvc8iSoWavThRkhuMOJi1SX04UZI2X3EIgwKcpqkho/3DBjxyhidXk0RZs+TZWU2qVdbT8Tk7i/T8XGAydcuiWmqByWGG604IxLscT8kU5e93mqxPF5KnbU4LzrQ7drmNHMgXHGxwCnUbptpvtqTLL7PFUy8HkqNoUiUsDPkc7saRdYL+A5P2BwroGbH6D41Lr41GDxWfDRwEmKZsOxF573+JF6tuH80WJXdN5zvK0X/IgpkyvrsekaSnfBqdkIMladx8WmHQD7J6rYBODsSjLy/JHO6GkXVC/YJS9YHe2NurutorIaX98pNc6u78pxeXudjqP7pMyvktvr6yu14bG26471C27Lbj0I6f7igGGJAuMLv2siCEJYNUS7/mMaekwJfC6aQIUnEO/NTRhTUQzCIiqhZ7XvwAiiiOzA2A0ygiTUxV+AI06U0kslRpqZKE24LZhkUth2YCT5CLXURyfX9XPt53cSxyeVRMEJxQNuQuBBXciyUd9BhG1oA2Z4QGs56KfrkLHcXtEovYqaC4wvvNITBCFUJ1TpefLHCEIrHPpgdSaIQSiwXtSZIIqIOnP4YwRRqFMDAJLF5SSLchPLTJQlnDhz+WMkAQn1z6s6q9rJvHKoM0lwQvHgqzOXP0YSjvoOInBD8mx4RGs5aK3PXLLLrx8mNdF9LU9dH4JJMvgrl6H8MNx4wX05VC8F98NwuTOM24cfhhuiIoUIhJf83g8D+GG4wwXuURLUq80Pw40Q3GrERanDD8ONkbJlB0SYarm5/TDzI7XJjfF4fphUf7UwTbZb0mnk9MOw8cAJ168fhh0tOOMS/TBp1PlhNmk2Rf2SHzU47/rQ6RpmNHNgnPExwGn0AD9ME/v+QNj9MGwKRaSAnyOd2dMusF7Ac37A4FwDNztA8al18anB4rPgo4GTlD8/DDtS/36Yrui853hbL/gRUyZX1mPTNpADBadmIwj7Ybpi0w6A3Q/DJgBnV6ofpnl2uqB6wS55wT7ZXRLrh8HTmIaJ8gXfJZEEIawSol2/n10SSWiFQ+P9tAljKopBWOgk9JnWXRJJlMC7JJIo1BVaAERpM4DZ3TgTZXkSuySigIT656P76nqweLumvvkbE/iZLDiheMCNAz6qC1k46juIwA3skgAjWstBP127cmozsaQJNRcYX3h5JghCKE+oPHt6dmXJBCo8gQdLPUEMQrX2IvUEUUSkntWuLElCnWUAjlilZTwpjR3tTBQmnNSzu5VF+Qil1KvSS1pdkDiUniQ4oXbwlZ7drSzKRn0FEbYhoTc8oLUctP5czLPNfBDwMzGZibKRcKmDMs6iPmUwW4zRUPgOO15wew5VYD5tMVp06TvcH76rf1L/tRFmn61ebX45cVhlmLnIsFx4scowQ1SkEIHwqFaZR9+BXo/up5u/fLb+ZPR3mr9+938YEw1zIMGNTYLitZpomBGC+5O4kHWZaJgxUvb5gAjdJhpmjEc00WTaRKPafezUbaLh4oHTM91Eo7LcbqLhRgvOz1QTTboz0aQOEw03anCW9iHuNcxo5sA442OAE+whJpp0tD8QDhMNl0IRKeDnSGf2tAusF/CcHzA418AdElB8al18arD4LPho4CRFM9HYC897/EgFTDTpzkRjfVsv+BFTJlfWY9O1ne6CU7MRpE006Wh/ABwmGi4BOLuSTTTpaRdUL9glL9h1Mwl9uF/zWJt7xyoHt8G3mmgyGibKF36XRhCkrzxc4wOuERxzl8Z1S5RkGhWeRrx3N2FMRTEI662EztW+VyOIIrJXE0+MzeMLURLqQjHAkcdK23IyE8xMFOZJ7NVI8hEKqo92rmvq2qt6UsfdS6LghNoBdyLwoC5k2aivIMI2tFczPKC1HPRa7l1f39xd3afVWGXZzTgryvvxVR6pcRZfl7fx9dVtqrZvc1C5Z1wHbeSeouYC4wsv9wRBCNUJlXuPPdP6HxvBt9kS+k6j4D5/+LvmN/xw9duT1T81ek1rt39c/bT538/+rFN+P2vt1fr3/PfmH3558nKh4pPV35uy9Fw0SwrP0sFqThCDUJG9qDlBFBE15zBZC6JQ5xIAxG2yFmQJpubKclLa1JwkH6FeelVzqp38lUPNSYITagdbzVkHdSHLRn0DEbYhNTc8oLUcdNgP0SgTXaPPcgddkqk+3dEdN8x4wb08VF49DccNMxcZlgsvjhtmiIoUIhAe9bKm3ztueoqYOZDgLihB6VodN8wIwc1MXMC6HDfMGCmbgkCEzmucuDEe0XFTaMdN2W56527HDRcPnJ49O2640YLzM9Vxk+8cN9a7LV/yowZnaR+iXsOMZg6MMz4GOMEe4rjJR/sD4XDccCkUkQJ+jnRmT7vAegHP+QGDcw3cGQHFp9bFpwaLz4KPBk5SHh033EgFHDf5znFjfVsv+BFTJlfWY9O1m+6CU7MRpB03+Wh/AByOGy4BOLuSHTf5aRdUL9glL9gnuwWjrI4b121VBkyUL/wWjCAIYUkRXSM41haMYJYUniW8NTdhTEUx+kLBgUFoTO1bMIIoobdgBFGoC8AAiPM2AEmWJ7EFI8lHqJc+urWuZyvaFXvH9bui4ITaATca8KAuZNmobyDC5hzQBTKgtRz00/VPK6uhpqTmAuMLr+YEQQjVCVVzT9Y/LZhGhafxYLkniEEo2V7kniCKiNyz+6cFSahzDcChoiSalLlN7gnCBJN7Lv+0JB+hoHqVe+1FjqnjZk5RcELtYMs9l39ako36CiJsQ3JveEBrOWj9rZu/ekvoWPXcX97dfOsbf/5NQyJYcs4m5SoHZ5zFfU6b98YeLUWl7ew3xnDfYYfbf8wcyQW12P/V6KjvbNbVHn64enWi7RiN7Hrz8MHDD7eCyuLF6dk8TKCNpKr+cMamfVQq7biHVcrN3ncWPWt+yJsfVKJ/KJsfcv0FikL/QqF/odS/UOpfqPT9LpX+1ap4dlZEkf4h1T/k+oeq+SFO9A9K/9D8iSKJ9Q+Z/kH/iVT/iVT/iVT/iVT/iUz/iUz/iUz/CaX/hNJ/Quk/kes/kes/kes/kes/Ueg/Ueg/Ueg/Ueo/Ueo/Ueo/Uek/Uek/Uek/UTV/ooystZ87Shl9lPCNEz0053pozvXQnOuhOddDc66H5lwPzbkemnM9NOd6aM710JzroTnXQ3Ouh+ZcD825HppzPTTnemjO9dCc66E510NzrofmXA/NuR6acz0053pozvXQnOuhOddDc66H5lwPzbkemnM9NOd6aM710JzroTnXQ3Ouh+ZcD825HppzPTTnemjO9dCc66E510NzrofmXA/NuW1ozvlDo+hDg+8INSMz1yMz1yMz1yMz1yMz1yMz1yMz1yMz1yMz1yMz1yMz1yMz1yMz1yMz1yMz1yMz1yMz1yMz1yMz1yMz1yMz1yMz1yMz1yMz1yMz1yMz1yMz1yMz1yMz1yMz1yMz1yMz1yMz1yMz1yMz1yMz1yMz1yMz1yMz1yMz1yMz1yMz1yMz1yMz1yMz1yMz1yMzt43MnD8yeCXn64XNrnozQrUeoVqPUK1HqNYjVOsRqvUI1XqEaj1CtR6hWo9QrUeo1iNU6xGq9QjVeoRqPUK1HqFaj1CtR6jWI1TrEar1CNV6hGo9QrUeoVqPUK1HqNYjVOsRqvUI1XqEaj1CtR6hWo9QrUeo1iNU6xGq9QjVeoRqPUK1HqFaj1CtR6jWI1TrEaptI1SzR+jRRvDACNFK2qUelks9LJd6WC71sFzqYbnUw3Kph+VSD8ulHpZLPSyXelgu9bBc6mG51MNyqYflUg/LpR6WSz0sl3pYLvWwXOphudTDcqmH5VIPy6Uelks9LJd6WC71sFzqYbnUw3Kph+VSD8ulHpZLPSyXelgu9bBc6mG51MNyqYflUg/LpR6WSz0sl3pYLvWwXOphudTDcmkblkv+sOD6krjB3YzKUo/KUo/KUo/KUo/KUo/KUo/KUo/KUo/KUo/KUo/KUo/KUo/KUo/KUo/KUo/KUo/KUo/KUo/KUo/KUo/KUo/KUo/KUo/KUo/KUo/KUo/KUo/KUo/KUo/KUo/KUo/KUo/KUo/KUo/KUo/KUo/KUo/KUo/KUo/KUo/KUo/KUo/KUo/KUo/KUo/KUo/K0jYqS96orOvZ+534D/bpy6T58c9MHF/LM8u33KM8K5XOFdgOeLXi63iNvoJ32PGCJj+0Gfj5zo5tM+G/0hvsjxze32l+rvmTr1afrtdvv900Ffq3rvfkm9/R/JE3q096e/hvtv8m439is9z78UnS/Lub/8ybhx+bEvecnbi+ZhX07XNDVKQQmeFN2eGBDkHCKrDNjc6NEDT6URZ3rW50bowUwxwQYZJH5tM+M3aEIl70xy4J2wUz7LDBmYfuMU+K0uoxZ0cLTjwUj7kpwpf8CMGphrQQgz4GZ/ywwUJPX5kwxXnOj1MR4zzkKZjzwwSrPnv93n4nETtkcBqg+b3tReA9fqSe/d6m6C740VGmKp9DX7NDlvFym2K85McIzlOkZtYU4pIX4lpI3d2XcXR/Pa7iJB7H8V01LqO7q3EUqUg1rXBcqaFdoP9w5dfVs+6lrN1fSgNFCU0dogOM0iWaQN4RBSFsQ6Pt44dvN48fr491Nz3duPnL6+Znf7e1ar9ufqFz7LxeN4T6F/5O/9j+9N+vG9HXuvPbGIKenay+aLrAHz38rf6npk1sftNP1yai3W/4SfwHqw9XP43/zbOTi6+9PCmi7ecGHjeNgmlVeFrxzq3fmH/Rka+b6MFUr3/X7t+w/sdPm+68SeLHDz9c264+W//vo4fvN39UN+FNU777o7rb/3Rtxfps9frka9/81t3/fHWy+uXDB2sLVtfrn/xBf5D+zcnD36z7+w90H6+D0gb9hx9s/l3bYcr0AW49cKbRmoqOFsGSQGhkrXYmSRQRO1M0SU0kL0RJqF4KgKOw34ogSRLMy5Rqm3NlAnxXFpAwi5A6wwEzU5ZuvS+Z4yv/ouCEysFuhuyjupCFo76BCNyAmwkY0VoOei1z8/syyu9vo/F9Et2Ps5u8+b23VTW+ubvLojy9v4qybZENKnMTq8xV1GxghOFlriAIoUChMtfHYcSXi7Hj3KFkQhSeEFygmjCmohiE+utFuQmiCCk327lDSRTqxAGApNUkMs6BM1GSYNLNcepQlI9QGL0qt/Y7gZnjw4+i4ITKwVZujlOHomzU9w9hGxJuwwNay0GH/PBj4pBillOVSRSVVRqlfb6j+02Y8YKbgKiS+gr6TZiJy7DEefGbMENUpBCZ4U3Z4YE7jwSxZ/WbMCMENxpxDefymzBjpGziARFu6/pjZcYM79hmE27Y4LTj2WzCjRacdTyYTbgRgvMMSZiij8EZP2ywynszm3DjVMQ4D3kK5vwwwZLPVukOswk3ZHAO8Gg24UYaxmzCjY4yT/kc+podclCzCTdGcJ7yYTbhhPhkV+FdRw0sRyZsoChh+FV4QRDCYhPaOwZYhRdMiMITcnDDJYhBWEsjNGb2VXhBlP7M7UDBOzjHKrwgCnUVEADJJ4URZCYK8iQW4SX5CHWR1OsMLcJX7Zpt5ViElwQnFA62vHctwkuyUV8/hG1oEX54QGs56LVuK6vktrovb8f391f6996V47K4TcZJmuRX+U2Vlfouz+C6zbpkryxuaHs2MMLguk0ShFCfUN22ZxL+cvVqffPTtx9+9PD9jfW3b/Nd/MWff+vu5lsn//bu5s//YqvbtG+0iqLUlJDnoglReEJw3bafkzdNRr7cunDfrH67duX+2GG6Xf1s9ZNnO5/tePvVxLXubRO1Mdgai+FUNF+EOu9DIEqiCAlE40P8QpSEOkEBHHFqvhVvJgoSTB8mST7JCxPgu7KAhALsUyCqeKsnNn9jAj+TBScUDrZAtI/qQhaO+gIicAMKERjRWg46rE0jtWq+1MmX9fmObdPgxgtun6GS7atn0+AmLsMS58OmwQ1RkUJkhjdlhwfu2RHEns2mwY0Q3KLDNZzDpsGNkbL9hUQYF9nEONHN2CEe2arBDhucevxaNdjRgjPP4VYNdoTgXENSp+hjcMYPG6z0vqwa7DgVMc5DnoI5P0yw7LOlut2qwQ4ZnAf8WTXYkQaxarCjo8xVPoe+Zocc0qrBjhGcpzxYNVghrrUetD2gKayNn6PzZTd/VquGUjRQlDD8kr8gCGHFCe0f5a0akglReEIObroEMQgLaoTmzL4SL4gitBJvs2pIolBXAgGQuMgnSWRkmYmyBFuNd7g1RPkIpZHU7gwtxrcn7JTjyKQoOKF2sBW+w60hykZ9AxG2obX44QGt5aCfrlsjdbg1Cmo2MMLw0k0QhFCfUOkWwK0hmBCFJwSXbp7dGutf+WL99ba3PpG2+TJanLuNG4KpI5R8L3JREEVILhqf5xeiJNS5CuBIVTLJjNuPM1GUYGLRad2QBCRUY69qsb0FWjmu9RYFJ5QOtlp0Wjck4aivIAI3JBeHR7SWgw5r3cisAtBtXrZ/XxkLlyLsMOsGM15wOw3Vb19B6wYzcRmWOC/WDWaIihQiM7wpOzxwD48g96zWDWaE4JYdruJc1g1mjJTtMCTCpDCXmBk7wmM7N7hhgzOPZ+cGN1pw4vHg3OBGCE41JHGKPgZn/LDBQu/NucGNUxHjPOQpmPPDBKs+W6k7nBvckMFpwKNzgxtpGOcGNzrKVOVz6Gt2yEGdG9wYwXnKh3ODE+Ja6kFbBZrC2vc5Gl9272d1buTugwn870c+C7z8LwlCWHBC20d554ZkQhSekEN7LkkMwnoaoTezLsVLoggtxducG5Io1IVAACSuJlFuRJmJogRbi3cYN0T5CJWR1O0MLMXn7Zm73HGKUhScUDrYAt9h3BBlo76ACNvASjwwoLUc9NM1bmR240aeUrOBEYZXboIghPqEKjd544ZkQhSeEFy5eTVuDF9nZzFtSKaNUO69KEVBFCGlaDFtSJJQ5ymAIy0nsZFkJkoSTCe6PBuigIRC7FUotpef5Y7r7ETBCZWDLRRdng1ROOobiMANKcXhEa3loMN6NpRV+yknX97nO7Zngxtvv2r8D+fZ4CYuwxLnw7PBDVGRQmSGN2WHB+7eEdSezbPBjRDcrMNFnMOzwY2RshEGRJhXE2MSZ+wAj2zZYIcNTjx+LRvsaMF553DLBjtCcKYhaVP0MTjjhw3WeV+WDXacihjnIU/BnB8mWPTZQt1u2WCHDM4C/iwb7EiDWDbY0VFmKp9DX7NDDmnZYMcIzlMeLBusENdKD9ok0BTWts/R97JbP7tlw30g4REoShh+4V8QhLDehHaPASwbgglReEIObrkEMQjLaYTWzL4QL4gitBBvtWwIolDXAQGQOJqkpYlkJkoSbCXe5diQ5CMURlKzM7QQ3x61yx2HJ0XBCZWDre9djg1JNur7h7ANrcMPD2gtB/10HRvK4dhwm4oN2cAIwws3QRBCfUKFWwDHhmBCFJ4QXLh5dWzofDY//93Vr9ebHufP65P6JInSaHxRRu+4PRuCiSMUfC9SURBFSCoan+YXoiTUmQrgSKJJkZtIZqIkwZSi07MhCUgoxV6lYnvlWu64Q08UnFA52FLR6dmQhKO+gQjckFYcHtFaDjqsZyO3qb/C7V4u+nzH9mxw4wV30lDx9tXzbHATl2GJ8+HZ4IaoSCEyw5uywwO37whqz+bZ4EYI7tbhIs7h2eDGSNkJAyLMy4llHY8b4JE9G+ywwYnHr2eDHS047xzu2WBHCM40JG2KPgZn/LDBOu/Ls8GOUxHjPOQpmPPDBIs+W6jbPRvskMFZwJ9ngx1pEM8GOzrKTOVz6Gt2yCE9G+wYwXnKg2eDFeJa6UHbBJrC2vY5+l5262f1bBQpDRQlDL70LwlCWG9Cu0d5z4ZkQhSekINbLkEMwnIaoTWzLsRLoggtxNs8G5Io1HVAAER7NowN80yUJNhKvMOzIcpHKIykZmdgIb5oj9oVjsOTouCEysHW9w7Phigb9f1D2AbW4YEBreWgn65nI7d7NgpFzQZGGF64CYIQ6hMq3OQ9G5IJUXhCcOHm17Pxm/WnNV5tpa9OVevbyKPxiyz6utO3IZk8QtH3IhcFUYTkovGJfiFKQp2tAI4kmuSZiWQmShJMLbp8G6KAhHLsVS62l68Vjtv0RMEJlYMtF12+DVE46huIwA3pxeERreWgw/o2CqsCdHuYyz7f0X0bzHjB3TRUwH0FfRvMxGVY4rz4NpghKlKIzPCm7PDALTyC2rP6NpgRgjt2uIhz+TaYMVJ2w4AIlXGSm7HDO7Zrgxs2OO14dm1wowVnHQ+uDW6E4DxDUqboY3DGDxus8t5cG9w4FTHOQ56COT9MsOSzZbrDtcENGZwDPLo2uJGGcW1wo6PMUz6HvmaHHNS1wY0RnKd8uDY4Ia51HrRRoCmsTZ+j62U3fnbXhvtIwiNQlDD84r8gCGG1Ce0dA7g2BBOi8IQc3HAJYhAW0wiNmX0ZXhClP3M7UPAOzuHaEEShrgICIOVEGUFmoiDBluFdpg1JPkJdJPU6Q6vw7Vm7wnF6UhScUDjY8t5l2pBko75+CNvQIvzwgNZy0E/XtFHYTRul21ZsyAZGGFy3SYIQ6hOq2+RNG5IJUXhCcN3m17Txr+uf/2Ctezd2jTgqovHXk+jCadeQTBuh3PvQiZIoQjrRYteQJKHOUwBHbL0uXRIkmEx0uTVEAQl12KdOLNsb10rHFXqi4ITCwdaJLreGKBz1BUTgBoQiMKK1HHRYt0ZplX6pk6/q8x3brcGNF9xFQ5XbV8+twU1chiXOh1uDG6IihcgMb8oOD9y6I4g9m1uDGyG4U4drOIdbgxsjZRcMiDBRE2UKcMYO8Mh+DXbY4MTj16/Bjhacdw73a7AjBGcakjZFH4Mzfthgnffl12DHqYhxHvIUzPlhgkWfLdTtfg12yOAs4M+vwY40iF+DHR1lpvI59DU75JB+DXaM4Dzlwa/BCnGt9KA9Ak1hbfscfS+79bP6NUpFA0UJw6/7C4IQ1pvQ7lHeryGZEIUn5OCWSxCDsJxGaM3s6/CCKELr8Da/hiQKdR0QAEknZWIkmYmSBFuJdxg2RPkIhZHU7AwtxLeH7ErHsUlRcELlYOt7h2FDlI36/iFsQ+vwwwNay0E/XcNG6TBsFNRsYIThhZsgCKE+ocItgGFDMCEKTwgu3PwaNt7of1nzb9DGjY/fsm2sv7Lx9XTItiGYPELR9yIXBVGE5KLxiX4hSkKdrQCOYrK9GPWxWBQECSYWnbYNSUBCNfaqFttr10rHPXqi4ITCwVaLTtuGJBz1BUTghuTi8IjWctDN//vTt8SFFkt/4pKFfm0clYm2kYOlmbaI4zSJM9WnDWTiaP5nivcddrzg1hqq5v6pkRraXdFaOd40Mk6vub06WauQX2vvxsMPG9nSSI5/2Bot3jwyfuz5O2A3BjMDGZYBL24MZoiKFCIQXpPL/61J8kerf52crH6x+tU4nmSmkKfskMHNOoKuszo0mBGCe3O4XHM5NJgxUva9gAijybbnfyzEmAGKODQezVazP55eXMwvtvNVvTz7g0ZgVM/O8ir6N7o86Pj1xPUsMs5d7/LxwLmH7uTI8szu5OBGC04+FCfHH+nknW4S/++2aTZF/ZIfNTgF+ZCwGmY0c2Cc8THAeYTu9tjGrsMe7Q+EjeKcT6GIFPBzpDN72gXWC3jODxicaOA+ACg+tS4+NVh8Fnw0cIaiuUfshec9fqSe3SN/tNgVnfccb+sFP2LKzMp6bLreyl1wajaCjMPkcbFpB8BGcMknAGdXkv/kj3RGT7ugesEuecFuHpmr++L+Lh2XWZaOM5WX46sijsaJipPs/rbIbm7DO1Eqs6m/6V8tp3FtmChf+O0MQRDCAhraAO8t3X/cNLCf6qMF4+Yvr5uf/d3WjPK6+YUvm//TK/mb/vbD1U/jkyIy+wOei2ZB4VnAO8zVTxu4jRlnvY0DpeLthYBnJ187v5y++NrJ2qjzz6ufr/6x+et/Xv3T6v9+tt3BUOv73St9v3vS/NnV5/rP6uMgr9ebJa+3Gx+vH3682eIwvipT0dwSVioJrbB9i0MQJfAWhyAJdYUV4khsXzCRJAm2x+E4JCGJRyjQPtrDrklsv3dROj5gIgpOqBtwZ4OO6UIWjfr2IWhD+xvD41nLQT9dH3Nl3k34WtPaUnOB8QVXj5IghOKEqkd5F7NkQhSeEFxImjCmohiE2utDs0miCGk2m4tZEoU6bWAgiXGVYCZKEky0OVzMonyEwuhTtVXRdpbf/I0J/EwWnFA52KrN4WIWZaO+fwjbgGwDBrSWgw77NZHYOKaNErN8LGWNl6i0j3dsHwo3XnATEBVSR/ShcDOQYRnw4UPhhqhIIQLhGXwoxgl5yg4Z3B4kCDmbD4UbIbjLh+szhw+FGyNltwyKUJnim7HjO54NpUq0DSXd7gRXsdOGwsYD5x6/NhR2tODcQ7ShVHFnQ6msXxd7yY8anIF8KFYNM5o5MM74GOA0coANpYl9fyDsNhQ2hSJSwM+RzuxpF1gv4Dk/YHCegWU/UHxqXXxqsPgs+GjgBOXPhsKO1L8NpSs67zne1gt+xJSJlfXYdL2Uu+DUbARhG0pXbNoBsNtQ2ATg7Eq1oTTPThdUL9glL9gnu5EQRzYfSpXQOFHA8DsJgiCEBTO0AQ6wkyCYEIUnBG82TRhTUQzCeiChAbXvJAiihN5JEEShrmRCIInteyiSJE9iJ0GSj1AYffRlXXeWtAvPiaNDkwQnVA64pYAHdSHLRn3/ELahnYThAa3loJ+ufbjRbTYHSEpNBgYYXrcJghDKE6rbhPzDkllQeBZwsRbCP7z+AsqLLPr6Yf5hydwS5gEvClIQRUhBpiaSF6Ik1AkM4siMb+5MFCSYfrTbh0XxCPXZq3xMW7WROuSjJDihbLDlo90+LIpGffkQtCH1ODyetRx0YB+KbR0vc+Jlfbyj+1CY8YK7gKicO6YPhZmBDMuAFx8KM0RFChEIz+BDsYk9Zsjg/iBBxFl9KMwIwW0+XJu5fCjMGCnbZUiEaTVJjGmcsUM8ohVFaStK3u4GZ24rChcPnH48W1G40YLTD9WKku2sKJnDisKNGpyEfGhWDTOaOTDO+BjgTHKIFSUb7Q+Ew4rCpVBECvg50pk97QLrBTznBwxONbDwB4pPrYtPDRafBR8NnKM8WlG4kQpYUbKdFcX6tl7wI6bMrazHpmun3AWnZiNIW1Gy0f4AOKwoXAJwdiVbUbLTLqhesEtesGtNC21/aB5r8+ro3tkNrNWKomicKGD4LQ1BEMKSGdoDB7CiCCZE4QnB+00TxlQUg7AiSOhB7RsJgihCGwlWK4ogCnUxEwBJoklZGjdFZqIowfYSXF4UST5CZfTRmHXtWXuVS+W4m0cUnFA64J4CHtSFLBv1BUTYhnYThge0loN+wl6U2OpFyanJwADDCzdBEEJ5QoWblBdFMAsKzwKu1mS9KO3lRc9OVr9eX+HTyOADDSmCCSZMBl50pCCKkI60GVIESaizGMCRxZMiz00oM1GUYDLSYUmRxCOUaa8qMm9FR+5QkZLghMLBVpEOS4okGvX1Q9CGROTweNZy0IEtKTZZWDjx7J+dxqKlyD3MksKMF9wNRFXdMS0pzAxkWAa8WFKYISpSiEB4jywpiVlZTNkhg/uEBBlntaQwI+wrNFFLCjNGyrYZEmGWTiqb7mKGeERLSqktKVW7K1y4LSlcPHD68WxJ4UYLTj9US0qxs6RYL/F7yY8anIR8aFYNM5o5MM74GOBMcoglpRjtD4TDksKlUEQK+DnSmT3tAusFPOcHDE41sPAHik+ti08NFp8FHw2cozxaUriRClhSip0lxfq2XvAjpsytrMema6fcBadmI0hbUorR/gA4LClcAnB2JVtSitMuqF6wS16wa00L7YJoHmvz6uje2Q2s1ZLiuozIwIkCht/ZEAQhLJmhPXAAS4pgQhSeELzfNGFMRTEIK4KEHtS+lSCI0hcBDhS8WXVYUgRRqIuZAEgST5TZfDgTRQm2l+CypEjyESqjj8asa8/KdvHZcY+qKDihdMA9BTyoC1k26guIsA3tJgwPaC0HvRZuUXp3k98V8fg2ubkdZ2WVjStVNn93c5fHcaQKdb9NTFjhZtt7qKjJwADDCzdBEEJ5QoXbniXl00ak/Xh/N6L52V8+fND8pjer3zY/+Wr1mbZPfLj6abRVbdptUUSpse94LpoNhWcDV237CfmyAf6kyca3H3708P21C2XAd1JEWfbsJEa8JsZSOBXNGKHKexGIgihCAtHmNREkoU5PAEeWTmLzdb0zUZRg+tDhNZHEI9Rfr/KwvW2vctyeKApOKBxseejwmkiiUV8/BG1IHQ6PZy0HHdhrYqyoXyu2Y23Dy/t4R/aasOMFt/lQuXY8rwk7AxmWAQ9eE3aIihQiEJ7Ba5KZQp6yQwY3AAkyzuI1YUcI7uPh6szuNWHH2C/+B3pNknJSGevdjB3h0awmRRQ/a35INru9TfwuqwkfD5x9vFpN+NGCsw/NatKE01pNtmk2Rf2SHzU4B/mQrBpmNHNgnPExwImEbzXRse8PhNVqwqdQRAr4OdKZPe0C6wU85wcMzjSw7geKT62LTw0WnwUfDZyivFlN+JF6t5rsis57jrf1gh8xZWplPTbbbmqo4NRsBFmrya7YtANgtZrwCcDZlWg10c9OF1Qv2CUv2LWkhXY3NI+1d3U07+z+1WI1aUoUjRMFDL1jIQpCWDFDW2Bxq4loQhSeELzdNGFMRTEIC4KEFtS2kyCKIrSTYLGaiKJQ1zIBkGySZiaQmShIsI0Eu9FElo9QF320ZV1zFm9Wnrd/YwI/kwUnFA64o4AHdSHLRn39EDb3VgIyoLUc9BM2mlgW8hvZllCTgQGGl22CIITyhMo2WaOJaDYUng1cs7GNJiern61+0t64E0dFNP56Gl2gppMTU/qmoukjlHwvWlEQRUgrml0noiTUuQrgKCd5UZlIZqIkwbSi1XQii0eoxV6lYtIqC/uVjbLghLrBlopW04ksGvXtQ9CGlOLweNZy0IFNJ5kJr9F+qROv6OMd3XTCjBfc8EOl2zFNJ8wMZFgGvJhOmCEqUohAeAbTSW4KecoOGdwKJKg4q+mEGSG4o4eLM5fphBkjZWcMiDApJ8aeaMYO8Iiek0x7TlS77Zu6PSdcPHDy8ew54UYLTj5Uz0m685xYL+F7yY8anIJ8KFYNM5o5MM74GOA8cojnJB3tD4TDc8KlUEQK+DnSmT3tAusFPOcHDE40sOwHik+ti08NFp8FHw2coTx6TriRCnhO0p3nxPq2XvAjpsysrMema6bcBadmI0h7TtLR/gA4PCdcAnB2JXtO0tMuqF6wS16wa0ULbXRoHmvr6ujd2e2r1XOS0ThRwPCbF4IgfenhGiCwAw7gORFMiMITgnebJoypKAZhPZDQgdr3EQRRhPYRrJ4TQRTqUiYAkk3SyEgyEyUJtpHgMp1I8hEKo4++rOvOsnbl2X4nqiw4oXLALQU8qAtZNur7h7ANbSUMD2gtB/2ETSeZ1XSiqMnAAMPrNkEQQnlCdZu06UQwGwrPBi7a2KaT1m+ioiQaNx36O6jfxJS4qWjiCMXei0wURBGSicYm+oUoCXWWAjjKSW7skmeiIMFEosNtIolHKMJeNaJqJYX9UkZZcELZYGtEh9tEEo368iFoQxJxeDxrOejAbhNlwmtEX+7EK/t4R3ebMOMFt/pQzXZMtwkzAxmWAS9uE2aIihQiEJ7BbWL84tiUHTK4CUgQcVa3CTNCcC8P12YutwkzRsqeGBBhUk0yYxZn7AiPaDcptN2kbHd8c7fdhIsHzj6e7SbcaMHZh2o3yXd2E+sFey/5UYNzkA/JqmFGMwfGGR8DnEgOsZvko/2BcNhNuBSKSAE/Rzqzp11gvYDn/IDBmQbW/UDxqXXxqcHis+CjgVOUR7sJN1IBu0m+s5tY39YLfsSUqZX12HTdlLvg1GwEabtJPtofAIfdhEsAzq5ku0l+2gXVC3bJC3YtaaEtDs1j7V0dzTu7f7XaTQoaJwoYfttCEISwYoa2wAHsJoIJUXhC8HbThDEVxeiLAgcGoQW17yMIogjtI1jtJoIo1LVMACSbZOavFM9ESYLtJLjsJpJ8hMLooy/rurOiXXq233cqC06oHHBLAQ/qQpaN+v4hbM4BXSADWstBP2G7ibLaTdw3CxmSgQGG122CIITyhOo2abuJYDYUng1ctLHtJnvfOMnWnpPqYM+JYPYIFd+LVhREEdKKNs+JIAl1qgI4mkk3Ma4JzERJgklFh+lEEo9Qir0qxbIVFvZrF2XBCXWDrRQdphNJNOrbh6ANCcXh8azloAObToxlqJF+lROv6uMd3XTCjBfc8EOV2zFNJ8wMZFgGvJhOmCEqUohAeI9MJ7H5uZqyQwa3Agkqzmo6YUYI7ujh4sxlOmHGSNkZAyJM43xi/bQcM8TjuU7i6FnzQ9xu/FZu1wkXD5x+PLtOuNGC0w/VdVLtXCfWq/Ze8qMGJyEfmlXDjGYOjDM+BjiTHOI6qUb7A+FwnXApFJECfo50Zk+7wHoBz/kBg1MNLPyB4lPr4lODxWfBRwPnKI+uE26kAq6Tauc6sb6tF/yIKXMr67Hp2il3wanZCNKuk2q0PwAO1wmXAJxdya6T6rQLqhfskhfsWtNCOx2ax9q8Orp3dgNrc53EEY0TBQy+eyEJQlgyQ3tgedeJZEIUnhC83zRhTEUxCCuChB7UupMgiSK0k2BznUii9OdcBwra02bFRMWWnlYSJdhegsN2IspHqIw+GrO2PYuj7eJz7Lj7VBScUDrgngIe1IUsG/UFRNgGdhOAAa3loP9qg311X9zfpeMyy9JxpvJyfNX8J8eJipPs/rbIbm6PItwstpPYfc+QIRkYYHjhJghCKE+ocNtzWXzcqLdPG9n2Ztz85XXzs7/bqrfXzS982fyfNl5s9iY+XP00Piki84T6XDQLCs8CrtYaJfrRVr1qSCwVb2/iPHN9AGXjzcmyZ++//83mt+t/UyOExw8/WL3Sez5NjUDMKcaeZyqaa8K84EVSCqIISUqLOUWShDqhARyVmlisYzNRlGCK0u5OEcUjVGyvgrK92i923NUoCk4oHGxBaXeniKJRXz8EbUhPDo9nLQcd2J1iLEONQkxceHnUxzu2O4UbL7gxiAq8I7pTuBnIsAz4cKdwQ1SkEIHwDJ9Esck9ZsjgliFBxtncKdwIwZ0/XJ053CncGCk7aECEKs8myuIK5oZ4RHdKqt0p2XaDOE6c7hQ2Hjj9+HWnsKMFpx+iOyVOOndKbL2T7yU/anAS8qFZNcxo5sA442OAM8kB7pQm9v2BsLtT2BSKSAE/Rzqzp11gvYDn/IDBqQYW/kDxqXXxqcHis+CjgXOUP3cKO1L/7pSu6LzneFsv+BFT5lbWY9O1U+6CU7MRhN0pXbFpB8DuTmETgLMr1Z3SPDtdUL1gl7xg15oW2hDRPNbm1dG9sxtYqzslpXGigOE3OQRBCEtmaA8cwJ0imBCFJwTvN00YU1EMwoogoQe1byUIoghtJVjdKYIo1MVMAKTMJnmZmVBmoijB9hJc7hRJPkJl9NGYde1Z2i4+O25JFQUnlA64p4AHdSHLRn0BEbah3YThAa3loJ/wR1EKqzsloyYDAwwv3ARBCOUJFW7CH0WRzIbCs4GrtkM/iqLTUUX6+tZDvoYimTZCqfeiEgVRhFRiaiJ5IUpCnaMAjjivJmlu/Or/TJQlmEp0OE4k8QhV2KtIbO/1ix0XNYqCEyoHWyQ6HCeSaNT3D0Eb0ojD41nLQQd2nBjLUKP6lBMv7uMd3XHCjBfc7ENF2zEdJ8wMZFgGvDhOmCEqUohAeAbHiTKFPGWHDG4DEnSc1XHCjBDczcPlmctxwoyRsisGRJjaHHYzdoRHNJzk2nBStHu+ym044eKBs49nwwk3WnD2oRpO1M5wYr2W7yU/anAO8iFZNcxo5sA442OAE8khhhM12h8Ih+GES6GIFPBzpDN72gXWC3jODxicaWDdDxSfWhefGiw+Cz4aOEV5NJxwIxUwnKid4cT6tl7wI6ZMrazHpuum3AWnZiNIG07UaH8AHIYTLgE4u5INJ+q0C6oX7JIXrI72OruOkji6GpdX99m4eY3y8XV8VY3vb67ymzjNouLqasNj7V0dzTu7f7UaTnIaJwoYft9CEISwYoa2wI8NJ9v9CIvxZHOa9JPmH76r++N11/vJ6k3TCK/3NvSf+EwfRtV/brNAb0rTc9E0KTxNeBNqwpiKYhCWCQmNqX2DQRBFaIPBakMRRKGucAIgmf1765IkwfYXSscGgyQfoVz66Na6ni1vF6Qdl6eKghMqB9xowIO6kGWjvn8I29AOw/CA1nLQT9iFUlpdKAU1GRhgeDUnCEIoT6iak3ahCGZD4dnARduhLpTN1TxJlEbji7J/Nc/773+TakcRzB+h5ntRi4IoQmrRZkcRJKFOVgBHNcmVsYeeiZIEE4sOrSiJRyjGXrVie+tf7LjGURScUDfYWtEhFSXRqG8fgjYkFYfHs5aDDmxGqUx4jfhz3j2UJ328o5tRmPGCG4GodjumGYWZgQzLgBczCjNERQoRCM9gRjGq5Sk7ZHCLkKDirGYUZoTgTh8uzlxmFGaMlB0zIMK0nBRGATljR3hEM0r17KxIonY/uHSbUbh44Ozj2YzCjRacfahmlHJnRrFe1/eSHzU4B/mQrBpmNHNgnPExwInkEDNKOdofCIcZhUuhiBTwc6Qze9oF1gt4zg8YnGlg3Q8Un1oXnxosPgs+GjhFeTSjcCMVMKOUOzOK9W294EdMmVpZj03XTbkLTs1GkDajlKP9AXCYUbgE4OxKNqOUp11QvWCXvGDXkhY6cKt5rL2ro3ln969WM0pF40QBw29fCIIQVszQFjjA108EE6LwhODtpgljKopBWBAktKD2jQRBFKGNBKvtRBCFupYJgKhJadtIEAQJtpHg+vaJJB+hLvpoy7rmrGpXnh2Xp4qCEwoH3FHAg7qQZaO+fgjb0FbC8IDWctBP2HVS2VwnSURNBgYYXLZJghDKEyrbhF0nktlQeDZwzcZ2nbSGE7U2nFR9wwn16yeSiSMUex8qURJFSCVa7CaSJNRZCuCI40luu8BREiWYTLT7TUTxCGXYp0pM2uv+Esf9jaLghMLBVol2v4koGvX1Q9AGRCIwnrUcdFi/SWIc00b2xU68tI93bL8JN15wrw9VbUf0m3AzkGEZ8OE34YaoSCEC4Rn8JsbV+Sk7ZHAXkCDjbH4TboTgZh6uzhx+E26M/eLvwW+SmSKcsSM8nt8kSbTfJN1u+Sax02/CxgNnH79+E3a04OxD9Jskcec3SawX8L3kRw3OQT4kq4YZzRwYZ3wMcCI5wG/SxL4/EHa/CZtCESng50hn9rQLrBfwnB8wONPAuh8oPrUuPjVYfBZ8NHCK8uc3YUfq32/SFZ33HG/rBT9iytTKemy6bspdcGo2grDfpCs27QDY/SZsAnB2pfpNmmenC6oX7JIX7FrSQpscmsfauzqad3b/avObJAmNEwUMv3EhCEJYMUNbYHm/iWRCFJ4QvN00YUxFMQgLgoQW1L6TIIgitJNg85tIolDXMgEQ7TexGE4kSYLtJDgMJ6J8hMLooy/rurOkXXp23IcqCk6oHHBLAQ/qQpaN+v4hbEN7CcMDWstBP13DSaPbbIaTlJoMDDC8bhMEIZQnVLdJG04Es6HwbOCijW046X3mJI/GL7Lo67Dr5P1vmhI4FU0goeh7kYuCKEJy0WY8ESShzlYAhzaeJMa6OxNFCSYXHcYTSTxCOfaqFtub/BLH1Yyi4ITCwVaLDuOJJBr19UPQhsTi8HjWctCBjSe2ZbvMiZf18Y5uPGHGC276oertmMYTZgYyLANejCfMEBUpRCA8g/EkthmNmTGD+4EEHWd1njAjBLf1cHnmcp4wY6RsjwERpulEKVOEM3aER3SeKO08ydvN38ztPOHigdOPZ+cJN1pw+qE6T7Kd88R6Ed9LftTgJORDs2qY0cyBccbHAGeSQ5wn2Wh/IBzOEy6FIlLAz5HO7GkXWC/gOT9gcKaBhT9QfGpdfGqw+Cz4aOAU5dF5wo1UwHmS7Zwn1rf1gh8xZWplPTZdO+UuODUbQdp5ko32B8DhPOESgLMr2XmSnXZB9YJd8oJdS1pot0PzWJtXR/fObmCtzhNF40QBw+9gCIIQlszQHjiA80QwIQpPCN5vmjCmohiEFUFCC2rfShBEEdpKsDpPBFGoi5kAiJpEqXFXZCZKEmwrweU8keQjFEYffVnXnal27dlxMaooOKFywC0FPKgLWTbq+4ewDW0mDA9oLQf9hJ0nsdV5klOTgQGG122CIITyhOo2aeeJYDYUng1ctLGdJ63pJI2yaHyRHPypE8HEEYq9F5koiCIkE22OE0ES6iwFcMTRJMqVCWUmihJMJjocJ5J4hDLsVSW2t/YljmsYRcEJhYOtEh2OE0k06uuHoA2JxOHxrOWgAztObLKvcOKpPt7RHSfMeMHNPlS1HdNxwsxAhmXAi+OEGaIihQiEZ3Kc5KaYp+yYwX1Ago6zOk6YEYLbebg8czlOmDFStsWQCFWUTVLb0TBmjEf0nJTac1K1276F23PCxQMnIM+eE2604ARE9ZwUO8+J9b69l/yowWnIh2rVMKOZA+OMjwHOJYd4TorR/kA4PCdcCkWkgJ8jndnTLrBewHN+wOBcA0t/oPjUuvjUYPFZ8NHAScqj54QbqYDnpNh5Tqxv6wU/YsrkynpsuobKXXBqNoK056QY7Q+Aw3PCJQBnV7LnpDjtguoFu+QFuxa10D6H5rG2r47+nd3CWj0n7luEHnGigOH3LgRBCItmaBccwHMimBCFJwTvOE0YU1EMwpogoQm1byYIovRFgAMF71YdnhNBFOpyJgCSJGqSZ8ZSPxNlCbad4HKdSPIRSqOPzqzrz8p2/dlxA6ooOKF2wE0FPKgLWTbqG4iwDW0oDA9oLQf9hF0nidV1UlGTgQGGV26CIITyhCo3adeJYDYUng1ctjWS9KOtjNUmk9UXTS5+9PC3+h8evqN/4mPtI1lbUb6z/n2/1Una/MKbJoFfrt6Mm7+8blL6u632fd38wpfN/+nftf7Hz5v/fbb+z2x+cn87aP3ZlIurf99kNc4PtK4IZp8wY3hRm4IoQmrTZl0RJKFOdQBHpuJJUhlZZqIswcSmw7siiUco5l61Znv3X+K4zFEUnFA52FrT4V2RRKO+fwjakNQcHs9aDjqwd8VYhr5WpJETL+/jHdu7wo0X3DREtd8RvSvcDGRYBnx4V7ghKlKIQHiPvCuZefl7yg4Z3E4k6DibdYUbIbgriMszh3WFG2O/+B9oXUmSapIZ72OasUM8nnMljZ81PyTbzeM0cjpX2Hjg9OPXucKOFpx+iM6VNOqcK6n15r6X/KjBSciHZtUwo5kD44yPAc4kBzhXmtj3B8LuXGFTKCIF/BzpzJ52gfUCnvMDBqcaWPgDxafWxacGi8+CjwbOUf6cK+xI/TtXuqLznuNtveBHTJlbWY9N204NFJyajSDsXOmKTTsAducKmwCcXanOlebZ6YLqBbvkBbvWtNBeieaxNq+O7p3dwNqcK6n7PqJHnChg8P0PSRDCkhnaA8s7VyQTovCE4P2mCWMqikFYEST0oNa9BEkUob0Em3NFEoW6mAmApNkks315XRIl2F6Cw7giykeojD4as649i7eLz6njKlVRcELpgHsKeFAXsmzUFxBhG9hNAAa0loP+qw321X1xf5eOyyxLx5nKy/FVEUfjRMVJdn9bZDe3RxFuFuNKmlCTgQGGF26CIITyhAq3PeMK5L3Y7E18uPpprK0VypSF56JZUHgWcLXWN6xAqdjbxLFf4fNs7e6poijd2Exs2w6COSPUdy/SUBBFSBpabCaSJNSJCeDImzk2y0woM1GUYMrQ7jIRxSNUXq/CsL3wL3Xc4CgKTigcbGFod5mIolFfPwRtSBcOj2ctBx3YZWIsQ43SS514RR/v6C4TZrzgBh8q1I7pMmFmIMMy4MVlwgxRkUIEwjO4TIzKYsoOGdz6I8g4q8uEGSG4g4erM5fLhBkjZScMiTCflDaTCTPCI5pMMm0yUe0+b+o2mXDxwNnHs8mEGy04+1BNJunOZGK9pe8lP2pwDvIhWTXMaObAOONjgBPJISaTdLQ/EA6TCZdCESng50hn9rQLrBfwnB8wONPAuh8oPrUuPjVYfBZ8NHCK8mgy4UYqYDJJdyYT69t6wY+YMrWyHpuum3IXnJqNIG0ySUf7A+AwmXAJwNmVbDJJT7ugesEuecGuJS20r6F5rL2ro3ln969Wk0lG40QBw+9VCIL0pYdrgMAWOIDJRDAhCk8I3m6aMKaiGIQFQUILat9JEEQR2kmwmkwEUahrmQBIMlGpzWMiSBJsJ8HlMZHkIxRGH31Z151l7dKz49JUUXBC5YBbCnhQF7Js1PcPYRvaSxge0FoO+gl7TDKrx0RRk4EBhtdtgiCE8oTqNimPiWAWFJ4FXKzJe0w23zpxeUwEc0ao716UoSCKkDI09s0vREmoExPAoSZRnplIZqIkwYShw2IiiUcovF51YXuzX+q4qlEUnFA32LrQYTGRRKO+fQjakCwcHs9aDjqwxUSZ8Bqhlzvxyj7e0S0mzHjB7T1Upx3TYsLMQIZlwIvFhBmiIoUIhPfIYqKsHzJhhgxu/BFUnNViwowQ3L/DxZnLYsKMkbIPhkQYFRZP3Ywd4hE9JoX2mJTtNm/u9phw8cDpx7PHhBstOP1QPSb5zmNivZfvJT9qcBLyoVk1zGjmwDjjY4AzySEek3y0PxAOjwmXQhEp4OdIZ/a0C6wX8JwfMDjVwMIfKD61Lj41WHwWfDRwjvLoMeFGKuAxyXceE+vbesGPmDK3sh6brp1yF5yajSDtMclH+wPg8JhwCcDZlewxyU+7oHrBLnnBrjUttK+heazNq6N7ZzewVo9JQeNEAcPvVQiCEJbM0B44gMdEMCEKTwjeb5owpqIYfVHgwCD0oPadBEEUoZ0Eq8dEEIW6mAmAxPkkKo2VfiaKEmwvwWUykeQjVEYfjVnXnhXt4rPjllRRcELpgHsKeFAXsmzUFxBhcw7oAhnQWg76Cd/Ao6wmE/d1RIZkYIDhhZsgCKE8ocJN+AYeyWwoPBu4atvfl/myAdaX7Xz74UcP31/7SqxWkre/VvL2rTnvv/9N4r05kjkj1HkvElEQRUgi2swmgiTUCQrgSJNJXNhsyIIowRSiw20iiUeowF4FYnujX+q4olEUnFA42ALR4TaRRKO+fgjakD4cHs9aDjqw28TYqDaKr3LiVX28o7tNmPGCG32oYDum24SZgQzLgBe3CTNERQoRCM/gNjE+V1N2yOAWIEHGWd0mzAjBnTxcnbncJswYKTtiQITpJLOpLmaAx/OaZNGz5oe43e6t3F4TLh44+Xj2mnCjBScfqtek2nlNrPfoveRHDU5BPhSrhhnNHBhnfAxwHjnEa1KN9gfC4TXhUigiBfwc6cyedoH1Ap7zAwYnGlj2A8Wn1sWnBovPgo8GzlAevSbcSAW8JtXOa2J9Wy/4EVNmVtZj0zVT7oJTsxGkvSbVaH8AHF4TLgE4u5K9JtVpF1Qv2CUv2LWihbY3NI+1dXX07uz21eY1ySIaJwoYfMtCEoSwYIZ2wPJeE8mEKDwheLdpwpiKYhDWAwkdqHUjQRJFaCPB5jWRROnPuQ4UtKONJio27onMREmCbSQ4rCaifITC6KMva7uzLNquPGeOa01FwQmVA24p4EFdyLJR3z+EbWArARjQWg76CVtNcpvVJHNfIGRIBgYYXrcJghDKE6rbhK0mktlQeDZw0bafkDerT7TdZO0UaRKgf9JlNzlZ/Wz1k/7XSyyGEsnMEKq5Fx0oiCKkAy2GEkkS6jQEcMSTyLyROxMlCSYD7X4SUTxCmfWqAtuL9jLHzYmi4IS6wVaBdj+JKBr17UPQhkTg8HjWctCB/STG+b+RdYkLr4j6eMf2k3DjBTfzUFV2RD8JNwMZlgEffhJuiIoUIhDeIz9Jaft6CTdkcJuPoOJsfhJuhOBuHS7OHH4SboyUXS8gwiqZqMwU4Ywd4RENJak2lGTbPd0scRpK2Hjg7OPXUMKOFpx9iIaSLOkMJZn1yryX/KjBOciHZNUwo5kD44yPAU4kBxhKmtj3B8JuKGFTKCIF/BzpzJ52gfUCnvMDBmcaWPcDxafWxacGi8+CjwZOUf4MJexI/RtKuqLznuNtveBHTJlaWY9N1025C07NRhA2lHTFph0Au6GETQDOrlRDSfPsdEH1gl3ygl1LWmgTQ/NYe1dH887uX62GkpTGiQKG35gQBCGsmKEtcABDiWBCFJ4QvN00YUxFMQgLgoQW1L6RIIgitJFgNZQIolDXMgGQOJ2UpbECzkRRgm0luBwlknyEyuijMevas7Rde3bcYSoKTigdcE8BD+pClo36AiJsQ5sJwwNay0E/YUdJYXWUZNRkYIDhhZsgCKE8ocJN2lEimA2FZwNXbaufG00k2F04b3/AZGMmef+bprxMRfNCqOVeZKAgipAMTE0kL0RJqJMQwNEU0yI3ltOZKEowFegwlEjiEaqsVxHY3qqXOa5JFAUnFA62CHQYSiTRqK8fgjakAYfHs5aDDmwoKU14japTTry4j3d0QwkzXnAzDxVlxzSUMDOQYRnwYihhhqhIIQLhGQwlxudqyg4Z3OYjyDiroYQZIbhbh6szl6GEGSNl1wuIMC8mej55HOGMHeERDSW5NpQU7Z6uchtKuHjg7OPZUMKNFpx9qIYStTOUWC/Ie8mPGpyDfEhWDTOaOTDO+BjgRHKIoUSN9gfCYSjhUigiBfwc6cyedoH1Ap7zAwZnGlj3A8Wn1sWnBovPgo8GTlEeDSXcSAUMJWpnKLG+rRf8iClTK+ux6bopd8Gp2QjShhI12h8Ah6GESwDOrmRDiTrtguoFu+QFu5a00B6G5rH2ro7mnd2/Wg0lOY0TBQy/LyEIQlgxQ1vgAIYSwYQoPCF4u2nCmIpiEBYECS2ofSdBEEVoJ8FqKBFEoa5lAiBxNIkKW08riBJsK8FlKJHkI1RGH41Z157l7dqz48JSUXBC6YB7CnhQF7Js1BcQYRvaTBge0FoO+gkbSixLro1wK6jJwADDCzdBEEJ5QoWbtKFEMBsKzwau2jwYSoa/TiKYFEIh96IBBVGENKDNTSJIQp2BAI5Ei1njSzcTRQkmAR1uEkk8Qon1qgDb6/Myx32IouCEwsFWgA43iSQa9fVD0IYE4PB41nLQgd0kxk60kXTO23yKpI93dDcJM15wJw9VZMd0kzAzkGEZ8OImYYaoSCEC4aV9N0ls/TwJM2Rwj48g46xuEmaE4FYdrs5cbhJmjJQtLyDCVBWT3Gifm7FDPKKdpHp2Vqio3dEt3XYSLh44/Xi2k3CjBacfqp2k3NlJrDfgveRHDU5CPjSrhhnNHBhnfAxwJjnETlKO9gfCYSfhUigiBfwc6cyedoH1Ap7zAwanGlj4A8Wn1sWnBovPgo8GzlEe7STcSAXsJOXOTmJ9Wy/4EVPmVtZj07VT7oJTsxGk7STlaH8AHHYSLgE4u5LtJOVpF1Qv2CUv2LWmhXYwNI+1eXV07+wG1monqWicKGD4XQlBEMKSGdoDB7CTCCZE4QnB+00TxlQUg7AiSOhB7VsJgihCWwlWO4kgCnUxEwBR6SRXxqWBmShKsL0El51Eko9QGX00Zl17VrWLz447SUXBCaUD7ingQV3IslFfQIRtaDdheEBrOei/2mBf3Rf3d+m4zLJ0nKm8HF8VcTROVJxk97dFdnN7FOFmsZOoiJoMDDC4cJMEIZQnVLjt2Uk+btTbp41sezNu/vK6+dnfbdXb6+YXvmz+TzsrNnsTH65+GmvjhDJl4bloFhSeBVytNUr0o616XdtHoFS8vYnzbMhlsv1sya9Xrxop3MjgpjA0/4LV5/pfoC06r9cOltfrPaNGOT/8eGNJsexRSCaYMBn40JGSKEI60mJJkSShzmIARxwVkzTKTCwzUZZgOtLuSRHFI9RpnzJStffsKcfFiaLghMrBlpF2T4ooGvX9Q9AGVCQwnrUcdFhPSmoc00YXOm8EKtI+3rE9Kdx4we1AVNYd0ZPCzUCGZcCHJ4UboiKFCIRn8KQYn6spO2Rwo5Cg42yeFG6E4H4fLs8cnhRujJR9MyBCVRSTSplCnLFDPJ4nRSXak5Jut4VV7PSksPHA6cevJ4UdLTj9ED0pKu48Kcp6i95LftTgJORDs2qY0cyBccbHAGeSAzwpTez7A2H3pLApFJECfo50Zk+7wHoBz/kBg1MNLPyB4lPr4lODxWfBRwPnKH+eFHak/j0pXdF5z/G2XvAjpsytrMema6fcBadmIwh7Urpi0w6A3ZPCJgBnV6onpXl2uqB6wS55wa41LbQNonmszauje2c3sDZPynanFuZEAcNvbQiCEJbM0B5Y3pMimRCFJwTvN00YU1EMwoogoQe17yUIogjtJdg8KZIo1MVMAKTMJ3ll3BeZiaIE20tweFJE+QiV0Udj1rVnSbv47LjWVBScUDrgngIe1IUsG/UFRNiGdhOGB7SWg366npRGuNk8KSk1GRhgeOEmCEIoT6hwk/KkCGZB4VnA1Zq8J6WIsuzZ++9/s/nt+t/UCOHxww+0QWX12YH2FMFcE+YFL5JSEEVIUtrsKYIk1AkN4IiLdJKWxpd5JsoSTFI67CmSeISS7VVRtpf2KcctjKLghMrBVpQOe4okGvX9Q9CGBOXweNZy0IHtKba1vcyJl/Xxjm5PYcYL7gyiCu+Y9hRmBjIsA17sKcwQFSlEIDyDPSUzhTxlhwzuGRJ0nNWewowQ3PrD5ZnLnsKMkbKFBkQYTQrbQh4zwCOaU5Q2p+Tt/nDmNqdw8cDJx7M5hRstOPlQzSnZzpxivZHvJT9qcAryoVg1zGjmwDjjY4DzyCHmlGy0PxAOcwqXQhEp4OdIZ/a0C6wX8JwfMDjRwLIfKD61Lj41WHwWfDRwhvJoTuFGKmBOyXbmFOvbesGPmDKzsh6brplyF5yajSBtTslG+wPgMKdwCcDZlWxOyU67oHrBLnnBrhUttB+ieaytq6N3Z7evVnOKonGigOH3OARBCAtmaAccwJwimBCFJwTvNk0YU1EMwnogoQO17yQIogjtJFjNKYIo1KVMDMRY/2aiIMH2EVzWFEk+Ql300ZZ1zZlqF54dF6SKghMKB9xRwIO6kGWjvn4I29BOwvCA1nLQT9iaYjkO2Mi2nJoMDDC8bBMEIZQnVLZJWVMEs6DwLOBaTdaacv68PqlPVJRG44sqeudAK4pgbgnzgBcBKYgiJCBtVhRBEuoEBnEkel58TDITJQkmIB1GFEk8QoH2qh/by/6U4/ZGUXBC3WDrR4cRRRKN+vYhaEPycXg8aznowEYUmyAsnHiqj3d0IwozXnAXENVzxzSiMDOQYRnwYkRhhqhIIQLhGYwoxg+dT9khg/uDBBVnNaIwI+wLNFEjCjNGynYZFKEyxTdjx3dEH0qpfShVuxVcuH0oXDxw7vHsQ+FGC849VB9KsfOhWO/ye8mPGpyBfAhWDTOaOTDO+BjgNHKID6UY7Q+Ew4fCpVBECvg50pk97QLrBTznBwzOM7DqB4pPrYtPDRafBR8NnKA8+lC4kQr4UIqdD8X6tl7wI6ZMrKzHpuul3AWnZiNI+1CK0f4AOHwoXAJwdiX7UIrTLqhesEtesGtBC21+aB5r5+po3dndq9WH4r6g6BEnChh+Q0MQhLBehjbAAXwogglReELwZtOEMRXFICwHEhpQ+zaCIEpfBDhQ8E7V4UMRRKGuZEIgSWIkmYmSBNtHcBlRJPkIhdFHX9Z1Z2W78Oy4WlUUnFA54JYCHtSFLBv1/UPYhnYShge0loN+wkaUxGpEqajJwADD6zZBEEJ5QnWblBFFMAsKzwIu1kIYUZIoj8YvsujrBxpRBHNLmAe8KEhBFCEFaTOiCJJQJzCIIzO+uTNRkGD60eFDkcQj1Gev8rG9JVA5rn0UBSeUDbZ8dPhQJNGoLx+CNqQeh8ezloMO7EMx1tOvFXnkxMv7eMf2oXDjBXcBUTl3RB8KNwMZlgEfPhRuiIoUIhDeIx+KZT17yg4Z3B8kiDibD4UbYV+fSfpQuDFStsuACItqkuemCGfsCI/nRMnjZ80PyXYzOI+cThQ2Hjj7+HWisKMFZx+iEyWPOidKbr3B7yU/anAO8iFZNcxo5sA442OAE8kBTpQm9v2BsDtR2BSKSAE/Rzqzp11gvYDn/IDBmQbW/UDxqXXxqcHis+CjgVOUPycKO1L/TpSu6LzneFsv+BFTplbWY9N2UwMFp2YjCDtRumLTDoDdicImAGdXqhOleXa6oHrBLnnBriUttPuheay9q6N5Z/evNidK7r6W6BEnChh8R0MShLBihrbA8k4UyYQoPCF4u2nCmIpiEBYECS2odR9BEkVoH8HmRJFEoa5lAiBxPKmyyoQyE0UJtpXgsKKI8hEqo4/GrGvP4u3ac+64UVUUnFA64J4CHtSFLBv1BUTYBjYTgAGt5aDXwi1K727yuyIe3yY3t+OsrLJxpcrm727u8jiOVKHut4kJK9wsVpQ8oSYDAwwv3ARBCOUJFW57VpRPG5H24/3NiOZnf/nwQfOb3qx+2/zkq9Vn2jvx4eqn0Va1bW6iSQtTNp6LZkPh2cBV235CvmyAP2my8e2HHz18f+0+sfpNTlY/W/1kczFPFUXps5MYcZsY6+FUNG2EUu9FJQqiCKlEi9tEkoQ6RwEcSTopK+NB65koSjCRaPebiOIRirBXjdjeAJg7rnQUBScUDrZGtPtNRNGorx+CNiQRh8ezloMO7DfJTHiN6EudeEUf7+h+E2a84F4fqtmO6TdhZiDDMuDFb8IMUZFCBMIz+E2MymLKDhncBSTIOKvfhBkhuJmHqzOX34QZI2VTDIiwjCaFbW2OGeER/SaZ9puodss3dftNuHjg7OPZb8KNFpx9qH6TdOc3sV7J95IfNTgH+ZCsGmY0c2Cc8THAieQQv0k62h8Ih9+ES6GIFPBzpDN72gXWC3jODxicaWDdDxSfWhefGiw+Cz4aOEV59JtwIxXwm6Q7v4n1bb3gR0yZWlmPTddNuQtOzUaQ9puko/0BcPhNuATg7Er2m6SnXVC9YJe8YNeSFtri0DzW3tXRvLP7V6vfJKNxooDhty0EQfrSwzVAYAscwG8imBCFJwRvN00YU1EMwoIgoQW17yQIogjtJFj9JoIo1LVMACROJrHtE+qSKMG2Elx+E0k+QmX00Zh17VnWrj07LkkVBSeUDringAd1IctGfQERtqHNhOEBreWgn7DfJLP6TRQ1GRhgeOEmCEIoT6hwk/abCGZD4dnAVRvbb/Jsm4ksO9BqIpgxQpX3IhAFUYQEorF9fiFKQp2eAI6kKbPmN3ImihJMHzqsJpJ4hPrrVR62N/rljisaRcEJhYMtDx1WE0k06uuHoA2pw+HxrOWgA1tNlAmv0Xu5E6/s4x3dasKMF9zmQ+XaMa0mzAxkWAa8WE2YISpSiEB4BqtJZgp5yg4Z3AAkyDir1YQZIbiPh6szl9WEGSNlPwyIMMknlTGLM3aER7SaFNpqUra7vbnbasLFA2cfz1YTbrTg7EO1muQ7q4n10r2X/KjBOciHZNUwo5kD44yPAU4kh1hN8tH+QDisJlwKRaSAnyOd2dMusF7Ac37A4EwD636g+NS6+NRg8Vnw0cApyqPVhBupgNUk31lNrG/rBT9iytTKemy6bspdcGo2grTVJB/tD4DDasIlAGdXstUkP+2C6gW75AW7lrTQ7obmsfaujuad3b9arSYFjRMFDL9jIQhCWDFDW+AAVhPBhCg8IXi7acKYimL0RYEDg9CC2ncSBFGEdhKsVhNBFOpaJgDSaJnUdmhVkCTYToLLaSLJRyiMPvqyrjsr2qVnxzWoouCEygG3FPCgLmTZqO8fwuYc0AUyoLUc9BN2miir08R945AhGRhgeN0mCEIoT6huk3aaCGZD4dnARRvbabL9ssnmOp04KqLx19PoYt918v7736T6TgTzR6j5XtSiIIqQWrT5TgRJqJMVwFFOosK4KjATJQkmFh22E0k8QjH2qhXb+/tyx4WMouCEusHWig7biSQa9e1D0Iak4vB41nLQgW0nxjLUiL/KiVf18Y5uO2HGC275odrtmLYTZgYyLANebCfMEBUpRCA8g+1EmUKeskMGNwMJKs5qO2FGCO7p4eLMZTthxkjZGwMiTEqLzW7GjvB4tpMietb8ELc7v5XbdsLFA2cfz7YTbrTg7EO1nVQ724n1jr2X/KjBOciHZNUwo5kD44yPAU4kh9hOqtH+QDhsJ1wKRaSAnyOd2dMusF7Ac37A4EwD636g+NS6+NRg8Vnw0cApyqPthBupgO2k2tlOrG/rBT9iytTKemy6bspdcGo2grTtpBrtD4DDdsIlAGdXsu2kOu2C6gW75AW7lrTQVofmsfaujuad3b/abCdFRONEAYNvX0iCEFbM0BZY3nYimRCFJwRvN00YU1EMwoIgoQW1biRIoghtJNhsJ5Io/TnXgYK2tNkkUcY9kZkoSbCdBIftRJSPUBh99GVtd1ZE26XnwnHnqSg4oXLALQU8qAtZNur7h7AN7CUAA1rLQT9h20lus50U7tuFDMnAAMPrNkEQQnlCdZuw7UQyGwrPBi7a/NhOkiiNxhdl9M5hHzuRzB6h4nvRioIoQlrRYjqRJKFOVQBHOVGRMpHMREmCSUW76UQUj1CKvSrF9qa+wnH1oig4oW6wlaLddCKKRn37ELQhoTg8nrUcdGDTiVEjNNIvceGVUR/v2KYTbrzghh+q3I5oOuFmIMMy4MN0wg1RkUIEwjOYTozmqyk7ZHArkKDibKYTboTgjh4uzhymE26MlJ0xIMIkn0S2FTpmhEc0naTadJJt932LxGk6YeOBs49f0wk7WnD2IZpOiqQznRTWi/Ze8qMG5yAfklXDjGYOjDM+BjiRHGA6aWLfHwi76YRNoYgU8HOkM3vaBdYLeM4PGJxpYN0PFJ9aF58aLD4LPho4RfkznbAj9W866YrOe4639YIfMWVqZT02XTflLjg1G0HYdNIVm3YA7KYTNgE4u1JNJ82z0wXVC3bJC3YtaaGNDs1j7V0dzTu7f7WaTlIaJwoYfvNCEISwYoa2wAFMJ4IJUXhC8HbThDEVxSAsCBJaUPtGgiCK0EaC1XQiiEJdywRA0kll3UkQJAm2k+AynUjyEQqjj76s687SdunZcfGpKDihcsAtBTyoC1k26vuHsA3tJQwPaC0H/YRNJ4XVdJJRk4EBhtdtgiCE8oTqNmnTiWA2FJ4NXLSxTSet30RFSTS+KA72mwgmjlDsvchEQRQhmWjcLnghSkKdpQCOoplvKxPJTJQkmEp0+E0k8QhV2KtIbG/qKxxXL4qCE+oGWyQ6/CaSaNS3D0Eb0ojD41nLQQf2mxg/zNmoPuXEi/t4R/ebMOMF9/pQ0XZMvwkzAxmWAS9+E2aIihQiEJ7Bb2KUyVN2yOAuIEHFWf0mzAjBzTxcnLn8JswYKZtiQIRpNilssosZ4RH9Jrn2mxTtlq9y+024eODs49lvwo0WnH2ofhO185tYb9t7yY8anIN8SFYNM5o5MM74GOBEcojfRI32B8LhN+FSKCIF/BzpzJ52gfUCnvMDBmcaWPcDxafWxacGi8+CjwZOUR79JtxIBfwmauc3sb6tF/yIKVMr67Hpuil3wanZCNJ+EzXaHwCH34RLAM6uZL+JOu2C6gW75AW7lrTQHofmsfaujuad3b9a/SY5jRMFDL9vIQhCWDFDW+AAfhPBhCg8IXi7acKYimIQFgQJLah9I0EQRWgjweo3EUShrmUCIGqSxLaWVpAk2E6Cy28iyUcojD76sq47y9ulZ8ftp6LghMoBtxTwoC5k2ajvH8I2tJcwPKC1HPTGb3Jzk0R3t2p8d1PdjLPyNhmXV7fF+CZL8+tM3Sd3ajvoYXWbzW9SUJOBAYbXbYIghPKE6rY9e8UXqzcPP3r4W22sePiOdp58rO0Sa8fFd9bK7rf69zW/sLOaVFGU6T/40Ub5reXdZu/iH1b/X63xxqsPVz9vBN/PV/9sSthz0YQpPGG4rvNgSdGfQKkOtqQIJo4wH3hRkoIoQkrSZkkRJKFOZABHHE0ys1dsJooSTEk6PCmSeIRK7VVItnf6FY5LGkXBCYWDLSQdnhRJNOrrh6AN6cjh8azloAN7UowNbaMMnfcKlUkf7+ieFGa84H4gKuyO6UlhZiDDMuDFk8IMUZFCBMIzeFKM3qwpO+R+RRb0pDAjBDf8cHXm8qQwY6RsnAERqnJSGBXkjB3hET0p1bOzoozabeHS7Unh4oGzj2dPCjdacPahelLKnSfFehXfS37U4BzkQ7JqmNHMgXHGxwAnkkM8KeVofyAcnhQuhSJSwM+RzuxpF1gv4Dk/YHCmgXU/UHxqXXxqsPgs+GjgFOXRk8KNVMCTUu48Kda39YIfMWVqZT02XTflLjg1G0Hak1KO9gfA4UnhEoCzK9mTUp52QfWCXfKCXUtaaB9E81h7V0fzzu5frZ6UisaJAobf2xAEIayYoS1wAE+KYEIUnhC83TRhTEUxCAuChBbUvpMgiCK0k2D1pAiiUNcyAZByUhrr30wUJNhGgsuSIslHqIs+2rKuOavalWfHzaii4ITCAXcU8KAuZNmorx/CNrSVMDygtRz0E/4ESmWzpGyfDEIyMMDgsk0ShFCeUNkm/AkUyWwoPBu4ZmP7TXr37uTR+EUWff0w04lk9ggV34dUlEQRkooW04kkCXWqAjjiYpLb7MuSKMG0ot10IopHqMU+pWLZ3uhXOq5oFAUnFA62VLSbTkTRqK8fgjagFIHxrOWgw5pOMuOYNtrPea9Qmfbxjm064cYLbvih0u2IphNuBjIsAz5MJ9wQFSlEIDyD6SS26T1mzOBeIEHH2Vwn3AjBLT1cnjlcJ9wY+9X/QNdJGk0KyxodN8LjuU6aOab5Id1u/Jax03XCxgOnH7+uE3a04PRDdJ2Ucec6Ka138b3kRw1OQj40q4YZzRwYZ3wMcCY5wHXSxL4/EHbXCZtCESng50hn9rQLrBfwnB8wONPAwh8oPrUuPjVYfBZ8NHCK8uc6YUfq33XSFZ33HG/rBT9iytTKemy6dspdcGo2grDrpCs27QDYXSdsAnB2pbpOmmenC6oX7JIX7FrSQlsdmsfavDq6d3YDa3OdlAmNEwUMv30hCEJYMkN7YHnXiWRCFJ4QvN80YUxFMQgrgoQW1L6VIIgitJVgc51IolAXMwGQbJJHxo2+mShJsK0Eh+1ElI9QGH30ZV13lrRrz467UUXBCZUDbingQV3IslHfP4RtaDNheEBrOeinaztpdJvNdpJSk4EBhtdtgiCE8oTqNmnbiWA2FJ4NXLSxbSet4ySNsmh8kRz6mRPJxBGKvReZKIgiJBNtjhNBEuosBXBUkyQ2ksxESYKpRIfhRBKPUIW9isT2Nr/ScT2jKDihbrBFosNwIolGffsQtCGNODyetRx0YMOJbbUuc+JlfbyjG06Y8YJ7fahoO6bhhJmBDMuAF8MJM0RFChEIz2Q4yU0xT9kxg9uABBlnNZwwIwR383B1</t>
  </si>
  <si>
    <t>5jKcMGOk7IohESZlU/hs63PMGI9oOVHacpK3u76Z23LCxQMnIM+WE2604AREtZxkO8uJ9Tq+l/yowWnIh2rVMKOZA+OMjwHOJYdYTrLR/kA4LCdcCkWkgJ8jndnTLrBewHN+wOBcA0t/oPjUuvjUYPFZ8NHAScqj5YQbqYDlJNtZTqxv6wU/YsrkynpsuobKXXBqNoK05SQb7Q+Aw3LCJQBnV7LlJDvtguoFu+QFuxa10DaH5rG2r47+nd3CWi0nisaJAobfuhAEISyaoV1wAMuJYEIUnhC84zRhTEUxCGuChCbUvpcgiCK0l2C1nAiiUJczAZC4Spqe1rh8MRNlCbad4DKdSPIRSqOPzqzrz1S7/uy4IFUUnFA74KYCHtSFLBv1DUTYhjYUhge0loP+qw321X1xf5eOyyxLx5nKy/FVEUfjRMVJdn9bZDe3R1FuNtNJTk0GBhheuQmCEMoTqtz2PBYfN/Lt00a3vRk3f3nd/OzvtvLtdfMLXzb/p20Xm+2JD1c/jU+KyDyjPhfNgsKzcLBcE8QglFwvck0QRUiu2awfgiTUuQLgSMtskirbqVdBlmBqzWH+kMQjVEOvYq29Wq903JUoCk6oHGyx5jB/SKJR3z8EbUirDY9nLQcd2PxhU1+FE0/18Y5u/mDGC+66oeLpmOYPZgYyLANezB/MEBUpRCC8R+aPzLx+PGWHDO7HEXSc1fvBjLAv0US9H8wYKdtTQITlpDQmccYO8IjGj1IbP6p277VwGz+4eODk49n4wY0WnHyoxo9iZ/yw3nn3kh81OAX5UKwaZjRzYJzxMcB55BDjRzHaHwiH8YNLoYgU8HOkM3vaBdYLeM4PGJxoYNkPFJ9aF58aLD4LPho4Q3k0fnAjFTB+FDvjh/VtveBHTJlZWY9N10y5C07NRpA2fhSj/QFwGD+4BODsSjZ+FKddUL1gl7xg14oW2mrQPNbW1dG7s9tXq/HDfZPPI04UMPz2gSAIYcEM7YADGD8EE6LwhODdpgljKopBWA8kdKD2nQRBlL4IcKDgrarD+CGIQl3KBECaKpgYN0VmoiTBNhJctg9JPkJh9NGXdd1Z2a48O+4gFQUnVA64pYAHdSHLRn3/ELahrYThAa3loJ+w7SOx2j4qajIwwPC6TRCEUJ5Q3SZl+xDMgsKzgIu1Roh+tBWvGhJLxd4Ojv3ym2frD7JUUZRuPi9i23MQzBmhvntRhoIoQsrQ5jERJKFOTABHMsmz3EQyEyUJJgwdDhNJPELh9aoL25vySsfVh6LghLrB1oUOh4kkGvXtQ9CGZOHweNZy0IEdJsaC+rWiipx4eR/v2A4Tbrzg9h6q047oMOFmIMMy4MNhwg1RkUIEwjM4TIzvwZQdMrjxR1BxNocJN8K+QJN0mHBjpOyDAREm2WTbzT+SXdwIj2cxqeJnzQ/Jdpe3ipwWEzYeOPv4tZiwowVnH6LFpIo6i0llveHuJT9qcA7yIVk1zGjmwDjjY4ATyQEWkyb2/YGwW0zYFIpIAT9HOrOnXWC9gOf8gMGZBtb9QPGpdfGpweKz4KOBU5Q/iwk7Uv8Wk67ovOd4Wy/4EVOmVtZj03ZTAwWnZiMIW0y6YtMOgN1iwiYAZ1eqxaR5drqgesEuecGuJS20raF5rL2ro3ln9682i0nlvrbnEScKGHyrQhKEsGKGtsDyFhPJhCg8IXi7acKYimIQFgQJLah1I0ESRWgjwWYxkUShrmUCIOmkSC2nJiRJgu0kOCwmonyEwuijL+u6s3i79Fw5LhwVBSdUDrilgAd1IctGff8QtoG9BGBAaznoJ2wxsazkN7otoSYDAwyv2wRBCOUJ1W1CFhPJLCg8C7hY61tMvli9efjRw9/qf3j4zsZz8nmjYfXdNt9Z/77f6pSxzCjPtlcAxbnTcSKZQkK59yIUBVGEhKLFcSJJQp2nAI5ikuWZiWQmShJMJ9odJ6J4hDrsVSa2l+RVjlsPRcEJdYMtE+2OE1E06tuHoA2pxOHxrOWgAztOjGWo0X2pE6/o4x3dccKMF9ztQ2XbMR0nzAxkWAa8OE6YISpSiEB4jxwnyvZNE27I4D4gQcVZHSfMCMHtPFycuRwnzBgp22JAhEk52X429LHsYkZ4RMdJph0nqt30Td2OEy4eOPt4dpxwowVnH6rjJN05TqxX3L3kRw3OQT4kq4YZzRwYZ3wMcCI5xHGSjvYHwuE44VIoIgX8HOnMnnaB9QKe8wMGZxpY9wPFp9bFpwaLz4KPBk5RHh0n3EgFHCfpznFifVsv+BFTplbWY9N1U+6CU7MRpB0n6Wh/AByOEy4BOLuSHSfpaRdUL9glL9i1pIV2OTSPtXd1NO/s/tXqOMlonChg+J0LQZC+9HANENgCB3CcCCZE4QnB200TxlQUg7AgSGhB7RsJgihCGwlWx4kgCnUtEwDJJmliO0QhSBJsJ8HlOJHkIxRGH31Z151l7dKz475RUXBC5YBbCnhQF7Js1PcPYRvaSxge0FoOeq3bovTuJr8r4vFtcnM7zsoqG1eqbP7u5i6P40gV6n6bmLC6zeY4UdRkYIDhdZsgCKE8obptz3HyaaPRfry/F9H87C8fPmh+05vVb5uffLX67OE7a59EtBVtG/dEWpiy8Vw0GwrPBi7a9hPyZQOsTSbffvjRw/fX1hHrp0ve/nJJI2I/0waVh+/oZL1ee1Rer7eCGkX88OON0cRYCqeiGSNUeS/6UBBFSB8au+cXoiTU6QngKCe5UiaSmShJMHnoMJpI4hHKr1d12F6MVzluOhQFJ9QNtjp0GE0k0ahvH4I2JA6Hx7OWgw5sNDGWoUbu5U68so93dKMJM15wkw9Va8c0mjAzkGEZ8GI0YYaoSCEC4RmMJsbnasoOGdz+I6g4q9GEGSG4i4eLM5fRhBkjZTcMiLCpI8YkztgBHtFnUmifSdlu9eZunwkXD5x8PPtMuNGCkw/VZ5LvfCbW2/Re8qMGpyAfilXDjGYOjDM+BjiPHOIzyUf7A+HwmXApFJECfo50Zk+7wHoBz/kBgxMNLPuB4lPr4lODxWfBRwNnKI8+E26kAj6TfOczsb6tF/yIKTMr67Hpmil3wanZCNI+k3y0PwAOnwmXAJxdyT6T/LQLqhfskhfsWtFCexuax9q6Onp3dvtq9ZkUNE4UMPx+hSAIYcEM7YAD+EwEE6LwhODdpgljKorRFwUODEIHat9HEEQR2kew+kwEUahLmRBIltt8JoIkwTYSXD4TST5CYfTRl3XdWdGuPDuuNxUFJ1QOuKWAB3Uhy0Z9/xA254AukAGt5aCfsM/EsuDa6Db3TUKGZGCA4XWbIAihPKG6TdpnIpgNhWcDF237CXmz+kR7TXofM7Ffk7P62eon/Q+X2PwkgpkhVHMvOlAQRUgH2vwkgiTUaQjiqFJjvz8TJQkmAx1+Ekk8Qpn1qgLbG/cqxxWKouCEusFWgQ4/iSQa9e1D0IZE4PB41nLQgf0kxjLUyLrKiVf18Y7uJ2HGC27moarsmH4SZgYyLANe/CTMEBUpRCC8R36S0vrhEmbI4DYfQcVZ/STMCMHdOlycufwkzBgpu15AhGU6MbY7M3aAR/OTlFH0rPkhbrd0K7efhIsHTj6e/STcaMHJh+onqXZ+EuvdeS/5UYNTkA/FqmFGMwfGGR8DnEcO8ZNUo/2BcPhJuBSKSAE/Rzqzp11gvYDn/IDBiQaW/UDxqXXxqcHis+CjgTOURz8JN1IBP0m185NY39YLfsSUmZX12HTNlLvg1GwEaT9JNdofAIefhEsAzq5kP0l12gXVC3bJC3ataKE9DM1jbV0dvTu7fbX4ScrtOw5zooCh9yVEQQgLZmgHLO4nEU2IwhOCd5smjKkoBmE9kNCB2vYRRFGE9hEsfhJRlP6c60BBO9o4mSjLyVRRlGA7CXZDiSwfoTL6aMy27ZkW1uul5+3fmMDPZMEJpQPuKeBBXciyUV9AhM29l4AMaC0H/YQNJbnFUNK0ldRkYIDhhZsgCKE8ocJN1lAimg2FZwNXbaufGz0ke5s10MdL7F4S0aQQCrkXDSiIIqQBzV4SURLqDARwJGoSG3vgmShJMAVo9ZLI4hEqrFcBGLd6wX5Xoiw4oW6wBaDVSyKLRn37ELQh/Tc8nrUcdGAviXHqbxRd4sKroj7ekb0k7HjBjTxUkB3PS8LOQIZlwIOXhB2iIoUIhGfwkhifqyk7ZHCLj6DiLF4SdoTgTh0uzuxeEnaMlB0vIEKVTcxbLDN2hEc0k6TaTJJt9nOb+F1mEj4eOPt4NZPwowVnH5qZpAmnNZNs02yK+iU/anAO8iFZNcxo5sA442OAEwnfTKJj3x8Iq5mET6GIFPBzpDN72gXWC3jODxicaWDdDxSfWhefGiw+Cz4aOEV5M5PwI/VuJtkVnfccb+sFP2LK1Mp6bLpuyl1wajaCrJlkV2zaAbCaSfgE4OxKNJPoZ6cLqhfskhfsWtJC+xeax9q7Opp3dv9qNZOkNE4UMPyehCAIYcUMbYEDmEkEE6LwhODtpgljKopBWBAktKD2jQRBFKGNBKuZRBCFupYJgJSTJLO1tIIkwXYSXF4SST5CYfTRl3XdWdouPduvKZUFJ1QOuKWAB3Uhy0Z9/xC2ob2E4QGt5aCfsJeksHpJMmoyMMDwuk0QhFCeUN0m7SURzIbCs4GLNg9ekqHvkogmhVDIvUhAQRQhCZiaSF6IklBnIIAjzidZZXzpZqIowSSgw0wiiUcosV4VYNYKBvs1iLLghMLBVoAOM4kkGvX1Q9CGBODweNZy0M3/+9ONCszed0u8v7y7+dY3/vybhkwwFF5mwmyknXJgxlnex7SZSuyxUlRb6ysxBvsOO9j+M+ZILKjMftrIjy83doW3JdnWW/LwvZO1U+RLLVTWa2+fPfzN6vXqtyasRoepP5yx2R4VRTvcYTVxu8Wd6y3usvkh1l9OiBP9Q6Z/0L8Q619I9C8k+hcS/QuJ/oVM/5zS2+O5an4oClsV5WYho2cB33/Q6Oca/Vyjn2v0c41+rtHPNfq5Rj/X6Oca/Vyjn2v0c41+rtHPNfq5Df2cj67o6PjGRUM+1+RzTT7X5HNNPtfkc00+1+RzTT7X5HNNPtfkc00+1+RzTT63kc/55Ph7zZ86tpurud5cLZsfYn1mv8lArTNQ6wzUOgO1zkCtM1DrDNQ6A7XOQK0zUOsM1LYM1OwMPNpvG8gA7ZG/1NiXGvtSY19q7EuNfamxLzX2pca+1NiXGvtSY19q7EuNfamxL23Yl3xsfKYk7tM11EtNvdTUS0291NRLTb3U1EtNvdTUS0291NRLTb3U1EtNvdTUSxv1kke9ft431Hrq/ROXbvBnR82sO3m5k8F+9wMWKkszND8a16/eYUfbn1oPdKL2RcPq0/UG3HdWX64/tPqmv7izXsLRV/Q2P//RyervH769+mKjKPS/aPXJsxO9s9f88ucPf/fwY/0HTfjP2fj9OVXShsoMUZFCBMJ7ZEM1rkhM2QGD1iDC8o/VhMqMEHT44Ks6LhMqM8b+xH+gCTVL///t/WuvLMd15w1+lQ2/krl3buQlIi890AuKTXG2LIpHO0lWVfoYQmZVVjfRMmlQ9PTMMzCgi2V7YHdLttSAIbktWe5uPMDzYmhZtCiSooB+PS/2+UYTkXU551RlRvxjVa2MSonqdnFfqvZZvxUrIv4rVmREcpsPrdcQTfS4CzXb7QEz3o5HJwPnG/cNqHmSDW9ApVoLTjmuG1DTpxtQh2/Ho1sNTj2npXT7Ba70hTsDxqt0DHAKIeRk+z1h6QvPN4RhAyqVQjpSwHGkPXu9N+w4MaIaDM4y8FohMO6U4LjziE4Fzkxue0+Hx5yv0i1l2HuaPt17OnwxHt1ilxmVFDH7xVfzWFOSEbj3nqYvPN8Ahr2nVAJwYnXMaXXs7I06zkYpxmpr2zBJ5TJqgnSd1kEUteugCEWsNz3UYpm0aRIvNzyDieof1+fcw6ATwKF0NXODROn6UloDlEta2wfyBVYQh+oamvH+5CDJ/dVzi+UPH12p5PWXOs/6u4d/0s9SfqpfPnryzSd/vSnwH6fJv9Lv+LDbAPDBwyfdD7o0+f/+zjv/KXjtbZUlq7/8L/rtV6+/evWofXetKN7evCeKw/DJd9MwvFKf/KTPwS+xOljiDsYT1of/rhzxr8qp33zyX5/85WY/xEFBYvfDj5XjVGp79cbbb/3Ju+8sbx4/flv96ptPvq1S3X/u9gP/plta+Gh7j8vDz/SPdPP8JEiVY3/wf9tstfhUuW/zXKz68PfUN+rvqz/xU5U1/1J998GTb+7/tSd//e+eul29aMffXD35i65Fv7093cO2I4OxSQ6FkqFJzpGSM5KwbMjoHU5fYeVwrQcDFMb0nhHlErZjcOI5TBjnyFP32Wq2K98P3xbIC+4wasApFtqmj3jRXLsfgmZsz0dIe5Z80OOd7SEGt9ca78ApokM2z8UUorXgihYqLb0VU4j4AsM/SzGFaKJ0MhEw76iY0puDvkw2GFzmOodyI1oILlk5KDJDMYVoo8vSD2KhiOP+DVx3ZBM9FlOK3aJmbi6mUMnA+ebMxRSqteCU41pMyZ8WUwbvivsy3Wpw6jmHSNUwL9wZMF6lY4BTyCnFlPyF5xvCUEyhUkhHCjiOtGev94YdF1OoBoOzDKz0gXGnBMedR3QqcGY6YzGFailDMSV/WkwZ7Kj3dItdZlRSxOxTJ/NYU5IRuIsp+QvPN4ChmEIlACdW52JKfr036riYQjFWW5svoyRJRBSkeZoFom2SoG7bVbBK0pVYi3oZr7ctMpioGjJ1WrI6WEwp3CBRuvGLKYwgDmtjaMb7XDGlO8BSn2z55DtdMeTDJ3/Z/eIjlcF+oHPf9/WDknoRfnta5d/q79SnPvz//cXVF9995xvvbX7+8vKdP/mP77x9Vb7z9XeuvlCv119vrw6qJU++K4wVE0YvStyLeFaKVqU+Uf/5tXLsN3fHo+wWFn6+e6MureiK074R9Gc3h6385uE32o2/t/PvF99Z/uk39A9uDmoo3w8iefPU2ZsCia5gda31q01lpLcnvszqeoc1znPk14wkPJWR/tHxFVYS18VZhEOm4jYVfSx3rCyjFUdSkRXD9RFOQoc54Byp5z4BLXbr6cP3k/KCO4wdcNbk0KyPeOlceyFCZyuR2Ju05IMes0SS9LG9mEehkS0+ZPNbIqFaC65ToYLRV4mEii8w/HOUSKgmSicTAfOOSiS9+xReJhsMLl6dQcJRLQQXolyk2WCJhGqjy4IOYGEiboXss/CObKG/Ckm0vb9aPyxpqpCQycDp5rwVErK14IzjWCGJwn2FJBq8Ae/LdKvBmeccMlXDvHBnwHiVjgHOICdUSJTtzzfEcIWETCEdKeA40p693ht2VCEhGwxOMrDWB8adEhx3HtGpwInpfBUSsqXnr5Dsx5uvGjrqPd1ilwmVFDG7zMky1pRkBOYKyX6c2TXAcIWETABOrK4VEhU7e6OOKiQkYzdTVFZHebEM6uUqDEQThkEdqW+LPIzzNM+SptiO/oN5qiFRp+WqQxWSyHgR2TEkSjd6hYQTxGF1DE147Qv7RzntQXXkV31+eInVDxL3A55W9rlCH5b5LfXtB8oh26PeP+m+eV955+PnKkhHjnvx6037ja6g8frLr7zx5RfvN6WM9PmqxbP/QlcY+an+3fdT7eMifEFlt7F47krXgzJH75jxMqv3HZYqz5EjM5KMW+bgJHFdYAU4lOrKC9mHcseKMlqVI8vy2/5dCV/iBXQYxs+RPe5zyN2FoJHhgldWcIeRA0588FZ9xAvn2gUROEuNA2jRkg96zBqH6GNTqjE2siWHbJ5rHERrwZUmVPJ5q3EQ8QWGf5YaB9FE6WQiYF7P1a4DG1qoJoMLUOdQcEQLwcUkF2U2XOUg2uiyKANYmCe3Aw/dUg30WORIdouN5ktdyWTgfHPmIgfVWnDKcS1yPL3UNTJc6kq2Gpx6ziFTNcwLdwaMV+kY4BRySpHj6aWukeVSVzKFdKSA40h79npv2HGRg2owOMfAWh8Yd0pw3HlEpwLnpTMWOaiWMhQ5nt7nOtxR7+kWu8ynpIjZp07msaYkI3AXOZ7e52oeZ16nE4ATq3ORQ9/n2j/GvEEztlOJSxElURgFYVzUgZC5UGlrmwVpUa/CaL1q6nrbYQcTVUOmTktWB4sciRskSjd+kYMRxGF1DM147UWOHzz89OHv9ZVXD//fh589/OP2LrCni+3b5zv02n20ebxj+OkOTudI3Dl4stmH8TIrhsNC4DkSUEaSkUsIjCSu65cARxHfhkP5LCPJaBWEPA5v86IP8Eu8gA5j5DlSs32CtrsGNDLc68oK7jBwwFkF3qqPeOFceyACZ6sg2Fu05IMes4Ig+9iUJBNGNnHI5rmCQLQWXMZB9ZS3CgIRX2D4Z6kgEE2UTiYC5vVUEHqD6mWyyeDqzjkEHNFCcKXGRZgNVxCINrqseAAWSnFb9M5dd2QLPZYQ5G4pT5hLCFQycMI5cwmBai0457iWEMTTEsLg5Z5fplsNzj3n0Kka5oU7A8ardAxwDjmlhCBeeL4hDCUEKoV0pIDjSHv2em/YcQmBajA4ycBiHxh3SnDceUSnAiemM5YQqJYylBDE0xLCYEe9p1vsMqGSImafO5nHmpKMwF1CEC883wCGEgKVAJxYnUsI4npv1HEJgWJsp72jZV2n6TJos6gNRLJeBbVooyBrk3gVNutWLuWGZzBTNaTqtGx1sIQg3SBRuvFLCIwgDstjaMrrXkLQM0j3fMA3N48O6O+jMHxB/5+xfMDoGIk7Bs80+zBeZsVwWAU8R/bJSDJy+YCRxHXxEuBIw1vRvxB7x4oyXv0gKm6TpA/wS7yADgPkOfKyfXYmd6vN0pChcYI7jBxwSoG36iNeONcuiMDZ6gf2Fi35oMesH6R9bEqPpUY2ecjmuX5AtBZcw0HFlLf6ARFfYPhnqR8QTZROJgLmxeCt3lSDwYWdc+g3ooXgIo2LLhuuHhBtdFnsACxM8vw2kX0m3pFN9Fg+2N2uG5lv9SaTgfPNmcsHVGvBKce1fPD0Vu/IcKs32Wpw6jmHTNUwL9wZMF6lY4BTyCnlg6e3ekeWW73JFNKRAo4j7dnrvWHH5QOqweAsA2t9YNwpwXHnEZ0KnJnOWD6gWspQPnh6q/dwR72nW+wyo5IiZp86mceakozAXT54equ3eZx5nU4ATqzO5QN9q3f/GPMGzVhtLXZrouYZTFQNmTotWR0sH2RukCjd+OUDRhCH1TE047WXDy7tVm9OB0vcwXjCesKt3ldTuNObs0EOZZKhQc6RkDOS8BRU+jheYeVwXcsFKIzJPSPKaOWU4Tu9WfEcpotzZKn7XHV3B3RkuNObFdxh1IATLLRNH/GiuXY/BM3Yno+Q9iz5oMcspfQ+Eqa0qfkmuPSQzXMphWgtuJ6FCktvpRQivsDwz1JKIZoonUwEzDsqpfRmoC+TDQYXuc6h3IgWggtWDorMUEoh2uiy8INYqOT+bdirHO/INnqspewu143Ml3qTycAJ58y1FKq14JzjWkt5eql3ZLjUm2w1OPecQ6VqmBfuDBiv0jHAOeSUWsrTS70jy6XeZArpSAHHkfbs9d6w41oK1WBwmoGlPjDulOC484hOBU5NZ6ylUC1lqKU8vdR7uKPe0y12mVJJEbPPncxjTUlG4K6lPL3U2zzOvE4nACdW51qKvtS7f4x5g2astha7XlHzDGaqhlSdlq0O1lIKN0iUbvxaCiOIw+IYmvJe6KXenF6UuBfxtBQtSl3+pd6crndY5DxHgs1IwlMaGXzWhJHEdXUW4Uhina4P5euMMKOVR4y3erMSOkwC58g99xno7groyHCrNyu4w+ABp00OzfqIl861GyJ0tiKJvUlLPugxiyS9yvrFPA6NbNkhm98iCdVacKEKVYy+iiRUfIHhn6NIQjVROpkImHdUJOmtEr5MNhhcvTqDhqNaCK5EuWizwSIJ1UaXFR3EwjS5Fb3VsDuyif5qJPHuet3YfK03mQycb85bIyFbC045jjWS+Om13rHhWm+y1eDUcw6dqmFeuDNgvErHAKeQE2ok8dNrvWPLtd5kCulIAceR9uz13rCjGgnZYHCWgcU+MO6U4LjziE4Fzkznq5GQLT1/jSR+eq33cEe9p1vsMqOSImaXOlnGmpKMwFwjiZ9e620eZ16nE4ATq2uNJNbXevePMW/QjN1MUcj1jJpnMFE1ZOq0ZHWoRhJHbpAo3eg1Ek4Qh+UxNOO1L+0Tr/Xm9IPE/YDnlb9V13pzet9hrfIcSTIjybiFDk4S1xVWhCMrbvNwKOdmZBmtzmG615sV0GEcP0f6uE8id7dAx4Z7vVnBHYYOOPPBW/URL5xrH0TgLFUOoEVLPugxqxxFH5uSjbGRLT9k81zlIFoLLjWhms9blYOILzD8s1Q5iCZKJxMB846qHIP3elNNBlegziHhiBaCq0ku0my4zkG00WVVBrCwiG+l6LPwjmyhxzLH7oLd2HyxN5kMnHDOXOagWgvOOa5ljqcXe8eGi73JVoNzzzl0qoZ54c6A8SodA5xDTilzPL3YO7Zc7E2mkI4UcBxpz17vDTsuc1ANBicZWOwD404JjjuP6FTgxHTGMgfVUoYyx9OLvYc76j3dYpcJlRQx+9zJPNaUZATuMsfTi73N48zrdAJwYnUuc+iLvfvHmDdoxnYyEbpDUvMMZqqGVJ2WrQ6WORI3SJRu/DIHI4jD8hia8trLHOe82JvTORJ3Dp5t9mG8zIrhsBJ4jgyUkWTkIgIjiesCJsIRRreZXiw8ZrljZRmtiJAbrvZmBXQYJc+RnO1TtN1F0LHham9WcIehA84r8FZ9xAvn2gcROFsRwd6iJR/0mEWEqDe9UqpMGOGKQzjPVQSiteBKDiqpvFURiPgCwz9LFYFoonQyETCvp4rQG1Qvk00GF3jOoeGIFoKLNS7abLiKQLTRZdEDsDDNbqPeyeuObKHHKsLujt3YfLc3mQyccc5cRaBaC845rlWEp3d7x4a7vclWg3PPOYSqhnnhzoDxKh0DnENOqSI8vds7ttztTaaQjhRwHGnPXu8NO64iUA0GJxlY7QPjTgmOO4/oVODEdMYqAtVShirC07u9hzvqPd1ilwmVFDH75Mk81pRkBO4qwtO7vc3jzOt0AnBida4i6Lu9+8eYN2jGdtobuklS8wymqoZcnZiuDpYRpBslijd+GYERxGGBDM153csI1Mu9OR0jccfgqWYfxsusGA7rgOdIPxlJRi4hMJK4Ll8CHFlyW4RD2SwjyngVBMPl3qyADgPkORKzfXq2uwo6NlzuzQruMHLAOQXeqo944Vy7IAJnqyDYW7Tkg1b/+6ObzXT/hyZ5dtZKwpAwSw2QkfBVSeiNwy+QrQVXc1BVRaokbI6c/MHDjx5+fPXw86tI33L28cPmurPupi31hk8ePugO9dRXdX3w8Mnmx58++fOuyPC97qKuPse8RHaMwBxzlhoD0UTpZCJgXnJYY1ABd7P7qjfwXiYbDy4EnUPuES0EF3VcZNxwtYFoo8viCGBhkvVf1HNHNtBjsSG7US+5finUSxLql0i/xPol0S9Cv0j9kuoX/YlEfyLZnUAfm28RJ3sFnNDcCxVRVAydDPkHdHPBOc21UvH0GvHYcI042WpwbjuHINYwL9wZMF6lY4Az0SmViqfXiMeWa8TJFNKRAo4j7dnrvWHHlQqqweAEBWcVwKBV6kGr1INWqQetUg9apR60Sj1olXrQKvWgVepBq9SDVqkHrVIPWiU4aD2iewScEN2qHIYB66t0UxnKHE/vIB/u5fd0i11mclK47TM880BVkhG4yxxP7yA3D1Kv0wnAadm5zKHvIO8foN6gGdtlKEm+DpMmD8JYyEBkIg3qddIEhVgVIsnSsEmaDc9gHm1YUCDm0oNljsyNEsUbv8zBCOKwiocm5P/nk+9s7mTY3zD+866CofPrT7qSRnIjX+hfA3mJFVbisHgG24fxMivGoUwwYOC57JO/evLtPpQvsqLw1C5kH8grrCCu66YAhkzlbS/JHSvJaJWL8LboxfsSL57DiHeONG2frO3uXY4N92izgjsMG3CGgbbpI140196HoBnb8xHSniUfdKfGinpdZ/VqGcRpKALRrPMgj+IkSOJCxCIVMs+2OmVMNda7JKrUmOmutl5XYHjjqzFGEIexyVmN7ZVX3NtDX2IFkzjYycqLEcNhCD2L8mJEYVFeyVCtgRHEdewHMJRVvdnJHSvIiMIrHjq3khPPYXA7q/DKdxO14ZJoVnCHUeME4dXfpo940Vw7H4JmE1729iz5oDdnhjRFKsOkDWSeF+q9eR402TpV34bLWm86iev28ejCq7daroRX4eoKDG984cUI4jA2wcKruxX2o4ePHz54+Pnm8tFfaAn28Ev14190l8V+9PDh1ZO/6i44/fnNlfrEPz783cM/dTuAf9TJtYef9W8Ce4nVGRJ3xslijRHDYdjFxZpqs3/tQ/kiKwqLWAtvE9mH8goriuuMAYBEyW3Uv+xwx4oymmCTcvBCVVY+h1HxrIptd/tmbLhQlRXcYeggK7bBRn3Ey+baARE2m2SzN2jJB72pXKbLpaibIpBJmAZCNGHQhPEqyJJlHYvVUsi0eTy6ZBN9rngxT0x39vQvG0J4o0s2ThCHwQmVbP+sdNnH22vov90d3fY3z+36VT/61UaXPfPc1pO/fPpsVhq+EPfuZnyJ1RUSd8Wpgo0Tw2HUxQXb8OoaJwqXYOsjeYWVxHW6ADh0rjqwvsZJMp5cu00H1BornsOAeE61loTbyT0xXDDKCu4wbtDV2kCbPuJFc+19CJpFrAHtWfJBd2JtlRTpMhFJIMJ2GYgkbIMmlVGwXOdtXkfhOs7E49HFmuxzhRJrpgtyel2B4Y0v1hhBHMYmVKz9k5JfHyjBZpZrV90DYb9WP/pOd1Tcz7tHun6uBRtZyTH6SeJ+OlnJMWI4jMhnUXKMKCxKLrnt3Zn7CiuJ61wCcESJvNVlkWOUO1aU0aRcJG+LIS3HyecwXp5Vy+1uhEsMd/yxgjuMHGQtN9ioj3jZXDsgwmYTc/YGLfmgOzEX56taJukyCLM0CkQU1kGTyzbI83W4ysO6bXeOGVPM9Y6/SszFrq7A8MYXc4wgDoMTKuZ+8syj9X+zEWa/fni/E3PvK8328ZPvPfmvT/4/+qJk/btMviDCF8IbEXZ72oZOQeL0gcR9cLJQY8RwGG5xodadwvCvt1f97fJFViAWuTa88MZI4jpbABymhTdGktHUmihuQ9HH9yVePocB8axqLd5N7oY771jBHYYPslobbNRHvGyu/Q9hs6k1e4OWfNCbpbdWiDzSVzaHyToQ8boJmiJMgnUdrcJcyDYR9ePR1VrvSoxSa4mrKzC88dUaI4jD4HSCWjMtowFKjZFf4vwnKzVGDIeh9oxKjRGIRamJ/qHiFVYS15kC4Iiy4UsYOFFGk2ppelsMPITAyucwGp5Vqu1uSUoM916xgjuMH2SpNtioj3jZXDsgwmaTavYGLfmgO6kWtk3WLNdxUC+jPBDNSim6NkmDZLlsxHIl8zzcRvuYUq23/ZVUE66uwPDGl2qMIA6DEyzVnh6IeXSApfr2yfcePtHHXtpFXJ83XmL1hsS9cbJwY8RwGHhx4WaohTKiMEm23gLiK6wkrjMGwBHJ/HZr8rFkY0QZTbLJW9G7ePglXjyHQfGsik3sJnjDVVCs4A4DB1mxDbXpI1401+6HoNkEm709Sz7ozdpak2VpEeZBnbWrQLTrNqijNgwisQxXSVOv1tH68eiCrTfLVIJNuroCwxtfsDGCOIxNqGD7sT5xXJ+IffXww4cPn3z3ybeffEdfcPrkWw//8vC++uoXnVaThttfOIklTnyyKGPEcBhbcVFmXU1jBGKRZtFtKPtQXmFFcZ0cAJCkuJV5L8odK8po2kwMP3LAiecw/p1Vm+1uDEkMd8CwgjuMH2RtNtSmj3jRXLsfgmbTZvb2LPmgO23WrpM0XaVNEEVax0XpUim6pez2trXqZ213h/3Y2mzoyvkkdfUFxje+OGMEcRicCOLsfX0DvRJo33zynW5r2vtPvnf1OX3YrT7q9jdPvqeU2kcP7/++XawxekDiHjhZrDFiOAy2ZxRrjEBMYq3/YL9XWFFcZwsARGS3UT/KHSvKaGItvs2HxBonnsN4eFaxlu4md8NNJazgDuMHWawNtekjXjTX7oeg2cSavT1LPuhOrKXrPEzXqzBYx+E6EMu0CPJVUQTLthVhmqzrUGyH2FHFWu9KqhJrzocAY3zjizVGEIfBCRVrP+jOvf11V9HcHMDWraR9uLmOQCm19/X2tU2Z80pJu+8//NPDzx7+/uEf1P/9969t7gn88qNARlcP3+9zyEusDpG4Q07WbowYDmOvg3YbPISNE4VFtQ1c0v4KK4nrrAFwJLdZ7xaBO1aQ0SRbng9rNk4+h2HxrJptd7h9YrisgBXcYdwga7bBRn3Ey+ba/RA2m2izN2jJB71dYatXcVKvg3XTrJSsi+OgjposCJdJkS9j0SbJttFHFW29m0+UaHM+QBjjG1+0MYI4jE6waFP67Df63qjujI4Prp5868m3u4M79kd8dILtA32r88f6h0/+eivV9GOiStL968On+jN6U5s+X1dJu+63UazvnIrD8IVY9h+7+BKrqyTuqpPlHCOGw7DsIOeGrlHmJGFRc4aCKSOK63wCgBgLpowoowk6fXKJTPoAv8QL6DBmnlXR7U7NTwy3ILCCOwwdZEU33KqPeOFcuyACZ5N09hYt+aA3G9qiVRStZBE0cq0P4F2GQV4ILQTDKA3DuFl7WYfrDQAl6QpXX2B840s6RhCH4QmVdN/vSqEfPPlm0N2G8OHDr7uiaPqCGNJhjHwS5ztZhzFiOAymuA4zPFTAiMIixMLbTPahvMKK4joLACBxfhv3o9yxoowmxAzFUE48h3HurDJsdxJ+YrjagBXcYeQgyzBDMZQTzbX7IWg2EWZvz5IPWqswk7gauEueJqwGFsqE6STgJAwP4fYX32O2uqil9DZRpkptbP+BTV8gW3s4XAx5FpRE//Dw6WYf2cO/XXUbkbaPaOqDavUK1tUzj2LqwuVmgevDh19ePfzg4UcPP756+PlVpDeb6TvVf3W1e7bzw4dP9Aa17v8+VK+fHD3y+ZOHn/Q55iWyYwTmmK2W+tpb30Dirs/Ef082UTqZCJiXXD35L5vGu9Ue/Vkgb6Ob3Ve93eRlsvGHw/WA8bjIG1xso1p4qN8GLMS1W3Qb9q/QvkK28XBmGLARFWVJdFsMVDupFh7prQETnbTW0eR198WX7+9fu99OX+Ubr37u1VxEN+ol1i+JfhH6ReqXVL9k+iXXL4V6kaF+0Z+QarZTo5Im1jPfTdg7+X2J7hBwMts7pPzjdx+93Te6HMVXVBQDVy/9Ad1ccD7bm4s0l/be9aat/mDr5z6rv0y3GpzXziGBNcwLdwaMV+kY4Cy0xxiMlQHbtdkvPN8QQxRfoVNIRwo4jrRnr/eGHRj8Gt1gcHKC8whgvCr1eFXq8arU41Wpx6tSj1elHq9KPV6Verwq9XhV6vGq1ONVCY5Xj+jOAOfBPznXWPVVuqm5g6lIMz16Ok591dDB7+kWu0zgpEjbJXSWMaokI8TgBP/eiePTrgGGCF6nE4Az8ntOY5P26PXeqANj36AZe6m1ibh/s59Kok0nsPdQonijlyY4QRyW7NA83Lk0wckncT48V+3DeJkVw2GBEc9ah0sTnCgjlyY4UVzXRgGQOFFZcO9xb3esKBdQmmDFcxjnzpGX7bOz3VUhwnD3Cyu4w8gBpxRomz7iRXPtfgiapTQBtGfJB32xz2nF/Su0SoPFrq7A8MbXYIwgDmMTqsH4H9PidIjEHXKyaGPEcBh6cdE2/JgWJwqTaBt4TIuTxHXSADiS22iwcsFIMppkMzynxcrnMC6eVbPtLgwRhhtgWMEdBg6yZjM8p8XK5tr/EDabaLM3aMkHfbEnIcX9+zmUaEtcXYHhjS/aGEEcBidUtDEchMTpAYl74GSVxojhMNg6qDTLQUicQCxabfggJE4U18kCAEmK2yLtHfjuWFFGU2uGBTZOPIfx8KxibXdliDDcAcMK7jB+kMWaYYGNE821+yFoNq1mb8+SD/piTxSPb0WfK5RWE66uwPDG12qMIA5jE0GrUU8U5ySWOPHJ2owRw2FsPaM2YwRi0mZDD8hzorhODgBIktzKtOhDuWNFGU2bDZ8ozornMP6dVZvtbgcRhtteWMEdxg+yNhs+UZwVzbX7IWg2bWZvz5IPutNmUV2s4mUaBUqvrQMRJzJooiIP2iILo1WzyqRoH4+uzXpHX6XNpKsrMLzxtRkjiMPYhGqzn2wOMdLa7EdKib3/5DtP/vzq4X8oWfarbv3sXx4+Va+/2JY59dFFT76rTzHSr7dyQBe8xOoFiXvhZL3GiOEw3jrotcGHqxhJxhZqjCiuMwUAYhRqjCijCbVw4PmAL/HiOQyGZxVqu6tChOHqF1Zwh4GDLNSG2vQRL5pr90PQbELN3p4lH/TF3qMc36Z9rlBCLXV1BYY3vlBjBHEYm3ChxnqPMqc3JO6NkwUbI4bDuIsLNsNzBYwoLIpt8B5lThLXGQPgiBJFkok+ljtWltEUmxy8SJkVz2FUPKti290XIgz3v7CCO4wcZMU21KaPeNFc+x+CZlNs9vYs+aA7xRbnq1om6TIIMyXxRBTWQZNL9YF8Ha7ysG7bnWPGVGy9U7tSbJmrKzC88RUbI4jD2AQrtmdE2t9sdNmvH97vtNv7+qzwJ9/rtqt9uNFmmXxBhC+ENyLU3yWDC2uMPpC4D07WaYwYDqMtrtOshVBGIBa1FvbvaH2FlcR1tgA4iltZ9E58d6wko2k1UdyGvVr0S7x8DgPiWcXa7p4QYbj4hRXcYfggi7XBRn3Ey+ba/xA2m1qzN2jJB73ZpNYKkUdhGNRhtxa3boKmCJNgXUerMBeyTUT9eHS11vvgulJrpgPTe12B4Y2v1hhBHAanE9SaaRUNUGqM/BLnP1mpMWI4DLVnVGqMQCxKTfQndq+wkrjOFABHJMPbWA5VQhlZRtNqaXpb9A7rX+LlcxgOz6rVdheACMOVLqzgDgMIWasNNuojXjbXHoiw2bSavUFLPuiNVkuKdJmIJBBhu+weOQiaVEbBcp23eR2F625lfmyt1jtoKa1WOLsCwhtfqzGCOAxOqFb7JzXDf/DwC31c2tNr+Z6riqof/eqqq5j+Wv3oO90Ffj/vDibXt/rRq6SMfpK4n07WdIwYDkMyrukMVVJGFBY1l/RvrHiFlcR1LgE4okjehkVvxfeOlWU0NacAi6GNbZx8DgPmWdXc7iYRYbgZhhXcYeggq7nBRn3Ey+baAxE2m5qzN2jJB92puawpUhkmbSDzXJ/VludBk61T9W24rOs6TeO6fTy6mot6A+DFXDoe9YvyjS7nOEEcRidUzv2fSom9351/+8H2ALaHX3QC7Zfqx7/Q6k5fpHz15K/Ub5WMu7lSn/jHh79TMvDvH3788KONmPtZ0lvPeonVGRJ3xqmajRPDYeDFNdvw4WucKCyaLbxNZB/KK6worlMGAKIvJx1YgOMkGU2ySTn4LAIrn8OgeE7JJsPtDC8Nd5qwgjuMHGTJNtioj3jZXPsfwmaRbECDlnzQnWQr6nWd1atlEKehUO9d50EexUmQxIWIRSpknm21zKiSrXeLh5JszscHY3zjSzZGEIfRCZZsek3tyXceftOJr+RGvtB/5NVLrGASBztZfjFiOAyiuPwaXjLjRGGRX0nv6P8KK4jr4A9gFLLoP8T3jpVkNPEV3sYDxU9WPIfR7azaa3e6vTTcVsAK7jBskLXXUJs+4kVz7X0Imk162duz5IPupJdI8nWYNHkQxkIGIhNpUK+TJijEqhBJloZN0jweX3r1rvEr6RW7+gLjG196MYI4DE7O0ksfcfupfunuKehuYv5kL8f6BfNLrLAShz1ZjjFiOIyrZ5FjjCgsckxfE3oM8goriOuEAGCIrLiVvSh3rCgj6rGiF+9LvHgOQ95Z9dju4HppuImAFdxh3DhBj/W36SNeNNfuh6DZ9Ji9PUs+aC3ITDpr4OZRmsbqLVwpgZUY4aJDuP01qZitLsIpvU2UqVIb2//Y2BfI1h4OF0OeBdXRPygV1J01+/BvV91O8O2ZGXof2MO/Kr30zK4vXWnsjjV7+PDhl1cPP3j40cOPrx5+fhVpUaXl1K+udodtfPjwiT7Etvu/D9XrJ0dncPzk4Sd9jnmJ7BiBOWarpL721jeQuOsz8d+TTZROJgLmxVdP/sum8W61R38WqIC72X3VG3gvk40/HK4HjMcl3uDZa1QLD9XbgIUOyu027K+kvEK28XBmMF3JDFioUuLbpHeD3B3ZxCPBZbjWHhZbR7PX8U3xSm6IG/Ui9UuqXzL9kuuXQr2koX6J9EusXxL9IraXxMvuSPeBS+K/RPcFOJHtfXGOi+L/gG4uOJftzUVaSntve1n8H2z93Gf1l+lWg3PaOeSvhnnhzoDxKh0DnIH2GO6Xxivbn2+IIYqv0CmkIwUcR9qz13vDDgx+jW4wODHBOQQwVJV6qCr1UFXqoarUQ1Wph6pSD1WlHqpKPVSVeqgq9VBVgkPVI7ofwOnvT841TH2VbmruYCrSQo+eDlFfNfTte7rFLvM2Kcj2eZx5eCrJCDE4rb934tC0a4AhgtfpBOBk/J7TsKQ9er036sDYN2jGamuxe5c1z2DWbFg2IGbO/QVVlTsLN0oUb/ziBCPIoUwxNQ+Yfn+/u2zvgyffDLr9vB8+/LqrSKQviN4h9yVWPonz4SlqH8bLrBgO64p4smqoRzCisNQjwttM9qG8woriuiQKgES5uM16nzy8Y0UZrSIxfN0eK57DOHeOlGyfmO2uAJGGK11YwR1GDjibQNv0ES+aa/dD0GwVCXt7lnzQ26uR61Wc1Otg3TSrQCRxHNRRkwXhMinyZSzaJNm2+ZgarHfZU2kw6eoKDG98DcYI4jA2oRrsB0p2/UbvDemedf/g6sm3nny7ewB+/6h896z7B7oU0l3+8uSvt9e76FMpH97XZRL9GV0A0Q9ePfxq89so1vtK4jB8QV8D0+eql1hdJXFXnSznGDEcBmVczg3XHhhJWNTc8L0vnCiu0wkAEsv8Ns16d0/esbKMJueiRN72LzN8iRfQYdA8q6DbXRUiDVe/sII7jB1kQTfcqo944Vz7IAJnk3T2Fi35oLeSDrlteWxJ19v+StKl7q5A8MaXdIwgDqMTKumeuUH5fSXlPlGq7ZtPvtMdH/7+k+9dfU5vWNF7gH/z5HvdAtz7v2+9UZnTAxL3wMlKjRHDYbR1UGqW4yk5gZgEW/+jf6+worhOFgBIEmYDuyvvWFFG02uG5TdOPIfx8KxqbXdNiDRc+8IK7jB+kNWaYfmNE821+yFoNq1mb8+SD3pTAoVuXx5bq4k+Vyitlrm6AsMbX6sxgjiMTQSt9kOl07775NtPvqNE2b8qifYvD++rr35h12aMxBInPlmbMWI4jK1n1GaMQEzabHAxjRHFdXIAQMyLaYwso4kzcZsOiTNOPIcB8KzibHcriDRc88IK7jCAkMXZUJs+4kVz7X8Imk2c2duz5IO+2FuUk9ve4VeJM/Mh6j2uwPDGF2eMIA5jEyrOmG9R5vSGxL1xsnBjxHAYd3HhZtjNxojCItkGb1HmJHGdMQCOKEzEbdZ/eMgdK8xokk0OXqPMiucwLJ5Vsu0uB5GG215YwR2GDrJkG2rTR7xorh0QQbNJNnt7lnzQF3uN8sD9DEqyFa6uwPDGl2yMIA5jEyzZOK5R5vSBxH1wslBjxHAYbXGhZl1hYwRikWuD1yhzkrjOFgBHltyqPLsP5Y4VZTSxZrhHmZXPYUQ8q1rbXf4hDbe5sII7jB9ktWa4R5mVzbUDImw2uWZv0JIP+mLvUU76L0d9MU/Np6T3LTZCeKPLNU4Qh8HpBLl22j3KnPwS5z9VqnFiOAy155NqnEAsUm3wHmVOEteZAuCIIpnd5kNX73HCjCbWDBcps/I5jIfnFGvp7tqP1HCPCyu4wwhCFmuGi5RZ2Vy7IMJmEWtAg5Z80Bd7kXJy29v+SqyZz1XvcwWEN75YYwRxGJxQsebtImVOP0ncTyeLOkYMhyEZF3XDhVJOFBY5N3iRMieJ61wCcOR5qtRcL8sdK8toas5wkTIrn8OAeVY1t7tJJDXcDMMK7jB0kNWc4SJlVjbXHoiw2dScvUFLPujN1TDpcinqpghkEqaBEE0YNGG8CrJkWcditRQybR6PruaKPlcoNRe7ugLDG1/NMYI4DE6omvtnpdI+tmg5smBjdIXEXXGyYGPEcBh1zyLYGFFYBNtgqZSTxHW6ADhMpVJOlNH0mhx8FIEVz2FEPKtc2100khoujmEFdxg4yHJtqE0f8aK5dj8EzabW7O1Z8kFf7B3KyW3UGwBKriWuvsD4xpdrjCAOgxMq1/A7lDnBJA52svhixHAYQ88ivhhRWMTX0B3KnCCugz+AkSVF2F9EuGNFGU17DV+izIrnMLydVXslu7nacH8JK7jDuEHWXsOXKLOiuXY/BM2mveztWfJBX+wlykp79T5UorSXcPUFxje+9mIEcRicnLUX6RJlTliJw56sxxgxHMbVs+gxRhQWPTZ0iTIniOuEAGAkaSH7DyC6Y0UZUY8NXaLMiucw5J1Vj+2OuE8NVxawgjuMGyfosaFLlFnRXLsfgmbTY/b2LPmgR71EuXcQUgJLGuHiQzi/lyhTrT0cLn7rLlGmOkZgjjnHJcpUE6WTiYB5R5coy/0lyrL/cImXycYfDtd8lyhTLTxUb5yXKFNtPJwZTrxEOYrC23RoQxnRRH+XKKf66uRUX52c6quTU311cqavTs701cmZvjo501cnZ/qy5Uxftpyl25tJ0+5U98FLlMm+ACeyM1+iTDYXnMscL1FO5f4S5XTw9Pwv060G57RzyF8N88KdAeNVOgY4A51wibKy/fmGGKL4Cp1COlLAcaQ9e7037MDg1+gGgxMTnEMAQ1Wph6pSD1WlHqpKPVSVeqgq9VBV6qGq1ENVqYeqUg9VJThUPaL7AZz+zniJMtnU3MFUpIUePR2ivmro2/d0i13mbVKQ7fM48/BUkhGYL1HeD027BhgieJ1OAE7G7zkNS9qj13ujDox9g2astha77E/zDGbNhmUDYuY8dInyVkPClCje+MUJRhCHlTo0/Xa+RJmTT+J8eIrah/EyK4bDuiKerBrqEYwoLPWI4UuUOVFcl0QBkDy+LYZuceFEGa0iMXyLCyuewzh3jpRsn5jtbv1IDbe4sII7jBxwNoG26SNeNNfuh6DZKhL29iz5oC/2xr2BU3+VBstcXYHhja/BGEEcxiZUgzHcuMfpAYl74GSVxojhMNbiKs16kBEjEItWG75xjxPFdbJAQJL8NulnuWNluQSxxonnMCCeVaztbgFJDbe6sII7DCAcYo0TzbX/IWg2sWZvz5IP+mKv3BND1yOn5tPSe1yB4Y0v1hhBHMYmglijXrnHSSxx4pPFGSOGw9h6RnHGCMQkzoau3ONEcZ0cEJAovY2K3pHujpVlNHE2fOUeK57DAHhWcba77yM13N/CCu4wgJDF2fCVe6xorv0PQbOJM3t7lnzQnTiL6mIVL9MoUIJNn0eZyKCJijxoiyyMVs0qk6J9PLo4E32uUOKscHUFhje+OGMEcRibUHH2E13C3IizH+mbW55858mfXz38D6XLftWtoP3Lw6fq9Rdf2+wijmUYPvluFG9eb+WAMHiJ1QsS98LJgo0Rw2G8dRBsgxt0GUnGVmqMKK4zBQJiVGqMLKMptXBgt9mXePEcRsOzKrXdVR+p4e4WVnCHkYOs1Iba9BEvmmv/Q9BsSs3eniUf9MVejiyGLkfOzAej97gCwxtdqXGCOIxNuFJjvRyZ0xsS98apio0Tw2HcxRXb8C41ThQWyTZ4OTInieuMgXCk4jbLelnuWFlGU2xy8G5kVjyHUfGcii3b3feRGS5wYQV3GDnIim2oTR/xorn2PwTNotiA9iz5oC/2bmQxdDdyZj78vMcVGN74io0RxGFsghUbx93InD6QuA9O1mmMGA6jLa7TbKVQTiAWtTZ44DcnietsAXAkyW3Uf3PZHSvKaGLNcDcyK5/DiHhWtba7zyMzXNDCCu4wfpDVmuFuZFY21w6IsNnkmr1BSz7oi70beeDC0xfzbebp4AoMb3y5xgjiMDidINdOuxuZk1/i/CdLNUYMh6H2jFKNEYhFqg3ejcxJ4jpTABwyDm+jcGhhjZFlNK1muBqZlc9hODyrVtvd5pEZbmdhBXcYQMhazXA1Miubaw9E2Gxazd6gJR/0xV6NLIauRs4SZ1dAeONrNUYQh8EJ1Wrerkbm9JPE/XSypmPEcBiScU1nKJMyorCoucGrkTlJXOcShKPIb5Osl+WOlWU0NWe4GpmVz2HAPKua290Pkhnue2EFdxg6yGrOcDUyK5trD0TYbGrO3qAlH/TFXo0shq5G1ma7uQLDG1/NMYI4DE6omuO8GpnTFRJ3xcmCjRHDYdQ9i2BjRGERbMOVUkYS1+kC4DBWShlRRtNrw1cjs+I5jIhnlWu760Myw3UwrOAOAwdZrg1fjcyK5tr9EDSbWrO3Z8kHfbFXI4vBq5G3Z2I6+ALjG1+uMYI4DE6oXMOvRuYEkzjYyeKLEcNhDD2L+GJEYRFfQ1cjc4K4Dv4IRhIVQ1cjc6KMpr2Gr0ZmxXMY3s6qveRurjbcSsIK7jBukLXX8NXIrGiu3Q9Bs2kve3uWfNAXezWyGLwaebvu7+ALjG987cUI4jA4OWsv0tXInLAShz1ZjzFiOIyrZ9FjjCgsemzoamROENcJAcFIZdFfBrhjRRlRjw1djcyK5zDknVWP7Q6uzwwXEbCCO4wbJ+ixoauRWdFcux+CZtNj9vYs+aDV//7oGSGiZdYfmnTXWa9K7m1hJbhMB/lG8uge6FGuSo77L6f6Atnaw+HjxKuS//vD+w+/6E6Z/Xl3FfLDL/XLJ44XKG+uR77SG8e06NIlyit9MFpXmPzgKrmJ1d+8uer+jY+f/Ncnf9ldQvDwoXqz/usfP/kb9e/q3Wfvb65WvtIf1H/p4edX+u9uTFBWPflWV/78VZ9PXyL7VGA+Pccty1QTpZOJgHnJ/pblPkNfJht6OMrz3ahMtfBQ9HHeqEy18XBCOfFG5TjUF172jkR3ZBtZrlRGT9n6Et1scG4i3H4cR4OXH5OtBWcnx8uPs2x/+XE2eDb+l+lWg7OUk8BFQ+NVutngRHDCZcdZ9sLzjh9y/lfoFNKRAo4b7dnrvWEHBr9GNxicM07ICoaO6iObDE4ijvcSDw4gX6Vbev5rifeDx1cNg8c93WKXye+c4VCSTWa+hng/aOwcPuT01+kE4Kz4ntOAoT16vTfqwNg3aMbqzPMZRTyYcn6jXb731jtv9zAQsk7ZB6BSTtPx5JGMB70N20rJOnuN/QLZ2MPuaHAsmHT+cLskr3endomiXpv/6OHDPrtVVpf/uzuy8UdKZNh6JzFyHOpvvPo5NT8WN68WYTi0vEaFONQlAAQ+ymjLv6It/8qQ5V+hWy7dLcdHF2X4a9rw14YMf41uOB718DzUC1BqgHIIoCQDHE1JFgC3eHldW/36kNWv063GR3HHmUgZ/YY2+o0ho9+gGe1nFVQO3XmfFUYGMeh4zFTSdGRYBCVaC6aX6Hz0z92y4vvd6uZ2GfSThw8e/k19+an6Sl/68G09WT357tXDL7qZSz8jqy9O3f9wP6Hpb3cTmvprfdwvkbkP5wHOhUqiidLJRMA8fazztn22bfPhwQL1zvv6eeZX63ffeufq/q13vv7WTbcB4OFfVWO8v1m61jd4/OTq4R/1/9PXdfzew88efnj18A8P33/46cPfq59t/vPw44e/17/tc8zLZMeASS6+MGoomRNNBJPa86yMEm10SQ4BC7dXdR8vihLNY1kUPZrN7r748v39a/fbYuBGeubhjXqJ9EusXxL9IvSL1C+pfsn0S65flE7NC/2JQn+i0J8o9CcK/YlCf6LQnyj0Jwr9iaL4fb13Rnumy0D7J9Ev0R0HTpbuy7KJ+reH12Wp5oITpuu6bPF0XXbwsoUv060GJ87TUqH9loPihTsDxqt0DHAeJCRD+yWX4oXnG8KwTkulkI4UcBxpz17vDTvOiagGg1MYvE4LjGulHtdKPa6Velwr9bhW6nGt1ONaqce1Uo9rpR7XSj2ulXpcK/W4VupxrdTjWqnHtVKPa6Ue10o9rpV6XCvBce0R3WngpOq2UmwY075KN5Vhqbh4ulQ8OBDc0y12UQOkiNxvtzGPZSUZgXvpuHjh+QYwLB1TCcCZ2zFh17GzN+o4V6cYq60NZbwMRZ4FMhGF3nAeB3WargKZrWWYherT6bYbDKbxf1yfcxO51K99kC/muemE/h5IlK4v4TdAuST9fSBfYAVx2E+Jrgf8Q1/yr1eqd5nmh8/mmdubHx+9+87b771zlYbh5nuVRX7Y5a0/17d7dyc3/IXOXv9FH9/Q7X/avu+HQZxe7c68736mUt6fdv/9Xyod/XH3lU5Mf/C1uPv6fz78dPe2//bws6+9+tp9992P1I/1TqmrpPv2hw8/2vwDV7FKwq6efPeq2PxncyZr93txm9wW4ZX6Q3/38D/7mu4l1qaTeNM5rBf8MBC3V3HU3cCpyG+vHn6gcvp/evjZlchkEIdRqq9Z/7urSKf7v1Hv1O9Tb7rqzrf9W70e8Ivk6uGfOi/9c7fc8Isn33nyV1d6M9qzQaEC4kMVGaqNuwcOPtIb4nQrXn1us69N/fTbu7Wg37/StnRm6X/41/rDn3SBoTfI5eqn+m73m6snf6Xi5JvdSR/vb/a9fdztp9PfFtt3XalY+LUK0O7T2zLKr/Rv3le2fEt99ufa9Cd/3q1ofbCxqAsMbfOT73bLXB93KyMfdpvrupPfPnz4pYpUvc1ud8LI937/6lo744cP/yPd/Lv6Xi3VBZQzvnvVhfan3Ud/rZzVdYxvd3/2g2cWyR4+vbnSyzDvd6s1m3/8wyd/2W3u+0jf63DVnV/ykX7L5u9dBVfdpsR/Uz/eOPp7mz7zy25v4vZP69754eYHHyk3//Vu66B6883Vw8+6Lrb5Nz5V5E//xe6vfbS1+1+65aQN1Kfbe1w/7fYp6ksoPu4+prcj6n/KgH7VffgD9faDXymSf1b/+q4BP9jtbfz5dr9kNzZ0EfPku6rlv7MNrt90uya7aNJYKrr+Zvt3N0Gl33R7tSui6YNgfq6Xtn6uRxW9OXP73l9t/twzuyz3Nnyo4qGzufvNBwrzw+5f6QLgl93i2r91hwJ+a/Pj32zPBtTnCX6wdfP23+vep6NP/+aXXX/48876v9gG1+aDys7v7v7i5tzBp6Gt/uLvK56/23azzfmDehlVm/rLZwbdm+eb7sOuax42VbdlVL2hG07/pXPfJjpUeKp//XtXXQ/5ePvezYpvB7CB/E3XLPpXv7rtGxBfZh0QHbbIn2OdkBOF59GaPo5XWDkOMwwDB7rmOLAPk5NixIdqhvZrsuI5iMBzrG3tVrjy3T1bueHeNFZwhxEDXpZB2/QRL5prz0PQjO35CGnPkg96k5/miWibVgQiKVaBiJZxkMdtGKybNEnyVRYWydYxI+anvTvwVX4aOXsCohs/P2UEcRiaxslPo23eqRVbp6euHv72yd905eyPdPb473d56cM/BsU+MdXSefPzHzz8JFC//Nvg0f1r6q8FKn63f1Inmi+oXOaFTYp5tc8x897x4yVWv0vc707JZaQ7xS6/jCSWX0Y30pBh/oP6C/99IGtU/8JQ1lhAWWMUSl9p4+PHb5+UOboljvrf0NDPJYTqT+l/vesmOkn/t+4xtasn/0V/VCfum8WZLuFQb/tYWdg9nLbZ1dFdHa13crzfpZrbzOc3Xcf7VF9MeLXJQnUSssu21De/6LKL97c50P/+vzYfVn9UGdr5+Fudz/7lYXv4+v/+uC/r1TzPZ7xdntKX8/4OZLw3G/LfdIH+/vZaSNW039k2o/LNdrXt0228TTUWPsvt/eX2jPORg1I/S27PiDJqbs/I4ZphUCnuWCkuIbfnxHMQ0GfN7XeXMuaGWzZZwR1GDI7cnhPNtechaLbc3t6eJR90l9sneREtcymCIkqbQIgsVV+tlkEmElkvm2hdrNrHY+f2SZ8nVG4fu3oCoxs/t2cEcRiaxsnt4drzLj//QZB3h21skr/D5D4MwjRLnib3unycPVtFfjbFv+rz/0us/pe4/51yfEkvIO+S+5+oTOjvnxZ9byZX872ypO4quTcm790tYr/p8tdduvar7ZUV39b2doJcJyPv73G6xGJzzcUvtCe3h8XotPKX3RrUB93iyCaH3SVDG2ue/PUuF/tA/VO7RObUWnLwu5BZ/9blm33j0Mus45CDUjtLbseIMmpux8jhqjARil6lfMeKcQnJHSeeg4I6a3K3u8U1N1zLywruMGRwJHecaK5dD0GzJXf29iz5oDfJXb1cLotVEyyXusibxmFQR3EWyKyQolWJYN5s854RkzvR5wmV3CXOnoDoxk/uGEEchqZxkrtd4bbbreuQ4+3KuEPlW5k/n+HlQxleXxu8xNoGEm8DpwQvSs5cwt3Whz7RYv/J32gVvKtXfLjRs1qd/6VWszfP1UJU45vrvrdX06v72lLHG3PZ99kU7ROdV21qf11e1503Gjz53sMvn/y18qfy1Wel088SvH/XJXiM45CDWjtLgseIMmqCx8jhqjIBil61dMdKcQn5HSeeg4g6a363u9c5N1zUzQruMGJw5HecaK49D0Gz5Xf29iz5oLe3DzVpFrZxkBV5HoisiIMmTZeBXLerOK2XMk3k47HzO9nnCZXfCVdPYHTj53eMIA5D0zj5XUjK744rdnnxzHbcrGc7bjaUyTF6W+Ledsrkss89fPz7eLnu48Fy3XO1o02bdSldp747qbzR2B8/VbXPyljdOh/qbYWbWpeW99/sMqydbt8mg0++q3++U9c6V/nOLpvoMojt/Qo6pesaXn1e71b83m9zKfHm6v7FL2v7Ev305t8d1w2vzls4fO4f/6xy+FliaUksGYdFB5l4lsSSEWXUxJKRw1XeUinuWCkuIbHkxHNQb2dNLHdX0OeDV9C/ygvuMGJwJJacaK49D0GzJZb29iz5oDeJZREmYa3eu8oLlYQmbRTkcVMHqzhq27RYLWXePB47sew9FlMlltLZExDd+IklI4jD0DROYkkrHB4XCtMYKhQOppeMPpe4z53SS/2053MZprVc+DFSLvzsic/Pnvj8rGz52ROfD5fxxKfey33eTHpCz3wyzkoOWv0s2T0jyqjZPSOHa45BpbhjpbiE7J4Tz0FCnzW7l7tsUBqye05whxGDI7vnRHPteQiaLbu3t2fJB73J7puwlm20Dpbxeh0I9b+gSBoRCNkUcr1sozbfZvMjZve99/Gp7D519gREN352zwjiMDRNLLtPTsvuGX0ucZ+7ZvcxntkfbwTuz+tvutKvUs+bfb/djuBdi24Sf52DHKX+6tdPc/+HqWX+thqvZcsvpej72VrB5a0V3Hy2WMAcDN4XC0YqujNOJw4i+yxpOSPKqGk5I4drcgBQ9Jaw7lgpLiEt58Rz0L5nTcvTXRqXGtJyTnCHEYMjLedEc+15CJotLbe3Z8kHvbk9PoqarBFJUNdtqFJ4lQEVrWwDUa/qcJVkjczk47HT8rzPEyotz1w9gdGNn5YzgjgMTeOk5efazV2ElsOVBxNyRm9L3NtOCXmO7+Q2Hrx0o6/6fdpuXaKslai+EHiTzGwS3g+7Lb/Hd/TcHCXgU99jvd9iTUy2P9th7SOt/V1J9hiHKgfpdpZkjxFl1GSPkcNVcgIUSR/FHSvFJSR7nHgOiuqsyV62Sw4yQ7LHCe4wYnAke5xorj0PQbMle/b2LPmgu2QvjdvVUoo6WBVxEYj1SiWGdZIGiWyiVZjEbRJvHTNislf0eUIle7mrJzC68ZM9RhCHoWmcZI9Wg9VHM5mO3+2qss/crWM8frevFV5ibQWJt4JTEhidtyaLH830tP56nP9NvgB7c/4K7LP5GvtBTZ/le79F+R7jqOSg3s6S7zGijJrvMXK4qk6EYugsXkaMS0j4OPEcVNVZE758lyDkhoSPE9xhyOBI+DjRXLsegmZL+OztWfJBbxK+NEzjUMogWa5WgVjJIsjlOtIfWEXL5aoI6/Efqe0fslTGVzi7AsIbP+NjBHEYm8bN+LQ+6oSn4RbVKNmJzG/ttGG3dUwf7TNwqep9EIapfKbyl7pcq8rYEBJvCLek76RLVY+SvuNyn1atP1KZ+Q8+y/LcsrxRSn+siaB+vPGzVPBCU0HGscpB150lFWREGTUVZORw1aMAheyjuGOluIRMkBPPQW2dNRMsdplDYcgEOcEdRgyOTJATzbXnIWi2TNDeniUf9CYTrKO2TfJ10BTLMBB11gR5q76ts3xV5PFqJWvxePRMsHfgfTEvQmdXQHijZ4KcIA5jE2sm+JV3mre+3qpk4pni309UEtgpdq2bNz/Uwur9TuQdZnpfee0L+sNBGJp2eEamuzU5/SxxPzslevubVwpsh2dxfIzSD/W5IuCWziIcPE0pg5K93cZPaq7HmOrtT80Nuv/3xPZA5JOnj0OevPvSNQc7pRjXXTX6WQ52hhxsOsfycA5tDirvHHkhJ8qYeSEnh6s6pVLcsVJcQF7Iiuegvc6ZFxbhNo/YfNEH/iovuMOIwZAXsqK59jwEzZIXAu1Z8kF3eaHSfqs0L9pAhOskEEulw/NVLIOoXhd5Gq3SpYfbXKK4zxUqL4xcXYHhjZ8XMoI4jE3j5IVRaMoLu02fQ1lhFJ6UFTJ6WeJedssKnz1k97PM0JwZ2k/Z/d3JDT+rzv3OZYaMw5uDzjtLZsiIMmpmyMjhqk+pFHesFJeQGXLiOaivs2aG0S6TiAyZISe4w4jBkRlyorn2PATNlhna27Pkg+4yw7xu6ixLZdAsmzwQos2CRubLYN2EYilXcV6Hq8ejZ4a9zzerzDB2dQWGN35myAjiMDaxZoZnPxomz59JEV0u+uT0tsS97ZQhpue56HO/Q/STTk3vzl59/7f67BfzntCfH+8JPe+WUNKOULeU03lP6Gc5p/+cs29wepl1cHJQa2fJ7xhRRs3vGDlcVSZAIfoo7lgpLiG/48Rz0FBnze/iXT4QG/I7TnCHEYMjv+NEc+15CJotv7O3Z8kH3eV3RVKIZaOv7MiXWSDaOAyKVS6COJeykGFbZ2n+ePT8rnfIUvld4uoKDG/8/I4RxGFsGie/O+k0GKW7+h8JVPnNMyVBwlkwnG0g8TZwyvqi+NTbNz87D2aoRHj2JwWfTdk+Ow/ms5QPT/kYRyYHAXeWlI8RZdSUj5HDVXgCFL366Y6V4hJSPk48B1l11pQv2aUIiSHl4wR3GDE4Uj5ONNeeh6DZUj57e5Z80F3KV6erRDZ1GgjZlf/qIqjzfB2k4TJdpq0sarFt8zFTPtnnCpXyCVdXYHjjp3yMIA5j07gpH3IcTDG8+3Of6iW2Wx+Gd38yul3ibnfL8qKzZ3mfHQBztrTOsdr3nDlwue+zzO93M/NjHK0cdNxZMj9GlFEzP0YOV/0JUPTujLpjpbiEzI8Tz0FdnTXzE7tMQRgyP05whxGDI/PjRHPteQiaLfOzt2fJB91lfo1s4rqQ6pdFuA5EXa+CfLUUQdskss3zJlzugn3MzC/tc4XK/KSrKzC88TM/RhCHsWmczG+3mdNa5dtlgEGcPvz4pvsi232RP/y4S1x+/PDfHv6u++p/qcxi87Ofqq9+8LW4+/p/Pvy0+zMPP1Fv/NnXXn3tvvvuR+rHXVqRdN/qHHHzr+1LhcWzpcJ9ElmE2yJlXzu+xNqOEm9Hp1RSHG8TVci/B2ST+62iTx8n3GeTH26fjeqk/bORoqJEK2Ito/Wd4R9tkwOV5m00eZcZHd8v2PPM4aVvMj1pj+mV9flDfcn6w7meQLwZNUP87Hiac+WIE3oIkXFodFChZ8lbGVFGzVsZOVzVM5XijpXiEvJWTjwHbXjWvFXu8hxpyFs5wR1GDI68lRPNtechaLa81d6eJR/0Jm/N07ptZRJESaPeG7Z1UIs6CWQoZJwmSR6224xuzLw163OFyltTZ1dAeOPnrYwgDmPTqHnrtpYIFC5/YC1chkEoimcvrXArXDJ6X+Led8o2k9vnKpeuB9cAVctLPLiGnkTaq5cnXlNvSzPPmGSOmWJ+VoQcMcHU+fy4Kebj/hnpZdYx0UE0niXNZEQZNc1k5HAVu1SKO1aKS0gzOfEcpNxZ08x0l5akhjSTE9xhxOBIMznRXHsegmZLM+3tWfJBd2nmMsuydRqJYJXncSCyeBnUcrUMUilXMi7EahVvHTNmmpn3uUKlmZmrKzC88dNMRhCHsWnUNNNeHn2aZg4/BKkPvcni0x6CZHS+xJ3vlGXK8xx98xOVJ/z9b/M5N10h7mG4CvnZSTef5Z1+8s6+sehl1rHIQaudJbtjRBk1u2PkcNWYAIXoo7hjpbiE7I4Tz0FBnTW7y3bZQGbI7jjBHUYMjuyOE8215yFotuzO3p4lH/Qmu1susyhJ2yAXURiISOSBrkAGbZzEMmqjSKw8FBGLPleo7C53dgWEN352xwjiMDaNm925nXRznNQVkaVqOHiSKaO3Je5tp3QuP2M6d6OfaXzadu+DJcTf4iTw1AqiW8L33D/9Wcb3WcZnyfgYhysH/XaWjI8RZdSMj5HDVXdSKe5YKS4h4+PEc1BVZ8348l2GkBsyPk5whxGDI+PjRHPteQiaLeOzt2fJB91lfOu1aLJVtArSOlkHYh1FQV0UyyDOmiZc581atsvHY2d8cW/7q4yvcHUFhjd+xscI4jA2jZPx0c82jZK+7C8K7oMwzJJt/qdLebvKXupY2WNsBok3g1MqGKnu4Xb0zW/sR9/8g/r8f1f6W29M++XD5kTT7qzTXUN3b9Cy/cnRM4rq1/vTcY5SQ8fDcXQ5buzs0H414tnPx1H/pHXb6XNPN2rL9F97LtFTBmibux6pnyT9Nw2sWui/6I/qp0s3Hazbsqje9rHi+kvdwfQOxu2Jtt09Jl0Kuc1oNrnop5riapNd6jxwl0XpDLdLBt/f5jb/+//afFj9UWVo1zLf6oD/pfO2aoz//bGCPe3wHtdcVgcRPZu9Maaz+m9zJbQ3G/zfdP1kF0q6SygbN+2pXLQdOj/dhuv5g0ITjhEWR+m7/ofHTeCf/ovMKTzjNOMgyM+SwjOijJrCM3K4JhIAheijuGOluIQUnhPPQSafNYUvdilfYUjhOcEdRgyOFJ4TzbXnIWi2FN7eniUftM7hTan5f37n3f/UA09Ky+M+theLbUP3syVhcsj29p9+/et9+faAqS65dqpSPW2psvW2d9z/Atnaw9FiyLFgQv3PnYJ4/2HzjI+WrV3OdJRjb1TZNtnonrDc//Dnu/RIf7tLxdRf6+N+icwtMO5tBvu1t76BRFWfif+ebKJ0MhEw7+EnW4X3/q5tPrzq9OSvu5/921Pvawn4zMLHTVffU/JVr2NoCf6pLrX+5Eql5ur/bQ4V+tnDD3Xe+f3ujKZ/vNr85+HHD38/+EQX2TGHA/2AY84gC8kmHkq+ARMd5J6aeHpnnlfINh5OKgM2olJOyj7z7sjmHem0AfucNNrRpHf3xZfv71+730575Ruvfu7VIoxu1EusXxL9IvSL1C+pfsn0S65fCvUShfpFfyLSn4j0JyL9iUh/ItKfiLLf16midoWeSm/C3tn0S3RPgbPj3lPlH7/76O2+Ae3oQFH1bw8onj+gmwvOkHtzkXbU3rveNOIfbP3cZ/WX6VaDM+U5NLWGeeHOgPEqHQOc+PYYg7EyYLs2+4XnG2KI4it0CulIAceR9uz13rADg1+jGwzO</t>
  </si>
  <si>
    <t>WXBiAgxkpR7ISj2QlXogK/VAVuqBrNQDWakHslIPZKUeyEo9kJV6ICv1QFbqgazUA1mpB7JSD2QlOJA9onsJnDb/5FyD2FfppuYOpiLt9+jpAPZVQ8+/p1vsMt+TQnCbOtoGr5KMEIOS4L0TB65dAwwRvE4nAKfq95wGLe3R671RB8a+QTNWWxvKeBmKPAtkIopANOs4qNN0FchsLcMsVJ8e/X7QgQRYpeuRGyRKN3YJnRXEYW0QzfhPK6HDj8Q+c2LwpuShctjd8b8/7f576inB3T9w0iHBrE0n8aZzWBFQ/kzOUXD/0YM++EUXzD548m39cKku9P1ld+vlT7qC8V/o+tST7zwtfH/07Ce2b9M15a6urMuZPW+7PeN1NTcXuF3bUI6nVOPH2cDtUPD+bPv2GNXfUbZvs451DpWcsyzyMaKMWPtl5XCtQAEUSR/FHSuF/9ovL56DvjvHOtV+tSra1Aq3X/SBv8oL7jBiwEssaJs+4kVz7XkImrn2i7RnyQfdpZ5RW4dR1jRBkurrbcJ8GeRxmwTNql3LNExltlsMGDH1HKoUx66ewOjGTz0ZQRyGJtbU8yvvNG99vVWJRPT0gd2fXD38bSfWtWje/HDocN+vvPYF/dEg3KWu3WO62cFjutEmV+zz8kusXpa4l52yxEi+0LM3WydQv9hmbSq5e9jurN4kLzoV+tdORX7aCdK9xh68ulSXjbt08uW7JNQ55cddWrGR2t/b7MfsFgh0uVrJ1u/dHKUom9bXW4A3e0uf2Yrw4dUuk1CWbv/qVjCfL6u8vKTyxrjJu/N0QEkubz7LLr1kl31jysusY4qDtjpLNsaIMmo2xsjhqgmpFHesFJeQjXHiOUies2Zj8U69x4ZsjBPcYcTgyMY40Vx7HoJmy8bs7VnyQXfZWJzJlazjNFgt83Ug0jYPGpnWQSyaPIplVifxNlEZMRvrXT9S2Vji6gmMbvxsjBHEYWhizcaOCoHg3SvbCmBPgvb09pXUco7S0O0rrI6XuOOdErQ4fuG8ydlhre8gOft+p+03RdvnVPZNlwg8l7g9fYr2tzC/Mhbt6OnV5WVX+qHC3938inFIcFBLZ8mvGFFGza8YOVxVHkDRu3Z8x0pxCfkVJ56DiDlrfpXs9HhiyK84wR1GDI78ihPNtechaLb8yt6eJR90l18leREtcymCIkqbQIgsVV+tlkEmElkvm2hdrNrHY+dXos8TKr8Srp7A6MbPrxhBHIamcfMr60bLp2lWvq2CDSRY6f6gItvtI0NpFqP/Je5/tzRLMOyW/I3OXFRysktN9K7Jg7dsfqF1qt7o9f5vdcXqs22Qv82JFGOnd5BFZ0mkGFFGTaQYOVzlHEAxlEgxUlxCIsWJ56BWzppIiZ3wFoZEihPcYcTgSKQ40Vx7HoJmS6Ts7VnyQXeJlIjSuMhDEaS5fm+tVFkdrpOgkG2dLKMkqfPxC1WyzxMqkZKunsDoxk+kGEEchibWRArcNjhclzrHxkFGP0vcz04JU5S6nel6uCfw2aTpaYO9320G7J6B0bv5PtpKWp04/fSh/6TXzz05OuD19y8gjdKnYPpIpG4+y6SmnkkxjgYOuugsmRQjyqiZFCOHq54DKHo30NyxUlxCJsWJ5yBXzppJyZ3yloZMihPcYcTgyKQ40Vx7HoJmy6Ts7VnyQW8yqaRJs7CNg6zI80BkRRw0aboM5LpdxWm9lGkiH4+dSaV9nlCZVOrsCYhu/EyKEcRhaGLNpM5+YWJeGBIqw4WJrN6WuLed8qkk0fv8RJdMpSfu84u3VSqh/9bAPr9/UpL0O136ocT0L7rs9pNOhn+na3mVAaU6hRJ9KVQUD+RQn24OEVUW/bpLeD49Tqsu905FY1LVOY2WW3UJjj7f4aPtdSRPz2r94OpKA3Yf/c0m+dGJivp3vn/00/evtj7WPedq26O07d0TcL3v1/74tQL9dtdjhz++TZaey9W+2d2zsE349M/2dzMctrR643997g8++c6NQ653YzDsdrM6oL/7xSbGNu21u1xSRd9vup//a5fr6cZ7/3c5c2Qc9xx04FkyR0aUUTNHRg5X/UqluGOluITMkRPPQZ6dNXNMd5lGasgcOcEdRgyOzJETzbXnIWi2zNHeniUfdJc5yihqskYkQV23YSCSMAqKVrYq31zV4SrJGpnJx2NnjlmfJ1TmmLl6AqMbP3NkBHEYmqaVORbPluL6HhEbzBwZvS1xb7tljmKfOcYKmJw5oillHPcnlNss4XsPv9jmEL2VOW0iX1p5M8m88kIeJLs5LtlhyR5vqqfe/eSvnx4c+rub3TGOTQ5a7SzZHSPKqNkdI4erxgQohnZYMlJcQnbHiecgoc6a3WW7bCAzZHec4A4jBkd2x4nm2vMQNFt2Z2/Pkg96k90VSbFSfykQbSw2782TOgmaLKyXSZ4UbS4fj53d5X2eUNld7uwJiG787I4RxGFoGie7i0jZ3Q8f/lEfDDL4xFoUhJF8plKoH1XLh55Y62uFl1hbQeKt4JT1xeF454KUadjp7r6L3/X5/7/WFaYL2HPJmMTdv/hlTbHzxoVkbJ/tsqRnU4x93kEbnSWbYkQZNZti5HDVdADFUDbFSHEJ2RQnnoNkOWs2le/Ud27IpjjBHUYMjmyKE8215yFotmzK3p4lH3SXTaV11LZJvg6aYhnqHZlNkLfq2zrLV0Uer1ayFo/HzqaKPk+obKpw9QRGN342xQjiMDSxZlP759WeSafcn1fTWVNoKpJFxgM+GP0scT875UuRHC9f+uyQ+3PlXTefHXL/u5CLMY4nDsrqLLkYI8qouRgjh6siBChkH8UdK8Ul5GKceA6C56y5WLHT7oUhF+MEdxgxOHIxTjTXnoeg2XIxe3uWfNBdLpaF4SrNizYQ+pk4sdR52yqWQVSvizyNVunSwxNvUW/7v1hsf+7gCgxv9GSME8RhbBonGTvnnWNOqRinlyXuZbdULMWPDTGdtfjZsSFuydRnx4b8NidRnCOBgyQ6RxLFiTJmEsXJ4SrlAArZR3HHSnEBSRQrnoNQOWcSFYVb0b35og/8VV5whxGDIYliRXPteQiaJYkC2rPkg94kUY3M2rDNgzCVcSBy9dI0URskrWj1r9TXq8ejJ1G9A69KopyvsMbwxk+iGEEcxqZLSKJcT2B0S6MY/SxxP7ulUdm4Fa0fP7y/Fcrvdzv+NlsAP7iApImv/vTZJWDjp07K5T9SydMPtw+L/by7QOEXV7pFf/7kr3ffjZ1dMQ4QDlrpLNkVI8qo2RUjh6vGQyhkH8YdK8YlpFeceA4S5qzpVbST45EhveIEdxgyONIrTjTXroeg2dIre3uWfNBdepXXTZ1lqQyaZZMHQrRZ0Mh8GaybUCzlKs7rcPV49PSqd4uzSq9iV1dgeOOnV4wgDmMTa3p19sM18px4LCOntyXubackKwm3x9w/ezJjf70q3h5z/9ypi0/rVf8EH7h4dZRHneFkjMvLrYx7+0hZlfGkxU3W+vDcQYuu5yzqLKn3E95OWnRI8minb3x20GJfNsg4kjlIu7Nkg4woo2aDjByukpRKccdKcQnJICeeg+A6azIY75KH2JAMcoI7jBgcySAnmmvPQ9BsyaC9PUs+6C4ZbGQT14VcB2kRrgNR16sgXy1F0DaJbPO8CZe7YB8zGUz6XKGSwcTVFRje+MkgI4jD2DRuMmjNAnencARx+vDjm+6LbPdF/vBj/Vv1R/7bw991X/0vlWVsfvZT9dUPvhZ3X//Ph592f0alnv/t4Wdfe/W1++67H6kfdylG0n2r08fNv7Y/x6N49hyPfX5ZhNsktq8dX2JtR4m3o1OaGccv9FyndmI97/DKtYN63ve7EtOm+Z9T7jddPerh2afX9jW+q8+KfHA6+lmR76JyNsZhwUGBnSVnY0QZNWdj5HBVjgBF72r4HSvFJeRsnHgOuuisOVuy0/iJIWfjBHcYMThyNk40156HoNlyNnt7lnzQm5wtT+u2lUkQJY16b9jWQS3qJJChkHGaJHnYbrOZMXM20ecKlbMJZ1dAeOPnbIwgDmPTqDnb5iTDTqVu5NrVw98++Zsn31N/8SOdTP37/cGJP9gfnNiza3JXzxOFNOyaFMZdk4zel7j3nTKtKNtkWiMmWp9tnPwspxojp7rMjZOMY4SDiDpL2sWIMmraxcjhKv4Ail4Nc8dKcQlpFyeeg7Q5a9oldjJdGNIuTnCHEYMj7eJEc+15CJot7bK3Z8kH3aVdy0wshViJYBmpD6jfR0ERRVmwbpeJTMNGLpttm4+Zdsk+V6i0S7q6AsMbP+1iBHEYm0ZNu6B8K3/uOTWloL6lfvf4yXcGcy9h2UtZDOZejE0g8SZwy72SniKX4fCPw7xKefZv99spu5LgP+tm0Qcm6lxHJ21KQn/YtfTPO927OffjU63HHz660fsuv6MSqg+0Hn6wnQFye7wPc/Jpmfk8xd1uv+0+yo+6A1TU11229LH+PlBh/8vuNi69yfK01OlS0ibOUpQO5k1O+jdXXerbrSC8360nbN77q82fu9KF2G0c7Wz4UEVDZ3P3mw90aHf/Stf8v+w2uv6bjhH9l/SPN/GhK/m/2Ge323+ve59uCP2bX+qwVVGnrf+LbWhtPqjs/O7uL6pf/+rZyFZ/8feHcjzGschBsZ0lx2NEGTXHY+RwVZoAheijuGOluIQcjxPPQUedNceTu5xAGnI8TnCHEYMjx+NEc+15CJotx7O3Z8kHvc3xsmydRiJY5XkciCxeBrVcLYNUypWMC7FaxVvHjJnjpX2uUDle6u4KBG/8HI8RxGFsGjfHs26HPEz1BhK7NIufJnZ6C2PmdiMZp/Ml7nyn7C6WeGY3fKzj91WDfdLlVV1LdLJ7UwzaZk8fddW0D7uM6du/1TW08z8gd3HVs9+JJLCvi7/M2sUdJNBZkiZGlFGTJkYOV+lGpbhjpbiEpIkTz0GYnDVpSnciOzUkTZzgDiMGR9LEieba8xA0W9Jkb8+SD7pLmtZ1tMzjcB3kjX7eTGVUQdHIdVA3RRHKNMnTUDwePWnK+lyhkibnm60xvPGTJkYQh7Fp3KQJLIztNyICZbGEXBZjbACJN4Bb4hSdJXEaepzr2YrWb12OZEyRgt+WTYa/y2kSY4d2ED1nSZMYUUZNkxg5XMUaQDH02BYjxSWkSZx4DlLkrGlStpPVmSFN4gR3GDE40iRONNeeh6DZ0iR7e5Z80Op/f/Rn3f80vu3hrG+0y/feeuftHm845EK9Q5FKf0xXUUdSHiK+/adf/3pfajNso0tm03/q4xfIVh4GlsGTYNryw61m+7jTRxvNuLvXSWuPTvh8+8lfb2oC+ni17k2/3mU3zx6p9tda1W6E6E6hfNLHr1KL/N/dkZ1wNGQOe+G0EbN849XPqUGwGBodqfYLd/vLP3730dt9HaPX6K8MGf0VutHS3ehuKkZtfm3I5tfoNuPdhT4Ma9vLIdtLsu3xoeyx2O4WIK8PGfw63WB8lH/POTjeGLL3DZq9XXQ8HmOWuh26VqUwmp0Ouhm20m2e6rfzC2Q78a53KTPV1ee6LHy3IVQvObyvvv9Ef7o39tQ0VuhpjOihkaexOByaxqj2jzCNDRj9FbrR0t1op5HqtSGbX6PbjPelU6exAdtLsu3c09iAwa/TDcanAco0NmDvGzR7u4F2Gx3s89jQTBab7kqLZDboadhO15nstij6TP0C2VS8A6KT2U+6RfO/7FZ8n528+ux+Sdmt5hmq8WPPM9HAPEO2f4x5pt/or9CNlu5GOw0lrw3Z/BrdZjzMT55n+m0vybazzzP9Br9ONxgfpknzTL+9b9DsfTaitd1/aJpv/vM77/6nHgrXyWZwujHdHRPJYtDhmJmEueY2kkPZE9XYwyF7yKfgbPPP2+2/nz78arslWz8919V2N/Xr3Y0XXcbU1SS7PKi7BOOjrhT7bZVQ6Rr07hnR3gfkdCXzF111Vc9tv9YHpTwzu13tC9r64dK/CtTnP+pq4p97+Jfu5oZv3V51leNPuvL5p9uq7abEq6168rfddoj3dTV0b+k+FVQ//fPOyC493Jm7KY3f/v6uDr/f+fxsLfVbz1h5o5/z21apt8XlLj/U1eb944GfdBs8ul0dXS342WdkP9n4S5eo+4LiJXJQHM6DgxHc7Zf42lvfQHpbn4n/nmyidDIRMO/hHzcxcvPsPhr9/3Xc/pvK6HcPXn76NNH/zXbbwr9uy+G/0CX6gZI4FfSweDUAipe6Hz7pLRV8kWzhYRV7wEKHCvZt2F9Me4Vs46HgGLARrU5HichvU9ln4x3ZxqP684CRTLVnstngtLw3e1ARHdqa5eI27k2w/oBuLTg7763tsfNICWnnXW/qo9qyobLol+lWg9O0U1qFhsardLPBiYSQTW28rTvbC887fsj5X6FTSEcKOG60Z6/3hh2nV1SDwTmDYbMD2WRwEvmTMw0gX6VbmjtYigTBo6eDx1cNg8c93WKXye+c4VCSTT5Ksk0mnzBo7Bw+5PTX6QTgrOiYcutY2Rt1nHJTjH12Q81/fGu1at9+SWWmj7rEVBOkzTJumjoMWrGWgcj1Fp08Wwe1SMI6kSJarerNO/eJeiwP4Nuvt/tYep5/8y/Cc1bvIsSiuFkUUd7bgov+oq0mP/QGito17+EQCxHikaqxquKmGsKqmLAOh2EICw9fRfXii8XNiy8Ocb34IgPYM2nUcIgOr4qdJUSj/nLMwlSMCQ17IA7jDzLfMf4GbK6oNh8GF2SzY3AN2KwijmD0Mwtk/gKnf311EZmWV0ND2XGUyOk3uiIbPUro9ButY4pgdae8fMdOv6pZGG9FDw2lhFFip9/oimz0KLHTb7QOKoLVzyxw+oud5GYRh0pZpZF6yUOpXrIBjWW8WDGUud94Sm4qDVJpkEqDVEMgFRlklBhLlHDSJC++qFGUVFIs6nUARgclgeYixi1xo+a3WL0MbMZcGK+FCQ1p2SgRJ24qbX41ZH5FNn+UOBM3es6L9esAgA5GAsFFxJYayKJcjW0qvGIVZyK8WagpfJGq71P180z9rFA/K9KByBMm8DT0G3lqcFNwlYKrFFyl4CoFVym4SsFVCq5ScNUAXEWGGyUu9Win6NQgqGMz1mGqAF98URGqIVH/LNW/zfQvCv2LAUwd4gTOZ7IBHcTPbU2IwbLChh6u3gysYD2Ktrf/RLeD1x2/aTzeL1TuGmpLsNbwDAoepdtlN8D+Gdl+4Ww/bvk9YPmcbLl0sZw+Dm5QSgBlQUY5HO3sKK5B9Dpgf0W2H6xHUEYz5dTrnWHHIxPFYG3xai1WeRbVQR7JNhBhmgb5chkFbZIU62SdLIt1+/hg6j0ctP64Hnx69DwD12742hywoxrPOIClbq5AfdDb1azop3e31BquCzbkzW2HzbKt10kRSCGWgcjydVCnoQxE1OSrqKlXiQwvJkQyKERMjxn3+gvzga8QyYAQ4ULWMeJT0uRW9jfNT+AZ5OkYksZu/4xsP6+ksVs+J1t+2Ins8+gJQVQCKAsyyhiSxm5/RbafVdLk1zvDjiUNxeDJzVcFNF+ZqlA9rkB94Gu+KqzhumBD7kJEROsszJoiyKI2U+8IoyBP13GQ1eu4WKVyLS9H9cYhEiLmxyb6/IX5wFOIxKE9RNiQJ5cYbbd/2ULEuM2nz1+YD3yFSASECBdyt/3pZr+J3ffCXhxbffFmbCzrpOLQF2OqYMD+Gdl+4Ww/bvk9YPmcbPlhp7JLrxOCqARQFmSUEVQwYH9Ftp9TBcfx9c6wIxVMMlhb3LaxbNdtETQyyoIoavMgD1sZhKEMZZrnUSG3Y9QFzF8JNH8Za4fHrkB94Gv+SqzhumBD3s1fu6dw9BjvYwLrb2jZTx3LWBSZODoFcNSZyl49mJHt552p7JbPyZYfdh/78HiuaFmQbR5jSrL7vCLbzzcl9dmppiKKodrSvFjFaShilZlrTb2Ol0GRhWEQhXFRF2sZxvJoe4e3qQgqIMQDq+lDrkB94GsqAgoIbMibNbuVms/WdRY0rRCBSJIoqGXeBoXMo6RpijbOL0etQGt28cAC1rC/MB/4ChFgzY4NeRMi6zxuG/W2RizjQETFMmjqZB2EcSRzpYhkI4tLCZEEWpBJBlYnDP6CfOApRBJgQYYNebOsW4dFkYZRUNQrGaj3h0Hepk3QrpOVjOsoSpvVxYQIlPMkAwnAsL8wH/gKESDnYUPePNAlZd1Ey1SHk3qvWK2DPMrqQKqEaiWKVZTl+cWEiIRCRLr6C/OBrxCxS+YFG/LkikMJJFcTZ+2G+cBXiABylQ15ciXmBJKribt2g3zgK0QAucqG7GlLVG+7CqPgKoYfTRphLU3YBeOMbL9wth+3/B6wfE62/LC32Nd1zhUtC7LNI6ylAT6vyPaPvZZGMnRqM4+AUhxh1PvHrkB94GnmEUCKw4Y8Of0qoBRHSFd/YT7wFSJAisOGPLksWEApjjDq/T5/YT7wFSJAisOGPLm1NAGlOMKo93u7FOQDXyECpDhsyJNbkZfQirx0lGWoDzyFiLRL5gUb8uTqehKSq9Jdu0E+8BUigFxlQ57c7gAJyVUpXf2F+cBXiABylQ3Z01ra53cNbn/69k2Z9rNvN5nHh+xjLrEB9s/I9gtn+3HL7wHL52TLDzuRfbnnhCAqAZQFGWWElTfA/opsP9/K2+eVU693hh2twJEMntoKnIRyZzmQSA65AvWBr/kKyJ3ZkCe3AidzKETMD+P2+Avzga8QsT8wvWBDnl7uDC2vyIG1BkOXgnzgK0SA5RU25C5E6igSqRRFkEbdal2u0im5zIJ1k63CVZTLNL2YEEmhh5RT8xO7Pf7CfOApRFLgIWU25Mnlzim0Apean9jt8RfmA18hAqzAsSF7zp1T+/OYb6axkd3ro16A/TOy/cLZftzye8DyOdnyw05kT9hOCKISQFmQUUbInQH7K7L9nLlzGl/vDDvKnUkGTy13TqFyQGp6QrfHFagPfM1XQDmADXlyuXMqoBARrv7CfOArRAQQIlzIk8udU6hitL0T1MFfmA98hQhQMWJDnl7uDB1rm5rXq3v8hfnAV4jYawoLNuTp5c7QOn5qXtSmP6LtKUSAdXw2ZN+5s32B+s3UvEDt9UAvwP4Z2X7hbD9u+T1g+Zxs+WEnsidsJwRRCaAsyChj5M52+yuy/ay5c369M+w4d6YYPLncGaoY6bnYxRWoD3zNV0DFiA15crlzBlWMMnP5pMdfmA88hUgGVIzYkCeXO2dQxSgzl0/6uhTkA18hAlSM2JAnlztnMRQi5vXqHn9hPvAVIvaawoINeXK5cwat42fmRe0ef2E+8BUiwDo+G7L63x+pD4vHF3SmaCb7YbeHPXhNljP7cumMbL9wth+3/B6wfE62/LDX2DO0c0XLgmzzCFkx4POKbD9fVtxn54svkgyd3AwErd5mA0uZQ65AfeBrBgJWb9mQJ/fsYQYtmGQDqwfD/sJ84CtEgAUTNuTJZcM5lA3n5gM26amhnxDJgWyYDXly5yDkUKqTmw/Y7FtggnzgK0SAVIcNeXKnqeTQfpRcuvoL84GvELFL5gUb8uRW5nNIrubO2g3zga8QAeQqG/Lk6ns5JFdzd+0G+cBXiABylQ3Z836Uwl64erMwF67kIfuYS2yA/TOy/cLZftzye8DyOdnyw05kX+45IYhKAGVBRhlh5Q2wvyLbz7fy9nnl1OudYUcrcCSDpzZfFVDuXJjLqkeuQH3gab4qgNyZDXlyqreAKsmFuaza4y/MB75CBKgksyFPbgWugJZXCnNZta9LQT7wFSLA8gob8uT2oxTQE2GFcPUX5gNfIQI8EcaGPLlqYAGtwBXS1V+YD3yFCLACx4bsO3e2P+r0ZpEa2dND9lFzZ7v9M7L9wtl+3PJ7wPI52fLDTmRP2E4IohJAWZBRxsid7fZXZPtZc+f0emfYce5MMXhyuTNUDijMD+IduQL1ga/5CigHsCFPL3eGzhAszE8+9fgL84GvELE/nbZgQ55e7gxVjIrC1V+YD3yFCFAxYkOeXO4chdAjYeptrh7DvOApSBSPPUr4oCeXP6shEQsT89J2j8cwL3gLE2A5nw9aP9PRhcrRltlDV3yjXb731jtvM3iifOPVzynE5Ea9pPqlUC9RpF/0z6JsyCmmFewwxW81hNDw1EjzVJqn0jyV5qk0T6V5qiGeis5zmCdBPHCqpHFefFHz6Ne0ey30q0LSr93PB6D0eylUGms7MunA9PG40ef345J9pVyNSqal8jALB9tuhIUehGBGJxDOBLjt94jtc7rt0sV2+gi3H+vtMAs6zAjLPQhBRSfgXPBRVl3vTesZpig2a6PTXM2ky1UWyJXWY9G6UJld3aV3SZYXRdYkq8cXo7GgOpZ6m5szUC9401hAJYsPuguTdZ5my+W6DVZrGQUiT9OgXgkl25O4WcowFWm7vJwwgWpZ6m2uHsO84C1MgGoWH7TncpaSdlZ61eTmpfHskH5cnWMnmNEJmHWO3fY53fbDzmSfWE8IpRKBWdBhRtE5doKKTsCrc9LrvWk9Oodi8/QmMKi4pd7m5gzUC94mMKC8xQc9QTkMFbjU21w9hnnBW5gAJS4+6G7J8WZzjowC1/x+13fs1RwVAqZyTpjFh94YV/fYCWZ0AmbdY7d9Trf9sHPZJ9oTQqlEYBZ0mFF0j52gohPw6p7iem9aj+6h2KyNTqJ8taxXcRCJOg1ErMuycVsEIk0z2SxFlmXrx5cyoUVYqTUyVR17nIF6wdeEFiGlVjZo34l7ZK8gqiY3VxCHi0tjTGAAwYxOwDuBAbbP6bYfdib7iHlCKJUIzIIOM8YEBhBUdALWCSyKrvemHU9gJJunN4HF2ARmKir3OAP1grcJDHhgjw96l5FtwXXh3UdGNtDUop86SkRS5InXqySVcdZ2m9EJmCcuu+1zuu2Hncg+Up4rZBZ0o0eZoOxur+gEfBNUn6F6WqJYqk2NEr2PcR0FcSbUiBSH9Wa7a1PUURNF+TrPjvak+ZuWoLu81NvcnIF6wdu0ZK+CLPigvedV9tV01eTm1fRisKeOMj3ZCWZ0AubpyW77nG77YWeyj5MnhFKJwCzoMKNMW3aCik7AN23pvCq73pvWM4FRbJ7eBIZVuiJz0efIGagXvE1gSKWLDXq/uT45jINDV0A7tkme2Gyuj8ObhYLRL5l6EXpfvdBfSaleUr3XPtXfZvp9mX5fJvSL3omf669y/VWhvyrUV3EohnxpXmbHz/mCPIIPY5s9+coNlXZDpd1QaTdU2g2VdkOl3VBpN1TaDZV2Q6XdUGk3VNoNlXZDpd1QaTdUQ26o6G4YZSu/coN6VX7Qr5l+Fd0mftF9rXyhXtNuc3/a/STr3p9171cO0a/dAwB593XefV10Xxf66yG36MGW4pdusH18gUsT8fAJ1UWUeV6aiO0LoTM6Aa/2A2yf022XLraTR97+8ZFs9BgaD3B7RSfg03gDgw3J0s7Uom6KMEwC2YgkEEWdBXlTx0Eu0jTOQylWWfv4UpRdDJ1eFsXDR6X3OgP1gi9lF9sfRFnwQW92RKZruarbOkjipgiiqG2DOgrjYBWlaVQvw6YpjoSfvzDBtvTrpnTzGOYFb2GCbOlng97siAyzvEmKOIiTehmIdS2DXKa1ShuWRb7M2qRei8sJE2zjbDyQNA97DPOCtzCxr24s+KC7MFnGRRLHUROsikS9V8QiyOMwDNqoKYomU1K8vaDRBDr2Q73N1WOYF7yFiX133IIPejOarPMwXa/CYB2H60As0yLIV0URLNtWhGmyrkORXUyYJNiRDomjUEO94CtMEruOXvBB76r521b3lTLvyyiJfW+DCgHT3gY1ih56Y9RUGiCY0QmEMwFu+z1i+5xu+2Hnsud0J4RSicAs6DBjpNgAQUUn4EuxP6/9er037TjZJtncrezVSZvEUqqMS+9RKtosaJplHsRZoea/KM6L+mLOTIwSLNlOzIcJ9OzUwrzgbUJDkm026I3uUZl3tmyToInyPBCpjAP16Uan6KuoSetVLi/n8cMEO2YhEa4ew7zgLUzsW5sWfNCbE88aJZHkMgxEHUbqHbH6VLrKVNpVFOE6X7YykpcTJtiaTCJdPYZ5wVuYIGsybNBdmGTxOl6lRR6kTSQCkRdJUIh1G4TpKhertghXlxQm2OazJHX1GOYFb2GCbD5jg95lUdsbPn1lUQNNPbBjQQHHRVhEh9TjZkv2PRczOoFwJsBtv0dsn9NtP+xEdnl+rpBZ0I0eJSuyu72iE/BlRX2G6lyIYqk2VSTReiVCEYQrNSwppZMGRRFFSh+3zXK5DqM4vpgbhyOBPWsqBh67HHIG6gVf05JAnjVlg95sJ0uyfJlFMoiapVI64VoG+SosgkjWRRS3oVgWq8sJkxgLk4H1g2GPYV7wFib2hZ4FH7TvrfPCvmCgmty0YBB5PjMVIJjRCXhVDGD7nG77YWeyT6cnhFKJwCzoMGOoG4CgohPwqZvPa79e70071jkkm6c3gWGLeUK4OQP1grcJDFnMY4OeoBzGFvOEdPUY5gVvYYIs5rFBd2FSFEWzztsmWOWpCIRIM72iEwb6aLokqpt1WF9OaUBgi3nCtK7V6zHMC97CBFnMY4PeLeZF20riZa3miYHlAgUdJ6nwu5on7EszMzqBcCbAbb9HbJ/TbT/sRXbhda6QWdCNHkXv2t1e0Qn49G6foVrlUizt5iW5WqbROg6ETNSLkEXQiDoLmmWT1GmjL3HaDjsXMC9JbDVPDixsDTkD9YKveUkiq3ls0NPb+Cux1Tw5sLA17DHMC97CBFnNY4Oe3sZfieXMUrh6DPOCtzBBcmY26L3KvciHZeWAuI8SNTwKz6u90p6ezOgEwpkAt/0esX1Ot/2wF9nl1rlCZkE3egyVC7i9ohOMrnJJlmpTMyVm4rVoVM6t916t1qugXosskE1ex4kaufLLua04ktgxKHJQ8vc7A/WCt3nJnpEt+KCnt+SfYslQOpgXDHkM84KvMEmRZIgNei9fttPlZcmXdEDcxzIJYyHEIfao8iW1pyczOgGvfAFsn9NtP+xF9nn0XCGzoBs9hnwB3F7RCUaXLyRLtalr0TZFmtZB026e5G+CPFw3QRjKUKZ5HhXychbpUiytToWbM1AveJuXkLSaDboLE9kWWStyqXLutZrDmiYNilq0gQzblYzjdN2s0ssJE6zGmA5I/mGPYV7wFib2jGzBB+17y11qP8JCNXnWT7+tsPotNQIEMzoBs4qx2z6n237YmezT6QmhVCIwCzrMKOrGTlDRCfjUzee1X6/3pvXoHIrN05vAsGWa1Hhw67EzUC94m8CQZRo26AnKYewUorRw9RjmBW9hgpxCxAa9X6bZDhd6XvWxTLMXPpl91epN9SaDO8Lc7/kyAMGMTsArfADb53TbD3uXfaY9IZRKBGZBhxlD+AAEFZ2AVfhk4fXetGPhQ7JZG71qozhdrddBEq/CSz+lM8MOTMtMd8H1OAP1gq8ZLUMOTGOD9p25Z/alWNXkAwuc2/k8Huyzo0xgdoIZnYB5ArPbPqfbftiZ7CPmCaFUIjALOswoE5idoKIT8E5g+oC0rWk9ExjF5ulNYNgBaZn5ycEjZ6Be8DaB2R/xXPBB71OyYkPuq3L+dEazF2xUDAiDO8LC74ZAgGBGJ2Ce0ey2z+m2H/Yu+xB6QiiVCMyCDjPKjGYnqOgEvDOauN6b1jOjUWzWRjdtljbZOgxWeRwFIo6SoA4bGazEqmiUko/y9XYL8yXMaNhzvZl0cwbqBW8zGvJcLxv0RviIOJNZFqnZb5lfvPDBau5Z6uoxzAvewgSpubNB/9kGW7Zx08qgWDa6vCH1bS2rOBBFIqI4j5Z5cTmnBGTY/RqZqczX6zHMC97CxF6PXfBBT+/5qQwrgGamWmCvxzAveAsTpADKBu19HdBe11NNbq7r+b1zECCY0QmEMwFu+z1i+5xu+2Fnssv0E0KpRGAWdJhRsiY7QUUn4M2aiuu9aT1ZE8XmyU1gOfYETW6q6vU4A/WCrwkst5dfF3zQ05PDOVbvzE2lv16PYV7wFiZIvZMNenO2Whiv6nXTBpG+T0HIcBU0rVgFqQpP0a6TVVJczhpMHmNhYi6x9HgM84K3MLHXwhZ80NNbqsux4lNursP0eAzzgrcwQYpPbNC+s6bcvryumlwY6f0+vQkQzOgEwpkAt/0esX1Ot/2wM9ll+gmhVCIwCzrMGFkTQFDRCVizplzXmramHWdNJJunlzVhtaZcujkD9YK3CQypNbFBTzBrwmpNuans0usxzAvewgSpNbFBT68kmWO1ptxUdun1GOYFb2GC1JrYoCeYNWG1ptz83FmPxzAveAsTpNbEBr3bshd7PpH6aRplX29XMWBauw6L+NAd46ZRdoIZnUA4E+C23yO2z+m2H/Yuu24/IZRKBGZBhxkljbITVHQC3jRKF5+2pvWkURSbO6OLuinCMAlkIxJ9824W5E2tlVKaxnkoxSprH1/KjFZgxafC+EjZsTNQL/ia0Qqk+MQGPb00qsCKT4XxubNej0Fe8BYmSPGJDXp6izIFVnwqTHWYXo9hXvAWJkjxiQ26C5MoWobLWA01agBaBWKV1EFRtCIIQ5VxhatcyCa+nDDBik+FqQ7T6zHMC97CBCk+sUH7Lj4V9vV21eTCQK+fLxgSimNkTQDBjE4gnAlw2+8R2+d02w87k12mnxBKJQKzoMOMkTUBBBWdgDVrKnTxaWvacdZEslkbXadxWIfJOsjWtZ7soiio1+s2EHIVr+s2XMp18/hiJjCs+FRIN2egXvA2gSHFJzboCcphrPhUmOswPR7DvOAtTJDiExv0BJNrrPhUmOswPR7DvOAtTJDiExv0BJfqsOJTYa7D9HkM8oK3MEGKT2zQuvikwR97rjkV9mV21fTmJWu/DzwBBDM6gXAmwG2/R2yf020/7FR2uX5CKJUIzIIOM0r2ZCeo6AS82ZOuOW1N68meKDZro5tiJWuR5EFcR0Ug0nwdNFKPZqnIV6totYrlxeidOIRqTuptbs5AveBpIlM81qhd8EF3YZLUyyJvkzSQy5UMRL3MgiKK0iAvsmW0XEbNKq0vJ0ygmpN6m6vHMC94CxOg5sQH3YUJdtfqpYQJVHNSb3P1GOYFb2EC1Jz4oCe3FhOHUM1Jvc3VY5gXvIUJUHPig/Zcc4pD+zK7anJhoNeHFQ0JxRGyJoRgRicQzgS47feI7XO67YedyS7TTwilEoFZ0GFGyJoQgopOwJk1Kauu96YdZU00m6c3gUE1J/U2N2egXvA2gQE1Jz7oCcphqOak3ubqMcwL3sIEqDnxQU8wuYZqTuptrh7DvOAtTICaEx/0BJfqoJqTepurxzAveAsToObEB9098LSpTx4GwqEvvtEu33vrnbcZXFG+8ernFnEU3iySWNwsZJLfLNJIDPnCvHCNP+kPAeHaV1NUmqLSFJWmqIYoKjrFofiFKGD9qyGUzFUUL76oMV58UXO8+OIQiJbEFBKNcvSs5egRF92oFxVxcRyrl6R7UbEXC/2VkPqlUC9SfytT/aK/TRP9or9N9beZ/m2m35zpz+b6pdBvKdRXSZjoF/1VFOuXVAd5OBDakXlFHt9HCHnOObSjm0q7q9LuqrS7Ku2uSrur0u6qtLsq7a5Ku6vS7qq0uyrtrkq7q9LuqrS7Ku2uSrur0u6qtLsq7a5Ku6vS7qq0u6ohd1V0d43Th6Ib/ar7kHaYek02r7o/aZ/pV9m9FvpVdj9RftOv3U+U5/Rr95O0+0nWvSfrPpV1fyfvXovunYX+WrtQv3ZfR3H3mna9ud+NXW8n+PGZHuz7KVnlausc+qZ6k5EyG4yWMdbeAIIZnUA4E+C23yO2z+m2Sxfb6TPCTo4BMAs6zBhrbwBBRSdgXXuLouu9aT3DFMXmblFFtqsizIugaaVKmZo2D/JVkwThOs7TOl41Tb2NsgtIgyKsxhiZy21HzkC94CsNipAaIxt0FyZt3SarpoiCtBDLQCR6ASbJGpVoNyqJSnMRXs4OzTjCaoyRudzW4zHMC97CBKkxskHvjwfZgGth4EP3DDS17KeOEpFnufR6l7IyztpuMzoBs76x2z6n237YiewT6rlCZkE3ehQdY3d7RSfg0zF9hmr1QrG0W8QNZRGFeRuk6bINRC3ToMhSGSyLWLRiGTZ5czmVwwhb648Glr2HnIF6wdu0hKz1s0F3YZKnebzMVlnQJFkYiLRdB8VSNEFSJGGxLuo6aS9nrT8qsDAZWFoc9hjmBW9hYt9MvuCD3owmSVNHeRQGSZSqkIqiPCjCtgmWbVys5DJPwiy9mDCJsW258UBiaOhYkBd8hUlsz+AXfNA7kbsVVbrxL0fkxgPSPg5VkhenXk8MV8ZZ221GJxDOBLjt94jtc7rth53IrrbOFTILutFjiFzA7RWdYHSRS7K0m5aivE7TYhlI2RRK6SRNUDTtMshF0q5bNY+tk+Xji5mWsO1xOupdnIF6wdu0ZE/IFnzQm12UdZ2raawIsjQRgQjXRVDLpXoJ42jZJnKdRfJywgTLheKBtGDYY5gXvIUJkguxQXdhsi6kbJNlEkQyb/Sh0HmQh6siCEMZyjTPo0IebXfxFyZYLhQPpAXDHsO84C1MkFyIDXp6e7ITLBdKBtICQ8eCvOArTBIkF2KD9vRQ0UDTDogrlfFlUm/WGpKBY+Q+iV3IzugEwpkAt/0esX1Ot/2w09hF+LlCZkE3eozcB3B7RScYPfchWTq9aQjLfRLp5gzUC96mIST3YYOeXoqcYLlPMlwSGfAY5gVvYYLkPmzQu5XbbZ1H8/tYuf38PgjsjzaoEDA+2hB6PUgKIZjRCZhVjd32Od32w85ln15PCKUSgVnQYUZRO3aCik7Ap3Y+r/16vTetR/dQbJ7ehIat0iQDCxZDzkC94G1CQ1Zp2KCnt+YrsPPGhOmJi16PYV7wFSYCOW+MDXp6WZTAFvOEacd7v8cgL3gLE2Qxjw3a02LeXg4L+xZ31eSxiT7zu4sXIJjRCYQzAW77PWL7nG77YWey668TQqlEYBZ0mDHkMEBQ0QlY5bCIr/emHcthks3Tm8Cwx0+E6UmMHmegXvA2gdmXrBd80JunlKImScQyC5ZyGan3ijiohYyCdS3iQi6zep2GlxMmAgsT4eoxzAvewsR+/NmCD9q7zrGvlasml0b64pB+XJ1jJ5jRCZh1jt32Od32w85kn1hPCKUSgVnQYUbROXaCik7Aq3Pk9d60Hp1DsXl6Ogc74k6kbs5AveBtAkOOuGODnuCyH1buFAOVP4PHIC94CxOk3MkGPb0igsCOuBPm0956PIZ5wVuY2EtfCz5o73LYXkJRTW4soeThIf24cthOMKMTCGcC3PZ7xPY53fbDzmTXXyeEUonALOgwo8hhO0FFJ+CVw8X13rQeOUyxeXJyWGLlTWms9B07A/WCrwlMIuVNNujpLftJrLwpjZW+Po9hXvAWJkh5kw3at86R9oqOanJjdSSPDulH1TkAwYxOwKtzANvndNsPO5N9Yj0hlEoEZkGHGUPnAAQVnYBV50hd3pRD5U2SzdPTOVh5UxorfcfOQL3gbQJDypts0NNb9pNYeVMKZ49BXvAWJkh5kw26CxMZqW9XIgmSolWaKEnToC5WRRA3bbISUbhU311OmGDPTEnp6jHMC97CxF76WvBBe5fD9hKKanJjCSWPD+nHlcN2ghmdQDgT4LbfI7bP6bYfdia7/johlEoEZkGHGUUO2wkqOgGvHE6v96b1yGGKzdOTw1h5UxorfcfOQL3gbQJDypts0BPUOVh5UxorfX0ew7zgLUyQ8iYbtHedY6/oqCY3V0f8PuQLEMzoBMw6x277nG77YWeyT6wnhFKJwCzoMKPoHDtBRSfg1Tm6vLk1rUfnUGyenM5JsfJmaq700Z9Q6+tzVvjT+12KlDfZoKe37Jdi5c3UXOmjP+/qK0yQ8iYb9PTkcBpjYWKuqPR4DPOCtzCxl74WfNC+5XBqL6GoJjeXUPye5AcQzOgEwpkAt/0esX1Ot/2wM9n11wmhVCIwCzrMGHIYIKjoBKxyOE2u96Ydy2GSzdOTw1h5MxVuzkC94G0CQ8qbbNAT1DlYeTOVrh7DvOAtTJDyJhu0d51jr+ioJjdVR5LQs86xE8zoBMw6x277nG77YWeyT6wnhFKJwCzoMKPoHDtBRSfg1Tm6vLk1rUfnUGyens7BypupqdLX4wzUC94mMKS8yQY9vac3U6y8mZoqfb0ew7zgLUyQ8iYbtHedY6/oqCY3VUeSUB7Sj6tz7AQzOgGzzrHbPqfbftiZ7BPrCaFUIjALOswoOsdOUNEJeHWOLm9uTevRORSbJ6dzMqy8mZkqfT3OQL3gawLLkPImG/T0dE6GlTczU6Wv12OYF7yFCVLeZIP2rXMye9VONbmpapeE6SH9qDoHIJjRCXh1DmD7nG77YWeyT6wnhFKJwCzoMGPoHICgohOw6pxMP725Ne1Y55Bsnp7OwZ7ezExFvB5noF7wNoHZq60LPujp1a0yrLyZCVePYV7wFiZIeZMN2rvOsVftVJNLI312SD+uzrETzOgEzDrHbvucbvthZ7JPrCeEUonALOgwo+gcO0FFJ+DVOfpw2q1pPTqHYvP0dA52OG2WujkD9YK3CcxebV3wQU9Q52Dlzcxc6evxGOYFb2GClDfZoP9sexdntD2VLXrs5zLOgbYeWO+OZZJEufRbsMrsVYYZnYBZ4Nhtn9NtP+xF9hn1XCGzoBs9ipCxu72iE/AJmT5DtXyhWNrJl0Q/P1MkQR6KVSBkWgd12LRB0sRhIZpVkq2Lx5cyL+VYnSEfWHIfcgbqBV/zUo7UGdiguzAp1lEerRMRFHkmAtHWcdCEYRuspFgt2yxfh+vLOUw0x1bz8oGFrWGPYV7wFibIah4b9KZqmTS1encYJFHaBiKK8qAI20Yp4rhYyWWu9FF6OWGC7ULPpavHMC94CxN7Cr/gg+7CJE/zeJmtsqBJsjAQabsOiqVolEBOwmJd1HXS5pcTJlgylA/kBcMew7zgLUyQZIgNWidDGvyxnxxov/ib27cyqqY332fut8gNEMzoBMKZALf9HrF9Trf9sFPZRfoJoVQiMAs6zBg5E0BQ0Qn4cqbPa79e7007zp5INk8veyqwiWwglRxyBuoFbxOZPdNf8EFPL3sqsD2fhfF0lz6PYV7wFSYFsueTDXp62VOBrcUUxtNd+jyGecFbmCBrMWzQ08ueihgLE9M2s16PYV7wFib2/YALPmjfW2YK+0qUanLziRh+K0oAwYxOIJwJcNvvEdvndNsPO5Ndpp8QSiUCs6DDjJE1AQQVnYA1ayr0kTbF0JE2JJu7rAnaN3EpExi257MQbs5AveBtAkP2fLJBT1AOY8WEQrp6DPOCtzBBigls0BNMrrENeEXq6jHMC97CBNmAxwY9vaW6Aqs5Faa9aP3jL+QFb2GC1JzYoL1nTfblddXk5lsB/NaaAIIZnUA4E+C23yO2z+m2H3Ymu0w/IZRKBGZBhxkla7ITVHQC3qxJ15qKoVoTyebpLfthtabCWHY5dgbqBW8TGFJrYoOeXNaUhFCtSb3N1WOYFzyFieKxhwkf9OSypiSEak3qba4ew7zgLUyAWhMf9OSypiSEak3qba4ew7zgLUyAWhMftOesKQnty+uqyc1L1V4fz0YIZnQC4UyA236P2D6n237Ymewy/YRQKhGYBR1mhKwJIajoBJxZk7Lqem/aUdZEs3lqtSZ96ik0gQk3Z6Be8DaBAbUmPugJZk1QrUm9zdVjmBe8hQlQa+KDnmDWBNWa1NtcPYZ5wVuYALUmPugJZk1QrUm9zdVjmBe8hQlQa+KD3h/2sG12/R+fDzoloX29XcWA+TmJ/NAd46ZRdoIZnUA4E+C23yO2z+m2H/Yuu24/IZRKBGZBhxkljbITVHQC3jQqv96b1pNGUWzu9HEoC/X7NkjTpRJJtUyDIktlsCxi0Ypl2OTNBaVRUPFJvc3NGagXvM1oQPGJD3p6aVSEFZ8i8zM/fR6DvOArTCKk+MQGPblSdhJhxafI/MxPj8cwL3gLE6T4xAbtu6oQ2WsqqsnNNRW/chggmNEJhDMBbvs9YvucbvthZ7LrrxNCqURgFnSYMeQwQFDRCVjlcBRf7007lsMkmydXVYig47DU29ycgXrB2wRmr4Ut+KAnKIex4lMkXD2GecFbmCDFJzbo6SXXEVZ8iqSzxyAveAsTpPjEBu1dDttrKqrJUyN9cUg/rhy2E8zoBMKZALf9HrF9Trf9sDPZ9dcJoVQiMAs6zChy2E5Q0Ql45XB6vTetRw5TbJ7eeg5W74zMpb8jZ6Be8DaBIfVONugJymHo7m71NlePYV7wFib20teCD3qCchirNUXGskuvxyAveAsTpNbEBu1bDsf2Esqb6k0m+iI8pB9VDgMEMzqBcCbAbb9HbJ/TbT/sTHb9dUIolQjMgg4zhhwGCCo6AascjsPrvWnHcphk8+RWh2OsvBkbK33HzkC94GsCi5HyJhv09ORwHGNhYqyo9HkM84K3MLGXvhZ80NOTwzFWa4qNZZdej0Fe8BYmSK2JDbrbTNyhH8bBoSu+0S7fe+udtxk8Ub7x6ucUorxZJEmmXkShXqT+No30i/5ZlugX/Ytc/6LQvyiEflG/FWGoXxL9kuoX9T4RxfpF6pdcvai5Sr0I/aI/kehPJPoTif5Eoj8h9CeE/oTQn5D6E1J/QupPpPq32haR6a8y/bFcv0UbJLRBQtsiw1i/6K+0BTLSX8X6q1j9UZkkQy0sTC0c4suWUDvhUk03TqUbp9KNU+nGqXTjVLpxKt04lW6cSjdOpRun0o1T6capdONUunEq3TiVbpxKN06lG6fSjVPpxql041S6cSrdOJVunEo3TqUbp9KNU+nGqXTjVLpxKt04lW6cSjdOpRun0o1T6capdONUunEq3TiVbpxKN06lG6fSjVPpxql041S6cSrdONVQ41T0xjmUoFDjwCpUt40Wm/JGvarWUa+qedSr7H6iGki/dj9XTaRfu9/m3W+L7reqmfSrfo9uKP2adK9p96rfrxtLv8ruNdevcdS9iu61+2zSfTbpPpt0n026z4rus6L7rOg+K7vPyu6zsvts2r2ns1M3n37t/kLevbOzVnTWis5O3Yj6tfu6s023o3qNu69j/a8MNaX2FqUtnxkhL+puzSQeWHePEhmqhksGI3OUlQJ7tWNGJxDOBLjt94jtc7rt0sV28sw6MNNQjR5lRcDu9opOwLciMDTYUCzVpq6SsKiT9SoIo1gGYpXEKhkUq2Ad5XnTNm0odj34EpQ7Vu+IB5b+h5yBesGbckfqHWzQmwSvzdImW4fBKo+jQM3LiX5kUAbq/UUT5nmUr6OLCZMEe2giGVg7G/YY5gVfYZLYFzkXfNBdmKzjNAvzugmyNtHXiK9UMljnIoiU5llHq7pI2tXlhAm2XJQMrJwMewzzgrcwQZaL2KC7MFnGRRLHUROsimQZKO0ugjwOw6CNmqJosihVf+NywgTbc5oIV49hXvAWJsieUzboTY1CrLJs2SZBo2akQKQyDuqkbQJR1KuoSetVLpeXEybYSRaJo1BDveAtTOw6esEH7anIPtC0RgUmvF4WpIyzttOMTiCcCXDb7xHb53TbDzuNPVc7V8gs6EaPkSIDbq/oBKOnyCRLJzcNCSz3EcY04NgZqBd8TUMCyX3YoDfLtqs4CWUdB2ERrZWyydugXi+zIMqbOonSVDTry9lgLLDcRxjTgD6PYV7wFiZI7sMG3YWJWIloHUZxkNRypfIkEQZ1ka+VAK6XWVHkso4up1QusNxHCFePYV7wFiZI7sMGPb0FN4HlPsKYBvR5DPOCtzBBch826Okt3wts+V44CjXUC97CxK6jF3zQu1P8tmFwWVVlOaDIwjSKsuT4duFRU2Zp15QzOoFwJsBtv0dsn9NtP+xE9tztXCGzoBs9RsoMuL2iE4yeMpMs7VJmaIvxhUxLEsuF5EBaMOQM1Au+piWJ5EJs0JtcKEmkiAoRROu6DaKoVe8N2ywIQxnKVCmdQsaXEyZYLiSFq8cwL3gLEyQXYoO+qAV+OSDlt5R+z1KT9mRkRidgVit22+d02w87jX3aPFfILOhGj6JW7G6v6ATjqxWKpdrUrF3nUbhugiJSCfduLKovdBrCkmg5kE8OOQP1grdpCEmi2aCnJ2pTrA6UmhU+/Ww5T2GS2hOwBR/0RamVdLCMEcdJ6vk+udSefMzoBLxqBbB9Trf9sNPYp81zhcyCbvQYagVwe0UnGF2tkCztFnLzZR2HYhk0TZEGQj+h2yRRqp/QXcd1tI7Echv/lzANYUlzKtycgXrB2zSEJM1s0BNUK1gBMR1Q+MMew7zgLUzsCdiCD/qy1IpRukfhIeW4asWefMzoBMxqxW77nG77YaexT5vnCpkF3ehR1Ird7RWdYHy1QrF0cmsrGZY0Z8b88dgZqBd8TUMZkjSzQU9PrWRYwTAbUPjDHsO84C1M7AnYgg/6otRKJoyU0SHlqGolsycfMzoBr1oBbJ/TbT/sNPZp81whs6AbPYZaAdxe0QlGVyskS6enVrCkORvIH4ecgXrB2zSEJM1s0BNUK1jBMDMr/B6PYV7wFib2BGzBB31RaiU3S/f4kHJUtZLbk48ZnYBXrQC2z+m2H3Ya+7R5rpBZ0I0eQ60Abq/oBKOrFZKlk1MrOZY05+b88cgZqBd8TUM5kjSzQU9PreRYwTAXrh7DvOAtTOwJ2IIP+rLUilm6+z1pMrcnHzM6AbNasds+p9t+2Gns0+a5QmZBN3oUtWJ3e0UnGF+tUCydnlrBkubcnD/2HGyEecHbNIQkzWzQ01MrBVYwLMwKv+/8K8gLvsKksCdgCz7o3RPN29NUfD3R/Pl9ENivaVEhYLymJfJ7OBhAMKMT8KoawPY53fbDzmWfXk8IpRKBWdBhxlA7AEFFJ+BTO5/Xfr3em3ase0g2a6M3TzrWchIPuRbYKk0xsGAx5AzUC94mNGSVhg16groHu0KpMN4m1OcxzAvewgS5QokN2tMqzVOdY1+jUk0uTPSF32ekAYIZnYBZ59htn9NtP+xM9on1hFAqEZgFHWYUnWMnqOgEvDpHXO9N69E5FJunN4FJbAKTbs5AveBtApPWqF3wQU9vGbDAtlgVA2uiwx7DvOAtTOxL1gs+aO86J7PSqybPjPTDN/WNonPsBDM6AbPOsds+p9t+2JnsE+sJoVQiMAs6zCg6x05Q0Ql4dU52vTetR+dQbJ6ezsHqWMVASWfIGagXvE1gSB2LDXqCOqfAwqRw9RjmBW9hUiBhwgXtWeeI0F7Fe1O9yUAfh0fPc42pcxCCGZ2AVecgts/pth92JvvEekIolQjMgg4zgs5BCCo6AafOUVZd70070jk0m6emc0QYIROYepubM1AveJrAFI81ahd80JPTOSKEypvqba4ew7zgLUyA8iYftHedY6/aqSY3Ve3i0OsT3QjBjE7ArHPsts/pth92JvvEekIolQjMgg4zis6xE1R0Al6dk1zvTevRORSbp6dzoMdj1NvcnIF6wdsEZq+2LvigJ6hzoPKmepurxzAveAsToLzJB+1d59irdqrJUyN9fEg/rs6xE8zoBMw6x277nG77YWeyT6wnhFKJwCzoMKPoHDtBRSfg1Tnp9d60Hp1DsXl6OifDJjBTEa/HGagXvE1g9mrrgg96gjoHKm+qt7l6DPOCtzABypt80N51jr1qp5rcVLWLQ69PkSMEMzoBs86x2z6n237YmewT6wmhVCIwCzrMKDrHTlDRCXh1TnG9N61H51BsnpzOiaAHiNXb3JyBesHXBBbZq60LPujp6ZwIK29G5kof/cl8X2GClDfZoH3rnMhetVNNbq7aiUP6UXUOQDCjE/DqHMD2Od32w85kn1hPCKUSgVnQYcbQOQBBRSdg1TlRfL037VjnkGyens6BHhhWb3NzBuoFbxOYvdq64IOeoM7BypuRcPUY5gVvYYKUN9mgvesce9VONbk00ns9PwchmNEJmHWO3fY53fbDzmSfWE8IpRKBWdBhRtE5doKKTsCrc+T13rQenUOxeXo6B3pgWL3NzRmoF7xNYPZq64IPugsT7G7MSwkTrLwZmSt9PR7DvOAtTJDyJhu0d51jr9qpJjdX7dJD+nF1jp1gRidg1jl22+d02w87k31iPSGUSgRmQYcZRefYCSo6Aa/Oya/3pvXoHIrN09M50APD6m1uzkC94G0Cs1dbF3zQ01vPibHyZmyu9PV4DPOCrzCJkfImG7RvnRPbq3aqyc1Vu6NbzUfVOQDBjE7Aq3MA2+d02w87k31iPSGUSgRmQYcZQ+cABBWdgFXnxNH13rRjnUOyeXI6J46xCcxcxDtyBuoFbxOYvdq64IOeoM7BypuxudLX4zHMC97CBClvskF71zn2qp1qcmGk93oeMkIwoxMw6xy77XO67YedyT6xnhBKJQKzoMOMonPsBBWdgFfniOu9aT06h2Lz9HQO9sCw7hcuzkC94G0Cs1dbF3zQXZhgd0RcSphg5U094rh5DPOCtzBBypts0N51jr1qp5rcXLXzeh4yQjCjEzDrHLvtc7rth53JPrGeEEolArOgw4yic+wEFZ2AV+dk13vTenQOxebp6RzsgeHYXMSjHw3c1+es8Gfod/Zq64IPeoLrOVh5MzZX+uhHA/sKE6S8yQbtW+ck9qrdm+pNJvooPKQfVecABDM6Aa/OAWyf020/7Ez2ifWEUCoRmAUdZgydAxBUdAJWnZPo85CTofOQSTZPTuck2APDibGId+wM1Au+JrDEXm1d8EFPT+ckWHkzMVb6+jyGecFbmCDlTTZo7zrHXrVTTW6s2kV+z0MGCGZ0AmadY7d9Trf9sDPZJ9YTQqlEYBZ0mFF0jp2gohPw6hx9HnIydB4yyebp6RzsgeFEuDkD9YK3CcxebV3wQU9Q52DlzUS6egzzgrcwQcqbbNDedY69aqeaPDXSx4f04+ocO8GMTsCsc+y2z+m2H3Ym+8R6QiiVCMyCDjOKzrETVHQCXp2jz0Pemtajcyg2T0/nYA8MJ8Yi3rEzUC94m8Ds1dYFH/QEdQ5W3kyMlb4+j2Fe8BYmSHmTDdq7zrFX7VSTG6t2kd/zkAGCGZ2AWefYbZ/TbT/sTPaJ9YRQKhGYBR1mFJ1jJ6joBLw6R5+HvDWtR+dQbJ6czhHYA8PCXMSjHw3c1+es8Kf3O2Gvti74oKencwRW3hTmSh/9aGBfYYKUN9mgfescYa/aqSY3V+38nocMEMzoBLw6B7B9Trf9sDPZJ9YTQqlEYBZ0mDF0DkBQ0QlYdY7Q5yFvTTvWOSSbp6dzsAeGhbmIRz8auK/PWeHP0O/s1dYFH/QEdQ5W3hTC1WOYF7yFCVLeZIP2rnPsVTvV5NJI7/c8ZIBgRidg1jl22+d02w87k31iPSGUSgRmQYcZRefYCSo6Aa/O0echb03r0TkUm6enc7AHhkXq5gzUC94mMHu1dcEHPUGdg5U3hbnS1+MxzAvewgQpb7JBe9c59qqdanJz1c7vecgAwYxOwKxz7LbP6bYfdib7xHpCKJUIzIIOM4rOsRNUdAJenaPPQxZD5yGTbJ6ezsEeGBbmIh79aOC+PmeFP0O/s1dbF3zQXZhgh/9fSJhIrLwpzZW+Ho9hXvAVJhIpb7JB+9Y50l61U01urtr5PQ8ZIJjRCXh1DmD7nG77YWeyT6wnhFKJwCzoMGPoHICgohOw6hypz0OWQ+chk2yenM6RMTaBmYt49KOB+/qcFf4M/c5ebV3wQXdhsmyTLEtWSVCLug2ECPOgzpo2yGOZiWYZxSqvv5wwwcqb0lzp6/EY5gVvYYKUN9mgvesce9VONbkw0vs9DxkgmNEJmHWO3fY53fbDzmSfWE8IpRKBWdBhRtE5doKKTsCrc/R5yFvTenQOxebp6RzsgWEp3ZyBesHbBGavti74oKdXt5JYeVOmrh7DvOAtTJDyJhu0+t8fafJiA65V7x961T32Kp4KAVMVL/K9vmMnmNEJmHWP3fY53fbDzmWfaE8IpRKBWdBhRtE9doKKTsCre/T5yFvTenQPxeYucY8LPd41wapIlip7i4VK3MIwaKOmKJosSrN228cvYULDHiCWpqJejzNQL3ib0OzV1wUf9EYei1WWqUw/aKI8D0Qq46BO2iYQRb2KmrRe5XJ5OWGClTulqfLX6zHMC97CBCl3skF3YdIUK1mLJA/iOirUe/N10Mg6DvJU5KtVtFrFOkwvJExSrNyZmip/vR7DvOArTFKk3MkGvcmiwnW8kqIJ6kbKQCSNUMGVhEEt1/k6l20WFhcUJtjTnKmpwtLrMcwL3sLEXgpb8EH7Xi1O7SUV1eTmkorfW2UAghmdQDgT4LbfI7bP6bYfdia7TD8hlEoEZkGHGSNrAggqOgFr1pTqpzm3ph1nTSSbtdF1God1mKyDbF3rJcMoCur1ug2EXMXrug2Xct08vpgJDCt3pubKX8/NGZgXvE1gSLmTDXqCchh7mjMVrh7DvOAtTOylsAUf9PSS6xSrPaXS1WOYF7yFCVJ7YoOe3lJditWeUnMZpsdjmBe8hQlSe2KD9p412ZfXVZOblqrjODykHzdrshPM6ATCmQC3/R6xfU63/bAz2WX6CaFUIjALOswoWZOdoKIT8GZNutaUDtWaSDZro6MwTOIiTYI0XIpADWLrIC+yVZDn6hfRMq2bYtswlzCBYbWm1PgA2bEzUC94m8CQWhMb9ASzJqzWlJrKLr0ew7zgLUyQWhMb9PSypgyrNWXGp8z6PIZ5wVeYZEitiQ16ellThtWaMuPTPH0ew7zgLUyQWhMbtO+sKbMvr6smNy5Vx35vvAMIZnQC4UyA236P2D6n237Ymewy/YRQKhGYBR1mjKwJIKjoBKxZU6ZrTdlQrYlkszZarJJwGSWrYK2GrECEoggKmbRKSef5MlHfN9Hq8cVMYFitKTOWXY6dgXrB2wSG1JrYoKeXNWVYrSkTrh7DvOAtTJBaExv0BOUwVmvKpKvHMC94CxOk1sQG7V0O20soqslTI318SD+uHLYTzOgEwpkAt/0esX1Ot/2wM9n11wmhVCIwCzrMKHLYTlDRCXjlsL4YcWtajxym2Dy5IkKGnRyamSsqR85AveBtArOXvhZ80BOUw1itKTOXXXo8hnnBW5ggtSY26AkWEbBaU2Yuu/R4DPOCtzBBak1s0NPLmnKs1pSbyy49HsO84CtMcqTWxAbtO2vK7SUU1eTmEorfa1YBghmdQDgT4LbfI7bP6bYfdia7TD8hlEoEZkGHGSNrAggqOgFr1pTrYxzzoWMcSTZro7GnFi5lAouxCcxcUem5ShLzgrcJzF76WvBBTy9ryrFaU24uu/R4DPOCtzBBak1s0BOUw1itKReuHsO84C1MkFoTG7R3OWwvoagml0Z6v7fxAgQzOoFwJsBtv0dsn9NtP+xMdv11QiiVCMyCDjOKHLYTVHQCXjmsb6nbmtYjhyk2T08OY4/S5ambM1AveJvA7KWvBR90FyatyKJMrpIgkbVUk10hgzzJl8E6XqfrdR2lSX1BOgerNeXmskuPxzAveAsTpNbEBt2FySoJizpZr4IwitV7V4lSzSuxCtZRnjdt04YivqAwwWpNubns0uMxzAvewgSpNbFBTzC5xmpNubns0uMxzAvewgSpNbFBd2ESr+Ik1L8Mi0hNUCJv1QS1zIIob+okSlPRrC8nTAqs1lSYyy49HsO84CtMCqTWxAbtO7ku7MvrqsnNS9V+r4AHCGZ0AuFMgNt+j9g+p9t+2Jns2dwJoVQiMAs6zBjJNUBQ0QlYk+tC15qKoVoTyWZtNHbE46VMYFitqTCXXfquuYa84G0CQ2pNbNDTS64LrNZUmMsuPR7DvOAtTJBaExv09LKmAqs1FcLVY5gXvIUJUmtig57eRs4Ce66pkK4ew7zgLUzsdYgFH/T0KtcFtvBfmNfAezyGecFbmCAL/2zQ3pNr+3q2anLzevbRbeTjJtd2ghmdQDgT4LbfI7bP6bYfdiZ7NndCKJUIzIIOM0pybSeo6AS8ybU+Q29rWk9yTbF5cpXrAqs1Feayy5EzUC94m8CQWhMb9ASzJqzWVJjLLj0ew7zgLUyQWhMb9OSyJhlCtSb1NlePYV7wFCaKxx4mfNCTy5pkCJ2hp97m6jHMC97CxF6HWPBBe86aZGhfz1ZNbl7P9nrLLUIwoxMIZwLc9nvE9jnd9sPOZJfpJ4RSicAs6DAjZE0IQUUn4MyalFXXe9OOsiaazdpo7OSIS5nAoFqTepubM1AveJvAgFoTH/TksiYZQrUm9TZXj2Fe8BYmQK2JD3qCWRNUa1Jvc/UY5gVvYQLUmvigJ5g1QbUm9TZXj2Fe8BYmQK2JD9p71mRfXldNbl6qzg/px82a7AQzOoFwJsBtv0dsn9NtP+xMdpl+QiiVCMyCDjNK1mQnqOgEvFlTdr03rSdrotisjcaOn76UCQyqNam3uTkD9YK3CQyoNfFBTzBrgmpN6m2uHsO84C1MgFoTH/T0sqYIqzVF5rJLj8cwL/gKkwipNbFBTy9rirBaU2Quu/R4DPOCtzBBak1s0L6zpsi+vK6a3LxUfXTH76hZE0AwoxMIZwLc9nvE9jnd9sPOZJfpJ4RSicAs6DBjZE0AQUUnYM2aIl1rioZqTSSbJ1drirBaU2Quu/TcWI55wdsEhtSa2KCnlzVFWK0pEq4ew7zgLUyQWhMb9ASzJqzWFElXj2Fe8BYmSK2JDXqCWRNWa4pSV49hXvAWJkitiQ3ae9ZkX15XTW5cqk7CQ/pxsyY7wYxOIJwJcNvvEdvndNsPO5Ndpp8QSiUCs6DDjJI12QkqOgFv1qRrTdFQrYlkszYae7jlUiYwrNYUGcsux85AveBtAkNqTWzQE8yasFpTZCy79HkM84K3MEFqTWzQ08uaYqzWFBvLLn0ew7zgK0xipNbEBj29rCnGak2xsezS5zHMC97CBKk1sUH7zppi+/K6anLjUnVydBX0qFkTQDCjEwhnAtz2e8T2Od32w85kl+knhFKJwCzoMGNkTQBBRSdgzZpiXWuKh2pNJJsnlzXFWK0pNpZdjp2BesHbBIbUmtigJ3fUooyxWpMe+t08hnnBW5ggtSY26Okl1zFWa9JN6eYxzAvewgSpNbFBTzC5xmpNsbHs0ucxzAvewgSpNbFBd2GylmJZZ0KlVM2qDkRWZ0EdNjJohMzX8bINi2R9OWECXZ4jY/Pydo/HMC94CxN7HWLBB63+90caXH3mD41hYM/qTvCCanz7urZqetO6dhT5fQwOIJjRCYQzAW77PWL7nG77YaeyZ3UnhFKJwCzoMKMk2XaCik7Am2Tn13vTepJsis3a6ChM5LJd58G6ifSh9kpM1yKXQRiHsm5W61V4SXoHqznFpvJLjzNQL3ibyJCaExv09LKnBKs5JabyS6/HMC/4CpMEqTmxQU+v5pRgNafEVH7p9RjmBW9hgtSc2KCnl2QnMRYmpmXuXo9hXvAWJvZ6xIIP2ndpMrGva6smN69rx4f0o2ZNAMGMTiCcCXDb7xHb53TbDzuTXaafEEolArOgw4yRNQEEFZ2ANWtKkuu9acdZE8nm6U1gWM0pEW7OQL3gbQJDak5s0NNbJU6wmlMiXT2GecFbmCA1JzboCSbXWM0pSV09hnnBW5ggNSc26C5MCrlaptE6DoTS3SrDkoWKJhVXzbJJ6rRJZXen5aWECVZzSszllx6PYV7wFiZIzYkNWteculA5WmQ5dMU32uV7b73zNoMnyjde/ZxCLG4WUiT6JVMvMtIvUr/k6iXV36ZCv+j3ZfqrTP8ij9VLEeoX9eY0DPVL91Ux5Evzwjd+fgTkEVw7azdU2g2VdkOl3VBpN1TaDZV2Q6XdUGk3VNoNlXZDpd1QaTdU2g2VdkOl3VBpN1RDbqjobjhU35AbYAGuvaB1dnGjXpUf9GumX5Un9KvsXnP9mnY/Ud7Qr937s+7rrPut8oh6VS7Rr/pT2in6dfN1v1v0v0zxS1cX2Xacx57Lt4l97V+Nosa1//hoh/i4CxF2ghmdQDgT4LbfI7bP6bZLF9vpI/J+brLDLOgwoyxE2AkqOgHvQkRxvTetZ5ii2NwVXIomTOM0DVarQgmDOsyDYh02wSpfKivzLEpXxeNL0YQCq8sJY4nq2BmoF3xpQoHU5diguzCJl7JJQpEH+WqtlyqiMChq2QRhs1Q/yNXUnDWXEyZYXU4YS1R9HsO84C1MkLocG3QXJnmax8tspfKKJAtVNtqug2IpmiApkrBYF3WdtJezECGwupwwlqj6PIZ5wVuYIHU5Nuguw7zZ6OL/90Yle5XHwl6aUCFgWuaP4vjQG6PKY4BgRicQzgS47feI7XO67Yedy67HTgilEoFZ0GHGkMcAQUUnYJXHQtfpxFCdjmRzJ49luyrCvAiaVspANK2eBpskCNdxntbxqmnqbZRdwoSG1emEcHMG6gVvExpSp2OD7sJE5OFazXZpIHKZBCJro6BeJmGQiHCVxe06FHrb3KWECVanE9LVY5gXvIUJUqdjg95U/dd5mK5XYbCOQ/1UalqokCqKYNm2IkyTdR2K7HLCBKvTCVPJqtdjmBe8hQlSp2OD9r1tTdjLT6rJzeWn5JB+XDlsJ5jRCYQzAW77PWL7nG77YWey668TQqlEYBZ0mFHksJ2gohPwymF9DuHWtB45TLF5ehMYdg6hMB/Jd+QM1AveJjD7I2oLPugJymHsmTBhqrD0egzzgrcwsZfCFnzQ00uuJVZ7kuYj+Xo8hnnBV5hIpPbEBu1bDkt7SUU1ufl4PXFIP6ocBghmdALhTIDbfo/YPqfbftiZ7PrrhFAqEZgFHWYMOQwQVHQCVjkso+u9acdymGTz5OSwxMqd0lT563EG6gVvExhS7mSD3oRJXedN0hRBliYiEEogBbVcqpcwjpZtItdZJC8nTLBzCKX5yac+j0Fe8BYm9tLXgg96gnIYqzVJ4eoxzAvewgSpNbFBe5fD9hKKanJppJeH9OPKYTvBjE4gnAlw2+8R2+d02w87k11/nRBKJQKzoMOMIoftBBWdgFcOy+u9aT1ymGLz9OQwVt6UqZszUC94m8CQ8iYb9AR1DvYYojRXVHo8hnnBW5jYS18LPujdJtGtIvC+SVTaSyoqBIxPisWelwHtBDM6AbPusds+p9t+2LnsE+0JoVQiMAs6zCi6x05Q0Ql4dY8+AlMOHYFJsrmb0LIwacOVmu1k3gQiXS2Dui3aoBB1I9q1XEfL7dOglzChYeVOaar89TgD9YK3CQ0pd7JBT08ep1i5MzU/dUZfOPUUJilS7mSD9r2+k9orPKrJzdWS9JB+VJ0DEMzoBLw6B7B9Trf9sDPZJ9YTQqlEYBZ0mDF0DkBQ0QlYdU6qy53pULmTZPP0JjCs3JmaK39HzkC94G0CQ8qdbNBdmLQizYrVehks07YORNgqObTOmqDNZZ3LJlwKcXS8kL8wwcqdqbny1+MxzAvewgQpd7JB79Z3tqOF9/Wd1F7VUyEgDN6IYs+6x04woxMw6x677XO67Yedyz7RnhBKJQKzoMOMonvsBBWdgFf3iOu9aT26h2JzN0w1RSpVnh/IPC8C0eR50GTrVH0bLuu6TtO4bh9fzISGPd2ZSjdnoF7wNqHZq7ELPuiNPI5XqZRxFKxXasoTYa0vMMjTQERrWURNI/JofTlhgpU/09TVY5gXvIUJUv5kg97I43W9ipN6HaybZhUIpaSCOmqyIFwmRb6MRZsk6eWECVb+TE2VwF6PYV7wFiZI+ZMNenN+pKxXYSriQGZhEoh03QRFmtVBEq/jpg2LdKlXqy8lTLBH7VJzhaXHY5gXvIWJvRS24IP2vlpsL6moJjeVVOIkO6QfN2uyE8zoBMKZALf9HrF9Trf9sDPZZfoJoVQiMAs6zChZk52gohPwZk36ZNGtaT1ZE8XmyemcDCt3ZuYHHY+cgXrB1wSWIeVONuguTKSMlo0Uq6AW63UgWrEMmnyZ</t>
  </si>
  <si>
    <t>B7Jti7au4zyPL2fzRIadLJqZKyw9HsO84C1M7KWwBR/09NZgMqz2lJnLMD0ew7zgLUyQ2hMb9PRKlBlWe8rMZZgej2Fe8BYmSO2JDXpXe9omz95rT5l9uV2FgDB4I4qHbxQfI4sCCGZ0AuFMgNt+j9g+p9t+2Lnssv2EUCoRmAUdZowsCiCo6ASsWVSma09b046zKJLN2mjRhmnWhDKoV6GS0jKXQdG0TdCs1mpazMMkXG4HrEuY0LDaUybdnIF6wduEhtSe2KA3W9DjdbSKlmEQLZex0kgrEeSt+mi7jtq0EGmSx83lhAlWe8pSV49hXvAWJkjtiQ16U1Soi1W8TKMgjxOlkeJEBk1U5EFbZGG0alaZFO3lhAlWe8rMZZgej2Fe8BYmSO2JDdp3USGzl1RUk5tPL/Qsh+0EMzqBcCbAbb9HbJ/TbT/sTHb9dUIolQjMgg4zihy2E1R0Al45rB+1y4YetSPZPL0JDHvULjNXWOhjeV+fs8Kfod/ZS2ELPujpZU05VnvKzWUYegLhKUxypPbEBj29rCnHak+5uQxDTyB8hQlSe2KD1qvFGvyxn1XigSYeWBuPwzAv4jw+pB1V/ub21f0ZnUA4E+C23yO2z+m2H3Yeu946V8gs6EaPIXMBt1d0Aj6Z22eovmqcYun0VAu21ptLN2egXvA2HSFrvWzQE1Qt2CJePrCeNewxzAvewgRZxGOD7sIkjhvZrsUyCNNUBlGkz9rSJ5WEoQxlmudRIS9oNMFS5Xwgaxz2GOYFb2GCpMps0L7Xegt7BvimelM//VbaF4f0o4pdgGBGJxDOBLjt94jtc7rth53JrrpOCKUSgVnQYcYQwQBBRSfgE8Gf13693pt2LIdJNk9uAiuw1ZnCvFBx5AzUC74msAJZnWGDnl7WVMRYmMSuHsO84C1MkJ3BbNDTy5oKbGdwYd4k2+MxzAvewsS+ELTgg57e4ygFdglHIVw9hnnBW5jYd4ku+KC9Z032FSjV5NJEL8JD+nGzJjvBjE4gnAlw2+8R2+d02w87k12mnxBKJQKzoMOMkjXZCSo6AW/WpC/h2JrWkzVRbJ5e1oTtBC5SN2egXvA2gSE7gdmgJ5g1YUWEwrQpttdjmBe8hQlSRGCDnmDWhJ1CUxg3H/Z5DPOCtzCx7xJd8EFPMGvCak3FQNll2GOYF7yFCVJrYoP2nDWloX15/U31JiN9dEg/ZtaEEMzoBMKZALf9HrF9Trf9sDPZZfoJoVQiMAs6zAhZE0JQ0Qk4syZl1fXetKOsiWbzJoaWTZEnq6BdtkkgCqWam3XdBHEuW7lK6yxdbbH8T2BpCNWa1NvcnIF6wdMEpnisUbvgg55c1pSGUK1Jvc3VY5gXvIUJUGvig55c1pSGUK1Jvc3VY5gXvIUJUGvig55c1pSGUK1Jvc3VY5gXvIUJUGvig/aeNdmX11WTSyN9fEg/btZkJ5jRCYQzAW77PWL7nG77YWeyy/QTQqlEYBZ0mFGyJjtBRSfgzZrk9d60nqyJYvPUak1pCNWa1NvcnIF6wdsEBtSa+KAnmDVBtSb1NlePYV7wFiZArYkPeoJZE1RrUm9z9RjmBW9hAtSa+KC9y2F7CUU1ubmEkhzSjyuH7QQzOoFwJsBtv0dsn9NtP+xMdv11QiiVCMyCDjOKHLYTVHQCXjlcXO9N65HDFJsnJ4cj6NQZ9TY3Z6Be8DWBRfbS14IPenpyOMJqTZG57NLjMcwL3sIEqTWxQU9PDkdYrSmKXT2GecFbmCC1Jjbo6RURIqzWFJnLLj0ew7zgLUyQWhMbtD7DajPxHMbBoSu+0S7fe+udtxk8Ub7x6ucUorxRL9mQA4TBAVFytPdsUO1CGLjg1bZX2vZqyPaKbvuhzoVsh6WuNl0pWmW7fu03Xv+GYn1n/sZ635doKEBrB1OjijRSxoNtNEZiDhDM6ATCmQC3/R6xfU63XbrYTh+h9mO1HWZBhxkjMQcIKjoBa2Ie6TrV1rSeYYpisza6Xi6bZV5nQStErLOzQmVn7fJCE3OsThWZSjY9zkC94E0jIXUqNmjP53w+ncjsZRjV9KYyTJT4XWEGCGZ0AuaJzG77nG77Yaeyj5wnhFKJwCzoMKNMZHaCik7AO5Fl13vTeiYyis3a6HW8ElGaJEGb5MXFT2RYiTQy3o9+7AzUC94mMqREyga9SfY1e3IYCIe+gFJNkis22X4cqmw/KYY8YKqyRIkY7LejZPvK9mrI9opu+yjZvrJdvQ4Yr0cfivXa/KN1xNEjKlIRFWc6rLrYSvRLOhBgsamIEyXSc4BFKsAUSqVRKo1SDaFUdJRx4i3S8aZYdNRtYi/pXvtxuggl8DwTgb7Wm/pw3kzjgfV91ZUKheP1hFJlnHU2mtEJhDMBbvs9Yvucbrt0sZ08cg2MTVSjx5DdgNsrOgGf7B4abCiWdgIqlqIRTRvUS5kEoo6LoF7FSVBkcdNmslnGonl8KWI7xh7P0T3WxRmoF3yJ7Rh5PIcNuguTPM3jZbbKgibJwkCk7ToolqIJkiIJi3VR10mbX06YYIuL8cA627DHMC94CxNkcZEN+s+2V85vB29f6mW/yBjb11VUCJjXKDyrGjvBjE7ArGrsts/pth92Lvv0ekIolQjMgg4zitqxE1R0Aj6183nt1+u9aT26h2KzNnop21UR5kXQtFIGahbMg3zVJEG4jvO0jldNU2+j7BImNGyRMTavt/UdGgx5wduEhiwyskFPUPdAZ36pt7l6DPOCtzCx79Ff8EH7flwnse/1flO9yUAfi+G13DF0DkAwoxPw6hzA9jnd9sPOZJ9YTwilEoFZ0GHG0DkAQUUnYNU5iT7zKxk684tk8+QmsAR7DiMxP5Jw5AzUC74msAR5DoMNenpyOImxMBlYEx32GOYFb2FiX7Je8EFvN4/pUdzruk5if8xANb3pMYPI780QCMGMTsCsd+y2z+m2H3Yq+wR7QiiVCMyCDjOK3rETVHQCXr2TXO9N69E7FJsnV89KsHpWItycgXrB20SG1LPYoLswaZplW6+TIpBCLAOR5eugTkM1/UVNvoqaepXI8HLCBLqFXL3N1WOYF7yFif0RjwUftPd1HXs1TzV5aqCPxfCeqVF0jp1gRidg1jl22+d02w87k31iPSGUSgRmQYcZRefYCSo6Aa/OSa/3pvXoHIrN05vAsOPmElMxr8cZqBe8TWD2quuCD3qCchgrcybmk9d6PIZ5wVuYIGVONuj9wQnxYRwcugLaV03yxGbju9Db3UWqXmSsX3L1kgr1kulfZPoXuf5Frn9R6F3yhf5tkd0ssjDUL4l+SfVLoV6iWL9I/aI+kel99Vks9Iv+hN5cn+nN9VmiP5HoTwj9CaE/IfQnpP6E1J+Q+hOp/kSqP5HqT6T6E5n+RKY/kelP5PoTuf5Erj9R6E8U+hOF/kShPpGHgy1srFA6XKYCtRM+B2+28gu9gV81TqUbp9KNU+nGqXTjVLpxKt04lW6cSjdOpRun0o1T6capdONUunEq3TiVbpxKN06lG6fSjVPpxql041S6cSrdOJVunEo3TqUbp9KNU+nGqXTjVLpxKt04lW6cSjdOpRun0o1T6capdONUunEq3TiVbpxKN06lG6fSjVPpxql041RDjVPRG2eUhxNE90CCah31qppHv+b6VTWQes2632bdb/Put3n326J7pKHo3lPoBxt0Q+nXpHtNu9dCv0Zx9yq7V/3ZrHscQjeYfu0+2z0UkXUPRehG06/dZ0X3WdF9VnSfld1nZfdZ2X027T6bdp9Nu8+m3Wez7rNZ99ms+2zefTbvPpt3ny26zxbdZ4vus4X+7FBTdg8NEdpSN+ZFPpghBupCYSpyqX03FJljpIDCXtma0QmEMwFu+z1i+5xuu3SxnTyz9s80ZKPHSPUAt1d0Ar5Ub2CwIVmqTc3adR6F6yYoojjaPwpbX+ZT0AI78kwMrOoPOQP1gi/lLuzllwUfdBcm6ToP0/UqDNZxuA7EMlXvXRVFsGxbEabJug5Fdjlhgi1kC+nqMcwL3sIEWchmg/a0kD3QtAOrHXEY5kUS+j3VRdjXa2Z0Ama1Yrd9Trf9sNPYp81zhcyCbvQoasXu9opOML5aoVg6vWkI2ycvBvLEIWegXvA2DSH75NmgN7tRi3hVrPNVsF7X+r16r1m2ioM4idM6XRYiT8TFhInEdqPKAYU/7DHMC77CRNoTsAUf9EWpFTkg3beUfh+bkPbkY0Yn4FUrgO1zuu2HncY+bZ4rZBZ0o8dQK4DbKzrB6GqFZOnk1IrEkmYp3ZyBesHbNIQkzWzQE1Qr2B4LaVb4fY+RQF7wFib2BGzBB31ZasUs3f1WgqQ9+ZjRCZjVit32Od32w05jnzbPFTILutGjqBW72ys6wfhqhWLp5NRKiiXNqTl/pK929/UoKzy5V+2noRRJmtmgp6dWUqxgmJoVfo/HMC94CxN7Arbgg74otZJKI2V6SDmqWkntyceMTsCrVgDb53TbDzuNfdo8V8gs6EaPoVYAt1d0gtHVCsnS6akVLGlOzfnjkTNQL3ibhpCkmQ16gmoFKximZoXf4zHMC97CxJ6ALfigL0qtZGbpnh1SjqpWMnvyMaMT8KoVwPY53fbDTmOfNs8VMgu60WOoFcDtFZ1gdLVCsnRyaiXDkubMnD8eOQP1gq9pKEOSZjbo6amVDCsYZtLVY5gXvIWJPQFb8EFflloxS/f8kHJctWJPPmZ0Ama1Yrd9Trf9sNPYp81zhcyCbvQoasXu9opOML5aoVg6PbWCJc2ZOX88cgbqBW/TEJI0s0FPT63kWMEwNyv8Ho9hXvAVJrk9AVvwQV+UWsnN0t3vJSy5PfmY0Ql41Qpg+5xu+2GnsU+b5wqZBd3oMdQK4PaKTjC6WiFZOjm1kmNJcy7dnIF6wds0hCTNbNATVCtYwTA3K/y+20YgL3gLE3sCtuCD/rPt1XLb+V43vo/zVz6/DwL7gV0qBIz3Enk+mhMgmNEJmFWN3fY53fbDzmWfXk8IpRKBWdBhRlE7doKKTsCndj6v/Xq9N61H91Bs1kZHRb3O1m0S5EIkgZBpHtRZFAaxjGKxXmViubog3YOt0uQDCxZDzkC94G1CQ1Zp2KCnJ4+LEAqTwnjnfZ/HMC/4CpPCfp/Ugg/a0yrNXucU9jUq1eTGe4mk3xNdAIIZnYBX5wC2z+m2H3Ym+8R6QiiVCMyCDjOGzgEIKjoBq84pouu9acc6h2Tz9CawGJvAYjdnoF7wNoEhd4axQU9PDhfYFqvCdD1Rr8cwL3gLE/uS9YIP2rvOsd9HpJpcGOn9ngUDEMzoBMw6x277nG77YWeyT6wnhFKJwCzoMKPoHDtBRSfg1Tniem9aj86h2Dw9nYPVsQrp5gzUC94mMKSOxQY9QZ2TYmGSunoM84K3MLHfI7Xgg/auc+xVPNXkA1W8Lb3fuhVAMKMTMOscu+1zuu2Hnck+sZ4QSiUCs6DDjKJz7AQVnYBX52TXe9N6dA7F5unpHOyusMJ4bdaxM1AveJvA7NXWBR90FyZh0i7TNouCVbxcBSIvRFDIfKW3b6RRFMpMrovLCROsvFmYKn29HsO84C1MkPImG7RnnZOF9qrdm+pNRnqv588gBDM6AavOQWyf020/7Ez2ifWEUCoRmAUdZgSdgxBUdAJOnaOsut6bdqRzaDZPTedkIfR4jHqbmzNQL3iawBSPNWoXfNCT0zlZCJU31dtcPYZ5wVuYAOVNPmjvOsdetVNNbq7aeT25BiGY0QmYdY7d9jnd9sPOZJ9YTwilEoFZ0GFG0Tl2gopOwKtzkuu9aT06h2Lz9HSOwCYw4eYM1AveJjB7tXXBBz1BnQOVN9XbXD2GecFbmADlTT5o7zrHXrVTTZ4a6b2eeYMQzOgEzDrHbvucbvthZ7JPrCeEUonALOgwo+gcO0FFJ+DVOen13rQenUOxeXo6B3qAWL3NzRmoF7xNYPZq64IPeoI6Bypvqre5egzzgrcwAcqbfNDedY69aqeavDDSez0tByGY0QmYdY7d9jnd9sPOZJ9YTwilEoFZ0GFG0Tl2gopOwKtziuu9aT06h2Lz5HROBD0wrN7m5gzUC74msMhebV3wQU9uH7IixsLEXOnr8RjmBW9hgpQ32aB965zIXrVTTW6s2qXhIf2oOgcgmNEJeHUOYPucbvthZ7JPrCeEUonALOgwY+gcgKCiE7DqnCi+3pt2rHNINk9P50APDKu3uTkD9YK3CcxebV3wQU9vPSfCypuRcPUY5gVvYYKUN9mgvesce9VONbk00keH9OPqHDvBjE7ArHPsts/pth92JvvEekIolQjMgg4zis6xE1R0Al6dI6/3pvXoHIrN2uhGNGEchXWQ12sRiFSkQRPVRbBe1ukySkSY1fXji5nAoAeG1dvcnIF6wdsEZq+2LvigJ6hzsPJmZKz09XkM84K3MEHKm2zQ3nWOvWqnmtxYtUvjQ/pxdY6dYEYnYNY5dtvndNsPO5N9Yj0hlEoEZkGHGUXn2AkqOgGvzsmv96b16ByKzdNbz4EeGFZvc3MG6gVvE5i92rrgg56ezomx8mZsrPT1eQzzgq8wiZHyJhu0b50T26t2qsmNVbvU63nICMGMTsCrcwDb53TbDzuTfWI9IZRKBGZBhxlD5wAEFZ2AVefE0fXetGOdQ7J5cjonjrEJzFzEox8N3NfnrPBn6Hf2auuCD3qCOgcrb8bmSl+PxzAveAsTpLzJBu1d59irdqrJhZHe63nICMGMTsCsc+y2z+m2H3Ym+8R6QiiVCMyCDjOKzrETVHQCXp0jrvem9egcis3T0znYA8O6X7g4A/WCtwnMXm1d8EFPUOdg5U094rh5DPOCtzBBypts0N51jr1qp5rcXLXzeh4yQjCjEzDrHLvtc7rth53JPrGeEEolArOgw4yic+wEFZ2AV+dk13vTenQOxebp6RzsgeHYXMSjHw3c1+es8Gfod/Zq64IPeoI6BytvxoWrxzAveAsTpLzJBu1b5yT2qt2b6k1Ger/nIQMEMzoBr84BbJ/TbT/sTPaJ9YRQKhGYBR1mDJ0DEFR0Aladk+jzkJOh85BJNk9O5yTYA8OJuYhHPxq4r89Z4c/Q7+zV1gUf9PSeK0+w8mZirvT1eAzzgrcwQcqbbNDedY69aqea3Fy183seMkAwoxMw6xy77XO67YedyT6xnhBKJQKzoMOMonPsBBWdgFfn6POQk6HzkEk2T0/nYA8MJ8LNGagXvE1g9mrrgg96gjoHK28m0tVjmBe8hQlS3mSD9q5z7FU71eSpkd7vecgAwYxOwKxz7LbP6bYfdib7xHpCKJUIzIIOM4rOsRNUdAJenaPPQ96a1qNzKDZPT+dgDwwn5iIe/Wjgvj5nhT9Dv7NXWxd80NOrWyVYeTMxV/roRwP7ChOkvMkG7V3n2Kt2qskLI73f85ABghmdgFnn2G2f020/7Ez2ifWEUCoRmAUdZhSdYyeo6AS8Okefh7w1rUfnUGyenM4R2APDwlzEox8N3NfnrPCn9zthr7Yu+KCnp3MEVt4U5kpfj8cwL3gLE6S8yQbtW+cIe9VONbmxapeFh/Sj6hyAYEYn4NU5gO1zuu2Hnck+sZ4QSiUCs6DDjKFzAIKKTsCqc4Q+D3lr2rHOIdk8PZ2DPTAsjEW8Y2egXvA2gdmrrQs+6AnqHKy8KYSrxzAveAsTpLzJBu1d59irdqrJpZHe73nIAMGMTsCsc+y2z+m2H3Ym+8R6QiiVCMyCDjOKzrETVHQCXp2jz0Pemtajcyg2T0/nYA8Mi9TNGagXvE1g9mrrgg96gjoHK28KY6Wvz2OYF7yFCVLeZIP2rnPsVTvV5MaqXRYf0o+rc+wEMzoBs86x2z6n237YmewT6wmhVCIwCzrMKDrHTlDRCXh1jj4PWQydh0yyeXo6B3tgWBRuzkC94G0Cs1dbF3zQ09uHLLHypjRW+vo8hnnBV5hIpLzJBu1b50h71U41ubFql/k9DxkgmNEJeHUOYPucbvthZ7JPrCeEUonALOgwY+gcgKCiE7DqHKnPQ5ZD5yGTbJ6czpExNoGZi3j0o4H7+pwV/gz9zl5tXfBBT1DnYOVNaa709XgM84K3MEHKm2zQ3nWOvWqnmlwY6f2ehwwQzOgEzDrHbvucbvthZ7JPrCeEUonALOgwo+gcO0FFJ+DVOfo85K1pPTqHYvP0dA72wLCUbs5AveBtArNXWxd80BPUOVh5U6auHsO84C1MkPImG7R3nWOv2qkmN1ft/J6HDBDM6ATMOsdu+5xu+2Fnsk+sJ4RSicAs6DCj6Bw7QUUn4NU5+jzkrWk9Oodi8/R0DvbAsDQX8ehHA/f1OSv8Gfqdvdq64IOeoM7BypvSXOnr8RjmBW9hgpQ32aB965zUXrV7U73JSO/3PGSAYEYn4NU5gO1zuu2Hnck+sZ4QSiUCs6DDjKFzAIKKTsCqc1J9HnI6dB4yyebJ6ZwUe2A4NRfx6EcD9/U5K/wZ+p292rrgg57ePuQUK2+m5kpfj8cwL3gLE6S8yQbtXefYq3aqyc1VO7/nIQMEMzoBs86x2z6n237YmewT6wmhVCIwCzrMKDrHTlDRCXh1jj4POR06D5lk8/R0DvbAcCrcnIF6wdsEZq+2LvigJ6hzsPJmKl09hnnBW5gg5U02aO86x161U02eGun9nocMEMzoBMw6x277nG77YWeyT6wnhFKJwCzoMKPoHDtBRSfg1Tn6POStaT06h2Lz9HQO9sBwai7i0Y8G7utzVvgz9Dt7tXXBBz1BnYOVN1NzpY9+NLCvMEHKm2zQ3nWOvWqnmrww0vs9DxkgmNEJmHWO3fY53fbDzmSfWE8IpRKBWdBhRtE5doKKTsCrc/R5yFvTenQOxebJ6ZwMe2A4Mxfx6EcD9/U5K/zp/S6zV1sXfNDT0zkZVt7MzJU++tHAvsIEKW+yQfvWOZm9aqea3Fi1y8ND+lF1DkAwoxPw6hzA9jnd9sPOZJ9YTwilEoFZ0GHG0DkAQUUnYNU5mT4PeWvasc4h2Tw9nYM9MJwZi3jHzkC94G0Cs1dbF3zQE9Q5WHkzE64ew7zgLUyQ8iYbtHedY6/aqSaXRnq/5yEDBDM6AbPOsds+p9t+2JnsE+sJoVQiMAs6zCg6x05Q0Ql4dY4+D3lrWo/Oodg8PZ2DPTCcpW7OQL3gbQKzV1sXfNAbnbNcxmG7kkG7LJZqslvFQV6vsmApkrQRch23Mr2cMMHKm5mx0tfnMcwL3sIEKW+yQXvXOfaqnWpyY9Uujw/px9U5doIZnYBZ59htn9NtP+xM9on1hFAqEZgFHWYUnWMnqOgEvDpHn4ecDZ2HTLJ5ejoHe2A4K9ycgXrB2wRmr7Yu+KCnt56TY+XN3Fjp6/MY5gVfYZIj5U02aN86J7dX7VSTG6t2ud/zkAGCGZ2AV+cAts/pth92JvvEekIolQjMgg4zhs4BCCo6AavOyfV5yPnQecgkmyenc/IYm8DMRTz60cB9fc4Kf4Z+Z6+2LvigJ6hzsPJmbq709XgM84K3MEHKm2zQ3nWOvWqnmlwY6f2ehwwQzOgEzDrHbvucbvthZ7JPrCeEUonALOgwo+gcO0FFJ+DVOfo85K1pPTqHYvP0dA72wHAu3ZyBesHbBGavti74oKd3TmCOlTfz1NVjmBe8hQlS3mSD9q5z7FU71eTmqp3f85ABghmdgFnn2G2f020/7Ez2ifWEUCoRmAUdZhSdYyeo6AS8Okefh7w1rUfnUGyens7BHhjOzUU8+tHAfX3OCn+Gfmevti74oCeoc7DyZl64egzzgrcwQcqbbNC+dU5hr9q9qd5kpPd7HjJAMKMT8OocwPY53fbDzmSfWE8IpRKBWdBhxtA5AEFFJ2DVOYU+D7kYOg+ZZPPkdE6BPTBcmIt49KOB+/qcFf4M/c5ebV3wQU9P5xRYebMwV/p6PIZ5wVuYIOVNNmjvOsdetVNNbq7a+T0PGSCY0QmYdY7d9jnd9sPOZJ9YTwilEoFZ0GFG0Tl2gopOwKtz9HnIxdB5yCSbp6dzsAeGC+HmDNQL3iYwe7V1wQc9vf05BVbeLKSrxzAveAsTpLzJBu1d59irdqrJUyO93/OQAYIZnYBZ59htn9NtP+xM9on1hFAqEZgFHWYUnWMnqOgEvDpHn4e8Na1H51Bsnp7OwR4YLsxFPPrRwH19zgp/hn5nr7Yu+KAnqHOw8mZhrvTRjwb2FSZIeZMN2rvOsVftVJMXRnq/5yEDBDM6AbPOsds+p9t+2JnsE+sJoVQiMAs6zCg6x05Q0Ql4dY4+D3lrWo/Oodg8NZ2Th9ADw+ptbs5AveBpAlM81qhd8EFPTufkIVTeVG9z9RjmBW9hApQ3+aA965w8tFftVJMbq3ZFeEg/ps5BCGZ0Aladg9g+p9t+2JnsE+sJoVQiMAs6zAg6ByGo6AScOkdZdb037Ujn0Gyens6BHhhWb3NzBuoFbxOYvdq64IOeoM6Bypvqba4ew7zgLUyA8iYftPrfH21iRRwGwqEvvtEu33vrnbcZXFG+8ernFGN6o15y9RKF+iXWL0K/6F9E+hex/kWsfxHrX8T6F0L/TCbqJZXqJcuGXCgNLowEvgMV8gM+yWn4SsNXGr7S8JWGrzR8peErDV9p+ErDVxq+0vCVhq80fKXhqyH4ig5/ODlC8PD8qNn1NJje6Ndcvyp8/Rp3r6J77X4bdb+Nu9/G3W/j7rdx91vR/Vw5Qr0qT6jXAVfof4fiC+2MaNsx1H/+0GtuYC9vqWHSVCqKhNdaL0IwoxMIZwLc9nvE9jndduliO33E3U8+dpgFHWaU3MBOUNEJeHOD9HpvWs8wRbFZG92GSSqXUROk67QOoqhdB0UoYq0Sa7FM2jSJl48vRvRBtV71NjdnoF7wJvqAWi8ftPfFLXsJUzW5sYRZeL0EAyGY0QmYJzC77XO67YedyT5inhBKJQKzoMOMMoHZCSo6Ae8Ell/vTeuZwCg2a6PzZZQkiYiCNE+zQLRNEtRtuwpWSboSa1Ev43X4+GImMOjpafU2N2egXvA2gdlLzws+aN8TWGQvYb6p3mSkjwf77BgTGEAwoxPwTmCA7XO67YedyT5inhBKJQKzoMOMMYEBBBWdgHUCi8LrvWnHExjJ5m6hKMnqKC+WQb1chYFowjCoI/VtkYdxnuZZ0hTbHnIBE1iEbS+IjJX2Y2egXvA1gUXI9gI2aO8TmL2iqprcXJ30emw9QjCjEzBPYHbb53TbDzuTfcQ8IZRKBGZBhxllArMTVHQC3glMby+IhrYXkGzWRmdLESVRGAVhXNSBkLlQ41mbBWlRr8JovWrq+nK2F0TY9oLIXGnvOZob84K3CQzZXsAG7X0Cs1fNVZMLI73X88gRghmdgHkCs9s+p9t+2JnsI+YJoVQiMAs6zCgTmJ2gohPwTmDiem9azwRGsVkbLaNlXafpMmizqA1Esl4FtWijIGuTeBU261Yut1F2CRMY9MC+epubM1AveJvAgAf2+aC9T2D2urVq8tRI7/WgaYRgRidgnsDsts/pth92JvuIeUIolQjMgg4zygRmJ6joBLwTmN7EsTWtZwKj2KyNxir5lzKBYZs4ItN+hh5noF7wNoEhmzjYoL1PYPa6tWpycw3Y6wnCCMGMTsA8gdltn9NtP+xM9hHzhFAqEZgFHWaUCcxOUNEJeCcwvYkjGtrEQbJZG41V8i9lAsM2cUSFmzNQL3ibwJBNHGzQview2F63flO9yUjv9WhYhGBGJ+CdwADb53TbDzuTfcQ8IZRKBGZBhxljAgMIKjoB6wQW600c8dAmDpLN2miskn8hE1iMbeKIzfsZeo6/xLzgawKLkU0cbNDeJzB73Vo1ubkG7Pc5MIBgRidgnsDsts/pth92JvuIeUIolQjMgg4zygRmJ6joBLwTmN7EEQ9t4iDZrI3GKvmXMoFhmzhi836GnkeiMC94m8CQTRxs0N4nMHvdWjW5MNJ7PcwRIZjRCZgnMLvtc7rth53JPmKeEEolArOgw4wygdkJKjoB7wSmN3FsTeuZwCg2a6OxSv6lTGDYJg7dL1ycgXrB2wSGbOJgg9an16gP65He64kcsb1+rZo+NXghEp4nMjvBjE7APJHZbZ/TbT/sVPaR84RQKhGYBR1mlInMTlDRCXgnMr2ZY2taz0RGsVkbLZJ8HSZNruS4kIHIRBrU66QJCrEqRJKlYZM0jy9mIsM2c8SmfQ09zkC94G0iQzZzsEF3YVLU6zqrV8sgTkMRiGadB3kUJ0ESFyIWqUrjsvhywgS6fUG9zdVjmBe8hYm90L/gg96s6zRFKsOkDWSeF+q9eR402TpV34ZKNCnVFNft5YQJVlmPTUXmXo9hXvAWJkhlnQ16M+mky6WomyKQSZgGQjRh0ITxKsiSZR2L1VLI9HImnQQ7Cj8xFfP6x1/IC77CJLFXXRd80F2YrJIiXSb6Ct+wXapMK2yDJpVRsFznbV5H4TrOxOWECVbmTEwVv16PYV7wFiZImZMNuguTOF/VMlEJeZilUSCisA6aXLZBruTNKg/rttX7hC4lTGIsTEyVlV6PYV7wFib2EtiCD3ozmrRC5JGul4fJOhDxugmaIkyCdR2twlzINhH15YQJVnNKTOWX/o4FecFbmCA1JzbozbnkbZM1y3Uc1MsoVzpmpaKpTdIgWS4bsVwpdRMmlxMm2LnkiXD1GOYFb2Fir0cs+KA3o0mTZWkR5kGdtatAtOs2qKM2DCKxDFdJU6/W0fpywgQrACTS1WOYF7yFCVIAYIPePCu1TtJ0lTZBFOmQilK9cWspO0XTqp+1eXxBo0mKhYnjWiPqBW9hYl8UXvBBd2GCXZxxKWGCrcImzguSmBe8hQmyCssGvR1N6lWc1Otg3TRq5EliNVVFTRaEy6TIl7FoEx2mlxIm2Cps4rwgiXnBW5ggq7Bs0BttEq2iaCWLoJFrvRS3DIO8EDq4wigNw7hZX9Jogq3CJs4LkpgXvIUJsgrLBu17d52wLy6+qd5koE/C8JB+1E0JAMGMTiCcCXDb7xHb53TbDzuTvQp+QiiVCMyCDpM6w7iG0usIQUUnYN2UIPTzTWLo+SaSzZObwAS28C9Ma+A9zkC94GsCE8jCPxv09LImgS38C9MaeK/HMC94CxNk4Z8NenprMAJb+BemNfBej2Fe8BYmyMI/G/T0VnQFtvAvhKvHMC94CxNk4Z8NevPsdV2s4mUaBSp0dC0pkUETFXnQFlkYrZpVJkV7OWGCLfwL6eoxzAvewgRZ+GeDnl4ZUWAL/8K0Bt7rMcwL3sIEWfhng57e3hWBLfwL0xp4r8cwL3gLE2Thnw16entXBLbwL0xr4P3TNOQFb2GCLPyzQU9vw6TAFv6FaQ2832OQF7yFCbLwzwY9vV36Ett+LR3XGlEv+AoTaV8UXvBBT++ZH4mtwkrnBUnMC97CBFmFZYOe3hOEEluFlc4LkpgXvIUJsgrLBu272izti4uqyc2Li37v9AYIZnQC4UyA236P2D6n237YmezlzRNCqURgFnSY1BnGNZReRwgqOgFrtVkm13vTjqvNJJsnV22W2MK/FG7OQL3gbQJDFv7ZoKe3+VJiC/9SunoM84K3MEEW/tmgp1dtltjCvzSvgfd6DPGCtzBBFv7ZoKdXbZbYwr80r4H3jb+QF7yFCbLwzwY9vTKixBb+pXkNvMdjmBe8hQmy8M8GPb0yosQW/qV5DbzHY5gXvIUJsvDPBj29MmKKLfyn5jXwvvEX8oKvMEmRhX826OmVEVNs4T81r4H3eQzygrcwQRb+2aCnd4pTii38p+Y18B6PYV7wFibIwj8b9PTKiCm2/Tp1XGtEveAtTOyLwgs+6OmVEVNsFTYVrh7DvOAtTJBVWDZo32XE1L64qJpcGunjQ/pRy4gAwYxOIJwJcNvvEdvndNsPO5O9bnVCKJUIzIIOkzrDuIbS6whBRSdgLSOm8npv2nEZkWTz5MqIKbbwn5rXwI+cgXrB2wSGLPyzQU+vPpRiC/+peQ28x2OYF7yFCbLwzwY9vfpQii38p+Y18L6OBXnBW5ggC/9s0NN7GjHFFv5T8xp4j8cwL3gLE2Thnw16emXEDFv4z8xr4D0ew7zgK0wyZOGfDXp6ZcQMW/jPzGvgPR7DvOAtTJCFfzbo6ZURM2zhPzOvgfd4DPOCtzBBFv7ZoKdXRsywhf/MvAbe5zHIC97CBFn4Z4OeXhkxwxb+NZ2bxzAveAsTZOGfDXp6ZcQM236dSVePYV7wFib2ReEFH/T0yogZtgqbOS9IYl7wFibIKiwbtPrfH3XkG3CllL1c0DvQ1KZFxUj6fQoxsy+LzugEwpkAt/0esX1Ot/2wE9nrVecKmQXd6NTZaNeQeR1xe0UnYC0TZtn13rTjMiHJZj3yaMO34fJ0yDmMn2+0y/feeuft84fQ58s3Xv2cYituFkUYDg29xtPpZQxHFISBB5W2vdK2V0O2V3TbD2MJsh0OJ226jpri5sUXh4zXv6dYfwGT2X6PTGZf61aTnGmtO5JisI1GmeTsBDM6AfMkZ7d9TrdduthOH6H2KtEOs6DDjDL52QkqOgHv5Fdc703rGaYoNnd1KBkvQ5FnKuEXeqOELkuk6SqQ2VqGWag+rculF5Kd5VgdKjfegXvsDNQLvrKzHKlDsUFvwiRPRNu0KtdPilUgomUc5HEbBusmTZJ8lYWFvhnlUsIEq0Plxjtwez0GecFbmCB1KDboLkySvIiWuRRBEaVNIESWqq9WyyATiayXTbQuVu3lhAlWh8pNJZlej2Fe8BYmSB2KDXoTJvVyuSxWTbBc6pEnjcOgjmI1EGWFFK0Kqby5nJXjHKtD5aaSTL/HIC94CxOkDsUGvV05btIsbOMgK/I8EFkRB02aLgO5bldxWi9lmsjLCROsDpULV49hXvAWJkgdig16EyZFmIS1eu8qL1RIJa3egNXUwSqO2jYtVkuZX06BIcfqULl09hjkBW9hgtSh2KA3YdKEtWyjdbCM12s1QQk1VSWNkjWyKeR62Uat1kaXEiZYHSo3lWT6PQZ5wVuYIHUoNujNSnAUNVkjkqCulcgVSRgFRSvbQNSrOlwlWSMzeTlhgj0NkJuXxns8hnnBW5jYaxgLPuguTNK4VaOLUENNEauRZ71SIVXrTZyyiVZhErdJfEEJMfY0QG5e6+7xGOYFb2GCPA3ABr0JkzRUElfKIFmuVPKsn0jK5TrSH1hFy+WqCOsL0ibY0wC541oj6gVvYWJfFF7wQW/CpFZ6JcnXQVMs1chTZ02Qt+rbOstXRR6vVrIWFxMmBbYKWzgvSGJe8BUmBbIKywbdhUkWhqs0L9SMFK6T7lnGIF/FMojqdZGn0SpdXlBCXGCrsIXzgiTmBW9hgqzCskF3YZLXTZ1lqQyaZaOSZ9FmQSPzZbBuQrGUqzhXauZywgRbhS2cFyQxL3gLE2QVlg16s383KcSy0SlzvswC0cZhUKxyEcS5lIUM2zq7oNJfga3CFs4LkpgXvIUJsgrLBt2FSZ2ulLKtU5UtdyNPXQR1riaoNFymy7SVRa0v5LuUMMFWYQvh6jHMC97CBFmFZYPuwqSRTVwXUv2y0Pc/1/VKTVBLEbRNIts8b8JldDkPtBbYKmwhXT2GecFbmCCrsGzQmzDJ07ptZRJESbPWDyPVQS3qJJChkLEuKIft5ZT+CmwVtnBekMS84C1MkFVYNuguTJZZlq3TSASrPI8DkcXLoJarZZBKuZJxIVarC1peK7BV2MJ5QRLzgrcwQVZh2aA3YbJcZlGStkEuIpU8RyIP9FAUtHESy6iNIrG6oNEEW4UtnBckMS94CxNkFZYNuguT9Vo02SpaBWmtn5FeR1FQF8UyiLOmCdd5s5bt8nLCBFuFLZwXJDEveAsTZBWWDVrHibH57dvCT6B/VIT2xcU31ZsM9EmYHNKPuUsfIZjRCYQzAW77PWL7nG77YWeybws/IZRKBGZBh0mdYVxD6XWEoKITcO7SV1Zd7007MLl7zIhgszYa26p9GRNYEUIL/+ptbs5AveBpAlM81qhd8EF3YRK1dRipiS1IUr1oE+ZLvVU7CZpVu5ZpmMosDi8nTKCFf/U2V49hXvAWJsDCPx/05tHETGVSdZwGq2WuNFHaKuks0zqIRZNHsczqZBcVlxAm0MJ/EZpPxOnxGOYFb2ECLPzzQU/uYY4ihBb+1dtcPYZ5wVuYAAv/fNCbfbVRGhd5KII01++tMxnUukZdyLZOllGS1PkFjSbQwr96m6vHMC94CxNg4Z8PenIPcxQhtPCv3ubsMcgL3sIEWPjng57c9usihBb+1dtcPYZ5wVuYAAv/fNCbMCmSYqX+kt67IDbvzZNayd0srJdJnhRtfkFhAi38q7c5ewzygrcwARb++aAnt6+2CKGFf/U2V49hXvAWJsDCPx/05PbVFhG0/Vq9zdVjmBd8hUlkXxRe8EFvwkTNQG2oUuYwlXEgcvXSNFEbJK1o9a/U16vLCRNsFTZyXpDEvOAtTJBVWDboyW2/LiJsFTZyXpDEvOAtTJBVWDboyW2YLCJsFTZyXpDEvOAtTJBVWDboyW2YLCJsFTYSzh6DvOAtTJBVWDbo7YZJsRRiJYJlpD6gfq+S5yjKgnWrBEwaNnLZpJcTJtgqbCRdPYZ5wVuYIKuwbNCT21dbRNgqbOS8IIl5wVuYIKuwbNCbDZN1tMxjNTfljdYxKoaColHzVd0URSjTJE91TelSwgRbhY2cFyQxL3gLE2QVlg36z7qTs/9su+/kSIEc+gM6u5nkju747CIqhhxg3lgsDx0w6snZQ2ZXdLMPd7dBZsMb3DaHZg+ZrX9DsbsLId8RFA+cvV5EpqXHSKZ+I2jA7Ipu9igRNGB2F1sEu7XhxZFwGT2EooEQis2nQmSeQ6jf7Ipu9jgh1G92F1wEu7tBaBsxvg7t7+N5U4EacYrBZhhj239sX2+d0QmEMwFu+z1i+5xuu3SxnTz0DAw4VKMPBxy70a4h8zri9opOwLq9P46u96b1jDsUm/c6+s9+7+aZv/l7/+73vhipnzz3xzYfuXnmr+x+8o33/l9fb7+hyH9v/c7b7+n/Lt/5+jvv6i/qd/9Do//aF+MvSpFnKl/5vbfrP9b/wOtv/XH7jauvtP/56v6dP67fVv/aN976P9Qvovjm9/707VX77tffelu/7+131H/Ux+qvv/Uf3tZxqf/sf3zn3bf+D/Vv1V9X7/h6u35Pffz/0b773lvL7idL9bb2XfWz//xu/Sevt/9P9Zn33v3TVv2VRiG273a2Nu+89947f7z5Sv+w1BS7f/CmByHs/qeyj5vfW71V/4d33tb/FuXTncGkT7771n/4j8SPvvfOn1A+qD65fuvrHaj+r45P9YZvvPN11fw6FlYvDX5WB0b97nvHb9jFgg6GP/3jpn33i++8q8JsE0D6q5feWel/5ZX27fZd5WT1vj959533NvO4ftfX31n+p1aF3+7HrbZl06nUD996+z+qkew9bfz/H7AmCHc=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</si>
  <si>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</si>
  <si>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</si>
  <si>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</si>
  <si>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</si>
  <si>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</si>
  <si>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</si>
  <si>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</si>
  <si>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Общее кол-во</t>
  </si>
  <si>
    <t>Цена, руб. с НДС</t>
  </si>
  <si>
    <t>Материалы/
оборудование</t>
  </si>
  <si>
    <t>СМР, ПНР</t>
  </si>
  <si>
    <t>Стоимость, руб с НДС</t>
  </si>
  <si>
    <t>Общая стоимость,
руб. с НДС</t>
  </si>
  <si>
    <t>1. Встроенное и Встроенно-пристроенное СКБ</t>
  </si>
  <si>
    <t>1.1</t>
  </si>
  <si>
    <t>6</t>
  </si>
  <si>
    <t>Затраты на строительство</t>
  </si>
  <si>
    <t>1.1.1</t>
  </si>
  <si>
    <t>6.3</t>
  </si>
  <si>
    <t>Отделка, столярные работы, мебель и оборудование</t>
  </si>
  <si>
    <t>1.1.1.1</t>
  </si>
  <si>
    <t>6.3.1</t>
  </si>
  <si>
    <t>Отделка нежилых помещений</t>
  </si>
  <si>
    <t>1.1.1.1.1</t>
  </si>
  <si>
    <t>6.3.1.5</t>
  </si>
  <si>
    <t>Отделка СКБ</t>
  </si>
  <si>
    <t>1.1.1.1.1.1</t>
  </si>
  <si>
    <t>6.3.1.5.1</t>
  </si>
  <si>
    <t>Полы</t>
  </si>
  <si>
    <t>1.1.1.1.1.1.1</t>
  </si>
  <si>
    <t>6.3.1.5.1.1</t>
  </si>
  <si>
    <t xml:space="preserve">Подготовка полов под финишное покрытие </t>
  </si>
  <si>
    <t>1.1.1.1.1.1.1.1</t>
  </si>
  <si>
    <t>6.3.1.5.1.1.3.1</t>
  </si>
  <si>
    <t xml:space="preserve">Устройство наливных полов с огрунтовкой поверхности и проклейкой демпферной лентой / толщ. до 10 мм </t>
  </si>
  <si>
    <t>Вне зависимости от способа выполнения работ механизировано или вручную.</t>
  </si>
  <si>
    <t>2 этаж</t>
  </si>
  <si>
    <t>м2</t>
  </si>
  <si>
    <t>1.1.1.1.1.1.1.1.1</t>
  </si>
  <si>
    <t>Наливной пол_ / Унифицированный по ПИК-СТАНДАРТ</t>
  </si>
  <si>
    <t>кг</t>
  </si>
  <si>
    <t>1.1.1.1.1.1.1.1.2</t>
  </si>
  <si>
    <t>Грунтовка универсальный ЛАСТИМИН_ / УНКОНТ ЛЮКС LP51 А</t>
  </si>
  <si>
    <t>1.1.1.1.1.1.1.2</t>
  </si>
  <si>
    <t>Устройство наливных полов с огрунтовкой поверхности и проклейкой демпферной лентой / толщ. до 10 мм</t>
  </si>
  <si>
    <t>3 этаж</t>
  </si>
  <si>
    <t>1.1.1.1.1.1.1.2.1</t>
  </si>
  <si>
    <t>1.1.1.1.1.1.1.2.2</t>
  </si>
  <si>
    <t>Лента кромочная демпферная_/8*100мм/20м</t>
  </si>
  <si>
    <t>пог. м</t>
  </si>
  <si>
    <t>1.1.1.1.1.1.1.2.3</t>
  </si>
  <si>
    <t>1.1.1.1.1.1.1.3</t>
  </si>
  <si>
    <t>6.3.1.5.1.1.7.1</t>
  </si>
  <si>
    <t xml:space="preserve">Замоноличивание мест прохождения стояков труб </t>
  </si>
  <si>
    <t>Замоноличивание проходок инж. сетей в перекрытиях 2-3 этаж, 3 этаж-кровля.</t>
  </si>
  <si>
    <t>м3</t>
  </si>
  <si>
    <t>1.1.1.1.1.1.1.3.1</t>
  </si>
  <si>
    <t>Смесь цементно-песчаная М200</t>
  </si>
  <si>
    <t>1.1.1.1.1.1.1.4</t>
  </si>
  <si>
    <t>6.3.1.5.1.1.11.3</t>
  </si>
  <si>
    <t>Устройство стяжки СКБ / армированная сеткой от 41 мм до 60мм</t>
  </si>
  <si>
    <t>2 этаж. Стяжка полусухая армированная, толщиной 50 мм.
Тип: П18, П-18.1</t>
  </si>
  <si>
    <t>1.1.1.1.1.1.1.4._</t>
  </si>
  <si>
    <t>Толщина стяжки 50 мм</t>
  </si>
  <si>
    <t>1.1.1.1.1.1.1.4.1</t>
  </si>
  <si>
    <t>Фиксатор арматуры Звездочка_/15/4-16</t>
  </si>
  <si>
    <t>шт</t>
  </si>
  <si>
    <t>1.1.1.1.1.1.1.4.1._</t>
  </si>
  <si>
    <t>1.1.1.1.1.1.1.4.2</t>
  </si>
  <si>
    <t>Фиброволокно_/7-12мм</t>
  </si>
  <si>
    <t>1.1.1.1.1.1.1.4.2._</t>
  </si>
  <si>
    <t>1.1.1.1.1.1.1.4.3</t>
  </si>
  <si>
    <t>Сетка эл/св_/100*100*5</t>
  </si>
  <si>
    <t>1.1.1.1.1.1.1.4.3._</t>
  </si>
  <si>
    <t>1.1.1.1.1.1.1.4.4</t>
  </si>
  <si>
    <t>Портландцемент_/М500</t>
  </si>
  <si>
    <t>1.1.1.1.1.1.1.4.4._</t>
  </si>
  <si>
    <t>1.1.1.1.1.1.1.4.5</t>
  </si>
  <si>
    <t>Песок_ / речной / мытый</t>
  </si>
  <si>
    <t>1.1.1.1.1.1.1.4.5._</t>
  </si>
  <si>
    <t>1.1.1.1.1.1.1.4.6</t>
  </si>
  <si>
    <t>1.1.1.1.1.1.1.4.6._</t>
  </si>
  <si>
    <t>1.1.1.1.1.1.1.4.7</t>
  </si>
  <si>
    <t>1.1.1.1.1.1.1.4.7._</t>
  </si>
  <si>
    <t>1.1.1.1.1.1.1.5</t>
  </si>
  <si>
    <t>2 этаж. Стяжка полусухая армированная, толщиной 60 мм</t>
  </si>
  <si>
    <t>1.1.1.1.1.1.1.5._</t>
  </si>
  <si>
    <t>Толщина стяжки 60 мм</t>
  </si>
  <si>
    <t>1.1.1.1.1.1.1.5.1</t>
  </si>
  <si>
    <t>1.1.1.1.1.1.1.5.1._</t>
  </si>
  <si>
    <t>1.1.1.1.1.1.1.5.2</t>
  </si>
  <si>
    <t>1.1.1.1.1.1.1.5.2._</t>
  </si>
  <si>
    <t>1.1.1.1.1.1.1.5.3</t>
  </si>
  <si>
    <t>1.1.1.1.1.1.1.5.3._</t>
  </si>
  <si>
    <t>1.1.1.1.1.1.1.5.4</t>
  </si>
  <si>
    <t>1.1.1.1.1.1.1.5.4._</t>
  </si>
  <si>
    <t>1.1.1.1.1.1.1.5.5</t>
  </si>
  <si>
    <t>1.1.1.1.1.1.1.5.5._</t>
  </si>
  <si>
    <t>1.1.1.1.1.1.1.5.6</t>
  </si>
  <si>
    <t>1.1.1.1.1.1.1.5.6._</t>
  </si>
  <si>
    <t>1.1.1.1.1.1.1.5.7</t>
  </si>
  <si>
    <t>1.1.1.1.1.1.1.5.7._</t>
  </si>
  <si>
    <t>1.1.1.1.1.1.1.6</t>
  </si>
  <si>
    <t>Устройство стяжки СКБ / армированная сеткой от 41 мм до 60 мм</t>
  </si>
  <si>
    <t>3 этаж. Стяжка толщиной 60 мм. Тип: П-14</t>
  </si>
  <si>
    <t>1.1.1.1.1.1.1.6.1</t>
  </si>
  <si>
    <t>1.1.1.1.1.1.1.6.2</t>
  </si>
  <si>
    <t>1.1.1.1.1.1.1.6.3</t>
  </si>
  <si>
    <t>1.1.1.1.1.1.1.6.4</t>
  </si>
  <si>
    <t>Смесь цементно-песчаная сухая_/М150</t>
  </si>
  <si>
    <t>1.1.1.1.1.1.1.6.5</t>
  </si>
  <si>
    <t>1.1.1.1.1.1.1.7</t>
  </si>
  <si>
    <t>2 этаж. Стяжка толщиной 60 мм. П-14</t>
  </si>
  <si>
    <t>1.1.1.1.1.1.1.7.1</t>
  </si>
  <si>
    <t>1.1.1.1.1.1.1.7.2</t>
  </si>
  <si>
    <t>1.1.1.1.1.1.1.7.3</t>
  </si>
  <si>
    <t>1.1.1.1.1.1.1.7.4</t>
  </si>
  <si>
    <t>1.1.1.1.1.1.1.7.5</t>
  </si>
  <si>
    <t>1.1.1.1.1.1.1.8</t>
  </si>
  <si>
    <t>2 этаж. Стяжка толщиной 50 мм. Тип: П18, П-18.1</t>
  </si>
  <si>
    <t>1.1.1.1.1.1.1.8.1</t>
  </si>
  <si>
    <t>1.1.1.1.1.1.1.8.2</t>
  </si>
  <si>
    <t>1.1.1.1.1.1.1.8.3</t>
  </si>
  <si>
    <t>1.1.1.1.1.1.1.8.4</t>
  </si>
  <si>
    <t>1.1.1.1.1.1.1.8.5</t>
  </si>
  <si>
    <t>1.1.1.1.1.1.1.9</t>
  </si>
  <si>
    <t>6.3.1.5.1.1.11.4</t>
  </si>
  <si>
    <t>Устройство стяжки СКБ / армированная сеткой от 61мм до 80мм</t>
  </si>
  <si>
    <t>2 этаж. Стяжка полусухая армированная, толщиной 65 мм</t>
  </si>
  <si>
    <t>1.1.1.1.1.1.1.9._</t>
  </si>
  <si>
    <t>Толщина стяжки 65 мм</t>
  </si>
  <si>
    <t>1.1.1.1.1.1.1.9.1</t>
  </si>
  <si>
    <t>1.1.1.1.1.1.1.9.1._</t>
  </si>
  <si>
    <t>1.1.1.1.1.1.1.9.2</t>
  </si>
  <si>
    <t>1.1.1.1.1.1.1.9.2._</t>
  </si>
  <si>
    <t>1.1.1.1.1.1.1.9.3</t>
  </si>
  <si>
    <t>1.1.1.1.1.1.1.9.3._</t>
  </si>
  <si>
    <t>1.1.1.1.1.1.1.9.4</t>
  </si>
  <si>
    <t>1.1.1.1.1.1.1.9.4._</t>
  </si>
  <si>
    <t>1.1.1.1.1.1.1.9.5</t>
  </si>
  <si>
    <t>1.1.1.1.1.1.1.9.5._</t>
  </si>
  <si>
    <t>1.1.1.1.1.1.1.9.6</t>
  </si>
  <si>
    <t>1.1.1.1.1.1.1.9.6._</t>
  </si>
  <si>
    <t>1.1.1.1.1.1.1.9.7</t>
  </si>
  <si>
    <t>1.1.1.1.1.1.1.9.7._</t>
  </si>
  <si>
    <t>1.1.1.1.1.1.1.10</t>
  </si>
  <si>
    <t>Устройство стяжки СКБ / армированная сеткой от 61мм до 80 мм</t>
  </si>
  <si>
    <t>3 этаж. Стяжка толщиной 65 мм. Тип: П-12, П-13, П-15, П-16.</t>
  </si>
  <si>
    <t>1.1.1.1.1.1.1.10.1</t>
  </si>
  <si>
    <t>1.1.1.1.1.1.1.10.2</t>
  </si>
  <si>
    <t>1.1.1.1.1.1.1.10.3</t>
  </si>
  <si>
    <t>1.1.1.1.1.1.1.10.4</t>
  </si>
  <si>
    <t>1.1.1.1.1.1.1.10.5</t>
  </si>
  <si>
    <t>1.1.1.1.1.1.1.11</t>
  </si>
  <si>
    <t>2 этаж. Стяжка толщиной 65 мм. Тип: П-12, П-13, П-15, П-16.</t>
  </si>
  <si>
    <t>1.1.1.1.1.1.1.11.1</t>
  </si>
  <si>
    <t>1.1.1.1.1.1.1.11.2</t>
  </si>
  <si>
    <t>1.1.1.1.1.1.1.11.3</t>
  </si>
  <si>
    <t>1.1.1.1.1.1.1.11.4</t>
  </si>
  <si>
    <t>1.1.1.1.1.1.1.11.5</t>
  </si>
  <si>
    <t>1.1.1.1.1.1.2</t>
  </si>
  <si>
    <t>6.3.1.5.1.2</t>
  </si>
  <si>
    <t>Гидроизоляция, тепло-звукоизоляция, утепление</t>
  </si>
  <si>
    <t>1.1.1.1.1.1.2.1</t>
  </si>
  <si>
    <t>6.3.1.5.1.2.1.2</t>
  </si>
  <si>
    <t>Устройство обмазочной гидроизоляции с проклеиванием швов армированной лентой из стекловолокна / в 2 слоя</t>
  </si>
  <si>
    <t>1.1.1.1.1.1.2.1.1</t>
  </si>
  <si>
    <t>Праймер битумный_ / Технониколь №01</t>
  </si>
  <si>
    <t>1.1.1.1.1.1.2.1.2</t>
  </si>
  <si>
    <t>Гидроизоляционная мастика_/ТЕХНОНИКОЛЬ №31</t>
  </si>
  <si>
    <t>1.1.1.1.1.1.2.2</t>
  </si>
  <si>
    <t>1.1.1.1.1.1.2.2.1</t>
  </si>
  <si>
    <t>1.1.1.1.1.1.2.2.2</t>
  </si>
  <si>
    <t>1.1.1.1.1.1.2.3</t>
  </si>
  <si>
    <t>6.3.1.5.1.2.4.5</t>
  </si>
  <si>
    <t>Устройство тепло-звукоизоляции полов / Рулонный материал / в 1 слой</t>
  </si>
  <si>
    <t>1.1.1.1.1.1.2.3.1</t>
  </si>
  <si>
    <t>Подложка из полистирола / isolon 500 1502</t>
  </si>
  <si>
    <t>Техноэласт Акустик - 5мм</t>
  </si>
  <si>
    <t>1.1.1.1.1.1.2.4</t>
  </si>
  <si>
    <t>1.1.1.1.1.1.2.4.1</t>
  </si>
  <si>
    <t>Техноэласт Акустик 5мм</t>
  </si>
  <si>
    <t>1.1.1.1.1.1.2.5</t>
  </si>
  <si>
    <t>6.3.1.5.1.2.5.1</t>
  </si>
  <si>
    <t>Утепление полов керамзитом</t>
  </si>
  <si>
    <t>1.1.1.1.1.1.2.5._</t>
  </si>
  <si>
    <t>1.1.1.1.1.1.2.5.1</t>
  </si>
  <si>
    <t>Керамзит_ / фр 10-20</t>
  </si>
  <si>
    <t>1.1.1.1.1.1.2.5.1._</t>
  </si>
  <si>
    <t>1.1.1.1.1.1.2.6</t>
  </si>
  <si>
    <t>2 и 3 этаж
47,6*0,15+16*0,615+18,5*0,375</t>
  </si>
  <si>
    <t>1.1.1.1.1.1.2.6.1</t>
  </si>
  <si>
    <t>1.1.1.1.1.1.3</t>
  </si>
  <si>
    <t>6.3.1.5.1.3</t>
  </si>
  <si>
    <t>Устройство покрытия полов</t>
  </si>
  <si>
    <t>1.1.1.1.1.1.3.1</t>
  </si>
  <si>
    <t>6.3.1.5.1.3.1.1</t>
  </si>
  <si>
    <t>Устройство покрытия пола с предварительной огрунтовкой поверхности / из керамогранитной плитки с затиркой швов</t>
  </si>
  <si>
    <t>2 этаж. Тип: КР-1, КР-6</t>
  </si>
  <si>
    <t>1.1.1.1.1.1.3.1._</t>
  </si>
  <si>
    <t>1.1.1.1.1.1.3.1.1</t>
  </si>
  <si>
    <t>Клей плиточный/ Унифицированный по ПИК-СТАНДАРТ</t>
  </si>
  <si>
    <t>Клей для плитки Стройбриг Базакс АС10 серый класс С0 Т 25 кг</t>
  </si>
  <si>
    <t>1.1.1.1.1.1.3.1.1._</t>
  </si>
  <si>
    <t>1.1.1.1.1.1.3.1.2</t>
  </si>
  <si>
    <t>Керамический гранит Kerama Marazzi Дайсен SG610300R 600x600x9мм обрезной светлый серый</t>
  </si>
  <si>
    <t>Керамогранит Kerama Marazzi SG502120R 200х800х11 мм,
Фрегат медовый бежевый (не ниже КМ1)</t>
  </si>
  <si>
    <t>1.1.1.1.1.1.3.1.2._</t>
  </si>
  <si>
    <t>1.1.1.1.1.1.3.1.3</t>
  </si>
  <si>
    <t>Керамическая плитка Pietra Pienza_ / светло-серый Матовый / K909010R0001VTP0/напольная / 600*600*8мм</t>
  </si>
  <si>
    <t>Керамогранит Kerama Marazzi Про Матрикс DD602020R и Джиминьяно DD642220R, 600х600х9мм.</t>
  </si>
  <si>
    <t>1.1.1.1.1.1.3.1.3._</t>
  </si>
  <si>
    <t>Керамогранит Kerama Marazzi Про матрикс DD602020R
600x600х9 мм, серый светлый и Kerama Marazzi Джиминьяно DD642220R 600x600х9 мм,</t>
  </si>
  <si>
    <t>1.1.1.1.1.1.3.1.4</t>
  </si>
  <si>
    <t>Затирка Цезерит СE33_/04 серебристо-серый</t>
  </si>
  <si>
    <t>1.1.1.1.1.1.3.1.4._</t>
  </si>
  <si>
    <t>1.1.1.1.1.1.3.1.5</t>
  </si>
  <si>
    <t>Грунтовка универсальный ЛАСТИМИН_ / LP-51 А</t>
  </si>
  <si>
    <t>1.1.1.1.1.1.3.1.5._</t>
  </si>
  <si>
    <t>1.1.1.1.1.1.3.2</t>
  </si>
  <si>
    <t>6.3.1.5.1.3.2.1</t>
  </si>
  <si>
    <t>Устройство покрытия пола из линолеума</t>
  </si>
  <si>
    <t>Включая защиту ДВП</t>
  </si>
  <si>
    <t>1.1.1.1.1.1.3.2.1</t>
  </si>
  <si>
    <t>Клей для линолеума</t>
  </si>
  <si>
    <t>Клей акриловый для гибких напольных покрытий Kesto Plus 4 кг</t>
  </si>
  <si>
    <t>1.1.1.1.1.1.3.2.2</t>
  </si>
  <si>
    <t>Грунтовка _ / универсальная водно-дисперсионная</t>
  </si>
  <si>
    <t xml:space="preserve">Грунт универсальный Стройбриг Ластимин LP51 A </t>
  </si>
  <si>
    <t>1.1.1.1.1.1.3.2.3</t>
  </si>
  <si>
    <t>Сварочный шнур для линолеума (для объектов СКБ)_ / Tarkett / Сварочный шнур для спортивного линолеума серого для школы / 91542</t>
  </si>
  <si>
    <t>1.1.1.1.1.1.3.2.4</t>
  </si>
  <si>
    <t>Линолеум (для объектов СКБ)_ / 4 мм  / TEAL / Omnisports ACTION R40 / Tarkett / - / Спортивный линолеум для школы цветной</t>
  </si>
  <si>
    <t>1.1.1.1.1.1.3.3</t>
  </si>
  <si>
    <t>6.3.1.5.1.3.8.1</t>
  </si>
  <si>
    <t>Установка стыковочных профилей</t>
  </si>
  <si>
    <t>2 этаж. ПР-4</t>
  </si>
  <si>
    <t>1.1.1.1.1.1.3.3._</t>
  </si>
  <si>
    <t>1.1.1.1.1.1.3.3.1</t>
  </si>
  <si>
    <t>Профиль T-образный ПМЮ-01_ / серебро матовое / 2700*30</t>
  </si>
  <si>
    <t>1.1.1.1.1.1.3.3.1._</t>
  </si>
  <si>
    <t>1.1.1.1.1.1.3.3.2</t>
  </si>
  <si>
    <t>Жидкие гвозди универсальные_/</t>
  </si>
  <si>
    <t>Клей монтажный акриловый Момент Fix Универсал белый 380 мл</t>
  </si>
  <si>
    <t>1.1.1.1.1.1.3.3.2._</t>
  </si>
  <si>
    <t>1.1.1.1.1.1.3.4</t>
  </si>
  <si>
    <t>3 этаж. ПР-3, ПР-4</t>
  </si>
  <si>
    <t>1.1.1.1.1.1.3.4.1</t>
  </si>
  <si>
    <t>1.1.1.1.1.1.3.4.2</t>
  </si>
  <si>
    <t>Т-образный профиль ПМЮ 01 (2700х30мм), цвет - серебро матовое</t>
  </si>
  <si>
    <t>1.1.1.1.1.1.3.4.3</t>
  </si>
  <si>
    <t>Профиль Г-образный алюминиевый / ПМЮ-017</t>
  </si>
  <si>
    <t>Г-образный противоскользящий ПВХ профиль Salag (132002) 42х15мм, цвет - 02 серый/серый</t>
  </si>
  <si>
    <t>1.1.1.1.1.1.3.5</t>
  </si>
  <si>
    <t>6.3.1.5.1.3.10.1</t>
  </si>
  <si>
    <t>Устройство плинтуса из керамогранитной плитки с затиркой швов, с предварительной огрунтовкой поверхности</t>
  </si>
  <si>
    <t>2 этаж. ПЛ-1</t>
  </si>
  <si>
    <t>1.1.1.1.1.1.3.5._</t>
  </si>
  <si>
    <t>1.1.1.1.1.1.3.5.1</t>
  </si>
  <si>
    <t>Керамический гранит Kerama marazzi_ / Светлый серый /  DD600300R, Estima LF01 UnitileVento grey PG  / 600х600х10мм</t>
  </si>
  <si>
    <t>Плинтус из керамогранита Kerama Marazzi Про матрикс
DD602200R/6BT 600x95х9 мм, цвет светло-серый</t>
  </si>
  <si>
    <t>1.1.1.1.1.1.3.5.1._</t>
  </si>
  <si>
    <t>Плинтус из керамогранита Kerama Marazzi Про матрикс
DD602200R/6BT 600x95 х9 мм, цвет светло-серый</t>
  </si>
  <si>
    <t>1.1.1.1.1.1.3.5.2</t>
  </si>
  <si>
    <t>1.1.1.1.1.1.3.5.2._</t>
  </si>
  <si>
    <t>1.1.1.1.1.1.3.5.3</t>
  </si>
  <si>
    <t>1.1.1.1.1.1.3.5.3._</t>
  </si>
  <si>
    <t>1.1.1.1.1.1.3.6</t>
  </si>
  <si>
    <t>6.3.1.5.1.3.11.1</t>
  </si>
  <si>
    <t>Установка напольного плинтуса ПВХ, включая установку розетт на трубы отопления</t>
  </si>
  <si>
    <t>2 этаж. ПЛ-2</t>
  </si>
  <si>
    <t>1.1.1.1.1.1.3.6._</t>
  </si>
  <si>
    <t>1.1.1.1.1.1.3.6.1</t>
  </si>
  <si>
    <t>Плинтус  ПВХ SMARTPROFILE AQUA37  / 95*37ММ 2,2М</t>
  </si>
  <si>
    <t>Плинтус гибкий ПВХ Dollken WL 100 0146, цвет светло-серый RAL 7046, КМ2</t>
  </si>
  <si>
    <t>1.1.1.1.1.1.3.6.1._</t>
  </si>
  <si>
    <t>1.1.1.1.1.1.3.6.2</t>
  </si>
  <si>
    <t>1.1.1.1.1.1.3.6.2._</t>
  </si>
  <si>
    <t>1.1.1.1.1.1.3.7</t>
  </si>
  <si>
    <t>6.3.1.5.1.3.14.1</t>
  </si>
  <si>
    <t>Устройство покрытия пола из кварцвинила / на клею</t>
  </si>
  <si>
    <t>1.1.1.1.1.1.3.7._</t>
  </si>
  <si>
    <t>1.1.1.1.1.1.3.7.1</t>
  </si>
  <si>
    <t>Клей полиуретановый двухкомпонентный Для напольных модульных ПВХ-покрытий(LVT,кварц-винил), жизнеспособность 1-1,5ч, Светло-бежевый, 4,31кг</t>
  </si>
  <si>
    <t>Клей полиуретановый для ПВХ плитки двухкомпонентный Homa Homakoll Tile 2K PU 4,3 кг</t>
  </si>
  <si>
    <t>1.1.1.1.1.1.3.7.1._</t>
  </si>
  <si>
    <t>1.1.1.1.1.1.3.7.2</t>
  </si>
  <si>
    <t>Кварц-виниловая плитка / SPC VIVA Series с защитным слоем 0,3мм</t>
  </si>
  <si>
    <t>Плитка ПВХ Forbo Effekta Professional 8060 T Light Concrete PRO 500х500х2 мм, защитый слой 0,8 мм, цвет светло-серый, КМ2</t>
  </si>
  <si>
    <t>1.1.1.1.1.1.3.7.2._</t>
  </si>
  <si>
    <t>1.1.1.1.1.1.3.8</t>
  </si>
  <si>
    <t>1.1.1.1.1.1.3.8.1</t>
  </si>
  <si>
    <t>Плитка ПВХ Forbo Effekta Professional 8060 T Light Concrete PRO 500х500х2 мм, защитный слой 0,8 мм, цвет светло-серый, КМ2</t>
  </si>
  <si>
    <t>1.1.1.1.1.1.3.8.2</t>
  </si>
  <si>
    <t>1.1.1.1.1.1.3.9</t>
  </si>
  <si>
    <t>6.3.1.5.1.3.16.4</t>
  </si>
  <si>
    <t>Установка напольного плинтуса / полимерного на клею</t>
  </si>
  <si>
    <t>3 этаж. ПЛ-2</t>
  </si>
  <si>
    <t>1.1.1.1.1.1.3.9.1</t>
  </si>
  <si>
    <t>Плинтус для линолеума (для объектов СКБ) 100 мм WL 100 Dark Gray 0146 Dollken Плинтус для линолеума для детского сада и школ</t>
  </si>
  <si>
    <t>1.1.1.1.1.1.3.10</t>
  </si>
  <si>
    <t>1.1.1.1.1.1.3.10.1</t>
  </si>
  <si>
    <t>1.1.1.1.1.1.3.11</t>
  </si>
  <si>
    <t>6.3.1.5.1.3.19.1</t>
  </si>
  <si>
    <t>Устройство плинтуса из керамогранитной плитки СКБ</t>
  </si>
  <si>
    <t>1.1.1.1.1.1.3.11.1</t>
  </si>
  <si>
    <t>Плиточный клей_ / Унифицированный по ПИК-СТАНДАРТ</t>
  </si>
  <si>
    <t>1.1.1.1.1.1.3.11.2</t>
  </si>
  <si>
    <t>Плинтус керамогранитный Дайсен SG211200R/3BT 600х95мм светло-серый</t>
  </si>
  <si>
    <t>Плинтус из керамогранита, Kerama Marazzi Про Матрикс DD602200R/6BT, 600х95х9мм, светло-серый</t>
  </si>
  <si>
    <t>1.1.1.1.1.1.3.11.3</t>
  </si>
  <si>
    <t>Затирка Цезерит СE33_/13 атрацит</t>
  </si>
  <si>
    <t xml:space="preserve"> Ceresit CE33 04 серебристо-серый
</t>
  </si>
  <si>
    <t>1.1.1.1.1.1.3.11.4</t>
  </si>
  <si>
    <t>1.1.1.1.1.1.3.12</t>
  </si>
  <si>
    <t>1.1.1.1.1.1.3.12.1</t>
  </si>
  <si>
    <t>1.1.1.1.1.1.3.12.2</t>
  </si>
  <si>
    <t>1.1.1.1.1.1.3.12.3</t>
  </si>
  <si>
    <t>Плинтус из керамического гранита Дайсен_ / светло-серый / SG610300R / 100х600х11мм</t>
  </si>
  <si>
    <t>Плинтус из керамогранита Kerama Marazzi Коллиано SG913000N, 300х100х8мм, серый, затирка Ceresit CE 33 13 антрацит</t>
  </si>
  <si>
    <t>1.1.1.1.1.1.3.12.4</t>
  </si>
  <si>
    <t>1.1.1.1.1.1.3.13</t>
  </si>
  <si>
    <t>1.1.1.1.1.1.3.13.1</t>
  </si>
  <si>
    <t>1.1.1.1.1.1.3.13.2</t>
  </si>
  <si>
    <t xml:space="preserve">затирка Ceresit CE33 04 серебристо-серый, КМ0
</t>
  </si>
  <si>
    <t>1.1.1.1.1.1.3.13.3</t>
  </si>
  <si>
    <t>Керамогранит, Kerama Marazzi Про Матрикс DD602200R/6BT, 600х95х9мм, светло-серый</t>
  </si>
  <si>
    <t>1.1.1.1.1.1.3.13.4</t>
  </si>
  <si>
    <t xml:space="preserve">Клей для плитки Стройбриг Базакс АС10 серый класс С0 Т 25 кг
</t>
  </si>
  <si>
    <t>1.1.1.1.1.1.3.14</t>
  </si>
  <si>
    <t>6.3.1.5.1.3.20.1</t>
  </si>
  <si>
    <t>Устройство покрытия пола СКБ с затиркой и укрытием ДВП / из керамогранитной плитки до 0,2м2/шт</t>
  </si>
  <si>
    <t>2 этаж. КР-4</t>
  </si>
  <si>
    <t>1.1.1.1.1.1.3.14.1</t>
  </si>
  <si>
    <t>1.1.1.1.1.1.3.14.2</t>
  </si>
  <si>
    <t>1.1.1.1.1.1.3.14.3</t>
  </si>
  <si>
    <t>1.1.1.1.1.1.3.14.4</t>
  </si>
  <si>
    <t>Керамический гранит Kerama marazzi_ / Бордо / 5188/ Калейдоскоп / 200х200</t>
  </si>
  <si>
    <t>Керамогранит Kerama Marazzi Коллиано SG913000N, 300х300х8мм</t>
  </si>
  <si>
    <t>1.1.1.1.1.1.3.15</t>
  </si>
  <si>
    <t>3 этаж. КР-4</t>
  </si>
  <si>
    <t>1.1.1.1.1.1.3.15.1</t>
  </si>
  <si>
    <t>Керамический гранит Kerama marazzi_ / Синий /  SG1547N /  200х200 мм</t>
  </si>
  <si>
    <t xml:space="preserve"> Kerama Marazzi Коллиано SG913000N, 300х300х8мм
</t>
  </si>
  <si>
    <t>1.1.1.1.1.1.3.15.2</t>
  </si>
  <si>
    <t>1.1.1.1.1.1.3.15.3</t>
  </si>
  <si>
    <t>1.1.1.1.1.1.3.15.4</t>
  </si>
  <si>
    <t>1.1.1.1.1.1.3.16</t>
  </si>
  <si>
    <t>6.3.1.5.1.3.20.2</t>
  </si>
  <si>
    <t>Устройство покрытия пола СКБ с затиркой и укрытием ДВП / из керамогранитной плитки от 0,2м2/шт</t>
  </si>
  <si>
    <t>2 этаж. КР-1</t>
  </si>
  <si>
    <t>1.1.1.1.1.1.3.16.1</t>
  </si>
  <si>
    <t>Плиточный клей_ /  Унифицированный по ПИК-СТАНДАРТ</t>
  </si>
  <si>
    <t>1.1.1.1.1.1.3.16.2</t>
  </si>
  <si>
    <t>Керамический гранит Kerama marazzi_ / Серый светлый / SG614800R/Напольный/Королевская дорога / 600*600*11</t>
  </si>
  <si>
    <t>Керамогранит, Kerama Marazzi Про Матрикс DD602020R, 600х600х9мм, светло-серый</t>
  </si>
  <si>
    <t>1.1.1.1.1.1.3.16.3</t>
  </si>
  <si>
    <t>1.1.1.1.1.1.3.16.4</t>
  </si>
  <si>
    <t>1.1.1.1.1.1.3.17</t>
  </si>
  <si>
    <t>3 этаж. КР-1</t>
  </si>
  <si>
    <t>1.1.1.1.1.1.3.17.1</t>
  </si>
  <si>
    <t>1.1.1.1.1.1.3.17.2</t>
  </si>
  <si>
    <t>1.1.1.1.1.1.3.17.3</t>
  </si>
  <si>
    <t>1.1.1.1.1.1.3.17.4</t>
  </si>
  <si>
    <t>1.1.1.1.1.2</t>
  </si>
  <si>
    <t>6.3.1.5.2</t>
  </si>
  <si>
    <t>Стены</t>
  </si>
  <si>
    <t>1.1.1.1.1.2.1</t>
  </si>
  <si>
    <t>6.3.1.5.2.1</t>
  </si>
  <si>
    <t>Черновые работы по поверхности стен</t>
  </si>
  <si>
    <t>1.1.1.1.1.2.1.1</t>
  </si>
  <si>
    <t>6.3.1.5.2.1.1.1</t>
  </si>
  <si>
    <t>Оклейка швов сопряжения бетонных и других поверхностей стен, перегородок (газобетон, ПГП, панели АКОТЕК и др.) стеклохолстом</t>
  </si>
  <si>
    <t xml:space="preserve">2эт - 1826,61м.п., 3эт. - 2045,25м.п.
</t>
  </si>
  <si>
    <t>1.1.1.1.1.2.1.1.1</t>
  </si>
  <si>
    <t>Шпатлевка гипсовая_ / белая / Унифицированная по ПИК-СТАНДАРТ, 30кг</t>
  </si>
  <si>
    <t>1.1.1.1.1.2.1.1.2</t>
  </si>
  <si>
    <t>Лента армирующая ( серпянка)_/150мм</t>
  </si>
  <si>
    <t>1.1.1.1.1.2.1.2</t>
  </si>
  <si>
    <t>6.3.1.5.2.1.2.3</t>
  </si>
  <si>
    <t>Штукатурка стен сухими смесями с установкой маяков с предварительной огрунтовкой / толщ. от 16,5 мм до 21 мм</t>
  </si>
  <si>
    <t>1.1.1.1.1.2.1.2._</t>
  </si>
  <si>
    <t>1.1.1.1.1.2.1.2.1</t>
  </si>
  <si>
    <t>Штукатурка гипсовая_ / Унифицированная по ПИК-СТАНДАРТ, 30кг</t>
  </si>
  <si>
    <t>Штукатурка гипсовая Старатели Старт 30 кг</t>
  </si>
  <si>
    <t>1.1.1.1.1.2.1.2.1._</t>
  </si>
  <si>
    <t>1.1.1.1.1.2.1.2.2</t>
  </si>
  <si>
    <t>Грунтовка БЕТОН-КОНТАКТ_/</t>
  </si>
  <si>
    <t>1.1.1.1.1.2.1.2.2._</t>
  </si>
  <si>
    <t>1.1.1.1.1.2.1.2.3</t>
  </si>
  <si>
    <t>Профиль маячковый_/ПМ6</t>
  </si>
  <si>
    <t>1.1.1.1.1.2.1.2.3._</t>
  </si>
  <si>
    <t>1.1.1.1.1.2.1.3</t>
  </si>
  <si>
    <t>6.3.1.5.2.1.4.2</t>
  </si>
  <si>
    <t>Выравнивание стен с предварительной огрунтовкой / по оштукатуренной поверхности / толщ. 2 мм</t>
  </si>
  <si>
    <t>2 этаж. Шпатлёвка базовая</t>
  </si>
  <si>
    <t>1.1.1.1.1.2.1.3._</t>
  </si>
  <si>
    <t>Шпатлёвка базовая</t>
  </si>
  <si>
    <t>1.1.1.1.1.2.1.3.1</t>
  </si>
  <si>
    <t>Шпаклевка гипсовая Старатели базовая белая 20 кг</t>
  </si>
  <si>
    <t>1.1.1.1.1.2.1.3.1._</t>
  </si>
  <si>
    <t>1.1.1.1.1.2.1.3.2</t>
  </si>
  <si>
    <t>Уголок малярный_ / L=3м /25х25 мм</t>
  </si>
  <si>
    <t>1.1.1.1.1.2.1.3.2._</t>
  </si>
  <si>
    <t>1.1.1.1.1.2.1.3.3</t>
  </si>
  <si>
    <t>Лента армированная Серпянка 150мм</t>
  </si>
  <si>
    <t>1.1.1.1.1.2.1.3.3._</t>
  </si>
  <si>
    <t>1.1.1.1.1.2.1.3.4</t>
  </si>
  <si>
    <t>1.1.1.1.1.2.1.3.4._</t>
  </si>
  <si>
    <t>1.1.1.1.1.2.1.4</t>
  </si>
  <si>
    <t>2 этаж. Шпатлёвка финишная</t>
  </si>
  <si>
    <t>1.1.1.1.1.2.1.4._</t>
  </si>
  <si>
    <t>Шпатлёвка финишная</t>
  </si>
  <si>
    <t>1.1.1.1.1.2.1.4.1</t>
  </si>
  <si>
    <t>1.1.1.1.1.2.1.4.1._</t>
  </si>
  <si>
    <t>1.1.1.1.1.2.1.4.2</t>
  </si>
  <si>
    <t>Шпаклевка гипсовая Старатели финишная 20 кг</t>
  </si>
  <si>
    <t>1.1.1.1.1.2.1.4.2._</t>
  </si>
  <si>
    <t>1.1.1.1.1.2.1.5</t>
  </si>
  <si>
    <t>6.3.1.5.2.1.8.5</t>
  </si>
  <si>
    <t>Подготовка поверхности СКБ / стен / по штукатурке / 2мм</t>
  </si>
  <si>
    <t>2 этаж. Шпаклевка черновая.</t>
  </si>
  <si>
    <t>1.1.1.1.1.2.1.5.1</t>
  </si>
  <si>
    <t>1.1.1.1.1.2.1.5.2</t>
  </si>
  <si>
    <t>1.1.1.1.1.2.1.5.3</t>
  </si>
  <si>
    <t>1.1.1.1.1.2.1.6</t>
  </si>
  <si>
    <t>2 этаж. Шпаклевка финишная для высококачественной отделки.</t>
  </si>
  <si>
    <t>1.1.1.1.1.2.1.6.1</t>
  </si>
  <si>
    <t>1.1.1.1.1.2.1.6.2</t>
  </si>
  <si>
    <t xml:space="preserve">Шпатлевка финишная TERRACO HANDYCOAT ALL PURPOSE </t>
  </si>
  <si>
    <t>1.1.1.1.1.2.1.7</t>
  </si>
  <si>
    <t>3 этаж. Шпаклевка черновая.</t>
  </si>
  <si>
    <t>1.1.1.1.1.2.1.7.1</t>
  </si>
  <si>
    <t>1.1.1.1.1.2.1.7.2</t>
  </si>
  <si>
    <t>1.1.1.1.1.2.1.7.3</t>
  </si>
  <si>
    <t>1.1.1.1.1.2.1.8</t>
  </si>
  <si>
    <t>3 этаж. Шпаклевка финишная для высококачественной отделки.</t>
  </si>
  <si>
    <t>1.1.1.1.1.2.1.8.1</t>
  </si>
  <si>
    <t>1.1.1.1.1.2.1.8.2</t>
  </si>
  <si>
    <t>1.1.1.1.1.2.1.9</t>
  </si>
  <si>
    <t>2 этаж. Шпаклевка черновая цементная.</t>
  </si>
  <si>
    <t>1.1.1.1.1.2.1.9.1</t>
  </si>
  <si>
    <t>1.1.1.1.1.2.1.9.2</t>
  </si>
  <si>
    <t>1.1.1.1.1.2.1.9.3</t>
  </si>
  <si>
    <t>Шпатлевка цементная</t>
  </si>
  <si>
    <t>1.1.1.1.1.2.1.10</t>
  </si>
  <si>
    <t>2 этаж. Шпаклевка финишная цементная для высококачественной отделки.</t>
  </si>
  <si>
    <t>1.1.1.1.1.2.1.10.1</t>
  </si>
  <si>
    <t>1.1.1.1.1.2.1.10.2</t>
  </si>
  <si>
    <t>1.1.1.1.1.2.1.11</t>
  </si>
  <si>
    <t>3 этаж. Шпаклевка черновая цементная.</t>
  </si>
  <si>
    <t>1.1.1.1.1.2.1.11.1</t>
  </si>
  <si>
    <t>1.1.1.1.1.2.1.11.2</t>
  </si>
  <si>
    <t>1.1.1.1.1.2.1.11.3</t>
  </si>
  <si>
    <t>1.1.1.1.1.2.1.12</t>
  </si>
  <si>
    <t>3 этаж. Шпаклевка финишная цементная для высококачественной отделки.</t>
  </si>
  <si>
    <t>1.1.1.1.1.2.1.12.1</t>
  </si>
  <si>
    <t>1.1.1.1.1.2.1.12.2</t>
  </si>
  <si>
    <t>1.1.1.1.1.2.1.13</t>
  </si>
  <si>
    <t>2 этаж. Шпаклевка базовая.</t>
  </si>
  <si>
    <t>1.1.1.1.1.2.1.13.1</t>
  </si>
  <si>
    <t>1.1.1.1.1.2.1.13.2</t>
  </si>
  <si>
    <t>1.1.1.1.1.2.1.14</t>
  </si>
  <si>
    <t>3 этаж. Шпаклевка базовая.</t>
  </si>
  <si>
    <t>1.1.1.1.1.2.1.14.1</t>
  </si>
  <si>
    <t>1.1.1.1.1.2.1.14.2</t>
  </si>
  <si>
    <t>1.1.1.1.1.2.1.15</t>
  </si>
  <si>
    <t>2 этаж. Шпаклевка базовая цементная.</t>
  </si>
  <si>
    <t>1.1.1.1.1.2.1.15.1</t>
  </si>
  <si>
    <t>1.1.1.1.1.2.1.15.2</t>
  </si>
  <si>
    <t>1.1.1.1.1.2.1.16</t>
  </si>
  <si>
    <t>1.1.1.1.1.2.1.16.1</t>
  </si>
  <si>
    <t>1.1.1.1.1.2.1.16.2</t>
  </si>
  <si>
    <t>1.1.1.1.1.2.1.17</t>
  </si>
  <si>
    <t>6.3.1.5.2.1.10.1</t>
  </si>
  <si>
    <t>Штукатурка стен цементным, цементно-песчаным раствором с предварительной огрунтовкой / толщ. до 20 мм / высотой до 4 метров</t>
  </si>
  <si>
    <t>1.1.1.1.1.2.1.17._</t>
  </si>
  <si>
    <t>1.1.1.1.1.2.1.17.1</t>
  </si>
  <si>
    <t>Штукатурка цементная</t>
  </si>
  <si>
    <t>Штукатурка цементная Основит Техно РС21 M 25 кг</t>
  </si>
  <si>
    <t>1.1.1.1.1.2.1.17.1._</t>
  </si>
  <si>
    <t>1.1.1.1.1.2.1.17.2</t>
  </si>
  <si>
    <t>Сетка штукатурная_/пластиковая/5*5</t>
  </si>
  <si>
    <t>1.1.1.1.1.2.1.17.2._</t>
  </si>
  <si>
    <t>1.1.1.1.1.2.1.17.3</t>
  </si>
  <si>
    <t>1.1.1.1.1.2.1.17.3._</t>
  </si>
  <si>
    <t>1.1.1.1.1.2.1.17.4</t>
  </si>
  <si>
    <t>1.1.1.1.1.2.1.17.4._</t>
  </si>
  <si>
    <t>1.1.1.1.1.2.1.18</t>
  </si>
  <si>
    <t>6.3.1.5.2.1.10.2</t>
  </si>
  <si>
    <t>Штукатурка стен цементным, цементно-песчаным раствором с предварительной огрунтовкой / толщ. от 21 до 40 мм / высотой до 4 метров</t>
  </si>
  <si>
    <t>2 этаж. Штукатурка по ЖБ. Толщина слоя согласованна с ПГ.</t>
  </si>
  <si>
    <t>1.1.1.1.1.2.1.18.1</t>
  </si>
  <si>
    <t>1.1.1.1.1.2.1.18.2</t>
  </si>
  <si>
    <t>1.1.1.1.1.2.1.18.3</t>
  </si>
  <si>
    <t>1.1.1.1.1.2.1.18.4</t>
  </si>
  <si>
    <t>1.1.1.1.1.2.1.19</t>
  </si>
  <si>
    <t>2 этаж. Штукатурка по блоку, ГСП, ПГП. Толщина слоя согласованна с ПГ</t>
  </si>
  <si>
    <t>1.1.1.1.1.2.1.19.1</t>
  </si>
  <si>
    <t>1.1.1.1.1.2.1.19.2</t>
  </si>
  <si>
    <t>1.1.1.1.1.2.1.19.3</t>
  </si>
  <si>
    <t>1.1.1.1.1.2.1.19.4</t>
  </si>
  <si>
    <t>1.1.1.1.1.2.1.20</t>
  </si>
  <si>
    <t>3 этаж. Штукатурка по ЖБ. Толщина слоя согласованна с ПГ.</t>
  </si>
  <si>
    <t>1.1.1.1.1.2.1.20.1</t>
  </si>
  <si>
    <t>1.1.1.1.1.2.1.20.2</t>
  </si>
  <si>
    <t>1.1.1.1.1.2.1.20.3</t>
  </si>
  <si>
    <t>1.1.1.1.1.2.1.20.4</t>
  </si>
  <si>
    <t>1.1.1.1.1.2.1.21</t>
  </si>
  <si>
    <t>3 этаж. Штукатурка по блоку, ГСП, ПГП. Толщина слоя согласованна с ПГ</t>
  </si>
  <si>
    <t>1.1.1.1.1.2.1.21.1</t>
  </si>
  <si>
    <t>1.1.1.1.1.2.1.21.2</t>
  </si>
  <si>
    <t>1.1.1.1.1.2.1.21.3</t>
  </si>
  <si>
    <t>1.1.1.1.1.2.1.21.4</t>
  </si>
  <si>
    <t>1.1.1.1.1.2.1.22</t>
  </si>
  <si>
    <t>6.3.1.5.2.1.12.2</t>
  </si>
  <si>
    <t>Штукатурка стен гипсовыми смесями с предварительной огрунтовкой СКБ / толщ. от 21 до 40 мм / высотой от 4,01 до 8 метров</t>
  </si>
  <si>
    <t>1.1.1.1.1.2.1.22.1</t>
  </si>
  <si>
    <t>1.1.1.1.1.2.1.22.2</t>
  </si>
  <si>
    <t>1.1.1.1.1.2.1.22.3</t>
  </si>
  <si>
    <t>1.1.1.1.1.2.1.23</t>
  </si>
  <si>
    <t>1.1.1.1.1.2.1.23.1</t>
  </si>
  <si>
    <t>1.1.1.1.1.2.1.23.2</t>
  </si>
  <si>
    <t>1.1.1.1.1.2.1.23.3</t>
  </si>
  <si>
    <t>1.1.1.1.1.2.1.24</t>
  </si>
  <si>
    <t>1.1.1.1.1.2.1.24.1</t>
  </si>
  <si>
    <t>1.1.1.1.1.2.1.24.2</t>
  </si>
  <si>
    <t>1.1.1.1.1.2.1.24.3</t>
  </si>
  <si>
    <t>1.1.1.1.1.2.1.25</t>
  </si>
  <si>
    <t>1.1.1.1.1.2.1.25.1</t>
  </si>
  <si>
    <t>1.1.1.1.1.2.1.25.2</t>
  </si>
  <si>
    <t>1.1.1.1.1.2.1.25.3</t>
  </si>
  <si>
    <t>1.1.1.1.1.2.2</t>
  </si>
  <si>
    <t>6.3.1.5.2.2</t>
  </si>
  <si>
    <t>Чистовые работы по поверхности стен</t>
  </si>
  <si>
    <t>1.1.1.1.1.2.2.1</t>
  </si>
  <si>
    <t>6.3.1.5.2.2.2.1</t>
  </si>
  <si>
    <t>Облицовка поверхности стен с предварительной огрунтовкой и затиркой швов / керамической плиткой</t>
  </si>
  <si>
    <t>1.1.1.1.1.2.2.1._</t>
  </si>
  <si>
    <t>1.1.1.1.1.2.2.1.1</t>
  </si>
  <si>
    <t>Профиль для внешнего угла, ПО Г10 2700х20мм / серебро матовое / 2700*30</t>
  </si>
  <si>
    <t>1.1.1.1.1.2.2.1.1._</t>
  </si>
  <si>
    <t>1.1.1.1.1.2.2.1.2</t>
  </si>
  <si>
    <t>1.1.1.1.1.2.2.1.2._</t>
  </si>
  <si>
    <t>1.1.1.1.1.2.2.1.3</t>
  </si>
  <si>
    <t>Керамический гранит Kerama marazzi_ / Серый / 1537/ Калейдоскоп / 200х200</t>
  </si>
  <si>
    <t>Плитка керамическая Kerama Marazzi 200х200х6,9 мм, Калейдоскоп 5281, 5187, 5009, 5111
цвет - аквамарин светлый, ,</t>
  </si>
  <si>
    <t>1.1.1.1.1.2.2.1.3._</t>
  </si>
  <si>
    <t>1.1.1.1.1.2.2.1.4</t>
  </si>
  <si>
    <t>1.1.1.1.1.2.2.1.4._</t>
  </si>
  <si>
    <t>1.1.1.1.1.2.2.1.5</t>
  </si>
  <si>
    <t>1.1.1.1.1.2.2.1.5._</t>
  </si>
  <si>
    <t>1.1.1.1.1.2.2.2</t>
  </si>
  <si>
    <t>1.1.1.1.1.2.2.2._</t>
  </si>
  <si>
    <t>1.1.1.1.1.2.2.2.1</t>
  </si>
  <si>
    <t>1.1.1.1.1.2.2.2.1._</t>
  </si>
  <si>
    <t>1.1.1.1.1.2.2.2.2</t>
  </si>
  <si>
    <t>Затирка Цезерит СE33_ /  10 манхетен.</t>
  </si>
  <si>
    <t>затирка Ceresit 07</t>
  </si>
  <si>
    <t>1.1.1.1.1.2.2.2.2._</t>
  </si>
  <si>
    <t>1.1.1.1.1.2.2.2.3</t>
  </si>
  <si>
    <t>Керамическая плитка Pietra Pienza_ / светло-серый Матовый / K909010R0001VTP0/настенная / 300*600*8мм</t>
  </si>
  <si>
    <t>Плитка керамическая Kerama Marazzi Мечты о Париже 11259R, цвет - светло-серый 600х300х9мм (не ниже КМ3)</t>
  </si>
  <si>
    <t>1.1.1.1.1.2.2.2.3._</t>
  </si>
  <si>
    <t>1.1.1.1.1.2.2.2.4</t>
  </si>
  <si>
    <t>1.1.1.1.1.2.2.2.4._</t>
  </si>
  <si>
    <t>1.1.1.1.1.2.2.2.5</t>
  </si>
  <si>
    <t>1.1.1.1.1.2.2.2.5._</t>
  </si>
  <si>
    <t>1.1.1.1.1.2.2.3</t>
  </si>
  <si>
    <t>6.3.1.5.2.2.3.1</t>
  </si>
  <si>
    <t>Окраска поверхности стен с предварительной огрунтовкой / в 2 слоя</t>
  </si>
  <si>
    <t>1.1.1.1.1.2.2.3._</t>
  </si>
  <si>
    <t>1.1.1.1.1.2.2.3.1</t>
  </si>
  <si>
    <t>1.1.1.1.1.2.2.3.1._</t>
  </si>
  <si>
    <t>1.1.1.1.1.2.2.3.2</t>
  </si>
  <si>
    <t>Краска водно-дисперсионная интерьерная Латексная, моющаяся Матовая, Г1(КМ1), RAL 9003</t>
  </si>
  <si>
    <t>Матовая водно-дисперсионная краска для высококачественной отделки Antega Строитель моющаяся, цвет - белый RAL 9003, КМ1</t>
  </si>
  <si>
    <t>1.1.1.1.1.2.2.3.2._</t>
  </si>
  <si>
    <t>1.1.1.1.1.2.2.4</t>
  </si>
  <si>
    <t>1.1.1.1.1.2.2.4._</t>
  </si>
  <si>
    <t>1.1.1.1.1.2.2.4.1</t>
  </si>
  <si>
    <t>Краска водно-дисперсионная интерьерная Акриловая, моющаяся Матовая, Г1(КМ1), RAL 7035</t>
  </si>
  <si>
    <t>Матовая водно-дисперсионная краска для высококачественной отделки Antega Строитель моющаяся, цвет - NCS 1502-Y, КМ1</t>
  </si>
  <si>
    <t>1.1.1.1.1.2.2.4.1._</t>
  </si>
  <si>
    <t>1.1.1.1.1.2.2.4.2</t>
  </si>
  <si>
    <t>1.1.1.1.1.2.2.4.2._</t>
  </si>
  <si>
    <t>1.1.1.1.1.2.2.5</t>
  </si>
  <si>
    <t>1.1.1.1.1.2.2.5._</t>
  </si>
  <si>
    <t>1.1.1.1.1.2.2.5.1</t>
  </si>
  <si>
    <t xml:space="preserve">Краска огнестойкая  / NCS S 0570-Y10R / Protect Decor КМ0 </t>
  </si>
  <si>
    <t>Огнестойкая краска матовая Antega Строитель НГ, цвет - белый RAL 9003, КМ0</t>
  </si>
  <si>
    <t>1.1.1.1.1.2.2.5.1._</t>
  </si>
  <si>
    <t>1.1.1.1.1.2.2.5.2</t>
  </si>
  <si>
    <t>1.1.1.1.1.2.2.5.2._</t>
  </si>
  <si>
    <t>1.1.1.1.1.2.2.6</t>
  </si>
  <si>
    <t>1.1.1.1.1.2.2.6._</t>
  </si>
  <si>
    <t>1.1.1.1.1.2.2.6.1</t>
  </si>
  <si>
    <t>Матовая водно-дисперсионная краска для высококачественной отделки Antega Строитель моющаяся, цвет - голубой RAL NCS S 2030-R80B, КМ1</t>
  </si>
  <si>
    <t>1.1.1.1.1.2.2.6.1._</t>
  </si>
  <si>
    <t>1.1.1.1.1.2.2.6.2</t>
  </si>
  <si>
    <t>1.1.1.1.1.2.2.6.2._</t>
  </si>
  <si>
    <t>1.1.1.1.1.2.2.7</t>
  </si>
  <si>
    <t>1.1.1.1.1.2.2.7._</t>
  </si>
  <si>
    <t>1.1.1.1.1.2.2.7.1</t>
  </si>
  <si>
    <t>Матовая водно-дисперсионная краска для высококачественной отделки Antega Строитель моющаяся, цвет - зеленый RAL NCS S 2060-G40Y, КМ1</t>
  </si>
  <si>
    <t>1.1.1.1.1.2.2.7.1._</t>
  </si>
  <si>
    <t>1.1.1.1.1.2.2.7.2</t>
  </si>
  <si>
    <t>1.1.1.1.1.2.2.7.2._</t>
  </si>
  <si>
    <t>1.1.1.1.1.2.2.8</t>
  </si>
  <si>
    <t>1.1.1.1.1.2.2.8._</t>
  </si>
  <si>
    <t>1.1.1.1.1.2.2.8.1</t>
  </si>
  <si>
    <t>Матовая водно-дисперсионная краска для высококачественной отделки Antega Строитель моющаяся, цвет - желтый NCS S 1070-Y20R, КМ1</t>
  </si>
  <si>
    <t>1.1.1.1.1.2.2.8.1._</t>
  </si>
  <si>
    <t>1.1.1.1.1.2.2.8.2</t>
  </si>
  <si>
    <t>1.1.1.1.1.2.2.8.2._</t>
  </si>
  <si>
    <t>1.1.1.1.1.2.2.9</t>
  </si>
  <si>
    <t>1.1.1.1.1.2.2.9._</t>
  </si>
  <si>
    <t>1.1.1.1.1.2.2.9.1</t>
  </si>
  <si>
    <t>1.1.1.1.1.2.2.9.1._</t>
  </si>
  <si>
    <t>1.1.1.1.1.2.2.9.2</t>
  </si>
  <si>
    <t>1.1.1.1.1.2.2.9.2._</t>
  </si>
  <si>
    <t>1.1.1.1.1.2.2.10</t>
  </si>
  <si>
    <t>6.3.1.5.2.2.8.1</t>
  </si>
  <si>
    <t>Лакокрасочные работы СКБ / окраска стен / в 2 слоя</t>
  </si>
  <si>
    <t>2 этаж. СТ-1.1</t>
  </si>
  <si>
    <t>1.1.1.1.1.2.2.10.1</t>
  </si>
  <si>
    <t>Краска водно-дисперсионная интерьерная Акриловая, моющаяся Глянцевая, матовая, Г1(КМ1), RAL 9003</t>
  </si>
  <si>
    <t>Краска матовая водно-дисперсионная для высококачественной отделки стен, ANTEGA СТРОИТЕЛЬ моющаяся, белая, RAL 9003, 2 класс истирания, КМ1</t>
  </si>
  <si>
    <t>1.1.1.1.1.2.2.10.2</t>
  </si>
  <si>
    <t>1.1.1.1.1.2.2.11</t>
  </si>
  <si>
    <t>2 этаж. СТ-1.2</t>
  </si>
  <si>
    <t>1.1.1.1.1.2.2.11.1</t>
  </si>
  <si>
    <t>1.1.1.1.1.2.2.11.2</t>
  </si>
  <si>
    <t>Краска матовая водно-дисперсионная для высококачественной отделки стен ANTEGA СТРОИТЕЛЬ моющаяся, NCS S 2030-R80B, 2 класс истирания, КМ1</t>
  </si>
  <si>
    <t>1.1.1.1.1.2.2.12</t>
  </si>
  <si>
    <t>2 этаж. СТ-1.3</t>
  </si>
  <si>
    <t>1.1.1.1.1.2.2.12.1</t>
  </si>
  <si>
    <t>1.1.1.1.1.2.2.12.2</t>
  </si>
  <si>
    <t>Краска матовая водно-дисперсионная для высококачественной отделки стен ANTEGA СТРОИТЕЛЬ моющаяся, NCS S 5030-R90B, 2 класс истирания, КМ1</t>
  </si>
  <si>
    <t>1.1.1.1.1.2.2.13</t>
  </si>
  <si>
    <t>2 этаж. СТ-1.4</t>
  </si>
  <si>
    <t>1.1.1.1.1.2.2.13.1</t>
  </si>
  <si>
    <t>1.1.1.1.1.2.2.13.2</t>
  </si>
  <si>
    <t>Краска матовая водно-дисперсионная для высококачественной отделки стен ANTEGA СТРОИТЕЛЬ моющаяся, NCS S 1070-Y30R, 2 класс истирания, КМ1</t>
  </si>
  <si>
    <t>1.1.1.1.1.2.2.14</t>
  </si>
  <si>
    <t>2 этаж. СТ-1.5</t>
  </si>
  <si>
    <t>1.1.1.1.1.2.2.14.1</t>
  </si>
  <si>
    <t>1.1.1.1.1.2.2.14.2</t>
  </si>
  <si>
    <t>Краска матовая водно-дисперсионная для высококачественной отделки стен ANTEGA СТРОИТЕЛЬ моющаяся, NCS S 5020-R70B, 2 класс истирания, КМ1</t>
  </si>
  <si>
    <t>1.1.1.1.1.2.2.15</t>
  </si>
  <si>
    <t>2 этаж. СТ-1.7</t>
  </si>
  <si>
    <t>1.1.1.1.1.2.2.15.1</t>
  </si>
  <si>
    <t>1.1.1.1.1.2.2.15.2</t>
  </si>
  <si>
    <t>Краска матовая водно-дисперсионная для высококачественной отделки стен ANTEGA СТРОИТЕЛЬ моющаяся, NCS S 3040-R20B, 2 класс истирания, КМ1</t>
  </si>
  <si>
    <t>1.1.1.1.1.2.2.16</t>
  </si>
  <si>
    <t>2 этаж. СТ-1.11</t>
  </si>
  <si>
    <t>1.1.1.1.1.2.2.16.1</t>
  </si>
  <si>
    <t>1.1.1.1.1.2.2.16.2</t>
  </si>
  <si>
    <t>Краска матовая водно-дисперсионная для высококачественной отделки стен, ANTEGA СТРОИТЕЛЬ моющаяся, NCS S 1080-Y10R, 2 класс истирания, КМ1</t>
  </si>
  <si>
    <t>1.1.1.1.1.2.2.17</t>
  </si>
  <si>
    <t>2 этаж. СТ-1.13</t>
  </si>
  <si>
    <t>1.1.1.1.1.2.2.17.1</t>
  </si>
  <si>
    <t>1.1.1.1.1.2.2.17.2</t>
  </si>
  <si>
    <t>Краска матовая водно-дисперсионная для высококачественной отделки стен, ANTEGA СТРОИТЕЛЬ моющаяся, NCS S 1502-Y, 2 класс истирания, КМ1</t>
  </si>
  <si>
    <t>1.1.1.1.1.2.2.18</t>
  </si>
  <si>
    <t>2 этаж. СТ-2.1</t>
  </si>
  <si>
    <t>1.1.1.1.1.2.2.18.1</t>
  </si>
  <si>
    <t>1.1.1.1.1.2.2.18.2</t>
  </si>
  <si>
    <t xml:space="preserve">Матовая огнестойкая краска для высококачественной отделки стен
ANTEGA СТРОИТЕЛЬ НГ, белая, RAL 9003, 1 класс истирания, КМ0
</t>
  </si>
  <si>
    <t>1.1.1.1.1.2.2.19</t>
  </si>
  <si>
    <t>2 этаж. СТ-2.16</t>
  </si>
  <si>
    <t>1.1.1.1.1.2.2.19.1</t>
  </si>
  <si>
    <t>1.1.1.1.1.2.2.19.2</t>
  </si>
  <si>
    <t xml:space="preserve">Матовая моющаяся влагостойкая водно-дисперсионная силикатная
краска НГ, RAL 7016, 1 класс истирания, КМ0
</t>
  </si>
  <si>
    <t>1.1.1.1.1.2.2.20</t>
  </si>
  <si>
    <t>2 этаж. СТ-1.8</t>
  </si>
  <si>
    <t>1.1.1.1.1.2.2.20.1</t>
  </si>
  <si>
    <t>1.1.1.1.1.2.2.20.2</t>
  </si>
  <si>
    <t>Краска матовая водно-дисперсионная для высококачественной отделки стен ANTEGA СТРОИТЕЛЬ моющаяся, NCS S 2060-G40Y, 2 класс истирания, КМ1</t>
  </si>
  <si>
    <t>1.1.1.1.1.2.2.21</t>
  </si>
  <si>
    <t>3 этаж. СТ-1.1</t>
  </si>
  <si>
    <t>1.1.1.1.1.2.2.21.1</t>
  </si>
  <si>
    <t>1.1.1.1.1.2.2.21.2</t>
  </si>
  <si>
    <t>1.1.1.1.1.2.2.22</t>
  </si>
  <si>
    <t>3 этаж. СТ-1.2</t>
  </si>
  <si>
    <t>1.1.1.1.1.2.2.22.1</t>
  </si>
  <si>
    <t>1.1.1.1.1.2.2.22.2</t>
  </si>
  <si>
    <t>1.1.1.1.1.2.2.23</t>
  </si>
  <si>
    <t>3 этаж. СТ-1.3</t>
  </si>
  <si>
    <t>1.1.1.1.1.2.2.23.1</t>
  </si>
  <si>
    <t>1.1.1.1.1.2.2.23.2</t>
  </si>
  <si>
    <t>1.1.1.1.1.2.2.24</t>
  </si>
  <si>
    <t>3 этаж. СТ-1.4</t>
  </si>
  <si>
    <t>1.1.1.1.1.2.2.24.1</t>
  </si>
  <si>
    <t>1.1.1.1.1.2.2.24.2</t>
  </si>
  <si>
    <t>1.1.1.1.1.2.2.25</t>
  </si>
  <si>
    <t>3 этаж. СТ-1.5</t>
  </si>
  <si>
    <t>1.1.1.1.1.2.2.25.1</t>
  </si>
  <si>
    <t>1.1.1.1.1.2.2.25.2</t>
  </si>
  <si>
    <t>1.1.1.1.1.2.2.26</t>
  </si>
  <si>
    <t>3 этаж. СТ-1.7</t>
  </si>
  <si>
    <t>1.1.1.1.1.2.2.26.1</t>
  </si>
  <si>
    <t>1.1.1.1.1.2.2.26.2</t>
  </si>
  <si>
    <t>1.1.1.1.1.2.2.27</t>
  </si>
  <si>
    <t>3 этаж. СТ-1.8</t>
  </si>
  <si>
    <t>1.1.1.1.1.2.2.27.1</t>
  </si>
  <si>
    <t>1.1.1.1.1.2.2.27.2</t>
  </si>
  <si>
    <t>1.1.1.1.1.2.2.28</t>
  </si>
  <si>
    <t>3 этаж. СТ-1.13</t>
  </si>
  <si>
    <t>1.1.1.1.1.2.2.28.1</t>
  </si>
  <si>
    <t>1.1.1.1.1.2.2.28.2</t>
  </si>
  <si>
    <t>1.1.1.1.1.2.2.29</t>
  </si>
  <si>
    <t>3 этаж. СТ-2.1</t>
  </si>
  <si>
    <t>1.1.1.1.1.2.2.29.1</t>
  </si>
  <si>
    <t>1.1.1.1.1.2.2.29.2</t>
  </si>
  <si>
    <t>1.1.1.1.1.2.2.30</t>
  </si>
  <si>
    <t>3 этаж. СТ-2.10</t>
  </si>
  <si>
    <t>1.1.1.1.1.2.2.30.1</t>
  </si>
  <si>
    <t>1.1.1.1.1.2.2.30.2</t>
  </si>
  <si>
    <t>Краска негорючая моющаяся Protect Decor_ / NCS S 0570-Y10R</t>
  </si>
  <si>
    <t>Краска негорючая ANTEGA СТРОИТЕЛЬ НГ, NCS S 1502-Y, 1 класс истирания, КМ0</t>
  </si>
  <si>
    <t>1.1.1.1.1.2.2.31</t>
  </si>
  <si>
    <t>3 этаж. СТ-2.16</t>
  </si>
  <si>
    <t>1.1.1.1.1.2.2.31.1</t>
  </si>
  <si>
    <t>1.1.1.1.1.2.2.31.2</t>
  </si>
  <si>
    <t>Матовая моющаяся влагостойкая водно-дисперсионная силикатная
краска НГ, RAL 7016, 1 класс истирания, КМ0</t>
  </si>
  <si>
    <t>1.1.1.1.1.2.2.32</t>
  </si>
  <si>
    <t>6.3.1.5.2.2.9.1</t>
  </si>
  <si>
    <t>Облицовка поверхности стен СКБ с затиркой швов / керамической, керамогранитной плиткой до 0,2м2/шт</t>
  </si>
  <si>
    <t>2 этаж. СТ-6.1</t>
  </si>
  <si>
    <t>1.1.1.1.1.2.2.32.1</t>
  </si>
  <si>
    <t>1.1.1.1.1.2.2.32.2</t>
  </si>
  <si>
    <t>1.1.1.1.1.2.2.32.3</t>
  </si>
  <si>
    <t>1.1.1.1.1.2.2.32.4</t>
  </si>
  <si>
    <t>Керамический гранит Kerama marazzi_ / Белый / 5009/ Калейдоскоп / 200х200</t>
  </si>
  <si>
    <t>Kerama Marazzi Калейдоскоп белый 5009 200х200х6,9мм</t>
  </si>
  <si>
    <t>1.1.1.1.1.2.2.33</t>
  </si>
  <si>
    <t>2 этаж. СТ-6.2</t>
  </si>
  <si>
    <t>1.1.1.1.1.2.2.33.1</t>
  </si>
  <si>
    <t>Kerama Marazzi Калейдоскоп 5281 аквамарин-светлый 200х200х6,9мм</t>
  </si>
  <si>
    <t>1.1.1.1.1.2.2.33.2</t>
  </si>
  <si>
    <t>1.1.1.1.1.2.2.33.3</t>
  </si>
  <si>
    <t>1.1.1.1.1.2.2.33.4</t>
  </si>
  <si>
    <t>1.1.1.1.1.2.2.34</t>
  </si>
  <si>
    <t>2 этаж. СТ-6.3</t>
  </si>
  <si>
    <t>1.1.1.1.1.2.2.34.1</t>
  </si>
  <si>
    <t>Керамический гранит Kerama marazzi_ / Оранжевый / 5108/Калейдоскоп / 200х200</t>
  </si>
  <si>
    <t>Kerama Marazzi Калейдоскоп 5187 оранжевый 200х200х6,9мм</t>
  </si>
  <si>
    <t>1.1.1.1.1.2.2.34.2</t>
  </si>
  <si>
    <t>1.1.1.1.1.2.2.34.3</t>
  </si>
  <si>
    <t>1.1.1.1.1.2.2.34.4</t>
  </si>
  <si>
    <t>1.1.1.1.1.2.2.35</t>
  </si>
  <si>
    <t>2 этаж. СТ-6.4</t>
  </si>
  <si>
    <t>1.1.1.1.1.2.2.35.1</t>
  </si>
  <si>
    <t>Керамический гранит Kerama marazzi_ / Зеленый/ Калейдоскоп / 5111 / 200х200</t>
  </si>
  <si>
    <t>Kerama Marazzi Калейдоскоп 5111 зеленый, 200х200х6,9мм</t>
  </si>
  <si>
    <t>1.1.1.1.1.2.2.35.2</t>
  </si>
  <si>
    <t>1.1.1.1.1.2.2.35.3</t>
  </si>
  <si>
    <t>1.1.1.1.1.2.2.36</t>
  </si>
  <si>
    <t>2 этаж. СТ-6.5</t>
  </si>
  <si>
    <t>1.1.1.1.1.2.2.36.1</t>
  </si>
  <si>
    <t>Kerama Marazzi Калейдоскоп 5109 ярко-желтый, 200х200х6,9мм</t>
  </si>
  <si>
    <t>1.1.1.1.1.2.2.36.2</t>
  </si>
  <si>
    <t>1.1.1.1.1.2.2.36.3</t>
  </si>
  <si>
    <t>1.1.1.1.1.2.2.36.4</t>
  </si>
  <si>
    <t>1.1.1.1.1.2.2.37</t>
  </si>
  <si>
    <t>2 этаж. СТ-8</t>
  </si>
  <si>
    <t>1.1.1.1.1.2.2.37.1</t>
  </si>
  <si>
    <t xml:space="preserve"> Kerama Marazzi Белое солнце 8000, 300х200х6,9мм</t>
  </si>
  <si>
    <t>1.1.1.1.1.2.2.37.2</t>
  </si>
  <si>
    <t>1.1.1.1.1.2.2.37.3</t>
  </si>
  <si>
    <t>1.1.1.1.1.2.2.38</t>
  </si>
  <si>
    <t>2 этаж. СТ-11</t>
  </si>
  <si>
    <t>1.1.1.1.1.2.2.38.1</t>
  </si>
  <si>
    <t>Kerama Marazzi Мечты о Париже Про Матрикс 11259R серый, 300х600х9мм</t>
  </si>
  <si>
    <t>1.1.1.1.1.2.2.38.2</t>
  </si>
  <si>
    <t>Профиль для внешнего угла / серебро матовое / ПМЮ-02 / 2700*30</t>
  </si>
  <si>
    <t>ПР-1. Профиль Г-образный для внешнего угла ПО Г10, цвет 02, серебро матовое</t>
  </si>
  <si>
    <t>1.1.1.1.1.2.2.38.3</t>
  </si>
  <si>
    <t>ПР-2. Профиль Y-образный алюминиевый ПО-97-02, цвет: 02 серебро матовое</t>
  </si>
  <si>
    <t>1.1.1.1.1.2.2.38.4</t>
  </si>
  <si>
    <t>1.1.1.1.1.2.2.38.5</t>
  </si>
  <si>
    <t>Ceresit 07 серая</t>
  </si>
  <si>
    <t>1.1.1.1.1.2.2.39</t>
  </si>
  <si>
    <t>3 этаж. СТ-6.1</t>
  </si>
  <si>
    <t>1.1.1.1.1.2.2.39.1</t>
  </si>
  <si>
    <t xml:space="preserve">Kerama Marazzi Калейдоскоп белый 5009 200х200х6,9мм.
</t>
  </si>
  <si>
    <t>1.1.1.1.1.2.2.39.2</t>
  </si>
  <si>
    <t xml:space="preserve">ПР-1. Профиль Г-образный для внешнего угла ПО Г10, цвет 02, серебро матовое
</t>
  </si>
  <si>
    <t>1.1.1.1.1.2.2.39.3</t>
  </si>
  <si>
    <t>1.1.1.1.1.2.2.39.4</t>
  </si>
  <si>
    <t>1.1.1.1.1.2.2.39.5</t>
  </si>
  <si>
    <t>1.1.1.1.1.2.2.40</t>
  </si>
  <si>
    <t>3 этаж. СТ-6.2</t>
  </si>
  <si>
    <t>1.1.1.1.1.2.2.40.1</t>
  </si>
  <si>
    <t>1.1.1.1.1.2.2.40.2</t>
  </si>
  <si>
    <t>1.1.1.1.1.2.2.40.3</t>
  </si>
  <si>
    <t>1.1.1.1.1.2.2.40.4</t>
  </si>
  <si>
    <t>1.1.1.1.1.2.2.41</t>
  </si>
  <si>
    <t>3 этаж. СТ-6.3</t>
  </si>
  <si>
    <t>1.1.1.1.1.2.2.41.1</t>
  </si>
  <si>
    <t>1.1.1.1.1.2.2.41.2</t>
  </si>
  <si>
    <t>1.1.1.1.1.2.2.41.3</t>
  </si>
  <si>
    <t>1.1.1.1.1.2.2.41.4</t>
  </si>
  <si>
    <t>1.1.1.1.1.2.2.42</t>
  </si>
  <si>
    <t>3 этаж. СТ-6.4</t>
  </si>
  <si>
    <t>1.1.1.1.1.2.2.42.1</t>
  </si>
  <si>
    <t xml:space="preserve"> Kerama Marazzi Калейдоскоп 5111 зеленый, 200х200х6,9мм</t>
  </si>
  <si>
    <t>1.1.1.1.1.2.2.42.2</t>
  </si>
  <si>
    <t>1.1.1.1.1.2.2.42.3</t>
  </si>
  <si>
    <t>1.1.1.1.1.2.2.42.4</t>
  </si>
  <si>
    <t>1.1.1.1.1.2.2.43</t>
  </si>
  <si>
    <t>3 этаж. СТ-6.5</t>
  </si>
  <si>
    <t>1.1.1.1.1.2.2.43.1</t>
  </si>
  <si>
    <t>1.1.1.1.1.2.2.43.2</t>
  </si>
  <si>
    <t>1.1.1.1.1.2.2.43.3</t>
  </si>
  <si>
    <t>1.1.1.1.1.2.2.43.4</t>
  </si>
  <si>
    <t>1.1.1.1.1.2.2.44</t>
  </si>
  <si>
    <t>3 этаж. СТ-8</t>
  </si>
  <si>
    <t>1.1.1.1.1.2.2.44.1</t>
  </si>
  <si>
    <t>Kerama Marazzi Белое солнце 8000, 300х200х6,9мм</t>
  </si>
  <si>
    <t>1.1.1.1.1.2.2.44.2</t>
  </si>
  <si>
    <t>1.1.1.1.1.2.2.44.3</t>
  </si>
  <si>
    <t>1.1.1.1.1.2.2.44.4</t>
  </si>
  <si>
    <t>1.1.1.1.1.2.2.45</t>
  </si>
  <si>
    <t>3 этаж. СТ-11</t>
  </si>
  <si>
    <t>1.1.1.1.1.2.2.45.1</t>
  </si>
  <si>
    <t>1.1.1.1.1.2.2.45.2</t>
  </si>
  <si>
    <t>1.1.1.1.1.2.2.45.3</t>
  </si>
  <si>
    <t>1.1.1.1.1.2.2.45.4</t>
  </si>
  <si>
    <t>1.1.1.1.1.2.2.45.5</t>
  </si>
  <si>
    <t>Затирка Цезерит СE33_/16 графит</t>
  </si>
  <si>
    <t xml:space="preserve"> Ceresit 07 серая</t>
  </si>
  <si>
    <t>1.1.1.1.1.2.2.46</t>
  </si>
  <si>
    <t>6.3.1.5.2.2.9.2</t>
  </si>
  <si>
    <t>Облицовка поверхности стен СКБ с затиркой швов / керамической, керамогранитной плиткой от 0,2м2/шт</t>
  </si>
  <si>
    <t>2 этаж. СТ-14</t>
  </si>
  <si>
    <t>1.1.1.1.1.2.2.46.1</t>
  </si>
  <si>
    <t>Керамический гранит Kerama marazzi "Радуга"_ / оранжевый / SG610100R / 600*600*11мм</t>
  </si>
  <si>
    <t>Kerama Marazzi Про Матрикс, арт. DD602020R 600х600х9мм</t>
  </si>
  <si>
    <t>1.1.1.1.1.2.2.46.2</t>
  </si>
  <si>
    <t>1.1.1.1.1.2.2.46.3</t>
  </si>
  <si>
    <t>1.1.1.1.1.2.2.46.4</t>
  </si>
  <si>
    <t>1.1.1.1.1.2.2.47</t>
  </si>
  <si>
    <t>3 этаж. СТ-14</t>
  </si>
  <si>
    <t>1.1.1.1.1.2.2.47.1</t>
  </si>
  <si>
    <t>1.1.1.1.1.2.2.47.2</t>
  </si>
  <si>
    <t>1.1.1.1.1.2.2.47.3</t>
  </si>
  <si>
    <t>1.1.1.1.1.2.2.47.4</t>
  </si>
  <si>
    <t xml:space="preserve"> Kerama Marazzi Про Матрикс, арт. DD602020R 600х600х9мм</t>
  </si>
  <si>
    <t>1.1.1.1.1.2.3</t>
  </si>
  <si>
    <t>6.3.1.5.2.3</t>
  </si>
  <si>
    <t>Устройство подоконников, оконных откосов</t>
  </si>
  <si>
    <t>1.1.1.1.1.2.3.1</t>
  </si>
  <si>
    <t>6.3.1.5.2.3.1.2</t>
  </si>
  <si>
    <t>Штукатурка поверхностей откосов сухими смесями с предварительной огрунтовкой поверхности / толщ. свыше 20 мм</t>
  </si>
  <si>
    <t>1.1.1.1.1.2.3.1.1</t>
  </si>
  <si>
    <t>Штукатурка цементная, сухая, ТАНИЛИТ_/PC10</t>
  </si>
  <si>
    <t>1.1.1.1.1.2.3.1.2</t>
  </si>
  <si>
    <t>Профиль маячковый_/ПМ10</t>
  </si>
  <si>
    <t>1.1.1.1.1.2.3.1.3</t>
  </si>
  <si>
    <t>1.1.1.1.1.2.3.2</t>
  </si>
  <si>
    <t>6.3.1.5.2.3.2.1</t>
  </si>
  <si>
    <t>Выравнивание поверхностей откосов толщ. до 5 мм с предварительной огрунтовкой поверхности</t>
  </si>
  <si>
    <t>2 этаж. Шпаклевка оконных откосов базовая.</t>
  </si>
  <si>
    <t>1.1.1.1.1.2.3.2.1</t>
  </si>
  <si>
    <t>1.1.1.1.1.2.3.2.2</t>
  </si>
  <si>
    <t>Уголок малярный_/перфорированный/25*25*3000мм</t>
  </si>
  <si>
    <t>1.1.1.1.1.2.3.2.3</t>
  </si>
  <si>
    <t>1.1.1.1.1.2.3.3</t>
  </si>
  <si>
    <t>2 этаж. Шпаклевка оконных откосов финишная.</t>
  </si>
  <si>
    <t>1.1.1.1.1.2.3.3.1</t>
  </si>
  <si>
    <t>1.1.1.1.1.2.3.3.2</t>
  </si>
  <si>
    <t>1.1.1.1.1.2.3.3.3</t>
  </si>
  <si>
    <t>1.1.1.1.1.2.3.4</t>
  </si>
  <si>
    <t>3 этаж. Шпаклевка оконных откосов базовая.</t>
  </si>
  <si>
    <t>1.1.1.1.1.2.3.4.1</t>
  </si>
  <si>
    <t>1.1.1.1.1.2.3.4.2</t>
  </si>
  <si>
    <t>1.1.1.1.1.2.3.4.3</t>
  </si>
  <si>
    <t>1.1.1.1.1.2.3.5</t>
  </si>
  <si>
    <t>3 этаж. Шпаклевка оконных откосов финишная.</t>
  </si>
  <si>
    <t>1.1.1.1.1.2.3.5.1</t>
  </si>
  <si>
    <t>1.1.1.1.1.2.3.5.2</t>
  </si>
  <si>
    <t>1.1.1.1.1.2.3.6</t>
  </si>
  <si>
    <t>6.3.1.5.2.3.3.1</t>
  </si>
  <si>
    <t>Окраска поверхности откосов с предварительной огрунтовкой поверхности / в 2 слоя</t>
  </si>
  <si>
    <t>1.1.1.1.1.2.3.6.1</t>
  </si>
  <si>
    <t>Краска Tikkurila Проф Евро 7 / RAL 9003</t>
  </si>
  <si>
    <t>1.1.1.1.1.2.3.6.2</t>
  </si>
  <si>
    <t>1.1.1.1.1.2.3.7</t>
  </si>
  <si>
    <t>1.1.1.1.1.2.3.7.1</t>
  </si>
  <si>
    <t>1.1.1.1.1.2.3.7.2</t>
  </si>
  <si>
    <t>Краска для влажных помещений Стройтекс_/белая гл/мат</t>
  </si>
  <si>
    <t>1.1.1.1.1.2.3.8</t>
  </si>
  <si>
    <t>6.3.1.5.2.3.7.1</t>
  </si>
  <si>
    <t>Устройство откосов из ГКЛ на клеевом составе / в 1 слой</t>
  </si>
  <si>
    <t>1.1.1.1.1.2.3.8.1</t>
  </si>
  <si>
    <t>Шпаклевка д/заделки швов, ШОВСИЛК_/Т33</t>
  </si>
  <si>
    <t>1.1.1.1.1.2.3.8.2</t>
  </si>
  <si>
    <t>Дюбель гвоздь_/6*60</t>
  </si>
  <si>
    <t>1.1.1.1.1.2.3.8.3</t>
  </si>
  <si>
    <t>Гипсовые строительные плиты_ / влагостойкий / 12,5*1200*2500</t>
  </si>
  <si>
    <t>1.1.1.1.1.2.3.8.4</t>
  </si>
  <si>
    <t>Герметик_ / Универсальный, силиконовый</t>
  </si>
  <si>
    <t>1.1.1.1.1.2.3.9</t>
  </si>
  <si>
    <t>1.1.1.1.1.2.3.9.1</t>
  </si>
  <si>
    <t>1.1.1.1.1.2.3.9.2</t>
  </si>
  <si>
    <t>Угол пластиковый_/10*15*2,5м</t>
  </si>
  <si>
    <t>1.1.1.1.1.2.3.9.3</t>
  </si>
  <si>
    <t>1.1.1.1.1.2.3.9.4</t>
  </si>
  <si>
    <t>1.1.1.1.1.2.3.10</t>
  </si>
  <si>
    <t>6.3.1.5.2.3.9.1</t>
  </si>
  <si>
    <t>Зашивка приборов отопления / ГВЛВ / в 1 слой на каркасе</t>
  </si>
  <si>
    <t>3 этаж. ПО-4</t>
  </si>
  <si>
    <t>1.1.1.1.1.2.3.10.1</t>
  </si>
  <si>
    <t>Профиль_/стоечный/50*50*0,40/3м</t>
  </si>
  <si>
    <t>1.1.1.1.1.2.3.10.2</t>
  </si>
  <si>
    <t>Профиль_/направляющий/50*50*0,40/3м</t>
  </si>
  <si>
    <t>1.1.1.1.1.2.3.10.3</t>
  </si>
  <si>
    <t>Плита Кнауф Файерборд_ / 2500х1200х12.5 м</t>
  </si>
  <si>
    <t>1.1.1.1.1.2.3.11</t>
  </si>
  <si>
    <t>2 этаж. ПО-4</t>
  </si>
  <si>
    <t>1.1.1.1.1.2.3.11.1</t>
  </si>
  <si>
    <t>1.1.1.1.1.2.3.11.2</t>
  </si>
  <si>
    <t>1.1.1.1.1.2.3.11.3</t>
  </si>
  <si>
    <t>1.1.1.1.1.2.3.12</t>
  </si>
  <si>
    <t>6.3.1.5.2.3.9.2</t>
  </si>
  <si>
    <t>Зашивка приборов отопления / ГВЛВ / в 2 слоя на каркасе</t>
  </si>
  <si>
    <t>1.1.1.1.1.2.3.12._</t>
  </si>
  <si>
    <t>1.1.1.1.1.2.3.12.1</t>
  </si>
  <si>
    <t>1.1.1.1.1.2.3.12.1._</t>
  </si>
  <si>
    <t>1.1.1.1.1.2.3.12.2</t>
  </si>
  <si>
    <t>1.1.1.1.1.2.3.12.2._</t>
  </si>
  <si>
    <t>1.1.1.1.1.2.3.12.3</t>
  </si>
  <si>
    <t>Лист гипсоволокнистый ГВЛВ 12,5мм Г1</t>
  </si>
  <si>
    <t>1.1.1.1.1.2.3.12.3._</t>
  </si>
  <si>
    <t>1.1.1.1.1.2.3.13</t>
  </si>
  <si>
    <t>3 этаж. ЗШ-1</t>
  </si>
  <si>
    <t>1.1.1.1.1.2.3.13.1</t>
  </si>
  <si>
    <t>1.1.1.1.1.2.3.13.2</t>
  </si>
  <si>
    <t>1.1.1.1.1.2.3.13.3</t>
  </si>
  <si>
    <t>1.1.1.1.1.2.3.13.4</t>
  </si>
  <si>
    <t>1.1.1.1.1.2.3.14</t>
  </si>
  <si>
    <t>2 этаж. ЗШ-1,  ЗШ-4</t>
  </si>
  <si>
    <t>1.1.1.1.1.2.3.14.1</t>
  </si>
  <si>
    <t>1.1.1.1.1.2.3.14.2</t>
  </si>
  <si>
    <t>1.1.1.1.1.2.3.14.3</t>
  </si>
  <si>
    <t>1.1.1.1.1.2.3.14.4</t>
  </si>
  <si>
    <t>1.1.1.1.1.2.3.15</t>
  </si>
  <si>
    <t>2 этаж. ЗШ-2</t>
  </si>
  <si>
    <t>1.1.1.1.1.2.3.15.1</t>
  </si>
  <si>
    <t>Плита Кнауф Файерборд_ / 2500х1200х9.5 м</t>
  </si>
  <si>
    <t>1.1.1.1.1.2.3.15.2</t>
  </si>
  <si>
    <t>1.1.1.1.1.2.3.15.3</t>
  </si>
  <si>
    <t>1.1.1.1.1.2.3.15.4</t>
  </si>
  <si>
    <t>1.1.1.1.1.2.3.16</t>
  </si>
  <si>
    <t>2 этаж. ПО-2</t>
  </si>
  <si>
    <t>1.1.1.1.1.2.3.16.1</t>
  </si>
  <si>
    <t>1.1.1.1.1.2.3.16.2</t>
  </si>
  <si>
    <t>1.1.1.1.1.2.3.16.3</t>
  </si>
  <si>
    <t>1.1.1.1.1.2.3.17</t>
  </si>
  <si>
    <t>3 этаж. ПО-2</t>
  </si>
  <si>
    <t>1.1.1.1.1.2.3.17.1</t>
  </si>
  <si>
    <t>1.1.1.1.1.2.3.17.2</t>
  </si>
  <si>
    <t>1.1.1.1.1.2.3.17.3</t>
  </si>
  <si>
    <t>1.1.1.1.1.2.3.17.4</t>
  </si>
  <si>
    <t>1.1.1.1.1.2.4</t>
  </si>
  <si>
    <t>6.3.1.5.2.4</t>
  </si>
  <si>
    <t>Монтаж люков, панелей, решеток</t>
  </si>
  <si>
    <t>1.1.1.1.1.2.4.1</t>
  </si>
  <si>
    <t>6.3.1.5.2.4.2.1</t>
  </si>
  <si>
    <t>Установка люков противопожарных / в потолке</t>
  </si>
  <si>
    <t>Поставка и монтаж люков "Небоскреб" от ГК Хаммер</t>
  </si>
  <si>
    <t>1.1.1.1.1.2.4.1.1</t>
  </si>
  <si>
    <t>Люк ревизионный противопожарный Металл 850х2100мм EI60, открывание Правое</t>
  </si>
  <si>
    <t>Люк "Небоскреб" для выхода на кровлю противопожарный (EI60) Небоскреб (2450х1250, петли по стороне 2450, вн.проем 2200x1000, поручень справа), лебедка</t>
  </si>
  <si>
    <t>1.1.1.1.1.2.4.2</t>
  </si>
  <si>
    <t>6.3.1.5.2.4.2.2</t>
  </si>
  <si>
    <t>Установка люков противопожарных / в стене</t>
  </si>
  <si>
    <t>Поставка и монтаж люков "Техно" от ГК Хаммер</t>
  </si>
  <si>
    <t>1.1.1.1.1.2.4.2.1</t>
  </si>
  <si>
    <t>Люк ревизионный противопожарный Металл 680х1900мм EI60, открывание Правое</t>
  </si>
  <si>
    <t>Люк "Техно" под покраску противопожарный EIS60 однопольный,  (проем 700х1800h (габаритные размеры 680х1780), запирание №4 утопленная ручка Хефеле, шариковые защелки,  замок с трехгранным ключом.</t>
  </si>
  <si>
    <t>1.1.1.1.1.3</t>
  </si>
  <si>
    <t>6.3.1.5.3</t>
  </si>
  <si>
    <t>Потолки</t>
  </si>
  <si>
    <t>1.1.1.1.1.3.1</t>
  </si>
  <si>
    <t>6.3.1.5.3.1</t>
  </si>
  <si>
    <t>Черновые работы по поверхности потолков</t>
  </si>
  <si>
    <t>1.1.1.1.1.3.1.1</t>
  </si>
  <si>
    <t>6.3.1.5.3.1.1.1</t>
  </si>
  <si>
    <t>Выравнивание потолка с предварительной огрунтовкой поверхности / по ЖБ поверхности / толщ. 5 мм</t>
  </si>
  <si>
    <t>1.1.1.1.1.3.1.1._</t>
  </si>
  <si>
    <t>1.1.1.1.1.3.1.1.1</t>
  </si>
  <si>
    <t>Шпатлевка гипсовая_ / белая / Унифицированная по ПИК-СТАНДАРТ, 30кг (BIM)</t>
  </si>
  <si>
    <t>Шпаклевка гипсовая Старатели базовая белая 20 кг
Шпаклевка гипсовая Старатели финишная 20 кг</t>
  </si>
  <si>
    <t>1.1.1.1.1.3.1.1.1._</t>
  </si>
  <si>
    <t>1.1.1.1.1.3.1.1.2</t>
  </si>
  <si>
    <t>1.1.1.1.1.3.1.1.2._</t>
  </si>
  <si>
    <t>1.1.1.1.1.3.1.2</t>
  </si>
  <si>
    <t>6.3.1.5.3.1.6.1</t>
  </si>
  <si>
    <t>Подготовка поверхности СКБ / потолка / ЖБ / 5 мм</t>
  </si>
  <si>
    <t>3 этаж. Шпаклевка потолков базовая (тип ПТ-1.4, ПТ-1.8, ПТ-1.1, ПТ-2.3, ПТ-2.4, ПТ-2.6, ПТ-2.8, ПТ-1.2, ПТ-2.1, ПТ-2.5, ПТ-2.7, ПТ-2.8, ПТ-2.10, ПТ-2.16, ПТ-4.1, ПТ-4.3, ПТ-5.1, ПТ-5.2, ПТ-8.1, ПТ-8.2)</t>
  </si>
  <si>
    <t>1.1.1.1.1.3.1.2.1</t>
  </si>
  <si>
    <t>1.1.1.1.1.3.1.2.2</t>
  </si>
  <si>
    <t>1.1.1.1.1.3.1.3</t>
  </si>
  <si>
    <t>2 этаж. Шпаклевка потолков базовая (тип ПТ-1.4, ПТ-1.8, ПТ-1.1, ПТ-2.3, ПТ-2.4, ПТ-2.6, ПТ-2.8, ПТ-1.2, ПТ-2.1, ПТ-2.5, ПТ-2.7, ПТ-2.8, ПТ-2.10, ПТ-2.16, ПТ-4.1, ПТ-4.3, ПТ-5.1, ПТ-5.2, ПТ-8.1, ПТ-8.2)</t>
  </si>
  <si>
    <t>1.1.1.1.1.3.1.3.1</t>
  </si>
  <si>
    <t>1.1.1.1.1.3.1.3.2</t>
  </si>
  <si>
    <t>1.1.1.1.1.3.1.4</t>
  </si>
  <si>
    <t>6.3.1.5.3.1.6.6</t>
  </si>
  <si>
    <t>Подготовка поверхности СКБ / потолка / по штукатурке / 2мм</t>
  </si>
  <si>
    <t>2 этаж. Шпаклевка потолков финишная под покраску (тип ПТ-1.4, ПТ-1.8, ПТ-1.1, ПТ-2.3, ПТ-2.4, ПТ-2.6, ПТ-2.8, ПТ-1.2, ПТ-2.1, ПТ-2.5, ПТ-2.7, ПТ-2.8, ПТ-2.10, ПТ-2.16, ПТ-4.1, ПТ-4.3, ПТ-5.1, ПТ-5.2, ПТ-8.1, ПТ-8.2)</t>
  </si>
  <si>
    <t>1.1.1.1.1.3.1.4.1</t>
  </si>
  <si>
    <t>1.1.1.1.1.3.1.4.2</t>
  </si>
  <si>
    <t>1.1.1.1.1.3.1.5</t>
  </si>
  <si>
    <t>3 этаж. Шпаклевка потолков финишная под покраску (тип ПТ-1.4, ПТ-1.8, ПТ-1.1, ПТ-2.3, ПТ-2.4, ПТ-2.6, ПТ-2.8, ПТ-1.2, ПТ-2.1, ПТ-2.5, ПТ-2.7, ПТ-2.8, ПТ-2.10, ПТ-2.16, ПТ-4.1, ПТ-4.3, ПТ-5.1, ПТ-5.2, ПТ-8.1, ПТ-8.2)</t>
  </si>
  <si>
    <t>1.1.1.1.1.3.1.5.1</t>
  </si>
  <si>
    <t>1.1.1.1.1.3.1.5.2</t>
  </si>
  <si>
    <t>1.1.1.1.1.3.2</t>
  </si>
  <si>
    <t>6.3.1.5.3.2</t>
  </si>
  <si>
    <t>Чистовые работы по поверхности потолков</t>
  </si>
  <si>
    <t>1.1.1.1.1.3.2.1</t>
  </si>
  <si>
    <t>6.3.1.5.3.2.1.1</t>
  </si>
  <si>
    <t>Окраска поверхностей потолков с предварительной огрунтовкой поверхностей / в 2 слоя</t>
  </si>
  <si>
    <t>1.1.1.1.1.3.2.1._</t>
  </si>
  <si>
    <t>1.1.1.1.1.3.2.1.1</t>
  </si>
  <si>
    <t>Окраска матовой водно-дисперсионной краской для высококачественной отделки Antega Строитель (моющаяся) цвет серый шелк RAL 7044, КМ1</t>
  </si>
  <si>
    <t>1.1.1.1.1.3.2.1.1._</t>
  </si>
  <si>
    <t>1.1.1.1.1.3.2.1.2</t>
  </si>
  <si>
    <t>1.1.1.1.1.3.2.1.2._</t>
  </si>
  <si>
    <t>1.1.1.1.1.3.2.2</t>
  </si>
  <si>
    <t>1.1.1.1.1.3.2.2._</t>
  </si>
  <si>
    <t>1.1.1.1.1.3.2.2.1</t>
  </si>
  <si>
    <t>1.1.1.1.1.3.2.2.1._</t>
  </si>
  <si>
    <t>1.1.1.1.1.3.2.2.2</t>
  </si>
  <si>
    <t>Краска негорючая моющаяся Protect Decor_ / RAL 9003</t>
  </si>
  <si>
    <t>Краска огнестойкая Antega Строитель НГ, цвет - белый RAL 9003, КМ0</t>
  </si>
  <si>
    <t>1.1.1.1.1.3.2.2.2._</t>
  </si>
  <si>
    <t>1.1.1.1.1.3.2.3</t>
  </si>
  <si>
    <t>1.1.1.1.1.3.2.3._</t>
  </si>
  <si>
    <t>1.1.1.1.1.3.2.3.1</t>
  </si>
  <si>
    <t>1.1.1.1.1.3.2.3.1._</t>
  </si>
  <si>
    <t>1.1.1.1.1.3.2.3.2</t>
  </si>
  <si>
    <t>Краска огнестойкая Antega Строитель НГ, цвет - темно-серый RAL 7016, КМ0</t>
  </si>
  <si>
    <t>1.1.1.1.1.3.2.3.2._</t>
  </si>
  <si>
    <t>1.1.1.1.1.3.2.4</t>
  </si>
  <si>
    <t>1.1.1.1.1.3.2.4._</t>
  </si>
  <si>
    <t>1.1.1.1.1.3.2.4.1</t>
  </si>
  <si>
    <t>1.1.1.1.1.3.2.4.1._</t>
  </si>
  <si>
    <t>1.1.1.1.1.3.2.4.2</t>
  </si>
  <si>
    <t>Краска огнестойкая Antega Строитель НГ, цвет серый шелк RAL 7044, КМ0</t>
  </si>
  <si>
    <t>1.1.1.1.1.3.2.4.2._</t>
  </si>
  <si>
    <t>1.1.1.1.1.3.2.5</t>
  </si>
  <si>
    <t>1.1.1.1.1.3.2.5._</t>
  </si>
  <si>
    <t>1.1.1.1.1.3.2.5.1</t>
  </si>
  <si>
    <t>1.1.1.1.1.3.2.5.1._</t>
  </si>
  <si>
    <t>1.1.1.1.1.3.2.5.2</t>
  </si>
  <si>
    <t>Краска огнестойкая Antega Строитель НГ, цвет голубой NCS S 2030-R80B, КМ0</t>
  </si>
  <si>
    <t>1.1.1.1.1.3.2.5.2._</t>
  </si>
  <si>
    <t>1.1.1.1.1.3.2.6</t>
  </si>
  <si>
    <t>1.1.1.1.1.3.2.6._</t>
  </si>
  <si>
    <t>1.1.1.1.1.3.2.6.1</t>
  </si>
  <si>
    <t>1.1.1.1.1.3.2.6.1._</t>
  </si>
  <si>
    <t>1.1.1.1.1.3.2.6.2</t>
  </si>
  <si>
    <t>Краска огнестойкая Antega Строитель НГ, цвет зеленый RAL NCS S 2060-G40Y, КМ0</t>
  </si>
  <si>
    <t>1.1.1.1.1.3.2.6.2._</t>
  </si>
  <si>
    <t>1.1.1.1.1.3.2.7</t>
  </si>
  <si>
    <t>1.1.1.1.1.3.2.7._</t>
  </si>
  <si>
    <t>1.1.1.1.1.3.2.7.1</t>
  </si>
  <si>
    <t>1.1.1.1.1.3.2.7.1._</t>
  </si>
  <si>
    <t>1.1.1.1.1.3.2.7.2</t>
  </si>
  <si>
    <t>Краска огнестойкая Antega Строитель НГ, цвет желтый NCS S 1070-Y20R, КМ0</t>
  </si>
  <si>
    <t>1.1.1.1.1.3.2.7.2._</t>
  </si>
  <si>
    <t>1.1.1.1.1.3.2.8</t>
  </si>
  <si>
    <t>1.1.1.1.1.3.2.8._</t>
  </si>
  <si>
    <t>1.1.1.1.1.3.2.8.1</t>
  </si>
  <si>
    <t>1.1.1.1.1.3.2.8.1._</t>
  </si>
  <si>
    <t>1.1.1.1.1.3.2.8.2</t>
  </si>
  <si>
    <t>Краска огнестойкая Antega Строитель НГ, цвет оранжевый NCS S 2060-Y30R, КМ0</t>
  </si>
  <si>
    <t>1.1.1.1.1.3.2.8.2._</t>
  </si>
  <si>
    <t>1.1.1.1.1.3.2.9</t>
  </si>
  <si>
    <t>6.3.1.5.3.2.3.2</t>
  </si>
  <si>
    <t>Лакокрасочные работы СКБ / окраска потолков / в 2 слоя</t>
  </si>
  <si>
    <t>2 этаж. ПТ-1.4</t>
  </si>
  <si>
    <t>1.1.1.1.1.3.2.9.1</t>
  </si>
  <si>
    <t>Краска водно-дисперсионная / КМ1 7015</t>
  </si>
  <si>
    <t>Матовая водно-дисперсионная краска, ANTEGA СТРОИТЕЛЬ, NCS S 5030-R90B, 2 класс истирания, КМ1</t>
  </si>
  <si>
    <t>1.1.1.1.1.3.2.9.2</t>
  </si>
  <si>
    <t>1.1.1.1.1.3.2.10</t>
  </si>
  <si>
    <t>2 этаж. ПТ-1.8</t>
  </si>
  <si>
    <t>1.1.1.1.1.3.2.10.1</t>
  </si>
  <si>
    <t>1.1.1.1.1.3.2.10.2</t>
  </si>
  <si>
    <t>Матовая водно-дисперсионная краска, ANTEGA СТРОИТЕЛЬ, NCS S 2060-G40Y, 2 класс истирания, КМ1</t>
  </si>
  <si>
    <t>1.1.1.1.1.3.2.11</t>
  </si>
  <si>
    <t>2 этаж. ПТ-1.1</t>
  </si>
  <si>
    <t>1.1.1.1.1.3.2.11.1</t>
  </si>
  <si>
    <t>1.1.1.1.1.3.2.11.2</t>
  </si>
  <si>
    <t>Матовая водно-дисперсионная краска, ANTEGA СТРОИТЕЛЬ, RAL 9003, белый, 2 класс истирания, КМ1</t>
  </si>
  <si>
    <t>1.1.1.1.1.3.2.12</t>
  </si>
  <si>
    <t>2 этаж. ПТ-2.3</t>
  </si>
  <si>
    <t>1.1.1.1.1.3.2.12.1</t>
  </si>
  <si>
    <t>1.1.1.1.1.3.2.12.2</t>
  </si>
  <si>
    <t>Краска для потолка Стройтекс КМ0_ / RAL 7037</t>
  </si>
  <si>
    <t>Краска негорючая ANTEGA СТРОИТЕЛЬ, RAL 7044, 1 класс истирания, КМ0</t>
  </si>
  <si>
    <t>1.1.1.1.1.3.2.13</t>
  </si>
  <si>
    <t>2 этаж. ПТ-2.4</t>
  </si>
  <si>
    <t>1.1.1.1.1.3.2.13.1</t>
  </si>
  <si>
    <t>1.1.1.1.1.3.2.13.2</t>
  </si>
  <si>
    <t xml:space="preserve">Краска негорючая ANTEGA СТРОИТЕЛЬ НГ, NCS S 1070-Y30R, 1 класс истирания, КМ0 </t>
  </si>
  <si>
    <t>1.1.1.1.1.3.2.14</t>
  </si>
  <si>
    <t>2 этаж. ПТ-2.6</t>
  </si>
  <si>
    <t>1.1.1.1.1.3.2.14.1</t>
  </si>
  <si>
    <t>1.1.1.1.1.3.2.14.2</t>
  </si>
  <si>
    <t>Краска негорючая ANTEGA СТРОИТЕЛЬ, NCS S 5020-R70B, 1 класс истирания, КМ0</t>
  </si>
  <si>
    <t>1.1.1.1.1.3.2.15</t>
  </si>
  <si>
    <t>2 этаж. ПТ-2.8</t>
  </si>
  <si>
    <t>1.1.1.1.1.3.2.15.1</t>
  </si>
  <si>
    <t>1.1.1.1.1.3.2.15.2</t>
  </si>
  <si>
    <t>Краска негорючая ANTEGA СТРОИТЕЛЬ НГ, NCS S 4020-R90B, 1 класс истирания, КМ0</t>
  </si>
  <si>
    <t>1.1.1.1.1.3.2.16</t>
  </si>
  <si>
    <t>2 этаж. ПТ-1.2</t>
  </si>
  <si>
    <t>1.1.1.1.1.3.2.16.1</t>
  </si>
  <si>
    <t>1.1.1.1.1.3.2.16.2</t>
  </si>
  <si>
    <t>Матовая водно-дисперсионная краска, ANTEGA СТРОИТЕЛЬ, RAL 7044,
серый-шелк, 2 класс истирания, КМ1</t>
  </si>
  <si>
    <t>1.1.1.1.1.3.2.17</t>
  </si>
  <si>
    <t>2 этаж. ПТ-2.1</t>
  </si>
  <si>
    <t>1.1.1.1.1.3.2.17.1</t>
  </si>
  <si>
    <t>1.1.1.1.1.3.2.17.2</t>
  </si>
  <si>
    <t>Краска негорючая ANTEGA СТРОИТЕЛЬ НГ, RAL 9003, 1 класс истирания, КМ0</t>
  </si>
  <si>
    <t>1.1.1.1.1.3.2.18</t>
  </si>
  <si>
    <t>2 этаж. ПТ-2.5</t>
  </si>
  <si>
    <t>1.1.1.1.1.3.2.18.1</t>
  </si>
  <si>
    <t>Грунтовка _ /  универсальная глубокого проникновения</t>
  </si>
  <si>
    <t>1.1.1.1.1.3.2.18.2</t>
  </si>
  <si>
    <t>Краска негорючая ANTEGA СТРОИТЕЛЬ НГ, NCS S 2030-R80B, 1 класс
истирания, КМ0</t>
  </si>
  <si>
    <t>1.1.1.1.1.3.2.19</t>
  </si>
  <si>
    <t>2 этаж. ПТ-2.7</t>
  </si>
  <si>
    <t>1.1.1.1.1.3.2.19.1</t>
  </si>
  <si>
    <t>1.1.1.1.1.3.2.19.2</t>
  </si>
  <si>
    <t>Краска негорючая ANTEGA СТРОИТЕЛЬ, NCS S 5030-R90B, 1 класс истирания, КМ0</t>
  </si>
  <si>
    <t>1.1.1.1.1.3.2.20</t>
  </si>
  <si>
    <t>1.1.1.1.1.3.2.20.1</t>
  </si>
  <si>
    <t>1.1.1.1.1.3.2.20.2</t>
  </si>
  <si>
    <t xml:space="preserve">Краска негорючая ANTEGA СТРОИТЕЛЬ НГ, NCS S 2060-G40Y, 1 класс истирания, КМ0
</t>
  </si>
  <si>
    <t>1.1.1.1.1.3.2.21</t>
  </si>
  <si>
    <t>2 этаж. ПТ-2.10</t>
  </si>
  <si>
    <t>1.1.1.1.1.3.2.21.1</t>
  </si>
  <si>
    <t>1.1.1.1.1.3.2.21.2</t>
  </si>
  <si>
    <t>Краска негорючая ANTEGA СТРОИТЕЛЬ, NCS S 3040-R20B, 1 класс истирания, КМ0</t>
  </si>
  <si>
    <t>1.1.1.1.1.3.2.22</t>
  </si>
  <si>
    <t>2 этаж. ПТ-2.16</t>
  </si>
  <si>
    <t>1.1.1.1.1.3.2.22.1</t>
  </si>
  <si>
    <t>1.1.1.1.1.3.2.22.2</t>
  </si>
  <si>
    <t>Матовая моющаяся влагостойкая водно-дисперсионная силикатная краска НГ, Ral 7016, 1 класс истирания, КМ0</t>
  </si>
  <si>
    <t>1.1.1.1.1.3.2.23</t>
  </si>
  <si>
    <t>2 этаж. ПТ-4.1</t>
  </si>
  <si>
    <t>1.1.1.1.1.3.2.23.1</t>
  </si>
  <si>
    <t>1.1.1.1.1.3.2.23.2</t>
  </si>
  <si>
    <t>Матовая водно-дисперсионная краска ANTEGA СТРОИТЕЛЬ , RAL 9003, КМ1</t>
  </si>
  <si>
    <t>1.1.1.1.1.3.2.24</t>
  </si>
  <si>
    <t>2 этаж. ПТ-4.3</t>
  </si>
  <si>
    <t>1.1.1.1.1.3.2.24.1</t>
  </si>
  <si>
    <t>1.1.1.1.1.3.2.24.2</t>
  </si>
  <si>
    <t>Матовая водно-дисперсионная краска ANTEGA СТРОИТЕЛЬ , RAL 7016, КМ1</t>
  </si>
  <si>
    <t>1.1.1.1.1.3.2.25</t>
  </si>
  <si>
    <t>2 этаж. ПТ-5.1</t>
  </si>
  <si>
    <t>1.1.1.1.1.3.2.25.1</t>
  </si>
  <si>
    <t>1.1.1.1.1.3.2.25.2</t>
  </si>
  <si>
    <t>краска негорючая ANTEGA СТРОИТЕЛЬ, RAL 9003, 1 класс
истирания, КМ0</t>
  </si>
  <si>
    <t>1.1.1.1.1.3.2.26</t>
  </si>
  <si>
    <t>2 этаж. ПТ-5.2</t>
  </si>
  <si>
    <t>1.1.1.1.1.3.2.26.1</t>
  </si>
  <si>
    <t>1.1.1.1.1.3.2.26.2</t>
  </si>
  <si>
    <t>Краска огнестойкая ANTEGA СТРОИТЕЛЬ НГ, RAL 7016, КМ0</t>
  </si>
  <si>
    <t>1.1.1.1.1.3.2.27</t>
  </si>
  <si>
    <t>2 этаж. ПТ-8.1</t>
  </si>
  <si>
    <t>1.1.1.1.1.3.2.27.1</t>
  </si>
  <si>
    <t>1.1.1.1.1.3.2.27.2</t>
  </si>
  <si>
    <t xml:space="preserve">Огнестойкая краска ANTEGA СТРОИТЕЛЬ, RAL 9003, КМ0
</t>
  </si>
  <si>
    <t>1.1.1.1.1.3.2.28</t>
  </si>
  <si>
    <t>2 этаж. ПТ-8.2</t>
  </si>
  <si>
    <t>1.1.1.1.1.3.2.28.1</t>
  </si>
  <si>
    <t>1.1.1.1.1.3.2.28.2</t>
  </si>
  <si>
    <t>Огнестойкая краска ANTEGA СТРОИТЕЛЬ, RAL 7016, КМ0</t>
  </si>
  <si>
    <t>1.1.1.1.1.3.2.29</t>
  </si>
  <si>
    <t>3 этаж. ПТ-1.1</t>
  </si>
  <si>
    <t>1.1.1.1.1.3.2.29.1</t>
  </si>
  <si>
    <t>1.1.1.1.1.3.2.29.2</t>
  </si>
  <si>
    <t>1.1.1.1.1.3.2.30</t>
  </si>
  <si>
    <t>3 этаж. ПТ-1.2</t>
  </si>
  <si>
    <t>1.1.1.1.1.3.2.30.1</t>
  </si>
  <si>
    <t>1.1.1.1.1.3.2.30.2</t>
  </si>
  <si>
    <t>1.1.1.1.1.3.2.31</t>
  </si>
  <si>
    <t>3 этаж. ПТ-1.4</t>
  </si>
  <si>
    <t>1.1.1.1.1.3.2.31.1</t>
  </si>
  <si>
    <t>1.1.1.1.1.3.2.31.2</t>
  </si>
  <si>
    <t>1.1.1.1.1.3.2.32</t>
  </si>
  <si>
    <t>3 этаж. ПТ-1.8</t>
  </si>
  <si>
    <t>1.1.1.1.1.3.2.32.1</t>
  </si>
  <si>
    <t>1.1.1.1.1.3.2.32.2</t>
  </si>
  <si>
    <t>1.1.1.1.1.3.2.33</t>
  </si>
  <si>
    <t>3 этаж. ПТ-2.1</t>
  </si>
  <si>
    <t>1.1.1.1.1.3.2.33.1</t>
  </si>
  <si>
    <t>1.1.1.1.1.3.2.33.2</t>
  </si>
  <si>
    <t>1.1.1.1.1.3.2.34</t>
  </si>
  <si>
    <t>3 этаж. ПТ-2.3</t>
  </si>
  <si>
    <t>1.1.1.1.1.3.2.34.1</t>
  </si>
  <si>
    <t>1.1.1.1.1.3.2.34.2</t>
  </si>
  <si>
    <t>1.1.1.1.1.3.2.35</t>
  </si>
  <si>
    <t>3 этаж. ПТ-2.4</t>
  </si>
  <si>
    <t>1.1.1.1.1.3.2.35.1</t>
  </si>
  <si>
    <t>1.1.1.1.1.3.2.35.2</t>
  </si>
  <si>
    <t>Краска негорючая ANTEGA СТРОИТЕЛЬ НГ, NCS S 1070-Y30R, 1 класс
истирания, КМ0</t>
  </si>
  <si>
    <t>1.1.1.1.1.3.2.36</t>
  </si>
  <si>
    <t>3 этаж. ПТ-2.5</t>
  </si>
  <si>
    <t>1.1.1.1.1.3.2.36.1</t>
  </si>
  <si>
    <t>1.1.1.1.1.3.2.36.2</t>
  </si>
  <si>
    <t>Краска негорючая ANTEGA СТРОИТЕЛЬ НГ, NCS S 2030-R80B, 1 класс истирания, КМ0</t>
  </si>
  <si>
    <t>1.1.1.1.1.3.2.37</t>
  </si>
  <si>
    <t>3 этаж. ПТ-2.6</t>
  </si>
  <si>
    <t>1.1.1.1.1.3.2.37.1</t>
  </si>
  <si>
    <t>1.1.1.1.1.3.2.37.2</t>
  </si>
  <si>
    <t>1.1.1.1.1.3.2.38</t>
  </si>
  <si>
    <t>3 этаж. ПТ-2.7</t>
  </si>
  <si>
    <t>1.1.1.1.1.3.2.38.1</t>
  </si>
  <si>
    <t>1.1.1.1.1.3.2.38.2</t>
  </si>
  <si>
    <t>Краска моющаяся влагостойкая  / RAL 9004 матовый / БЭСТ-КОЛОР</t>
  </si>
  <si>
    <t>1.1.1.1.1.3.2.39</t>
  </si>
  <si>
    <t>3 этаж. ПТ-2.8</t>
  </si>
  <si>
    <t>1.1.1.1.1.3.2.39.1</t>
  </si>
  <si>
    <t>1.1.1.1.1.3.2.39.2</t>
  </si>
  <si>
    <t>Краска негорючая ANTEGA СТРОИТЕЛЬ НГ, NCS S 2060-G40Y, 1 класс истирания, КМ0</t>
  </si>
  <si>
    <t>1.1.1.1.1.3.2.40</t>
  </si>
  <si>
    <t>3 этаж. ПТ-2.10</t>
  </si>
  <si>
    <t>1.1.1.1.1.3.2.40.1</t>
  </si>
  <si>
    <t>1.1.1.1.1.3.2.40.2</t>
  </si>
  <si>
    <t>1.1.1.1.1.3.2.41</t>
  </si>
  <si>
    <t>3 этаж. ПТ-2.16</t>
  </si>
  <si>
    <t>1.1.1.1.1.3.2.41.1</t>
  </si>
  <si>
    <t>1.1.1.1.1.3.2.41.2</t>
  </si>
  <si>
    <t>1.1.1.1.1.3.2.42</t>
  </si>
  <si>
    <t>3 этаж. ПТ-4.1</t>
  </si>
  <si>
    <t>1.1.1.1.1.3.2.42.1</t>
  </si>
  <si>
    <t>1.1.1.1.1.3.2.42.2</t>
  </si>
  <si>
    <t>1.1.1.1.1.3.2.43</t>
  </si>
  <si>
    <t>3 этаж. ПТ-4.3</t>
  </si>
  <si>
    <t>1.1.1.1.1.3.2.43.1</t>
  </si>
  <si>
    <t>1.1.1.1.1.3.2.43.2</t>
  </si>
  <si>
    <t>Матовая моющаяся влагостойкая водно-дисперсионная краска, RAL 7016, КМ1</t>
  </si>
  <si>
    <t>1.1.1.1.1.3.2.44</t>
  </si>
  <si>
    <t>3 этаж. ПТ-5.1</t>
  </si>
  <si>
    <t>1.1.1.1.1.3.2.44.1</t>
  </si>
  <si>
    <t>1.1.1.1.1.3.2.44.2</t>
  </si>
  <si>
    <t>Краска негорючая ANTEGA СТРОИТЕЛЬ, RAL 9003, 1 класс истирания, КМ0</t>
  </si>
  <si>
    <t>1.1.1.1.1.3.2.45</t>
  </si>
  <si>
    <t>3 этаж. ПТ-5.2</t>
  </si>
  <si>
    <t>1.1.1.1.1.3.2.45.1</t>
  </si>
  <si>
    <t>1.1.1.1.1.3.2.45.2</t>
  </si>
  <si>
    <t>1.1.1.1.1.3.2.46</t>
  </si>
  <si>
    <t>3 этаж. ПТ-8.1</t>
  </si>
  <si>
    <t>1.1.1.1.1.3.2.46.1</t>
  </si>
  <si>
    <t>1.1.1.1.1.3.2.46.2</t>
  </si>
  <si>
    <t>Огнестойкая краска ANTEGA СТРОИТЕЛЬ, RAL 9003, КМ0</t>
  </si>
  <si>
    <t>1.1.1.1.1.3.2.47</t>
  </si>
  <si>
    <t>3 этаж. ПТ-8.2</t>
  </si>
  <si>
    <t>1.1.1.1.1.3.2.47.1</t>
  </si>
  <si>
    <t>1.1.1.1.1.3.2.47.2</t>
  </si>
  <si>
    <t>1.1.1.1.1.4</t>
  </si>
  <si>
    <t>6.3.1.5.4</t>
  </si>
  <si>
    <t>Монтаж потолочных конструкций</t>
  </si>
  <si>
    <t>1.1.1.1.1.4.1</t>
  </si>
  <si>
    <t>6.3.1.5.4.1.2</t>
  </si>
  <si>
    <t>Монтаж подвесного потолка / типа Армстронг, Грильято</t>
  </si>
  <si>
    <t>3 этаж. ПТ-3</t>
  </si>
  <si>
    <t>1.1.1.1.1.4.1.1</t>
  </si>
  <si>
    <t>Подвесной потолок из ПВС со скрытой подвесной системой / Hook-On Албес TM Perfaten / 1200х600 мм</t>
  </si>
  <si>
    <t>Негорючая потолочная плита Uniproc,
арт. Унипрок НГ, Тип ПП-6АГ; кромка прямая. Размер плиты: 1200х600х6мм, цвет RAL 9016, КМ0</t>
  </si>
  <si>
    <t>1.1.1.1.1.4.2</t>
  </si>
  <si>
    <t>3 этаж. ПТ-6</t>
  </si>
  <si>
    <t>1.1.1.1.1.4.2.1</t>
  </si>
  <si>
    <t>Подвесные акустические панели / Белый Frost / Ecophon Solo Baffle  / 1200х600х40 мм</t>
  </si>
  <si>
    <t>Подвесной потолок из минирального волокна Акустик Групп "Ecophon Focus", кромка А-15, 1200х600мм, белый, КМ1</t>
  </si>
  <si>
    <t>1.1.1.1.1.4.3</t>
  </si>
  <si>
    <t>3 этаж. ПТ-7</t>
  </si>
  <si>
    <t>1.1.1.1.1.4.3.1</t>
  </si>
  <si>
    <t>Подвесной потолок Армстронг / Белый</t>
  </si>
  <si>
    <t>Подвесной кассетный металлический потолок Albes "TEGULAR", 600х600мм, кассета АР600А6/90*Т-24, RAL 9003, белый, КМ0</t>
  </si>
  <si>
    <t>1.1.1.1.1.4.4</t>
  </si>
  <si>
    <t>1.1.1.1.1.4.4.1</t>
  </si>
  <si>
    <t>Подвесной потолок ГРИЛЬЯТО_ / белый / 100х100х40мм</t>
  </si>
  <si>
    <t>1.1.1.1.1.4.5</t>
  </si>
  <si>
    <t>1.1.1.1.1.4.5.1</t>
  </si>
  <si>
    <t>Подвесной потолок ГРИЛЬЯТО_/черный/100*100*40мм</t>
  </si>
  <si>
    <t>1.1.1.1.1.4.6</t>
  </si>
  <si>
    <t>2 этаж. ПТ-3</t>
  </si>
  <si>
    <t>1.1.1.1.1.4.6.1</t>
  </si>
  <si>
    <t>Негорючая потолочная плита Uniproc, арт. Унипрок НГ, Тип ПП-6АГ; кромка прямая. Размер плиты: 1200х600х6мм, цвет RAL 9016, КМ0</t>
  </si>
  <si>
    <t>1.1.1.1.1.4.7</t>
  </si>
  <si>
    <t>2 этаж. ПТ-6</t>
  </si>
  <si>
    <t>1.1.1.1.1.4.7.1</t>
  </si>
  <si>
    <t>1.1.1.1.1.4.8</t>
  </si>
  <si>
    <t>2 этаж. ПТ-7</t>
  </si>
  <si>
    <t>1.1.1.1.1.4.8.1</t>
  </si>
  <si>
    <t>1.1.1.1.1.4.9</t>
  </si>
  <si>
    <t>1.1.1.1.1.4.9.1</t>
  </si>
  <si>
    <t>1.1.1.1.1.4.10</t>
  </si>
  <si>
    <t>1.1.1.1.1.4.10.1</t>
  </si>
  <si>
    <t>1.1.1.1.1.4.11</t>
  </si>
  <si>
    <t>6.3.1.5.4.1.3</t>
  </si>
  <si>
    <t>Монтаж подвесного потолка / из ГКЛ в 1 слой с применением профиля ПП</t>
  </si>
  <si>
    <t>3 этаж. ПТ-4.1, ПТ-4.3</t>
  </si>
  <si>
    <t>1.1.1.1.1.4.11.1</t>
  </si>
  <si>
    <t>Шуруп со сверлом_/3,5*11</t>
  </si>
  <si>
    <t>1.1.1.1.1.4.11.2</t>
  </si>
  <si>
    <t>Шуруп_/3,5*25</t>
  </si>
  <si>
    <t>1.1.1.1.1.4.11.3</t>
  </si>
  <si>
    <t>1.1.1.1.1.4.11.4</t>
  </si>
  <si>
    <t>Удлинитель профилей_/потолочный/60*27</t>
  </si>
  <si>
    <t>1.1.1.1.1.4.11.5</t>
  </si>
  <si>
    <t>Соединитель профилей одноуровневый_/потолочный/60*27</t>
  </si>
  <si>
    <t>1.1.1.1.1.4.11.6</t>
  </si>
  <si>
    <t>Профиль_/направляющий/75*40*0,40/3м</t>
  </si>
  <si>
    <t>1.1.1.1.1.4.11.7</t>
  </si>
  <si>
    <t>Профиль_/потолочный/60*27*0,40/3м</t>
  </si>
  <si>
    <t>1.1.1.1.1.4.11.8</t>
  </si>
  <si>
    <t>Подвес профиля прямой_/потолочный/60*27</t>
  </si>
  <si>
    <t>1.1.1.1.1.4.11.9</t>
  </si>
  <si>
    <t>Лента Дихтунгсбанд_/50мм</t>
  </si>
  <si>
    <t>1.1.1.1.1.4.11.10</t>
  </si>
  <si>
    <t>Лента армирующая ( серпянка)_/50мм</t>
  </si>
  <si>
    <t>1.1.1.1.1.4.11.11</t>
  </si>
  <si>
    <t>1.1.1.1.1.4.11.12</t>
  </si>
  <si>
    <t>1.1.1.1.1.4.11.13</t>
  </si>
  <si>
    <t>Анкер-клин_/6*40</t>
  </si>
  <si>
    <t>1.1.1.1.1.4.12</t>
  </si>
  <si>
    <t>3 этаж. ПТ-5.1, ПТ-5.2</t>
  </si>
  <si>
    <t>1.1.1.1.1.4.12.1</t>
  </si>
  <si>
    <t>1.1.1.1.1.4.12.2</t>
  </si>
  <si>
    <t>1.1.1.1.1.4.12.3</t>
  </si>
  <si>
    <t>1.1.1.1.1.4.12.4</t>
  </si>
  <si>
    <t>1.1.1.1.1.4.12.5</t>
  </si>
  <si>
    <t>1.1.1.1.1.4.12.6</t>
  </si>
  <si>
    <t>1.1.1.1.1.4.12.7</t>
  </si>
  <si>
    <t>1.1.1.1.1.4.12.8</t>
  </si>
  <si>
    <t>1.1.1.1.1.4.12.9</t>
  </si>
  <si>
    <t>1.1.1.1.1.4.12.10</t>
  </si>
  <si>
    <t>1.1.1.1.1.4.12.11</t>
  </si>
  <si>
    <t>1.1.1.1.1.4.12.12</t>
  </si>
  <si>
    <t>1.1.1.1.1.4.13</t>
  </si>
  <si>
    <t>2 этаж. ПТ-4.1, ПТ-4.3</t>
  </si>
  <si>
    <t>1.1.1.1.1.4.13.1</t>
  </si>
  <si>
    <t>1.1.1.1.1.4.13.2</t>
  </si>
  <si>
    <t>1.1.1.1.1.4.13.3</t>
  </si>
  <si>
    <t>1.1.1.1.1.4.13.4</t>
  </si>
  <si>
    <t>1.1.1.1.1.4.13.5</t>
  </si>
  <si>
    <t>1.1.1.1.1.4.13.6</t>
  </si>
  <si>
    <t>1.1.1.1.1.4.13.7</t>
  </si>
  <si>
    <t>1.1.1.1.1.4.13.8</t>
  </si>
  <si>
    <t>1.1.1.1.1.4.13.9</t>
  </si>
  <si>
    <t>1.1.1.1.1.4.13.10</t>
  </si>
  <si>
    <t>1.1.1.1.1.4.13.11</t>
  </si>
  <si>
    <t>1.1.1.1.1.4.14</t>
  </si>
  <si>
    <t>2 этаж. ПТ-5.1, ПТ-5.2</t>
  </si>
  <si>
    <t>1.1.1.1.1.4.14.1</t>
  </si>
  <si>
    <t>1.1.1.1.1.4.14.2</t>
  </si>
  <si>
    <t>1.1.1.1.1.4.14.3</t>
  </si>
  <si>
    <t>1.1.1.1.1.4.14.4</t>
  </si>
  <si>
    <t>1.1.1.1.1.4.14.5</t>
  </si>
  <si>
    <t>1.1.1.1.1.4.14.6</t>
  </si>
  <si>
    <t>1.1.1.1.1.4.14.7</t>
  </si>
  <si>
    <t>1.1.1.1.1.4.14.8</t>
  </si>
  <si>
    <t>1.1.1.1.1.4.14.9</t>
  </si>
  <si>
    <t>1.1.1.1.1.4.14.10</t>
  </si>
  <si>
    <t>1.1.1.1.1.4.14.11</t>
  </si>
  <si>
    <t>1.1.1.1.1.4.15</t>
  </si>
  <si>
    <t>6.3.1.5.4.2.1</t>
  </si>
  <si>
    <t>Надбавка за монтаж подвесного потолка при высоте более 3,2 м, включая использование лесов и подмостей</t>
  </si>
  <si>
    <t>1.1.1.1.1.5</t>
  </si>
  <si>
    <t>6.3.1.5.5</t>
  </si>
  <si>
    <t>Дверные блоки</t>
  </si>
  <si>
    <t>1.1.1.1.1.5.1</t>
  </si>
  <si>
    <t>6.3.1.5.5.2.1</t>
  </si>
  <si>
    <t>Установка межкомнатных деревянных дверных блоков</t>
  </si>
  <si>
    <t>Поставка и монтаж дверей Mario Rioli, согласно КП ООО "ТД МАРИО РИОЛИ"</t>
  </si>
  <si>
    <t>1.1.1.1.1.5.1.1</t>
  </si>
  <si>
    <t>Межкомнатные двери Mario Rioli_ / Pronto 600 / Лиственница белая  / Д-26 прав /ПР/ЦИЛ/РИГ_2/ХР /ПЕТ_MOR/КР по 3/ДК /  2000 х 900 х 40/ДК 4.3.90 ПВХ</t>
  </si>
  <si>
    <t>Д-4. 2100х1000. ГОСТ 475-2016 ДВ 1 Рп 21х10 Г ПрБ Мд3 С/У и душ в комнате инструктора (спортблок) 1000 2100 1 не менее 800 мм, ширина полотна 900 мм Инженерный массив/фанера (по технологии производителя) + МДФ6 мм с двух сторон Светлое дерево,  сантехнический фиксатор - Нажимная без задержки закрывания ,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 В душевых низ двери, коробки и наличников обрабатывается силиконовой пропиткой.</t>
  </si>
  <si>
    <t>1.1.1.1.1.5.1.2</t>
  </si>
  <si>
    <t>Межкомнатные двери Mario Rioli_ / Pronto 601 / декор Бьянко 3D / ДО-9 правая/ ГП-ДБ-PRO601-0131 / 2000*800*40/ ДК 4.3.80</t>
  </si>
  <si>
    <t>Д-11.1. 2100х1150. ГОСТ 475-2016 ДВ 1 Рп 21х11,5 Г ПрБ Мд3 С/У МГН (спортблок) 1150 2100 1 не менее 900 мм, ширина полотна 1050 мм Инженерный массив/фанера (по технологии производителя) + МДФ
6 мм с двух сторон Светлое дерево, сантехнический фиксатор с открыванием снаружи в экстренных случаях для оказания помощи и знаком индикации «занято/свободно» - Нажимная с задержкой закрывания Телескопическая коробка с добором, наличники с двух сторон С обеих сторон - Уплотнение в притворах, укомплектовать стопором, запирающим устройством с открыванием снаружи в экстренных случаях для оказания помощи и знаком индикации «занято/свободно». Дверь во влагостойком исполнении (обеспечить возможность проведения влажной дезинфекции поверхностей полотен). В душевых низ двери, коробки и наличников обрабатывается силиконовой пропиткой.</t>
  </si>
  <si>
    <t>1.1.1.1.1.5.1.3</t>
  </si>
  <si>
    <t xml:space="preserve">Межкомнатные двери Mario Rioli_ / Pronto 600 / Лиственница белая / ДГ-8 лев/ ГП-ДБ-PRO600-0673 / 2000 х 700 х 40/ ДК 4.3.80 </t>
  </si>
  <si>
    <t>Д-5. 2100х1000. ГОСТ 475-2016 ДВ 1 Рп 21х10 Г Пр Мд3 ПУИ 1000 2100, не менее 800 мм, ширина полотна 900 мм Инженерный массив/фанера (по технологии производителя) + МДФ 6 мм с двух сторон
Светлое дерево, выпадающийпротивопожарный цилиндр ключ - завертка состороны помещения - Нажимная без задержки закрывания -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</si>
  <si>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1.1.1.1.1.5.1.4</t>
  </si>
  <si>
    <t>Межкомнатные двери Mario Rioli_ / Pronto 601 / ПВХ Лиственница белая / ДО-9 пр/ ГП-ДБ-PRO601-0158 / 2000 х 800 х 40/ ДК 4.3.80</t>
  </si>
  <si>
    <t>Д-13. 2100х1150. ГОСТ 475-2016 ДВ 1 Рп 21х11,5 Г ПрБ Мд3 С/У для мальчиков и девочек, душевые (спортблок) 1150 2100.  не менее 900 мм, ширина полотна 1050 мм Инженерный массив/фанера (по технологии производителя) + МДФ 6 мм с двух сторон, Светлое дерево, без замка, защелка-язычок - Нажимная с задержкой закрывания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</si>
  <si>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1.1.1.1.1.5.1.5</t>
  </si>
  <si>
    <t>Межкомнатные двери Mario Rioli_ / Pronto 600 / ПВХ Лиственница белая / ГП-ДБ-PRO600-0689 / 2000*700*40/ ДК 4.3.70</t>
  </si>
  <si>
    <t>Д-7(л). 2100х1000. ГОСТ 475-2016 ДВ 1 Рл 21х10 Г Пр Мд3 Помещение для приготовления дезинфицирующих растворов и хранения уборочного инвентаря 1000 2100, не менее 800 мм, ширина полотна 900 мм Инженерный массив/фанера (по технологии производителя) + МДФ 6 мм с двух сторон, RAL 9003 , Выпадающий противопожарный цилиндр ключ - завертка со стороны помещения - Нажимная без задержки закрывания -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</si>
  <si>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1.1.1.1.1.5.1.6</t>
  </si>
  <si>
    <t>Межкомнатные двери Mario Rioli_ / Pronto 601 / ПВХ Лиственница белая / ГП-ДБ-PRO601-0162 / 2000 х 800 х 40/ ДК 4.3.70</t>
  </si>
  <si>
    <t>Д-11.1(л). 2100х1150. ГОСТ 475-2016 ДВ 1 Рл 21х11,5 Г ПрБ Мд3 С/У МГН (спортблок) 1150 2100 1 не менее 900 мм, ширина полотна 1050 мм Инженерный массив/фанера (по технологии производителя) + МДФ
6 мм с двух сторон Светлое дерево, сантехнический фиксатор с открыванием снаружи в экстренных случаях для оказания помощи и знаком индикации «занято/свободно» - Нажимная с задержкой закрывания Телескопическая коробка с добором, наличники с двух сторон С обеих сторон - Уплотнение в притворах, укомплектовать стопором, запирающим устройством с открыванием снаружи в экстренных случаях для оказания помощи и знаком индикации «занято/свободно». Дверь во влагостойком исполнении (обеспечить возможность проведения
влажной дезинфекции поверхностей полотен). В душевых низ двери, коробки и наличников обрабатывается силиконовой пропиткой.</t>
  </si>
  <si>
    <t>1.1.1.1.1.5.1.7</t>
  </si>
  <si>
    <t>Межкомнатные двери Mario Rioli_ / Pronto 601 / ПВХ Лиственница белая / ГП-ДБ-PRO601-0163 / 2000 х 800 х 40/ ДК 4.3.70</t>
  </si>
  <si>
    <t>Д-11.2. 2100х1150. ГОСТ 475-2016 ДВ 1 Рп 21х11,5 Г Пр Мд3 С/У МГН, раздевальные МГН в спортблоке 1150 2100 не менее 900 мм, ширина полотна 1050 мм Инженерный массив/фанера (по технологии производителя) + МДФ 6 мм с двух сторон Светлое дерево, Выпадающий противопожарный сантехнический фиксатор с открыванием снаружи в экстренных случаях для оказания помощи и знаком индикации «занято/свободно» - Нажимная с задержкой закрывания Телескопическая коробка с добором, наличники с двух сторон, С обеих сторон - Уплотнение в притворах, укомплектовать стопором, запирающим устройством с открыванием снаружи в экстренных случаях для оказания помощи и знаком индикации «занято/свободно». Дверь во влагостойком исполнении (обеспечить возможность проведения влажной дезинфекции поверхностей полотен).</t>
  </si>
  <si>
    <t>1.1.1.1.1.5.1.8</t>
  </si>
  <si>
    <t>Межкомнатные двери Mario Rioli_ / Pronto 600 / ПВХ Лиственница белая / ГП-ДБ-PRO600-0690 / 2000*800*40/ ДК 4.3.70</t>
  </si>
  <si>
    <t>Д-8. 2100х1000. ГОСТ 475-2016 ДВ 1 Рп 21х10 Г Пр Мд3 ПУИ, Комната персонала (пищеблок) 1000 2100, не менее 800 мм, ширина полотна 900 мм Инженерный массив/фанера (по технологии производителя) + МДФ 6 мм с двух сторон RAL 9003, Выпадающий противопожарный цилиндр ключ - завертка со стороны помещения - Нажимная без задержки закрывания -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</si>
  <si>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1.1.1.1.1.5.1.9</t>
  </si>
  <si>
    <t>Межкомнатные двери Mario Rioli_ / Pronto 601 / ПВХ Лиственница белая / ДО-8 лев/ ГП-ДБ-PRO601-0161 / 2000 х 700 х 40/ ДК 4.3.80</t>
  </si>
  <si>
    <t>Д-12. 2100х1150. ГОСТ 475-2016 ДВ 1 Рп 21х11,5 Г Пр Мд3 С/У для мальчиков и девочек 1150 2100, не менее 900 мм, ширина полотна 1050 мм Инженерный массив/фанера (по технологии производителя) + МДФ 6 мм с двух сторон, Светлое дерево, Выпадающий противопожарный без замка, защелка-язычок - Нажимная с задержкой закрывания -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</si>
  <si>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1.1.1.1.1.5.1.10</t>
  </si>
  <si>
    <t>Межкомнатные двери Mario Rioli_ / Pronto 601 / декор Бьянко 3D / ДО-13 двустворчатая/ ГП-ДБ-PRO601-R-0065 / 2000*600*40/ ДК 4.3.80</t>
  </si>
  <si>
    <t>Д-11. 2100х1150. ГОСТ 475-2016 ДВ 1 Рп 21х11,5 Г Пр Мд3 С/У персонала и КЛГ 1150 2100, не менее 900 мм, ширина полотна 1050 мм Инженерный массив/фанера (по технологии производителя) + МДФ 6 мм с двух сторон, Светлое дерево, Выпадающий противопожарный цилиндр ключ - завертка со стороны помещения - Нажимная с задержкой закрывания - Телескопическая коробка с
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</si>
  <si>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1.1.1.1.1.5.1.11</t>
  </si>
  <si>
    <t xml:space="preserve">Межкомнатные двери Mario Rioli_ / Nobile 1101 / ПП Белый / правая/ ГП-ДБ-NOB1101-000 / 2000*800*40/ ДК 1.3.80 </t>
  </si>
  <si>
    <t>Д-3. 2100х900. ГОСТ 475-2016 ДВ 1 Рп 21х9 Г ПрБ Мд3 Душ персонала (пищеблок) 900 2100 1 не менее 700 мм, ширина полотна 800 мм Инженерный массив/фанера (потехнологии производителя) + МДФ 6 мм с двух сторон, RAL 9003 - - - сантехнический фисатор - Нажимная без задержки закрывания -Телескопическая коробка с добором, наличники с двух сторон
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 В душевых низ двери, коробки и наличников обрабатывается силиконовой пропиткой.</t>
  </si>
  <si>
    <t>1.1.1.1.1.5.1.12</t>
  </si>
  <si>
    <t xml:space="preserve">Межкомнатные двери Mario Rioli_ / Nobile 1110 / ПП Белый / левая/ ГП-ДБ-NOB1110-000 / 2000*800*40/ ДК 1.3.80 </t>
  </si>
  <si>
    <t>Д-3(л). 2100х900. ГОСТ 475-2016 ДВ 1 Рп 21х9 Г ПрБ Мд3 Душ персонала (пищеблок) 900 2100 1 не менее 700 мм, ширина полотна 800 мм Инженерный массив/фанера (потехнологии производителя) + МДФ
6 мм с двух сторон, RAL 9003 - - - сантехнический фисатор - Нажимная без задержки закрывания -Телескопическая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 В душевых низ двери, коробки и наличников обрабатывается силиконовой пропиткой.</t>
  </si>
  <si>
    <t>1.1.1.1.1.5.1.13</t>
  </si>
  <si>
    <t>Межкомнатные двери Mario Rioli_ / Pronto 600 / ПВХ Лиственница белая / ГП-ДБ-PRO600-0688 / 2000*700*40/ ДК 4.3.70</t>
  </si>
  <si>
    <t>Д-6(л). 2100х1000. ГОСТ 475-2016 ДВ 1 Рл 21х10 Г Пр Мд3 С/У медблока 1000 2100, не менее 800 мм, ширина полотна 900 мм Инженерный массив/фанера (по технологии производителя) + МДФ 6 мм с двух сторон Светлое дерево, выпадающийпротивопожарный цилиндр ключ - завертка состороны помещения - Нажимная без задержки закрывания -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</si>
  <si>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1.1.1.1.1.5.1.14</t>
  </si>
  <si>
    <t>Межкомнатные двери Mario Rioli_ / Pronto 601 / ПВХ Лиственница белая / ДО-8 пр/ ГП-ДБ-PRO601-0160 / 2000 х 700 х 40/ ДК 4.3.80</t>
  </si>
  <si>
    <t>Д-12(л). 2100х1150. ГОСТ 475-2016 ДВ 1 Рл 21х11,5 Г Пр Мд3 С/У для мальчиков и девочек 1150 2100, не менее 900 мм, ширина полотна 1050 мм Инженерный массив/фанера (по технологии производителя) + МДФ 6 мм с двух сторон, Светлое дерево, Выпадающий противопожарный без замка, защелка-язычок - Нажимная с задержкой закрывания -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</si>
  <si>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1.1.1.1.1.5.1.15</t>
  </si>
  <si>
    <t xml:space="preserve">Межкомнатные двери Mario Rioli_ / Pronto 601 / декор Бьянко 3D / ДО-9 левая/ ГП-ДБ-PRO601-0130 / 2000*800*40/ ДК 4.3.80 </t>
  </si>
  <si>
    <t>Д-11(л). 2100х1150. ГОСТ 475-2016 ДВ 1 Рл 21х11,5 Г Пр Мд3 С/У персонала и КЛГ 1150 2100, не менее 900 мм, ширина полотна 1050 мм Инженерный массив/фанера (по технологии производителя) + МДФ 6 мм с двух сторон, Светлое дерево,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</si>
  <si>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1.1.1.1.1.5.1.16</t>
  </si>
  <si>
    <t>Межкомнатные двери Mario Rioli_ / Pronto 600 / Лиственница белая  / Д-26Л, Д-27Л, Д-28Л/ЛЕВ/ЦИЛ/РИГ_2/ХР /ПЕТ_MOR/КР по 3/ДК  /  2000 х 900 х 40/ДК 4.3.90 ПВХ</t>
  </si>
  <si>
    <t>Д-4(л). 2100х1000. "ГОСТ 475-2016 ДВ 1 Рл 21х10 Г ПрБ Мд3 С/У и душ в комнате инструктора (спортблок) 1000 2100 1 не менее 800 мм, ширина полотна 900 мм Инженерный массив/фанера (по технологии производителя) + МДФ6 мм с двух сторон Светлое дерево,  сантехнический фиксатор - Нажимная без задержки закрывания , Телескопическая коробка с добором, наличники с двух сторон
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 В душевых низ двери, коробки и наличников обрабатывается силиконовой пропиткой.</t>
  </si>
  <si>
    <t>1.1.1.1.1.5.1.17</t>
  </si>
  <si>
    <t xml:space="preserve">Межкомнатные двери Mario Rioli_ / Pronto 600 / 4.3.80 декор Бьянко 3D / ДГ-9 левая/ ГП-ДБ-PRO600-0495 / 2000*800*40/ ДК 4.3.80 </t>
  </si>
  <si>
    <t>Д-3.1(л). 2100х900. ГОСТ 475-2016 ДВ 1 Рп 21х9 Г Пр Мд3 С/У персонала (пищеблок) 900 2100 1 не менее 700 мм, ширина полотна 800 мм Инженерный массив/фанера (по технологии производителя) + МДФ 6 мм с двух сторон, RAL 9003, Выпадающий противопожарный сантехнический фисатор - Нажимная без задержки закрывания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 В душевых низ двери,
коробки и наличников обрабатывается силиконовой пропиткой."</t>
  </si>
  <si>
    <t>1.1.1.1.1.5.1.18</t>
  </si>
  <si>
    <t>Межкомнатные двери Mario Rioli_ / Pronto 600 / Лиственница белая / ДГ-8 пр/ ГП-ДБ-PRO600-0672 / 2000 х 700 х 40/ ДК 4.3.80</t>
  </si>
  <si>
    <t>Д-5(л). 2100х1000. ГОСТ 475-2016 ДВ 1 Рл 21х10 Г Пр Мд3 ПУИ 1000 2100, не менее 800 мм, ширина полотна 900 мм Инженерный массив/фанера (по технологии производителя) + МДФ 6 мм с двух сторон
Светлое дерево, выпадающийпротивопожарный цилиндр ключ - завертка состороны помещения - Нажимная без задержки закрывания -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</si>
  <si>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1.1.1.1.1.5.1.19</t>
  </si>
  <si>
    <t>Межкомнатные двери Mario Rioli_ / Pronto 600 / ПВХ Лиственница белая / ГП-ДБ-PRO600-0691 / 2000*800*40/ ДК 4.3.70</t>
  </si>
  <si>
    <t>Д-8(л). 2100х1000. ГОСТ 475-2016 ДВ 1 Рл 21х10 Г Пр Мд3 ПУИ, Комната персонала (пищеблок) 1000 2100, не менее 800 мм, ширина полотна 900 мм Инженерный массив/фанера (по технологии производителя) + МДФ 6 мм с двух сторон RAL 9003, Выпадающий противопожарный цилиндр ключ - завертка со стороны помещения - Нажимная без задержки закрывания -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</si>
  <si>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1.1.1.1.1.5.1.20</t>
  </si>
  <si>
    <t>Межкомнатные двери Mario Rioli_ / Pronto 601 / ПВХ Лиственница белая / ДО-13/ ГП-ДБ-PRO601-R-0073 / 2 х 2000 х 600 х 40/ ДК 4.3.80</t>
  </si>
  <si>
    <t>Д-11.2(л). 2100х1150. ГОСТ 475-2016 ДВ 1 Рп 21х11,5 Г Пр Мд3 С/У МГН, раздевальные МГН в спортблоке 1150 2100 не менее 900 мм, ширина полотна 1050 мм
Инженерный массив/фанера (по технологии производителя) + МДФ
6 мм с двух сторон Светлое дерево, Выпадающий противопожарный
сантехнический фиксатор с открыванием снаружи в экстренных случаях для оказания помощи и знаком индикации «занято/свободно»
- Нажимная с задержкой закрывания Телескопическая коробка с
добором, наличники с двух сторон, С обеих сторон -
Уплотнение в притворах, укомплектовать стопором, запирающим
устройством с открыванием снаружи в экстренных случаях для
оказания помощи и знаком индикации «занято/свободно». Дверь во
влагостойком исполнении (обеспечить возможность проведения
влажной дезинфекции поверхностей полотен).</t>
  </si>
  <si>
    <t>1.1.1.1.1.5.2</t>
  </si>
  <si>
    <t>1.1.1.1.1.5.2.1</t>
  </si>
  <si>
    <t>Д-23. 2100х1150. ГОСТ 475-2016 ДВ 1 Рп 21х11,5 Г Пр Мд3 Кабинет врача, Процедурный кабинет, Прививочный кабинет. 1150 2100, не менее 900 мм, ширина полотна 1050 мм, Инженерный массив/фанера (по технологии производителя) + МДФ 6 мм с двух сторон Светлое дерево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</si>
  <si>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1.1.1.1.1.5.2.2</t>
  </si>
  <si>
    <t xml:space="preserve">Межкомнатные двери Mario Rioli_ / Nobile 1110 / ПП Белый / левая/ ГП-ДБ-NOB1110-000 / 2000*700*40/ ДК 1.3.90 </t>
  </si>
  <si>
    <t>Д-15*(л). 2100х1150. Индивидуальное изготовление ДВ 1 Рл 21х11,5 Г ПО Мд3 EI30 Кладовая инвентаря, помещение для установки оборудования 1150 2100, не менее 900 мм, ширина полотна 1050 мм Инженерный массив/фанера (по технологии производителя) + МДФ 6 мм с двух сторон, Светлое дерево,EI30 - Выпадающий противопожарный, цилиндр ключ - завертка со стороны помещения - Нажимная с задержкой закрывания - Телескопическая коробка с добором, наличники с двух сторон С обеих сторон - Уплотнение в притворах, укомплектовать стопором.</t>
  </si>
  <si>
    <t>1.1.1.1.1.5.2.3</t>
  </si>
  <si>
    <t xml:space="preserve">Межкомнатные двери Mario Rioli_ / Pronto 600 / декор Бьянко 3D / ДГ-9 правая/ ГП-ДБ-PRO600-0496 / 2000*800*40/ ДК 4.3.80 </t>
  </si>
  <si>
    <t>Д-22*. 2100х1150. Индивидуальное изготовление ДВ 1 Рп 21х11,5 Г ПО Мд3 EI30 Артистическая, кладовая 1150 2100 , не менее 900 мм, ширина полотна 1050 мм Инженерный массив/фанера (по технологии производителя) + МДФ 6 мм с двух сторон Светлое дерево EI30 - Выпадающий противопожарный цилиндр ключ - завертка со стороны помещения - Нажимная с задержкой закрывания -
Телескопическая коробка с добором, наличники с двух сторон С обеих сторон - Уплотнение в притворах, укомплектовать стопором.</t>
  </si>
  <si>
    <t>1.1.1.1.1.5.2.4</t>
  </si>
  <si>
    <t>Д-24. 2100х1150. ГОСТ 475-2016 ДВ 1 Рп 21х11,5 Г Пр Мд3 Кабинет психолога, Кабинет логопеда 1150 2100, не менее 900 мм, ширина полотна 1050 мм Инженерный массив/фанера (по технологии производителя) + МДФ 6 мм с двух сторон Светлое дерево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 С обеих сторон - Уплотнение в притворах, укомплектовать стопором.</t>
  </si>
  <si>
    <t>1.1.1.1.1.5.2.5</t>
  </si>
  <si>
    <t xml:space="preserve">Межкомнатные двери Mario Rioli_ / Nobile 1110 / ПП Белый / правая/ ГП-ДБ-NOB1110-000 / 2000*700*40/ ДК 1.3.90 </t>
  </si>
  <si>
    <t>Д-16(л). 2100х1150. ГОСТ 475-2016 ДВ 1 Рл 21х11,5 Г Пр Мд3 Комната инструктора, Раздевальные (спортблок) 1150 2100, не менее 900 мм, ширина полотна 1050 мм Инженерный массив/фанера (по
технологии производителя) + МДФ 6 мм с двух сторон Светлое дерево,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 С обеих сторон - Уплотнение в притворах, укомплектовать стопором.</t>
  </si>
  <si>
    <t>1.1.1.1.1.5.2.6</t>
  </si>
  <si>
    <t>Д-33*. 2400х1650. Индивидуальное изготовление ДВ 2 Рп 24х16,5 Г ПО Мд3 EI30 Студия драмкружка 1650 2400, не менее 1200 мм, ширина основного полотна 1000 мм Инженерный массив/фанера (по технологии производителя) + МДФ 6 мм с двух сторон Светлое дерево, EI30 , Выпадающий противопожарный замок в составе  антипаники, Антипаника на обе створки Антипаника изнутри на обе створки, нажимная ручка снаружи на основную створку, с задержкой закрывания, на обе створки. Координатор без шпингалета Телескопическая коробка с добором, наличники с двух сторон С обеих сторон - Уплотнение в притворах, укомплектовать стопором.</t>
  </si>
  <si>
    <t>1.1.1.1.1.5.2.7</t>
  </si>
  <si>
    <t>Д-34*. 2400х2200. Индивидуальное изготовление изготовление ДВ 2 Рп 24х22 Г ПО Мд3 EI30 Снарядная (спортблок) 2200 2400, не менее 1200 мм, ширина основного полотна 1000 мм, Инженерный массив/фанера (по технологии производителя) + МДФ 6 мм с двух сторон Светлое дерево, EI30 - Выпадающий противопожарный цилиндр ключ - завертка со стороны помещения, Нажимная на основную створку,  задержкой закрывания, на обе створки. Координатор обычный Телескопическая коробка с добором, наличники с двух сторон С обеих сторон - Уплотнение в притворах, укомплектовать стопором.</t>
  </si>
  <si>
    <t>1.1.1.1.1.5.2.8</t>
  </si>
  <si>
    <t>Межкомнатные двери Mario Rioli_ / Pronto 601 / ПВХ Лиственница белая / ДО-9 лев/ ГП-ДБ-PRO601-0159 / 2000 х 800 х 40/ ДК 4.3.80</t>
  </si>
  <si>
    <t>Д-20*. 2100х1150. Индивидуальное изготовление ДВ 1 Рп 21х11,5 Г ПО Мд3 EIS60 Технический центр 1150 2100, не менее 900 мм, ширина полотна 1050 мм Инженерный массив/фанера (по технологии производителя) + МДФ 6 мм с двух сторон RAL 9003 EIS60 -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 С обеих сторон - Уплотнение в притворах, укомплектовать стопором.</t>
  </si>
  <si>
    <t>1.1.1.1.1.5.2.9</t>
  </si>
  <si>
    <t>Д-15*. 2100х1150. Индивидуальное изготовление ДВ 1 Рп 21х11,5 Г ПО Мд3 EI30 Кладовая инвентаря, помещение для установки оборудования 1150 2100, не менее 900 мм, ширина полотна 1050 мм Инженерный массив/фанера (по технологии производителя) + МДФ 6 мм с двух сторон, Светлое дерево,EI30 - Выпадающий противопожарный, цилиндр ключ - завертка со стороны помещения - Нажимная с задержкой закрывания - Телескопическая коробка с добором, наличники с двух сторон С обеих сторон - Уплотнение в притворах, укомплектовать стопором.</t>
  </si>
  <si>
    <t>1.1.1.1.1.5.2.10</t>
  </si>
  <si>
    <t>Д-16. 2100х1150. ГОСТ 475-2016 ДВ 1 Рп 21х11,5 Г Пр Мд3 Комната инструктора, Раздевальные (спортблок) 1150 2100, не менее 900 мм, ширина полотна 1050 мм Инженерный массив/фанера (по
технологии производителя) + МДФ 6 мм с двух сторон Светлое дерево,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 С обеих сторон - Уплотнение в притворах, укомплектовать стопором.</t>
  </si>
  <si>
    <t>1.1.1.1.1.5.2.11</t>
  </si>
  <si>
    <t xml:space="preserve">Межкомнатные двери Mario Rioli_ / Nobile 1110 / ПП Белый / правая/ ГП-ДБ-NOB1110-000 / 2000*800*40/ ДК 1.3.80 </t>
  </si>
  <si>
    <t>Д-17*. 2100х1150. Индивидуальное изготовление ДВ 1 Рп 21х11,5 Г ПО Мд3 EI30 Лаборантские 1150 2100, не менее 900 мм, ширина полотна 1050 мм Инженерный массив/фанера (по технологии производителя) + МДФ 6 мм с двух сторон Светлое дерево EI30 - Выпадающий противопожарный цилиндр ключ - завертка со стороны помещения - Нажимная с задержкой закрывания -
Телескопическая коробка с добором, наличники с двух сторон С обеих сторон СКУД на вход и выход Уплотнение в притворах, укомплектовать стопором.</t>
  </si>
  <si>
    <t>1.1.1.1.1.5.2.12</t>
  </si>
  <si>
    <t>Д-30(л). 2400х1650. ГОСТ 475-2016 ДВ 2 Рл 24х16,5 Г Пр Мд3 Студия драмкружка 1650 2400  не менее 1200 мм, ширина основного полотна 1000 мм Инженерный массив/фанера (по технологии производителя) + МДФ 6 мм с двух сторон, Светлое дерево Выпадающий противопожарный замок в составе антипаники Антипаника на обе створки
Антипаника изнутри на обе створки, нажимная ручка снаружи на основную створку с задержкой закрывания, на обе створки. Координатор без шпингалета Телескопическая коробка с добором, наличники с двух сторон С обеих сторон - Уплотнение в притворах, укомплектовать стопором.</t>
  </si>
  <si>
    <t>1.1.1.1.1.5.2.13</t>
  </si>
  <si>
    <t>Д-22*(л). 2100х1150. Индивидуальное изготовление ДВ 1 Рл 21х11,5 Г ПО Мд3 EI30 Артистическая, кладовая 1150 2100 , не менее 900 мм, ширина полотна 1050 мм Инженерный массив/фанера (по технологии производителя) + МДФ 6 мм с двух сторон Светлое дерево EI30 - Выпадающий противопожарный цилиндр ключ - завертка со стороны помещения - Нажимная с задержкой закрывания -
Телескопическая коробка с добором, наличники с двух сторон С обеих сторон - Уплотнение в притворах, укомплектовать стопором.</t>
  </si>
  <si>
    <t>1.1.1.1.1.5.2.14</t>
  </si>
  <si>
    <t>Д-17*(л).2100х1150. Индивидуальное изготовление ДВ 1 Рл 21х11,5 Г ПО Мд3 EI30 Лаборантские 1150 2100, не менее 900 мм, ширина полотна 1050 мм Инженерный массив/фанера (по технологии производителя) + МДФ 6 мм с двух сторон Светлое дерево EI30 - Выпадающий противопожарный цилиндр ключ - завертка со стороны помещения - Нажимная с задержкой закрывания -
Телескопическая коробка с добором, наличники с двух сторон С обеих сторон СКУД на вход и выход Уплотнение в притворах, укомплектовать стопором.</t>
  </si>
  <si>
    <t>1.1.1.1.1.5.2.15</t>
  </si>
  <si>
    <t xml:space="preserve">Межкомнатные двери Mario Rioli_ / Pronto 600 / декор Бьянко 3D / ДГ-8 правая, с\у/ ГП-ДБ-PRO600-0494 / 2000*700*40/ ДК 4.3.90 </t>
  </si>
  <si>
    <t>Д-13(л). 2100х1150. ГОСТ 475-2016 ДВ 1 Рл 21х11,5 Г ПрБ Мд3 С/У для мальчиков и девочек, душевые (спортблок) 1150 2100.  не менее 900 мм, ширина полотна 1050 мм Инженерный массив/фанера (по технологии производителя) + МДФ 6 мм с двух сторон, Светлое дерево, без замка, защелка-язычок - Нажимная с задержкой закрывания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</si>
  <si>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1.1.1.1.1.5.2.16</t>
  </si>
  <si>
    <t>Д-25. 2100х1150. ГОСТ 475-2016 ДВ 1 Рп 21х11,5 Г Пр Мд3 Административный кабинет 1150 2100, не менее 900 мм, ширина полотна 1050 мм Инженерный массив/фанера (по технологии производителя) + МДФ 6 мм с двух сторон, Светлое дерево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 С обеих сторон - Уплотнение в притворах, укомплектовать стопором.</t>
  </si>
  <si>
    <t>1.1.1.1.1.5.2.17</t>
  </si>
  <si>
    <t xml:space="preserve">Межкомнатные двери Mario Rioli_ / Pronto 600 / декор Бьянко 3D / ДГ-8 левая, с\у/ ГП-ДБ-PRO600-0493 / 2000*700*40/ ДК 4.3.90 </t>
  </si>
  <si>
    <t>Д-21. 2100х1150. ГОСТ 475-2016 ДВ 1 Рп 21х11,5 Г Пр Мд3 Артистическая 1150 2100. не менее 900 мм, ширина полотна 1050 мм Инженерный массив/фанера (по технологии производителя) + МДФ 6 мм с двух сторон Светлое дерево - -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 С обеих сторон - Уплотнение в притворах, укомплектовать стопором.</t>
  </si>
  <si>
    <t>1.2</t>
  </si>
  <si>
    <t>12</t>
  </si>
  <si>
    <t>Дополнительные работы, неучтенные основным проектом</t>
  </si>
  <si>
    <t>1.2.1</t>
  </si>
  <si>
    <t>12.1</t>
  </si>
  <si>
    <t>Дополнительные работы, неучтенные основным проектом (невозмещаемые)</t>
  </si>
  <si>
    <t>1.2.1.1</t>
  </si>
  <si>
    <t>12.1.99</t>
  </si>
  <si>
    <t>Прочие работы</t>
  </si>
  <si>
    <t>1.2.1.1.1</t>
  </si>
  <si>
    <t>12.1.99.15.1</t>
  </si>
  <si>
    <t>Устройство временного теплового контура для проведения отделочных работ /фальш-окна (брус. армированная плёнка, утеплитель, фурнитура и пр.) полный комплекс работ, включая стоимость материалов и демонтаж</t>
  </si>
  <si>
    <t>Окна, двери и межсекционные перегородки.</t>
  </si>
  <si>
    <t>Общая стоимость работ, руб. с НДС</t>
  </si>
  <si>
    <t>ВЫПОЛНЕНИЕ</t>
  </si>
  <si>
    <t>ОСТАЛОСЬ ЗАКРЫТЬ</t>
  </si>
  <si>
    <t>СУММА ВЫПОЛНЕНИЯ</t>
  </si>
  <si>
    <t>СУММА ОСТАТКА ПО ВЫПОЛНЕНЮ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</si>
</sst>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4" x14ac:knownFonts="1">
    <font>
      <sz val="11"/>
      <color rgb="FF000000"/>
      <name val="Calibri"/>
    </font>
    <font>
      <b/>
      <sz val="11"/>
      <color rgb="FFFFFFFF"/>
      <name val="Times New Roman"/>
    </font>
    <font>
      <sz val="12"/>
      <color rgb="FF2F5487"/>
      <name val="Times New Roman"/>
    </font>
    <font>
      <b/>
      <sz val="16"/>
      <color rgb="FF000000"/>
      <name val="Times New Roman"/>
    </font>
    <font>
      <sz val="12"/>
      <color rgb="FF000000"/>
      <name val="Times New Roman"/>
    </font>
    <font>
      <sz val="16"/>
      <color rgb="FF000000"/>
      <name val="Times New Roman"/>
    </font>
    <font>
      <b/>
      <sz val="16"/>
      <color rgb="FFFFFFFF"/>
      <name val="Times New Roman"/>
    </font>
    <font>
      <b/>
      <sz val="13"/>
      <color rgb="FF000000"/>
      <name val="Times New Roman"/>
    </font>
    <font>
      <b/>
      <sz val="18"/>
      <color rgb="FF000000"/>
      <name val="Times New Roman"/>
    </font>
    <font>
      <sz val="14"/>
      <color rgb="FF000000"/>
      <name val="Times New Roman"/>
    </font>
    <font>
      <i/>
      <sz val="14"/>
      <color rgb="FF000000"/>
      <name val="Times New Roman"/>
    </font>
    <font>
      <sz val="14"/>
      <color rgb="FF800000"/>
      <name val="Times New Roman"/>
    </font>
    <font>
      <b/>
      <sz val="14"/>
      <color rgb="FF000000"/>
      <name val="Times New Roman"/>
    </font>
    <font>
      <b/>
      <sz val="14"/>
      <color rgb="FF800000"/>
      <name val="Times New Roman"/>
    </font>
    <font>
      <b/>
      <sz val="14"/>
      <color rgb="FFFF0000"/>
      <name val="Times New Roman"/>
    </font>
    <font>
      <i/>
      <sz val="14"/>
      <color rgb="FF000000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b/>
      <sz val="14"/>
      <color rgb="FF00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b/>
      <sz val="18"/>
      <color rgb="FF000000"/>
      <name val="Calibri"/>
      <family val="2"/>
      <charset val="204"/>
    </font>
    <font>
      <b/>
      <sz val="18"/>
      <color rgb="FFFF0000"/>
      <name val="Calibri"/>
      <family val="2"/>
      <charset val="204"/>
    </font>
    <font>
      <b/>
      <sz val="16"/>
      <color rgb="FFFF0000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D9D9D8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FF8D5"/>
        <bgColor rgb="FF000000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FF"/>
        <bgColor rgb="FF000000"/>
      </patternFill>
    </fill>
    <fill>
      <patternFill patternType="solid">
        <fgColor rgb="FFFFFFCC"/>
        <bgColor rgb="FF000000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0" fillId="2" borderId="0" xfId="0" applyFill="1"/>
    <xf numFmtId="0" fontId="4" fillId="0" borderId="7" xfId="0" applyFont="1" applyBorder="1" applyAlignment="1">
      <alignment horizontal="center" vertical="center" wrapText="1"/>
    </xf>
    <xf numFmtId="4" fontId="7" fillId="0" borderId="7" xfId="0" applyNumberFormat="1" applyFont="1" applyBorder="1" applyAlignment="1">
      <alignment horizontal="center" vertical="center"/>
    </xf>
    <xf numFmtId="0" fontId="0" fillId="4" borderId="2" xfId="0" applyFill="1" applyBorder="1"/>
    <xf numFmtId="4" fontId="7" fillId="4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4" fontId="9" fillId="0" borderId="7" xfId="0" applyNumberFormat="1" applyFont="1" applyBorder="1" applyAlignment="1">
      <alignment horizontal="center" vertical="center" wrapText="1"/>
    </xf>
    <xf numFmtId="4" fontId="9" fillId="3" borderId="7" xfId="0" applyNumberFormat="1" applyFont="1" applyFill="1" applyBorder="1" applyAlignment="1" applyProtection="1">
      <alignment horizontal="center" vertical="center" wrapText="1"/>
      <protection locked="0"/>
    </xf>
    <xf numFmtId="0" fontId="10" fillId="5" borderId="7" xfId="0" applyFont="1" applyFill="1" applyBorder="1" applyAlignment="1">
      <alignment horizontal="right" vertical="center" wrapText="1"/>
    </xf>
    <xf numFmtId="0" fontId="9" fillId="0" borderId="7" xfId="0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 applyProtection="1">
      <alignment horizontal="center" vertical="center"/>
      <protection locked="0"/>
    </xf>
    <xf numFmtId="0" fontId="10" fillId="0" borderId="7" xfId="0" applyFont="1" applyBorder="1" applyAlignment="1">
      <alignment horizontal="right" vertical="center" wrapText="1"/>
    </xf>
    <xf numFmtId="0" fontId="4" fillId="6" borderId="7" xfId="0" applyFont="1" applyFill="1" applyBorder="1" applyAlignment="1">
      <alignment horizontal="left" vertical="center"/>
    </xf>
    <xf numFmtId="0" fontId="9" fillId="6" borderId="7" xfId="0" applyFont="1" applyFill="1" applyBorder="1" applyAlignment="1">
      <alignment horizontal="left" vertical="center" wrapText="1"/>
    </xf>
    <xf numFmtId="0" fontId="9" fillId="6" borderId="7" xfId="0" applyFont="1" applyFill="1" applyBorder="1" applyAlignment="1">
      <alignment horizontal="center" vertical="center" wrapText="1"/>
    </xf>
    <xf numFmtId="164" fontId="9" fillId="6" borderId="7" xfId="0" applyNumberFormat="1" applyFont="1" applyFill="1" applyBorder="1" applyAlignment="1">
      <alignment horizontal="center" vertical="center" wrapText="1"/>
    </xf>
    <xf numFmtId="4" fontId="9" fillId="6" borderId="7" xfId="0" applyNumberFormat="1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right" vertical="center" wrapText="1"/>
    </xf>
    <xf numFmtId="0" fontId="9" fillId="6" borderId="7" xfId="0" applyFont="1" applyFill="1" applyBorder="1" applyAlignment="1">
      <alignment horizontal="center" vertical="center"/>
    </xf>
    <xf numFmtId="164" fontId="9" fillId="6" borderId="7" xfId="0" applyNumberFormat="1" applyFont="1" applyFill="1" applyBorder="1" applyAlignment="1">
      <alignment horizontal="center" vertical="center"/>
    </xf>
    <xf numFmtId="4" fontId="9" fillId="6" borderId="7" xfId="0" applyNumberFormat="1" applyFont="1" applyFill="1" applyBorder="1" applyAlignment="1">
      <alignment horizontal="center" vertical="center"/>
    </xf>
    <xf numFmtId="0" fontId="0" fillId="6" borderId="2" xfId="0" applyFill="1" applyBorder="1"/>
    <xf numFmtId="0" fontId="0" fillId="6" borderId="3" xfId="0" applyFill="1" applyBorder="1"/>
    <xf numFmtId="0" fontId="4" fillId="7" borderId="7" xfId="0" applyFont="1" applyFill="1" applyBorder="1" applyAlignment="1">
      <alignment horizontal="left" vertical="center"/>
    </xf>
    <xf numFmtId="0" fontId="9" fillId="7" borderId="7" xfId="0" applyFont="1" applyFill="1" applyBorder="1" applyAlignment="1">
      <alignment horizontal="left" vertical="center" wrapText="1"/>
    </xf>
    <xf numFmtId="0" fontId="9" fillId="7" borderId="7" xfId="0" applyFont="1" applyFill="1" applyBorder="1" applyAlignment="1">
      <alignment horizontal="center" vertical="center" wrapText="1"/>
    </xf>
    <xf numFmtId="164" fontId="9" fillId="7" borderId="7" xfId="0" applyNumberFormat="1" applyFont="1" applyFill="1" applyBorder="1" applyAlignment="1">
      <alignment horizontal="center" vertical="center" wrapText="1"/>
    </xf>
    <xf numFmtId="4" fontId="9" fillId="7" borderId="7" xfId="0" applyNumberFormat="1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164" fontId="9" fillId="8" borderId="7" xfId="0" applyNumberFormat="1" applyFont="1" applyFill="1" applyBorder="1" applyAlignment="1">
      <alignment horizontal="center" vertical="center" wrapText="1"/>
    </xf>
    <xf numFmtId="4" fontId="9" fillId="8" borderId="7" xfId="0" applyNumberFormat="1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right" vertical="center" wrapText="1"/>
    </xf>
    <xf numFmtId="0" fontId="9" fillId="7" borderId="7" xfId="0" applyFont="1" applyFill="1" applyBorder="1" applyAlignment="1">
      <alignment horizontal="center" vertical="center"/>
    </xf>
    <xf numFmtId="164" fontId="9" fillId="7" borderId="7" xfId="0" applyNumberFormat="1" applyFont="1" applyFill="1" applyBorder="1" applyAlignment="1">
      <alignment horizontal="center" vertical="center"/>
    </xf>
    <xf numFmtId="4" fontId="9" fillId="7" borderId="7" xfId="0" applyNumberFormat="1" applyFont="1" applyFill="1" applyBorder="1" applyAlignment="1">
      <alignment horizontal="center" vertical="center"/>
    </xf>
    <xf numFmtId="0" fontId="0" fillId="7" borderId="2" xfId="0" applyFill="1" applyBorder="1"/>
    <xf numFmtId="0" fontId="0" fillId="7" borderId="3" xfId="0" applyFill="1" applyBorder="1"/>
    <xf numFmtId="0" fontId="10" fillId="8" borderId="7" xfId="0" applyFont="1" applyFill="1" applyBorder="1" applyAlignment="1">
      <alignment horizontal="right" vertical="center" wrapText="1"/>
    </xf>
    <xf numFmtId="0" fontId="9" fillId="8" borderId="7" xfId="0" applyFont="1" applyFill="1" applyBorder="1" applyAlignment="1">
      <alignment horizontal="center" vertical="center"/>
    </xf>
    <xf numFmtId="164" fontId="9" fillId="8" borderId="7" xfId="0" applyNumberFormat="1" applyFont="1" applyFill="1" applyBorder="1" applyAlignment="1">
      <alignment horizontal="center" vertical="center"/>
    </xf>
    <xf numFmtId="4" fontId="9" fillId="8" borderId="7" xfId="0" applyNumberFormat="1" applyFont="1" applyFill="1" applyBorder="1" applyAlignment="1">
      <alignment horizontal="center" vertical="center"/>
    </xf>
    <xf numFmtId="0" fontId="0" fillId="8" borderId="2" xfId="0" applyFill="1" applyBorder="1"/>
    <xf numFmtId="0" fontId="0" fillId="8" borderId="3" xfId="0" applyFill="1" applyBorder="1"/>
    <xf numFmtId="164" fontId="14" fillId="7" borderId="7" xfId="0" applyNumberFormat="1" applyFont="1" applyFill="1" applyBorder="1" applyAlignment="1">
      <alignment horizontal="center" vertical="center"/>
    </xf>
    <xf numFmtId="164" fontId="14" fillId="8" borderId="7" xfId="0" applyNumberFormat="1" applyFont="1" applyFill="1" applyBorder="1" applyAlignment="1">
      <alignment horizontal="center" vertical="center"/>
    </xf>
    <xf numFmtId="164" fontId="14" fillId="6" borderId="7" xfId="0" applyNumberFormat="1" applyFont="1" applyFill="1" applyBorder="1" applyAlignment="1">
      <alignment horizontal="center" vertical="center"/>
    </xf>
    <xf numFmtId="4" fontId="7" fillId="6" borderId="7" xfId="0" applyNumberFormat="1" applyFont="1" applyFill="1" applyBorder="1" applyAlignment="1">
      <alignment horizontal="center" vertical="center"/>
    </xf>
    <xf numFmtId="0" fontId="0" fillId="3" borderId="0" xfId="0" applyFill="1"/>
    <xf numFmtId="4" fontId="12" fillId="3" borderId="7" xfId="0" applyNumberFormat="1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center" vertical="center" wrapText="1"/>
    </xf>
    <xf numFmtId="4" fontId="9" fillId="3" borderId="3" xfId="0" applyNumberFormat="1" applyFont="1" applyFill="1" applyBorder="1" applyAlignment="1">
      <alignment horizontal="center" vertical="center"/>
    </xf>
    <xf numFmtId="4" fontId="9" fillId="6" borderId="3" xfId="0" applyNumberFormat="1" applyFont="1" applyFill="1" applyBorder="1" applyAlignment="1">
      <alignment horizontal="center" vertical="center" wrapText="1"/>
    </xf>
    <xf numFmtId="4" fontId="9" fillId="6" borderId="3" xfId="0" applyNumberFormat="1" applyFont="1" applyFill="1" applyBorder="1" applyAlignment="1">
      <alignment horizontal="center" vertical="center"/>
    </xf>
    <xf numFmtId="4" fontId="9" fillId="7" borderId="3" xfId="0" applyNumberFormat="1" applyFont="1" applyFill="1" applyBorder="1" applyAlignment="1">
      <alignment horizontal="center" vertical="center" wrapText="1"/>
    </xf>
    <xf numFmtId="4" fontId="9" fillId="8" borderId="3" xfId="0" applyNumberFormat="1" applyFont="1" applyFill="1" applyBorder="1" applyAlignment="1">
      <alignment horizontal="center" vertical="center" wrapText="1"/>
    </xf>
    <xf numFmtId="4" fontId="9" fillId="7" borderId="3" xfId="0" applyNumberFormat="1" applyFont="1" applyFill="1" applyBorder="1" applyAlignment="1">
      <alignment horizontal="center" vertical="center"/>
    </xf>
    <xf numFmtId="4" fontId="9" fillId="8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 wrapText="1"/>
    </xf>
    <xf numFmtId="164" fontId="11" fillId="0" borderId="12" xfId="0" applyNumberFormat="1" applyFont="1" applyBorder="1" applyAlignment="1">
      <alignment horizontal="center" vertical="center"/>
    </xf>
    <xf numFmtId="164" fontId="9" fillId="6" borderId="12" xfId="0" applyNumberFormat="1" applyFont="1" applyFill="1" applyBorder="1" applyAlignment="1">
      <alignment horizontal="center" vertical="center" wrapText="1"/>
    </xf>
    <xf numFmtId="164" fontId="11" fillId="6" borderId="12" xfId="0" applyNumberFormat="1" applyFont="1" applyFill="1" applyBorder="1" applyAlignment="1">
      <alignment horizontal="center" vertical="center"/>
    </xf>
    <xf numFmtId="164" fontId="12" fillId="7" borderId="12" xfId="0" applyNumberFormat="1" applyFont="1" applyFill="1" applyBorder="1" applyAlignment="1">
      <alignment horizontal="center" vertical="center" wrapText="1"/>
    </xf>
    <xf numFmtId="164" fontId="9" fillId="8" borderId="12" xfId="0" applyNumberFormat="1" applyFont="1" applyFill="1" applyBorder="1" applyAlignment="1">
      <alignment horizontal="center" vertical="center" wrapText="1"/>
    </xf>
    <xf numFmtId="164" fontId="13" fillId="7" borderId="12" xfId="0" applyNumberFormat="1" applyFont="1" applyFill="1" applyBorder="1" applyAlignment="1">
      <alignment horizontal="center" vertical="center"/>
    </xf>
    <xf numFmtId="164" fontId="11" fillId="8" borderId="12" xfId="0" applyNumberFormat="1" applyFont="1" applyFill="1" applyBorder="1" applyAlignment="1">
      <alignment horizontal="center" vertical="center"/>
    </xf>
    <xf numFmtId="164" fontId="12" fillId="7" borderId="12" xfId="0" applyNumberFormat="1" applyFont="1" applyFill="1" applyBorder="1" applyAlignment="1">
      <alignment horizontal="center" vertical="center"/>
    </xf>
    <xf numFmtId="164" fontId="9" fillId="8" borderId="12" xfId="0" applyNumberFormat="1" applyFont="1" applyFill="1" applyBorder="1" applyAlignment="1">
      <alignment horizontal="center" vertical="center"/>
    </xf>
    <xf numFmtId="164" fontId="9" fillId="6" borderId="12" xfId="0" applyNumberFormat="1" applyFont="1" applyFill="1" applyBorder="1" applyAlignment="1">
      <alignment horizontal="center" vertical="center"/>
    </xf>
    <xf numFmtId="4" fontId="9" fillId="3" borderId="1" xfId="0" applyNumberFormat="1" applyFont="1" applyFill="1" applyBorder="1" applyAlignment="1">
      <alignment horizontal="center" vertical="center" wrapText="1"/>
    </xf>
    <xf numFmtId="4" fontId="9" fillId="6" borderId="1" xfId="0" applyNumberFormat="1" applyFont="1" applyFill="1" applyBorder="1" applyAlignment="1">
      <alignment horizontal="center" vertical="center" wrapText="1"/>
    </xf>
    <xf numFmtId="4" fontId="9" fillId="7" borderId="1" xfId="0" applyNumberFormat="1" applyFont="1" applyFill="1" applyBorder="1" applyAlignment="1">
      <alignment horizontal="center" vertical="center" wrapText="1"/>
    </xf>
    <xf numFmtId="4" fontId="9" fillId="8" borderId="1" xfId="0" applyNumberFormat="1" applyFont="1" applyFill="1" applyBorder="1" applyAlignment="1">
      <alignment horizontal="center" vertical="center" wrapText="1"/>
    </xf>
    <xf numFmtId="4" fontId="7" fillId="0" borderId="3" xfId="0" applyNumberFormat="1" applyFont="1" applyBorder="1" applyAlignment="1">
      <alignment horizontal="center" vertical="center"/>
    </xf>
    <xf numFmtId="4" fontId="9" fillId="0" borderId="3" xfId="0" applyNumberFormat="1" applyFont="1" applyBorder="1" applyAlignment="1">
      <alignment horizontal="center" vertical="center"/>
    </xf>
    <xf numFmtId="4" fontId="7" fillId="6" borderId="3" xfId="0" applyNumberFormat="1" applyFont="1" applyFill="1" applyBorder="1" applyAlignment="1">
      <alignment horizontal="center" vertical="center"/>
    </xf>
    <xf numFmtId="0" fontId="0" fillId="4" borderId="14" xfId="0" applyFill="1" applyBorder="1"/>
    <xf numFmtId="0" fontId="16" fillId="9" borderId="15" xfId="0" applyFont="1" applyFill="1" applyBorder="1"/>
    <xf numFmtId="0" fontId="16" fillId="9" borderId="16" xfId="0" applyFont="1" applyFill="1" applyBorder="1"/>
    <xf numFmtId="4" fontId="17" fillId="9" borderId="12" xfId="0" applyNumberFormat="1" applyFont="1" applyFill="1" applyBorder="1" applyAlignment="1">
      <alignment horizontal="center" vertical="center" wrapText="1"/>
    </xf>
    <xf numFmtId="4" fontId="17" fillId="10" borderId="12" xfId="0" applyNumberFormat="1" applyFont="1" applyFill="1" applyBorder="1" applyAlignment="1">
      <alignment horizontal="center" vertical="center" wrapText="1"/>
    </xf>
    <xf numFmtId="0" fontId="16" fillId="10" borderId="12" xfId="0" applyFont="1" applyFill="1" applyBorder="1"/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164" fontId="11" fillId="6" borderId="17" xfId="0" applyNumberFormat="1" applyFont="1" applyFill="1" applyBorder="1" applyAlignment="1">
      <alignment horizontal="center" vertical="center"/>
    </xf>
    <xf numFmtId="164" fontId="9" fillId="0" borderId="18" xfId="0" applyNumberFormat="1" applyFont="1" applyBorder="1" applyAlignment="1">
      <alignment horizontal="center" vertical="center" wrapText="1"/>
    </xf>
    <xf numFmtId="164" fontId="9" fillId="0" borderId="19" xfId="0" applyNumberFormat="1" applyFont="1" applyBorder="1" applyAlignment="1">
      <alignment horizontal="center" vertical="center"/>
    </xf>
    <xf numFmtId="164" fontId="9" fillId="6" borderId="19" xfId="0" applyNumberFormat="1" applyFont="1" applyFill="1" applyBorder="1" applyAlignment="1">
      <alignment horizontal="center" vertical="center" wrapText="1"/>
    </xf>
    <xf numFmtId="164" fontId="9" fillId="6" borderId="19" xfId="0" applyNumberFormat="1" applyFont="1" applyFill="1" applyBorder="1" applyAlignment="1">
      <alignment horizontal="center" vertical="center"/>
    </xf>
    <xf numFmtId="164" fontId="9" fillId="0" borderId="19" xfId="0" applyNumberFormat="1" applyFont="1" applyBorder="1" applyAlignment="1">
      <alignment horizontal="center" vertical="center" wrapText="1"/>
    </xf>
    <xf numFmtId="164" fontId="12" fillId="7" borderId="19" xfId="0" applyNumberFormat="1" applyFont="1" applyFill="1" applyBorder="1" applyAlignment="1">
      <alignment horizontal="center" vertical="center" wrapText="1"/>
    </xf>
    <xf numFmtId="164" fontId="9" fillId="8" borderId="19" xfId="0" applyNumberFormat="1" applyFont="1" applyFill="1" applyBorder="1" applyAlignment="1">
      <alignment horizontal="center" vertical="center" wrapText="1"/>
    </xf>
    <xf numFmtId="164" fontId="12" fillId="7" borderId="19" xfId="0" applyNumberFormat="1" applyFont="1" applyFill="1" applyBorder="1" applyAlignment="1">
      <alignment horizontal="center" vertical="center"/>
    </xf>
    <xf numFmtId="164" fontId="9" fillId="8" borderId="19" xfId="0" applyNumberFormat="1" applyFont="1" applyFill="1" applyBorder="1" applyAlignment="1">
      <alignment horizontal="center" vertical="center"/>
    </xf>
    <xf numFmtId="164" fontId="9" fillId="6" borderId="17" xfId="0" applyNumberFormat="1" applyFont="1" applyFill="1" applyBorder="1" applyAlignment="1">
      <alignment horizontal="center" vertical="center"/>
    </xf>
    <xf numFmtId="164" fontId="12" fillId="7" borderId="18" xfId="0" applyNumberFormat="1" applyFont="1" applyFill="1" applyBorder="1" applyAlignment="1">
      <alignment horizontal="center" vertical="center" wrapText="1"/>
    </xf>
    <xf numFmtId="164" fontId="13" fillId="7" borderId="19" xfId="0" applyNumberFormat="1" applyFont="1" applyFill="1" applyBorder="1" applyAlignment="1">
      <alignment horizontal="center" vertical="center"/>
    </xf>
    <xf numFmtId="164" fontId="11" fillId="8" borderId="19" xfId="0" applyNumberFormat="1" applyFont="1" applyFill="1" applyBorder="1" applyAlignment="1">
      <alignment horizontal="center" vertical="center"/>
    </xf>
    <xf numFmtId="164" fontId="11" fillId="0" borderId="19" xfId="0" applyNumberFormat="1" applyFont="1" applyBorder="1" applyAlignment="1">
      <alignment horizontal="center" vertical="center"/>
    </xf>
    <xf numFmtId="164" fontId="11" fillId="6" borderId="19" xfId="0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164" fontId="9" fillId="6" borderId="18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3" fillId="6" borderId="13" xfId="0" applyFont="1" applyFill="1" applyBorder="1" applyAlignment="1">
      <alignment vertical="center"/>
    </xf>
    <xf numFmtId="0" fontId="3" fillId="6" borderId="9" xfId="0" applyFont="1" applyFill="1" applyBorder="1" applyAlignment="1">
      <alignment vertical="center"/>
    </xf>
    <xf numFmtId="164" fontId="9" fillId="6" borderId="17" xfId="0" applyNumberFormat="1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vertical="center"/>
    </xf>
    <xf numFmtId="0" fontId="3" fillId="6" borderId="3" xfId="0" applyFont="1" applyFill="1" applyBorder="1" applyAlignment="1">
      <alignment vertical="center"/>
    </xf>
    <xf numFmtId="164" fontId="9" fillId="6" borderId="21" xfId="0" applyNumberFormat="1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left" vertical="center"/>
    </xf>
    <xf numFmtId="0" fontId="9" fillId="10" borderId="7" xfId="0" applyFont="1" applyFill="1" applyBorder="1" applyAlignment="1">
      <alignment horizontal="left" vertical="center" wrapText="1"/>
    </xf>
    <xf numFmtId="0" fontId="9" fillId="10" borderId="7" xfId="0" applyFont="1" applyFill="1" applyBorder="1" applyAlignment="1">
      <alignment horizontal="center" vertical="center" wrapText="1"/>
    </xf>
    <xf numFmtId="164" fontId="9" fillId="10" borderId="7" xfId="0" applyNumberFormat="1" applyFont="1" applyFill="1" applyBorder="1" applyAlignment="1">
      <alignment horizontal="center" vertical="center" wrapText="1"/>
    </xf>
    <xf numFmtId="164" fontId="9" fillId="10" borderId="19" xfId="0" applyNumberFormat="1" applyFont="1" applyFill="1" applyBorder="1" applyAlignment="1">
      <alignment horizontal="center" vertical="center" wrapText="1"/>
    </xf>
    <xf numFmtId="4" fontId="9" fillId="10" borderId="3" xfId="0" applyNumberFormat="1" applyFont="1" applyFill="1" applyBorder="1" applyAlignment="1">
      <alignment horizontal="center" vertical="center" wrapText="1"/>
    </xf>
    <xf numFmtId="4" fontId="9" fillId="10" borderId="1" xfId="0" applyNumberFormat="1" applyFont="1" applyFill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/>
    </xf>
    <xf numFmtId="164" fontId="9" fillId="6" borderId="1" xfId="0" applyNumberFormat="1" applyFont="1" applyFill="1" applyBorder="1" applyAlignment="1">
      <alignment horizontal="center" vertical="center" wrapText="1"/>
    </xf>
    <xf numFmtId="164" fontId="9" fillId="6" borderId="1" xfId="0" applyNumberFormat="1" applyFont="1" applyFill="1" applyBorder="1" applyAlignment="1">
      <alignment horizontal="center" vertical="center"/>
    </xf>
    <xf numFmtId="164" fontId="9" fillId="7" borderId="1" xfId="0" applyNumberFormat="1" applyFont="1" applyFill="1" applyBorder="1" applyAlignment="1">
      <alignment horizontal="center" vertical="center" wrapText="1"/>
    </xf>
    <xf numFmtId="164" fontId="9" fillId="8" borderId="1" xfId="0" applyNumberFormat="1" applyFont="1" applyFill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/>
    </xf>
    <xf numFmtId="164" fontId="9" fillId="8" borderId="1" xfId="0" applyNumberFormat="1" applyFont="1" applyFill="1" applyBorder="1" applyAlignment="1">
      <alignment horizontal="center" vertical="center"/>
    </xf>
    <xf numFmtId="164" fontId="14" fillId="7" borderId="1" xfId="0" applyNumberFormat="1" applyFont="1" applyFill="1" applyBorder="1" applyAlignment="1">
      <alignment horizontal="center" vertical="center"/>
    </xf>
    <xf numFmtId="164" fontId="14" fillId="8" borderId="1" xfId="0" applyNumberFormat="1" applyFont="1" applyFill="1" applyBorder="1" applyAlignment="1">
      <alignment horizontal="center" vertical="center"/>
    </xf>
    <xf numFmtId="164" fontId="14" fillId="6" borderId="1" xfId="0" applyNumberFormat="1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0" fontId="9" fillId="8" borderId="19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vertical="center"/>
    </xf>
    <xf numFmtId="0" fontId="9" fillId="0" borderId="24" xfId="0" applyFont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 vertical="center" wrapText="1"/>
    </xf>
    <xf numFmtId="0" fontId="3" fillId="0" borderId="25" xfId="0" applyFont="1" applyBorder="1" applyAlignment="1">
      <alignment vertical="center"/>
    </xf>
    <xf numFmtId="0" fontId="9" fillId="7" borderId="24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9" fillId="6" borderId="24" xfId="0" applyFont="1" applyFill="1" applyBorder="1" applyAlignment="1">
      <alignment horizontal="center" vertical="center" wrapText="1"/>
    </xf>
    <xf numFmtId="164" fontId="18" fillId="10" borderId="19" xfId="0" applyNumberFormat="1" applyFont="1" applyFill="1" applyBorder="1" applyAlignment="1">
      <alignment horizontal="center" vertical="center" wrapText="1"/>
    </xf>
    <xf numFmtId="0" fontId="3" fillId="6" borderId="25" xfId="0" applyFont="1" applyFill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6" borderId="23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vertical="center"/>
    </xf>
    <xf numFmtId="0" fontId="3" fillId="6" borderId="18" xfId="0" applyFont="1" applyFill="1" applyBorder="1" applyAlignment="1">
      <alignment vertical="center"/>
    </xf>
    <xf numFmtId="0" fontId="3" fillId="6" borderId="19" xfId="0" applyFont="1" applyFill="1" applyBorder="1" applyAlignment="1">
      <alignment vertical="center"/>
    </xf>
    <xf numFmtId="0" fontId="3" fillId="6" borderId="22" xfId="0" applyFont="1" applyFill="1" applyBorder="1" applyAlignment="1">
      <alignment horizontal="center" vertical="center"/>
    </xf>
    <xf numFmtId="0" fontId="9" fillId="6" borderId="26" xfId="0" applyFont="1" applyFill="1" applyBorder="1" applyAlignment="1">
      <alignment horizontal="center" vertical="center" wrapText="1"/>
    </xf>
    <xf numFmtId="4" fontId="19" fillId="10" borderId="12" xfId="0" applyNumberFormat="1" applyFont="1" applyFill="1" applyBorder="1" applyAlignment="1">
      <alignment horizontal="center" vertical="center" wrapText="1"/>
    </xf>
    <xf numFmtId="4" fontId="19" fillId="13" borderId="12" xfId="0" applyNumberFormat="1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vertical="center"/>
    </xf>
    <xf numFmtId="0" fontId="19" fillId="13" borderId="12" xfId="0" applyFont="1" applyFill="1" applyBorder="1" applyAlignment="1">
      <alignment vertical="center"/>
    </xf>
    <xf numFmtId="0" fontId="19" fillId="12" borderId="11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3" borderId="12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right" vertical="center"/>
    </xf>
    <xf numFmtId="0" fontId="16" fillId="10" borderId="16" xfId="0" applyFont="1" applyFill="1" applyBorder="1"/>
    <xf numFmtId="4" fontId="12" fillId="3" borderId="9" xfId="0" applyNumberFormat="1" applyFont="1" applyFill="1" applyBorder="1" applyAlignment="1">
      <alignment horizontal="center" vertical="center"/>
    </xf>
    <xf numFmtId="4" fontId="12" fillId="3" borderId="4" xfId="0" applyNumberFormat="1" applyFont="1" applyFill="1" applyBorder="1" applyAlignment="1">
      <alignment horizontal="center" vertical="center"/>
    </xf>
    <xf numFmtId="0" fontId="0" fillId="0" borderId="27" xfId="0" applyBorder="1"/>
    <xf numFmtId="0" fontId="0" fillId="0" borderId="30" xfId="0" applyBorder="1"/>
    <xf numFmtId="4" fontId="22" fillId="0" borderId="8" xfId="0" applyNumberFormat="1" applyFont="1" applyBorder="1" applyAlignment="1">
      <alignment horizontal="center" vertical="center"/>
    </xf>
    <xf numFmtId="0" fontId="19" fillId="13" borderId="20" xfId="0" applyFont="1" applyFill="1" applyBorder="1" applyAlignment="1">
      <alignment horizontal="center" vertical="center" wrapText="1"/>
    </xf>
    <xf numFmtId="4" fontId="21" fillId="13" borderId="8" xfId="0" applyNumberFormat="1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left" vertical="center"/>
    </xf>
    <xf numFmtId="0" fontId="9" fillId="13" borderId="7" xfId="0" applyFont="1" applyFill="1" applyBorder="1" applyAlignment="1">
      <alignment horizontal="left" vertical="center" wrapText="1"/>
    </xf>
    <xf numFmtId="0" fontId="9" fillId="13" borderId="7" xfId="0" applyFont="1" applyFill="1" applyBorder="1" applyAlignment="1">
      <alignment horizontal="center" vertical="center" wrapText="1"/>
    </xf>
    <xf numFmtId="164" fontId="9" fillId="13" borderId="7" xfId="0" applyNumberFormat="1" applyFont="1" applyFill="1" applyBorder="1" applyAlignment="1">
      <alignment horizontal="center" vertical="center" wrapText="1"/>
    </xf>
    <xf numFmtId="164" fontId="9" fillId="13" borderId="1" xfId="0" applyNumberFormat="1" applyFont="1" applyFill="1" applyBorder="1" applyAlignment="1">
      <alignment horizontal="center" vertical="center" wrapText="1"/>
    </xf>
    <xf numFmtId="164" fontId="9" fillId="13" borderId="19" xfId="0" applyNumberFormat="1" applyFont="1" applyFill="1" applyBorder="1" applyAlignment="1">
      <alignment horizontal="center" vertical="center" wrapText="1"/>
    </xf>
    <xf numFmtId="4" fontId="9" fillId="13" borderId="3" xfId="0" applyNumberFormat="1" applyFont="1" applyFill="1" applyBorder="1" applyAlignment="1">
      <alignment horizontal="center" vertical="center" wrapText="1"/>
    </xf>
    <xf numFmtId="4" fontId="9" fillId="13" borderId="1" xfId="0" applyNumberFormat="1" applyFont="1" applyFill="1" applyBorder="1" applyAlignment="1">
      <alignment horizontal="center" vertical="center" wrapText="1"/>
    </xf>
    <xf numFmtId="4" fontId="17" fillId="13" borderId="12" xfId="0" applyNumberFormat="1" applyFont="1" applyFill="1" applyBorder="1" applyAlignment="1">
      <alignment horizontal="center" vertical="center" wrapText="1"/>
    </xf>
    <xf numFmtId="164" fontId="20" fillId="6" borderId="1" xfId="0" applyNumberFormat="1" applyFont="1" applyFill="1" applyBorder="1" applyAlignment="1">
      <alignment horizontal="center" vertical="center" wrapText="1"/>
    </xf>
    <xf numFmtId="164" fontId="20" fillId="6" borderId="19" xfId="0" applyNumberFormat="1" applyFont="1" applyFill="1" applyBorder="1" applyAlignment="1">
      <alignment horizontal="center" vertical="center" wrapText="1"/>
    </xf>
    <xf numFmtId="164" fontId="23" fillId="6" borderId="24" xfId="0" applyNumberFormat="1" applyFont="1" applyFill="1" applyBorder="1" applyAlignment="1">
      <alignment horizontal="center" vertical="center" wrapText="1"/>
    </xf>
    <xf numFmtId="164" fontId="23" fillId="10" borderId="19" xfId="0" applyNumberFormat="1" applyFont="1" applyFill="1" applyBorder="1" applyAlignment="1">
      <alignment horizontal="center" vertical="center" wrapText="1"/>
    </xf>
    <xf numFmtId="164" fontId="20" fillId="10" borderId="1" xfId="0" applyNumberFormat="1" applyFont="1" applyFill="1" applyBorder="1" applyAlignment="1">
      <alignment horizontal="center" vertical="center" wrapText="1"/>
    </xf>
    <xf numFmtId="164" fontId="23" fillId="6" borderId="19" xfId="0" applyNumberFormat="1" applyFont="1" applyFill="1" applyBorder="1" applyAlignment="1">
      <alignment horizontal="center" vertical="center" wrapText="1"/>
    </xf>
    <xf numFmtId="0" fontId="4" fillId="14" borderId="7" xfId="0" applyFont="1" applyFill="1" applyBorder="1" applyAlignment="1">
      <alignment horizontal="left" vertical="center"/>
    </xf>
    <xf numFmtId="0" fontId="9" fillId="14" borderId="7" xfId="0" applyFont="1" applyFill="1" applyBorder="1" applyAlignment="1">
      <alignment horizontal="left" vertical="center" wrapText="1"/>
    </xf>
    <xf numFmtId="0" fontId="9" fillId="14" borderId="7" xfId="0" applyFont="1" applyFill="1" applyBorder="1" applyAlignment="1">
      <alignment horizontal="center" vertical="center" wrapText="1"/>
    </xf>
    <xf numFmtId="164" fontId="9" fillId="14" borderId="7" xfId="0" applyNumberFormat="1" applyFont="1" applyFill="1" applyBorder="1" applyAlignment="1">
      <alignment horizontal="center" vertical="center" wrapText="1"/>
    </xf>
    <xf numFmtId="164" fontId="9" fillId="14" borderId="19" xfId="0" applyNumberFormat="1" applyFont="1" applyFill="1" applyBorder="1" applyAlignment="1">
      <alignment horizontal="center" vertical="center" wrapText="1"/>
    </xf>
    <xf numFmtId="4" fontId="9" fillId="14" borderId="3" xfId="0" applyNumberFormat="1" applyFont="1" applyFill="1" applyBorder="1" applyAlignment="1">
      <alignment horizontal="center" vertical="center" wrapText="1"/>
    </xf>
    <xf numFmtId="4" fontId="9" fillId="14" borderId="1" xfId="0" applyNumberFormat="1" applyFont="1" applyFill="1" applyBorder="1" applyAlignment="1">
      <alignment horizontal="center" vertical="center" wrapText="1"/>
    </xf>
    <xf numFmtId="4" fontId="17" fillId="14" borderId="12" xfId="0" applyNumberFormat="1" applyFont="1" applyFill="1" applyBorder="1" applyAlignment="1">
      <alignment horizontal="center" vertical="center" wrapText="1"/>
    </xf>
    <xf numFmtId="164" fontId="20" fillId="14" borderId="1" xfId="0" applyNumberFormat="1" applyFont="1" applyFill="1" applyBorder="1" applyAlignment="1">
      <alignment horizontal="center" vertical="center" wrapText="1"/>
    </xf>
    <xf numFmtId="164" fontId="23" fillId="14" borderId="19" xfId="0" applyNumberFormat="1" applyFont="1" applyFill="1" applyBorder="1" applyAlignment="1">
      <alignment horizontal="center" vertical="center" wrapText="1"/>
    </xf>
    <xf numFmtId="4" fontId="19" fillId="14" borderId="12" xfId="0" applyNumberFormat="1" applyFont="1" applyFill="1" applyBorder="1" applyAlignment="1">
      <alignment horizontal="center" vertical="center" wrapText="1"/>
    </xf>
    <xf numFmtId="164" fontId="18" fillId="6" borderId="19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4" fillId="0" borderId="5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18" fillId="11" borderId="4" xfId="0" applyFont="1" applyFill="1" applyBorder="1" applyAlignment="1">
      <alignment horizontal="center" vertical="center" wrapText="1"/>
    </xf>
    <xf numFmtId="0" fontId="18" fillId="11" borderId="5" xfId="0" applyFont="1" applyFill="1" applyBorder="1" applyAlignment="1">
      <alignment horizontal="center" vertical="center" wrapText="1"/>
    </xf>
    <xf numFmtId="0" fontId="18" fillId="11" borderId="6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colors>
    <mruColors>
      <color rgb="FFFFFFCC"/>
      <color rgb="FFCC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F35CF-26A1-42C9-B06A-5AA66DA17A2D}">
  <sheetPr>
    <tabColor rgb="FFFF0000"/>
  </sheetPr>
  <dimension ref="A1:W923"/>
  <sheetViews>
    <sheetView tabSelected="1" view="pageBreakPreview" topLeftCell="B917" zoomScale="47" zoomScaleNormal="53" zoomScaleSheetLayoutView="47" workbookViewId="0">
      <selection activeCell="H320" sqref="H320"/>
    </sheetView>
  </sheetViews>
  <sheetFormatPr defaultRowHeight="14.5" x14ac:dyDescent="0.35"/>
  <cols>
    <col min="1" max="1" width="20" customWidth="1"/>
    <col min="2" max="2" width="21.7265625" bestFit="1" customWidth="1"/>
    <col min="3" max="3" width="55.453125" customWidth="1"/>
    <col min="4" max="4" width="38" hidden="1" customWidth="1"/>
    <col min="5" max="5" width="38" customWidth="1"/>
    <col min="6" max="7" width="16.453125" customWidth="1"/>
    <col min="8" max="8" width="22.26953125" customWidth="1"/>
    <col min="9" max="9" width="28.7265625" customWidth="1"/>
    <col min="10" max="10" width="22" customWidth="1"/>
    <col min="11" max="11" width="23.6328125" customWidth="1"/>
    <col min="12" max="12" width="14.36328125" customWidth="1"/>
    <col min="13" max="13" width="10.6328125" customWidth="1"/>
    <col min="14" max="14" width="16" customWidth="1"/>
    <col min="15" max="15" width="20.54296875" customWidth="1"/>
    <col min="16" max="16" width="19.90625" customWidth="1"/>
    <col min="17" max="17" width="25" customWidth="1"/>
    <col min="18" max="18" width="2.36328125" hidden="1" customWidth="1"/>
    <col min="19" max="19" width="17" hidden="1" customWidth="1"/>
    <col min="20" max="20" width="17.6328125" hidden="1" customWidth="1"/>
    <col min="21" max="21" width="18" hidden="1" customWidth="1"/>
    <col min="22" max="22" width="18.81640625" hidden="1" customWidth="1"/>
    <col min="23" max="23" width="23.6328125" hidden="1" customWidth="1"/>
  </cols>
  <sheetData>
    <row r="1" spans="1:23" ht="15" customHeight="1" x14ac:dyDescent="0.35">
      <c r="A1" s="1" t="s">
        <v>0</v>
      </c>
      <c r="B1" s="3"/>
      <c r="C1" s="3"/>
      <c r="D1" s="2" t="s">
        <v>1</v>
      </c>
      <c r="E1" s="2" t="s">
        <v>3</v>
      </c>
      <c r="F1" s="2" t="s">
        <v>2</v>
      </c>
      <c r="G1" s="2" t="s">
        <v>10</v>
      </c>
      <c r="H1" s="2"/>
      <c r="I1" s="2" t="s">
        <v>11</v>
      </c>
      <c r="J1" s="2"/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3"/>
      <c r="R1" s="3"/>
      <c r="S1" s="3"/>
      <c r="T1" s="3"/>
      <c r="U1" s="3"/>
      <c r="V1" s="3"/>
      <c r="W1" s="3"/>
    </row>
    <row r="2" spans="1:23" ht="30.75" customHeight="1" x14ac:dyDescent="0.35">
      <c r="A2" s="218" t="s">
        <v>4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</row>
    <row r="3" spans="1:23" ht="15" customHeight="1" x14ac:dyDescent="0.35">
      <c r="A3" s="219" t="s">
        <v>5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</row>
    <row r="4" spans="1:23" ht="15" customHeight="1" x14ac:dyDescent="0.35">
      <c r="A4" s="220" t="s">
        <v>6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</row>
    <row r="5" spans="1:23" ht="40.75" customHeight="1" x14ac:dyDescent="0.35">
      <c r="A5" s="213" t="s">
        <v>18</v>
      </c>
      <c r="B5" s="213" t="s">
        <v>19</v>
      </c>
      <c r="C5" s="213" t="s">
        <v>20</v>
      </c>
      <c r="D5" s="213" t="s">
        <v>21</v>
      </c>
      <c r="E5" s="213" t="s">
        <v>22</v>
      </c>
      <c r="F5" s="213" t="s">
        <v>23</v>
      </c>
      <c r="G5" s="213" t="s">
        <v>24</v>
      </c>
      <c r="H5" s="235" t="s">
        <v>1519</v>
      </c>
      <c r="I5" s="232" t="s">
        <v>1521</v>
      </c>
      <c r="J5" s="232" t="s">
        <v>1520</v>
      </c>
      <c r="K5" s="235" t="s">
        <v>25</v>
      </c>
      <c r="L5" s="221" t="s">
        <v>7</v>
      </c>
      <c r="M5" s="222"/>
      <c r="N5" s="222"/>
      <c r="O5" s="222"/>
      <c r="P5" s="222"/>
      <c r="Q5" s="223"/>
      <c r="R5" s="224" t="s">
        <v>8</v>
      </c>
      <c r="S5" s="225"/>
      <c r="T5" s="226"/>
      <c r="U5" s="224" t="s">
        <v>9</v>
      </c>
      <c r="V5" s="225"/>
      <c r="W5" s="226"/>
    </row>
    <row r="6" spans="1:23" ht="15.75" customHeight="1" x14ac:dyDescent="0.35">
      <c r="A6" s="227"/>
      <c r="B6" s="227"/>
      <c r="C6" s="227"/>
      <c r="D6" s="227"/>
      <c r="E6" s="227"/>
      <c r="F6" s="227"/>
      <c r="G6" s="227"/>
      <c r="H6" s="236"/>
      <c r="I6" s="233"/>
      <c r="J6" s="233"/>
      <c r="K6" s="236"/>
      <c r="L6" s="211" t="s">
        <v>26</v>
      </c>
      <c r="M6" s="212"/>
      <c r="N6" s="213" t="s">
        <v>26</v>
      </c>
      <c r="O6" s="211" t="s">
        <v>29</v>
      </c>
      <c r="P6" s="212"/>
      <c r="Q6" s="213" t="s">
        <v>30</v>
      </c>
      <c r="R6" s="211" t="s">
        <v>26</v>
      </c>
      <c r="S6" s="212"/>
      <c r="T6" s="213" t="s">
        <v>26</v>
      </c>
      <c r="U6" s="211" t="s">
        <v>29</v>
      </c>
      <c r="V6" s="212"/>
      <c r="W6" s="213" t="s">
        <v>30</v>
      </c>
    </row>
    <row r="7" spans="1:23" ht="31.25" customHeight="1" x14ac:dyDescent="0.35">
      <c r="A7" s="214"/>
      <c r="B7" s="214"/>
      <c r="C7" s="214"/>
      <c r="D7" s="214"/>
      <c r="E7" s="214"/>
      <c r="F7" s="214"/>
      <c r="G7" s="214"/>
      <c r="H7" s="237"/>
      <c r="I7" s="234"/>
      <c r="J7" s="234"/>
      <c r="K7" s="237"/>
      <c r="L7" s="4" t="s">
        <v>27</v>
      </c>
      <c r="M7" s="4" t="s">
        <v>28</v>
      </c>
      <c r="N7" s="214"/>
      <c r="O7" s="4" t="s">
        <v>27</v>
      </c>
      <c r="P7" s="4" t="s">
        <v>28</v>
      </c>
      <c r="Q7" s="214"/>
      <c r="R7" s="4" t="s">
        <v>27</v>
      </c>
      <c r="S7" s="4" t="s">
        <v>28</v>
      </c>
      <c r="T7" s="214"/>
      <c r="U7" s="4" t="s">
        <v>27</v>
      </c>
      <c r="V7" s="4" t="s">
        <v>28</v>
      </c>
      <c r="W7" s="214"/>
    </row>
    <row r="8" spans="1:23" ht="30" customHeight="1" thickBot="1" x14ac:dyDescent="0.4">
      <c r="A8" s="215" t="s">
        <v>31</v>
      </c>
      <c r="B8" s="216"/>
      <c r="C8" s="216"/>
      <c r="D8" s="216"/>
      <c r="E8" s="216"/>
      <c r="F8" s="216"/>
      <c r="G8" s="216"/>
      <c r="H8" s="216"/>
      <c r="I8" s="216"/>
      <c r="J8" s="216"/>
      <c r="K8" s="217"/>
      <c r="L8" s="6"/>
      <c r="M8" s="6"/>
      <c r="N8" s="86"/>
      <c r="O8" s="7">
        <f>SUM(O9,O918)</f>
        <v>48343925.430000007</v>
      </c>
      <c r="P8" s="7">
        <f>SUM(P9,P918)</f>
        <v>97174132.929999992</v>
      </c>
      <c r="Q8" s="7">
        <f>SUM(Q9,Q918)</f>
        <v>145518058.35999998</v>
      </c>
      <c r="R8" s="6"/>
      <c r="S8" s="6"/>
      <c r="T8" s="6"/>
      <c r="U8" s="7">
        <f>SUM(U9,U918)</f>
        <v>55954680.140000015</v>
      </c>
      <c r="V8" s="7">
        <f>SUM(V9,V918)</f>
        <v>97174132.929999992</v>
      </c>
      <c r="W8" s="7">
        <f>SUM(W9,W918)</f>
        <v>153128813.07000002</v>
      </c>
    </row>
    <row r="9" spans="1:23" ht="17" customHeight="1" x14ac:dyDescent="0.35">
      <c r="A9" s="8" t="s">
        <v>32</v>
      </c>
      <c r="B9" s="8" t="s">
        <v>33</v>
      </c>
      <c r="C9" s="208" t="s">
        <v>34</v>
      </c>
      <c r="D9" s="209"/>
      <c r="E9" s="209"/>
      <c r="F9" s="209"/>
      <c r="G9" s="209"/>
      <c r="H9" s="209"/>
      <c r="I9" s="209"/>
      <c r="J9" s="209"/>
      <c r="K9" s="210"/>
      <c r="N9" s="87"/>
      <c r="O9" s="83">
        <f t="shared" ref="O9:Q11" si="0">SUM(O10)</f>
        <v>48343925.430000007</v>
      </c>
      <c r="P9" s="5">
        <f t="shared" si="0"/>
        <v>96116400.219999999</v>
      </c>
      <c r="Q9" s="5">
        <f t="shared" si="0"/>
        <v>144460325.64999998</v>
      </c>
      <c r="U9" s="5">
        <f t="shared" ref="U9:W11" si="1">SUM(U10)</f>
        <v>55954680.140000015</v>
      </c>
      <c r="V9" s="5">
        <f t="shared" si="1"/>
        <v>96116400.219999999</v>
      </c>
      <c r="W9" s="5">
        <f t="shared" si="1"/>
        <v>152071080.36000001</v>
      </c>
    </row>
    <row r="10" spans="1:23" ht="17" customHeight="1" x14ac:dyDescent="0.35">
      <c r="A10" s="8" t="s">
        <v>35</v>
      </c>
      <c r="B10" s="8" t="s">
        <v>36</v>
      </c>
      <c r="C10" s="208" t="s">
        <v>37</v>
      </c>
      <c r="D10" s="209"/>
      <c r="E10" s="209"/>
      <c r="F10" s="209"/>
      <c r="G10" s="209"/>
      <c r="H10" s="209"/>
      <c r="I10" s="209"/>
      <c r="J10" s="209"/>
      <c r="K10" s="210"/>
      <c r="N10" s="88"/>
      <c r="O10" s="83">
        <f t="shared" si="0"/>
        <v>48343925.430000007</v>
      </c>
      <c r="P10" s="5">
        <f t="shared" si="0"/>
        <v>96116400.219999999</v>
      </c>
      <c r="Q10" s="5">
        <f t="shared" si="0"/>
        <v>144460325.64999998</v>
      </c>
      <c r="U10" s="5">
        <f t="shared" si="1"/>
        <v>55954680.140000015</v>
      </c>
      <c r="V10" s="5">
        <f t="shared" si="1"/>
        <v>96116400.219999999</v>
      </c>
      <c r="W10" s="5">
        <f t="shared" si="1"/>
        <v>152071080.36000001</v>
      </c>
    </row>
    <row r="11" spans="1:23" ht="17" customHeight="1" x14ac:dyDescent="0.35">
      <c r="A11" s="8" t="s">
        <v>38</v>
      </c>
      <c r="B11" s="8" t="s">
        <v>39</v>
      </c>
      <c r="C11" s="208" t="s">
        <v>40</v>
      </c>
      <c r="D11" s="209"/>
      <c r="E11" s="209"/>
      <c r="F11" s="209"/>
      <c r="G11" s="209"/>
      <c r="H11" s="209"/>
      <c r="I11" s="209"/>
      <c r="J11" s="209"/>
      <c r="K11" s="210"/>
      <c r="N11" s="88"/>
      <c r="O11" s="83">
        <f t="shared" si="0"/>
        <v>48343925.430000007</v>
      </c>
      <c r="P11" s="5">
        <f t="shared" si="0"/>
        <v>96116400.219999999</v>
      </c>
      <c r="Q11" s="5">
        <f t="shared" si="0"/>
        <v>144460325.64999998</v>
      </c>
      <c r="U11" s="5">
        <f t="shared" si="1"/>
        <v>55954680.140000015</v>
      </c>
      <c r="V11" s="5">
        <f t="shared" si="1"/>
        <v>96116400.219999999</v>
      </c>
      <c r="W11" s="5">
        <f t="shared" si="1"/>
        <v>152071080.36000001</v>
      </c>
    </row>
    <row r="12" spans="1:23" ht="17" customHeight="1" x14ac:dyDescent="0.35">
      <c r="A12" s="8" t="s">
        <v>41</v>
      </c>
      <c r="B12" s="8" t="s">
        <v>42</v>
      </c>
      <c r="C12" s="208" t="s">
        <v>43</v>
      </c>
      <c r="D12" s="209"/>
      <c r="E12" s="209"/>
      <c r="F12" s="209"/>
      <c r="G12" s="209"/>
      <c r="H12" s="209"/>
      <c r="I12" s="209"/>
      <c r="J12" s="209"/>
      <c r="K12" s="210"/>
      <c r="N12" s="88"/>
      <c r="O12" s="83">
        <f>SUM(O13,O209,O619,O805,O878)</f>
        <v>48343925.430000007</v>
      </c>
      <c r="P12" s="5">
        <f>SUM(P13,P209,P619,P805,P878)</f>
        <v>96116400.219999999</v>
      </c>
      <c r="Q12" s="5">
        <f>SUM(Q13,Q209,Q619,Q805,Q878)</f>
        <v>144460325.64999998</v>
      </c>
      <c r="U12" s="5">
        <f>SUM(U13,U209,U619,U805,U878)</f>
        <v>55954680.140000015</v>
      </c>
      <c r="V12" s="5">
        <f>SUM(V13,V209,V619,V805,V878)</f>
        <v>96116400.219999999</v>
      </c>
      <c r="W12" s="5">
        <f>SUM(W13,W209,W619,W805,W878)</f>
        <v>152071080.36000001</v>
      </c>
    </row>
    <row r="13" spans="1:23" ht="17" customHeight="1" x14ac:dyDescent="0.35">
      <c r="A13" s="8" t="s">
        <v>44</v>
      </c>
      <c r="B13" s="8" t="s">
        <v>45</v>
      </c>
      <c r="C13" s="208" t="s">
        <v>46</v>
      </c>
      <c r="D13" s="209"/>
      <c r="E13" s="209"/>
      <c r="F13" s="209"/>
      <c r="G13" s="209"/>
      <c r="H13" s="209"/>
      <c r="I13" s="209"/>
      <c r="J13" s="209"/>
      <c r="K13" s="210"/>
      <c r="N13" s="88"/>
      <c r="O13" s="83">
        <f>SUM(O14,O102,O119)</f>
        <v>14351684.900000002</v>
      </c>
      <c r="P13" s="5">
        <f>SUM(P14,P102,P119)</f>
        <v>20810202.670000002</v>
      </c>
      <c r="Q13" s="5">
        <f>SUM(Q14,Q102,Q119)</f>
        <v>35161887.57</v>
      </c>
      <c r="U13" s="5">
        <f>SUM(U14,U102,U119)</f>
        <v>22034434.940000005</v>
      </c>
      <c r="V13" s="5">
        <f>SUM(V14,V102,V119)</f>
        <v>20810202.670000002</v>
      </c>
      <c r="W13" s="5">
        <f>SUM(W14,W102,W119)</f>
        <v>42844637.609999999</v>
      </c>
    </row>
    <row r="14" spans="1:23" ht="17" customHeight="1" thickBot="1" x14ac:dyDescent="0.4">
      <c r="A14" s="8" t="s">
        <v>47</v>
      </c>
      <c r="B14" s="8" t="s">
        <v>48</v>
      </c>
      <c r="C14" s="208" t="s">
        <v>49</v>
      </c>
      <c r="D14" s="209"/>
      <c r="E14" s="209"/>
      <c r="F14" s="209"/>
      <c r="G14" s="209"/>
      <c r="H14" s="209"/>
      <c r="I14" s="230"/>
      <c r="J14" s="230"/>
      <c r="K14" s="231"/>
      <c r="N14" s="88"/>
      <c r="O14" s="83">
        <f>SUM(O15,O18,O22,O24,O40,O56,O62,O68,O74,O90,O96)</f>
        <v>9604555.7100000009</v>
      </c>
      <c r="P14" s="5">
        <f>SUM(P15,P18,P22,P24,P40,P56,P62,P68,P74,P90,P96)</f>
        <v>12124369.620000001</v>
      </c>
      <c r="Q14" s="5">
        <f>SUM(Q15,Q18,Q22,Q24,Q40,Q56,Q62,Q68,Q74,Q90,Q96)</f>
        <v>21728925.329999998</v>
      </c>
      <c r="U14" s="5">
        <f>SUM(U15,U18,U22,U24,U40,U56,U62,U68,U74,U90,U96)</f>
        <v>9604555.7100000009</v>
      </c>
      <c r="V14" s="5">
        <f>SUM(V15,V18,V22,V24,V40,V56,V62,V68,V74,V90,V96)</f>
        <v>12124369.620000001</v>
      </c>
      <c r="W14" s="5">
        <f>SUM(W15,W18,W22,W24,W40,W56,W62,W68,W74,W90,W96)</f>
        <v>21728925.329999998</v>
      </c>
    </row>
    <row r="15" spans="1:23" ht="54" x14ac:dyDescent="0.35">
      <c r="A15" s="8" t="s">
        <v>50</v>
      </c>
      <c r="B15" s="8" t="s">
        <v>51</v>
      </c>
      <c r="C15" s="9" t="s">
        <v>52</v>
      </c>
      <c r="D15" s="10" t="s">
        <v>53</v>
      </c>
      <c r="E15" s="10" t="s">
        <v>54</v>
      </c>
      <c r="F15" s="10" t="s">
        <v>55</v>
      </c>
      <c r="G15" s="11">
        <v>1</v>
      </c>
      <c r="H15" s="129"/>
      <c r="I15" s="169"/>
      <c r="J15" s="140"/>
      <c r="K15" s="68">
        <v>4263.2</v>
      </c>
      <c r="L15" s="60">
        <f>IFERROR(ROUND(SUM(O16,O17)/K15, 2),0)</f>
        <v>177.36</v>
      </c>
      <c r="M15" s="79">
        <v>388</v>
      </c>
      <c r="N15" s="89">
        <f>L15+ROUND(M15, 2)</f>
        <v>565.36</v>
      </c>
      <c r="O15" s="60">
        <f>ROUND(L15*K15, 2)</f>
        <v>756121.15</v>
      </c>
      <c r="P15" s="12">
        <f>ROUND(K15*ROUND(M15, 2), 2)</f>
        <v>1654121.6</v>
      </c>
      <c r="Q15" s="12">
        <f>O15+P15</f>
        <v>2410242.75</v>
      </c>
      <c r="R15" s="12">
        <f>IFERROR(ROUND(SUM(U16,U17)/K15, 2),0)</f>
        <v>177.36</v>
      </c>
      <c r="S15" s="13">
        <v>388</v>
      </c>
      <c r="T15" s="12">
        <f>R15+ROUND(S15, 2)</f>
        <v>565.36</v>
      </c>
      <c r="U15" s="12">
        <f>ROUND(R15*K15, 2)</f>
        <v>756121.15</v>
      </c>
      <c r="V15" s="12">
        <f>ROUND(K15*ROUND(S15, 2), 2)</f>
        <v>1654121.6</v>
      </c>
      <c r="W15" s="12">
        <f>U15+V15</f>
        <v>2410242.75</v>
      </c>
    </row>
    <row r="16" spans="1:23" ht="36" x14ac:dyDescent="0.35">
      <c r="A16" s="8" t="s">
        <v>56</v>
      </c>
      <c r="B16" s="8"/>
      <c r="C16" s="14" t="s">
        <v>57</v>
      </c>
      <c r="D16" s="10"/>
      <c r="E16" s="10"/>
      <c r="F16" s="15" t="s">
        <v>58</v>
      </c>
      <c r="G16" s="16">
        <v>1.6</v>
      </c>
      <c r="H16" s="130"/>
      <c r="I16" s="170"/>
      <c r="J16" s="141"/>
      <c r="K16" s="69">
        <v>68211.199999999997</v>
      </c>
      <c r="L16" s="61">
        <v>9.67</v>
      </c>
      <c r="N16" s="88"/>
      <c r="O16" s="84">
        <f>ROUND(ROUND(L16, 2)*K16, 2)</f>
        <v>659602.30000000005</v>
      </c>
      <c r="R16" s="18">
        <v>9.67</v>
      </c>
      <c r="U16" s="17">
        <f>ROUND(ROUND(R16, 2)*K16, 2)</f>
        <v>659602.30000000005</v>
      </c>
    </row>
    <row r="17" spans="1:23" ht="36" x14ac:dyDescent="0.35">
      <c r="A17" s="8" t="s">
        <v>59</v>
      </c>
      <c r="B17" s="8"/>
      <c r="C17" s="19" t="s">
        <v>60</v>
      </c>
      <c r="D17" s="10"/>
      <c r="E17" s="10"/>
      <c r="F17" s="15" t="s">
        <v>58</v>
      </c>
      <c r="G17" s="16">
        <v>0.255</v>
      </c>
      <c r="H17" s="130"/>
      <c r="I17" s="170"/>
      <c r="J17" s="141"/>
      <c r="K17" s="69">
        <v>1087.116</v>
      </c>
      <c r="L17" s="61">
        <v>88.8</v>
      </c>
      <c r="N17" s="88"/>
      <c r="O17" s="84">
        <f>ROUND(ROUND(L17, 2)*K17, 2)</f>
        <v>96535.9</v>
      </c>
      <c r="R17" s="18">
        <v>88.8</v>
      </c>
      <c r="U17" s="17">
        <f>ROUND(ROUND(R17, 2)*K17, 2)</f>
        <v>96535.9</v>
      </c>
    </row>
    <row r="18" spans="1:23" ht="54" x14ac:dyDescent="0.35">
      <c r="A18" s="20" t="s">
        <v>61</v>
      </c>
      <c r="B18" s="20" t="s">
        <v>51</v>
      </c>
      <c r="C18" s="21" t="s">
        <v>62</v>
      </c>
      <c r="D18" s="22" t="s">
        <v>53</v>
      </c>
      <c r="E18" s="22" t="s">
        <v>63</v>
      </c>
      <c r="F18" s="22" t="s">
        <v>55</v>
      </c>
      <c r="G18" s="23">
        <v>1</v>
      </c>
      <c r="H18" s="131"/>
      <c r="I18" s="171"/>
      <c r="J18" s="142"/>
      <c r="K18" s="70">
        <v>3740.2</v>
      </c>
      <c r="L18" s="62">
        <f>IFERROR(ROUND(SUM(O19,O20,O21)/K18, 2),0)</f>
        <v>180.67</v>
      </c>
      <c r="M18" s="80">
        <v>400</v>
      </c>
      <c r="N18" s="90">
        <f>L18+ROUND(M18, 2)</f>
        <v>580.66999999999996</v>
      </c>
      <c r="O18" s="62">
        <f>ROUND(L18*K18, 2)</f>
        <v>675741.93</v>
      </c>
      <c r="P18" s="24">
        <f>ROUND(K18*ROUND(M18, 2), 2)</f>
        <v>1496080</v>
      </c>
      <c r="Q18" s="24">
        <f>O18+P18</f>
        <v>2171821.9300000002</v>
      </c>
      <c r="R18" s="24">
        <f>IFERROR(ROUND(SUM(U19,U20,U21)/K18, 2),0)</f>
        <v>180.67</v>
      </c>
      <c r="S18" s="24">
        <v>400</v>
      </c>
      <c r="T18" s="24">
        <f>R18+ROUND(S18, 2)</f>
        <v>580.66999999999996</v>
      </c>
      <c r="U18" s="24">
        <f>ROUND(R18*K18, 2)</f>
        <v>675741.93</v>
      </c>
      <c r="V18" s="24">
        <f>ROUND(K18*ROUND(S18, 2), 2)</f>
        <v>1496080</v>
      </c>
      <c r="W18" s="24">
        <f>U18+V18</f>
        <v>2171821.9300000002</v>
      </c>
    </row>
    <row r="19" spans="1:23" ht="36" x14ac:dyDescent="0.35">
      <c r="A19" s="20" t="s">
        <v>64</v>
      </c>
      <c r="B19" s="20"/>
      <c r="C19" s="25" t="s">
        <v>60</v>
      </c>
      <c r="D19" s="22"/>
      <c r="E19" s="22"/>
      <c r="F19" s="26" t="s">
        <v>58</v>
      </c>
      <c r="G19" s="27">
        <v>0.255</v>
      </c>
      <c r="H19" s="132"/>
      <c r="I19" s="171"/>
      <c r="J19" s="142"/>
      <c r="K19" s="71">
        <v>953.75099999999998</v>
      </c>
      <c r="L19" s="63">
        <v>88.8</v>
      </c>
      <c r="M19" s="29"/>
      <c r="N19" s="91"/>
      <c r="O19" s="63">
        <f>ROUND(ROUND(L19, 2)*K19, 2)</f>
        <v>84693.09</v>
      </c>
      <c r="P19" s="29"/>
      <c r="Q19" s="29"/>
      <c r="R19" s="28">
        <v>88.8</v>
      </c>
      <c r="S19" s="29"/>
      <c r="T19" s="29"/>
      <c r="U19" s="28">
        <f>ROUND(ROUND(R19, 2)*K19, 2)</f>
        <v>84693.09</v>
      </c>
      <c r="V19" s="29"/>
      <c r="W19" s="30"/>
    </row>
    <row r="20" spans="1:23" ht="20" x14ac:dyDescent="0.35">
      <c r="A20" s="20" t="s">
        <v>65</v>
      </c>
      <c r="B20" s="20"/>
      <c r="C20" s="25" t="s">
        <v>66</v>
      </c>
      <c r="D20" s="22"/>
      <c r="E20" s="22"/>
      <c r="F20" s="26" t="s">
        <v>67</v>
      </c>
      <c r="G20" s="27">
        <v>1</v>
      </c>
      <c r="H20" s="132"/>
      <c r="I20" s="171"/>
      <c r="J20" s="142"/>
      <c r="K20" s="71">
        <v>1880</v>
      </c>
      <c r="L20" s="63">
        <v>10.4</v>
      </c>
      <c r="M20" s="29"/>
      <c r="N20" s="91"/>
      <c r="O20" s="63">
        <f>ROUND(ROUND(L20, 2)*K20, 2)</f>
        <v>19552</v>
      </c>
      <c r="P20" s="29"/>
      <c r="Q20" s="29"/>
      <c r="R20" s="28">
        <v>10.4</v>
      </c>
      <c r="S20" s="29"/>
      <c r="T20" s="29"/>
      <c r="U20" s="28">
        <f>ROUND(ROUND(R20, 2)*K20, 2)</f>
        <v>19552</v>
      </c>
      <c r="V20" s="29"/>
      <c r="W20" s="30"/>
    </row>
    <row r="21" spans="1:23" ht="36" x14ac:dyDescent="0.35">
      <c r="A21" s="20" t="s">
        <v>68</v>
      </c>
      <c r="B21" s="20"/>
      <c r="C21" s="14" t="s">
        <v>57</v>
      </c>
      <c r="D21" s="22"/>
      <c r="E21" s="22"/>
      <c r="F21" s="26" t="s">
        <v>58</v>
      </c>
      <c r="G21" s="27">
        <v>1.6</v>
      </c>
      <c r="H21" s="132"/>
      <c r="I21" s="171"/>
      <c r="J21" s="142"/>
      <c r="K21" s="71">
        <v>59843.199999999997</v>
      </c>
      <c r="L21" s="63">
        <v>9.5500000000000007</v>
      </c>
      <c r="M21" s="29"/>
      <c r="N21" s="91"/>
      <c r="O21" s="63">
        <f>ROUND(ROUND(L21, 2)*K21, 2)</f>
        <v>571502.56000000006</v>
      </c>
      <c r="P21" s="29"/>
      <c r="Q21" s="29"/>
      <c r="R21" s="28">
        <v>9.5500000000000007</v>
      </c>
      <c r="S21" s="29"/>
      <c r="T21" s="29"/>
      <c r="U21" s="28">
        <f>ROUND(ROUND(R21, 2)*K21, 2)</f>
        <v>571502.56000000006</v>
      </c>
      <c r="V21" s="29"/>
      <c r="W21" s="30"/>
    </row>
    <row r="22" spans="1:23" ht="54" x14ac:dyDescent="0.35">
      <c r="A22" s="20" t="s">
        <v>69</v>
      </c>
      <c r="B22" s="20" t="s">
        <v>70</v>
      </c>
      <c r="C22" s="21" t="s">
        <v>71</v>
      </c>
      <c r="D22" s="22"/>
      <c r="E22" s="22" t="s">
        <v>72</v>
      </c>
      <c r="F22" s="22" t="s">
        <v>73</v>
      </c>
      <c r="G22" s="23">
        <v>1</v>
      </c>
      <c r="H22" s="131"/>
      <c r="I22" s="171"/>
      <c r="J22" s="142"/>
      <c r="K22" s="70">
        <v>2.88</v>
      </c>
      <c r="L22" s="62">
        <f>IFERROR(ROUND(SUM(O23)/K22, 2),0)</f>
        <v>12597</v>
      </c>
      <c r="M22" s="80">
        <v>54984</v>
      </c>
      <c r="N22" s="90">
        <f>L22+ROUND(M22, 2)</f>
        <v>67581</v>
      </c>
      <c r="O22" s="62">
        <f>ROUND(L22*K22, 2)</f>
        <v>36279.360000000001</v>
      </c>
      <c r="P22" s="24">
        <f>ROUND(K22*ROUND(M22, 2), 2)</f>
        <v>158353.92000000001</v>
      </c>
      <c r="Q22" s="24">
        <f>O22+P22</f>
        <v>194633.28000000003</v>
      </c>
      <c r="R22" s="24">
        <f>IFERROR(ROUND(SUM(U23)/K22, 2),0)</f>
        <v>12597</v>
      </c>
      <c r="S22" s="24">
        <v>54984</v>
      </c>
      <c r="T22" s="24">
        <f>R22+ROUND(S22, 2)</f>
        <v>67581</v>
      </c>
      <c r="U22" s="24">
        <f>ROUND(R22*K22, 2)</f>
        <v>36279.360000000001</v>
      </c>
      <c r="V22" s="24">
        <f>ROUND(K22*ROUND(S22, 2), 2)</f>
        <v>158353.92000000001</v>
      </c>
      <c r="W22" s="24">
        <f>U22+V22</f>
        <v>194633.28000000003</v>
      </c>
    </row>
    <row r="23" spans="1:23" ht="20" x14ac:dyDescent="0.35">
      <c r="A23" s="20" t="s">
        <v>74</v>
      </c>
      <c r="B23" s="20"/>
      <c r="C23" s="25" t="s">
        <v>75</v>
      </c>
      <c r="D23" s="22"/>
      <c r="E23" s="22"/>
      <c r="F23" s="26" t="s">
        <v>58</v>
      </c>
      <c r="G23" s="27">
        <v>1700</v>
      </c>
      <c r="H23" s="132"/>
      <c r="I23" s="171"/>
      <c r="J23" s="142"/>
      <c r="K23" s="71">
        <v>4896</v>
      </c>
      <c r="L23" s="63">
        <v>7.41</v>
      </c>
      <c r="M23" s="29"/>
      <c r="N23" s="91"/>
      <c r="O23" s="63">
        <f>ROUND(ROUND(L23, 2)*K23, 2)</f>
        <v>36279.360000000001</v>
      </c>
      <c r="P23" s="29"/>
      <c r="Q23" s="29"/>
      <c r="R23" s="28">
        <v>7.41</v>
      </c>
      <c r="S23" s="29"/>
      <c r="T23" s="29"/>
      <c r="U23" s="28">
        <f>ROUND(ROUND(R23, 2)*K23, 2)</f>
        <v>36279.360000000001</v>
      </c>
      <c r="V23" s="29"/>
      <c r="W23" s="30"/>
    </row>
    <row r="24" spans="1:23" ht="54" x14ac:dyDescent="0.35">
      <c r="A24" s="31" t="s">
        <v>76</v>
      </c>
      <c r="B24" s="31" t="s">
        <v>77</v>
      </c>
      <c r="C24" s="32" t="s">
        <v>78</v>
      </c>
      <c r="D24" s="33"/>
      <c r="E24" s="33" t="s">
        <v>79</v>
      </c>
      <c r="F24" s="33" t="s">
        <v>55</v>
      </c>
      <c r="G24" s="34">
        <v>1</v>
      </c>
      <c r="H24" s="133"/>
      <c r="I24" s="171"/>
      <c r="J24" s="143"/>
      <c r="K24" s="72">
        <v>0</v>
      </c>
      <c r="L24" s="64">
        <f>IFERROR(ROUND(SUM(O26,O28,O30,O32,O34,O36,O38)/K24, 2),0)</f>
        <v>0</v>
      </c>
      <c r="M24" s="81">
        <v>855</v>
      </c>
      <c r="N24" s="90">
        <f>L24+ROUND(M24, 2)</f>
        <v>855</v>
      </c>
      <c r="O24" s="64">
        <f>ROUND(L24*K24, 2)</f>
        <v>0</v>
      </c>
      <c r="P24" s="35">
        <f>ROUND(K24*ROUND(M24, 2), 2)</f>
        <v>0</v>
      </c>
      <c r="Q24" s="35">
        <f>O24+P24</f>
        <v>0</v>
      </c>
      <c r="R24" s="35">
        <f>IFERROR(ROUND(SUM(U26,U28,U30,U32,U34,U36,U38)/K24, 2),0)</f>
        <v>0</v>
      </c>
      <c r="S24" s="35">
        <v>855</v>
      </c>
      <c r="T24" s="35">
        <f>R24+ROUND(S24, 2)</f>
        <v>855</v>
      </c>
      <c r="U24" s="35">
        <f>ROUND(R24*K24, 2)</f>
        <v>0</v>
      </c>
      <c r="V24" s="35">
        <f>ROUND(K24*ROUND(S24, 2), 2)</f>
        <v>0</v>
      </c>
      <c r="W24" s="35">
        <f>U24+V24</f>
        <v>0</v>
      </c>
    </row>
    <row r="25" spans="1:23" ht="36" x14ac:dyDescent="0.35">
      <c r="A25" s="36" t="s">
        <v>80</v>
      </c>
      <c r="B25" s="36" t="s">
        <v>77</v>
      </c>
      <c r="C25" s="37" t="s">
        <v>78</v>
      </c>
      <c r="D25" s="38"/>
      <c r="E25" s="38" t="s">
        <v>81</v>
      </c>
      <c r="F25" s="38" t="s">
        <v>55</v>
      </c>
      <c r="G25" s="39">
        <v>1</v>
      </c>
      <c r="H25" s="134"/>
      <c r="I25" s="171"/>
      <c r="J25" s="144"/>
      <c r="K25" s="73">
        <v>57.8</v>
      </c>
      <c r="L25" s="65">
        <v>0</v>
      </c>
      <c r="M25" s="82">
        <v>855</v>
      </c>
      <c r="N25" s="90"/>
      <c r="O25" s="65">
        <v>0</v>
      </c>
      <c r="P25" s="40"/>
      <c r="Q25" s="40"/>
      <c r="R25" s="40">
        <v>0</v>
      </c>
      <c r="S25" s="40">
        <v>855</v>
      </c>
      <c r="T25" s="40"/>
      <c r="U25" s="40">
        <v>0</v>
      </c>
      <c r="V25" s="40"/>
      <c r="W25" s="40"/>
    </row>
    <row r="26" spans="1:23" ht="20" x14ac:dyDescent="0.35">
      <c r="A26" s="31" t="s">
        <v>82</v>
      </c>
      <c r="B26" s="31"/>
      <c r="C26" s="41" t="s">
        <v>83</v>
      </c>
      <c r="D26" s="33"/>
      <c r="E26" s="33"/>
      <c r="F26" s="42" t="s">
        <v>84</v>
      </c>
      <c r="G26" s="43">
        <v>8</v>
      </c>
      <c r="H26" s="135"/>
      <c r="I26" s="171"/>
      <c r="J26" s="143"/>
      <c r="K26" s="74">
        <v>0</v>
      </c>
      <c r="L26" s="66">
        <v>2.5</v>
      </c>
      <c r="M26" s="45"/>
      <c r="N26" s="91"/>
      <c r="O26" s="66">
        <f t="shared" ref="O26:O39" si="2">ROUND(ROUND(L26, 2)*K26, 2)</f>
        <v>0</v>
      </c>
      <c r="P26" s="45"/>
      <c r="Q26" s="45"/>
      <c r="R26" s="44">
        <v>2.5</v>
      </c>
      <c r="S26" s="45"/>
      <c r="T26" s="45"/>
      <c r="U26" s="44">
        <f t="shared" ref="U26:U39" si="3">ROUND(ROUND(R26, 2)*K26, 2)</f>
        <v>0</v>
      </c>
      <c r="V26" s="45"/>
      <c r="W26" s="46"/>
    </row>
    <row r="27" spans="1:23" ht="20" x14ac:dyDescent="0.35">
      <c r="A27" s="36" t="s">
        <v>85</v>
      </c>
      <c r="B27" s="36"/>
      <c r="C27" s="47" t="s">
        <v>83</v>
      </c>
      <c r="D27" s="38"/>
      <c r="E27" s="38"/>
      <c r="F27" s="48" t="s">
        <v>84</v>
      </c>
      <c r="G27" s="49">
        <v>8</v>
      </c>
      <c r="H27" s="136"/>
      <c r="I27" s="171"/>
      <c r="J27" s="144"/>
      <c r="K27" s="75">
        <v>462.4</v>
      </c>
      <c r="L27" s="67">
        <v>2.5</v>
      </c>
      <c r="M27" s="51"/>
      <c r="N27" s="91"/>
      <c r="O27" s="67">
        <f t="shared" si="2"/>
        <v>1156</v>
      </c>
      <c r="P27" s="51"/>
      <c r="Q27" s="51"/>
      <c r="R27" s="50">
        <v>2.5</v>
      </c>
      <c r="S27" s="51"/>
      <c r="T27" s="51"/>
      <c r="U27" s="50">
        <f t="shared" si="3"/>
        <v>1156</v>
      </c>
      <c r="V27" s="51"/>
      <c r="W27" s="52"/>
    </row>
    <row r="28" spans="1:23" ht="20" x14ac:dyDescent="0.35">
      <c r="A28" s="31" t="s">
        <v>86</v>
      </c>
      <c r="B28" s="31"/>
      <c r="C28" s="41" t="s">
        <v>87</v>
      </c>
      <c r="D28" s="33"/>
      <c r="E28" s="33"/>
      <c r="F28" s="42" t="s">
        <v>58</v>
      </c>
      <c r="G28" s="43">
        <v>1E-3</v>
      </c>
      <c r="H28" s="135"/>
      <c r="I28" s="171"/>
      <c r="J28" s="143"/>
      <c r="K28" s="74">
        <v>0</v>
      </c>
      <c r="L28" s="66">
        <v>208.33</v>
      </c>
      <c r="M28" s="45"/>
      <c r="N28" s="91"/>
      <c r="O28" s="66">
        <f t="shared" si="2"/>
        <v>0</v>
      </c>
      <c r="P28" s="45"/>
      <c r="Q28" s="45"/>
      <c r="R28" s="44">
        <v>208.33</v>
      </c>
      <c r="S28" s="45"/>
      <c r="T28" s="45"/>
      <c r="U28" s="44">
        <f t="shared" si="3"/>
        <v>0</v>
      </c>
      <c r="V28" s="45"/>
      <c r="W28" s="46"/>
    </row>
    <row r="29" spans="1:23" ht="20" x14ac:dyDescent="0.35">
      <c r="A29" s="36" t="s">
        <v>88</v>
      </c>
      <c r="B29" s="36"/>
      <c r="C29" s="47" t="s">
        <v>87</v>
      </c>
      <c r="D29" s="38"/>
      <c r="E29" s="38"/>
      <c r="F29" s="48" t="s">
        <v>58</v>
      </c>
      <c r="G29" s="49">
        <v>1E-3</v>
      </c>
      <c r="H29" s="136"/>
      <c r="I29" s="171"/>
      <c r="J29" s="144"/>
      <c r="K29" s="75">
        <v>2.89</v>
      </c>
      <c r="L29" s="67">
        <v>208.33</v>
      </c>
      <c r="M29" s="51"/>
      <c r="N29" s="91"/>
      <c r="O29" s="67">
        <f t="shared" si="2"/>
        <v>602.07000000000005</v>
      </c>
      <c r="P29" s="51"/>
      <c r="Q29" s="51"/>
      <c r="R29" s="50">
        <v>208.33</v>
      </c>
      <c r="S29" s="51"/>
      <c r="T29" s="51"/>
      <c r="U29" s="50">
        <f t="shared" si="3"/>
        <v>602.07000000000005</v>
      </c>
      <c r="V29" s="51"/>
      <c r="W29" s="52"/>
    </row>
    <row r="30" spans="1:23" ht="20" x14ac:dyDescent="0.35">
      <c r="A30" s="31" t="s">
        <v>89</v>
      </c>
      <c r="B30" s="31"/>
      <c r="C30" s="41" t="s">
        <v>90</v>
      </c>
      <c r="D30" s="33"/>
      <c r="E30" s="33"/>
      <c r="F30" s="42" t="s">
        <v>55</v>
      </c>
      <c r="G30" s="43">
        <v>1.1000000000000001</v>
      </c>
      <c r="H30" s="135"/>
      <c r="I30" s="171"/>
      <c r="J30" s="143"/>
      <c r="K30" s="74">
        <v>0</v>
      </c>
      <c r="L30" s="66">
        <v>155.01</v>
      </c>
      <c r="M30" s="45"/>
      <c r="N30" s="91"/>
      <c r="O30" s="66">
        <f t="shared" si="2"/>
        <v>0</v>
      </c>
      <c r="P30" s="45"/>
      <c r="Q30" s="45"/>
      <c r="R30" s="44">
        <v>155.01</v>
      </c>
      <c r="S30" s="45"/>
      <c r="T30" s="45"/>
      <c r="U30" s="44">
        <f t="shared" si="3"/>
        <v>0</v>
      </c>
      <c r="V30" s="45"/>
      <c r="W30" s="46"/>
    </row>
    <row r="31" spans="1:23" ht="20" x14ac:dyDescent="0.35">
      <c r="A31" s="36" t="s">
        <v>91</v>
      </c>
      <c r="B31" s="36"/>
      <c r="C31" s="47" t="s">
        <v>90</v>
      </c>
      <c r="D31" s="38"/>
      <c r="E31" s="38"/>
      <c r="F31" s="48" t="s">
        <v>55</v>
      </c>
      <c r="G31" s="49">
        <v>1.1000000000000001</v>
      </c>
      <c r="H31" s="136"/>
      <c r="I31" s="171"/>
      <c r="J31" s="144"/>
      <c r="K31" s="75">
        <v>63.58</v>
      </c>
      <c r="L31" s="67">
        <v>155.01</v>
      </c>
      <c r="M31" s="51"/>
      <c r="N31" s="91"/>
      <c r="O31" s="67">
        <f t="shared" si="2"/>
        <v>9855.5400000000009</v>
      </c>
      <c r="P31" s="51"/>
      <c r="Q31" s="51"/>
      <c r="R31" s="50">
        <v>155.01</v>
      </c>
      <c r="S31" s="51"/>
      <c r="T31" s="51"/>
      <c r="U31" s="50">
        <f t="shared" si="3"/>
        <v>9855.5400000000009</v>
      </c>
      <c r="V31" s="51"/>
      <c r="W31" s="52"/>
    </row>
    <row r="32" spans="1:23" ht="20" x14ac:dyDescent="0.35">
      <c r="A32" s="31" t="s">
        <v>92</v>
      </c>
      <c r="B32" s="31"/>
      <c r="C32" s="41" t="s">
        <v>93</v>
      </c>
      <c r="D32" s="33"/>
      <c r="E32" s="33"/>
      <c r="F32" s="42" t="s">
        <v>58</v>
      </c>
      <c r="G32" s="43">
        <v>0.32</v>
      </c>
      <c r="H32" s="135"/>
      <c r="I32" s="171"/>
      <c r="J32" s="143"/>
      <c r="K32" s="74">
        <v>0</v>
      </c>
      <c r="L32" s="66">
        <v>7.5</v>
      </c>
      <c r="M32" s="45"/>
      <c r="N32" s="91"/>
      <c r="O32" s="66">
        <f t="shared" si="2"/>
        <v>0</v>
      </c>
      <c r="P32" s="45"/>
      <c r="Q32" s="45"/>
      <c r="R32" s="44">
        <v>7.5</v>
      </c>
      <c r="S32" s="45"/>
      <c r="T32" s="45"/>
      <c r="U32" s="44">
        <f t="shared" si="3"/>
        <v>0</v>
      </c>
      <c r="V32" s="45"/>
      <c r="W32" s="46"/>
    </row>
    <row r="33" spans="1:23" ht="20" x14ac:dyDescent="0.35">
      <c r="A33" s="36" t="s">
        <v>94</v>
      </c>
      <c r="B33" s="36"/>
      <c r="C33" s="47" t="s">
        <v>93</v>
      </c>
      <c r="D33" s="38"/>
      <c r="E33" s="38"/>
      <c r="F33" s="48" t="s">
        <v>58</v>
      </c>
      <c r="G33" s="49">
        <v>0.32</v>
      </c>
      <c r="H33" s="136"/>
      <c r="I33" s="171"/>
      <c r="J33" s="144"/>
      <c r="K33" s="75">
        <v>924.8</v>
      </c>
      <c r="L33" s="67">
        <v>7.5</v>
      </c>
      <c r="M33" s="51"/>
      <c r="N33" s="91"/>
      <c r="O33" s="67">
        <f t="shared" si="2"/>
        <v>6936</v>
      </c>
      <c r="P33" s="51"/>
      <c r="Q33" s="51"/>
      <c r="R33" s="50">
        <v>7.5</v>
      </c>
      <c r="S33" s="51"/>
      <c r="T33" s="51"/>
      <c r="U33" s="50">
        <f t="shared" si="3"/>
        <v>6936</v>
      </c>
      <c r="V33" s="51"/>
      <c r="W33" s="52"/>
    </row>
    <row r="34" spans="1:23" ht="20" x14ac:dyDescent="0.35">
      <c r="A34" s="31" t="s">
        <v>95</v>
      </c>
      <c r="B34" s="31"/>
      <c r="C34" s="41" t="s">
        <v>96</v>
      </c>
      <c r="D34" s="33"/>
      <c r="E34" s="33"/>
      <c r="F34" s="42" t="s">
        <v>73</v>
      </c>
      <c r="G34" s="43">
        <v>1E-3</v>
      </c>
      <c r="H34" s="135"/>
      <c r="I34" s="171"/>
      <c r="J34" s="143"/>
      <c r="K34" s="74">
        <v>0</v>
      </c>
      <c r="L34" s="66">
        <v>1600</v>
      </c>
      <c r="M34" s="45"/>
      <c r="N34" s="91"/>
      <c r="O34" s="66">
        <f t="shared" si="2"/>
        <v>0</v>
      </c>
      <c r="P34" s="45"/>
      <c r="Q34" s="45"/>
      <c r="R34" s="44">
        <v>1600</v>
      </c>
      <c r="S34" s="45"/>
      <c r="T34" s="45"/>
      <c r="U34" s="44">
        <f t="shared" si="3"/>
        <v>0</v>
      </c>
      <c r="V34" s="45"/>
      <c r="W34" s="46"/>
    </row>
    <row r="35" spans="1:23" ht="20" x14ac:dyDescent="0.35">
      <c r="A35" s="36" t="s">
        <v>97</v>
      </c>
      <c r="B35" s="36"/>
      <c r="C35" s="47" t="s">
        <v>96</v>
      </c>
      <c r="D35" s="38"/>
      <c r="E35" s="38"/>
      <c r="F35" s="48" t="s">
        <v>73</v>
      </c>
      <c r="G35" s="49">
        <v>1E-3</v>
      </c>
      <c r="H35" s="136"/>
      <c r="I35" s="171"/>
      <c r="J35" s="144"/>
      <c r="K35" s="75">
        <v>2.89</v>
      </c>
      <c r="L35" s="67">
        <v>1600</v>
      </c>
      <c r="M35" s="51"/>
      <c r="N35" s="91"/>
      <c r="O35" s="67">
        <f t="shared" si="2"/>
        <v>4624</v>
      </c>
      <c r="P35" s="51"/>
      <c r="Q35" s="51"/>
      <c r="R35" s="50">
        <v>1600</v>
      </c>
      <c r="S35" s="51"/>
      <c r="T35" s="51"/>
      <c r="U35" s="50">
        <f t="shared" si="3"/>
        <v>4624</v>
      </c>
      <c r="V35" s="51"/>
      <c r="W35" s="52"/>
    </row>
    <row r="36" spans="1:23" ht="20" x14ac:dyDescent="0.35">
      <c r="A36" s="31" t="s">
        <v>98</v>
      </c>
      <c r="B36" s="31"/>
      <c r="C36" s="41" t="s">
        <v>66</v>
      </c>
      <c r="D36" s="33"/>
      <c r="E36" s="33"/>
      <c r="F36" s="42" t="s">
        <v>67</v>
      </c>
      <c r="G36" s="43">
        <v>1</v>
      </c>
      <c r="H36" s="135"/>
      <c r="I36" s="171"/>
      <c r="J36" s="143"/>
      <c r="K36" s="74">
        <v>0</v>
      </c>
      <c r="L36" s="66">
        <v>10.4</v>
      </c>
      <c r="M36" s="45"/>
      <c r="N36" s="91"/>
      <c r="O36" s="66">
        <f t="shared" si="2"/>
        <v>0</v>
      </c>
      <c r="P36" s="45"/>
      <c r="Q36" s="45"/>
      <c r="R36" s="44">
        <v>10.4</v>
      </c>
      <c r="S36" s="45"/>
      <c r="T36" s="45"/>
      <c r="U36" s="44">
        <f t="shared" si="3"/>
        <v>0</v>
      </c>
      <c r="V36" s="45"/>
      <c r="W36" s="46"/>
    </row>
    <row r="37" spans="1:23" ht="20" x14ac:dyDescent="0.35">
      <c r="A37" s="36" t="s">
        <v>99</v>
      </c>
      <c r="B37" s="36"/>
      <c r="C37" s="47" t="s">
        <v>66</v>
      </c>
      <c r="D37" s="38"/>
      <c r="E37" s="38"/>
      <c r="F37" s="48" t="s">
        <v>67</v>
      </c>
      <c r="G37" s="49">
        <v>1</v>
      </c>
      <c r="H37" s="136"/>
      <c r="I37" s="171"/>
      <c r="J37" s="144"/>
      <c r="K37" s="75">
        <v>26</v>
      </c>
      <c r="L37" s="67">
        <v>10.4</v>
      </c>
      <c r="M37" s="51"/>
      <c r="N37" s="91"/>
      <c r="O37" s="67">
        <f t="shared" si="2"/>
        <v>270.39999999999998</v>
      </c>
      <c r="P37" s="51"/>
      <c r="Q37" s="51"/>
      <c r="R37" s="50">
        <v>10.4</v>
      </c>
      <c r="S37" s="51"/>
      <c r="T37" s="51"/>
      <c r="U37" s="50">
        <f t="shared" si="3"/>
        <v>270.39999999999998</v>
      </c>
      <c r="V37" s="51"/>
      <c r="W37" s="52"/>
    </row>
    <row r="38" spans="1:23" ht="36" x14ac:dyDescent="0.35">
      <c r="A38" s="31" t="s">
        <v>100</v>
      </c>
      <c r="B38" s="31"/>
      <c r="C38" s="41" t="s">
        <v>60</v>
      </c>
      <c r="D38" s="33"/>
      <c r="E38" s="33"/>
      <c r="F38" s="42" t="s">
        <v>58</v>
      </c>
      <c r="G38" s="43">
        <v>0.2</v>
      </c>
      <c r="H38" s="135"/>
      <c r="I38" s="171"/>
      <c r="J38" s="143"/>
      <c r="K38" s="76">
        <v>0</v>
      </c>
      <c r="L38" s="66">
        <v>88.8</v>
      </c>
      <c r="M38" s="45"/>
      <c r="N38" s="91"/>
      <c r="O38" s="66">
        <f t="shared" si="2"/>
        <v>0</v>
      </c>
      <c r="P38" s="45"/>
      <c r="Q38" s="45"/>
      <c r="R38" s="44">
        <v>88.8</v>
      </c>
      <c r="S38" s="45"/>
      <c r="T38" s="45"/>
      <c r="U38" s="44">
        <f t="shared" si="3"/>
        <v>0</v>
      </c>
      <c r="V38" s="45"/>
      <c r="W38" s="46"/>
    </row>
    <row r="39" spans="1:23" ht="36" x14ac:dyDescent="0.35">
      <c r="A39" s="36" t="s">
        <v>101</v>
      </c>
      <c r="B39" s="36"/>
      <c r="C39" s="47" t="s">
        <v>60</v>
      </c>
      <c r="D39" s="38"/>
      <c r="E39" s="38"/>
      <c r="F39" s="48" t="s">
        <v>58</v>
      </c>
      <c r="G39" s="49">
        <v>0.2</v>
      </c>
      <c r="H39" s="136"/>
      <c r="I39" s="171"/>
      <c r="J39" s="144"/>
      <c r="K39" s="77">
        <v>11.56</v>
      </c>
      <c r="L39" s="67">
        <v>88.8</v>
      </c>
      <c r="M39" s="51"/>
      <c r="N39" s="91"/>
      <c r="O39" s="67">
        <f t="shared" si="2"/>
        <v>1026.53</v>
      </c>
      <c r="P39" s="51"/>
      <c r="Q39" s="51"/>
      <c r="R39" s="50">
        <v>88.8</v>
      </c>
      <c r="S39" s="51"/>
      <c r="T39" s="51"/>
      <c r="U39" s="50">
        <f t="shared" si="3"/>
        <v>1026.53</v>
      </c>
      <c r="V39" s="51"/>
      <c r="W39" s="52"/>
    </row>
    <row r="40" spans="1:23" ht="36" x14ac:dyDescent="0.35">
      <c r="A40" s="31" t="s">
        <v>102</v>
      </c>
      <c r="B40" s="31" t="s">
        <v>77</v>
      </c>
      <c r="C40" s="32" t="s">
        <v>78</v>
      </c>
      <c r="D40" s="33"/>
      <c r="E40" s="33" t="s">
        <v>103</v>
      </c>
      <c r="F40" s="33" t="s">
        <v>55</v>
      </c>
      <c r="G40" s="34">
        <v>1</v>
      </c>
      <c r="H40" s="133"/>
      <c r="I40" s="171"/>
      <c r="J40" s="143"/>
      <c r="K40" s="72">
        <v>0</v>
      </c>
      <c r="L40" s="64">
        <f>IFERROR(ROUND(SUM(O42,O44,O46,O48,O50,O52,O54)/K40, 2),0)</f>
        <v>0</v>
      </c>
      <c r="M40" s="81">
        <v>855</v>
      </c>
      <c r="N40" s="90">
        <f>L40+ROUND(M40, 2)</f>
        <v>855</v>
      </c>
      <c r="O40" s="64">
        <f>ROUND(L40*K40, 2)</f>
        <v>0</v>
      </c>
      <c r="P40" s="35">
        <f>ROUND(K40*ROUND(M40, 2), 2)</f>
        <v>0</v>
      </c>
      <c r="Q40" s="35">
        <f>O40+P40</f>
        <v>0</v>
      </c>
      <c r="R40" s="35">
        <f>IFERROR(ROUND(SUM(U42,U44,U46,U48,U50,U52,U54)/K40, 2),0)</f>
        <v>0</v>
      </c>
      <c r="S40" s="35">
        <v>855</v>
      </c>
      <c r="T40" s="35">
        <f>R40+ROUND(S40, 2)</f>
        <v>855</v>
      </c>
      <c r="U40" s="35">
        <f>ROUND(R40*K40, 2)</f>
        <v>0</v>
      </c>
      <c r="V40" s="35">
        <f>ROUND(K40*ROUND(S40, 2), 2)</f>
        <v>0</v>
      </c>
      <c r="W40" s="35">
        <f>U40+V40</f>
        <v>0</v>
      </c>
    </row>
    <row r="41" spans="1:23" ht="36" x14ac:dyDescent="0.35">
      <c r="A41" s="36" t="s">
        <v>104</v>
      </c>
      <c r="B41" s="36" t="s">
        <v>77</v>
      </c>
      <c r="C41" s="37" t="s">
        <v>78</v>
      </c>
      <c r="D41" s="38"/>
      <c r="E41" s="38" t="s">
        <v>105</v>
      </c>
      <c r="F41" s="38" t="s">
        <v>55</v>
      </c>
      <c r="G41" s="39">
        <v>1</v>
      </c>
      <c r="H41" s="134"/>
      <c r="I41" s="171"/>
      <c r="J41" s="144"/>
      <c r="K41" s="73">
        <v>631.29999999999995</v>
      </c>
      <c r="L41" s="65">
        <v>0</v>
      </c>
      <c r="M41" s="82">
        <v>855</v>
      </c>
      <c r="N41" s="90"/>
      <c r="O41" s="65">
        <v>0</v>
      </c>
      <c r="P41" s="40"/>
      <c r="Q41" s="40"/>
      <c r="R41" s="40">
        <v>0</v>
      </c>
      <c r="S41" s="40">
        <v>855</v>
      </c>
      <c r="T41" s="40"/>
      <c r="U41" s="40">
        <v>0</v>
      </c>
      <c r="V41" s="40"/>
      <c r="W41" s="40"/>
    </row>
    <row r="42" spans="1:23" ht="36" x14ac:dyDescent="0.35">
      <c r="A42" s="31" t="s">
        <v>106</v>
      </c>
      <c r="B42" s="31"/>
      <c r="C42" s="41" t="s">
        <v>60</v>
      </c>
      <c r="D42" s="33"/>
      <c r="E42" s="33"/>
      <c r="F42" s="42" t="s">
        <v>58</v>
      </c>
      <c r="G42" s="43">
        <v>0.2</v>
      </c>
      <c r="H42" s="135"/>
      <c r="I42" s="171"/>
      <c r="J42" s="143"/>
      <c r="K42" s="76">
        <v>0</v>
      </c>
      <c r="L42" s="66">
        <v>88.8</v>
      </c>
      <c r="M42" s="45"/>
      <c r="N42" s="91"/>
      <c r="O42" s="66">
        <f t="shared" ref="O42:O55" si="4">ROUND(ROUND(L42, 2)*K42, 2)</f>
        <v>0</v>
      </c>
      <c r="P42" s="45"/>
      <c r="Q42" s="45"/>
      <c r="R42" s="44">
        <v>88.8</v>
      </c>
      <c r="S42" s="45"/>
      <c r="T42" s="45"/>
      <c r="U42" s="44">
        <f t="shared" ref="U42:U55" si="5">ROUND(ROUND(R42, 2)*K42, 2)</f>
        <v>0</v>
      </c>
      <c r="V42" s="45"/>
      <c r="W42" s="46"/>
    </row>
    <row r="43" spans="1:23" ht="36" x14ac:dyDescent="0.35">
      <c r="A43" s="36" t="s">
        <v>107</v>
      </c>
      <c r="B43" s="36"/>
      <c r="C43" s="47" t="s">
        <v>60</v>
      </c>
      <c r="D43" s="38"/>
      <c r="E43" s="38"/>
      <c r="F43" s="48" t="s">
        <v>58</v>
      </c>
      <c r="G43" s="49">
        <v>0.2</v>
      </c>
      <c r="H43" s="136"/>
      <c r="I43" s="171"/>
      <c r="J43" s="144"/>
      <c r="K43" s="77">
        <v>126.26</v>
      </c>
      <c r="L43" s="67">
        <v>88.8</v>
      </c>
      <c r="M43" s="51"/>
      <c r="N43" s="91"/>
      <c r="O43" s="67">
        <f t="shared" si="4"/>
        <v>11211.89</v>
      </c>
      <c r="P43" s="51"/>
      <c r="Q43" s="51"/>
      <c r="R43" s="50">
        <v>88.8</v>
      </c>
      <c r="S43" s="51"/>
      <c r="T43" s="51"/>
      <c r="U43" s="50">
        <f t="shared" si="5"/>
        <v>11211.89</v>
      </c>
      <c r="V43" s="51"/>
      <c r="W43" s="52"/>
    </row>
    <row r="44" spans="1:23" ht="20" x14ac:dyDescent="0.35">
      <c r="A44" s="31" t="s">
        <v>108</v>
      </c>
      <c r="B44" s="31"/>
      <c r="C44" s="41" t="s">
        <v>66</v>
      </c>
      <c r="D44" s="33"/>
      <c r="E44" s="33"/>
      <c r="F44" s="42" t="s">
        <v>67</v>
      </c>
      <c r="G44" s="43">
        <v>1</v>
      </c>
      <c r="H44" s="135"/>
      <c r="I44" s="171"/>
      <c r="J44" s="143"/>
      <c r="K44" s="74">
        <v>0</v>
      </c>
      <c r="L44" s="66">
        <v>10.4</v>
      </c>
      <c r="M44" s="45"/>
      <c r="N44" s="91"/>
      <c r="O44" s="66">
        <f t="shared" si="4"/>
        <v>0</v>
      </c>
      <c r="P44" s="45"/>
      <c r="Q44" s="45"/>
      <c r="R44" s="44">
        <v>10.4</v>
      </c>
      <c r="S44" s="45"/>
      <c r="T44" s="45"/>
      <c r="U44" s="44">
        <f t="shared" si="5"/>
        <v>0</v>
      </c>
      <c r="V44" s="45"/>
      <c r="W44" s="46"/>
    </row>
    <row r="45" spans="1:23" ht="20" x14ac:dyDescent="0.35">
      <c r="A45" s="36" t="s">
        <v>109</v>
      </c>
      <c r="B45" s="36"/>
      <c r="C45" s="47" t="s">
        <v>66</v>
      </c>
      <c r="D45" s="38"/>
      <c r="E45" s="38"/>
      <c r="F45" s="48" t="s">
        <v>67</v>
      </c>
      <c r="G45" s="49">
        <v>1</v>
      </c>
      <c r="H45" s="136"/>
      <c r="I45" s="171"/>
      <c r="J45" s="144"/>
      <c r="K45" s="75">
        <v>277</v>
      </c>
      <c r="L45" s="67">
        <v>10.4</v>
      </c>
      <c r="M45" s="51"/>
      <c r="N45" s="91"/>
      <c r="O45" s="67">
        <f t="shared" si="4"/>
        <v>2880.8</v>
      </c>
      <c r="P45" s="51"/>
      <c r="Q45" s="51"/>
      <c r="R45" s="50">
        <v>10.4</v>
      </c>
      <c r="S45" s="51"/>
      <c r="T45" s="51"/>
      <c r="U45" s="50">
        <f t="shared" si="5"/>
        <v>2880.8</v>
      </c>
      <c r="V45" s="51"/>
      <c r="W45" s="52"/>
    </row>
    <row r="46" spans="1:23" ht="20" x14ac:dyDescent="0.35">
      <c r="A46" s="31" t="s">
        <v>110</v>
      </c>
      <c r="B46" s="31"/>
      <c r="C46" s="41" t="s">
        <v>96</v>
      </c>
      <c r="D46" s="33"/>
      <c r="E46" s="33"/>
      <c r="F46" s="42" t="s">
        <v>73</v>
      </c>
      <c r="G46" s="43">
        <v>1E-3</v>
      </c>
      <c r="H46" s="135"/>
      <c r="I46" s="171"/>
      <c r="J46" s="143"/>
      <c r="K46" s="74">
        <v>0</v>
      </c>
      <c r="L46" s="66">
        <v>1600</v>
      </c>
      <c r="M46" s="45"/>
      <c r="N46" s="91"/>
      <c r="O46" s="66">
        <f t="shared" si="4"/>
        <v>0</v>
      </c>
      <c r="P46" s="45"/>
      <c r="Q46" s="45"/>
      <c r="R46" s="44">
        <v>1600</v>
      </c>
      <c r="S46" s="45"/>
      <c r="T46" s="45"/>
      <c r="U46" s="44">
        <f t="shared" si="5"/>
        <v>0</v>
      </c>
      <c r="V46" s="45"/>
      <c r="W46" s="46"/>
    </row>
    <row r="47" spans="1:23" ht="20" x14ac:dyDescent="0.35">
      <c r="A47" s="36" t="s">
        <v>111</v>
      </c>
      <c r="B47" s="36"/>
      <c r="C47" s="47" t="s">
        <v>96</v>
      </c>
      <c r="D47" s="38"/>
      <c r="E47" s="38"/>
      <c r="F47" s="48" t="s">
        <v>73</v>
      </c>
      <c r="G47" s="49">
        <v>1E-3</v>
      </c>
      <c r="H47" s="136"/>
      <c r="I47" s="171"/>
      <c r="J47" s="144"/>
      <c r="K47" s="75">
        <v>37.878</v>
      </c>
      <c r="L47" s="67">
        <v>1600</v>
      </c>
      <c r="M47" s="51"/>
      <c r="N47" s="91"/>
      <c r="O47" s="67">
        <f t="shared" si="4"/>
        <v>60604.800000000003</v>
      </c>
      <c r="P47" s="51"/>
      <c r="Q47" s="51"/>
      <c r="R47" s="50">
        <v>1600</v>
      </c>
      <c r="S47" s="51"/>
      <c r="T47" s="51"/>
      <c r="U47" s="50">
        <f t="shared" si="5"/>
        <v>60604.800000000003</v>
      </c>
      <c r="V47" s="51"/>
      <c r="W47" s="52"/>
    </row>
    <row r="48" spans="1:23" ht="20" x14ac:dyDescent="0.35">
      <c r="A48" s="31" t="s">
        <v>112</v>
      </c>
      <c r="B48" s="31"/>
      <c r="C48" s="41" t="s">
        <v>93</v>
      </c>
      <c r="D48" s="33"/>
      <c r="E48" s="33"/>
      <c r="F48" s="42" t="s">
        <v>58</v>
      </c>
      <c r="G48" s="43">
        <v>0.32</v>
      </c>
      <c r="H48" s="135"/>
      <c r="I48" s="171"/>
      <c r="J48" s="143"/>
      <c r="K48" s="74">
        <v>0</v>
      </c>
      <c r="L48" s="66">
        <v>7.5</v>
      </c>
      <c r="M48" s="45"/>
      <c r="N48" s="91"/>
      <c r="O48" s="66">
        <f t="shared" si="4"/>
        <v>0</v>
      </c>
      <c r="P48" s="45"/>
      <c r="Q48" s="45"/>
      <c r="R48" s="44">
        <v>7.5</v>
      </c>
      <c r="S48" s="45"/>
      <c r="T48" s="45"/>
      <c r="U48" s="44">
        <f t="shared" si="5"/>
        <v>0</v>
      </c>
      <c r="V48" s="45"/>
      <c r="W48" s="46"/>
    </row>
    <row r="49" spans="1:23" ht="20" x14ac:dyDescent="0.35">
      <c r="A49" s="36" t="s">
        <v>113</v>
      </c>
      <c r="B49" s="36"/>
      <c r="C49" s="47" t="s">
        <v>93</v>
      </c>
      <c r="D49" s="38"/>
      <c r="E49" s="38"/>
      <c r="F49" s="48" t="s">
        <v>58</v>
      </c>
      <c r="G49" s="49">
        <v>0.32</v>
      </c>
      <c r="H49" s="136"/>
      <c r="I49" s="171"/>
      <c r="J49" s="144"/>
      <c r="K49" s="75">
        <v>12120.96</v>
      </c>
      <c r="L49" s="67">
        <v>7.5</v>
      </c>
      <c r="M49" s="51"/>
      <c r="N49" s="91"/>
      <c r="O49" s="67">
        <f t="shared" si="4"/>
        <v>90907.199999999997</v>
      </c>
      <c r="P49" s="51"/>
      <c r="Q49" s="51"/>
      <c r="R49" s="50">
        <v>7.5</v>
      </c>
      <c r="S49" s="51"/>
      <c r="T49" s="51"/>
      <c r="U49" s="50">
        <f t="shared" si="5"/>
        <v>90907.199999999997</v>
      </c>
      <c r="V49" s="51"/>
      <c r="W49" s="52"/>
    </row>
    <row r="50" spans="1:23" ht="20" x14ac:dyDescent="0.35">
      <c r="A50" s="31" t="s">
        <v>114</v>
      </c>
      <c r="B50" s="31"/>
      <c r="C50" s="41" t="s">
        <v>90</v>
      </c>
      <c r="D50" s="33"/>
      <c r="E50" s="33"/>
      <c r="F50" s="42" t="s">
        <v>55</v>
      </c>
      <c r="G50" s="43">
        <v>1.1000000000000001</v>
      </c>
      <c r="H50" s="135"/>
      <c r="I50" s="171"/>
      <c r="J50" s="143"/>
      <c r="K50" s="74">
        <v>0</v>
      </c>
      <c r="L50" s="66">
        <v>155.01</v>
      </c>
      <c r="M50" s="45"/>
      <c r="N50" s="91"/>
      <c r="O50" s="66">
        <f t="shared" si="4"/>
        <v>0</v>
      </c>
      <c r="P50" s="45"/>
      <c r="Q50" s="45"/>
      <c r="R50" s="44">
        <v>155.01</v>
      </c>
      <c r="S50" s="45"/>
      <c r="T50" s="45"/>
      <c r="U50" s="44">
        <f t="shared" si="5"/>
        <v>0</v>
      </c>
      <c r="V50" s="45"/>
      <c r="W50" s="46"/>
    </row>
    <row r="51" spans="1:23" ht="20" x14ac:dyDescent="0.35">
      <c r="A51" s="36" t="s">
        <v>115</v>
      </c>
      <c r="B51" s="36"/>
      <c r="C51" s="47" t="s">
        <v>90</v>
      </c>
      <c r="D51" s="38"/>
      <c r="E51" s="38"/>
      <c r="F51" s="48" t="s">
        <v>55</v>
      </c>
      <c r="G51" s="49">
        <v>1.1000000000000001</v>
      </c>
      <c r="H51" s="136"/>
      <c r="I51" s="171"/>
      <c r="J51" s="144"/>
      <c r="K51" s="75">
        <v>694.43</v>
      </c>
      <c r="L51" s="67">
        <v>155.01</v>
      </c>
      <c r="M51" s="51"/>
      <c r="N51" s="91"/>
      <c r="O51" s="67">
        <f t="shared" si="4"/>
        <v>107643.59</v>
      </c>
      <c r="P51" s="51"/>
      <c r="Q51" s="51"/>
      <c r="R51" s="50">
        <v>155.01</v>
      </c>
      <c r="S51" s="51"/>
      <c r="T51" s="51"/>
      <c r="U51" s="50">
        <f t="shared" si="5"/>
        <v>107643.59</v>
      </c>
      <c r="V51" s="51"/>
      <c r="W51" s="52"/>
    </row>
    <row r="52" spans="1:23" ht="20" x14ac:dyDescent="0.35">
      <c r="A52" s="31" t="s">
        <v>116</v>
      </c>
      <c r="B52" s="31"/>
      <c r="C52" s="41" t="s">
        <v>87</v>
      </c>
      <c r="D52" s="33"/>
      <c r="E52" s="33"/>
      <c r="F52" s="42" t="s">
        <v>58</v>
      </c>
      <c r="G52" s="43">
        <v>1E-3</v>
      </c>
      <c r="H52" s="135"/>
      <c r="I52" s="171"/>
      <c r="J52" s="143"/>
      <c r="K52" s="74">
        <v>0</v>
      </c>
      <c r="L52" s="66">
        <v>208.33</v>
      </c>
      <c r="M52" s="45"/>
      <c r="N52" s="91"/>
      <c r="O52" s="66">
        <f t="shared" si="4"/>
        <v>0</v>
      </c>
      <c r="P52" s="45"/>
      <c r="Q52" s="45"/>
      <c r="R52" s="44">
        <v>208.33</v>
      </c>
      <c r="S52" s="45"/>
      <c r="T52" s="45"/>
      <c r="U52" s="44">
        <f t="shared" si="5"/>
        <v>0</v>
      </c>
      <c r="V52" s="45"/>
      <c r="W52" s="46"/>
    </row>
    <row r="53" spans="1:23" ht="20" x14ac:dyDescent="0.35">
      <c r="A53" s="36" t="s">
        <v>117</v>
      </c>
      <c r="B53" s="36"/>
      <c r="C53" s="47" t="s">
        <v>87</v>
      </c>
      <c r="D53" s="38"/>
      <c r="E53" s="38"/>
      <c r="F53" s="48" t="s">
        <v>58</v>
      </c>
      <c r="G53" s="49">
        <v>1E-3</v>
      </c>
      <c r="H53" s="136"/>
      <c r="I53" s="171"/>
      <c r="J53" s="144"/>
      <c r="K53" s="75">
        <v>37.878</v>
      </c>
      <c r="L53" s="67">
        <v>208.33</v>
      </c>
      <c r="M53" s="51"/>
      <c r="N53" s="91"/>
      <c r="O53" s="67">
        <f t="shared" si="4"/>
        <v>7891.12</v>
      </c>
      <c r="P53" s="51"/>
      <c r="Q53" s="51"/>
      <c r="R53" s="50">
        <v>208.33</v>
      </c>
      <c r="S53" s="51"/>
      <c r="T53" s="51"/>
      <c r="U53" s="50">
        <f t="shared" si="5"/>
        <v>7891.12</v>
      </c>
      <c r="V53" s="51"/>
      <c r="W53" s="52"/>
    </row>
    <row r="54" spans="1:23" ht="20" x14ac:dyDescent="0.35">
      <c r="A54" s="31" t="s">
        <v>118</v>
      </c>
      <c r="B54" s="31"/>
      <c r="C54" s="41" t="s">
        <v>83</v>
      </c>
      <c r="D54" s="33"/>
      <c r="E54" s="33"/>
      <c r="F54" s="42" t="s">
        <v>84</v>
      </c>
      <c r="G54" s="43">
        <v>8</v>
      </c>
      <c r="H54" s="135"/>
      <c r="I54" s="171"/>
      <c r="J54" s="143"/>
      <c r="K54" s="74">
        <v>0</v>
      </c>
      <c r="L54" s="66">
        <v>2.5</v>
      </c>
      <c r="M54" s="45"/>
      <c r="N54" s="91"/>
      <c r="O54" s="66">
        <f t="shared" si="4"/>
        <v>0</v>
      </c>
      <c r="P54" s="45"/>
      <c r="Q54" s="45"/>
      <c r="R54" s="44">
        <v>2.5</v>
      </c>
      <c r="S54" s="45"/>
      <c r="T54" s="45"/>
      <c r="U54" s="44">
        <f t="shared" si="5"/>
        <v>0</v>
      </c>
      <c r="V54" s="45"/>
      <c r="W54" s="46"/>
    </row>
    <row r="55" spans="1:23" ht="20" x14ac:dyDescent="0.35">
      <c r="A55" s="36" t="s">
        <v>119</v>
      </c>
      <c r="B55" s="36"/>
      <c r="C55" s="47" t="s">
        <v>83</v>
      </c>
      <c r="D55" s="38"/>
      <c r="E55" s="38"/>
      <c r="F55" s="48" t="s">
        <v>84</v>
      </c>
      <c r="G55" s="49">
        <v>8</v>
      </c>
      <c r="H55" s="136"/>
      <c r="I55" s="171"/>
      <c r="J55" s="144"/>
      <c r="K55" s="75">
        <v>5050.3999999999996</v>
      </c>
      <c r="L55" s="67">
        <v>2.5</v>
      </c>
      <c r="M55" s="51"/>
      <c r="N55" s="91"/>
      <c r="O55" s="67">
        <f t="shared" si="4"/>
        <v>12626</v>
      </c>
      <c r="P55" s="51"/>
      <c r="Q55" s="51"/>
      <c r="R55" s="50">
        <v>2.5</v>
      </c>
      <c r="S55" s="51"/>
      <c r="T55" s="51"/>
      <c r="U55" s="50">
        <f t="shared" si="5"/>
        <v>12626</v>
      </c>
      <c r="V55" s="51"/>
      <c r="W55" s="52"/>
    </row>
    <row r="56" spans="1:23" ht="36" x14ac:dyDescent="0.35">
      <c r="A56" s="20" t="s">
        <v>120</v>
      </c>
      <c r="B56" s="20" t="s">
        <v>77</v>
      </c>
      <c r="C56" s="21" t="s">
        <v>121</v>
      </c>
      <c r="D56" s="22"/>
      <c r="E56" s="22" t="s">
        <v>122</v>
      </c>
      <c r="F56" s="22" t="s">
        <v>55</v>
      </c>
      <c r="G56" s="23">
        <v>1</v>
      </c>
      <c r="H56" s="131"/>
      <c r="I56" s="171"/>
      <c r="J56" s="142"/>
      <c r="K56" s="70">
        <v>239.9</v>
      </c>
      <c r="L56" s="62">
        <f>IFERROR(ROUND(SUM(O57,O58,O59,O60,O61)/K56, 2),0)</f>
        <v>878.71</v>
      </c>
      <c r="M56" s="80">
        <v>941</v>
      </c>
      <c r="N56" s="90">
        <f>L56+ROUND(M56, 2)</f>
        <v>1819.71</v>
      </c>
      <c r="O56" s="62">
        <f>ROUND(L56*K56, 2)</f>
        <v>210802.53</v>
      </c>
      <c r="P56" s="24">
        <f>ROUND(K56*ROUND(M56, 2), 2)</f>
        <v>225745.9</v>
      </c>
      <c r="Q56" s="24">
        <f>O56+P56</f>
        <v>436548.43</v>
      </c>
      <c r="R56" s="24">
        <f>IFERROR(ROUND(SUM(U57,U58,U59,U60,U61)/K56, 2),0)</f>
        <v>878.71</v>
      </c>
      <c r="S56" s="24">
        <v>941</v>
      </c>
      <c r="T56" s="24">
        <f>R56+ROUND(S56, 2)</f>
        <v>1819.71</v>
      </c>
      <c r="U56" s="24">
        <f>ROUND(R56*K56, 2)</f>
        <v>210802.53</v>
      </c>
      <c r="V56" s="24">
        <f>ROUND(K56*ROUND(S56, 2), 2)</f>
        <v>225745.9</v>
      </c>
      <c r="W56" s="24">
        <f>U56+V56</f>
        <v>436548.43</v>
      </c>
    </row>
    <row r="57" spans="1:23" ht="36" x14ac:dyDescent="0.35">
      <c r="A57" s="20" t="s">
        <v>123</v>
      </c>
      <c r="B57" s="20"/>
      <c r="C57" s="25" t="s">
        <v>60</v>
      </c>
      <c r="D57" s="22"/>
      <c r="E57" s="22"/>
      <c r="F57" s="26" t="s">
        <v>58</v>
      </c>
      <c r="G57" s="27">
        <v>0.2</v>
      </c>
      <c r="H57" s="132"/>
      <c r="I57" s="171"/>
      <c r="J57" s="142"/>
      <c r="K57" s="78">
        <v>47.98</v>
      </c>
      <c r="L57" s="63">
        <v>88.8</v>
      </c>
      <c r="M57" s="29"/>
      <c r="N57" s="91"/>
      <c r="O57" s="63">
        <f>ROUND(ROUND(L57, 2)*K57, 2)</f>
        <v>4260.62</v>
      </c>
      <c r="P57" s="29"/>
      <c r="Q57" s="29"/>
      <c r="R57" s="28">
        <v>88.8</v>
      </c>
      <c r="S57" s="29"/>
      <c r="T57" s="29"/>
      <c r="U57" s="28">
        <f>ROUND(ROUND(R57, 2)*K57, 2)</f>
        <v>4260.62</v>
      </c>
      <c r="V57" s="29"/>
      <c r="W57" s="30"/>
    </row>
    <row r="58" spans="1:23" ht="20" x14ac:dyDescent="0.35">
      <c r="A58" s="20" t="s">
        <v>124</v>
      </c>
      <c r="B58" s="20"/>
      <c r="C58" s="25" t="s">
        <v>66</v>
      </c>
      <c r="D58" s="22"/>
      <c r="E58" s="22"/>
      <c r="F58" s="26" t="s">
        <v>67</v>
      </c>
      <c r="G58" s="27">
        <v>1</v>
      </c>
      <c r="H58" s="132"/>
      <c r="I58" s="171"/>
      <c r="J58" s="142"/>
      <c r="K58" s="71">
        <v>94</v>
      </c>
      <c r="L58" s="63">
        <v>10.4</v>
      </c>
      <c r="M58" s="29"/>
      <c r="N58" s="91"/>
      <c r="O58" s="63">
        <f>ROUND(ROUND(L58, 2)*K58, 2)</f>
        <v>977.6</v>
      </c>
      <c r="P58" s="29"/>
      <c r="Q58" s="29"/>
      <c r="R58" s="28">
        <v>10.4</v>
      </c>
      <c r="S58" s="29"/>
      <c r="T58" s="29"/>
      <c r="U58" s="28">
        <f>ROUND(ROUND(R58, 2)*K58, 2)</f>
        <v>977.6</v>
      </c>
      <c r="V58" s="29"/>
      <c r="W58" s="30"/>
    </row>
    <row r="59" spans="1:23" ht="20" x14ac:dyDescent="0.35">
      <c r="A59" s="20" t="s">
        <v>125</v>
      </c>
      <c r="B59" s="20"/>
      <c r="C59" s="25" t="s">
        <v>90</v>
      </c>
      <c r="D59" s="22"/>
      <c r="E59" s="22"/>
      <c r="F59" s="26" t="s">
        <v>55</v>
      </c>
      <c r="G59" s="27">
        <v>1.1000000000000001</v>
      </c>
      <c r="H59" s="132"/>
      <c r="I59" s="171"/>
      <c r="J59" s="142"/>
      <c r="K59" s="71">
        <v>263.89</v>
      </c>
      <c r="L59" s="63">
        <v>155.01</v>
      </c>
      <c r="M59" s="29"/>
      <c r="N59" s="91"/>
      <c r="O59" s="63">
        <f>ROUND(ROUND(L59, 2)*K59, 2)</f>
        <v>40905.589999999997</v>
      </c>
      <c r="P59" s="29"/>
      <c r="Q59" s="29"/>
      <c r="R59" s="28">
        <v>155.01</v>
      </c>
      <c r="S59" s="29"/>
      <c r="T59" s="29"/>
      <c r="U59" s="28">
        <f>ROUND(ROUND(R59, 2)*K59, 2)</f>
        <v>40905.589999999997</v>
      </c>
      <c r="V59" s="29"/>
      <c r="W59" s="30"/>
    </row>
    <row r="60" spans="1:23" ht="20" x14ac:dyDescent="0.35">
      <c r="A60" s="20" t="s">
        <v>126</v>
      </c>
      <c r="B60" s="20"/>
      <c r="C60" s="25" t="s">
        <v>127</v>
      </c>
      <c r="D60" s="22"/>
      <c r="E60" s="22"/>
      <c r="F60" s="26" t="s">
        <v>58</v>
      </c>
      <c r="G60" s="27">
        <v>1.8</v>
      </c>
      <c r="H60" s="132"/>
      <c r="I60" s="171"/>
      <c r="J60" s="142"/>
      <c r="K60" s="71">
        <v>25909.200000000001</v>
      </c>
      <c r="L60" s="63">
        <v>6.17</v>
      </c>
      <c r="M60" s="29"/>
      <c r="N60" s="91"/>
      <c r="O60" s="63">
        <f>ROUND(ROUND(L60, 2)*K60, 2)</f>
        <v>159859.76</v>
      </c>
      <c r="P60" s="29"/>
      <c r="Q60" s="29"/>
      <c r="R60" s="28">
        <v>6.17</v>
      </c>
      <c r="S60" s="29"/>
      <c r="T60" s="29"/>
      <c r="U60" s="28">
        <f>ROUND(ROUND(R60, 2)*K60, 2)</f>
        <v>159859.76</v>
      </c>
      <c r="V60" s="29"/>
      <c r="W60" s="30"/>
    </row>
    <row r="61" spans="1:23" ht="20" x14ac:dyDescent="0.35">
      <c r="A61" s="20" t="s">
        <v>128</v>
      </c>
      <c r="B61" s="20"/>
      <c r="C61" s="25" t="s">
        <v>83</v>
      </c>
      <c r="D61" s="22"/>
      <c r="E61" s="22"/>
      <c r="F61" s="26" t="s">
        <v>84</v>
      </c>
      <c r="G61" s="27">
        <v>8</v>
      </c>
      <c r="H61" s="132"/>
      <c r="I61" s="171"/>
      <c r="J61" s="142"/>
      <c r="K61" s="71">
        <v>1919.2</v>
      </c>
      <c r="L61" s="63">
        <v>2.5</v>
      </c>
      <c r="M61" s="29"/>
      <c r="N61" s="91"/>
      <c r="O61" s="63">
        <f>ROUND(ROUND(L61, 2)*K61, 2)</f>
        <v>4798</v>
      </c>
      <c r="P61" s="29"/>
      <c r="Q61" s="29"/>
      <c r="R61" s="28">
        <v>2.5</v>
      </c>
      <c r="S61" s="29"/>
      <c r="T61" s="29"/>
      <c r="U61" s="28">
        <f>ROUND(ROUND(R61, 2)*K61, 2)</f>
        <v>4798</v>
      </c>
      <c r="V61" s="29"/>
      <c r="W61" s="30"/>
    </row>
    <row r="62" spans="1:23" ht="50" customHeight="1" x14ac:dyDescent="0.35">
      <c r="A62" s="20" t="s">
        <v>129</v>
      </c>
      <c r="B62" s="20" t="s">
        <v>77</v>
      </c>
      <c r="C62" s="21" t="s">
        <v>121</v>
      </c>
      <c r="D62" s="22"/>
      <c r="E62" s="22" t="s">
        <v>130</v>
      </c>
      <c r="F62" s="22" t="s">
        <v>55</v>
      </c>
      <c r="G62" s="23">
        <v>1</v>
      </c>
      <c r="H62" s="131"/>
      <c r="I62" s="171"/>
      <c r="J62" s="142"/>
      <c r="K62" s="70">
        <v>631.29999999999995</v>
      </c>
      <c r="L62" s="62">
        <f>IFERROR(ROUND(SUM(O63,O64,O65,O66,O67)/K62, 2),0)</f>
        <v>879.19</v>
      </c>
      <c r="M62" s="80">
        <v>941</v>
      </c>
      <c r="N62" s="90">
        <f>L62+ROUND(M62, 2)</f>
        <v>1820.19</v>
      </c>
      <c r="O62" s="62">
        <f>ROUND(L62*K62, 2)</f>
        <v>555032.65</v>
      </c>
      <c r="P62" s="24">
        <f>ROUND(K62*ROUND(M62, 2), 2)</f>
        <v>594053.30000000005</v>
      </c>
      <c r="Q62" s="24">
        <f>O62+P62</f>
        <v>1149085.9500000002</v>
      </c>
      <c r="R62" s="24">
        <f>IFERROR(ROUND(SUM(U63,U64,U65,U66,U67)/K62, 2),0)</f>
        <v>879.19</v>
      </c>
      <c r="S62" s="24">
        <v>941</v>
      </c>
      <c r="T62" s="24">
        <f>R62+ROUND(S62, 2)</f>
        <v>1820.19</v>
      </c>
      <c r="U62" s="24">
        <f>ROUND(R62*K62, 2)</f>
        <v>555032.65</v>
      </c>
      <c r="V62" s="24">
        <f>ROUND(K62*ROUND(S62, 2), 2)</f>
        <v>594053.30000000005</v>
      </c>
      <c r="W62" s="24">
        <f>U62+V62</f>
        <v>1149085.9500000002</v>
      </c>
    </row>
    <row r="63" spans="1:23" ht="36" x14ac:dyDescent="0.35">
      <c r="A63" s="20" t="s">
        <v>131</v>
      </c>
      <c r="B63" s="20"/>
      <c r="C63" s="25" t="s">
        <v>60</v>
      </c>
      <c r="D63" s="22"/>
      <c r="E63" s="22"/>
      <c r="F63" s="26" t="s">
        <v>58</v>
      </c>
      <c r="G63" s="27">
        <v>0.2</v>
      </c>
      <c r="H63" s="132"/>
      <c r="I63" s="171"/>
      <c r="J63" s="142"/>
      <c r="K63" s="78">
        <v>126.26</v>
      </c>
      <c r="L63" s="63">
        <v>88.8</v>
      </c>
      <c r="M63" s="29"/>
      <c r="N63" s="91"/>
      <c r="O63" s="63">
        <f>ROUND(ROUND(L63, 2)*K63, 2)</f>
        <v>11211.89</v>
      </c>
      <c r="P63" s="29"/>
      <c r="Q63" s="29"/>
      <c r="R63" s="28">
        <v>88.8</v>
      </c>
      <c r="S63" s="29"/>
      <c r="T63" s="29"/>
      <c r="U63" s="28">
        <f>ROUND(ROUND(R63, 2)*K63, 2)</f>
        <v>11211.89</v>
      </c>
      <c r="V63" s="29"/>
      <c r="W63" s="30"/>
    </row>
    <row r="64" spans="1:23" ht="20" x14ac:dyDescent="0.35">
      <c r="A64" s="20" t="s">
        <v>132</v>
      </c>
      <c r="B64" s="20"/>
      <c r="C64" s="25" t="s">
        <v>66</v>
      </c>
      <c r="D64" s="22"/>
      <c r="E64" s="22"/>
      <c r="F64" s="26" t="s">
        <v>67</v>
      </c>
      <c r="G64" s="27">
        <v>1</v>
      </c>
      <c r="H64" s="132"/>
      <c r="I64" s="171"/>
      <c r="J64" s="142"/>
      <c r="K64" s="71">
        <v>277</v>
      </c>
      <c r="L64" s="63">
        <v>10.4</v>
      </c>
      <c r="M64" s="29"/>
      <c r="N64" s="91"/>
      <c r="O64" s="63">
        <f>ROUND(ROUND(L64, 2)*K64, 2)</f>
        <v>2880.8</v>
      </c>
      <c r="P64" s="29"/>
      <c r="Q64" s="29"/>
      <c r="R64" s="28">
        <v>10.4</v>
      </c>
      <c r="S64" s="29"/>
      <c r="T64" s="29"/>
      <c r="U64" s="28">
        <f>ROUND(ROUND(R64, 2)*K64, 2)</f>
        <v>2880.8</v>
      </c>
      <c r="V64" s="29"/>
      <c r="W64" s="30"/>
    </row>
    <row r="65" spans="1:23" ht="20" x14ac:dyDescent="0.35">
      <c r="A65" s="20" t="s">
        <v>133</v>
      </c>
      <c r="B65" s="20"/>
      <c r="C65" s="25" t="s">
        <v>90</v>
      </c>
      <c r="D65" s="22"/>
      <c r="E65" s="22"/>
      <c r="F65" s="26" t="s">
        <v>55</v>
      </c>
      <c r="G65" s="27">
        <v>1.1000000000000001</v>
      </c>
      <c r="H65" s="132"/>
      <c r="I65" s="171"/>
      <c r="J65" s="142"/>
      <c r="K65" s="71">
        <v>694.43</v>
      </c>
      <c r="L65" s="63">
        <v>155.01</v>
      </c>
      <c r="M65" s="29"/>
      <c r="N65" s="91"/>
      <c r="O65" s="63">
        <f>ROUND(ROUND(L65, 2)*K65, 2)</f>
        <v>107643.59</v>
      </c>
      <c r="P65" s="29"/>
      <c r="Q65" s="29"/>
      <c r="R65" s="28">
        <v>155.01</v>
      </c>
      <c r="S65" s="29"/>
      <c r="T65" s="29"/>
      <c r="U65" s="28">
        <f>ROUND(ROUND(R65, 2)*K65, 2)</f>
        <v>107643.59</v>
      </c>
      <c r="V65" s="29"/>
      <c r="W65" s="30"/>
    </row>
    <row r="66" spans="1:23" ht="20" x14ac:dyDescent="0.35">
      <c r="A66" s="20" t="s">
        <v>134</v>
      </c>
      <c r="B66" s="20"/>
      <c r="C66" s="25" t="s">
        <v>127</v>
      </c>
      <c r="D66" s="22"/>
      <c r="E66" s="22"/>
      <c r="F66" s="26" t="s">
        <v>58</v>
      </c>
      <c r="G66" s="27">
        <v>1.8</v>
      </c>
      <c r="H66" s="132"/>
      <c r="I66" s="171"/>
      <c r="J66" s="142"/>
      <c r="K66" s="71">
        <v>68180.399999999994</v>
      </c>
      <c r="L66" s="63">
        <v>6.17</v>
      </c>
      <c r="M66" s="29"/>
      <c r="N66" s="91"/>
      <c r="O66" s="63">
        <f>ROUND(ROUND(L66, 2)*K66, 2)</f>
        <v>420673.07</v>
      </c>
      <c r="P66" s="29"/>
      <c r="Q66" s="29"/>
      <c r="R66" s="28">
        <v>6.17</v>
      </c>
      <c r="S66" s="29"/>
      <c r="T66" s="29"/>
      <c r="U66" s="28">
        <f>ROUND(ROUND(R66, 2)*K66, 2)</f>
        <v>420673.07</v>
      </c>
      <c r="V66" s="29"/>
      <c r="W66" s="30"/>
    </row>
    <row r="67" spans="1:23" ht="20" x14ac:dyDescent="0.35">
      <c r="A67" s="20" t="s">
        <v>135</v>
      </c>
      <c r="B67" s="20"/>
      <c r="C67" s="25" t="s">
        <v>83</v>
      </c>
      <c r="D67" s="22"/>
      <c r="E67" s="22"/>
      <c r="F67" s="26" t="s">
        <v>84</v>
      </c>
      <c r="G67" s="27">
        <v>8</v>
      </c>
      <c r="H67" s="132"/>
      <c r="I67" s="171"/>
      <c r="J67" s="142"/>
      <c r="K67" s="71">
        <v>5050.3999999999996</v>
      </c>
      <c r="L67" s="63">
        <v>2.5</v>
      </c>
      <c r="M67" s="29"/>
      <c r="N67" s="91"/>
      <c r="O67" s="63">
        <f>ROUND(ROUND(L67, 2)*K67, 2)</f>
        <v>12626</v>
      </c>
      <c r="P67" s="29"/>
      <c r="Q67" s="29"/>
      <c r="R67" s="28">
        <v>2.5</v>
      </c>
      <c r="S67" s="29"/>
      <c r="T67" s="29"/>
      <c r="U67" s="28">
        <f>ROUND(ROUND(R67, 2)*K67, 2)</f>
        <v>12626</v>
      </c>
      <c r="V67" s="29"/>
      <c r="W67" s="30"/>
    </row>
    <row r="68" spans="1:23" ht="47.5" customHeight="1" x14ac:dyDescent="0.35">
      <c r="A68" s="20" t="s">
        <v>136</v>
      </c>
      <c r="B68" s="20" t="s">
        <v>77</v>
      </c>
      <c r="C68" s="21" t="s">
        <v>121</v>
      </c>
      <c r="D68" s="22"/>
      <c r="E68" s="22" t="s">
        <v>137</v>
      </c>
      <c r="F68" s="22" t="s">
        <v>55</v>
      </c>
      <c r="G68" s="23">
        <v>1</v>
      </c>
      <c r="H68" s="131"/>
      <c r="I68" s="171"/>
      <c r="J68" s="142"/>
      <c r="K68" s="70">
        <v>34.5</v>
      </c>
      <c r="L68" s="62">
        <f>IFERROR(ROUND(SUM(O69,O70,O71,O72,O73)/K68, 2),0)</f>
        <v>768.25</v>
      </c>
      <c r="M68" s="80">
        <v>941</v>
      </c>
      <c r="N68" s="90">
        <f>L68+ROUND(M68, 2)</f>
        <v>1709.25</v>
      </c>
      <c r="O68" s="62">
        <f>ROUND(L68*K68, 2)</f>
        <v>26504.63</v>
      </c>
      <c r="P68" s="24">
        <f>ROUND(K68*ROUND(M68, 2), 2)</f>
        <v>32464.5</v>
      </c>
      <c r="Q68" s="24">
        <f>O68+P68</f>
        <v>58969.130000000005</v>
      </c>
      <c r="R68" s="24">
        <f>IFERROR(ROUND(SUM(U69,U70,U71,U72,U73)/K68, 2),0)</f>
        <v>768.25</v>
      </c>
      <c r="S68" s="24">
        <v>941</v>
      </c>
      <c r="T68" s="24">
        <f>R68+ROUND(S68, 2)</f>
        <v>1709.25</v>
      </c>
      <c r="U68" s="24">
        <f>ROUND(R68*K68, 2)</f>
        <v>26504.63</v>
      </c>
      <c r="V68" s="24">
        <f>ROUND(K68*ROUND(S68, 2), 2)</f>
        <v>32464.5</v>
      </c>
      <c r="W68" s="24">
        <f>U68+V68</f>
        <v>58969.130000000005</v>
      </c>
    </row>
    <row r="69" spans="1:23" ht="36" x14ac:dyDescent="0.35">
      <c r="A69" s="20" t="s">
        <v>138</v>
      </c>
      <c r="B69" s="20"/>
      <c r="C69" s="25" t="s">
        <v>60</v>
      </c>
      <c r="D69" s="22"/>
      <c r="E69" s="22"/>
      <c r="F69" s="26" t="s">
        <v>58</v>
      </c>
      <c r="G69" s="27">
        <v>0.2</v>
      </c>
      <c r="H69" s="132"/>
      <c r="I69" s="171"/>
      <c r="J69" s="142"/>
      <c r="K69" s="78">
        <v>6.9</v>
      </c>
      <c r="L69" s="63">
        <v>88.8</v>
      </c>
      <c r="M69" s="29"/>
      <c r="N69" s="91"/>
      <c r="O69" s="63">
        <f>ROUND(ROUND(L69, 2)*K69, 2)</f>
        <v>612.72</v>
      </c>
      <c r="P69" s="29"/>
      <c r="Q69" s="29"/>
      <c r="R69" s="28">
        <v>88.8</v>
      </c>
      <c r="S69" s="29"/>
      <c r="T69" s="29"/>
      <c r="U69" s="28">
        <f>ROUND(ROUND(R69, 2)*K69, 2)</f>
        <v>612.72</v>
      </c>
      <c r="V69" s="29"/>
      <c r="W69" s="30"/>
    </row>
    <row r="70" spans="1:23" ht="20" x14ac:dyDescent="0.35">
      <c r="A70" s="20" t="s">
        <v>139</v>
      </c>
      <c r="B70" s="20"/>
      <c r="C70" s="25" t="s">
        <v>66</v>
      </c>
      <c r="D70" s="22"/>
      <c r="E70" s="22"/>
      <c r="F70" s="26" t="s">
        <v>67</v>
      </c>
      <c r="G70" s="27">
        <v>1</v>
      </c>
      <c r="H70" s="132"/>
      <c r="I70" s="171"/>
      <c r="J70" s="142"/>
      <c r="K70" s="71">
        <v>15.519</v>
      </c>
      <c r="L70" s="63">
        <v>10.4</v>
      </c>
      <c r="M70" s="29"/>
      <c r="N70" s="91"/>
      <c r="O70" s="63">
        <f>ROUND(ROUND(L70, 2)*K70, 2)</f>
        <v>161.4</v>
      </c>
      <c r="P70" s="29"/>
      <c r="Q70" s="29"/>
      <c r="R70" s="28">
        <v>10.4</v>
      </c>
      <c r="S70" s="29"/>
      <c r="T70" s="29"/>
      <c r="U70" s="28">
        <f>ROUND(ROUND(R70, 2)*K70, 2)</f>
        <v>161.4</v>
      </c>
      <c r="V70" s="29"/>
      <c r="W70" s="30"/>
    </row>
    <row r="71" spans="1:23" ht="20" x14ac:dyDescent="0.35">
      <c r="A71" s="20" t="s">
        <v>140</v>
      </c>
      <c r="B71" s="20"/>
      <c r="C71" s="25" t="s">
        <v>90</v>
      </c>
      <c r="D71" s="22"/>
      <c r="E71" s="22"/>
      <c r="F71" s="26" t="s">
        <v>55</v>
      </c>
      <c r="G71" s="27">
        <v>1.1000000000000001</v>
      </c>
      <c r="H71" s="132"/>
      <c r="I71" s="171"/>
      <c r="J71" s="142"/>
      <c r="K71" s="71">
        <v>37.950000000000003</v>
      </c>
      <c r="L71" s="63">
        <v>155.01</v>
      </c>
      <c r="M71" s="29"/>
      <c r="N71" s="91"/>
      <c r="O71" s="63">
        <f>ROUND(ROUND(L71, 2)*K71, 2)</f>
        <v>5882.63</v>
      </c>
      <c r="P71" s="29"/>
      <c r="Q71" s="29"/>
      <c r="R71" s="28">
        <v>155.01</v>
      </c>
      <c r="S71" s="29"/>
      <c r="T71" s="29"/>
      <c r="U71" s="28">
        <f>ROUND(ROUND(R71, 2)*K71, 2)</f>
        <v>5882.63</v>
      </c>
      <c r="V71" s="29"/>
      <c r="W71" s="30"/>
    </row>
    <row r="72" spans="1:23" ht="20" x14ac:dyDescent="0.35">
      <c r="A72" s="20" t="s">
        <v>141</v>
      </c>
      <c r="B72" s="20"/>
      <c r="C72" s="25" t="s">
        <v>127</v>
      </c>
      <c r="D72" s="22"/>
      <c r="E72" s="22"/>
      <c r="F72" s="26" t="s">
        <v>58</v>
      </c>
      <c r="G72" s="27">
        <v>1.8</v>
      </c>
      <c r="H72" s="132"/>
      <c r="I72" s="171"/>
      <c r="J72" s="142"/>
      <c r="K72" s="71">
        <v>3105</v>
      </c>
      <c r="L72" s="63">
        <v>6.17</v>
      </c>
      <c r="M72" s="29"/>
      <c r="N72" s="91"/>
      <c r="O72" s="63">
        <f>ROUND(ROUND(L72, 2)*K72, 2)</f>
        <v>19157.849999999999</v>
      </c>
      <c r="P72" s="29"/>
      <c r="Q72" s="29"/>
      <c r="R72" s="28">
        <v>6.17</v>
      </c>
      <c r="S72" s="29"/>
      <c r="T72" s="29"/>
      <c r="U72" s="28">
        <f>ROUND(ROUND(R72, 2)*K72, 2)</f>
        <v>19157.849999999999</v>
      </c>
      <c r="V72" s="29"/>
      <c r="W72" s="30"/>
    </row>
    <row r="73" spans="1:23" ht="20" x14ac:dyDescent="0.35">
      <c r="A73" s="20" t="s">
        <v>142</v>
      </c>
      <c r="B73" s="20"/>
      <c r="C73" s="25" t="s">
        <v>83</v>
      </c>
      <c r="D73" s="22"/>
      <c r="E73" s="22"/>
      <c r="F73" s="26" t="s">
        <v>84</v>
      </c>
      <c r="G73" s="27">
        <v>8</v>
      </c>
      <c r="H73" s="132"/>
      <c r="I73" s="171"/>
      <c r="J73" s="142"/>
      <c r="K73" s="71">
        <v>276</v>
      </c>
      <c r="L73" s="63">
        <v>2.5</v>
      </c>
      <c r="M73" s="29"/>
      <c r="N73" s="91"/>
      <c r="O73" s="63">
        <f>ROUND(ROUND(L73, 2)*K73, 2)</f>
        <v>690</v>
      </c>
      <c r="P73" s="29"/>
      <c r="Q73" s="29"/>
      <c r="R73" s="28">
        <v>2.5</v>
      </c>
      <c r="S73" s="29"/>
      <c r="T73" s="29"/>
      <c r="U73" s="28">
        <f>ROUND(ROUND(R73, 2)*K73, 2)</f>
        <v>690</v>
      </c>
      <c r="V73" s="29"/>
      <c r="W73" s="30"/>
    </row>
    <row r="74" spans="1:23" ht="36" x14ac:dyDescent="0.35">
      <c r="A74" s="31" t="s">
        <v>143</v>
      </c>
      <c r="B74" s="31" t="s">
        <v>144</v>
      </c>
      <c r="C74" s="32" t="s">
        <v>145</v>
      </c>
      <c r="D74" s="33"/>
      <c r="E74" s="33" t="s">
        <v>146</v>
      </c>
      <c r="F74" s="33" t="s">
        <v>55</v>
      </c>
      <c r="G74" s="34">
        <v>1</v>
      </c>
      <c r="H74" s="133"/>
      <c r="I74" s="171"/>
      <c r="J74" s="143"/>
      <c r="K74" s="72">
        <v>0</v>
      </c>
      <c r="L74" s="64">
        <f>IFERROR(ROUND(SUM(O76,O78,O80,O82,O84,O86,O88)/K74, 2),0)</f>
        <v>0</v>
      </c>
      <c r="M74" s="81">
        <v>922</v>
      </c>
      <c r="N74" s="90">
        <f>L74+ROUND(M74, 2)</f>
        <v>922</v>
      </c>
      <c r="O74" s="64">
        <f>ROUND(L74*K74, 2)</f>
        <v>0</v>
      </c>
      <c r="P74" s="35">
        <f>ROUND(K74*ROUND(M74, 2), 2)</f>
        <v>0</v>
      </c>
      <c r="Q74" s="35">
        <f>O74+P74</f>
        <v>0</v>
      </c>
      <c r="R74" s="35">
        <f>IFERROR(ROUND(SUM(U76,U78,U80,U82,U84,U86,U88)/K74, 2),0)</f>
        <v>0</v>
      </c>
      <c r="S74" s="35">
        <v>922</v>
      </c>
      <c r="T74" s="35">
        <f>R74+ROUND(S74, 2)</f>
        <v>922</v>
      </c>
      <c r="U74" s="35">
        <f>ROUND(R74*K74, 2)</f>
        <v>0</v>
      </c>
      <c r="V74" s="35">
        <f>ROUND(K74*ROUND(S74, 2), 2)</f>
        <v>0</v>
      </c>
      <c r="W74" s="35">
        <f>U74+V74</f>
        <v>0</v>
      </c>
    </row>
    <row r="75" spans="1:23" ht="36" x14ac:dyDescent="0.35">
      <c r="A75" s="36" t="s">
        <v>147</v>
      </c>
      <c r="B75" s="36" t="s">
        <v>144</v>
      </c>
      <c r="C75" s="37" t="s">
        <v>145</v>
      </c>
      <c r="D75" s="38"/>
      <c r="E75" s="38" t="s">
        <v>148</v>
      </c>
      <c r="F75" s="38" t="s">
        <v>55</v>
      </c>
      <c r="G75" s="39">
        <v>1</v>
      </c>
      <c r="H75" s="134"/>
      <c r="I75" s="171"/>
      <c r="J75" s="144"/>
      <c r="K75" s="73">
        <v>4266.7</v>
      </c>
      <c r="L75" s="65">
        <v>0</v>
      </c>
      <c r="M75" s="82">
        <v>922</v>
      </c>
      <c r="N75" s="90"/>
      <c r="O75" s="65">
        <v>0</v>
      </c>
      <c r="P75" s="40"/>
      <c r="Q75" s="40"/>
      <c r="R75" s="40">
        <v>0</v>
      </c>
      <c r="S75" s="40">
        <v>922</v>
      </c>
      <c r="T75" s="40"/>
      <c r="U75" s="40">
        <v>0</v>
      </c>
      <c r="V75" s="40"/>
      <c r="W75" s="40"/>
    </row>
    <row r="76" spans="1:23" ht="20" x14ac:dyDescent="0.35">
      <c r="A76" s="31" t="s">
        <v>149</v>
      </c>
      <c r="B76" s="31"/>
      <c r="C76" s="41" t="s">
        <v>83</v>
      </c>
      <c r="D76" s="33"/>
      <c r="E76" s="33"/>
      <c r="F76" s="42" t="s">
        <v>84</v>
      </c>
      <c r="G76" s="43">
        <v>8</v>
      </c>
      <c r="H76" s="135"/>
      <c r="I76" s="171"/>
      <c r="J76" s="143"/>
      <c r="K76" s="74">
        <v>0</v>
      </c>
      <c r="L76" s="66">
        <v>2.5</v>
      </c>
      <c r="M76" s="45"/>
      <c r="N76" s="91"/>
      <c r="O76" s="66">
        <f t="shared" ref="O76:O89" si="6">ROUND(ROUND(L76, 2)*K76, 2)</f>
        <v>0</v>
      </c>
      <c r="P76" s="45"/>
      <c r="Q76" s="45"/>
      <c r="R76" s="44">
        <v>2.5</v>
      </c>
      <c r="S76" s="45"/>
      <c r="T76" s="45"/>
      <c r="U76" s="44">
        <f t="shared" ref="U76:U89" si="7">ROUND(ROUND(R76, 2)*K76, 2)</f>
        <v>0</v>
      </c>
      <c r="V76" s="45"/>
      <c r="W76" s="46"/>
    </row>
    <row r="77" spans="1:23" ht="20" x14ac:dyDescent="0.35">
      <c r="A77" s="36" t="s">
        <v>150</v>
      </c>
      <c r="B77" s="36"/>
      <c r="C77" s="47" t="s">
        <v>83</v>
      </c>
      <c r="D77" s="38"/>
      <c r="E77" s="38"/>
      <c r="F77" s="48" t="s">
        <v>84</v>
      </c>
      <c r="G77" s="49">
        <v>8</v>
      </c>
      <c r="H77" s="136"/>
      <c r="I77" s="171"/>
      <c r="J77" s="144"/>
      <c r="K77" s="75">
        <v>34133.599999999999</v>
      </c>
      <c r="L77" s="67">
        <v>2.5</v>
      </c>
      <c r="M77" s="51"/>
      <c r="N77" s="91"/>
      <c r="O77" s="67">
        <f t="shared" si="6"/>
        <v>85334</v>
      </c>
      <c r="P77" s="51"/>
      <c r="Q77" s="51"/>
      <c r="R77" s="50">
        <v>2.5</v>
      </c>
      <c r="S77" s="51"/>
      <c r="T77" s="51"/>
      <c r="U77" s="50">
        <f t="shared" si="7"/>
        <v>85334</v>
      </c>
      <c r="V77" s="51"/>
      <c r="W77" s="52"/>
    </row>
    <row r="78" spans="1:23" ht="20" x14ac:dyDescent="0.35">
      <c r="A78" s="31" t="s">
        <v>151</v>
      </c>
      <c r="B78" s="31"/>
      <c r="C78" s="41" t="s">
        <v>87</v>
      </c>
      <c r="D78" s="33"/>
      <c r="E78" s="33"/>
      <c r="F78" s="42" t="s">
        <v>58</v>
      </c>
      <c r="G78" s="43">
        <v>1E-3</v>
      </c>
      <c r="H78" s="135"/>
      <c r="I78" s="171"/>
      <c r="J78" s="143"/>
      <c r="K78" s="74">
        <v>0</v>
      </c>
      <c r="L78" s="66">
        <v>208.33</v>
      </c>
      <c r="M78" s="45"/>
      <c r="N78" s="91"/>
      <c r="O78" s="66">
        <f t="shared" si="6"/>
        <v>0</v>
      </c>
      <c r="P78" s="45"/>
      <c r="Q78" s="45"/>
      <c r="R78" s="44">
        <v>208.33</v>
      </c>
      <c r="S78" s="45"/>
      <c r="T78" s="45"/>
      <c r="U78" s="44">
        <f t="shared" si="7"/>
        <v>0</v>
      </c>
      <c r="V78" s="45"/>
      <c r="W78" s="46"/>
    </row>
    <row r="79" spans="1:23" ht="20" x14ac:dyDescent="0.35">
      <c r="A79" s="36" t="s">
        <v>152</v>
      </c>
      <c r="B79" s="36"/>
      <c r="C79" s="47" t="s">
        <v>87</v>
      </c>
      <c r="D79" s="38"/>
      <c r="E79" s="38"/>
      <c r="F79" s="48" t="s">
        <v>58</v>
      </c>
      <c r="G79" s="49">
        <v>1E-3</v>
      </c>
      <c r="H79" s="136"/>
      <c r="I79" s="171"/>
      <c r="J79" s="144"/>
      <c r="K79" s="75">
        <v>277.35599999999999</v>
      </c>
      <c r="L79" s="67">
        <v>208.33</v>
      </c>
      <c r="M79" s="51"/>
      <c r="N79" s="91"/>
      <c r="O79" s="67">
        <f t="shared" si="6"/>
        <v>57781.58</v>
      </c>
      <c r="P79" s="51"/>
      <c r="Q79" s="51"/>
      <c r="R79" s="50">
        <v>208.33</v>
      </c>
      <c r="S79" s="51"/>
      <c r="T79" s="51"/>
      <c r="U79" s="50">
        <f t="shared" si="7"/>
        <v>57781.58</v>
      </c>
      <c r="V79" s="51"/>
      <c r="W79" s="52"/>
    </row>
    <row r="80" spans="1:23" ht="20" x14ac:dyDescent="0.35">
      <c r="A80" s="31" t="s">
        <v>153</v>
      </c>
      <c r="B80" s="31"/>
      <c r="C80" s="41" t="s">
        <v>90</v>
      </c>
      <c r="D80" s="33"/>
      <c r="E80" s="33"/>
      <c r="F80" s="42" t="s">
        <v>55</v>
      </c>
      <c r="G80" s="43">
        <v>1.1000000000000001</v>
      </c>
      <c r="H80" s="135"/>
      <c r="I80" s="171"/>
      <c r="J80" s="143"/>
      <c r="K80" s="74">
        <v>0</v>
      </c>
      <c r="L80" s="66">
        <v>155.01</v>
      </c>
      <c r="M80" s="45"/>
      <c r="N80" s="91"/>
      <c r="O80" s="66">
        <f t="shared" si="6"/>
        <v>0</v>
      </c>
      <c r="P80" s="45"/>
      <c r="Q80" s="45"/>
      <c r="R80" s="44">
        <v>155.01</v>
      </c>
      <c r="S80" s="45"/>
      <c r="T80" s="45"/>
      <c r="U80" s="44">
        <f t="shared" si="7"/>
        <v>0</v>
      </c>
      <c r="V80" s="45"/>
      <c r="W80" s="46"/>
    </row>
    <row r="81" spans="1:23" ht="20" x14ac:dyDescent="0.35">
      <c r="A81" s="36" t="s">
        <v>154</v>
      </c>
      <c r="B81" s="36"/>
      <c r="C81" s="47" t="s">
        <v>90</v>
      </c>
      <c r="D81" s="38"/>
      <c r="E81" s="38"/>
      <c r="F81" s="48" t="s">
        <v>55</v>
      </c>
      <c r="G81" s="49">
        <v>1.1000000000000001</v>
      </c>
      <c r="H81" s="136"/>
      <c r="I81" s="171"/>
      <c r="J81" s="144"/>
      <c r="K81" s="75">
        <v>4693.37</v>
      </c>
      <c r="L81" s="67">
        <v>155.01</v>
      </c>
      <c r="M81" s="51"/>
      <c r="N81" s="91"/>
      <c r="O81" s="67">
        <f t="shared" si="6"/>
        <v>727519.28</v>
      </c>
      <c r="P81" s="51"/>
      <c r="Q81" s="51"/>
      <c r="R81" s="50">
        <v>155.01</v>
      </c>
      <c r="S81" s="51"/>
      <c r="T81" s="51"/>
      <c r="U81" s="50">
        <f t="shared" si="7"/>
        <v>727519.28</v>
      </c>
      <c r="V81" s="51"/>
      <c r="W81" s="52"/>
    </row>
    <row r="82" spans="1:23" ht="20" x14ac:dyDescent="0.35">
      <c r="A82" s="31" t="s">
        <v>155</v>
      </c>
      <c r="B82" s="31"/>
      <c r="C82" s="41" t="s">
        <v>93</v>
      </c>
      <c r="D82" s="33"/>
      <c r="E82" s="33"/>
      <c r="F82" s="42" t="s">
        <v>58</v>
      </c>
      <c r="G82" s="43">
        <v>0.32</v>
      </c>
      <c r="H82" s="135"/>
      <c r="I82" s="171"/>
      <c r="J82" s="143"/>
      <c r="K82" s="74">
        <v>0</v>
      </c>
      <c r="L82" s="66">
        <v>7.5</v>
      </c>
      <c r="M82" s="45"/>
      <c r="N82" s="91"/>
      <c r="O82" s="66">
        <f t="shared" si="6"/>
        <v>0</v>
      </c>
      <c r="P82" s="45"/>
      <c r="Q82" s="45"/>
      <c r="R82" s="44">
        <v>7.5</v>
      </c>
      <c r="S82" s="45"/>
      <c r="T82" s="45"/>
      <c r="U82" s="44">
        <f t="shared" si="7"/>
        <v>0</v>
      </c>
      <c r="V82" s="45"/>
      <c r="W82" s="46"/>
    </row>
    <row r="83" spans="1:23" ht="20" x14ac:dyDescent="0.35">
      <c r="A83" s="36" t="s">
        <v>156</v>
      </c>
      <c r="B83" s="36"/>
      <c r="C83" s="47" t="s">
        <v>93</v>
      </c>
      <c r="D83" s="38"/>
      <c r="E83" s="38"/>
      <c r="F83" s="48" t="s">
        <v>58</v>
      </c>
      <c r="G83" s="49">
        <v>0.32</v>
      </c>
      <c r="H83" s="136"/>
      <c r="I83" s="171"/>
      <c r="J83" s="144"/>
      <c r="K83" s="75">
        <v>88747.36</v>
      </c>
      <c r="L83" s="67">
        <v>7.5</v>
      </c>
      <c r="M83" s="51"/>
      <c r="N83" s="91"/>
      <c r="O83" s="67">
        <f t="shared" si="6"/>
        <v>665605.19999999995</v>
      </c>
      <c r="P83" s="51"/>
      <c r="Q83" s="51"/>
      <c r="R83" s="50">
        <v>7.5</v>
      </c>
      <c r="S83" s="51"/>
      <c r="T83" s="51"/>
      <c r="U83" s="50">
        <f t="shared" si="7"/>
        <v>665605.19999999995</v>
      </c>
      <c r="V83" s="51"/>
      <c r="W83" s="52"/>
    </row>
    <row r="84" spans="1:23" ht="20" x14ac:dyDescent="0.35">
      <c r="A84" s="31" t="s">
        <v>157</v>
      </c>
      <c r="B84" s="31"/>
      <c r="C84" s="41" t="s">
        <v>96</v>
      </c>
      <c r="D84" s="33"/>
      <c r="E84" s="33"/>
      <c r="F84" s="42" t="s">
        <v>73</v>
      </c>
      <c r="G84" s="43">
        <v>1E-3</v>
      </c>
      <c r="H84" s="135"/>
      <c r="I84" s="171"/>
      <c r="J84" s="143"/>
      <c r="K84" s="74">
        <v>0</v>
      </c>
      <c r="L84" s="66">
        <v>1600</v>
      </c>
      <c r="M84" s="45"/>
      <c r="N84" s="91"/>
      <c r="O84" s="66">
        <f t="shared" si="6"/>
        <v>0</v>
      </c>
      <c r="P84" s="45"/>
      <c r="Q84" s="45"/>
      <c r="R84" s="44">
        <v>1600</v>
      </c>
      <c r="S84" s="45"/>
      <c r="T84" s="45"/>
      <c r="U84" s="44">
        <f t="shared" si="7"/>
        <v>0</v>
      </c>
      <c r="V84" s="45"/>
      <c r="W84" s="46"/>
    </row>
    <row r="85" spans="1:23" ht="20" x14ac:dyDescent="0.35">
      <c r="A85" s="36" t="s">
        <v>158</v>
      </c>
      <c r="B85" s="36"/>
      <c r="C85" s="47" t="s">
        <v>96</v>
      </c>
      <c r="D85" s="38"/>
      <c r="E85" s="38"/>
      <c r="F85" s="48" t="s">
        <v>73</v>
      </c>
      <c r="G85" s="49">
        <v>1E-3</v>
      </c>
      <c r="H85" s="136"/>
      <c r="I85" s="171"/>
      <c r="J85" s="144"/>
      <c r="K85" s="75">
        <v>277.33600000000001</v>
      </c>
      <c r="L85" s="67">
        <v>1600</v>
      </c>
      <c r="M85" s="51"/>
      <c r="N85" s="91"/>
      <c r="O85" s="67">
        <f t="shared" si="6"/>
        <v>443737.59999999998</v>
      </c>
      <c r="P85" s="51"/>
      <c r="Q85" s="51"/>
      <c r="R85" s="50">
        <v>1600</v>
      </c>
      <c r="S85" s="51"/>
      <c r="T85" s="51"/>
      <c r="U85" s="50">
        <f t="shared" si="7"/>
        <v>443737.59999999998</v>
      </c>
      <c r="V85" s="51"/>
      <c r="W85" s="52"/>
    </row>
    <row r="86" spans="1:23" ht="20" x14ac:dyDescent="0.35">
      <c r="A86" s="31" t="s">
        <v>159</v>
      </c>
      <c r="B86" s="31"/>
      <c r="C86" s="41" t="s">
        <v>66</v>
      </c>
      <c r="D86" s="33"/>
      <c r="E86" s="33"/>
      <c r="F86" s="42" t="s">
        <v>67</v>
      </c>
      <c r="G86" s="43">
        <v>1</v>
      </c>
      <c r="H86" s="135"/>
      <c r="I86" s="171"/>
      <c r="J86" s="143"/>
      <c r="K86" s="74">
        <v>0</v>
      </c>
      <c r="L86" s="66">
        <v>10.4</v>
      </c>
      <c r="M86" s="45"/>
      <c r="N86" s="91"/>
      <c r="O86" s="66">
        <f t="shared" si="6"/>
        <v>0</v>
      </c>
      <c r="P86" s="45"/>
      <c r="Q86" s="45"/>
      <c r="R86" s="44">
        <v>10.4</v>
      </c>
      <c r="S86" s="45"/>
      <c r="T86" s="45"/>
      <c r="U86" s="44">
        <f t="shared" si="7"/>
        <v>0</v>
      </c>
      <c r="V86" s="45"/>
      <c r="W86" s="46"/>
    </row>
    <row r="87" spans="1:23" ht="20" x14ac:dyDescent="0.35">
      <c r="A87" s="36" t="s">
        <v>160</v>
      </c>
      <c r="B87" s="36"/>
      <c r="C87" s="47" t="s">
        <v>66</v>
      </c>
      <c r="D87" s="38"/>
      <c r="E87" s="38"/>
      <c r="F87" s="48" t="s">
        <v>67</v>
      </c>
      <c r="G87" s="49">
        <v>1</v>
      </c>
      <c r="H87" s="136"/>
      <c r="I87" s="171"/>
      <c r="J87" s="144"/>
      <c r="K87" s="75">
        <v>1872</v>
      </c>
      <c r="L87" s="67">
        <v>10.4</v>
      </c>
      <c r="M87" s="51"/>
      <c r="N87" s="91"/>
      <c r="O87" s="67">
        <f t="shared" si="6"/>
        <v>19468.8</v>
      </c>
      <c r="P87" s="51"/>
      <c r="Q87" s="51"/>
      <c r="R87" s="50">
        <v>10.4</v>
      </c>
      <c r="S87" s="51"/>
      <c r="T87" s="51"/>
      <c r="U87" s="50">
        <f t="shared" si="7"/>
        <v>19468.8</v>
      </c>
      <c r="V87" s="51"/>
      <c r="W87" s="52"/>
    </row>
    <row r="88" spans="1:23" ht="36" x14ac:dyDescent="0.35">
      <c r="A88" s="31" t="s">
        <v>161</v>
      </c>
      <c r="B88" s="31"/>
      <c r="C88" s="41" t="s">
        <v>60</v>
      </c>
      <c r="D88" s="33"/>
      <c r="E88" s="33"/>
      <c r="F88" s="42" t="s">
        <v>58</v>
      </c>
      <c r="G88" s="43">
        <v>0.2</v>
      </c>
      <c r="H88" s="135"/>
      <c r="I88" s="171"/>
      <c r="J88" s="143"/>
      <c r="K88" s="76">
        <v>0</v>
      </c>
      <c r="L88" s="66">
        <v>88.8</v>
      </c>
      <c r="M88" s="45"/>
      <c r="N88" s="91"/>
      <c r="O88" s="66">
        <f t="shared" si="6"/>
        <v>0</v>
      </c>
      <c r="P88" s="45"/>
      <c r="Q88" s="45"/>
      <c r="R88" s="44">
        <v>88.8</v>
      </c>
      <c r="S88" s="45"/>
      <c r="T88" s="45"/>
      <c r="U88" s="44">
        <f t="shared" si="7"/>
        <v>0</v>
      </c>
      <c r="V88" s="45"/>
      <c r="W88" s="46"/>
    </row>
    <row r="89" spans="1:23" ht="36" x14ac:dyDescent="0.35">
      <c r="A89" s="36" t="s">
        <v>162</v>
      </c>
      <c r="B89" s="36"/>
      <c r="C89" s="47" t="s">
        <v>60</v>
      </c>
      <c r="D89" s="38"/>
      <c r="E89" s="38"/>
      <c r="F89" s="48" t="s">
        <v>58</v>
      </c>
      <c r="G89" s="49">
        <v>0.2</v>
      </c>
      <c r="H89" s="136"/>
      <c r="I89" s="171"/>
      <c r="J89" s="144"/>
      <c r="K89" s="77">
        <v>853.34</v>
      </c>
      <c r="L89" s="67">
        <v>88.8</v>
      </c>
      <c r="M89" s="51"/>
      <c r="N89" s="91"/>
      <c r="O89" s="67">
        <f t="shared" si="6"/>
        <v>75776.59</v>
      </c>
      <c r="P89" s="51"/>
      <c r="Q89" s="51"/>
      <c r="R89" s="50">
        <v>88.8</v>
      </c>
      <c r="S89" s="51"/>
      <c r="T89" s="51"/>
      <c r="U89" s="50">
        <f t="shared" si="7"/>
        <v>75776.59</v>
      </c>
      <c r="V89" s="51"/>
      <c r="W89" s="52"/>
    </row>
    <row r="90" spans="1:23" ht="44.5" customHeight="1" x14ac:dyDescent="0.35">
      <c r="A90" s="20" t="s">
        <v>163</v>
      </c>
      <c r="B90" s="20" t="s">
        <v>144</v>
      </c>
      <c r="C90" s="21" t="s">
        <v>164</v>
      </c>
      <c r="D90" s="22"/>
      <c r="E90" s="22" t="s">
        <v>165</v>
      </c>
      <c r="F90" s="22" t="s">
        <v>55</v>
      </c>
      <c r="G90" s="23">
        <v>1</v>
      </c>
      <c r="H90" s="131"/>
      <c r="I90" s="171"/>
      <c r="J90" s="142"/>
      <c r="K90" s="70">
        <v>3586.9</v>
      </c>
      <c r="L90" s="62">
        <f>IFERROR(ROUND(SUM(O91,O92,O93,O94,O95)/K90, 2),0)</f>
        <v>935.6</v>
      </c>
      <c r="M90" s="80">
        <v>1014</v>
      </c>
      <c r="N90" s="90">
        <f>L90+ROUND(M90, 2)</f>
        <v>1949.6</v>
      </c>
      <c r="O90" s="62">
        <f>ROUND(L90*K90, 2)</f>
        <v>3355903.64</v>
      </c>
      <c r="P90" s="24">
        <f>ROUND(K90*ROUND(M90, 2), 2)</f>
        <v>3637116.6</v>
      </c>
      <c r="Q90" s="24">
        <f>O90+P90</f>
        <v>6993020.2400000002</v>
      </c>
      <c r="R90" s="24">
        <f>IFERROR(ROUND(SUM(U91,U92,U93,U94,U95)/K90, 2),0)</f>
        <v>935.6</v>
      </c>
      <c r="S90" s="24">
        <v>1014</v>
      </c>
      <c r="T90" s="24">
        <f>R90+ROUND(S90, 2)</f>
        <v>1949.6</v>
      </c>
      <c r="U90" s="24">
        <f>ROUND(R90*K90, 2)</f>
        <v>3355903.64</v>
      </c>
      <c r="V90" s="24">
        <f>ROUND(K90*ROUND(S90, 2), 2)</f>
        <v>3637116.6</v>
      </c>
      <c r="W90" s="24">
        <f>U90+V90</f>
        <v>6993020.2400000002</v>
      </c>
    </row>
    <row r="91" spans="1:23" ht="36" x14ac:dyDescent="0.35">
      <c r="A91" s="20" t="s">
        <v>166</v>
      </c>
      <c r="B91" s="20"/>
      <c r="C91" s="25" t="s">
        <v>60</v>
      </c>
      <c r="D91" s="22"/>
      <c r="E91" s="22"/>
      <c r="F91" s="26" t="s">
        <v>58</v>
      </c>
      <c r="G91" s="27">
        <v>0.2</v>
      </c>
      <c r="H91" s="132"/>
      <c r="I91" s="171"/>
      <c r="J91" s="142"/>
      <c r="K91" s="78">
        <v>717.38</v>
      </c>
      <c r="L91" s="63">
        <v>88.8</v>
      </c>
      <c r="M91" s="29"/>
      <c r="N91" s="91"/>
      <c r="O91" s="63">
        <f>ROUND(ROUND(L91, 2)*K91, 2)</f>
        <v>63703.34</v>
      </c>
      <c r="P91" s="29"/>
      <c r="Q91" s="29"/>
      <c r="R91" s="28">
        <v>88.8</v>
      </c>
      <c r="S91" s="29"/>
      <c r="T91" s="29"/>
      <c r="U91" s="28">
        <f>ROUND(ROUND(R91, 2)*K91, 2)</f>
        <v>63703.34</v>
      </c>
      <c r="V91" s="29"/>
      <c r="W91" s="30"/>
    </row>
    <row r="92" spans="1:23" ht="20" x14ac:dyDescent="0.35">
      <c r="A92" s="20" t="s">
        <v>167</v>
      </c>
      <c r="B92" s="20"/>
      <c r="C92" s="25" t="s">
        <v>66</v>
      </c>
      <c r="D92" s="22"/>
      <c r="E92" s="22"/>
      <c r="F92" s="26" t="s">
        <v>67</v>
      </c>
      <c r="G92" s="27">
        <v>1</v>
      </c>
      <c r="H92" s="132"/>
      <c r="I92" s="171"/>
      <c r="J92" s="142"/>
      <c r="K92" s="71">
        <v>1876</v>
      </c>
      <c r="L92" s="63">
        <v>10.4</v>
      </c>
      <c r="M92" s="29"/>
      <c r="N92" s="91"/>
      <c r="O92" s="63">
        <f>ROUND(ROUND(L92, 2)*K92, 2)</f>
        <v>19510.400000000001</v>
      </c>
      <c r="P92" s="29"/>
      <c r="Q92" s="29"/>
      <c r="R92" s="28">
        <v>10.4</v>
      </c>
      <c r="S92" s="29"/>
      <c r="T92" s="29"/>
      <c r="U92" s="28">
        <f>ROUND(ROUND(R92, 2)*K92, 2)</f>
        <v>19510.400000000001</v>
      </c>
      <c r="V92" s="29"/>
      <c r="W92" s="30"/>
    </row>
    <row r="93" spans="1:23" ht="20" x14ac:dyDescent="0.35">
      <c r="A93" s="20" t="s">
        <v>168</v>
      </c>
      <c r="B93" s="20"/>
      <c r="C93" s="25" t="s">
        <v>90</v>
      </c>
      <c r="D93" s="22"/>
      <c r="E93" s="22"/>
      <c r="F93" s="26" t="s">
        <v>55</v>
      </c>
      <c r="G93" s="27">
        <v>1.1000000000000001</v>
      </c>
      <c r="H93" s="132"/>
      <c r="I93" s="171"/>
      <c r="J93" s="142"/>
      <c r="K93" s="71">
        <v>3945.59</v>
      </c>
      <c r="L93" s="63">
        <v>155.01</v>
      </c>
      <c r="M93" s="29"/>
      <c r="N93" s="91"/>
      <c r="O93" s="63">
        <f>ROUND(ROUND(L93, 2)*K93, 2)</f>
        <v>611605.91</v>
      </c>
      <c r="P93" s="29"/>
      <c r="Q93" s="29"/>
      <c r="R93" s="28">
        <v>155.01</v>
      </c>
      <c r="S93" s="29"/>
      <c r="T93" s="29"/>
      <c r="U93" s="28">
        <f>ROUND(ROUND(R93, 2)*K93, 2)</f>
        <v>611605.91</v>
      </c>
      <c r="V93" s="29"/>
      <c r="W93" s="30"/>
    </row>
    <row r="94" spans="1:23" ht="20" x14ac:dyDescent="0.35">
      <c r="A94" s="20" t="s">
        <v>169</v>
      </c>
      <c r="B94" s="20"/>
      <c r="C94" s="25" t="s">
        <v>127</v>
      </c>
      <c r="D94" s="22"/>
      <c r="E94" s="22"/>
      <c r="F94" s="26" t="s">
        <v>58</v>
      </c>
      <c r="G94" s="27">
        <v>1.8</v>
      </c>
      <c r="H94" s="132"/>
      <c r="I94" s="171"/>
      <c r="J94" s="142"/>
      <c r="K94" s="71">
        <v>419667.3</v>
      </c>
      <c r="L94" s="63">
        <v>6.17</v>
      </c>
      <c r="M94" s="29"/>
      <c r="N94" s="91"/>
      <c r="O94" s="63">
        <f>ROUND(ROUND(L94, 2)*K94, 2)</f>
        <v>2589347.2400000002</v>
      </c>
      <c r="P94" s="29"/>
      <c r="Q94" s="29"/>
      <c r="R94" s="28">
        <v>6.17</v>
      </c>
      <c r="S94" s="29"/>
      <c r="T94" s="29"/>
      <c r="U94" s="28">
        <f>ROUND(ROUND(R94, 2)*K94, 2)</f>
        <v>2589347.2400000002</v>
      </c>
      <c r="V94" s="29"/>
      <c r="W94" s="30"/>
    </row>
    <row r="95" spans="1:23" ht="20" x14ac:dyDescent="0.35">
      <c r="A95" s="20" t="s">
        <v>170</v>
      </c>
      <c r="B95" s="20"/>
      <c r="C95" s="25" t="s">
        <v>83</v>
      </c>
      <c r="D95" s="22"/>
      <c r="E95" s="22"/>
      <c r="F95" s="26" t="s">
        <v>84</v>
      </c>
      <c r="G95" s="27">
        <v>8</v>
      </c>
      <c r="H95" s="132"/>
      <c r="I95" s="171"/>
      <c r="J95" s="142"/>
      <c r="K95" s="71">
        <v>28695.200000000001</v>
      </c>
      <c r="L95" s="63">
        <v>2.5</v>
      </c>
      <c r="M95" s="29"/>
      <c r="N95" s="91"/>
      <c r="O95" s="63">
        <f>ROUND(ROUND(L95, 2)*K95, 2)</f>
        <v>71738</v>
      </c>
      <c r="P95" s="29"/>
      <c r="Q95" s="29"/>
      <c r="R95" s="28">
        <v>2.5</v>
      </c>
      <c r="S95" s="29"/>
      <c r="T95" s="29"/>
      <c r="U95" s="28">
        <f>ROUND(ROUND(R95, 2)*K95, 2)</f>
        <v>71738</v>
      </c>
      <c r="V95" s="29"/>
      <c r="W95" s="30"/>
    </row>
    <row r="96" spans="1:23" ht="54" customHeight="1" x14ac:dyDescent="0.35">
      <c r="A96" s="20" t="s">
        <v>171</v>
      </c>
      <c r="B96" s="20" t="s">
        <v>144</v>
      </c>
      <c r="C96" s="21" t="s">
        <v>164</v>
      </c>
      <c r="D96" s="22"/>
      <c r="E96" s="22" t="s">
        <v>172</v>
      </c>
      <c r="F96" s="22" t="s">
        <v>55</v>
      </c>
      <c r="G96" s="23">
        <v>1</v>
      </c>
      <c r="H96" s="131">
        <f>627.35</f>
        <v>627.35</v>
      </c>
      <c r="I96" s="166">
        <f>H96*N96</f>
        <v>1222529.4920000001</v>
      </c>
      <c r="J96" s="207">
        <f>K96-H96</f>
        <v>3639.35</v>
      </c>
      <c r="K96" s="70">
        <v>4266.7</v>
      </c>
      <c r="L96" s="62">
        <f>IFERROR(ROUND(SUM(O97,O98,O99,O100,O101)/K96, 2),0)</f>
        <v>934.72</v>
      </c>
      <c r="M96" s="80">
        <v>1014</v>
      </c>
      <c r="N96" s="90">
        <f>L96+ROUND(M96, 2)</f>
        <v>1948.72</v>
      </c>
      <c r="O96" s="62">
        <f>ROUND(L96*K96, 2)</f>
        <v>3988169.82</v>
      </c>
      <c r="P96" s="24">
        <f>ROUND(K96*ROUND(M96, 2), 2)</f>
        <v>4326433.8</v>
      </c>
      <c r="Q96" s="24">
        <f>O96+P96</f>
        <v>8314603.6199999992</v>
      </c>
      <c r="R96" s="24">
        <f>IFERROR(ROUND(SUM(U97,U98,U99,U100,U101)/K96, 2),0)</f>
        <v>934.72</v>
      </c>
      <c r="S96" s="24">
        <v>1014</v>
      </c>
      <c r="T96" s="24">
        <f>R96+ROUND(S96, 2)</f>
        <v>1948.72</v>
      </c>
      <c r="U96" s="24">
        <f>ROUND(R96*K96, 2)</f>
        <v>3988169.82</v>
      </c>
      <c r="V96" s="24">
        <f>ROUND(K96*ROUND(S96, 2), 2)</f>
        <v>4326433.8</v>
      </c>
      <c r="W96" s="24">
        <f>U96+V96</f>
        <v>8314603.6199999992</v>
      </c>
    </row>
    <row r="97" spans="1:23" ht="36" x14ac:dyDescent="0.35">
      <c r="A97" s="20" t="s">
        <v>173</v>
      </c>
      <c r="B97" s="20"/>
      <c r="C97" s="25" t="s">
        <v>60</v>
      </c>
      <c r="D97" s="22"/>
      <c r="E97" s="22"/>
      <c r="F97" s="26" t="s">
        <v>58</v>
      </c>
      <c r="G97" s="27">
        <v>0.2</v>
      </c>
      <c r="H97" s="132"/>
      <c r="I97" s="171"/>
      <c r="J97" s="142"/>
      <c r="K97" s="78">
        <v>853.34</v>
      </c>
      <c r="L97" s="63">
        <v>88.8</v>
      </c>
      <c r="M97" s="29"/>
      <c r="N97" s="91"/>
      <c r="O97" s="63">
        <f>ROUND(ROUND(L97, 2)*K97, 2)</f>
        <v>75776.59</v>
      </c>
      <c r="P97" s="29"/>
      <c r="Q97" s="29"/>
      <c r="R97" s="28">
        <v>88.8</v>
      </c>
      <c r="S97" s="29"/>
      <c r="T97" s="29"/>
      <c r="U97" s="28">
        <f>ROUND(ROUND(R97, 2)*K97, 2)</f>
        <v>75776.59</v>
      </c>
      <c r="V97" s="29"/>
      <c r="W97" s="30"/>
    </row>
    <row r="98" spans="1:23" ht="20" x14ac:dyDescent="0.35">
      <c r="A98" s="20" t="s">
        <v>174</v>
      </c>
      <c r="B98" s="20"/>
      <c r="C98" s="25" t="s">
        <v>66</v>
      </c>
      <c r="D98" s="22"/>
      <c r="E98" s="22"/>
      <c r="F98" s="26" t="s">
        <v>67</v>
      </c>
      <c r="G98" s="27">
        <v>1</v>
      </c>
      <c r="H98" s="132"/>
      <c r="I98" s="171"/>
      <c r="J98" s="142"/>
      <c r="K98" s="71">
        <v>1872</v>
      </c>
      <c r="L98" s="63">
        <v>10.4</v>
      </c>
      <c r="M98" s="29"/>
      <c r="N98" s="91"/>
      <c r="O98" s="63">
        <f>ROUND(ROUND(L98, 2)*K98, 2)</f>
        <v>19468.8</v>
      </c>
      <c r="P98" s="29"/>
      <c r="Q98" s="29"/>
      <c r="R98" s="28">
        <v>10.4</v>
      </c>
      <c r="S98" s="29"/>
      <c r="T98" s="29"/>
      <c r="U98" s="28">
        <f>ROUND(ROUND(R98, 2)*K98, 2)</f>
        <v>19468.8</v>
      </c>
      <c r="V98" s="29"/>
      <c r="W98" s="30"/>
    </row>
    <row r="99" spans="1:23" ht="20" x14ac:dyDescent="0.35">
      <c r="A99" s="20" t="s">
        <v>175</v>
      </c>
      <c r="B99" s="20"/>
      <c r="C99" s="25" t="s">
        <v>90</v>
      </c>
      <c r="D99" s="22"/>
      <c r="E99" s="22"/>
      <c r="F99" s="26" t="s">
        <v>55</v>
      </c>
      <c r="G99" s="27">
        <v>1.1000000000000001</v>
      </c>
      <c r="H99" s="132"/>
      <c r="I99" s="171"/>
      <c r="J99" s="142"/>
      <c r="K99" s="71">
        <v>4693.37</v>
      </c>
      <c r="L99" s="63">
        <v>155.01</v>
      </c>
      <c r="M99" s="29"/>
      <c r="N99" s="91"/>
      <c r="O99" s="63">
        <f>ROUND(ROUND(L99, 2)*K99, 2)</f>
        <v>727519.28</v>
      </c>
      <c r="P99" s="29"/>
      <c r="Q99" s="29"/>
      <c r="R99" s="28">
        <v>155.01</v>
      </c>
      <c r="S99" s="29"/>
      <c r="T99" s="29"/>
      <c r="U99" s="28">
        <f>ROUND(ROUND(R99, 2)*K99, 2)</f>
        <v>727519.28</v>
      </c>
      <c r="V99" s="29"/>
      <c r="W99" s="30"/>
    </row>
    <row r="100" spans="1:23" ht="20.5" thickBot="1" x14ac:dyDescent="0.4">
      <c r="A100" s="20" t="s">
        <v>176</v>
      </c>
      <c r="B100" s="20"/>
      <c r="C100" s="59" t="s">
        <v>127</v>
      </c>
      <c r="D100" s="22"/>
      <c r="E100" s="22"/>
      <c r="F100" s="26" t="s">
        <v>58</v>
      </c>
      <c r="G100" s="27">
        <v>1.8</v>
      </c>
      <c r="H100" s="132"/>
      <c r="I100" s="171"/>
      <c r="J100" s="145"/>
      <c r="K100" s="71">
        <v>499203.9</v>
      </c>
      <c r="L100" s="63">
        <v>6.17</v>
      </c>
      <c r="M100" s="29"/>
      <c r="N100" s="91"/>
      <c r="O100" s="63">
        <f>ROUND(ROUND(L100, 2)*K100, 2)</f>
        <v>3080088.06</v>
      </c>
      <c r="P100" s="29"/>
      <c r="Q100" s="29"/>
      <c r="R100" s="28">
        <v>6.17</v>
      </c>
      <c r="S100" s="29"/>
      <c r="T100" s="29"/>
      <c r="U100" s="28">
        <f>ROUND(ROUND(R100, 2)*K100, 2)</f>
        <v>3080088.06</v>
      </c>
      <c r="V100" s="29"/>
      <c r="W100" s="30"/>
    </row>
    <row r="101" spans="1:23" ht="20.5" thickBot="1" x14ac:dyDescent="0.4">
      <c r="A101" s="20" t="s">
        <v>177</v>
      </c>
      <c r="B101" s="20"/>
      <c r="C101" s="25" t="s">
        <v>83</v>
      </c>
      <c r="D101" s="22"/>
      <c r="E101" s="22"/>
      <c r="F101" s="26" t="s">
        <v>84</v>
      </c>
      <c r="G101" s="27">
        <v>8</v>
      </c>
      <c r="H101" s="132"/>
      <c r="I101" s="171"/>
      <c r="J101" s="146"/>
      <c r="K101" s="95">
        <v>34133.599999999999</v>
      </c>
      <c r="L101" s="63">
        <v>2.5</v>
      </c>
      <c r="M101" s="29"/>
      <c r="N101" s="91"/>
      <c r="O101" s="63">
        <f>ROUND(ROUND(L101, 2)*K101, 2)</f>
        <v>85334</v>
      </c>
      <c r="P101" s="29"/>
      <c r="Q101" s="29"/>
      <c r="R101" s="28">
        <v>2.5</v>
      </c>
      <c r="S101" s="29"/>
      <c r="T101" s="29"/>
      <c r="U101" s="28">
        <f>ROUND(ROUND(R101, 2)*K101, 2)</f>
        <v>85334</v>
      </c>
      <c r="V101" s="29"/>
      <c r="W101" s="30"/>
    </row>
    <row r="102" spans="1:23" ht="17" customHeight="1" thickBot="1" x14ac:dyDescent="0.4">
      <c r="A102" s="8" t="s">
        <v>178</v>
      </c>
      <c r="B102" s="8" t="s">
        <v>179</v>
      </c>
      <c r="C102" s="92" t="s">
        <v>180</v>
      </c>
      <c r="D102" s="93"/>
      <c r="E102" s="93"/>
      <c r="F102" s="93"/>
      <c r="G102" s="93"/>
      <c r="H102" s="93"/>
      <c r="I102" s="167"/>
      <c r="J102" s="147"/>
      <c r="K102" s="94"/>
      <c r="N102" s="88"/>
      <c r="O102" s="83">
        <f>SUM(O103,O106,O109,O111,O113,O117)</f>
        <v>367766.24</v>
      </c>
      <c r="P102" s="5">
        <f>SUM(P103,P106,P109,P111,P113,P117)</f>
        <v>226361.93</v>
      </c>
      <c r="Q102" s="5">
        <f>SUM(Q103,Q106,Q109,Q111,Q113,Q117)</f>
        <v>594128.17000000004</v>
      </c>
      <c r="U102" s="5">
        <f>SUM(U103,U106,U109,U111,U113,U117)</f>
        <v>367766.24</v>
      </c>
      <c r="V102" s="5">
        <f>SUM(V103,V106,V109,V111,V113,V117)</f>
        <v>226361.93</v>
      </c>
      <c r="W102" s="5">
        <f>SUM(W103,W106,W109,W111,W113,W117)</f>
        <v>594128.17000000004</v>
      </c>
    </row>
    <row r="103" spans="1:23" ht="54" x14ac:dyDescent="0.35">
      <c r="A103" s="8" t="s">
        <v>181</v>
      </c>
      <c r="B103" s="8" t="s">
        <v>182</v>
      </c>
      <c r="C103" s="9" t="s">
        <v>183</v>
      </c>
      <c r="D103" s="10"/>
      <c r="E103" s="10" t="s">
        <v>54</v>
      </c>
      <c r="F103" s="10" t="s">
        <v>55</v>
      </c>
      <c r="G103" s="11">
        <v>1</v>
      </c>
      <c r="H103" s="129"/>
      <c r="I103" s="170"/>
      <c r="J103" s="148"/>
      <c r="K103" s="96">
        <v>236.7</v>
      </c>
      <c r="L103" s="60">
        <f>IFERROR(ROUND(SUM(O104,O105)/K103, 2),0)</f>
        <v>386.83</v>
      </c>
      <c r="M103" s="79">
        <v>324</v>
      </c>
      <c r="N103" s="89">
        <f>L103+ROUND(M103, 2)</f>
        <v>710.82999999999993</v>
      </c>
      <c r="O103" s="60">
        <f>ROUND(L103*K103, 2)</f>
        <v>91562.66</v>
      </c>
      <c r="P103" s="12">
        <f>ROUND(K103*ROUND(M103, 2), 2)</f>
        <v>76690.8</v>
      </c>
      <c r="Q103" s="12">
        <f>O103+P103</f>
        <v>168253.46000000002</v>
      </c>
      <c r="R103" s="12">
        <f>IFERROR(ROUND(SUM(U104,U105)/K103, 2),0)</f>
        <v>386.83</v>
      </c>
      <c r="S103" s="13">
        <v>324</v>
      </c>
      <c r="T103" s="12">
        <f>R103+ROUND(S103, 2)</f>
        <v>710.82999999999993</v>
      </c>
      <c r="U103" s="12">
        <f>ROUND(R103*K103, 2)</f>
        <v>91562.66</v>
      </c>
      <c r="V103" s="12">
        <f>ROUND(K103*ROUND(S103, 2), 2)</f>
        <v>76690.8</v>
      </c>
      <c r="W103" s="12">
        <f>U103+V103</f>
        <v>168253.46000000002</v>
      </c>
    </row>
    <row r="104" spans="1:23" ht="20" x14ac:dyDescent="0.35">
      <c r="A104" s="8" t="s">
        <v>184</v>
      </c>
      <c r="B104" s="8"/>
      <c r="C104" s="19" t="s">
        <v>185</v>
      </c>
      <c r="D104" s="10"/>
      <c r="E104" s="10"/>
      <c r="F104" s="15" t="s">
        <v>58</v>
      </c>
      <c r="G104" s="16">
        <v>0.25</v>
      </c>
      <c r="H104" s="130"/>
      <c r="I104" s="170"/>
      <c r="J104" s="141"/>
      <c r="K104" s="97">
        <v>59.174999999999997</v>
      </c>
      <c r="L104" s="61">
        <v>210.3</v>
      </c>
      <c r="N104" s="88"/>
      <c r="O104" s="84">
        <f>ROUND(ROUND(L104, 2)*K104, 2)</f>
        <v>12444.5</v>
      </c>
      <c r="R104" s="18">
        <v>210.3</v>
      </c>
      <c r="U104" s="17">
        <f>ROUND(ROUND(R104, 2)*K104, 2)</f>
        <v>12444.5</v>
      </c>
    </row>
    <row r="105" spans="1:23" ht="36" x14ac:dyDescent="0.35">
      <c r="A105" s="8" t="s">
        <v>186</v>
      </c>
      <c r="B105" s="8"/>
      <c r="C105" s="19" t="s">
        <v>187</v>
      </c>
      <c r="D105" s="10"/>
      <c r="E105" s="10"/>
      <c r="F105" s="15" t="s">
        <v>58</v>
      </c>
      <c r="G105" s="16">
        <v>2.5</v>
      </c>
      <c r="H105" s="130"/>
      <c r="I105" s="170"/>
      <c r="J105" s="141"/>
      <c r="K105" s="97">
        <v>591.75</v>
      </c>
      <c r="L105" s="61">
        <v>133.69999999999999</v>
      </c>
      <c r="N105" s="88"/>
      <c r="O105" s="84">
        <f>ROUND(ROUND(L105, 2)*K105, 2)</f>
        <v>79116.98</v>
      </c>
      <c r="R105" s="18">
        <v>133.69999999999999</v>
      </c>
      <c r="U105" s="17">
        <f>ROUND(ROUND(R105, 2)*K105, 2)</f>
        <v>79116.98</v>
      </c>
    </row>
    <row r="106" spans="1:23" ht="54" x14ac:dyDescent="0.35">
      <c r="A106" s="20" t="s">
        <v>188</v>
      </c>
      <c r="B106" s="20" t="s">
        <v>182</v>
      </c>
      <c r="C106" s="21" t="s">
        <v>183</v>
      </c>
      <c r="D106" s="22"/>
      <c r="E106" s="22" t="s">
        <v>63</v>
      </c>
      <c r="F106" s="22" t="s">
        <v>55</v>
      </c>
      <c r="G106" s="23">
        <v>1</v>
      </c>
      <c r="H106" s="131"/>
      <c r="I106" s="171"/>
      <c r="J106" s="142"/>
      <c r="K106" s="98">
        <v>150.6</v>
      </c>
      <c r="L106" s="62">
        <f>IFERROR(ROUND(SUM(O107,O108)/K106, 2),0)</f>
        <v>406.08</v>
      </c>
      <c r="M106" s="80">
        <v>324</v>
      </c>
      <c r="N106" s="90">
        <f>L106+ROUND(M106, 2)</f>
        <v>730.07999999999993</v>
      </c>
      <c r="O106" s="62">
        <f>ROUND(L106*K106, 2)</f>
        <v>61155.65</v>
      </c>
      <c r="P106" s="24">
        <f>ROUND(K106*ROUND(M106, 2), 2)</f>
        <v>48794.400000000001</v>
      </c>
      <c r="Q106" s="24">
        <f>O106+P106</f>
        <v>109950.05</v>
      </c>
      <c r="R106" s="24">
        <f>IFERROR(ROUND(SUM(U107,U108)/K106, 2),0)</f>
        <v>406.08</v>
      </c>
      <c r="S106" s="24">
        <v>324</v>
      </c>
      <c r="T106" s="24">
        <f>R106+ROUND(S106, 2)</f>
        <v>730.07999999999993</v>
      </c>
      <c r="U106" s="24">
        <f>ROUND(R106*K106, 2)</f>
        <v>61155.65</v>
      </c>
      <c r="V106" s="24">
        <f>ROUND(K106*ROUND(S106, 2), 2)</f>
        <v>48794.400000000001</v>
      </c>
      <c r="W106" s="24">
        <f>U106+V106</f>
        <v>109950.05</v>
      </c>
    </row>
    <row r="107" spans="1:23" ht="36" x14ac:dyDescent="0.35">
      <c r="A107" s="20" t="s">
        <v>189</v>
      </c>
      <c r="B107" s="20"/>
      <c r="C107" s="25" t="s">
        <v>187</v>
      </c>
      <c r="D107" s="22"/>
      <c r="E107" s="22"/>
      <c r="F107" s="26" t="s">
        <v>58</v>
      </c>
      <c r="G107" s="27">
        <v>2.5</v>
      </c>
      <c r="H107" s="132"/>
      <c r="I107" s="171"/>
      <c r="J107" s="142"/>
      <c r="K107" s="99">
        <v>376.5</v>
      </c>
      <c r="L107" s="63">
        <v>141.4</v>
      </c>
      <c r="M107" s="29"/>
      <c r="N107" s="91"/>
      <c r="O107" s="63">
        <f>ROUND(ROUND(L107, 2)*K107, 2)</f>
        <v>53237.1</v>
      </c>
      <c r="P107" s="29"/>
      <c r="Q107" s="29"/>
      <c r="R107" s="28">
        <v>141.4</v>
      </c>
      <c r="S107" s="29"/>
      <c r="T107" s="29"/>
      <c r="U107" s="28">
        <f>ROUND(ROUND(R107, 2)*K107, 2)</f>
        <v>53237.1</v>
      </c>
      <c r="V107" s="29"/>
      <c r="W107" s="30"/>
    </row>
    <row r="108" spans="1:23" ht="20" x14ac:dyDescent="0.35">
      <c r="A108" s="20" t="s">
        <v>190</v>
      </c>
      <c r="B108" s="20"/>
      <c r="C108" s="25" t="s">
        <v>185</v>
      </c>
      <c r="D108" s="22"/>
      <c r="E108" s="22"/>
      <c r="F108" s="26" t="s">
        <v>58</v>
      </c>
      <c r="G108" s="27">
        <v>0.25</v>
      </c>
      <c r="H108" s="132"/>
      <c r="I108" s="171"/>
      <c r="J108" s="142"/>
      <c r="K108" s="99">
        <v>37.65</v>
      </c>
      <c r="L108" s="63">
        <v>210.3</v>
      </c>
      <c r="M108" s="29"/>
      <c r="N108" s="91"/>
      <c r="O108" s="63">
        <f>ROUND(ROUND(L108, 2)*K108, 2)</f>
        <v>7917.8</v>
      </c>
      <c r="P108" s="29"/>
      <c r="Q108" s="29"/>
      <c r="R108" s="28">
        <v>210.3</v>
      </c>
      <c r="S108" s="29"/>
      <c r="T108" s="29"/>
      <c r="U108" s="28">
        <f>ROUND(ROUND(R108, 2)*K108, 2)</f>
        <v>7917.8</v>
      </c>
      <c r="V108" s="29"/>
      <c r="W108" s="30"/>
    </row>
    <row r="109" spans="1:23" ht="36" x14ac:dyDescent="0.35">
      <c r="A109" s="8" t="s">
        <v>191</v>
      </c>
      <c r="B109" s="8" t="s">
        <v>192</v>
      </c>
      <c r="C109" s="9" t="s">
        <v>193</v>
      </c>
      <c r="D109" s="10"/>
      <c r="E109" s="10" t="s">
        <v>54</v>
      </c>
      <c r="F109" s="10" t="s">
        <v>55</v>
      </c>
      <c r="G109" s="11">
        <v>1</v>
      </c>
      <c r="H109" s="129"/>
      <c r="I109" s="170"/>
      <c r="J109" s="141"/>
      <c r="K109" s="100">
        <v>631.29999999999995</v>
      </c>
      <c r="L109" s="60">
        <f>IFERROR(ROUND(SUM(O110)/K109, 2),0)</f>
        <v>173.66</v>
      </c>
      <c r="M109" s="79">
        <v>56</v>
      </c>
      <c r="N109" s="89">
        <f>L109+ROUND(M109, 2)</f>
        <v>229.66</v>
      </c>
      <c r="O109" s="60">
        <f>ROUND(L109*K109, 2)</f>
        <v>109631.56</v>
      </c>
      <c r="P109" s="12">
        <f>ROUND(K109*ROUND(M109, 2), 2)</f>
        <v>35352.800000000003</v>
      </c>
      <c r="Q109" s="12">
        <f>O109+P109</f>
        <v>144984.35999999999</v>
      </c>
      <c r="R109" s="12">
        <f>IFERROR(ROUND(SUM(U110)/K109, 2),0)</f>
        <v>173.66</v>
      </c>
      <c r="S109" s="13">
        <v>56</v>
      </c>
      <c r="T109" s="12">
        <f>R109+ROUND(S109, 2)</f>
        <v>229.66</v>
      </c>
      <c r="U109" s="12">
        <f>ROUND(R109*K109, 2)</f>
        <v>109631.56</v>
      </c>
      <c r="V109" s="12">
        <f>ROUND(K109*ROUND(S109, 2), 2)</f>
        <v>35352.800000000003</v>
      </c>
      <c r="W109" s="12">
        <f>U109+V109</f>
        <v>144984.35999999999</v>
      </c>
    </row>
    <row r="110" spans="1:23" ht="20" x14ac:dyDescent="0.35">
      <c r="A110" s="8" t="s">
        <v>194</v>
      </c>
      <c r="B110" s="8"/>
      <c r="C110" s="19" t="s">
        <v>195</v>
      </c>
      <c r="D110" s="10"/>
      <c r="E110" s="10" t="s">
        <v>196</v>
      </c>
      <c r="F110" s="15" t="s">
        <v>55</v>
      </c>
      <c r="G110" s="16">
        <v>1.03</v>
      </c>
      <c r="H110" s="130"/>
      <c r="I110" s="170"/>
      <c r="J110" s="141"/>
      <c r="K110" s="97">
        <v>650.23900000000003</v>
      </c>
      <c r="L110" s="61">
        <v>168.6</v>
      </c>
      <c r="N110" s="88"/>
      <c r="O110" s="84">
        <f>ROUND(ROUND(L110, 2)*K110, 2)</f>
        <v>109630.3</v>
      </c>
      <c r="R110" s="18">
        <v>168.6</v>
      </c>
      <c r="U110" s="17">
        <f>ROUND(ROUND(R110, 2)*K110, 2)</f>
        <v>109630.3</v>
      </c>
    </row>
    <row r="111" spans="1:23" ht="36" x14ac:dyDescent="0.35">
      <c r="A111" s="20" t="s">
        <v>197</v>
      </c>
      <c r="B111" s="20" t="s">
        <v>192</v>
      </c>
      <c r="C111" s="21" t="s">
        <v>193</v>
      </c>
      <c r="D111" s="22"/>
      <c r="E111" s="22" t="s">
        <v>63</v>
      </c>
      <c r="F111" s="22" t="s">
        <v>55</v>
      </c>
      <c r="G111" s="23">
        <v>1</v>
      </c>
      <c r="H111" s="131"/>
      <c r="I111" s="171"/>
      <c r="J111" s="142"/>
      <c r="K111" s="98">
        <v>248.8</v>
      </c>
      <c r="L111" s="62">
        <f>IFERROR(ROUND(SUM(O112)/K111, 2),0)</f>
        <v>173.66</v>
      </c>
      <c r="M111" s="80">
        <v>56</v>
      </c>
      <c r="N111" s="90">
        <f>L111+ROUND(M111, 2)</f>
        <v>229.66</v>
      </c>
      <c r="O111" s="62">
        <f>ROUND(L111*K111, 2)</f>
        <v>43206.61</v>
      </c>
      <c r="P111" s="24">
        <f>ROUND(K111*ROUND(M111, 2), 2)</f>
        <v>13932.8</v>
      </c>
      <c r="Q111" s="24">
        <f>O111+P111</f>
        <v>57139.41</v>
      </c>
      <c r="R111" s="24">
        <f>IFERROR(ROUND(SUM(U112)/K111, 2),0)</f>
        <v>173.66</v>
      </c>
      <c r="S111" s="24">
        <v>56</v>
      </c>
      <c r="T111" s="24">
        <f>R111+ROUND(S111, 2)</f>
        <v>229.66</v>
      </c>
      <c r="U111" s="24">
        <f>ROUND(R111*K111, 2)</f>
        <v>43206.61</v>
      </c>
      <c r="V111" s="24">
        <f>ROUND(K111*ROUND(S111, 2), 2)</f>
        <v>13932.8</v>
      </c>
      <c r="W111" s="24">
        <f>U111+V111</f>
        <v>57139.41</v>
      </c>
    </row>
    <row r="112" spans="1:23" ht="20" x14ac:dyDescent="0.35">
      <c r="A112" s="20" t="s">
        <v>198</v>
      </c>
      <c r="B112" s="20"/>
      <c r="C112" s="25" t="s">
        <v>195</v>
      </c>
      <c r="D112" s="22"/>
      <c r="E112" s="22" t="s">
        <v>199</v>
      </c>
      <c r="F112" s="26" t="s">
        <v>55</v>
      </c>
      <c r="G112" s="27">
        <v>1.03</v>
      </c>
      <c r="H112" s="132"/>
      <c r="I112" s="171"/>
      <c r="J112" s="142"/>
      <c r="K112" s="99">
        <v>256.26400000000001</v>
      </c>
      <c r="L112" s="63">
        <v>168.6</v>
      </c>
      <c r="M112" s="29"/>
      <c r="N112" s="91"/>
      <c r="O112" s="63">
        <f>ROUND(ROUND(L112, 2)*K112, 2)</f>
        <v>43206.11</v>
      </c>
      <c r="P112" s="29"/>
      <c r="Q112" s="29"/>
      <c r="R112" s="28">
        <v>168.6</v>
      </c>
      <c r="S112" s="29"/>
      <c r="T112" s="29"/>
      <c r="U112" s="28">
        <f>ROUND(ROUND(R112, 2)*K112, 2)</f>
        <v>43206.11</v>
      </c>
      <c r="V112" s="29"/>
      <c r="W112" s="30"/>
    </row>
    <row r="113" spans="1:23" ht="20" x14ac:dyDescent="0.35">
      <c r="A113" s="31" t="s">
        <v>200</v>
      </c>
      <c r="B113" s="31" t="s">
        <v>201</v>
      </c>
      <c r="C113" s="32" t="s">
        <v>202</v>
      </c>
      <c r="D113" s="33"/>
      <c r="E113" s="33" t="s">
        <v>54</v>
      </c>
      <c r="F113" s="33" t="s">
        <v>73</v>
      </c>
      <c r="G113" s="34">
        <v>1</v>
      </c>
      <c r="H113" s="133"/>
      <c r="I113" s="171"/>
      <c r="J113" s="143"/>
      <c r="K113" s="101">
        <v>0</v>
      </c>
      <c r="L113" s="64">
        <f>IFERROR(ROUND(SUM(O115)/K113, 2),0)</f>
        <v>0</v>
      </c>
      <c r="M113" s="81">
        <v>2157</v>
      </c>
      <c r="N113" s="90">
        <f>L113+ROUND(M113, 2)</f>
        <v>2157</v>
      </c>
      <c r="O113" s="64">
        <f>ROUND(L113*K113, 2)</f>
        <v>0</v>
      </c>
      <c r="P113" s="35">
        <f>ROUND(K113*ROUND(M113, 2), 2)</f>
        <v>0</v>
      </c>
      <c r="Q113" s="35">
        <f>O113+P113</f>
        <v>0</v>
      </c>
      <c r="R113" s="35">
        <f>IFERROR(ROUND(SUM(U115)/K113, 2),0)</f>
        <v>0</v>
      </c>
      <c r="S113" s="35">
        <v>2157</v>
      </c>
      <c r="T113" s="35">
        <f>R113+ROUND(S113, 2)</f>
        <v>2157</v>
      </c>
      <c r="U113" s="35">
        <f>ROUND(R113*K113, 2)</f>
        <v>0</v>
      </c>
      <c r="V113" s="35">
        <f>ROUND(K113*ROUND(S113, 2), 2)</f>
        <v>0</v>
      </c>
      <c r="W113" s="35">
        <f>U113+V113</f>
        <v>0</v>
      </c>
    </row>
    <row r="114" spans="1:23" ht="20" x14ac:dyDescent="0.35">
      <c r="A114" s="36" t="s">
        <v>203</v>
      </c>
      <c r="B114" s="36" t="s">
        <v>201</v>
      </c>
      <c r="C114" s="37" t="s">
        <v>202</v>
      </c>
      <c r="D114" s="38"/>
      <c r="E114" s="38"/>
      <c r="F114" s="38" t="s">
        <v>73</v>
      </c>
      <c r="G114" s="39">
        <v>1</v>
      </c>
      <c r="H114" s="134"/>
      <c r="I114" s="171"/>
      <c r="J114" s="144"/>
      <c r="K114" s="102">
        <v>22.42</v>
      </c>
      <c r="L114" s="65">
        <v>0</v>
      </c>
      <c r="M114" s="82">
        <v>2157</v>
      </c>
      <c r="N114" s="90"/>
      <c r="O114" s="65">
        <v>0</v>
      </c>
      <c r="P114" s="40"/>
      <c r="Q114" s="40"/>
      <c r="R114" s="40">
        <v>0</v>
      </c>
      <c r="S114" s="40">
        <v>2157</v>
      </c>
      <c r="T114" s="40"/>
      <c r="U114" s="40">
        <v>0</v>
      </c>
      <c r="V114" s="40"/>
      <c r="W114" s="40"/>
    </row>
    <row r="115" spans="1:23" ht="20" x14ac:dyDescent="0.35">
      <c r="A115" s="31" t="s">
        <v>204</v>
      </c>
      <c r="B115" s="31"/>
      <c r="C115" s="41" t="s">
        <v>205</v>
      </c>
      <c r="D115" s="33"/>
      <c r="E115" s="33"/>
      <c r="F115" s="42" t="s">
        <v>73</v>
      </c>
      <c r="G115" s="43">
        <v>1.02</v>
      </c>
      <c r="H115" s="135"/>
      <c r="I115" s="171"/>
      <c r="J115" s="143"/>
      <c r="K115" s="103">
        <v>0</v>
      </c>
      <c r="L115" s="66">
        <v>2550</v>
      </c>
      <c r="M115" s="45"/>
      <c r="N115" s="91"/>
      <c r="O115" s="66">
        <f>ROUND(ROUND(L115, 2)*K115, 2)</f>
        <v>0</v>
      </c>
      <c r="P115" s="45"/>
      <c r="Q115" s="45"/>
      <c r="R115" s="44">
        <v>2550</v>
      </c>
      <c r="S115" s="45"/>
      <c r="T115" s="45"/>
      <c r="U115" s="44">
        <f>ROUND(ROUND(R115, 2)*K115, 2)</f>
        <v>0</v>
      </c>
      <c r="V115" s="45"/>
      <c r="W115" s="46"/>
    </row>
    <row r="116" spans="1:23" ht="20" x14ac:dyDescent="0.35">
      <c r="A116" s="36" t="s">
        <v>206</v>
      </c>
      <c r="B116" s="36"/>
      <c r="C116" s="47" t="s">
        <v>205</v>
      </c>
      <c r="D116" s="38"/>
      <c r="E116" s="38"/>
      <c r="F116" s="48" t="s">
        <v>73</v>
      </c>
      <c r="G116" s="49">
        <v>1.02</v>
      </c>
      <c r="H116" s="136"/>
      <c r="I116" s="171"/>
      <c r="J116" s="144"/>
      <c r="K116" s="104">
        <v>22.867999999999999</v>
      </c>
      <c r="L116" s="67">
        <v>2550</v>
      </c>
      <c r="M116" s="51"/>
      <c r="N116" s="91"/>
      <c r="O116" s="67">
        <f>ROUND(ROUND(L116, 2)*K116, 2)</f>
        <v>58313.4</v>
      </c>
      <c r="P116" s="51"/>
      <c r="Q116" s="51"/>
      <c r="R116" s="50">
        <v>2550</v>
      </c>
      <c r="S116" s="51"/>
      <c r="T116" s="51"/>
      <c r="U116" s="50">
        <f>ROUND(ROUND(R116, 2)*K116, 2)</f>
        <v>58313.4</v>
      </c>
      <c r="V116" s="51"/>
      <c r="W116" s="52"/>
    </row>
    <row r="117" spans="1:23" ht="36" x14ac:dyDescent="0.35">
      <c r="A117" s="20" t="s">
        <v>207</v>
      </c>
      <c r="B117" s="20" t="s">
        <v>201</v>
      </c>
      <c r="C117" s="21" t="s">
        <v>202</v>
      </c>
      <c r="D117" s="22"/>
      <c r="E117" s="22" t="s">
        <v>208</v>
      </c>
      <c r="F117" s="22" t="s">
        <v>73</v>
      </c>
      <c r="G117" s="23">
        <v>1</v>
      </c>
      <c r="H117" s="131"/>
      <c r="I117" s="171"/>
      <c r="J117" s="142"/>
      <c r="K117" s="98">
        <v>23.917999999999999</v>
      </c>
      <c r="L117" s="62">
        <f>IFERROR(ROUND(SUM(O118)/K117, 2),0)</f>
        <v>2600.96</v>
      </c>
      <c r="M117" s="80">
        <v>2157</v>
      </c>
      <c r="N117" s="90">
        <f>L117+ROUND(M117, 2)</f>
        <v>4757.96</v>
      </c>
      <c r="O117" s="62">
        <f>ROUND(L117*K117, 2)</f>
        <v>62209.760000000002</v>
      </c>
      <c r="P117" s="24">
        <f>ROUND(K117*ROUND(M117, 2), 2)</f>
        <v>51591.13</v>
      </c>
      <c r="Q117" s="24">
        <f>O117+P117</f>
        <v>113800.89</v>
      </c>
      <c r="R117" s="24">
        <f>IFERROR(ROUND(SUM(U118)/K117, 2),0)</f>
        <v>2600.96</v>
      </c>
      <c r="S117" s="24">
        <v>2157</v>
      </c>
      <c r="T117" s="24">
        <f>R117+ROUND(S117, 2)</f>
        <v>4757.96</v>
      </c>
      <c r="U117" s="24">
        <f>ROUND(R117*K117, 2)</f>
        <v>62209.760000000002</v>
      </c>
      <c r="V117" s="24">
        <f>ROUND(K117*ROUND(S117, 2), 2)</f>
        <v>51591.13</v>
      </c>
      <c r="W117" s="24">
        <f>U117+V117</f>
        <v>113800.89</v>
      </c>
    </row>
    <row r="118" spans="1:23" ht="20.5" thickBot="1" x14ac:dyDescent="0.4">
      <c r="A118" s="20" t="s">
        <v>209</v>
      </c>
      <c r="B118" s="20"/>
      <c r="C118" s="25" t="s">
        <v>205</v>
      </c>
      <c r="D118" s="22"/>
      <c r="E118" s="22"/>
      <c r="F118" s="26" t="s">
        <v>73</v>
      </c>
      <c r="G118" s="27">
        <v>1.02</v>
      </c>
      <c r="H118" s="132"/>
      <c r="I118" s="171"/>
      <c r="J118" s="149"/>
      <c r="K118" s="105">
        <v>24.396000000000001</v>
      </c>
      <c r="L118" s="63">
        <v>2550</v>
      </c>
      <c r="M118" s="29"/>
      <c r="N118" s="91"/>
      <c r="O118" s="63">
        <f>ROUND(ROUND(L118, 2)*K118, 2)</f>
        <v>62209.8</v>
      </c>
      <c r="P118" s="29"/>
      <c r="Q118" s="29"/>
      <c r="R118" s="28">
        <v>2550</v>
      </c>
      <c r="S118" s="29"/>
      <c r="T118" s="29"/>
      <c r="U118" s="28">
        <f>ROUND(ROUND(R118, 2)*K118, 2)</f>
        <v>62209.8</v>
      </c>
      <c r="V118" s="29"/>
      <c r="W118" s="30"/>
    </row>
    <row r="119" spans="1:23" ht="17" customHeight="1" thickBot="1" x14ac:dyDescent="0.4">
      <c r="A119" s="8" t="s">
        <v>210</v>
      </c>
      <c r="B119" s="8" t="s">
        <v>211</v>
      </c>
      <c r="C119" s="92" t="s">
        <v>212</v>
      </c>
      <c r="D119" s="93"/>
      <c r="E119" s="93"/>
      <c r="F119" s="93"/>
      <c r="G119" s="93"/>
      <c r="H119" s="93"/>
      <c r="I119" s="167"/>
      <c r="J119" s="150"/>
      <c r="K119" s="94"/>
      <c r="N119" s="88"/>
      <c r="O119" s="83">
        <f>SUM(O120,O132,O137,O143,O147,O155,O161,O167,O170,O172,O174,O179,O184,O189,O194,O199,O204)</f>
        <v>4379362.9500000011</v>
      </c>
      <c r="P119" s="5">
        <f>SUM(P120,P132,P137,P143,P147,P155,P161,P167,P170,P172,P174,P179,P184,P189,P194,P199,P204)</f>
        <v>8459471.120000001</v>
      </c>
      <c r="Q119" s="5">
        <f>SUM(Q120,Q132,Q137,Q143,Q147,Q155,Q161,Q167,Q170,Q172,Q174,Q179,Q184,Q189,Q194,Q199,Q204)</f>
        <v>12838834.07</v>
      </c>
      <c r="U119" s="5">
        <f>SUM(U120,U132,U137,U143,U147,U155,U161,U167,U170,U172,U174,U179,U184,U189,U194,U199,U204)</f>
        <v>12062112.990000002</v>
      </c>
      <c r="V119" s="5">
        <f>SUM(V120,V132,V137,V143,V147,V155,V161,V167,V170,V172,V174,V179,V184,V189,V194,V199,V204)</f>
        <v>8459471.120000001</v>
      </c>
      <c r="W119" s="5">
        <f>SUM(W120,W132,W137,W143,W147,W155,W161,W167,W170,W172,W174,W179,W184,W189,W194,W199,W204)</f>
        <v>20521584.109999996</v>
      </c>
    </row>
    <row r="120" spans="1:23" ht="54" x14ac:dyDescent="0.35">
      <c r="A120" s="31" t="s">
        <v>213</v>
      </c>
      <c r="B120" s="31" t="s">
        <v>214</v>
      </c>
      <c r="C120" s="32" t="s">
        <v>215</v>
      </c>
      <c r="D120" s="33"/>
      <c r="E120" s="33" t="s">
        <v>216</v>
      </c>
      <c r="F120" s="33" t="s">
        <v>55</v>
      </c>
      <c r="G120" s="34">
        <v>1</v>
      </c>
      <c r="H120" s="133"/>
      <c r="I120" s="171"/>
      <c r="J120" s="151"/>
      <c r="K120" s="106">
        <v>0</v>
      </c>
      <c r="L120" s="64">
        <f>IFERROR(ROUND(SUM(O122,O124,O126,O128,O130)/K120, 2),0)</f>
        <v>0</v>
      </c>
      <c r="M120" s="81">
        <v>1251</v>
      </c>
      <c r="N120" s="90">
        <f>L120+ROUND(M120, 2)</f>
        <v>1251</v>
      </c>
      <c r="O120" s="64">
        <f>ROUND(L120*K120, 2)</f>
        <v>0</v>
      </c>
      <c r="P120" s="35">
        <f>ROUND(K120*ROUND(M120, 2), 2)</f>
        <v>0</v>
      </c>
      <c r="Q120" s="35">
        <f>O120+P120</f>
        <v>0</v>
      </c>
      <c r="R120" s="35">
        <f>IFERROR(ROUND(SUM(U122,U124,U126,U128,U130)/K120, 2),0)</f>
        <v>0</v>
      </c>
      <c r="S120" s="35">
        <v>1251</v>
      </c>
      <c r="T120" s="35">
        <f>R120+ROUND(S120, 2)</f>
        <v>1251</v>
      </c>
      <c r="U120" s="35">
        <f>ROUND(R120*K120, 2)</f>
        <v>0</v>
      </c>
      <c r="V120" s="35">
        <f>ROUND(K120*ROUND(S120, 2), 2)</f>
        <v>0</v>
      </c>
      <c r="W120" s="35">
        <f>U120+V120</f>
        <v>0</v>
      </c>
    </row>
    <row r="121" spans="1:23" ht="54" x14ac:dyDescent="0.35">
      <c r="A121" s="36" t="s">
        <v>217</v>
      </c>
      <c r="B121" s="36" t="s">
        <v>214</v>
      </c>
      <c r="C121" s="37" t="s">
        <v>215</v>
      </c>
      <c r="D121" s="38"/>
      <c r="E121" s="38"/>
      <c r="F121" s="38" t="s">
        <v>55</v>
      </c>
      <c r="G121" s="39">
        <v>1</v>
      </c>
      <c r="H121" s="134"/>
      <c r="I121" s="171"/>
      <c r="J121" s="144"/>
      <c r="K121" s="102">
        <v>431.5</v>
      </c>
      <c r="L121" s="65">
        <v>0</v>
      </c>
      <c r="M121" s="82">
        <v>1251</v>
      </c>
      <c r="N121" s="90"/>
      <c r="O121" s="65">
        <v>0</v>
      </c>
      <c r="P121" s="40"/>
      <c r="Q121" s="40"/>
      <c r="R121" s="40">
        <v>0</v>
      </c>
      <c r="S121" s="40">
        <v>1251</v>
      </c>
      <c r="T121" s="40"/>
      <c r="U121" s="40">
        <v>0</v>
      </c>
      <c r="V121" s="40"/>
      <c r="W121" s="40"/>
    </row>
    <row r="122" spans="1:23" ht="54" x14ac:dyDescent="0.35">
      <c r="A122" s="31" t="s">
        <v>218</v>
      </c>
      <c r="B122" s="31"/>
      <c r="C122" s="41" t="s">
        <v>219</v>
      </c>
      <c r="D122" s="33"/>
      <c r="E122" s="33" t="s">
        <v>220</v>
      </c>
      <c r="F122" s="42" t="s">
        <v>58</v>
      </c>
      <c r="G122" s="43">
        <v>1.2</v>
      </c>
      <c r="H122" s="135"/>
      <c r="I122" s="171"/>
      <c r="J122" s="143"/>
      <c r="K122" s="107">
        <v>0</v>
      </c>
      <c r="L122" s="66">
        <v>12.33</v>
      </c>
      <c r="M122" s="45"/>
      <c r="N122" s="91"/>
      <c r="O122" s="66">
        <f t="shared" ref="O122:O131" si="8">ROUND(ROUND(L122, 2)*K122, 2)</f>
        <v>0</v>
      </c>
      <c r="P122" s="45"/>
      <c r="Q122" s="45"/>
      <c r="R122" s="44">
        <v>12.33</v>
      </c>
      <c r="S122" s="45"/>
      <c r="T122" s="45"/>
      <c r="U122" s="44">
        <f t="shared" ref="U122:U131" si="9">ROUND(ROUND(R122, 2)*K122, 2)</f>
        <v>0</v>
      </c>
      <c r="V122" s="45"/>
      <c r="W122" s="46"/>
    </row>
    <row r="123" spans="1:23" ht="54" x14ac:dyDescent="0.35">
      <c r="A123" s="36" t="s">
        <v>221</v>
      </c>
      <c r="B123" s="36"/>
      <c r="C123" s="47" t="s">
        <v>219</v>
      </c>
      <c r="D123" s="38"/>
      <c r="E123" s="38" t="s">
        <v>220</v>
      </c>
      <c r="F123" s="48" t="s">
        <v>58</v>
      </c>
      <c r="G123" s="49">
        <v>1.2</v>
      </c>
      <c r="H123" s="136"/>
      <c r="I123" s="171"/>
      <c r="J123" s="144"/>
      <c r="K123" s="108">
        <v>2589.6</v>
      </c>
      <c r="L123" s="67">
        <v>12.33</v>
      </c>
      <c r="M123" s="51"/>
      <c r="N123" s="91"/>
      <c r="O123" s="67">
        <f t="shared" si="8"/>
        <v>31929.77</v>
      </c>
      <c r="P123" s="51"/>
      <c r="Q123" s="51"/>
      <c r="R123" s="50">
        <v>12.33</v>
      </c>
      <c r="S123" s="51"/>
      <c r="T123" s="51"/>
      <c r="U123" s="50">
        <f t="shared" si="9"/>
        <v>31929.77</v>
      </c>
      <c r="V123" s="51"/>
      <c r="W123" s="52"/>
    </row>
    <row r="124" spans="1:23" ht="72" x14ac:dyDescent="0.35">
      <c r="A124" s="31" t="s">
        <v>222</v>
      </c>
      <c r="B124" s="31"/>
      <c r="C124" s="41" t="s">
        <v>223</v>
      </c>
      <c r="D124" s="33"/>
      <c r="E124" s="33" t="s">
        <v>224</v>
      </c>
      <c r="F124" s="42" t="s">
        <v>55</v>
      </c>
      <c r="G124" s="43">
        <v>1.07</v>
      </c>
      <c r="H124" s="135"/>
      <c r="I124" s="171"/>
      <c r="J124" s="143"/>
      <c r="K124" s="107">
        <v>0</v>
      </c>
      <c r="L124" s="66">
        <v>1193</v>
      </c>
      <c r="M124" s="45"/>
      <c r="N124" s="91"/>
      <c r="O124" s="66">
        <f t="shared" si="8"/>
        <v>0</v>
      </c>
      <c r="P124" s="45"/>
      <c r="Q124" s="45"/>
      <c r="R124" s="44">
        <v>1193</v>
      </c>
      <c r="S124" s="45"/>
      <c r="T124" s="45"/>
      <c r="U124" s="44">
        <f t="shared" si="9"/>
        <v>0</v>
      </c>
      <c r="V124" s="45"/>
      <c r="W124" s="46"/>
    </row>
    <row r="125" spans="1:23" ht="72" x14ac:dyDescent="0.35">
      <c r="A125" s="36" t="s">
        <v>225</v>
      </c>
      <c r="B125" s="36"/>
      <c r="C125" s="47" t="s">
        <v>223</v>
      </c>
      <c r="D125" s="38"/>
      <c r="E125" s="38" t="s">
        <v>224</v>
      </c>
      <c r="F125" s="48" t="s">
        <v>55</v>
      </c>
      <c r="G125" s="49">
        <v>1.07</v>
      </c>
      <c r="H125" s="136"/>
      <c r="I125" s="171"/>
      <c r="J125" s="144"/>
      <c r="K125" s="108">
        <v>11.984</v>
      </c>
      <c r="L125" s="67">
        <v>1193</v>
      </c>
      <c r="M125" s="51"/>
      <c r="N125" s="91"/>
      <c r="O125" s="67">
        <f t="shared" si="8"/>
        <v>14296.91</v>
      </c>
      <c r="P125" s="51"/>
      <c r="Q125" s="51"/>
      <c r="R125" s="50">
        <v>1193</v>
      </c>
      <c r="S125" s="51"/>
      <c r="T125" s="51"/>
      <c r="U125" s="50">
        <f t="shared" si="9"/>
        <v>14296.91</v>
      </c>
      <c r="V125" s="51"/>
      <c r="W125" s="52"/>
    </row>
    <row r="126" spans="1:23" ht="72" x14ac:dyDescent="0.35">
      <c r="A126" s="31" t="s">
        <v>226</v>
      </c>
      <c r="B126" s="31"/>
      <c r="C126" s="41" t="s">
        <v>227</v>
      </c>
      <c r="D126" s="33"/>
      <c r="E126" s="33" t="s">
        <v>228</v>
      </c>
      <c r="F126" s="42" t="s">
        <v>55</v>
      </c>
      <c r="G126" s="43">
        <v>1.07</v>
      </c>
      <c r="H126" s="135"/>
      <c r="I126" s="171"/>
      <c r="J126" s="143"/>
      <c r="K126" s="107">
        <v>0</v>
      </c>
      <c r="L126" s="66">
        <v>1374.45</v>
      </c>
      <c r="M126" s="45"/>
      <c r="N126" s="91"/>
      <c r="O126" s="66">
        <f t="shared" si="8"/>
        <v>0</v>
      </c>
      <c r="P126" s="45"/>
      <c r="Q126" s="45"/>
      <c r="R126" s="44">
        <v>1290.02</v>
      </c>
      <c r="S126" s="45"/>
      <c r="T126" s="45"/>
      <c r="U126" s="44">
        <f t="shared" si="9"/>
        <v>0</v>
      </c>
      <c r="V126" s="45"/>
      <c r="W126" s="46"/>
    </row>
    <row r="127" spans="1:23" ht="90" x14ac:dyDescent="0.35">
      <c r="A127" s="36" t="s">
        <v>229</v>
      </c>
      <c r="B127" s="36"/>
      <c r="C127" s="47" t="s">
        <v>227</v>
      </c>
      <c r="D127" s="38"/>
      <c r="E127" s="38" t="s">
        <v>230</v>
      </c>
      <c r="F127" s="48" t="s">
        <v>55</v>
      </c>
      <c r="G127" s="49">
        <v>1.07</v>
      </c>
      <c r="H127" s="136"/>
      <c r="I127" s="171"/>
      <c r="J127" s="144"/>
      <c r="K127" s="108">
        <v>449.721</v>
      </c>
      <c r="L127" s="67">
        <v>1374.45</v>
      </c>
      <c r="M127" s="51"/>
      <c r="N127" s="91"/>
      <c r="O127" s="67">
        <f t="shared" si="8"/>
        <v>618119.03</v>
      </c>
      <c r="P127" s="51"/>
      <c r="Q127" s="51"/>
      <c r="R127" s="50">
        <v>1290.02</v>
      </c>
      <c r="S127" s="51"/>
      <c r="T127" s="51"/>
      <c r="U127" s="50">
        <f t="shared" si="9"/>
        <v>580149.07999999996</v>
      </c>
      <c r="V127" s="51"/>
      <c r="W127" s="52"/>
    </row>
    <row r="128" spans="1:23" ht="20" x14ac:dyDescent="0.35">
      <c r="A128" s="31" t="s">
        <v>231</v>
      </c>
      <c r="B128" s="31"/>
      <c r="C128" s="41" t="s">
        <v>232</v>
      </c>
      <c r="D128" s="33"/>
      <c r="E128" s="33"/>
      <c r="F128" s="42" t="s">
        <v>58</v>
      </c>
      <c r="G128" s="43">
        <v>0.25</v>
      </c>
      <c r="H128" s="135"/>
      <c r="I128" s="171"/>
      <c r="J128" s="143"/>
      <c r="K128" s="107">
        <v>0</v>
      </c>
      <c r="L128" s="66">
        <v>40.270000000000003</v>
      </c>
      <c r="M128" s="45"/>
      <c r="N128" s="91"/>
      <c r="O128" s="66">
        <f t="shared" si="8"/>
        <v>0</v>
      </c>
      <c r="P128" s="45"/>
      <c r="Q128" s="45"/>
      <c r="R128" s="44">
        <v>40.270000000000003</v>
      </c>
      <c r="S128" s="45"/>
      <c r="T128" s="45"/>
      <c r="U128" s="44">
        <f t="shared" si="9"/>
        <v>0</v>
      </c>
      <c r="V128" s="45"/>
      <c r="W128" s="46"/>
    </row>
    <row r="129" spans="1:23" ht="20" x14ac:dyDescent="0.35">
      <c r="A129" s="36" t="s">
        <v>233</v>
      </c>
      <c r="B129" s="36"/>
      <c r="C129" s="47" t="s">
        <v>232</v>
      </c>
      <c r="D129" s="38"/>
      <c r="E129" s="38"/>
      <c r="F129" s="48" t="s">
        <v>58</v>
      </c>
      <c r="G129" s="49">
        <v>0.25</v>
      </c>
      <c r="H129" s="136"/>
      <c r="I129" s="171"/>
      <c r="J129" s="144"/>
      <c r="K129" s="108">
        <v>107.875</v>
      </c>
      <c r="L129" s="67">
        <v>40.270000000000003</v>
      </c>
      <c r="M129" s="51"/>
      <c r="N129" s="91"/>
      <c r="O129" s="67">
        <f t="shared" si="8"/>
        <v>4344.13</v>
      </c>
      <c r="P129" s="51"/>
      <c r="Q129" s="51"/>
      <c r="R129" s="50">
        <v>40.270000000000003</v>
      </c>
      <c r="S129" s="51"/>
      <c r="T129" s="51"/>
      <c r="U129" s="50">
        <f t="shared" si="9"/>
        <v>4344.13</v>
      </c>
      <c r="V129" s="51"/>
      <c r="W129" s="52"/>
    </row>
    <row r="130" spans="1:23" ht="36" x14ac:dyDescent="0.35">
      <c r="A130" s="31" t="s">
        <v>234</v>
      </c>
      <c r="B130" s="31"/>
      <c r="C130" s="41" t="s">
        <v>235</v>
      </c>
      <c r="D130" s="33"/>
      <c r="E130" s="33"/>
      <c r="F130" s="42" t="s">
        <v>58</v>
      </c>
      <c r="G130" s="43">
        <v>0.15</v>
      </c>
      <c r="H130" s="135"/>
      <c r="I130" s="171"/>
      <c r="J130" s="143"/>
      <c r="K130" s="103">
        <v>0</v>
      </c>
      <c r="L130" s="66">
        <v>88.8</v>
      </c>
      <c r="M130" s="45"/>
      <c r="N130" s="91"/>
      <c r="O130" s="66">
        <f t="shared" si="8"/>
        <v>0</v>
      </c>
      <c r="P130" s="45"/>
      <c r="Q130" s="45"/>
      <c r="R130" s="44">
        <v>88.8</v>
      </c>
      <c r="S130" s="45"/>
      <c r="T130" s="45"/>
      <c r="U130" s="44">
        <f t="shared" si="9"/>
        <v>0</v>
      </c>
      <c r="V130" s="45"/>
      <c r="W130" s="46"/>
    </row>
    <row r="131" spans="1:23" ht="36" x14ac:dyDescent="0.35">
      <c r="A131" s="36" t="s">
        <v>236</v>
      </c>
      <c r="B131" s="36"/>
      <c r="C131" s="47" t="s">
        <v>235</v>
      </c>
      <c r="D131" s="38"/>
      <c r="E131" s="38"/>
      <c r="F131" s="48" t="s">
        <v>58</v>
      </c>
      <c r="G131" s="49">
        <v>0.15</v>
      </c>
      <c r="H131" s="136"/>
      <c r="I131" s="171"/>
      <c r="J131" s="144"/>
      <c r="K131" s="104">
        <v>64.724999999999994</v>
      </c>
      <c r="L131" s="67">
        <v>88.8</v>
      </c>
      <c r="M131" s="51"/>
      <c r="N131" s="91"/>
      <c r="O131" s="67">
        <f t="shared" si="8"/>
        <v>5747.58</v>
      </c>
      <c r="P131" s="51"/>
      <c r="Q131" s="51"/>
      <c r="R131" s="50">
        <v>88.8</v>
      </c>
      <c r="S131" s="51"/>
      <c r="T131" s="51"/>
      <c r="U131" s="50">
        <f t="shared" si="9"/>
        <v>5747.58</v>
      </c>
      <c r="V131" s="51"/>
      <c r="W131" s="52"/>
    </row>
    <row r="132" spans="1:23" ht="34" customHeight="1" x14ac:dyDescent="0.35">
      <c r="A132" s="8" t="s">
        <v>237</v>
      </c>
      <c r="B132" s="8" t="s">
        <v>238</v>
      </c>
      <c r="C132" s="9" t="s">
        <v>239</v>
      </c>
      <c r="D132" s="10" t="s">
        <v>240</v>
      </c>
      <c r="E132" s="10" t="s">
        <v>54</v>
      </c>
      <c r="F132" s="10" t="s">
        <v>55</v>
      </c>
      <c r="G132" s="11">
        <v>1</v>
      </c>
      <c r="H132" s="129"/>
      <c r="I132" s="170"/>
      <c r="J132" s="141"/>
      <c r="K132" s="100">
        <v>538.29999999999995</v>
      </c>
      <c r="L132" s="60">
        <f>IFERROR(ROUND(SUM(O133,O134,O135,O136)/K132, 2),0)</f>
        <v>1573.04</v>
      </c>
      <c r="M132" s="79">
        <v>412</v>
      </c>
      <c r="N132" s="89">
        <f>L132+ROUND(M132, 2)</f>
        <v>1985.04</v>
      </c>
      <c r="O132" s="60">
        <f>ROUND(L132*K132, 2)</f>
        <v>846767.43</v>
      </c>
      <c r="P132" s="12">
        <f>ROUND(K132*ROUND(M132, 2), 2)</f>
        <v>221779.6</v>
      </c>
      <c r="Q132" s="12">
        <f>O132+P132</f>
        <v>1068547.03</v>
      </c>
      <c r="R132" s="12">
        <f>IFERROR(ROUND(SUM(U133,U134,U135,U136)/K132, 2),0)</f>
        <v>1573.04</v>
      </c>
      <c r="S132" s="13">
        <v>412</v>
      </c>
      <c r="T132" s="12">
        <f>R132+ROUND(S132, 2)</f>
        <v>1985.04</v>
      </c>
      <c r="U132" s="12">
        <f>ROUND(R132*K132, 2)</f>
        <v>846767.43</v>
      </c>
      <c r="V132" s="12">
        <f>ROUND(K132*ROUND(S132, 2), 2)</f>
        <v>221779.6</v>
      </c>
      <c r="W132" s="12">
        <f>U132+V132</f>
        <v>1068547.03</v>
      </c>
    </row>
    <row r="133" spans="1:23" ht="54" x14ac:dyDescent="0.35">
      <c r="A133" s="8" t="s">
        <v>241</v>
      </c>
      <c r="B133" s="8"/>
      <c r="C133" s="19" t="s">
        <v>242</v>
      </c>
      <c r="D133" s="10"/>
      <c r="E133" s="10" t="s">
        <v>243</v>
      </c>
      <c r="F133" s="15" t="s">
        <v>58</v>
      </c>
      <c r="G133" s="16">
        <v>0.3</v>
      </c>
      <c r="H133" s="130"/>
      <c r="I133" s="170"/>
      <c r="J133" s="141"/>
      <c r="K133" s="97">
        <v>161.49</v>
      </c>
      <c r="L133" s="61">
        <v>220</v>
      </c>
      <c r="N133" s="88"/>
      <c r="O133" s="84">
        <f>ROUND(ROUND(L133, 2)*K133, 2)</f>
        <v>35527.800000000003</v>
      </c>
      <c r="R133" s="18">
        <v>220</v>
      </c>
      <c r="U133" s="17">
        <f>ROUND(ROUND(R133, 2)*K133, 2)</f>
        <v>35527.800000000003</v>
      </c>
    </row>
    <row r="134" spans="1:23" ht="36" x14ac:dyDescent="0.35">
      <c r="A134" s="8" t="s">
        <v>244</v>
      </c>
      <c r="B134" s="8"/>
      <c r="C134" s="19" t="s">
        <v>245</v>
      </c>
      <c r="D134" s="10"/>
      <c r="E134" s="10" t="s">
        <v>246</v>
      </c>
      <c r="F134" s="15" t="s">
        <v>58</v>
      </c>
      <c r="G134" s="16">
        <v>0.15</v>
      </c>
      <c r="H134" s="130"/>
      <c r="I134" s="170"/>
      <c r="J134" s="141"/>
      <c r="K134" s="97">
        <v>80.745000000000005</v>
      </c>
      <c r="L134" s="61">
        <v>68.400000000000006</v>
      </c>
      <c r="N134" s="88"/>
      <c r="O134" s="84">
        <f>ROUND(ROUND(L134, 2)*K134, 2)</f>
        <v>5522.96</v>
      </c>
      <c r="R134" s="18">
        <v>68.400000000000006</v>
      </c>
      <c r="U134" s="17">
        <f>ROUND(ROUND(R134, 2)*K134, 2)</f>
        <v>5522.96</v>
      </c>
    </row>
    <row r="135" spans="1:23" ht="72" x14ac:dyDescent="0.35">
      <c r="A135" s="8" t="s">
        <v>247</v>
      </c>
      <c r="B135" s="8"/>
      <c r="C135" s="14" t="s">
        <v>248</v>
      </c>
      <c r="D135" s="10"/>
      <c r="E135" s="10"/>
      <c r="F135" s="15" t="s">
        <v>67</v>
      </c>
      <c r="G135" s="16">
        <v>1</v>
      </c>
      <c r="H135" s="130"/>
      <c r="I135" s="170"/>
      <c r="J135" s="141"/>
      <c r="K135" s="109">
        <v>252</v>
      </c>
      <c r="L135" s="61">
        <v>51</v>
      </c>
      <c r="N135" s="88"/>
      <c r="O135" s="84">
        <f>ROUND(ROUND(L135, 2)*K135, 2)</f>
        <v>12852</v>
      </c>
      <c r="R135" s="18">
        <v>51</v>
      </c>
      <c r="U135" s="17">
        <f>ROUND(ROUND(R135, 2)*K135, 2)</f>
        <v>12852</v>
      </c>
    </row>
    <row r="136" spans="1:23" ht="54" x14ac:dyDescent="0.35">
      <c r="A136" s="8" t="s">
        <v>249</v>
      </c>
      <c r="B136" s="8"/>
      <c r="C136" s="14" t="s">
        <v>250</v>
      </c>
      <c r="D136" s="10"/>
      <c r="E136" s="10"/>
      <c r="F136" s="15" t="s">
        <v>55</v>
      </c>
      <c r="G136" s="16">
        <v>1.1000000000000001</v>
      </c>
      <c r="H136" s="130"/>
      <c r="I136" s="170"/>
      <c r="J136" s="141"/>
      <c r="K136" s="109">
        <v>592.13</v>
      </c>
      <c r="L136" s="61">
        <v>1339</v>
      </c>
      <c r="N136" s="88"/>
      <c r="O136" s="84">
        <f>ROUND(ROUND(L136, 2)*K136, 2)</f>
        <v>792862.07</v>
      </c>
      <c r="R136" s="18">
        <v>1339</v>
      </c>
      <c r="U136" s="17">
        <f>ROUND(ROUND(R136, 2)*K136, 2)</f>
        <v>792862.07</v>
      </c>
    </row>
    <row r="137" spans="1:23" ht="20" x14ac:dyDescent="0.35">
      <c r="A137" s="31" t="s">
        <v>251</v>
      </c>
      <c r="B137" s="31" t="s">
        <v>252</v>
      </c>
      <c r="C137" s="32" t="s">
        <v>253</v>
      </c>
      <c r="D137" s="33"/>
      <c r="E137" s="33" t="s">
        <v>254</v>
      </c>
      <c r="F137" s="33" t="s">
        <v>67</v>
      </c>
      <c r="G137" s="34">
        <v>1</v>
      </c>
      <c r="H137" s="133"/>
      <c r="I137" s="171"/>
      <c r="J137" s="143"/>
      <c r="K137" s="101">
        <v>49.65</v>
      </c>
      <c r="L137" s="64">
        <f>IFERROR(ROUND(SUM(O139,O141)/K137, 2),0)</f>
        <v>104.52</v>
      </c>
      <c r="M137" s="81">
        <v>200</v>
      </c>
      <c r="N137" s="90">
        <f>L137+ROUND(M137, 2)</f>
        <v>304.52</v>
      </c>
      <c r="O137" s="64">
        <f>ROUND(L137*K137, 2)</f>
        <v>5189.42</v>
      </c>
      <c r="P137" s="35">
        <f>ROUND(K137*ROUND(M137, 2), 2)</f>
        <v>9930</v>
      </c>
      <c r="Q137" s="35">
        <f>O137+P137</f>
        <v>15119.42</v>
      </c>
      <c r="R137" s="35">
        <f>IFERROR(ROUND(SUM(U139,U141)/K137, 2),0)</f>
        <v>104.52</v>
      </c>
      <c r="S137" s="35">
        <v>200</v>
      </c>
      <c r="T137" s="35">
        <f>R137+ROUND(S137, 2)</f>
        <v>304.52</v>
      </c>
      <c r="U137" s="35">
        <f>ROUND(R137*K137, 2)</f>
        <v>5189.42</v>
      </c>
      <c r="V137" s="35">
        <f>ROUND(K137*ROUND(S137, 2), 2)</f>
        <v>9930</v>
      </c>
      <c r="W137" s="35">
        <f>U137+V137</f>
        <v>15119.42</v>
      </c>
    </row>
    <row r="138" spans="1:23" ht="20" x14ac:dyDescent="0.35">
      <c r="A138" s="36" t="s">
        <v>255</v>
      </c>
      <c r="B138" s="36" t="s">
        <v>252</v>
      </c>
      <c r="C138" s="37" t="s">
        <v>253</v>
      </c>
      <c r="D138" s="38"/>
      <c r="E138" s="38"/>
      <c r="F138" s="38" t="s">
        <v>67</v>
      </c>
      <c r="G138" s="39">
        <v>1</v>
      </c>
      <c r="H138" s="134"/>
      <c r="I138" s="171"/>
      <c r="J138" s="144"/>
      <c r="K138" s="102">
        <v>108</v>
      </c>
      <c r="L138" s="65">
        <v>0</v>
      </c>
      <c r="M138" s="82">
        <v>200</v>
      </c>
      <c r="N138" s="90"/>
      <c r="O138" s="65">
        <v>0</v>
      </c>
      <c r="P138" s="40"/>
      <c r="Q138" s="40"/>
      <c r="R138" s="40">
        <v>0</v>
      </c>
      <c r="S138" s="40">
        <v>200</v>
      </c>
      <c r="T138" s="40"/>
      <c r="U138" s="40">
        <v>0</v>
      </c>
      <c r="V138" s="40"/>
      <c r="W138" s="40"/>
    </row>
    <row r="139" spans="1:23" ht="36" x14ac:dyDescent="0.35">
      <c r="A139" s="31" t="s">
        <v>256</v>
      </c>
      <c r="B139" s="31"/>
      <c r="C139" s="41" t="s">
        <v>257</v>
      </c>
      <c r="D139" s="33"/>
      <c r="E139" s="33"/>
      <c r="F139" s="42" t="s">
        <v>67</v>
      </c>
      <c r="G139" s="43">
        <v>1.05</v>
      </c>
      <c r="H139" s="135"/>
      <c r="I139" s="171"/>
      <c r="J139" s="143"/>
      <c r="K139" s="107">
        <v>52.133000000000003</v>
      </c>
      <c r="L139" s="66">
        <v>90.97</v>
      </c>
      <c r="M139" s="45"/>
      <c r="N139" s="91"/>
      <c r="O139" s="66">
        <f>ROUND(ROUND(L139, 2)*K139, 2)</f>
        <v>4742.54</v>
      </c>
      <c r="P139" s="45"/>
      <c r="Q139" s="45"/>
      <c r="R139" s="44">
        <v>90.97</v>
      </c>
      <c r="S139" s="45"/>
      <c r="T139" s="45"/>
      <c r="U139" s="44">
        <f>ROUND(ROUND(R139, 2)*K139, 2)</f>
        <v>4742.54</v>
      </c>
      <c r="V139" s="45"/>
      <c r="W139" s="46"/>
    </row>
    <row r="140" spans="1:23" ht="36" x14ac:dyDescent="0.35">
      <c r="A140" s="36" t="s">
        <v>258</v>
      </c>
      <c r="B140" s="36"/>
      <c r="C140" s="47" t="s">
        <v>257</v>
      </c>
      <c r="D140" s="38"/>
      <c r="E140" s="38"/>
      <c r="F140" s="48" t="s">
        <v>67</v>
      </c>
      <c r="G140" s="49">
        <v>1.05</v>
      </c>
      <c r="H140" s="136"/>
      <c r="I140" s="171"/>
      <c r="J140" s="144"/>
      <c r="K140" s="108">
        <v>113.4</v>
      </c>
      <c r="L140" s="67">
        <v>90.97</v>
      </c>
      <c r="M140" s="51"/>
      <c r="N140" s="91"/>
      <c r="O140" s="67">
        <f>ROUND(ROUND(L140, 2)*K140, 2)</f>
        <v>10316</v>
      </c>
      <c r="P140" s="51"/>
      <c r="Q140" s="51"/>
      <c r="R140" s="50">
        <v>90.97</v>
      </c>
      <c r="S140" s="51"/>
      <c r="T140" s="51"/>
      <c r="U140" s="50">
        <f>ROUND(ROUND(R140, 2)*K140, 2)</f>
        <v>10316</v>
      </c>
      <c r="V140" s="51"/>
      <c r="W140" s="52"/>
    </row>
    <row r="141" spans="1:23" ht="54" x14ac:dyDescent="0.35">
      <c r="A141" s="31" t="s">
        <v>259</v>
      </c>
      <c r="B141" s="31"/>
      <c r="C141" s="41" t="s">
        <v>260</v>
      </c>
      <c r="D141" s="33"/>
      <c r="E141" s="33" t="s">
        <v>261</v>
      </c>
      <c r="F141" s="42" t="s">
        <v>84</v>
      </c>
      <c r="G141" s="53">
        <v>0.09</v>
      </c>
      <c r="H141" s="137"/>
      <c r="I141" s="171"/>
      <c r="J141" s="143"/>
      <c r="K141" s="103">
        <v>4.4690000000000003</v>
      </c>
      <c r="L141" s="66">
        <v>100</v>
      </c>
      <c r="M141" s="45"/>
      <c r="N141" s="91"/>
      <c r="O141" s="66">
        <f>ROUND(ROUND(L141, 2)*K141, 2)</f>
        <v>446.9</v>
      </c>
      <c r="P141" s="45"/>
      <c r="Q141" s="45"/>
      <c r="R141" s="44">
        <v>100</v>
      </c>
      <c r="S141" s="45"/>
      <c r="T141" s="45"/>
      <c r="U141" s="44">
        <f>ROUND(ROUND(R141, 2)*K141, 2)</f>
        <v>446.9</v>
      </c>
      <c r="V141" s="45"/>
      <c r="W141" s="46"/>
    </row>
    <row r="142" spans="1:23" ht="54" x14ac:dyDescent="0.35">
      <c r="A142" s="36" t="s">
        <v>262</v>
      </c>
      <c r="B142" s="36"/>
      <c r="C142" s="47" t="s">
        <v>260</v>
      </c>
      <c r="D142" s="38"/>
      <c r="E142" s="38" t="s">
        <v>261</v>
      </c>
      <c r="F142" s="48" t="s">
        <v>84</v>
      </c>
      <c r="G142" s="54">
        <v>0.09</v>
      </c>
      <c r="H142" s="138"/>
      <c r="I142" s="171"/>
      <c r="J142" s="144"/>
      <c r="K142" s="104">
        <v>9.7200000000000006</v>
      </c>
      <c r="L142" s="67">
        <v>100</v>
      </c>
      <c r="M142" s="51"/>
      <c r="N142" s="91"/>
      <c r="O142" s="67">
        <f>ROUND(ROUND(L142, 2)*K142, 2)</f>
        <v>972</v>
      </c>
      <c r="P142" s="51"/>
      <c r="Q142" s="51"/>
      <c r="R142" s="50">
        <v>100</v>
      </c>
      <c r="S142" s="51"/>
      <c r="T142" s="51"/>
      <c r="U142" s="50">
        <f>ROUND(ROUND(R142, 2)*K142, 2)</f>
        <v>972</v>
      </c>
      <c r="V142" s="51"/>
      <c r="W142" s="52"/>
    </row>
    <row r="143" spans="1:23" ht="20" x14ac:dyDescent="0.35">
      <c r="A143" s="20" t="s">
        <v>263</v>
      </c>
      <c r="B143" s="20" t="s">
        <v>252</v>
      </c>
      <c r="C143" s="21" t="s">
        <v>253</v>
      </c>
      <c r="D143" s="22"/>
      <c r="E143" s="22" t="s">
        <v>264</v>
      </c>
      <c r="F143" s="22" t="s">
        <v>67</v>
      </c>
      <c r="G143" s="23">
        <v>1</v>
      </c>
      <c r="H143" s="131"/>
      <c r="I143" s="171"/>
      <c r="J143" s="142"/>
      <c r="K143" s="98">
        <v>63.14</v>
      </c>
      <c r="L143" s="62">
        <f>IFERROR(ROUND(SUM(O144,O145,O146)/K143, 2),0)</f>
        <v>198.82</v>
      </c>
      <c r="M143" s="80">
        <v>200</v>
      </c>
      <c r="N143" s="90">
        <f>L143+ROUND(M143, 2)</f>
        <v>398.82</v>
      </c>
      <c r="O143" s="62">
        <f>ROUND(L143*K143, 2)</f>
        <v>12553.49</v>
      </c>
      <c r="P143" s="24">
        <f>ROUND(K143*ROUND(M143, 2), 2)</f>
        <v>12628</v>
      </c>
      <c r="Q143" s="24">
        <f>O143+P143</f>
        <v>25181.489999999998</v>
      </c>
      <c r="R143" s="24">
        <f>IFERROR(ROUND(SUM(U144,U145,U146)/K143, 2),0)</f>
        <v>198.82</v>
      </c>
      <c r="S143" s="24">
        <v>200</v>
      </c>
      <c r="T143" s="24">
        <f>R143+ROUND(S143, 2)</f>
        <v>398.82</v>
      </c>
      <c r="U143" s="24">
        <f>ROUND(R143*K143, 2)</f>
        <v>12553.49</v>
      </c>
      <c r="V143" s="24">
        <f>ROUND(K143*ROUND(S143, 2), 2)</f>
        <v>12628</v>
      </c>
      <c r="W143" s="24">
        <f>U143+V143</f>
        <v>25181.489999999998</v>
      </c>
    </row>
    <row r="144" spans="1:23" ht="54" x14ac:dyDescent="0.35">
      <c r="A144" s="20" t="s">
        <v>265</v>
      </c>
      <c r="B144" s="20"/>
      <c r="C144" s="25" t="s">
        <v>260</v>
      </c>
      <c r="D144" s="22"/>
      <c r="E144" s="22" t="s">
        <v>261</v>
      </c>
      <c r="F144" s="26" t="s">
        <v>84</v>
      </c>
      <c r="G144" s="55">
        <v>0.09</v>
      </c>
      <c r="H144" s="139"/>
      <c r="I144" s="171"/>
      <c r="J144" s="142"/>
      <c r="K144" s="99">
        <v>5.6829999999999998</v>
      </c>
      <c r="L144" s="63">
        <v>100</v>
      </c>
      <c r="M144" s="29"/>
      <c r="N144" s="91"/>
      <c r="O144" s="63">
        <f>ROUND(ROUND(L144, 2)*K144, 2)</f>
        <v>568.29999999999995</v>
      </c>
      <c r="P144" s="29"/>
      <c r="Q144" s="29"/>
      <c r="R144" s="28">
        <v>100</v>
      </c>
      <c r="S144" s="29"/>
      <c r="T144" s="29"/>
      <c r="U144" s="28">
        <f>ROUND(ROUND(R144, 2)*K144, 2)</f>
        <v>568.29999999999995</v>
      </c>
      <c r="V144" s="29"/>
      <c r="W144" s="30"/>
    </row>
    <row r="145" spans="1:23" ht="54" x14ac:dyDescent="0.35">
      <c r="A145" s="20" t="s">
        <v>266</v>
      </c>
      <c r="B145" s="20"/>
      <c r="C145" s="14" t="s">
        <v>257</v>
      </c>
      <c r="D145" s="22"/>
      <c r="E145" s="22" t="s">
        <v>267</v>
      </c>
      <c r="F145" s="26" t="s">
        <v>67</v>
      </c>
      <c r="G145" s="27">
        <v>1.05</v>
      </c>
      <c r="H145" s="132"/>
      <c r="I145" s="171"/>
      <c r="J145" s="142"/>
      <c r="K145" s="110">
        <v>49.591999999999999</v>
      </c>
      <c r="L145" s="63">
        <v>90.21</v>
      </c>
      <c r="M145" s="29"/>
      <c r="N145" s="91"/>
      <c r="O145" s="63">
        <f>ROUND(ROUND(L145, 2)*K145, 2)</f>
        <v>4473.6899999999996</v>
      </c>
      <c r="P145" s="29"/>
      <c r="Q145" s="29"/>
      <c r="R145" s="28">
        <v>90.21</v>
      </c>
      <c r="S145" s="29"/>
      <c r="T145" s="29"/>
      <c r="U145" s="28">
        <f>ROUND(ROUND(R145, 2)*K145, 2)</f>
        <v>4473.6899999999996</v>
      </c>
      <c r="V145" s="29"/>
      <c r="W145" s="30"/>
    </row>
    <row r="146" spans="1:23" ht="54" x14ac:dyDescent="0.35">
      <c r="A146" s="20" t="s">
        <v>268</v>
      </c>
      <c r="B146" s="20"/>
      <c r="C146" s="14" t="s">
        <v>269</v>
      </c>
      <c r="D146" s="22"/>
      <c r="E146" s="22" t="s">
        <v>270</v>
      </c>
      <c r="F146" s="26" t="s">
        <v>67</v>
      </c>
      <c r="G146" s="27">
        <v>1.1000000000000001</v>
      </c>
      <c r="H146" s="132"/>
      <c r="I146" s="171"/>
      <c r="J146" s="142"/>
      <c r="K146" s="110">
        <v>17.501000000000001</v>
      </c>
      <c r="L146" s="63">
        <v>429.22</v>
      </c>
      <c r="M146" s="29"/>
      <c r="N146" s="91"/>
      <c r="O146" s="63">
        <f>ROUND(ROUND(L146, 2)*K146, 2)</f>
        <v>7511.78</v>
      </c>
      <c r="P146" s="29"/>
      <c r="Q146" s="29"/>
      <c r="R146" s="28">
        <v>429.22</v>
      </c>
      <c r="S146" s="29"/>
      <c r="T146" s="29"/>
      <c r="U146" s="28">
        <f>ROUND(ROUND(R146, 2)*K146, 2)</f>
        <v>7511.78</v>
      </c>
      <c r="V146" s="29"/>
      <c r="W146" s="30"/>
    </row>
    <row r="147" spans="1:23" ht="54" x14ac:dyDescent="0.35">
      <c r="A147" s="31" t="s">
        <v>271</v>
      </c>
      <c r="B147" s="31" t="s">
        <v>272</v>
      </c>
      <c r="C147" s="32" t="s">
        <v>273</v>
      </c>
      <c r="D147" s="33"/>
      <c r="E147" s="33" t="s">
        <v>274</v>
      </c>
      <c r="F147" s="33" t="s">
        <v>67</v>
      </c>
      <c r="G147" s="34">
        <v>1</v>
      </c>
      <c r="H147" s="133"/>
      <c r="I147" s="171"/>
      <c r="J147" s="143"/>
      <c r="K147" s="101">
        <v>0</v>
      </c>
      <c r="L147" s="64">
        <f>IFERROR(ROUND(SUM(O149,O151,O153)/K147, 2),0)</f>
        <v>0</v>
      </c>
      <c r="M147" s="81">
        <v>374</v>
      </c>
      <c r="N147" s="90">
        <f>L147+ROUND(M147, 2)</f>
        <v>374</v>
      </c>
      <c r="O147" s="64">
        <f>ROUND(L147*K147, 2)</f>
        <v>0</v>
      </c>
      <c r="P147" s="35">
        <f>ROUND(K147*ROUND(M147, 2), 2)</f>
        <v>0</v>
      </c>
      <c r="Q147" s="35">
        <f>O147+P147</f>
        <v>0</v>
      </c>
      <c r="R147" s="35">
        <f>IFERROR(ROUND(SUM(U149,U151,U153)/K147, 2),0)</f>
        <v>0</v>
      </c>
      <c r="S147" s="35">
        <v>374</v>
      </c>
      <c r="T147" s="35">
        <f>R147+ROUND(S147, 2)</f>
        <v>374</v>
      </c>
      <c r="U147" s="35">
        <f>ROUND(R147*K147, 2)</f>
        <v>0</v>
      </c>
      <c r="V147" s="35">
        <f>ROUND(K147*ROUND(S147, 2), 2)</f>
        <v>0</v>
      </c>
      <c r="W147" s="35">
        <f>U147+V147</f>
        <v>0</v>
      </c>
    </row>
    <row r="148" spans="1:23" ht="54" x14ac:dyDescent="0.35">
      <c r="A148" s="36" t="s">
        <v>275</v>
      </c>
      <c r="B148" s="36" t="s">
        <v>272</v>
      </c>
      <c r="C148" s="37" t="s">
        <v>273</v>
      </c>
      <c r="D148" s="38"/>
      <c r="E148" s="38"/>
      <c r="F148" s="38" t="s">
        <v>67</v>
      </c>
      <c r="G148" s="39">
        <v>1</v>
      </c>
      <c r="H148" s="134"/>
      <c r="I148" s="171"/>
      <c r="J148" s="144"/>
      <c r="K148" s="102">
        <v>307.10000000000002</v>
      </c>
      <c r="L148" s="65">
        <v>0</v>
      </c>
      <c r="M148" s="82">
        <v>374</v>
      </c>
      <c r="N148" s="90"/>
      <c r="O148" s="65">
        <v>0</v>
      </c>
      <c r="P148" s="40"/>
      <c r="Q148" s="40"/>
      <c r="R148" s="40">
        <v>0</v>
      </c>
      <c r="S148" s="40">
        <v>374</v>
      </c>
      <c r="T148" s="40"/>
      <c r="U148" s="40">
        <v>0</v>
      </c>
      <c r="V148" s="40"/>
      <c r="W148" s="40"/>
    </row>
    <row r="149" spans="1:23" ht="72" x14ac:dyDescent="0.35">
      <c r="A149" s="31" t="s">
        <v>276</v>
      </c>
      <c r="B149" s="31"/>
      <c r="C149" s="41" t="s">
        <v>277</v>
      </c>
      <c r="D149" s="33"/>
      <c r="E149" s="33" t="s">
        <v>278</v>
      </c>
      <c r="F149" s="42" t="s">
        <v>55</v>
      </c>
      <c r="G149" s="43">
        <v>0.11</v>
      </c>
      <c r="H149" s="135"/>
      <c r="I149" s="171"/>
      <c r="J149" s="143"/>
      <c r="K149" s="103">
        <v>0</v>
      </c>
      <c r="L149" s="66">
        <v>850</v>
      </c>
      <c r="M149" s="45"/>
      <c r="N149" s="91"/>
      <c r="O149" s="66">
        <f t="shared" ref="O149:O154" si="10">ROUND(ROUND(L149, 2)*K149, 2)</f>
        <v>0</v>
      </c>
      <c r="P149" s="45"/>
      <c r="Q149" s="45"/>
      <c r="R149" s="44">
        <v>850</v>
      </c>
      <c r="S149" s="45"/>
      <c r="T149" s="45"/>
      <c r="U149" s="44">
        <f t="shared" ref="U149:U154" si="11">ROUND(ROUND(R149, 2)*K149, 2)</f>
        <v>0</v>
      </c>
      <c r="V149" s="45"/>
      <c r="W149" s="46"/>
    </row>
    <row r="150" spans="1:23" ht="72" x14ac:dyDescent="0.35">
      <c r="A150" s="36" t="s">
        <v>279</v>
      </c>
      <c r="B150" s="36"/>
      <c r="C150" s="47" t="s">
        <v>277</v>
      </c>
      <c r="D150" s="38"/>
      <c r="E150" s="38" t="s">
        <v>280</v>
      </c>
      <c r="F150" s="48" t="s">
        <v>55</v>
      </c>
      <c r="G150" s="49">
        <v>0.11</v>
      </c>
      <c r="H150" s="136"/>
      <c r="I150" s="171"/>
      <c r="J150" s="144"/>
      <c r="K150" s="104">
        <v>33.780999999999999</v>
      </c>
      <c r="L150" s="67">
        <v>850</v>
      </c>
      <c r="M150" s="51"/>
      <c r="N150" s="91"/>
      <c r="O150" s="67">
        <f t="shared" si="10"/>
        <v>28713.85</v>
      </c>
      <c r="P150" s="51"/>
      <c r="Q150" s="51"/>
      <c r="R150" s="50">
        <v>850</v>
      </c>
      <c r="S150" s="51"/>
      <c r="T150" s="51"/>
      <c r="U150" s="50">
        <f t="shared" si="11"/>
        <v>28713.85</v>
      </c>
      <c r="V150" s="51"/>
      <c r="W150" s="52"/>
    </row>
    <row r="151" spans="1:23" ht="20" x14ac:dyDescent="0.35">
      <c r="A151" s="31" t="s">
        <v>281</v>
      </c>
      <c r="B151" s="31"/>
      <c r="C151" s="41" t="s">
        <v>232</v>
      </c>
      <c r="D151" s="33"/>
      <c r="E151" s="33"/>
      <c r="F151" s="42" t="s">
        <v>58</v>
      </c>
      <c r="G151" s="43">
        <v>0.04</v>
      </c>
      <c r="H151" s="135"/>
      <c r="I151" s="171"/>
      <c r="J151" s="143"/>
      <c r="K151" s="103">
        <v>0</v>
      </c>
      <c r="L151" s="66">
        <v>40.270000000000003</v>
      </c>
      <c r="M151" s="45"/>
      <c r="N151" s="91"/>
      <c r="O151" s="66">
        <f t="shared" si="10"/>
        <v>0</v>
      </c>
      <c r="P151" s="45"/>
      <c r="Q151" s="45"/>
      <c r="R151" s="44">
        <v>40.270000000000003</v>
      </c>
      <c r="S151" s="45"/>
      <c r="T151" s="45"/>
      <c r="U151" s="44">
        <f t="shared" si="11"/>
        <v>0</v>
      </c>
      <c r="V151" s="45"/>
      <c r="W151" s="46"/>
    </row>
    <row r="152" spans="1:23" ht="20" x14ac:dyDescent="0.35">
      <c r="A152" s="36" t="s">
        <v>282</v>
      </c>
      <c r="B152" s="36"/>
      <c r="C152" s="47" t="s">
        <v>232</v>
      </c>
      <c r="D152" s="38"/>
      <c r="E152" s="38"/>
      <c r="F152" s="48" t="s">
        <v>58</v>
      </c>
      <c r="G152" s="49">
        <v>0.04</v>
      </c>
      <c r="H152" s="136"/>
      <c r="I152" s="171"/>
      <c r="J152" s="144"/>
      <c r="K152" s="104">
        <v>12.284000000000001</v>
      </c>
      <c r="L152" s="67">
        <v>40.270000000000003</v>
      </c>
      <c r="M152" s="51"/>
      <c r="N152" s="91"/>
      <c r="O152" s="67">
        <f t="shared" si="10"/>
        <v>494.68</v>
      </c>
      <c r="P152" s="51"/>
      <c r="Q152" s="51"/>
      <c r="R152" s="50">
        <v>40.270000000000003</v>
      </c>
      <c r="S152" s="51"/>
      <c r="T152" s="51"/>
      <c r="U152" s="50">
        <f t="shared" si="11"/>
        <v>494.68</v>
      </c>
      <c r="V152" s="51"/>
      <c r="W152" s="52"/>
    </row>
    <row r="153" spans="1:23" ht="36" x14ac:dyDescent="0.35">
      <c r="A153" s="31" t="s">
        <v>283</v>
      </c>
      <c r="B153" s="31"/>
      <c r="C153" s="41" t="s">
        <v>235</v>
      </c>
      <c r="D153" s="33"/>
      <c r="E153" s="33"/>
      <c r="F153" s="42" t="s">
        <v>58</v>
      </c>
      <c r="G153" s="43">
        <v>1.4999999999999999E-2</v>
      </c>
      <c r="H153" s="135"/>
      <c r="I153" s="171"/>
      <c r="J153" s="143"/>
      <c r="K153" s="103">
        <v>0</v>
      </c>
      <c r="L153" s="66">
        <v>88.8</v>
      </c>
      <c r="M153" s="45"/>
      <c r="N153" s="91"/>
      <c r="O153" s="66">
        <f t="shared" si="10"/>
        <v>0</v>
      </c>
      <c r="P153" s="45"/>
      <c r="Q153" s="45"/>
      <c r="R153" s="44">
        <v>88.8</v>
      </c>
      <c r="S153" s="45"/>
      <c r="T153" s="45"/>
      <c r="U153" s="44">
        <f t="shared" si="11"/>
        <v>0</v>
      </c>
      <c r="V153" s="45"/>
      <c r="W153" s="46"/>
    </row>
    <row r="154" spans="1:23" ht="36" x14ac:dyDescent="0.35">
      <c r="A154" s="36" t="s">
        <v>284</v>
      </c>
      <c r="B154" s="36"/>
      <c r="C154" s="47" t="s">
        <v>235</v>
      </c>
      <c r="D154" s="38"/>
      <c r="E154" s="38"/>
      <c r="F154" s="48" t="s">
        <v>58</v>
      </c>
      <c r="G154" s="49">
        <v>1.4999999999999999E-2</v>
      </c>
      <c r="H154" s="136"/>
      <c r="I154" s="171"/>
      <c r="J154" s="144"/>
      <c r="K154" s="104">
        <v>4.6070000000000002</v>
      </c>
      <c r="L154" s="67">
        <v>88.8</v>
      </c>
      <c r="M154" s="51"/>
      <c r="N154" s="91"/>
      <c r="O154" s="67">
        <f t="shared" si="10"/>
        <v>409.1</v>
      </c>
      <c r="P154" s="51"/>
      <c r="Q154" s="51"/>
      <c r="R154" s="50">
        <v>88.8</v>
      </c>
      <c r="S154" s="51"/>
      <c r="T154" s="51"/>
      <c r="U154" s="50">
        <f t="shared" si="11"/>
        <v>409.1</v>
      </c>
      <c r="V154" s="51"/>
      <c r="W154" s="52"/>
    </row>
    <row r="155" spans="1:23" ht="36" x14ac:dyDescent="0.35">
      <c r="A155" s="31" t="s">
        <v>285</v>
      </c>
      <c r="B155" s="31" t="s">
        <v>286</v>
      </c>
      <c r="C155" s="32" t="s">
        <v>287</v>
      </c>
      <c r="D155" s="33"/>
      <c r="E155" s="33" t="s">
        <v>288</v>
      </c>
      <c r="F155" s="33" t="s">
        <v>67</v>
      </c>
      <c r="G155" s="34">
        <v>1</v>
      </c>
      <c r="H155" s="133"/>
      <c r="I155" s="171"/>
      <c r="J155" s="143"/>
      <c r="K155" s="101">
        <v>0</v>
      </c>
      <c r="L155" s="64">
        <f>IFERROR(ROUND(SUM(O157,O159)/K155, 2),0)</f>
        <v>0</v>
      </c>
      <c r="M155" s="81">
        <v>156</v>
      </c>
      <c r="N155" s="90">
        <f>L155+ROUND(M155, 2)</f>
        <v>156</v>
      </c>
      <c r="O155" s="64">
        <f>ROUND(L155*K155, 2)</f>
        <v>0</v>
      </c>
      <c r="P155" s="35">
        <f>ROUND(K155*ROUND(M155, 2), 2)</f>
        <v>0</v>
      </c>
      <c r="Q155" s="35">
        <f>O155+P155</f>
        <v>0</v>
      </c>
      <c r="R155" s="35">
        <f>IFERROR(ROUND(SUM(U157,U159)/K155, 2),0)</f>
        <v>0</v>
      </c>
      <c r="S155" s="35">
        <v>156</v>
      </c>
      <c r="T155" s="35">
        <f>R155+ROUND(S155, 2)</f>
        <v>156</v>
      </c>
      <c r="U155" s="35">
        <f>ROUND(R155*K155, 2)</f>
        <v>0</v>
      </c>
      <c r="V155" s="35">
        <f>ROUND(K155*ROUND(S155, 2), 2)</f>
        <v>0</v>
      </c>
      <c r="W155" s="35">
        <f>U155+V155</f>
        <v>0</v>
      </c>
    </row>
    <row r="156" spans="1:23" ht="36" x14ac:dyDescent="0.35">
      <c r="A156" s="36" t="s">
        <v>289</v>
      </c>
      <c r="B156" s="36" t="s">
        <v>286</v>
      </c>
      <c r="C156" s="37" t="s">
        <v>287</v>
      </c>
      <c r="D156" s="38"/>
      <c r="E156" s="38"/>
      <c r="F156" s="38" t="s">
        <v>67</v>
      </c>
      <c r="G156" s="39">
        <v>1</v>
      </c>
      <c r="H156" s="134"/>
      <c r="I156" s="171"/>
      <c r="J156" s="144"/>
      <c r="K156" s="102">
        <v>1693.4</v>
      </c>
      <c r="L156" s="65">
        <v>0</v>
      </c>
      <c r="M156" s="82">
        <v>156</v>
      </c>
      <c r="N156" s="90"/>
      <c r="O156" s="65">
        <v>0</v>
      </c>
      <c r="P156" s="40"/>
      <c r="Q156" s="40"/>
      <c r="R156" s="40">
        <v>0</v>
      </c>
      <c r="S156" s="40">
        <v>156</v>
      </c>
      <c r="T156" s="40"/>
      <c r="U156" s="40">
        <v>0</v>
      </c>
      <c r="V156" s="40"/>
      <c r="W156" s="40"/>
    </row>
    <row r="157" spans="1:23" ht="54" x14ac:dyDescent="0.35">
      <c r="A157" s="31" t="s">
        <v>290</v>
      </c>
      <c r="B157" s="31"/>
      <c r="C157" s="41" t="s">
        <v>291</v>
      </c>
      <c r="D157" s="33"/>
      <c r="E157" s="33" t="s">
        <v>292</v>
      </c>
      <c r="F157" s="42" t="s">
        <v>67</v>
      </c>
      <c r="G157" s="43">
        <v>1</v>
      </c>
      <c r="H157" s="135"/>
      <c r="I157" s="171"/>
      <c r="J157" s="143"/>
      <c r="K157" s="107">
        <v>0</v>
      </c>
      <c r="L157" s="66">
        <v>172.74</v>
      </c>
      <c r="M157" s="45"/>
      <c r="N157" s="91"/>
      <c r="O157" s="66">
        <f>ROUND(ROUND(L157, 2)*K157, 2)</f>
        <v>0</v>
      </c>
      <c r="P157" s="45"/>
      <c r="Q157" s="45"/>
      <c r="R157" s="44">
        <v>172.74</v>
      </c>
      <c r="S157" s="45"/>
      <c r="T157" s="45"/>
      <c r="U157" s="44">
        <f>ROUND(ROUND(R157, 2)*K157, 2)</f>
        <v>0</v>
      </c>
      <c r="V157" s="45"/>
      <c r="W157" s="46"/>
    </row>
    <row r="158" spans="1:23" ht="54" x14ac:dyDescent="0.35">
      <c r="A158" s="36" t="s">
        <v>293</v>
      </c>
      <c r="B158" s="36"/>
      <c r="C158" s="47" t="s">
        <v>291</v>
      </c>
      <c r="D158" s="38"/>
      <c r="E158" s="38" t="s">
        <v>292</v>
      </c>
      <c r="F158" s="48" t="s">
        <v>67</v>
      </c>
      <c r="G158" s="49">
        <v>1</v>
      </c>
      <c r="H158" s="136"/>
      <c r="I158" s="171"/>
      <c r="J158" s="144"/>
      <c r="K158" s="108">
        <v>1693.4</v>
      </c>
      <c r="L158" s="67">
        <v>172.74</v>
      </c>
      <c r="M158" s="51"/>
      <c r="N158" s="91"/>
      <c r="O158" s="67">
        <f>ROUND(ROUND(L158, 2)*K158, 2)</f>
        <v>292517.92</v>
      </c>
      <c r="P158" s="51"/>
      <c r="Q158" s="51"/>
      <c r="R158" s="50">
        <v>172.74</v>
      </c>
      <c r="S158" s="51"/>
      <c r="T158" s="51"/>
      <c r="U158" s="50">
        <f>ROUND(ROUND(R158, 2)*K158, 2)</f>
        <v>292517.92</v>
      </c>
      <c r="V158" s="51"/>
      <c r="W158" s="52"/>
    </row>
    <row r="159" spans="1:23" ht="54" x14ac:dyDescent="0.35">
      <c r="A159" s="31" t="s">
        <v>294</v>
      </c>
      <c r="B159" s="31"/>
      <c r="C159" s="41" t="s">
        <v>260</v>
      </c>
      <c r="D159" s="33"/>
      <c r="E159" s="33" t="s">
        <v>261</v>
      </c>
      <c r="F159" s="42" t="s">
        <v>84</v>
      </c>
      <c r="G159" s="43">
        <v>0.09</v>
      </c>
      <c r="H159" s="135"/>
      <c r="I159" s="171"/>
      <c r="J159" s="143"/>
      <c r="K159" s="107">
        <v>0</v>
      </c>
      <c r="L159" s="66">
        <v>100</v>
      </c>
      <c r="M159" s="45"/>
      <c r="N159" s="91"/>
      <c r="O159" s="66">
        <f>ROUND(ROUND(L159, 2)*K159, 2)</f>
        <v>0</v>
      </c>
      <c r="P159" s="45"/>
      <c r="Q159" s="45"/>
      <c r="R159" s="44">
        <v>100</v>
      </c>
      <c r="S159" s="45"/>
      <c r="T159" s="45"/>
      <c r="U159" s="44">
        <f>ROUND(ROUND(R159, 2)*K159, 2)</f>
        <v>0</v>
      </c>
      <c r="V159" s="45"/>
      <c r="W159" s="46"/>
    </row>
    <row r="160" spans="1:23" ht="54" x14ac:dyDescent="0.35">
      <c r="A160" s="36" t="s">
        <v>295</v>
      </c>
      <c r="B160" s="36"/>
      <c r="C160" s="47" t="s">
        <v>260</v>
      </c>
      <c r="D160" s="38"/>
      <c r="E160" s="38" t="s">
        <v>261</v>
      </c>
      <c r="F160" s="48" t="s">
        <v>84</v>
      </c>
      <c r="G160" s="49">
        <v>0.09</v>
      </c>
      <c r="H160" s="136"/>
      <c r="I160" s="171"/>
      <c r="J160" s="144"/>
      <c r="K160" s="108">
        <v>152.40600000000001</v>
      </c>
      <c r="L160" s="67">
        <v>100</v>
      </c>
      <c r="M160" s="51"/>
      <c r="N160" s="91"/>
      <c r="O160" s="67">
        <f>ROUND(ROUND(L160, 2)*K160, 2)</f>
        <v>15240.6</v>
      </c>
      <c r="P160" s="51"/>
      <c r="Q160" s="51"/>
      <c r="R160" s="50">
        <v>100</v>
      </c>
      <c r="S160" s="51"/>
      <c r="T160" s="51"/>
      <c r="U160" s="50">
        <f>ROUND(ROUND(R160, 2)*K160, 2)</f>
        <v>15240.6</v>
      </c>
      <c r="V160" s="51"/>
      <c r="W160" s="52"/>
    </row>
    <row r="161" spans="1:23" ht="36" x14ac:dyDescent="0.35">
      <c r="A161" s="31" t="s">
        <v>296</v>
      </c>
      <c r="B161" s="31" t="s">
        <v>297</v>
      </c>
      <c r="C161" s="32" t="s">
        <v>298</v>
      </c>
      <c r="D161" s="33"/>
      <c r="E161" s="33" t="s">
        <v>54</v>
      </c>
      <c r="F161" s="33" t="s">
        <v>55</v>
      </c>
      <c r="G161" s="34">
        <v>1</v>
      </c>
      <c r="H161" s="133"/>
      <c r="I161" s="171"/>
      <c r="J161" s="143"/>
      <c r="K161" s="101">
        <v>3721.92</v>
      </c>
      <c r="L161" s="64">
        <f>IFERROR(ROUND(SUM(O163,O165)/K161, 2),0)</f>
        <v>0</v>
      </c>
      <c r="M161" s="81">
        <v>661</v>
      </c>
      <c r="N161" s="90">
        <f>L161+ROUND(M161, 2)</f>
        <v>661</v>
      </c>
      <c r="O161" s="64">
        <f>ROUND(L161*K161, 2)</f>
        <v>0</v>
      </c>
      <c r="P161" s="35">
        <f>ROUND(K161*ROUND(M161, 2), 2)</f>
        <v>2460189.12</v>
      </c>
      <c r="Q161" s="35">
        <f>O161+P161</f>
        <v>2460189.12</v>
      </c>
      <c r="R161" s="35">
        <f>IFERROR(ROUND(SUM(U163,U165)/K161, 2),0)</f>
        <v>2064.19</v>
      </c>
      <c r="S161" s="35">
        <v>661</v>
      </c>
      <c r="T161" s="35">
        <f>R161+ROUND(S161, 2)</f>
        <v>2725.19</v>
      </c>
      <c r="U161" s="35">
        <f>ROUND(R161*K161, 2)</f>
        <v>7682750.04</v>
      </c>
      <c r="V161" s="35">
        <f>ROUND(K161*ROUND(S161, 2), 2)</f>
        <v>2460189.12</v>
      </c>
      <c r="W161" s="35">
        <f>U161+V161</f>
        <v>10142939.16</v>
      </c>
    </row>
    <row r="162" spans="1:23" ht="36" x14ac:dyDescent="0.35">
      <c r="A162" s="36" t="s">
        <v>299</v>
      </c>
      <c r="B162" s="36" t="s">
        <v>297</v>
      </c>
      <c r="C162" s="37" t="s">
        <v>298</v>
      </c>
      <c r="D162" s="38"/>
      <c r="E162" s="38"/>
      <c r="F162" s="38" t="s">
        <v>55</v>
      </c>
      <c r="G162" s="39">
        <v>1</v>
      </c>
      <c r="H162" s="134"/>
      <c r="I162" s="171"/>
      <c r="J162" s="144"/>
      <c r="K162" s="102">
        <v>3759.2</v>
      </c>
      <c r="L162" s="65">
        <v>0</v>
      </c>
      <c r="M162" s="82">
        <v>661</v>
      </c>
      <c r="N162" s="90"/>
      <c r="O162" s="65">
        <v>0</v>
      </c>
      <c r="P162" s="40"/>
      <c r="Q162" s="40"/>
      <c r="R162" s="40">
        <v>0</v>
      </c>
      <c r="S162" s="40">
        <v>661</v>
      </c>
      <c r="T162" s="40"/>
      <c r="U162" s="40">
        <v>0</v>
      </c>
      <c r="V162" s="40"/>
      <c r="W162" s="40"/>
    </row>
    <row r="163" spans="1:23" ht="90" x14ac:dyDescent="0.35">
      <c r="A163" s="31" t="s">
        <v>300</v>
      </c>
      <c r="B163" s="31"/>
      <c r="C163" s="41" t="s">
        <v>301</v>
      </c>
      <c r="D163" s="33"/>
      <c r="E163" s="33" t="s">
        <v>302</v>
      </c>
      <c r="F163" s="42" t="s">
        <v>84</v>
      </c>
      <c r="G163" s="43">
        <v>1</v>
      </c>
      <c r="H163" s="135"/>
      <c r="I163" s="171"/>
      <c r="J163" s="143"/>
      <c r="K163" s="107">
        <v>433.65600000000001</v>
      </c>
      <c r="L163" s="66">
        <v>0</v>
      </c>
      <c r="M163" s="45"/>
      <c r="N163" s="91"/>
      <c r="O163" s="66">
        <f>ROUND(ROUND(L163, 2)*K163, 2)</f>
        <v>0</v>
      </c>
      <c r="P163" s="45"/>
      <c r="Q163" s="45"/>
      <c r="R163" s="44">
        <v>4456</v>
      </c>
      <c r="S163" s="45"/>
      <c r="T163" s="45"/>
      <c r="U163" s="44">
        <f>ROUND(ROUND(R163, 2)*K163, 2)</f>
        <v>1932371.14</v>
      </c>
      <c r="V163" s="45"/>
      <c r="W163" s="46"/>
    </row>
    <row r="164" spans="1:23" ht="90" x14ac:dyDescent="0.35">
      <c r="A164" s="36" t="s">
        <v>303</v>
      </c>
      <c r="B164" s="36"/>
      <c r="C164" s="47" t="s">
        <v>301</v>
      </c>
      <c r="D164" s="38"/>
      <c r="E164" s="38" t="s">
        <v>302</v>
      </c>
      <c r="F164" s="48" t="s">
        <v>84</v>
      </c>
      <c r="G164" s="49">
        <v>1</v>
      </c>
      <c r="H164" s="136"/>
      <c r="I164" s="171"/>
      <c r="J164" s="144"/>
      <c r="K164" s="108">
        <v>438</v>
      </c>
      <c r="L164" s="67">
        <v>0</v>
      </c>
      <c r="M164" s="51"/>
      <c r="N164" s="91"/>
      <c r="O164" s="67">
        <f>ROUND(ROUND(L164, 2)*K164, 2)</f>
        <v>0</v>
      </c>
      <c r="P164" s="51"/>
      <c r="Q164" s="51"/>
      <c r="R164" s="50">
        <v>4456</v>
      </c>
      <c r="S164" s="51"/>
      <c r="T164" s="51"/>
      <c r="U164" s="50">
        <f>ROUND(ROUND(R164, 2)*K164, 2)</f>
        <v>1951728</v>
      </c>
      <c r="V164" s="51"/>
      <c r="W164" s="52"/>
    </row>
    <row r="165" spans="1:23" ht="90" x14ac:dyDescent="0.35">
      <c r="A165" s="31" t="s">
        <v>304</v>
      </c>
      <c r="B165" s="31"/>
      <c r="C165" s="41" t="s">
        <v>305</v>
      </c>
      <c r="D165" s="33"/>
      <c r="E165" s="33" t="s">
        <v>306</v>
      </c>
      <c r="F165" s="42" t="s">
        <v>55</v>
      </c>
      <c r="G165" s="43">
        <v>1.03</v>
      </c>
      <c r="H165" s="135"/>
      <c r="I165" s="171"/>
      <c r="J165" s="143"/>
      <c r="K165" s="107">
        <v>3833.578</v>
      </c>
      <c r="L165" s="66">
        <v>0</v>
      </c>
      <c r="M165" s="45"/>
      <c r="N165" s="91"/>
      <c r="O165" s="66">
        <f>ROUND(ROUND(L165, 2)*K165, 2)</f>
        <v>0</v>
      </c>
      <c r="P165" s="45"/>
      <c r="Q165" s="45"/>
      <c r="R165" s="44">
        <v>1500</v>
      </c>
      <c r="S165" s="45"/>
      <c r="T165" s="45"/>
      <c r="U165" s="44">
        <f>ROUND(ROUND(R165, 2)*K165, 2)</f>
        <v>5750367</v>
      </c>
      <c r="V165" s="45"/>
      <c r="W165" s="46"/>
    </row>
    <row r="166" spans="1:23" ht="90" x14ac:dyDescent="0.35">
      <c r="A166" s="36" t="s">
        <v>307</v>
      </c>
      <c r="B166" s="36"/>
      <c r="C166" s="47" t="s">
        <v>305</v>
      </c>
      <c r="D166" s="38"/>
      <c r="E166" s="38" t="s">
        <v>306</v>
      </c>
      <c r="F166" s="48" t="s">
        <v>55</v>
      </c>
      <c r="G166" s="49">
        <v>1.03</v>
      </c>
      <c r="H166" s="136"/>
      <c r="I166" s="171"/>
      <c r="J166" s="144"/>
      <c r="K166" s="108">
        <v>3871.9760000000001</v>
      </c>
      <c r="L166" s="67">
        <v>0</v>
      </c>
      <c r="M166" s="51"/>
      <c r="N166" s="91"/>
      <c r="O166" s="67">
        <f>ROUND(ROUND(L166, 2)*K166, 2)</f>
        <v>0</v>
      </c>
      <c r="P166" s="51"/>
      <c r="Q166" s="51"/>
      <c r="R166" s="50">
        <v>1500</v>
      </c>
      <c r="S166" s="51"/>
      <c r="T166" s="51"/>
      <c r="U166" s="50">
        <f>ROUND(ROUND(R166, 2)*K166, 2)</f>
        <v>5807964</v>
      </c>
      <c r="V166" s="51"/>
      <c r="W166" s="52"/>
    </row>
    <row r="167" spans="1:23" ht="36" x14ac:dyDescent="0.35">
      <c r="A167" s="20" t="s">
        <v>308</v>
      </c>
      <c r="B167" s="20" t="s">
        <v>297</v>
      </c>
      <c r="C167" s="21" t="s">
        <v>298</v>
      </c>
      <c r="D167" s="22"/>
      <c r="E167" s="22" t="s">
        <v>63</v>
      </c>
      <c r="F167" s="22" t="s">
        <v>55</v>
      </c>
      <c r="G167" s="23">
        <v>1</v>
      </c>
      <c r="H167" s="131"/>
      <c r="I167" s="171"/>
      <c r="J167" s="142"/>
      <c r="K167" s="98">
        <v>3457.16</v>
      </c>
      <c r="L167" s="62">
        <f>IFERROR(ROUND(SUM(O168,O169)/K167, 2),0)</f>
        <v>0</v>
      </c>
      <c r="M167" s="80">
        <v>661</v>
      </c>
      <c r="N167" s="90">
        <f>L167+ROUND(M167, 2)</f>
        <v>661</v>
      </c>
      <c r="O167" s="62">
        <f>ROUND(L167*K167, 2)</f>
        <v>0</v>
      </c>
      <c r="P167" s="24">
        <f>ROUND(K167*ROUND(M167, 2), 2)</f>
        <v>2285182.7599999998</v>
      </c>
      <c r="Q167" s="24">
        <f>O167+P167</f>
        <v>2285182.7599999998</v>
      </c>
      <c r="R167" s="24">
        <f>IFERROR(ROUND(SUM(U168,U169)/K167, 2),0)</f>
        <v>0</v>
      </c>
      <c r="S167" s="24">
        <v>661</v>
      </c>
      <c r="T167" s="24">
        <f>R167+ROUND(S167, 2)</f>
        <v>661</v>
      </c>
      <c r="U167" s="24">
        <f>ROUND(R167*K167, 2)</f>
        <v>0</v>
      </c>
      <c r="V167" s="24">
        <f>ROUND(K167*ROUND(S167, 2), 2)</f>
        <v>2285182.7599999998</v>
      </c>
      <c r="W167" s="24">
        <f>U167+V167</f>
        <v>2285182.7599999998</v>
      </c>
    </row>
    <row r="168" spans="1:23" ht="90" x14ac:dyDescent="0.35">
      <c r="A168" s="20" t="s">
        <v>309</v>
      </c>
      <c r="B168" s="20"/>
      <c r="C168" s="25" t="s">
        <v>305</v>
      </c>
      <c r="D168" s="22"/>
      <c r="E168" s="22" t="s">
        <v>310</v>
      </c>
      <c r="F168" s="26" t="s">
        <v>55</v>
      </c>
      <c r="G168" s="27">
        <v>1.03</v>
      </c>
      <c r="H168" s="132"/>
      <c r="I168" s="171"/>
      <c r="J168" s="142"/>
      <c r="K168" s="110">
        <v>3560.875</v>
      </c>
      <c r="L168" s="63">
        <v>0</v>
      </c>
      <c r="M168" s="29"/>
      <c r="N168" s="91"/>
      <c r="O168" s="63">
        <f>ROUND(ROUND(L168, 2)*K168, 2)</f>
        <v>0</v>
      </c>
      <c r="P168" s="29"/>
      <c r="Q168" s="29"/>
      <c r="R168" s="28">
        <v>0</v>
      </c>
      <c r="S168" s="29"/>
      <c r="T168" s="29"/>
      <c r="U168" s="28">
        <f>ROUND(ROUND(R168, 2)*K168, 2)</f>
        <v>0</v>
      </c>
      <c r="V168" s="29"/>
      <c r="W168" s="30"/>
    </row>
    <row r="169" spans="1:23" ht="90" x14ac:dyDescent="0.35">
      <c r="A169" s="20" t="s">
        <v>311</v>
      </c>
      <c r="B169" s="20"/>
      <c r="C169" s="25" t="s">
        <v>301</v>
      </c>
      <c r="D169" s="22"/>
      <c r="E169" s="22" t="s">
        <v>302</v>
      </c>
      <c r="F169" s="26" t="s">
        <v>84</v>
      </c>
      <c r="G169" s="27">
        <v>1</v>
      </c>
      <c r="H169" s="132"/>
      <c r="I169" s="171"/>
      <c r="J169" s="142"/>
      <c r="K169" s="110">
        <v>408</v>
      </c>
      <c r="L169" s="63">
        <v>0</v>
      </c>
      <c r="M169" s="29"/>
      <c r="N169" s="91"/>
      <c r="O169" s="63">
        <f>ROUND(ROUND(L169, 2)*K169, 2)</f>
        <v>0</v>
      </c>
      <c r="P169" s="29"/>
      <c r="Q169" s="29"/>
      <c r="R169" s="28">
        <v>0</v>
      </c>
      <c r="S169" s="29"/>
      <c r="T169" s="29"/>
      <c r="U169" s="28">
        <f>ROUND(ROUND(R169, 2)*K169, 2)</f>
        <v>0</v>
      </c>
      <c r="V169" s="29"/>
      <c r="W169" s="30"/>
    </row>
    <row r="170" spans="1:23" ht="36" x14ac:dyDescent="0.35">
      <c r="A170" s="20" t="s">
        <v>312</v>
      </c>
      <c r="B170" s="20" t="s">
        <v>313</v>
      </c>
      <c r="C170" s="21" t="s">
        <v>314</v>
      </c>
      <c r="D170" s="22"/>
      <c r="E170" s="22" t="s">
        <v>315</v>
      </c>
      <c r="F170" s="22" t="s">
        <v>67</v>
      </c>
      <c r="G170" s="23">
        <v>1</v>
      </c>
      <c r="H170" s="131"/>
      <c r="I170" s="171"/>
      <c r="J170" s="142"/>
      <c r="K170" s="98">
        <v>1560.93</v>
      </c>
      <c r="L170" s="62">
        <f>IFERROR(ROUND(SUM(O171)/K170, 2),0)</f>
        <v>379.23</v>
      </c>
      <c r="M170" s="80">
        <v>210</v>
      </c>
      <c r="N170" s="90">
        <f>L170+ROUND(M170, 2)</f>
        <v>589.23</v>
      </c>
      <c r="O170" s="62">
        <f>ROUND(L170*K170, 2)</f>
        <v>591951.48</v>
      </c>
      <c r="P170" s="24">
        <f>ROUND(K170*ROUND(M170, 2), 2)</f>
        <v>327795.3</v>
      </c>
      <c r="Q170" s="24">
        <f>O170+P170</f>
        <v>919746.78</v>
      </c>
      <c r="R170" s="24">
        <f>IFERROR(ROUND(SUM(U171)/K170, 2),0)</f>
        <v>379.23</v>
      </c>
      <c r="S170" s="24">
        <v>210</v>
      </c>
      <c r="T170" s="24">
        <f>R170+ROUND(S170, 2)</f>
        <v>589.23</v>
      </c>
      <c r="U170" s="24">
        <f>ROUND(R170*K170, 2)</f>
        <v>591951.48</v>
      </c>
      <c r="V170" s="24">
        <f>ROUND(K170*ROUND(S170, 2), 2)</f>
        <v>327795.3</v>
      </c>
      <c r="W170" s="24">
        <f>U170+V170</f>
        <v>919746.78</v>
      </c>
    </row>
    <row r="171" spans="1:23" ht="72" x14ac:dyDescent="0.35">
      <c r="A171" s="20" t="s">
        <v>316</v>
      </c>
      <c r="B171" s="20"/>
      <c r="C171" s="25" t="s">
        <v>317</v>
      </c>
      <c r="D171" s="22"/>
      <c r="E171" s="22"/>
      <c r="F171" s="26" t="s">
        <v>67</v>
      </c>
      <c r="G171" s="27">
        <v>1.1000000000000001</v>
      </c>
      <c r="H171" s="132"/>
      <c r="I171" s="171"/>
      <c r="J171" s="142"/>
      <c r="K171" s="110">
        <v>1717.0229999999999</v>
      </c>
      <c r="L171" s="63">
        <v>344.75</v>
      </c>
      <c r="M171" s="29"/>
      <c r="N171" s="91"/>
      <c r="O171" s="63">
        <f>ROUND(ROUND(L171, 2)*K171, 2)</f>
        <v>591943.68000000005</v>
      </c>
      <c r="P171" s="29"/>
      <c r="Q171" s="29"/>
      <c r="R171" s="28">
        <v>344.75</v>
      </c>
      <c r="S171" s="29"/>
      <c r="T171" s="29"/>
      <c r="U171" s="28">
        <f>ROUND(ROUND(R171, 2)*K171, 2)</f>
        <v>591943.68000000005</v>
      </c>
      <c r="V171" s="29"/>
      <c r="W171" s="30"/>
    </row>
    <row r="172" spans="1:23" ht="36" x14ac:dyDescent="0.35">
      <c r="A172" s="20" t="s">
        <v>318</v>
      </c>
      <c r="B172" s="20" t="s">
        <v>313</v>
      </c>
      <c r="C172" s="21" t="s">
        <v>314</v>
      </c>
      <c r="D172" s="22"/>
      <c r="E172" s="22" t="s">
        <v>288</v>
      </c>
      <c r="F172" s="22" t="s">
        <v>67</v>
      </c>
      <c r="G172" s="23">
        <v>1</v>
      </c>
      <c r="H172" s="131"/>
      <c r="I172" s="171"/>
      <c r="J172" s="142"/>
      <c r="K172" s="98">
        <v>1769.72</v>
      </c>
      <c r="L172" s="62">
        <f>IFERROR(ROUND(SUM(O173)/K172, 2),0)</f>
        <v>379.23</v>
      </c>
      <c r="M172" s="80">
        <v>210</v>
      </c>
      <c r="N172" s="90">
        <f>L172+ROUND(M172, 2)</f>
        <v>589.23</v>
      </c>
      <c r="O172" s="62">
        <f>ROUND(L172*K172, 2)</f>
        <v>671130.92</v>
      </c>
      <c r="P172" s="24">
        <f>ROUND(K172*ROUND(M172, 2), 2)</f>
        <v>371641.2</v>
      </c>
      <c r="Q172" s="24">
        <f>O172+P172</f>
        <v>1042772.1200000001</v>
      </c>
      <c r="R172" s="24">
        <f>IFERROR(ROUND(SUM(U173)/K172, 2),0)</f>
        <v>379.23</v>
      </c>
      <c r="S172" s="24">
        <v>210</v>
      </c>
      <c r="T172" s="24">
        <f>R172+ROUND(S172, 2)</f>
        <v>589.23</v>
      </c>
      <c r="U172" s="24">
        <f>ROUND(R172*K172, 2)</f>
        <v>671130.92</v>
      </c>
      <c r="V172" s="24">
        <f>ROUND(K172*ROUND(S172, 2), 2)</f>
        <v>371641.2</v>
      </c>
      <c r="W172" s="24">
        <f>U172+V172</f>
        <v>1042772.1200000001</v>
      </c>
    </row>
    <row r="173" spans="1:23" ht="72" x14ac:dyDescent="0.35">
      <c r="A173" s="20" t="s">
        <v>319</v>
      </c>
      <c r="B173" s="20"/>
      <c r="C173" s="25" t="s">
        <v>317</v>
      </c>
      <c r="D173" s="22"/>
      <c r="E173" s="22"/>
      <c r="F173" s="26" t="s">
        <v>67</v>
      </c>
      <c r="G173" s="27">
        <v>1.1000000000000001</v>
      </c>
      <c r="H173" s="132"/>
      <c r="I173" s="171"/>
      <c r="J173" s="142"/>
      <c r="K173" s="110">
        <v>1946.692</v>
      </c>
      <c r="L173" s="63">
        <v>344.75</v>
      </c>
      <c r="M173" s="29"/>
      <c r="N173" s="91"/>
      <c r="O173" s="63">
        <f>ROUND(ROUND(L173, 2)*K173, 2)</f>
        <v>671122.07</v>
      </c>
      <c r="P173" s="29"/>
      <c r="Q173" s="29"/>
      <c r="R173" s="28">
        <v>344.75</v>
      </c>
      <c r="S173" s="29"/>
      <c r="T173" s="29"/>
      <c r="U173" s="28">
        <f>ROUND(ROUND(R173, 2)*K173, 2)</f>
        <v>671122.07</v>
      </c>
      <c r="V173" s="29"/>
      <c r="W173" s="30"/>
    </row>
    <row r="174" spans="1:23" ht="36" x14ac:dyDescent="0.35">
      <c r="A174" s="20" t="s">
        <v>320</v>
      </c>
      <c r="B174" s="20" t="s">
        <v>321</v>
      </c>
      <c r="C174" s="21" t="s">
        <v>322</v>
      </c>
      <c r="D174" s="22"/>
      <c r="E174" s="22" t="s">
        <v>63</v>
      </c>
      <c r="F174" s="22" t="s">
        <v>67</v>
      </c>
      <c r="G174" s="23">
        <v>1</v>
      </c>
      <c r="H174" s="131"/>
      <c r="I174" s="171"/>
      <c r="J174" s="142"/>
      <c r="K174" s="98">
        <v>137.82</v>
      </c>
      <c r="L174" s="62">
        <f>IFERROR(ROUND(SUM(O175,O176,O177,O178)/K174, 2),0)</f>
        <v>375.74</v>
      </c>
      <c r="M174" s="80">
        <v>473</v>
      </c>
      <c r="N174" s="90">
        <f>L174+ROUND(M174, 2)</f>
        <v>848.74</v>
      </c>
      <c r="O174" s="62">
        <f>ROUND(L174*K174, 2)</f>
        <v>51784.49</v>
      </c>
      <c r="P174" s="24">
        <f>ROUND(K174*ROUND(M174, 2), 2)</f>
        <v>65188.86</v>
      </c>
      <c r="Q174" s="24">
        <f>O174+P174</f>
        <v>116973.35</v>
      </c>
      <c r="R174" s="24">
        <f>IFERROR(ROUND(SUM(U175,U176,U177,U178)/K174, 2),0)</f>
        <v>375.74</v>
      </c>
      <c r="S174" s="24">
        <v>473</v>
      </c>
      <c r="T174" s="24">
        <f>R174+ROUND(S174, 2)</f>
        <v>848.74</v>
      </c>
      <c r="U174" s="24">
        <f>ROUND(R174*K174, 2)</f>
        <v>51784.49</v>
      </c>
      <c r="V174" s="24">
        <f>ROUND(K174*ROUND(S174, 2), 2)</f>
        <v>65188.86</v>
      </c>
      <c r="W174" s="24">
        <f>U174+V174</f>
        <v>116973.35</v>
      </c>
    </row>
    <row r="175" spans="1:23" ht="54" x14ac:dyDescent="0.35">
      <c r="A175" s="20" t="s">
        <v>323</v>
      </c>
      <c r="B175" s="20"/>
      <c r="C175" s="14" t="s">
        <v>324</v>
      </c>
      <c r="D175" s="22"/>
      <c r="E175" s="22" t="s">
        <v>220</v>
      </c>
      <c r="F175" s="26" t="s">
        <v>58</v>
      </c>
      <c r="G175" s="27">
        <v>0.7</v>
      </c>
      <c r="H175" s="132"/>
      <c r="I175" s="171"/>
      <c r="J175" s="142"/>
      <c r="K175" s="110">
        <v>96.474000000000004</v>
      </c>
      <c r="L175" s="63">
        <v>16.96</v>
      </c>
      <c r="M175" s="29"/>
      <c r="N175" s="91"/>
      <c r="O175" s="63">
        <f>ROUND(ROUND(L175, 2)*K175, 2)</f>
        <v>1636.2</v>
      </c>
      <c r="P175" s="29"/>
      <c r="Q175" s="29"/>
      <c r="R175" s="28">
        <v>16.96</v>
      </c>
      <c r="S175" s="29"/>
      <c r="T175" s="29"/>
      <c r="U175" s="28">
        <f>ROUND(ROUND(R175, 2)*K175, 2)</f>
        <v>1636.2</v>
      </c>
      <c r="V175" s="29"/>
      <c r="W175" s="30"/>
    </row>
    <row r="176" spans="1:23" ht="72" x14ac:dyDescent="0.35">
      <c r="A176" s="20" t="s">
        <v>325</v>
      </c>
      <c r="B176" s="20"/>
      <c r="C176" s="25" t="s">
        <v>326</v>
      </c>
      <c r="D176" s="22"/>
      <c r="E176" s="22" t="s">
        <v>327</v>
      </c>
      <c r="F176" s="26" t="s">
        <v>84</v>
      </c>
      <c r="G176" s="27">
        <v>1.84</v>
      </c>
      <c r="H176" s="132"/>
      <c r="I176" s="171"/>
      <c r="J176" s="142"/>
      <c r="K176" s="110">
        <v>253.589</v>
      </c>
      <c r="L176" s="63">
        <v>196</v>
      </c>
      <c r="M176" s="29"/>
      <c r="N176" s="91"/>
      <c r="O176" s="63">
        <f>ROUND(ROUND(L176, 2)*K176, 2)</f>
        <v>49703.44</v>
      </c>
      <c r="P176" s="29"/>
      <c r="Q176" s="29"/>
      <c r="R176" s="28">
        <v>196</v>
      </c>
      <c r="S176" s="29"/>
      <c r="T176" s="29"/>
      <c r="U176" s="28">
        <f>ROUND(ROUND(R176, 2)*K176, 2)</f>
        <v>49703.44</v>
      </c>
      <c r="V176" s="29"/>
      <c r="W176" s="30"/>
    </row>
    <row r="177" spans="1:23" ht="54" x14ac:dyDescent="0.35">
      <c r="A177" s="20" t="s">
        <v>328</v>
      </c>
      <c r="B177" s="20"/>
      <c r="C177" s="25" t="s">
        <v>329</v>
      </c>
      <c r="D177" s="22"/>
      <c r="E177" s="22" t="s">
        <v>330</v>
      </c>
      <c r="F177" s="26" t="s">
        <v>58</v>
      </c>
      <c r="G177" s="27">
        <v>0.04</v>
      </c>
      <c r="H177" s="132"/>
      <c r="I177" s="171"/>
      <c r="J177" s="142"/>
      <c r="K177" s="99">
        <v>5.5129999999999999</v>
      </c>
      <c r="L177" s="63">
        <v>47.44</v>
      </c>
      <c r="M177" s="29"/>
      <c r="N177" s="91"/>
      <c r="O177" s="63">
        <f>ROUND(ROUND(L177, 2)*K177, 2)</f>
        <v>261.54000000000002</v>
      </c>
      <c r="P177" s="29"/>
      <c r="Q177" s="29"/>
      <c r="R177" s="28">
        <v>47.44</v>
      </c>
      <c r="S177" s="29"/>
      <c r="T177" s="29"/>
      <c r="U177" s="28">
        <f>ROUND(ROUND(R177, 2)*K177, 2)</f>
        <v>261.54000000000002</v>
      </c>
      <c r="V177" s="29"/>
      <c r="W177" s="30"/>
    </row>
    <row r="178" spans="1:23" ht="36" x14ac:dyDescent="0.35">
      <c r="A178" s="20" t="s">
        <v>331</v>
      </c>
      <c r="B178" s="20"/>
      <c r="C178" s="25" t="s">
        <v>235</v>
      </c>
      <c r="D178" s="22"/>
      <c r="E178" s="22"/>
      <c r="F178" s="26" t="s">
        <v>58</v>
      </c>
      <c r="G178" s="27">
        <v>1.4999999999999999E-2</v>
      </c>
      <c r="H178" s="132"/>
      <c r="I178" s="171"/>
      <c r="J178" s="142"/>
      <c r="K178" s="99">
        <v>2.0670000000000002</v>
      </c>
      <c r="L178" s="63">
        <v>88.8</v>
      </c>
      <c r="M178" s="29"/>
      <c r="N178" s="91"/>
      <c r="O178" s="63">
        <f>ROUND(ROUND(L178, 2)*K178, 2)</f>
        <v>183.55</v>
      </c>
      <c r="P178" s="29"/>
      <c r="Q178" s="29"/>
      <c r="R178" s="28">
        <v>88.8</v>
      </c>
      <c r="S178" s="29"/>
      <c r="T178" s="29"/>
      <c r="U178" s="28">
        <f>ROUND(ROUND(R178, 2)*K178, 2)</f>
        <v>183.55</v>
      </c>
      <c r="V178" s="29"/>
      <c r="W178" s="30"/>
    </row>
    <row r="179" spans="1:23" ht="36" x14ac:dyDescent="0.35">
      <c r="A179" s="20" t="s">
        <v>332</v>
      </c>
      <c r="B179" s="20" t="s">
        <v>321</v>
      </c>
      <c r="C179" s="21" t="s">
        <v>322</v>
      </c>
      <c r="D179" s="22"/>
      <c r="E179" s="22" t="s">
        <v>63</v>
      </c>
      <c r="F179" s="22" t="s">
        <v>67</v>
      </c>
      <c r="G179" s="23">
        <v>1</v>
      </c>
      <c r="H179" s="131"/>
      <c r="I179" s="171"/>
      <c r="J179" s="142"/>
      <c r="K179" s="98">
        <v>23.84</v>
      </c>
      <c r="L179" s="62">
        <f>IFERROR(ROUND(SUM(O180,O181,O182,O183)/K179, 2),0)</f>
        <v>844.86</v>
      </c>
      <c r="M179" s="80">
        <v>473</v>
      </c>
      <c r="N179" s="90">
        <f>L179+ROUND(M179, 2)</f>
        <v>1317.8600000000001</v>
      </c>
      <c r="O179" s="62">
        <f>ROUND(L179*K179, 2)</f>
        <v>20141.46</v>
      </c>
      <c r="P179" s="24">
        <f>ROUND(K179*ROUND(M179, 2), 2)</f>
        <v>11276.32</v>
      </c>
      <c r="Q179" s="24">
        <f>O179+P179</f>
        <v>31417.78</v>
      </c>
      <c r="R179" s="24">
        <f>IFERROR(ROUND(SUM(U180,U181,U182,U183)/K179, 2),0)</f>
        <v>844.86</v>
      </c>
      <c r="S179" s="24">
        <v>473</v>
      </c>
      <c r="T179" s="24">
        <f>R179+ROUND(S179, 2)</f>
        <v>1317.8600000000001</v>
      </c>
      <c r="U179" s="24">
        <f>ROUND(R179*K179, 2)</f>
        <v>20141.46</v>
      </c>
      <c r="V179" s="24">
        <f>ROUND(K179*ROUND(S179, 2), 2)</f>
        <v>11276.32</v>
      </c>
      <c r="W179" s="24">
        <f>U179+V179</f>
        <v>31417.78</v>
      </c>
    </row>
    <row r="180" spans="1:23" ht="36" x14ac:dyDescent="0.35">
      <c r="A180" s="20" t="s">
        <v>333</v>
      </c>
      <c r="B180" s="20"/>
      <c r="C180" s="25" t="s">
        <v>235</v>
      </c>
      <c r="D180" s="22"/>
      <c r="E180" s="22"/>
      <c r="F180" s="26" t="s">
        <v>58</v>
      </c>
      <c r="G180" s="27">
        <v>1.4999999999999999E-2</v>
      </c>
      <c r="H180" s="132"/>
      <c r="I180" s="171"/>
      <c r="J180" s="142"/>
      <c r="K180" s="99">
        <v>0.35799999999999998</v>
      </c>
      <c r="L180" s="63">
        <v>88.8</v>
      </c>
      <c r="M180" s="29"/>
      <c r="N180" s="91"/>
      <c r="O180" s="63">
        <f>ROUND(ROUND(L180, 2)*K180, 2)</f>
        <v>31.79</v>
      </c>
      <c r="P180" s="29"/>
      <c r="Q180" s="29"/>
      <c r="R180" s="28">
        <v>88.8</v>
      </c>
      <c r="S180" s="29"/>
      <c r="T180" s="29"/>
      <c r="U180" s="28">
        <f>ROUND(ROUND(R180, 2)*K180, 2)</f>
        <v>31.79</v>
      </c>
      <c r="V180" s="29"/>
      <c r="W180" s="30"/>
    </row>
    <row r="181" spans="1:23" ht="20" x14ac:dyDescent="0.35">
      <c r="A181" s="20" t="s">
        <v>334</v>
      </c>
      <c r="B181" s="20"/>
      <c r="C181" s="25" t="s">
        <v>329</v>
      </c>
      <c r="D181" s="22"/>
      <c r="E181" s="22"/>
      <c r="F181" s="26" t="s">
        <v>58</v>
      </c>
      <c r="G181" s="27">
        <v>0.04</v>
      </c>
      <c r="H181" s="132"/>
      <c r="I181" s="171"/>
      <c r="J181" s="142"/>
      <c r="K181" s="99">
        <v>0.95399999999999996</v>
      </c>
      <c r="L181" s="63">
        <v>47.44</v>
      </c>
      <c r="M181" s="29"/>
      <c r="N181" s="91"/>
      <c r="O181" s="63">
        <f>ROUND(ROUND(L181, 2)*K181, 2)</f>
        <v>45.26</v>
      </c>
      <c r="P181" s="29"/>
      <c r="Q181" s="29"/>
      <c r="R181" s="28">
        <v>47.44</v>
      </c>
      <c r="S181" s="29"/>
      <c r="T181" s="29"/>
      <c r="U181" s="28">
        <f>ROUND(ROUND(R181, 2)*K181, 2)</f>
        <v>45.26</v>
      </c>
      <c r="V181" s="29"/>
      <c r="W181" s="30"/>
    </row>
    <row r="182" spans="1:23" ht="90" x14ac:dyDescent="0.35">
      <c r="A182" s="20" t="s">
        <v>335</v>
      </c>
      <c r="B182" s="20"/>
      <c r="C182" s="25" t="s">
        <v>336</v>
      </c>
      <c r="D182" s="22"/>
      <c r="E182" s="22" t="s">
        <v>337</v>
      </c>
      <c r="F182" s="26" t="s">
        <v>84</v>
      </c>
      <c r="G182" s="27">
        <v>1.84</v>
      </c>
      <c r="H182" s="132"/>
      <c r="I182" s="171"/>
      <c r="J182" s="142"/>
      <c r="K182" s="110">
        <v>43.866</v>
      </c>
      <c r="L182" s="63">
        <v>450.95</v>
      </c>
      <c r="M182" s="29"/>
      <c r="N182" s="91"/>
      <c r="O182" s="63">
        <f>ROUND(ROUND(L182, 2)*K182, 2)</f>
        <v>19781.37</v>
      </c>
      <c r="P182" s="29"/>
      <c r="Q182" s="29"/>
      <c r="R182" s="28">
        <v>450.95</v>
      </c>
      <c r="S182" s="29"/>
      <c r="T182" s="29"/>
      <c r="U182" s="28">
        <f>ROUND(ROUND(R182, 2)*K182, 2)</f>
        <v>19781.37</v>
      </c>
      <c r="V182" s="29"/>
      <c r="W182" s="30"/>
    </row>
    <row r="183" spans="1:23" ht="54" x14ac:dyDescent="0.35">
      <c r="A183" s="20" t="s">
        <v>338</v>
      </c>
      <c r="B183" s="20"/>
      <c r="C183" s="14" t="s">
        <v>324</v>
      </c>
      <c r="D183" s="22"/>
      <c r="E183" s="22" t="s">
        <v>220</v>
      </c>
      <c r="F183" s="26" t="s">
        <v>58</v>
      </c>
      <c r="G183" s="27">
        <v>0.7</v>
      </c>
      <c r="H183" s="132"/>
      <c r="I183" s="171"/>
      <c r="J183" s="142"/>
      <c r="K183" s="110">
        <v>16.687999999999999</v>
      </c>
      <c r="L183" s="63">
        <v>16.96</v>
      </c>
      <c r="M183" s="29"/>
      <c r="N183" s="91"/>
      <c r="O183" s="63">
        <f>ROUND(ROUND(L183, 2)*K183, 2)</f>
        <v>283.02999999999997</v>
      </c>
      <c r="P183" s="29"/>
      <c r="Q183" s="29"/>
      <c r="R183" s="28">
        <v>16.96</v>
      </c>
      <c r="S183" s="29"/>
      <c r="T183" s="29"/>
      <c r="U183" s="28">
        <f>ROUND(ROUND(R183, 2)*K183, 2)</f>
        <v>283.02999999999997</v>
      </c>
      <c r="V183" s="29"/>
      <c r="W183" s="30"/>
    </row>
    <row r="184" spans="1:23" ht="36" x14ac:dyDescent="0.35">
      <c r="A184" s="20" t="s">
        <v>339</v>
      </c>
      <c r="B184" s="20" t="s">
        <v>321</v>
      </c>
      <c r="C184" s="21" t="s">
        <v>322</v>
      </c>
      <c r="D184" s="22"/>
      <c r="E184" s="22" t="s">
        <v>274</v>
      </c>
      <c r="F184" s="22" t="s">
        <v>67</v>
      </c>
      <c r="G184" s="23">
        <v>1</v>
      </c>
      <c r="H184" s="131"/>
      <c r="I184" s="171"/>
      <c r="J184" s="142"/>
      <c r="K184" s="98">
        <v>216.92</v>
      </c>
      <c r="L184" s="62">
        <f>IFERROR(ROUND(SUM(O185,O186,O187,O188)/K184, 2),0)</f>
        <v>375.74</v>
      </c>
      <c r="M184" s="80">
        <v>473</v>
      </c>
      <c r="N184" s="90">
        <f>L184+ROUND(M184, 2)</f>
        <v>848.74</v>
      </c>
      <c r="O184" s="62">
        <f>ROUND(L184*K184, 2)</f>
        <v>81505.52</v>
      </c>
      <c r="P184" s="24">
        <f>ROUND(K184*ROUND(M184, 2), 2)</f>
        <v>102603.16</v>
      </c>
      <c r="Q184" s="24">
        <f>O184+P184</f>
        <v>184108.68</v>
      </c>
      <c r="R184" s="24">
        <f>IFERROR(ROUND(SUM(U185,U186,U187,U188)/K184, 2),0)</f>
        <v>375.74</v>
      </c>
      <c r="S184" s="24">
        <v>473</v>
      </c>
      <c r="T184" s="24">
        <f>R184+ROUND(S184, 2)</f>
        <v>848.74</v>
      </c>
      <c r="U184" s="24">
        <f>ROUND(R184*K184, 2)</f>
        <v>81505.52</v>
      </c>
      <c r="V184" s="24">
        <f>ROUND(K184*ROUND(S184, 2), 2)</f>
        <v>102603.16</v>
      </c>
      <c r="W184" s="24">
        <f>U184+V184</f>
        <v>184108.68</v>
      </c>
    </row>
    <row r="185" spans="1:23" ht="36" x14ac:dyDescent="0.35">
      <c r="A185" s="20" t="s">
        <v>340</v>
      </c>
      <c r="B185" s="20"/>
      <c r="C185" s="25" t="s">
        <v>235</v>
      </c>
      <c r="D185" s="22"/>
      <c r="E185" s="22"/>
      <c r="F185" s="26" t="s">
        <v>58</v>
      </c>
      <c r="G185" s="27">
        <v>1.4999999999999999E-2</v>
      </c>
      <c r="H185" s="132"/>
      <c r="I185" s="171"/>
      <c r="J185" s="142"/>
      <c r="K185" s="99">
        <v>3.254</v>
      </c>
      <c r="L185" s="63">
        <v>88.8</v>
      </c>
      <c r="M185" s="29"/>
      <c r="N185" s="91"/>
      <c r="O185" s="63">
        <f>ROUND(ROUND(L185, 2)*K185, 2)</f>
        <v>288.95999999999998</v>
      </c>
      <c r="P185" s="29"/>
      <c r="Q185" s="29"/>
      <c r="R185" s="28">
        <v>88.8</v>
      </c>
      <c r="S185" s="29"/>
      <c r="T185" s="29"/>
      <c r="U185" s="28">
        <f>ROUND(ROUND(R185, 2)*K185, 2)</f>
        <v>288.95999999999998</v>
      </c>
      <c r="V185" s="29"/>
      <c r="W185" s="30"/>
    </row>
    <row r="186" spans="1:23" ht="54" x14ac:dyDescent="0.35">
      <c r="A186" s="20" t="s">
        <v>341</v>
      </c>
      <c r="B186" s="20"/>
      <c r="C186" s="25" t="s">
        <v>329</v>
      </c>
      <c r="D186" s="22"/>
      <c r="E186" s="22" t="s">
        <v>342</v>
      </c>
      <c r="F186" s="26" t="s">
        <v>58</v>
      </c>
      <c r="G186" s="27">
        <v>0.04</v>
      </c>
      <c r="H186" s="132"/>
      <c r="I186" s="171"/>
      <c r="J186" s="142"/>
      <c r="K186" s="99">
        <v>8.6769999999999996</v>
      </c>
      <c r="L186" s="63">
        <v>47.44</v>
      </c>
      <c r="M186" s="29"/>
      <c r="N186" s="91"/>
      <c r="O186" s="63">
        <f>ROUND(ROUND(L186, 2)*K186, 2)</f>
        <v>411.64</v>
      </c>
      <c r="P186" s="29"/>
      <c r="Q186" s="29"/>
      <c r="R186" s="28">
        <v>47.44</v>
      </c>
      <c r="S186" s="29"/>
      <c r="T186" s="29"/>
      <c r="U186" s="28">
        <f>ROUND(ROUND(R186, 2)*K186, 2)</f>
        <v>411.64</v>
      </c>
      <c r="V186" s="29"/>
      <c r="W186" s="30"/>
    </row>
    <row r="187" spans="1:23" ht="54" x14ac:dyDescent="0.35">
      <c r="A187" s="20" t="s">
        <v>343</v>
      </c>
      <c r="B187" s="20"/>
      <c r="C187" s="25" t="s">
        <v>326</v>
      </c>
      <c r="D187" s="22"/>
      <c r="E187" s="22" t="s">
        <v>344</v>
      </c>
      <c r="F187" s="26" t="s">
        <v>84</v>
      </c>
      <c r="G187" s="27">
        <v>1.84</v>
      </c>
      <c r="H187" s="132"/>
      <c r="I187" s="171"/>
      <c r="J187" s="142"/>
      <c r="K187" s="110">
        <v>399.13299999999998</v>
      </c>
      <c r="L187" s="63">
        <v>196</v>
      </c>
      <c r="M187" s="29"/>
      <c r="N187" s="91"/>
      <c r="O187" s="63">
        <f>ROUND(ROUND(L187, 2)*K187, 2)</f>
        <v>78230.070000000007</v>
      </c>
      <c r="P187" s="29"/>
      <c r="Q187" s="29"/>
      <c r="R187" s="28">
        <v>196</v>
      </c>
      <c r="S187" s="29"/>
      <c r="T187" s="29"/>
      <c r="U187" s="28">
        <f>ROUND(ROUND(R187, 2)*K187, 2)</f>
        <v>78230.070000000007</v>
      </c>
      <c r="V187" s="29"/>
      <c r="W187" s="30"/>
    </row>
    <row r="188" spans="1:23" ht="72" x14ac:dyDescent="0.35">
      <c r="A188" s="20" t="s">
        <v>345</v>
      </c>
      <c r="B188" s="20"/>
      <c r="C188" s="14" t="s">
        <v>324</v>
      </c>
      <c r="D188" s="22"/>
      <c r="E188" s="22" t="s">
        <v>346</v>
      </c>
      <c r="F188" s="26" t="s">
        <v>58</v>
      </c>
      <c r="G188" s="27">
        <v>0.7</v>
      </c>
      <c r="H188" s="132"/>
      <c r="I188" s="171"/>
      <c r="J188" s="142"/>
      <c r="K188" s="110">
        <v>151.84399999999999</v>
      </c>
      <c r="L188" s="63">
        <v>16.96</v>
      </c>
      <c r="M188" s="29"/>
      <c r="N188" s="91"/>
      <c r="O188" s="63">
        <f>ROUND(ROUND(L188, 2)*K188, 2)</f>
        <v>2575.27</v>
      </c>
      <c r="P188" s="29"/>
      <c r="Q188" s="29"/>
      <c r="R188" s="28">
        <v>16.96</v>
      </c>
      <c r="S188" s="29"/>
      <c r="T188" s="29"/>
      <c r="U188" s="28">
        <f>ROUND(ROUND(R188, 2)*K188, 2)</f>
        <v>2575.27</v>
      </c>
      <c r="V188" s="29"/>
      <c r="W188" s="30"/>
    </row>
    <row r="189" spans="1:23" ht="54" x14ac:dyDescent="0.35">
      <c r="A189" s="20" t="s">
        <v>347</v>
      </c>
      <c r="B189" s="20" t="s">
        <v>348</v>
      </c>
      <c r="C189" s="21" t="s">
        <v>349</v>
      </c>
      <c r="D189" s="22"/>
      <c r="E189" s="22" t="s">
        <v>350</v>
      </c>
      <c r="F189" s="22" t="s">
        <v>55</v>
      </c>
      <c r="G189" s="23">
        <v>1</v>
      </c>
      <c r="H189" s="131"/>
      <c r="I189" s="171"/>
      <c r="J189" s="142"/>
      <c r="K189" s="98">
        <v>25.81</v>
      </c>
      <c r="L189" s="62">
        <f>IFERROR(ROUND(SUM(O190,O191,O192,O193)/K189, 2),0)</f>
        <v>1520.2</v>
      </c>
      <c r="M189" s="80">
        <v>1655</v>
      </c>
      <c r="N189" s="90">
        <f>L189+ROUND(M189, 2)</f>
        <v>3175.2</v>
      </c>
      <c r="O189" s="62">
        <f>ROUND(L189*K189, 2)</f>
        <v>39236.36</v>
      </c>
      <c r="P189" s="24">
        <f>ROUND(K189*ROUND(M189, 2), 2)</f>
        <v>42715.55</v>
      </c>
      <c r="Q189" s="24">
        <f>O189+P189</f>
        <v>81951.91</v>
      </c>
      <c r="R189" s="24">
        <f>IFERROR(ROUND(SUM(U190,U191,U192,U193)/K189, 2),0)</f>
        <v>1520.2</v>
      </c>
      <c r="S189" s="24">
        <v>1655</v>
      </c>
      <c r="T189" s="24">
        <f>R189+ROUND(S189, 2)</f>
        <v>3175.2</v>
      </c>
      <c r="U189" s="24">
        <f>ROUND(R189*K189, 2)</f>
        <v>39236.36</v>
      </c>
      <c r="V189" s="24">
        <f>ROUND(K189*ROUND(S189, 2), 2)</f>
        <v>42715.55</v>
      </c>
      <c r="W189" s="24">
        <f>U189+V189</f>
        <v>81951.91</v>
      </c>
    </row>
    <row r="190" spans="1:23" ht="54" x14ac:dyDescent="0.35">
      <c r="A190" s="20" t="s">
        <v>351</v>
      </c>
      <c r="B190" s="20"/>
      <c r="C190" s="14" t="s">
        <v>219</v>
      </c>
      <c r="D190" s="22"/>
      <c r="E190" s="22" t="s">
        <v>220</v>
      </c>
      <c r="F190" s="26" t="s">
        <v>58</v>
      </c>
      <c r="G190" s="27">
        <v>7</v>
      </c>
      <c r="H190" s="132"/>
      <c r="I190" s="171"/>
      <c r="J190" s="142"/>
      <c r="K190" s="99">
        <v>180.67</v>
      </c>
      <c r="L190" s="63">
        <v>16.96</v>
      </c>
      <c r="M190" s="29"/>
      <c r="N190" s="91"/>
      <c r="O190" s="63">
        <f>ROUND(ROUND(L190, 2)*K190, 2)</f>
        <v>3064.16</v>
      </c>
      <c r="P190" s="29"/>
      <c r="Q190" s="29"/>
      <c r="R190" s="28">
        <v>16.96</v>
      </c>
      <c r="S190" s="29"/>
      <c r="T190" s="29"/>
      <c r="U190" s="28">
        <f>ROUND(ROUND(R190, 2)*K190, 2)</f>
        <v>3064.16</v>
      </c>
      <c r="V190" s="29"/>
      <c r="W190" s="30"/>
    </row>
    <row r="191" spans="1:23" ht="20" x14ac:dyDescent="0.35">
      <c r="A191" s="20" t="s">
        <v>352</v>
      </c>
      <c r="B191" s="20"/>
      <c r="C191" s="25" t="s">
        <v>329</v>
      </c>
      <c r="D191" s="22"/>
      <c r="E191" s="22"/>
      <c r="F191" s="26" t="s">
        <v>58</v>
      </c>
      <c r="G191" s="27">
        <v>0.25</v>
      </c>
      <c r="H191" s="132"/>
      <c r="I191" s="171"/>
      <c r="J191" s="142"/>
      <c r="K191" s="110">
        <v>6.4530000000000003</v>
      </c>
      <c r="L191" s="63">
        <v>47.44</v>
      </c>
      <c r="M191" s="29"/>
      <c r="N191" s="91"/>
      <c r="O191" s="63">
        <f>ROUND(ROUND(L191, 2)*K191, 2)</f>
        <v>306.13</v>
      </c>
      <c r="P191" s="29"/>
      <c r="Q191" s="29"/>
      <c r="R191" s="28">
        <v>47.44</v>
      </c>
      <c r="S191" s="29"/>
      <c r="T191" s="29"/>
      <c r="U191" s="28">
        <f>ROUND(ROUND(R191, 2)*K191, 2)</f>
        <v>306.13</v>
      </c>
      <c r="V191" s="29"/>
      <c r="W191" s="30"/>
    </row>
    <row r="192" spans="1:23" ht="36" x14ac:dyDescent="0.35">
      <c r="A192" s="20" t="s">
        <v>353</v>
      </c>
      <c r="B192" s="20"/>
      <c r="C192" s="25" t="s">
        <v>235</v>
      </c>
      <c r="D192" s="22"/>
      <c r="E192" s="22"/>
      <c r="F192" s="26" t="s">
        <v>58</v>
      </c>
      <c r="G192" s="27">
        <v>0.15</v>
      </c>
      <c r="H192" s="132"/>
      <c r="I192" s="171"/>
      <c r="J192" s="142"/>
      <c r="K192" s="99">
        <v>3.8719999999999999</v>
      </c>
      <c r="L192" s="63">
        <v>88.8</v>
      </c>
      <c r="M192" s="29"/>
      <c r="N192" s="91"/>
      <c r="O192" s="63">
        <f>ROUND(ROUND(L192, 2)*K192, 2)</f>
        <v>343.83</v>
      </c>
      <c r="P192" s="29"/>
      <c r="Q192" s="29"/>
      <c r="R192" s="28">
        <v>88.8</v>
      </c>
      <c r="S192" s="29"/>
      <c r="T192" s="29"/>
      <c r="U192" s="28">
        <f>ROUND(ROUND(R192, 2)*K192, 2)</f>
        <v>343.83</v>
      </c>
      <c r="V192" s="29"/>
      <c r="W192" s="30"/>
    </row>
    <row r="193" spans="1:23" ht="54" x14ac:dyDescent="0.35">
      <c r="A193" s="20" t="s">
        <v>354</v>
      </c>
      <c r="B193" s="20"/>
      <c r="C193" s="14" t="s">
        <v>355</v>
      </c>
      <c r="D193" s="22"/>
      <c r="E193" s="22" t="s">
        <v>356</v>
      </c>
      <c r="F193" s="26" t="s">
        <v>55</v>
      </c>
      <c r="G193" s="27">
        <v>1.07</v>
      </c>
      <c r="H193" s="132"/>
      <c r="I193" s="171"/>
      <c r="J193" s="142"/>
      <c r="K193" s="110">
        <v>27.617000000000001</v>
      </c>
      <c r="L193" s="63">
        <v>1286.25</v>
      </c>
      <c r="M193" s="29"/>
      <c r="N193" s="91"/>
      <c r="O193" s="63">
        <f>ROUND(ROUND(L193, 2)*K193, 2)</f>
        <v>35522.370000000003</v>
      </c>
      <c r="P193" s="29"/>
      <c r="Q193" s="29"/>
      <c r="R193" s="28">
        <v>1286.25</v>
      </c>
      <c r="S193" s="29"/>
      <c r="T193" s="29"/>
      <c r="U193" s="28">
        <f>ROUND(ROUND(R193, 2)*K193, 2)</f>
        <v>35522.370000000003</v>
      </c>
      <c r="V193" s="29"/>
      <c r="W193" s="30"/>
    </row>
    <row r="194" spans="1:23" ht="54" x14ac:dyDescent="0.35">
      <c r="A194" s="20" t="s">
        <v>357</v>
      </c>
      <c r="B194" s="20" t="s">
        <v>348</v>
      </c>
      <c r="C194" s="21" t="s">
        <v>349</v>
      </c>
      <c r="D194" s="22"/>
      <c r="E194" s="22" t="s">
        <v>358</v>
      </c>
      <c r="F194" s="22" t="s">
        <v>55</v>
      </c>
      <c r="G194" s="23">
        <v>1</v>
      </c>
      <c r="H194" s="131"/>
      <c r="I194" s="171"/>
      <c r="J194" s="142"/>
      <c r="K194" s="98">
        <v>46.37</v>
      </c>
      <c r="L194" s="62">
        <f>IFERROR(ROUND(SUM(O195,O196,O197,O198)/K194, 2),0)</f>
        <v>1625.8</v>
      </c>
      <c r="M194" s="80">
        <v>1655</v>
      </c>
      <c r="N194" s="90">
        <f>L194+ROUND(M194, 2)</f>
        <v>3280.8</v>
      </c>
      <c r="O194" s="62">
        <f>ROUND(L194*K194, 2)</f>
        <v>75388.350000000006</v>
      </c>
      <c r="P194" s="24">
        <f>ROUND(K194*ROUND(M194, 2), 2)</f>
        <v>76742.350000000006</v>
      </c>
      <c r="Q194" s="24">
        <f>O194+P194</f>
        <v>152130.70000000001</v>
      </c>
      <c r="R194" s="24">
        <f>IFERROR(ROUND(SUM(U195,U196,U197,U198)/K194, 2),0)</f>
        <v>1625.8</v>
      </c>
      <c r="S194" s="24">
        <v>1655</v>
      </c>
      <c r="T194" s="24">
        <f>R194+ROUND(S194, 2)</f>
        <v>3280.8</v>
      </c>
      <c r="U194" s="24">
        <f>ROUND(R194*K194, 2)</f>
        <v>75388.350000000006</v>
      </c>
      <c r="V194" s="24">
        <f>ROUND(K194*ROUND(S194, 2), 2)</f>
        <v>76742.350000000006</v>
      </c>
      <c r="W194" s="24">
        <f>U194+V194</f>
        <v>152130.70000000001</v>
      </c>
    </row>
    <row r="195" spans="1:23" ht="54" x14ac:dyDescent="0.35">
      <c r="A195" s="20" t="s">
        <v>359</v>
      </c>
      <c r="B195" s="20"/>
      <c r="C195" s="14" t="s">
        <v>360</v>
      </c>
      <c r="D195" s="22"/>
      <c r="E195" s="22" t="s">
        <v>361</v>
      </c>
      <c r="F195" s="26" t="s">
        <v>55</v>
      </c>
      <c r="G195" s="27">
        <v>1.07</v>
      </c>
      <c r="H195" s="132"/>
      <c r="I195" s="171"/>
      <c r="J195" s="142"/>
      <c r="K195" s="110">
        <v>49.616</v>
      </c>
      <c r="L195" s="63">
        <v>1384.95</v>
      </c>
      <c r="M195" s="29"/>
      <c r="N195" s="91"/>
      <c r="O195" s="63">
        <f>ROUND(ROUND(L195, 2)*K195, 2)</f>
        <v>68715.679999999993</v>
      </c>
      <c r="P195" s="29"/>
      <c r="Q195" s="29"/>
      <c r="R195" s="28">
        <v>1384.95</v>
      </c>
      <c r="S195" s="29"/>
      <c r="T195" s="29"/>
      <c r="U195" s="28">
        <f>ROUND(ROUND(R195, 2)*K195, 2)</f>
        <v>68715.679999999993</v>
      </c>
      <c r="V195" s="29"/>
      <c r="W195" s="30"/>
    </row>
    <row r="196" spans="1:23" ht="36" x14ac:dyDescent="0.35">
      <c r="A196" s="20" t="s">
        <v>362</v>
      </c>
      <c r="B196" s="20"/>
      <c r="C196" s="25" t="s">
        <v>235</v>
      </c>
      <c r="D196" s="22"/>
      <c r="E196" s="22"/>
      <c r="F196" s="26" t="s">
        <v>58</v>
      </c>
      <c r="G196" s="27">
        <v>0.15</v>
      </c>
      <c r="H196" s="132"/>
      <c r="I196" s="171"/>
      <c r="J196" s="142"/>
      <c r="K196" s="99">
        <v>6.9560000000000004</v>
      </c>
      <c r="L196" s="63">
        <v>88.8</v>
      </c>
      <c r="M196" s="29"/>
      <c r="N196" s="91"/>
      <c r="O196" s="63">
        <f>ROUND(ROUND(L196, 2)*K196, 2)</f>
        <v>617.69000000000005</v>
      </c>
      <c r="P196" s="29"/>
      <c r="Q196" s="29"/>
      <c r="R196" s="28">
        <v>88.8</v>
      </c>
      <c r="S196" s="29"/>
      <c r="T196" s="29"/>
      <c r="U196" s="28">
        <f>ROUND(ROUND(R196, 2)*K196, 2)</f>
        <v>617.69000000000005</v>
      </c>
      <c r="V196" s="29"/>
      <c r="W196" s="30"/>
    </row>
    <row r="197" spans="1:23" ht="20" x14ac:dyDescent="0.35">
      <c r="A197" s="20" t="s">
        <v>363</v>
      </c>
      <c r="B197" s="20"/>
      <c r="C197" s="25" t="s">
        <v>329</v>
      </c>
      <c r="D197" s="22"/>
      <c r="E197" s="22"/>
      <c r="F197" s="26" t="s">
        <v>58</v>
      </c>
      <c r="G197" s="27">
        <v>0.25</v>
      </c>
      <c r="H197" s="132"/>
      <c r="I197" s="171"/>
      <c r="J197" s="142"/>
      <c r="K197" s="110">
        <v>11.593</v>
      </c>
      <c r="L197" s="63">
        <v>47.44</v>
      </c>
      <c r="M197" s="29"/>
      <c r="N197" s="91"/>
      <c r="O197" s="63">
        <f>ROUND(ROUND(L197, 2)*K197, 2)</f>
        <v>549.97</v>
      </c>
      <c r="P197" s="29"/>
      <c r="Q197" s="29"/>
      <c r="R197" s="28">
        <v>47.44</v>
      </c>
      <c r="S197" s="29"/>
      <c r="T197" s="29"/>
      <c r="U197" s="28">
        <f>ROUND(ROUND(R197, 2)*K197, 2)</f>
        <v>549.97</v>
      </c>
      <c r="V197" s="29"/>
      <c r="W197" s="30"/>
    </row>
    <row r="198" spans="1:23" ht="54" x14ac:dyDescent="0.35">
      <c r="A198" s="20" t="s">
        <v>364</v>
      </c>
      <c r="B198" s="20"/>
      <c r="C198" s="14" t="s">
        <v>219</v>
      </c>
      <c r="D198" s="22"/>
      <c r="E198" s="22" t="s">
        <v>220</v>
      </c>
      <c r="F198" s="26" t="s">
        <v>58</v>
      </c>
      <c r="G198" s="27">
        <v>7</v>
      </c>
      <c r="H198" s="132"/>
      <c r="I198" s="171"/>
      <c r="J198" s="142"/>
      <c r="K198" s="99">
        <v>324.58999999999997</v>
      </c>
      <c r="L198" s="63">
        <v>16.96</v>
      </c>
      <c r="M198" s="29"/>
      <c r="N198" s="91"/>
      <c r="O198" s="63">
        <f>ROUND(ROUND(L198, 2)*K198, 2)</f>
        <v>5505.05</v>
      </c>
      <c r="P198" s="29"/>
      <c r="Q198" s="29"/>
      <c r="R198" s="28">
        <v>16.96</v>
      </c>
      <c r="S198" s="29"/>
      <c r="T198" s="29"/>
      <c r="U198" s="28">
        <f>ROUND(ROUND(R198, 2)*K198, 2)</f>
        <v>5505.05</v>
      </c>
      <c r="V198" s="29"/>
      <c r="W198" s="30"/>
    </row>
    <row r="199" spans="1:23" ht="54" x14ac:dyDescent="0.35">
      <c r="A199" s="20" t="s">
        <v>365</v>
      </c>
      <c r="B199" s="20" t="s">
        <v>366</v>
      </c>
      <c r="C199" s="21" t="s">
        <v>367</v>
      </c>
      <c r="D199" s="22"/>
      <c r="E199" s="22" t="s">
        <v>368</v>
      </c>
      <c r="F199" s="22" t="s">
        <v>55</v>
      </c>
      <c r="G199" s="23">
        <v>1</v>
      </c>
      <c r="H199" s="131"/>
      <c r="I199" s="171"/>
      <c r="J199" s="142"/>
      <c r="K199" s="98">
        <v>335.84</v>
      </c>
      <c r="L199" s="62">
        <f>IFERROR(ROUND(SUM(O200,O201,O202,O203)/K199, 2),0)</f>
        <v>2235.0700000000002</v>
      </c>
      <c r="M199" s="80">
        <v>2785</v>
      </c>
      <c r="N199" s="90">
        <f>L199+ROUND(M199, 2)</f>
        <v>5020.07</v>
      </c>
      <c r="O199" s="62">
        <f>ROUND(L199*K199, 2)</f>
        <v>750625.91</v>
      </c>
      <c r="P199" s="24">
        <f>ROUND(K199*ROUND(M199, 2), 2)</f>
        <v>935314.4</v>
      </c>
      <c r="Q199" s="24">
        <f>O199+P199</f>
        <v>1685940.31</v>
      </c>
      <c r="R199" s="24">
        <f>IFERROR(ROUND(SUM(U200,U201,U202,U203)/K199, 2),0)</f>
        <v>2235.0700000000002</v>
      </c>
      <c r="S199" s="24">
        <v>2785</v>
      </c>
      <c r="T199" s="24">
        <f>R199+ROUND(S199, 2)</f>
        <v>5020.07</v>
      </c>
      <c r="U199" s="24">
        <f>ROUND(R199*K199, 2)</f>
        <v>750625.91</v>
      </c>
      <c r="V199" s="24">
        <f>ROUND(K199*ROUND(S199, 2), 2)</f>
        <v>935314.4</v>
      </c>
      <c r="W199" s="24">
        <f>U199+V199</f>
        <v>1685940.31</v>
      </c>
    </row>
    <row r="200" spans="1:23" ht="54" x14ac:dyDescent="0.35">
      <c r="A200" s="20" t="s">
        <v>369</v>
      </c>
      <c r="B200" s="20"/>
      <c r="C200" s="14" t="s">
        <v>370</v>
      </c>
      <c r="D200" s="22"/>
      <c r="E200" s="22" t="s">
        <v>220</v>
      </c>
      <c r="F200" s="26" t="s">
        <v>58</v>
      </c>
      <c r="G200" s="27">
        <v>1.2</v>
      </c>
      <c r="H200" s="132"/>
      <c r="I200" s="171"/>
      <c r="J200" s="142"/>
      <c r="K200" s="110">
        <v>806.01599999999996</v>
      </c>
      <c r="L200" s="63">
        <v>16.96</v>
      </c>
      <c r="M200" s="29"/>
      <c r="N200" s="91"/>
      <c r="O200" s="63">
        <f>ROUND(ROUND(L200, 2)*K200, 2)</f>
        <v>13670.03</v>
      </c>
      <c r="P200" s="29"/>
      <c r="Q200" s="29"/>
      <c r="R200" s="28">
        <v>16.96</v>
      </c>
      <c r="S200" s="29"/>
      <c r="T200" s="29"/>
      <c r="U200" s="28">
        <f>ROUND(ROUND(R200, 2)*K200, 2)</f>
        <v>13670.03</v>
      </c>
      <c r="V200" s="29"/>
      <c r="W200" s="30"/>
    </row>
    <row r="201" spans="1:23" ht="72" x14ac:dyDescent="0.35">
      <c r="A201" s="20" t="s">
        <v>371</v>
      </c>
      <c r="B201" s="20"/>
      <c r="C201" s="25" t="s">
        <v>372</v>
      </c>
      <c r="D201" s="22"/>
      <c r="E201" s="22" t="s">
        <v>373</v>
      </c>
      <c r="F201" s="26" t="s">
        <v>55</v>
      </c>
      <c r="G201" s="27">
        <v>1.2</v>
      </c>
      <c r="H201" s="132"/>
      <c r="I201" s="171"/>
      <c r="J201" s="142"/>
      <c r="K201" s="110">
        <v>403.00799999999998</v>
      </c>
      <c r="L201" s="63">
        <v>1809.15</v>
      </c>
      <c r="M201" s="29"/>
      <c r="N201" s="91"/>
      <c r="O201" s="63">
        <f>ROUND(ROUND(L201, 2)*K201, 2)</f>
        <v>729101.92</v>
      </c>
      <c r="P201" s="29"/>
      <c r="Q201" s="29"/>
      <c r="R201" s="28">
        <v>1809.15</v>
      </c>
      <c r="S201" s="29"/>
      <c r="T201" s="29"/>
      <c r="U201" s="28">
        <f>ROUND(ROUND(R201, 2)*K201, 2)</f>
        <v>729101.92</v>
      </c>
      <c r="V201" s="29"/>
      <c r="W201" s="30"/>
    </row>
    <row r="202" spans="1:23" ht="20" x14ac:dyDescent="0.35">
      <c r="A202" s="20" t="s">
        <v>374</v>
      </c>
      <c r="B202" s="20"/>
      <c r="C202" s="25" t="s">
        <v>232</v>
      </c>
      <c r="D202" s="22"/>
      <c r="E202" s="22"/>
      <c r="F202" s="26" t="s">
        <v>58</v>
      </c>
      <c r="G202" s="27">
        <v>0.25</v>
      </c>
      <c r="H202" s="132"/>
      <c r="I202" s="171"/>
      <c r="J202" s="142"/>
      <c r="K202" s="110">
        <v>83.96</v>
      </c>
      <c r="L202" s="63">
        <v>40.270000000000003</v>
      </c>
      <c r="M202" s="29"/>
      <c r="N202" s="91"/>
      <c r="O202" s="63">
        <f>ROUND(ROUND(L202, 2)*K202, 2)</f>
        <v>3381.07</v>
      </c>
      <c r="P202" s="29"/>
      <c r="Q202" s="29"/>
      <c r="R202" s="28">
        <v>40.270000000000003</v>
      </c>
      <c r="S202" s="29"/>
      <c r="T202" s="29"/>
      <c r="U202" s="28">
        <f>ROUND(ROUND(R202, 2)*K202, 2)</f>
        <v>3381.07</v>
      </c>
      <c r="V202" s="29"/>
      <c r="W202" s="30"/>
    </row>
    <row r="203" spans="1:23" ht="36" x14ac:dyDescent="0.35">
      <c r="A203" s="20" t="s">
        <v>375</v>
      </c>
      <c r="B203" s="20"/>
      <c r="C203" s="25" t="s">
        <v>235</v>
      </c>
      <c r="D203" s="22"/>
      <c r="E203" s="22"/>
      <c r="F203" s="26" t="s">
        <v>58</v>
      </c>
      <c r="G203" s="27">
        <v>0.15</v>
      </c>
      <c r="H203" s="132"/>
      <c r="I203" s="171"/>
      <c r="J203" s="142"/>
      <c r="K203" s="99">
        <v>50.375999999999998</v>
      </c>
      <c r="L203" s="63">
        <v>88.8</v>
      </c>
      <c r="M203" s="29"/>
      <c r="N203" s="91"/>
      <c r="O203" s="63">
        <f>ROUND(ROUND(L203, 2)*K203, 2)</f>
        <v>4473.3900000000003</v>
      </c>
      <c r="P203" s="29"/>
      <c r="Q203" s="29"/>
      <c r="R203" s="28">
        <v>88.8</v>
      </c>
      <c r="S203" s="29"/>
      <c r="T203" s="29"/>
      <c r="U203" s="28">
        <f>ROUND(ROUND(R203, 2)*K203, 2)</f>
        <v>4473.3900000000003</v>
      </c>
      <c r="V203" s="29"/>
      <c r="W203" s="30"/>
    </row>
    <row r="204" spans="1:23" ht="54" x14ac:dyDescent="0.35">
      <c r="A204" s="20" t="s">
        <v>376</v>
      </c>
      <c r="B204" s="20" t="s">
        <v>366</v>
      </c>
      <c r="C204" s="21" t="s">
        <v>367</v>
      </c>
      <c r="D204" s="22"/>
      <c r="E204" s="22" t="s">
        <v>377</v>
      </c>
      <c r="F204" s="22" t="s">
        <v>55</v>
      </c>
      <c r="G204" s="23">
        <v>1</v>
      </c>
      <c r="H204" s="131"/>
      <c r="I204" s="171"/>
      <c r="J204" s="142"/>
      <c r="K204" s="98">
        <v>551.70000000000005</v>
      </c>
      <c r="L204" s="62">
        <f>IFERROR(ROUND(SUM(O205,O206,O207,O208)/K204, 2),0)</f>
        <v>2235.0700000000002</v>
      </c>
      <c r="M204" s="80">
        <v>2785</v>
      </c>
      <c r="N204" s="90">
        <f>L204+ROUND(M204, 2)</f>
        <v>5020.07</v>
      </c>
      <c r="O204" s="62">
        <f>ROUND(L204*K204, 2)</f>
        <v>1233088.1200000001</v>
      </c>
      <c r="P204" s="24">
        <f>ROUND(K204*ROUND(M204, 2), 2)</f>
        <v>1536484.5</v>
      </c>
      <c r="Q204" s="24">
        <f>O204+P204</f>
        <v>2769572.62</v>
      </c>
      <c r="R204" s="24">
        <f>IFERROR(ROUND(SUM(U205,U206,U207,U208)/K204, 2),0)</f>
        <v>2235.0700000000002</v>
      </c>
      <c r="S204" s="24">
        <v>2785</v>
      </c>
      <c r="T204" s="24">
        <f>R204+ROUND(S204, 2)</f>
        <v>5020.07</v>
      </c>
      <c r="U204" s="24">
        <f>ROUND(R204*K204, 2)</f>
        <v>1233088.1200000001</v>
      </c>
      <c r="V204" s="24">
        <f>ROUND(K204*ROUND(S204, 2), 2)</f>
        <v>1536484.5</v>
      </c>
      <c r="W204" s="24">
        <f>U204+V204</f>
        <v>2769572.62</v>
      </c>
    </row>
    <row r="205" spans="1:23" ht="36" x14ac:dyDescent="0.35">
      <c r="A205" s="20" t="s">
        <v>378</v>
      </c>
      <c r="B205" s="20"/>
      <c r="C205" s="25" t="s">
        <v>235</v>
      </c>
      <c r="D205" s="22"/>
      <c r="E205" s="22"/>
      <c r="F205" s="26" t="s">
        <v>58</v>
      </c>
      <c r="G205" s="27">
        <v>0.15</v>
      </c>
      <c r="H205" s="132"/>
      <c r="I205" s="171"/>
      <c r="J205" s="142"/>
      <c r="K205" s="99">
        <v>82.754999999999995</v>
      </c>
      <c r="L205" s="63">
        <v>88.8</v>
      </c>
      <c r="M205" s="29"/>
      <c r="N205" s="91"/>
      <c r="O205" s="63">
        <f>ROUND(ROUND(L205, 2)*K205, 2)</f>
        <v>7348.64</v>
      </c>
      <c r="P205" s="29"/>
      <c r="Q205" s="29"/>
      <c r="R205" s="28">
        <v>88.8</v>
      </c>
      <c r="S205" s="29"/>
      <c r="T205" s="29"/>
      <c r="U205" s="28">
        <f>ROUND(ROUND(R205, 2)*K205, 2)</f>
        <v>7348.64</v>
      </c>
      <c r="V205" s="29"/>
      <c r="W205" s="30"/>
    </row>
    <row r="206" spans="1:23" ht="20" x14ac:dyDescent="0.35">
      <c r="A206" s="20" t="s">
        <v>379</v>
      </c>
      <c r="B206" s="20"/>
      <c r="C206" s="25" t="s">
        <v>232</v>
      </c>
      <c r="D206" s="22"/>
      <c r="E206" s="22"/>
      <c r="F206" s="26" t="s">
        <v>58</v>
      </c>
      <c r="G206" s="27">
        <v>0.25</v>
      </c>
      <c r="H206" s="132"/>
      <c r="I206" s="171"/>
      <c r="J206" s="142"/>
      <c r="K206" s="110">
        <v>137.92500000000001</v>
      </c>
      <c r="L206" s="63">
        <v>40.270000000000003</v>
      </c>
      <c r="M206" s="29"/>
      <c r="N206" s="91"/>
      <c r="O206" s="63">
        <f>ROUND(ROUND(L206, 2)*K206, 2)</f>
        <v>5554.24</v>
      </c>
      <c r="P206" s="29"/>
      <c r="Q206" s="29"/>
      <c r="R206" s="28">
        <v>40.270000000000003</v>
      </c>
      <c r="S206" s="29"/>
      <c r="T206" s="29"/>
      <c r="U206" s="28">
        <f>ROUND(ROUND(R206, 2)*K206, 2)</f>
        <v>5554.24</v>
      </c>
      <c r="V206" s="29"/>
      <c r="W206" s="30"/>
    </row>
    <row r="207" spans="1:23" ht="72" x14ac:dyDescent="0.35">
      <c r="A207" s="20" t="s">
        <v>380</v>
      </c>
      <c r="B207" s="20"/>
      <c r="C207" s="25" t="s">
        <v>372</v>
      </c>
      <c r="D207" s="22"/>
      <c r="E207" s="22" t="s">
        <v>373</v>
      </c>
      <c r="F207" s="26" t="s">
        <v>55</v>
      </c>
      <c r="G207" s="27">
        <v>1.2</v>
      </c>
      <c r="H207" s="132"/>
      <c r="I207" s="171"/>
      <c r="J207" s="142"/>
      <c r="K207" s="110">
        <v>662.04</v>
      </c>
      <c r="L207" s="63">
        <v>1809.15</v>
      </c>
      <c r="M207" s="29"/>
      <c r="N207" s="91"/>
      <c r="O207" s="63">
        <f>ROUND(ROUND(L207, 2)*K207, 2)</f>
        <v>1197729.67</v>
      </c>
      <c r="P207" s="29"/>
      <c r="Q207" s="29"/>
      <c r="R207" s="28">
        <v>1809.15</v>
      </c>
      <c r="S207" s="29"/>
      <c r="T207" s="29"/>
      <c r="U207" s="28">
        <f>ROUND(ROUND(R207, 2)*K207, 2)</f>
        <v>1197729.67</v>
      </c>
      <c r="V207" s="29"/>
      <c r="W207" s="30"/>
    </row>
    <row r="208" spans="1:23" ht="54.5" thickBot="1" x14ac:dyDescent="0.4">
      <c r="A208" s="20" t="s">
        <v>381</v>
      </c>
      <c r="B208" s="20"/>
      <c r="C208" s="14" t="s">
        <v>370</v>
      </c>
      <c r="D208" s="22"/>
      <c r="E208" s="22" t="s">
        <v>220</v>
      </c>
      <c r="F208" s="26" t="s">
        <v>58</v>
      </c>
      <c r="G208" s="27">
        <v>1.2</v>
      </c>
      <c r="H208" s="132"/>
      <c r="I208" s="171"/>
      <c r="J208" s="149"/>
      <c r="K208" s="95">
        <v>1324.08</v>
      </c>
      <c r="L208" s="63">
        <v>16.96</v>
      </c>
      <c r="M208" s="29"/>
      <c r="N208" s="91"/>
      <c r="O208" s="63">
        <f>ROUND(ROUND(L208, 2)*K208, 2)</f>
        <v>22456.400000000001</v>
      </c>
      <c r="P208" s="29"/>
      <c r="Q208" s="29"/>
      <c r="R208" s="28">
        <v>16.96</v>
      </c>
      <c r="S208" s="29"/>
      <c r="T208" s="29"/>
      <c r="U208" s="28">
        <f>ROUND(ROUND(R208, 2)*K208, 2)</f>
        <v>22456.400000000001</v>
      </c>
      <c r="V208" s="29"/>
      <c r="W208" s="30"/>
    </row>
    <row r="209" spans="1:23" ht="17" customHeight="1" x14ac:dyDescent="0.35">
      <c r="A209" s="8" t="s">
        <v>382</v>
      </c>
      <c r="B209" s="8" t="s">
        <v>383</v>
      </c>
      <c r="C209" s="92" t="s">
        <v>384</v>
      </c>
      <c r="D209" s="93"/>
      <c r="E209" s="93"/>
      <c r="F209" s="93"/>
      <c r="G209" s="93"/>
      <c r="H209" s="93"/>
      <c r="I209" s="167"/>
      <c r="J209" s="152"/>
      <c r="K209" s="112"/>
      <c r="N209" s="88"/>
      <c r="O209" s="83">
        <f>SUM(O210,O324,O538,O614)</f>
        <v>13876950.84</v>
      </c>
      <c r="P209" s="5">
        <f>SUM(P210,P324,P538,P614)</f>
        <v>59672651.509999998</v>
      </c>
      <c r="Q209" s="5">
        <f>SUM(Q210,Q324,Q538,Q614)</f>
        <v>73549602.349999994</v>
      </c>
      <c r="U209" s="5">
        <f>SUM(U210,U324,U538,U614)</f>
        <v>13804955.51</v>
      </c>
      <c r="V209" s="5">
        <f>SUM(V210,V324,V538,V614)</f>
        <v>59672651.509999998</v>
      </c>
      <c r="W209" s="5">
        <f>SUM(W210,W324,W538,W614)</f>
        <v>73477607.019999996</v>
      </c>
    </row>
    <row r="210" spans="1:23" ht="17" customHeight="1" thickBot="1" x14ac:dyDescent="0.4">
      <c r="A210" s="8" t="s">
        <v>385</v>
      </c>
      <c r="B210" s="8" t="s">
        <v>386</v>
      </c>
      <c r="C210" s="92" t="s">
        <v>387</v>
      </c>
      <c r="D210" s="93"/>
      <c r="E210" s="93"/>
      <c r="F210" s="93"/>
      <c r="G210" s="93"/>
      <c r="H210" s="93"/>
      <c r="I210" s="167"/>
      <c r="J210" s="153"/>
      <c r="K210" s="111"/>
      <c r="N210" s="88"/>
      <c r="O210" s="83">
        <f>SUM(O211,O214,O222,O232,O238,O242,O245,O249,O252,O256,O259,O263,O266,O269,O272,O275,O278,O288,O293,O298,O303,O308,O312,O316,O320)</f>
        <v>9465851.8200000003</v>
      </c>
      <c r="P210" s="5">
        <f>SUM(P211,P214,P222,P232,P238,P242,P245,P249,P252,P256,P259,P263,P266,P269,P272,P275,P278,P288,P293,P298,P303,P308,P312,P316,P320)</f>
        <v>44797200.280000001</v>
      </c>
      <c r="Q210" s="5">
        <f>SUM(Q211,Q214,Q222,Q232,Q238,Q242,Q245,Q249,Q252,Q256,Q259,Q263,Q266,Q269,Q272,Q275,Q278,Q288,Q293,Q298,Q303,Q308,Q312,Q316,Q320)</f>
        <v>54263052.100000001</v>
      </c>
      <c r="U210" s="5">
        <f>SUM(U211,U214,U222,U232,U238,U242,U245,U249,U252,U256,U259,U263,U266,U269,U272,U275,U278,U288,U293,U298,U303,U308,U312,U316,U320)</f>
        <v>9465851.8200000003</v>
      </c>
      <c r="V210" s="5">
        <f>SUM(V211,V214,V222,V232,V238,V242,V245,V249,V252,V256,V259,V263,V266,V269,V272,V275,V278,V288,V293,V298,V303,V308,V312,V316,V320)</f>
        <v>44797200.280000001</v>
      </c>
      <c r="W210" s="5">
        <f>SUM(W211,W214,W222,W232,W238,W242,W245,W249,W252,W256,W259,W263,W266,W269,W272,W275,W278,W288,W293,W298,W303,W308,W312,W316,W320)</f>
        <v>54263052.100000001</v>
      </c>
    </row>
    <row r="211" spans="1:23" ht="54" x14ac:dyDescent="0.35">
      <c r="A211" s="20" t="s">
        <v>388</v>
      </c>
      <c r="B211" s="20" t="s">
        <v>389</v>
      </c>
      <c r="C211" s="21" t="s">
        <v>390</v>
      </c>
      <c r="D211" s="22"/>
      <c r="E211" s="22" t="s">
        <v>391</v>
      </c>
      <c r="F211" s="22" t="s">
        <v>67</v>
      </c>
      <c r="G211" s="23">
        <v>1</v>
      </c>
      <c r="H211" s="190">
        <f>396.86+323.32+233+1102</f>
        <v>2055.1800000000003</v>
      </c>
      <c r="I211" s="166">
        <f>H211*N211</f>
        <v>81200.161800000002</v>
      </c>
      <c r="J211" s="192">
        <f>K211-H211</f>
        <v>1816.6799999999998</v>
      </c>
      <c r="K211" s="113">
        <v>3871.86</v>
      </c>
      <c r="L211" s="62">
        <f>IFERROR(ROUND(SUM(O212,O213)/K211, 2),0)</f>
        <v>11.51</v>
      </c>
      <c r="M211" s="80">
        <v>28</v>
      </c>
      <c r="N211" s="90">
        <f>L211+ROUND(M211, 2)</f>
        <v>39.51</v>
      </c>
      <c r="O211" s="62">
        <f>ROUND(L211*K211, 2)</f>
        <v>44565.11</v>
      </c>
      <c r="P211" s="24">
        <f>ROUND(K211*ROUND(M211, 2), 2)</f>
        <v>108412.08</v>
      </c>
      <c r="Q211" s="24">
        <f>O211+P211</f>
        <v>152977.19</v>
      </c>
      <c r="R211" s="24">
        <f>IFERROR(ROUND(SUM(U212,U213)/K211, 2),0)</f>
        <v>11.51</v>
      </c>
      <c r="S211" s="24">
        <v>28</v>
      </c>
      <c r="T211" s="24">
        <f>R211+ROUND(S211, 2)</f>
        <v>39.51</v>
      </c>
      <c r="U211" s="24">
        <f>ROUND(R211*K211, 2)</f>
        <v>44565.11</v>
      </c>
      <c r="V211" s="24">
        <f>ROUND(K211*ROUND(S211, 2), 2)</f>
        <v>108412.08</v>
      </c>
      <c r="W211" s="24">
        <f>U211+V211</f>
        <v>152977.19</v>
      </c>
    </row>
    <row r="212" spans="1:23" ht="36" x14ac:dyDescent="0.35">
      <c r="A212" s="20" t="s">
        <v>392</v>
      </c>
      <c r="B212" s="20"/>
      <c r="C212" s="14" t="s">
        <v>393</v>
      </c>
      <c r="D212" s="22"/>
      <c r="E212" s="22"/>
      <c r="F212" s="26" t="s">
        <v>58</v>
      </c>
      <c r="G212" s="27">
        <v>0.3</v>
      </c>
      <c r="H212" s="132"/>
      <c r="I212" s="171"/>
      <c r="J212" s="142"/>
      <c r="K212" s="110">
        <v>1161.558</v>
      </c>
      <c r="L212" s="63">
        <v>12.7</v>
      </c>
      <c r="M212" s="29"/>
      <c r="N212" s="91"/>
      <c r="O212" s="63">
        <f>ROUND(ROUND(L212, 2)*K212, 2)</f>
        <v>14751.79</v>
      </c>
      <c r="P212" s="29"/>
      <c r="Q212" s="29"/>
      <c r="R212" s="28">
        <v>12.7</v>
      </c>
      <c r="S212" s="29"/>
      <c r="T212" s="29"/>
      <c r="U212" s="28">
        <f>ROUND(ROUND(R212, 2)*K212, 2)</f>
        <v>14751.79</v>
      </c>
      <c r="V212" s="29"/>
      <c r="W212" s="30"/>
    </row>
    <row r="213" spans="1:23" ht="20" x14ac:dyDescent="0.35">
      <c r="A213" s="20" t="s">
        <v>394</v>
      </c>
      <c r="B213" s="20"/>
      <c r="C213" s="25" t="s">
        <v>395</v>
      </c>
      <c r="D213" s="22"/>
      <c r="E213" s="22"/>
      <c r="F213" s="26" t="s">
        <v>67</v>
      </c>
      <c r="G213" s="27">
        <v>1.1000000000000001</v>
      </c>
      <c r="H213" s="132"/>
      <c r="I213" s="171"/>
      <c r="J213" s="142"/>
      <c r="K213" s="110">
        <v>4259.0460000000003</v>
      </c>
      <c r="L213" s="63">
        <v>7</v>
      </c>
      <c r="M213" s="29"/>
      <c r="N213" s="91"/>
      <c r="O213" s="63">
        <f>ROUND(ROUND(L213, 2)*K213, 2)</f>
        <v>29813.32</v>
      </c>
      <c r="P213" s="29"/>
      <c r="Q213" s="29"/>
      <c r="R213" s="28">
        <v>7</v>
      </c>
      <c r="S213" s="29"/>
      <c r="T213" s="29"/>
      <c r="U213" s="28">
        <f>ROUND(ROUND(R213, 2)*K213, 2)</f>
        <v>29813.32</v>
      </c>
      <c r="V213" s="29"/>
      <c r="W213" s="30"/>
    </row>
    <row r="214" spans="1:23" ht="54" x14ac:dyDescent="0.35">
      <c r="A214" s="31" t="s">
        <v>396</v>
      </c>
      <c r="B214" s="31" t="s">
        <v>397</v>
      </c>
      <c r="C214" s="32" t="s">
        <v>398</v>
      </c>
      <c r="D214" s="33"/>
      <c r="E214" s="33" t="s">
        <v>54</v>
      </c>
      <c r="F214" s="33" t="s">
        <v>55</v>
      </c>
      <c r="G214" s="34">
        <v>1</v>
      </c>
      <c r="H214" s="133"/>
      <c r="I214" s="171"/>
      <c r="J214" s="143"/>
      <c r="K214" s="101">
        <v>0</v>
      </c>
      <c r="L214" s="64">
        <f>IFERROR(ROUND(SUM(O216,O218,O220)/K214, 2),0)</f>
        <v>0</v>
      </c>
      <c r="M214" s="81">
        <v>826</v>
      </c>
      <c r="N214" s="90">
        <f>L214+ROUND(M214, 2)</f>
        <v>826</v>
      </c>
      <c r="O214" s="64">
        <f>ROUND(L214*K214, 2)</f>
        <v>0</v>
      </c>
      <c r="P214" s="35">
        <f>ROUND(K214*ROUND(M214, 2), 2)</f>
        <v>0</v>
      </c>
      <c r="Q214" s="35">
        <f>O214+P214</f>
        <v>0</v>
      </c>
      <c r="R214" s="35">
        <f>IFERROR(ROUND(SUM(U216,U218,U220)/K214, 2),0)</f>
        <v>0</v>
      </c>
      <c r="S214" s="35">
        <v>826</v>
      </c>
      <c r="T214" s="35">
        <f>R214+ROUND(S214, 2)</f>
        <v>826</v>
      </c>
      <c r="U214" s="35">
        <f>ROUND(R214*K214, 2)</f>
        <v>0</v>
      </c>
      <c r="V214" s="35">
        <f>ROUND(K214*ROUND(S214, 2), 2)</f>
        <v>0</v>
      </c>
      <c r="W214" s="35">
        <f>U214+V214</f>
        <v>0</v>
      </c>
    </row>
    <row r="215" spans="1:23" ht="54" x14ac:dyDescent="0.35">
      <c r="A215" s="36" t="s">
        <v>399</v>
      </c>
      <c r="B215" s="36" t="s">
        <v>397</v>
      </c>
      <c r="C215" s="37" t="s">
        <v>398</v>
      </c>
      <c r="D215" s="38"/>
      <c r="E215" s="38"/>
      <c r="F215" s="38" t="s">
        <v>55</v>
      </c>
      <c r="G215" s="39">
        <v>1</v>
      </c>
      <c r="H215" s="134"/>
      <c r="I215" s="171"/>
      <c r="J215" s="144"/>
      <c r="K215" s="102">
        <v>8158.2</v>
      </c>
      <c r="L215" s="65">
        <v>0</v>
      </c>
      <c r="M215" s="82">
        <v>826</v>
      </c>
      <c r="N215" s="90"/>
      <c r="O215" s="65">
        <v>0</v>
      </c>
      <c r="P215" s="40"/>
      <c r="Q215" s="40"/>
      <c r="R215" s="40">
        <v>0</v>
      </c>
      <c r="S215" s="40">
        <v>826</v>
      </c>
      <c r="T215" s="40"/>
      <c r="U215" s="40">
        <v>0</v>
      </c>
      <c r="V215" s="40"/>
      <c r="W215" s="40"/>
    </row>
    <row r="216" spans="1:23" ht="36" x14ac:dyDescent="0.35">
      <c r="A216" s="31" t="s">
        <v>400</v>
      </c>
      <c r="B216" s="31"/>
      <c r="C216" s="41" t="s">
        <v>401</v>
      </c>
      <c r="D216" s="33"/>
      <c r="E216" s="33" t="s">
        <v>402</v>
      </c>
      <c r="F216" s="42" t="s">
        <v>58</v>
      </c>
      <c r="G216" s="43">
        <v>1</v>
      </c>
      <c r="H216" s="135"/>
      <c r="I216" s="171"/>
      <c r="J216" s="143"/>
      <c r="K216" s="107">
        <v>0</v>
      </c>
      <c r="L216" s="66">
        <v>7.59</v>
      </c>
      <c r="M216" s="45"/>
      <c r="N216" s="91"/>
      <c r="O216" s="66">
        <f t="shared" ref="O216:O221" si="12">ROUND(ROUND(L216, 2)*K216, 2)</f>
        <v>0</v>
      </c>
      <c r="P216" s="45"/>
      <c r="Q216" s="45"/>
      <c r="R216" s="44">
        <v>7.59</v>
      </c>
      <c r="S216" s="45"/>
      <c r="T216" s="45"/>
      <c r="U216" s="44">
        <f t="shared" ref="U216:U221" si="13">ROUND(ROUND(R216, 2)*K216, 2)</f>
        <v>0</v>
      </c>
      <c r="V216" s="45"/>
      <c r="W216" s="46"/>
    </row>
    <row r="217" spans="1:23" ht="36" x14ac:dyDescent="0.35">
      <c r="A217" s="36" t="s">
        <v>403</v>
      </c>
      <c r="B217" s="36"/>
      <c r="C217" s="47" t="s">
        <v>401</v>
      </c>
      <c r="D217" s="38"/>
      <c r="E217" s="38" t="s">
        <v>402</v>
      </c>
      <c r="F217" s="48" t="s">
        <v>58</v>
      </c>
      <c r="G217" s="49">
        <v>1</v>
      </c>
      <c r="H217" s="136"/>
      <c r="I217" s="171"/>
      <c r="J217" s="144"/>
      <c r="K217" s="108">
        <v>163164</v>
      </c>
      <c r="L217" s="67">
        <v>7.59</v>
      </c>
      <c r="M217" s="51"/>
      <c r="N217" s="91"/>
      <c r="O217" s="67">
        <f t="shared" si="12"/>
        <v>1238414.76</v>
      </c>
      <c r="P217" s="51"/>
      <c r="Q217" s="51"/>
      <c r="R217" s="50">
        <v>7.59</v>
      </c>
      <c r="S217" s="51"/>
      <c r="T217" s="51"/>
      <c r="U217" s="50">
        <f t="shared" si="13"/>
        <v>1238414.76</v>
      </c>
      <c r="V217" s="51"/>
      <c r="W217" s="52"/>
    </row>
    <row r="218" spans="1:23" ht="20" x14ac:dyDescent="0.35">
      <c r="A218" s="31" t="s">
        <v>404</v>
      </c>
      <c r="B218" s="31"/>
      <c r="C218" s="41" t="s">
        <v>405</v>
      </c>
      <c r="D218" s="33"/>
      <c r="E218" s="33"/>
      <c r="F218" s="42" t="s">
        <v>58</v>
      </c>
      <c r="G218" s="43">
        <v>0.25</v>
      </c>
      <c r="H218" s="135"/>
      <c r="I218" s="171"/>
      <c r="J218" s="143"/>
      <c r="K218" s="103">
        <v>0</v>
      </c>
      <c r="L218" s="66">
        <v>100</v>
      </c>
      <c r="M218" s="45"/>
      <c r="N218" s="91"/>
      <c r="O218" s="66">
        <f t="shared" si="12"/>
        <v>0</v>
      </c>
      <c r="P218" s="45"/>
      <c r="Q218" s="45"/>
      <c r="R218" s="44">
        <v>100</v>
      </c>
      <c r="S218" s="45"/>
      <c r="T218" s="45"/>
      <c r="U218" s="44">
        <f t="shared" si="13"/>
        <v>0</v>
      </c>
      <c r="V218" s="45"/>
      <c r="W218" s="46"/>
    </row>
    <row r="219" spans="1:23" ht="20" x14ac:dyDescent="0.35">
      <c r="A219" s="36" t="s">
        <v>406</v>
      </c>
      <c r="B219" s="36"/>
      <c r="C219" s="47" t="s">
        <v>405</v>
      </c>
      <c r="D219" s="38"/>
      <c r="E219" s="38"/>
      <c r="F219" s="48" t="s">
        <v>58</v>
      </c>
      <c r="G219" s="49">
        <v>0.25</v>
      </c>
      <c r="H219" s="136"/>
      <c r="I219" s="171"/>
      <c r="J219" s="144"/>
      <c r="K219" s="104">
        <v>2039.55</v>
      </c>
      <c r="L219" s="67">
        <v>100</v>
      </c>
      <c r="M219" s="51"/>
      <c r="N219" s="91"/>
      <c r="O219" s="67">
        <f t="shared" si="12"/>
        <v>203955</v>
      </c>
      <c r="P219" s="51"/>
      <c r="Q219" s="51"/>
      <c r="R219" s="50">
        <v>100</v>
      </c>
      <c r="S219" s="51"/>
      <c r="T219" s="51"/>
      <c r="U219" s="50">
        <f t="shared" si="13"/>
        <v>203955</v>
      </c>
      <c r="V219" s="51"/>
      <c r="W219" s="52"/>
    </row>
    <row r="220" spans="1:23" ht="20" x14ac:dyDescent="0.35">
      <c r="A220" s="31" t="s">
        <v>407</v>
      </c>
      <c r="B220" s="31"/>
      <c r="C220" s="41" t="s">
        <v>408</v>
      </c>
      <c r="D220" s="33"/>
      <c r="E220" s="33"/>
      <c r="F220" s="42" t="s">
        <v>67</v>
      </c>
      <c r="G220" s="43">
        <v>1.05</v>
      </c>
      <c r="H220" s="135"/>
      <c r="I220" s="171"/>
      <c r="J220" s="143"/>
      <c r="K220" s="107">
        <v>0</v>
      </c>
      <c r="L220" s="66">
        <v>15.76</v>
      </c>
      <c r="M220" s="45"/>
      <c r="N220" s="91"/>
      <c r="O220" s="66">
        <f t="shared" si="12"/>
        <v>0</v>
      </c>
      <c r="P220" s="45"/>
      <c r="Q220" s="45"/>
      <c r="R220" s="44">
        <v>15.76</v>
      </c>
      <c r="S220" s="45"/>
      <c r="T220" s="45"/>
      <c r="U220" s="44">
        <f t="shared" si="13"/>
        <v>0</v>
      </c>
      <c r="V220" s="45"/>
      <c r="W220" s="46"/>
    </row>
    <row r="221" spans="1:23" ht="20" x14ac:dyDescent="0.35">
      <c r="A221" s="36" t="s">
        <v>409</v>
      </c>
      <c r="B221" s="36"/>
      <c r="C221" s="47" t="s">
        <v>408</v>
      </c>
      <c r="D221" s="38"/>
      <c r="E221" s="38"/>
      <c r="F221" s="48" t="s">
        <v>67</v>
      </c>
      <c r="G221" s="49">
        <v>1.05</v>
      </c>
      <c r="H221" s="136"/>
      <c r="I221" s="171"/>
      <c r="J221" s="144"/>
      <c r="K221" s="108">
        <v>3339</v>
      </c>
      <c r="L221" s="67">
        <v>15.76</v>
      </c>
      <c r="M221" s="51"/>
      <c r="N221" s="91"/>
      <c r="O221" s="67">
        <f t="shared" si="12"/>
        <v>52622.64</v>
      </c>
      <c r="P221" s="51"/>
      <c r="Q221" s="51"/>
      <c r="R221" s="50">
        <v>15.76</v>
      </c>
      <c r="S221" s="51"/>
      <c r="T221" s="51"/>
      <c r="U221" s="50">
        <f t="shared" si="13"/>
        <v>52622.64</v>
      </c>
      <c r="V221" s="51"/>
      <c r="W221" s="52"/>
    </row>
    <row r="222" spans="1:23" ht="54" x14ac:dyDescent="0.35">
      <c r="A222" s="31" t="s">
        <v>410</v>
      </c>
      <c r="B222" s="31" t="s">
        <v>411</v>
      </c>
      <c r="C222" s="32" t="s">
        <v>412</v>
      </c>
      <c r="D222" s="33"/>
      <c r="E222" s="33" t="s">
        <v>413</v>
      </c>
      <c r="F222" s="33" t="s">
        <v>55</v>
      </c>
      <c r="G222" s="34">
        <v>1</v>
      </c>
      <c r="H222" s="133"/>
      <c r="I222" s="171"/>
      <c r="J222" s="143"/>
      <c r="K222" s="101">
        <v>0</v>
      </c>
      <c r="L222" s="64">
        <f>IFERROR(ROUND(SUM(O224,O226,O228,O230)/K222, 2),0)</f>
        <v>0</v>
      </c>
      <c r="M222" s="81">
        <v>329</v>
      </c>
      <c r="N222" s="90">
        <f>L222+ROUND(M222, 2)</f>
        <v>329</v>
      </c>
      <c r="O222" s="64">
        <f>ROUND(L222*K222, 2)</f>
        <v>0</v>
      </c>
      <c r="P222" s="35">
        <f>ROUND(K222*ROUND(M222, 2), 2)</f>
        <v>0</v>
      </c>
      <c r="Q222" s="35">
        <f>O222+P222</f>
        <v>0</v>
      </c>
      <c r="R222" s="35">
        <f>IFERROR(ROUND(SUM(U224,U226,U228,U230)/K222, 2),0)</f>
        <v>0</v>
      </c>
      <c r="S222" s="35">
        <v>329</v>
      </c>
      <c r="T222" s="35">
        <f>R222+ROUND(S222, 2)</f>
        <v>329</v>
      </c>
      <c r="U222" s="35">
        <f>ROUND(R222*K222, 2)</f>
        <v>0</v>
      </c>
      <c r="V222" s="35">
        <f>ROUND(K222*ROUND(S222, 2), 2)</f>
        <v>0</v>
      </c>
      <c r="W222" s="35">
        <f>U222+V222</f>
        <v>0</v>
      </c>
    </row>
    <row r="223" spans="1:23" ht="54" x14ac:dyDescent="0.35">
      <c r="A223" s="36" t="s">
        <v>414</v>
      </c>
      <c r="B223" s="36" t="s">
        <v>411</v>
      </c>
      <c r="C223" s="37" t="s">
        <v>412</v>
      </c>
      <c r="D223" s="38"/>
      <c r="E223" s="38" t="s">
        <v>415</v>
      </c>
      <c r="F223" s="38" t="s">
        <v>55</v>
      </c>
      <c r="G223" s="39">
        <v>1</v>
      </c>
      <c r="H223" s="134"/>
      <c r="I223" s="171"/>
      <c r="J223" s="144"/>
      <c r="K223" s="102">
        <v>9147.2999999999993</v>
      </c>
      <c r="L223" s="65">
        <v>0</v>
      </c>
      <c r="M223" s="82">
        <v>329</v>
      </c>
      <c r="N223" s="90"/>
      <c r="O223" s="65">
        <v>0</v>
      </c>
      <c r="P223" s="40"/>
      <c r="Q223" s="40"/>
      <c r="R223" s="40">
        <v>0</v>
      </c>
      <c r="S223" s="40">
        <v>329</v>
      </c>
      <c r="T223" s="40"/>
      <c r="U223" s="40">
        <v>0</v>
      </c>
      <c r="V223" s="40"/>
      <c r="W223" s="40"/>
    </row>
    <row r="224" spans="1:23" ht="36" x14ac:dyDescent="0.35">
      <c r="A224" s="31" t="s">
        <v>416</v>
      </c>
      <c r="B224" s="31"/>
      <c r="C224" s="41" t="s">
        <v>393</v>
      </c>
      <c r="D224" s="33"/>
      <c r="E224" s="33" t="s">
        <v>417</v>
      </c>
      <c r="F224" s="42" t="s">
        <v>58</v>
      </c>
      <c r="G224" s="43">
        <v>1.8</v>
      </c>
      <c r="H224" s="135"/>
      <c r="I224" s="171"/>
      <c r="J224" s="143"/>
      <c r="K224" s="103">
        <v>0</v>
      </c>
      <c r="L224" s="66">
        <v>12.58</v>
      </c>
      <c r="M224" s="45"/>
      <c r="N224" s="91"/>
      <c r="O224" s="66">
        <f t="shared" ref="O224:O231" si="14">ROUND(ROUND(L224, 2)*K224, 2)</f>
        <v>0</v>
      </c>
      <c r="P224" s="45"/>
      <c r="Q224" s="45"/>
      <c r="R224" s="44">
        <v>12.58</v>
      </c>
      <c r="S224" s="45"/>
      <c r="T224" s="45"/>
      <c r="U224" s="44">
        <f t="shared" ref="U224:U231" si="15">ROUND(ROUND(R224, 2)*K224, 2)</f>
        <v>0</v>
      </c>
      <c r="V224" s="45"/>
      <c r="W224" s="46"/>
    </row>
    <row r="225" spans="1:23" ht="36" x14ac:dyDescent="0.35">
      <c r="A225" s="36" t="s">
        <v>418</v>
      </c>
      <c r="B225" s="36"/>
      <c r="C225" s="47" t="s">
        <v>393</v>
      </c>
      <c r="D225" s="38"/>
      <c r="E225" s="38" t="s">
        <v>417</v>
      </c>
      <c r="F225" s="48" t="s">
        <v>58</v>
      </c>
      <c r="G225" s="49">
        <v>1.8</v>
      </c>
      <c r="H225" s="136"/>
      <c r="I225" s="171"/>
      <c r="J225" s="144"/>
      <c r="K225" s="104">
        <v>16465.14</v>
      </c>
      <c r="L225" s="67">
        <v>12.58</v>
      </c>
      <c r="M225" s="51"/>
      <c r="N225" s="91"/>
      <c r="O225" s="67">
        <f t="shared" si="14"/>
        <v>207131.46</v>
      </c>
      <c r="P225" s="51"/>
      <c r="Q225" s="51"/>
      <c r="R225" s="50">
        <v>12.58</v>
      </c>
      <c r="S225" s="51"/>
      <c r="T225" s="51"/>
      <c r="U225" s="50">
        <f t="shared" si="15"/>
        <v>207131.46</v>
      </c>
      <c r="V225" s="51"/>
      <c r="W225" s="52"/>
    </row>
    <row r="226" spans="1:23" ht="20" x14ac:dyDescent="0.35">
      <c r="A226" s="31" t="s">
        <v>419</v>
      </c>
      <c r="B226" s="31"/>
      <c r="C226" s="41" t="s">
        <v>420</v>
      </c>
      <c r="D226" s="33"/>
      <c r="E226" s="33"/>
      <c r="F226" s="42" t="s">
        <v>84</v>
      </c>
      <c r="G226" s="43">
        <v>0.3</v>
      </c>
      <c r="H226" s="135"/>
      <c r="I226" s="171"/>
      <c r="J226" s="143"/>
      <c r="K226" s="107">
        <v>0</v>
      </c>
      <c r="L226" s="66">
        <v>73.099999999999994</v>
      </c>
      <c r="M226" s="45"/>
      <c r="N226" s="91"/>
      <c r="O226" s="66">
        <f t="shared" si="14"/>
        <v>0</v>
      </c>
      <c r="P226" s="45"/>
      <c r="Q226" s="45"/>
      <c r="R226" s="44">
        <v>73.099999999999994</v>
      </c>
      <c r="S226" s="45"/>
      <c r="T226" s="45"/>
      <c r="U226" s="44">
        <f t="shared" si="15"/>
        <v>0</v>
      </c>
      <c r="V226" s="45"/>
      <c r="W226" s="46"/>
    </row>
    <row r="227" spans="1:23" ht="20" x14ac:dyDescent="0.35">
      <c r="A227" s="36" t="s">
        <v>421</v>
      </c>
      <c r="B227" s="36"/>
      <c r="C227" s="47" t="s">
        <v>420</v>
      </c>
      <c r="D227" s="38"/>
      <c r="E227" s="38"/>
      <c r="F227" s="48" t="s">
        <v>84</v>
      </c>
      <c r="G227" s="49">
        <v>0.3</v>
      </c>
      <c r="H227" s="136"/>
      <c r="I227" s="171"/>
      <c r="J227" s="144"/>
      <c r="K227" s="108">
        <v>567</v>
      </c>
      <c r="L227" s="67">
        <v>73.099999999999994</v>
      </c>
      <c r="M227" s="51"/>
      <c r="N227" s="91"/>
      <c r="O227" s="67">
        <f t="shared" si="14"/>
        <v>41447.699999999997</v>
      </c>
      <c r="P227" s="51"/>
      <c r="Q227" s="51"/>
      <c r="R227" s="50">
        <v>73.099999999999994</v>
      </c>
      <c r="S227" s="51"/>
      <c r="T227" s="51"/>
      <c r="U227" s="50">
        <f t="shared" si="15"/>
        <v>41447.699999999997</v>
      </c>
      <c r="V227" s="51"/>
      <c r="W227" s="52"/>
    </row>
    <row r="228" spans="1:23" ht="20" x14ac:dyDescent="0.35">
      <c r="A228" s="31" t="s">
        <v>422</v>
      </c>
      <c r="B228" s="31"/>
      <c r="C228" s="41" t="s">
        <v>423</v>
      </c>
      <c r="D228" s="33"/>
      <c r="E228" s="33"/>
      <c r="F228" s="42" t="s">
        <v>67</v>
      </c>
      <c r="G228" s="43">
        <v>1</v>
      </c>
      <c r="H228" s="135"/>
      <c r="I228" s="171"/>
      <c r="J228" s="143"/>
      <c r="K228" s="107">
        <v>0</v>
      </c>
      <c r="L228" s="66">
        <v>7</v>
      </c>
      <c r="M228" s="45"/>
      <c r="N228" s="91"/>
      <c r="O228" s="66">
        <f t="shared" si="14"/>
        <v>0</v>
      </c>
      <c r="P228" s="45"/>
      <c r="Q228" s="45"/>
      <c r="R228" s="44">
        <v>7</v>
      </c>
      <c r="S228" s="45"/>
      <c r="T228" s="45"/>
      <c r="U228" s="44">
        <f t="shared" si="15"/>
        <v>0</v>
      </c>
      <c r="V228" s="45"/>
      <c r="W228" s="46"/>
    </row>
    <row r="229" spans="1:23" ht="20" x14ac:dyDescent="0.35">
      <c r="A229" s="36" t="s">
        <v>424</v>
      </c>
      <c r="B229" s="36"/>
      <c r="C229" s="47" t="s">
        <v>423</v>
      </c>
      <c r="D229" s="38"/>
      <c r="E229" s="38"/>
      <c r="F229" s="48" t="s">
        <v>67</v>
      </c>
      <c r="G229" s="49">
        <v>1</v>
      </c>
      <c r="H229" s="136"/>
      <c r="I229" s="171"/>
      <c r="J229" s="144"/>
      <c r="K229" s="108">
        <v>1500</v>
      </c>
      <c r="L229" s="67">
        <v>7</v>
      </c>
      <c r="M229" s="51"/>
      <c r="N229" s="91"/>
      <c r="O229" s="67">
        <f t="shared" si="14"/>
        <v>10500</v>
      </c>
      <c r="P229" s="51"/>
      <c r="Q229" s="51"/>
      <c r="R229" s="50">
        <v>7</v>
      </c>
      <c r="S229" s="51"/>
      <c r="T229" s="51"/>
      <c r="U229" s="50">
        <f t="shared" si="15"/>
        <v>10500</v>
      </c>
      <c r="V229" s="51"/>
      <c r="W229" s="52"/>
    </row>
    <row r="230" spans="1:23" ht="36" x14ac:dyDescent="0.35">
      <c r="A230" s="31" t="s">
        <v>425</v>
      </c>
      <c r="B230" s="31"/>
      <c r="C230" s="41" t="s">
        <v>235</v>
      </c>
      <c r="D230" s="33"/>
      <c r="E230" s="33"/>
      <c r="F230" s="42" t="s">
        <v>58</v>
      </c>
      <c r="G230" s="43">
        <v>0.15</v>
      </c>
      <c r="H230" s="135"/>
      <c r="I230" s="171"/>
      <c r="J230" s="143"/>
      <c r="K230" s="103">
        <v>0</v>
      </c>
      <c r="L230" s="66">
        <v>88.8</v>
      </c>
      <c r="M230" s="45"/>
      <c r="N230" s="91"/>
      <c r="O230" s="66">
        <f t="shared" si="14"/>
        <v>0</v>
      </c>
      <c r="P230" s="45"/>
      <c r="Q230" s="45"/>
      <c r="R230" s="44">
        <v>88.8</v>
      </c>
      <c r="S230" s="45"/>
      <c r="T230" s="45"/>
      <c r="U230" s="44">
        <f t="shared" si="15"/>
        <v>0</v>
      </c>
      <c r="V230" s="45"/>
      <c r="W230" s="46"/>
    </row>
    <row r="231" spans="1:23" ht="36" x14ac:dyDescent="0.35">
      <c r="A231" s="36" t="s">
        <v>426</v>
      </c>
      <c r="B231" s="36"/>
      <c r="C231" s="47" t="s">
        <v>235</v>
      </c>
      <c r="D231" s="38"/>
      <c r="E231" s="38"/>
      <c r="F231" s="48" t="s">
        <v>58</v>
      </c>
      <c r="G231" s="49">
        <v>0.15</v>
      </c>
      <c r="H231" s="136"/>
      <c r="I231" s="171"/>
      <c r="J231" s="144"/>
      <c r="K231" s="104">
        <v>1372.095</v>
      </c>
      <c r="L231" s="67">
        <v>88.8</v>
      </c>
      <c r="M231" s="51"/>
      <c r="N231" s="91"/>
      <c r="O231" s="67">
        <f t="shared" si="14"/>
        <v>121842.04</v>
      </c>
      <c r="P231" s="51"/>
      <c r="Q231" s="51"/>
      <c r="R231" s="50">
        <v>88.8</v>
      </c>
      <c r="S231" s="51"/>
      <c r="T231" s="51"/>
      <c r="U231" s="50">
        <f t="shared" si="15"/>
        <v>121842.04</v>
      </c>
      <c r="V231" s="51"/>
      <c r="W231" s="52"/>
    </row>
    <row r="232" spans="1:23" ht="54" x14ac:dyDescent="0.35">
      <c r="A232" s="31" t="s">
        <v>427</v>
      </c>
      <c r="B232" s="31" t="s">
        <v>411</v>
      </c>
      <c r="C232" s="32" t="s">
        <v>412</v>
      </c>
      <c r="D232" s="33"/>
      <c r="E232" s="33" t="s">
        <v>428</v>
      </c>
      <c r="F232" s="33" t="s">
        <v>55</v>
      </c>
      <c r="G232" s="34">
        <v>1</v>
      </c>
      <c r="H232" s="133"/>
      <c r="I232" s="171"/>
      <c r="J232" s="143"/>
      <c r="K232" s="101">
        <v>0</v>
      </c>
      <c r="L232" s="64">
        <f>IFERROR(ROUND(SUM(O234,O236)/K232, 2),0)</f>
        <v>0</v>
      </c>
      <c r="M232" s="81">
        <v>329</v>
      </c>
      <c r="N232" s="90">
        <f>L232+ROUND(M232, 2)</f>
        <v>329</v>
      </c>
      <c r="O232" s="64">
        <f>ROUND(L232*K232, 2)</f>
        <v>0</v>
      </c>
      <c r="P232" s="35">
        <f>ROUND(K232*ROUND(M232, 2), 2)</f>
        <v>0</v>
      </c>
      <c r="Q232" s="35">
        <f>O232+P232</f>
        <v>0</v>
      </c>
      <c r="R232" s="35">
        <f>IFERROR(ROUND(SUM(U234,U236)/K232, 2),0)</f>
        <v>0</v>
      </c>
      <c r="S232" s="35">
        <v>329</v>
      </c>
      <c r="T232" s="35">
        <f>R232+ROUND(S232, 2)</f>
        <v>329</v>
      </c>
      <c r="U232" s="35">
        <f>ROUND(R232*K232, 2)</f>
        <v>0</v>
      </c>
      <c r="V232" s="35">
        <f>ROUND(K232*ROUND(S232, 2), 2)</f>
        <v>0</v>
      </c>
      <c r="W232" s="35">
        <f>U232+V232</f>
        <v>0</v>
      </c>
    </row>
    <row r="233" spans="1:23" ht="54" x14ac:dyDescent="0.35">
      <c r="A233" s="36" t="s">
        <v>429</v>
      </c>
      <c r="B233" s="36" t="s">
        <v>411</v>
      </c>
      <c r="C233" s="37" t="s">
        <v>412</v>
      </c>
      <c r="D233" s="38"/>
      <c r="E233" s="38" t="s">
        <v>430</v>
      </c>
      <c r="F233" s="38" t="s">
        <v>55</v>
      </c>
      <c r="G233" s="39">
        <v>1</v>
      </c>
      <c r="H233" s="134"/>
      <c r="I233" s="171"/>
      <c r="J233" s="144"/>
      <c r="K233" s="102">
        <v>9147.2999999999993</v>
      </c>
      <c r="L233" s="65">
        <v>0</v>
      </c>
      <c r="M233" s="82">
        <v>329</v>
      </c>
      <c r="N233" s="90"/>
      <c r="O233" s="65">
        <v>0</v>
      </c>
      <c r="P233" s="40"/>
      <c r="Q233" s="40"/>
      <c r="R233" s="40">
        <v>0</v>
      </c>
      <c r="S233" s="40">
        <v>329</v>
      </c>
      <c r="T233" s="40"/>
      <c r="U233" s="40">
        <v>0</v>
      </c>
      <c r="V233" s="40"/>
      <c r="W233" s="40"/>
    </row>
    <row r="234" spans="1:23" ht="36" x14ac:dyDescent="0.35">
      <c r="A234" s="31" t="s">
        <v>431</v>
      </c>
      <c r="B234" s="31"/>
      <c r="C234" s="41" t="s">
        <v>235</v>
      </c>
      <c r="D234" s="33"/>
      <c r="E234" s="33"/>
      <c r="F234" s="42" t="s">
        <v>58</v>
      </c>
      <c r="G234" s="43">
        <v>0.15</v>
      </c>
      <c r="H234" s="135"/>
      <c r="I234" s="171"/>
      <c r="J234" s="143"/>
      <c r="K234" s="103">
        <v>0</v>
      </c>
      <c r="L234" s="66">
        <v>88.8</v>
      </c>
      <c r="M234" s="45"/>
      <c r="N234" s="91"/>
      <c r="O234" s="66">
        <f>ROUND(ROUND(L234, 2)*K234, 2)</f>
        <v>0</v>
      </c>
      <c r="P234" s="45"/>
      <c r="Q234" s="45"/>
      <c r="R234" s="44">
        <v>88.8</v>
      </c>
      <c r="S234" s="45"/>
      <c r="T234" s="45"/>
      <c r="U234" s="44">
        <f>ROUND(ROUND(R234, 2)*K234, 2)</f>
        <v>0</v>
      </c>
      <c r="V234" s="45"/>
      <c r="W234" s="46"/>
    </row>
    <row r="235" spans="1:23" ht="36" x14ac:dyDescent="0.35">
      <c r="A235" s="36" t="s">
        <v>432</v>
      </c>
      <c r="B235" s="36"/>
      <c r="C235" s="47" t="s">
        <v>235</v>
      </c>
      <c r="D235" s="38"/>
      <c r="E235" s="38"/>
      <c r="F235" s="48" t="s">
        <v>58</v>
      </c>
      <c r="G235" s="49">
        <v>0.15</v>
      </c>
      <c r="H235" s="136"/>
      <c r="I235" s="171"/>
      <c r="J235" s="144"/>
      <c r="K235" s="104">
        <v>1372.095</v>
      </c>
      <c r="L235" s="67">
        <v>88.8</v>
      </c>
      <c r="M235" s="51"/>
      <c r="N235" s="91"/>
      <c r="O235" s="67">
        <f>ROUND(ROUND(L235, 2)*K235, 2)</f>
        <v>121842.04</v>
      </c>
      <c r="P235" s="51"/>
      <c r="Q235" s="51"/>
      <c r="R235" s="50">
        <v>88.8</v>
      </c>
      <c r="S235" s="51"/>
      <c r="T235" s="51"/>
      <c r="U235" s="50">
        <f>ROUND(ROUND(R235, 2)*K235, 2)</f>
        <v>121842.04</v>
      </c>
      <c r="V235" s="51"/>
      <c r="W235" s="52"/>
    </row>
    <row r="236" spans="1:23" ht="36" x14ac:dyDescent="0.35">
      <c r="A236" s="31" t="s">
        <v>433</v>
      </c>
      <c r="B236" s="31"/>
      <c r="C236" s="41" t="s">
        <v>393</v>
      </c>
      <c r="D236" s="33"/>
      <c r="E236" s="33" t="s">
        <v>434</v>
      </c>
      <c r="F236" s="42" t="s">
        <v>58</v>
      </c>
      <c r="G236" s="43">
        <v>1.8</v>
      </c>
      <c r="H236" s="135"/>
      <c r="I236" s="171"/>
      <c r="J236" s="143"/>
      <c r="K236" s="103">
        <v>0</v>
      </c>
      <c r="L236" s="66">
        <v>12.58</v>
      </c>
      <c r="M236" s="45"/>
      <c r="N236" s="91"/>
      <c r="O236" s="66">
        <f>ROUND(ROUND(L236, 2)*K236, 2)</f>
        <v>0</v>
      </c>
      <c r="P236" s="45"/>
      <c r="Q236" s="45"/>
      <c r="R236" s="44">
        <v>12.58</v>
      </c>
      <c r="S236" s="45"/>
      <c r="T236" s="45"/>
      <c r="U236" s="44">
        <f>ROUND(ROUND(R236, 2)*K236, 2)</f>
        <v>0</v>
      </c>
      <c r="V236" s="45"/>
      <c r="W236" s="46"/>
    </row>
    <row r="237" spans="1:23" ht="36" x14ac:dyDescent="0.35">
      <c r="A237" s="36" t="s">
        <v>435</v>
      </c>
      <c r="B237" s="36"/>
      <c r="C237" s="47" t="s">
        <v>393</v>
      </c>
      <c r="D237" s="38"/>
      <c r="E237" s="38" t="s">
        <v>434</v>
      </c>
      <c r="F237" s="48" t="s">
        <v>58</v>
      </c>
      <c r="G237" s="49">
        <v>1.8</v>
      </c>
      <c r="H237" s="136"/>
      <c r="I237" s="171"/>
      <c r="J237" s="144"/>
      <c r="K237" s="104">
        <v>16465.14</v>
      </c>
      <c r="L237" s="67">
        <v>12.58</v>
      </c>
      <c r="M237" s="51"/>
      <c r="N237" s="91"/>
      <c r="O237" s="67">
        <f>ROUND(ROUND(L237, 2)*K237, 2)</f>
        <v>207131.46</v>
      </c>
      <c r="P237" s="51"/>
      <c r="Q237" s="51"/>
      <c r="R237" s="50">
        <v>12.58</v>
      </c>
      <c r="S237" s="51"/>
      <c r="T237" s="51"/>
      <c r="U237" s="50">
        <f>ROUND(ROUND(R237, 2)*K237, 2)</f>
        <v>207131.46</v>
      </c>
      <c r="V237" s="51"/>
      <c r="W237" s="52"/>
    </row>
    <row r="238" spans="1:23" ht="51" customHeight="1" x14ac:dyDescent="0.35">
      <c r="A238" s="20" t="s">
        <v>436</v>
      </c>
      <c r="B238" s="122" t="s">
        <v>437</v>
      </c>
      <c r="C238" s="123" t="s">
        <v>438</v>
      </c>
      <c r="D238" s="124"/>
      <c r="E238" s="124" t="s">
        <v>439</v>
      </c>
      <c r="F238" s="124" t="s">
        <v>55</v>
      </c>
      <c r="G238" s="125">
        <v>1</v>
      </c>
      <c r="H238" s="194">
        <f>1013.18+1059.38+502.64+836.73</f>
        <v>3411.93</v>
      </c>
      <c r="I238" s="165">
        <f>N238*H238</f>
        <v>1931527.6923</v>
      </c>
      <c r="J238" s="193">
        <f>K238-H238</f>
        <v>4716.4699999999993</v>
      </c>
      <c r="K238" s="126">
        <v>8128.4</v>
      </c>
      <c r="L238" s="127">
        <f>IFERROR(ROUND(SUM(O239,O240,O241)/K238, 2),0)</f>
        <v>58.11</v>
      </c>
      <c r="M238" s="128">
        <v>508</v>
      </c>
      <c r="N238" s="90">
        <f>L238+ROUND(M238, 2)</f>
        <v>566.11</v>
      </c>
      <c r="O238" s="62">
        <f>ROUND(L238*K238, 2)</f>
        <v>472341.32</v>
      </c>
      <c r="P238" s="24">
        <f>ROUND(K238*ROUND(M238, 2), 2)</f>
        <v>4129227.2</v>
      </c>
      <c r="Q238" s="24">
        <f>O238+P238</f>
        <v>4601568.5200000005</v>
      </c>
      <c r="R238" s="24">
        <f>IFERROR(ROUND(SUM(U239,U240,U241)/K238, 2),0)</f>
        <v>58.11</v>
      </c>
      <c r="S238" s="24">
        <v>508</v>
      </c>
      <c r="T238" s="24">
        <f>R238+ROUND(S238, 2)</f>
        <v>566.11</v>
      </c>
      <c r="U238" s="24">
        <f>ROUND(R238*K238, 2)</f>
        <v>472341.32</v>
      </c>
      <c r="V238" s="24">
        <f>ROUND(K238*ROUND(S238, 2), 2)</f>
        <v>4129227.2</v>
      </c>
      <c r="W238" s="24">
        <f>U238+V238</f>
        <v>4601568.5200000005</v>
      </c>
    </row>
    <row r="239" spans="1:23" ht="36" x14ac:dyDescent="0.35">
      <c r="A239" s="20" t="s">
        <v>440</v>
      </c>
      <c r="B239" s="20"/>
      <c r="C239" s="14" t="s">
        <v>393</v>
      </c>
      <c r="D239" s="22"/>
      <c r="E239" s="22"/>
      <c r="F239" s="26" t="s">
        <v>58</v>
      </c>
      <c r="G239" s="27">
        <v>1.8</v>
      </c>
      <c r="H239" s="132"/>
      <c r="I239" s="171"/>
      <c r="J239" s="142"/>
      <c r="K239" s="99">
        <v>14631.12</v>
      </c>
      <c r="L239" s="63">
        <v>12.7</v>
      </c>
      <c r="M239" s="29"/>
      <c r="N239" s="91"/>
      <c r="O239" s="63">
        <f>ROUND(ROUND(L239, 2)*K239, 2)</f>
        <v>185815.22</v>
      </c>
      <c r="P239" s="29"/>
      <c r="Q239" s="29"/>
      <c r="R239" s="28">
        <v>12.7</v>
      </c>
      <c r="S239" s="29"/>
      <c r="T239" s="29"/>
      <c r="U239" s="28">
        <f>ROUND(ROUND(R239, 2)*K239, 2)</f>
        <v>185815.22</v>
      </c>
      <c r="V239" s="29"/>
      <c r="W239" s="30"/>
    </row>
    <row r="240" spans="1:23" ht="20" x14ac:dyDescent="0.35">
      <c r="A240" s="20" t="s">
        <v>441</v>
      </c>
      <c r="B240" s="20"/>
      <c r="C240" s="25" t="s">
        <v>420</v>
      </c>
      <c r="D240" s="22"/>
      <c r="E240" s="22"/>
      <c r="F240" s="26" t="s">
        <v>84</v>
      </c>
      <c r="G240" s="27">
        <v>0.3</v>
      </c>
      <c r="H240" s="132"/>
      <c r="I240" s="171"/>
      <c r="J240" s="142"/>
      <c r="K240" s="99">
        <v>2438.52</v>
      </c>
      <c r="L240" s="63">
        <v>73.099999999999994</v>
      </c>
      <c r="M240" s="29"/>
      <c r="N240" s="91"/>
      <c r="O240" s="63">
        <f>ROUND(ROUND(L240, 2)*K240, 2)</f>
        <v>178255.81</v>
      </c>
      <c r="P240" s="29"/>
      <c r="Q240" s="29"/>
      <c r="R240" s="28">
        <v>73.099999999999994</v>
      </c>
      <c r="S240" s="29"/>
      <c r="T240" s="29"/>
      <c r="U240" s="28">
        <f>ROUND(ROUND(R240, 2)*K240, 2)</f>
        <v>178255.81</v>
      </c>
      <c r="V240" s="29"/>
      <c r="W240" s="30"/>
    </row>
    <row r="241" spans="1:23" ht="36" x14ac:dyDescent="0.35">
      <c r="A241" s="20" t="s">
        <v>442</v>
      </c>
      <c r="B241" s="20"/>
      <c r="C241" s="25" t="s">
        <v>235</v>
      </c>
      <c r="D241" s="22"/>
      <c r="E241" s="22"/>
      <c r="F241" s="26" t="s">
        <v>58</v>
      </c>
      <c r="G241" s="27">
        <v>0.15</v>
      </c>
      <c r="H241" s="132"/>
      <c r="I241" s="171"/>
      <c r="J241" s="142"/>
      <c r="K241" s="99">
        <v>1219.26</v>
      </c>
      <c r="L241" s="63">
        <v>88.8</v>
      </c>
      <c r="M241" s="29"/>
      <c r="N241" s="91"/>
      <c r="O241" s="63">
        <f>ROUND(ROUND(L241, 2)*K241, 2)</f>
        <v>108270.29</v>
      </c>
      <c r="P241" s="29"/>
      <c r="Q241" s="29"/>
      <c r="R241" s="28">
        <v>88.8</v>
      </c>
      <c r="S241" s="29"/>
      <c r="T241" s="29"/>
      <c r="U241" s="28">
        <f>ROUND(ROUND(R241, 2)*K241, 2)</f>
        <v>108270.29</v>
      </c>
      <c r="V241" s="29"/>
      <c r="W241" s="30"/>
    </row>
    <row r="242" spans="1:23" ht="54" x14ac:dyDescent="0.35">
      <c r="A242" s="20" t="s">
        <v>443</v>
      </c>
      <c r="B242" s="20" t="s">
        <v>437</v>
      </c>
      <c r="C242" s="21" t="s">
        <v>438</v>
      </c>
      <c r="D242" s="22"/>
      <c r="E242" s="22" t="s">
        <v>444</v>
      </c>
      <c r="F242" s="22" t="s">
        <v>55</v>
      </c>
      <c r="G242" s="23">
        <v>1</v>
      </c>
      <c r="H242" s="131"/>
      <c r="I242" s="171"/>
      <c r="J242" s="142"/>
      <c r="K242" s="98">
        <v>8128.4</v>
      </c>
      <c r="L242" s="62">
        <f>IFERROR(ROUND(SUM(O243,O244)/K242, 2),0)</f>
        <v>73.319999999999993</v>
      </c>
      <c r="M242" s="80">
        <v>508</v>
      </c>
      <c r="N242" s="90">
        <f>L242+ROUND(M242, 2)</f>
        <v>581.31999999999994</v>
      </c>
      <c r="O242" s="62">
        <f>ROUND(L242*K242, 2)</f>
        <v>595974.29</v>
      </c>
      <c r="P242" s="24">
        <f>ROUND(K242*ROUND(M242, 2), 2)</f>
        <v>4129227.2</v>
      </c>
      <c r="Q242" s="24">
        <f>O242+P242</f>
        <v>4725201.49</v>
      </c>
      <c r="R242" s="24">
        <f>IFERROR(ROUND(SUM(U243,U244)/K242, 2),0)</f>
        <v>73.319999999999993</v>
      </c>
      <c r="S242" s="24">
        <v>508</v>
      </c>
      <c r="T242" s="24">
        <f>R242+ROUND(S242, 2)</f>
        <v>581.31999999999994</v>
      </c>
      <c r="U242" s="24">
        <f>ROUND(R242*K242, 2)</f>
        <v>595974.29</v>
      </c>
      <c r="V242" s="24">
        <f>ROUND(K242*ROUND(S242, 2), 2)</f>
        <v>4129227.2</v>
      </c>
      <c r="W242" s="24">
        <f>U242+V242</f>
        <v>4725201.49</v>
      </c>
    </row>
    <row r="243" spans="1:23" ht="36" x14ac:dyDescent="0.35">
      <c r="A243" s="20" t="s">
        <v>445</v>
      </c>
      <c r="B243" s="20"/>
      <c r="C243" s="25" t="s">
        <v>235</v>
      </c>
      <c r="D243" s="22"/>
      <c r="E243" s="22"/>
      <c r="F243" s="26" t="s">
        <v>58</v>
      </c>
      <c r="G243" s="27">
        <v>0.15</v>
      </c>
      <c r="H243" s="132"/>
      <c r="I243" s="171"/>
      <c r="J243" s="142"/>
      <c r="K243" s="99">
        <v>1219.26</v>
      </c>
      <c r="L243" s="63">
        <v>88.8</v>
      </c>
      <c r="M243" s="29"/>
      <c r="N243" s="91"/>
      <c r="O243" s="63">
        <f>ROUND(ROUND(L243, 2)*K243, 2)</f>
        <v>108270.29</v>
      </c>
      <c r="P243" s="29"/>
      <c r="Q243" s="29"/>
      <c r="R243" s="28">
        <v>88.8</v>
      </c>
      <c r="S243" s="29"/>
      <c r="T243" s="29"/>
      <c r="U243" s="28">
        <f>ROUND(ROUND(R243, 2)*K243, 2)</f>
        <v>108270.29</v>
      </c>
      <c r="V243" s="29"/>
      <c r="W243" s="30"/>
    </row>
    <row r="244" spans="1:23" ht="36" x14ac:dyDescent="0.35">
      <c r="A244" s="20" t="s">
        <v>446</v>
      </c>
      <c r="B244" s="20"/>
      <c r="C244" s="25" t="s">
        <v>447</v>
      </c>
      <c r="D244" s="22"/>
      <c r="E244" s="22"/>
      <c r="F244" s="26" t="s">
        <v>58</v>
      </c>
      <c r="G244" s="27">
        <v>1</v>
      </c>
      <c r="H244" s="132"/>
      <c r="I244" s="171"/>
      <c r="J244" s="142"/>
      <c r="K244" s="99">
        <v>8128.4</v>
      </c>
      <c r="L244" s="63">
        <v>60</v>
      </c>
      <c r="M244" s="29"/>
      <c r="N244" s="91"/>
      <c r="O244" s="63">
        <f>ROUND(ROUND(L244, 2)*K244, 2)</f>
        <v>487704</v>
      </c>
      <c r="P244" s="29"/>
      <c r="Q244" s="29"/>
      <c r="R244" s="28">
        <v>60</v>
      </c>
      <c r="S244" s="29"/>
      <c r="T244" s="29"/>
      <c r="U244" s="28">
        <f>ROUND(ROUND(R244, 2)*K244, 2)</f>
        <v>487704</v>
      </c>
      <c r="V244" s="29"/>
      <c r="W244" s="30"/>
    </row>
    <row r="245" spans="1:23" ht="36" x14ac:dyDescent="0.35">
      <c r="A245" s="20" t="s">
        <v>448</v>
      </c>
      <c r="B245" s="20" t="s">
        <v>437</v>
      </c>
      <c r="C245" s="21" t="s">
        <v>438</v>
      </c>
      <c r="D245" s="22"/>
      <c r="E245" s="22" t="s">
        <v>449</v>
      </c>
      <c r="F245" s="22" t="s">
        <v>55</v>
      </c>
      <c r="G245" s="23">
        <v>1</v>
      </c>
      <c r="H245" s="190">
        <f>4137.54</f>
        <v>4137.54</v>
      </c>
      <c r="I245" s="166">
        <f>H245*N245</f>
        <v>2342302.7694000001</v>
      </c>
      <c r="J245" s="195">
        <f>K245-H245</f>
        <v>3236.46</v>
      </c>
      <c r="K245" s="98">
        <v>7374</v>
      </c>
      <c r="L245" s="62">
        <f>IFERROR(ROUND(SUM(O246,O247,O248)/K245, 2),0)</f>
        <v>58.11</v>
      </c>
      <c r="M245" s="80">
        <v>508</v>
      </c>
      <c r="N245" s="90">
        <f>L245+ROUND(M245, 2)</f>
        <v>566.11</v>
      </c>
      <c r="O245" s="62">
        <f>ROUND(L245*K245, 2)</f>
        <v>428503.14</v>
      </c>
      <c r="P245" s="24">
        <f>ROUND(K245*ROUND(M245, 2), 2)</f>
        <v>3745992</v>
      </c>
      <c r="Q245" s="24">
        <f>O245+P245</f>
        <v>4174495.14</v>
      </c>
      <c r="R245" s="24">
        <f>IFERROR(ROUND(SUM(U246,U247,U248)/K245, 2),0)</f>
        <v>58.11</v>
      </c>
      <c r="S245" s="24">
        <v>508</v>
      </c>
      <c r="T245" s="24">
        <f>R245+ROUND(S245, 2)</f>
        <v>566.11</v>
      </c>
      <c r="U245" s="24">
        <f>ROUND(R245*K245, 2)</f>
        <v>428503.14</v>
      </c>
      <c r="V245" s="24">
        <f>ROUND(K245*ROUND(S245, 2), 2)</f>
        <v>3745992</v>
      </c>
      <c r="W245" s="24">
        <f>U245+V245</f>
        <v>4174495.14</v>
      </c>
    </row>
    <row r="246" spans="1:23" ht="36" x14ac:dyDescent="0.35">
      <c r="A246" s="20" t="s">
        <v>450</v>
      </c>
      <c r="B246" s="20"/>
      <c r="C246" s="25" t="s">
        <v>235</v>
      </c>
      <c r="D246" s="22"/>
      <c r="E246" s="22"/>
      <c r="F246" s="26" t="s">
        <v>58</v>
      </c>
      <c r="G246" s="27">
        <v>0.15</v>
      </c>
      <c r="H246" s="132"/>
      <c r="I246" s="171"/>
      <c r="J246" s="142"/>
      <c r="K246" s="99">
        <v>1106.0999999999999</v>
      </c>
      <c r="L246" s="63">
        <v>88.8</v>
      </c>
      <c r="M246" s="29"/>
      <c r="N246" s="91"/>
      <c r="O246" s="63">
        <f>ROUND(ROUND(L246, 2)*K246, 2)</f>
        <v>98221.68</v>
      </c>
      <c r="P246" s="29"/>
      <c r="Q246" s="29"/>
      <c r="R246" s="28">
        <v>88.8</v>
      </c>
      <c r="S246" s="29"/>
      <c r="T246" s="29"/>
      <c r="U246" s="28">
        <f>ROUND(ROUND(R246, 2)*K246, 2)</f>
        <v>98221.68</v>
      </c>
      <c r="V246" s="29"/>
      <c r="W246" s="30"/>
    </row>
    <row r="247" spans="1:23" ht="20" x14ac:dyDescent="0.35">
      <c r="A247" s="20" t="s">
        <v>451</v>
      </c>
      <c r="B247" s="20"/>
      <c r="C247" s="25" t="s">
        <v>420</v>
      </c>
      <c r="D247" s="22"/>
      <c r="E247" s="22"/>
      <c r="F247" s="26" t="s">
        <v>84</v>
      </c>
      <c r="G247" s="27">
        <v>0.3</v>
      </c>
      <c r="H247" s="132"/>
      <c r="I247" s="171"/>
      <c r="J247" s="142"/>
      <c r="K247" s="99">
        <v>2212.1999999999998</v>
      </c>
      <c r="L247" s="63">
        <v>73.099999999999994</v>
      </c>
      <c r="M247" s="29"/>
      <c r="N247" s="91"/>
      <c r="O247" s="63">
        <f>ROUND(ROUND(L247, 2)*K247, 2)</f>
        <v>161711.82</v>
      </c>
      <c r="P247" s="29"/>
      <c r="Q247" s="29"/>
      <c r="R247" s="28">
        <v>73.099999999999994</v>
      </c>
      <c r="S247" s="29"/>
      <c r="T247" s="29"/>
      <c r="U247" s="28">
        <f>ROUND(ROUND(R247, 2)*K247, 2)</f>
        <v>161711.82</v>
      </c>
      <c r="V247" s="29"/>
      <c r="W247" s="30"/>
    </row>
    <row r="248" spans="1:23" ht="36" x14ac:dyDescent="0.35">
      <c r="A248" s="20" t="s">
        <v>452</v>
      </c>
      <c r="B248" s="20"/>
      <c r="C248" s="14" t="s">
        <v>393</v>
      </c>
      <c r="D248" s="22"/>
      <c r="E248" s="22"/>
      <c r="F248" s="26" t="s">
        <v>58</v>
      </c>
      <c r="G248" s="27">
        <v>1.8</v>
      </c>
      <c r="H248" s="132"/>
      <c r="I248" s="171"/>
      <c r="J248" s="142"/>
      <c r="K248" s="99">
        <v>13273.2</v>
      </c>
      <c r="L248" s="63">
        <v>12.7</v>
      </c>
      <c r="M248" s="29"/>
      <c r="N248" s="91"/>
      <c r="O248" s="63">
        <f>ROUND(ROUND(L248, 2)*K248, 2)</f>
        <v>168569.64</v>
      </c>
      <c r="P248" s="29"/>
      <c r="Q248" s="29"/>
      <c r="R248" s="28">
        <v>12.7</v>
      </c>
      <c r="S248" s="29"/>
      <c r="T248" s="29"/>
      <c r="U248" s="28">
        <f>ROUND(ROUND(R248, 2)*K248, 2)</f>
        <v>168569.64</v>
      </c>
      <c r="V248" s="29"/>
      <c r="W248" s="30"/>
    </row>
    <row r="249" spans="1:23" ht="54" x14ac:dyDescent="0.35">
      <c r="A249" s="20" t="s">
        <v>453</v>
      </c>
      <c r="B249" s="20" t="s">
        <v>437</v>
      </c>
      <c r="C249" s="21" t="s">
        <v>438</v>
      </c>
      <c r="D249" s="22"/>
      <c r="E249" s="22" t="s">
        <v>454</v>
      </c>
      <c r="F249" s="22" t="s">
        <v>55</v>
      </c>
      <c r="G249" s="23">
        <v>1</v>
      </c>
      <c r="H249" s="131"/>
      <c r="I249" s="171"/>
      <c r="J249" s="142"/>
      <c r="K249" s="98">
        <v>7374</v>
      </c>
      <c r="L249" s="62">
        <f>IFERROR(ROUND(SUM(O250,O251)/K249, 2),0)</f>
        <v>73.319999999999993</v>
      </c>
      <c r="M249" s="80">
        <v>508</v>
      </c>
      <c r="N249" s="90">
        <f>L249+ROUND(M249, 2)</f>
        <v>581.31999999999994</v>
      </c>
      <c r="O249" s="62">
        <f>ROUND(L249*K249, 2)</f>
        <v>540661.68000000005</v>
      </c>
      <c r="P249" s="24">
        <f>ROUND(K249*ROUND(M249, 2), 2)</f>
        <v>3745992</v>
      </c>
      <c r="Q249" s="24">
        <f>O249+P249</f>
        <v>4286653.68</v>
      </c>
      <c r="R249" s="24">
        <f>IFERROR(ROUND(SUM(U250,U251)/K249, 2),0)</f>
        <v>73.319999999999993</v>
      </c>
      <c r="S249" s="24">
        <v>508</v>
      </c>
      <c r="T249" s="24">
        <f>R249+ROUND(S249, 2)</f>
        <v>581.31999999999994</v>
      </c>
      <c r="U249" s="24">
        <f>ROUND(R249*K249, 2)</f>
        <v>540661.68000000005</v>
      </c>
      <c r="V249" s="24">
        <f>ROUND(K249*ROUND(S249, 2), 2)</f>
        <v>3745992</v>
      </c>
      <c r="W249" s="24">
        <f>U249+V249</f>
        <v>4286653.68</v>
      </c>
    </row>
    <row r="250" spans="1:23" ht="36" x14ac:dyDescent="0.35">
      <c r="A250" s="20" t="s">
        <v>455</v>
      </c>
      <c r="B250" s="20"/>
      <c r="C250" s="25" t="s">
        <v>235</v>
      </c>
      <c r="D250" s="22"/>
      <c r="E250" s="22"/>
      <c r="F250" s="26" t="s">
        <v>58</v>
      </c>
      <c r="G250" s="27">
        <v>0.15</v>
      </c>
      <c r="H250" s="132"/>
      <c r="I250" s="171"/>
      <c r="J250" s="142"/>
      <c r="K250" s="99">
        <v>1106.0999999999999</v>
      </c>
      <c r="L250" s="63">
        <v>88.8</v>
      </c>
      <c r="M250" s="29"/>
      <c r="N250" s="91"/>
      <c r="O250" s="63">
        <f>ROUND(ROUND(L250, 2)*K250, 2)</f>
        <v>98221.68</v>
      </c>
      <c r="P250" s="29"/>
      <c r="Q250" s="29"/>
      <c r="R250" s="28">
        <v>88.8</v>
      </c>
      <c r="S250" s="29"/>
      <c r="T250" s="29"/>
      <c r="U250" s="28">
        <f>ROUND(ROUND(R250, 2)*K250, 2)</f>
        <v>98221.68</v>
      </c>
      <c r="V250" s="29"/>
      <c r="W250" s="30"/>
    </row>
    <row r="251" spans="1:23" ht="36" x14ac:dyDescent="0.35">
      <c r="A251" s="20" t="s">
        <v>456</v>
      </c>
      <c r="B251" s="20"/>
      <c r="C251" s="25" t="s">
        <v>447</v>
      </c>
      <c r="D251" s="22"/>
      <c r="E251" s="22"/>
      <c r="F251" s="26" t="s">
        <v>58</v>
      </c>
      <c r="G251" s="27">
        <v>1</v>
      </c>
      <c r="H251" s="132"/>
      <c r="I251" s="171"/>
      <c r="J251" s="142"/>
      <c r="K251" s="99">
        <v>7374</v>
      </c>
      <c r="L251" s="63">
        <v>60</v>
      </c>
      <c r="M251" s="29"/>
      <c r="N251" s="91"/>
      <c r="O251" s="63">
        <f>ROUND(ROUND(L251, 2)*K251, 2)</f>
        <v>442440</v>
      </c>
      <c r="P251" s="29"/>
      <c r="Q251" s="29"/>
      <c r="R251" s="28">
        <v>60</v>
      </c>
      <c r="S251" s="29"/>
      <c r="T251" s="29"/>
      <c r="U251" s="28">
        <f>ROUND(ROUND(R251, 2)*K251, 2)</f>
        <v>442440</v>
      </c>
      <c r="V251" s="29"/>
      <c r="W251" s="30"/>
    </row>
    <row r="252" spans="1:23" ht="36" x14ac:dyDescent="0.35">
      <c r="A252" s="20" t="s">
        <v>457</v>
      </c>
      <c r="B252" s="20" t="s">
        <v>437</v>
      </c>
      <c r="C252" s="21" t="s">
        <v>438</v>
      </c>
      <c r="D252" s="22"/>
      <c r="E252" s="22" t="s">
        <v>458</v>
      </c>
      <c r="F252" s="22" t="s">
        <v>55</v>
      </c>
      <c r="G252" s="23">
        <v>1</v>
      </c>
      <c r="H252" s="131"/>
      <c r="I252" s="171"/>
      <c r="J252" s="142"/>
      <c r="K252" s="98">
        <v>982.8</v>
      </c>
      <c r="L252" s="62">
        <f>IFERROR(ROUND(SUM(O253,O254,O255)/K252, 2),0)</f>
        <v>81.25</v>
      </c>
      <c r="M252" s="80">
        <v>508</v>
      </c>
      <c r="N252" s="90">
        <f>L252+ROUND(M252, 2)</f>
        <v>589.25</v>
      </c>
      <c r="O252" s="62">
        <f>ROUND(L252*K252, 2)</f>
        <v>79852.5</v>
      </c>
      <c r="P252" s="24">
        <f>ROUND(K252*ROUND(M252, 2), 2)</f>
        <v>499262.4</v>
      </c>
      <c r="Q252" s="24">
        <f>O252+P252</f>
        <v>579114.9</v>
      </c>
      <c r="R252" s="24">
        <f>IFERROR(ROUND(SUM(U253,U254,U255)/K252, 2),0)</f>
        <v>81.25</v>
      </c>
      <c r="S252" s="24">
        <v>508</v>
      </c>
      <c r="T252" s="24">
        <f>R252+ROUND(S252, 2)</f>
        <v>589.25</v>
      </c>
      <c r="U252" s="24">
        <f>ROUND(R252*K252, 2)</f>
        <v>79852.5</v>
      </c>
      <c r="V252" s="24">
        <f>ROUND(K252*ROUND(S252, 2), 2)</f>
        <v>499262.4</v>
      </c>
      <c r="W252" s="24">
        <f>U252+V252</f>
        <v>579114.9</v>
      </c>
    </row>
    <row r="253" spans="1:23" ht="36" x14ac:dyDescent="0.35">
      <c r="A253" s="20" t="s">
        <v>459</v>
      </c>
      <c r="B253" s="20"/>
      <c r="C253" s="25" t="s">
        <v>235</v>
      </c>
      <c r="D253" s="22"/>
      <c r="E253" s="22"/>
      <c r="F253" s="26" t="s">
        <v>58</v>
      </c>
      <c r="G253" s="27">
        <v>0.15</v>
      </c>
      <c r="H253" s="132"/>
      <c r="I253" s="171"/>
      <c r="J253" s="142"/>
      <c r="K253" s="99">
        <v>147.41999999999999</v>
      </c>
      <c r="L253" s="63">
        <v>88.8</v>
      </c>
      <c r="M253" s="29"/>
      <c r="N253" s="91"/>
      <c r="O253" s="63">
        <f>ROUND(ROUND(L253, 2)*K253, 2)</f>
        <v>13090.9</v>
      </c>
      <c r="P253" s="29"/>
      <c r="Q253" s="29"/>
      <c r="R253" s="28">
        <v>88.8</v>
      </c>
      <c r="S253" s="29"/>
      <c r="T253" s="29"/>
      <c r="U253" s="28">
        <f>ROUND(ROUND(R253, 2)*K253, 2)</f>
        <v>13090.9</v>
      </c>
      <c r="V253" s="29"/>
      <c r="W253" s="30"/>
    </row>
    <row r="254" spans="1:23" ht="20" x14ac:dyDescent="0.35">
      <c r="A254" s="20" t="s">
        <v>460</v>
      </c>
      <c r="B254" s="20"/>
      <c r="C254" s="25" t="s">
        <v>420</v>
      </c>
      <c r="D254" s="22"/>
      <c r="E254" s="22"/>
      <c r="F254" s="26" t="s">
        <v>84</v>
      </c>
      <c r="G254" s="27">
        <v>0.3</v>
      </c>
      <c r="H254" s="132"/>
      <c r="I254" s="171"/>
      <c r="J254" s="142"/>
      <c r="K254" s="99">
        <v>294.83999999999997</v>
      </c>
      <c r="L254" s="63">
        <v>73.099999999999994</v>
      </c>
      <c r="M254" s="29"/>
      <c r="N254" s="91"/>
      <c r="O254" s="63">
        <f>ROUND(ROUND(L254, 2)*K254, 2)</f>
        <v>21552.799999999999</v>
      </c>
      <c r="P254" s="29"/>
      <c r="Q254" s="29"/>
      <c r="R254" s="28">
        <v>73.099999999999994</v>
      </c>
      <c r="S254" s="29"/>
      <c r="T254" s="29"/>
      <c r="U254" s="28">
        <f>ROUND(ROUND(R254, 2)*K254, 2)</f>
        <v>21552.799999999999</v>
      </c>
      <c r="V254" s="29"/>
      <c r="W254" s="30"/>
    </row>
    <row r="255" spans="1:23" ht="20" x14ac:dyDescent="0.35">
      <c r="A255" s="20" t="s">
        <v>461</v>
      </c>
      <c r="B255" s="20"/>
      <c r="C255" s="25" t="s">
        <v>462</v>
      </c>
      <c r="D255" s="22"/>
      <c r="E255" s="22"/>
      <c r="F255" s="26" t="s">
        <v>58</v>
      </c>
      <c r="G255" s="27">
        <v>2</v>
      </c>
      <c r="H255" s="132"/>
      <c r="I255" s="171"/>
      <c r="J255" s="142"/>
      <c r="K255" s="99">
        <v>1965.6</v>
      </c>
      <c r="L255" s="63">
        <v>23</v>
      </c>
      <c r="M255" s="29"/>
      <c r="N255" s="91"/>
      <c r="O255" s="63">
        <f>ROUND(ROUND(L255, 2)*K255, 2)</f>
        <v>45208.800000000003</v>
      </c>
      <c r="P255" s="29"/>
      <c r="Q255" s="29"/>
      <c r="R255" s="28">
        <v>23</v>
      </c>
      <c r="S255" s="29"/>
      <c r="T255" s="29"/>
      <c r="U255" s="28">
        <f>ROUND(ROUND(R255, 2)*K255, 2)</f>
        <v>45208.800000000003</v>
      </c>
      <c r="V255" s="29"/>
      <c r="W255" s="30"/>
    </row>
    <row r="256" spans="1:23" ht="54" x14ac:dyDescent="0.35">
      <c r="A256" s="20" t="s">
        <v>463</v>
      </c>
      <c r="B256" s="20" t="s">
        <v>437</v>
      </c>
      <c r="C256" s="21" t="s">
        <v>438</v>
      </c>
      <c r="D256" s="22"/>
      <c r="E256" s="22" t="s">
        <v>464</v>
      </c>
      <c r="F256" s="22" t="s">
        <v>55</v>
      </c>
      <c r="G256" s="23">
        <v>1</v>
      </c>
      <c r="H256" s="131"/>
      <c r="I256" s="171"/>
      <c r="J256" s="142"/>
      <c r="K256" s="98">
        <v>982.8</v>
      </c>
      <c r="L256" s="62">
        <f>IFERROR(ROUND(SUM(O257,O258)/K256, 2),0)</f>
        <v>59.32</v>
      </c>
      <c r="M256" s="80">
        <v>508</v>
      </c>
      <c r="N256" s="90">
        <f>L256+ROUND(M256, 2)</f>
        <v>567.32000000000005</v>
      </c>
      <c r="O256" s="62">
        <f>ROUND(L256*K256, 2)</f>
        <v>58299.7</v>
      </c>
      <c r="P256" s="24">
        <f>ROUND(K256*ROUND(M256, 2), 2)</f>
        <v>499262.4</v>
      </c>
      <c r="Q256" s="24">
        <f>O256+P256</f>
        <v>557562.1</v>
      </c>
      <c r="R256" s="24">
        <f>IFERROR(ROUND(SUM(U257,U258)/K256, 2),0)</f>
        <v>59.32</v>
      </c>
      <c r="S256" s="24">
        <v>508</v>
      </c>
      <c r="T256" s="24">
        <f>R256+ROUND(S256, 2)</f>
        <v>567.32000000000005</v>
      </c>
      <c r="U256" s="24">
        <f>ROUND(R256*K256, 2)</f>
        <v>58299.7</v>
      </c>
      <c r="V256" s="24">
        <f>ROUND(K256*ROUND(S256, 2), 2)</f>
        <v>499262.4</v>
      </c>
      <c r="W256" s="24">
        <f>U256+V256</f>
        <v>557562.1</v>
      </c>
    </row>
    <row r="257" spans="1:23" ht="36" x14ac:dyDescent="0.35">
      <c r="A257" s="20" t="s">
        <v>465</v>
      </c>
      <c r="B257" s="20"/>
      <c r="C257" s="25" t="s">
        <v>235</v>
      </c>
      <c r="D257" s="22"/>
      <c r="E257" s="22"/>
      <c r="F257" s="26" t="s">
        <v>58</v>
      </c>
      <c r="G257" s="27">
        <v>0.15</v>
      </c>
      <c r="H257" s="132"/>
      <c r="I257" s="171"/>
      <c r="J257" s="142"/>
      <c r="K257" s="99">
        <v>147.41999999999999</v>
      </c>
      <c r="L257" s="63">
        <v>88.8</v>
      </c>
      <c r="M257" s="29"/>
      <c r="N257" s="91"/>
      <c r="O257" s="63">
        <f>ROUND(ROUND(L257, 2)*K257, 2)</f>
        <v>13090.9</v>
      </c>
      <c r="P257" s="29"/>
      <c r="Q257" s="29"/>
      <c r="R257" s="28">
        <v>88.8</v>
      </c>
      <c r="S257" s="29"/>
      <c r="T257" s="29"/>
      <c r="U257" s="28">
        <f>ROUND(ROUND(R257, 2)*K257, 2)</f>
        <v>13090.9</v>
      </c>
      <c r="V257" s="29"/>
      <c r="W257" s="30"/>
    </row>
    <row r="258" spans="1:23" ht="20" x14ac:dyDescent="0.35">
      <c r="A258" s="20" t="s">
        <v>466</v>
      </c>
      <c r="B258" s="20"/>
      <c r="C258" s="25" t="s">
        <v>462</v>
      </c>
      <c r="D258" s="22"/>
      <c r="E258" s="22"/>
      <c r="F258" s="26" t="s">
        <v>58</v>
      </c>
      <c r="G258" s="27">
        <v>2</v>
      </c>
      <c r="H258" s="132"/>
      <c r="I258" s="171"/>
      <c r="J258" s="142"/>
      <c r="K258" s="99">
        <v>1965.6</v>
      </c>
      <c r="L258" s="63">
        <v>23</v>
      </c>
      <c r="M258" s="29"/>
      <c r="N258" s="91"/>
      <c r="O258" s="63">
        <f>ROUND(ROUND(L258, 2)*K258, 2)</f>
        <v>45208.800000000003</v>
      </c>
      <c r="P258" s="29"/>
      <c r="Q258" s="29"/>
      <c r="R258" s="28">
        <v>23</v>
      </c>
      <c r="S258" s="29"/>
      <c r="T258" s="29"/>
      <c r="U258" s="28">
        <f>ROUND(ROUND(R258, 2)*K258, 2)</f>
        <v>45208.800000000003</v>
      </c>
      <c r="V258" s="29"/>
      <c r="W258" s="30"/>
    </row>
    <row r="259" spans="1:23" ht="36" x14ac:dyDescent="0.35">
      <c r="A259" s="20" t="s">
        <v>467</v>
      </c>
      <c r="B259" s="20" t="s">
        <v>437</v>
      </c>
      <c r="C259" s="21" t="s">
        <v>438</v>
      </c>
      <c r="D259" s="22"/>
      <c r="E259" s="22" t="s">
        <v>468</v>
      </c>
      <c r="F259" s="22" t="s">
        <v>55</v>
      </c>
      <c r="G259" s="23">
        <v>1</v>
      </c>
      <c r="H259" s="131"/>
      <c r="I259" s="171"/>
      <c r="J259" s="142"/>
      <c r="K259" s="98">
        <v>726.6</v>
      </c>
      <c r="L259" s="62">
        <f>IFERROR(ROUND(SUM(O260,O261,O262)/K259, 2),0)</f>
        <v>81.25</v>
      </c>
      <c r="M259" s="80">
        <v>508</v>
      </c>
      <c r="N259" s="90">
        <f>L259+ROUND(M259, 2)</f>
        <v>589.25</v>
      </c>
      <c r="O259" s="62">
        <f>ROUND(L259*K259, 2)</f>
        <v>59036.25</v>
      </c>
      <c r="P259" s="24">
        <f>ROUND(K259*ROUND(M259, 2), 2)</f>
        <v>369112.8</v>
      </c>
      <c r="Q259" s="24">
        <f>O259+P259</f>
        <v>428149.05</v>
      </c>
      <c r="R259" s="24">
        <f>IFERROR(ROUND(SUM(U260,U261,U262)/K259, 2),0)</f>
        <v>81.25</v>
      </c>
      <c r="S259" s="24">
        <v>508</v>
      </c>
      <c r="T259" s="24">
        <f>R259+ROUND(S259, 2)</f>
        <v>589.25</v>
      </c>
      <c r="U259" s="24">
        <f>ROUND(R259*K259, 2)</f>
        <v>59036.25</v>
      </c>
      <c r="V259" s="24">
        <f>ROUND(K259*ROUND(S259, 2), 2)</f>
        <v>369112.8</v>
      </c>
      <c r="W259" s="24">
        <f>U259+V259</f>
        <v>428149.05</v>
      </c>
    </row>
    <row r="260" spans="1:23" ht="36" x14ac:dyDescent="0.35">
      <c r="A260" s="20" t="s">
        <v>469</v>
      </c>
      <c r="B260" s="20"/>
      <c r="C260" s="25" t="s">
        <v>235</v>
      </c>
      <c r="D260" s="22"/>
      <c r="E260" s="22"/>
      <c r="F260" s="26" t="s">
        <v>58</v>
      </c>
      <c r="G260" s="27">
        <v>0.15</v>
      </c>
      <c r="H260" s="132"/>
      <c r="I260" s="171"/>
      <c r="J260" s="142"/>
      <c r="K260" s="99">
        <v>108.99</v>
      </c>
      <c r="L260" s="63">
        <v>88.8</v>
      </c>
      <c r="M260" s="29"/>
      <c r="N260" s="91"/>
      <c r="O260" s="63">
        <f>ROUND(ROUND(L260, 2)*K260, 2)</f>
        <v>9678.31</v>
      </c>
      <c r="P260" s="29"/>
      <c r="Q260" s="29"/>
      <c r="R260" s="28">
        <v>88.8</v>
      </c>
      <c r="S260" s="29"/>
      <c r="T260" s="29"/>
      <c r="U260" s="28">
        <f>ROUND(ROUND(R260, 2)*K260, 2)</f>
        <v>9678.31</v>
      </c>
      <c r="V260" s="29"/>
      <c r="W260" s="30"/>
    </row>
    <row r="261" spans="1:23" ht="20" x14ac:dyDescent="0.35">
      <c r="A261" s="20" t="s">
        <v>470</v>
      </c>
      <c r="B261" s="20"/>
      <c r="C261" s="25" t="s">
        <v>420</v>
      </c>
      <c r="D261" s="22"/>
      <c r="E261" s="22"/>
      <c r="F261" s="26" t="s">
        <v>84</v>
      </c>
      <c r="G261" s="27">
        <v>0.3</v>
      </c>
      <c r="H261" s="132"/>
      <c r="I261" s="171"/>
      <c r="J261" s="142"/>
      <c r="K261" s="99">
        <v>217.98</v>
      </c>
      <c r="L261" s="63">
        <v>73.099999999999994</v>
      </c>
      <c r="M261" s="29"/>
      <c r="N261" s="91"/>
      <c r="O261" s="63">
        <f>ROUND(ROUND(L261, 2)*K261, 2)</f>
        <v>15934.34</v>
      </c>
      <c r="P261" s="29"/>
      <c r="Q261" s="29"/>
      <c r="R261" s="28">
        <v>73.099999999999994</v>
      </c>
      <c r="S261" s="29"/>
      <c r="T261" s="29"/>
      <c r="U261" s="28">
        <f>ROUND(ROUND(R261, 2)*K261, 2)</f>
        <v>15934.34</v>
      </c>
      <c r="V261" s="29"/>
      <c r="W261" s="30"/>
    </row>
    <row r="262" spans="1:23" ht="20" x14ac:dyDescent="0.35">
      <c r="A262" s="20" t="s">
        <v>471</v>
      </c>
      <c r="B262" s="20"/>
      <c r="C262" s="25" t="s">
        <v>462</v>
      </c>
      <c r="D262" s="22"/>
      <c r="E262" s="22"/>
      <c r="F262" s="26" t="s">
        <v>58</v>
      </c>
      <c r="G262" s="27">
        <v>2</v>
      </c>
      <c r="H262" s="132"/>
      <c r="I262" s="171"/>
      <c r="J262" s="142"/>
      <c r="K262" s="99">
        <v>1453.2</v>
      </c>
      <c r="L262" s="63">
        <v>23</v>
      </c>
      <c r="M262" s="29"/>
      <c r="N262" s="91"/>
      <c r="O262" s="63">
        <f>ROUND(ROUND(L262, 2)*K262, 2)</f>
        <v>33423.599999999999</v>
      </c>
      <c r="P262" s="29"/>
      <c r="Q262" s="29"/>
      <c r="R262" s="28">
        <v>23</v>
      </c>
      <c r="S262" s="29"/>
      <c r="T262" s="29"/>
      <c r="U262" s="28">
        <f>ROUND(ROUND(R262, 2)*K262, 2)</f>
        <v>33423.599999999999</v>
      </c>
      <c r="V262" s="29"/>
      <c r="W262" s="30"/>
    </row>
    <row r="263" spans="1:23" ht="54" x14ac:dyDescent="0.35">
      <c r="A263" s="20" t="s">
        <v>472</v>
      </c>
      <c r="B263" s="20" t="s">
        <v>437</v>
      </c>
      <c r="C263" s="21" t="s">
        <v>438</v>
      </c>
      <c r="D263" s="22"/>
      <c r="E263" s="22" t="s">
        <v>473</v>
      </c>
      <c r="F263" s="22" t="s">
        <v>55</v>
      </c>
      <c r="G263" s="23">
        <v>1</v>
      </c>
      <c r="H263" s="131"/>
      <c r="I263" s="171"/>
      <c r="J263" s="142"/>
      <c r="K263" s="98">
        <v>726.6</v>
      </c>
      <c r="L263" s="62">
        <f>IFERROR(ROUND(SUM(O264,O265)/K263, 2),0)</f>
        <v>59.32</v>
      </c>
      <c r="M263" s="80">
        <v>508</v>
      </c>
      <c r="N263" s="90">
        <f>L263+ROUND(M263, 2)</f>
        <v>567.32000000000005</v>
      </c>
      <c r="O263" s="62">
        <f>ROUND(L263*K263, 2)</f>
        <v>43101.91</v>
      </c>
      <c r="P263" s="24">
        <f>ROUND(K263*ROUND(M263, 2), 2)</f>
        <v>369112.8</v>
      </c>
      <c r="Q263" s="24">
        <f>O263+P263</f>
        <v>412214.70999999996</v>
      </c>
      <c r="R263" s="24">
        <f>IFERROR(ROUND(SUM(U264,U265)/K263, 2),0)</f>
        <v>59.32</v>
      </c>
      <c r="S263" s="24">
        <v>508</v>
      </c>
      <c r="T263" s="24">
        <f>R263+ROUND(S263, 2)</f>
        <v>567.32000000000005</v>
      </c>
      <c r="U263" s="24">
        <f>ROUND(R263*K263, 2)</f>
        <v>43101.91</v>
      </c>
      <c r="V263" s="24">
        <f>ROUND(K263*ROUND(S263, 2), 2)</f>
        <v>369112.8</v>
      </c>
      <c r="W263" s="24">
        <f>U263+V263</f>
        <v>412214.70999999996</v>
      </c>
    </row>
    <row r="264" spans="1:23" ht="36" x14ac:dyDescent="0.35">
      <c r="A264" s="20" t="s">
        <v>474</v>
      </c>
      <c r="B264" s="20"/>
      <c r="C264" s="25" t="s">
        <v>235</v>
      </c>
      <c r="D264" s="22"/>
      <c r="E264" s="22"/>
      <c r="F264" s="26" t="s">
        <v>58</v>
      </c>
      <c r="G264" s="27">
        <v>0.15</v>
      </c>
      <c r="H264" s="132"/>
      <c r="I264" s="171"/>
      <c r="J264" s="142"/>
      <c r="K264" s="99">
        <v>108.99</v>
      </c>
      <c r="L264" s="63">
        <v>88.8</v>
      </c>
      <c r="M264" s="29"/>
      <c r="N264" s="91"/>
      <c r="O264" s="63">
        <f>ROUND(ROUND(L264, 2)*K264, 2)</f>
        <v>9678.31</v>
      </c>
      <c r="P264" s="29"/>
      <c r="Q264" s="29"/>
      <c r="R264" s="28">
        <v>88.8</v>
      </c>
      <c r="S264" s="29"/>
      <c r="T264" s="29"/>
      <c r="U264" s="28">
        <f>ROUND(ROUND(R264, 2)*K264, 2)</f>
        <v>9678.31</v>
      </c>
      <c r="V264" s="29"/>
      <c r="W264" s="30"/>
    </row>
    <row r="265" spans="1:23" ht="20" x14ac:dyDescent="0.35">
      <c r="A265" s="20" t="s">
        <v>475</v>
      </c>
      <c r="B265" s="20"/>
      <c r="C265" s="25" t="s">
        <v>462</v>
      </c>
      <c r="D265" s="22"/>
      <c r="E265" s="22"/>
      <c r="F265" s="26" t="s">
        <v>58</v>
      </c>
      <c r="G265" s="27">
        <v>2</v>
      </c>
      <c r="H265" s="132"/>
      <c r="I265" s="171"/>
      <c r="J265" s="142"/>
      <c r="K265" s="99">
        <v>1453.2</v>
      </c>
      <c r="L265" s="63">
        <v>23</v>
      </c>
      <c r="M265" s="29"/>
      <c r="N265" s="91"/>
      <c r="O265" s="63">
        <f>ROUND(ROUND(L265, 2)*K265, 2)</f>
        <v>33423.599999999999</v>
      </c>
      <c r="P265" s="29"/>
      <c r="Q265" s="29"/>
      <c r="R265" s="28">
        <v>23</v>
      </c>
      <c r="S265" s="29"/>
      <c r="T265" s="29"/>
      <c r="U265" s="28">
        <f>ROUND(ROUND(R265, 2)*K265, 2)</f>
        <v>33423.599999999999</v>
      </c>
      <c r="V265" s="29"/>
      <c r="W265" s="30"/>
    </row>
    <row r="266" spans="1:23" ht="36" x14ac:dyDescent="0.35">
      <c r="A266" s="20" t="s">
        <v>476</v>
      </c>
      <c r="B266" s="20" t="s">
        <v>437</v>
      </c>
      <c r="C266" s="21" t="s">
        <v>438</v>
      </c>
      <c r="D266" s="22"/>
      <c r="E266" s="22" t="s">
        <v>477</v>
      </c>
      <c r="F266" s="22" t="s">
        <v>55</v>
      </c>
      <c r="G266" s="23">
        <v>1</v>
      </c>
      <c r="H266" s="131"/>
      <c r="I266" s="171"/>
      <c r="J266" s="142"/>
      <c r="K266" s="98">
        <v>8128.4</v>
      </c>
      <c r="L266" s="62">
        <f>IFERROR(ROUND(SUM(O267,O268)/K266, 2),0)</f>
        <v>36.18</v>
      </c>
      <c r="M266" s="80">
        <v>508</v>
      </c>
      <c r="N266" s="90">
        <f>L266+ROUND(M266, 2)</f>
        <v>544.17999999999995</v>
      </c>
      <c r="O266" s="62">
        <f>ROUND(L266*K266, 2)</f>
        <v>294085.51</v>
      </c>
      <c r="P266" s="24">
        <f>ROUND(K266*ROUND(M266, 2), 2)</f>
        <v>4129227.2</v>
      </c>
      <c r="Q266" s="24">
        <f>O266+P266</f>
        <v>4423312.71</v>
      </c>
      <c r="R266" s="24">
        <f>IFERROR(ROUND(SUM(U267,U268)/K266, 2),0)</f>
        <v>36.18</v>
      </c>
      <c r="S266" s="24">
        <v>508</v>
      </c>
      <c r="T266" s="24">
        <f>R266+ROUND(S266, 2)</f>
        <v>544.17999999999995</v>
      </c>
      <c r="U266" s="24">
        <f>ROUND(R266*K266, 2)</f>
        <v>294085.51</v>
      </c>
      <c r="V266" s="24">
        <f>ROUND(K266*ROUND(S266, 2), 2)</f>
        <v>4129227.2</v>
      </c>
      <c r="W266" s="24">
        <f>U266+V266</f>
        <v>4423312.71</v>
      </c>
    </row>
    <row r="267" spans="1:23" ht="36" x14ac:dyDescent="0.35">
      <c r="A267" s="20" t="s">
        <v>478</v>
      </c>
      <c r="B267" s="20"/>
      <c r="C267" s="25" t="s">
        <v>235</v>
      </c>
      <c r="D267" s="22"/>
      <c r="E267" s="22"/>
      <c r="F267" s="26" t="s">
        <v>58</v>
      </c>
      <c r="G267" s="27">
        <v>0.15</v>
      </c>
      <c r="H267" s="132"/>
      <c r="I267" s="171"/>
      <c r="J267" s="142"/>
      <c r="K267" s="99">
        <v>1219.26</v>
      </c>
      <c r="L267" s="63">
        <v>88.8</v>
      </c>
      <c r="M267" s="29"/>
      <c r="N267" s="91"/>
      <c r="O267" s="63">
        <f>ROUND(ROUND(L267, 2)*K267, 2)</f>
        <v>108270.29</v>
      </c>
      <c r="P267" s="29"/>
      <c r="Q267" s="29"/>
      <c r="R267" s="28">
        <v>88.8</v>
      </c>
      <c r="S267" s="29"/>
      <c r="T267" s="29"/>
      <c r="U267" s="28">
        <f>ROUND(ROUND(R267, 2)*K267, 2)</f>
        <v>108270.29</v>
      </c>
      <c r="V267" s="29"/>
      <c r="W267" s="30"/>
    </row>
    <row r="268" spans="1:23" ht="36" x14ac:dyDescent="0.35">
      <c r="A268" s="20" t="s">
        <v>479</v>
      </c>
      <c r="B268" s="20"/>
      <c r="C268" s="14" t="s">
        <v>393</v>
      </c>
      <c r="D268" s="22"/>
      <c r="E268" s="22"/>
      <c r="F268" s="26" t="s">
        <v>58</v>
      </c>
      <c r="G268" s="27">
        <v>1.8</v>
      </c>
      <c r="H268" s="132"/>
      <c r="I268" s="171"/>
      <c r="J268" s="142"/>
      <c r="K268" s="99">
        <v>14631.12</v>
      </c>
      <c r="L268" s="63">
        <v>12.7</v>
      </c>
      <c r="M268" s="29"/>
      <c r="N268" s="91"/>
      <c r="O268" s="63">
        <f>ROUND(ROUND(L268, 2)*K268, 2)</f>
        <v>185815.22</v>
      </c>
      <c r="P268" s="29"/>
      <c r="Q268" s="29"/>
      <c r="R268" s="28">
        <v>12.7</v>
      </c>
      <c r="S268" s="29"/>
      <c r="T268" s="29"/>
      <c r="U268" s="28">
        <f>ROUND(ROUND(R268, 2)*K268, 2)</f>
        <v>185815.22</v>
      </c>
      <c r="V268" s="29"/>
      <c r="W268" s="30"/>
    </row>
    <row r="269" spans="1:23" ht="36" x14ac:dyDescent="0.35">
      <c r="A269" s="20" t="s">
        <v>480</v>
      </c>
      <c r="B269" s="20" t="s">
        <v>437</v>
      </c>
      <c r="C269" s="21" t="s">
        <v>438</v>
      </c>
      <c r="D269" s="22"/>
      <c r="E269" s="22" t="s">
        <v>481</v>
      </c>
      <c r="F269" s="22" t="s">
        <v>55</v>
      </c>
      <c r="G269" s="23">
        <v>1</v>
      </c>
      <c r="H269" s="131"/>
      <c r="I269" s="171"/>
      <c r="J269" s="142"/>
      <c r="K269" s="98">
        <v>7374</v>
      </c>
      <c r="L269" s="62">
        <f>IFERROR(ROUND(SUM(O270,O271)/K269, 2),0)</f>
        <v>36.18</v>
      </c>
      <c r="M269" s="80">
        <v>508</v>
      </c>
      <c r="N269" s="90">
        <f>L269+ROUND(M269, 2)</f>
        <v>544.17999999999995</v>
      </c>
      <c r="O269" s="62">
        <f>ROUND(L269*K269, 2)</f>
        <v>266791.32</v>
      </c>
      <c r="P269" s="24">
        <f>ROUND(K269*ROUND(M269, 2), 2)</f>
        <v>3745992</v>
      </c>
      <c r="Q269" s="24">
        <f>O269+P269</f>
        <v>4012783.32</v>
      </c>
      <c r="R269" s="24">
        <f>IFERROR(ROUND(SUM(U270,U271)/K269, 2),0)</f>
        <v>36.18</v>
      </c>
      <c r="S269" s="24">
        <v>508</v>
      </c>
      <c r="T269" s="24">
        <f>R269+ROUND(S269, 2)</f>
        <v>544.17999999999995</v>
      </c>
      <c r="U269" s="24">
        <f>ROUND(R269*K269, 2)</f>
        <v>266791.32</v>
      </c>
      <c r="V269" s="24">
        <f>ROUND(K269*ROUND(S269, 2), 2)</f>
        <v>3745992</v>
      </c>
      <c r="W269" s="24">
        <f>U269+V269</f>
        <v>4012783.32</v>
      </c>
    </row>
    <row r="270" spans="1:23" ht="36" x14ac:dyDescent="0.35">
      <c r="A270" s="20" t="s">
        <v>482</v>
      </c>
      <c r="B270" s="20"/>
      <c r="C270" s="25" t="s">
        <v>235</v>
      </c>
      <c r="D270" s="22"/>
      <c r="E270" s="22"/>
      <c r="F270" s="26" t="s">
        <v>58</v>
      </c>
      <c r="G270" s="27">
        <v>0.15</v>
      </c>
      <c r="H270" s="132"/>
      <c r="I270" s="171"/>
      <c r="J270" s="142"/>
      <c r="K270" s="99">
        <v>1106.0999999999999</v>
      </c>
      <c r="L270" s="63">
        <v>88.8</v>
      </c>
      <c r="M270" s="29"/>
      <c r="N270" s="91"/>
      <c r="O270" s="63">
        <f>ROUND(ROUND(L270, 2)*K270, 2)</f>
        <v>98221.68</v>
      </c>
      <c r="P270" s="29"/>
      <c r="Q270" s="29"/>
      <c r="R270" s="28">
        <v>88.8</v>
      </c>
      <c r="S270" s="29"/>
      <c r="T270" s="29"/>
      <c r="U270" s="28">
        <f>ROUND(ROUND(R270, 2)*K270, 2)</f>
        <v>98221.68</v>
      </c>
      <c r="V270" s="29"/>
      <c r="W270" s="30"/>
    </row>
    <row r="271" spans="1:23" ht="36" x14ac:dyDescent="0.35">
      <c r="A271" s="20" t="s">
        <v>483</v>
      </c>
      <c r="B271" s="20"/>
      <c r="C271" s="14" t="s">
        <v>393</v>
      </c>
      <c r="D271" s="22"/>
      <c r="E271" s="22"/>
      <c r="F271" s="26" t="s">
        <v>58</v>
      </c>
      <c r="G271" s="27">
        <v>1.8</v>
      </c>
      <c r="H271" s="132"/>
      <c r="I271" s="171"/>
      <c r="J271" s="142"/>
      <c r="K271" s="99">
        <v>13273.2</v>
      </c>
      <c r="L271" s="63">
        <v>12.7</v>
      </c>
      <c r="M271" s="29"/>
      <c r="N271" s="91"/>
      <c r="O271" s="63">
        <f>ROUND(ROUND(L271, 2)*K271, 2)</f>
        <v>168569.64</v>
      </c>
      <c r="P271" s="29"/>
      <c r="Q271" s="29"/>
      <c r="R271" s="28">
        <v>12.7</v>
      </c>
      <c r="S271" s="29"/>
      <c r="T271" s="29"/>
      <c r="U271" s="28">
        <f>ROUND(ROUND(R271, 2)*K271, 2)</f>
        <v>168569.64</v>
      </c>
      <c r="V271" s="29"/>
      <c r="W271" s="30"/>
    </row>
    <row r="272" spans="1:23" ht="36" x14ac:dyDescent="0.35">
      <c r="A272" s="20" t="s">
        <v>484</v>
      </c>
      <c r="B272" s="20" t="s">
        <v>437</v>
      </c>
      <c r="C272" s="21" t="s">
        <v>438</v>
      </c>
      <c r="D272" s="22"/>
      <c r="E272" s="22" t="s">
        <v>485</v>
      </c>
      <c r="F272" s="22" t="s">
        <v>55</v>
      </c>
      <c r="G272" s="23">
        <v>1</v>
      </c>
      <c r="H272" s="131"/>
      <c r="I272" s="171"/>
      <c r="J272" s="142"/>
      <c r="K272" s="98">
        <v>982.8</v>
      </c>
      <c r="L272" s="62">
        <f>IFERROR(ROUND(SUM(O273,O274)/K272, 2),0)</f>
        <v>59.32</v>
      </c>
      <c r="M272" s="80">
        <v>508</v>
      </c>
      <c r="N272" s="90">
        <f>L272+ROUND(M272, 2)</f>
        <v>567.32000000000005</v>
      </c>
      <c r="O272" s="62">
        <f>ROUND(L272*K272, 2)</f>
        <v>58299.7</v>
      </c>
      <c r="P272" s="24">
        <f>ROUND(K272*ROUND(M272, 2), 2)</f>
        <v>499262.4</v>
      </c>
      <c r="Q272" s="24">
        <f>O272+P272</f>
        <v>557562.1</v>
      </c>
      <c r="R272" s="24">
        <f>IFERROR(ROUND(SUM(U273,U274)/K272, 2),0)</f>
        <v>59.32</v>
      </c>
      <c r="S272" s="24">
        <v>508</v>
      </c>
      <c r="T272" s="24">
        <f>R272+ROUND(S272, 2)</f>
        <v>567.32000000000005</v>
      </c>
      <c r="U272" s="24">
        <f>ROUND(R272*K272, 2)</f>
        <v>58299.7</v>
      </c>
      <c r="V272" s="24">
        <f>ROUND(K272*ROUND(S272, 2), 2)</f>
        <v>499262.4</v>
      </c>
      <c r="W272" s="24">
        <f>U272+V272</f>
        <v>557562.1</v>
      </c>
    </row>
    <row r="273" spans="1:23" ht="36" x14ac:dyDescent="0.35">
      <c r="A273" s="20" t="s">
        <v>486</v>
      </c>
      <c r="B273" s="20"/>
      <c r="C273" s="25" t="s">
        <v>235</v>
      </c>
      <c r="D273" s="22"/>
      <c r="E273" s="22"/>
      <c r="F273" s="26" t="s">
        <v>58</v>
      </c>
      <c r="G273" s="27">
        <v>0.15</v>
      </c>
      <c r="H273" s="132"/>
      <c r="I273" s="171"/>
      <c r="J273" s="142"/>
      <c r="K273" s="99">
        <v>147.41999999999999</v>
      </c>
      <c r="L273" s="63">
        <v>88.8</v>
      </c>
      <c r="M273" s="29"/>
      <c r="N273" s="91"/>
      <c r="O273" s="63">
        <f>ROUND(ROUND(L273, 2)*K273, 2)</f>
        <v>13090.9</v>
      </c>
      <c r="P273" s="29"/>
      <c r="Q273" s="29"/>
      <c r="R273" s="28">
        <v>88.8</v>
      </c>
      <c r="S273" s="29"/>
      <c r="T273" s="29"/>
      <c r="U273" s="28">
        <f>ROUND(ROUND(R273, 2)*K273, 2)</f>
        <v>13090.9</v>
      </c>
      <c r="V273" s="29"/>
      <c r="W273" s="30"/>
    </row>
    <row r="274" spans="1:23" ht="20" x14ac:dyDescent="0.35">
      <c r="A274" s="20" t="s">
        <v>487</v>
      </c>
      <c r="B274" s="20"/>
      <c r="C274" s="25" t="s">
        <v>462</v>
      </c>
      <c r="D274" s="22"/>
      <c r="E274" s="22"/>
      <c r="F274" s="26" t="s">
        <v>58</v>
      </c>
      <c r="G274" s="27">
        <v>2</v>
      </c>
      <c r="H274" s="132"/>
      <c r="I274" s="171"/>
      <c r="J274" s="142"/>
      <c r="K274" s="99">
        <v>1965.6</v>
      </c>
      <c r="L274" s="63">
        <v>23</v>
      </c>
      <c r="M274" s="29"/>
      <c r="N274" s="91"/>
      <c r="O274" s="63">
        <f>ROUND(ROUND(L274, 2)*K274, 2)</f>
        <v>45208.800000000003</v>
      </c>
      <c r="P274" s="29"/>
      <c r="Q274" s="29"/>
      <c r="R274" s="28">
        <v>23</v>
      </c>
      <c r="S274" s="29"/>
      <c r="T274" s="29"/>
      <c r="U274" s="28">
        <f>ROUND(ROUND(R274, 2)*K274, 2)</f>
        <v>45208.800000000003</v>
      </c>
      <c r="V274" s="29"/>
      <c r="W274" s="30"/>
    </row>
    <row r="275" spans="1:23" ht="36" x14ac:dyDescent="0.35">
      <c r="A275" s="20" t="s">
        <v>488</v>
      </c>
      <c r="B275" s="20" t="s">
        <v>437</v>
      </c>
      <c r="C275" s="21" t="s">
        <v>438</v>
      </c>
      <c r="D275" s="22"/>
      <c r="E275" s="22" t="s">
        <v>468</v>
      </c>
      <c r="F275" s="22" t="s">
        <v>55</v>
      </c>
      <c r="G275" s="23">
        <v>1</v>
      </c>
      <c r="H275" s="131"/>
      <c r="I275" s="171"/>
      <c r="J275" s="142"/>
      <c r="K275" s="98">
        <v>726.6</v>
      </c>
      <c r="L275" s="62">
        <f>IFERROR(ROUND(SUM(O276,O277)/K275, 2),0)</f>
        <v>59.32</v>
      </c>
      <c r="M275" s="80">
        <v>508</v>
      </c>
      <c r="N275" s="90">
        <f>L275+ROUND(M275, 2)</f>
        <v>567.32000000000005</v>
      </c>
      <c r="O275" s="62">
        <f>ROUND(L275*K275, 2)</f>
        <v>43101.91</v>
      </c>
      <c r="P275" s="24">
        <f>ROUND(K275*ROUND(M275, 2), 2)</f>
        <v>369112.8</v>
      </c>
      <c r="Q275" s="24">
        <f>O275+P275</f>
        <v>412214.70999999996</v>
      </c>
      <c r="R275" s="24">
        <f>IFERROR(ROUND(SUM(U276,U277)/K275, 2),0)</f>
        <v>59.32</v>
      </c>
      <c r="S275" s="24">
        <v>508</v>
      </c>
      <c r="T275" s="24">
        <f>R275+ROUND(S275, 2)</f>
        <v>567.32000000000005</v>
      </c>
      <c r="U275" s="24">
        <f>ROUND(R275*K275, 2)</f>
        <v>43101.91</v>
      </c>
      <c r="V275" s="24">
        <f>ROUND(K275*ROUND(S275, 2), 2)</f>
        <v>369112.8</v>
      </c>
      <c r="W275" s="24">
        <f>U275+V275</f>
        <v>412214.70999999996</v>
      </c>
    </row>
    <row r="276" spans="1:23" ht="36" x14ac:dyDescent="0.35">
      <c r="A276" s="20" t="s">
        <v>489</v>
      </c>
      <c r="B276" s="20"/>
      <c r="C276" s="25" t="s">
        <v>235</v>
      </c>
      <c r="D276" s="22"/>
      <c r="E276" s="22"/>
      <c r="F276" s="26" t="s">
        <v>58</v>
      </c>
      <c r="G276" s="27">
        <v>0.15</v>
      </c>
      <c r="H276" s="132"/>
      <c r="I276" s="171"/>
      <c r="J276" s="142"/>
      <c r="K276" s="99">
        <v>108.99</v>
      </c>
      <c r="L276" s="63">
        <v>88.8</v>
      </c>
      <c r="M276" s="29"/>
      <c r="N276" s="91"/>
      <c r="O276" s="63">
        <f>ROUND(ROUND(L276, 2)*K276, 2)</f>
        <v>9678.31</v>
      </c>
      <c r="P276" s="29"/>
      <c r="Q276" s="29"/>
      <c r="R276" s="28">
        <v>88.8</v>
      </c>
      <c r="S276" s="29"/>
      <c r="T276" s="29"/>
      <c r="U276" s="28">
        <f>ROUND(ROUND(R276, 2)*K276, 2)</f>
        <v>9678.31</v>
      </c>
      <c r="V276" s="29"/>
      <c r="W276" s="30"/>
    </row>
    <row r="277" spans="1:23" ht="20" x14ac:dyDescent="0.35">
      <c r="A277" s="20" t="s">
        <v>490</v>
      </c>
      <c r="B277" s="20"/>
      <c r="C277" s="25" t="s">
        <v>462</v>
      </c>
      <c r="D277" s="22"/>
      <c r="E277" s="22"/>
      <c r="F277" s="26" t="s">
        <v>58</v>
      </c>
      <c r="G277" s="27">
        <v>2</v>
      </c>
      <c r="H277" s="132"/>
      <c r="I277" s="171"/>
      <c r="J277" s="142"/>
      <c r="K277" s="99">
        <v>1453.2</v>
      </c>
      <c r="L277" s="63">
        <v>23</v>
      </c>
      <c r="M277" s="29"/>
      <c r="N277" s="91"/>
      <c r="O277" s="63">
        <f>ROUND(ROUND(L277, 2)*K277, 2)</f>
        <v>33423.599999999999</v>
      </c>
      <c r="P277" s="29"/>
      <c r="Q277" s="29"/>
      <c r="R277" s="28">
        <v>23</v>
      </c>
      <c r="S277" s="29"/>
      <c r="T277" s="29"/>
      <c r="U277" s="28">
        <f>ROUND(ROUND(R277, 2)*K277, 2)</f>
        <v>33423.599999999999</v>
      </c>
      <c r="V277" s="29"/>
      <c r="W277" s="30"/>
    </row>
    <row r="278" spans="1:23" ht="72" x14ac:dyDescent="0.35">
      <c r="A278" s="31" t="s">
        <v>491</v>
      </c>
      <c r="B278" s="31" t="s">
        <v>492</v>
      </c>
      <c r="C278" s="32" t="s">
        <v>493</v>
      </c>
      <c r="D278" s="33"/>
      <c r="E278" s="33" t="s">
        <v>54</v>
      </c>
      <c r="F278" s="33" t="s">
        <v>55</v>
      </c>
      <c r="G278" s="34">
        <v>1</v>
      </c>
      <c r="H278" s="133"/>
      <c r="I278" s="171"/>
      <c r="J278" s="143"/>
      <c r="K278" s="101">
        <v>0</v>
      </c>
      <c r="L278" s="64">
        <f>IFERROR(ROUND(SUM(O280,O282,O284,O286)/K278, 2),0)</f>
        <v>0</v>
      </c>
      <c r="M278" s="81">
        <v>873</v>
      </c>
      <c r="N278" s="90">
        <f>L278+ROUND(M278, 2)</f>
        <v>873</v>
      </c>
      <c r="O278" s="64">
        <f>ROUND(L278*K278, 2)</f>
        <v>0</v>
      </c>
      <c r="P278" s="35">
        <f>ROUND(K278*ROUND(M278, 2), 2)</f>
        <v>0</v>
      </c>
      <c r="Q278" s="35">
        <f>O278+P278</f>
        <v>0</v>
      </c>
      <c r="R278" s="35">
        <f>IFERROR(ROUND(SUM(U280,U282,U284,U286)/K278, 2),0)</f>
        <v>0</v>
      </c>
      <c r="S278" s="35">
        <v>873</v>
      </c>
      <c r="T278" s="35">
        <f>R278+ROUND(S278, 2)</f>
        <v>873</v>
      </c>
      <c r="U278" s="35">
        <f>ROUND(R278*K278, 2)</f>
        <v>0</v>
      </c>
      <c r="V278" s="35">
        <f>ROUND(K278*ROUND(S278, 2), 2)</f>
        <v>0</v>
      </c>
      <c r="W278" s="35">
        <f>U278+V278</f>
        <v>0</v>
      </c>
    </row>
    <row r="279" spans="1:23" ht="72" x14ac:dyDescent="0.35">
      <c r="A279" s="36" t="s">
        <v>494</v>
      </c>
      <c r="B279" s="36" t="s">
        <v>492</v>
      </c>
      <c r="C279" s="37" t="s">
        <v>493</v>
      </c>
      <c r="D279" s="38"/>
      <c r="E279" s="38"/>
      <c r="F279" s="38" t="s">
        <v>55</v>
      </c>
      <c r="G279" s="39">
        <v>1</v>
      </c>
      <c r="H279" s="134"/>
      <c r="I279" s="171"/>
      <c r="J279" s="144"/>
      <c r="K279" s="102">
        <v>989.1</v>
      </c>
      <c r="L279" s="65">
        <v>0</v>
      </c>
      <c r="M279" s="82">
        <v>873</v>
      </c>
      <c r="N279" s="90"/>
      <c r="O279" s="65">
        <v>0</v>
      </c>
      <c r="P279" s="40"/>
      <c r="Q279" s="40"/>
      <c r="R279" s="40">
        <v>0</v>
      </c>
      <c r="S279" s="40">
        <v>873</v>
      </c>
      <c r="T279" s="40"/>
      <c r="U279" s="40">
        <v>0</v>
      </c>
      <c r="V279" s="40"/>
      <c r="W279" s="40"/>
    </row>
    <row r="280" spans="1:23" ht="36" x14ac:dyDescent="0.35">
      <c r="A280" s="31" t="s">
        <v>495</v>
      </c>
      <c r="B280" s="31"/>
      <c r="C280" s="41" t="s">
        <v>496</v>
      </c>
      <c r="D280" s="33"/>
      <c r="E280" s="33" t="s">
        <v>497</v>
      </c>
      <c r="F280" s="42" t="s">
        <v>58</v>
      </c>
      <c r="G280" s="43">
        <v>1.3</v>
      </c>
      <c r="H280" s="135"/>
      <c r="I280" s="171"/>
      <c r="J280" s="143"/>
      <c r="K280" s="107">
        <v>0</v>
      </c>
      <c r="L280" s="66">
        <v>8.6</v>
      </c>
      <c r="M280" s="45"/>
      <c r="N280" s="91"/>
      <c r="O280" s="66">
        <f t="shared" ref="O280:O287" si="16">ROUND(ROUND(L280, 2)*K280, 2)</f>
        <v>0</v>
      </c>
      <c r="P280" s="45"/>
      <c r="Q280" s="45"/>
      <c r="R280" s="44">
        <v>8.6</v>
      </c>
      <c r="S280" s="45"/>
      <c r="T280" s="45"/>
      <c r="U280" s="44">
        <f t="shared" ref="U280:U287" si="17">ROUND(ROUND(R280, 2)*K280, 2)</f>
        <v>0</v>
      </c>
      <c r="V280" s="45"/>
      <c r="W280" s="46"/>
    </row>
    <row r="281" spans="1:23" ht="36" x14ac:dyDescent="0.35">
      <c r="A281" s="36" t="s">
        <v>498</v>
      </c>
      <c r="B281" s="36"/>
      <c r="C281" s="47" t="s">
        <v>496</v>
      </c>
      <c r="D281" s="38"/>
      <c r="E281" s="38" t="s">
        <v>497</v>
      </c>
      <c r="F281" s="48" t="s">
        <v>58</v>
      </c>
      <c r="G281" s="49">
        <v>1.3</v>
      </c>
      <c r="H281" s="136"/>
      <c r="I281" s="171"/>
      <c r="J281" s="144"/>
      <c r="K281" s="108">
        <v>25716.6</v>
      </c>
      <c r="L281" s="67">
        <v>8.6</v>
      </c>
      <c r="M281" s="51"/>
      <c r="N281" s="91"/>
      <c r="O281" s="67">
        <f t="shared" si="16"/>
        <v>221162.76</v>
      </c>
      <c r="P281" s="51"/>
      <c r="Q281" s="51"/>
      <c r="R281" s="50">
        <v>8.6</v>
      </c>
      <c r="S281" s="51"/>
      <c r="T281" s="51"/>
      <c r="U281" s="50">
        <f t="shared" si="17"/>
        <v>221162.76</v>
      </c>
      <c r="V281" s="51"/>
      <c r="W281" s="52"/>
    </row>
    <row r="282" spans="1:23" ht="20" x14ac:dyDescent="0.35">
      <c r="A282" s="31" t="s">
        <v>499</v>
      </c>
      <c r="B282" s="31"/>
      <c r="C282" s="41" t="s">
        <v>500</v>
      </c>
      <c r="D282" s="33"/>
      <c r="E282" s="33"/>
      <c r="F282" s="42" t="s">
        <v>55</v>
      </c>
      <c r="G282" s="43">
        <v>1.1000000000000001</v>
      </c>
      <c r="H282" s="135"/>
      <c r="I282" s="171"/>
      <c r="J282" s="143"/>
      <c r="K282" s="103">
        <v>0</v>
      </c>
      <c r="L282" s="66">
        <v>26</v>
      </c>
      <c r="M282" s="45"/>
      <c r="N282" s="91"/>
      <c r="O282" s="66">
        <f t="shared" si="16"/>
        <v>0</v>
      </c>
      <c r="P282" s="45"/>
      <c r="Q282" s="45"/>
      <c r="R282" s="44">
        <v>26</v>
      </c>
      <c r="S282" s="45"/>
      <c r="T282" s="45"/>
      <c r="U282" s="44">
        <f t="shared" si="17"/>
        <v>0</v>
      </c>
      <c r="V282" s="45"/>
      <c r="W282" s="46"/>
    </row>
    <row r="283" spans="1:23" ht="20" x14ac:dyDescent="0.35">
      <c r="A283" s="36" t="s">
        <v>501</v>
      </c>
      <c r="B283" s="36"/>
      <c r="C283" s="47" t="s">
        <v>500</v>
      </c>
      <c r="D283" s="38"/>
      <c r="E283" s="38"/>
      <c r="F283" s="48" t="s">
        <v>55</v>
      </c>
      <c r="G283" s="49">
        <v>1.1000000000000001</v>
      </c>
      <c r="H283" s="136"/>
      <c r="I283" s="171"/>
      <c r="J283" s="144"/>
      <c r="K283" s="104">
        <v>1088.01</v>
      </c>
      <c r="L283" s="67">
        <v>26</v>
      </c>
      <c r="M283" s="51"/>
      <c r="N283" s="91"/>
      <c r="O283" s="67">
        <f t="shared" si="16"/>
        <v>28288.26</v>
      </c>
      <c r="P283" s="51"/>
      <c r="Q283" s="51"/>
      <c r="R283" s="50">
        <v>26</v>
      </c>
      <c r="S283" s="51"/>
      <c r="T283" s="51"/>
      <c r="U283" s="50">
        <f t="shared" si="17"/>
        <v>28288.26</v>
      </c>
      <c r="V283" s="51"/>
      <c r="W283" s="52"/>
    </row>
    <row r="284" spans="1:23" ht="20" x14ac:dyDescent="0.35">
      <c r="A284" s="31" t="s">
        <v>502</v>
      </c>
      <c r="B284" s="31"/>
      <c r="C284" s="41" t="s">
        <v>408</v>
      </c>
      <c r="D284" s="33"/>
      <c r="E284" s="33"/>
      <c r="F284" s="42" t="s">
        <v>67</v>
      </c>
      <c r="G284" s="43">
        <v>1</v>
      </c>
      <c r="H284" s="135"/>
      <c r="I284" s="171"/>
      <c r="J284" s="143"/>
      <c r="K284" s="107">
        <v>0</v>
      </c>
      <c r="L284" s="66">
        <v>15.76</v>
      </c>
      <c r="M284" s="45"/>
      <c r="N284" s="91"/>
      <c r="O284" s="66">
        <f t="shared" si="16"/>
        <v>0</v>
      </c>
      <c r="P284" s="45"/>
      <c r="Q284" s="45"/>
      <c r="R284" s="44">
        <v>15.76</v>
      </c>
      <c r="S284" s="45"/>
      <c r="T284" s="45"/>
      <c r="U284" s="44">
        <f t="shared" si="17"/>
        <v>0</v>
      </c>
      <c r="V284" s="45"/>
      <c r="W284" s="46"/>
    </row>
    <row r="285" spans="1:23" ht="20" x14ac:dyDescent="0.35">
      <c r="A285" s="36" t="s">
        <v>503</v>
      </c>
      <c r="B285" s="36"/>
      <c r="C285" s="47" t="s">
        <v>408</v>
      </c>
      <c r="D285" s="38"/>
      <c r="E285" s="38"/>
      <c r="F285" s="48" t="s">
        <v>67</v>
      </c>
      <c r="G285" s="49">
        <v>1</v>
      </c>
      <c r="H285" s="136"/>
      <c r="I285" s="171"/>
      <c r="J285" s="144"/>
      <c r="K285" s="108">
        <v>630</v>
      </c>
      <c r="L285" s="67">
        <v>15.76</v>
      </c>
      <c r="M285" s="51"/>
      <c r="N285" s="91"/>
      <c r="O285" s="67">
        <f t="shared" si="16"/>
        <v>9928.7999999999993</v>
      </c>
      <c r="P285" s="51"/>
      <c r="Q285" s="51"/>
      <c r="R285" s="50">
        <v>15.76</v>
      </c>
      <c r="S285" s="51"/>
      <c r="T285" s="51"/>
      <c r="U285" s="50">
        <f t="shared" si="17"/>
        <v>9928.7999999999993</v>
      </c>
      <c r="V285" s="51"/>
      <c r="W285" s="52"/>
    </row>
    <row r="286" spans="1:23" ht="20" x14ac:dyDescent="0.35">
      <c r="A286" s="31" t="s">
        <v>504</v>
      </c>
      <c r="B286" s="31"/>
      <c r="C286" s="41" t="s">
        <v>405</v>
      </c>
      <c r="D286" s="33"/>
      <c r="E286" s="33"/>
      <c r="F286" s="42" t="s">
        <v>58</v>
      </c>
      <c r="G286" s="43">
        <v>0.25</v>
      </c>
      <c r="H286" s="135"/>
      <c r="I286" s="171"/>
      <c r="J286" s="143"/>
      <c r="K286" s="103">
        <v>0</v>
      </c>
      <c r="L286" s="66">
        <v>100</v>
      </c>
      <c r="M286" s="45"/>
      <c r="N286" s="91"/>
      <c r="O286" s="66">
        <f t="shared" si="16"/>
        <v>0</v>
      </c>
      <c r="P286" s="45"/>
      <c r="Q286" s="45"/>
      <c r="R286" s="44">
        <v>100</v>
      </c>
      <c r="S286" s="45"/>
      <c r="T286" s="45"/>
      <c r="U286" s="44">
        <f t="shared" si="17"/>
        <v>0</v>
      </c>
      <c r="V286" s="45"/>
      <c r="W286" s="46"/>
    </row>
    <row r="287" spans="1:23" ht="20" x14ac:dyDescent="0.35">
      <c r="A287" s="36" t="s">
        <v>505</v>
      </c>
      <c r="B287" s="36"/>
      <c r="C287" s="47" t="s">
        <v>405</v>
      </c>
      <c r="D287" s="38"/>
      <c r="E287" s="38"/>
      <c r="F287" s="48" t="s">
        <v>58</v>
      </c>
      <c r="G287" s="49">
        <v>0.25</v>
      </c>
      <c r="H287" s="136"/>
      <c r="I287" s="171"/>
      <c r="J287" s="144"/>
      <c r="K287" s="104">
        <v>247.27500000000001</v>
      </c>
      <c r="L287" s="67">
        <v>100</v>
      </c>
      <c r="M287" s="51"/>
      <c r="N287" s="91"/>
      <c r="O287" s="67">
        <f t="shared" si="16"/>
        <v>24727.5</v>
      </c>
      <c r="P287" s="51"/>
      <c r="Q287" s="51"/>
      <c r="R287" s="50">
        <v>100</v>
      </c>
      <c r="S287" s="51"/>
      <c r="T287" s="51"/>
      <c r="U287" s="50">
        <f t="shared" si="17"/>
        <v>24727.5</v>
      </c>
      <c r="V287" s="51"/>
      <c r="W287" s="52"/>
    </row>
    <row r="288" spans="1:23" ht="72" x14ac:dyDescent="0.35">
      <c r="A288" s="20" t="s">
        <v>506</v>
      </c>
      <c r="B288" s="20" t="s">
        <v>507</v>
      </c>
      <c r="C288" s="21" t="s">
        <v>508</v>
      </c>
      <c r="D288" s="22"/>
      <c r="E288" s="22" t="s">
        <v>509</v>
      </c>
      <c r="F288" s="22" t="s">
        <v>55</v>
      </c>
      <c r="G288" s="23">
        <v>1</v>
      </c>
      <c r="H288" s="131"/>
      <c r="I288" s="171"/>
      <c r="J288" s="142"/>
      <c r="K288" s="98">
        <v>174.8</v>
      </c>
      <c r="L288" s="62">
        <f>IFERROR(ROUND(SUM(O289,O290,O291,O292)/K288, 2),0)</f>
        <v>516.55999999999995</v>
      </c>
      <c r="M288" s="80">
        <v>1067</v>
      </c>
      <c r="N288" s="90">
        <f>L288+ROUND(M288, 2)</f>
        <v>1583.56</v>
      </c>
      <c r="O288" s="62">
        <f>ROUND(L288*K288, 2)</f>
        <v>90294.69</v>
      </c>
      <c r="P288" s="24">
        <f>ROUND(K288*ROUND(M288, 2), 2)</f>
        <v>186511.6</v>
      </c>
      <c r="Q288" s="24">
        <f>O288+P288</f>
        <v>276806.29000000004</v>
      </c>
      <c r="R288" s="24">
        <f>IFERROR(ROUND(SUM(U289,U290,U291,U292)/K288, 2),0)</f>
        <v>516.55999999999995</v>
      </c>
      <c r="S288" s="24">
        <v>1067</v>
      </c>
      <c r="T288" s="24">
        <f>R288+ROUND(S288, 2)</f>
        <v>1583.56</v>
      </c>
      <c r="U288" s="24">
        <f>ROUND(R288*K288, 2)</f>
        <v>90294.69</v>
      </c>
      <c r="V288" s="24">
        <f>ROUND(K288*ROUND(S288, 2), 2)</f>
        <v>186511.6</v>
      </c>
      <c r="W288" s="24">
        <f>U288+V288</f>
        <v>276806.29000000004</v>
      </c>
    </row>
    <row r="289" spans="1:23" ht="20" x14ac:dyDescent="0.35">
      <c r="A289" s="20" t="s">
        <v>510</v>
      </c>
      <c r="B289" s="20"/>
      <c r="C289" s="25" t="s">
        <v>496</v>
      </c>
      <c r="D289" s="22"/>
      <c r="E289" s="22"/>
      <c r="F289" s="26" t="s">
        <v>58</v>
      </c>
      <c r="G289" s="27">
        <v>1.3</v>
      </c>
      <c r="H289" s="132"/>
      <c r="I289" s="171"/>
      <c r="J289" s="142"/>
      <c r="K289" s="110">
        <v>9089.6</v>
      </c>
      <c r="L289" s="63">
        <v>8.6</v>
      </c>
      <c r="M289" s="29"/>
      <c r="N289" s="91"/>
      <c r="O289" s="63">
        <f>ROUND(ROUND(L289, 2)*K289, 2)</f>
        <v>78170.559999999998</v>
      </c>
      <c r="P289" s="29"/>
      <c r="Q289" s="29"/>
      <c r="R289" s="28">
        <v>8.6</v>
      </c>
      <c r="S289" s="29"/>
      <c r="T289" s="29"/>
      <c r="U289" s="28">
        <f>ROUND(ROUND(R289, 2)*K289, 2)</f>
        <v>78170.559999999998</v>
      </c>
      <c r="V289" s="29"/>
      <c r="W289" s="30"/>
    </row>
    <row r="290" spans="1:23" ht="20" x14ac:dyDescent="0.35">
      <c r="A290" s="20" t="s">
        <v>511</v>
      </c>
      <c r="B290" s="20"/>
      <c r="C290" s="25" t="s">
        <v>500</v>
      </c>
      <c r="D290" s="22"/>
      <c r="E290" s="22"/>
      <c r="F290" s="26" t="s">
        <v>55</v>
      </c>
      <c r="G290" s="27">
        <v>1.1000000000000001</v>
      </c>
      <c r="H290" s="132"/>
      <c r="I290" s="171"/>
      <c r="J290" s="142"/>
      <c r="K290" s="99">
        <v>192.28</v>
      </c>
      <c r="L290" s="63">
        <v>26</v>
      </c>
      <c r="M290" s="29"/>
      <c r="N290" s="91"/>
      <c r="O290" s="63">
        <f>ROUND(ROUND(L290, 2)*K290, 2)</f>
        <v>4999.28</v>
      </c>
      <c r="P290" s="29"/>
      <c r="Q290" s="29"/>
      <c r="R290" s="28">
        <v>26</v>
      </c>
      <c r="S290" s="29"/>
      <c r="T290" s="29"/>
      <c r="U290" s="28">
        <f>ROUND(ROUND(R290, 2)*K290, 2)</f>
        <v>4999.28</v>
      </c>
      <c r="V290" s="29"/>
      <c r="W290" s="30"/>
    </row>
    <row r="291" spans="1:23" ht="20" x14ac:dyDescent="0.35">
      <c r="A291" s="20" t="s">
        <v>512</v>
      </c>
      <c r="B291" s="20"/>
      <c r="C291" s="25" t="s">
        <v>408</v>
      </c>
      <c r="D291" s="22"/>
      <c r="E291" s="22"/>
      <c r="F291" s="26" t="s">
        <v>67</v>
      </c>
      <c r="G291" s="27">
        <v>1</v>
      </c>
      <c r="H291" s="132"/>
      <c r="I291" s="171"/>
      <c r="J291" s="142"/>
      <c r="K291" s="110">
        <v>174.8</v>
      </c>
      <c r="L291" s="63">
        <v>15.76</v>
      </c>
      <c r="M291" s="29"/>
      <c r="N291" s="91"/>
      <c r="O291" s="63">
        <f>ROUND(ROUND(L291, 2)*K291, 2)</f>
        <v>2754.85</v>
      </c>
      <c r="P291" s="29"/>
      <c r="Q291" s="29"/>
      <c r="R291" s="28">
        <v>15.76</v>
      </c>
      <c r="S291" s="29"/>
      <c r="T291" s="29"/>
      <c r="U291" s="28">
        <f>ROUND(ROUND(R291, 2)*K291, 2)</f>
        <v>2754.85</v>
      </c>
      <c r="V291" s="29"/>
      <c r="W291" s="30"/>
    </row>
    <row r="292" spans="1:23" ht="20" x14ac:dyDescent="0.35">
      <c r="A292" s="20" t="s">
        <v>513</v>
      </c>
      <c r="B292" s="20"/>
      <c r="C292" s="25" t="s">
        <v>405</v>
      </c>
      <c r="D292" s="22"/>
      <c r="E292" s="22"/>
      <c r="F292" s="26" t="s">
        <v>58</v>
      </c>
      <c r="G292" s="27">
        <v>0.25</v>
      </c>
      <c r="H292" s="132"/>
      <c r="I292" s="171"/>
      <c r="J292" s="142"/>
      <c r="K292" s="99">
        <v>43.7</v>
      </c>
      <c r="L292" s="63">
        <v>100</v>
      </c>
      <c r="M292" s="29"/>
      <c r="N292" s="91"/>
      <c r="O292" s="63">
        <f>ROUND(ROUND(L292, 2)*K292, 2)</f>
        <v>4370</v>
      </c>
      <c r="P292" s="29"/>
      <c r="Q292" s="29"/>
      <c r="R292" s="28">
        <v>100</v>
      </c>
      <c r="S292" s="29"/>
      <c r="T292" s="29"/>
      <c r="U292" s="28">
        <f>ROUND(ROUND(R292, 2)*K292, 2)</f>
        <v>4370</v>
      </c>
      <c r="V292" s="29"/>
      <c r="W292" s="30"/>
    </row>
    <row r="293" spans="1:23" ht="72" x14ac:dyDescent="0.35">
      <c r="A293" s="20" t="s">
        <v>514</v>
      </c>
      <c r="B293" s="20" t="s">
        <v>507</v>
      </c>
      <c r="C293" s="21" t="s">
        <v>508</v>
      </c>
      <c r="D293" s="22"/>
      <c r="E293" s="22" t="s">
        <v>515</v>
      </c>
      <c r="F293" s="22" t="s">
        <v>55</v>
      </c>
      <c r="G293" s="23">
        <v>1</v>
      </c>
      <c r="H293" s="131"/>
      <c r="I293" s="171"/>
      <c r="J293" s="142"/>
      <c r="K293" s="98">
        <v>808</v>
      </c>
      <c r="L293" s="62">
        <f>IFERROR(ROUND(SUM(O294,O295,O296,O297)/K293, 2),0)</f>
        <v>504.88</v>
      </c>
      <c r="M293" s="80">
        <v>1067</v>
      </c>
      <c r="N293" s="90">
        <f>L293+ROUND(M293, 2)</f>
        <v>1571.88</v>
      </c>
      <c r="O293" s="62">
        <f>ROUND(L293*K293, 2)</f>
        <v>407943.04</v>
      </c>
      <c r="P293" s="24">
        <f>ROUND(K293*ROUND(M293, 2), 2)</f>
        <v>862136</v>
      </c>
      <c r="Q293" s="24">
        <f>O293+P293</f>
        <v>1270079.04</v>
      </c>
      <c r="R293" s="24">
        <f>IFERROR(ROUND(SUM(U294,U295,U296,U297)/K293, 2),0)</f>
        <v>504.88</v>
      </c>
      <c r="S293" s="24">
        <v>1067</v>
      </c>
      <c r="T293" s="24">
        <f>R293+ROUND(S293, 2)</f>
        <v>1571.88</v>
      </c>
      <c r="U293" s="24">
        <f>ROUND(R293*K293, 2)</f>
        <v>407943.04</v>
      </c>
      <c r="V293" s="24">
        <f>ROUND(K293*ROUND(S293, 2), 2)</f>
        <v>862136</v>
      </c>
      <c r="W293" s="24">
        <f>U293+V293</f>
        <v>1270079.04</v>
      </c>
    </row>
    <row r="294" spans="1:23" ht="36" x14ac:dyDescent="0.35">
      <c r="A294" s="20" t="s">
        <v>516</v>
      </c>
      <c r="B294" s="20"/>
      <c r="C294" s="25" t="s">
        <v>235</v>
      </c>
      <c r="D294" s="22"/>
      <c r="E294" s="22"/>
      <c r="F294" s="26" t="s">
        <v>58</v>
      </c>
      <c r="G294" s="27">
        <v>0.15</v>
      </c>
      <c r="H294" s="132"/>
      <c r="I294" s="171"/>
      <c r="J294" s="142"/>
      <c r="K294" s="99">
        <v>121.2</v>
      </c>
      <c r="L294" s="63">
        <v>88.8</v>
      </c>
      <c r="M294" s="29"/>
      <c r="N294" s="91"/>
      <c r="O294" s="63">
        <f>ROUND(ROUND(L294, 2)*K294, 2)</f>
        <v>10762.56</v>
      </c>
      <c r="P294" s="29"/>
      <c r="Q294" s="29"/>
      <c r="R294" s="28">
        <v>88.8</v>
      </c>
      <c r="S294" s="29"/>
      <c r="T294" s="29"/>
      <c r="U294" s="28">
        <f>ROUND(ROUND(R294, 2)*K294, 2)</f>
        <v>10762.56</v>
      </c>
      <c r="V294" s="29"/>
      <c r="W294" s="30"/>
    </row>
    <row r="295" spans="1:23" ht="20" x14ac:dyDescent="0.35">
      <c r="A295" s="20" t="s">
        <v>517</v>
      </c>
      <c r="B295" s="20"/>
      <c r="C295" s="25" t="s">
        <v>408</v>
      </c>
      <c r="D295" s="22"/>
      <c r="E295" s="22"/>
      <c r="F295" s="26" t="s">
        <v>67</v>
      </c>
      <c r="G295" s="27">
        <v>1</v>
      </c>
      <c r="H295" s="132"/>
      <c r="I295" s="171"/>
      <c r="J295" s="142"/>
      <c r="K295" s="110">
        <v>808</v>
      </c>
      <c r="L295" s="63">
        <v>15.76</v>
      </c>
      <c r="M295" s="29"/>
      <c r="N295" s="91"/>
      <c r="O295" s="63">
        <f>ROUND(ROUND(L295, 2)*K295, 2)</f>
        <v>12734.08</v>
      </c>
      <c r="P295" s="29"/>
      <c r="Q295" s="29"/>
      <c r="R295" s="28">
        <v>15.76</v>
      </c>
      <c r="S295" s="29"/>
      <c r="T295" s="29"/>
      <c r="U295" s="28">
        <f>ROUND(ROUND(R295, 2)*K295, 2)</f>
        <v>12734.08</v>
      </c>
      <c r="V295" s="29"/>
      <c r="W295" s="30"/>
    </row>
    <row r="296" spans="1:23" ht="20" x14ac:dyDescent="0.35">
      <c r="A296" s="20" t="s">
        <v>518</v>
      </c>
      <c r="B296" s="20"/>
      <c r="C296" s="25" t="s">
        <v>500</v>
      </c>
      <c r="D296" s="22"/>
      <c r="E296" s="22"/>
      <c r="F296" s="26" t="s">
        <v>55</v>
      </c>
      <c r="G296" s="27">
        <v>1.1000000000000001</v>
      </c>
      <c r="H296" s="132"/>
      <c r="I296" s="171"/>
      <c r="J296" s="142"/>
      <c r="K296" s="99">
        <v>888.8</v>
      </c>
      <c r="L296" s="63">
        <v>26</v>
      </c>
      <c r="M296" s="29"/>
      <c r="N296" s="91"/>
      <c r="O296" s="63">
        <f>ROUND(ROUND(L296, 2)*K296, 2)</f>
        <v>23108.799999999999</v>
      </c>
      <c r="P296" s="29"/>
      <c r="Q296" s="29"/>
      <c r="R296" s="28">
        <v>26</v>
      </c>
      <c r="S296" s="29"/>
      <c r="T296" s="29"/>
      <c r="U296" s="28">
        <f>ROUND(ROUND(R296, 2)*K296, 2)</f>
        <v>23108.799999999999</v>
      </c>
      <c r="V296" s="29"/>
      <c r="W296" s="30"/>
    </row>
    <row r="297" spans="1:23" ht="20" x14ac:dyDescent="0.35">
      <c r="A297" s="20" t="s">
        <v>519</v>
      </c>
      <c r="B297" s="20"/>
      <c r="C297" s="25" t="s">
        <v>496</v>
      </c>
      <c r="D297" s="22"/>
      <c r="E297" s="22"/>
      <c r="F297" s="26" t="s">
        <v>58</v>
      </c>
      <c r="G297" s="27">
        <v>1.3</v>
      </c>
      <c r="H297" s="132"/>
      <c r="I297" s="171"/>
      <c r="J297" s="142"/>
      <c r="K297" s="110">
        <v>42016</v>
      </c>
      <c r="L297" s="63">
        <v>8.6</v>
      </c>
      <c r="M297" s="29"/>
      <c r="N297" s="91"/>
      <c r="O297" s="63">
        <f>ROUND(ROUND(L297, 2)*K297, 2)</f>
        <v>361337.59999999998</v>
      </c>
      <c r="P297" s="29"/>
      <c r="Q297" s="29"/>
      <c r="R297" s="28">
        <v>8.6</v>
      </c>
      <c r="S297" s="29"/>
      <c r="T297" s="29"/>
      <c r="U297" s="28">
        <f>ROUND(ROUND(R297, 2)*K297, 2)</f>
        <v>361337.59999999998</v>
      </c>
      <c r="V297" s="29"/>
      <c r="W297" s="30"/>
    </row>
    <row r="298" spans="1:23" ht="72" x14ac:dyDescent="0.35">
      <c r="A298" s="20" t="s">
        <v>520</v>
      </c>
      <c r="B298" s="20" t="s">
        <v>507</v>
      </c>
      <c r="C298" s="21" t="s">
        <v>508</v>
      </c>
      <c r="D298" s="22"/>
      <c r="E298" s="22" t="s">
        <v>521</v>
      </c>
      <c r="F298" s="22" t="s">
        <v>55</v>
      </c>
      <c r="G298" s="23">
        <v>1</v>
      </c>
      <c r="H298" s="131"/>
      <c r="I298" s="171"/>
      <c r="J298" s="142"/>
      <c r="K298" s="98">
        <v>154.19999999999999</v>
      </c>
      <c r="L298" s="62">
        <f>IFERROR(ROUND(SUM(O299,O300,O301,O302)/K298, 2),0)</f>
        <v>516.55999999999995</v>
      </c>
      <c r="M298" s="80">
        <v>1067</v>
      </c>
      <c r="N298" s="90">
        <f>L298+ROUND(M298, 2)</f>
        <v>1583.56</v>
      </c>
      <c r="O298" s="62">
        <f>ROUND(L298*K298, 2)</f>
        <v>79653.55</v>
      </c>
      <c r="P298" s="24">
        <f>ROUND(K298*ROUND(M298, 2), 2)</f>
        <v>164531.4</v>
      </c>
      <c r="Q298" s="24">
        <f>O298+P298</f>
        <v>244184.95</v>
      </c>
      <c r="R298" s="24">
        <f>IFERROR(ROUND(SUM(U299,U300,U301,U302)/K298, 2),0)</f>
        <v>516.55999999999995</v>
      </c>
      <c r="S298" s="24">
        <v>1067</v>
      </c>
      <c r="T298" s="24">
        <f>R298+ROUND(S298, 2)</f>
        <v>1583.56</v>
      </c>
      <c r="U298" s="24">
        <f>ROUND(R298*K298, 2)</f>
        <v>79653.55</v>
      </c>
      <c r="V298" s="24">
        <f>ROUND(K298*ROUND(S298, 2), 2)</f>
        <v>164531.4</v>
      </c>
      <c r="W298" s="24">
        <f>U298+V298</f>
        <v>244184.95</v>
      </c>
    </row>
    <row r="299" spans="1:23" ht="20" x14ac:dyDescent="0.35">
      <c r="A299" s="20" t="s">
        <v>522</v>
      </c>
      <c r="B299" s="20"/>
      <c r="C299" s="25" t="s">
        <v>405</v>
      </c>
      <c r="D299" s="22"/>
      <c r="E299" s="22"/>
      <c r="F299" s="26" t="s">
        <v>58</v>
      </c>
      <c r="G299" s="27">
        <v>0.25</v>
      </c>
      <c r="H299" s="132"/>
      <c r="I299" s="171"/>
      <c r="J299" s="142"/>
      <c r="K299" s="99">
        <v>38.549999999999997</v>
      </c>
      <c r="L299" s="63">
        <v>100</v>
      </c>
      <c r="M299" s="29"/>
      <c r="N299" s="91"/>
      <c r="O299" s="63">
        <f>ROUND(ROUND(L299, 2)*K299, 2)</f>
        <v>3855</v>
      </c>
      <c r="P299" s="29"/>
      <c r="Q299" s="29"/>
      <c r="R299" s="28">
        <v>100</v>
      </c>
      <c r="S299" s="29"/>
      <c r="T299" s="29"/>
      <c r="U299" s="28">
        <f>ROUND(ROUND(R299, 2)*K299, 2)</f>
        <v>3855</v>
      </c>
      <c r="V299" s="29"/>
      <c r="W299" s="30"/>
    </row>
    <row r="300" spans="1:23" ht="20" x14ac:dyDescent="0.35">
      <c r="A300" s="20" t="s">
        <v>523</v>
      </c>
      <c r="B300" s="20"/>
      <c r="C300" s="25" t="s">
        <v>408</v>
      </c>
      <c r="D300" s="22"/>
      <c r="E300" s="22"/>
      <c r="F300" s="26" t="s">
        <v>67</v>
      </c>
      <c r="G300" s="27">
        <v>1</v>
      </c>
      <c r="H300" s="132"/>
      <c r="I300" s="171"/>
      <c r="J300" s="142"/>
      <c r="K300" s="110">
        <v>154.19999999999999</v>
      </c>
      <c r="L300" s="63">
        <v>15.76</v>
      </c>
      <c r="M300" s="29"/>
      <c r="N300" s="91"/>
      <c r="O300" s="63">
        <f>ROUND(ROUND(L300, 2)*K300, 2)</f>
        <v>2430.19</v>
      </c>
      <c r="P300" s="29"/>
      <c r="Q300" s="29"/>
      <c r="R300" s="28">
        <v>15.76</v>
      </c>
      <c r="S300" s="29"/>
      <c r="T300" s="29"/>
      <c r="U300" s="28">
        <f>ROUND(ROUND(R300, 2)*K300, 2)</f>
        <v>2430.19</v>
      </c>
      <c r="V300" s="29"/>
      <c r="W300" s="30"/>
    </row>
    <row r="301" spans="1:23" ht="20" x14ac:dyDescent="0.35">
      <c r="A301" s="20" t="s">
        <v>524</v>
      </c>
      <c r="B301" s="20"/>
      <c r="C301" s="25" t="s">
        <v>500</v>
      </c>
      <c r="D301" s="22"/>
      <c r="E301" s="22"/>
      <c r="F301" s="26" t="s">
        <v>55</v>
      </c>
      <c r="G301" s="27">
        <v>1.1000000000000001</v>
      </c>
      <c r="H301" s="132"/>
      <c r="I301" s="171"/>
      <c r="J301" s="142"/>
      <c r="K301" s="99">
        <v>169.62</v>
      </c>
      <c r="L301" s="63">
        <v>26</v>
      </c>
      <c r="M301" s="29"/>
      <c r="N301" s="91"/>
      <c r="O301" s="63">
        <f>ROUND(ROUND(L301, 2)*K301, 2)</f>
        <v>4410.12</v>
      </c>
      <c r="P301" s="29"/>
      <c r="Q301" s="29"/>
      <c r="R301" s="28">
        <v>26</v>
      </c>
      <c r="S301" s="29"/>
      <c r="T301" s="29"/>
      <c r="U301" s="28">
        <f>ROUND(ROUND(R301, 2)*K301, 2)</f>
        <v>4410.12</v>
      </c>
      <c r="V301" s="29"/>
      <c r="W301" s="30"/>
    </row>
    <row r="302" spans="1:23" ht="20" x14ac:dyDescent="0.35">
      <c r="A302" s="20" t="s">
        <v>525</v>
      </c>
      <c r="B302" s="20"/>
      <c r="C302" s="25" t="s">
        <v>496</v>
      </c>
      <c r="D302" s="22"/>
      <c r="E302" s="22"/>
      <c r="F302" s="26" t="s">
        <v>58</v>
      </c>
      <c r="G302" s="27">
        <v>1.3</v>
      </c>
      <c r="H302" s="132"/>
      <c r="I302" s="171"/>
      <c r="J302" s="142"/>
      <c r="K302" s="110">
        <v>8018.4</v>
      </c>
      <c r="L302" s="63">
        <v>8.6</v>
      </c>
      <c r="M302" s="29"/>
      <c r="N302" s="91"/>
      <c r="O302" s="63">
        <f>ROUND(ROUND(L302, 2)*K302, 2)</f>
        <v>68958.240000000005</v>
      </c>
      <c r="P302" s="29"/>
      <c r="Q302" s="29"/>
      <c r="R302" s="28">
        <v>8.6</v>
      </c>
      <c r="S302" s="29"/>
      <c r="T302" s="29"/>
      <c r="U302" s="28">
        <f>ROUND(ROUND(R302, 2)*K302, 2)</f>
        <v>68958.240000000005</v>
      </c>
      <c r="V302" s="29"/>
      <c r="W302" s="30"/>
    </row>
    <row r="303" spans="1:23" ht="72" x14ac:dyDescent="0.35">
      <c r="A303" s="20" t="s">
        <v>526</v>
      </c>
      <c r="B303" s="20" t="s">
        <v>507</v>
      </c>
      <c r="C303" s="21" t="s">
        <v>508</v>
      </c>
      <c r="D303" s="22"/>
      <c r="E303" s="22" t="s">
        <v>527</v>
      </c>
      <c r="F303" s="22" t="s">
        <v>55</v>
      </c>
      <c r="G303" s="23">
        <v>1</v>
      </c>
      <c r="H303" s="131"/>
      <c r="I303" s="171"/>
      <c r="J303" s="142"/>
      <c r="K303" s="98">
        <v>572.4</v>
      </c>
      <c r="L303" s="62">
        <f>IFERROR(ROUND(SUM(O304,O305,O306,O307)/K303, 2),0)</f>
        <v>504.88</v>
      </c>
      <c r="M303" s="80">
        <v>1067</v>
      </c>
      <c r="N303" s="90">
        <f>L303+ROUND(M303, 2)</f>
        <v>1571.88</v>
      </c>
      <c r="O303" s="62">
        <f>ROUND(L303*K303, 2)</f>
        <v>288993.31</v>
      </c>
      <c r="P303" s="24">
        <f>ROUND(K303*ROUND(M303, 2), 2)</f>
        <v>610750.80000000005</v>
      </c>
      <c r="Q303" s="24">
        <f>O303+P303</f>
        <v>899744.1100000001</v>
      </c>
      <c r="R303" s="24">
        <f>IFERROR(ROUND(SUM(U304,U305,U306,U307)/K303, 2),0)</f>
        <v>504.88</v>
      </c>
      <c r="S303" s="24">
        <v>1067</v>
      </c>
      <c r="T303" s="24">
        <f>R303+ROUND(S303, 2)</f>
        <v>1571.88</v>
      </c>
      <c r="U303" s="24">
        <f>ROUND(R303*K303, 2)</f>
        <v>288993.31</v>
      </c>
      <c r="V303" s="24">
        <f>ROUND(K303*ROUND(S303, 2), 2)</f>
        <v>610750.80000000005</v>
      </c>
      <c r="W303" s="24">
        <f>U303+V303</f>
        <v>899744.1100000001</v>
      </c>
    </row>
    <row r="304" spans="1:23" ht="36" x14ac:dyDescent="0.35">
      <c r="A304" s="20" t="s">
        <v>528</v>
      </c>
      <c r="B304" s="20"/>
      <c r="C304" s="25" t="s">
        <v>235</v>
      </c>
      <c r="D304" s="22"/>
      <c r="E304" s="22"/>
      <c r="F304" s="26" t="s">
        <v>58</v>
      </c>
      <c r="G304" s="27">
        <v>0.15</v>
      </c>
      <c r="H304" s="132"/>
      <c r="I304" s="171"/>
      <c r="J304" s="142"/>
      <c r="K304" s="99">
        <v>85.86</v>
      </c>
      <c r="L304" s="63">
        <v>88.8</v>
      </c>
      <c r="M304" s="29"/>
      <c r="N304" s="91"/>
      <c r="O304" s="63">
        <f>ROUND(ROUND(L304, 2)*K304, 2)</f>
        <v>7624.37</v>
      </c>
      <c r="P304" s="29"/>
      <c r="Q304" s="29"/>
      <c r="R304" s="28">
        <v>88.8</v>
      </c>
      <c r="S304" s="29"/>
      <c r="T304" s="29"/>
      <c r="U304" s="28">
        <f>ROUND(ROUND(R304, 2)*K304, 2)</f>
        <v>7624.37</v>
      </c>
      <c r="V304" s="29"/>
      <c r="W304" s="30"/>
    </row>
    <row r="305" spans="1:23" ht="20" x14ac:dyDescent="0.35">
      <c r="A305" s="20" t="s">
        <v>529</v>
      </c>
      <c r="B305" s="20"/>
      <c r="C305" s="25" t="s">
        <v>408</v>
      </c>
      <c r="D305" s="22"/>
      <c r="E305" s="22"/>
      <c r="F305" s="26" t="s">
        <v>67</v>
      </c>
      <c r="G305" s="27">
        <v>1</v>
      </c>
      <c r="H305" s="132"/>
      <c r="I305" s="171"/>
      <c r="J305" s="142"/>
      <c r="K305" s="110">
        <v>572.4</v>
      </c>
      <c r="L305" s="63">
        <v>15.76</v>
      </c>
      <c r="M305" s="29"/>
      <c r="N305" s="91"/>
      <c r="O305" s="63">
        <f>ROUND(ROUND(L305, 2)*K305, 2)</f>
        <v>9021.02</v>
      </c>
      <c r="P305" s="29"/>
      <c r="Q305" s="29"/>
      <c r="R305" s="28">
        <v>15.76</v>
      </c>
      <c r="S305" s="29"/>
      <c r="T305" s="29"/>
      <c r="U305" s="28">
        <f>ROUND(ROUND(R305, 2)*K305, 2)</f>
        <v>9021.02</v>
      </c>
      <c r="V305" s="29"/>
      <c r="W305" s="30"/>
    </row>
    <row r="306" spans="1:23" ht="20" x14ac:dyDescent="0.35">
      <c r="A306" s="20" t="s">
        <v>530</v>
      </c>
      <c r="B306" s="20"/>
      <c r="C306" s="25" t="s">
        <v>500</v>
      </c>
      <c r="D306" s="22"/>
      <c r="E306" s="22"/>
      <c r="F306" s="26" t="s">
        <v>55</v>
      </c>
      <c r="G306" s="27">
        <v>1.1000000000000001</v>
      </c>
      <c r="H306" s="132"/>
      <c r="I306" s="171"/>
      <c r="J306" s="142"/>
      <c r="K306" s="99">
        <v>629.64</v>
      </c>
      <c r="L306" s="63">
        <v>26</v>
      </c>
      <c r="M306" s="29"/>
      <c r="N306" s="91"/>
      <c r="O306" s="63">
        <f>ROUND(ROUND(L306, 2)*K306, 2)</f>
        <v>16370.64</v>
      </c>
      <c r="P306" s="29"/>
      <c r="Q306" s="29"/>
      <c r="R306" s="28">
        <v>26</v>
      </c>
      <c r="S306" s="29"/>
      <c r="T306" s="29"/>
      <c r="U306" s="28">
        <f>ROUND(ROUND(R306, 2)*K306, 2)</f>
        <v>16370.64</v>
      </c>
      <c r="V306" s="29"/>
      <c r="W306" s="30"/>
    </row>
    <row r="307" spans="1:23" ht="20" x14ac:dyDescent="0.35">
      <c r="A307" s="20" t="s">
        <v>531</v>
      </c>
      <c r="B307" s="20"/>
      <c r="C307" s="25" t="s">
        <v>496</v>
      </c>
      <c r="D307" s="22"/>
      <c r="E307" s="22"/>
      <c r="F307" s="26" t="s">
        <v>58</v>
      </c>
      <c r="G307" s="27">
        <v>1.3</v>
      </c>
      <c r="H307" s="132"/>
      <c r="I307" s="171"/>
      <c r="J307" s="142"/>
      <c r="K307" s="110">
        <v>29764.799999999999</v>
      </c>
      <c r="L307" s="63">
        <v>8.6</v>
      </c>
      <c r="M307" s="29"/>
      <c r="N307" s="91"/>
      <c r="O307" s="63">
        <f>ROUND(ROUND(L307, 2)*K307, 2)</f>
        <v>255977.28</v>
      </c>
      <c r="P307" s="29"/>
      <c r="Q307" s="29"/>
      <c r="R307" s="28">
        <v>8.6</v>
      </c>
      <c r="S307" s="29"/>
      <c r="T307" s="29"/>
      <c r="U307" s="28">
        <f>ROUND(ROUND(R307, 2)*K307, 2)</f>
        <v>255977.28</v>
      </c>
      <c r="V307" s="29"/>
      <c r="W307" s="30"/>
    </row>
    <row r="308" spans="1:23" ht="54" x14ac:dyDescent="0.35">
      <c r="A308" s="20" t="s">
        <v>532</v>
      </c>
      <c r="B308" s="122" t="s">
        <v>533</v>
      </c>
      <c r="C308" s="123" t="s">
        <v>534</v>
      </c>
      <c r="D308" s="124"/>
      <c r="E308" s="124" t="s">
        <v>509</v>
      </c>
      <c r="F308" s="124" t="s">
        <v>55</v>
      </c>
      <c r="G308" s="125">
        <v>1</v>
      </c>
      <c r="H308" s="194">
        <f>410.02+361.92+161.17+333.82</f>
        <v>1266.93</v>
      </c>
      <c r="I308" s="166">
        <f>H308*N308</f>
        <v>1826608.9968000001</v>
      </c>
      <c r="J308" s="155">
        <f>K308-H308</f>
        <v>2350.67</v>
      </c>
      <c r="K308" s="126">
        <v>3617.6</v>
      </c>
      <c r="L308" s="127">
        <f>IFERROR(ROUND(SUM(O309,O310,O311)/K308, 2),0)</f>
        <v>368.76</v>
      </c>
      <c r="M308" s="128">
        <v>1073</v>
      </c>
      <c r="N308" s="90">
        <f>L308+ROUND(M308, 2)</f>
        <v>1441.76</v>
      </c>
      <c r="O308" s="62">
        <f>ROUND(L308*K308, 2)</f>
        <v>1334026.18</v>
      </c>
      <c r="P308" s="24">
        <f>ROUND(K308*ROUND(M308, 2), 2)</f>
        <v>3881684.8</v>
      </c>
      <c r="Q308" s="24">
        <f>O308+P308</f>
        <v>5215710.9799999995</v>
      </c>
      <c r="R308" s="24">
        <f>IFERROR(ROUND(SUM(U309,U310,U311)/K308, 2),0)</f>
        <v>368.76</v>
      </c>
      <c r="S308" s="24">
        <v>1073</v>
      </c>
      <c r="T308" s="24">
        <f>R308+ROUND(S308, 2)</f>
        <v>1441.76</v>
      </c>
      <c r="U308" s="24">
        <f>ROUND(R308*K308, 2)</f>
        <v>1334026.18</v>
      </c>
      <c r="V308" s="24">
        <f>ROUND(K308*ROUND(S308, 2), 2)</f>
        <v>3881684.8</v>
      </c>
      <c r="W308" s="24">
        <f>U308+V308</f>
        <v>5215710.9799999995</v>
      </c>
    </row>
    <row r="309" spans="1:23" ht="36" x14ac:dyDescent="0.35">
      <c r="A309" s="20" t="s">
        <v>535</v>
      </c>
      <c r="B309" s="20"/>
      <c r="C309" s="14" t="s">
        <v>401</v>
      </c>
      <c r="D309" s="22"/>
      <c r="E309" s="22"/>
      <c r="F309" s="26" t="s">
        <v>58</v>
      </c>
      <c r="G309" s="27">
        <v>1</v>
      </c>
      <c r="H309" s="132"/>
      <c r="I309" s="171"/>
      <c r="J309" s="142"/>
      <c r="K309" s="110">
        <v>144704</v>
      </c>
      <c r="L309" s="63">
        <v>8.1999999999999993</v>
      </c>
      <c r="M309" s="29"/>
      <c r="N309" s="91"/>
      <c r="O309" s="63">
        <f>ROUND(ROUND(L309, 2)*K309, 2)</f>
        <v>1186572.8</v>
      </c>
      <c r="P309" s="29"/>
      <c r="Q309" s="29"/>
      <c r="R309" s="28">
        <v>8.1999999999999993</v>
      </c>
      <c r="S309" s="29"/>
      <c r="T309" s="29"/>
      <c r="U309" s="28">
        <f>ROUND(ROUND(R309, 2)*K309, 2)</f>
        <v>1186572.8</v>
      </c>
      <c r="V309" s="29"/>
      <c r="W309" s="30"/>
    </row>
    <row r="310" spans="1:23" ht="20" x14ac:dyDescent="0.35">
      <c r="A310" s="20" t="s">
        <v>536</v>
      </c>
      <c r="B310" s="20"/>
      <c r="C310" s="25" t="s">
        <v>408</v>
      </c>
      <c r="D310" s="22"/>
      <c r="E310" s="22"/>
      <c r="F310" s="26" t="s">
        <v>67</v>
      </c>
      <c r="G310" s="27">
        <v>1</v>
      </c>
      <c r="H310" s="132"/>
      <c r="I310" s="171"/>
      <c r="J310" s="142"/>
      <c r="K310" s="110">
        <v>3617.6</v>
      </c>
      <c r="L310" s="63">
        <v>15.76</v>
      </c>
      <c r="M310" s="29"/>
      <c r="N310" s="91"/>
      <c r="O310" s="63">
        <f>ROUND(ROUND(L310, 2)*K310, 2)</f>
        <v>57013.38</v>
      </c>
      <c r="P310" s="29"/>
      <c r="Q310" s="29"/>
      <c r="R310" s="28">
        <v>15.76</v>
      </c>
      <c r="S310" s="29"/>
      <c r="T310" s="29"/>
      <c r="U310" s="28">
        <f>ROUND(ROUND(R310, 2)*K310, 2)</f>
        <v>57013.38</v>
      </c>
      <c r="V310" s="29"/>
      <c r="W310" s="30"/>
    </row>
    <row r="311" spans="1:23" ht="20" x14ac:dyDescent="0.35">
      <c r="A311" s="20" t="s">
        <v>537</v>
      </c>
      <c r="B311" s="20"/>
      <c r="C311" s="25" t="s">
        <v>405</v>
      </c>
      <c r="D311" s="22"/>
      <c r="E311" s="22"/>
      <c r="F311" s="26" t="s">
        <v>58</v>
      </c>
      <c r="G311" s="27">
        <v>0.25</v>
      </c>
      <c r="H311" s="132"/>
      <c r="I311" s="171"/>
      <c r="J311" s="142"/>
      <c r="K311" s="99">
        <v>904.4</v>
      </c>
      <c r="L311" s="63">
        <v>100</v>
      </c>
      <c r="M311" s="29"/>
      <c r="N311" s="91"/>
      <c r="O311" s="63">
        <f>ROUND(ROUND(L311, 2)*K311, 2)</f>
        <v>90440</v>
      </c>
      <c r="P311" s="29"/>
      <c r="Q311" s="29"/>
      <c r="R311" s="28">
        <v>100</v>
      </c>
      <c r="S311" s="29"/>
      <c r="T311" s="29"/>
      <c r="U311" s="28">
        <f>ROUND(ROUND(R311, 2)*K311, 2)</f>
        <v>90440</v>
      </c>
      <c r="V311" s="29"/>
      <c r="W311" s="30"/>
    </row>
    <row r="312" spans="1:23" ht="54" x14ac:dyDescent="0.35">
      <c r="A312" s="20" t="s">
        <v>538</v>
      </c>
      <c r="B312" s="181" t="s">
        <v>533</v>
      </c>
      <c r="C312" s="182" t="s">
        <v>534</v>
      </c>
      <c r="D312" s="183"/>
      <c r="E312" s="183" t="s">
        <v>515</v>
      </c>
      <c r="F312" s="183" t="s">
        <v>55</v>
      </c>
      <c r="G312" s="184">
        <v>1</v>
      </c>
      <c r="H312" s="185">
        <f>603.16+697.46+341.47+502.91</f>
        <v>2145</v>
      </c>
      <c r="I312" s="166">
        <f>H312*N312</f>
        <v>3067521.5999999996</v>
      </c>
      <c r="J312" s="155">
        <f>K312-H312</f>
        <v>2365.8000000000002</v>
      </c>
      <c r="K312" s="186">
        <v>4510.8</v>
      </c>
      <c r="L312" s="187">
        <f>IFERROR(ROUND(SUM(O313,O314,O315)/K312, 2),0)</f>
        <v>357.08</v>
      </c>
      <c r="M312" s="188">
        <v>1073</v>
      </c>
      <c r="N312" s="189">
        <f>L312+ROUND(M312, 2)</f>
        <v>1430.08</v>
      </c>
      <c r="O312" s="62">
        <f>ROUND(L312*K312, 2)</f>
        <v>1610716.46</v>
      </c>
      <c r="P312" s="24">
        <f>ROUND(K312*ROUND(M312, 2), 2)</f>
        <v>4840088.4000000004</v>
      </c>
      <c r="Q312" s="24">
        <f>O312+P312</f>
        <v>6450804.8600000003</v>
      </c>
      <c r="R312" s="24">
        <f>IFERROR(ROUND(SUM(U313,U314,U315)/K312, 2),0)</f>
        <v>357.08</v>
      </c>
      <c r="S312" s="24">
        <v>1073</v>
      </c>
      <c r="T312" s="24">
        <f>R312+ROUND(S312, 2)</f>
        <v>1430.08</v>
      </c>
      <c r="U312" s="24">
        <f>ROUND(R312*K312, 2)</f>
        <v>1610716.46</v>
      </c>
      <c r="V312" s="24">
        <f>ROUND(K312*ROUND(S312, 2), 2)</f>
        <v>4840088.4000000004</v>
      </c>
      <c r="W312" s="24">
        <f>U312+V312</f>
        <v>6450804.8600000003</v>
      </c>
    </row>
    <row r="313" spans="1:23" ht="36" x14ac:dyDescent="0.35">
      <c r="A313" s="20" t="s">
        <v>539</v>
      </c>
      <c r="B313" s="20"/>
      <c r="C313" s="25" t="s">
        <v>235</v>
      </c>
      <c r="D313" s="22"/>
      <c r="E313" s="22"/>
      <c r="F313" s="26" t="s">
        <v>58</v>
      </c>
      <c r="G313" s="27">
        <v>0.15</v>
      </c>
      <c r="H313" s="132"/>
      <c r="I313" s="171"/>
      <c r="J313" s="142"/>
      <c r="K313" s="110">
        <v>676.62</v>
      </c>
      <c r="L313" s="63">
        <v>88.8</v>
      </c>
      <c r="M313" s="29"/>
      <c r="N313" s="91"/>
      <c r="O313" s="63">
        <f>ROUND(ROUND(L313, 2)*K313, 2)</f>
        <v>60083.86</v>
      </c>
      <c r="P313" s="29"/>
      <c r="Q313" s="29"/>
      <c r="R313" s="28">
        <v>88.8</v>
      </c>
      <c r="S313" s="29"/>
      <c r="T313" s="29"/>
      <c r="U313" s="28">
        <f>ROUND(ROUND(R313, 2)*K313, 2)</f>
        <v>60083.86</v>
      </c>
      <c r="V313" s="29"/>
      <c r="W313" s="30"/>
    </row>
    <row r="314" spans="1:23" ht="20" x14ac:dyDescent="0.35">
      <c r="A314" s="20" t="s">
        <v>540</v>
      </c>
      <c r="B314" s="20"/>
      <c r="C314" s="25" t="s">
        <v>408</v>
      </c>
      <c r="D314" s="22"/>
      <c r="E314" s="22"/>
      <c r="F314" s="26" t="s">
        <v>67</v>
      </c>
      <c r="G314" s="27">
        <v>1</v>
      </c>
      <c r="H314" s="132"/>
      <c r="I314" s="171"/>
      <c r="J314" s="142"/>
      <c r="K314" s="110">
        <v>4510.8</v>
      </c>
      <c r="L314" s="63">
        <v>15.76</v>
      </c>
      <c r="M314" s="29"/>
      <c r="N314" s="91"/>
      <c r="O314" s="63">
        <f>ROUND(ROUND(L314, 2)*K314, 2)</f>
        <v>71090.210000000006</v>
      </c>
      <c r="P314" s="29"/>
      <c r="Q314" s="29"/>
      <c r="R314" s="28">
        <v>15.76</v>
      </c>
      <c r="S314" s="29"/>
      <c r="T314" s="29"/>
      <c r="U314" s="28">
        <f>ROUND(ROUND(R314, 2)*K314, 2)</f>
        <v>71090.210000000006</v>
      </c>
      <c r="V314" s="29"/>
      <c r="W314" s="30"/>
    </row>
    <row r="315" spans="1:23" ht="36" x14ac:dyDescent="0.35">
      <c r="A315" s="20" t="s">
        <v>541</v>
      </c>
      <c r="B315" s="20"/>
      <c r="C315" s="14" t="s">
        <v>401</v>
      </c>
      <c r="D315" s="22"/>
      <c r="E315" s="22"/>
      <c r="F315" s="26" t="s">
        <v>58</v>
      </c>
      <c r="G315" s="27">
        <v>1</v>
      </c>
      <c r="H315" s="132"/>
      <c r="I315" s="171"/>
      <c r="J315" s="142"/>
      <c r="K315" s="110">
        <v>180432</v>
      </c>
      <c r="L315" s="63">
        <v>8.1999999999999993</v>
      </c>
      <c r="M315" s="29"/>
      <c r="N315" s="91"/>
      <c r="O315" s="63">
        <f>ROUND(ROUND(L315, 2)*K315, 2)</f>
        <v>1479542.4</v>
      </c>
      <c r="P315" s="29"/>
      <c r="Q315" s="29"/>
      <c r="R315" s="28">
        <v>8.1999999999999993</v>
      </c>
      <c r="S315" s="29"/>
      <c r="T315" s="29"/>
      <c r="U315" s="28">
        <f>ROUND(ROUND(R315, 2)*K315, 2)</f>
        <v>1479542.4</v>
      </c>
      <c r="V315" s="29"/>
      <c r="W315" s="30"/>
    </row>
    <row r="316" spans="1:23" ht="54" x14ac:dyDescent="0.35">
      <c r="A316" s="20" t="s">
        <v>542</v>
      </c>
      <c r="B316" s="196" t="s">
        <v>533</v>
      </c>
      <c r="C316" s="197" t="s">
        <v>534</v>
      </c>
      <c r="D316" s="198"/>
      <c r="E316" s="198" t="s">
        <v>521</v>
      </c>
      <c r="F316" s="198" t="s">
        <v>55</v>
      </c>
      <c r="G316" s="199">
        <v>1</v>
      </c>
      <c r="H316" s="204">
        <f>1389.74</f>
        <v>1389.74</v>
      </c>
      <c r="I316" s="206">
        <f>H316*N316</f>
        <v>2003671.5423999999</v>
      </c>
      <c r="J316" s="205">
        <f>K316-H316</f>
        <v>1735.4599999999998</v>
      </c>
      <c r="K316" s="200">
        <v>3125.2</v>
      </c>
      <c r="L316" s="201">
        <f>IFERROR(ROUND(SUM(O317,O318,O319)/K316, 2),0)</f>
        <v>368.76</v>
      </c>
      <c r="M316" s="202">
        <v>1073</v>
      </c>
      <c r="N316" s="203">
        <f>L316+ROUND(M316, 2)</f>
        <v>1441.76</v>
      </c>
      <c r="O316" s="62">
        <f>ROUND(L316*K316, 2)</f>
        <v>1152448.75</v>
      </c>
      <c r="P316" s="24">
        <f>ROUND(K316*ROUND(M316, 2), 2)</f>
        <v>3353339.6</v>
      </c>
      <c r="Q316" s="24">
        <f>O316+P316</f>
        <v>4505788.3499999996</v>
      </c>
      <c r="R316" s="24">
        <f>IFERROR(ROUND(SUM(U317,U318,U319)/K316, 2),0)</f>
        <v>368.76</v>
      </c>
      <c r="S316" s="24">
        <v>1073</v>
      </c>
      <c r="T316" s="24">
        <f>R316+ROUND(S316, 2)</f>
        <v>1441.76</v>
      </c>
      <c r="U316" s="24">
        <f>ROUND(R316*K316, 2)</f>
        <v>1152448.75</v>
      </c>
      <c r="V316" s="24">
        <f>ROUND(K316*ROUND(S316, 2), 2)</f>
        <v>3353339.6</v>
      </c>
      <c r="W316" s="24">
        <f>U316+V316</f>
        <v>4505788.3499999996</v>
      </c>
    </row>
    <row r="317" spans="1:23" ht="20" x14ac:dyDescent="0.35">
      <c r="A317" s="20" t="s">
        <v>543</v>
      </c>
      <c r="B317" s="20"/>
      <c r="C317" s="25" t="s">
        <v>405</v>
      </c>
      <c r="D317" s="22"/>
      <c r="E317" s="22"/>
      <c r="F317" s="26" t="s">
        <v>58</v>
      </c>
      <c r="G317" s="27">
        <v>0.25</v>
      </c>
      <c r="H317" s="132"/>
      <c r="I317" s="171"/>
      <c r="J317" s="142"/>
      <c r="K317" s="99">
        <v>781.3</v>
      </c>
      <c r="L317" s="63">
        <v>100</v>
      </c>
      <c r="M317" s="29"/>
      <c r="N317" s="91"/>
      <c r="O317" s="63">
        <f>ROUND(ROUND(L317, 2)*K317, 2)</f>
        <v>78130</v>
      </c>
      <c r="P317" s="29"/>
      <c r="Q317" s="29"/>
      <c r="R317" s="28">
        <v>100</v>
      </c>
      <c r="S317" s="29"/>
      <c r="T317" s="29"/>
      <c r="U317" s="28">
        <f>ROUND(ROUND(R317, 2)*K317, 2)</f>
        <v>78130</v>
      </c>
      <c r="V317" s="29"/>
      <c r="W317" s="30"/>
    </row>
    <row r="318" spans="1:23" ht="20" x14ac:dyDescent="0.35">
      <c r="A318" s="20" t="s">
        <v>544</v>
      </c>
      <c r="B318" s="20"/>
      <c r="C318" s="25" t="s">
        <v>408</v>
      </c>
      <c r="D318" s="22"/>
      <c r="E318" s="22"/>
      <c r="F318" s="26" t="s">
        <v>67</v>
      </c>
      <c r="G318" s="27">
        <v>1</v>
      </c>
      <c r="H318" s="132"/>
      <c r="I318" s="171"/>
      <c r="J318" s="142"/>
      <c r="K318" s="110">
        <v>3125.2</v>
      </c>
      <c r="L318" s="63">
        <v>15.76</v>
      </c>
      <c r="M318" s="29"/>
      <c r="N318" s="91"/>
      <c r="O318" s="63">
        <f>ROUND(ROUND(L318, 2)*K318, 2)</f>
        <v>49253.15</v>
      </c>
      <c r="P318" s="29"/>
      <c r="Q318" s="29"/>
      <c r="R318" s="28">
        <v>15.76</v>
      </c>
      <c r="S318" s="29"/>
      <c r="T318" s="29"/>
      <c r="U318" s="28">
        <f>ROUND(ROUND(R318, 2)*K318, 2)</f>
        <v>49253.15</v>
      </c>
      <c r="V318" s="29"/>
      <c r="W318" s="30"/>
    </row>
    <row r="319" spans="1:23" ht="36" x14ac:dyDescent="0.35">
      <c r="A319" s="20" t="s">
        <v>545</v>
      </c>
      <c r="B319" s="20"/>
      <c r="C319" s="14" t="s">
        <v>401</v>
      </c>
      <c r="D319" s="22"/>
      <c r="E319" s="22"/>
      <c r="F319" s="26" t="s">
        <v>58</v>
      </c>
      <c r="G319" s="27">
        <v>1</v>
      </c>
      <c r="H319" s="132"/>
      <c r="I319" s="171"/>
      <c r="J319" s="142"/>
      <c r="K319" s="110">
        <v>125008</v>
      </c>
      <c r="L319" s="63">
        <v>8.1999999999999993</v>
      </c>
      <c r="M319" s="29"/>
      <c r="N319" s="91"/>
      <c r="O319" s="63">
        <f>ROUND(ROUND(L319, 2)*K319, 2)</f>
        <v>1025065.6</v>
      </c>
      <c r="P319" s="29"/>
      <c r="Q319" s="29"/>
      <c r="R319" s="28">
        <v>8.1999999999999993</v>
      </c>
      <c r="S319" s="29"/>
      <c r="T319" s="29"/>
      <c r="U319" s="28">
        <f>ROUND(ROUND(R319, 2)*K319, 2)</f>
        <v>1025065.6</v>
      </c>
      <c r="V319" s="29"/>
      <c r="W319" s="30"/>
    </row>
    <row r="320" spans="1:23" ht="54" x14ac:dyDescent="0.35">
      <c r="A320" s="20" t="s">
        <v>546</v>
      </c>
      <c r="B320" s="196" t="s">
        <v>533</v>
      </c>
      <c r="C320" s="197" t="s">
        <v>534</v>
      </c>
      <c r="D320" s="198"/>
      <c r="E320" s="198" t="s">
        <v>527</v>
      </c>
      <c r="F320" s="198" t="s">
        <v>55</v>
      </c>
      <c r="G320" s="199">
        <v>1</v>
      </c>
      <c r="H320" s="204">
        <f>2747.8</f>
        <v>2747.8</v>
      </c>
      <c r="I320" s="206">
        <f>H320*N320</f>
        <v>3929573.824</v>
      </c>
      <c r="J320" s="205">
        <f>K320-H320</f>
        <v>1501</v>
      </c>
      <c r="K320" s="200">
        <v>4248.8</v>
      </c>
      <c r="L320" s="201">
        <f>IFERROR(ROUND(SUM(O321,O322,O323)/K320, 2),0)</f>
        <v>357.08</v>
      </c>
      <c r="M320" s="202">
        <v>1073</v>
      </c>
      <c r="N320" s="203">
        <f>L320+ROUND(M320, 2)</f>
        <v>1430.08</v>
      </c>
      <c r="O320" s="62">
        <f>ROUND(L320*K320, 2)</f>
        <v>1517161.5</v>
      </c>
      <c r="P320" s="24">
        <f>ROUND(K320*ROUND(M320, 2), 2)</f>
        <v>4558962.4000000004</v>
      </c>
      <c r="Q320" s="24">
        <f>O320+P320</f>
        <v>6076123.9000000004</v>
      </c>
      <c r="R320" s="24">
        <f>IFERROR(ROUND(SUM(U321,U322,U323)/K320, 2),0)</f>
        <v>357.08</v>
      </c>
      <c r="S320" s="24">
        <v>1073</v>
      </c>
      <c r="T320" s="24">
        <f>R320+ROUND(S320, 2)</f>
        <v>1430.08</v>
      </c>
      <c r="U320" s="24">
        <f>ROUND(R320*K320, 2)</f>
        <v>1517161.5</v>
      </c>
      <c r="V320" s="24">
        <f>ROUND(K320*ROUND(S320, 2), 2)</f>
        <v>4558962.4000000004</v>
      </c>
      <c r="W320" s="24">
        <f>U320+V320</f>
        <v>6076123.9000000004</v>
      </c>
    </row>
    <row r="321" spans="1:23" ht="36" x14ac:dyDescent="0.35">
      <c r="A321" s="20" t="s">
        <v>547</v>
      </c>
      <c r="B321" s="20"/>
      <c r="C321" s="25" t="s">
        <v>235</v>
      </c>
      <c r="D321" s="22"/>
      <c r="E321" s="22"/>
      <c r="F321" s="26" t="s">
        <v>58</v>
      </c>
      <c r="G321" s="27">
        <v>0.15</v>
      </c>
      <c r="H321" s="132"/>
      <c r="I321" s="171"/>
      <c r="J321" s="142"/>
      <c r="K321" s="110">
        <v>637.32000000000005</v>
      </c>
      <c r="L321" s="63">
        <v>88.8</v>
      </c>
      <c r="M321" s="29"/>
      <c r="N321" s="91"/>
      <c r="O321" s="63">
        <f>ROUND(ROUND(L321, 2)*K321, 2)</f>
        <v>56594.02</v>
      </c>
      <c r="P321" s="29"/>
      <c r="Q321" s="29"/>
      <c r="R321" s="28">
        <v>88.8</v>
      </c>
      <c r="S321" s="29"/>
      <c r="T321" s="29"/>
      <c r="U321" s="28">
        <f>ROUND(ROUND(R321, 2)*K321, 2)</f>
        <v>56594.02</v>
      </c>
      <c r="V321" s="29"/>
      <c r="W321" s="30"/>
    </row>
    <row r="322" spans="1:23" ht="20.5" thickBot="1" x14ac:dyDescent="0.4">
      <c r="A322" s="20" t="s">
        <v>548</v>
      </c>
      <c r="B322" s="20"/>
      <c r="C322" s="25" t="s">
        <v>408</v>
      </c>
      <c r="D322" s="22"/>
      <c r="E322" s="22"/>
      <c r="F322" s="26" t="s">
        <v>67</v>
      </c>
      <c r="G322" s="27">
        <v>1</v>
      </c>
      <c r="H322" s="132"/>
      <c r="I322" s="171"/>
      <c r="J322" s="145"/>
      <c r="K322" s="110">
        <v>4248.8</v>
      </c>
      <c r="L322" s="63">
        <v>15.76</v>
      </c>
      <c r="M322" s="29"/>
      <c r="N322" s="91"/>
      <c r="O322" s="63">
        <f>ROUND(ROUND(L322, 2)*K322, 2)</f>
        <v>66961.09</v>
      </c>
      <c r="P322" s="29"/>
      <c r="Q322" s="29"/>
      <c r="R322" s="28">
        <v>15.76</v>
      </c>
      <c r="S322" s="29"/>
      <c r="T322" s="29"/>
      <c r="U322" s="28">
        <f>ROUND(ROUND(R322, 2)*K322, 2)</f>
        <v>66961.09</v>
      </c>
      <c r="V322" s="29"/>
      <c r="W322" s="30"/>
    </row>
    <row r="323" spans="1:23" ht="36.5" thickBot="1" x14ac:dyDescent="0.4">
      <c r="A323" s="20" t="s">
        <v>549</v>
      </c>
      <c r="B323" s="20"/>
      <c r="C323" s="14" t="s">
        <v>401</v>
      </c>
      <c r="D323" s="22"/>
      <c r="E323" s="22"/>
      <c r="F323" s="26" t="s">
        <v>58</v>
      </c>
      <c r="G323" s="27">
        <v>1</v>
      </c>
      <c r="H323" s="132"/>
      <c r="I323" s="171"/>
      <c r="J323" s="146"/>
      <c r="K323" s="95">
        <v>169952</v>
      </c>
      <c r="L323" s="63">
        <v>8.1999999999999993</v>
      </c>
      <c r="M323" s="29"/>
      <c r="N323" s="91"/>
      <c r="O323" s="63">
        <f>ROUND(ROUND(L323, 2)*K323, 2)</f>
        <v>1393606.4</v>
      </c>
      <c r="P323" s="29"/>
      <c r="Q323" s="29"/>
      <c r="R323" s="28">
        <v>8.1999999999999993</v>
      </c>
      <c r="S323" s="29"/>
      <c r="T323" s="29"/>
      <c r="U323" s="28">
        <f>ROUND(ROUND(R323, 2)*K323, 2)</f>
        <v>1393606.4</v>
      </c>
      <c r="V323" s="29"/>
      <c r="W323" s="30"/>
    </row>
    <row r="324" spans="1:23" ht="17" customHeight="1" thickBot="1" x14ac:dyDescent="0.4">
      <c r="A324" s="8" t="s">
        <v>550</v>
      </c>
      <c r="B324" s="8" t="s">
        <v>551</v>
      </c>
      <c r="C324" s="92" t="s">
        <v>552</v>
      </c>
      <c r="D324" s="93"/>
      <c r="E324" s="93"/>
      <c r="F324" s="93"/>
      <c r="G324" s="93"/>
      <c r="H324" s="93"/>
      <c r="I324" s="167"/>
      <c r="J324" s="147"/>
      <c r="K324" s="94"/>
      <c r="N324" s="88"/>
      <c r="O324" s="83">
        <f>SUM(O325,O337,O349,O355,O361,O367,O373,O379,O385,O391,O394,O397,O400,O403,O406,O409,O412,O415,O418,O421,O424,O427,O430,O433,O436,O439,O442,O445,O448,O451,O454,O457,O462,O467,O472,O476,O481,O485,O491,O497,O502,O507,O512,O517,O522,O528,O533)</f>
        <v>2460235.5100000002</v>
      </c>
      <c r="P324" s="5">
        <f>SUM(P325,P337,P349,P355,P361,P367,P373,P379,P385,P391,P394,P397,P400,P403,P406,P409,P412,P415,P418,P421,P424,P427,P430,P433,P436,P439,P442,P445,P448,P451,P454,P457,P462,P467,P472,P476,P481,P485,P491,P497,P502,P507,P512,P517,P522,P528,P533)</f>
        <v>10285693.439999998</v>
      </c>
      <c r="Q324" s="5">
        <f>SUM(Q325,Q337,Q349,Q355,Q361,Q367,Q373,Q379,Q385,Q391,Q394,Q397,Q400,Q403,Q406,Q409,Q412,Q415,Q418,Q421,Q424,Q427,Q430,Q433,Q436,Q439,Q442,Q445,Q448,Q451,Q454,Q457,Q462,Q467,Q472,Q476,Q481,Q485,Q491,Q497,Q502,Q507,Q512,Q517,Q522,Q528,Q533)</f>
        <v>12745928.950000001</v>
      </c>
      <c r="U324" s="5">
        <f>SUM(U325,U337,U349,U355,U361,U367,U373,U379,U385,U391,U394,U397,U400,U403,U406,U409,U412,U415,U418,U421,U424,U427,U430,U433,U436,U439,U442,U445,U448,U451,U454,U457,U462,U467,U472,U476,U481,U485,U491,U497,U502,U507,U512,U517,U522,U528,U533)</f>
        <v>2460235.5100000002</v>
      </c>
      <c r="V324" s="5">
        <f>SUM(V325,V337,V349,V355,V361,V367,V373,V379,V385,V391,V394,V397,V400,V403,V406,V409,V412,V415,V418,V421,V424,V427,V430,V433,V436,V439,V442,V445,V448,V451,V454,V457,V462,V467,V472,V476,V481,V485,V491,V497,V502,V507,V512,V517,V522,V528,V533)</f>
        <v>10285693.439999998</v>
      </c>
      <c r="W324" s="5">
        <f>SUM(W325,W337,W349,W355,W361,W367,W373,W379,W385,W391,W394,W397,W400,W403,W406,W409,W412,W415,W418,W421,W424,W427,W430,W433,W436,W439,W442,W445,W448,W451,W454,W457,W462,W467,W472,W476,W481,W485,W491,W497,W502,W507,W512,W517,W522,W528,W533)</f>
        <v>12745928.950000001</v>
      </c>
    </row>
    <row r="325" spans="1:23" ht="54" x14ac:dyDescent="0.35">
      <c r="A325" s="31" t="s">
        <v>553</v>
      </c>
      <c r="B325" s="31" t="s">
        <v>554</v>
      </c>
      <c r="C325" s="32" t="s">
        <v>555</v>
      </c>
      <c r="D325" s="33"/>
      <c r="E325" s="33" t="s">
        <v>54</v>
      </c>
      <c r="F325" s="33" t="s">
        <v>55</v>
      </c>
      <c r="G325" s="34">
        <v>1</v>
      </c>
      <c r="H325" s="133"/>
      <c r="I325" s="171"/>
      <c r="J325" s="151"/>
      <c r="K325" s="106">
        <v>0</v>
      </c>
      <c r="L325" s="64">
        <f>IFERROR(ROUND(SUM(O327,O329,O331,O333,O335)/K325, 2),0)</f>
        <v>0</v>
      </c>
      <c r="M325" s="81">
        <v>1869</v>
      </c>
      <c r="N325" s="90">
        <f>L325+ROUND(M325, 2)</f>
        <v>1869</v>
      </c>
      <c r="O325" s="64">
        <f>ROUND(L325*K325, 2)</f>
        <v>0</v>
      </c>
      <c r="P325" s="35">
        <f>ROUND(K325*ROUND(M325, 2), 2)</f>
        <v>0</v>
      </c>
      <c r="Q325" s="35">
        <f>O325+P325</f>
        <v>0</v>
      </c>
      <c r="R325" s="35">
        <f>IFERROR(ROUND(SUM(U327,U329,U331,U333,U335)/K325, 2),0)</f>
        <v>0</v>
      </c>
      <c r="S325" s="35">
        <v>1869</v>
      </c>
      <c r="T325" s="35">
        <f>R325+ROUND(S325, 2)</f>
        <v>1869</v>
      </c>
      <c r="U325" s="35">
        <f>ROUND(R325*K325, 2)</f>
        <v>0</v>
      </c>
      <c r="V325" s="35">
        <f>ROUND(K325*ROUND(S325, 2), 2)</f>
        <v>0</v>
      </c>
      <c r="W325" s="35">
        <f>U325+V325</f>
        <v>0</v>
      </c>
    </row>
    <row r="326" spans="1:23" ht="54" x14ac:dyDescent="0.35">
      <c r="A326" s="36" t="s">
        <v>556</v>
      </c>
      <c r="B326" s="36" t="s">
        <v>554</v>
      </c>
      <c r="C326" s="37" t="s">
        <v>555</v>
      </c>
      <c r="D326" s="38"/>
      <c r="E326" s="38"/>
      <c r="F326" s="38" t="s">
        <v>55</v>
      </c>
      <c r="G326" s="39">
        <v>1</v>
      </c>
      <c r="H326" s="134"/>
      <c r="I326" s="171"/>
      <c r="J326" s="144"/>
      <c r="K326" s="102">
        <v>493</v>
      </c>
      <c r="L326" s="65">
        <v>0</v>
      </c>
      <c r="M326" s="82">
        <v>1869</v>
      </c>
      <c r="N326" s="90"/>
      <c r="O326" s="65">
        <v>0</v>
      </c>
      <c r="P326" s="40"/>
      <c r="Q326" s="40"/>
      <c r="R326" s="40">
        <v>0</v>
      </c>
      <c r="S326" s="40">
        <v>1869</v>
      </c>
      <c r="T326" s="40"/>
      <c r="U326" s="40">
        <v>0</v>
      </c>
      <c r="V326" s="40"/>
      <c r="W326" s="40"/>
    </row>
    <row r="327" spans="1:23" ht="36" x14ac:dyDescent="0.35">
      <c r="A327" s="31" t="s">
        <v>557</v>
      </c>
      <c r="B327" s="31"/>
      <c r="C327" s="41" t="s">
        <v>558</v>
      </c>
      <c r="D327" s="33"/>
      <c r="E327" s="33"/>
      <c r="F327" s="42" t="s">
        <v>67</v>
      </c>
      <c r="G327" s="43">
        <v>0.23</v>
      </c>
      <c r="H327" s="135"/>
      <c r="I327" s="171"/>
      <c r="J327" s="143"/>
      <c r="K327" s="107">
        <v>0</v>
      </c>
      <c r="L327" s="66">
        <v>97.71</v>
      </c>
      <c r="M327" s="45"/>
      <c r="N327" s="91"/>
      <c r="O327" s="66">
        <f t="shared" ref="O327:O336" si="18">ROUND(ROUND(L327, 2)*K327, 2)</f>
        <v>0</v>
      </c>
      <c r="P327" s="45"/>
      <c r="Q327" s="45"/>
      <c r="R327" s="44">
        <v>97.71</v>
      </c>
      <c r="S327" s="45"/>
      <c r="T327" s="45"/>
      <c r="U327" s="44">
        <f t="shared" ref="U327:U336" si="19">ROUND(ROUND(R327, 2)*K327, 2)</f>
        <v>0</v>
      </c>
      <c r="V327" s="45"/>
      <c r="W327" s="46"/>
    </row>
    <row r="328" spans="1:23" ht="36" x14ac:dyDescent="0.35">
      <c r="A328" s="36" t="s">
        <v>559</v>
      </c>
      <c r="B328" s="36"/>
      <c r="C328" s="47" t="s">
        <v>558</v>
      </c>
      <c r="D328" s="38"/>
      <c r="E328" s="38"/>
      <c r="F328" s="48" t="s">
        <v>67</v>
      </c>
      <c r="G328" s="49">
        <v>0.23</v>
      </c>
      <c r="H328" s="136"/>
      <c r="I328" s="171"/>
      <c r="J328" s="144"/>
      <c r="K328" s="108">
        <v>30.13</v>
      </c>
      <c r="L328" s="67">
        <v>97.71</v>
      </c>
      <c r="M328" s="51"/>
      <c r="N328" s="91"/>
      <c r="O328" s="67">
        <f t="shared" si="18"/>
        <v>2944</v>
      </c>
      <c r="P328" s="51"/>
      <c r="Q328" s="51"/>
      <c r="R328" s="50">
        <v>97.71</v>
      </c>
      <c r="S328" s="51"/>
      <c r="T328" s="51"/>
      <c r="U328" s="50">
        <f t="shared" si="19"/>
        <v>2944</v>
      </c>
      <c r="V328" s="51"/>
      <c r="W328" s="52"/>
    </row>
    <row r="329" spans="1:23" ht="54" x14ac:dyDescent="0.35">
      <c r="A329" s="31" t="s">
        <v>560</v>
      </c>
      <c r="B329" s="31"/>
      <c r="C329" s="41" t="s">
        <v>324</v>
      </c>
      <c r="D329" s="33"/>
      <c r="E329" s="33" t="s">
        <v>220</v>
      </c>
      <c r="F329" s="42" t="s">
        <v>58</v>
      </c>
      <c r="G329" s="43">
        <v>1.2</v>
      </c>
      <c r="H329" s="135"/>
      <c r="I329" s="171"/>
      <c r="J329" s="143"/>
      <c r="K329" s="107">
        <v>0</v>
      </c>
      <c r="L329" s="66">
        <v>12.33</v>
      </c>
      <c r="M329" s="45"/>
      <c r="N329" s="91"/>
      <c r="O329" s="66">
        <f t="shared" si="18"/>
        <v>0</v>
      </c>
      <c r="P329" s="45"/>
      <c r="Q329" s="45"/>
      <c r="R329" s="44">
        <v>12.33</v>
      </c>
      <c r="S329" s="45"/>
      <c r="T329" s="45"/>
      <c r="U329" s="44">
        <f t="shared" si="19"/>
        <v>0</v>
      </c>
      <c r="V329" s="45"/>
      <c r="W329" s="46"/>
    </row>
    <row r="330" spans="1:23" ht="54" x14ac:dyDescent="0.35">
      <c r="A330" s="36" t="s">
        <v>561</v>
      </c>
      <c r="B330" s="36"/>
      <c r="C330" s="47" t="s">
        <v>324</v>
      </c>
      <c r="D330" s="38"/>
      <c r="E330" s="38" t="s">
        <v>220</v>
      </c>
      <c r="F330" s="48" t="s">
        <v>58</v>
      </c>
      <c r="G330" s="49">
        <v>1.2</v>
      </c>
      <c r="H330" s="136"/>
      <c r="I330" s="171"/>
      <c r="J330" s="144"/>
      <c r="K330" s="108">
        <v>1922.7</v>
      </c>
      <c r="L330" s="67">
        <v>12.33</v>
      </c>
      <c r="M330" s="51"/>
      <c r="N330" s="91"/>
      <c r="O330" s="67">
        <f t="shared" si="18"/>
        <v>23706.89</v>
      </c>
      <c r="P330" s="51"/>
      <c r="Q330" s="51"/>
      <c r="R330" s="50">
        <v>12.33</v>
      </c>
      <c r="S330" s="51"/>
      <c r="T330" s="51"/>
      <c r="U330" s="50">
        <f t="shared" si="19"/>
        <v>23706.89</v>
      </c>
      <c r="V330" s="51"/>
      <c r="W330" s="52"/>
    </row>
    <row r="331" spans="1:23" ht="90" x14ac:dyDescent="0.35">
      <c r="A331" s="31" t="s">
        <v>562</v>
      </c>
      <c r="B331" s="31"/>
      <c r="C331" s="41" t="s">
        <v>563</v>
      </c>
      <c r="D331" s="33"/>
      <c r="E331" s="33" t="s">
        <v>564</v>
      </c>
      <c r="F331" s="42" t="s">
        <v>55</v>
      </c>
      <c r="G331" s="43">
        <v>1.07</v>
      </c>
      <c r="H331" s="135"/>
      <c r="I331" s="171"/>
      <c r="J331" s="143"/>
      <c r="K331" s="107">
        <v>0</v>
      </c>
      <c r="L331" s="66">
        <v>1279.95</v>
      </c>
      <c r="M331" s="45"/>
      <c r="N331" s="91"/>
      <c r="O331" s="66">
        <f t="shared" si="18"/>
        <v>0</v>
      </c>
      <c r="P331" s="45"/>
      <c r="Q331" s="45"/>
      <c r="R331" s="44">
        <v>637.79999999999995</v>
      </c>
      <c r="S331" s="45"/>
      <c r="T331" s="45"/>
      <c r="U331" s="44">
        <f t="shared" si="19"/>
        <v>0</v>
      </c>
      <c r="V331" s="45"/>
      <c r="W331" s="46"/>
    </row>
    <row r="332" spans="1:23" ht="90" x14ac:dyDescent="0.35">
      <c r="A332" s="36" t="s">
        <v>565</v>
      </c>
      <c r="B332" s="36"/>
      <c r="C332" s="47" t="s">
        <v>563</v>
      </c>
      <c r="D332" s="38"/>
      <c r="E332" s="38" t="s">
        <v>564</v>
      </c>
      <c r="F332" s="48" t="s">
        <v>55</v>
      </c>
      <c r="G332" s="49">
        <v>1.07</v>
      </c>
      <c r="H332" s="136"/>
      <c r="I332" s="171"/>
      <c r="J332" s="144"/>
      <c r="K332" s="108">
        <v>527.51</v>
      </c>
      <c r="L332" s="67">
        <v>1279.95</v>
      </c>
      <c r="M332" s="51"/>
      <c r="N332" s="91"/>
      <c r="O332" s="67">
        <f t="shared" si="18"/>
        <v>675186.42</v>
      </c>
      <c r="P332" s="51"/>
      <c r="Q332" s="51"/>
      <c r="R332" s="50">
        <v>637.79999999999995</v>
      </c>
      <c r="S332" s="51"/>
      <c r="T332" s="51"/>
      <c r="U332" s="50">
        <f t="shared" si="19"/>
        <v>336445.88</v>
      </c>
      <c r="V332" s="51"/>
      <c r="W332" s="52"/>
    </row>
    <row r="333" spans="1:23" ht="20" x14ac:dyDescent="0.35">
      <c r="A333" s="31" t="s">
        <v>566</v>
      </c>
      <c r="B333" s="31"/>
      <c r="C333" s="41" t="s">
        <v>232</v>
      </c>
      <c r="D333" s="33"/>
      <c r="E333" s="33"/>
      <c r="F333" s="42" t="s">
        <v>58</v>
      </c>
      <c r="G333" s="43">
        <v>0.25</v>
      </c>
      <c r="H333" s="135"/>
      <c r="I333" s="171"/>
      <c r="J333" s="143"/>
      <c r="K333" s="107">
        <v>0</v>
      </c>
      <c r="L333" s="66">
        <v>40.270000000000003</v>
      </c>
      <c r="M333" s="45"/>
      <c r="N333" s="91"/>
      <c r="O333" s="66">
        <f t="shared" si="18"/>
        <v>0</v>
      </c>
      <c r="P333" s="45"/>
      <c r="Q333" s="45"/>
      <c r="R333" s="44">
        <v>40.270000000000003</v>
      </c>
      <c r="S333" s="45"/>
      <c r="T333" s="45"/>
      <c r="U333" s="44">
        <f t="shared" si="19"/>
        <v>0</v>
      </c>
      <c r="V333" s="45"/>
      <c r="W333" s="46"/>
    </row>
    <row r="334" spans="1:23" ht="20" x14ac:dyDescent="0.35">
      <c r="A334" s="36" t="s">
        <v>567</v>
      </c>
      <c r="B334" s="36"/>
      <c r="C334" s="47" t="s">
        <v>232</v>
      </c>
      <c r="D334" s="38"/>
      <c r="E334" s="38"/>
      <c r="F334" s="48" t="s">
        <v>58</v>
      </c>
      <c r="G334" s="49">
        <v>0.25</v>
      </c>
      <c r="H334" s="136"/>
      <c r="I334" s="171"/>
      <c r="J334" s="144"/>
      <c r="K334" s="108">
        <v>123.25</v>
      </c>
      <c r="L334" s="67">
        <v>40.270000000000003</v>
      </c>
      <c r="M334" s="51"/>
      <c r="N334" s="91"/>
      <c r="O334" s="67">
        <f t="shared" si="18"/>
        <v>4963.28</v>
      </c>
      <c r="P334" s="51"/>
      <c r="Q334" s="51"/>
      <c r="R334" s="50">
        <v>40.270000000000003</v>
      </c>
      <c r="S334" s="51"/>
      <c r="T334" s="51"/>
      <c r="U334" s="50">
        <f t="shared" si="19"/>
        <v>4963.28</v>
      </c>
      <c r="V334" s="51"/>
      <c r="W334" s="52"/>
    </row>
    <row r="335" spans="1:23" ht="36" x14ac:dyDescent="0.35">
      <c r="A335" s="31" t="s">
        <v>568</v>
      </c>
      <c r="B335" s="31"/>
      <c r="C335" s="41" t="s">
        <v>245</v>
      </c>
      <c r="D335" s="33"/>
      <c r="E335" s="33"/>
      <c r="F335" s="42" t="s">
        <v>58</v>
      </c>
      <c r="G335" s="43">
        <v>0.15</v>
      </c>
      <c r="H335" s="135"/>
      <c r="I335" s="171"/>
      <c r="J335" s="143"/>
      <c r="K335" s="103">
        <v>0</v>
      </c>
      <c r="L335" s="66">
        <v>68.400000000000006</v>
      </c>
      <c r="M335" s="45"/>
      <c r="N335" s="91"/>
      <c r="O335" s="66">
        <f t="shared" si="18"/>
        <v>0</v>
      </c>
      <c r="P335" s="45"/>
      <c r="Q335" s="45"/>
      <c r="R335" s="44">
        <v>68.400000000000006</v>
      </c>
      <c r="S335" s="45"/>
      <c r="T335" s="45"/>
      <c r="U335" s="44">
        <f t="shared" si="19"/>
        <v>0</v>
      </c>
      <c r="V335" s="45"/>
      <c r="W335" s="46"/>
    </row>
    <row r="336" spans="1:23" ht="36" x14ac:dyDescent="0.35">
      <c r="A336" s="36" t="s">
        <v>569</v>
      </c>
      <c r="B336" s="36"/>
      <c r="C336" s="47" t="s">
        <v>245</v>
      </c>
      <c r="D336" s="38"/>
      <c r="E336" s="38"/>
      <c r="F336" s="48" t="s">
        <v>58</v>
      </c>
      <c r="G336" s="49">
        <v>0.15</v>
      </c>
      <c r="H336" s="136"/>
      <c r="I336" s="171"/>
      <c r="J336" s="144"/>
      <c r="K336" s="104">
        <v>73.95</v>
      </c>
      <c r="L336" s="67">
        <v>68.400000000000006</v>
      </c>
      <c r="M336" s="51"/>
      <c r="N336" s="91"/>
      <c r="O336" s="67">
        <f t="shared" si="18"/>
        <v>5058.18</v>
      </c>
      <c r="P336" s="51"/>
      <c r="Q336" s="51"/>
      <c r="R336" s="50">
        <v>68.400000000000006</v>
      </c>
      <c r="S336" s="51"/>
      <c r="T336" s="51"/>
      <c r="U336" s="50">
        <f t="shared" si="19"/>
        <v>5058.18</v>
      </c>
      <c r="V336" s="51"/>
      <c r="W336" s="52"/>
    </row>
    <row r="337" spans="1:23" ht="54" x14ac:dyDescent="0.35">
      <c r="A337" s="31" t="s">
        <v>570</v>
      </c>
      <c r="B337" s="31" t="s">
        <v>554</v>
      </c>
      <c r="C337" s="32" t="s">
        <v>555</v>
      </c>
      <c r="D337" s="33"/>
      <c r="E337" s="33" t="s">
        <v>54</v>
      </c>
      <c r="F337" s="33" t="s">
        <v>55</v>
      </c>
      <c r="G337" s="34">
        <v>1</v>
      </c>
      <c r="H337" s="133"/>
      <c r="I337" s="171"/>
      <c r="J337" s="143"/>
      <c r="K337" s="101">
        <v>0</v>
      </c>
      <c r="L337" s="64">
        <f>IFERROR(ROUND(SUM(O339,O341,O343,O345,O347)/K337, 2),0)</f>
        <v>0</v>
      </c>
      <c r="M337" s="81">
        <v>1869</v>
      </c>
      <c r="N337" s="90">
        <f>L337+ROUND(M337, 2)</f>
        <v>1869</v>
      </c>
      <c r="O337" s="64">
        <f>ROUND(L337*K337, 2)</f>
        <v>0</v>
      </c>
      <c r="P337" s="35">
        <f>ROUND(K337*ROUND(M337, 2), 2)</f>
        <v>0</v>
      </c>
      <c r="Q337" s="35">
        <f>O337+P337</f>
        <v>0</v>
      </c>
      <c r="R337" s="35">
        <f>IFERROR(ROUND(SUM(U339,U341,U343,U345,U347)/K337, 2),0)</f>
        <v>0</v>
      </c>
      <c r="S337" s="35">
        <v>1869</v>
      </c>
      <c r="T337" s="35">
        <f>R337+ROUND(S337, 2)</f>
        <v>1869</v>
      </c>
      <c r="U337" s="35">
        <f>ROUND(R337*K337, 2)</f>
        <v>0</v>
      </c>
      <c r="V337" s="35">
        <f>ROUND(K337*ROUND(S337, 2), 2)</f>
        <v>0</v>
      </c>
      <c r="W337" s="35">
        <f>U337+V337</f>
        <v>0</v>
      </c>
    </row>
    <row r="338" spans="1:23" ht="54" x14ac:dyDescent="0.35">
      <c r="A338" s="36" t="s">
        <v>571</v>
      </c>
      <c r="B338" s="36" t="s">
        <v>554</v>
      </c>
      <c r="C338" s="37" t="s">
        <v>555</v>
      </c>
      <c r="D338" s="38"/>
      <c r="E338" s="38"/>
      <c r="F338" s="38" t="s">
        <v>55</v>
      </c>
      <c r="G338" s="39">
        <v>1</v>
      </c>
      <c r="H338" s="134"/>
      <c r="I338" s="171"/>
      <c r="J338" s="144"/>
      <c r="K338" s="102">
        <v>413</v>
      </c>
      <c r="L338" s="65">
        <v>0</v>
      </c>
      <c r="M338" s="82">
        <v>1869</v>
      </c>
      <c r="N338" s="90"/>
      <c r="O338" s="65">
        <v>0</v>
      </c>
      <c r="P338" s="40"/>
      <c r="Q338" s="40"/>
      <c r="R338" s="40">
        <v>0</v>
      </c>
      <c r="S338" s="40">
        <v>1869</v>
      </c>
      <c r="T338" s="40"/>
      <c r="U338" s="40">
        <v>0</v>
      </c>
      <c r="V338" s="40"/>
      <c r="W338" s="40"/>
    </row>
    <row r="339" spans="1:23" ht="36" x14ac:dyDescent="0.35">
      <c r="A339" s="31" t="s">
        <v>572</v>
      </c>
      <c r="B339" s="31"/>
      <c r="C339" s="41" t="s">
        <v>245</v>
      </c>
      <c r="D339" s="33"/>
      <c r="E339" s="33"/>
      <c r="F339" s="42" t="s">
        <v>58</v>
      </c>
      <c r="G339" s="43">
        <v>0.15</v>
      </c>
      <c r="H339" s="135"/>
      <c r="I339" s="171"/>
      <c r="J339" s="143"/>
      <c r="K339" s="103">
        <v>0</v>
      </c>
      <c r="L339" s="66">
        <v>68.400000000000006</v>
      </c>
      <c r="M339" s="45"/>
      <c r="N339" s="91"/>
      <c r="O339" s="66">
        <f t="shared" ref="O339:O348" si="20">ROUND(ROUND(L339, 2)*K339, 2)</f>
        <v>0</v>
      </c>
      <c r="P339" s="45"/>
      <c r="Q339" s="45"/>
      <c r="R339" s="44">
        <v>68.400000000000006</v>
      </c>
      <c r="S339" s="45"/>
      <c r="T339" s="45"/>
      <c r="U339" s="44">
        <f t="shared" ref="U339:U348" si="21">ROUND(ROUND(R339, 2)*K339, 2)</f>
        <v>0</v>
      </c>
      <c r="V339" s="45"/>
      <c r="W339" s="46"/>
    </row>
    <row r="340" spans="1:23" ht="36" x14ac:dyDescent="0.35">
      <c r="A340" s="36" t="s">
        <v>573</v>
      </c>
      <c r="B340" s="36"/>
      <c r="C340" s="47" t="s">
        <v>245</v>
      </c>
      <c r="D340" s="38"/>
      <c r="E340" s="38"/>
      <c r="F340" s="48" t="s">
        <v>58</v>
      </c>
      <c r="G340" s="49">
        <v>0.15</v>
      </c>
      <c r="H340" s="136"/>
      <c r="I340" s="171"/>
      <c r="J340" s="144"/>
      <c r="K340" s="104">
        <v>61.95</v>
      </c>
      <c r="L340" s="67">
        <v>68.400000000000006</v>
      </c>
      <c r="M340" s="51"/>
      <c r="N340" s="91"/>
      <c r="O340" s="67">
        <f t="shared" si="20"/>
        <v>4237.38</v>
      </c>
      <c r="P340" s="51"/>
      <c r="Q340" s="51"/>
      <c r="R340" s="50">
        <v>68.400000000000006</v>
      </c>
      <c r="S340" s="51"/>
      <c r="T340" s="51"/>
      <c r="U340" s="50">
        <f t="shared" si="21"/>
        <v>4237.38</v>
      </c>
      <c r="V340" s="51"/>
      <c r="W340" s="52"/>
    </row>
    <row r="341" spans="1:23" ht="20" x14ac:dyDescent="0.35">
      <c r="A341" s="31" t="s">
        <v>574</v>
      </c>
      <c r="B341" s="31"/>
      <c r="C341" s="41" t="s">
        <v>575</v>
      </c>
      <c r="D341" s="33"/>
      <c r="E341" s="33" t="s">
        <v>576</v>
      </c>
      <c r="F341" s="42" t="s">
        <v>58</v>
      </c>
      <c r="G341" s="43">
        <v>0.25</v>
      </c>
      <c r="H341" s="135"/>
      <c r="I341" s="171"/>
      <c r="J341" s="143"/>
      <c r="K341" s="107">
        <v>0</v>
      </c>
      <c r="L341" s="66">
        <v>40.270000000000003</v>
      </c>
      <c r="M341" s="45"/>
      <c r="N341" s="91"/>
      <c r="O341" s="66">
        <f t="shared" si="20"/>
        <v>0</v>
      </c>
      <c r="P341" s="45"/>
      <c r="Q341" s="45"/>
      <c r="R341" s="44">
        <v>40.270000000000003</v>
      </c>
      <c r="S341" s="45"/>
      <c r="T341" s="45"/>
      <c r="U341" s="44">
        <f t="shared" si="21"/>
        <v>0</v>
      </c>
      <c r="V341" s="45"/>
      <c r="W341" s="46"/>
    </row>
    <row r="342" spans="1:23" ht="20" x14ac:dyDescent="0.35">
      <c r="A342" s="36" t="s">
        <v>577</v>
      </c>
      <c r="B342" s="36"/>
      <c r="C342" s="47" t="s">
        <v>575</v>
      </c>
      <c r="D342" s="38"/>
      <c r="E342" s="38" t="s">
        <v>576</v>
      </c>
      <c r="F342" s="48" t="s">
        <v>58</v>
      </c>
      <c r="G342" s="49">
        <v>0.25</v>
      </c>
      <c r="H342" s="136"/>
      <c r="I342" s="171"/>
      <c r="J342" s="144"/>
      <c r="K342" s="108">
        <v>103.25</v>
      </c>
      <c r="L342" s="67">
        <v>40.270000000000003</v>
      </c>
      <c r="M342" s="51"/>
      <c r="N342" s="91"/>
      <c r="O342" s="67">
        <f t="shared" si="20"/>
        <v>4157.88</v>
      </c>
      <c r="P342" s="51"/>
      <c r="Q342" s="51"/>
      <c r="R342" s="50">
        <v>40.270000000000003</v>
      </c>
      <c r="S342" s="51"/>
      <c r="T342" s="51"/>
      <c r="U342" s="50">
        <f t="shared" si="21"/>
        <v>4157.88</v>
      </c>
      <c r="V342" s="51"/>
      <c r="W342" s="52"/>
    </row>
    <row r="343" spans="1:23" ht="72" x14ac:dyDescent="0.35">
      <c r="A343" s="31" t="s">
        <v>578</v>
      </c>
      <c r="B343" s="31"/>
      <c r="C343" s="41" t="s">
        <v>579</v>
      </c>
      <c r="D343" s="33"/>
      <c r="E343" s="33" t="s">
        <v>580</v>
      </c>
      <c r="F343" s="42" t="s">
        <v>55</v>
      </c>
      <c r="G343" s="43">
        <v>1.07</v>
      </c>
      <c r="H343" s="135"/>
      <c r="I343" s="171"/>
      <c r="J343" s="143"/>
      <c r="K343" s="107">
        <v>0</v>
      </c>
      <c r="L343" s="66">
        <v>1374.45</v>
      </c>
      <c r="M343" s="45"/>
      <c r="N343" s="91"/>
      <c r="O343" s="66">
        <f t="shared" si="20"/>
        <v>0</v>
      </c>
      <c r="P343" s="45"/>
      <c r="Q343" s="45"/>
      <c r="R343" s="44">
        <v>837.4</v>
      </c>
      <c r="S343" s="45"/>
      <c r="T343" s="45"/>
      <c r="U343" s="44">
        <f t="shared" si="21"/>
        <v>0</v>
      </c>
      <c r="V343" s="45"/>
      <c r="W343" s="46"/>
    </row>
    <row r="344" spans="1:23" ht="72" x14ac:dyDescent="0.35">
      <c r="A344" s="36" t="s">
        <v>581</v>
      </c>
      <c r="B344" s="36"/>
      <c r="C344" s="47" t="s">
        <v>579</v>
      </c>
      <c r="D344" s="38"/>
      <c r="E344" s="38" t="s">
        <v>580</v>
      </c>
      <c r="F344" s="48" t="s">
        <v>55</v>
      </c>
      <c r="G344" s="49">
        <v>1.07</v>
      </c>
      <c r="H344" s="136"/>
      <c r="I344" s="171"/>
      <c r="J344" s="144"/>
      <c r="K344" s="108">
        <v>441.91</v>
      </c>
      <c r="L344" s="67">
        <v>1374.45</v>
      </c>
      <c r="M344" s="51"/>
      <c r="N344" s="91"/>
      <c r="O344" s="67">
        <f t="shared" si="20"/>
        <v>607383.19999999995</v>
      </c>
      <c r="P344" s="51"/>
      <c r="Q344" s="51"/>
      <c r="R344" s="50">
        <v>837.4</v>
      </c>
      <c r="S344" s="51"/>
      <c r="T344" s="51"/>
      <c r="U344" s="50">
        <f t="shared" si="21"/>
        <v>370055.43</v>
      </c>
      <c r="V344" s="51"/>
      <c r="W344" s="52"/>
    </row>
    <row r="345" spans="1:23" ht="54" x14ac:dyDescent="0.35">
      <c r="A345" s="31" t="s">
        <v>582</v>
      </c>
      <c r="B345" s="31"/>
      <c r="C345" s="41" t="s">
        <v>324</v>
      </c>
      <c r="D345" s="33"/>
      <c r="E345" s="33" t="s">
        <v>220</v>
      </c>
      <c r="F345" s="42" t="s">
        <v>58</v>
      </c>
      <c r="G345" s="43">
        <v>1.2</v>
      </c>
      <c r="H345" s="135"/>
      <c r="I345" s="171"/>
      <c r="J345" s="143"/>
      <c r="K345" s="107">
        <v>0</v>
      </c>
      <c r="L345" s="66">
        <v>12.33</v>
      </c>
      <c r="M345" s="45"/>
      <c r="N345" s="91"/>
      <c r="O345" s="66">
        <f t="shared" si="20"/>
        <v>0</v>
      </c>
      <c r="P345" s="45"/>
      <c r="Q345" s="45"/>
      <c r="R345" s="44">
        <v>12.33</v>
      </c>
      <c r="S345" s="45"/>
      <c r="T345" s="45"/>
      <c r="U345" s="44">
        <f t="shared" si="21"/>
        <v>0</v>
      </c>
      <c r="V345" s="45"/>
      <c r="W345" s="46"/>
    </row>
    <row r="346" spans="1:23" ht="54" x14ac:dyDescent="0.35">
      <c r="A346" s="36" t="s">
        <v>583</v>
      </c>
      <c r="B346" s="36"/>
      <c r="C346" s="47" t="s">
        <v>324</v>
      </c>
      <c r="D346" s="38"/>
      <c r="E346" s="38" t="s">
        <v>220</v>
      </c>
      <c r="F346" s="48" t="s">
        <v>58</v>
      </c>
      <c r="G346" s="49">
        <v>1.2</v>
      </c>
      <c r="H346" s="136"/>
      <c r="I346" s="171"/>
      <c r="J346" s="144"/>
      <c r="K346" s="108">
        <v>1610.7</v>
      </c>
      <c r="L346" s="67">
        <v>12.33</v>
      </c>
      <c r="M346" s="51"/>
      <c r="N346" s="91"/>
      <c r="O346" s="67">
        <f t="shared" si="20"/>
        <v>19859.93</v>
      </c>
      <c r="P346" s="51"/>
      <c r="Q346" s="51"/>
      <c r="R346" s="50">
        <v>12.33</v>
      </c>
      <c r="S346" s="51"/>
      <c r="T346" s="51"/>
      <c r="U346" s="50">
        <f t="shared" si="21"/>
        <v>19859.93</v>
      </c>
      <c r="V346" s="51"/>
      <c r="W346" s="52"/>
    </row>
    <row r="347" spans="1:23" ht="36" x14ac:dyDescent="0.35">
      <c r="A347" s="31" t="s">
        <v>584</v>
      </c>
      <c r="B347" s="31"/>
      <c r="C347" s="41" t="s">
        <v>558</v>
      </c>
      <c r="D347" s="33"/>
      <c r="E347" s="33"/>
      <c r="F347" s="42" t="s">
        <v>67</v>
      </c>
      <c r="G347" s="43">
        <v>0.23</v>
      </c>
      <c r="H347" s="135"/>
      <c r="I347" s="171"/>
      <c r="J347" s="143"/>
      <c r="K347" s="107">
        <v>0</v>
      </c>
      <c r="L347" s="66">
        <v>97.71</v>
      </c>
      <c r="M347" s="45"/>
      <c r="N347" s="91"/>
      <c r="O347" s="66">
        <f t="shared" si="20"/>
        <v>0</v>
      </c>
      <c r="P347" s="45"/>
      <c r="Q347" s="45"/>
      <c r="R347" s="44">
        <v>97.71</v>
      </c>
      <c r="S347" s="45"/>
      <c r="T347" s="45"/>
      <c r="U347" s="44">
        <f t="shared" si="21"/>
        <v>0</v>
      </c>
      <c r="V347" s="45"/>
      <c r="W347" s="46"/>
    </row>
    <row r="348" spans="1:23" ht="36" x14ac:dyDescent="0.35">
      <c r="A348" s="36" t="s">
        <v>585</v>
      </c>
      <c r="B348" s="36"/>
      <c r="C348" s="47" t="s">
        <v>558</v>
      </c>
      <c r="D348" s="38"/>
      <c r="E348" s="38"/>
      <c r="F348" s="48" t="s">
        <v>67</v>
      </c>
      <c r="G348" s="49">
        <v>0.23</v>
      </c>
      <c r="H348" s="136"/>
      <c r="I348" s="171"/>
      <c r="J348" s="144"/>
      <c r="K348" s="108">
        <v>24.15</v>
      </c>
      <c r="L348" s="67">
        <v>97.71</v>
      </c>
      <c r="M348" s="51"/>
      <c r="N348" s="91"/>
      <c r="O348" s="67">
        <f t="shared" si="20"/>
        <v>2359.6999999999998</v>
      </c>
      <c r="P348" s="51"/>
      <c r="Q348" s="51"/>
      <c r="R348" s="50">
        <v>97.71</v>
      </c>
      <c r="S348" s="51"/>
      <c r="T348" s="51"/>
      <c r="U348" s="50">
        <f t="shared" si="21"/>
        <v>2359.6999999999998</v>
      </c>
      <c r="V348" s="51"/>
      <c r="W348" s="52"/>
    </row>
    <row r="349" spans="1:23" ht="36" x14ac:dyDescent="0.35">
      <c r="A349" s="31" t="s">
        <v>586</v>
      </c>
      <c r="B349" s="31" t="s">
        <v>587</v>
      </c>
      <c r="C349" s="32" t="s">
        <v>588</v>
      </c>
      <c r="D349" s="33"/>
      <c r="E349" s="33" t="s">
        <v>54</v>
      </c>
      <c r="F349" s="33" t="s">
        <v>55</v>
      </c>
      <c r="G349" s="34">
        <v>1</v>
      </c>
      <c r="H349" s="133"/>
      <c r="I349" s="171"/>
      <c r="J349" s="143"/>
      <c r="K349" s="101">
        <v>0</v>
      </c>
      <c r="L349" s="64">
        <f>IFERROR(ROUND(SUM(O351,O353)/K349, 2),0)</f>
        <v>0</v>
      </c>
      <c r="M349" s="81">
        <v>251</v>
      </c>
      <c r="N349" s="90">
        <f>L349+ROUND(M349, 2)</f>
        <v>251</v>
      </c>
      <c r="O349" s="64">
        <f>ROUND(L349*K349, 2)</f>
        <v>0</v>
      </c>
      <c r="P349" s="35">
        <f>ROUND(K349*ROUND(M349, 2), 2)</f>
        <v>0</v>
      </c>
      <c r="Q349" s="35">
        <f>O349+P349</f>
        <v>0</v>
      </c>
      <c r="R349" s="35">
        <f>IFERROR(ROUND(SUM(U351,U353)/K349, 2),0)</f>
        <v>0</v>
      </c>
      <c r="S349" s="35">
        <v>251</v>
      </c>
      <c r="T349" s="35">
        <f>R349+ROUND(S349, 2)</f>
        <v>251</v>
      </c>
      <c r="U349" s="35">
        <f>ROUND(R349*K349, 2)</f>
        <v>0</v>
      </c>
      <c r="V349" s="35">
        <f>ROUND(K349*ROUND(S349, 2), 2)</f>
        <v>0</v>
      </c>
      <c r="W349" s="35">
        <f>U349+V349</f>
        <v>0</v>
      </c>
    </row>
    <row r="350" spans="1:23" ht="36" x14ac:dyDescent="0.35">
      <c r="A350" s="36" t="s">
        <v>589</v>
      </c>
      <c r="B350" s="36" t="s">
        <v>587</v>
      </c>
      <c r="C350" s="37" t="s">
        <v>588</v>
      </c>
      <c r="D350" s="38"/>
      <c r="E350" s="38"/>
      <c r="F350" s="38" t="s">
        <v>55</v>
      </c>
      <c r="G350" s="39">
        <v>1</v>
      </c>
      <c r="H350" s="134"/>
      <c r="I350" s="171"/>
      <c r="J350" s="144"/>
      <c r="K350" s="102">
        <v>6415</v>
      </c>
      <c r="L350" s="65">
        <v>0</v>
      </c>
      <c r="M350" s="82">
        <v>251</v>
      </c>
      <c r="N350" s="90"/>
      <c r="O350" s="65">
        <v>0</v>
      </c>
      <c r="P350" s="40"/>
      <c r="Q350" s="40"/>
      <c r="R350" s="40">
        <v>0</v>
      </c>
      <c r="S350" s="40">
        <v>251</v>
      </c>
      <c r="T350" s="40"/>
      <c r="U350" s="40">
        <v>0</v>
      </c>
      <c r="V350" s="40"/>
      <c r="W350" s="40"/>
    </row>
    <row r="351" spans="1:23" ht="36" x14ac:dyDescent="0.35">
      <c r="A351" s="31" t="s">
        <v>590</v>
      </c>
      <c r="B351" s="31"/>
      <c r="C351" s="41" t="s">
        <v>235</v>
      </c>
      <c r="D351" s="33"/>
      <c r="E351" s="33"/>
      <c r="F351" s="42" t="s">
        <v>58</v>
      </c>
      <c r="G351" s="43">
        <v>0.15</v>
      </c>
      <c r="H351" s="135"/>
      <c r="I351" s="171"/>
      <c r="J351" s="143"/>
      <c r="K351" s="103">
        <v>0</v>
      </c>
      <c r="L351" s="66">
        <v>88.8</v>
      </c>
      <c r="M351" s="45"/>
      <c r="N351" s="91"/>
      <c r="O351" s="66">
        <f>ROUND(ROUND(L351, 2)*K351, 2)</f>
        <v>0</v>
      </c>
      <c r="P351" s="45"/>
      <c r="Q351" s="45"/>
      <c r="R351" s="44">
        <v>88.8</v>
      </c>
      <c r="S351" s="45"/>
      <c r="T351" s="45"/>
      <c r="U351" s="44">
        <f>ROUND(ROUND(R351, 2)*K351, 2)</f>
        <v>0</v>
      </c>
      <c r="V351" s="45"/>
      <c r="W351" s="46"/>
    </row>
    <row r="352" spans="1:23" ht="36" x14ac:dyDescent="0.35">
      <c r="A352" s="36" t="s">
        <v>591</v>
      </c>
      <c r="B352" s="36"/>
      <c r="C352" s="47" t="s">
        <v>235</v>
      </c>
      <c r="D352" s="38"/>
      <c r="E352" s="38"/>
      <c r="F352" s="48" t="s">
        <v>58</v>
      </c>
      <c r="G352" s="49">
        <v>0.15</v>
      </c>
      <c r="H352" s="136"/>
      <c r="I352" s="171"/>
      <c r="J352" s="144"/>
      <c r="K352" s="104">
        <v>962.25</v>
      </c>
      <c r="L352" s="67">
        <v>88.8</v>
      </c>
      <c r="M352" s="51"/>
      <c r="N352" s="91"/>
      <c r="O352" s="67">
        <f>ROUND(ROUND(L352, 2)*K352, 2)</f>
        <v>85447.8</v>
      </c>
      <c r="P352" s="51"/>
      <c r="Q352" s="51"/>
      <c r="R352" s="50">
        <v>88.8</v>
      </c>
      <c r="S352" s="51"/>
      <c r="T352" s="51"/>
      <c r="U352" s="50">
        <f>ROUND(ROUND(R352, 2)*K352, 2)</f>
        <v>85447.8</v>
      </c>
      <c r="V352" s="51"/>
      <c r="W352" s="52"/>
    </row>
    <row r="353" spans="1:23" ht="90" x14ac:dyDescent="0.35">
      <c r="A353" s="31" t="s">
        <v>592</v>
      </c>
      <c r="B353" s="31"/>
      <c r="C353" s="41" t="s">
        <v>593</v>
      </c>
      <c r="D353" s="33"/>
      <c r="E353" s="33" t="s">
        <v>594</v>
      </c>
      <c r="F353" s="42" t="s">
        <v>58</v>
      </c>
      <c r="G353" s="43">
        <v>0.3</v>
      </c>
      <c r="H353" s="135"/>
      <c r="I353" s="171"/>
      <c r="J353" s="143"/>
      <c r="K353" s="103">
        <v>0</v>
      </c>
      <c r="L353" s="66">
        <v>252.47</v>
      </c>
      <c r="M353" s="45"/>
      <c r="N353" s="91"/>
      <c r="O353" s="66">
        <f>ROUND(ROUND(L353, 2)*K353, 2)</f>
        <v>0</v>
      </c>
      <c r="P353" s="45"/>
      <c r="Q353" s="45"/>
      <c r="R353" s="44">
        <v>252.47</v>
      </c>
      <c r="S353" s="45"/>
      <c r="T353" s="45"/>
      <c r="U353" s="44">
        <f>ROUND(ROUND(R353, 2)*K353, 2)</f>
        <v>0</v>
      </c>
      <c r="V353" s="45"/>
      <c r="W353" s="46"/>
    </row>
    <row r="354" spans="1:23" ht="90" x14ac:dyDescent="0.35">
      <c r="A354" s="36" t="s">
        <v>595</v>
      </c>
      <c r="B354" s="36"/>
      <c r="C354" s="47" t="s">
        <v>593</v>
      </c>
      <c r="D354" s="38"/>
      <c r="E354" s="38" t="s">
        <v>594</v>
      </c>
      <c r="F354" s="48" t="s">
        <v>58</v>
      </c>
      <c r="G354" s="49">
        <v>0.3</v>
      </c>
      <c r="H354" s="136"/>
      <c r="I354" s="171"/>
      <c r="J354" s="144"/>
      <c r="K354" s="104">
        <v>1924.5</v>
      </c>
      <c r="L354" s="67">
        <v>252.47</v>
      </c>
      <c r="M354" s="51"/>
      <c r="N354" s="91"/>
      <c r="O354" s="67">
        <f>ROUND(ROUND(L354, 2)*K354, 2)</f>
        <v>485878.52</v>
      </c>
      <c r="P354" s="51"/>
      <c r="Q354" s="51"/>
      <c r="R354" s="50">
        <v>252.47</v>
      </c>
      <c r="S354" s="51"/>
      <c r="T354" s="51"/>
      <c r="U354" s="50">
        <f>ROUND(ROUND(R354, 2)*K354, 2)</f>
        <v>485878.52</v>
      </c>
      <c r="V354" s="51"/>
      <c r="W354" s="52"/>
    </row>
    <row r="355" spans="1:23" ht="36" x14ac:dyDescent="0.35">
      <c r="A355" s="31" t="s">
        <v>596</v>
      </c>
      <c r="B355" s="31" t="s">
        <v>587</v>
      </c>
      <c r="C355" s="32" t="s">
        <v>588</v>
      </c>
      <c r="D355" s="33"/>
      <c r="E355" s="33" t="s">
        <v>54</v>
      </c>
      <c r="F355" s="33" t="s">
        <v>55</v>
      </c>
      <c r="G355" s="34">
        <v>1</v>
      </c>
      <c r="H355" s="133"/>
      <c r="I355" s="171"/>
      <c r="J355" s="143"/>
      <c r="K355" s="101">
        <v>0</v>
      </c>
      <c r="L355" s="64">
        <f>IFERROR(ROUND(SUM(O357,O359)/K355, 2),0)</f>
        <v>0</v>
      </c>
      <c r="M355" s="81">
        <v>251</v>
      </c>
      <c r="N355" s="90">
        <f>L355+ROUND(M355, 2)</f>
        <v>251</v>
      </c>
      <c r="O355" s="64">
        <f>ROUND(L355*K355, 2)</f>
        <v>0</v>
      </c>
      <c r="P355" s="35">
        <f>ROUND(K355*ROUND(M355, 2), 2)</f>
        <v>0</v>
      </c>
      <c r="Q355" s="35">
        <f>O355+P355</f>
        <v>0</v>
      </c>
      <c r="R355" s="35">
        <f>IFERROR(ROUND(SUM(U357,U359)/K355, 2),0)</f>
        <v>0</v>
      </c>
      <c r="S355" s="35">
        <v>251</v>
      </c>
      <c r="T355" s="35">
        <f>R355+ROUND(S355, 2)</f>
        <v>251</v>
      </c>
      <c r="U355" s="35">
        <f>ROUND(R355*K355, 2)</f>
        <v>0</v>
      </c>
      <c r="V355" s="35">
        <f>ROUND(K355*ROUND(S355, 2), 2)</f>
        <v>0</v>
      </c>
      <c r="W355" s="35">
        <f>U355+V355</f>
        <v>0</v>
      </c>
    </row>
    <row r="356" spans="1:23" ht="36" x14ac:dyDescent="0.35">
      <c r="A356" s="36" t="s">
        <v>597</v>
      </c>
      <c r="B356" s="36" t="s">
        <v>587</v>
      </c>
      <c r="C356" s="37" t="s">
        <v>588</v>
      </c>
      <c r="D356" s="38"/>
      <c r="E356" s="38"/>
      <c r="F356" s="38" t="s">
        <v>55</v>
      </c>
      <c r="G356" s="39">
        <v>1</v>
      </c>
      <c r="H356" s="134"/>
      <c r="I356" s="171"/>
      <c r="J356" s="144"/>
      <c r="K356" s="102">
        <v>291</v>
      </c>
      <c r="L356" s="65">
        <v>0</v>
      </c>
      <c r="M356" s="82">
        <v>251</v>
      </c>
      <c r="N356" s="90"/>
      <c r="O356" s="65">
        <v>0</v>
      </c>
      <c r="P356" s="40"/>
      <c r="Q356" s="40"/>
      <c r="R356" s="40">
        <v>0</v>
      </c>
      <c r="S356" s="40">
        <v>251</v>
      </c>
      <c r="T356" s="40"/>
      <c r="U356" s="40">
        <v>0</v>
      </c>
      <c r="V356" s="40"/>
      <c r="W356" s="40"/>
    </row>
    <row r="357" spans="1:23" ht="90" x14ac:dyDescent="0.35">
      <c r="A357" s="31" t="s">
        <v>598</v>
      </c>
      <c r="B357" s="31"/>
      <c r="C357" s="41" t="s">
        <v>599</v>
      </c>
      <c r="D357" s="33"/>
      <c r="E357" s="33" t="s">
        <v>600</v>
      </c>
      <c r="F357" s="42" t="s">
        <v>58</v>
      </c>
      <c r="G357" s="43">
        <v>0.3</v>
      </c>
      <c r="H357" s="135"/>
      <c r="I357" s="171"/>
      <c r="J357" s="143"/>
      <c r="K357" s="103">
        <v>0</v>
      </c>
      <c r="L357" s="66">
        <v>388.89</v>
      </c>
      <c r="M357" s="45"/>
      <c r="N357" s="91"/>
      <c r="O357" s="66">
        <f>ROUND(ROUND(L357, 2)*K357, 2)</f>
        <v>0</v>
      </c>
      <c r="P357" s="45"/>
      <c r="Q357" s="45"/>
      <c r="R357" s="44">
        <v>388.89</v>
      </c>
      <c r="S357" s="45"/>
      <c r="T357" s="45"/>
      <c r="U357" s="44">
        <f>ROUND(ROUND(R357, 2)*K357, 2)</f>
        <v>0</v>
      </c>
      <c r="V357" s="45"/>
      <c r="W357" s="46"/>
    </row>
    <row r="358" spans="1:23" ht="90" x14ac:dyDescent="0.35">
      <c r="A358" s="36" t="s">
        <v>601</v>
      </c>
      <c r="B358" s="36"/>
      <c r="C358" s="47" t="s">
        <v>599</v>
      </c>
      <c r="D358" s="38"/>
      <c r="E358" s="38" t="s">
        <v>600</v>
      </c>
      <c r="F358" s="48" t="s">
        <v>58</v>
      </c>
      <c r="G358" s="49">
        <v>0.3</v>
      </c>
      <c r="H358" s="136"/>
      <c r="I358" s="171"/>
      <c r="J358" s="144"/>
      <c r="K358" s="104">
        <v>87.3</v>
      </c>
      <c r="L358" s="67">
        <v>388.89</v>
      </c>
      <c r="M358" s="51"/>
      <c r="N358" s="91"/>
      <c r="O358" s="67">
        <f>ROUND(ROUND(L358, 2)*K358, 2)</f>
        <v>33950.1</v>
      </c>
      <c r="P358" s="51"/>
      <c r="Q358" s="51"/>
      <c r="R358" s="50">
        <v>388.89</v>
      </c>
      <c r="S358" s="51"/>
      <c r="T358" s="51"/>
      <c r="U358" s="50">
        <f>ROUND(ROUND(R358, 2)*K358, 2)</f>
        <v>33950.1</v>
      </c>
      <c r="V358" s="51"/>
      <c r="W358" s="52"/>
    </row>
    <row r="359" spans="1:23" ht="36" x14ac:dyDescent="0.35">
      <c r="A359" s="31" t="s">
        <v>602</v>
      </c>
      <c r="B359" s="31"/>
      <c r="C359" s="41" t="s">
        <v>235</v>
      </c>
      <c r="D359" s="33"/>
      <c r="E359" s="33"/>
      <c r="F359" s="42" t="s">
        <v>58</v>
      </c>
      <c r="G359" s="43">
        <v>0.15</v>
      </c>
      <c r="H359" s="135"/>
      <c r="I359" s="171"/>
      <c r="J359" s="143"/>
      <c r="K359" s="103">
        <v>0</v>
      </c>
      <c r="L359" s="66">
        <v>88.8</v>
      </c>
      <c r="M359" s="45"/>
      <c r="N359" s="91"/>
      <c r="O359" s="66">
        <f>ROUND(ROUND(L359, 2)*K359, 2)</f>
        <v>0</v>
      </c>
      <c r="P359" s="45"/>
      <c r="Q359" s="45"/>
      <c r="R359" s="44">
        <v>88.8</v>
      </c>
      <c r="S359" s="45"/>
      <c r="T359" s="45"/>
      <c r="U359" s="44">
        <f>ROUND(ROUND(R359, 2)*K359, 2)</f>
        <v>0</v>
      </c>
      <c r="V359" s="45"/>
      <c r="W359" s="46"/>
    </row>
    <row r="360" spans="1:23" ht="36" x14ac:dyDescent="0.35">
      <c r="A360" s="36" t="s">
        <v>603</v>
      </c>
      <c r="B360" s="36"/>
      <c r="C360" s="47" t="s">
        <v>235</v>
      </c>
      <c r="D360" s="38"/>
      <c r="E360" s="38"/>
      <c r="F360" s="48" t="s">
        <v>58</v>
      </c>
      <c r="G360" s="49">
        <v>0.15</v>
      </c>
      <c r="H360" s="136"/>
      <c r="I360" s="171"/>
      <c r="J360" s="144"/>
      <c r="K360" s="104">
        <v>43.65</v>
      </c>
      <c r="L360" s="67">
        <v>88.8</v>
      </c>
      <c r="M360" s="51"/>
      <c r="N360" s="91"/>
      <c r="O360" s="67">
        <f>ROUND(ROUND(L360, 2)*K360, 2)</f>
        <v>3876.12</v>
      </c>
      <c r="P360" s="51"/>
      <c r="Q360" s="51"/>
      <c r="R360" s="50">
        <v>88.8</v>
      </c>
      <c r="S360" s="51"/>
      <c r="T360" s="51"/>
      <c r="U360" s="50">
        <f>ROUND(ROUND(R360, 2)*K360, 2)</f>
        <v>3876.12</v>
      </c>
      <c r="V360" s="51"/>
      <c r="W360" s="52"/>
    </row>
    <row r="361" spans="1:23" ht="36" x14ac:dyDescent="0.35">
      <c r="A361" s="31" t="s">
        <v>604</v>
      </c>
      <c r="B361" s="31" t="s">
        <v>587</v>
      </c>
      <c r="C361" s="32" t="s">
        <v>588</v>
      </c>
      <c r="D361" s="33"/>
      <c r="E361" s="33" t="s">
        <v>54</v>
      </c>
      <c r="F361" s="33" t="s">
        <v>55</v>
      </c>
      <c r="G361" s="34">
        <v>1</v>
      </c>
      <c r="H361" s="133"/>
      <c r="I361" s="171"/>
      <c r="J361" s="143"/>
      <c r="K361" s="101">
        <v>0</v>
      </c>
      <c r="L361" s="64">
        <f>IFERROR(ROUND(SUM(O363,O365)/K361, 2),0)</f>
        <v>0</v>
      </c>
      <c r="M361" s="81">
        <v>251</v>
      </c>
      <c r="N361" s="90">
        <f>L361+ROUND(M361, 2)</f>
        <v>251</v>
      </c>
      <c r="O361" s="64">
        <f>ROUND(L361*K361, 2)</f>
        <v>0</v>
      </c>
      <c r="P361" s="35">
        <f>ROUND(K361*ROUND(M361, 2), 2)</f>
        <v>0</v>
      </c>
      <c r="Q361" s="35">
        <f>O361+P361</f>
        <v>0</v>
      </c>
      <c r="R361" s="35">
        <f>IFERROR(ROUND(SUM(U363,U365)/K361, 2),0)</f>
        <v>0</v>
      </c>
      <c r="S361" s="35">
        <v>251</v>
      </c>
      <c r="T361" s="35">
        <f>R361+ROUND(S361, 2)</f>
        <v>251</v>
      </c>
      <c r="U361" s="35">
        <f>ROUND(R361*K361, 2)</f>
        <v>0</v>
      </c>
      <c r="V361" s="35">
        <f>ROUND(K361*ROUND(S361, 2), 2)</f>
        <v>0</v>
      </c>
      <c r="W361" s="35">
        <f>U361+V361</f>
        <v>0</v>
      </c>
    </row>
    <row r="362" spans="1:23" ht="36" x14ac:dyDescent="0.35">
      <c r="A362" s="36" t="s">
        <v>605</v>
      </c>
      <c r="B362" s="36" t="s">
        <v>587</v>
      </c>
      <c r="C362" s="37" t="s">
        <v>588</v>
      </c>
      <c r="D362" s="38"/>
      <c r="E362" s="38"/>
      <c r="F362" s="38" t="s">
        <v>55</v>
      </c>
      <c r="G362" s="39">
        <v>1</v>
      </c>
      <c r="H362" s="134"/>
      <c r="I362" s="171"/>
      <c r="J362" s="144"/>
      <c r="K362" s="102">
        <v>1533.5</v>
      </c>
      <c r="L362" s="65">
        <v>0</v>
      </c>
      <c r="M362" s="82">
        <v>251</v>
      </c>
      <c r="N362" s="90"/>
      <c r="O362" s="65">
        <v>0</v>
      </c>
      <c r="P362" s="40"/>
      <c r="Q362" s="40"/>
      <c r="R362" s="40">
        <v>0</v>
      </c>
      <c r="S362" s="40">
        <v>251</v>
      </c>
      <c r="T362" s="40"/>
      <c r="U362" s="40">
        <v>0</v>
      </c>
      <c r="V362" s="40"/>
      <c r="W362" s="40"/>
    </row>
    <row r="363" spans="1:23" ht="54" x14ac:dyDescent="0.35">
      <c r="A363" s="31" t="s">
        <v>606</v>
      </c>
      <c r="B363" s="31"/>
      <c r="C363" s="41" t="s">
        <v>607</v>
      </c>
      <c r="D363" s="33"/>
      <c r="E363" s="33" t="s">
        <v>608</v>
      </c>
      <c r="F363" s="42" t="s">
        <v>58</v>
      </c>
      <c r="G363" s="43">
        <v>0.3</v>
      </c>
      <c r="H363" s="135"/>
      <c r="I363" s="171"/>
      <c r="J363" s="143"/>
      <c r="K363" s="103">
        <v>0</v>
      </c>
      <c r="L363" s="66">
        <v>0</v>
      </c>
      <c r="M363" s="45"/>
      <c r="N363" s="91"/>
      <c r="O363" s="66">
        <f>ROUND(ROUND(L363, 2)*K363, 2)</f>
        <v>0</v>
      </c>
      <c r="P363" s="45"/>
      <c r="Q363" s="45"/>
      <c r="R363" s="44">
        <v>0</v>
      </c>
      <c r="S363" s="45"/>
      <c r="T363" s="45"/>
      <c r="U363" s="44">
        <f>ROUND(ROUND(R363, 2)*K363, 2)</f>
        <v>0</v>
      </c>
      <c r="V363" s="45"/>
      <c r="W363" s="46"/>
    </row>
    <row r="364" spans="1:23" ht="54" x14ac:dyDescent="0.35">
      <c r="A364" s="36" t="s">
        <v>609</v>
      </c>
      <c r="B364" s="36"/>
      <c r="C364" s="47" t="s">
        <v>607</v>
      </c>
      <c r="D364" s="38"/>
      <c r="E364" s="38" t="s">
        <v>608</v>
      </c>
      <c r="F364" s="48" t="s">
        <v>58</v>
      </c>
      <c r="G364" s="49">
        <v>0.3</v>
      </c>
      <c r="H364" s="136"/>
      <c r="I364" s="171"/>
      <c r="J364" s="144"/>
      <c r="K364" s="104">
        <v>460.05</v>
      </c>
      <c r="L364" s="67">
        <v>0</v>
      </c>
      <c r="M364" s="51"/>
      <c r="N364" s="91"/>
      <c r="O364" s="67">
        <f>ROUND(ROUND(L364, 2)*K364, 2)</f>
        <v>0</v>
      </c>
      <c r="P364" s="51"/>
      <c r="Q364" s="51"/>
      <c r="R364" s="50">
        <v>0</v>
      </c>
      <c r="S364" s="51"/>
      <c r="T364" s="51"/>
      <c r="U364" s="50">
        <f>ROUND(ROUND(R364, 2)*K364, 2)</f>
        <v>0</v>
      </c>
      <c r="V364" s="51"/>
      <c r="W364" s="52"/>
    </row>
    <row r="365" spans="1:23" ht="36" x14ac:dyDescent="0.35">
      <c r="A365" s="31" t="s">
        <v>610</v>
      </c>
      <c r="B365" s="31"/>
      <c r="C365" s="41" t="s">
        <v>235</v>
      </c>
      <c r="D365" s="33"/>
      <c r="E365" s="33"/>
      <c r="F365" s="42" t="s">
        <v>58</v>
      </c>
      <c r="G365" s="43">
        <v>0.15</v>
      </c>
      <c r="H365" s="135"/>
      <c r="I365" s="171"/>
      <c r="J365" s="143"/>
      <c r="K365" s="103">
        <v>0</v>
      </c>
      <c r="L365" s="66">
        <v>88.8</v>
      </c>
      <c r="M365" s="45"/>
      <c r="N365" s="91"/>
      <c r="O365" s="66">
        <f>ROUND(ROUND(L365, 2)*K365, 2)</f>
        <v>0</v>
      </c>
      <c r="P365" s="45"/>
      <c r="Q365" s="45"/>
      <c r="R365" s="44">
        <v>88.8</v>
      </c>
      <c r="S365" s="45"/>
      <c r="T365" s="45"/>
      <c r="U365" s="44">
        <f>ROUND(ROUND(R365, 2)*K365, 2)</f>
        <v>0</v>
      </c>
      <c r="V365" s="45"/>
      <c r="W365" s="46"/>
    </row>
    <row r="366" spans="1:23" ht="36" x14ac:dyDescent="0.35">
      <c r="A366" s="36" t="s">
        <v>611</v>
      </c>
      <c r="B366" s="36"/>
      <c r="C366" s="47" t="s">
        <v>235</v>
      </c>
      <c r="D366" s="38"/>
      <c r="E366" s="38"/>
      <c r="F366" s="48" t="s">
        <v>58</v>
      </c>
      <c r="G366" s="49">
        <v>0.15</v>
      </c>
      <c r="H366" s="136"/>
      <c r="I366" s="171"/>
      <c r="J366" s="144"/>
      <c r="K366" s="104">
        <v>230.02500000000001</v>
      </c>
      <c r="L366" s="67">
        <v>88.8</v>
      </c>
      <c r="M366" s="51"/>
      <c r="N366" s="91"/>
      <c r="O366" s="67">
        <f>ROUND(ROUND(L366, 2)*K366, 2)</f>
        <v>20426.22</v>
      </c>
      <c r="P366" s="51"/>
      <c r="Q366" s="51"/>
      <c r="R366" s="50">
        <v>88.8</v>
      </c>
      <c r="S366" s="51"/>
      <c r="T366" s="51"/>
      <c r="U366" s="50">
        <f>ROUND(ROUND(R366, 2)*K366, 2)</f>
        <v>20426.22</v>
      </c>
      <c r="V366" s="51"/>
      <c r="W366" s="52"/>
    </row>
    <row r="367" spans="1:23" ht="36" x14ac:dyDescent="0.35">
      <c r="A367" s="31" t="s">
        <v>612</v>
      </c>
      <c r="B367" s="31" t="s">
        <v>587</v>
      </c>
      <c r="C367" s="32" t="s">
        <v>588</v>
      </c>
      <c r="D367" s="33"/>
      <c r="E367" s="33" t="s">
        <v>54</v>
      </c>
      <c r="F367" s="33" t="s">
        <v>55</v>
      </c>
      <c r="G367" s="34">
        <v>1</v>
      </c>
      <c r="H367" s="133"/>
      <c r="I367" s="171"/>
      <c r="J367" s="143"/>
      <c r="K367" s="101">
        <v>0</v>
      </c>
      <c r="L367" s="64">
        <f>IFERROR(ROUND(SUM(O369,O371)/K367, 2),0)</f>
        <v>0</v>
      </c>
      <c r="M367" s="81">
        <v>251</v>
      </c>
      <c r="N367" s="90">
        <f>L367+ROUND(M367, 2)</f>
        <v>251</v>
      </c>
      <c r="O367" s="64">
        <f>ROUND(L367*K367, 2)</f>
        <v>0</v>
      </c>
      <c r="P367" s="35">
        <f>ROUND(K367*ROUND(M367, 2), 2)</f>
        <v>0</v>
      </c>
      <c r="Q367" s="35">
        <f>O367+P367</f>
        <v>0</v>
      </c>
      <c r="R367" s="35">
        <f>IFERROR(ROUND(SUM(U369,U371)/K367, 2),0)</f>
        <v>0</v>
      </c>
      <c r="S367" s="35">
        <v>251</v>
      </c>
      <c r="T367" s="35">
        <f>R367+ROUND(S367, 2)</f>
        <v>251</v>
      </c>
      <c r="U367" s="35">
        <f>ROUND(R367*K367, 2)</f>
        <v>0</v>
      </c>
      <c r="V367" s="35">
        <f>ROUND(K367*ROUND(S367, 2), 2)</f>
        <v>0</v>
      </c>
      <c r="W367" s="35">
        <f>U367+V367</f>
        <v>0</v>
      </c>
    </row>
    <row r="368" spans="1:23" ht="36" x14ac:dyDescent="0.35">
      <c r="A368" s="36" t="s">
        <v>613</v>
      </c>
      <c r="B368" s="36" t="s">
        <v>587</v>
      </c>
      <c r="C368" s="37" t="s">
        <v>588</v>
      </c>
      <c r="D368" s="38"/>
      <c r="E368" s="38"/>
      <c r="F368" s="38" t="s">
        <v>55</v>
      </c>
      <c r="G368" s="39">
        <v>1</v>
      </c>
      <c r="H368" s="134"/>
      <c r="I368" s="171"/>
      <c r="J368" s="144"/>
      <c r="K368" s="102">
        <v>98.2</v>
      </c>
      <c r="L368" s="65">
        <v>0</v>
      </c>
      <c r="M368" s="82">
        <v>251</v>
      </c>
      <c r="N368" s="90"/>
      <c r="O368" s="65">
        <v>0</v>
      </c>
      <c r="P368" s="40"/>
      <c r="Q368" s="40"/>
      <c r="R368" s="40">
        <v>0</v>
      </c>
      <c r="S368" s="40">
        <v>251</v>
      </c>
      <c r="T368" s="40"/>
      <c r="U368" s="40">
        <v>0</v>
      </c>
      <c r="V368" s="40"/>
      <c r="W368" s="40"/>
    </row>
    <row r="369" spans="1:23" ht="90" x14ac:dyDescent="0.35">
      <c r="A369" s="31" t="s">
        <v>614</v>
      </c>
      <c r="B369" s="31"/>
      <c r="C369" s="41" t="s">
        <v>599</v>
      </c>
      <c r="D369" s="33"/>
      <c r="E369" s="33" t="s">
        <v>615</v>
      </c>
      <c r="F369" s="42" t="s">
        <v>58</v>
      </c>
      <c r="G369" s="43">
        <v>0.3</v>
      </c>
      <c r="H369" s="135"/>
      <c r="I369" s="171"/>
      <c r="J369" s="143"/>
      <c r="K369" s="103">
        <v>0</v>
      </c>
      <c r="L369" s="66">
        <v>388.89</v>
      </c>
      <c r="M369" s="45"/>
      <c r="N369" s="91"/>
      <c r="O369" s="66">
        <f>ROUND(ROUND(L369, 2)*K369, 2)</f>
        <v>0</v>
      </c>
      <c r="P369" s="45"/>
      <c r="Q369" s="45"/>
      <c r="R369" s="44">
        <v>388.89</v>
      </c>
      <c r="S369" s="45"/>
      <c r="T369" s="45"/>
      <c r="U369" s="44">
        <f>ROUND(ROUND(R369, 2)*K369, 2)</f>
        <v>0</v>
      </c>
      <c r="V369" s="45"/>
      <c r="W369" s="46"/>
    </row>
    <row r="370" spans="1:23" ht="90" x14ac:dyDescent="0.35">
      <c r="A370" s="36" t="s">
        <v>616</v>
      </c>
      <c r="B370" s="36"/>
      <c r="C370" s="47" t="s">
        <v>599</v>
      </c>
      <c r="D370" s="38"/>
      <c r="E370" s="38" t="s">
        <v>615</v>
      </c>
      <c r="F370" s="48" t="s">
        <v>58</v>
      </c>
      <c r="G370" s="49">
        <v>0.3</v>
      </c>
      <c r="H370" s="136"/>
      <c r="I370" s="171"/>
      <c r="J370" s="144"/>
      <c r="K370" s="104">
        <v>29.46</v>
      </c>
      <c r="L370" s="67">
        <v>388.89</v>
      </c>
      <c r="M370" s="51"/>
      <c r="N370" s="91"/>
      <c r="O370" s="67">
        <f>ROUND(ROUND(L370, 2)*K370, 2)</f>
        <v>11456.7</v>
      </c>
      <c r="P370" s="51"/>
      <c r="Q370" s="51"/>
      <c r="R370" s="50">
        <v>388.89</v>
      </c>
      <c r="S370" s="51"/>
      <c r="T370" s="51"/>
      <c r="U370" s="50">
        <f>ROUND(ROUND(R370, 2)*K370, 2)</f>
        <v>11456.7</v>
      </c>
      <c r="V370" s="51"/>
      <c r="W370" s="52"/>
    </row>
    <row r="371" spans="1:23" ht="36" x14ac:dyDescent="0.35">
      <c r="A371" s="31" t="s">
        <v>617</v>
      </c>
      <c r="B371" s="31"/>
      <c r="C371" s="41" t="s">
        <v>235</v>
      </c>
      <c r="D371" s="33"/>
      <c r="E371" s="33"/>
      <c r="F371" s="42" t="s">
        <v>58</v>
      </c>
      <c r="G371" s="43">
        <v>0.15</v>
      </c>
      <c r="H371" s="135"/>
      <c r="I371" s="171"/>
      <c r="J371" s="143"/>
      <c r="K371" s="103">
        <v>0</v>
      </c>
      <c r="L371" s="66">
        <v>88.8</v>
      </c>
      <c r="M371" s="45"/>
      <c r="N371" s="91"/>
      <c r="O371" s="66">
        <f>ROUND(ROUND(L371, 2)*K371, 2)</f>
        <v>0</v>
      </c>
      <c r="P371" s="45"/>
      <c r="Q371" s="45"/>
      <c r="R371" s="44">
        <v>88.8</v>
      </c>
      <c r="S371" s="45"/>
      <c r="T371" s="45"/>
      <c r="U371" s="44">
        <f>ROUND(ROUND(R371, 2)*K371, 2)</f>
        <v>0</v>
      </c>
      <c r="V371" s="45"/>
      <c r="W371" s="46"/>
    </row>
    <row r="372" spans="1:23" ht="36" x14ac:dyDescent="0.35">
      <c r="A372" s="36" t="s">
        <v>618</v>
      </c>
      <c r="B372" s="36"/>
      <c r="C372" s="47" t="s">
        <v>235</v>
      </c>
      <c r="D372" s="38"/>
      <c r="E372" s="38"/>
      <c r="F372" s="48" t="s">
        <v>58</v>
      </c>
      <c r="G372" s="49">
        <v>0.15</v>
      </c>
      <c r="H372" s="136"/>
      <c r="I372" s="171"/>
      <c r="J372" s="144"/>
      <c r="K372" s="104">
        <v>14.73</v>
      </c>
      <c r="L372" s="67">
        <v>88.8</v>
      </c>
      <c r="M372" s="51"/>
      <c r="N372" s="91"/>
      <c r="O372" s="67">
        <f>ROUND(ROUND(L372, 2)*K372, 2)</f>
        <v>1308.02</v>
      </c>
      <c r="P372" s="51"/>
      <c r="Q372" s="51"/>
      <c r="R372" s="50">
        <v>88.8</v>
      </c>
      <c r="S372" s="51"/>
      <c r="T372" s="51"/>
      <c r="U372" s="50">
        <f>ROUND(ROUND(R372, 2)*K372, 2)</f>
        <v>1308.02</v>
      </c>
      <c r="V372" s="51"/>
      <c r="W372" s="52"/>
    </row>
    <row r="373" spans="1:23" ht="36" x14ac:dyDescent="0.35">
      <c r="A373" s="31" t="s">
        <v>619</v>
      </c>
      <c r="B373" s="31" t="s">
        <v>587</v>
      </c>
      <c r="C373" s="32" t="s">
        <v>588</v>
      </c>
      <c r="D373" s="33"/>
      <c r="E373" s="33" t="s">
        <v>54</v>
      </c>
      <c r="F373" s="33" t="s">
        <v>55</v>
      </c>
      <c r="G373" s="34">
        <v>1</v>
      </c>
      <c r="H373" s="133"/>
      <c r="I373" s="171"/>
      <c r="J373" s="143"/>
      <c r="K373" s="101">
        <v>0</v>
      </c>
      <c r="L373" s="64">
        <f>IFERROR(ROUND(SUM(O375,O377)/K373, 2),0)</f>
        <v>0</v>
      </c>
      <c r="M373" s="81">
        <v>251</v>
      </c>
      <c r="N373" s="90">
        <f>L373+ROUND(M373, 2)</f>
        <v>251</v>
      </c>
      <c r="O373" s="64">
        <f>ROUND(L373*K373, 2)</f>
        <v>0</v>
      </c>
      <c r="P373" s="35">
        <f>ROUND(K373*ROUND(M373, 2), 2)</f>
        <v>0</v>
      </c>
      <c r="Q373" s="35">
        <f>O373+P373</f>
        <v>0</v>
      </c>
      <c r="R373" s="35">
        <f>IFERROR(ROUND(SUM(U375,U377)/K373, 2),0)</f>
        <v>0</v>
      </c>
      <c r="S373" s="35">
        <v>251</v>
      </c>
      <c r="T373" s="35">
        <f>R373+ROUND(S373, 2)</f>
        <v>251</v>
      </c>
      <c r="U373" s="35">
        <f>ROUND(R373*K373, 2)</f>
        <v>0</v>
      </c>
      <c r="V373" s="35">
        <f>ROUND(K373*ROUND(S373, 2), 2)</f>
        <v>0</v>
      </c>
      <c r="W373" s="35">
        <f>U373+V373</f>
        <v>0</v>
      </c>
    </row>
    <row r="374" spans="1:23" ht="36" x14ac:dyDescent="0.35">
      <c r="A374" s="36" t="s">
        <v>620</v>
      </c>
      <c r="B374" s="36" t="s">
        <v>587</v>
      </c>
      <c r="C374" s="37" t="s">
        <v>588</v>
      </c>
      <c r="D374" s="38"/>
      <c r="E374" s="38"/>
      <c r="F374" s="38" t="s">
        <v>55</v>
      </c>
      <c r="G374" s="39">
        <v>1</v>
      </c>
      <c r="H374" s="134"/>
      <c r="I374" s="171"/>
      <c r="J374" s="144"/>
      <c r="K374" s="102">
        <v>21</v>
      </c>
      <c r="L374" s="65">
        <v>0</v>
      </c>
      <c r="M374" s="82">
        <v>251</v>
      </c>
      <c r="N374" s="90"/>
      <c r="O374" s="65">
        <v>0</v>
      </c>
      <c r="P374" s="40"/>
      <c r="Q374" s="40"/>
      <c r="R374" s="40">
        <v>0</v>
      </c>
      <c r="S374" s="40">
        <v>251</v>
      </c>
      <c r="T374" s="40"/>
      <c r="U374" s="40">
        <v>0</v>
      </c>
      <c r="V374" s="40"/>
      <c r="W374" s="40"/>
    </row>
    <row r="375" spans="1:23" ht="90" x14ac:dyDescent="0.35">
      <c r="A375" s="31" t="s">
        <v>621</v>
      </c>
      <c r="B375" s="31"/>
      <c r="C375" s="41" t="s">
        <v>599</v>
      </c>
      <c r="D375" s="33"/>
      <c r="E375" s="33" t="s">
        <v>622</v>
      </c>
      <c r="F375" s="42" t="s">
        <v>58</v>
      </c>
      <c r="G375" s="43">
        <v>0.3</v>
      </c>
      <c r="H375" s="135"/>
      <c r="I375" s="171"/>
      <c r="J375" s="143"/>
      <c r="K375" s="103">
        <v>0</v>
      </c>
      <c r="L375" s="66">
        <v>388.89</v>
      </c>
      <c r="M375" s="45"/>
      <c r="N375" s="91"/>
      <c r="O375" s="66">
        <f>ROUND(ROUND(L375, 2)*K375, 2)</f>
        <v>0</v>
      </c>
      <c r="P375" s="45"/>
      <c r="Q375" s="45"/>
      <c r="R375" s="44">
        <v>388.89</v>
      </c>
      <c r="S375" s="45"/>
      <c r="T375" s="45"/>
      <c r="U375" s="44">
        <f>ROUND(ROUND(R375, 2)*K375, 2)</f>
        <v>0</v>
      </c>
      <c r="V375" s="45"/>
      <c r="W375" s="46"/>
    </row>
    <row r="376" spans="1:23" ht="90" x14ac:dyDescent="0.35">
      <c r="A376" s="36" t="s">
        <v>623</v>
      </c>
      <c r="B376" s="36"/>
      <c r="C376" s="47" t="s">
        <v>599</v>
      </c>
      <c r="D376" s="38"/>
      <c r="E376" s="38" t="s">
        <v>622</v>
      </c>
      <c r="F376" s="48" t="s">
        <v>58</v>
      </c>
      <c r="G376" s="49">
        <v>0.3</v>
      </c>
      <c r="H376" s="136"/>
      <c r="I376" s="171"/>
      <c r="J376" s="144"/>
      <c r="K376" s="104">
        <v>6.3</v>
      </c>
      <c r="L376" s="67">
        <v>388.89</v>
      </c>
      <c r="M376" s="51"/>
      <c r="N376" s="91"/>
      <c r="O376" s="67">
        <f>ROUND(ROUND(L376, 2)*K376, 2)</f>
        <v>2450.0100000000002</v>
      </c>
      <c r="P376" s="51"/>
      <c r="Q376" s="51"/>
      <c r="R376" s="50">
        <v>388.89</v>
      </c>
      <c r="S376" s="51"/>
      <c r="T376" s="51"/>
      <c r="U376" s="50">
        <f>ROUND(ROUND(R376, 2)*K376, 2)</f>
        <v>2450.0100000000002</v>
      </c>
      <c r="V376" s="51"/>
      <c r="W376" s="52"/>
    </row>
    <row r="377" spans="1:23" ht="36" x14ac:dyDescent="0.35">
      <c r="A377" s="31" t="s">
        <v>624</v>
      </c>
      <c r="B377" s="31"/>
      <c r="C377" s="41" t="s">
        <v>235</v>
      </c>
      <c r="D377" s="33"/>
      <c r="E377" s="33"/>
      <c r="F377" s="42" t="s">
        <v>58</v>
      </c>
      <c r="G377" s="43">
        <v>0.15</v>
      </c>
      <c r="H377" s="135"/>
      <c r="I377" s="171"/>
      <c r="J377" s="143"/>
      <c r="K377" s="103">
        <v>0</v>
      </c>
      <c r="L377" s="66">
        <v>88.8</v>
      </c>
      <c r="M377" s="45"/>
      <c r="N377" s="91"/>
      <c r="O377" s="66">
        <f>ROUND(ROUND(L377, 2)*K377, 2)</f>
        <v>0</v>
      </c>
      <c r="P377" s="45"/>
      <c r="Q377" s="45"/>
      <c r="R377" s="44">
        <v>88.8</v>
      </c>
      <c r="S377" s="45"/>
      <c r="T377" s="45"/>
      <c r="U377" s="44">
        <f>ROUND(ROUND(R377, 2)*K377, 2)</f>
        <v>0</v>
      </c>
      <c r="V377" s="45"/>
      <c r="W377" s="46"/>
    </row>
    <row r="378" spans="1:23" ht="36" x14ac:dyDescent="0.35">
      <c r="A378" s="36" t="s">
        <v>625</v>
      </c>
      <c r="B378" s="36"/>
      <c r="C378" s="47" t="s">
        <v>235</v>
      </c>
      <c r="D378" s="38"/>
      <c r="E378" s="38"/>
      <c r="F378" s="48" t="s">
        <v>58</v>
      </c>
      <c r="G378" s="49">
        <v>0.15</v>
      </c>
      <c r="H378" s="136"/>
      <c r="I378" s="171"/>
      <c r="J378" s="144"/>
      <c r="K378" s="104">
        <v>3.15</v>
      </c>
      <c r="L378" s="67">
        <v>88.8</v>
      </c>
      <c r="M378" s="51"/>
      <c r="N378" s="91"/>
      <c r="O378" s="67">
        <f>ROUND(ROUND(L378, 2)*K378, 2)</f>
        <v>279.72000000000003</v>
      </c>
      <c r="P378" s="51"/>
      <c r="Q378" s="51"/>
      <c r="R378" s="50">
        <v>88.8</v>
      </c>
      <c r="S378" s="51"/>
      <c r="T378" s="51"/>
      <c r="U378" s="50">
        <f>ROUND(ROUND(R378, 2)*K378, 2)</f>
        <v>279.72000000000003</v>
      </c>
      <c r="V378" s="51"/>
      <c r="W378" s="52"/>
    </row>
    <row r="379" spans="1:23" ht="36" x14ac:dyDescent="0.35">
      <c r="A379" s="31" t="s">
        <v>626</v>
      </c>
      <c r="B379" s="31" t="s">
        <v>587</v>
      </c>
      <c r="C379" s="32" t="s">
        <v>588</v>
      </c>
      <c r="D379" s="33"/>
      <c r="E379" s="33" t="s">
        <v>54</v>
      </c>
      <c r="F379" s="33" t="s">
        <v>55</v>
      </c>
      <c r="G379" s="34">
        <v>1</v>
      </c>
      <c r="H379" s="133"/>
      <c r="I379" s="171"/>
      <c r="J379" s="143"/>
      <c r="K379" s="101">
        <v>0</v>
      </c>
      <c r="L379" s="64">
        <f>IFERROR(ROUND(SUM(O381,O383)/K379, 2),0)</f>
        <v>0</v>
      </c>
      <c r="M379" s="81">
        <v>251</v>
      </c>
      <c r="N379" s="90">
        <f>L379+ROUND(M379, 2)</f>
        <v>251</v>
      </c>
      <c r="O379" s="64">
        <f>ROUND(L379*K379, 2)</f>
        <v>0</v>
      </c>
      <c r="P379" s="35">
        <f>ROUND(K379*ROUND(M379, 2), 2)</f>
        <v>0</v>
      </c>
      <c r="Q379" s="35">
        <f>O379+P379</f>
        <v>0</v>
      </c>
      <c r="R379" s="35">
        <f>IFERROR(ROUND(SUM(U381,U383)/K379, 2),0)</f>
        <v>0</v>
      </c>
      <c r="S379" s="35">
        <v>251</v>
      </c>
      <c r="T379" s="35">
        <f>R379+ROUND(S379, 2)</f>
        <v>251</v>
      </c>
      <c r="U379" s="35">
        <f>ROUND(R379*K379, 2)</f>
        <v>0</v>
      </c>
      <c r="V379" s="35">
        <f>ROUND(K379*ROUND(S379, 2), 2)</f>
        <v>0</v>
      </c>
      <c r="W379" s="35">
        <f>U379+V379</f>
        <v>0</v>
      </c>
    </row>
    <row r="380" spans="1:23" ht="36" x14ac:dyDescent="0.35">
      <c r="A380" s="36" t="s">
        <v>627</v>
      </c>
      <c r="B380" s="36" t="s">
        <v>587</v>
      </c>
      <c r="C380" s="37" t="s">
        <v>588</v>
      </c>
      <c r="D380" s="38"/>
      <c r="E380" s="38"/>
      <c r="F380" s="38" t="s">
        <v>55</v>
      </c>
      <c r="G380" s="39">
        <v>1</v>
      </c>
      <c r="H380" s="134"/>
      <c r="I380" s="171"/>
      <c r="J380" s="144"/>
      <c r="K380" s="102">
        <v>76</v>
      </c>
      <c r="L380" s="65">
        <v>0</v>
      </c>
      <c r="M380" s="82">
        <v>251</v>
      </c>
      <c r="N380" s="90"/>
      <c r="O380" s="65">
        <v>0</v>
      </c>
      <c r="P380" s="40"/>
      <c r="Q380" s="40"/>
      <c r="R380" s="40">
        <v>0</v>
      </c>
      <c r="S380" s="40">
        <v>251</v>
      </c>
      <c r="T380" s="40"/>
      <c r="U380" s="40">
        <v>0</v>
      </c>
      <c r="V380" s="40"/>
      <c r="W380" s="40"/>
    </row>
    <row r="381" spans="1:23" ht="90" x14ac:dyDescent="0.35">
      <c r="A381" s="31" t="s">
        <v>628</v>
      </c>
      <c r="B381" s="31"/>
      <c r="C381" s="41" t="s">
        <v>599</v>
      </c>
      <c r="D381" s="33"/>
      <c r="E381" s="33" t="s">
        <v>629</v>
      </c>
      <c r="F381" s="42" t="s">
        <v>58</v>
      </c>
      <c r="G381" s="43">
        <v>0.3</v>
      </c>
      <c r="H381" s="135"/>
      <c r="I381" s="171"/>
      <c r="J381" s="143"/>
      <c r="K381" s="103">
        <v>0</v>
      </c>
      <c r="L381" s="66">
        <v>388.89</v>
      </c>
      <c r="M381" s="45"/>
      <c r="N381" s="91"/>
      <c r="O381" s="66">
        <f>ROUND(ROUND(L381, 2)*K381, 2)</f>
        <v>0</v>
      </c>
      <c r="P381" s="45"/>
      <c r="Q381" s="45"/>
      <c r="R381" s="44">
        <v>388.89</v>
      </c>
      <c r="S381" s="45"/>
      <c r="T381" s="45"/>
      <c r="U381" s="44">
        <f>ROUND(ROUND(R381, 2)*K381, 2)</f>
        <v>0</v>
      </c>
      <c r="V381" s="45"/>
      <c r="W381" s="46"/>
    </row>
    <row r="382" spans="1:23" ht="90" x14ac:dyDescent="0.35">
      <c r="A382" s="36" t="s">
        <v>630</v>
      </c>
      <c r="B382" s="36"/>
      <c r="C382" s="47" t="s">
        <v>599</v>
      </c>
      <c r="D382" s="38"/>
      <c r="E382" s="38" t="s">
        <v>629</v>
      </c>
      <c r="F382" s="48" t="s">
        <v>58</v>
      </c>
      <c r="G382" s="49">
        <v>0.3</v>
      </c>
      <c r="H382" s="136"/>
      <c r="I382" s="171"/>
      <c r="J382" s="144"/>
      <c r="K382" s="104">
        <v>22.8</v>
      </c>
      <c r="L382" s="67">
        <v>388.89</v>
      </c>
      <c r="M382" s="51"/>
      <c r="N382" s="91"/>
      <c r="O382" s="67">
        <f>ROUND(ROUND(L382, 2)*K382, 2)</f>
        <v>8866.69</v>
      </c>
      <c r="P382" s="51"/>
      <c r="Q382" s="51"/>
      <c r="R382" s="50">
        <v>388.89</v>
      </c>
      <c r="S382" s="51"/>
      <c r="T382" s="51"/>
      <c r="U382" s="50">
        <f>ROUND(ROUND(R382, 2)*K382, 2)</f>
        <v>8866.69</v>
      </c>
      <c r="V382" s="51"/>
      <c r="W382" s="52"/>
    </row>
    <row r="383" spans="1:23" ht="36" x14ac:dyDescent="0.35">
      <c r="A383" s="31" t="s">
        <v>631</v>
      </c>
      <c r="B383" s="31"/>
      <c r="C383" s="41" t="s">
        <v>235</v>
      </c>
      <c r="D383" s="33"/>
      <c r="E383" s="33"/>
      <c r="F383" s="42" t="s">
        <v>58</v>
      </c>
      <c r="G383" s="43">
        <v>0.15</v>
      </c>
      <c r="H383" s="135"/>
      <c r="I383" s="171"/>
      <c r="J383" s="143"/>
      <c r="K383" s="103">
        <v>0</v>
      </c>
      <c r="L383" s="66">
        <v>88.8</v>
      </c>
      <c r="M383" s="45"/>
      <c r="N383" s="91"/>
      <c r="O383" s="66">
        <f>ROUND(ROUND(L383, 2)*K383, 2)</f>
        <v>0</v>
      </c>
      <c r="P383" s="45"/>
      <c r="Q383" s="45"/>
      <c r="R383" s="44">
        <v>88.8</v>
      </c>
      <c r="S383" s="45"/>
      <c r="T383" s="45"/>
      <c r="U383" s="44">
        <f>ROUND(ROUND(R383, 2)*K383, 2)</f>
        <v>0</v>
      </c>
      <c r="V383" s="45"/>
      <c r="W383" s="46"/>
    </row>
    <row r="384" spans="1:23" ht="36" x14ac:dyDescent="0.35">
      <c r="A384" s="36" t="s">
        <v>632</v>
      </c>
      <c r="B384" s="36"/>
      <c r="C384" s="47" t="s">
        <v>235</v>
      </c>
      <c r="D384" s="38"/>
      <c r="E384" s="38"/>
      <c r="F384" s="48" t="s">
        <v>58</v>
      </c>
      <c r="G384" s="49">
        <v>0.15</v>
      </c>
      <c r="H384" s="136"/>
      <c r="I384" s="171"/>
      <c r="J384" s="144"/>
      <c r="K384" s="104">
        <v>11.4</v>
      </c>
      <c r="L384" s="67">
        <v>88.8</v>
      </c>
      <c r="M384" s="51"/>
      <c r="N384" s="91"/>
      <c r="O384" s="67">
        <f>ROUND(ROUND(L384, 2)*K384, 2)</f>
        <v>1012.32</v>
      </c>
      <c r="P384" s="51"/>
      <c r="Q384" s="51"/>
      <c r="R384" s="50">
        <v>88.8</v>
      </c>
      <c r="S384" s="51"/>
      <c r="T384" s="51"/>
      <c r="U384" s="50">
        <f>ROUND(ROUND(R384, 2)*K384, 2)</f>
        <v>1012.32</v>
      </c>
      <c r="V384" s="51"/>
      <c r="W384" s="52"/>
    </row>
    <row r="385" spans="1:23" ht="36" x14ac:dyDescent="0.35">
      <c r="A385" s="31" t="s">
        <v>633</v>
      </c>
      <c r="B385" s="31" t="s">
        <v>587</v>
      </c>
      <c r="C385" s="32" t="s">
        <v>588</v>
      </c>
      <c r="D385" s="33"/>
      <c r="E385" s="33" t="s">
        <v>54</v>
      </c>
      <c r="F385" s="33" t="s">
        <v>55</v>
      </c>
      <c r="G385" s="34">
        <v>1</v>
      </c>
      <c r="H385" s="133"/>
      <c r="I385" s="171"/>
      <c r="J385" s="143"/>
      <c r="K385" s="101">
        <v>0</v>
      </c>
      <c r="L385" s="64">
        <f>IFERROR(ROUND(SUM(O387,O389)/K385, 2),0)</f>
        <v>0</v>
      </c>
      <c r="M385" s="81">
        <v>251</v>
      </c>
      <c r="N385" s="90">
        <f>L385+ROUND(M385, 2)</f>
        <v>251</v>
      </c>
      <c r="O385" s="64">
        <f>ROUND(L385*K385, 2)</f>
        <v>0</v>
      </c>
      <c r="P385" s="35">
        <f>ROUND(K385*ROUND(M385, 2), 2)</f>
        <v>0</v>
      </c>
      <c r="Q385" s="35">
        <f>O385+P385</f>
        <v>0</v>
      </c>
      <c r="R385" s="35">
        <f>IFERROR(ROUND(SUM(U387,U389)/K385, 2),0)</f>
        <v>0</v>
      </c>
      <c r="S385" s="35">
        <v>251</v>
      </c>
      <c r="T385" s="35">
        <f>R385+ROUND(S385, 2)</f>
        <v>251</v>
      </c>
      <c r="U385" s="35">
        <f>ROUND(R385*K385, 2)</f>
        <v>0</v>
      </c>
      <c r="V385" s="35">
        <f>ROUND(K385*ROUND(S385, 2), 2)</f>
        <v>0</v>
      </c>
      <c r="W385" s="35">
        <f>U385+V385</f>
        <v>0</v>
      </c>
    </row>
    <row r="386" spans="1:23" ht="36" x14ac:dyDescent="0.35">
      <c r="A386" s="36" t="s">
        <v>634</v>
      </c>
      <c r="B386" s="36" t="s">
        <v>587</v>
      </c>
      <c r="C386" s="37" t="s">
        <v>588</v>
      </c>
      <c r="D386" s="38"/>
      <c r="E386" s="38"/>
      <c r="F386" s="38" t="s">
        <v>55</v>
      </c>
      <c r="G386" s="39">
        <v>1</v>
      </c>
      <c r="H386" s="134"/>
      <c r="I386" s="171"/>
      <c r="J386" s="144"/>
      <c r="K386" s="102">
        <v>10.8</v>
      </c>
      <c r="L386" s="65">
        <v>0</v>
      </c>
      <c r="M386" s="82">
        <v>251</v>
      </c>
      <c r="N386" s="90"/>
      <c r="O386" s="65">
        <v>0</v>
      </c>
      <c r="P386" s="40"/>
      <c r="Q386" s="40"/>
      <c r="R386" s="40">
        <v>0</v>
      </c>
      <c r="S386" s="40">
        <v>251</v>
      </c>
      <c r="T386" s="40"/>
      <c r="U386" s="40">
        <v>0</v>
      </c>
      <c r="V386" s="40"/>
      <c r="W386" s="40"/>
    </row>
    <row r="387" spans="1:23" ht="90" x14ac:dyDescent="0.35">
      <c r="A387" s="31" t="s">
        <v>635</v>
      </c>
      <c r="B387" s="31"/>
      <c r="C387" s="41" t="s">
        <v>599</v>
      </c>
      <c r="D387" s="33"/>
      <c r="E387" s="33" t="s">
        <v>615</v>
      </c>
      <c r="F387" s="42" t="s">
        <v>58</v>
      </c>
      <c r="G387" s="43">
        <v>0.3</v>
      </c>
      <c r="H387" s="135"/>
      <c r="I387" s="171"/>
      <c r="J387" s="143"/>
      <c r="K387" s="103">
        <v>0</v>
      </c>
      <c r="L387" s="66">
        <v>388.89</v>
      </c>
      <c r="M387" s="45"/>
      <c r="N387" s="91"/>
      <c r="O387" s="66">
        <f>ROUND(ROUND(L387, 2)*K387, 2)</f>
        <v>0</v>
      </c>
      <c r="P387" s="45"/>
      <c r="Q387" s="45"/>
      <c r="R387" s="44">
        <v>388.89</v>
      </c>
      <c r="S387" s="45"/>
      <c r="T387" s="45"/>
      <c r="U387" s="44">
        <f>ROUND(ROUND(R387, 2)*K387, 2)</f>
        <v>0</v>
      </c>
      <c r="V387" s="45"/>
      <c r="W387" s="46"/>
    </row>
    <row r="388" spans="1:23" ht="90" x14ac:dyDescent="0.35">
      <c r="A388" s="36" t="s">
        <v>636</v>
      </c>
      <c r="B388" s="36"/>
      <c r="C388" s="47" t="s">
        <v>599</v>
      </c>
      <c r="D388" s="38"/>
      <c r="E388" s="38" t="s">
        <v>615</v>
      </c>
      <c r="F388" s="48" t="s">
        <v>58</v>
      </c>
      <c r="G388" s="49">
        <v>0.3</v>
      </c>
      <c r="H388" s="136"/>
      <c r="I388" s="171"/>
      <c r="J388" s="144"/>
      <c r="K388" s="104">
        <v>3.24</v>
      </c>
      <c r="L388" s="67">
        <v>388.89</v>
      </c>
      <c r="M388" s="51"/>
      <c r="N388" s="91"/>
      <c r="O388" s="67">
        <f>ROUND(ROUND(L388, 2)*K388, 2)</f>
        <v>1260</v>
      </c>
      <c r="P388" s="51"/>
      <c r="Q388" s="51"/>
      <c r="R388" s="50">
        <v>388.89</v>
      </c>
      <c r="S388" s="51"/>
      <c r="T388" s="51"/>
      <c r="U388" s="50">
        <f>ROUND(ROUND(R388, 2)*K388, 2)</f>
        <v>1260</v>
      </c>
      <c r="V388" s="51"/>
      <c r="W388" s="52"/>
    </row>
    <row r="389" spans="1:23" ht="36" x14ac:dyDescent="0.35">
      <c r="A389" s="31" t="s">
        <v>637</v>
      </c>
      <c r="B389" s="31"/>
      <c r="C389" s="41" t="s">
        <v>235</v>
      </c>
      <c r="D389" s="33"/>
      <c r="E389" s="33"/>
      <c r="F389" s="42" t="s">
        <v>58</v>
      </c>
      <c r="G389" s="43">
        <v>0.15</v>
      </c>
      <c r="H389" s="135"/>
      <c r="I389" s="171"/>
      <c r="J389" s="143"/>
      <c r="K389" s="103">
        <v>0</v>
      </c>
      <c r="L389" s="66">
        <v>88.8</v>
      </c>
      <c r="M389" s="45"/>
      <c r="N389" s="91"/>
      <c r="O389" s="66">
        <f>ROUND(ROUND(L389, 2)*K389, 2)</f>
        <v>0</v>
      </c>
      <c r="P389" s="45"/>
      <c r="Q389" s="45"/>
      <c r="R389" s="44">
        <v>88.8</v>
      </c>
      <c r="S389" s="45"/>
      <c r="T389" s="45"/>
      <c r="U389" s="44">
        <f>ROUND(ROUND(R389, 2)*K389, 2)</f>
        <v>0</v>
      </c>
      <c r="V389" s="45"/>
      <c r="W389" s="46"/>
    </row>
    <row r="390" spans="1:23" ht="36" x14ac:dyDescent="0.35">
      <c r="A390" s="36" t="s">
        <v>638</v>
      </c>
      <c r="B390" s="36"/>
      <c r="C390" s="47" t="s">
        <v>235</v>
      </c>
      <c r="D390" s="38"/>
      <c r="E390" s="38"/>
      <c r="F390" s="48" t="s">
        <v>58</v>
      </c>
      <c r="G390" s="49">
        <v>0.15</v>
      </c>
      <c r="H390" s="136"/>
      <c r="I390" s="171"/>
      <c r="J390" s="144"/>
      <c r="K390" s="104">
        <v>1.62</v>
      </c>
      <c r="L390" s="67">
        <v>88.8</v>
      </c>
      <c r="M390" s="51"/>
      <c r="N390" s="91"/>
      <c r="O390" s="67">
        <f>ROUND(ROUND(L390, 2)*K390, 2)</f>
        <v>143.86000000000001</v>
      </c>
      <c r="P390" s="51"/>
      <c r="Q390" s="51"/>
      <c r="R390" s="50">
        <v>88.8</v>
      </c>
      <c r="S390" s="51"/>
      <c r="T390" s="51"/>
      <c r="U390" s="50">
        <f>ROUND(ROUND(R390, 2)*K390, 2)</f>
        <v>143.86000000000001</v>
      </c>
      <c r="V390" s="51"/>
      <c r="W390" s="52"/>
    </row>
    <row r="391" spans="1:23" ht="36" x14ac:dyDescent="0.35">
      <c r="A391" s="20" t="s">
        <v>639</v>
      </c>
      <c r="B391" s="20" t="s">
        <v>640</v>
      </c>
      <c r="C391" s="21" t="s">
        <v>641</v>
      </c>
      <c r="D391" s="22"/>
      <c r="E391" s="22" t="s">
        <v>642</v>
      </c>
      <c r="F391" s="22" t="s">
        <v>55</v>
      </c>
      <c r="G391" s="23">
        <v>1</v>
      </c>
      <c r="H391" s="131"/>
      <c r="I391" s="171"/>
      <c r="J391" s="142"/>
      <c r="K391" s="98">
        <v>5404.01</v>
      </c>
      <c r="L391" s="62">
        <f>IFERROR(ROUND(SUM(O392,O393)/K391, 2),0)</f>
        <v>13.32</v>
      </c>
      <c r="M391" s="80">
        <v>428</v>
      </c>
      <c r="N391" s="90">
        <f>L391+ROUND(M391, 2)</f>
        <v>441.32</v>
      </c>
      <c r="O391" s="62">
        <f>ROUND(L391*K391, 2)</f>
        <v>71981.41</v>
      </c>
      <c r="P391" s="24">
        <f>ROUND(K391*ROUND(M391, 2), 2)</f>
        <v>2312916.2799999998</v>
      </c>
      <c r="Q391" s="24">
        <f>O391+P391</f>
        <v>2384897.69</v>
      </c>
      <c r="R391" s="24">
        <f>IFERROR(ROUND(SUM(U392,U393)/K391, 2),0)</f>
        <v>13.32</v>
      </c>
      <c r="S391" s="24">
        <v>428</v>
      </c>
      <c r="T391" s="24">
        <f>R391+ROUND(S391, 2)</f>
        <v>441.32</v>
      </c>
      <c r="U391" s="24">
        <f>ROUND(R391*K391, 2)</f>
        <v>71981.41</v>
      </c>
      <c r="V391" s="24">
        <f>ROUND(K391*ROUND(S391, 2), 2)</f>
        <v>2312916.2799999998</v>
      </c>
      <c r="W391" s="24">
        <f>U391+V391</f>
        <v>2384897.69</v>
      </c>
    </row>
    <row r="392" spans="1:23" ht="108" x14ac:dyDescent="0.35">
      <c r="A392" s="20" t="s">
        <v>643</v>
      </c>
      <c r="B392" s="20"/>
      <c r="C392" s="25" t="s">
        <v>644</v>
      </c>
      <c r="D392" s="22"/>
      <c r="E392" s="22" t="s">
        <v>645</v>
      </c>
      <c r="F392" s="26" t="s">
        <v>58</v>
      </c>
      <c r="G392" s="27">
        <v>0.3</v>
      </c>
      <c r="H392" s="132"/>
      <c r="I392" s="171"/>
      <c r="J392" s="142"/>
      <c r="K392" s="99">
        <v>1621.203</v>
      </c>
      <c r="L392" s="63">
        <v>0</v>
      </c>
      <c r="M392" s="29"/>
      <c r="N392" s="91"/>
      <c r="O392" s="63">
        <f>ROUND(ROUND(L392, 2)*K392, 2)</f>
        <v>0</v>
      </c>
      <c r="P392" s="29"/>
      <c r="Q392" s="29"/>
      <c r="R392" s="28">
        <v>0</v>
      </c>
      <c r="S392" s="29"/>
      <c r="T392" s="29"/>
      <c r="U392" s="28">
        <f>ROUND(ROUND(R392, 2)*K392, 2)</f>
        <v>0</v>
      </c>
      <c r="V392" s="29"/>
      <c r="W392" s="30"/>
    </row>
    <row r="393" spans="1:23" ht="36" x14ac:dyDescent="0.35">
      <c r="A393" s="20" t="s">
        <v>646</v>
      </c>
      <c r="B393" s="20"/>
      <c r="C393" s="25" t="s">
        <v>235</v>
      </c>
      <c r="D393" s="22"/>
      <c r="E393" s="22"/>
      <c r="F393" s="26" t="s">
        <v>58</v>
      </c>
      <c r="G393" s="27">
        <v>0.15</v>
      </c>
      <c r="H393" s="132"/>
      <c r="I393" s="171"/>
      <c r="J393" s="142"/>
      <c r="K393" s="99">
        <v>810.60199999999998</v>
      </c>
      <c r="L393" s="63">
        <v>88.8</v>
      </c>
      <c r="M393" s="29"/>
      <c r="N393" s="91"/>
      <c r="O393" s="63">
        <f>ROUND(ROUND(L393, 2)*K393, 2)</f>
        <v>71981.460000000006</v>
      </c>
      <c r="P393" s="29"/>
      <c r="Q393" s="29"/>
      <c r="R393" s="28">
        <v>88.8</v>
      </c>
      <c r="S393" s="29"/>
      <c r="T393" s="29"/>
      <c r="U393" s="28">
        <f>ROUND(ROUND(R393, 2)*K393, 2)</f>
        <v>71981.460000000006</v>
      </c>
      <c r="V393" s="29"/>
      <c r="W393" s="30"/>
    </row>
    <row r="394" spans="1:23" ht="36" x14ac:dyDescent="0.35">
      <c r="A394" s="20" t="s">
        <v>647</v>
      </c>
      <c r="B394" s="20" t="s">
        <v>640</v>
      </c>
      <c r="C394" s="21" t="s">
        <v>641</v>
      </c>
      <c r="D394" s="22"/>
      <c r="E394" s="22" t="s">
        <v>648</v>
      </c>
      <c r="F394" s="22" t="s">
        <v>55</v>
      </c>
      <c r="G394" s="23">
        <v>1</v>
      </c>
      <c r="H394" s="131"/>
      <c r="I394" s="171"/>
      <c r="J394" s="142"/>
      <c r="K394" s="98">
        <v>8.4</v>
      </c>
      <c r="L394" s="62">
        <f>IFERROR(ROUND(SUM(O395,O396)/K394, 2),0)</f>
        <v>13.32</v>
      </c>
      <c r="M394" s="80">
        <v>428</v>
      </c>
      <c r="N394" s="90">
        <f>L394+ROUND(M394, 2)</f>
        <v>441.32</v>
      </c>
      <c r="O394" s="62">
        <f>ROUND(L394*K394, 2)</f>
        <v>111.89</v>
      </c>
      <c r="P394" s="24">
        <f>ROUND(K394*ROUND(M394, 2), 2)</f>
        <v>3595.2</v>
      </c>
      <c r="Q394" s="24">
        <f>O394+P394</f>
        <v>3707.0899999999997</v>
      </c>
      <c r="R394" s="24">
        <f>IFERROR(ROUND(SUM(U395,U396)/K394, 2),0)</f>
        <v>13.32</v>
      </c>
      <c r="S394" s="24">
        <v>428</v>
      </c>
      <c r="T394" s="24">
        <f>R394+ROUND(S394, 2)</f>
        <v>441.32</v>
      </c>
      <c r="U394" s="24">
        <f>ROUND(R394*K394, 2)</f>
        <v>111.89</v>
      </c>
      <c r="V394" s="24">
        <f>ROUND(K394*ROUND(S394, 2), 2)</f>
        <v>3595.2</v>
      </c>
      <c r="W394" s="24">
        <f>U394+V394</f>
        <v>3707.0899999999997</v>
      </c>
    </row>
    <row r="395" spans="1:23" ht="36" x14ac:dyDescent="0.35">
      <c r="A395" s="20" t="s">
        <v>649</v>
      </c>
      <c r="B395" s="20"/>
      <c r="C395" s="25" t="s">
        <v>235</v>
      </c>
      <c r="D395" s="22"/>
      <c r="E395" s="22"/>
      <c r="F395" s="26" t="s">
        <v>58</v>
      </c>
      <c r="G395" s="27">
        <v>0.15</v>
      </c>
      <c r="H395" s="132"/>
      <c r="I395" s="171"/>
      <c r="J395" s="142"/>
      <c r="K395" s="99">
        <v>1.26</v>
      </c>
      <c r="L395" s="63">
        <v>88.8</v>
      </c>
      <c r="M395" s="29"/>
      <c r="N395" s="91"/>
      <c r="O395" s="63">
        <f>ROUND(ROUND(L395, 2)*K395, 2)</f>
        <v>111.89</v>
      </c>
      <c r="P395" s="29"/>
      <c r="Q395" s="29"/>
      <c r="R395" s="28">
        <v>88.8</v>
      </c>
      <c r="S395" s="29"/>
      <c r="T395" s="29"/>
      <c r="U395" s="28">
        <f>ROUND(ROUND(R395, 2)*K395, 2)</f>
        <v>111.89</v>
      </c>
      <c r="V395" s="29"/>
      <c r="W395" s="30"/>
    </row>
    <row r="396" spans="1:23" ht="108" x14ac:dyDescent="0.35">
      <c r="A396" s="20" t="s">
        <v>650</v>
      </c>
      <c r="B396" s="20"/>
      <c r="C396" s="25" t="s">
        <v>599</v>
      </c>
      <c r="D396" s="22"/>
      <c r="E396" s="22" t="s">
        <v>651</v>
      </c>
      <c r="F396" s="26" t="s">
        <v>58</v>
      </c>
      <c r="G396" s="27">
        <v>0.3</v>
      </c>
      <c r="H396" s="132"/>
      <c r="I396" s="171"/>
      <c r="J396" s="142"/>
      <c r="K396" s="99">
        <v>2.52</v>
      </c>
      <c r="L396" s="63">
        <v>0</v>
      </c>
      <c r="M396" s="29"/>
      <c r="N396" s="91"/>
      <c r="O396" s="63">
        <f>ROUND(ROUND(L396, 2)*K396, 2)</f>
        <v>0</v>
      </c>
      <c r="P396" s="29"/>
      <c r="Q396" s="29"/>
      <c r="R396" s="28">
        <v>0</v>
      </c>
      <c r="S396" s="29"/>
      <c r="T396" s="29"/>
      <c r="U396" s="28">
        <f>ROUND(ROUND(R396, 2)*K396, 2)</f>
        <v>0</v>
      </c>
      <c r="V396" s="29"/>
      <c r="W396" s="30"/>
    </row>
    <row r="397" spans="1:23" ht="36" x14ac:dyDescent="0.35">
      <c r="A397" s="20" t="s">
        <v>652</v>
      </c>
      <c r="B397" s="20" t="s">
        <v>640</v>
      </c>
      <c r="C397" s="21" t="s">
        <v>641</v>
      </c>
      <c r="D397" s="22"/>
      <c r="E397" s="22" t="s">
        <v>653</v>
      </c>
      <c r="F397" s="22" t="s">
        <v>55</v>
      </c>
      <c r="G397" s="23">
        <v>1</v>
      </c>
      <c r="H397" s="131"/>
      <c r="I397" s="171"/>
      <c r="J397" s="142"/>
      <c r="K397" s="98">
        <v>20.66</v>
      </c>
      <c r="L397" s="62">
        <f>IFERROR(ROUND(SUM(O398,O399)/K397, 2),0)</f>
        <v>13.32</v>
      </c>
      <c r="M397" s="80">
        <v>428</v>
      </c>
      <c r="N397" s="90">
        <f>L397+ROUND(M397, 2)</f>
        <v>441.32</v>
      </c>
      <c r="O397" s="62">
        <f>ROUND(L397*K397, 2)</f>
        <v>275.19</v>
      </c>
      <c r="P397" s="24">
        <f>ROUND(K397*ROUND(M397, 2), 2)</f>
        <v>8842.48</v>
      </c>
      <c r="Q397" s="24">
        <f>O397+P397</f>
        <v>9117.67</v>
      </c>
      <c r="R397" s="24">
        <f>IFERROR(ROUND(SUM(U398,U399)/K397, 2),0)</f>
        <v>13.32</v>
      </c>
      <c r="S397" s="24">
        <v>428</v>
      </c>
      <c r="T397" s="24">
        <f>R397+ROUND(S397, 2)</f>
        <v>441.32</v>
      </c>
      <c r="U397" s="24">
        <f>ROUND(R397*K397, 2)</f>
        <v>275.19</v>
      </c>
      <c r="V397" s="24">
        <f>ROUND(K397*ROUND(S397, 2), 2)</f>
        <v>8842.48</v>
      </c>
      <c r="W397" s="24">
        <f>U397+V397</f>
        <v>9117.67</v>
      </c>
    </row>
    <row r="398" spans="1:23" ht="36" x14ac:dyDescent="0.35">
      <c r="A398" s="20" t="s">
        <v>654</v>
      </c>
      <c r="B398" s="20"/>
      <c r="C398" s="25" t="s">
        <v>235</v>
      </c>
      <c r="D398" s="22"/>
      <c r="E398" s="22"/>
      <c r="F398" s="26" t="s">
        <v>58</v>
      </c>
      <c r="G398" s="27">
        <v>0.15</v>
      </c>
      <c r="H398" s="132"/>
      <c r="I398" s="171"/>
      <c r="J398" s="142"/>
      <c r="K398" s="99">
        <v>3.0990000000000002</v>
      </c>
      <c r="L398" s="63">
        <v>88.8</v>
      </c>
      <c r="M398" s="29"/>
      <c r="N398" s="91"/>
      <c r="O398" s="63">
        <f>ROUND(ROUND(L398, 2)*K398, 2)</f>
        <v>275.19</v>
      </c>
      <c r="P398" s="29"/>
      <c r="Q398" s="29"/>
      <c r="R398" s="28">
        <v>88.8</v>
      </c>
      <c r="S398" s="29"/>
      <c r="T398" s="29"/>
      <c r="U398" s="28">
        <f>ROUND(ROUND(R398, 2)*K398, 2)</f>
        <v>275.19</v>
      </c>
      <c r="V398" s="29"/>
      <c r="W398" s="30"/>
    </row>
    <row r="399" spans="1:23" ht="108" x14ac:dyDescent="0.35">
      <c r="A399" s="20" t="s">
        <v>655</v>
      </c>
      <c r="B399" s="20"/>
      <c r="C399" s="25" t="s">
        <v>599</v>
      </c>
      <c r="D399" s="22"/>
      <c r="E399" s="22" t="s">
        <v>656</v>
      </c>
      <c r="F399" s="26" t="s">
        <v>58</v>
      </c>
      <c r="G399" s="27">
        <v>0.3</v>
      </c>
      <c r="H399" s="132"/>
      <c r="I399" s="171"/>
      <c r="J399" s="142"/>
      <c r="K399" s="99">
        <v>6.1980000000000004</v>
      </c>
      <c r="L399" s="63">
        <v>0</v>
      </c>
      <c r="M399" s="29"/>
      <c r="N399" s="91"/>
      <c r="O399" s="63">
        <f>ROUND(ROUND(L399, 2)*K399, 2)</f>
        <v>0</v>
      </c>
      <c r="P399" s="29"/>
      <c r="Q399" s="29"/>
      <c r="R399" s="28">
        <v>0</v>
      </c>
      <c r="S399" s="29"/>
      <c r="T399" s="29"/>
      <c r="U399" s="28">
        <f>ROUND(ROUND(R399, 2)*K399, 2)</f>
        <v>0</v>
      </c>
      <c r="V399" s="29"/>
      <c r="W399" s="30"/>
    </row>
    <row r="400" spans="1:23" ht="36" x14ac:dyDescent="0.35">
      <c r="A400" s="20" t="s">
        <v>657</v>
      </c>
      <c r="B400" s="20" t="s">
        <v>640</v>
      </c>
      <c r="C400" s="21" t="s">
        <v>641</v>
      </c>
      <c r="D400" s="22"/>
      <c r="E400" s="22" t="s">
        <v>658</v>
      </c>
      <c r="F400" s="22" t="s">
        <v>55</v>
      </c>
      <c r="G400" s="23">
        <v>1</v>
      </c>
      <c r="H400" s="131"/>
      <c r="I400" s="171"/>
      <c r="J400" s="142"/>
      <c r="K400" s="98">
        <v>10.39</v>
      </c>
      <c r="L400" s="62">
        <f>IFERROR(ROUND(SUM(O401,O402)/K400, 2),0)</f>
        <v>13.32</v>
      </c>
      <c r="M400" s="80">
        <v>428</v>
      </c>
      <c r="N400" s="90">
        <f>L400+ROUND(M400, 2)</f>
        <v>441.32</v>
      </c>
      <c r="O400" s="62">
        <f>ROUND(L400*K400, 2)</f>
        <v>138.38999999999999</v>
      </c>
      <c r="P400" s="24">
        <f>ROUND(K400*ROUND(M400, 2), 2)</f>
        <v>4446.92</v>
      </c>
      <c r="Q400" s="24">
        <f>O400+P400</f>
        <v>4585.3100000000004</v>
      </c>
      <c r="R400" s="24">
        <f>IFERROR(ROUND(SUM(U401,U402)/K400, 2),0)</f>
        <v>13.32</v>
      </c>
      <c r="S400" s="24">
        <v>428</v>
      </c>
      <c r="T400" s="24">
        <f>R400+ROUND(S400, 2)</f>
        <v>441.32</v>
      </c>
      <c r="U400" s="24">
        <f>ROUND(R400*K400, 2)</f>
        <v>138.38999999999999</v>
      </c>
      <c r="V400" s="24">
        <f>ROUND(K400*ROUND(S400, 2), 2)</f>
        <v>4446.92</v>
      </c>
      <c r="W400" s="24">
        <f>U400+V400</f>
        <v>4585.3100000000004</v>
      </c>
    </row>
    <row r="401" spans="1:23" ht="36" x14ac:dyDescent="0.35">
      <c r="A401" s="20" t="s">
        <v>659</v>
      </c>
      <c r="B401" s="20"/>
      <c r="C401" s="25" t="s">
        <v>235</v>
      </c>
      <c r="D401" s="22"/>
      <c r="E401" s="22"/>
      <c r="F401" s="26" t="s">
        <v>58</v>
      </c>
      <c r="G401" s="27">
        <v>0.15</v>
      </c>
      <c r="H401" s="132"/>
      <c r="I401" s="171"/>
      <c r="J401" s="142"/>
      <c r="K401" s="99">
        <v>1.5589999999999999</v>
      </c>
      <c r="L401" s="63">
        <v>88.8</v>
      </c>
      <c r="M401" s="29"/>
      <c r="N401" s="91"/>
      <c r="O401" s="63">
        <f>ROUND(ROUND(L401, 2)*K401, 2)</f>
        <v>138.44</v>
      </c>
      <c r="P401" s="29"/>
      <c r="Q401" s="29"/>
      <c r="R401" s="28">
        <v>88.8</v>
      </c>
      <c r="S401" s="29"/>
      <c r="T401" s="29"/>
      <c r="U401" s="28">
        <f>ROUND(ROUND(R401, 2)*K401, 2)</f>
        <v>138.44</v>
      </c>
      <c r="V401" s="29"/>
      <c r="W401" s="30"/>
    </row>
    <row r="402" spans="1:23" ht="108" x14ac:dyDescent="0.35">
      <c r="A402" s="20" t="s">
        <v>660</v>
      </c>
      <c r="B402" s="20"/>
      <c r="C402" s="25" t="s">
        <v>599</v>
      </c>
      <c r="D402" s="22"/>
      <c r="E402" s="22" t="s">
        <v>661</v>
      </c>
      <c r="F402" s="26" t="s">
        <v>58</v>
      </c>
      <c r="G402" s="27">
        <v>0.3</v>
      </c>
      <c r="H402" s="132"/>
      <c r="I402" s="171"/>
      <c r="J402" s="142"/>
      <c r="K402" s="99">
        <v>3.117</v>
      </c>
      <c r="L402" s="63">
        <v>0</v>
      </c>
      <c r="M402" s="29"/>
      <c r="N402" s="91"/>
      <c r="O402" s="63">
        <f>ROUND(ROUND(L402, 2)*K402, 2)</f>
        <v>0</v>
      </c>
      <c r="P402" s="29"/>
      <c r="Q402" s="29"/>
      <c r="R402" s="28">
        <v>0</v>
      </c>
      <c r="S402" s="29"/>
      <c r="T402" s="29"/>
      <c r="U402" s="28">
        <f>ROUND(ROUND(R402, 2)*K402, 2)</f>
        <v>0</v>
      </c>
      <c r="V402" s="29"/>
      <c r="W402" s="30"/>
    </row>
    <row r="403" spans="1:23" ht="36" x14ac:dyDescent="0.35">
      <c r="A403" s="20" t="s">
        <v>662</v>
      </c>
      <c r="B403" s="20" t="s">
        <v>640</v>
      </c>
      <c r="C403" s="21" t="s">
        <v>641</v>
      </c>
      <c r="D403" s="22"/>
      <c r="E403" s="22" t="s">
        <v>663</v>
      </c>
      <c r="F403" s="22" t="s">
        <v>55</v>
      </c>
      <c r="G403" s="23">
        <v>1</v>
      </c>
      <c r="H403" s="131"/>
      <c r="I403" s="171"/>
      <c r="J403" s="142"/>
      <c r="K403" s="98">
        <v>5.0999999999999996</v>
      </c>
      <c r="L403" s="62">
        <f>IFERROR(ROUND(SUM(O404,O405)/K403, 2),0)</f>
        <v>13.32</v>
      </c>
      <c r="M403" s="80">
        <v>428</v>
      </c>
      <c r="N403" s="90">
        <f>L403+ROUND(M403, 2)</f>
        <v>441.32</v>
      </c>
      <c r="O403" s="62">
        <f>ROUND(L403*K403, 2)</f>
        <v>67.930000000000007</v>
      </c>
      <c r="P403" s="24">
        <f>ROUND(K403*ROUND(M403, 2), 2)</f>
        <v>2182.8000000000002</v>
      </c>
      <c r="Q403" s="24">
        <f>O403+P403</f>
        <v>2250.73</v>
      </c>
      <c r="R403" s="24">
        <f>IFERROR(ROUND(SUM(U404,U405)/K403, 2),0)</f>
        <v>13.32</v>
      </c>
      <c r="S403" s="24">
        <v>428</v>
      </c>
      <c r="T403" s="24">
        <f>R403+ROUND(S403, 2)</f>
        <v>441.32</v>
      </c>
      <c r="U403" s="24">
        <f>ROUND(R403*K403, 2)</f>
        <v>67.930000000000007</v>
      </c>
      <c r="V403" s="24">
        <f>ROUND(K403*ROUND(S403, 2), 2)</f>
        <v>2182.8000000000002</v>
      </c>
      <c r="W403" s="24">
        <f>U403+V403</f>
        <v>2250.73</v>
      </c>
    </row>
    <row r="404" spans="1:23" ht="36" x14ac:dyDescent="0.35">
      <c r="A404" s="20" t="s">
        <v>664</v>
      </c>
      <c r="B404" s="20"/>
      <c r="C404" s="25" t="s">
        <v>235</v>
      </c>
      <c r="D404" s="22"/>
      <c r="E404" s="22"/>
      <c r="F404" s="26" t="s">
        <v>58</v>
      </c>
      <c r="G404" s="27">
        <v>0.15</v>
      </c>
      <c r="H404" s="132"/>
      <c r="I404" s="171"/>
      <c r="J404" s="142"/>
      <c r="K404" s="99">
        <v>0.76500000000000001</v>
      </c>
      <c r="L404" s="63">
        <v>88.8</v>
      </c>
      <c r="M404" s="29"/>
      <c r="N404" s="91"/>
      <c r="O404" s="63">
        <f>ROUND(ROUND(L404, 2)*K404, 2)</f>
        <v>67.930000000000007</v>
      </c>
      <c r="P404" s="29"/>
      <c r="Q404" s="29"/>
      <c r="R404" s="28">
        <v>88.8</v>
      </c>
      <c r="S404" s="29"/>
      <c r="T404" s="29"/>
      <c r="U404" s="28">
        <f>ROUND(ROUND(R404, 2)*K404, 2)</f>
        <v>67.930000000000007</v>
      </c>
      <c r="V404" s="29"/>
      <c r="W404" s="30"/>
    </row>
    <row r="405" spans="1:23" ht="108" x14ac:dyDescent="0.35">
      <c r="A405" s="20" t="s">
        <v>665</v>
      </c>
      <c r="B405" s="20"/>
      <c r="C405" s="25" t="s">
        <v>599</v>
      </c>
      <c r="D405" s="22"/>
      <c r="E405" s="22" t="s">
        <v>666</v>
      </c>
      <c r="F405" s="26" t="s">
        <v>58</v>
      </c>
      <c r="G405" s="27">
        <v>0.3</v>
      </c>
      <c r="H405" s="132"/>
      <c r="I405" s="171"/>
      <c r="J405" s="142"/>
      <c r="K405" s="99">
        <v>1.53</v>
      </c>
      <c r="L405" s="63">
        <v>0</v>
      </c>
      <c r="M405" s="29"/>
      <c r="N405" s="91"/>
      <c r="O405" s="63">
        <f>ROUND(ROUND(L405, 2)*K405, 2)</f>
        <v>0</v>
      </c>
      <c r="P405" s="29"/>
      <c r="Q405" s="29"/>
      <c r="R405" s="28">
        <v>0</v>
      </c>
      <c r="S405" s="29"/>
      <c r="T405" s="29"/>
      <c r="U405" s="28">
        <f>ROUND(ROUND(R405, 2)*K405, 2)</f>
        <v>0</v>
      </c>
      <c r="V405" s="29"/>
      <c r="W405" s="30"/>
    </row>
    <row r="406" spans="1:23" ht="36" x14ac:dyDescent="0.35">
      <c r="A406" s="20" t="s">
        <v>667</v>
      </c>
      <c r="B406" s="20" t="s">
        <v>640</v>
      </c>
      <c r="C406" s="21" t="s">
        <v>641</v>
      </c>
      <c r="D406" s="22"/>
      <c r="E406" s="22" t="s">
        <v>668</v>
      </c>
      <c r="F406" s="22" t="s">
        <v>55</v>
      </c>
      <c r="G406" s="23">
        <v>1</v>
      </c>
      <c r="H406" s="131"/>
      <c r="I406" s="171"/>
      <c r="J406" s="142"/>
      <c r="K406" s="98">
        <v>11.75</v>
      </c>
      <c r="L406" s="62">
        <f>IFERROR(ROUND(SUM(O407,O408)/K406, 2),0)</f>
        <v>13.32</v>
      </c>
      <c r="M406" s="80">
        <v>428</v>
      </c>
      <c r="N406" s="90">
        <f>L406+ROUND(M406, 2)</f>
        <v>441.32</v>
      </c>
      <c r="O406" s="62">
        <f>ROUND(L406*K406, 2)</f>
        <v>156.51</v>
      </c>
      <c r="P406" s="24">
        <f>ROUND(K406*ROUND(M406, 2), 2)</f>
        <v>5029</v>
      </c>
      <c r="Q406" s="24">
        <f>O406+P406</f>
        <v>5185.51</v>
      </c>
      <c r="R406" s="24">
        <f>IFERROR(ROUND(SUM(U407,U408)/K406, 2),0)</f>
        <v>13.32</v>
      </c>
      <c r="S406" s="24">
        <v>428</v>
      </c>
      <c r="T406" s="24">
        <f>R406+ROUND(S406, 2)</f>
        <v>441.32</v>
      </c>
      <c r="U406" s="24">
        <f>ROUND(R406*K406, 2)</f>
        <v>156.51</v>
      </c>
      <c r="V406" s="24">
        <f>ROUND(K406*ROUND(S406, 2), 2)</f>
        <v>5029</v>
      </c>
      <c r="W406" s="24">
        <f>U406+V406</f>
        <v>5185.51</v>
      </c>
    </row>
    <row r="407" spans="1:23" ht="36" x14ac:dyDescent="0.35">
      <c r="A407" s="20" t="s">
        <v>669</v>
      </c>
      <c r="B407" s="20"/>
      <c r="C407" s="25" t="s">
        <v>235</v>
      </c>
      <c r="D407" s="22"/>
      <c r="E407" s="22"/>
      <c r="F407" s="26" t="s">
        <v>58</v>
      </c>
      <c r="G407" s="27">
        <v>0.15</v>
      </c>
      <c r="H407" s="132"/>
      <c r="I407" s="171"/>
      <c r="J407" s="142"/>
      <c r="K407" s="99">
        <v>1.7629999999999999</v>
      </c>
      <c r="L407" s="63">
        <v>88.8</v>
      </c>
      <c r="M407" s="29"/>
      <c r="N407" s="91"/>
      <c r="O407" s="63">
        <f>ROUND(ROUND(L407, 2)*K407, 2)</f>
        <v>156.55000000000001</v>
      </c>
      <c r="P407" s="29"/>
      <c r="Q407" s="29"/>
      <c r="R407" s="28">
        <v>88.8</v>
      </c>
      <c r="S407" s="29"/>
      <c r="T407" s="29"/>
      <c r="U407" s="28">
        <f>ROUND(ROUND(R407, 2)*K407, 2)</f>
        <v>156.55000000000001</v>
      </c>
      <c r="V407" s="29"/>
      <c r="W407" s="30"/>
    </row>
    <row r="408" spans="1:23" ht="108" x14ac:dyDescent="0.35">
      <c r="A408" s="20" t="s">
        <v>670</v>
      </c>
      <c r="B408" s="20"/>
      <c r="C408" s="25" t="s">
        <v>599</v>
      </c>
      <c r="D408" s="22"/>
      <c r="E408" s="22" t="s">
        <v>671</v>
      </c>
      <c r="F408" s="26" t="s">
        <v>58</v>
      </c>
      <c r="G408" s="27">
        <v>0.3</v>
      </c>
      <c r="H408" s="132"/>
      <c r="I408" s="171"/>
      <c r="J408" s="142"/>
      <c r="K408" s="99">
        <v>3.5249999999999999</v>
      </c>
      <c r="L408" s="63">
        <v>0</v>
      </c>
      <c r="M408" s="29"/>
      <c r="N408" s="91"/>
      <c r="O408" s="63">
        <f>ROUND(ROUND(L408, 2)*K408, 2)</f>
        <v>0</v>
      </c>
      <c r="P408" s="29"/>
      <c r="Q408" s="29"/>
      <c r="R408" s="28">
        <v>0</v>
      </c>
      <c r="S408" s="29"/>
      <c r="T408" s="29"/>
      <c r="U408" s="28">
        <f>ROUND(ROUND(R408, 2)*K408, 2)</f>
        <v>0</v>
      </c>
      <c r="V408" s="29"/>
      <c r="W408" s="30"/>
    </row>
    <row r="409" spans="1:23" ht="36" x14ac:dyDescent="0.35">
      <c r="A409" s="20" t="s">
        <v>672</v>
      </c>
      <c r="B409" s="20" t="s">
        <v>640</v>
      </c>
      <c r="C409" s="21" t="s">
        <v>641</v>
      </c>
      <c r="D409" s="22"/>
      <c r="E409" s="22" t="s">
        <v>673</v>
      </c>
      <c r="F409" s="22" t="s">
        <v>55</v>
      </c>
      <c r="G409" s="23">
        <v>1</v>
      </c>
      <c r="H409" s="131"/>
      <c r="I409" s="171"/>
      <c r="J409" s="142"/>
      <c r="K409" s="98">
        <v>78.400000000000006</v>
      </c>
      <c r="L409" s="62">
        <f>IFERROR(ROUND(SUM(O410,O411)/K409, 2),0)</f>
        <v>13.32</v>
      </c>
      <c r="M409" s="80">
        <v>428</v>
      </c>
      <c r="N409" s="90">
        <f>L409+ROUND(M409, 2)</f>
        <v>441.32</v>
      </c>
      <c r="O409" s="62">
        <f>ROUND(L409*K409, 2)</f>
        <v>1044.29</v>
      </c>
      <c r="P409" s="24">
        <f>ROUND(K409*ROUND(M409, 2), 2)</f>
        <v>33555.199999999997</v>
      </c>
      <c r="Q409" s="24">
        <f>O409+P409</f>
        <v>34599.49</v>
      </c>
      <c r="R409" s="24">
        <f>IFERROR(ROUND(SUM(U410,U411)/K409, 2),0)</f>
        <v>13.32</v>
      </c>
      <c r="S409" s="24">
        <v>428</v>
      </c>
      <c r="T409" s="24">
        <f>R409+ROUND(S409, 2)</f>
        <v>441.32</v>
      </c>
      <c r="U409" s="24">
        <f>ROUND(R409*K409, 2)</f>
        <v>1044.29</v>
      </c>
      <c r="V409" s="24">
        <f>ROUND(K409*ROUND(S409, 2), 2)</f>
        <v>33555.199999999997</v>
      </c>
      <c r="W409" s="24">
        <f>U409+V409</f>
        <v>34599.49</v>
      </c>
    </row>
    <row r="410" spans="1:23" ht="36" x14ac:dyDescent="0.35">
      <c r="A410" s="20" t="s">
        <v>674</v>
      </c>
      <c r="B410" s="20"/>
      <c r="C410" s="25" t="s">
        <v>235</v>
      </c>
      <c r="D410" s="22"/>
      <c r="E410" s="22"/>
      <c r="F410" s="26" t="s">
        <v>58</v>
      </c>
      <c r="G410" s="27">
        <v>0.15</v>
      </c>
      <c r="H410" s="132"/>
      <c r="I410" s="171"/>
      <c r="J410" s="142"/>
      <c r="K410" s="99">
        <v>11.76</v>
      </c>
      <c r="L410" s="63">
        <v>88.8</v>
      </c>
      <c r="M410" s="29"/>
      <c r="N410" s="91"/>
      <c r="O410" s="63">
        <f>ROUND(ROUND(L410, 2)*K410, 2)</f>
        <v>1044.29</v>
      </c>
      <c r="P410" s="29"/>
      <c r="Q410" s="29"/>
      <c r="R410" s="28">
        <v>88.8</v>
      </c>
      <c r="S410" s="29"/>
      <c r="T410" s="29"/>
      <c r="U410" s="28">
        <f>ROUND(ROUND(R410, 2)*K410, 2)</f>
        <v>1044.29</v>
      </c>
      <c r="V410" s="29"/>
      <c r="W410" s="30"/>
    </row>
    <row r="411" spans="1:23" ht="108" x14ac:dyDescent="0.35">
      <c r="A411" s="20" t="s">
        <v>675</v>
      </c>
      <c r="B411" s="20"/>
      <c r="C411" s="25" t="s">
        <v>599</v>
      </c>
      <c r="D411" s="22"/>
      <c r="E411" s="22" t="s">
        <v>676</v>
      </c>
      <c r="F411" s="26" t="s">
        <v>58</v>
      </c>
      <c r="G411" s="27">
        <v>0.3</v>
      </c>
      <c r="H411" s="132"/>
      <c r="I411" s="171"/>
      <c r="J411" s="142"/>
      <c r="K411" s="99">
        <v>23.52</v>
      </c>
      <c r="L411" s="63">
        <v>0</v>
      </c>
      <c r="M411" s="29"/>
      <c r="N411" s="91"/>
      <c r="O411" s="63">
        <f>ROUND(ROUND(L411, 2)*K411, 2)</f>
        <v>0</v>
      </c>
      <c r="P411" s="29"/>
      <c r="Q411" s="29"/>
      <c r="R411" s="28">
        <v>0</v>
      </c>
      <c r="S411" s="29"/>
      <c r="T411" s="29"/>
      <c r="U411" s="28">
        <f>ROUND(ROUND(R411, 2)*K411, 2)</f>
        <v>0</v>
      </c>
      <c r="V411" s="29"/>
      <c r="W411" s="30"/>
    </row>
    <row r="412" spans="1:23" ht="36" x14ac:dyDescent="0.35">
      <c r="A412" s="20" t="s">
        <v>677</v>
      </c>
      <c r="B412" s="20" t="s">
        <v>640</v>
      </c>
      <c r="C412" s="21" t="s">
        <v>641</v>
      </c>
      <c r="D412" s="22"/>
      <c r="E412" s="22" t="s">
        <v>678</v>
      </c>
      <c r="F412" s="22" t="s">
        <v>55</v>
      </c>
      <c r="G412" s="23">
        <v>1</v>
      </c>
      <c r="H412" s="131"/>
      <c r="I412" s="171"/>
      <c r="J412" s="142"/>
      <c r="K412" s="98">
        <v>351.8</v>
      </c>
      <c r="L412" s="62">
        <f>IFERROR(ROUND(SUM(O413,O414)/K412, 2),0)</f>
        <v>13.32</v>
      </c>
      <c r="M412" s="80">
        <v>428</v>
      </c>
      <c r="N412" s="90">
        <f>L412+ROUND(M412, 2)</f>
        <v>441.32</v>
      </c>
      <c r="O412" s="62">
        <f>ROUND(L412*K412, 2)</f>
        <v>4685.9799999999996</v>
      </c>
      <c r="P412" s="24">
        <f>ROUND(K412*ROUND(M412, 2), 2)</f>
        <v>150570.4</v>
      </c>
      <c r="Q412" s="24">
        <f>O412+P412</f>
        <v>155256.38</v>
      </c>
      <c r="R412" s="24">
        <f>IFERROR(ROUND(SUM(U413,U414)/K412, 2),0)</f>
        <v>13.32</v>
      </c>
      <c r="S412" s="24">
        <v>428</v>
      </c>
      <c r="T412" s="24">
        <f>R412+ROUND(S412, 2)</f>
        <v>441.32</v>
      </c>
      <c r="U412" s="24">
        <f>ROUND(R412*K412, 2)</f>
        <v>4685.9799999999996</v>
      </c>
      <c r="V412" s="24">
        <f>ROUND(K412*ROUND(S412, 2), 2)</f>
        <v>150570.4</v>
      </c>
      <c r="W412" s="24">
        <f>U412+V412</f>
        <v>155256.38</v>
      </c>
    </row>
    <row r="413" spans="1:23" ht="36" x14ac:dyDescent="0.35">
      <c r="A413" s="20" t="s">
        <v>679</v>
      </c>
      <c r="B413" s="20"/>
      <c r="C413" s="25" t="s">
        <v>235</v>
      </c>
      <c r="D413" s="22"/>
      <c r="E413" s="22"/>
      <c r="F413" s="26" t="s">
        <v>58</v>
      </c>
      <c r="G413" s="27">
        <v>0.15</v>
      </c>
      <c r="H413" s="132"/>
      <c r="I413" s="171"/>
      <c r="J413" s="142"/>
      <c r="K413" s="99">
        <v>52.77</v>
      </c>
      <c r="L413" s="63">
        <v>88.8</v>
      </c>
      <c r="M413" s="29"/>
      <c r="N413" s="91"/>
      <c r="O413" s="63">
        <f>ROUND(ROUND(L413, 2)*K413, 2)</f>
        <v>4685.9799999999996</v>
      </c>
      <c r="P413" s="29"/>
      <c r="Q413" s="29"/>
      <c r="R413" s="28">
        <v>88.8</v>
      </c>
      <c r="S413" s="29"/>
      <c r="T413" s="29"/>
      <c r="U413" s="28">
        <f>ROUND(ROUND(R413, 2)*K413, 2)</f>
        <v>4685.9799999999996</v>
      </c>
      <c r="V413" s="29"/>
      <c r="W413" s="30"/>
    </row>
    <row r="414" spans="1:23" ht="108" x14ac:dyDescent="0.35">
      <c r="A414" s="20" t="s">
        <v>680</v>
      </c>
      <c r="B414" s="20"/>
      <c r="C414" s="25" t="s">
        <v>599</v>
      </c>
      <c r="D414" s="22"/>
      <c r="E414" s="22" t="s">
        <v>681</v>
      </c>
      <c r="F414" s="26" t="s">
        <v>58</v>
      </c>
      <c r="G414" s="27">
        <v>0.3</v>
      </c>
      <c r="H414" s="132"/>
      <c r="I414" s="171"/>
      <c r="J414" s="142"/>
      <c r="K414" s="99">
        <v>105.54</v>
      </c>
      <c r="L414" s="63">
        <v>0</v>
      </c>
      <c r="M414" s="29"/>
      <c r="N414" s="91"/>
      <c r="O414" s="63">
        <f>ROUND(ROUND(L414, 2)*K414, 2)</f>
        <v>0</v>
      </c>
      <c r="P414" s="29"/>
      <c r="Q414" s="29"/>
      <c r="R414" s="28">
        <v>0</v>
      </c>
      <c r="S414" s="29"/>
      <c r="T414" s="29"/>
      <c r="U414" s="28">
        <f>ROUND(ROUND(R414, 2)*K414, 2)</f>
        <v>0</v>
      </c>
      <c r="V414" s="29"/>
      <c r="W414" s="30"/>
    </row>
    <row r="415" spans="1:23" ht="36" x14ac:dyDescent="0.35">
      <c r="A415" s="20" t="s">
        <v>682</v>
      </c>
      <c r="B415" s="20" t="s">
        <v>640</v>
      </c>
      <c r="C415" s="21" t="s">
        <v>641</v>
      </c>
      <c r="D415" s="22"/>
      <c r="E415" s="22" t="s">
        <v>683</v>
      </c>
      <c r="F415" s="22" t="s">
        <v>55</v>
      </c>
      <c r="G415" s="23">
        <v>1</v>
      </c>
      <c r="H415" s="131"/>
      <c r="I415" s="171"/>
      <c r="J415" s="142"/>
      <c r="K415" s="98">
        <v>2020.16</v>
      </c>
      <c r="L415" s="62">
        <f>IFERROR(ROUND(SUM(O416,O417)/K415, 2),0)</f>
        <v>13.32</v>
      </c>
      <c r="M415" s="80">
        <v>428</v>
      </c>
      <c r="N415" s="90">
        <f>L415+ROUND(M415, 2)</f>
        <v>441.32</v>
      </c>
      <c r="O415" s="62">
        <f>ROUND(L415*K415, 2)</f>
        <v>26908.53</v>
      </c>
      <c r="P415" s="24">
        <f>ROUND(K415*ROUND(M415, 2), 2)</f>
        <v>864628.48</v>
      </c>
      <c r="Q415" s="24">
        <f>O415+P415</f>
        <v>891537.01</v>
      </c>
      <c r="R415" s="24">
        <f>IFERROR(ROUND(SUM(U416,U417)/K415, 2),0)</f>
        <v>13.32</v>
      </c>
      <c r="S415" s="24">
        <v>428</v>
      </c>
      <c r="T415" s="24">
        <f>R415+ROUND(S415, 2)</f>
        <v>441.32</v>
      </c>
      <c r="U415" s="24">
        <f>ROUND(R415*K415, 2)</f>
        <v>26908.53</v>
      </c>
      <c r="V415" s="24">
        <f>ROUND(K415*ROUND(S415, 2), 2)</f>
        <v>864628.48</v>
      </c>
      <c r="W415" s="24">
        <f>U415+V415</f>
        <v>891537.01</v>
      </c>
    </row>
    <row r="416" spans="1:23" ht="36" x14ac:dyDescent="0.35">
      <c r="A416" s="20" t="s">
        <v>684</v>
      </c>
      <c r="B416" s="20"/>
      <c r="C416" s="25" t="s">
        <v>235</v>
      </c>
      <c r="D416" s="22"/>
      <c r="E416" s="22"/>
      <c r="F416" s="26" t="s">
        <v>58</v>
      </c>
      <c r="G416" s="27">
        <v>0.15</v>
      </c>
      <c r="H416" s="132"/>
      <c r="I416" s="171"/>
      <c r="J416" s="142"/>
      <c r="K416" s="99">
        <v>303.024</v>
      </c>
      <c r="L416" s="63">
        <v>88.8</v>
      </c>
      <c r="M416" s="29"/>
      <c r="N416" s="91"/>
      <c r="O416" s="63">
        <f>ROUND(ROUND(L416, 2)*K416, 2)</f>
        <v>26908.53</v>
      </c>
      <c r="P416" s="29"/>
      <c r="Q416" s="29"/>
      <c r="R416" s="28">
        <v>88.8</v>
      </c>
      <c r="S416" s="29"/>
      <c r="T416" s="29"/>
      <c r="U416" s="28">
        <f>ROUND(ROUND(R416, 2)*K416, 2)</f>
        <v>26908.53</v>
      </c>
      <c r="V416" s="29"/>
      <c r="W416" s="30"/>
    </row>
    <row r="417" spans="1:23" ht="126" x14ac:dyDescent="0.35">
      <c r="A417" s="20" t="s">
        <v>685</v>
      </c>
      <c r="B417" s="20"/>
      <c r="C417" s="25" t="s">
        <v>607</v>
      </c>
      <c r="D417" s="22"/>
      <c r="E417" s="22" t="s">
        <v>686</v>
      </c>
      <c r="F417" s="26" t="s">
        <v>58</v>
      </c>
      <c r="G417" s="27">
        <v>0.3</v>
      </c>
      <c r="H417" s="132"/>
      <c r="I417" s="171"/>
      <c r="J417" s="142"/>
      <c r="K417" s="99">
        <v>606.048</v>
      </c>
      <c r="L417" s="63">
        <v>0</v>
      </c>
      <c r="M417" s="29"/>
      <c r="N417" s="91"/>
      <c r="O417" s="63">
        <f>ROUND(ROUND(L417, 2)*K417, 2)</f>
        <v>0</v>
      </c>
      <c r="P417" s="29"/>
      <c r="Q417" s="29"/>
      <c r="R417" s="28">
        <v>0</v>
      </c>
      <c r="S417" s="29"/>
      <c r="T417" s="29"/>
      <c r="U417" s="28">
        <f>ROUND(ROUND(R417, 2)*K417, 2)</f>
        <v>0</v>
      </c>
      <c r="V417" s="29"/>
      <c r="W417" s="30"/>
    </row>
    <row r="418" spans="1:23" ht="36" x14ac:dyDescent="0.35">
      <c r="A418" s="20" t="s">
        <v>687</v>
      </c>
      <c r="B418" s="20" t="s">
        <v>640</v>
      </c>
      <c r="C418" s="21" t="s">
        <v>641</v>
      </c>
      <c r="D418" s="22"/>
      <c r="E418" s="22" t="s">
        <v>688</v>
      </c>
      <c r="F418" s="22" t="s">
        <v>55</v>
      </c>
      <c r="G418" s="23">
        <v>1</v>
      </c>
      <c r="H418" s="131"/>
      <c r="I418" s="171"/>
      <c r="J418" s="142"/>
      <c r="K418" s="98">
        <v>141.44999999999999</v>
      </c>
      <c r="L418" s="62">
        <f>IFERROR(ROUND(SUM(O419,O420)/K418, 2),0)</f>
        <v>13.32</v>
      </c>
      <c r="M418" s="80">
        <v>428</v>
      </c>
      <c r="N418" s="90">
        <f>L418+ROUND(M418, 2)</f>
        <v>441.32</v>
      </c>
      <c r="O418" s="62">
        <f>ROUND(L418*K418, 2)</f>
        <v>1884.11</v>
      </c>
      <c r="P418" s="24">
        <f>ROUND(K418*ROUND(M418, 2), 2)</f>
        <v>60540.6</v>
      </c>
      <c r="Q418" s="24">
        <f>O418+P418</f>
        <v>62424.71</v>
      </c>
      <c r="R418" s="24">
        <f>IFERROR(ROUND(SUM(U419,U420)/K418, 2),0)</f>
        <v>13.32</v>
      </c>
      <c r="S418" s="24">
        <v>428</v>
      </c>
      <c r="T418" s="24">
        <f>R418+ROUND(S418, 2)</f>
        <v>441.32</v>
      </c>
      <c r="U418" s="24">
        <f>ROUND(R418*K418, 2)</f>
        <v>1884.11</v>
      </c>
      <c r="V418" s="24">
        <f>ROUND(K418*ROUND(S418, 2), 2)</f>
        <v>60540.6</v>
      </c>
      <c r="W418" s="24">
        <f>U418+V418</f>
        <v>62424.71</v>
      </c>
    </row>
    <row r="419" spans="1:23" ht="36" x14ac:dyDescent="0.35">
      <c r="A419" s="20" t="s">
        <v>689</v>
      </c>
      <c r="B419" s="20"/>
      <c r="C419" s="25" t="s">
        <v>235</v>
      </c>
      <c r="D419" s="22"/>
      <c r="E419" s="22"/>
      <c r="F419" s="26" t="s">
        <v>58</v>
      </c>
      <c r="G419" s="27">
        <v>0.15</v>
      </c>
      <c r="H419" s="132"/>
      <c r="I419" s="171"/>
      <c r="J419" s="142"/>
      <c r="K419" s="99">
        <v>21.218</v>
      </c>
      <c r="L419" s="63">
        <v>88.8</v>
      </c>
      <c r="M419" s="29"/>
      <c r="N419" s="91"/>
      <c r="O419" s="63">
        <f>ROUND(ROUND(L419, 2)*K419, 2)</f>
        <v>1884.16</v>
      </c>
      <c r="P419" s="29"/>
      <c r="Q419" s="29"/>
      <c r="R419" s="28">
        <v>88.8</v>
      </c>
      <c r="S419" s="29"/>
      <c r="T419" s="29"/>
      <c r="U419" s="28">
        <f>ROUND(ROUND(R419, 2)*K419, 2)</f>
        <v>1884.16</v>
      </c>
      <c r="V419" s="29"/>
      <c r="W419" s="30"/>
    </row>
    <row r="420" spans="1:23" ht="108" x14ac:dyDescent="0.35">
      <c r="A420" s="20" t="s">
        <v>690</v>
      </c>
      <c r="B420" s="20"/>
      <c r="C420" s="25" t="s">
        <v>599</v>
      </c>
      <c r="D420" s="22"/>
      <c r="E420" s="22" t="s">
        <v>691</v>
      </c>
      <c r="F420" s="26" t="s">
        <v>58</v>
      </c>
      <c r="G420" s="27">
        <v>0.3</v>
      </c>
      <c r="H420" s="132"/>
      <c r="I420" s="171"/>
      <c r="J420" s="142"/>
      <c r="K420" s="99">
        <v>42.435000000000002</v>
      </c>
      <c r="L420" s="63">
        <v>0</v>
      </c>
      <c r="M420" s="29"/>
      <c r="N420" s="91"/>
      <c r="O420" s="63">
        <f>ROUND(ROUND(L420, 2)*K420, 2)</f>
        <v>0</v>
      </c>
      <c r="P420" s="29"/>
      <c r="Q420" s="29"/>
      <c r="R420" s="28">
        <v>0</v>
      </c>
      <c r="S420" s="29"/>
      <c r="T420" s="29"/>
      <c r="U420" s="28">
        <f>ROUND(ROUND(R420, 2)*K420, 2)</f>
        <v>0</v>
      </c>
      <c r="V420" s="29"/>
      <c r="W420" s="30"/>
    </row>
    <row r="421" spans="1:23" ht="36" x14ac:dyDescent="0.35">
      <c r="A421" s="20" t="s">
        <v>692</v>
      </c>
      <c r="B421" s="20" t="s">
        <v>640</v>
      </c>
      <c r="C421" s="21" t="s">
        <v>641</v>
      </c>
      <c r="D421" s="22"/>
      <c r="E421" s="22" t="s">
        <v>693</v>
      </c>
      <c r="F421" s="22" t="s">
        <v>55</v>
      </c>
      <c r="G421" s="23">
        <v>1</v>
      </c>
      <c r="H421" s="131"/>
      <c r="I421" s="171"/>
      <c r="J421" s="142"/>
      <c r="K421" s="98">
        <v>25.11</v>
      </c>
      <c r="L421" s="62">
        <f>IFERROR(ROUND(SUM(O422,O423)/K421, 2),0)</f>
        <v>13.32</v>
      </c>
      <c r="M421" s="80">
        <v>428</v>
      </c>
      <c r="N421" s="90">
        <f>L421+ROUND(M421, 2)</f>
        <v>441.32</v>
      </c>
      <c r="O421" s="62">
        <f>ROUND(L421*K421, 2)</f>
        <v>334.47</v>
      </c>
      <c r="P421" s="24">
        <f>ROUND(K421*ROUND(M421, 2), 2)</f>
        <v>10747.08</v>
      </c>
      <c r="Q421" s="24">
        <f>O421+P421</f>
        <v>11081.55</v>
      </c>
      <c r="R421" s="24">
        <f>IFERROR(ROUND(SUM(U422,U423)/K421, 2),0)</f>
        <v>13.32</v>
      </c>
      <c r="S421" s="24">
        <v>428</v>
      </c>
      <c r="T421" s="24">
        <f>R421+ROUND(S421, 2)</f>
        <v>441.32</v>
      </c>
      <c r="U421" s="24">
        <f>ROUND(R421*K421, 2)</f>
        <v>334.47</v>
      </c>
      <c r="V421" s="24">
        <f>ROUND(K421*ROUND(S421, 2), 2)</f>
        <v>10747.08</v>
      </c>
      <c r="W421" s="24">
        <f>U421+V421</f>
        <v>11081.55</v>
      </c>
    </row>
    <row r="422" spans="1:23" ht="36" x14ac:dyDescent="0.35">
      <c r="A422" s="20" t="s">
        <v>694</v>
      </c>
      <c r="B422" s="20"/>
      <c r="C422" s="25" t="s">
        <v>235</v>
      </c>
      <c r="D422" s="22"/>
      <c r="E422" s="22"/>
      <c r="F422" s="26" t="s">
        <v>58</v>
      </c>
      <c r="G422" s="27">
        <v>0.15</v>
      </c>
      <c r="H422" s="132"/>
      <c r="I422" s="171"/>
      <c r="J422" s="142"/>
      <c r="K422" s="99">
        <v>3.7669999999999999</v>
      </c>
      <c r="L422" s="63">
        <v>88.8</v>
      </c>
      <c r="M422" s="29"/>
      <c r="N422" s="91"/>
      <c r="O422" s="63">
        <f>ROUND(ROUND(L422, 2)*K422, 2)</f>
        <v>334.51</v>
      </c>
      <c r="P422" s="29"/>
      <c r="Q422" s="29"/>
      <c r="R422" s="28">
        <v>88.8</v>
      </c>
      <c r="S422" s="29"/>
      <c r="T422" s="29"/>
      <c r="U422" s="28">
        <f>ROUND(ROUND(R422, 2)*K422, 2)</f>
        <v>334.51</v>
      </c>
      <c r="V422" s="29"/>
      <c r="W422" s="30"/>
    </row>
    <row r="423" spans="1:23" ht="108" x14ac:dyDescent="0.35">
      <c r="A423" s="20" t="s">
        <v>695</v>
      </c>
      <c r="B423" s="20"/>
      <c r="C423" s="25" t="s">
        <v>599</v>
      </c>
      <c r="D423" s="22"/>
      <c r="E423" s="22" t="s">
        <v>696</v>
      </c>
      <c r="F423" s="26" t="s">
        <v>58</v>
      </c>
      <c r="G423" s="27">
        <v>0.3</v>
      </c>
      <c r="H423" s="132"/>
      <c r="I423" s="171"/>
      <c r="J423" s="142"/>
      <c r="K423" s="99">
        <v>7.5330000000000004</v>
      </c>
      <c r="L423" s="63">
        <v>0</v>
      </c>
      <c r="M423" s="29"/>
      <c r="N423" s="91"/>
      <c r="O423" s="63">
        <f>ROUND(ROUND(L423, 2)*K423, 2)</f>
        <v>0</v>
      </c>
      <c r="P423" s="29"/>
      <c r="Q423" s="29"/>
      <c r="R423" s="28">
        <v>0</v>
      </c>
      <c r="S423" s="29"/>
      <c r="T423" s="29"/>
      <c r="U423" s="28">
        <f>ROUND(ROUND(R423, 2)*K423, 2)</f>
        <v>0</v>
      </c>
      <c r="V423" s="29"/>
      <c r="W423" s="30"/>
    </row>
    <row r="424" spans="1:23" ht="36" x14ac:dyDescent="0.35">
      <c r="A424" s="20" t="s">
        <v>697</v>
      </c>
      <c r="B424" s="20" t="s">
        <v>640</v>
      </c>
      <c r="C424" s="21" t="s">
        <v>641</v>
      </c>
      <c r="D424" s="22"/>
      <c r="E424" s="22" t="s">
        <v>698</v>
      </c>
      <c r="F424" s="22" t="s">
        <v>55</v>
      </c>
      <c r="G424" s="23">
        <v>1</v>
      </c>
      <c r="H424" s="131"/>
      <c r="I424" s="171"/>
      <c r="J424" s="142"/>
      <c r="K424" s="98">
        <v>4509.45</v>
      </c>
      <c r="L424" s="62">
        <f>IFERROR(ROUND(SUM(O425,O426)/K424, 2),0)</f>
        <v>13.32</v>
      </c>
      <c r="M424" s="80">
        <v>428</v>
      </c>
      <c r="N424" s="90">
        <f>L424+ROUND(M424, 2)</f>
        <v>441.32</v>
      </c>
      <c r="O424" s="62">
        <f>ROUND(L424*K424, 2)</f>
        <v>60065.87</v>
      </c>
      <c r="P424" s="24">
        <f>ROUND(K424*ROUND(M424, 2), 2)</f>
        <v>1930044.6</v>
      </c>
      <c r="Q424" s="24">
        <f>O424+P424</f>
        <v>1990110.4700000002</v>
      </c>
      <c r="R424" s="24">
        <f>IFERROR(ROUND(SUM(U425,U426)/K424, 2),0)</f>
        <v>13.32</v>
      </c>
      <c r="S424" s="24">
        <v>428</v>
      </c>
      <c r="T424" s="24">
        <f>R424+ROUND(S424, 2)</f>
        <v>441.32</v>
      </c>
      <c r="U424" s="24">
        <f>ROUND(R424*K424, 2)</f>
        <v>60065.87</v>
      </c>
      <c r="V424" s="24">
        <f>ROUND(K424*ROUND(S424, 2), 2)</f>
        <v>1930044.6</v>
      </c>
      <c r="W424" s="24">
        <f>U424+V424</f>
        <v>1990110.4700000002</v>
      </c>
    </row>
    <row r="425" spans="1:23" ht="36" x14ac:dyDescent="0.35">
      <c r="A425" s="20" t="s">
        <v>699</v>
      </c>
      <c r="B425" s="20"/>
      <c r="C425" s="25" t="s">
        <v>235</v>
      </c>
      <c r="D425" s="22"/>
      <c r="E425" s="22"/>
      <c r="F425" s="26" t="s">
        <v>58</v>
      </c>
      <c r="G425" s="27">
        <v>0.15</v>
      </c>
      <c r="H425" s="132"/>
      <c r="I425" s="171"/>
      <c r="J425" s="142"/>
      <c r="K425" s="99">
        <v>676.41800000000001</v>
      </c>
      <c r="L425" s="63">
        <v>88.8</v>
      </c>
      <c r="M425" s="29"/>
      <c r="N425" s="91"/>
      <c r="O425" s="63">
        <f>ROUND(ROUND(L425, 2)*K425, 2)</f>
        <v>60065.919999999998</v>
      </c>
      <c r="P425" s="29"/>
      <c r="Q425" s="29"/>
      <c r="R425" s="28">
        <v>88.8</v>
      </c>
      <c r="S425" s="29"/>
      <c r="T425" s="29"/>
      <c r="U425" s="28">
        <f>ROUND(ROUND(R425, 2)*K425, 2)</f>
        <v>60065.919999999998</v>
      </c>
      <c r="V425" s="29"/>
      <c r="W425" s="30"/>
    </row>
    <row r="426" spans="1:23" ht="108" x14ac:dyDescent="0.35">
      <c r="A426" s="20" t="s">
        <v>700</v>
      </c>
      <c r="B426" s="20"/>
      <c r="C426" s="25" t="s">
        <v>644</v>
      </c>
      <c r="D426" s="22"/>
      <c r="E426" s="22" t="s">
        <v>645</v>
      </c>
      <c r="F426" s="26" t="s">
        <v>58</v>
      </c>
      <c r="G426" s="27">
        <v>0.3</v>
      </c>
      <c r="H426" s="132"/>
      <c r="I426" s="171"/>
      <c r="J426" s="142"/>
      <c r="K426" s="99">
        <v>1352.835</v>
      </c>
      <c r="L426" s="63">
        <v>0</v>
      </c>
      <c r="M426" s="29"/>
      <c r="N426" s="91"/>
      <c r="O426" s="63">
        <f>ROUND(ROUND(L426, 2)*K426, 2)</f>
        <v>0</v>
      </c>
      <c r="P426" s="29"/>
      <c r="Q426" s="29"/>
      <c r="R426" s="28">
        <v>0</v>
      </c>
      <c r="S426" s="29"/>
      <c r="T426" s="29"/>
      <c r="U426" s="28">
        <f>ROUND(ROUND(R426, 2)*K426, 2)</f>
        <v>0</v>
      </c>
      <c r="V426" s="29"/>
      <c r="W426" s="30"/>
    </row>
    <row r="427" spans="1:23" ht="36" x14ac:dyDescent="0.35">
      <c r="A427" s="20" t="s">
        <v>701</v>
      </c>
      <c r="B427" s="20" t="s">
        <v>640</v>
      </c>
      <c r="C427" s="21" t="s">
        <v>641</v>
      </c>
      <c r="D427" s="22"/>
      <c r="E427" s="22" t="s">
        <v>702</v>
      </c>
      <c r="F427" s="22" t="s">
        <v>55</v>
      </c>
      <c r="G427" s="23">
        <v>1</v>
      </c>
      <c r="H427" s="131"/>
      <c r="I427" s="171"/>
      <c r="J427" s="142"/>
      <c r="K427" s="98">
        <v>8.64</v>
      </c>
      <c r="L427" s="62">
        <f>IFERROR(ROUND(SUM(O428,O429)/K427, 2),0)</f>
        <v>13.32</v>
      </c>
      <c r="M427" s="80">
        <v>428</v>
      </c>
      <c r="N427" s="90">
        <f>L427+ROUND(M427, 2)</f>
        <v>441.32</v>
      </c>
      <c r="O427" s="62">
        <f>ROUND(L427*K427, 2)</f>
        <v>115.08</v>
      </c>
      <c r="P427" s="24">
        <f>ROUND(K427*ROUND(M427, 2), 2)</f>
        <v>3697.92</v>
      </c>
      <c r="Q427" s="24">
        <f>O427+P427</f>
        <v>3813</v>
      </c>
      <c r="R427" s="24">
        <f>IFERROR(ROUND(SUM(U428,U429)/K427, 2),0)</f>
        <v>13.32</v>
      </c>
      <c r="S427" s="24">
        <v>428</v>
      </c>
      <c r="T427" s="24">
        <f>R427+ROUND(S427, 2)</f>
        <v>441.32</v>
      </c>
      <c r="U427" s="24">
        <f>ROUND(R427*K427, 2)</f>
        <v>115.08</v>
      </c>
      <c r="V427" s="24">
        <f>ROUND(K427*ROUND(S427, 2), 2)</f>
        <v>3697.92</v>
      </c>
      <c r="W427" s="24">
        <f>U427+V427</f>
        <v>3813</v>
      </c>
    </row>
    <row r="428" spans="1:23" ht="36" x14ac:dyDescent="0.35">
      <c r="A428" s="20" t="s">
        <v>703</v>
      </c>
      <c r="B428" s="20"/>
      <c r="C428" s="25" t="s">
        <v>235</v>
      </c>
      <c r="D428" s="22"/>
      <c r="E428" s="22"/>
      <c r="F428" s="26" t="s">
        <v>58</v>
      </c>
      <c r="G428" s="27">
        <v>0.15</v>
      </c>
      <c r="H428" s="132"/>
      <c r="I428" s="171"/>
      <c r="J428" s="142"/>
      <c r="K428" s="99">
        <v>1.296</v>
      </c>
      <c r="L428" s="63">
        <v>88.8</v>
      </c>
      <c r="M428" s="29"/>
      <c r="N428" s="91"/>
      <c r="O428" s="63">
        <f>ROUND(ROUND(L428, 2)*K428, 2)</f>
        <v>115.08</v>
      </c>
      <c r="P428" s="29"/>
      <c r="Q428" s="29"/>
      <c r="R428" s="28">
        <v>88.8</v>
      </c>
      <c r="S428" s="29"/>
      <c r="T428" s="29"/>
      <c r="U428" s="28">
        <f>ROUND(ROUND(R428, 2)*K428, 2)</f>
        <v>115.08</v>
      </c>
      <c r="V428" s="29"/>
      <c r="W428" s="30"/>
    </row>
    <row r="429" spans="1:23" ht="108" x14ac:dyDescent="0.35">
      <c r="A429" s="20" t="s">
        <v>704</v>
      </c>
      <c r="B429" s="20"/>
      <c r="C429" s="25" t="s">
        <v>599</v>
      </c>
      <c r="D429" s="22"/>
      <c r="E429" s="22" t="s">
        <v>651</v>
      </c>
      <c r="F429" s="26" t="s">
        <v>58</v>
      </c>
      <c r="G429" s="27">
        <v>0.3</v>
      </c>
      <c r="H429" s="132"/>
      <c r="I429" s="171"/>
      <c r="J429" s="142"/>
      <c r="K429" s="99">
        <v>2.5920000000000001</v>
      </c>
      <c r="L429" s="63">
        <v>0</v>
      </c>
      <c r="M429" s="29"/>
      <c r="N429" s="91"/>
      <c r="O429" s="63">
        <f>ROUND(ROUND(L429, 2)*K429, 2)</f>
        <v>0</v>
      </c>
      <c r="P429" s="29"/>
      <c r="Q429" s="29"/>
      <c r="R429" s="28">
        <v>0</v>
      </c>
      <c r="S429" s="29"/>
      <c r="T429" s="29"/>
      <c r="U429" s="28">
        <f>ROUND(ROUND(R429, 2)*K429, 2)</f>
        <v>0</v>
      </c>
      <c r="V429" s="29"/>
      <c r="W429" s="30"/>
    </row>
    <row r="430" spans="1:23" ht="36" x14ac:dyDescent="0.35">
      <c r="A430" s="20" t="s">
        <v>705</v>
      </c>
      <c r="B430" s="20" t="s">
        <v>640</v>
      </c>
      <c r="C430" s="21" t="s">
        <v>641</v>
      </c>
      <c r="D430" s="22"/>
      <c r="E430" s="22" t="s">
        <v>706</v>
      </c>
      <c r="F430" s="22" t="s">
        <v>55</v>
      </c>
      <c r="G430" s="23">
        <v>1</v>
      </c>
      <c r="H430" s="131"/>
      <c r="I430" s="171"/>
      <c r="J430" s="142"/>
      <c r="K430" s="98">
        <v>34.68</v>
      </c>
      <c r="L430" s="62">
        <f>IFERROR(ROUND(SUM(O431,O432)/K430, 2),0)</f>
        <v>13.32</v>
      </c>
      <c r="M430" s="80">
        <v>428</v>
      </c>
      <c r="N430" s="90">
        <f>L430+ROUND(M430, 2)</f>
        <v>441.32</v>
      </c>
      <c r="O430" s="62">
        <f>ROUND(L430*K430, 2)</f>
        <v>461.94</v>
      </c>
      <c r="P430" s="24">
        <f>ROUND(K430*ROUND(M430, 2), 2)</f>
        <v>14843.04</v>
      </c>
      <c r="Q430" s="24">
        <f>O430+P430</f>
        <v>15304.980000000001</v>
      </c>
      <c r="R430" s="24">
        <f>IFERROR(ROUND(SUM(U431,U432)/K430, 2),0)</f>
        <v>13.32</v>
      </c>
      <c r="S430" s="24">
        <v>428</v>
      </c>
      <c r="T430" s="24">
        <f>R430+ROUND(S430, 2)</f>
        <v>441.32</v>
      </c>
      <c r="U430" s="24">
        <f>ROUND(R430*K430, 2)</f>
        <v>461.94</v>
      </c>
      <c r="V430" s="24">
        <f>ROUND(K430*ROUND(S430, 2), 2)</f>
        <v>14843.04</v>
      </c>
      <c r="W430" s="24">
        <f>U430+V430</f>
        <v>15304.980000000001</v>
      </c>
    </row>
    <row r="431" spans="1:23" ht="36" x14ac:dyDescent="0.35">
      <c r="A431" s="20" t="s">
        <v>707</v>
      </c>
      <c r="B431" s="20"/>
      <c r="C431" s="25" t="s">
        <v>235</v>
      </c>
      <c r="D431" s="22"/>
      <c r="E431" s="22"/>
      <c r="F431" s="26" t="s">
        <v>58</v>
      </c>
      <c r="G431" s="27">
        <v>0.15</v>
      </c>
      <c r="H431" s="132"/>
      <c r="I431" s="171"/>
      <c r="J431" s="142"/>
      <c r="K431" s="99">
        <v>5.202</v>
      </c>
      <c r="L431" s="63">
        <v>88.8</v>
      </c>
      <c r="M431" s="29"/>
      <c r="N431" s="91"/>
      <c r="O431" s="63">
        <f>ROUND(ROUND(L431, 2)*K431, 2)</f>
        <v>461.94</v>
      </c>
      <c r="P431" s="29"/>
      <c r="Q431" s="29"/>
      <c r="R431" s="28">
        <v>88.8</v>
      </c>
      <c r="S431" s="29"/>
      <c r="T431" s="29"/>
      <c r="U431" s="28">
        <f>ROUND(ROUND(R431, 2)*K431, 2)</f>
        <v>461.94</v>
      </c>
      <c r="V431" s="29"/>
      <c r="W431" s="30"/>
    </row>
    <row r="432" spans="1:23" ht="108" x14ac:dyDescent="0.35">
      <c r="A432" s="20" t="s">
        <v>708</v>
      </c>
      <c r="B432" s="20"/>
      <c r="C432" s="25" t="s">
        <v>599</v>
      </c>
      <c r="D432" s="22"/>
      <c r="E432" s="22" t="s">
        <v>656</v>
      </c>
      <c r="F432" s="26" t="s">
        <v>58</v>
      </c>
      <c r="G432" s="27">
        <v>0.3</v>
      </c>
      <c r="H432" s="132"/>
      <c r="I432" s="171"/>
      <c r="J432" s="142"/>
      <c r="K432" s="99">
        <v>10.404</v>
      </c>
      <c r="L432" s="63">
        <v>0</v>
      </c>
      <c r="M432" s="29"/>
      <c r="N432" s="91"/>
      <c r="O432" s="63">
        <f>ROUND(ROUND(L432, 2)*K432, 2)</f>
        <v>0</v>
      </c>
      <c r="P432" s="29"/>
      <c r="Q432" s="29"/>
      <c r="R432" s="28">
        <v>0</v>
      </c>
      <c r="S432" s="29"/>
      <c r="T432" s="29"/>
      <c r="U432" s="28">
        <f>ROUND(ROUND(R432, 2)*K432, 2)</f>
        <v>0</v>
      </c>
      <c r="V432" s="29"/>
      <c r="W432" s="30"/>
    </row>
    <row r="433" spans="1:23" ht="36" x14ac:dyDescent="0.35">
      <c r="A433" s="20" t="s">
        <v>709</v>
      </c>
      <c r="B433" s="20" t="s">
        <v>640</v>
      </c>
      <c r="C433" s="21" t="s">
        <v>641</v>
      </c>
      <c r="D433" s="22"/>
      <c r="E433" s="22" t="s">
        <v>710</v>
      </c>
      <c r="F433" s="22" t="s">
        <v>55</v>
      </c>
      <c r="G433" s="23">
        <v>1</v>
      </c>
      <c r="H433" s="131"/>
      <c r="I433" s="171"/>
      <c r="J433" s="142"/>
      <c r="K433" s="98">
        <v>24.37</v>
      </c>
      <c r="L433" s="62">
        <f>IFERROR(ROUND(SUM(O434,O435)/K433, 2),0)</f>
        <v>13.32</v>
      </c>
      <c r="M433" s="80">
        <v>428</v>
      </c>
      <c r="N433" s="90">
        <f>L433+ROUND(M433, 2)</f>
        <v>441.32</v>
      </c>
      <c r="O433" s="62">
        <f>ROUND(L433*K433, 2)</f>
        <v>324.61</v>
      </c>
      <c r="P433" s="24">
        <f>ROUND(K433*ROUND(M433, 2), 2)</f>
        <v>10430.36</v>
      </c>
      <c r="Q433" s="24">
        <f>O433+P433</f>
        <v>10754.970000000001</v>
      </c>
      <c r="R433" s="24">
        <f>IFERROR(ROUND(SUM(U434,U435)/K433, 2),0)</f>
        <v>13.32</v>
      </c>
      <c r="S433" s="24">
        <v>428</v>
      </c>
      <c r="T433" s="24">
        <f>R433+ROUND(S433, 2)</f>
        <v>441.32</v>
      </c>
      <c r="U433" s="24">
        <f>ROUND(R433*K433, 2)</f>
        <v>324.61</v>
      </c>
      <c r="V433" s="24">
        <f>ROUND(K433*ROUND(S433, 2), 2)</f>
        <v>10430.36</v>
      </c>
      <c r="W433" s="24">
        <f>U433+V433</f>
        <v>10754.970000000001</v>
      </c>
    </row>
    <row r="434" spans="1:23" ht="36" x14ac:dyDescent="0.35">
      <c r="A434" s="20" t="s">
        <v>711</v>
      </c>
      <c r="B434" s="20"/>
      <c r="C434" s="25" t="s">
        <v>235</v>
      </c>
      <c r="D434" s="22"/>
      <c r="E434" s="22"/>
      <c r="F434" s="26" t="s">
        <v>58</v>
      </c>
      <c r="G434" s="27">
        <v>0.15</v>
      </c>
      <c r="H434" s="132"/>
      <c r="I434" s="171"/>
      <c r="J434" s="142"/>
      <c r="K434" s="99">
        <v>3.6560000000000001</v>
      </c>
      <c r="L434" s="63">
        <v>88.8</v>
      </c>
      <c r="M434" s="29"/>
      <c r="N434" s="91"/>
      <c r="O434" s="63">
        <f>ROUND(ROUND(L434, 2)*K434, 2)</f>
        <v>324.64999999999998</v>
      </c>
      <c r="P434" s="29"/>
      <c r="Q434" s="29"/>
      <c r="R434" s="28">
        <v>88.8</v>
      </c>
      <c r="S434" s="29"/>
      <c r="T434" s="29"/>
      <c r="U434" s="28">
        <f>ROUND(ROUND(R434, 2)*K434, 2)</f>
        <v>324.64999999999998</v>
      </c>
      <c r="V434" s="29"/>
      <c r="W434" s="30"/>
    </row>
    <row r="435" spans="1:23" ht="108" x14ac:dyDescent="0.35">
      <c r="A435" s="20" t="s">
        <v>712</v>
      </c>
      <c r="B435" s="20"/>
      <c r="C435" s="25" t="s">
        <v>599</v>
      </c>
      <c r="D435" s="22"/>
      <c r="E435" s="22" t="s">
        <v>661</v>
      </c>
      <c r="F435" s="26" t="s">
        <v>58</v>
      </c>
      <c r="G435" s="27">
        <v>0.3</v>
      </c>
      <c r="H435" s="132"/>
      <c r="I435" s="171"/>
      <c r="J435" s="142"/>
      <c r="K435" s="99">
        <v>7.3109999999999999</v>
      </c>
      <c r="L435" s="63">
        <v>0</v>
      </c>
      <c r="M435" s="29"/>
      <c r="N435" s="91"/>
      <c r="O435" s="63">
        <f>ROUND(ROUND(L435, 2)*K435, 2)</f>
        <v>0</v>
      </c>
      <c r="P435" s="29"/>
      <c r="Q435" s="29"/>
      <c r="R435" s="28">
        <v>0</v>
      </c>
      <c r="S435" s="29"/>
      <c r="T435" s="29"/>
      <c r="U435" s="28">
        <f>ROUND(ROUND(R435, 2)*K435, 2)</f>
        <v>0</v>
      </c>
      <c r="V435" s="29"/>
      <c r="W435" s="30"/>
    </row>
    <row r="436" spans="1:23" ht="36" x14ac:dyDescent="0.35">
      <c r="A436" s="20" t="s">
        <v>713</v>
      </c>
      <c r="B436" s="20" t="s">
        <v>640</v>
      </c>
      <c r="C436" s="21" t="s">
        <v>641</v>
      </c>
      <c r="D436" s="22"/>
      <c r="E436" s="22" t="s">
        <v>714</v>
      </c>
      <c r="F436" s="22" t="s">
        <v>55</v>
      </c>
      <c r="G436" s="23">
        <v>1</v>
      </c>
      <c r="H436" s="131"/>
      <c r="I436" s="171"/>
      <c r="J436" s="142"/>
      <c r="K436" s="98">
        <v>4.95</v>
      </c>
      <c r="L436" s="62">
        <f>IFERROR(ROUND(SUM(O437,O438)/K436, 2),0)</f>
        <v>13.33</v>
      </c>
      <c r="M436" s="80">
        <v>428</v>
      </c>
      <c r="N436" s="90">
        <f>L436+ROUND(M436, 2)</f>
        <v>441.33</v>
      </c>
      <c r="O436" s="62">
        <f>ROUND(L436*K436, 2)</f>
        <v>65.98</v>
      </c>
      <c r="P436" s="24">
        <f>ROUND(K436*ROUND(M436, 2), 2)</f>
        <v>2118.6</v>
      </c>
      <c r="Q436" s="24">
        <f>O436+P436</f>
        <v>2184.58</v>
      </c>
      <c r="R436" s="24">
        <f>IFERROR(ROUND(SUM(U437,U438)/K436, 2),0)</f>
        <v>13.33</v>
      </c>
      <c r="S436" s="24">
        <v>428</v>
      </c>
      <c r="T436" s="24">
        <f>R436+ROUND(S436, 2)</f>
        <v>441.33</v>
      </c>
      <c r="U436" s="24">
        <f>ROUND(R436*K436, 2)</f>
        <v>65.98</v>
      </c>
      <c r="V436" s="24">
        <f>ROUND(K436*ROUND(S436, 2), 2)</f>
        <v>2118.6</v>
      </c>
      <c r="W436" s="24">
        <f>U436+V436</f>
        <v>2184.58</v>
      </c>
    </row>
    <row r="437" spans="1:23" ht="36" x14ac:dyDescent="0.35">
      <c r="A437" s="20" t="s">
        <v>715</v>
      </c>
      <c r="B437" s="20"/>
      <c r="C437" s="25" t="s">
        <v>235</v>
      </c>
      <c r="D437" s="22"/>
      <c r="E437" s="22"/>
      <c r="F437" s="26" t="s">
        <v>58</v>
      </c>
      <c r="G437" s="27">
        <v>0.15</v>
      </c>
      <c r="H437" s="132"/>
      <c r="I437" s="171"/>
      <c r="J437" s="142"/>
      <c r="K437" s="99">
        <v>0.74299999999999999</v>
      </c>
      <c r="L437" s="63">
        <v>88.8</v>
      </c>
      <c r="M437" s="29"/>
      <c r="N437" s="91"/>
      <c r="O437" s="63">
        <f>ROUND(ROUND(L437, 2)*K437, 2)</f>
        <v>65.98</v>
      </c>
      <c r="P437" s="29"/>
      <c r="Q437" s="29"/>
      <c r="R437" s="28">
        <v>88.8</v>
      </c>
      <c r="S437" s="29"/>
      <c r="T437" s="29"/>
      <c r="U437" s="28">
        <f>ROUND(ROUND(R437, 2)*K437, 2)</f>
        <v>65.98</v>
      </c>
      <c r="V437" s="29"/>
      <c r="W437" s="30"/>
    </row>
    <row r="438" spans="1:23" ht="108" x14ac:dyDescent="0.35">
      <c r="A438" s="20" t="s">
        <v>716</v>
      </c>
      <c r="B438" s="20"/>
      <c r="C438" s="25" t="s">
        <v>599</v>
      </c>
      <c r="D438" s="22"/>
      <c r="E438" s="22" t="s">
        <v>666</v>
      </c>
      <c r="F438" s="26" t="s">
        <v>58</v>
      </c>
      <c r="G438" s="27">
        <v>0.3</v>
      </c>
      <c r="H438" s="132"/>
      <c r="I438" s="171"/>
      <c r="J438" s="142"/>
      <c r="K438" s="99">
        <v>1.4850000000000001</v>
      </c>
      <c r="L438" s="63">
        <v>0</v>
      </c>
      <c r="M438" s="29"/>
      <c r="N438" s="91"/>
      <c r="O438" s="63">
        <f>ROUND(ROUND(L438, 2)*K438, 2)</f>
        <v>0</v>
      </c>
      <c r="P438" s="29"/>
      <c r="Q438" s="29"/>
      <c r="R438" s="28">
        <v>0</v>
      </c>
      <c r="S438" s="29"/>
      <c r="T438" s="29"/>
      <c r="U438" s="28">
        <f>ROUND(ROUND(R438, 2)*K438, 2)</f>
        <v>0</v>
      </c>
      <c r="V438" s="29"/>
      <c r="W438" s="30"/>
    </row>
    <row r="439" spans="1:23" ht="36" x14ac:dyDescent="0.35">
      <c r="A439" s="20" t="s">
        <v>717</v>
      </c>
      <c r="B439" s="20" t="s">
        <v>640</v>
      </c>
      <c r="C439" s="21" t="s">
        <v>641</v>
      </c>
      <c r="D439" s="22"/>
      <c r="E439" s="22" t="s">
        <v>718</v>
      </c>
      <c r="F439" s="22" t="s">
        <v>55</v>
      </c>
      <c r="G439" s="23">
        <v>1</v>
      </c>
      <c r="H439" s="131"/>
      <c r="I439" s="171"/>
      <c r="J439" s="142"/>
      <c r="K439" s="98">
        <v>11.73</v>
      </c>
      <c r="L439" s="62">
        <f>IFERROR(ROUND(SUM(O440,O441)/K439, 2),0)</f>
        <v>13.32</v>
      </c>
      <c r="M439" s="80">
        <v>428</v>
      </c>
      <c r="N439" s="90">
        <f>L439+ROUND(M439, 2)</f>
        <v>441.32</v>
      </c>
      <c r="O439" s="62">
        <f>ROUND(L439*K439, 2)</f>
        <v>156.24</v>
      </c>
      <c r="P439" s="24">
        <f>ROUND(K439*ROUND(M439, 2), 2)</f>
        <v>5020.4399999999996</v>
      </c>
      <c r="Q439" s="24">
        <f>O439+P439</f>
        <v>5176.6799999999994</v>
      </c>
      <c r="R439" s="24">
        <f>IFERROR(ROUND(SUM(U440,U441)/K439, 2),0)</f>
        <v>13.32</v>
      </c>
      <c r="S439" s="24">
        <v>428</v>
      </c>
      <c r="T439" s="24">
        <f>R439+ROUND(S439, 2)</f>
        <v>441.32</v>
      </c>
      <c r="U439" s="24">
        <f>ROUND(R439*K439, 2)</f>
        <v>156.24</v>
      </c>
      <c r="V439" s="24">
        <f>ROUND(K439*ROUND(S439, 2), 2)</f>
        <v>5020.4399999999996</v>
      </c>
      <c r="W439" s="24">
        <f>U439+V439</f>
        <v>5176.6799999999994</v>
      </c>
    </row>
    <row r="440" spans="1:23" ht="36" x14ac:dyDescent="0.35">
      <c r="A440" s="20" t="s">
        <v>719</v>
      </c>
      <c r="B440" s="20"/>
      <c r="C440" s="25" t="s">
        <v>235</v>
      </c>
      <c r="D440" s="22"/>
      <c r="E440" s="22"/>
      <c r="F440" s="26" t="s">
        <v>58</v>
      </c>
      <c r="G440" s="27">
        <v>0.15</v>
      </c>
      <c r="H440" s="132"/>
      <c r="I440" s="171"/>
      <c r="J440" s="142"/>
      <c r="K440" s="99">
        <v>1.76</v>
      </c>
      <c r="L440" s="63">
        <v>88.8</v>
      </c>
      <c r="M440" s="29"/>
      <c r="N440" s="91"/>
      <c r="O440" s="63">
        <f>ROUND(ROUND(L440, 2)*K440, 2)</f>
        <v>156.29</v>
      </c>
      <c r="P440" s="29"/>
      <c r="Q440" s="29"/>
      <c r="R440" s="28">
        <v>88.8</v>
      </c>
      <c r="S440" s="29"/>
      <c r="T440" s="29"/>
      <c r="U440" s="28">
        <f>ROUND(ROUND(R440, 2)*K440, 2)</f>
        <v>156.29</v>
      </c>
      <c r="V440" s="29"/>
      <c r="W440" s="30"/>
    </row>
    <row r="441" spans="1:23" ht="108" x14ac:dyDescent="0.35">
      <c r="A441" s="20" t="s">
        <v>720</v>
      </c>
      <c r="B441" s="20"/>
      <c r="C441" s="25" t="s">
        <v>599</v>
      </c>
      <c r="D441" s="22"/>
      <c r="E441" s="22" t="s">
        <v>671</v>
      </c>
      <c r="F441" s="26" t="s">
        <v>58</v>
      </c>
      <c r="G441" s="27">
        <v>0.3</v>
      </c>
      <c r="H441" s="132"/>
      <c r="I441" s="171"/>
      <c r="J441" s="142"/>
      <c r="K441" s="99">
        <v>3.5190000000000001</v>
      </c>
      <c r="L441" s="63">
        <v>0</v>
      </c>
      <c r="M441" s="29"/>
      <c r="N441" s="91"/>
      <c r="O441" s="63">
        <f>ROUND(ROUND(L441, 2)*K441, 2)</f>
        <v>0</v>
      </c>
      <c r="P441" s="29"/>
      <c r="Q441" s="29"/>
      <c r="R441" s="28">
        <v>0</v>
      </c>
      <c r="S441" s="29"/>
      <c r="T441" s="29"/>
      <c r="U441" s="28">
        <f>ROUND(ROUND(R441, 2)*K441, 2)</f>
        <v>0</v>
      </c>
      <c r="V441" s="29"/>
      <c r="W441" s="30"/>
    </row>
    <row r="442" spans="1:23" ht="36" x14ac:dyDescent="0.35">
      <c r="A442" s="20" t="s">
        <v>721</v>
      </c>
      <c r="B442" s="20" t="s">
        <v>640</v>
      </c>
      <c r="C442" s="21" t="s">
        <v>641</v>
      </c>
      <c r="D442" s="22"/>
      <c r="E442" s="22" t="s">
        <v>722</v>
      </c>
      <c r="F442" s="22" t="s">
        <v>55</v>
      </c>
      <c r="G442" s="23">
        <v>1</v>
      </c>
      <c r="H442" s="131"/>
      <c r="I442" s="171"/>
      <c r="J442" s="142"/>
      <c r="K442" s="98">
        <v>18.63</v>
      </c>
      <c r="L442" s="62">
        <f>IFERROR(ROUND(SUM(O443,O444)/K442, 2),0)</f>
        <v>13.32</v>
      </c>
      <c r="M442" s="80">
        <v>428</v>
      </c>
      <c r="N442" s="90">
        <f>L442+ROUND(M442, 2)</f>
        <v>441.32</v>
      </c>
      <c r="O442" s="62">
        <f>ROUND(L442*K442, 2)</f>
        <v>248.15</v>
      </c>
      <c r="P442" s="24">
        <f>ROUND(K442*ROUND(M442, 2), 2)</f>
        <v>7973.64</v>
      </c>
      <c r="Q442" s="24">
        <f>O442+P442</f>
        <v>8221.7900000000009</v>
      </c>
      <c r="R442" s="24">
        <f>IFERROR(ROUND(SUM(U443,U444)/K442, 2),0)</f>
        <v>13.32</v>
      </c>
      <c r="S442" s="24">
        <v>428</v>
      </c>
      <c r="T442" s="24">
        <f>R442+ROUND(S442, 2)</f>
        <v>441.32</v>
      </c>
      <c r="U442" s="24">
        <f>ROUND(R442*K442, 2)</f>
        <v>248.15</v>
      </c>
      <c r="V442" s="24">
        <f>ROUND(K442*ROUND(S442, 2), 2)</f>
        <v>7973.64</v>
      </c>
      <c r="W442" s="24">
        <f>U442+V442</f>
        <v>8221.7900000000009</v>
      </c>
    </row>
    <row r="443" spans="1:23" ht="36" x14ac:dyDescent="0.35">
      <c r="A443" s="20" t="s">
        <v>723</v>
      </c>
      <c r="B443" s="20"/>
      <c r="C443" s="25" t="s">
        <v>235</v>
      </c>
      <c r="D443" s="22"/>
      <c r="E443" s="22"/>
      <c r="F443" s="26" t="s">
        <v>58</v>
      </c>
      <c r="G443" s="27">
        <v>0.15</v>
      </c>
      <c r="H443" s="132"/>
      <c r="I443" s="171"/>
      <c r="J443" s="142"/>
      <c r="K443" s="99">
        <v>2.7949999999999999</v>
      </c>
      <c r="L443" s="63">
        <v>88.8</v>
      </c>
      <c r="M443" s="29"/>
      <c r="N443" s="91"/>
      <c r="O443" s="63">
        <f>ROUND(ROUND(L443, 2)*K443, 2)</f>
        <v>248.2</v>
      </c>
      <c r="P443" s="29"/>
      <c r="Q443" s="29"/>
      <c r="R443" s="28">
        <v>88.8</v>
      </c>
      <c r="S443" s="29"/>
      <c r="T443" s="29"/>
      <c r="U443" s="28">
        <f>ROUND(ROUND(R443, 2)*K443, 2)</f>
        <v>248.2</v>
      </c>
      <c r="V443" s="29"/>
      <c r="W443" s="30"/>
    </row>
    <row r="444" spans="1:23" ht="108" x14ac:dyDescent="0.35">
      <c r="A444" s="20" t="s">
        <v>724</v>
      </c>
      <c r="B444" s="20"/>
      <c r="C444" s="25" t="s">
        <v>599</v>
      </c>
      <c r="D444" s="22"/>
      <c r="E444" s="22" t="s">
        <v>696</v>
      </c>
      <c r="F444" s="26" t="s">
        <v>58</v>
      </c>
      <c r="G444" s="27">
        <v>0.3</v>
      </c>
      <c r="H444" s="132"/>
      <c r="I444" s="171"/>
      <c r="J444" s="142"/>
      <c r="K444" s="99">
        <v>5.5890000000000004</v>
      </c>
      <c r="L444" s="63">
        <v>0</v>
      </c>
      <c r="M444" s="29"/>
      <c r="N444" s="91"/>
      <c r="O444" s="63">
        <f>ROUND(ROUND(L444, 2)*K444, 2)</f>
        <v>0</v>
      </c>
      <c r="P444" s="29"/>
      <c r="Q444" s="29"/>
      <c r="R444" s="28">
        <v>0</v>
      </c>
      <c r="S444" s="29"/>
      <c r="T444" s="29"/>
      <c r="U444" s="28">
        <f>ROUND(ROUND(R444, 2)*K444, 2)</f>
        <v>0</v>
      </c>
      <c r="V444" s="29"/>
      <c r="W444" s="30"/>
    </row>
    <row r="445" spans="1:23" ht="36" x14ac:dyDescent="0.35">
      <c r="A445" s="20" t="s">
        <v>725</v>
      </c>
      <c r="B445" s="20" t="s">
        <v>640</v>
      </c>
      <c r="C445" s="21" t="s">
        <v>641</v>
      </c>
      <c r="D445" s="22"/>
      <c r="E445" s="22" t="s">
        <v>726</v>
      </c>
      <c r="F445" s="22" t="s">
        <v>55</v>
      </c>
      <c r="G445" s="23">
        <v>1</v>
      </c>
      <c r="H445" s="131"/>
      <c r="I445" s="171"/>
      <c r="J445" s="142"/>
      <c r="K445" s="98">
        <v>390.43</v>
      </c>
      <c r="L445" s="62">
        <f>IFERROR(ROUND(SUM(O446,O447)/K445, 2),0)</f>
        <v>13.32</v>
      </c>
      <c r="M445" s="80">
        <v>428</v>
      </c>
      <c r="N445" s="90">
        <f>L445+ROUND(M445, 2)</f>
        <v>441.32</v>
      </c>
      <c r="O445" s="62">
        <f>ROUND(L445*K445, 2)</f>
        <v>5200.53</v>
      </c>
      <c r="P445" s="24">
        <f>ROUND(K445*ROUND(M445, 2), 2)</f>
        <v>167104.04</v>
      </c>
      <c r="Q445" s="24">
        <f>O445+P445</f>
        <v>172304.57</v>
      </c>
      <c r="R445" s="24">
        <f>IFERROR(ROUND(SUM(U446,U447)/K445, 2),0)</f>
        <v>13.32</v>
      </c>
      <c r="S445" s="24">
        <v>428</v>
      </c>
      <c r="T445" s="24">
        <f>R445+ROUND(S445, 2)</f>
        <v>441.32</v>
      </c>
      <c r="U445" s="24">
        <f>ROUND(R445*K445, 2)</f>
        <v>5200.53</v>
      </c>
      <c r="V445" s="24">
        <f>ROUND(K445*ROUND(S445, 2), 2)</f>
        <v>167104.04</v>
      </c>
      <c r="W445" s="24">
        <f>U445+V445</f>
        <v>172304.57</v>
      </c>
    </row>
    <row r="446" spans="1:23" ht="36" x14ac:dyDescent="0.35">
      <c r="A446" s="20" t="s">
        <v>727</v>
      </c>
      <c r="B446" s="20"/>
      <c r="C446" s="25" t="s">
        <v>235</v>
      </c>
      <c r="D446" s="22"/>
      <c r="E446" s="22"/>
      <c r="F446" s="26" t="s">
        <v>58</v>
      </c>
      <c r="G446" s="27">
        <v>0.15</v>
      </c>
      <c r="H446" s="132"/>
      <c r="I446" s="171"/>
      <c r="J446" s="142"/>
      <c r="K446" s="99">
        <v>58.564999999999998</v>
      </c>
      <c r="L446" s="63">
        <v>88.8</v>
      </c>
      <c r="M446" s="29"/>
      <c r="N446" s="91"/>
      <c r="O446" s="63">
        <f>ROUND(ROUND(L446, 2)*K446, 2)</f>
        <v>5200.57</v>
      </c>
      <c r="P446" s="29"/>
      <c r="Q446" s="29"/>
      <c r="R446" s="28">
        <v>88.8</v>
      </c>
      <c r="S446" s="29"/>
      <c r="T446" s="29"/>
      <c r="U446" s="28">
        <f>ROUND(ROUND(R446, 2)*K446, 2)</f>
        <v>5200.57</v>
      </c>
      <c r="V446" s="29"/>
      <c r="W446" s="30"/>
    </row>
    <row r="447" spans="1:23" ht="108" x14ac:dyDescent="0.35">
      <c r="A447" s="20" t="s">
        <v>728</v>
      </c>
      <c r="B447" s="20"/>
      <c r="C447" s="25" t="s">
        <v>599</v>
      </c>
      <c r="D447" s="22"/>
      <c r="E447" s="22" t="s">
        <v>681</v>
      </c>
      <c r="F447" s="26" t="s">
        <v>58</v>
      </c>
      <c r="G447" s="27">
        <v>0.3</v>
      </c>
      <c r="H447" s="132"/>
      <c r="I447" s="171"/>
      <c r="J447" s="142"/>
      <c r="K447" s="99">
        <v>117.129</v>
      </c>
      <c r="L447" s="63">
        <v>0</v>
      </c>
      <c r="M447" s="29"/>
      <c r="N447" s="91"/>
      <c r="O447" s="63">
        <f>ROUND(ROUND(L447, 2)*K447, 2)</f>
        <v>0</v>
      </c>
      <c r="P447" s="29"/>
      <c r="Q447" s="29"/>
      <c r="R447" s="28">
        <v>0</v>
      </c>
      <c r="S447" s="29"/>
      <c r="T447" s="29"/>
      <c r="U447" s="28">
        <f>ROUND(ROUND(R447, 2)*K447, 2)</f>
        <v>0</v>
      </c>
      <c r="V447" s="29"/>
      <c r="W447" s="30"/>
    </row>
    <row r="448" spans="1:23" ht="36" x14ac:dyDescent="0.35">
      <c r="A448" s="20" t="s">
        <v>729</v>
      </c>
      <c r="B448" s="20" t="s">
        <v>640</v>
      </c>
      <c r="C448" s="21" t="s">
        <v>641</v>
      </c>
      <c r="D448" s="22"/>
      <c r="E448" s="22" t="s">
        <v>730</v>
      </c>
      <c r="F448" s="22" t="s">
        <v>55</v>
      </c>
      <c r="G448" s="23">
        <v>1</v>
      </c>
      <c r="H448" s="131"/>
      <c r="I448" s="171"/>
      <c r="J448" s="142"/>
      <c r="K448" s="98">
        <v>2002.74</v>
      </c>
      <c r="L448" s="62">
        <f>IFERROR(ROUND(SUM(O449,O450)/K448, 2),0)</f>
        <v>13.32</v>
      </c>
      <c r="M448" s="80">
        <v>428</v>
      </c>
      <c r="N448" s="90">
        <f>L448+ROUND(M448, 2)</f>
        <v>441.32</v>
      </c>
      <c r="O448" s="62">
        <f>ROUND(L448*K448, 2)</f>
        <v>26676.5</v>
      </c>
      <c r="P448" s="24">
        <f>ROUND(K448*ROUND(M448, 2), 2)</f>
        <v>857172.72</v>
      </c>
      <c r="Q448" s="24">
        <f>O448+P448</f>
        <v>883849.22</v>
      </c>
      <c r="R448" s="24">
        <f>IFERROR(ROUND(SUM(U449,U450)/K448, 2),0)</f>
        <v>13.32</v>
      </c>
      <c r="S448" s="24">
        <v>428</v>
      </c>
      <c r="T448" s="24">
        <f>R448+ROUND(S448, 2)</f>
        <v>441.32</v>
      </c>
      <c r="U448" s="24">
        <f>ROUND(R448*K448, 2)</f>
        <v>26676.5</v>
      </c>
      <c r="V448" s="24">
        <f>ROUND(K448*ROUND(S448, 2), 2)</f>
        <v>857172.72</v>
      </c>
      <c r="W448" s="24">
        <f>U448+V448</f>
        <v>883849.22</v>
      </c>
    </row>
    <row r="449" spans="1:23" ht="36" x14ac:dyDescent="0.35">
      <c r="A449" s="20" t="s">
        <v>731</v>
      </c>
      <c r="B449" s="20"/>
      <c r="C449" s="25" t="s">
        <v>235</v>
      </c>
      <c r="D449" s="22"/>
      <c r="E449" s="22"/>
      <c r="F449" s="26" t="s">
        <v>58</v>
      </c>
      <c r="G449" s="27">
        <v>0.15</v>
      </c>
      <c r="H449" s="132"/>
      <c r="I449" s="171"/>
      <c r="J449" s="142"/>
      <c r="K449" s="99">
        <v>300.411</v>
      </c>
      <c r="L449" s="63">
        <v>88.8</v>
      </c>
      <c r="M449" s="29"/>
      <c r="N449" s="91"/>
      <c r="O449" s="63">
        <f>ROUND(ROUND(L449, 2)*K449, 2)</f>
        <v>26676.5</v>
      </c>
      <c r="P449" s="29"/>
      <c r="Q449" s="29"/>
      <c r="R449" s="28">
        <v>88.8</v>
      </c>
      <c r="S449" s="29"/>
      <c r="T449" s="29"/>
      <c r="U449" s="28">
        <f>ROUND(ROUND(R449, 2)*K449, 2)</f>
        <v>26676.5</v>
      </c>
      <c r="V449" s="29"/>
      <c r="W449" s="30"/>
    </row>
    <row r="450" spans="1:23" ht="126" x14ac:dyDescent="0.35">
      <c r="A450" s="20" t="s">
        <v>732</v>
      </c>
      <c r="B450" s="20"/>
      <c r="C450" s="25" t="s">
        <v>607</v>
      </c>
      <c r="D450" s="22"/>
      <c r="E450" s="22" t="s">
        <v>686</v>
      </c>
      <c r="F450" s="26" t="s">
        <v>58</v>
      </c>
      <c r="G450" s="27">
        <v>0.3</v>
      </c>
      <c r="H450" s="132"/>
      <c r="I450" s="171"/>
      <c r="J450" s="142"/>
      <c r="K450" s="99">
        <v>600.822</v>
      </c>
      <c r="L450" s="63">
        <v>0</v>
      </c>
      <c r="M450" s="29"/>
      <c r="N450" s="91"/>
      <c r="O450" s="63">
        <f>ROUND(ROUND(L450, 2)*K450, 2)</f>
        <v>0</v>
      </c>
      <c r="P450" s="29"/>
      <c r="Q450" s="29"/>
      <c r="R450" s="28">
        <v>0</v>
      </c>
      <c r="S450" s="29"/>
      <c r="T450" s="29"/>
      <c r="U450" s="28">
        <f>ROUND(ROUND(R450, 2)*K450, 2)</f>
        <v>0</v>
      </c>
      <c r="V450" s="29"/>
      <c r="W450" s="30"/>
    </row>
    <row r="451" spans="1:23" ht="36" x14ac:dyDescent="0.35">
      <c r="A451" s="20" t="s">
        <v>733</v>
      </c>
      <c r="B451" s="20" t="s">
        <v>640</v>
      </c>
      <c r="C451" s="21" t="s">
        <v>641</v>
      </c>
      <c r="D451" s="22"/>
      <c r="E451" s="22" t="s">
        <v>734</v>
      </c>
      <c r="F451" s="22" t="s">
        <v>55</v>
      </c>
      <c r="G451" s="23">
        <v>1</v>
      </c>
      <c r="H451" s="131"/>
      <c r="I451" s="171"/>
      <c r="J451" s="142"/>
      <c r="K451" s="98">
        <v>23.23</v>
      </c>
      <c r="L451" s="62">
        <f>IFERROR(ROUND(SUM(O452,O453)/K451, 2),0)</f>
        <v>13.32</v>
      </c>
      <c r="M451" s="80">
        <v>428</v>
      </c>
      <c r="N451" s="90">
        <f>L451+ROUND(M451, 2)</f>
        <v>441.32</v>
      </c>
      <c r="O451" s="62">
        <f>ROUND(L451*K451, 2)</f>
        <v>309.42</v>
      </c>
      <c r="P451" s="24">
        <f>ROUND(K451*ROUND(M451, 2), 2)</f>
        <v>9942.44</v>
      </c>
      <c r="Q451" s="24">
        <f>O451+P451</f>
        <v>10251.86</v>
      </c>
      <c r="R451" s="24">
        <f>IFERROR(ROUND(SUM(U452,U453)/K451, 2),0)</f>
        <v>13.32</v>
      </c>
      <c r="S451" s="24">
        <v>428</v>
      </c>
      <c r="T451" s="24">
        <f>R451+ROUND(S451, 2)</f>
        <v>441.32</v>
      </c>
      <c r="U451" s="24">
        <f>ROUND(R451*K451, 2)</f>
        <v>309.42</v>
      </c>
      <c r="V451" s="24">
        <f>ROUND(K451*ROUND(S451, 2), 2)</f>
        <v>9942.44</v>
      </c>
      <c r="W451" s="24">
        <f>U451+V451</f>
        <v>10251.86</v>
      </c>
    </row>
    <row r="452" spans="1:23" ht="36" x14ac:dyDescent="0.35">
      <c r="A452" s="20" t="s">
        <v>735</v>
      </c>
      <c r="B452" s="20"/>
      <c r="C452" s="25" t="s">
        <v>235</v>
      </c>
      <c r="D452" s="22"/>
      <c r="E452" s="22"/>
      <c r="F452" s="26" t="s">
        <v>58</v>
      </c>
      <c r="G452" s="27">
        <v>0.15</v>
      </c>
      <c r="H452" s="132"/>
      <c r="I452" s="171"/>
      <c r="J452" s="142"/>
      <c r="K452" s="99">
        <v>3.4849999999999999</v>
      </c>
      <c r="L452" s="63">
        <v>88.8</v>
      </c>
      <c r="M452" s="29"/>
      <c r="N452" s="91"/>
      <c r="O452" s="63">
        <f>ROUND(ROUND(L452, 2)*K452, 2)</f>
        <v>309.47000000000003</v>
      </c>
      <c r="P452" s="29"/>
      <c r="Q452" s="29"/>
      <c r="R452" s="28">
        <v>88.8</v>
      </c>
      <c r="S452" s="29"/>
      <c r="T452" s="29"/>
      <c r="U452" s="28">
        <f>ROUND(ROUND(R452, 2)*K452, 2)</f>
        <v>309.47000000000003</v>
      </c>
      <c r="V452" s="29"/>
      <c r="W452" s="30"/>
    </row>
    <row r="453" spans="1:23" ht="54" x14ac:dyDescent="0.35">
      <c r="A453" s="20" t="s">
        <v>736</v>
      </c>
      <c r="B453" s="20"/>
      <c r="C453" s="25" t="s">
        <v>737</v>
      </c>
      <c r="D453" s="22"/>
      <c r="E453" s="22" t="s">
        <v>738</v>
      </c>
      <c r="F453" s="26" t="s">
        <v>58</v>
      </c>
      <c r="G453" s="27">
        <v>0.3</v>
      </c>
      <c r="H453" s="132"/>
      <c r="I453" s="171"/>
      <c r="J453" s="142"/>
      <c r="K453" s="99">
        <v>6.9690000000000003</v>
      </c>
      <c r="L453" s="63">
        <v>0</v>
      </c>
      <c r="M453" s="29"/>
      <c r="N453" s="91"/>
      <c r="O453" s="63">
        <f>ROUND(ROUND(L453, 2)*K453, 2)</f>
        <v>0</v>
      </c>
      <c r="P453" s="29"/>
      <c r="Q453" s="29"/>
      <c r="R453" s="28">
        <v>0</v>
      </c>
      <c r="S453" s="29"/>
      <c r="T453" s="29"/>
      <c r="U453" s="28">
        <f>ROUND(ROUND(R453, 2)*K453, 2)</f>
        <v>0</v>
      </c>
      <c r="V453" s="29"/>
      <c r="W453" s="30"/>
    </row>
    <row r="454" spans="1:23" ht="36" x14ac:dyDescent="0.35">
      <c r="A454" s="20" t="s">
        <v>739</v>
      </c>
      <c r="B454" s="20" t="s">
        <v>640</v>
      </c>
      <c r="C454" s="21" t="s">
        <v>641</v>
      </c>
      <c r="D454" s="22"/>
      <c r="E454" s="22" t="s">
        <v>740</v>
      </c>
      <c r="F454" s="22" t="s">
        <v>55</v>
      </c>
      <c r="G454" s="23">
        <v>1</v>
      </c>
      <c r="H454" s="131"/>
      <c r="I454" s="171"/>
      <c r="J454" s="142"/>
      <c r="K454" s="98">
        <v>107.1</v>
      </c>
      <c r="L454" s="62">
        <f>IFERROR(ROUND(SUM(O455,O456)/K454, 2),0)</f>
        <v>13.32</v>
      </c>
      <c r="M454" s="80">
        <v>428</v>
      </c>
      <c r="N454" s="90">
        <f>L454+ROUND(M454, 2)</f>
        <v>441.32</v>
      </c>
      <c r="O454" s="62">
        <f>ROUND(L454*K454, 2)</f>
        <v>1426.57</v>
      </c>
      <c r="P454" s="24">
        <f>ROUND(K454*ROUND(M454, 2), 2)</f>
        <v>45838.8</v>
      </c>
      <c r="Q454" s="24">
        <f>O454+P454</f>
        <v>47265.37</v>
      </c>
      <c r="R454" s="24">
        <f>IFERROR(ROUND(SUM(U455,U456)/K454, 2),0)</f>
        <v>13.32</v>
      </c>
      <c r="S454" s="24">
        <v>428</v>
      </c>
      <c r="T454" s="24">
        <f>R454+ROUND(S454, 2)</f>
        <v>441.32</v>
      </c>
      <c r="U454" s="24">
        <f>ROUND(R454*K454, 2)</f>
        <v>1426.57</v>
      </c>
      <c r="V454" s="24">
        <f>ROUND(K454*ROUND(S454, 2), 2)</f>
        <v>45838.8</v>
      </c>
      <c r="W454" s="24">
        <f>U454+V454</f>
        <v>47265.37</v>
      </c>
    </row>
    <row r="455" spans="1:23" ht="36" x14ac:dyDescent="0.35">
      <c r="A455" s="20" t="s">
        <v>741</v>
      </c>
      <c r="B455" s="20"/>
      <c r="C455" s="25" t="s">
        <v>235</v>
      </c>
      <c r="D455" s="22"/>
      <c r="E455" s="22"/>
      <c r="F455" s="26" t="s">
        <v>58</v>
      </c>
      <c r="G455" s="27">
        <v>0.15</v>
      </c>
      <c r="H455" s="132"/>
      <c r="I455" s="171"/>
      <c r="J455" s="142"/>
      <c r="K455" s="99">
        <v>16.065000000000001</v>
      </c>
      <c r="L455" s="63">
        <v>88.8</v>
      </c>
      <c r="M455" s="29"/>
      <c r="N455" s="91"/>
      <c r="O455" s="63">
        <f>ROUND(ROUND(L455, 2)*K455, 2)</f>
        <v>1426.57</v>
      </c>
      <c r="P455" s="29"/>
      <c r="Q455" s="29"/>
      <c r="R455" s="28">
        <v>88.8</v>
      </c>
      <c r="S455" s="29"/>
      <c r="T455" s="29"/>
      <c r="U455" s="28">
        <f>ROUND(ROUND(R455, 2)*K455, 2)</f>
        <v>1426.57</v>
      </c>
      <c r="V455" s="29"/>
      <c r="W455" s="30"/>
    </row>
    <row r="456" spans="1:23" ht="90" x14ac:dyDescent="0.35">
      <c r="A456" s="20" t="s">
        <v>742</v>
      </c>
      <c r="B456" s="20"/>
      <c r="C456" s="25" t="s">
        <v>599</v>
      </c>
      <c r="D456" s="22"/>
      <c r="E456" s="22" t="s">
        <v>743</v>
      </c>
      <c r="F456" s="26" t="s">
        <v>58</v>
      </c>
      <c r="G456" s="27">
        <v>0.3</v>
      </c>
      <c r="H456" s="132"/>
      <c r="I456" s="171"/>
      <c r="J456" s="142"/>
      <c r="K456" s="99">
        <v>32.130000000000003</v>
      </c>
      <c r="L456" s="63">
        <v>0</v>
      </c>
      <c r="M456" s="29"/>
      <c r="N456" s="91"/>
      <c r="O456" s="63">
        <f>ROUND(ROUND(L456, 2)*K456, 2)</f>
        <v>0</v>
      </c>
      <c r="P456" s="29"/>
      <c r="Q456" s="29"/>
      <c r="R456" s="28">
        <v>0</v>
      </c>
      <c r="S456" s="29"/>
      <c r="T456" s="29"/>
      <c r="U456" s="28">
        <f>ROUND(ROUND(R456, 2)*K456, 2)</f>
        <v>0</v>
      </c>
      <c r="V456" s="29"/>
      <c r="W456" s="30"/>
    </row>
    <row r="457" spans="1:23" ht="54" x14ac:dyDescent="0.35">
      <c r="A457" s="20" t="s">
        <v>744</v>
      </c>
      <c r="B457" s="20" t="s">
        <v>745</v>
      </c>
      <c r="C457" s="21" t="s">
        <v>746</v>
      </c>
      <c r="D457" s="22"/>
      <c r="E457" s="22" t="s">
        <v>747</v>
      </c>
      <c r="F457" s="22" t="s">
        <v>55</v>
      </c>
      <c r="G457" s="23">
        <v>1</v>
      </c>
      <c r="H457" s="131"/>
      <c r="I457" s="171"/>
      <c r="J457" s="142"/>
      <c r="K457" s="98">
        <v>205.88</v>
      </c>
      <c r="L457" s="62">
        <f>IFERROR(ROUND(SUM(O458,O459,O460,O461)/K457, 2),0)</f>
        <v>1072.18</v>
      </c>
      <c r="M457" s="80">
        <v>2364</v>
      </c>
      <c r="N457" s="90">
        <f>L457+ROUND(M457, 2)</f>
        <v>3436.1800000000003</v>
      </c>
      <c r="O457" s="62">
        <f>ROUND(L457*K457, 2)</f>
        <v>220740.42</v>
      </c>
      <c r="P457" s="24">
        <f>ROUND(K457*ROUND(M457, 2), 2)</f>
        <v>486700.32</v>
      </c>
      <c r="Q457" s="24">
        <f>O457+P457</f>
        <v>707440.74</v>
      </c>
      <c r="R457" s="24">
        <f>IFERROR(ROUND(SUM(U458,U459,U460,U461)/K457, 2),0)</f>
        <v>1072.18</v>
      </c>
      <c r="S457" s="24">
        <v>2364</v>
      </c>
      <c r="T457" s="24">
        <f>R457+ROUND(S457, 2)</f>
        <v>3436.1800000000003</v>
      </c>
      <c r="U457" s="24">
        <f>ROUND(R457*K457, 2)</f>
        <v>220740.42</v>
      </c>
      <c r="V457" s="24">
        <f>ROUND(K457*ROUND(S457, 2), 2)</f>
        <v>486700.32</v>
      </c>
      <c r="W457" s="24">
        <f>U457+V457</f>
        <v>707440.74</v>
      </c>
    </row>
    <row r="458" spans="1:23" ht="20" x14ac:dyDescent="0.35">
      <c r="A458" s="20" t="s">
        <v>748</v>
      </c>
      <c r="B458" s="20"/>
      <c r="C458" s="25" t="s">
        <v>232</v>
      </c>
      <c r="D458" s="22"/>
      <c r="E458" s="22"/>
      <c r="F458" s="26" t="s">
        <v>58</v>
      </c>
      <c r="G458" s="27">
        <v>0.25</v>
      </c>
      <c r="H458" s="132"/>
      <c r="I458" s="171"/>
      <c r="J458" s="142"/>
      <c r="K458" s="110">
        <v>51.47</v>
      </c>
      <c r="L458" s="63">
        <v>40.270000000000003</v>
      </c>
      <c r="M458" s="29"/>
      <c r="N458" s="91"/>
      <c r="O458" s="63">
        <f>ROUND(ROUND(L458, 2)*K458, 2)</f>
        <v>2072.6999999999998</v>
      </c>
      <c r="P458" s="29"/>
      <c r="Q458" s="29"/>
      <c r="R458" s="28">
        <v>40.270000000000003</v>
      </c>
      <c r="S458" s="29"/>
      <c r="T458" s="29"/>
      <c r="U458" s="28">
        <f>ROUND(ROUND(R458, 2)*K458, 2)</f>
        <v>2072.6999999999998</v>
      </c>
      <c r="V458" s="29"/>
      <c r="W458" s="30"/>
    </row>
    <row r="459" spans="1:23" ht="36" x14ac:dyDescent="0.35">
      <c r="A459" s="20" t="s">
        <v>749</v>
      </c>
      <c r="B459" s="20"/>
      <c r="C459" s="25" t="s">
        <v>245</v>
      </c>
      <c r="D459" s="22"/>
      <c r="E459" s="22"/>
      <c r="F459" s="26" t="s">
        <v>58</v>
      </c>
      <c r="G459" s="27">
        <v>0.15</v>
      </c>
      <c r="H459" s="132"/>
      <c r="I459" s="171"/>
      <c r="J459" s="142"/>
      <c r="K459" s="99">
        <v>30.882000000000001</v>
      </c>
      <c r="L459" s="63">
        <v>68.400000000000006</v>
      </c>
      <c r="M459" s="29"/>
      <c r="N459" s="91"/>
      <c r="O459" s="63">
        <f>ROUND(ROUND(L459, 2)*K459, 2)</f>
        <v>2112.33</v>
      </c>
      <c r="P459" s="29"/>
      <c r="Q459" s="29"/>
      <c r="R459" s="28">
        <v>68.400000000000006</v>
      </c>
      <c r="S459" s="29"/>
      <c r="T459" s="29"/>
      <c r="U459" s="28">
        <f>ROUND(ROUND(R459, 2)*K459, 2)</f>
        <v>2112.33</v>
      </c>
      <c r="V459" s="29"/>
      <c r="W459" s="30"/>
    </row>
    <row r="460" spans="1:23" ht="54" x14ac:dyDescent="0.35">
      <c r="A460" s="20" t="s">
        <v>750</v>
      </c>
      <c r="B460" s="20"/>
      <c r="C460" s="14" t="s">
        <v>370</v>
      </c>
      <c r="D460" s="22"/>
      <c r="E460" s="22" t="s">
        <v>220</v>
      </c>
      <c r="F460" s="26" t="s">
        <v>58</v>
      </c>
      <c r="G460" s="27">
        <v>1.2</v>
      </c>
      <c r="H460" s="132"/>
      <c r="I460" s="171"/>
      <c r="J460" s="142"/>
      <c r="K460" s="110">
        <v>494.11200000000002</v>
      </c>
      <c r="L460" s="63">
        <v>16.96</v>
      </c>
      <c r="M460" s="29"/>
      <c r="N460" s="91"/>
      <c r="O460" s="63">
        <f>ROUND(ROUND(L460, 2)*K460, 2)</f>
        <v>8380.14</v>
      </c>
      <c r="P460" s="29"/>
      <c r="Q460" s="29"/>
      <c r="R460" s="28">
        <v>16.96</v>
      </c>
      <c r="S460" s="29"/>
      <c r="T460" s="29"/>
      <c r="U460" s="28">
        <f>ROUND(ROUND(R460, 2)*K460, 2)</f>
        <v>8380.14</v>
      </c>
      <c r="V460" s="29"/>
      <c r="W460" s="30"/>
    </row>
    <row r="461" spans="1:23" ht="36" x14ac:dyDescent="0.35">
      <c r="A461" s="20" t="s">
        <v>751</v>
      </c>
      <c r="B461" s="20"/>
      <c r="C461" s="14" t="s">
        <v>752</v>
      </c>
      <c r="D461" s="22"/>
      <c r="E461" s="22" t="s">
        <v>753</v>
      </c>
      <c r="F461" s="26" t="s">
        <v>55</v>
      </c>
      <c r="G461" s="27">
        <v>1.07</v>
      </c>
      <c r="H461" s="132"/>
      <c r="I461" s="171"/>
      <c r="J461" s="142"/>
      <c r="K461" s="110">
        <v>220.292</v>
      </c>
      <c r="L461" s="63">
        <v>945</v>
      </c>
      <c r="M461" s="29"/>
      <c r="N461" s="91"/>
      <c r="O461" s="63">
        <f>ROUND(ROUND(L461, 2)*K461, 2)</f>
        <v>208175.94</v>
      </c>
      <c r="P461" s="29"/>
      <c r="Q461" s="29"/>
      <c r="R461" s="28">
        <v>945</v>
      </c>
      <c r="S461" s="29"/>
      <c r="T461" s="29"/>
      <c r="U461" s="28">
        <f>ROUND(ROUND(R461, 2)*K461, 2)</f>
        <v>208175.94</v>
      </c>
      <c r="V461" s="29"/>
      <c r="W461" s="30"/>
    </row>
    <row r="462" spans="1:23" ht="54" x14ac:dyDescent="0.35">
      <c r="A462" s="20" t="s">
        <v>754</v>
      </c>
      <c r="B462" s="20" t="s">
        <v>745</v>
      </c>
      <c r="C462" s="21" t="s">
        <v>746</v>
      </c>
      <c r="D462" s="22"/>
      <c r="E462" s="22" t="s">
        <v>755</v>
      </c>
      <c r="F462" s="22" t="s">
        <v>55</v>
      </c>
      <c r="G462" s="23">
        <v>1</v>
      </c>
      <c r="H462" s="131"/>
      <c r="I462" s="171"/>
      <c r="J462" s="142"/>
      <c r="K462" s="98">
        <v>33.03</v>
      </c>
      <c r="L462" s="62">
        <f>IFERROR(ROUND(SUM(O463,O464,O465,O466)/K462, 2),0)</f>
        <v>1542.93</v>
      </c>
      <c r="M462" s="80">
        <v>2364</v>
      </c>
      <c r="N462" s="90">
        <f>L462+ROUND(M462, 2)</f>
        <v>3906.9300000000003</v>
      </c>
      <c r="O462" s="62">
        <f>ROUND(L462*K462, 2)</f>
        <v>50962.98</v>
      </c>
      <c r="P462" s="24">
        <f>ROUND(K462*ROUND(M462, 2), 2)</f>
        <v>78082.92</v>
      </c>
      <c r="Q462" s="24">
        <f>O462+P462</f>
        <v>129045.9</v>
      </c>
      <c r="R462" s="24">
        <f>IFERROR(ROUND(SUM(U463,U464,U465,U466)/K462, 2),0)</f>
        <v>1542.93</v>
      </c>
      <c r="S462" s="24">
        <v>2364</v>
      </c>
      <c r="T462" s="24">
        <f>R462+ROUND(S462, 2)</f>
        <v>3906.9300000000003</v>
      </c>
      <c r="U462" s="24">
        <f>ROUND(R462*K462, 2)</f>
        <v>50962.98</v>
      </c>
      <c r="V462" s="24">
        <f>ROUND(K462*ROUND(S462, 2), 2)</f>
        <v>78082.92</v>
      </c>
      <c r="W462" s="24">
        <f>U462+V462</f>
        <v>129045.9</v>
      </c>
    </row>
    <row r="463" spans="1:23" ht="54" x14ac:dyDescent="0.35">
      <c r="A463" s="20" t="s">
        <v>756</v>
      </c>
      <c r="B463" s="20"/>
      <c r="C463" s="14" t="s">
        <v>360</v>
      </c>
      <c r="D463" s="22"/>
      <c r="E463" s="22" t="s">
        <v>757</v>
      </c>
      <c r="F463" s="26" t="s">
        <v>55</v>
      </c>
      <c r="G463" s="27">
        <v>1.07</v>
      </c>
      <c r="H463" s="132"/>
      <c r="I463" s="171"/>
      <c r="J463" s="142"/>
      <c r="K463" s="110">
        <v>35.341999999999999</v>
      </c>
      <c r="L463" s="63">
        <v>1384.95</v>
      </c>
      <c r="M463" s="29"/>
      <c r="N463" s="91"/>
      <c r="O463" s="63">
        <f>ROUND(ROUND(L463, 2)*K463, 2)</f>
        <v>48946.9</v>
      </c>
      <c r="P463" s="29"/>
      <c r="Q463" s="29"/>
      <c r="R463" s="28">
        <v>1384.95</v>
      </c>
      <c r="S463" s="29"/>
      <c r="T463" s="29"/>
      <c r="U463" s="28">
        <f>ROUND(ROUND(R463, 2)*K463, 2)</f>
        <v>48946.9</v>
      </c>
      <c r="V463" s="29"/>
      <c r="W463" s="30"/>
    </row>
    <row r="464" spans="1:23" ht="54" x14ac:dyDescent="0.35">
      <c r="A464" s="20" t="s">
        <v>758</v>
      </c>
      <c r="B464" s="20"/>
      <c r="C464" s="14" t="s">
        <v>370</v>
      </c>
      <c r="D464" s="22"/>
      <c r="E464" s="22" t="s">
        <v>220</v>
      </c>
      <c r="F464" s="26" t="s">
        <v>58</v>
      </c>
      <c r="G464" s="27">
        <v>1.2</v>
      </c>
      <c r="H464" s="132"/>
      <c r="I464" s="171"/>
      <c r="J464" s="142"/>
      <c r="K464" s="110">
        <v>79.272000000000006</v>
      </c>
      <c r="L464" s="63">
        <v>16.96</v>
      </c>
      <c r="M464" s="29"/>
      <c r="N464" s="91"/>
      <c r="O464" s="63">
        <f>ROUND(ROUND(L464, 2)*K464, 2)</f>
        <v>1344.45</v>
      </c>
      <c r="P464" s="29"/>
      <c r="Q464" s="29"/>
      <c r="R464" s="28">
        <v>16.96</v>
      </c>
      <c r="S464" s="29"/>
      <c r="T464" s="29"/>
      <c r="U464" s="28">
        <f>ROUND(ROUND(R464, 2)*K464, 2)</f>
        <v>1344.45</v>
      </c>
      <c r="V464" s="29"/>
      <c r="W464" s="30"/>
    </row>
    <row r="465" spans="1:23" ht="36" x14ac:dyDescent="0.35">
      <c r="A465" s="20" t="s">
        <v>759</v>
      </c>
      <c r="B465" s="20"/>
      <c r="C465" s="25" t="s">
        <v>245</v>
      </c>
      <c r="D465" s="22"/>
      <c r="E465" s="22"/>
      <c r="F465" s="26" t="s">
        <v>58</v>
      </c>
      <c r="G465" s="27">
        <v>0.15</v>
      </c>
      <c r="H465" s="132"/>
      <c r="I465" s="171"/>
      <c r="J465" s="142"/>
      <c r="K465" s="99">
        <v>4.9550000000000001</v>
      </c>
      <c r="L465" s="63">
        <v>68.400000000000006</v>
      </c>
      <c r="M465" s="29"/>
      <c r="N465" s="91"/>
      <c r="O465" s="63">
        <f>ROUND(ROUND(L465, 2)*K465, 2)</f>
        <v>338.92</v>
      </c>
      <c r="P465" s="29"/>
      <c r="Q465" s="29"/>
      <c r="R465" s="28">
        <v>68.400000000000006</v>
      </c>
      <c r="S465" s="29"/>
      <c r="T465" s="29"/>
      <c r="U465" s="28">
        <f>ROUND(ROUND(R465, 2)*K465, 2)</f>
        <v>338.92</v>
      </c>
      <c r="V465" s="29"/>
      <c r="W465" s="30"/>
    </row>
    <row r="466" spans="1:23" ht="20" x14ac:dyDescent="0.35">
      <c r="A466" s="20" t="s">
        <v>760</v>
      </c>
      <c r="B466" s="20"/>
      <c r="C466" s="25" t="s">
        <v>232</v>
      </c>
      <c r="D466" s="22"/>
      <c r="E466" s="22"/>
      <c r="F466" s="26" t="s">
        <v>58</v>
      </c>
      <c r="G466" s="27">
        <v>0.25</v>
      </c>
      <c r="H466" s="132"/>
      <c r="I466" s="171"/>
      <c r="J466" s="142"/>
      <c r="K466" s="110">
        <v>8.2579999999999991</v>
      </c>
      <c r="L466" s="63">
        <v>40.270000000000003</v>
      </c>
      <c r="M466" s="29"/>
      <c r="N466" s="91"/>
      <c r="O466" s="63">
        <f>ROUND(ROUND(L466, 2)*K466, 2)</f>
        <v>332.55</v>
      </c>
      <c r="P466" s="29"/>
      <c r="Q466" s="29"/>
      <c r="R466" s="28">
        <v>40.270000000000003</v>
      </c>
      <c r="S466" s="29"/>
      <c r="T466" s="29"/>
      <c r="U466" s="28">
        <f>ROUND(ROUND(R466, 2)*K466, 2)</f>
        <v>332.55</v>
      </c>
      <c r="V466" s="29"/>
      <c r="W466" s="30"/>
    </row>
    <row r="467" spans="1:23" ht="54" x14ac:dyDescent="0.35">
      <c r="A467" s="20" t="s">
        <v>761</v>
      </c>
      <c r="B467" s="20" t="s">
        <v>745</v>
      </c>
      <c r="C467" s="21" t="s">
        <v>746</v>
      </c>
      <c r="D467" s="22"/>
      <c r="E467" s="22" t="s">
        <v>762</v>
      </c>
      <c r="F467" s="22" t="s">
        <v>55</v>
      </c>
      <c r="G467" s="23">
        <v>1</v>
      </c>
      <c r="H467" s="131"/>
      <c r="I467" s="171"/>
      <c r="J467" s="142"/>
      <c r="K467" s="98">
        <v>55.79</v>
      </c>
      <c r="L467" s="62">
        <f>IFERROR(ROUND(SUM(O468,O469,O470,O471)/K467, 2),0)</f>
        <v>1278.9000000000001</v>
      </c>
      <c r="M467" s="80">
        <v>2364</v>
      </c>
      <c r="N467" s="90">
        <f>L467+ROUND(M467, 2)</f>
        <v>3642.9</v>
      </c>
      <c r="O467" s="62">
        <f>ROUND(L467*K467, 2)</f>
        <v>71349.83</v>
      </c>
      <c r="P467" s="24">
        <f>ROUND(K467*ROUND(M467, 2), 2)</f>
        <v>131887.56</v>
      </c>
      <c r="Q467" s="24">
        <f>O467+P467</f>
        <v>203237.39</v>
      </c>
      <c r="R467" s="24">
        <f>IFERROR(ROUND(SUM(U468,U469,U470,U471)/K467, 2),0)</f>
        <v>1278.9000000000001</v>
      </c>
      <c r="S467" s="24">
        <v>2364</v>
      </c>
      <c r="T467" s="24">
        <f>R467+ROUND(S467, 2)</f>
        <v>3642.9</v>
      </c>
      <c r="U467" s="24">
        <f>ROUND(R467*K467, 2)</f>
        <v>71349.83</v>
      </c>
      <c r="V467" s="24">
        <f>ROUND(K467*ROUND(S467, 2), 2)</f>
        <v>131887.56</v>
      </c>
      <c r="W467" s="24">
        <f>U467+V467</f>
        <v>203237.39</v>
      </c>
    </row>
    <row r="468" spans="1:23" ht="36" x14ac:dyDescent="0.35">
      <c r="A468" s="20" t="s">
        <v>763</v>
      </c>
      <c r="B468" s="20"/>
      <c r="C468" s="14" t="s">
        <v>764</v>
      </c>
      <c r="D468" s="22"/>
      <c r="E468" s="22" t="s">
        <v>765</v>
      </c>
      <c r="F468" s="26" t="s">
        <v>55</v>
      </c>
      <c r="G468" s="27">
        <v>1.07</v>
      </c>
      <c r="H468" s="132"/>
      <c r="I468" s="171"/>
      <c r="J468" s="142"/>
      <c r="K468" s="110">
        <v>59.695</v>
      </c>
      <c r="L468" s="63">
        <v>1138.2</v>
      </c>
      <c r="M468" s="29"/>
      <c r="N468" s="91"/>
      <c r="O468" s="63">
        <f>ROUND(ROUND(L468, 2)*K468, 2)</f>
        <v>67944.850000000006</v>
      </c>
      <c r="P468" s="29"/>
      <c r="Q468" s="29"/>
      <c r="R468" s="28">
        <v>1138.2</v>
      </c>
      <c r="S468" s="29"/>
      <c r="T468" s="29"/>
      <c r="U468" s="28">
        <f>ROUND(ROUND(R468, 2)*K468, 2)</f>
        <v>67944.850000000006</v>
      </c>
      <c r="V468" s="29"/>
      <c r="W468" s="30"/>
    </row>
    <row r="469" spans="1:23" ht="54" x14ac:dyDescent="0.35">
      <c r="A469" s="20" t="s">
        <v>766</v>
      </c>
      <c r="B469" s="20"/>
      <c r="C469" s="14" t="s">
        <v>370</v>
      </c>
      <c r="D469" s="22"/>
      <c r="E469" s="22" t="s">
        <v>220</v>
      </c>
      <c r="F469" s="26" t="s">
        <v>58</v>
      </c>
      <c r="G469" s="27">
        <v>1.2</v>
      </c>
      <c r="H469" s="132"/>
      <c r="I469" s="171"/>
      <c r="J469" s="142"/>
      <c r="K469" s="110">
        <v>133.89599999999999</v>
      </c>
      <c r="L469" s="63">
        <v>16.96</v>
      </c>
      <c r="M469" s="29"/>
      <c r="N469" s="91"/>
      <c r="O469" s="63">
        <f>ROUND(ROUND(L469, 2)*K469, 2)</f>
        <v>2270.88</v>
      </c>
      <c r="P469" s="29"/>
      <c r="Q469" s="29"/>
      <c r="R469" s="28">
        <v>16.96</v>
      </c>
      <c r="S469" s="29"/>
      <c r="T469" s="29"/>
      <c r="U469" s="28">
        <f>ROUND(ROUND(R469, 2)*K469, 2)</f>
        <v>2270.88</v>
      </c>
      <c r="V469" s="29"/>
      <c r="W469" s="30"/>
    </row>
    <row r="470" spans="1:23" ht="36" x14ac:dyDescent="0.35">
      <c r="A470" s="20" t="s">
        <v>767</v>
      </c>
      <c r="B470" s="20"/>
      <c r="C470" s="25" t="s">
        <v>245</v>
      </c>
      <c r="D470" s="22"/>
      <c r="E470" s="22"/>
      <c r="F470" s="26" t="s">
        <v>58</v>
      </c>
      <c r="G470" s="27">
        <v>0.15</v>
      </c>
      <c r="H470" s="132"/>
      <c r="I470" s="171"/>
      <c r="J470" s="142"/>
      <c r="K470" s="99">
        <v>8.3689999999999998</v>
      </c>
      <c r="L470" s="63">
        <v>68.400000000000006</v>
      </c>
      <c r="M470" s="29"/>
      <c r="N470" s="91"/>
      <c r="O470" s="63">
        <f>ROUND(ROUND(L470, 2)*K470, 2)</f>
        <v>572.44000000000005</v>
      </c>
      <c r="P470" s="29"/>
      <c r="Q470" s="29"/>
      <c r="R470" s="28">
        <v>68.400000000000006</v>
      </c>
      <c r="S470" s="29"/>
      <c r="T470" s="29"/>
      <c r="U470" s="28">
        <f>ROUND(ROUND(R470, 2)*K470, 2)</f>
        <v>572.44000000000005</v>
      </c>
      <c r="V470" s="29"/>
      <c r="W470" s="30"/>
    </row>
    <row r="471" spans="1:23" ht="20" x14ac:dyDescent="0.35">
      <c r="A471" s="20" t="s">
        <v>768</v>
      </c>
      <c r="B471" s="20"/>
      <c r="C471" s="25" t="s">
        <v>232</v>
      </c>
      <c r="D471" s="22"/>
      <c r="E471" s="22"/>
      <c r="F471" s="26" t="s">
        <v>58</v>
      </c>
      <c r="G471" s="27">
        <v>0.25</v>
      </c>
      <c r="H471" s="132"/>
      <c r="I471" s="171"/>
      <c r="J471" s="142"/>
      <c r="K471" s="110">
        <v>13.948</v>
      </c>
      <c r="L471" s="63">
        <v>40.270000000000003</v>
      </c>
      <c r="M471" s="29"/>
      <c r="N471" s="91"/>
      <c r="O471" s="63">
        <f>ROUND(ROUND(L471, 2)*K471, 2)</f>
        <v>561.69000000000005</v>
      </c>
      <c r="P471" s="29"/>
      <c r="Q471" s="29"/>
      <c r="R471" s="28">
        <v>40.270000000000003</v>
      </c>
      <c r="S471" s="29"/>
      <c r="T471" s="29"/>
      <c r="U471" s="28">
        <f>ROUND(ROUND(R471, 2)*K471, 2)</f>
        <v>561.69000000000005</v>
      </c>
      <c r="V471" s="29"/>
      <c r="W471" s="30"/>
    </row>
    <row r="472" spans="1:23" ht="54" x14ac:dyDescent="0.35">
      <c r="A472" s="20" t="s">
        <v>769</v>
      </c>
      <c r="B472" s="20" t="s">
        <v>745</v>
      </c>
      <c r="C472" s="21" t="s">
        <v>746</v>
      </c>
      <c r="D472" s="22"/>
      <c r="E472" s="22" t="s">
        <v>770</v>
      </c>
      <c r="F472" s="22" t="s">
        <v>55</v>
      </c>
      <c r="G472" s="23">
        <v>1</v>
      </c>
      <c r="H472" s="131"/>
      <c r="I472" s="171"/>
      <c r="J472" s="142"/>
      <c r="K472" s="98">
        <v>5.65</v>
      </c>
      <c r="L472" s="62">
        <f>IFERROR(ROUND(SUM(O473,O474,O475)/K472, 2),0)</f>
        <v>1141.78</v>
      </c>
      <c r="M472" s="80">
        <v>2364</v>
      </c>
      <c r="N472" s="90">
        <f>L472+ROUND(M472, 2)</f>
        <v>3505.7799999999997</v>
      </c>
      <c r="O472" s="62">
        <f>ROUND(L472*K472, 2)</f>
        <v>6451.06</v>
      </c>
      <c r="P472" s="24">
        <f>ROUND(K472*ROUND(M472, 2), 2)</f>
        <v>13356.6</v>
      </c>
      <c r="Q472" s="24">
        <f>O472+P472</f>
        <v>19807.66</v>
      </c>
      <c r="R472" s="24">
        <f>IFERROR(ROUND(SUM(U473,U474,U475)/K472, 2),0)</f>
        <v>1141.78</v>
      </c>
      <c r="S472" s="24">
        <v>2364</v>
      </c>
      <c r="T472" s="24">
        <f>R472+ROUND(S472, 2)</f>
        <v>3505.7799999999997</v>
      </c>
      <c r="U472" s="24">
        <f>ROUND(R472*K472, 2)</f>
        <v>6451.06</v>
      </c>
      <c r="V472" s="24">
        <f>ROUND(K472*ROUND(S472, 2), 2)</f>
        <v>13356.6</v>
      </c>
      <c r="W472" s="24">
        <f>U472+V472</f>
        <v>19807.66</v>
      </c>
    </row>
    <row r="473" spans="1:23" ht="36" x14ac:dyDescent="0.35">
      <c r="A473" s="20" t="s">
        <v>771</v>
      </c>
      <c r="B473" s="20"/>
      <c r="C473" s="14" t="s">
        <v>772</v>
      </c>
      <c r="D473" s="22"/>
      <c r="E473" s="22" t="s">
        <v>773</v>
      </c>
      <c r="F473" s="26" t="s">
        <v>55</v>
      </c>
      <c r="G473" s="27">
        <v>1.07</v>
      </c>
      <c r="H473" s="132"/>
      <c r="I473" s="171"/>
      <c r="J473" s="142"/>
      <c r="K473" s="110">
        <v>6.0460000000000003</v>
      </c>
      <c r="L473" s="63">
        <v>1019.55</v>
      </c>
      <c r="M473" s="29"/>
      <c r="N473" s="91"/>
      <c r="O473" s="63">
        <f>ROUND(ROUND(L473, 2)*K473, 2)</f>
        <v>6164.2</v>
      </c>
      <c r="P473" s="29"/>
      <c r="Q473" s="29"/>
      <c r="R473" s="28">
        <v>1019.55</v>
      </c>
      <c r="S473" s="29"/>
      <c r="T473" s="29"/>
      <c r="U473" s="28">
        <f>ROUND(ROUND(R473, 2)*K473, 2)</f>
        <v>6164.2</v>
      </c>
      <c r="V473" s="29"/>
      <c r="W473" s="30"/>
    </row>
    <row r="474" spans="1:23" ht="54" x14ac:dyDescent="0.35">
      <c r="A474" s="20" t="s">
        <v>774</v>
      </c>
      <c r="B474" s="20"/>
      <c r="C474" s="14" t="s">
        <v>370</v>
      </c>
      <c r="D474" s="22"/>
      <c r="E474" s="22" t="s">
        <v>220</v>
      </c>
      <c r="F474" s="26" t="s">
        <v>58</v>
      </c>
      <c r="G474" s="27">
        <v>1.2</v>
      </c>
      <c r="H474" s="132"/>
      <c r="I474" s="171"/>
      <c r="J474" s="142"/>
      <c r="K474" s="110">
        <v>13.56</v>
      </c>
      <c r="L474" s="63">
        <v>16.96</v>
      </c>
      <c r="M474" s="29"/>
      <c r="N474" s="91"/>
      <c r="O474" s="63">
        <f>ROUND(ROUND(L474, 2)*K474, 2)</f>
        <v>229.98</v>
      </c>
      <c r="P474" s="29"/>
      <c r="Q474" s="29"/>
      <c r="R474" s="28">
        <v>16.96</v>
      </c>
      <c r="S474" s="29"/>
      <c r="T474" s="29"/>
      <c r="U474" s="28">
        <f>ROUND(ROUND(R474, 2)*K474, 2)</f>
        <v>229.98</v>
      </c>
      <c r="V474" s="29"/>
      <c r="W474" s="30"/>
    </row>
    <row r="475" spans="1:23" ht="20" x14ac:dyDescent="0.35">
      <c r="A475" s="20" t="s">
        <v>775</v>
      </c>
      <c r="B475" s="20"/>
      <c r="C475" s="25" t="s">
        <v>232</v>
      </c>
      <c r="D475" s="22"/>
      <c r="E475" s="22"/>
      <c r="F475" s="26" t="s">
        <v>58</v>
      </c>
      <c r="G475" s="27">
        <v>0.25</v>
      </c>
      <c r="H475" s="132"/>
      <c r="I475" s="171"/>
      <c r="J475" s="142"/>
      <c r="K475" s="110">
        <v>1.413</v>
      </c>
      <c r="L475" s="63">
        <v>40.270000000000003</v>
      </c>
      <c r="M475" s="29"/>
      <c r="N475" s="91"/>
      <c r="O475" s="63">
        <f>ROUND(ROUND(L475, 2)*K475, 2)</f>
        <v>56.9</v>
      </c>
      <c r="P475" s="29"/>
      <c r="Q475" s="29"/>
      <c r="R475" s="28">
        <v>40.270000000000003</v>
      </c>
      <c r="S475" s="29"/>
      <c r="T475" s="29"/>
      <c r="U475" s="28">
        <f>ROUND(ROUND(R475, 2)*K475, 2)</f>
        <v>56.9</v>
      </c>
      <c r="V475" s="29"/>
      <c r="W475" s="30"/>
    </row>
    <row r="476" spans="1:23" ht="54" x14ac:dyDescent="0.35">
      <c r="A476" s="20" t="s">
        <v>776</v>
      </c>
      <c r="B476" s="20" t="s">
        <v>745</v>
      </c>
      <c r="C476" s="21" t="s">
        <v>746</v>
      </c>
      <c r="D476" s="22"/>
      <c r="E476" s="22" t="s">
        <v>777</v>
      </c>
      <c r="F476" s="22" t="s">
        <v>55</v>
      </c>
      <c r="G476" s="23">
        <v>1</v>
      </c>
      <c r="H476" s="131"/>
      <c r="I476" s="171"/>
      <c r="J476" s="142"/>
      <c r="K476" s="98">
        <v>8.18</v>
      </c>
      <c r="L476" s="62">
        <f>IFERROR(ROUND(SUM(O477,O478,O479,O480)/K476, 2),0)</f>
        <v>1278.96</v>
      </c>
      <c r="M476" s="80">
        <v>2364</v>
      </c>
      <c r="N476" s="90">
        <f>L476+ROUND(M476, 2)</f>
        <v>3642.96</v>
      </c>
      <c r="O476" s="62">
        <f>ROUND(L476*K476, 2)</f>
        <v>10461.89</v>
      </c>
      <c r="P476" s="24">
        <f>ROUND(K476*ROUND(M476, 2), 2)</f>
        <v>19337.52</v>
      </c>
      <c r="Q476" s="24">
        <f>O476+P476</f>
        <v>29799.41</v>
      </c>
      <c r="R476" s="24">
        <f>IFERROR(ROUND(SUM(U477,U478,U479,U480)/K476, 2),0)</f>
        <v>1278.96</v>
      </c>
      <c r="S476" s="24">
        <v>2364</v>
      </c>
      <c r="T476" s="24">
        <f>R476+ROUND(S476, 2)</f>
        <v>3642.96</v>
      </c>
      <c r="U476" s="24">
        <f>ROUND(R476*K476, 2)</f>
        <v>10461.89</v>
      </c>
      <c r="V476" s="24">
        <f>ROUND(K476*ROUND(S476, 2), 2)</f>
        <v>19337.52</v>
      </c>
      <c r="W476" s="24">
        <f>U476+V476</f>
        <v>29799.41</v>
      </c>
    </row>
    <row r="477" spans="1:23" ht="54" x14ac:dyDescent="0.35">
      <c r="A477" s="20" t="s">
        <v>778</v>
      </c>
      <c r="B477" s="20"/>
      <c r="C477" s="14" t="s">
        <v>764</v>
      </c>
      <c r="D477" s="22"/>
      <c r="E477" s="22" t="s">
        <v>779</v>
      </c>
      <c r="F477" s="26" t="s">
        <v>55</v>
      </c>
      <c r="G477" s="27">
        <v>1.07</v>
      </c>
      <c r="H477" s="132"/>
      <c r="I477" s="171"/>
      <c r="J477" s="142"/>
      <c r="K477" s="110">
        <v>8.7530000000000001</v>
      </c>
      <c r="L477" s="63">
        <v>1138.2</v>
      </c>
      <c r="M477" s="29"/>
      <c r="N477" s="91"/>
      <c r="O477" s="63">
        <f>ROUND(ROUND(L477, 2)*K477, 2)</f>
        <v>9962.66</v>
      </c>
      <c r="P477" s="29"/>
      <c r="Q477" s="29"/>
      <c r="R477" s="28">
        <v>1138.2</v>
      </c>
      <c r="S477" s="29"/>
      <c r="T477" s="29"/>
      <c r="U477" s="28">
        <f>ROUND(ROUND(R477, 2)*K477, 2)</f>
        <v>9962.66</v>
      </c>
      <c r="V477" s="29"/>
      <c r="W477" s="30"/>
    </row>
    <row r="478" spans="1:23" ht="54" x14ac:dyDescent="0.35">
      <c r="A478" s="20" t="s">
        <v>780</v>
      </c>
      <c r="B478" s="20"/>
      <c r="C478" s="14" t="s">
        <v>370</v>
      </c>
      <c r="D478" s="22"/>
      <c r="E478" s="22" t="s">
        <v>220</v>
      </c>
      <c r="F478" s="26" t="s">
        <v>58</v>
      </c>
      <c r="G478" s="27">
        <v>1.2</v>
      </c>
      <c r="H478" s="132"/>
      <c r="I478" s="171"/>
      <c r="J478" s="142"/>
      <c r="K478" s="110">
        <v>19.632000000000001</v>
      </c>
      <c r="L478" s="63">
        <v>16.96</v>
      </c>
      <c r="M478" s="29"/>
      <c r="N478" s="91"/>
      <c r="O478" s="63">
        <f>ROUND(ROUND(L478, 2)*K478, 2)</f>
        <v>332.96</v>
      </c>
      <c r="P478" s="29"/>
      <c r="Q478" s="29"/>
      <c r="R478" s="28">
        <v>16.96</v>
      </c>
      <c r="S478" s="29"/>
      <c r="T478" s="29"/>
      <c r="U478" s="28">
        <f>ROUND(ROUND(R478, 2)*K478, 2)</f>
        <v>332.96</v>
      </c>
      <c r="V478" s="29"/>
      <c r="W478" s="30"/>
    </row>
    <row r="479" spans="1:23" ht="36" x14ac:dyDescent="0.35">
      <c r="A479" s="20" t="s">
        <v>781</v>
      </c>
      <c r="B479" s="20"/>
      <c r="C479" s="25" t="s">
        <v>245</v>
      </c>
      <c r="D479" s="22"/>
      <c r="E479" s="22"/>
      <c r="F479" s="26" t="s">
        <v>58</v>
      </c>
      <c r="G479" s="27">
        <v>0.15</v>
      </c>
      <c r="H479" s="132"/>
      <c r="I479" s="171"/>
      <c r="J479" s="142"/>
      <c r="K479" s="99">
        <v>1.2270000000000001</v>
      </c>
      <c r="L479" s="63">
        <v>68.400000000000006</v>
      </c>
      <c r="M479" s="29"/>
      <c r="N479" s="91"/>
      <c r="O479" s="63">
        <f>ROUND(ROUND(L479, 2)*K479, 2)</f>
        <v>83.93</v>
      </c>
      <c r="P479" s="29"/>
      <c r="Q479" s="29"/>
      <c r="R479" s="28">
        <v>68.400000000000006</v>
      </c>
      <c r="S479" s="29"/>
      <c r="T479" s="29"/>
      <c r="U479" s="28">
        <f>ROUND(ROUND(R479, 2)*K479, 2)</f>
        <v>83.93</v>
      </c>
      <c r="V479" s="29"/>
      <c r="W479" s="30"/>
    </row>
    <row r="480" spans="1:23" ht="20" x14ac:dyDescent="0.35">
      <c r="A480" s="20" t="s">
        <v>782</v>
      </c>
      <c r="B480" s="20"/>
      <c r="C480" s="25" t="s">
        <v>232</v>
      </c>
      <c r="D480" s="22"/>
      <c r="E480" s="22"/>
      <c r="F480" s="26" t="s">
        <v>58</v>
      </c>
      <c r="G480" s="27">
        <v>0.25</v>
      </c>
      <c r="H480" s="132"/>
      <c r="I480" s="171"/>
      <c r="J480" s="142"/>
      <c r="K480" s="110">
        <v>2.0449999999999999</v>
      </c>
      <c r="L480" s="63">
        <v>40.270000000000003</v>
      </c>
      <c r="M480" s="29"/>
      <c r="N480" s="91"/>
      <c r="O480" s="63">
        <f>ROUND(ROUND(L480, 2)*K480, 2)</f>
        <v>82.35</v>
      </c>
      <c r="P480" s="29"/>
      <c r="Q480" s="29"/>
      <c r="R480" s="28">
        <v>40.270000000000003</v>
      </c>
      <c r="S480" s="29"/>
      <c r="T480" s="29"/>
      <c r="U480" s="28">
        <f>ROUND(ROUND(R480, 2)*K480, 2)</f>
        <v>82.35</v>
      </c>
      <c r="V480" s="29"/>
      <c r="W480" s="30"/>
    </row>
    <row r="481" spans="1:23" ht="54" x14ac:dyDescent="0.35">
      <c r="A481" s="20" t="s">
        <v>783</v>
      </c>
      <c r="B481" s="20" t="s">
        <v>745</v>
      </c>
      <c r="C481" s="21" t="s">
        <v>746</v>
      </c>
      <c r="D481" s="22"/>
      <c r="E481" s="22" t="s">
        <v>784</v>
      </c>
      <c r="F481" s="22" t="s">
        <v>55</v>
      </c>
      <c r="G481" s="23">
        <v>1</v>
      </c>
      <c r="H481" s="131"/>
      <c r="I481" s="171"/>
      <c r="J481" s="142"/>
      <c r="K481" s="98">
        <v>175.58</v>
      </c>
      <c r="L481" s="62">
        <f>IFERROR(ROUND(SUM(O482,O483,O484)/K481, 2),0)</f>
        <v>1532.67</v>
      </c>
      <c r="M481" s="80">
        <v>2364</v>
      </c>
      <c r="N481" s="90">
        <f>L481+ROUND(M481, 2)</f>
        <v>3896.67</v>
      </c>
      <c r="O481" s="62">
        <f>ROUND(L481*K481, 2)</f>
        <v>269106.2</v>
      </c>
      <c r="P481" s="24">
        <f>ROUND(K481*ROUND(M481, 2), 2)</f>
        <v>415071.12</v>
      </c>
      <c r="Q481" s="24">
        <f>O481+P481</f>
        <v>684177.32000000007</v>
      </c>
      <c r="R481" s="24">
        <f>IFERROR(ROUND(SUM(U482,U483,U484)/K481, 2),0)</f>
        <v>1532.67</v>
      </c>
      <c r="S481" s="24">
        <v>2364</v>
      </c>
      <c r="T481" s="24">
        <f>R481+ROUND(S481, 2)</f>
        <v>3896.67</v>
      </c>
      <c r="U481" s="24">
        <f>ROUND(R481*K481, 2)</f>
        <v>269106.2</v>
      </c>
      <c r="V481" s="24">
        <f>ROUND(K481*ROUND(S481, 2), 2)</f>
        <v>415071.12</v>
      </c>
      <c r="W481" s="24">
        <f>U481+V481</f>
        <v>684177.32000000007</v>
      </c>
    </row>
    <row r="482" spans="1:23" ht="36" x14ac:dyDescent="0.35">
      <c r="A482" s="20" t="s">
        <v>785</v>
      </c>
      <c r="B482" s="20"/>
      <c r="C482" s="14" t="s">
        <v>360</v>
      </c>
      <c r="D482" s="22"/>
      <c r="E482" s="22" t="s">
        <v>786</v>
      </c>
      <c r="F482" s="26" t="s">
        <v>55</v>
      </c>
      <c r="G482" s="27">
        <v>1.07</v>
      </c>
      <c r="H482" s="132"/>
      <c r="I482" s="171"/>
      <c r="J482" s="142"/>
      <c r="K482" s="110">
        <v>187.87100000000001</v>
      </c>
      <c r="L482" s="63">
        <v>1384.95</v>
      </c>
      <c r="M482" s="29"/>
      <c r="N482" s="91"/>
      <c r="O482" s="63">
        <f>ROUND(ROUND(L482, 2)*K482, 2)</f>
        <v>260191.94</v>
      </c>
      <c r="P482" s="29"/>
      <c r="Q482" s="29"/>
      <c r="R482" s="28">
        <v>1384.95</v>
      </c>
      <c r="S482" s="29"/>
      <c r="T482" s="29"/>
      <c r="U482" s="28">
        <f>ROUND(ROUND(R482, 2)*K482, 2)</f>
        <v>260191.94</v>
      </c>
      <c r="V482" s="29"/>
      <c r="W482" s="30"/>
    </row>
    <row r="483" spans="1:23" ht="54" x14ac:dyDescent="0.35">
      <c r="A483" s="20" t="s">
        <v>787</v>
      </c>
      <c r="B483" s="20"/>
      <c r="C483" s="14" t="s">
        <v>370</v>
      </c>
      <c r="D483" s="22"/>
      <c r="E483" s="22" t="s">
        <v>220</v>
      </c>
      <c r="F483" s="26" t="s">
        <v>58</v>
      </c>
      <c r="G483" s="27">
        <v>1.2</v>
      </c>
      <c r="H483" s="132"/>
      <c r="I483" s="171"/>
      <c r="J483" s="142"/>
      <c r="K483" s="110">
        <v>421.392</v>
      </c>
      <c r="L483" s="63">
        <v>16.96</v>
      </c>
      <c r="M483" s="29"/>
      <c r="N483" s="91"/>
      <c r="O483" s="63">
        <f>ROUND(ROUND(L483, 2)*K483, 2)</f>
        <v>7146.81</v>
      </c>
      <c r="P483" s="29"/>
      <c r="Q483" s="29"/>
      <c r="R483" s="28">
        <v>16.96</v>
      </c>
      <c r="S483" s="29"/>
      <c r="T483" s="29"/>
      <c r="U483" s="28">
        <f>ROUND(ROUND(R483, 2)*K483, 2)</f>
        <v>7146.81</v>
      </c>
      <c r="V483" s="29"/>
      <c r="W483" s="30"/>
    </row>
    <row r="484" spans="1:23" ht="20" x14ac:dyDescent="0.35">
      <c r="A484" s="20" t="s">
        <v>788</v>
      </c>
      <c r="B484" s="20"/>
      <c r="C484" s="25" t="s">
        <v>232</v>
      </c>
      <c r="D484" s="22"/>
      <c r="E484" s="22"/>
      <c r="F484" s="26" t="s">
        <v>58</v>
      </c>
      <c r="G484" s="27">
        <v>0.25</v>
      </c>
      <c r="H484" s="132"/>
      <c r="I484" s="171"/>
      <c r="J484" s="142"/>
      <c r="K484" s="110">
        <v>43.895000000000003</v>
      </c>
      <c r="L484" s="63">
        <v>40.270000000000003</v>
      </c>
      <c r="M484" s="29"/>
      <c r="N484" s="91"/>
      <c r="O484" s="63">
        <f>ROUND(ROUND(L484, 2)*K484, 2)</f>
        <v>1767.65</v>
      </c>
      <c r="P484" s="29"/>
      <c r="Q484" s="29"/>
      <c r="R484" s="28">
        <v>40.270000000000003</v>
      </c>
      <c r="S484" s="29"/>
      <c r="T484" s="29"/>
      <c r="U484" s="28">
        <f>ROUND(ROUND(R484, 2)*K484, 2)</f>
        <v>1767.65</v>
      </c>
      <c r="V484" s="29"/>
      <c r="W484" s="30"/>
    </row>
    <row r="485" spans="1:23" ht="54" x14ac:dyDescent="0.35">
      <c r="A485" s="20" t="s">
        <v>789</v>
      </c>
      <c r="B485" s="20" t="s">
        <v>745</v>
      </c>
      <c r="C485" s="21" t="s">
        <v>746</v>
      </c>
      <c r="D485" s="22"/>
      <c r="E485" s="22" t="s">
        <v>790</v>
      </c>
      <c r="F485" s="22" t="s">
        <v>55</v>
      </c>
      <c r="G485" s="23">
        <v>1</v>
      </c>
      <c r="H485" s="131"/>
      <c r="I485" s="171"/>
      <c r="J485" s="142"/>
      <c r="K485" s="98">
        <v>400.4</v>
      </c>
      <c r="L485" s="62">
        <f>IFERROR(ROUND(SUM(O486,O487,O488,O489,O490)/K485, 2),0)</f>
        <v>1538.96</v>
      </c>
      <c r="M485" s="80">
        <v>2364</v>
      </c>
      <c r="N485" s="90">
        <f>L485+ROUND(M485, 2)</f>
        <v>3902.96</v>
      </c>
      <c r="O485" s="62">
        <f>ROUND(L485*K485, 2)</f>
        <v>616199.57999999996</v>
      </c>
      <c r="P485" s="24">
        <f>ROUND(K485*ROUND(M485, 2), 2)</f>
        <v>946545.6</v>
      </c>
      <c r="Q485" s="24">
        <f>O485+P485</f>
        <v>1562745.18</v>
      </c>
      <c r="R485" s="24">
        <f>IFERROR(ROUND(SUM(U486,U487,U488,U489,U490)/K485, 2),0)</f>
        <v>1538.96</v>
      </c>
      <c r="S485" s="24">
        <v>2364</v>
      </c>
      <c r="T485" s="24">
        <f>R485+ROUND(S485, 2)</f>
        <v>3902.96</v>
      </c>
      <c r="U485" s="24">
        <f>ROUND(R485*K485, 2)</f>
        <v>616199.57999999996</v>
      </c>
      <c r="V485" s="24">
        <f>ROUND(K485*ROUND(S485, 2), 2)</f>
        <v>946545.6</v>
      </c>
      <c r="W485" s="24">
        <f>U485+V485</f>
        <v>1562745.18</v>
      </c>
    </row>
    <row r="486" spans="1:23" ht="54" x14ac:dyDescent="0.35">
      <c r="A486" s="20" t="s">
        <v>791</v>
      </c>
      <c r="B486" s="20"/>
      <c r="C486" s="14" t="s">
        <v>360</v>
      </c>
      <c r="D486" s="22"/>
      <c r="E486" s="22" t="s">
        <v>792</v>
      </c>
      <c r="F486" s="26" t="s">
        <v>55</v>
      </c>
      <c r="G486" s="27">
        <v>1.07</v>
      </c>
      <c r="H486" s="132"/>
      <c r="I486" s="171"/>
      <c r="J486" s="142"/>
      <c r="K486" s="110">
        <v>428.428</v>
      </c>
      <c r="L486" s="63">
        <v>1384.95</v>
      </c>
      <c r="M486" s="29"/>
      <c r="N486" s="91"/>
      <c r="O486" s="63">
        <f>ROUND(ROUND(L486, 2)*K486, 2)</f>
        <v>593351.36</v>
      </c>
      <c r="P486" s="29"/>
      <c r="Q486" s="29"/>
      <c r="R486" s="28">
        <v>1384.95</v>
      </c>
      <c r="S486" s="29"/>
      <c r="T486" s="29"/>
      <c r="U486" s="28">
        <f>ROUND(ROUND(R486, 2)*K486, 2)</f>
        <v>593351.36</v>
      </c>
      <c r="V486" s="29"/>
      <c r="W486" s="30"/>
    </row>
    <row r="487" spans="1:23" ht="54" x14ac:dyDescent="0.35">
      <c r="A487" s="20" t="s">
        <v>793</v>
      </c>
      <c r="B487" s="20"/>
      <c r="C487" s="14" t="s">
        <v>794</v>
      </c>
      <c r="D487" s="22"/>
      <c r="E487" s="22" t="s">
        <v>795</v>
      </c>
      <c r="F487" s="26" t="s">
        <v>67</v>
      </c>
      <c r="G487" s="27">
        <v>0.23</v>
      </c>
      <c r="H487" s="132"/>
      <c r="I487" s="171"/>
      <c r="J487" s="142"/>
      <c r="K487" s="110">
        <v>12.537000000000001</v>
      </c>
      <c r="L487" s="63">
        <v>96.24</v>
      </c>
      <c r="M487" s="29"/>
      <c r="N487" s="91"/>
      <c r="O487" s="63">
        <f>ROUND(ROUND(L487, 2)*K487, 2)</f>
        <v>1206.56</v>
      </c>
      <c r="P487" s="29"/>
      <c r="Q487" s="29"/>
      <c r="R487" s="28">
        <v>96.24</v>
      </c>
      <c r="S487" s="29"/>
      <c r="T487" s="29"/>
      <c r="U487" s="28">
        <f>ROUND(ROUND(R487, 2)*K487, 2)</f>
        <v>1206.56</v>
      </c>
      <c r="V487" s="29"/>
      <c r="W487" s="30"/>
    </row>
    <row r="488" spans="1:23" ht="54" x14ac:dyDescent="0.35">
      <c r="A488" s="20" t="s">
        <v>796</v>
      </c>
      <c r="B488" s="20"/>
      <c r="C488" s="25" t="s">
        <v>558</v>
      </c>
      <c r="D488" s="22"/>
      <c r="E488" s="22" t="s">
        <v>797</v>
      </c>
      <c r="F488" s="26" t="s">
        <v>67</v>
      </c>
      <c r="G488" s="27">
        <v>0.23</v>
      </c>
      <c r="H488" s="132"/>
      <c r="I488" s="171"/>
      <c r="J488" s="142"/>
      <c r="K488" s="110">
        <v>13.444000000000001</v>
      </c>
      <c r="L488" s="63">
        <v>97.71</v>
      </c>
      <c r="M488" s="29"/>
      <c r="N488" s="91"/>
      <c r="O488" s="63">
        <f>ROUND(ROUND(L488, 2)*K488, 2)</f>
        <v>1313.61</v>
      </c>
      <c r="P488" s="29"/>
      <c r="Q488" s="29"/>
      <c r="R488" s="28">
        <v>97.71</v>
      </c>
      <c r="S488" s="29"/>
      <c r="T488" s="29"/>
      <c r="U488" s="28">
        <f>ROUND(ROUND(R488, 2)*K488, 2)</f>
        <v>1313.61</v>
      </c>
      <c r="V488" s="29"/>
      <c r="W488" s="30"/>
    </row>
    <row r="489" spans="1:23" ht="54" x14ac:dyDescent="0.35">
      <c r="A489" s="20" t="s">
        <v>798</v>
      </c>
      <c r="B489" s="20"/>
      <c r="C489" s="14" t="s">
        <v>370</v>
      </c>
      <c r="D489" s="22"/>
      <c r="E489" s="22" t="s">
        <v>220</v>
      </c>
      <c r="F489" s="26" t="s">
        <v>58</v>
      </c>
      <c r="G489" s="27">
        <v>1.2</v>
      </c>
      <c r="H489" s="132"/>
      <c r="I489" s="171"/>
      <c r="J489" s="142"/>
      <c r="K489" s="110">
        <v>960.96</v>
      </c>
      <c r="L489" s="63">
        <v>16.96</v>
      </c>
      <c r="M489" s="29"/>
      <c r="N489" s="91"/>
      <c r="O489" s="63">
        <f>ROUND(ROUND(L489, 2)*K489, 2)</f>
        <v>16297.88</v>
      </c>
      <c r="P489" s="29"/>
      <c r="Q489" s="29"/>
      <c r="R489" s="28">
        <v>16.96</v>
      </c>
      <c r="S489" s="29"/>
      <c r="T489" s="29"/>
      <c r="U489" s="28">
        <f>ROUND(ROUND(R489, 2)*K489, 2)</f>
        <v>16297.88</v>
      </c>
      <c r="V489" s="29"/>
      <c r="W489" s="30"/>
    </row>
    <row r="490" spans="1:23" ht="20" x14ac:dyDescent="0.35">
      <c r="A490" s="20" t="s">
        <v>799</v>
      </c>
      <c r="B490" s="20"/>
      <c r="C490" s="25" t="s">
        <v>575</v>
      </c>
      <c r="D490" s="22"/>
      <c r="E490" s="22" t="s">
        <v>800</v>
      </c>
      <c r="F490" s="26" t="s">
        <v>58</v>
      </c>
      <c r="G490" s="27">
        <v>0.25</v>
      </c>
      <c r="H490" s="132"/>
      <c r="I490" s="171"/>
      <c r="J490" s="142"/>
      <c r="K490" s="110">
        <v>100.1</v>
      </c>
      <c r="L490" s="63">
        <v>40.270000000000003</v>
      </c>
      <c r="M490" s="29"/>
      <c r="N490" s="91"/>
      <c r="O490" s="63">
        <f>ROUND(ROUND(L490, 2)*K490, 2)</f>
        <v>4031.03</v>
      </c>
      <c r="P490" s="29"/>
      <c r="Q490" s="29"/>
      <c r="R490" s="28">
        <v>40.270000000000003</v>
      </c>
      <c r="S490" s="29"/>
      <c r="T490" s="29"/>
      <c r="U490" s="28">
        <f>ROUND(ROUND(R490, 2)*K490, 2)</f>
        <v>4031.03</v>
      </c>
      <c r="V490" s="29"/>
      <c r="W490" s="30"/>
    </row>
    <row r="491" spans="1:23" ht="54" x14ac:dyDescent="0.35">
      <c r="A491" s="20" t="s">
        <v>801</v>
      </c>
      <c r="B491" s="20" t="s">
        <v>745</v>
      </c>
      <c r="C491" s="21" t="s">
        <v>746</v>
      </c>
      <c r="D491" s="22"/>
      <c r="E491" s="22" t="s">
        <v>802</v>
      </c>
      <c r="F491" s="22" t="s">
        <v>55</v>
      </c>
      <c r="G491" s="23">
        <v>1</v>
      </c>
      <c r="H491" s="131"/>
      <c r="I491" s="171"/>
      <c r="J491" s="142"/>
      <c r="K491" s="98">
        <v>158.19</v>
      </c>
      <c r="L491" s="62">
        <f>IFERROR(ROUND(SUM(O492,O493,O494,O495,O496)/K491, 2),0)</f>
        <v>1077.02</v>
      </c>
      <c r="M491" s="80">
        <v>2364</v>
      </c>
      <c r="N491" s="90">
        <f>L491+ROUND(M491, 2)</f>
        <v>3441.02</v>
      </c>
      <c r="O491" s="62">
        <f>ROUND(L491*K491, 2)</f>
        <v>170373.79</v>
      </c>
      <c r="P491" s="24">
        <f>ROUND(K491*ROUND(M491, 2), 2)</f>
        <v>373961.16</v>
      </c>
      <c r="Q491" s="24">
        <f>O491+P491</f>
        <v>544334.94999999995</v>
      </c>
      <c r="R491" s="24">
        <f>IFERROR(ROUND(SUM(U492,U493,U494,U495,U496)/K491, 2),0)</f>
        <v>1077.02</v>
      </c>
      <c r="S491" s="24">
        <v>2364</v>
      </c>
      <c r="T491" s="24">
        <f>R491+ROUND(S491, 2)</f>
        <v>3441.02</v>
      </c>
      <c r="U491" s="24">
        <f>ROUND(R491*K491, 2)</f>
        <v>170373.79</v>
      </c>
      <c r="V491" s="24">
        <f>ROUND(K491*ROUND(S491, 2), 2)</f>
        <v>373961.16</v>
      </c>
      <c r="W491" s="24">
        <f>U491+V491</f>
        <v>544334.94999999995</v>
      </c>
    </row>
    <row r="492" spans="1:23" ht="54" x14ac:dyDescent="0.35">
      <c r="A492" s="20" t="s">
        <v>803</v>
      </c>
      <c r="B492" s="20"/>
      <c r="C492" s="14" t="s">
        <v>752</v>
      </c>
      <c r="D492" s="22"/>
      <c r="E492" s="22" t="s">
        <v>804</v>
      </c>
      <c r="F492" s="26" t="s">
        <v>55</v>
      </c>
      <c r="G492" s="27">
        <v>1.07</v>
      </c>
      <c r="H492" s="132"/>
      <c r="I492" s="171"/>
      <c r="J492" s="142"/>
      <c r="K492" s="110">
        <v>169.26300000000001</v>
      </c>
      <c r="L492" s="63">
        <v>945</v>
      </c>
      <c r="M492" s="29"/>
      <c r="N492" s="91"/>
      <c r="O492" s="63">
        <f>ROUND(ROUND(L492, 2)*K492, 2)</f>
        <v>159953.54</v>
      </c>
      <c r="P492" s="29"/>
      <c r="Q492" s="29"/>
      <c r="R492" s="28">
        <v>945</v>
      </c>
      <c r="S492" s="29"/>
      <c r="T492" s="29"/>
      <c r="U492" s="28">
        <f>ROUND(ROUND(R492, 2)*K492, 2)</f>
        <v>159953.54</v>
      </c>
      <c r="V492" s="29"/>
      <c r="W492" s="30"/>
    </row>
    <row r="493" spans="1:23" ht="72" x14ac:dyDescent="0.35">
      <c r="A493" s="20" t="s">
        <v>805</v>
      </c>
      <c r="B493" s="20"/>
      <c r="C493" s="14" t="s">
        <v>794</v>
      </c>
      <c r="D493" s="22"/>
      <c r="E493" s="22" t="s">
        <v>806</v>
      </c>
      <c r="F493" s="26" t="s">
        <v>67</v>
      </c>
      <c r="G493" s="27">
        <v>0.23</v>
      </c>
      <c r="H493" s="132"/>
      <c r="I493" s="171"/>
      <c r="J493" s="142"/>
      <c r="K493" s="110">
        <v>7.9489999999999998</v>
      </c>
      <c r="L493" s="63">
        <v>96.24</v>
      </c>
      <c r="M493" s="29"/>
      <c r="N493" s="91"/>
      <c r="O493" s="63">
        <f>ROUND(ROUND(L493, 2)*K493, 2)</f>
        <v>765.01</v>
      </c>
      <c r="P493" s="29"/>
      <c r="Q493" s="29"/>
      <c r="R493" s="28">
        <v>96.24</v>
      </c>
      <c r="S493" s="29"/>
      <c r="T493" s="29"/>
      <c r="U493" s="28">
        <f>ROUND(ROUND(R493, 2)*K493, 2)</f>
        <v>765.01</v>
      </c>
      <c r="V493" s="29"/>
      <c r="W493" s="30"/>
    </row>
    <row r="494" spans="1:23" ht="54" x14ac:dyDescent="0.35">
      <c r="A494" s="20" t="s">
        <v>807</v>
      </c>
      <c r="B494" s="20"/>
      <c r="C494" s="14" t="s">
        <v>370</v>
      </c>
      <c r="D494" s="22"/>
      <c r="E494" s="22" t="s">
        <v>220</v>
      </c>
      <c r="F494" s="26" t="s">
        <v>58</v>
      </c>
      <c r="G494" s="27">
        <v>1.2</v>
      </c>
      <c r="H494" s="132"/>
      <c r="I494" s="171"/>
      <c r="J494" s="142"/>
      <c r="K494" s="110">
        <v>379.65600000000001</v>
      </c>
      <c r="L494" s="63">
        <v>16.96</v>
      </c>
      <c r="M494" s="29"/>
      <c r="N494" s="91"/>
      <c r="O494" s="63">
        <f>ROUND(ROUND(L494, 2)*K494, 2)</f>
        <v>6438.97</v>
      </c>
      <c r="P494" s="29"/>
      <c r="Q494" s="29"/>
      <c r="R494" s="28">
        <v>16.96</v>
      </c>
      <c r="S494" s="29"/>
      <c r="T494" s="29"/>
      <c r="U494" s="28">
        <f>ROUND(ROUND(R494, 2)*K494, 2)</f>
        <v>6438.97</v>
      </c>
      <c r="V494" s="29"/>
      <c r="W494" s="30"/>
    </row>
    <row r="495" spans="1:23" ht="36" x14ac:dyDescent="0.35">
      <c r="A495" s="20" t="s">
        <v>808</v>
      </c>
      <c r="B495" s="20"/>
      <c r="C495" s="25" t="s">
        <v>245</v>
      </c>
      <c r="D495" s="22"/>
      <c r="E495" s="22"/>
      <c r="F495" s="26" t="s">
        <v>58</v>
      </c>
      <c r="G495" s="27">
        <v>0.15</v>
      </c>
      <c r="H495" s="132"/>
      <c r="I495" s="171"/>
      <c r="J495" s="142"/>
      <c r="K495" s="99">
        <v>23.728999999999999</v>
      </c>
      <c r="L495" s="63">
        <v>68.400000000000006</v>
      </c>
      <c r="M495" s="29"/>
      <c r="N495" s="91"/>
      <c r="O495" s="63">
        <f>ROUND(ROUND(L495, 2)*K495, 2)</f>
        <v>1623.06</v>
      </c>
      <c r="P495" s="29"/>
      <c r="Q495" s="29"/>
      <c r="R495" s="28">
        <v>68.400000000000006</v>
      </c>
      <c r="S495" s="29"/>
      <c r="T495" s="29"/>
      <c r="U495" s="28">
        <f>ROUND(ROUND(R495, 2)*K495, 2)</f>
        <v>1623.06</v>
      </c>
      <c r="V495" s="29"/>
      <c r="W495" s="30"/>
    </row>
    <row r="496" spans="1:23" ht="20" x14ac:dyDescent="0.35">
      <c r="A496" s="20" t="s">
        <v>809</v>
      </c>
      <c r="B496" s="20"/>
      <c r="C496" s="25" t="s">
        <v>232</v>
      </c>
      <c r="D496" s="22"/>
      <c r="E496" s="22"/>
      <c r="F496" s="26" t="s">
        <v>58</v>
      </c>
      <c r="G496" s="27">
        <v>0.25</v>
      </c>
      <c r="H496" s="132"/>
      <c r="I496" s="171"/>
      <c r="J496" s="142"/>
      <c r="K496" s="110">
        <v>39.548000000000002</v>
      </c>
      <c r="L496" s="63">
        <v>40.270000000000003</v>
      </c>
      <c r="M496" s="29"/>
      <c r="N496" s="91"/>
      <c r="O496" s="63">
        <f>ROUND(ROUND(L496, 2)*K496, 2)</f>
        <v>1592.6</v>
      </c>
      <c r="P496" s="29"/>
      <c r="Q496" s="29"/>
      <c r="R496" s="28">
        <v>40.270000000000003</v>
      </c>
      <c r="S496" s="29"/>
      <c r="T496" s="29"/>
      <c r="U496" s="28">
        <f>ROUND(ROUND(R496, 2)*K496, 2)</f>
        <v>1592.6</v>
      </c>
      <c r="V496" s="29"/>
      <c r="W496" s="30"/>
    </row>
    <row r="497" spans="1:23" ht="54" x14ac:dyDescent="0.35">
      <c r="A497" s="20" t="s">
        <v>810</v>
      </c>
      <c r="B497" s="20" t="s">
        <v>745</v>
      </c>
      <c r="C497" s="21" t="s">
        <v>746</v>
      </c>
      <c r="D497" s="22"/>
      <c r="E497" s="22" t="s">
        <v>811</v>
      </c>
      <c r="F497" s="22" t="s">
        <v>55</v>
      </c>
      <c r="G497" s="23">
        <v>1</v>
      </c>
      <c r="H497" s="131"/>
      <c r="I497" s="171"/>
      <c r="J497" s="142"/>
      <c r="K497" s="98">
        <v>15.27</v>
      </c>
      <c r="L497" s="62">
        <f>IFERROR(ROUND(SUM(O498,O499,O500,O501)/K497, 2),0)</f>
        <v>1542.94</v>
      </c>
      <c r="M497" s="80">
        <v>2364</v>
      </c>
      <c r="N497" s="90">
        <f>L497+ROUND(M497, 2)</f>
        <v>3906.94</v>
      </c>
      <c r="O497" s="62">
        <f>ROUND(L497*K497, 2)</f>
        <v>23560.69</v>
      </c>
      <c r="P497" s="24">
        <f>ROUND(K497*ROUND(M497, 2), 2)</f>
        <v>36098.28</v>
      </c>
      <c r="Q497" s="24">
        <f>O497+P497</f>
        <v>59658.97</v>
      </c>
      <c r="R497" s="24">
        <f>IFERROR(ROUND(SUM(U498,U499,U500,U501)/K497, 2),0)</f>
        <v>1542.94</v>
      </c>
      <c r="S497" s="24">
        <v>2364</v>
      </c>
      <c r="T497" s="24">
        <f>R497+ROUND(S497, 2)</f>
        <v>3906.94</v>
      </c>
      <c r="U497" s="24">
        <f>ROUND(R497*K497, 2)</f>
        <v>23560.69</v>
      </c>
      <c r="V497" s="24">
        <f>ROUND(K497*ROUND(S497, 2), 2)</f>
        <v>36098.28</v>
      </c>
      <c r="W497" s="24">
        <f>U497+V497</f>
        <v>59658.97</v>
      </c>
    </row>
    <row r="498" spans="1:23" ht="54" x14ac:dyDescent="0.35">
      <c r="A498" s="20" t="s">
        <v>812</v>
      </c>
      <c r="B498" s="20"/>
      <c r="C498" s="14" t="s">
        <v>360</v>
      </c>
      <c r="D498" s="22"/>
      <c r="E498" s="22" t="s">
        <v>757</v>
      </c>
      <c r="F498" s="26" t="s">
        <v>55</v>
      </c>
      <c r="G498" s="27">
        <v>1.07</v>
      </c>
      <c r="H498" s="132"/>
      <c r="I498" s="171"/>
      <c r="J498" s="142"/>
      <c r="K498" s="110">
        <v>16.338999999999999</v>
      </c>
      <c r="L498" s="63">
        <v>1384.95</v>
      </c>
      <c r="M498" s="29"/>
      <c r="N498" s="91"/>
      <c r="O498" s="63">
        <f>ROUND(ROUND(L498, 2)*K498, 2)</f>
        <v>22628.7</v>
      </c>
      <c r="P498" s="29"/>
      <c r="Q498" s="29"/>
      <c r="R498" s="28">
        <v>1384.95</v>
      </c>
      <c r="S498" s="29"/>
      <c r="T498" s="29"/>
      <c r="U498" s="28">
        <f>ROUND(ROUND(R498, 2)*K498, 2)</f>
        <v>22628.7</v>
      </c>
      <c r="V498" s="29"/>
      <c r="W498" s="30"/>
    </row>
    <row r="499" spans="1:23" ht="54" x14ac:dyDescent="0.35">
      <c r="A499" s="20" t="s">
        <v>813</v>
      </c>
      <c r="B499" s="20"/>
      <c r="C499" s="14" t="s">
        <v>370</v>
      </c>
      <c r="D499" s="22"/>
      <c r="E499" s="22" t="s">
        <v>220</v>
      </c>
      <c r="F499" s="26" t="s">
        <v>58</v>
      </c>
      <c r="G499" s="27">
        <v>1.2</v>
      </c>
      <c r="H499" s="132"/>
      <c r="I499" s="171"/>
      <c r="J499" s="142"/>
      <c r="K499" s="110">
        <v>36.648000000000003</v>
      </c>
      <c r="L499" s="63">
        <v>16.96</v>
      </c>
      <c r="M499" s="29"/>
      <c r="N499" s="91"/>
      <c r="O499" s="63">
        <f>ROUND(ROUND(L499, 2)*K499, 2)</f>
        <v>621.54999999999995</v>
      </c>
      <c r="P499" s="29"/>
      <c r="Q499" s="29"/>
      <c r="R499" s="28">
        <v>16.96</v>
      </c>
      <c r="S499" s="29"/>
      <c r="T499" s="29"/>
      <c r="U499" s="28">
        <f>ROUND(ROUND(R499, 2)*K499, 2)</f>
        <v>621.54999999999995</v>
      </c>
      <c r="V499" s="29"/>
      <c r="W499" s="30"/>
    </row>
    <row r="500" spans="1:23" ht="36" x14ac:dyDescent="0.35">
      <c r="A500" s="20" t="s">
        <v>814</v>
      </c>
      <c r="B500" s="20"/>
      <c r="C500" s="25" t="s">
        <v>245</v>
      </c>
      <c r="D500" s="22"/>
      <c r="E500" s="22"/>
      <c r="F500" s="26" t="s">
        <v>58</v>
      </c>
      <c r="G500" s="27">
        <v>0.15</v>
      </c>
      <c r="H500" s="132"/>
      <c r="I500" s="171"/>
      <c r="J500" s="142"/>
      <c r="K500" s="99">
        <v>2.2909999999999999</v>
      </c>
      <c r="L500" s="63">
        <v>68.400000000000006</v>
      </c>
      <c r="M500" s="29"/>
      <c r="N500" s="91"/>
      <c r="O500" s="63">
        <f>ROUND(ROUND(L500, 2)*K500, 2)</f>
        <v>156.69999999999999</v>
      </c>
      <c r="P500" s="29"/>
      <c r="Q500" s="29"/>
      <c r="R500" s="28">
        <v>68.400000000000006</v>
      </c>
      <c r="S500" s="29"/>
      <c r="T500" s="29"/>
      <c r="U500" s="28">
        <f>ROUND(ROUND(R500, 2)*K500, 2)</f>
        <v>156.69999999999999</v>
      </c>
      <c r="V500" s="29"/>
      <c r="W500" s="30"/>
    </row>
    <row r="501" spans="1:23" ht="20" x14ac:dyDescent="0.35">
      <c r="A501" s="20" t="s">
        <v>815</v>
      </c>
      <c r="B501" s="20"/>
      <c r="C501" s="25" t="s">
        <v>232</v>
      </c>
      <c r="D501" s="22"/>
      <c r="E501" s="22"/>
      <c r="F501" s="26" t="s">
        <v>58</v>
      </c>
      <c r="G501" s="27">
        <v>0.25</v>
      </c>
      <c r="H501" s="132"/>
      <c r="I501" s="171"/>
      <c r="J501" s="142"/>
      <c r="K501" s="110">
        <v>3.8180000000000001</v>
      </c>
      <c r="L501" s="63">
        <v>40.270000000000003</v>
      </c>
      <c r="M501" s="29"/>
      <c r="N501" s="91"/>
      <c r="O501" s="63">
        <f>ROUND(ROUND(L501, 2)*K501, 2)</f>
        <v>153.75</v>
      </c>
      <c r="P501" s="29"/>
      <c r="Q501" s="29"/>
      <c r="R501" s="28">
        <v>40.270000000000003</v>
      </c>
      <c r="S501" s="29"/>
      <c r="T501" s="29"/>
      <c r="U501" s="28">
        <f>ROUND(ROUND(R501, 2)*K501, 2)</f>
        <v>153.75</v>
      </c>
      <c r="V501" s="29"/>
      <c r="W501" s="30"/>
    </row>
    <row r="502" spans="1:23" ht="54" x14ac:dyDescent="0.35">
      <c r="A502" s="20" t="s">
        <v>816</v>
      </c>
      <c r="B502" s="20" t="s">
        <v>745</v>
      </c>
      <c r="C502" s="21" t="s">
        <v>746</v>
      </c>
      <c r="D502" s="22"/>
      <c r="E502" s="22" t="s">
        <v>817</v>
      </c>
      <c r="F502" s="22" t="s">
        <v>55</v>
      </c>
      <c r="G502" s="23">
        <v>1</v>
      </c>
      <c r="H502" s="131"/>
      <c r="I502" s="171"/>
      <c r="J502" s="142"/>
      <c r="K502" s="98">
        <v>35.9</v>
      </c>
      <c r="L502" s="62">
        <f>IFERROR(ROUND(SUM(O503,O504,O505,O506)/K502, 2),0)</f>
        <v>1278.9100000000001</v>
      </c>
      <c r="M502" s="80">
        <v>2364</v>
      </c>
      <c r="N502" s="90">
        <f>L502+ROUND(M502, 2)</f>
        <v>3642.91</v>
      </c>
      <c r="O502" s="62">
        <f>ROUND(L502*K502, 2)</f>
        <v>45912.87</v>
      </c>
      <c r="P502" s="24">
        <f>ROUND(K502*ROUND(M502, 2), 2)</f>
        <v>84867.6</v>
      </c>
      <c r="Q502" s="24">
        <f>O502+P502</f>
        <v>130780.47</v>
      </c>
      <c r="R502" s="24">
        <f>IFERROR(ROUND(SUM(U503,U504,U505,U506)/K502, 2),0)</f>
        <v>1278.9100000000001</v>
      </c>
      <c r="S502" s="24">
        <v>2364</v>
      </c>
      <c r="T502" s="24">
        <f>R502+ROUND(S502, 2)</f>
        <v>3642.91</v>
      </c>
      <c r="U502" s="24">
        <f>ROUND(R502*K502, 2)</f>
        <v>45912.87</v>
      </c>
      <c r="V502" s="24">
        <f>ROUND(K502*ROUND(S502, 2), 2)</f>
        <v>84867.6</v>
      </c>
      <c r="W502" s="24">
        <f>U502+V502</f>
        <v>130780.47</v>
      </c>
    </row>
    <row r="503" spans="1:23" ht="36" x14ac:dyDescent="0.35">
      <c r="A503" s="20" t="s">
        <v>818</v>
      </c>
      <c r="B503" s="20"/>
      <c r="C503" s="14" t="s">
        <v>764</v>
      </c>
      <c r="D503" s="22"/>
      <c r="E503" s="22" t="s">
        <v>765</v>
      </c>
      <c r="F503" s="26" t="s">
        <v>55</v>
      </c>
      <c r="G503" s="27">
        <v>1.07</v>
      </c>
      <c r="H503" s="132"/>
      <c r="I503" s="171"/>
      <c r="J503" s="142"/>
      <c r="K503" s="110">
        <v>38.412999999999997</v>
      </c>
      <c r="L503" s="63">
        <v>1138.2</v>
      </c>
      <c r="M503" s="29"/>
      <c r="N503" s="91"/>
      <c r="O503" s="63">
        <f>ROUND(ROUND(L503, 2)*K503, 2)</f>
        <v>43721.68</v>
      </c>
      <c r="P503" s="29"/>
      <c r="Q503" s="29"/>
      <c r="R503" s="28">
        <v>1138.2</v>
      </c>
      <c r="S503" s="29"/>
      <c r="T503" s="29"/>
      <c r="U503" s="28">
        <f>ROUND(ROUND(R503, 2)*K503, 2)</f>
        <v>43721.68</v>
      </c>
      <c r="V503" s="29"/>
      <c r="W503" s="30"/>
    </row>
    <row r="504" spans="1:23" ht="54" x14ac:dyDescent="0.35">
      <c r="A504" s="20" t="s">
        <v>819</v>
      </c>
      <c r="B504" s="20"/>
      <c r="C504" s="14" t="s">
        <v>370</v>
      </c>
      <c r="D504" s="22"/>
      <c r="E504" s="22" t="s">
        <v>220</v>
      </c>
      <c r="F504" s="26" t="s">
        <v>58</v>
      </c>
      <c r="G504" s="27">
        <v>1.2</v>
      </c>
      <c r="H504" s="132"/>
      <c r="I504" s="171"/>
      <c r="J504" s="142"/>
      <c r="K504" s="110">
        <v>86.16</v>
      </c>
      <c r="L504" s="63">
        <v>16.96</v>
      </c>
      <c r="M504" s="29"/>
      <c r="N504" s="91"/>
      <c r="O504" s="63">
        <f>ROUND(ROUND(L504, 2)*K504, 2)</f>
        <v>1461.27</v>
      </c>
      <c r="P504" s="29"/>
      <c r="Q504" s="29"/>
      <c r="R504" s="28">
        <v>16.96</v>
      </c>
      <c r="S504" s="29"/>
      <c r="T504" s="29"/>
      <c r="U504" s="28">
        <f>ROUND(ROUND(R504, 2)*K504, 2)</f>
        <v>1461.27</v>
      </c>
      <c r="V504" s="29"/>
      <c r="W504" s="30"/>
    </row>
    <row r="505" spans="1:23" ht="36" x14ac:dyDescent="0.35">
      <c r="A505" s="20" t="s">
        <v>820</v>
      </c>
      <c r="B505" s="20"/>
      <c r="C505" s="25" t="s">
        <v>245</v>
      </c>
      <c r="D505" s="22"/>
      <c r="E505" s="22"/>
      <c r="F505" s="26" t="s">
        <v>58</v>
      </c>
      <c r="G505" s="27">
        <v>0.15</v>
      </c>
      <c r="H505" s="132"/>
      <c r="I505" s="171"/>
      <c r="J505" s="142"/>
      <c r="K505" s="99">
        <v>5.3849999999999998</v>
      </c>
      <c r="L505" s="63">
        <v>68.400000000000006</v>
      </c>
      <c r="M505" s="29"/>
      <c r="N505" s="91"/>
      <c r="O505" s="63">
        <f>ROUND(ROUND(L505, 2)*K505, 2)</f>
        <v>368.33</v>
      </c>
      <c r="P505" s="29"/>
      <c r="Q505" s="29"/>
      <c r="R505" s="28">
        <v>68.400000000000006</v>
      </c>
      <c r="S505" s="29"/>
      <c r="T505" s="29"/>
      <c r="U505" s="28">
        <f>ROUND(ROUND(R505, 2)*K505, 2)</f>
        <v>368.33</v>
      </c>
      <c r="V505" s="29"/>
      <c r="W505" s="30"/>
    </row>
    <row r="506" spans="1:23" ht="20" x14ac:dyDescent="0.35">
      <c r="A506" s="20" t="s">
        <v>821</v>
      </c>
      <c r="B506" s="20"/>
      <c r="C506" s="25" t="s">
        <v>232</v>
      </c>
      <c r="D506" s="22"/>
      <c r="E506" s="22"/>
      <c r="F506" s="26" t="s">
        <v>58</v>
      </c>
      <c r="G506" s="27">
        <v>0.25</v>
      </c>
      <c r="H506" s="132"/>
      <c r="I506" s="171"/>
      <c r="J506" s="142"/>
      <c r="K506" s="110">
        <v>8.9749999999999996</v>
      </c>
      <c r="L506" s="63">
        <v>40.270000000000003</v>
      </c>
      <c r="M506" s="29"/>
      <c r="N506" s="91"/>
      <c r="O506" s="63">
        <f>ROUND(ROUND(L506, 2)*K506, 2)</f>
        <v>361.42</v>
      </c>
      <c r="P506" s="29"/>
      <c r="Q506" s="29"/>
      <c r="R506" s="28">
        <v>40.270000000000003</v>
      </c>
      <c r="S506" s="29"/>
      <c r="T506" s="29"/>
      <c r="U506" s="28">
        <f>ROUND(ROUND(R506, 2)*K506, 2)</f>
        <v>361.42</v>
      </c>
      <c r="V506" s="29"/>
      <c r="W506" s="30"/>
    </row>
    <row r="507" spans="1:23" ht="54" x14ac:dyDescent="0.35">
      <c r="A507" s="20" t="s">
        <v>822</v>
      </c>
      <c r="B507" s="20" t="s">
        <v>745</v>
      </c>
      <c r="C507" s="21" t="s">
        <v>746</v>
      </c>
      <c r="D507" s="22"/>
      <c r="E507" s="22" t="s">
        <v>823</v>
      </c>
      <c r="F507" s="22" t="s">
        <v>55</v>
      </c>
      <c r="G507" s="23">
        <v>1</v>
      </c>
      <c r="H507" s="131"/>
      <c r="I507" s="171"/>
      <c r="J507" s="142"/>
      <c r="K507" s="98">
        <v>5.75</v>
      </c>
      <c r="L507" s="62">
        <f>IFERROR(ROUND(SUM(O508,O509,O510,O511)/K507, 2),0)</f>
        <v>1152.05</v>
      </c>
      <c r="M507" s="80">
        <v>2364</v>
      </c>
      <c r="N507" s="90">
        <f>L507+ROUND(M507, 2)</f>
        <v>3516.05</v>
      </c>
      <c r="O507" s="62">
        <f>ROUND(L507*K507, 2)</f>
        <v>6624.29</v>
      </c>
      <c r="P507" s="24">
        <f>ROUND(K507*ROUND(M507, 2), 2)</f>
        <v>13593</v>
      </c>
      <c r="Q507" s="24">
        <f>O507+P507</f>
        <v>20217.29</v>
      </c>
      <c r="R507" s="24">
        <f>IFERROR(ROUND(SUM(U508,U509,U510,U511)/K507, 2),0)</f>
        <v>1152.05</v>
      </c>
      <c r="S507" s="24">
        <v>2364</v>
      </c>
      <c r="T507" s="24">
        <f>R507+ROUND(S507, 2)</f>
        <v>3516.05</v>
      </c>
      <c r="U507" s="24">
        <f>ROUND(R507*K507, 2)</f>
        <v>6624.29</v>
      </c>
      <c r="V507" s="24">
        <f>ROUND(K507*ROUND(S507, 2), 2)</f>
        <v>13593</v>
      </c>
      <c r="W507" s="24">
        <f>U507+V507</f>
        <v>20217.29</v>
      </c>
    </row>
    <row r="508" spans="1:23" ht="36" x14ac:dyDescent="0.35">
      <c r="A508" s="20" t="s">
        <v>824</v>
      </c>
      <c r="B508" s="20"/>
      <c r="C508" s="14" t="s">
        <v>772</v>
      </c>
      <c r="D508" s="22"/>
      <c r="E508" s="22" t="s">
        <v>825</v>
      </c>
      <c r="F508" s="26" t="s">
        <v>55</v>
      </c>
      <c r="G508" s="27">
        <v>1.07</v>
      </c>
      <c r="H508" s="132"/>
      <c r="I508" s="171"/>
      <c r="J508" s="142"/>
      <c r="K508" s="110">
        <v>6.1529999999999996</v>
      </c>
      <c r="L508" s="63">
        <v>1019.55</v>
      </c>
      <c r="M508" s="29"/>
      <c r="N508" s="91"/>
      <c r="O508" s="63">
        <f>ROUND(ROUND(L508, 2)*K508, 2)</f>
        <v>6273.29</v>
      </c>
      <c r="P508" s="29"/>
      <c r="Q508" s="29"/>
      <c r="R508" s="28">
        <v>1019.55</v>
      </c>
      <c r="S508" s="29"/>
      <c r="T508" s="29"/>
      <c r="U508" s="28">
        <f>ROUND(ROUND(R508, 2)*K508, 2)</f>
        <v>6273.29</v>
      </c>
      <c r="V508" s="29"/>
      <c r="W508" s="30"/>
    </row>
    <row r="509" spans="1:23" ht="54" x14ac:dyDescent="0.35">
      <c r="A509" s="20" t="s">
        <v>826</v>
      </c>
      <c r="B509" s="20"/>
      <c r="C509" s="14" t="s">
        <v>370</v>
      </c>
      <c r="D509" s="22"/>
      <c r="E509" s="22" t="s">
        <v>220</v>
      </c>
      <c r="F509" s="26" t="s">
        <v>58</v>
      </c>
      <c r="G509" s="27">
        <v>1.2</v>
      </c>
      <c r="H509" s="132"/>
      <c r="I509" s="171"/>
      <c r="J509" s="142"/>
      <c r="K509" s="110">
        <v>13.8</v>
      </c>
      <c r="L509" s="63">
        <v>16.96</v>
      </c>
      <c r="M509" s="29"/>
      <c r="N509" s="91"/>
      <c r="O509" s="63">
        <f>ROUND(ROUND(L509, 2)*K509, 2)</f>
        <v>234.05</v>
      </c>
      <c r="P509" s="29"/>
      <c r="Q509" s="29"/>
      <c r="R509" s="28">
        <v>16.96</v>
      </c>
      <c r="S509" s="29"/>
      <c r="T509" s="29"/>
      <c r="U509" s="28">
        <f>ROUND(ROUND(R509, 2)*K509, 2)</f>
        <v>234.05</v>
      </c>
      <c r="V509" s="29"/>
      <c r="W509" s="30"/>
    </row>
    <row r="510" spans="1:23" ht="36" x14ac:dyDescent="0.35">
      <c r="A510" s="20" t="s">
        <v>827</v>
      </c>
      <c r="B510" s="20"/>
      <c r="C510" s="25" t="s">
        <v>245</v>
      </c>
      <c r="D510" s="22"/>
      <c r="E510" s="22"/>
      <c r="F510" s="26" t="s">
        <v>58</v>
      </c>
      <c r="G510" s="27">
        <v>0.15</v>
      </c>
      <c r="H510" s="132"/>
      <c r="I510" s="171"/>
      <c r="J510" s="142"/>
      <c r="K510" s="99">
        <v>0.86299999999999999</v>
      </c>
      <c r="L510" s="63">
        <v>68.400000000000006</v>
      </c>
      <c r="M510" s="29"/>
      <c r="N510" s="91"/>
      <c r="O510" s="63">
        <f>ROUND(ROUND(L510, 2)*K510, 2)</f>
        <v>59.03</v>
      </c>
      <c r="P510" s="29"/>
      <c r="Q510" s="29"/>
      <c r="R510" s="28">
        <v>68.400000000000006</v>
      </c>
      <c r="S510" s="29"/>
      <c r="T510" s="29"/>
      <c r="U510" s="28">
        <f>ROUND(ROUND(R510, 2)*K510, 2)</f>
        <v>59.03</v>
      </c>
      <c r="V510" s="29"/>
      <c r="W510" s="30"/>
    </row>
    <row r="511" spans="1:23" ht="20" x14ac:dyDescent="0.35">
      <c r="A511" s="20" t="s">
        <v>828</v>
      </c>
      <c r="B511" s="20"/>
      <c r="C511" s="25" t="s">
        <v>232</v>
      </c>
      <c r="D511" s="22"/>
      <c r="E511" s="22"/>
      <c r="F511" s="26" t="s">
        <v>58</v>
      </c>
      <c r="G511" s="27">
        <v>0.25</v>
      </c>
      <c r="H511" s="132"/>
      <c r="I511" s="171"/>
      <c r="J511" s="142"/>
      <c r="K511" s="110">
        <v>1.4379999999999999</v>
      </c>
      <c r="L511" s="63">
        <v>40.270000000000003</v>
      </c>
      <c r="M511" s="29"/>
      <c r="N511" s="91"/>
      <c r="O511" s="63">
        <f>ROUND(ROUND(L511, 2)*K511, 2)</f>
        <v>57.91</v>
      </c>
      <c r="P511" s="29"/>
      <c r="Q511" s="29"/>
      <c r="R511" s="28">
        <v>40.270000000000003</v>
      </c>
      <c r="S511" s="29"/>
      <c r="T511" s="29"/>
      <c r="U511" s="28">
        <f>ROUND(ROUND(R511, 2)*K511, 2)</f>
        <v>57.91</v>
      </c>
      <c r="V511" s="29"/>
      <c r="W511" s="30"/>
    </row>
    <row r="512" spans="1:23" ht="54" x14ac:dyDescent="0.35">
      <c r="A512" s="20" t="s">
        <v>829</v>
      </c>
      <c r="B512" s="20" t="s">
        <v>745</v>
      </c>
      <c r="C512" s="21" t="s">
        <v>746</v>
      </c>
      <c r="D512" s="22"/>
      <c r="E512" s="22" t="s">
        <v>830</v>
      </c>
      <c r="F512" s="22" t="s">
        <v>55</v>
      </c>
      <c r="G512" s="23">
        <v>1</v>
      </c>
      <c r="H512" s="131"/>
      <c r="I512" s="171"/>
      <c r="J512" s="142"/>
      <c r="K512" s="98">
        <v>8.15</v>
      </c>
      <c r="L512" s="62">
        <f>IFERROR(ROUND(SUM(O513,O514,O515,O516)/K512, 2),0)</f>
        <v>1278.98</v>
      </c>
      <c r="M512" s="80">
        <v>2364</v>
      </c>
      <c r="N512" s="90">
        <f>L512+ROUND(M512, 2)</f>
        <v>3642.98</v>
      </c>
      <c r="O512" s="62">
        <f>ROUND(L512*K512, 2)</f>
        <v>10423.69</v>
      </c>
      <c r="P512" s="24">
        <f>ROUND(K512*ROUND(M512, 2), 2)</f>
        <v>19266.599999999999</v>
      </c>
      <c r="Q512" s="24">
        <f>O512+P512</f>
        <v>29690.29</v>
      </c>
      <c r="R512" s="24">
        <f>IFERROR(ROUND(SUM(U513,U514,U515,U516)/K512, 2),0)</f>
        <v>1278.98</v>
      </c>
      <c r="S512" s="24">
        <v>2364</v>
      </c>
      <c r="T512" s="24">
        <f>R512+ROUND(S512, 2)</f>
        <v>3642.98</v>
      </c>
      <c r="U512" s="24">
        <f>ROUND(R512*K512, 2)</f>
        <v>10423.69</v>
      </c>
      <c r="V512" s="24">
        <f>ROUND(K512*ROUND(S512, 2), 2)</f>
        <v>19266.599999999999</v>
      </c>
      <c r="W512" s="24">
        <f>U512+V512</f>
        <v>29690.29</v>
      </c>
    </row>
    <row r="513" spans="1:23" ht="54" x14ac:dyDescent="0.35">
      <c r="A513" s="20" t="s">
        <v>831</v>
      </c>
      <c r="B513" s="20"/>
      <c r="C513" s="14" t="s">
        <v>764</v>
      </c>
      <c r="D513" s="22"/>
      <c r="E513" s="22" t="s">
        <v>779</v>
      </c>
      <c r="F513" s="26" t="s">
        <v>55</v>
      </c>
      <c r="G513" s="27">
        <v>1.07</v>
      </c>
      <c r="H513" s="132"/>
      <c r="I513" s="171"/>
      <c r="J513" s="142"/>
      <c r="K513" s="110">
        <v>8.7210000000000001</v>
      </c>
      <c r="L513" s="63">
        <v>1138.2</v>
      </c>
      <c r="M513" s="29"/>
      <c r="N513" s="91"/>
      <c r="O513" s="63">
        <f>ROUND(ROUND(L513, 2)*K513, 2)</f>
        <v>9926.24</v>
      </c>
      <c r="P513" s="29"/>
      <c r="Q513" s="29"/>
      <c r="R513" s="28">
        <v>1138.2</v>
      </c>
      <c r="S513" s="29"/>
      <c r="T513" s="29"/>
      <c r="U513" s="28">
        <f>ROUND(ROUND(R513, 2)*K513, 2)</f>
        <v>9926.24</v>
      </c>
      <c r="V513" s="29"/>
      <c r="W513" s="30"/>
    </row>
    <row r="514" spans="1:23" ht="54" x14ac:dyDescent="0.35">
      <c r="A514" s="20" t="s">
        <v>832</v>
      </c>
      <c r="B514" s="20"/>
      <c r="C514" s="14" t="s">
        <v>370</v>
      </c>
      <c r="D514" s="22"/>
      <c r="E514" s="22" t="s">
        <v>220</v>
      </c>
      <c r="F514" s="26" t="s">
        <v>58</v>
      </c>
      <c r="G514" s="27">
        <v>1.2</v>
      </c>
      <c r="H514" s="132"/>
      <c r="I514" s="171"/>
      <c r="J514" s="142"/>
      <c r="K514" s="110">
        <v>19.559999999999999</v>
      </c>
      <c r="L514" s="63">
        <v>16.96</v>
      </c>
      <c r="M514" s="29"/>
      <c r="N514" s="91"/>
      <c r="O514" s="63">
        <f>ROUND(ROUND(L514, 2)*K514, 2)</f>
        <v>331.74</v>
      </c>
      <c r="P514" s="29"/>
      <c r="Q514" s="29"/>
      <c r="R514" s="28">
        <v>16.96</v>
      </c>
      <c r="S514" s="29"/>
      <c r="T514" s="29"/>
      <c r="U514" s="28">
        <f>ROUND(ROUND(R514, 2)*K514, 2)</f>
        <v>331.74</v>
      </c>
      <c r="V514" s="29"/>
      <c r="W514" s="30"/>
    </row>
    <row r="515" spans="1:23" ht="36" x14ac:dyDescent="0.35">
      <c r="A515" s="20" t="s">
        <v>833</v>
      </c>
      <c r="B515" s="20"/>
      <c r="C515" s="25" t="s">
        <v>245</v>
      </c>
      <c r="D515" s="22"/>
      <c r="E515" s="22"/>
      <c r="F515" s="26" t="s">
        <v>58</v>
      </c>
      <c r="G515" s="27">
        <v>0.15</v>
      </c>
      <c r="H515" s="132"/>
      <c r="I515" s="171"/>
      <c r="J515" s="142"/>
      <c r="K515" s="99">
        <v>1.2230000000000001</v>
      </c>
      <c r="L515" s="63">
        <v>68.400000000000006</v>
      </c>
      <c r="M515" s="29"/>
      <c r="N515" s="91"/>
      <c r="O515" s="63">
        <f>ROUND(ROUND(L515, 2)*K515, 2)</f>
        <v>83.65</v>
      </c>
      <c r="P515" s="29"/>
      <c r="Q515" s="29"/>
      <c r="R515" s="28">
        <v>68.400000000000006</v>
      </c>
      <c r="S515" s="29"/>
      <c r="T515" s="29"/>
      <c r="U515" s="28">
        <f>ROUND(ROUND(R515, 2)*K515, 2)</f>
        <v>83.65</v>
      </c>
      <c r="V515" s="29"/>
      <c r="W515" s="30"/>
    </row>
    <row r="516" spans="1:23" ht="20" x14ac:dyDescent="0.35">
      <c r="A516" s="20" t="s">
        <v>834</v>
      </c>
      <c r="B516" s="20"/>
      <c r="C516" s="25" t="s">
        <v>232</v>
      </c>
      <c r="D516" s="22"/>
      <c r="E516" s="22"/>
      <c r="F516" s="26" t="s">
        <v>58</v>
      </c>
      <c r="G516" s="27">
        <v>0.25</v>
      </c>
      <c r="H516" s="132"/>
      <c r="I516" s="171"/>
      <c r="J516" s="142"/>
      <c r="K516" s="110">
        <v>2.0379999999999998</v>
      </c>
      <c r="L516" s="63">
        <v>40.270000000000003</v>
      </c>
      <c r="M516" s="29"/>
      <c r="N516" s="91"/>
      <c r="O516" s="63">
        <f>ROUND(ROUND(L516, 2)*K516, 2)</f>
        <v>82.07</v>
      </c>
      <c r="P516" s="29"/>
      <c r="Q516" s="29"/>
      <c r="R516" s="28">
        <v>40.270000000000003</v>
      </c>
      <c r="S516" s="29"/>
      <c r="T516" s="29"/>
      <c r="U516" s="28">
        <f>ROUND(ROUND(R516, 2)*K516, 2)</f>
        <v>82.07</v>
      </c>
      <c r="V516" s="29"/>
      <c r="W516" s="30"/>
    </row>
    <row r="517" spans="1:23" ht="54" x14ac:dyDescent="0.35">
      <c r="A517" s="20" t="s">
        <v>835</v>
      </c>
      <c r="B517" s="20" t="s">
        <v>745</v>
      </c>
      <c r="C517" s="21" t="s">
        <v>746</v>
      </c>
      <c r="D517" s="22"/>
      <c r="E517" s="22" t="s">
        <v>836</v>
      </c>
      <c r="F517" s="22" t="s">
        <v>55</v>
      </c>
      <c r="G517" s="23">
        <v>1</v>
      </c>
      <c r="H517" s="131"/>
      <c r="I517" s="171"/>
      <c r="J517" s="142"/>
      <c r="K517" s="98">
        <v>127.34</v>
      </c>
      <c r="L517" s="62">
        <f>IFERROR(ROUND(SUM(O518,O519,O520,O521)/K517, 2),0)</f>
        <v>1542.93</v>
      </c>
      <c r="M517" s="80">
        <v>2364</v>
      </c>
      <c r="N517" s="90">
        <f>L517+ROUND(M517, 2)</f>
        <v>3906.9300000000003</v>
      </c>
      <c r="O517" s="62">
        <f>ROUND(L517*K517, 2)</f>
        <v>196476.71</v>
      </c>
      <c r="P517" s="24">
        <f>ROUND(K517*ROUND(M517, 2), 2)</f>
        <v>301031.76</v>
      </c>
      <c r="Q517" s="24">
        <f>O517+P517</f>
        <v>497508.47</v>
      </c>
      <c r="R517" s="24">
        <f>IFERROR(ROUND(SUM(U518,U519,U520,U521)/K517, 2),0)</f>
        <v>1542.93</v>
      </c>
      <c r="S517" s="24">
        <v>2364</v>
      </c>
      <c r="T517" s="24">
        <f>R517+ROUND(S517, 2)</f>
        <v>3906.9300000000003</v>
      </c>
      <c r="U517" s="24">
        <f>ROUND(R517*K517, 2)</f>
        <v>196476.71</v>
      </c>
      <c r="V517" s="24">
        <f>ROUND(K517*ROUND(S517, 2), 2)</f>
        <v>301031.76</v>
      </c>
      <c r="W517" s="24">
        <f>U517+V517</f>
        <v>497508.47</v>
      </c>
    </row>
    <row r="518" spans="1:23" ht="36" x14ac:dyDescent="0.35">
      <c r="A518" s="20" t="s">
        <v>837</v>
      </c>
      <c r="B518" s="20"/>
      <c r="C518" s="14" t="s">
        <v>360</v>
      </c>
      <c r="D518" s="22"/>
      <c r="E518" s="22" t="s">
        <v>838</v>
      </c>
      <c r="F518" s="26" t="s">
        <v>55</v>
      </c>
      <c r="G518" s="27">
        <v>1.07</v>
      </c>
      <c r="H518" s="132"/>
      <c r="I518" s="171"/>
      <c r="J518" s="142"/>
      <c r="K518" s="110">
        <v>136.25399999999999</v>
      </c>
      <c r="L518" s="63">
        <v>1384.95</v>
      </c>
      <c r="M518" s="29"/>
      <c r="N518" s="91"/>
      <c r="O518" s="63">
        <f>ROUND(ROUND(L518, 2)*K518, 2)</f>
        <v>188704.98</v>
      </c>
      <c r="P518" s="29"/>
      <c r="Q518" s="29"/>
      <c r="R518" s="28">
        <v>1384.95</v>
      </c>
      <c r="S518" s="29"/>
      <c r="T518" s="29"/>
      <c r="U518" s="28">
        <f>ROUND(ROUND(R518, 2)*K518, 2)</f>
        <v>188704.98</v>
      </c>
      <c r="V518" s="29"/>
      <c r="W518" s="30"/>
    </row>
    <row r="519" spans="1:23" ht="54" x14ac:dyDescent="0.35">
      <c r="A519" s="20" t="s">
        <v>839</v>
      </c>
      <c r="B519" s="20"/>
      <c r="C519" s="14" t="s">
        <v>370</v>
      </c>
      <c r="D519" s="22"/>
      <c r="E519" s="22" t="s">
        <v>220</v>
      </c>
      <c r="F519" s="26" t="s">
        <v>58</v>
      </c>
      <c r="G519" s="27">
        <v>1.2</v>
      </c>
      <c r="H519" s="132"/>
      <c r="I519" s="171"/>
      <c r="J519" s="142"/>
      <c r="K519" s="110">
        <v>305.61599999999999</v>
      </c>
      <c r="L519" s="63">
        <v>16.96</v>
      </c>
      <c r="M519" s="29"/>
      <c r="N519" s="91"/>
      <c r="O519" s="63">
        <f>ROUND(ROUND(L519, 2)*K519, 2)</f>
        <v>5183.25</v>
      </c>
      <c r="P519" s="29"/>
      <c r="Q519" s="29"/>
      <c r="R519" s="28">
        <v>16.96</v>
      </c>
      <c r="S519" s="29"/>
      <c r="T519" s="29"/>
      <c r="U519" s="28">
        <f>ROUND(ROUND(R519, 2)*K519, 2)</f>
        <v>5183.25</v>
      </c>
      <c r="V519" s="29"/>
      <c r="W519" s="30"/>
    </row>
    <row r="520" spans="1:23" ht="36" x14ac:dyDescent="0.35">
      <c r="A520" s="20" t="s">
        <v>840</v>
      </c>
      <c r="B520" s="20"/>
      <c r="C520" s="25" t="s">
        <v>245</v>
      </c>
      <c r="D520" s="22"/>
      <c r="E520" s="22"/>
      <c r="F520" s="26" t="s">
        <v>58</v>
      </c>
      <c r="G520" s="27">
        <v>0.15</v>
      </c>
      <c r="H520" s="132"/>
      <c r="I520" s="171"/>
      <c r="J520" s="142"/>
      <c r="K520" s="99">
        <v>19.100999999999999</v>
      </c>
      <c r="L520" s="63">
        <v>68.400000000000006</v>
      </c>
      <c r="M520" s="29"/>
      <c r="N520" s="91"/>
      <c r="O520" s="63">
        <f>ROUND(ROUND(L520, 2)*K520, 2)</f>
        <v>1306.51</v>
      </c>
      <c r="P520" s="29"/>
      <c r="Q520" s="29"/>
      <c r="R520" s="28">
        <v>68.400000000000006</v>
      </c>
      <c r="S520" s="29"/>
      <c r="T520" s="29"/>
      <c r="U520" s="28">
        <f>ROUND(ROUND(R520, 2)*K520, 2)</f>
        <v>1306.51</v>
      </c>
      <c r="V520" s="29"/>
      <c r="W520" s="30"/>
    </row>
    <row r="521" spans="1:23" ht="20" x14ac:dyDescent="0.35">
      <c r="A521" s="20" t="s">
        <v>841</v>
      </c>
      <c r="B521" s="20"/>
      <c r="C521" s="25" t="s">
        <v>232</v>
      </c>
      <c r="D521" s="22"/>
      <c r="E521" s="22"/>
      <c r="F521" s="26" t="s">
        <v>58</v>
      </c>
      <c r="G521" s="27">
        <v>0.25</v>
      </c>
      <c r="H521" s="132"/>
      <c r="I521" s="171"/>
      <c r="J521" s="142"/>
      <c r="K521" s="110">
        <v>31.835000000000001</v>
      </c>
      <c r="L521" s="63">
        <v>40.270000000000003</v>
      </c>
      <c r="M521" s="29"/>
      <c r="N521" s="91"/>
      <c r="O521" s="63">
        <f>ROUND(ROUND(L521, 2)*K521, 2)</f>
        <v>1282</v>
      </c>
      <c r="P521" s="29"/>
      <c r="Q521" s="29"/>
      <c r="R521" s="28">
        <v>40.270000000000003</v>
      </c>
      <c r="S521" s="29"/>
      <c r="T521" s="29"/>
      <c r="U521" s="28">
        <f>ROUND(ROUND(R521, 2)*K521, 2)</f>
        <v>1282</v>
      </c>
      <c r="V521" s="29"/>
      <c r="W521" s="30"/>
    </row>
    <row r="522" spans="1:23" ht="54" x14ac:dyDescent="0.35">
      <c r="A522" s="20" t="s">
        <v>842</v>
      </c>
      <c r="B522" s="20" t="s">
        <v>745</v>
      </c>
      <c r="C522" s="21" t="s">
        <v>746</v>
      </c>
      <c r="D522" s="22"/>
      <c r="E522" s="22" t="s">
        <v>843</v>
      </c>
      <c r="F522" s="22" t="s">
        <v>55</v>
      </c>
      <c r="G522" s="23">
        <v>1</v>
      </c>
      <c r="H522" s="131"/>
      <c r="I522" s="171"/>
      <c r="J522" s="142"/>
      <c r="K522" s="98">
        <v>351.08</v>
      </c>
      <c r="L522" s="62">
        <f>IFERROR(ROUND(SUM(O523,O524,O525,O526,O527)/K522, 2),0)</f>
        <v>1554.28</v>
      </c>
      <c r="M522" s="80">
        <v>2364</v>
      </c>
      <c r="N522" s="90">
        <f>L522+ROUND(M522, 2)</f>
        <v>3918.2799999999997</v>
      </c>
      <c r="O522" s="62">
        <f>ROUND(L522*K522, 2)</f>
        <v>545676.62</v>
      </c>
      <c r="P522" s="24">
        <f>ROUND(K522*ROUND(M522, 2), 2)</f>
        <v>829953.12</v>
      </c>
      <c r="Q522" s="24">
        <f>O522+P522</f>
        <v>1375629.74</v>
      </c>
      <c r="R522" s="24">
        <f>IFERROR(ROUND(SUM(U523,U524,U525,U526,U527)/K522, 2),0)</f>
        <v>1554.28</v>
      </c>
      <c r="S522" s="24">
        <v>2364</v>
      </c>
      <c r="T522" s="24">
        <f>R522+ROUND(S522, 2)</f>
        <v>3918.2799999999997</v>
      </c>
      <c r="U522" s="24">
        <f>ROUND(R522*K522, 2)</f>
        <v>545676.62</v>
      </c>
      <c r="V522" s="24">
        <f>ROUND(K522*ROUND(S522, 2), 2)</f>
        <v>829953.12</v>
      </c>
      <c r="W522" s="24">
        <f>U522+V522</f>
        <v>1375629.74</v>
      </c>
    </row>
    <row r="523" spans="1:23" ht="54" x14ac:dyDescent="0.35">
      <c r="A523" s="20" t="s">
        <v>844</v>
      </c>
      <c r="B523" s="20"/>
      <c r="C523" s="14" t="s">
        <v>360</v>
      </c>
      <c r="D523" s="22"/>
      <c r="E523" s="22" t="s">
        <v>792</v>
      </c>
      <c r="F523" s="26" t="s">
        <v>55</v>
      </c>
      <c r="G523" s="27">
        <v>1.07</v>
      </c>
      <c r="H523" s="132"/>
      <c r="I523" s="171"/>
      <c r="J523" s="142"/>
      <c r="K523" s="110">
        <v>375.65600000000001</v>
      </c>
      <c r="L523" s="63">
        <v>1384.95</v>
      </c>
      <c r="M523" s="29"/>
      <c r="N523" s="91"/>
      <c r="O523" s="63">
        <f>ROUND(ROUND(L523, 2)*K523, 2)</f>
        <v>520264.78</v>
      </c>
      <c r="P523" s="29"/>
      <c r="Q523" s="29"/>
      <c r="R523" s="28">
        <v>1384.95</v>
      </c>
      <c r="S523" s="29"/>
      <c r="T523" s="29"/>
      <c r="U523" s="28">
        <f>ROUND(ROUND(R523, 2)*K523, 2)</f>
        <v>520264.78</v>
      </c>
      <c r="V523" s="29"/>
      <c r="W523" s="30"/>
    </row>
    <row r="524" spans="1:23" ht="54" x14ac:dyDescent="0.35">
      <c r="A524" s="20" t="s">
        <v>845</v>
      </c>
      <c r="B524" s="20"/>
      <c r="C524" s="14" t="s">
        <v>794</v>
      </c>
      <c r="D524" s="22"/>
      <c r="E524" s="22" t="s">
        <v>797</v>
      </c>
      <c r="F524" s="26" t="s">
        <v>67</v>
      </c>
      <c r="G524" s="27">
        <v>0.23</v>
      </c>
      <c r="H524" s="132"/>
      <c r="I524" s="171"/>
      <c r="J524" s="142"/>
      <c r="K524" s="110">
        <v>17.728000000000002</v>
      </c>
      <c r="L524" s="63">
        <v>96.24</v>
      </c>
      <c r="M524" s="29"/>
      <c r="N524" s="91"/>
      <c r="O524" s="63">
        <f>ROUND(ROUND(L524, 2)*K524, 2)</f>
        <v>1706.14</v>
      </c>
      <c r="P524" s="29"/>
      <c r="Q524" s="29"/>
      <c r="R524" s="28">
        <v>96.24</v>
      </c>
      <c r="S524" s="29"/>
      <c r="T524" s="29"/>
      <c r="U524" s="28">
        <f>ROUND(ROUND(R524, 2)*K524, 2)</f>
        <v>1706.14</v>
      </c>
      <c r="V524" s="29"/>
      <c r="W524" s="30"/>
    </row>
    <row r="525" spans="1:23" ht="54" x14ac:dyDescent="0.35">
      <c r="A525" s="20" t="s">
        <v>846</v>
      </c>
      <c r="B525" s="20"/>
      <c r="C525" s="14" t="s">
        <v>370</v>
      </c>
      <c r="D525" s="22"/>
      <c r="E525" s="22" t="s">
        <v>220</v>
      </c>
      <c r="F525" s="26" t="s">
        <v>58</v>
      </c>
      <c r="G525" s="27">
        <v>1.2</v>
      </c>
      <c r="H525" s="132"/>
      <c r="I525" s="171"/>
      <c r="J525" s="142"/>
      <c r="K525" s="110">
        <v>842.59199999999998</v>
      </c>
      <c r="L525" s="63">
        <v>16.96</v>
      </c>
      <c r="M525" s="29"/>
      <c r="N525" s="91"/>
      <c r="O525" s="63">
        <f>ROUND(ROUND(L525, 2)*K525, 2)</f>
        <v>14290.36</v>
      </c>
      <c r="P525" s="29"/>
      <c r="Q525" s="29"/>
      <c r="R525" s="28">
        <v>16.96</v>
      </c>
      <c r="S525" s="29"/>
      <c r="T525" s="29"/>
      <c r="U525" s="28">
        <f>ROUND(ROUND(R525, 2)*K525, 2)</f>
        <v>14290.36</v>
      </c>
      <c r="V525" s="29"/>
      <c r="W525" s="30"/>
    </row>
    <row r="526" spans="1:23" ht="36" x14ac:dyDescent="0.35">
      <c r="A526" s="20" t="s">
        <v>847</v>
      </c>
      <c r="B526" s="20"/>
      <c r="C526" s="25" t="s">
        <v>245</v>
      </c>
      <c r="D526" s="22"/>
      <c r="E526" s="22"/>
      <c r="F526" s="26" t="s">
        <v>58</v>
      </c>
      <c r="G526" s="27">
        <v>0.15</v>
      </c>
      <c r="H526" s="132"/>
      <c r="I526" s="171"/>
      <c r="J526" s="142"/>
      <c r="K526" s="99">
        <v>52.661999999999999</v>
      </c>
      <c r="L526" s="63">
        <v>68.400000000000006</v>
      </c>
      <c r="M526" s="29"/>
      <c r="N526" s="91"/>
      <c r="O526" s="63">
        <f>ROUND(ROUND(L526, 2)*K526, 2)</f>
        <v>3602.08</v>
      </c>
      <c r="P526" s="29"/>
      <c r="Q526" s="29"/>
      <c r="R526" s="28">
        <v>68.400000000000006</v>
      </c>
      <c r="S526" s="29"/>
      <c r="T526" s="29"/>
      <c r="U526" s="28">
        <f>ROUND(ROUND(R526, 2)*K526, 2)</f>
        <v>3602.08</v>
      </c>
      <c r="V526" s="29"/>
      <c r="W526" s="30"/>
    </row>
    <row r="527" spans="1:23" ht="20" x14ac:dyDescent="0.35">
      <c r="A527" s="20" t="s">
        <v>848</v>
      </c>
      <c r="B527" s="20"/>
      <c r="C527" s="25" t="s">
        <v>849</v>
      </c>
      <c r="D527" s="22"/>
      <c r="E527" s="22" t="s">
        <v>850</v>
      </c>
      <c r="F527" s="26" t="s">
        <v>58</v>
      </c>
      <c r="G527" s="27">
        <v>0.25</v>
      </c>
      <c r="H527" s="132"/>
      <c r="I527" s="171"/>
      <c r="J527" s="142"/>
      <c r="K527" s="110">
        <v>87.77</v>
      </c>
      <c r="L527" s="63">
        <v>66.23</v>
      </c>
      <c r="M527" s="29"/>
      <c r="N527" s="91"/>
      <c r="O527" s="63">
        <f>ROUND(ROUND(L527, 2)*K527, 2)</f>
        <v>5813.01</v>
      </c>
      <c r="P527" s="29"/>
      <c r="Q527" s="29"/>
      <c r="R527" s="28">
        <v>66.23</v>
      </c>
      <c r="S527" s="29"/>
      <c r="T527" s="29"/>
      <c r="U527" s="28">
        <f>ROUND(ROUND(R527, 2)*K527, 2)</f>
        <v>5813.01</v>
      </c>
      <c r="V527" s="29"/>
      <c r="W527" s="30"/>
    </row>
    <row r="528" spans="1:23" ht="54" x14ac:dyDescent="0.35">
      <c r="A528" s="20" t="s">
        <v>851</v>
      </c>
      <c r="B528" s="20" t="s">
        <v>852</v>
      </c>
      <c r="C528" s="21" t="s">
        <v>853</v>
      </c>
      <c r="D528" s="22"/>
      <c r="E528" s="22" t="s">
        <v>854</v>
      </c>
      <c r="F528" s="22" t="s">
        <v>55</v>
      </c>
      <c r="G528" s="23">
        <v>1</v>
      </c>
      <c r="H528" s="131"/>
      <c r="I528" s="171"/>
      <c r="J528" s="142"/>
      <c r="K528" s="98">
        <v>3.87</v>
      </c>
      <c r="L528" s="62">
        <f>IFERROR(ROUND(SUM(O529,O530,O531,O532)/K528, 2),0)</f>
        <v>2287.88</v>
      </c>
      <c r="M528" s="80">
        <v>2983</v>
      </c>
      <c r="N528" s="90">
        <f>L528+ROUND(M528, 2)</f>
        <v>5270.88</v>
      </c>
      <c r="O528" s="62">
        <f>ROUND(L528*K528, 2)</f>
        <v>8854.1</v>
      </c>
      <c r="P528" s="24">
        <f>ROUND(K528*ROUND(M528, 2), 2)</f>
        <v>11544.21</v>
      </c>
      <c r="Q528" s="24">
        <f>O528+P528</f>
        <v>20398.309999999998</v>
      </c>
      <c r="R528" s="24">
        <f>IFERROR(ROUND(SUM(U529,U530,U531,U532)/K528, 2),0)</f>
        <v>2287.88</v>
      </c>
      <c r="S528" s="24">
        <v>2983</v>
      </c>
      <c r="T528" s="24">
        <f>R528+ROUND(S528, 2)</f>
        <v>5270.88</v>
      </c>
      <c r="U528" s="24">
        <f>ROUND(R528*K528, 2)</f>
        <v>8854.1</v>
      </c>
      <c r="V528" s="24">
        <f>ROUND(K528*ROUND(S528, 2), 2)</f>
        <v>11544.21</v>
      </c>
      <c r="W528" s="24">
        <f>U528+V528</f>
        <v>20398.309999999998</v>
      </c>
    </row>
    <row r="529" spans="1:23" ht="54" x14ac:dyDescent="0.35">
      <c r="A529" s="20" t="s">
        <v>855</v>
      </c>
      <c r="B529" s="20"/>
      <c r="C529" s="25" t="s">
        <v>856</v>
      </c>
      <c r="D529" s="22"/>
      <c r="E529" s="22" t="s">
        <v>857</v>
      </c>
      <c r="F529" s="26" t="s">
        <v>55</v>
      </c>
      <c r="G529" s="27">
        <v>1.1000000000000001</v>
      </c>
      <c r="H529" s="132"/>
      <c r="I529" s="171"/>
      <c r="J529" s="142"/>
      <c r="K529" s="110">
        <v>4.2569999999999997</v>
      </c>
      <c r="L529" s="63">
        <v>2024.4</v>
      </c>
      <c r="M529" s="29"/>
      <c r="N529" s="91"/>
      <c r="O529" s="63">
        <f>ROUND(ROUND(L529, 2)*K529, 2)</f>
        <v>8617.8700000000008</v>
      </c>
      <c r="P529" s="29"/>
      <c r="Q529" s="29"/>
      <c r="R529" s="28">
        <v>2024.4</v>
      </c>
      <c r="S529" s="29"/>
      <c r="T529" s="29"/>
      <c r="U529" s="28">
        <f>ROUND(ROUND(R529, 2)*K529, 2)</f>
        <v>8617.8700000000008</v>
      </c>
      <c r="V529" s="29"/>
      <c r="W529" s="30"/>
    </row>
    <row r="530" spans="1:23" ht="54" x14ac:dyDescent="0.35">
      <c r="A530" s="20" t="s">
        <v>858</v>
      </c>
      <c r="B530" s="20"/>
      <c r="C530" s="14" t="s">
        <v>370</v>
      </c>
      <c r="D530" s="22"/>
      <c r="E530" s="22" t="s">
        <v>220</v>
      </c>
      <c r="F530" s="26" t="s">
        <v>58</v>
      </c>
      <c r="G530" s="27">
        <v>1.2</v>
      </c>
      <c r="H530" s="132"/>
      <c r="I530" s="171"/>
      <c r="J530" s="142"/>
      <c r="K530" s="110">
        <v>9.2880000000000003</v>
      </c>
      <c r="L530" s="63">
        <v>16.96</v>
      </c>
      <c r="M530" s="29"/>
      <c r="N530" s="91"/>
      <c r="O530" s="63">
        <f>ROUND(ROUND(L530, 2)*K530, 2)</f>
        <v>157.52000000000001</v>
      </c>
      <c r="P530" s="29"/>
      <c r="Q530" s="29"/>
      <c r="R530" s="28">
        <v>16.96</v>
      </c>
      <c r="S530" s="29"/>
      <c r="T530" s="29"/>
      <c r="U530" s="28">
        <f>ROUND(ROUND(R530, 2)*K530, 2)</f>
        <v>157.52000000000001</v>
      </c>
      <c r="V530" s="29"/>
      <c r="W530" s="30"/>
    </row>
    <row r="531" spans="1:23" ht="20" x14ac:dyDescent="0.35">
      <c r="A531" s="20" t="s">
        <v>859</v>
      </c>
      <c r="B531" s="20"/>
      <c r="C531" s="25" t="s">
        <v>232</v>
      </c>
      <c r="D531" s="22"/>
      <c r="E531" s="22"/>
      <c r="F531" s="26" t="s">
        <v>58</v>
      </c>
      <c r="G531" s="27">
        <v>0.25</v>
      </c>
      <c r="H531" s="132"/>
      <c r="I531" s="171"/>
      <c r="J531" s="142"/>
      <c r="K531" s="110">
        <v>0.96799999999999997</v>
      </c>
      <c r="L531" s="63">
        <v>40.270000000000003</v>
      </c>
      <c r="M531" s="29"/>
      <c r="N531" s="91"/>
      <c r="O531" s="63">
        <f>ROUND(ROUND(L531, 2)*K531, 2)</f>
        <v>38.979999999999997</v>
      </c>
      <c r="P531" s="29"/>
      <c r="Q531" s="29"/>
      <c r="R531" s="28">
        <v>40.270000000000003</v>
      </c>
      <c r="S531" s="29"/>
      <c r="T531" s="29"/>
      <c r="U531" s="28">
        <f>ROUND(ROUND(R531, 2)*K531, 2)</f>
        <v>38.979999999999997</v>
      </c>
      <c r="V531" s="29"/>
      <c r="W531" s="30"/>
    </row>
    <row r="532" spans="1:23" ht="36" x14ac:dyDescent="0.35">
      <c r="A532" s="20" t="s">
        <v>860</v>
      </c>
      <c r="B532" s="20"/>
      <c r="C532" s="25" t="s">
        <v>245</v>
      </c>
      <c r="D532" s="22"/>
      <c r="E532" s="22"/>
      <c r="F532" s="26" t="s">
        <v>58</v>
      </c>
      <c r="G532" s="27">
        <v>0.15</v>
      </c>
      <c r="H532" s="132"/>
      <c r="I532" s="171"/>
      <c r="J532" s="142"/>
      <c r="K532" s="99">
        <v>0.58099999999999996</v>
      </c>
      <c r="L532" s="63">
        <v>68.400000000000006</v>
      </c>
      <c r="M532" s="29"/>
      <c r="N532" s="91"/>
      <c r="O532" s="63">
        <f>ROUND(ROUND(L532, 2)*K532, 2)</f>
        <v>39.74</v>
      </c>
      <c r="P532" s="29"/>
      <c r="Q532" s="29"/>
      <c r="R532" s="28">
        <v>68.400000000000006</v>
      </c>
      <c r="S532" s="29"/>
      <c r="T532" s="29"/>
      <c r="U532" s="28">
        <f>ROUND(ROUND(R532, 2)*K532, 2)</f>
        <v>39.74</v>
      </c>
      <c r="V532" s="29"/>
      <c r="W532" s="30"/>
    </row>
    <row r="533" spans="1:23" ht="54" x14ac:dyDescent="0.35">
      <c r="A533" s="20" t="s">
        <v>861</v>
      </c>
      <c r="B533" s="20" t="s">
        <v>852</v>
      </c>
      <c r="C533" s="21" t="s">
        <v>853</v>
      </c>
      <c r="D533" s="22"/>
      <c r="E533" s="22" t="s">
        <v>862</v>
      </c>
      <c r="F533" s="22" t="s">
        <v>55</v>
      </c>
      <c r="G533" s="23">
        <v>1</v>
      </c>
      <c r="H533" s="131"/>
      <c r="I533" s="171"/>
      <c r="J533" s="142"/>
      <c r="K533" s="98">
        <v>4.41</v>
      </c>
      <c r="L533" s="62">
        <f>IFERROR(ROUND(SUM(O534,O535,O536,O537)/K533, 2),0)</f>
        <v>1002.54</v>
      </c>
      <c r="M533" s="80">
        <v>2983</v>
      </c>
      <c r="N533" s="90">
        <f>L533+ROUND(M533, 2)</f>
        <v>3985.54</v>
      </c>
      <c r="O533" s="62">
        <f>ROUND(L533*K533, 2)</f>
        <v>4421.2</v>
      </c>
      <c r="P533" s="24">
        <f>ROUND(K533*ROUND(M533, 2), 2)</f>
        <v>13155.03</v>
      </c>
      <c r="Q533" s="24">
        <f>O533+P533</f>
        <v>17576.23</v>
      </c>
      <c r="R533" s="24">
        <f>IFERROR(ROUND(SUM(U534,U535,U536,U537)/K533, 2),0)</f>
        <v>1002.54</v>
      </c>
      <c r="S533" s="24">
        <v>2983</v>
      </c>
      <c r="T533" s="24">
        <f>R533+ROUND(S533, 2)</f>
        <v>3985.54</v>
      </c>
      <c r="U533" s="24">
        <f>ROUND(R533*K533, 2)</f>
        <v>4421.2</v>
      </c>
      <c r="V533" s="24">
        <f>ROUND(K533*ROUND(S533, 2), 2)</f>
        <v>13155.03</v>
      </c>
      <c r="W533" s="24">
        <f>U533+V533</f>
        <v>17576.23</v>
      </c>
    </row>
    <row r="534" spans="1:23" ht="36" x14ac:dyDescent="0.35">
      <c r="A534" s="20" t="s">
        <v>863</v>
      </c>
      <c r="B534" s="20"/>
      <c r="C534" s="25" t="s">
        <v>245</v>
      </c>
      <c r="D534" s="22"/>
      <c r="E534" s="22"/>
      <c r="F534" s="26" t="s">
        <v>58</v>
      </c>
      <c r="G534" s="27">
        <v>0.15</v>
      </c>
      <c r="H534" s="132"/>
      <c r="I534" s="171"/>
      <c r="J534" s="142"/>
      <c r="K534" s="99">
        <v>0.66200000000000003</v>
      </c>
      <c r="L534" s="63">
        <v>68.400000000000006</v>
      </c>
      <c r="M534" s="29"/>
      <c r="N534" s="91"/>
      <c r="O534" s="63">
        <f>ROUND(ROUND(L534, 2)*K534, 2)</f>
        <v>45.28</v>
      </c>
      <c r="P534" s="29"/>
      <c r="Q534" s="29"/>
      <c r="R534" s="28">
        <v>68.400000000000006</v>
      </c>
      <c r="S534" s="29"/>
      <c r="T534" s="29"/>
      <c r="U534" s="28">
        <f>ROUND(ROUND(R534, 2)*K534, 2)</f>
        <v>45.28</v>
      </c>
      <c r="V534" s="29"/>
      <c r="W534" s="30"/>
    </row>
    <row r="535" spans="1:23" ht="20" x14ac:dyDescent="0.35">
      <c r="A535" s="20" t="s">
        <v>864</v>
      </c>
      <c r="B535" s="20"/>
      <c r="C535" s="25" t="s">
        <v>849</v>
      </c>
      <c r="D535" s="22"/>
      <c r="E535" s="22"/>
      <c r="F535" s="26" t="s">
        <v>58</v>
      </c>
      <c r="G535" s="27">
        <v>0.25</v>
      </c>
      <c r="H535" s="132"/>
      <c r="I535" s="171"/>
      <c r="J535" s="142"/>
      <c r="K535" s="110">
        <v>1.103</v>
      </c>
      <c r="L535" s="63">
        <v>66.23</v>
      </c>
      <c r="M535" s="29"/>
      <c r="N535" s="91"/>
      <c r="O535" s="63">
        <f>ROUND(ROUND(L535, 2)*K535, 2)</f>
        <v>73.05</v>
      </c>
      <c r="P535" s="29"/>
      <c r="Q535" s="29"/>
      <c r="R535" s="28">
        <v>66.23</v>
      </c>
      <c r="S535" s="29"/>
      <c r="T535" s="29"/>
      <c r="U535" s="28">
        <f>ROUND(ROUND(R535, 2)*K535, 2)</f>
        <v>73.05</v>
      </c>
      <c r="V535" s="29"/>
      <c r="W535" s="30"/>
    </row>
    <row r="536" spans="1:23" ht="54" x14ac:dyDescent="0.35">
      <c r="A536" s="20" t="s">
        <v>865</v>
      </c>
      <c r="B536" s="20"/>
      <c r="C536" s="14" t="s">
        <v>370</v>
      </c>
      <c r="D536" s="22"/>
      <c r="E536" s="22" t="s">
        <v>220</v>
      </c>
      <c r="F536" s="26" t="s">
        <v>58</v>
      </c>
      <c r="G536" s="27">
        <v>1.2</v>
      </c>
      <c r="H536" s="132"/>
      <c r="I536" s="171"/>
      <c r="J536" s="142"/>
      <c r="K536" s="110">
        <v>10.584</v>
      </c>
      <c r="L536" s="63">
        <v>16.96</v>
      </c>
      <c r="M536" s="29"/>
      <c r="N536" s="91"/>
      <c r="O536" s="63">
        <f>ROUND(ROUND(L536, 2)*K536, 2)</f>
        <v>179.5</v>
      </c>
      <c r="P536" s="29"/>
      <c r="Q536" s="29"/>
      <c r="R536" s="28">
        <v>16.96</v>
      </c>
      <c r="S536" s="29"/>
      <c r="T536" s="29"/>
      <c r="U536" s="28">
        <f>ROUND(ROUND(R536, 2)*K536, 2)</f>
        <v>179.5</v>
      </c>
      <c r="V536" s="29"/>
      <c r="W536" s="30"/>
    </row>
    <row r="537" spans="1:23" ht="54.5" thickBot="1" x14ac:dyDescent="0.4">
      <c r="A537" s="20" t="s">
        <v>866</v>
      </c>
      <c r="B537" s="20"/>
      <c r="C537" s="14" t="s">
        <v>277</v>
      </c>
      <c r="D537" s="22"/>
      <c r="E537" s="22" t="s">
        <v>867</v>
      </c>
      <c r="F537" s="26" t="s">
        <v>55</v>
      </c>
      <c r="G537" s="27">
        <v>1.1000000000000001</v>
      </c>
      <c r="H537" s="132"/>
      <c r="I537" s="171"/>
      <c r="J537" s="149"/>
      <c r="K537" s="95">
        <v>4.851</v>
      </c>
      <c r="L537" s="63">
        <v>850</v>
      </c>
      <c r="M537" s="29"/>
      <c r="N537" s="91"/>
      <c r="O537" s="63">
        <f>ROUND(ROUND(L537, 2)*K537, 2)</f>
        <v>4123.3500000000004</v>
      </c>
      <c r="P537" s="29"/>
      <c r="Q537" s="29"/>
      <c r="R537" s="28">
        <v>850</v>
      </c>
      <c r="S537" s="29"/>
      <c r="T537" s="29"/>
      <c r="U537" s="28">
        <f>ROUND(ROUND(R537, 2)*K537, 2)</f>
        <v>4123.3500000000004</v>
      </c>
      <c r="V537" s="29"/>
      <c r="W537" s="30"/>
    </row>
    <row r="538" spans="1:23" ht="17" customHeight="1" thickBot="1" x14ac:dyDescent="0.4">
      <c r="A538" s="8" t="s">
        <v>868</v>
      </c>
      <c r="B538" s="8" t="s">
        <v>869</v>
      </c>
      <c r="C538" s="92" t="s">
        <v>870</v>
      </c>
      <c r="D538" s="93"/>
      <c r="E538" s="93"/>
      <c r="F538" s="93"/>
      <c r="G538" s="93"/>
      <c r="H538" s="93"/>
      <c r="I538" s="167"/>
      <c r="J538" s="150"/>
      <c r="K538" s="94"/>
      <c r="N538" s="88"/>
      <c r="O538" s="83">
        <f>SUM(O539,O543,O547,O551,O555,O558,O561,O564,O569,O574,O578,O582,O590,O595,O600,O605,O609)</f>
        <v>831273.41</v>
      </c>
      <c r="P538" s="5">
        <f>SUM(P539,P543,P547,P551,P555,P558,P561,P564,P569,P574,P578,P582,P590,P595,P600,P605,P609)</f>
        <v>4447571.790000001</v>
      </c>
      <c r="Q538" s="5">
        <f>SUM(Q539,Q543,Q547,Q551,Q555,Q558,Q561,Q564,Q569,Q574,Q578,Q582,Q590,Q595,Q600,Q605,Q609)</f>
        <v>5278845.2000000011</v>
      </c>
      <c r="U538" s="5">
        <f>SUM(U539,U543,U547,U551,U555,U558,U561,U564,U569,U574,U578,U582,U590,U595,U600,U605,U609)</f>
        <v>759278.08000000007</v>
      </c>
      <c r="V538" s="5">
        <f>SUM(V539,V543,V547,V551,V555,V558,V561,V564,V569,V574,V578,V582,V590,V595,V600,V605,V609)</f>
        <v>4447571.790000001</v>
      </c>
      <c r="W538" s="5">
        <f>SUM(W539,W543,W547,W551,W555,W558,W561,W564,W569,W574,W578,W582,W590,W595,W600,W605,W609)</f>
        <v>5206849.870000001</v>
      </c>
    </row>
    <row r="539" spans="1:23" ht="54" x14ac:dyDescent="0.35">
      <c r="A539" s="8" t="s">
        <v>871</v>
      </c>
      <c r="B539" s="8" t="s">
        <v>872</v>
      </c>
      <c r="C539" s="9" t="s">
        <v>873</v>
      </c>
      <c r="D539" s="10"/>
      <c r="E539" s="10"/>
      <c r="F539" s="10" t="s">
        <v>55</v>
      </c>
      <c r="G539" s="11">
        <v>1</v>
      </c>
      <c r="H539" s="129"/>
      <c r="I539" s="170"/>
      <c r="J539" s="148"/>
      <c r="K539" s="96">
        <v>94.1</v>
      </c>
      <c r="L539" s="60">
        <f>IFERROR(ROUND(SUM(O540,O541,O542)/K539, 2),0)</f>
        <v>505.1</v>
      </c>
      <c r="M539" s="79">
        <v>2956</v>
      </c>
      <c r="N539" s="89">
        <f>L539+ROUND(M539, 2)</f>
        <v>3461.1</v>
      </c>
      <c r="O539" s="60">
        <f>ROUND(L539*K539, 2)</f>
        <v>47529.91</v>
      </c>
      <c r="P539" s="12">
        <f>ROUND(K539*ROUND(M539, 2), 2)</f>
        <v>278159.59999999998</v>
      </c>
      <c r="Q539" s="12">
        <f>O539+P539</f>
        <v>325689.51</v>
      </c>
      <c r="R539" s="12">
        <f>IFERROR(ROUND(SUM(U540,U541,U542)/K539, 2),0)</f>
        <v>505.1</v>
      </c>
      <c r="S539" s="13">
        <v>2956</v>
      </c>
      <c r="T539" s="12">
        <f>R539+ROUND(S539, 2)</f>
        <v>3461.1</v>
      </c>
      <c r="U539" s="12">
        <f>ROUND(R539*K539, 2)</f>
        <v>47529.91</v>
      </c>
      <c r="V539" s="12">
        <f>ROUND(K539*ROUND(S539, 2), 2)</f>
        <v>278159.59999999998</v>
      </c>
      <c r="W539" s="12">
        <f>U539+V539</f>
        <v>325689.51</v>
      </c>
    </row>
    <row r="540" spans="1:23" ht="36" x14ac:dyDescent="0.35">
      <c r="A540" s="8" t="s">
        <v>874</v>
      </c>
      <c r="B540" s="8"/>
      <c r="C540" s="19" t="s">
        <v>875</v>
      </c>
      <c r="D540" s="10"/>
      <c r="E540" s="10" t="s">
        <v>497</v>
      </c>
      <c r="F540" s="15" t="s">
        <v>58</v>
      </c>
      <c r="G540" s="16">
        <v>1.8</v>
      </c>
      <c r="H540" s="130"/>
      <c r="I540" s="170"/>
      <c r="J540" s="141"/>
      <c r="K540" s="109">
        <v>6390</v>
      </c>
      <c r="L540" s="61">
        <v>6.8</v>
      </c>
      <c r="N540" s="88"/>
      <c r="O540" s="84">
        <f>ROUND(ROUND(L540, 2)*K540, 2)</f>
        <v>43452</v>
      </c>
      <c r="R540" s="18">
        <v>6.8</v>
      </c>
      <c r="U540" s="17">
        <f>ROUND(ROUND(R540, 2)*K540, 2)</f>
        <v>43452</v>
      </c>
    </row>
    <row r="541" spans="1:23" ht="20" x14ac:dyDescent="0.35">
      <c r="A541" s="8" t="s">
        <v>876</v>
      </c>
      <c r="B541" s="8"/>
      <c r="C541" s="19" t="s">
        <v>877</v>
      </c>
      <c r="D541" s="10"/>
      <c r="E541" s="10"/>
      <c r="F541" s="15" t="s">
        <v>67</v>
      </c>
      <c r="G541" s="16">
        <v>1</v>
      </c>
      <c r="H541" s="130"/>
      <c r="I541" s="170"/>
      <c r="J541" s="141"/>
      <c r="K541" s="97">
        <v>94.1</v>
      </c>
      <c r="L541" s="61">
        <v>18.34</v>
      </c>
      <c r="N541" s="88"/>
      <c r="O541" s="84">
        <f>ROUND(ROUND(L541, 2)*K541, 2)</f>
        <v>1725.79</v>
      </c>
      <c r="R541" s="18">
        <v>18.34</v>
      </c>
      <c r="U541" s="17">
        <f>ROUND(ROUND(R541, 2)*K541, 2)</f>
        <v>1725.79</v>
      </c>
    </row>
    <row r="542" spans="1:23" ht="20" x14ac:dyDescent="0.35">
      <c r="A542" s="8" t="s">
        <v>878</v>
      </c>
      <c r="B542" s="8"/>
      <c r="C542" s="19" t="s">
        <v>405</v>
      </c>
      <c r="D542" s="10"/>
      <c r="E542" s="10"/>
      <c r="F542" s="15" t="s">
        <v>58</v>
      </c>
      <c r="G542" s="16">
        <v>0.25</v>
      </c>
      <c r="H542" s="130"/>
      <c r="I542" s="170"/>
      <c r="J542" s="141"/>
      <c r="K542" s="97">
        <v>23.524999999999999</v>
      </c>
      <c r="L542" s="61">
        <v>100</v>
      </c>
      <c r="N542" s="88"/>
      <c r="O542" s="84">
        <f>ROUND(ROUND(L542, 2)*K542, 2)</f>
        <v>2352.5</v>
      </c>
      <c r="R542" s="18">
        <v>100</v>
      </c>
      <c r="U542" s="17">
        <f>ROUND(ROUND(R542, 2)*K542, 2)</f>
        <v>2352.5</v>
      </c>
    </row>
    <row r="543" spans="1:23" ht="54" x14ac:dyDescent="0.35">
      <c r="A543" s="8" t="s">
        <v>879</v>
      </c>
      <c r="B543" s="8" t="s">
        <v>880</v>
      </c>
      <c r="C543" s="9" t="s">
        <v>881</v>
      </c>
      <c r="D543" s="10"/>
      <c r="E543" s="10" t="s">
        <v>882</v>
      </c>
      <c r="F543" s="10" t="s">
        <v>55</v>
      </c>
      <c r="G543" s="11">
        <v>1</v>
      </c>
      <c r="H543" s="129"/>
      <c r="I543" s="170"/>
      <c r="J543" s="141"/>
      <c r="K543" s="100">
        <v>491</v>
      </c>
      <c r="L543" s="60">
        <f>IFERROR(ROUND(SUM(O544,O545,O546)/K543, 2),0)</f>
        <v>79.760000000000005</v>
      </c>
      <c r="M543" s="79">
        <v>1001</v>
      </c>
      <c r="N543" s="89">
        <f>L543+ROUND(M543, 2)</f>
        <v>1080.76</v>
      </c>
      <c r="O543" s="60">
        <f>ROUND(L543*K543, 2)</f>
        <v>39162.160000000003</v>
      </c>
      <c r="P543" s="12">
        <f>ROUND(K543*ROUND(M543, 2), 2)</f>
        <v>491491</v>
      </c>
      <c r="Q543" s="12">
        <f>O543+P543</f>
        <v>530653.16</v>
      </c>
      <c r="R543" s="12">
        <f>IFERROR(ROUND(SUM(U544,U545,U546)/K543, 2),0)</f>
        <v>79.760000000000005</v>
      </c>
      <c r="S543" s="13">
        <v>1001</v>
      </c>
      <c r="T543" s="12">
        <f>R543+ROUND(S543, 2)</f>
        <v>1080.76</v>
      </c>
      <c r="U543" s="12">
        <f>ROUND(R543*K543, 2)</f>
        <v>39162.160000000003</v>
      </c>
      <c r="V543" s="12">
        <f>ROUND(K543*ROUND(S543, 2), 2)</f>
        <v>491491</v>
      </c>
      <c r="W543" s="12">
        <f>U543+V543</f>
        <v>530653.16</v>
      </c>
    </row>
    <row r="544" spans="1:23" ht="36" x14ac:dyDescent="0.35">
      <c r="A544" s="8" t="s">
        <v>883</v>
      </c>
      <c r="B544" s="8"/>
      <c r="C544" s="14" t="s">
        <v>393</v>
      </c>
      <c r="D544" s="10"/>
      <c r="E544" s="10" t="s">
        <v>417</v>
      </c>
      <c r="F544" s="15" t="s">
        <v>58</v>
      </c>
      <c r="G544" s="16">
        <v>4.5</v>
      </c>
      <c r="H544" s="130"/>
      <c r="I544" s="170"/>
      <c r="J544" s="141"/>
      <c r="K544" s="97">
        <v>2209.5</v>
      </c>
      <c r="L544" s="61">
        <v>12.58</v>
      </c>
      <c r="N544" s="88"/>
      <c r="O544" s="84">
        <f>ROUND(ROUND(L544, 2)*K544, 2)</f>
        <v>27795.51</v>
      </c>
      <c r="R544" s="18">
        <v>12.58</v>
      </c>
      <c r="U544" s="17">
        <f>ROUND(ROUND(R544, 2)*K544, 2)</f>
        <v>27795.51</v>
      </c>
    </row>
    <row r="545" spans="1:23" ht="36" x14ac:dyDescent="0.35">
      <c r="A545" s="8" t="s">
        <v>884</v>
      </c>
      <c r="B545" s="8"/>
      <c r="C545" s="19" t="s">
        <v>885</v>
      </c>
      <c r="D545" s="10"/>
      <c r="E545" s="10"/>
      <c r="F545" s="15" t="s">
        <v>84</v>
      </c>
      <c r="G545" s="16">
        <v>0.3</v>
      </c>
      <c r="H545" s="130"/>
      <c r="I545" s="170"/>
      <c r="J545" s="141"/>
      <c r="K545" s="109">
        <v>66</v>
      </c>
      <c r="L545" s="61">
        <v>73.099999999999994</v>
      </c>
      <c r="N545" s="88"/>
      <c r="O545" s="84">
        <f>ROUND(ROUND(L545, 2)*K545, 2)</f>
        <v>4824.6000000000004</v>
      </c>
      <c r="R545" s="18">
        <v>73.099999999999994</v>
      </c>
      <c r="U545" s="17">
        <f>ROUND(ROUND(R545, 2)*K545, 2)</f>
        <v>4824.6000000000004</v>
      </c>
    </row>
    <row r="546" spans="1:23" ht="36" x14ac:dyDescent="0.35">
      <c r="A546" s="8" t="s">
        <v>886</v>
      </c>
      <c r="B546" s="8"/>
      <c r="C546" s="19" t="s">
        <v>235</v>
      </c>
      <c r="D546" s="10"/>
      <c r="E546" s="10"/>
      <c r="F546" s="15" t="s">
        <v>58</v>
      </c>
      <c r="G546" s="16">
        <v>0.15</v>
      </c>
      <c r="H546" s="130"/>
      <c r="I546" s="170"/>
      <c r="J546" s="141"/>
      <c r="K546" s="97">
        <v>73.650000000000006</v>
      </c>
      <c r="L546" s="61">
        <v>88.8</v>
      </c>
      <c r="N546" s="88"/>
      <c r="O546" s="84">
        <f>ROUND(ROUND(L546, 2)*K546, 2)</f>
        <v>6540.12</v>
      </c>
      <c r="R546" s="18">
        <v>88.8</v>
      </c>
      <c r="U546" s="17">
        <f>ROUND(ROUND(R546, 2)*K546, 2)</f>
        <v>6540.12</v>
      </c>
    </row>
    <row r="547" spans="1:23" ht="54" x14ac:dyDescent="0.35">
      <c r="A547" s="8" t="s">
        <v>887</v>
      </c>
      <c r="B547" s="8" t="s">
        <v>880</v>
      </c>
      <c r="C547" s="9" t="s">
        <v>881</v>
      </c>
      <c r="D547" s="10"/>
      <c r="E547" s="10" t="s">
        <v>888</v>
      </c>
      <c r="F547" s="10" t="s">
        <v>55</v>
      </c>
      <c r="G547" s="11">
        <v>1</v>
      </c>
      <c r="H547" s="129"/>
      <c r="I547" s="170"/>
      <c r="J547" s="141"/>
      <c r="K547" s="100">
        <v>491</v>
      </c>
      <c r="L547" s="60">
        <f>IFERROR(ROUND(SUM(O548,O549,O550)/K547, 2),0)</f>
        <v>79.760000000000005</v>
      </c>
      <c r="M547" s="79">
        <v>1001</v>
      </c>
      <c r="N547" s="89">
        <f>L547+ROUND(M547, 2)</f>
        <v>1080.76</v>
      </c>
      <c r="O547" s="60">
        <f>ROUND(L547*K547, 2)</f>
        <v>39162.160000000003</v>
      </c>
      <c r="P547" s="12">
        <f>ROUND(K547*ROUND(M547, 2), 2)</f>
        <v>491491</v>
      </c>
      <c r="Q547" s="12">
        <f>O547+P547</f>
        <v>530653.16</v>
      </c>
      <c r="R547" s="12">
        <f>IFERROR(ROUND(SUM(U548,U549,U550)/K547, 2),0)</f>
        <v>79.760000000000005</v>
      </c>
      <c r="S547" s="13">
        <v>1001</v>
      </c>
      <c r="T547" s="12">
        <f>R547+ROUND(S547, 2)</f>
        <v>1080.76</v>
      </c>
      <c r="U547" s="12">
        <f>ROUND(R547*K547, 2)</f>
        <v>39162.160000000003</v>
      </c>
      <c r="V547" s="12">
        <f>ROUND(K547*ROUND(S547, 2), 2)</f>
        <v>491491</v>
      </c>
      <c r="W547" s="12">
        <f>U547+V547</f>
        <v>530653.16</v>
      </c>
    </row>
    <row r="548" spans="1:23" ht="36" x14ac:dyDescent="0.35">
      <c r="A548" s="8" t="s">
        <v>889</v>
      </c>
      <c r="B548" s="8"/>
      <c r="C548" s="19" t="s">
        <v>235</v>
      </c>
      <c r="D548" s="10"/>
      <c r="E548" s="10"/>
      <c r="F548" s="15" t="s">
        <v>58</v>
      </c>
      <c r="G548" s="16">
        <v>0.15</v>
      </c>
      <c r="H548" s="130"/>
      <c r="I548" s="170"/>
      <c r="J548" s="141"/>
      <c r="K548" s="97">
        <v>73.650000000000006</v>
      </c>
      <c r="L548" s="61">
        <v>88.8</v>
      </c>
      <c r="N548" s="88"/>
      <c r="O548" s="84">
        <f>ROUND(ROUND(L548, 2)*K548, 2)</f>
        <v>6540.12</v>
      </c>
      <c r="R548" s="18">
        <v>88.8</v>
      </c>
      <c r="U548" s="17">
        <f>ROUND(ROUND(R548, 2)*K548, 2)</f>
        <v>6540.12</v>
      </c>
    </row>
    <row r="549" spans="1:23" ht="36" x14ac:dyDescent="0.35">
      <c r="A549" s="8" t="s">
        <v>890</v>
      </c>
      <c r="B549" s="8"/>
      <c r="C549" s="19" t="s">
        <v>885</v>
      </c>
      <c r="D549" s="10"/>
      <c r="E549" s="10"/>
      <c r="F549" s="15" t="s">
        <v>84</v>
      </c>
      <c r="G549" s="16">
        <v>0.3</v>
      </c>
      <c r="H549" s="130"/>
      <c r="I549" s="170"/>
      <c r="J549" s="141"/>
      <c r="K549" s="109">
        <v>66</v>
      </c>
      <c r="L549" s="61">
        <v>73.099999999999994</v>
      </c>
      <c r="N549" s="88"/>
      <c r="O549" s="84">
        <f>ROUND(ROUND(L549, 2)*K549, 2)</f>
        <v>4824.6000000000004</v>
      </c>
      <c r="R549" s="18">
        <v>73.099999999999994</v>
      </c>
      <c r="U549" s="17">
        <f>ROUND(ROUND(R549, 2)*K549, 2)</f>
        <v>4824.6000000000004</v>
      </c>
    </row>
    <row r="550" spans="1:23" ht="36" x14ac:dyDescent="0.35">
      <c r="A550" s="8" t="s">
        <v>891</v>
      </c>
      <c r="B550" s="8"/>
      <c r="C550" s="14" t="s">
        <v>393</v>
      </c>
      <c r="D550" s="10"/>
      <c r="E550" s="10" t="s">
        <v>434</v>
      </c>
      <c r="F550" s="15" t="s">
        <v>58</v>
      </c>
      <c r="G550" s="16">
        <v>4.5</v>
      </c>
      <c r="H550" s="130"/>
      <c r="I550" s="170"/>
      <c r="J550" s="141"/>
      <c r="K550" s="97">
        <v>2209.5</v>
      </c>
      <c r="L550" s="61">
        <v>12.58</v>
      </c>
      <c r="N550" s="88"/>
      <c r="O550" s="84">
        <f>ROUND(ROUND(L550, 2)*K550, 2)</f>
        <v>27795.51</v>
      </c>
      <c r="R550" s="18">
        <v>12.58</v>
      </c>
      <c r="U550" s="17">
        <f>ROUND(ROUND(R550, 2)*K550, 2)</f>
        <v>27795.51</v>
      </c>
    </row>
    <row r="551" spans="1:23" ht="54" x14ac:dyDescent="0.35">
      <c r="A551" s="20" t="s">
        <v>892</v>
      </c>
      <c r="B551" s="20" t="s">
        <v>880</v>
      </c>
      <c r="C551" s="21" t="s">
        <v>881</v>
      </c>
      <c r="D551" s="22"/>
      <c r="E551" s="22" t="s">
        <v>893</v>
      </c>
      <c r="F551" s="22" t="s">
        <v>55</v>
      </c>
      <c r="G551" s="23">
        <v>1</v>
      </c>
      <c r="H551" s="131"/>
      <c r="I551" s="171"/>
      <c r="J551" s="142"/>
      <c r="K551" s="98">
        <v>329.76</v>
      </c>
      <c r="L551" s="62">
        <f>IFERROR(ROUND(SUM(O552,O553,O554)/K551, 2),0)</f>
        <v>92.4</v>
      </c>
      <c r="M551" s="80">
        <v>1001</v>
      </c>
      <c r="N551" s="90">
        <f>L551+ROUND(M551, 2)</f>
        <v>1093.4000000000001</v>
      </c>
      <c r="O551" s="62">
        <f>ROUND(L551*K551, 2)</f>
        <v>30469.82</v>
      </c>
      <c r="P551" s="24">
        <f>ROUND(K551*ROUND(M551, 2), 2)</f>
        <v>330089.76</v>
      </c>
      <c r="Q551" s="24">
        <f>O551+P551</f>
        <v>360559.58</v>
      </c>
      <c r="R551" s="24">
        <f>IFERROR(ROUND(SUM(U552,U553,U554)/K551, 2),0)</f>
        <v>92.4</v>
      </c>
      <c r="S551" s="24">
        <v>1001</v>
      </c>
      <c r="T551" s="24">
        <f>R551+ROUND(S551, 2)</f>
        <v>1093.4000000000001</v>
      </c>
      <c r="U551" s="24">
        <f>ROUND(R551*K551, 2)</f>
        <v>30469.82</v>
      </c>
      <c r="V551" s="24">
        <f>ROUND(K551*ROUND(S551, 2), 2)</f>
        <v>330089.76</v>
      </c>
      <c r="W551" s="24">
        <f>U551+V551</f>
        <v>360559.58</v>
      </c>
    </row>
    <row r="552" spans="1:23" ht="36" x14ac:dyDescent="0.35">
      <c r="A552" s="20" t="s">
        <v>894</v>
      </c>
      <c r="B552" s="20"/>
      <c r="C552" s="25" t="s">
        <v>235</v>
      </c>
      <c r="D552" s="22"/>
      <c r="E552" s="22"/>
      <c r="F552" s="26" t="s">
        <v>58</v>
      </c>
      <c r="G552" s="27">
        <v>0.15</v>
      </c>
      <c r="H552" s="132"/>
      <c r="I552" s="171"/>
      <c r="J552" s="142"/>
      <c r="K552" s="99">
        <v>49.463999999999999</v>
      </c>
      <c r="L552" s="63">
        <v>88.8</v>
      </c>
      <c r="M552" s="29"/>
      <c r="N552" s="91"/>
      <c r="O552" s="63">
        <f>ROUND(ROUND(L552, 2)*K552, 2)</f>
        <v>4392.3999999999996</v>
      </c>
      <c r="P552" s="29"/>
      <c r="Q552" s="29"/>
      <c r="R552" s="28">
        <v>88.8</v>
      </c>
      <c r="S552" s="29"/>
      <c r="T552" s="29"/>
      <c r="U552" s="28">
        <f>ROUND(ROUND(R552, 2)*K552, 2)</f>
        <v>4392.3999999999996</v>
      </c>
      <c r="V552" s="29"/>
      <c r="W552" s="30"/>
    </row>
    <row r="553" spans="1:23" ht="20" x14ac:dyDescent="0.35">
      <c r="A553" s="20" t="s">
        <v>895</v>
      </c>
      <c r="B553" s="20"/>
      <c r="C553" s="25" t="s">
        <v>420</v>
      </c>
      <c r="D553" s="22"/>
      <c r="E553" s="22"/>
      <c r="F553" s="26" t="s">
        <v>84</v>
      </c>
      <c r="G553" s="27">
        <v>0.3</v>
      </c>
      <c r="H553" s="132"/>
      <c r="I553" s="171"/>
      <c r="J553" s="142"/>
      <c r="K553" s="99">
        <v>98.927999999999997</v>
      </c>
      <c r="L553" s="63">
        <v>73.099999999999994</v>
      </c>
      <c r="M553" s="29"/>
      <c r="N553" s="91"/>
      <c r="O553" s="63">
        <f>ROUND(ROUND(L553, 2)*K553, 2)</f>
        <v>7231.64</v>
      </c>
      <c r="P553" s="29"/>
      <c r="Q553" s="29"/>
      <c r="R553" s="28">
        <v>73.099999999999994</v>
      </c>
      <c r="S553" s="29"/>
      <c r="T553" s="29"/>
      <c r="U553" s="28">
        <f>ROUND(ROUND(R553, 2)*K553, 2)</f>
        <v>7231.64</v>
      </c>
      <c r="V553" s="29"/>
      <c r="W553" s="30"/>
    </row>
    <row r="554" spans="1:23" ht="36" x14ac:dyDescent="0.35">
      <c r="A554" s="20" t="s">
        <v>896</v>
      </c>
      <c r="B554" s="20"/>
      <c r="C554" s="14" t="s">
        <v>393</v>
      </c>
      <c r="D554" s="22"/>
      <c r="E554" s="22"/>
      <c r="F554" s="26" t="s">
        <v>58</v>
      </c>
      <c r="G554" s="27">
        <v>4.5</v>
      </c>
      <c r="H554" s="132"/>
      <c r="I554" s="171"/>
      <c r="J554" s="142"/>
      <c r="K554" s="99">
        <v>1483.92</v>
      </c>
      <c r="L554" s="63">
        <v>12.7</v>
      </c>
      <c r="M554" s="29"/>
      <c r="N554" s="91"/>
      <c r="O554" s="63">
        <f>ROUND(ROUND(L554, 2)*K554, 2)</f>
        <v>18845.78</v>
      </c>
      <c r="P554" s="29"/>
      <c r="Q554" s="29"/>
      <c r="R554" s="28">
        <v>12.7</v>
      </c>
      <c r="S554" s="29"/>
      <c r="T554" s="29"/>
      <c r="U554" s="28">
        <f>ROUND(ROUND(R554, 2)*K554, 2)</f>
        <v>18845.78</v>
      </c>
      <c r="V554" s="29"/>
      <c r="W554" s="30"/>
    </row>
    <row r="555" spans="1:23" ht="54" x14ac:dyDescent="0.35">
      <c r="A555" s="20" t="s">
        <v>897</v>
      </c>
      <c r="B555" s="20" t="s">
        <v>880</v>
      </c>
      <c r="C555" s="21" t="s">
        <v>881</v>
      </c>
      <c r="D555" s="22"/>
      <c r="E555" s="22" t="s">
        <v>898</v>
      </c>
      <c r="F555" s="22" t="s">
        <v>55</v>
      </c>
      <c r="G555" s="23">
        <v>1</v>
      </c>
      <c r="H555" s="131"/>
      <c r="I555" s="171"/>
      <c r="J555" s="142"/>
      <c r="K555" s="98">
        <v>329.76</v>
      </c>
      <c r="L555" s="62">
        <f>IFERROR(ROUND(SUM(O556,O557)/K555, 2),0)</f>
        <v>70.47</v>
      </c>
      <c r="M555" s="80">
        <v>1001</v>
      </c>
      <c r="N555" s="90">
        <f>L555+ROUND(M555, 2)</f>
        <v>1071.47</v>
      </c>
      <c r="O555" s="62">
        <f>ROUND(L555*K555, 2)</f>
        <v>23238.19</v>
      </c>
      <c r="P555" s="24">
        <f>ROUND(K555*ROUND(M555, 2), 2)</f>
        <v>330089.76</v>
      </c>
      <c r="Q555" s="24">
        <f>O555+P555</f>
        <v>353327.95</v>
      </c>
      <c r="R555" s="24">
        <f>IFERROR(ROUND(SUM(U556,U557)/K555, 2),0)</f>
        <v>70.47</v>
      </c>
      <c r="S555" s="24">
        <v>1001</v>
      </c>
      <c r="T555" s="24">
        <f>R555+ROUND(S555, 2)</f>
        <v>1071.47</v>
      </c>
      <c r="U555" s="24">
        <f>ROUND(R555*K555, 2)</f>
        <v>23238.19</v>
      </c>
      <c r="V555" s="24">
        <f>ROUND(K555*ROUND(S555, 2), 2)</f>
        <v>330089.76</v>
      </c>
      <c r="W555" s="24">
        <f>U555+V555</f>
        <v>353327.95</v>
      </c>
    </row>
    <row r="556" spans="1:23" ht="36" x14ac:dyDescent="0.35">
      <c r="A556" s="20" t="s">
        <v>899</v>
      </c>
      <c r="B556" s="20"/>
      <c r="C556" s="25" t="s">
        <v>235</v>
      </c>
      <c r="D556" s="22"/>
      <c r="E556" s="22"/>
      <c r="F556" s="26" t="s">
        <v>58</v>
      </c>
      <c r="G556" s="27">
        <v>0.15</v>
      </c>
      <c r="H556" s="132"/>
      <c r="I556" s="171"/>
      <c r="J556" s="142"/>
      <c r="K556" s="99">
        <v>49.463999999999999</v>
      </c>
      <c r="L556" s="63">
        <v>88.8</v>
      </c>
      <c r="M556" s="29"/>
      <c r="N556" s="91"/>
      <c r="O556" s="63">
        <f>ROUND(ROUND(L556, 2)*K556, 2)</f>
        <v>4392.3999999999996</v>
      </c>
      <c r="P556" s="29"/>
      <c r="Q556" s="29"/>
      <c r="R556" s="28">
        <v>88.8</v>
      </c>
      <c r="S556" s="29"/>
      <c r="T556" s="29"/>
      <c r="U556" s="28">
        <f>ROUND(ROUND(R556, 2)*K556, 2)</f>
        <v>4392.3999999999996</v>
      </c>
      <c r="V556" s="29"/>
      <c r="W556" s="30"/>
    </row>
    <row r="557" spans="1:23" ht="36" x14ac:dyDescent="0.35">
      <c r="A557" s="20" t="s">
        <v>900</v>
      </c>
      <c r="B557" s="20"/>
      <c r="C557" s="14" t="s">
        <v>393</v>
      </c>
      <c r="D557" s="22"/>
      <c r="E557" s="22"/>
      <c r="F557" s="26" t="s">
        <v>58</v>
      </c>
      <c r="G557" s="27">
        <v>4.5</v>
      </c>
      <c r="H557" s="132"/>
      <c r="I557" s="171"/>
      <c r="J557" s="142"/>
      <c r="K557" s="99">
        <v>1483.92</v>
      </c>
      <c r="L557" s="63">
        <v>12.7</v>
      </c>
      <c r="M557" s="29"/>
      <c r="N557" s="91"/>
      <c r="O557" s="63">
        <f>ROUND(ROUND(L557, 2)*K557, 2)</f>
        <v>18845.78</v>
      </c>
      <c r="P557" s="29"/>
      <c r="Q557" s="29"/>
      <c r="R557" s="28">
        <v>12.7</v>
      </c>
      <c r="S557" s="29"/>
      <c r="T557" s="29"/>
      <c r="U557" s="28">
        <f>ROUND(ROUND(R557, 2)*K557, 2)</f>
        <v>18845.78</v>
      </c>
      <c r="V557" s="29"/>
      <c r="W557" s="30"/>
    </row>
    <row r="558" spans="1:23" ht="54" x14ac:dyDescent="0.35">
      <c r="A558" s="8" t="s">
        <v>901</v>
      </c>
      <c r="B558" s="8" t="s">
        <v>902</v>
      </c>
      <c r="C558" s="9" t="s">
        <v>903</v>
      </c>
      <c r="D558" s="10"/>
      <c r="E558" s="10" t="s">
        <v>54</v>
      </c>
      <c r="F558" s="10" t="s">
        <v>55</v>
      </c>
      <c r="G558" s="11">
        <v>1</v>
      </c>
      <c r="H558" s="129"/>
      <c r="I558" s="170"/>
      <c r="J558" s="141"/>
      <c r="K558" s="100">
        <v>491</v>
      </c>
      <c r="L558" s="60">
        <f>IFERROR(ROUND(SUM(O559,O560)/K558, 2),0)</f>
        <v>290.51</v>
      </c>
      <c r="M558" s="79">
        <v>275</v>
      </c>
      <c r="N558" s="89">
        <f>L558+ROUND(M558, 2)</f>
        <v>565.51</v>
      </c>
      <c r="O558" s="60">
        <f>ROUND(L558*K558, 2)</f>
        <v>142640.41</v>
      </c>
      <c r="P558" s="12">
        <f>ROUND(K558*ROUND(M558, 2), 2)</f>
        <v>135025</v>
      </c>
      <c r="Q558" s="12">
        <f>O558+P558</f>
        <v>277665.41000000003</v>
      </c>
      <c r="R558" s="12">
        <f>IFERROR(ROUND(SUM(U559,U560)/K558, 2),0)</f>
        <v>143.88</v>
      </c>
      <c r="S558" s="13">
        <v>275</v>
      </c>
      <c r="T558" s="12">
        <f>R558+ROUND(S558, 2)</f>
        <v>418.88</v>
      </c>
      <c r="U558" s="12">
        <f>ROUND(R558*K558, 2)</f>
        <v>70645.08</v>
      </c>
      <c r="V558" s="12">
        <f>ROUND(K558*ROUND(S558, 2), 2)</f>
        <v>135025</v>
      </c>
      <c r="W558" s="12">
        <f>U558+V558</f>
        <v>205670.08000000002</v>
      </c>
    </row>
    <row r="559" spans="1:23" ht="20" x14ac:dyDescent="0.35">
      <c r="A559" s="8" t="s">
        <v>904</v>
      </c>
      <c r="B559" s="8"/>
      <c r="C559" s="19" t="s">
        <v>905</v>
      </c>
      <c r="D559" s="10"/>
      <c r="E559" s="10"/>
      <c r="F559" s="15" t="s">
        <v>58</v>
      </c>
      <c r="G559" s="16">
        <v>0.3</v>
      </c>
      <c r="H559" s="130"/>
      <c r="I559" s="170"/>
      <c r="J559" s="141"/>
      <c r="K559" s="97">
        <v>147.30000000000001</v>
      </c>
      <c r="L559" s="61">
        <v>938.78</v>
      </c>
      <c r="N559" s="88"/>
      <c r="O559" s="84">
        <f>ROUND(ROUND(L559, 2)*K559, 2)</f>
        <v>138282.29</v>
      </c>
      <c r="R559" s="18">
        <v>450</v>
      </c>
      <c r="U559" s="17">
        <f>ROUND(ROUND(R559, 2)*K559, 2)</f>
        <v>66285</v>
      </c>
    </row>
    <row r="560" spans="1:23" ht="36" x14ac:dyDescent="0.35">
      <c r="A560" s="8" t="s">
        <v>906</v>
      </c>
      <c r="B560" s="8"/>
      <c r="C560" s="19" t="s">
        <v>235</v>
      </c>
      <c r="D560" s="10"/>
      <c r="E560" s="10"/>
      <c r="F560" s="15" t="s">
        <v>58</v>
      </c>
      <c r="G560" s="16">
        <v>0.1</v>
      </c>
      <c r="H560" s="130"/>
      <c r="I560" s="170"/>
      <c r="J560" s="141"/>
      <c r="K560" s="97">
        <v>49.1</v>
      </c>
      <c r="L560" s="61">
        <v>88.8</v>
      </c>
      <c r="N560" s="88"/>
      <c r="O560" s="84">
        <f>ROUND(ROUND(L560, 2)*K560, 2)</f>
        <v>4360.08</v>
      </c>
      <c r="R560" s="18">
        <v>88.8</v>
      </c>
      <c r="U560" s="17">
        <f>ROUND(ROUND(R560, 2)*K560, 2)</f>
        <v>4360.08</v>
      </c>
    </row>
    <row r="561" spans="1:23" ht="54" x14ac:dyDescent="0.35">
      <c r="A561" s="20" t="s">
        <v>907</v>
      </c>
      <c r="B561" s="20" t="s">
        <v>902</v>
      </c>
      <c r="C561" s="21" t="s">
        <v>903</v>
      </c>
      <c r="D561" s="22"/>
      <c r="E561" s="22" t="s">
        <v>63</v>
      </c>
      <c r="F561" s="22" t="s">
        <v>55</v>
      </c>
      <c r="G561" s="23">
        <v>1</v>
      </c>
      <c r="H561" s="131"/>
      <c r="I561" s="171"/>
      <c r="J561" s="142"/>
      <c r="K561" s="98">
        <v>329.76</v>
      </c>
      <c r="L561" s="62">
        <f>IFERROR(ROUND(SUM(O562,O563)/K561, 2),0)</f>
        <v>30.4</v>
      </c>
      <c r="M561" s="80">
        <v>303</v>
      </c>
      <c r="N561" s="90">
        <f>L561+ROUND(M561, 2)</f>
        <v>333.4</v>
      </c>
      <c r="O561" s="62">
        <f>ROUND(L561*K561, 2)</f>
        <v>10024.700000000001</v>
      </c>
      <c r="P561" s="24">
        <f>ROUND(K561*ROUND(M561, 2), 2)</f>
        <v>99917.28</v>
      </c>
      <c r="Q561" s="24">
        <f>O561+P561</f>
        <v>109941.98</v>
      </c>
      <c r="R561" s="24">
        <f>IFERROR(ROUND(SUM(U562,U563)/K561, 2),0)</f>
        <v>30.4</v>
      </c>
      <c r="S561" s="24">
        <v>303</v>
      </c>
      <c r="T561" s="24">
        <f>R561+ROUND(S561, 2)</f>
        <v>333.4</v>
      </c>
      <c r="U561" s="24">
        <f>ROUND(R561*K561, 2)</f>
        <v>10024.700000000001</v>
      </c>
      <c r="V561" s="24">
        <f>ROUND(K561*ROUND(S561, 2), 2)</f>
        <v>99917.28</v>
      </c>
      <c r="W561" s="24">
        <f>U561+V561</f>
        <v>109941.98</v>
      </c>
    </row>
    <row r="562" spans="1:23" ht="36" x14ac:dyDescent="0.35">
      <c r="A562" s="20" t="s">
        <v>908</v>
      </c>
      <c r="B562" s="20"/>
      <c r="C562" s="25" t="s">
        <v>235</v>
      </c>
      <c r="D562" s="22"/>
      <c r="E562" s="22"/>
      <c r="F562" s="26" t="s">
        <v>58</v>
      </c>
      <c r="G562" s="27">
        <v>0.1</v>
      </c>
      <c r="H562" s="132"/>
      <c r="I562" s="171"/>
      <c r="J562" s="142"/>
      <c r="K562" s="99">
        <v>32.975999999999999</v>
      </c>
      <c r="L562" s="63">
        <v>88.8</v>
      </c>
      <c r="M562" s="29"/>
      <c r="N562" s="91"/>
      <c r="O562" s="63">
        <f>ROUND(ROUND(L562, 2)*K562, 2)</f>
        <v>2928.27</v>
      </c>
      <c r="P562" s="29"/>
      <c r="Q562" s="29"/>
      <c r="R562" s="28">
        <v>88.8</v>
      </c>
      <c r="S562" s="29"/>
      <c r="T562" s="29"/>
      <c r="U562" s="28">
        <f>ROUND(ROUND(R562, 2)*K562, 2)</f>
        <v>2928.27</v>
      </c>
      <c r="V562" s="29"/>
      <c r="W562" s="30"/>
    </row>
    <row r="563" spans="1:23" ht="36" x14ac:dyDescent="0.35">
      <c r="A563" s="20" t="s">
        <v>909</v>
      </c>
      <c r="B563" s="20"/>
      <c r="C563" s="25" t="s">
        <v>910</v>
      </c>
      <c r="D563" s="22"/>
      <c r="E563" s="22"/>
      <c r="F563" s="26" t="s">
        <v>58</v>
      </c>
      <c r="G563" s="27">
        <v>0.3</v>
      </c>
      <c r="H563" s="132"/>
      <c r="I563" s="171"/>
      <c r="J563" s="142"/>
      <c r="K563" s="99">
        <v>98.927999999999997</v>
      </c>
      <c r="L563" s="63">
        <v>71.75</v>
      </c>
      <c r="M563" s="29"/>
      <c r="N563" s="91"/>
      <c r="O563" s="63">
        <f>ROUND(ROUND(L563, 2)*K563, 2)</f>
        <v>7098.08</v>
      </c>
      <c r="P563" s="29"/>
      <c r="Q563" s="29"/>
      <c r="R563" s="28">
        <v>71.75</v>
      </c>
      <c r="S563" s="29"/>
      <c r="T563" s="29"/>
      <c r="U563" s="28">
        <f>ROUND(ROUND(R563, 2)*K563, 2)</f>
        <v>7098.08</v>
      </c>
      <c r="V563" s="29"/>
      <c r="W563" s="30"/>
    </row>
    <row r="564" spans="1:23" ht="36" x14ac:dyDescent="0.35">
      <c r="A564" s="8" t="s">
        <v>911</v>
      </c>
      <c r="B564" s="8" t="s">
        <v>912</v>
      </c>
      <c r="C564" s="9" t="s">
        <v>913</v>
      </c>
      <c r="D564" s="10"/>
      <c r="E564" s="10" t="s">
        <v>54</v>
      </c>
      <c r="F564" s="10" t="s">
        <v>55</v>
      </c>
      <c r="G564" s="11">
        <v>1</v>
      </c>
      <c r="H564" s="129"/>
      <c r="I564" s="170"/>
      <c r="J564" s="141"/>
      <c r="K564" s="100">
        <v>397</v>
      </c>
      <c r="L564" s="60">
        <f>IFERROR(ROUND(SUM(O565,O566,O567,O568)/K564, 2),0)</f>
        <v>263.11</v>
      </c>
      <c r="M564" s="79">
        <v>2541</v>
      </c>
      <c r="N564" s="89">
        <f>L564+ROUND(M564, 2)</f>
        <v>2804.11</v>
      </c>
      <c r="O564" s="60">
        <f>ROUND(L564*K564, 2)</f>
        <v>104454.67</v>
      </c>
      <c r="P564" s="12">
        <f>ROUND(K564*ROUND(M564, 2), 2)</f>
        <v>1008777</v>
      </c>
      <c r="Q564" s="12">
        <f>O564+P564</f>
        <v>1113231.67</v>
      </c>
      <c r="R564" s="12">
        <f>IFERROR(ROUND(SUM(U565,U566,U567,U568)/K564, 2),0)</f>
        <v>263.11</v>
      </c>
      <c r="S564" s="13">
        <v>2541</v>
      </c>
      <c r="T564" s="12">
        <f>R564+ROUND(S564, 2)</f>
        <v>2804.11</v>
      </c>
      <c r="U564" s="12">
        <f>ROUND(R564*K564, 2)</f>
        <v>104454.67</v>
      </c>
      <c r="V564" s="12">
        <f>ROUND(K564*ROUND(S564, 2), 2)</f>
        <v>1008777</v>
      </c>
      <c r="W564" s="12">
        <f>U564+V564</f>
        <v>1113231.67</v>
      </c>
    </row>
    <row r="565" spans="1:23" ht="20" x14ac:dyDescent="0.35">
      <c r="A565" s="8" t="s">
        <v>914</v>
      </c>
      <c r="B565" s="8"/>
      <c r="C565" s="19" t="s">
        <v>915</v>
      </c>
      <c r="D565" s="10"/>
      <c r="E565" s="10"/>
      <c r="F565" s="15" t="s">
        <v>58</v>
      </c>
      <c r="G565" s="16">
        <v>0.35</v>
      </c>
      <c r="H565" s="130"/>
      <c r="I565" s="170"/>
      <c r="J565" s="141"/>
      <c r="K565" s="97">
        <v>138.94999999999999</v>
      </c>
      <c r="L565" s="61">
        <v>55</v>
      </c>
      <c r="N565" s="88"/>
      <c r="O565" s="84">
        <f>ROUND(ROUND(L565, 2)*K565, 2)</f>
        <v>7642.25</v>
      </c>
      <c r="R565" s="18">
        <v>55</v>
      </c>
      <c r="U565" s="17">
        <f>ROUND(ROUND(R565, 2)*K565, 2)</f>
        <v>7642.25</v>
      </c>
    </row>
    <row r="566" spans="1:23" ht="20" x14ac:dyDescent="0.35">
      <c r="A566" s="8" t="s">
        <v>916</v>
      </c>
      <c r="B566" s="8"/>
      <c r="C566" s="19" t="s">
        <v>917</v>
      </c>
      <c r="D566" s="10"/>
      <c r="E566" s="10"/>
      <c r="F566" s="15" t="s">
        <v>84</v>
      </c>
      <c r="G566" s="16">
        <v>20</v>
      </c>
      <c r="H566" s="130"/>
      <c r="I566" s="170"/>
      <c r="J566" s="141"/>
      <c r="K566" s="97">
        <v>7940</v>
      </c>
      <c r="L566" s="61">
        <v>1.5</v>
      </c>
      <c r="N566" s="88"/>
      <c r="O566" s="84">
        <f>ROUND(ROUND(L566, 2)*K566, 2)</f>
        <v>11910</v>
      </c>
      <c r="R566" s="18">
        <v>1.5</v>
      </c>
      <c r="U566" s="17">
        <f>ROUND(ROUND(R566, 2)*K566, 2)</f>
        <v>11910</v>
      </c>
    </row>
    <row r="567" spans="1:23" ht="36" x14ac:dyDescent="0.35">
      <c r="A567" s="8" t="s">
        <v>918</v>
      </c>
      <c r="B567" s="8"/>
      <c r="C567" s="19" t="s">
        <v>919</v>
      </c>
      <c r="D567" s="10"/>
      <c r="E567" s="10"/>
      <c r="F567" s="15" t="s">
        <v>55</v>
      </c>
      <c r="G567" s="16">
        <v>1.05</v>
      </c>
      <c r="H567" s="130"/>
      <c r="I567" s="170"/>
      <c r="J567" s="141"/>
      <c r="K567" s="97">
        <v>416.85</v>
      </c>
      <c r="L567" s="61">
        <v>135.53</v>
      </c>
      <c r="N567" s="88"/>
      <c r="O567" s="84">
        <f>ROUND(ROUND(L567, 2)*K567, 2)</f>
        <v>56495.68</v>
      </c>
      <c r="R567" s="18">
        <v>135.53</v>
      </c>
      <c r="U567" s="17">
        <f>ROUND(ROUND(R567, 2)*K567, 2)</f>
        <v>56495.68</v>
      </c>
    </row>
    <row r="568" spans="1:23" ht="20" x14ac:dyDescent="0.35">
      <c r="A568" s="8" t="s">
        <v>920</v>
      </c>
      <c r="B568" s="8"/>
      <c r="C568" s="19" t="s">
        <v>921</v>
      </c>
      <c r="D568" s="10"/>
      <c r="E568" s="10"/>
      <c r="F568" s="15" t="s">
        <v>84</v>
      </c>
      <c r="G568" s="16">
        <v>0.6</v>
      </c>
      <c r="H568" s="130"/>
      <c r="I568" s="170"/>
      <c r="J568" s="141"/>
      <c r="K568" s="97">
        <v>238.2</v>
      </c>
      <c r="L568" s="61">
        <v>119.25</v>
      </c>
      <c r="N568" s="88"/>
      <c r="O568" s="84">
        <f>ROUND(ROUND(L568, 2)*K568, 2)</f>
        <v>28405.35</v>
      </c>
      <c r="R568" s="18">
        <v>119.25</v>
      </c>
      <c r="U568" s="17">
        <f>ROUND(ROUND(R568, 2)*K568, 2)</f>
        <v>28405.35</v>
      </c>
    </row>
    <row r="569" spans="1:23" ht="36" x14ac:dyDescent="0.35">
      <c r="A569" s="20" t="s">
        <v>922</v>
      </c>
      <c r="B569" s="20" t="s">
        <v>912</v>
      </c>
      <c r="C569" s="21" t="s">
        <v>913</v>
      </c>
      <c r="D569" s="22"/>
      <c r="E569" s="22" t="s">
        <v>63</v>
      </c>
      <c r="F569" s="22" t="s">
        <v>55</v>
      </c>
      <c r="G569" s="23">
        <v>1</v>
      </c>
      <c r="H569" s="131"/>
      <c r="I569" s="171"/>
      <c r="J569" s="142"/>
      <c r="K569" s="98">
        <v>260.04000000000002</v>
      </c>
      <c r="L569" s="62">
        <f>IFERROR(ROUND(SUM(O570,O571,O572,O573)/K569, 2),0)</f>
        <v>352.48</v>
      </c>
      <c r="M569" s="80">
        <v>2541</v>
      </c>
      <c r="N569" s="90">
        <f>L569+ROUND(M569, 2)</f>
        <v>2893.48</v>
      </c>
      <c r="O569" s="62">
        <f>ROUND(L569*K569, 2)</f>
        <v>91658.9</v>
      </c>
      <c r="P569" s="24">
        <f>ROUND(K569*ROUND(M569, 2), 2)</f>
        <v>660761.64</v>
      </c>
      <c r="Q569" s="24">
        <f>O569+P569</f>
        <v>752420.54</v>
      </c>
      <c r="R569" s="24">
        <f>IFERROR(ROUND(SUM(U570,U571,U572,U573)/K569, 2),0)</f>
        <v>352.48</v>
      </c>
      <c r="S569" s="24">
        <v>2541</v>
      </c>
      <c r="T569" s="24">
        <f>R569+ROUND(S569, 2)</f>
        <v>2893.48</v>
      </c>
      <c r="U569" s="24">
        <f>ROUND(R569*K569, 2)</f>
        <v>91658.9</v>
      </c>
      <c r="V569" s="24">
        <f>ROUND(K569*ROUND(S569, 2), 2)</f>
        <v>660761.64</v>
      </c>
      <c r="W569" s="24">
        <f>U569+V569</f>
        <v>752420.54</v>
      </c>
    </row>
    <row r="570" spans="1:23" ht="36" x14ac:dyDescent="0.35">
      <c r="A570" s="20" t="s">
        <v>923</v>
      </c>
      <c r="B570" s="20"/>
      <c r="C570" s="25" t="s">
        <v>919</v>
      </c>
      <c r="D570" s="22"/>
      <c r="E570" s="22"/>
      <c r="F570" s="26" t="s">
        <v>55</v>
      </c>
      <c r="G570" s="27">
        <v>1.05</v>
      </c>
      <c r="H570" s="132"/>
      <c r="I570" s="171"/>
      <c r="J570" s="142"/>
      <c r="K570" s="99">
        <v>273.04199999999997</v>
      </c>
      <c r="L570" s="63">
        <v>135.53</v>
      </c>
      <c r="M570" s="29"/>
      <c r="N570" s="91"/>
      <c r="O570" s="63">
        <f>ROUND(ROUND(L570, 2)*K570, 2)</f>
        <v>37005.379999999997</v>
      </c>
      <c r="P570" s="29"/>
      <c r="Q570" s="29"/>
      <c r="R570" s="28">
        <v>135.53</v>
      </c>
      <c r="S570" s="29"/>
      <c r="T570" s="29"/>
      <c r="U570" s="28">
        <f>ROUND(ROUND(R570, 2)*K570, 2)</f>
        <v>37005.379999999997</v>
      </c>
      <c r="V570" s="29"/>
      <c r="W570" s="30"/>
    </row>
    <row r="571" spans="1:23" ht="20" x14ac:dyDescent="0.35">
      <c r="A571" s="20" t="s">
        <v>924</v>
      </c>
      <c r="B571" s="20"/>
      <c r="C571" s="25" t="s">
        <v>925</v>
      </c>
      <c r="D571" s="22"/>
      <c r="E571" s="22"/>
      <c r="F571" s="26" t="s">
        <v>84</v>
      </c>
      <c r="G571" s="27">
        <v>2.2200000000000002</v>
      </c>
      <c r="H571" s="132"/>
      <c r="I571" s="171"/>
      <c r="J571" s="142"/>
      <c r="K571" s="99">
        <v>577.28899999999999</v>
      </c>
      <c r="L571" s="63">
        <v>80</v>
      </c>
      <c r="M571" s="29"/>
      <c r="N571" s="91"/>
      <c r="O571" s="63">
        <f>ROUND(ROUND(L571, 2)*K571, 2)</f>
        <v>46183.12</v>
      </c>
      <c r="P571" s="29"/>
      <c r="Q571" s="29"/>
      <c r="R571" s="28">
        <v>80</v>
      </c>
      <c r="S571" s="29"/>
      <c r="T571" s="29"/>
      <c r="U571" s="28">
        <f>ROUND(ROUND(R571, 2)*K571, 2)</f>
        <v>46183.12</v>
      </c>
      <c r="V571" s="29"/>
      <c r="W571" s="30"/>
    </row>
    <row r="572" spans="1:23" ht="20" x14ac:dyDescent="0.35">
      <c r="A572" s="20" t="s">
        <v>926</v>
      </c>
      <c r="B572" s="20"/>
      <c r="C572" s="25" t="s">
        <v>915</v>
      </c>
      <c r="D572" s="22"/>
      <c r="E572" s="22"/>
      <c r="F572" s="26" t="s">
        <v>58</v>
      </c>
      <c r="G572" s="27">
        <v>0.35</v>
      </c>
      <c r="H572" s="132"/>
      <c r="I572" s="171"/>
      <c r="J572" s="142"/>
      <c r="K572" s="99">
        <v>91.013999999999996</v>
      </c>
      <c r="L572" s="63">
        <v>55</v>
      </c>
      <c r="M572" s="29"/>
      <c r="N572" s="91"/>
      <c r="O572" s="63">
        <f>ROUND(ROUND(L572, 2)*K572, 2)</f>
        <v>5005.7700000000004</v>
      </c>
      <c r="P572" s="29"/>
      <c r="Q572" s="29"/>
      <c r="R572" s="28">
        <v>55</v>
      </c>
      <c r="S572" s="29"/>
      <c r="T572" s="29"/>
      <c r="U572" s="28">
        <f>ROUND(ROUND(R572, 2)*K572, 2)</f>
        <v>5005.7700000000004</v>
      </c>
      <c r="V572" s="29"/>
      <c r="W572" s="30"/>
    </row>
    <row r="573" spans="1:23" ht="36" x14ac:dyDescent="0.35">
      <c r="A573" s="20" t="s">
        <v>927</v>
      </c>
      <c r="B573" s="20"/>
      <c r="C573" s="25" t="s">
        <v>235</v>
      </c>
      <c r="D573" s="22"/>
      <c r="E573" s="22"/>
      <c r="F573" s="26" t="s">
        <v>58</v>
      </c>
      <c r="G573" s="27">
        <v>0.15</v>
      </c>
      <c r="H573" s="132"/>
      <c r="I573" s="171"/>
      <c r="J573" s="142"/>
      <c r="K573" s="99">
        <v>39.006</v>
      </c>
      <c r="L573" s="63">
        <v>88.8</v>
      </c>
      <c r="M573" s="29"/>
      <c r="N573" s="91"/>
      <c r="O573" s="63">
        <f>ROUND(ROUND(L573, 2)*K573, 2)</f>
        <v>3463.73</v>
      </c>
      <c r="P573" s="29"/>
      <c r="Q573" s="29"/>
      <c r="R573" s="28">
        <v>88.8</v>
      </c>
      <c r="S573" s="29"/>
      <c r="T573" s="29"/>
      <c r="U573" s="28">
        <f>ROUND(ROUND(R573, 2)*K573, 2)</f>
        <v>3463.73</v>
      </c>
      <c r="V573" s="29"/>
      <c r="W573" s="30"/>
    </row>
    <row r="574" spans="1:23" ht="36" x14ac:dyDescent="0.35">
      <c r="A574" s="20" t="s">
        <v>928</v>
      </c>
      <c r="B574" s="20" t="s">
        <v>929</v>
      </c>
      <c r="C574" s="21" t="s">
        <v>930</v>
      </c>
      <c r="D574" s="22"/>
      <c r="E574" s="22" t="s">
        <v>931</v>
      </c>
      <c r="F574" s="22" t="s">
        <v>55</v>
      </c>
      <c r="G574" s="23">
        <v>1</v>
      </c>
      <c r="H574" s="131"/>
      <c r="I574" s="171"/>
      <c r="J574" s="142"/>
      <c r="K574" s="98">
        <v>71.94</v>
      </c>
      <c r="L574" s="62">
        <f>IFERROR(ROUND(SUM(O575,O576,O577)/K574, 2),0)</f>
        <v>410.83</v>
      </c>
      <c r="M574" s="80">
        <v>1291</v>
      </c>
      <c r="N574" s="90">
        <f>L574+ROUND(M574, 2)</f>
        <v>1701.83</v>
      </c>
      <c r="O574" s="62">
        <f>ROUND(L574*K574, 2)</f>
        <v>29555.11</v>
      </c>
      <c r="P574" s="24">
        <f>ROUND(K574*ROUND(M574, 2), 2)</f>
        <v>92874.54</v>
      </c>
      <c r="Q574" s="24">
        <f>O574+P574</f>
        <v>122429.65</v>
      </c>
      <c r="R574" s="24">
        <f>IFERROR(ROUND(SUM(U575,U576,U577)/K574, 2),0)</f>
        <v>410.83</v>
      </c>
      <c r="S574" s="24">
        <v>1291</v>
      </c>
      <c r="T574" s="24">
        <f>R574+ROUND(S574, 2)</f>
        <v>1701.83</v>
      </c>
      <c r="U574" s="24">
        <f>ROUND(R574*K574, 2)</f>
        <v>29555.11</v>
      </c>
      <c r="V574" s="24">
        <f>ROUND(K574*ROUND(S574, 2), 2)</f>
        <v>92874.54</v>
      </c>
      <c r="W574" s="24">
        <f>U574+V574</f>
        <v>122429.65</v>
      </c>
    </row>
    <row r="575" spans="1:23" ht="20" x14ac:dyDescent="0.35">
      <c r="A575" s="20" t="s">
        <v>932</v>
      </c>
      <c r="B575" s="20"/>
      <c r="C575" s="25" t="s">
        <v>933</v>
      </c>
      <c r="D575" s="22"/>
      <c r="E575" s="22"/>
      <c r="F575" s="26" t="s">
        <v>67</v>
      </c>
      <c r="G575" s="27">
        <v>1</v>
      </c>
      <c r="H575" s="132"/>
      <c r="I575" s="171"/>
      <c r="J575" s="142"/>
      <c r="K575" s="110">
        <v>516.29999999999995</v>
      </c>
      <c r="L575" s="63">
        <v>49.68</v>
      </c>
      <c r="M575" s="29"/>
      <c r="N575" s="91"/>
      <c r="O575" s="63">
        <f>ROUND(ROUND(L575, 2)*K575, 2)</f>
        <v>25649.78</v>
      </c>
      <c r="P575" s="29"/>
      <c r="Q575" s="29"/>
      <c r="R575" s="28">
        <v>49.68</v>
      </c>
      <c r="S575" s="29"/>
      <c r="T575" s="29"/>
      <c r="U575" s="28">
        <f>ROUND(ROUND(R575, 2)*K575, 2)</f>
        <v>25649.78</v>
      </c>
      <c r="V575" s="29"/>
      <c r="W575" s="30"/>
    </row>
    <row r="576" spans="1:23" ht="20" x14ac:dyDescent="0.35">
      <c r="A576" s="20" t="s">
        <v>934</v>
      </c>
      <c r="B576" s="20"/>
      <c r="C576" s="25" t="s">
        <v>935</v>
      </c>
      <c r="D576" s="22"/>
      <c r="E576" s="22"/>
      <c r="F576" s="26" t="s">
        <v>67</v>
      </c>
      <c r="G576" s="27">
        <v>1</v>
      </c>
      <c r="H576" s="132"/>
      <c r="I576" s="171"/>
      <c r="J576" s="142"/>
      <c r="K576" s="110">
        <v>98.3</v>
      </c>
      <c r="L576" s="63">
        <v>39.729999999999997</v>
      </c>
      <c r="M576" s="29"/>
      <c r="N576" s="91"/>
      <c r="O576" s="63">
        <f>ROUND(ROUND(L576, 2)*K576, 2)</f>
        <v>3905.46</v>
      </c>
      <c r="P576" s="29"/>
      <c r="Q576" s="29"/>
      <c r="R576" s="28">
        <v>39.729999999999997</v>
      </c>
      <c r="S576" s="29"/>
      <c r="T576" s="29"/>
      <c r="U576" s="28">
        <f>ROUND(ROUND(R576, 2)*K576, 2)</f>
        <v>3905.46</v>
      </c>
      <c r="V576" s="29"/>
      <c r="W576" s="30"/>
    </row>
    <row r="577" spans="1:23" ht="20" x14ac:dyDescent="0.35">
      <c r="A577" s="20" t="s">
        <v>936</v>
      </c>
      <c r="B577" s="20"/>
      <c r="C577" s="25" t="s">
        <v>937</v>
      </c>
      <c r="D577" s="22"/>
      <c r="E577" s="22"/>
      <c r="F577" s="26" t="s">
        <v>55</v>
      </c>
      <c r="G577" s="27">
        <v>1.1000000000000001</v>
      </c>
      <c r="H577" s="132"/>
      <c r="I577" s="171"/>
      <c r="J577" s="142"/>
      <c r="K577" s="99">
        <v>79.134</v>
      </c>
      <c r="L577" s="63">
        <v>0</v>
      </c>
      <c r="M577" s="29"/>
      <c r="N577" s="91"/>
      <c r="O577" s="63">
        <f>ROUND(ROUND(L577, 2)*K577, 2)</f>
        <v>0</v>
      </c>
      <c r="P577" s="29"/>
      <c r="Q577" s="29"/>
      <c r="R577" s="28">
        <v>0</v>
      </c>
      <c r="S577" s="29"/>
      <c r="T577" s="29"/>
      <c r="U577" s="28">
        <f>ROUND(ROUND(R577, 2)*K577, 2)</f>
        <v>0</v>
      </c>
      <c r="V577" s="29"/>
      <c r="W577" s="30"/>
    </row>
    <row r="578" spans="1:23" ht="36" x14ac:dyDescent="0.35">
      <c r="A578" s="20" t="s">
        <v>938</v>
      </c>
      <c r="B578" s="20" t="s">
        <v>929</v>
      </c>
      <c r="C578" s="21" t="s">
        <v>930</v>
      </c>
      <c r="D578" s="22"/>
      <c r="E578" s="22" t="s">
        <v>939</v>
      </c>
      <c r="F578" s="22" t="s">
        <v>55</v>
      </c>
      <c r="G578" s="23">
        <v>1</v>
      </c>
      <c r="H578" s="131"/>
      <c r="I578" s="171"/>
      <c r="J578" s="142"/>
      <c r="K578" s="98">
        <v>73.87</v>
      </c>
      <c r="L578" s="62">
        <f>IFERROR(ROUND(SUM(O579,O580,O581)/K578, 2),0)</f>
        <v>248.27</v>
      </c>
      <c r="M578" s="80">
        <v>1291</v>
      </c>
      <c r="N578" s="90">
        <f>L578+ROUND(M578, 2)</f>
        <v>1539.27</v>
      </c>
      <c r="O578" s="62">
        <f>ROUND(L578*K578, 2)</f>
        <v>18339.7</v>
      </c>
      <c r="P578" s="24">
        <f>ROUND(K578*ROUND(M578, 2), 2)</f>
        <v>95366.17</v>
      </c>
      <c r="Q578" s="24">
        <f>O578+P578</f>
        <v>113705.87</v>
      </c>
      <c r="R578" s="24">
        <f>IFERROR(ROUND(SUM(U579,U580,U581)/K578, 2),0)</f>
        <v>248.27</v>
      </c>
      <c r="S578" s="24">
        <v>1291</v>
      </c>
      <c r="T578" s="24">
        <f>R578+ROUND(S578, 2)</f>
        <v>1539.27</v>
      </c>
      <c r="U578" s="24">
        <f>ROUND(R578*K578, 2)</f>
        <v>18339.7</v>
      </c>
      <c r="V578" s="24">
        <f>ROUND(K578*ROUND(S578, 2), 2)</f>
        <v>95366.17</v>
      </c>
      <c r="W578" s="24">
        <f>U578+V578</f>
        <v>113705.87</v>
      </c>
    </row>
    <row r="579" spans="1:23" ht="20" x14ac:dyDescent="0.35">
      <c r="A579" s="20" t="s">
        <v>940</v>
      </c>
      <c r="B579" s="20"/>
      <c r="C579" s="25" t="s">
        <v>937</v>
      </c>
      <c r="D579" s="22"/>
      <c r="E579" s="22"/>
      <c r="F579" s="26" t="s">
        <v>55</v>
      </c>
      <c r="G579" s="27">
        <v>1.1000000000000001</v>
      </c>
      <c r="H579" s="132"/>
      <c r="I579" s="171"/>
      <c r="J579" s="142"/>
      <c r="K579" s="99">
        <v>81.257000000000005</v>
      </c>
      <c r="L579" s="63">
        <v>0</v>
      </c>
      <c r="M579" s="29"/>
      <c r="N579" s="91"/>
      <c r="O579" s="63">
        <f>ROUND(ROUND(L579, 2)*K579, 2)</f>
        <v>0</v>
      </c>
      <c r="P579" s="29"/>
      <c r="Q579" s="29"/>
      <c r="R579" s="28">
        <v>0</v>
      </c>
      <c r="S579" s="29"/>
      <c r="T579" s="29"/>
      <c r="U579" s="28">
        <f>ROUND(ROUND(R579, 2)*K579, 2)</f>
        <v>0</v>
      </c>
      <c r="V579" s="29"/>
      <c r="W579" s="30"/>
    </row>
    <row r="580" spans="1:23" ht="20" x14ac:dyDescent="0.35">
      <c r="A580" s="20" t="s">
        <v>941</v>
      </c>
      <c r="B580" s="20"/>
      <c r="C580" s="25" t="s">
        <v>933</v>
      </c>
      <c r="D580" s="22"/>
      <c r="E580" s="22"/>
      <c r="F580" s="26" t="s">
        <v>67</v>
      </c>
      <c r="G580" s="27">
        <v>1</v>
      </c>
      <c r="H580" s="132"/>
      <c r="I580" s="171"/>
      <c r="J580" s="142"/>
      <c r="K580" s="110">
        <v>264.8</v>
      </c>
      <c r="L580" s="63">
        <v>49.68</v>
      </c>
      <c r="M580" s="29"/>
      <c r="N580" s="91"/>
      <c r="O580" s="63">
        <f>ROUND(ROUND(L580, 2)*K580, 2)</f>
        <v>13155.26</v>
      </c>
      <c r="P580" s="29"/>
      <c r="Q580" s="29"/>
      <c r="R580" s="28">
        <v>49.68</v>
      </c>
      <c r="S580" s="29"/>
      <c r="T580" s="29"/>
      <c r="U580" s="28">
        <f>ROUND(ROUND(R580, 2)*K580, 2)</f>
        <v>13155.26</v>
      </c>
      <c r="V580" s="29"/>
      <c r="W580" s="30"/>
    </row>
    <row r="581" spans="1:23" ht="20" x14ac:dyDescent="0.35">
      <c r="A581" s="20" t="s">
        <v>942</v>
      </c>
      <c r="B581" s="20"/>
      <c r="C581" s="25" t="s">
        <v>935</v>
      </c>
      <c r="D581" s="22"/>
      <c r="E581" s="22"/>
      <c r="F581" s="26" t="s">
        <v>67</v>
      </c>
      <c r="G581" s="27">
        <v>1</v>
      </c>
      <c r="H581" s="132"/>
      <c r="I581" s="171"/>
      <c r="J581" s="142"/>
      <c r="K581" s="110">
        <v>130.5</v>
      </c>
      <c r="L581" s="63">
        <v>39.729999999999997</v>
      </c>
      <c r="M581" s="29"/>
      <c r="N581" s="91"/>
      <c r="O581" s="63">
        <f>ROUND(ROUND(L581, 2)*K581, 2)</f>
        <v>5184.7700000000004</v>
      </c>
      <c r="P581" s="29"/>
      <c r="Q581" s="29"/>
      <c r="R581" s="28">
        <v>39.729999999999997</v>
      </c>
      <c r="S581" s="29"/>
      <c r="T581" s="29"/>
      <c r="U581" s="28">
        <f>ROUND(ROUND(R581, 2)*K581, 2)</f>
        <v>5184.7700000000004</v>
      </c>
      <c r="V581" s="29"/>
      <c r="W581" s="30"/>
    </row>
    <row r="582" spans="1:23" ht="36" x14ac:dyDescent="0.35">
      <c r="A582" s="31" t="s">
        <v>943</v>
      </c>
      <c r="B582" s="31" t="s">
        <v>944</v>
      </c>
      <c r="C582" s="32" t="s">
        <v>945</v>
      </c>
      <c r="D582" s="33"/>
      <c r="E582" s="33" t="s">
        <v>54</v>
      </c>
      <c r="F582" s="33" t="s">
        <v>55</v>
      </c>
      <c r="G582" s="34">
        <v>1</v>
      </c>
      <c r="H582" s="133"/>
      <c r="I582" s="171"/>
      <c r="J582" s="143"/>
      <c r="K582" s="101">
        <v>0</v>
      </c>
      <c r="L582" s="64">
        <f>IFERROR(ROUND(SUM(O584,O586,O588)/K582, 2),0)</f>
        <v>0</v>
      </c>
      <c r="M582" s="81">
        <v>1477</v>
      </c>
      <c r="N582" s="90">
        <f>L582+ROUND(M582, 2)</f>
        <v>1477</v>
      </c>
      <c r="O582" s="64">
        <f>ROUND(L582*K582, 2)</f>
        <v>0</v>
      </c>
      <c r="P582" s="35">
        <f>ROUND(K582*ROUND(M582, 2), 2)</f>
        <v>0</v>
      </c>
      <c r="Q582" s="35">
        <f>O582+P582</f>
        <v>0</v>
      </c>
      <c r="R582" s="35">
        <f>IFERROR(ROUND(SUM(U584,U586,U588)/K582, 2),0)</f>
        <v>0</v>
      </c>
      <c r="S582" s="35">
        <v>1477</v>
      </c>
      <c r="T582" s="35">
        <f>R582+ROUND(S582, 2)</f>
        <v>1477</v>
      </c>
      <c r="U582" s="35">
        <f>ROUND(R582*K582, 2)</f>
        <v>0</v>
      </c>
      <c r="V582" s="35">
        <f>ROUND(K582*ROUND(S582, 2), 2)</f>
        <v>0</v>
      </c>
      <c r="W582" s="35">
        <f>U582+V582</f>
        <v>0</v>
      </c>
    </row>
    <row r="583" spans="1:23" ht="36" x14ac:dyDescent="0.35">
      <c r="A583" s="36" t="s">
        <v>946</v>
      </c>
      <c r="B583" s="36" t="s">
        <v>944</v>
      </c>
      <c r="C583" s="37" t="s">
        <v>945</v>
      </c>
      <c r="D583" s="38"/>
      <c r="E583" s="38"/>
      <c r="F583" s="38" t="s">
        <v>55</v>
      </c>
      <c r="G583" s="39">
        <v>1</v>
      </c>
      <c r="H583" s="134"/>
      <c r="I583" s="171"/>
      <c r="J583" s="144"/>
      <c r="K583" s="102">
        <v>133.19999999999999</v>
      </c>
      <c r="L583" s="65">
        <v>0</v>
      </c>
      <c r="M583" s="82">
        <v>1477</v>
      </c>
      <c r="N583" s="90"/>
      <c r="O583" s="65">
        <v>0</v>
      </c>
      <c r="P583" s="40"/>
      <c r="Q583" s="40"/>
      <c r="R583" s="40">
        <v>0</v>
      </c>
      <c r="S583" s="40">
        <v>1477</v>
      </c>
      <c r="T583" s="40"/>
      <c r="U583" s="40">
        <v>0</v>
      </c>
      <c r="V583" s="40"/>
      <c r="W583" s="40"/>
    </row>
    <row r="584" spans="1:23" ht="20" x14ac:dyDescent="0.35">
      <c r="A584" s="31" t="s">
        <v>947</v>
      </c>
      <c r="B584" s="31"/>
      <c r="C584" s="41" t="s">
        <v>933</v>
      </c>
      <c r="D584" s="33"/>
      <c r="E584" s="33"/>
      <c r="F584" s="42" t="s">
        <v>67</v>
      </c>
      <c r="G584" s="43">
        <v>1</v>
      </c>
      <c r="H584" s="135"/>
      <c r="I584" s="171"/>
      <c r="J584" s="143"/>
      <c r="K584" s="107">
        <v>0</v>
      </c>
      <c r="L584" s="66">
        <v>54.18</v>
      </c>
      <c r="M584" s="45"/>
      <c r="N584" s="91"/>
      <c r="O584" s="66">
        <f t="shared" ref="O584:O589" si="22">ROUND(ROUND(L584, 2)*K584, 2)</f>
        <v>0</v>
      </c>
      <c r="P584" s="45"/>
      <c r="Q584" s="45"/>
      <c r="R584" s="44">
        <v>54.18</v>
      </c>
      <c r="S584" s="45"/>
      <c r="T584" s="45"/>
      <c r="U584" s="44">
        <f t="shared" ref="U584:U589" si="23">ROUND(ROUND(R584, 2)*K584, 2)</f>
        <v>0</v>
      </c>
      <c r="V584" s="45"/>
      <c r="W584" s="46"/>
    </row>
    <row r="585" spans="1:23" ht="20" x14ac:dyDescent="0.35">
      <c r="A585" s="36" t="s">
        <v>948</v>
      </c>
      <c r="B585" s="36"/>
      <c r="C585" s="47" t="s">
        <v>933</v>
      </c>
      <c r="D585" s="38"/>
      <c r="E585" s="38"/>
      <c r="F585" s="48" t="s">
        <v>67</v>
      </c>
      <c r="G585" s="49">
        <v>1</v>
      </c>
      <c r="H585" s="136"/>
      <c r="I585" s="171"/>
      <c r="J585" s="144"/>
      <c r="K585" s="108">
        <v>956</v>
      </c>
      <c r="L585" s="67">
        <v>54.18</v>
      </c>
      <c r="M585" s="51"/>
      <c r="N585" s="91"/>
      <c r="O585" s="67">
        <f t="shared" si="22"/>
        <v>51796.08</v>
      </c>
      <c r="P585" s="51"/>
      <c r="Q585" s="51"/>
      <c r="R585" s="50">
        <v>54.18</v>
      </c>
      <c r="S585" s="51"/>
      <c r="T585" s="51"/>
      <c r="U585" s="50">
        <f t="shared" si="23"/>
        <v>51796.08</v>
      </c>
      <c r="V585" s="51"/>
      <c r="W585" s="52"/>
    </row>
    <row r="586" spans="1:23" ht="20" x14ac:dyDescent="0.35">
      <c r="A586" s="31" t="s">
        <v>949</v>
      </c>
      <c r="B586" s="31"/>
      <c r="C586" s="41" t="s">
        <v>935</v>
      </c>
      <c r="D586" s="33"/>
      <c r="E586" s="33"/>
      <c r="F586" s="42" t="s">
        <v>67</v>
      </c>
      <c r="G586" s="43">
        <v>1</v>
      </c>
      <c r="H586" s="135"/>
      <c r="I586" s="171"/>
      <c r="J586" s="143"/>
      <c r="K586" s="107">
        <v>0</v>
      </c>
      <c r="L586" s="66">
        <v>43.33</v>
      </c>
      <c r="M586" s="45"/>
      <c r="N586" s="91"/>
      <c r="O586" s="66">
        <f t="shared" si="22"/>
        <v>0</v>
      </c>
      <c r="P586" s="45"/>
      <c r="Q586" s="45"/>
      <c r="R586" s="44">
        <v>43.33</v>
      </c>
      <c r="S586" s="45"/>
      <c r="T586" s="45"/>
      <c r="U586" s="44">
        <f t="shared" si="23"/>
        <v>0</v>
      </c>
      <c r="V586" s="45"/>
      <c r="W586" s="46"/>
    </row>
    <row r="587" spans="1:23" ht="20" x14ac:dyDescent="0.35">
      <c r="A587" s="36" t="s">
        <v>950</v>
      </c>
      <c r="B587" s="36"/>
      <c r="C587" s="47" t="s">
        <v>935</v>
      </c>
      <c r="D587" s="38"/>
      <c r="E587" s="38"/>
      <c r="F587" s="48" t="s">
        <v>67</v>
      </c>
      <c r="G587" s="49">
        <v>1</v>
      </c>
      <c r="H587" s="136"/>
      <c r="I587" s="171"/>
      <c r="J587" s="144"/>
      <c r="K587" s="108">
        <v>182</v>
      </c>
      <c r="L587" s="67">
        <v>43.33</v>
      </c>
      <c r="M587" s="51"/>
      <c r="N587" s="91"/>
      <c r="O587" s="67">
        <f t="shared" si="22"/>
        <v>7886.06</v>
      </c>
      <c r="P587" s="51"/>
      <c r="Q587" s="51"/>
      <c r="R587" s="50">
        <v>43.33</v>
      </c>
      <c r="S587" s="51"/>
      <c r="T587" s="51"/>
      <c r="U587" s="50">
        <f t="shared" si="23"/>
        <v>7886.06</v>
      </c>
      <c r="V587" s="51"/>
      <c r="W587" s="52"/>
    </row>
    <row r="588" spans="1:23" ht="20" x14ac:dyDescent="0.35">
      <c r="A588" s="31" t="s">
        <v>951</v>
      </c>
      <c r="B588" s="31"/>
      <c r="C588" s="41" t="s">
        <v>952</v>
      </c>
      <c r="D588" s="33"/>
      <c r="E588" s="33"/>
      <c r="F588" s="42" t="s">
        <v>55</v>
      </c>
      <c r="G588" s="43">
        <v>1.1000000000000001</v>
      </c>
      <c r="H588" s="135"/>
      <c r="I588" s="171"/>
      <c r="J588" s="143"/>
      <c r="K588" s="107">
        <v>0</v>
      </c>
      <c r="L588" s="66">
        <v>312.73</v>
      </c>
      <c r="M588" s="45"/>
      <c r="N588" s="91"/>
      <c r="O588" s="66">
        <f t="shared" si="22"/>
        <v>0</v>
      </c>
      <c r="P588" s="45"/>
      <c r="Q588" s="45"/>
      <c r="R588" s="44">
        <v>312.73</v>
      </c>
      <c r="S588" s="45"/>
      <c r="T588" s="45"/>
      <c r="U588" s="44">
        <f t="shared" si="23"/>
        <v>0</v>
      </c>
      <c r="V588" s="45"/>
      <c r="W588" s="46"/>
    </row>
    <row r="589" spans="1:23" ht="20" x14ac:dyDescent="0.35">
      <c r="A589" s="36" t="s">
        <v>953</v>
      </c>
      <c r="B589" s="36"/>
      <c r="C589" s="47" t="s">
        <v>952</v>
      </c>
      <c r="D589" s="38"/>
      <c r="E589" s="38"/>
      <c r="F589" s="48" t="s">
        <v>55</v>
      </c>
      <c r="G589" s="49">
        <v>1.1000000000000001</v>
      </c>
      <c r="H589" s="136"/>
      <c r="I589" s="171"/>
      <c r="J589" s="144"/>
      <c r="K589" s="108">
        <v>146.52000000000001</v>
      </c>
      <c r="L589" s="67">
        <v>312.73</v>
      </c>
      <c r="M589" s="51"/>
      <c r="N589" s="91"/>
      <c r="O589" s="67">
        <f t="shared" si="22"/>
        <v>45821.2</v>
      </c>
      <c r="P589" s="51"/>
      <c r="Q589" s="51"/>
      <c r="R589" s="50">
        <v>312.73</v>
      </c>
      <c r="S589" s="51"/>
      <c r="T589" s="51"/>
      <c r="U589" s="50">
        <f t="shared" si="23"/>
        <v>45821.2</v>
      </c>
      <c r="V589" s="51"/>
      <c r="W589" s="52"/>
    </row>
    <row r="590" spans="1:23" ht="36" x14ac:dyDescent="0.35">
      <c r="A590" s="20" t="s">
        <v>954</v>
      </c>
      <c r="B590" s="20" t="s">
        <v>944</v>
      </c>
      <c r="C590" s="21" t="s">
        <v>945</v>
      </c>
      <c r="D590" s="22"/>
      <c r="E590" s="22" t="s">
        <v>955</v>
      </c>
      <c r="F590" s="22" t="s">
        <v>55</v>
      </c>
      <c r="G590" s="23">
        <v>1</v>
      </c>
      <c r="H590" s="131"/>
      <c r="I590" s="171"/>
      <c r="J590" s="142"/>
      <c r="K590" s="98">
        <v>8.0399999999999991</v>
      </c>
      <c r="L590" s="62">
        <f>IFERROR(ROUND(SUM(O591,O592,O593,O594)/K590, 2),0)</f>
        <v>941.88</v>
      </c>
      <c r="M590" s="80">
        <v>1477</v>
      </c>
      <c r="N590" s="90">
        <f>L590+ROUND(M590, 2)</f>
        <v>2418.88</v>
      </c>
      <c r="O590" s="62">
        <f>ROUND(L590*K590, 2)</f>
        <v>7572.72</v>
      </c>
      <c r="P590" s="24">
        <f>ROUND(K590*ROUND(M590, 2), 2)</f>
        <v>11875.08</v>
      </c>
      <c r="Q590" s="24">
        <f>O590+P590</f>
        <v>19447.8</v>
      </c>
      <c r="R590" s="24">
        <f>IFERROR(ROUND(SUM(U591,U592,U593,U594)/K590, 2),0)</f>
        <v>941.88</v>
      </c>
      <c r="S590" s="24">
        <v>1477</v>
      </c>
      <c r="T590" s="24">
        <f>R590+ROUND(S590, 2)</f>
        <v>2418.88</v>
      </c>
      <c r="U590" s="24">
        <f>ROUND(R590*K590, 2)</f>
        <v>7572.72</v>
      </c>
      <c r="V590" s="24">
        <f>ROUND(K590*ROUND(S590, 2), 2)</f>
        <v>11875.08</v>
      </c>
      <c r="W590" s="24">
        <f>U590+V590</f>
        <v>19447.8</v>
      </c>
    </row>
    <row r="591" spans="1:23" ht="20" x14ac:dyDescent="0.35">
      <c r="A591" s="20" t="s">
        <v>956</v>
      </c>
      <c r="B591" s="20"/>
      <c r="C591" s="14" t="s">
        <v>952</v>
      </c>
      <c r="D591" s="22"/>
      <c r="E591" s="22"/>
      <c r="F591" s="26" t="s">
        <v>55</v>
      </c>
      <c r="G591" s="27">
        <v>1.1000000000000001</v>
      </c>
      <c r="H591" s="132"/>
      <c r="I591" s="171"/>
      <c r="J591" s="142"/>
      <c r="K591" s="110">
        <v>17.687999999999999</v>
      </c>
      <c r="L591" s="63">
        <v>309.39999999999998</v>
      </c>
      <c r="M591" s="29"/>
      <c r="N591" s="91"/>
      <c r="O591" s="63">
        <f>ROUND(ROUND(L591, 2)*K591, 2)</f>
        <v>5472.67</v>
      </c>
      <c r="P591" s="29"/>
      <c r="Q591" s="29"/>
      <c r="R591" s="28">
        <v>309.39999999999998</v>
      </c>
      <c r="S591" s="29"/>
      <c r="T591" s="29"/>
      <c r="U591" s="28">
        <f>ROUND(ROUND(R591, 2)*K591, 2)</f>
        <v>5472.67</v>
      </c>
      <c r="V591" s="29"/>
      <c r="W591" s="30"/>
    </row>
    <row r="592" spans="1:23" ht="20" x14ac:dyDescent="0.35">
      <c r="A592" s="20" t="s">
        <v>957</v>
      </c>
      <c r="B592" s="20"/>
      <c r="C592" s="25" t="s">
        <v>933</v>
      </c>
      <c r="D592" s="22"/>
      <c r="E592" s="22"/>
      <c r="F592" s="26" t="s">
        <v>67</v>
      </c>
      <c r="G592" s="27">
        <v>1</v>
      </c>
      <c r="H592" s="132"/>
      <c r="I592" s="171"/>
      <c r="J592" s="142"/>
      <c r="K592" s="110">
        <v>32</v>
      </c>
      <c r="L592" s="63">
        <v>49.68</v>
      </c>
      <c r="M592" s="29"/>
      <c r="N592" s="91"/>
      <c r="O592" s="63">
        <f>ROUND(ROUND(L592, 2)*K592, 2)</f>
        <v>1589.76</v>
      </c>
      <c r="P592" s="29"/>
      <c r="Q592" s="29"/>
      <c r="R592" s="28">
        <v>49.68</v>
      </c>
      <c r="S592" s="29"/>
      <c r="T592" s="29"/>
      <c r="U592" s="28">
        <f>ROUND(ROUND(R592, 2)*K592, 2)</f>
        <v>1589.76</v>
      </c>
      <c r="V592" s="29"/>
      <c r="W592" s="30"/>
    </row>
    <row r="593" spans="1:23" ht="20" x14ac:dyDescent="0.35">
      <c r="A593" s="20" t="s">
        <v>958</v>
      </c>
      <c r="B593" s="20"/>
      <c r="C593" s="25" t="s">
        <v>935</v>
      </c>
      <c r="D593" s="22"/>
      <c r="E593" s="22"/>
      <c r="F593" s="26" t="s">
        <v>67</v>
      </c>
      <c r="G593" s="27">
        <v>1</v>
      </c>
      <c r="H593" s="132"/>
      <c r="I593" s="171"/>
      <c r="J593" s="142"/>
      <c r="K593" s="110">
        <v>6.4</v>
      </c>
      <c r="L593" s="63">
        <v>39.729999999999997</v>
      </c>
      <c r="M593" s="29"/>
      <c r="N593" s="91"/>
      <c r="O593" s="63">
        <f>ROUND(ROUND(L593, 2)*K593, 2)</f>
        <v>254.27</v>
      </c>
      <c r="P593" s="29"/>
      <c r="Q593" s="29"/>
      <c r="R593" s="28">
        <v>39.729999999999997</v>
      </c>
      <c r="S593" s="29"/>
      <c r="T593" s="29"/>
      <c r="U593" s="28">
        <f>ROUND(ROUND(R593, 2)*K593, 2)</f>
        <v>254.27</v>
      </c>
      <c r="V593" s="29"/>
      <c r="W593" s="30"/>
    </row>
    <row r="594" spans="1:23" ht="20" x14ac:dyDescent="0.35">
      <c r="A594" s="20" t="s">
        <v>959</v>
      </c>
      <c r="B594" s="20"/>
      <c r="C594" s="25" t="s">
        <v>925</v>
      </c>
      <c r="D594" s="22"/>
      <c r="E594" s="22"/>
      <c r="F594" s="26" t="s">
        <v>84</v>
      </c>
      <c r="G594" s="27">
        <v>1</v>
      </c>
      <c r="H594" s="132"/>
      <c r="I594" s="171"/>
      <c r="J594" s="142"/>
      <c r="K594" s="110">
        <v>3.2</v>
      </c>
      <c r="L594" s="63">
        <v>80</v>
      </c>
      <c r="M594" s="29"/>
      <c r="N594" s="91"/>
      <c r="O594" s="63">
        <f>ROUND(ROUND(L594, 2)*K594, 2)</f>
        <v>256</v>
      </c>
      <c r="P594" s="29"/>
      <c r="Q594" s="29"/>
      <c r="R594" s="28">
        <v>80</v>
      </c>
      <c r="S594" s="29"/>
      <c r="T594" s="29"/>
      <c r="U594" s="28">
        <f>ROUND(ROUND(R594, 2)*K594, 2)</f>
        <v>256</v>
      </c>
      <c r="V594" s="29"/>
      <c r="W594" s="30"/>
    </row>
    <row r="595" spans="1:23" ht="36" x14ac:dyDescent="0.35">
      <c r="A595" s="20" t="s">
        <v>960</v>
      </c>
      <c r="B595" s="20" t="s">
        <v>944</v>
      </c>
      <c r="C595" s="21" t="s">
        <v>945</v>
      </c>
      <c r="D595" s="22"/>
      <c r="E595" s="22" t="s">
        <v>961</v>
      </c>
      <c r="F595" s="22" t="s">
        <v>55</v>
      </c>
      <c r="G595" s="23">
        <v>1</v>
      </c>
      <c r="H595" s="131"/>
      <c r="I595" s="171"/>
      <c r="J595" s="142"/>
      <c r="K595" s="98">
        <v>204.12</v>
      </c>
      <c r="L595" s="62">
        <f>IFERROR(ROUND(SUM(O596,O597,O598,O599)/K595, 2),0)</f>
        <v>1004.46</v>
      </c>
      <c r="M595" s="80">
        <v>1477</v>
      </c>
      <c r="N595" s="90">
        <f>L595+ROUND(M595, 2)</f>
        <v>2481.46</v>
      </c>
      <c r="O595" s="62">
        <f>ROUND(L595*K595, 2)</f>
        <v>205030.38</v>
      </c>
      <c r="P595" s="24">
        <f>ROUND(K595*ROUND(M595, 2), 2)</f>
        <v>301485.24</v>
      </c>
      <c r="Q595" s="24">
        <f>O595+P595</f>
        <v>506515.62</v>
      </c>
      <c r="R595" s="24">
        <f>IFERROR(ROUND(SUM(U596,U597,U598,U599)/K595, 2),0)</f>
        <v>1004.46</v>
      </c>
      <c r="S595" s="24">
        <v>1477</v>
      </c>
      <c r="T595" s="24">
        <f>R595+ROUND(S595, 2)</f>
        <v>2481.46</v>
      </c>
      <c r="U595" s="24">
        <f>ROUND(R595*K595, 2)</f>
        <v>205030.38</v>
      </c>
      <c r="V595" s="24">
        <f>ROUND(K595*ROUND(S595, 2), 2)</f>
        <v>301485.24</v>
      </c>
      <c r="W595" s="24">
        <f>U595+V595</f>
        <v>506515.62</v>
      </c>
    </row>
    <row r="596" spans="1:23" ht="20" x14ac:dyDescent="0.35">
      <c r="A596" s="20" t="s">
        <v>962</v>
      </c>
      <c r="B596" s="20"/>
      <c r="C596" s="14" t="s">
        <v>952</v>
      </c>
      <c r="D596" s="22"/>
      <c r="E596" s="22"/>
      <c r="F596" s="26" t="s">
        <v>55</v>
      </c>
      <c r="G596" s="27">
        <v>1.1000000000000001</v>
      </c>
      <c r="H596" s="132"/>
      <c r="I596" s="171"/>
      <c r="J596" s="142"/>
      <c r="K596" s="110">
        <v>449.06400000000002</v>
      </c>
      <c r="L596" s="63">
        <v>309.39999999999998</v>
      </c>
      <c r="M596" s="29"/>
      <c r="N596" s="91"/>
      <c r="O596" s="63">
        <f>ROUND(ROUND(L596, 2)*K596, 2)</f>
        <v>138940.4</v>
      </c>
      <c r="P596" s="29"/>
      <c r="Q596" s="29"/>
      <c r="R596" s="28">
        <v>309.39999999999998</v>
      </c>
      <c r="S596" s="29"/>
      <c r="T596" s="29"/>
      <c r="U596" s="28">
        <f>ROUND(ROUND(R596, 2)*K596, 2)</f>
        <v>138940.4</v>
      </c>
      <c r="V596" s="29"/>
      <c r="W596" s="30"/>
    </row>
    <row r="597" spans="1:23" ht="20" x14ac:dyDescent="0.35">
      <c r="A597" s="20" t="s">
        <v>963</v>
      </c>
      <c r="B597" s="20"/>
      <c r="C597" s="25" t="s">
        <v>933</v>
      </c>
      <c r="D597" s="22"/>
      <c r="E597" s="22"/>
      <c r="F597" s="26" t="s">
        <v>67</v>
      </c>
      <c r="G597" s="27">
        <v>1</v>
      </c>
      <c r="H597" s="132"/>
      <c r="I597" s="171"/>
      <c r="J597" s="142"/>
      <c r="K597" s="110">
        <v>1024</v>
      </c>
      <c r="L597" s="63">
        <v>49.68</v>
      </c>
      <c r="M597" s="29"/>
      <c r="N597" s="91"/>
      <c r="O597" s="63">
        <f>ROUND(ROUND(L597, 2)*K597, 2)</f>
        <v>50872.32</v>
      </c>
      <c r="P597" s="29"/>
      <c r="Q597" s="29"/>
      <c r="R597" s="28">
        <v>49.68</v>
      </c>
      <c r="S597" s="29"/>
      <c r="T597" s="29"/>
      <c r="U597" s="28">
        <f>ROUND(ROUND(R597, 2)*K597, 2)</f>
        <v>50872.32</v>
      </c>
      <c r="V597" s="29"/>
      <c r="W597" s="30"/>
    </row>
    <row r="598" spans="1:23" ht="20" x14ac:dyDescent="0.35">
      <c r="A598" s="20" t="s">
        <v>964</v>
      </c>
      <c r="B598" s="20"/>
      <c r="C598" s="25" t="s">
        <v>935</v>
      </c>
      <c r="D598" s="22"/>
      <c r="E598" s="22"/>
      <c r="F598" s="26" t="s">
        <v>67</v>
      </c>
      <c r="G598" s="27">
        <v>1</v>
      </c>
      <c r="H598" s="132"/>
      <c r="I598" s="171"/>
      <c r="J598" s="142"/>
      <c r="K598" s="110">
        <v>204.8</v>
      </c>
      <c r="L598" s="63">
        <v>39.729999999999997</v>
      </c>
      <c r="M598" s="29"/>
      <c r="N598" s="91"/>
      <c r="O598" s="63">
        <f>ROUND(ROUND(L598, 2)*K598, 2)</f>
        <v>8136.7</v>
      </c>
      <c r="P598" s="29"/>
      <c r="Q598" s="29"/>
      <c r="R598" s="28">
        <v>39.729999999999997</v>
      </c>
      <c r="S598" s="29"/>
      <c r="T598" s="29"/>
      <c r="U598" s="28">
        <f>ROUND(ROUND(R598, 2)*K598, 2)</f>
        <v>8136.7</v>
      </c>
      <c r="V598" s="29"/>
      <c r="W598" s="30"/>
    </row>
    <row r="599" spans="1:23" ht="20" x14ac:dyDescent="0.35">
      <c r="A599" s="20" t="s">
        <v>965</v>
      </c>
      <c r="B599" s="20"/>
      <c r="C599" s="25" t="s">
        <v>925</v>
      </c>
      <c r="D599" s="22"/>
      <c r="E599" s="22"/>
      <c r="F599" s="26" t="s">
        <v>84</v>
      </c>
      <c r="G599" s="27">
        <v>1</v>
      </c>
      <c r="H599" s="132"/>
      <c r="I599" s="171"/>
      <c r="J599" s="142"/>
      <c r="K599" s="110">
        <v>88.5</v>
      </c>
      <c r="L599" s="63">
        <v>80</v>
      </c>
      <c r="M599" s="29"/>
      <c r="N599" s="91"/>
      <c r="O599" s="63">
        <f>ROUND(ROUND(L599, 2)*K599, 2)</f>
        <v>7080</v>
      </c>
      <c r="P599" s="29"/>
      <c r="Q599" s="29"/>
      <c r="R599" s="28">
        <v>80</v>
      </c>
      <c r="S599" s="29"/>
      <c r="T599" s="29"/>
      <c r="U599" s="28">
        <f>ROUND(ROUND(R599, 2)*K599, 2)</f>
        <v>7080</v>
      </c>
      <c r="V599" s="29"/>
      <c r="W599" s="30"/>
    </row>
    <row r="600" spans="1:23" ht="36" x14ac:dyDescent="0.35">
      <c r="A600" s="20" t="s">
        <v>966</v>
      </c>
      <c r="B600" s="20" t="s">
        <v>944</v>
      </c>
      <c r="C600" s="21" t="s">
        <v>945</v>
      </c>
      <c r="D600" s="22"/>
      <c r="E600" s="22" t="s">
        <v>967</v>
      </c>
      <c r="F600" s="22" t="s">
        <v>55</v>
      </c>
      <c r="G600" s="23">
        <v>1</v>
      </c>
      <c r="H600" s="131"/>
      <c r="I600" s="171"/>
      <c r="J600" s="142"/>
      <c r="K600" s="98">
        <v>55.13</v>
      </c>
      <c r="L600" s="62">
        <f>IFERROR(ROUND(SUM(O601,O602,O603,O604)/K600, 2),0)</f>
        <v>321.32</v>
      </c>
      <c r="M600" s="80">
        <v>1477</v>
      </c>
      <c r="N600" s="90">
        <f>L600+ROUND(M600, 2)</f>
        <v>1798.32</v>
      </c>
      <c r="O600" s="62">
        <f>ROUND(L600*K600, 2)</f>
        <v>17714.37</v>
      </c>
      <c r="P600" s="24">
        <f>ROUND(K600*ROUND(M600, 2), 2)</f>
        <v>81427.009999999995</v>
      </c>
      <c r="Q600" s="24">
        <f>O600+P600</f>
        <v>99141.37999999999</v>
      </c>
      <c r="R600" s="24">
        <f>IFERROR(ROUND(SUM(U601,U602,U603,U604)/K600, 2),0)</f>
        <v>321.32</v>
      </c>
      <c r="S600" s="24">
        <v>1477</v>
      </c>
      <c r="T600" s="24">
        <f>R600+ROUND(S600, 2)</f>
        <v>1798.32</v>
      </c>
      <c r="U600" s="24">
        <f>ROUND(R600*K600, 2)</f>
        <v>17714.37</v>
      </c>
      <c r="V600" s="24">
        <f>ROUND(K600*ROUND(S600, 2), 2)</f>
        <v>81427.009999999995</v>
      </c>
      <c r="W600" s="24">
        <f>U600+V600</f>
        <v>99141.37999999999</v>
      </c>
    </row>
    <row r="601" spans="1:23" ht="20" x14ac:dyDescent="0.35">
      <c r="A601" s="20" t="s">
        <v>968</v>
      </c>
      <c r="B601" s="20"/>
      <c r="C601" s="25" t="s">
        <v>969</v>
      </c>
      <c r="D601" s="22"/>
      <c r="E601" s="22"/>
      <c r="F601" s="26" t="s">
        <v>55</v>
      </c>
      <c r="G601" s="27">
        <v>1.1000000000000001</v>
      </c>
      <c r="H601" s="132"/>
      <c r="I601" s="171"/>
      <c r="J601" s="142"/>
      <c r="K601" s="110">
        <v>121.286</v>
      </c>
      <c r="L601" s="63">
        <v>0</v>
      </c>
      <c r="M601" s="29"/>
      <c r="N601" s="91"/>
      <c r="O601" s="63">
        <f>ROUND(ROUND(L601, 2)*K601, 2)</f>
        <v>0</v>
      </c>
      <c r="P601" s="29"/>
      <c r="Q601" s="29"/>
      <c r="R601" s="28">
        <v>0</v>
      </c>
      <c r="S601" s="29"/>
      <c r="T601" s="29"/>
      <c r="U601" s="28">
        <f>ROUND(ROUND(R601, 2)*K601, 2)</f>
        <v>0</v>
      </c>
      <c r="V601" s="29"/>
      <c r="W601" s="30"/>
    </row>
    <row r="602" spans="1:23" ht="20" x14ac:dyDescent="0.35">
      <c r="A602" s="20" t="s">
        <v>970</v>
      </c>
      <c r="B602" s="20"/>
      <c r="C602" s="25" t="s">
        <v>933</v>
      </c>
      <c r="D602" s="22"/>
      <c r="E602" s="22"/>
      <c r="F602" s="26" t="s">
        <v>67</v>
      </c>
      <c r="G602" s="27">
        <v>1</v>
      </c>
      <c r="H602" s="132"/>
      <c r="I602" s="171"/>
      <c r="J602" s="142"/>
      <c r="K602" s="110">
        <v>272</v>
      </c>
      <c r="L602" s="63">
        <v>49.68</v>
      </c>
      <c r="M602" s="29"/>
      <c r="N602" s="91"/>
      <c r="O602" s="63">
        <f>ROUND(ROUND(L602, 2)*K602, 2)</f>
        <v>13512.96</v>
      </c>
      <c r="P602" s="29"/>
      <c r="Q602" s="29"/>
      <c r="R602" s="28">
        <v>49.68</v>
      </c>
      <c r="S602" s="29"/>
      <c r="T602" s="29"/>
      <c r="U602" s="28">
        <f>ROUND(ROUND(R602, 2)*K602, 2)</f>
        <v>13512.96</v>
      </c>
      <c r="V602" s="29"/>
      <c r="W602" s="30"/>
    </row>
    <row r="603" spans="1:23" ht="20" x14ac:dyDescent="0.35">
      <c r="A603" s="20" t="s">
        <v>971</v>
      </c>
      <c r="B603" s="20"/>
      <c r="C603" s="25" t="s">
        <v>935</v>
      </c>
      <c r="D603" s="22"/>
      <c r="E603" s="22"/>
      <c r="F603" s="26" t="s">
        <v>67</v>
      </c>
      <c r="G603" s="27">
        <v>1</v>
      </c>
      <c r="H603" s="132"/>
      <c r="I603" s="171"/>
      <c r="J603" s="142"/>
      <c r="K603" s="110">
        <v>54.4</v>
      </c>
      <c r="L603" s="63">
        <v>39.729999999999997</v>
      </c>
      <c r="M603" s="29"/>
      <c r="N603" s="91"/>
      <c r="O603" s="63">
        <f>ROUND(ROUND(L603, 2)*K603, 2)</f>
        <v>2161.31</v>
      </c>
      <c r="P603" s="29"/>
      <c r="Q603" s="29"/>
      <c r="R603" s="28">
        <v>39.729999999999997</v>
      </c>
      <c r="S603" s="29"/>
      <c r="T603" s="29"/>
      <c r="U603" s="28">
        <f>ROUND(ROUND(R603, 2)*K603, 2)</f>
        <v>2161.31</v>
      </c>
      <c r="V603" s="29"/>
      <c r="W603" s="30"/>
    </row>
    <row r="604" spans="1:23" ht="20" x14ac:dyDescent="0.35">
      <c r="A604" s="20" t="s">
        <v>972</v>
      </c>
      <c r="B604" s="20"/>
      <c r="C604" s="25" t="s">
        <v>925</v>
      </c>
      <c r="D604" s="22"/>
      <c r="E604" s="22"/>
      <c r="F604" s="26" t="s">
        <v>84</v>
      </c>
      <c r="G604" s="27">
        <v>1</v>
      </c>
      <c r="H604" s="132"/>
      <c r="I604" s="171"/>
      <c r="J604" s="142"/>
      <c r="K604" s="110">
        <v>25.5</v>
      </c>
      <c r="L604" s="63">
        <v>80</v>
      </c>
      <c r="M604" s="29"/>
      <c r="N604" s="91"/>
      <c r="O604" s="63">
        <f>ROUND(ROUND(L604, 2)*K604, 2)</f>
        <v>2040</v>
      </c>
      <c r="P604" s="29"/>
      <c r="Q604" s="29"/>
      <c r="R604" s="28">
        <v>80</v>
      </c>
      <c r="S604" s="29"/>
      <c r="T604" s="29"/>
      <c r="U604" s="28">
        <f>ROUND(ROUND(R604, 2)*K604, 2)</f>
        <v>2040</v>
      </c>
      <c r="V604" s="29"/>
      <c r="W604" s="30"/>
    </row>
    <row r="605" spans="1:23" ht="36" x14ac:dyDescent="0.35">
      <c r="A605" s="20" t="s">
        <v>973</v>
      </c>
      <c r="B605" s="20" t="s">
        <v>944</v>
      </c>
      <c r="C605" s="21" t="s">
        <v>945</v>
      </c>
      <c r="D605" s="22"/>
      <c r="E605" s="22" t="s">
        <v>974</v>
      </c>
      <c r="F605" s="22" t="s">
        <v>55</v>
      </c>
      <c r="G605" s="23">
        <v>1</v>
      </c>
      <c r="H605" s="131"/>
      <c r="I605" s="171"/>
      <c r="J605" s="142"/>
      <c r="K605" s="98">
        <v>23.49</v>
      </c>
      <c r="L605" s="62">
        <f>IFERROR(ROUND(SUM(O606,O607,O608)/K605, 2),0)</f>
        <v>928.95</v>
      </c>
      <c r="M605" s="80">
        <v>1477</v>
      </c>
      <c r="N605" s="90">
        <f>L605+ROUND(M605, 2)</f>
        <v>2405.9499999999998</v>
      </c>
      <c r="O605" s="62">
        <f>ROUND(L605*K605, 2)</f>
        <v>21821.040000000001</v>
      </c>
      <c r="P605" s="24">
        <f>ROUND(K605*ROUND(M605, 2), 2)</f>
        <v>34694.730000000003</v>
      </c>
      <c r="Q605" s="24">
        <f>O605+P605</f>
        <v>56515.770000000004</v>
      </c>
      <c r="R605" s="24">
        <f>IFERROR(ROUND(SUM(U606,U607,U608)/K605, 2),0)</f>
        <v>928.95</v>
      </c>
      <c r="S605" s="24">
        <v>1477</v>
      </c>
      <c r="T605" s="24">
        <f>R605+ROUND(S605, 2)</f>
        <v>2405.9499999999998</v>
      </c>
      <c r="U605" s="24">
        <f>ROUND(R605*K605, 2)</f>
        <v>21821.040000000001</v>
      </c>
      <c r="V605" s="24">
        <f>ROUND(K605*ROUND(S605, 2), 2)</f>
        <v>34694.730000000003</v>
      </c>
      <c r="W605" s="24">
        <f>U605+V605</f>
        <v>56515.770000000004</v>
      </c>
    </row>
    <row r="606" spans="1:23" ht="20" x14ac:dyDescent="0.35">
      <c r="A606" s="20" t="s">
        <v>975</v>
      </c>
      <c r="B606" s="20"/>
      <c r="C606" s="14" t="s">
        <v>952</v>
      </c>
      <c r="D606" s="22"/>
      <c r="E606" s="22"/>
      <c r="F606" s="26" t="s">
        <v>55</v>
      </c>
      <c r="G606" s="27">
        <v>1.1000000000000001</v>
      </c>
      <c r="H606" s="132"/>
      <c r="I606" s="171"/>
      <c r="J606" s="142"/>
      <c r="K606" s="110">
        <v>51.677999999999997</v>
      </c>
      <c r="L606" s="63">
        <v>309.39999999999998</v>
      </c>
      <c r="M606" s="29"/>
      <c r="N606" s="91"/>
      <c r="O606" s="63">
        <f>ROUND(ROUND(L606, 2)*K606, 2)</f>
        <v>15989.17</v>
      </c>
      <c r="P606" s="29"/>
      <c r="Q606" s="29"/>
      <c r="R606" s="28">
        <v>309.39999999999998</v>
      </c>
      <c r="S606" s="29"/>
      <c r="T606" s="29"/>
      <c r="U606" s="28">
        <f>ROUND(ROUND(R606, 2)*K606, 2)</f>
        <v>15989.17</v>
      </c>
      <c r="V606" s="29"/>
      <c r="W606" s="30"/>
    </row>
    <row r="607" spans="1:23" ht="20" x14ac:dyDescent="0.35">
      <c r="A607" s="20" t="s">
        <v>976</v>
      </c>
      <c r="B607" s="20"/>
      <c r="C607" s="25" t="s">
        <v>933</v>
      </c>
      <c r="D607" s="22"/>
      <c r="E607" s="22"/>
      <c r="F607" s="26" t="s">
        <v>67</v>
      </c>
      <c r="G607" s="27">
        <v>1</v>
      </c>
      <c r="H607" s="132"/>
      <c r="I607" s="171"/>
      <c r="J607" s="142"/>
      <c r="K607" s="110">
        <v>84.2</v>
      </c>
      <c r="L607" s="63">
        <v>49.68</v>
      </c>
      <c r="M607" s="29"/>
      <c r="N607" s="91"/>
      <c r="O607" s="63">
        <f>ROUND(ROUND(L607, 2)*K607, 2)</f>
        <v>4183.0600000000004</v>
      </c>
      <c r="P607" s="29"/>
      <c r="Q607" s="29"/>
      <c r="R607" s="28">
        <v>49.68</v>
      </c>
      <c r="S607" s="29"/>
      <c r="T607" s="29"/>
      <c r="U607" s="28">
        <f>ROUND(ROUND(R607, 2)*K607, 2)</f>
        <v>4183.0600000000004</v>
      </c>
      <c r="V607" s="29"/>
      <c r="W607" s="30"/>
    </row>
    <row r="608" spans="1:23" ht="20" x14ac:dyDescent="0.35">
      <c r="A608" s="20" t="s">
        <v>977</v>
      </c>
      <c r="B608" s="20"/>
      <c r="C608" s="25" t="s">
        <v>935</v>
      </c>
      <c r="D608" s="22"/>
      <c r="E608" s="22"/>
      <c r="F608" s="26" t="s">
        <v>67</v>
      </c>
      <c r="G608" s="27">
        <v>1</v>
      </c>
      <c r="H608" s="132"/>
      <c r="I608" s="171"/>
      <c r="J608" s="142"/>
      <c r="K608" s="110">
        <v>41.5</v>
      </c>
      <c r="L608" s="63">
        <v>39.729999999999997</v>
      </c>
      <c r="M608" s="29"/>
      <c r="N608" s="91"/>
      <c r="O608" s="63">
        <f>ROUND(ROUND(L608, 2)*K608, 2)</f>
        <v>1648.8</v>
      </c>
      <c r="P608" s="29"/>
      <c r="Q608" s="29"/>
      <c r="R608" s="28">
        <v>39.729999999999997</v>
      </c>
      <c r="S608" s="29"/>
      <c r="T608" s="29"/>
      <c r="U608" s="28">
        <f>ROUND(ROUND(R608, 2)*K608, 2)</f>
        <v>1648.8</v>
      </c>
      <c r="V608" s="29"/>
      <c r="W608" s="30"/>
    </row>
    <row r="609" spans="1:23" ht="36" x14ac:dyDescent="0.35">
      <c r="A609" s="20" t="s">
        <v>978</v>
      </c>
      <c r="B609" s="20" t="s">
        <v>944</v>
      </c>
      <c r="C609" s="21" t="s">
        <v>945</v>
      </c>
      <c r="D609" s="22"/>
      <c r="E609" s="22" t="s">
        <v>979</v>
      </c>
      <c r="F609" s="22" t="s">
        <v>55</v>
      </c>
      <c r="G609" s="23">
        <v>1</v>
      </c>
      <c r="H609" s="131"/>
      <c r="I609" s="171"/>
      <c r="J609" s="142"/>
      <c r="K609" s="98">
        <v>2.74</v>
      </c>
      <c r="L609" s="62">
        <f>IFERROR(ROUND(SUM(O610,O611,O612,O613)/K609, 2),0)</f>
        <v>1058.0899999999999</v>
      </c>
      <c r="M609" s="80">
        <v>1477</v>
      </c>
      <c r="N609" s="90">
        <f>L609+ROUND(M609, 2)</f>
        <v>2535.09</v>
      </c>
      <c r="O609" s="62">
        <f>ROUND(L609*K609, 2)</f>
        <v>2899.17</v>
      </c>
      <c r="P609" s="24">
        <f>ROUND(K609*ROUND(M609, 2), 2)</f>
        <v>4046.98</v>
      </c>
      <c r="Q609" s="24">
        <f>O609+P609</f>
        <v>6946.15</v>
      </c>
      <c r="R609" s="24">
        <f>IFERROR(ROUND(SUM(U610,U611,U612,U613)/K609, 2),0)</f>
        <v>1058.0899999999999</v>
      </c>
      <c r="S609" s="24">
        <v>1477</v>
      </c>
      <c r="T609" s="24">
        <f>R609+ROUND(S609, 2)</f>
        <v>2535.09</v>
      </c>
      <c r="U609" s="24">
        <f>ROUND(R609*K609, 2)</f>
        <v>2899.17</v>
      </c>
      <c r="V609" s="24">
        <f>ROUND(K609*ROUND(S609, 2), 2)</f>
        <v>4046.98</v>
      </c>
      <c r="W609" s="24">
        <f>U609+V609</f>
        <v>6946.15</v>
      </c>
    </row>
    <row r="610" spans="1:23" ht="20" x14ac:dyDescent="0.35">
      <c r="A610" s="20" t="s">
        <v>980</v>
      </c>
      <c r="B610" s="20"/>
      <c r="C610" s="14" t="s">
        <v>952</v>
      </c>
      <c r="D610" s="22"/>
      <c r="E610" s="22"/>
      <c r="F610" s="26" t="s">
        <v>55</v>
      </c>
      <c r="G610" s="27">
        <v>1.1000000000000001</v>
      </c>
      <c r="H610" s="132"/>
      <c r="I610" s="171"/>
      <c r="J610" s="142"/>
      <c r="K610" s="110">
        <v>6.0279999999999996</v>
      </c>
      <c r="L610" s="63">
        <v>309.39999999999998</v>
      </c>
      <c r="M610" s="29"/>
      <c r="N610" s="91"/>
      <c r="O610" s="63">
        <f>ROUND(ROUND(L610, 2)*K610, 2)</f>
        <v>1865.06</v>
      </c>
      <c r="P610" s="29"/>
      <c r="Q610" s="29"/>
      <c r="R610" s="28">
        <v>309.39999999999998</v>
      </c>
      <c r="S610" s="29"/>
      <c r="T610" s="29"/>
      <c r="U610" s="28">
        <f>ROUND(ROUND(R610, 2)*K610, 2)</f>
        <v>1865.06</v>
      </c>
      <c r="V610" s="29"/>
      <c r="W610" s="30"/>
    </row>
    <row r="611" spans="1:23" ht="20" x14ac:dyDescent="0.35">
      <c r="A611" s="20" t="s">
        <v>981</v>
      </c>
      <c r="B611" s="20"/>
      <c r="C611" s="25" t="s">
        <v>933</v>
      </c>
      <c r="D611" s="22"/>
      <c r="E611" s="22"/>
      <c r="F611" s="26" t="s">
        <v>67</v>
      </c>
      <c r="G611" s="27">
        <v>1</v>
      </c>
      <c r="H611" s="132"/>
      <c r="I611" s="171"/>
      <c r="J611" s="142"/>
      <c r="K611" s="110">
        <v>16</v>
      </c>
      <c r="L611" s="63">
        <v>49.68</v>
      </c>
      <c r="M611" s="29"/>
      <c r="N611" s="91"/>
      <c r="O611" s="63">
        <f>ROUND(ROUND(L611, 2)*K611, 2)</f>
        <v>794.88</v>
      </c>
      <c r="P611" s="29"/>
      <c r="Q611" s="29"/>
      <c r="R611" s="28">
        <v>49.68</v>
      </c>
      <c r="S611" s="29"/>
      <c r="T611" s="29"/>
      <c r="U611" s="28">
        <f>ROUND(ROUND(R611, 2)*K611, 2)</f>
        <v>794.88</v>
      </c>
      <c r="V611" s="29"/>
      <c r="W611" s="30"/>
    </row>
    <row r="612" spans="1:23" ht="20" x14ac:dyDescent="0.35">
      <c r="A612" s="20" t="s">
        <v>982</v>
      </c>
      <c r="B612" s="20"/>
      <c r="C612" s="25" t="s">
        <v>935</v>
      </c>
      <c r="D612" s="22"/>
      <c r="E612" s="22"/>
      <c r="F612" s="26" t="s">
        <v>67</v>
      </c>
      <c r="G612" s="27">
        <v>1</v>
      </c>
      <c r="H612" s="132"/>
      <c r="I612" s="171"/>
      <c r="J612" s="142"/>
      <c r="K612" s="110">
        <v>2.8</v>
      </c>
      <c r="L612" s="63">
        <v>39.729999999999997</v>
      </c>
      <c r="M612" s="29"/>
      <c r="N612" s="91"/>
      <c r="O612" s="63">
        <f>ROUND(ROUND(L612, 2)*K612, 2)</f>
        <v>111.24</v>
      </c>
      <c r="P612" s="29"/>
      <c r="Q612" s="29"/>
      <c r="R612" s="28">
        <v>39.729999999999997</v>
      </c>
      <c r="S612" s="29"/>
      <c r="T612" s="29"/>
      <c r="U612" s="28">
        <f>ROUND(ROUND(R612, 2)*K612, 2)</f>
        <v>111.24</v>
      </c>
      <c r="V612" s="29"/>
      <c r="W612" s="30"/>
    </row>
    <row r="613" spans="1:23" ht="20.5" thickBot="1" x14ac:dyDescent="0.4">
      <c r="A613" s="20" t="s">
        <v>983</v>
      </c>
      <c r="B613" s="20"/>
      <c r="C613" s="25" t="s">
        <v>925</v>
      </c>
      <c r="D613" s="22"/>
      <c r="E613" s="22"/>
      <c r="F613" s="26" t="s">
        <v>84</v>
      </c>
      <c r="G613" s="27">
        <v>1</v>
      </c>
      <c r="H613" s="132"/>
      <c r="I613" s="171"/>
      <c r="J613" s="149"/>
      <c r="K613" s="95">
        <v>1.6</v>
      </c>
      <c r="L613" s="63">
        <v>80</v>
      </c>
      <c r="M613" s="29"/>
      <c r="N613" s="91"/>
      <c r="O613" s="63">
        <f>ROUND(ROUND(L613, 2)*K613, 2)</f>
        <v>128</v>
      </c>
      <c r="P613" s="29"/>
      <c r="Q613" s="29"/>
      <c r="R613" s="28">
        <v>80</v>
      </c>
      <c r="S613" s="29"/>
      <c r="T613" s="29"/>
      <c r="U613" s="28">
        <f>ROUND(ROUND(R613, 2)*K613, 2)</f>
        <v>128</v>
      </c>
      <c r="V613" s="29"/>
      <c r="W613" s="30"/>
    </row>
    <row r="614" spans="1:23" ht="17" customHeight="1" thickBot="1" x14ac:dyDescent="0.4">
      <c r="A614" s="20" t="s">
        <v>984</v>
      </c>
      <c r="B614" s="20" t="s">
        <v>985</v>
      </c>
      <c r="C614" s="114" t="s">
        <v>986</v>
      </c>
      <c r="D614" s="115"/>
      <c r="E614" s="115"/>
      <c r="F614" s="115"/>
      <c r="G614" s="115"/>
      <c r="H614" s="115"/>
      <c r="I614" s="168"/>
      <c r="J614" s="156"/>
      <c r="K614" s="116"/>
      <c r="L614" s="29"/>
      <c r="M614" s="29"/>
      <c r="N614" s="91"/>
      <c r="O614" s="85">
        <f>SUM(O615,O617)</f>
        <v>1119590.1000000001</v>
      </c>
      <c r="P614" s="56">
        <f>SUM(P615,P617)</f>
        <v>142186</v>
      </c>
      <c r="Q614" s="56">
        <f>SUM(Q615,Q617)</f>
        <v>1261776.1000000001</v>
      </c>
      <c r="R614" s="29"/>
      <c r="S614" s="29"/>
      <c r="T614" s="29"/>
      <c r="U614" s="56">
        <f>SUM(U615,U617)</f>
        <v>1119590.1000000001</v>
      </c>
      <c r="V614" s="56">
        <f>SUM(V615,V617)</f>
        <v>142186</v>
      </c>
      <c r="W614" s="56">
        <f>SUM(W615,W617)</f>
        <v>1261776.1000000001</v>
      </c>
    </row>
    <row r="615" spans="1:23" ht="36" x14ac:dyDescent="0.35">
      <c r="A615" s="20" t="s">
        <v>987</v>
      </c>
      <c r="B615" s="20" t="s">
        <v>988</v>
      </c>
      <c r="C615" s="21" t="s">
        <v>989</v>
      </c>
      <c r="D615" s="22"/>
      <c r="E615" s="22" t="s">
        <v>990</v>
      </c>
      <c r="F615" s="22" t="s">
        <v>84</v>
      </c>
      <c r="G615" s="23">
        <v>1</v>
      </c>
      <c r="H615" s="131"/>
      <c r="I615" s="171"/>
      <c r="J615" s="154"/>
      <c r="K615" s="113">
        <v>7</v>
      </c>
      <c r="L615" s="62">
        <f>IFERROR(ROUND(SUM(O616)/K615, 2),0)</f>
        <v>16710.3</v>
      </c>
      <c r="M615" s="80">
        <v>2458</v>
      </c>
      <c r="N615" s="90">
        <f>L615+ROUND(M615, 2)</f>
        <v>19168.3</v>
      </c>
      <c r="O615" s="62">
        <f>ROUND(L615*K615, 2)</f>
        <v>116972.1</v>
      </c>
      <c r="P615" s="24">
        <f>ROUND(K615*ROUND(M615, 2), 2)</f>
        <v>17206</v>
      </c>
      <c r="Q615" s="24">
        <f>O615+P615</f>
        <v>134178.1</v>
      </c>
      <c r="R615" s="24">
        <f>IFERROR(ROUND(SUM(U616)/K615, 2),0)</f>
        <v>16710.3</v>
      </c>
      <c r="S615" s="24">
        <v>2458</v>
      </c>
      <c r="T615" s="24">
        <f>R615+ROUND(S615, 2)</f>
        <v>19168.3</v>
      </c>
      <c r="U615" s="24">
        <f>ROUND(R615*K615, 2)</f>
        <v>116972.1</v>
      </c>
      <c r="V615" s="24">
        <f>ROUND(K615*ROUND(S615, 2), 2)</f>
        <v>17206</v>
      </c>
      <c r="W615" s="24">
        <f>U615+V615</f>
        <v>134178.1</v>
      </c>
    </row>
    <row r="616" spans="1:23" ht="108" x14ac:dyDescent="0.35">
      <c r="A616" s="20" t="s">
        <v>991</v>
      </c>
      <c r="B616" s="20"/>
      <c r="C616" s="14" t="s">
        <v>992</v>
      </c>
      <c r="D616" s="22"/>
      <c r="E616" s="22" t="s">
        <v>993</v>
      </c>
      <c r="F616" s="26" t="s">
        <v>84</v>
      </c>
      <c r="G616" s="27">
        <v>1</v>
      </c>
      <c r="H616" s="132"/>
      <c r="I616" s="171"/>
      <c r="J616" s="142"/>
      <c r="K616" s="110">
        <v>7</v>
      </c>
      <c r="L616" s="63">
        <v>16710.3</v>
      </c>
      <c r="M616" s="29"/>
      <c r="N616" s="91"/>
      <c r="O616" s="63">
        <f>ROUND(ROUND(L616, 2)*K616, 2)</f>
        <v>116972.1</v>
      </c>
      <c r="P616" s="29"/>
      <c r="Q616" s="29"/>
      <c r="R616" s="28">
        <v>16710.3</v>
      </c>
      <c r="S616" s="29"/>
      <c r="T616" s="29"/>
      <c r="U616" s="28">
        <f>ROUND(ROUND(R616, 2)*K616, 2)</f>
        <v>116972.1</v>
      </c>
      <c r="V616" s="29"/>
      <c r="W616" s="30"/>
    </row>
    <row r="617" spans="1:23" ht="36" x14ac:dyDescent="0.35">
      <c r="A617" s="20" t="s">
        <v>994</v>
      </c>
      <c r="B617" s="20" t="s">
        <v>995</v>
      </c>
      <c r="C617" s="21" t="s">
        <v>996</v>
      </c>
      <c r="D617" s="22"/>
      <c r="E617" s="22" t="s">
        <v>997</v>
      </c>
      <c r="F617" s="22" t="s">
        <v>84</v>
      </c>
      <c r="G617" s="23">
        <v>1</v>
      </c>
      <c r="H617" s="131"/>
      <c r="I617" s="171"/>
      <c r="J617" s="142"/>
      <c r="K617" s="98">
        <v>60</v>
      </c>
      <c r="L617" s="62">
        <f>IFERROR(ROUND(SUM(O618)/K617, 2),0)</f>
        <v>16710.3</v>
      </c>
      <c r="M617" s="80">
        <v>2083</v>
      </c>
      <c r="N617" s="90">
        <f>L617+ROUND(M617, 2)</f>
        <v>18793.3</v>
      </c>
      <c r="O617" s="62">
        <f>ROUND(L617*K617, 2)</f>
        <v>1002618</v>
      </c>
      <c r="P617" s="24">
        <f>ROUND(K617*ROUND(M617, 2), 2)</f>
        <v>124980</v>
      </c>
      <c r="Q617" s="24">
        <f>O617+P617</f>
        <v>1127598</v>
      </c>
      <c r="R617" s="24">
        <f>IFERROR(ROUND(SUM(U618)/K617, 2),0)</f>
        <v>16710.3</v>
      </c>
      <c r="S617" s="24">
        <v>2083</v>
      </c>
      <c r="T617" s="24">
        <f>R617+ROUND(S617, 2)</f>
        <v>18793.3</v>
      </c>
      <c r="U617" s="24">
        <f>ROUND(R617*K617, 2)</f>
        <v>1002618</v>
      </c>
      <c r="V617" s="24">
        <f>ROUND(K617*ROUND(S617, 2), 2)</f>
        <v>124980</v>
      </c>
      <c r="W617" s="24">
        <f>U617+V617</f>
        <v>1127598</v>
      </c>
    </row>
    <row r="618" spans="1:23" ht="144.5" thickBot="1" x14ac:dyDescent="0.4">
      <c r="A618" s="20" t="s">
        <v>998</v>
      </c>
      <c r="B618" s="20"/>
      <c r="C618" s="14" t="s">
        <v>999</v>
      </c>
      <c r="D618" s="22"/>
      <c r="E618" s="22" t="s">
        <v>1000</v>
      </c>
      <c r="F618" s="26" t="s">
        <v>84</v>
      </c>
      <c r="G618" s="27">
        <v>1</v>
      </c>
      <c r="H618" s="132"/>
      <c r="I618" s="171"/>
      <c r="J618" s="145"/>
      <c r="K618" s="95">
        <v>60</v>
      </c>
      <c r="L618" s="63">
        <v>16710.3</v>
      </c>
      <c r="M618" s="29"/>
      <c r="N618" s="91"/>
      <c r="O618" s="63">
        <f>ROUND(ROUND(L618, 2)*K618, 2)</f>
        <v>1002618</v>
      </c>
      <c r="P618" s="29"/>
      <c r="Q618" s="29"/>
      <c r="R618" s="28">
        <v>16710.3</v>
      </c>
      <c r="S618" s="29"/>
      <c r="T618" s="29"/>
      <c r="U618" s="28">
        <f>ROUND(ROUND(R618, 2)*K618, 2)</f>
        <v>1002618</v>
      </c>
      <c r="V618" s="29"/>
      <c r="W618" s="30"/>
    </row>
    <row r="619" spans="1:23" ht="17" customHeight="1" x14ac:dyDescent="0.35">
      <c r="A619" s="8" t="s">
        <v>1001</v>
      </c>
      <c r="B619" s="8" t="s">
        <v>1002</v>
      </c>
      <c r="C619" s="92" t="s">
        <v>1003</v>
      </c>
      <c r="D619" s="93"/>
      <c r="E619" s="93"/>
      <c r="F619" s="93"/>
      <c r="G619" s="93"/>
      <c r="H619" s="93"/>
      <c r="I619" s="167"/>
      <c r="J619" s="157"/>
      <c r="K619" s="112"/>
      <c r="N619" s="88"/>
      <c r="O619" s="83">
        <f>SUM(O620,O639)</f>
        <v>755106.06</v>
      </c>
      <c r="P619" s="5">
        <f>SUM(P620,P639)</f>
        <v>11173590</v>
      </c>
      <c r="Q619" s="5">
        <f>SUM(Q620,Q639)</f>
        <v>11928696.060000002</v>
      </c>
      <c r="U619" s="5">
        <f>SUM(U620,U639)</f>
        <v>755106.06</v>
      </c>
      <c r="V619" s="5">
        <f>SUM(V620,V639)</f>
        <v>11173590</v>
      </c>
      <c r="W619" s="5">
        <f>SUM(W620,W639)</f>
        <v>11928696.060000002</v>
      </c>
    </row>
    <row r="620" spans="1:23" ht="17" customHeight="1" thickBot="1" x14ac:dyDescent="0.4">
      <c r="A620" s="8" t="s">
        <v>1004</v>
      </c>
      <c r="B620" s="8" t="s">
        <v>1005</v>
      </c>
      <c r="C620" s="92" t="s">
        <v>1006</v>
      </c>
      <c r="D620" s="93"/>
      <c r="E620" s="93"/>
      <c r="F620" s="93"/>
      <c r="G620" s="93"/>
      <c r="H620" s="93"/>
      <c r="I620" s="167"/>
      <c r="J620" s="158"/>
      <c r="K620" s="111"/>
      <c r="N620" s="88"/>
      <c r="O620" s="83">
        <f>SUM(O621,O627,O630,O633,O636)</f>
        <v>672463.9</v>
      </c>
      <c r="P620" s="5">
        <f>SUM(P621,P627,P630,P633,P636)</f>
        <v>8293286.8000000007</v>
      </c>
      <c r="Q620" s="5">
        <f>SUM(Q621,Q627,Q630,Q633,Q636)</f>
        <v>8965750.7000000011</v>
      </c>
      <c r="U620" s="5">
        <f>SUM(U621,U627,U630,U633,U636)</f>
        <v>672463.9</v>
      </c>
      <c r="V620" s="5">
        <f>SUM(V621,V627,V630,V633,V636)</f>
        <v>8293286.8000000007</v>
      </c>
      <c r="W620" s="5">
        <f>SUM(W621,W627,W630,W633,W636)</f>
        <v>8965750.7000000011</v>
      </c>
    </row>
    <row r="621" spans="1:23" ht="54" x14ac:dyDescent="0.35">
      <c r="A621" s="31" t="s">
        <v>1007</v>
      </c>
      <c r="B621" s="31" t="s">
        <v>1008</v>
      </c>
      <c r="C621" s="32" t="s">
        <v>1009</v>
      </c>
      <c r="D621" s="33"/>
      <c r="E621" s="33" t="s">
        <v>54</v>
      </c>
      <c r="F621" s="33" t="s">
        <v>55</v>
      </c>
      <c r="G621" s="34">
        <v>1</v>
      </c>
      <c r="H621" s="133"/>
      <c r="I621" s="171"/>
      <c r="J621" s="151"/>
      <c r="K621" s="106">
        <v>0</v>
      </c>
      <c r="L621" s="64">
        <f>IFERROR(ROUND(SUM(O623,O625)/K621, 2),0)</f>
        <v>0</v>
      </c>
      <c r="M621" s="81">
        <v>570</v>
      </c>
      <c r="N621" s="90">
        <f>L621+ROUND(M621, 2)</f>
        <v>570</v>
      </c>
      <c r="O621" s="64">
        <f>ROUND(L621*K621, 2)</f>
        <v>0</v>
      </c>
      <c r="P621" s="35">
        <f>ROUND(K621*ROUND(M621, 2), 2)</f>
        <v>0</v>
      </c>
      <c r="Q621" s="35">
        <f>O621+P621</f>
        <v>0</v>
      </c>
      <c r="R621" s="35">
        <f>IFERROR(ROUND(SUM(U623,U625)/K621, 2),0)</f>
        <v>0</v>
      </c>
      <c r="S621" s="35">
        <v>570</v>
      </c>
      <c r="T621" s="35">
        <f>R621+ROUND(S621, 2)</f>
        <v>570</v>
      </c>
      <c r="U621" s="35">
        <f>ROUND(R621*K621, 2)</f>
        <v>0</v>
      </c>
      <c r="V621" s="35">
        <f>ROUND(K621*ROUND(S621, 2), 2)</f>
        <v>0</v>
      </c>
      <c r="W621" s="35">
        <f>U621+V621</f>
        <v>0</v>
      </c>
    </row>
    <row r="622" spans="1:23" ht="54" x14ac:dyDescent="0.35">
      <c r="A622" s="36" t="s">
        <v>1010</v>
      </c>
      <c r="B622" s="36" t="s">
        <v>1008</v>
      </c>
      <c r="C622" s="37" t="s">
        <v>1009</v>
      </c>
      <c r="D622" s="38"/>
      <c r="E622" s="38"/>
      <c r="F622" s="38" t="s">
        <v>55</v>
      </c>
      <c r="G622" s="39">
        <v>1</v>
      </c>
      <c r="H622" s="134"/>
      <c r="I622" s="171"/>
      <c r="J622" s="144"/>
      <c r="K622" s="102">
        <v>3609.9</v>
      </c>
      <c r="L622" s="65">
        <v>0</v>
      </c>
      <c r="M622" s="82">
        <v>570</v>
      </c>
      <c r="N622" s="90"/>
      <c r="O622" s="65">
        <v>0</v>
      </c>
      <c r="P622" s="40"/>
      <c r="Q622" s="40"/>
      <c r="R622" s="40">
        <v>0</v>
      </c>
      <c r="S622" s="40">
        <v>570</v>
      </c>
      <c r="T622" s="40"/>
      <c r="U622" s="40">
        <v>0</v>
      </c>
      <c r="V622" s="40"/>
      <c r="W622" s="40"/>
    </row>
    <row r="623" spans="1:23" ht="72" x14ac:dyDescent="0.35">
      <c r="A623" s="31" t="s">
        <v>1011</v>
      </c>
      <c r="B623" s="31"/>
      <c r="C623" s="41" t="s">
        <v>1012</v>
      </c>
      <c r="D623" s="33"/>
      <c r="E623" s="33" t="s">
        <v>1013</v>
      </c>
      <c r="F623" s="42" t="s">
        <v>58</v>
      </c>
      <c r="G623" s="43">
        <v>4.5</v>
      </c>
      <c r="H623" s="135"/>
      <c r="I623" s="171"/>
      <c r="J623" s="143"/>
      <c r="K623" s="103">
        <v>0</v>
      </c>
      <c r="L623" s="66">
        <v>12.58</v>
      </c>
      <c r="M623" s="45"/>
      <c r="N623" s="91"/>
      <c r="O623" s="66">
        <f>ROUND(ROUND(L623, 2)*K623, 2)</f>
        <v>0</v>
      </c>
      <c r="P623" s="45"/>
      <c r="Q623" s="45"/>
      <c r="R623" s="44">
        <v>12.58</v>
      </c>
      <c r="S623" s="45"/>
      <c r="T623" s="45"/>
      <c r="U623" s="44">
        <f>ROUND(ROUND(R623, 2)*K623, 2)</f>
        <v>0</v>
      </c>
      <c r="V623" s="45"/>
      <c r="W623" s="46"/>
    </row>
    <row r="624" spans="1:23" ht="72" x14ac:dyDescent="0.35">
      <c r="A624" s="36" t="s">
        <v>1014</v>
      </c>
      <c r="B624" s="36"/>
      <c r="C624" s="47" t="s">
        <v>1012</v>
      </c>
      <c r="D624" s="38"/>
      <c r="E624" s="38" t="s">
        <v>1013</v>
      </c>
      <c r="F624" s="48" t="s">
        <v>58</v>
      </c>
      <c r="G624" s="49">
        <v>4.5</v>
      </c>
      <c r="H624" s="136"/>
      <c r="I624" s="171"/>
      <c r="J624" s="144"/>
      <c r="K624" s="104">
        <v>16244.55</v>
      </c>
      <c r="L624" s="67">
        <v>12.58</v>
      </c>
      <c r="M624" s="51"/>
      <c r="N624" s="91"/>
      <c r="O624" s="67">
        <f>ROUND(ROUND(L624, 2)*K624, 2)</f>
        <v>204356.44</v>
      </c>
      <c r="P624" s="51"/>
      <c r="Q624" s="51"/>
      <c r="R624" s="50">
        <v>12.58</v>
      </c>
      <c r="S624" s="51"/>
      <c r="T624" s="51"/>
      <c r="U624" s="50">
        <f>ROUND(ROUND(R624, 2)*K624, 2)</f>
        <v>204356.44</v>
      </c>
      <c r="V624" s="51"/>
      <c r="W624" s="52"/>
    </row>
    <row r="625" spans="1:23" ht="20" x14ac:dyDescent="0.35">
      <c r="A625" s="31" t="s">
        <v>1015</v>
      </c>
      <c r="B625" s="31"/>
      <c r="C625" s="41" t="s">
        <v>405</v>
      </c>
      <c r="D625" s="33"/>
      <c r="E625" s="33"/>
      <c r="F625" s="42" t="s">
        <v>58</v>
      </c>
      <c r="G625" s="43">
        <v>0.15</v>
      </c>
      <c r="H625" s="135"/>
      <c r="I625" s="171"/>
      <c r="J625" s="143"/>
      <c r="K625" s="103">
        <v>0</v>
      </c>
      <c r="L625" s="66">
        <v>100</v>
      </c>
      <c r="M625" s="45"/>
      <c r="N625" s="91"/>
      <c r="O625" s="66">
        <f>ROUND(ROUND(L625, 2)*K625, 2)</f>
        <v>0</v>
      </c>
      <c r="P625" s="45"/>
      <c r="Q625" s="45"/>
      <c r="R625" s="44">
        <v>100</v>
      </c>
      <c r="S625" s="45"/>
      <c r="T625" s="45"/>
      <c r="U625" s="44">
        <f>ROUND(ROUND(R625, 2)*K625, 2)</f>
        <v>0</v>
      </c>
      <c r="V625" s="45"/>
      <c r="W625" s="46"/>
    </row>
    <row r="626" spans="1:23" ht="20" x14ac:dyDescent="0.35">
      <c r="A626" s="36" t="s">
        <v>1016</v>
      </c>
      <c r="B626" s="36"/>
      <c r="C626" s="47" t="s">
        <v>405</v>
      </c>
      <c r="D626" s="38"/>
      <c r="E626" s="38"/>
      <c r="F626" s="48" t="s">
        <v>58</v>
      </c>
      <c r="G626" s="49">
        <v>0.15</v>
      </c>
      <c r="H626" s="136"/>
      <c r="I626" s="171"/>
      <c r="J626" s="144"/>
      <c r="K626" s="104">
        <v>541.48500000000001</v>
      </c>
      <c r="L626" s="67">
        <v>100</v>
      </c>
      <c r="M626" s="51"/>
      <c r="N626" s="91"/>
      <c r="O626" s="67">
        <f>ROUND(ROUND(L626, 2)*K626, 2)</f>
        <v>54148.5</v>
      </c>
      <c r="P626" s="51"/>
      <c r="Q626" s="51"/>
      <c r="R626" s="50">
        <v>100</v>
      </c>
      <c r="S626" s="51"/>
      <c r="T626" s="51"/>
      <c r="U626" s="50">
        <f>ROUND(ROUND(R626, 2)*K626, 2)</f>
        <v>54148.5</v>
      </c>
      <c r="V626" s="51"/>
      <c r="W626" s="52"/>
    </row>
    <row r="627" spans="1:23" ht="126" x14ac:dyDescent="0.35">
      <c r="A627" s="20" t="s">
        <v>1017</v>
      </c>
      <c r="B627" s="20" t="s">
        <v>1018</v>
      </c>
      <c r="C627" s="21" t="s">
        <v>1019</v>
      </c>
      <c r="D627" s="22"/>
      <c r="E627" s="22" t="s">
        <v>1020</v>
      </c>
      <c r="F627" s="22" t="s">
        <v>55</v>
      </c>
      <c r="G627" s="23">
        <v>1</v>
      </c>
      <c r="H627" s="190"/>
      <c r="I627" s="166">
        <f>H627*N627</f>
        <v>0</v>
      </c>
      <c r="J627" s="191">
        <f>K627-H627</f>
        <v>2789.37</v>
      </c>
      <c r="K627" s="98">
        <v>2789.37</v>
      </c>
      <c r="L627" s="62">
        <f>IFERROR(ROUND(SUM(O628,O629)/K627, 2),0)</f>
        <v>72.150000000000006</v>
      </c>
      <c r="M627" s="80">
        <v>790</v>
      </c>
      <c r="N627" s="90">
        <f>L627+ROUND(M627, 2)</f>
        <v>862.15</v>
      </c>
      <c r="O627" s="62">
        <f>ROUND(L627*K627, 2)</f>
        <v>201253.05</v>
      </c>
      <c r="P627" s="24">
        <f>ROUND(K627*ROUND(M627, 2), 2)</f>
        <v>2203602.2999999998</v>
      </c>
      <c r="Q627" s="24">
        <f>O627+P627</f>
        <v>2404855.3499999996</v>
      </c>
      <c r="R627" s="24">
        <f>IFERROR(ROUND(SUM(U628,U629)/K627, 2),0)</f>
        <v>72.150000000000006</v>
      </c>
      <c r="S627" s="24">
        <v>790</v>
      </c>
      <c r="T627" s="24">
        <f>R627+ROUND(S627, 2)</f>
        <v>862.15</v>
      </c>
      <c r="U627" s="24">
        <f>ROUND(R627*K627, 2)</f>
        <v>201253.05</v>
      </c>
      <c r="V627" s="24">
        <f>ROUND(K627*ROUND(S627, 2), 2)</f>
        <v>2203602.2999999998</v>
      </c>
      <c r="W627" s="24">
        <f>U627+V627</f>
        <v>2404855.3499999996</v>
      </c>
    </row>
    <row r="628" spans="1:23" ht="36" x14ac:dyDescent="0.35">
      <c r="A628" s="20" t="s">
        <v>1021</v>
      </c>
      <c r="B628" s="20"/>
      <c r="C628" s="14" t="s">
        <v>393</v>
      </c>
      <c r="D628" s="22"/>
      <c r="E628" s="22"/>
      <c r="F628" s="26" t="s">
        <v>58</v>
      </c>
      <c r="G628" s="27">
        <v>4.5</v>
      </c>
      <c r="H628" s="132"/>
      <c r="I628" s="171"/>
      <c r="J628" s="142"/>
      <c r="K628" s="99">
        <v>12552.165000000001</v>
      </c>
      <c r="L628" s="63">
        <v>12.7</v>
      </c>
      <c r="M628" s="29"/>
      <c r="N628" s="91"/>
      <c r="O628" s="63">
        <f>ROUND(ROUND(L628, 2)*K628, 2)</f>
        <v>159412.5</v>
      </c>
      <c r="P628" s="29"/>
      <c r="Q628" s="29"/>
      <c r="R628" s="28">
        <v>12.7</v>
      </c>
      <c r="S628" s="29"/>
      <c r="T628" s="29"/>
      <c r="U628" s="28">
        <f>ROUND(ROUND(R628, 2)*K628, 2)</f>
        <v>159412.5</v>
      </c>
      <c r="V628" s="29"/>
      <c r="W628" s="30"/>
    </row>
    <row r="629" spans="1:23" ht="20" x14ac:dyDescent="0.35">
      <c r="A629" s="20" t="s">
        <v>1022</v>
      </c>
      <c r="B629" s="20"/>
      <c r="C629" s="25" t="s">
        <v>405</v>
      </c>
      <c r="D629" s="22"/>
      <c r="E629" s="22"/>
      <c r="F629" s="26" t="s">
        <v>58</v>
      </c>
      <c r="G629" s="27">
        <v>0.15</v>
      </c>
      <c r="H629" s="132"/>
      <c r="I629" s="171"/>
      <c r="J629" s="142"/>
      <c r="K629" s="99">
        <v>418.40600000000001</v>
      </c>
      <c r="L629" s="63">
        <v>100</v>
      </c>
      <c r="M629" s="29"/>
      <c r="N629" s="91"/>
      <c r="O629" s="63">
        <f>ROUND(ROUND(L629, 2)*K629, 2)</f>
        <v>41840.6</v>
      </c>
      <c r="P629" s="29"/>
      <c r="Q629" s="29"/>
      <c r="R629" s="28">
        <v>100</v>
      </c>
      <c r="S629" s="29"/>
      <c r="T629" s="29"/>
      <c r="U629" s="28">
        <f>ROUND(ROUND(R629, 2)*K629, 2)</f>
        <v>41840.6</v>
      </c>
      <c r="V629" s="29"/>
      <c r="W629" s="30"/>
    </row>
    <row r="630" spans="1:23" ht="126" x14ac:dyDescent="0.35">
      <c r="A630" s="20" t="s">
        <v>1023</v>
      </c>
      <c r="B630" s="20" t="s">
        <v>1018</v>
      </c>
      <c r="C630" s="21" t="s">
        <v>1019</v>
      </c>
      <c r="D630" s="22"/>
      <c r="E630" s="22" t="s">
        <v>1024</v>
      </c>
      <c r="F630" s="22" t="s">
        <v>55</v>
      </c>
      <c r="G630" s="23">
        <v>1</v>
      </c>
      <c r="H630" s="131"/>
      <c r="I630" s="171"/>
      <c r="J630" s="142"/>
      <c r="K630" s="98">
        <v>3418.18</v>
      </c>
      <c r="L630" s="62">
        <f>IFERROR(ROUND(SUM(O631,O632)/K630, 2),0)</f>
        <v>72.150000000000006</v>
      </c>
      <c r="M630" s="80">
        <v>790</v>
      </c>
      <c r="N630" s="90">
        <f>L630+ROUND(M630, 2)</f>
        <v>862.15</v>
      </c>
      <c r="O630" s="62">
        <f>ROUND(L630*K630, 2)</f>
        <v>246621.69</v>
      </c>
      <c r="P630" s="24">
        <f>ROUND(K630*ROUND(M630, 2), 2)</f>
        <v>2700362.2</v>
      </c>
      <c r="Q630" s="24">
        <f>O630+P630</f>
        <v>2946983.89</v>
      </c>
      <c r="R630" s="24">
        <f>IFERROR(ROUND(SUM(U631,U632)/K630, 2),0)</f>
        <v>72.150000000000006</v>
      </c>
      <c r="S630" s="24">
        <v>790</v>
      </c>
      <c r="T630" s="24">
        <f>R630+ROUND(S630, 2)</f>
        <v>862.15</v>
      </c>
      <c r="U630" s="24">
        <f>ROUND(R630*K630, 2)</f>
        <v>246621.69</v>
      </c>
      <c r="V630" s="24">
        <f>ROUND(K630*ROUND(S630, 2), 2)</f>
        <v>2700362.2</v>
      </c>
      <c r="W630" s="24">
        <f>U630+V630</f>
        <v>2946983.89</v>
      </c>
    </row>
    <row r="631" spans="1:23" ht="20" x14ac:dyDescent="0.35">
      <c r="A631" s="20" t="s">
        <v>1025</v>
      </c>
      <c r="B631" s="20"/>
      <c r="C631" s="25" t="s">
        <v>405</v>
      </c>
      <c r="D631" s="22"/>
      <c r="E631" s="22"/>
      <c r="F631" s="26" t="s">
        <v>58</v>
      </c>
      <c r="G631" s="27">
        <v>0.15</v>
      </c>
      <c r="H631" s="132"/>
      <c r="I631" s="171"/>
      <c r="J631" s="142"/>
      <c r="K631" s="99">
        <v>512.72699999999998</v>
      </c>
      <c r="L631" s="63">
        <v>100</v>
      </c>
      <c r="M631" s="29"/>
      <c r="N631" s="91"/>
      <c r="O631" s="63">
        <f>ROUND(ROUND(L631, 2)*K631, 2)</f>
        <v>51272.7</v>
      </c>
      <c r="P631" s="29"/>
      <c r="Q631" s="29"/>
      <c r="R631" s="28">
        <v>100</v>
      </c>
      <c r="S631" s="29"/>
      <c r="T631" s="29"/>
      <c r="U631" s="28">
        <f>ROUND(ROUND(R631, 2)*K631, 2)</f>
        <v>51272.7</v>
      </c>
      <c r="V631" s="29"/>
      <c r="W631" s="30"/>
    </row>
    <row r="632" spans="1:23" ht="36" x14ac:dyDescent="0.35">
      <c r="A632" s="20" t="s">
        <v>1026</v>
      </c>
      <c r="B632" s="20"/>
      <c r="C632" s="14" t="s">
        <v>393</v>
      </c>
      <c r="D632" s="22"/>
      <c r="E632" s="22"/>
      <c r="F632" s="26" t="s">
        <v>58</v>
      </c>
      <c r="G632" s="27">
        <v>4.5</v>
      </c>
      <c r="H632" s="132"/>
      <c r="I632" s="171"/>
      <c r="J632" s="142"/>
      <c r="K632" s="99">
        <v>15381.81</v>
      </c>
      <c r="L632" s="63">
        <v>12.7</v>
      </c>
      <c r="M632" s="29"/>
      <c r="N632" s="91"/>
      <c r="O632" s="63">
        <f>ROUND(ROUND(L632, 2)*K632, 2)</f>
        <v>195348.99</v>
      </c>
      <c r="P632" s="29"/>
      <c r="Q632" s="29"/>
      <c r="R632" s="28">
        <v>12.7</v>
      </c>
      <c r="S632" s="29"/>
      <c r="T632" s="29"/>
      <c r="U632" s="28">
        <f>ROUND(ROUND(R632, 2)*K632, 2)</f>
        <v>195348.99</v>
      </c>
      <c r="V632" s="29"/>
      <c r="W632" s="30"/>
    </row>
    <row r="633" spans="1:23" ht="126" x14ac:dyDescent="0.35">
      <c r="A633" s="20" t="s">
        <v>1027</v>
      </c>
      <c r="B633" s="20" t="s">
        <v>1028</v>
      </c>
      <c r="C633" s="21" t="s">
        <v>1029</v>
      </c>
      <c r="D633" s="22"/>
      <c r="E633" s="22" t="s">
        <v>1030</v>
      </c>
      <c r="F633" s="22" t="s">
        <v>55</v>
      </c>
      <c r="G633" s="23">
        <v>1</v>
      </c>
      <c r="H633" s="131"/>
      <c r="I633" s="171"/>
      <c r="J633" s="142"/>
      <c r="K633" s="98">
        <v>3418.18</v>
      </c>
      <c r="L633" s="62">
        <f>IFERROR(ROUND(SUM(O634,O635)/K633, 2),0)</f>
        <v>36.18</v>
      </c>
      <c r="M633" s="80">
        <v>546</v>
      </c>
      <c r="N633" s="90">
        <f>L633+ROUND(M633, 2)</f>
        <v>582.17999999999995</v>
      </c>
      <c r="O633" s="62">
        <f>ROUND(L633*K633, 2)</f>
        <v>123669.75</v>
      </c>
      <c r="P633" s="24">
        <f>ROUND(K633*ROUND(M633, 2), 2)</f>
        <v>1866326.28</v>
      </c>
      <c r="Q633" s="24">
        <f>O633+P633</f>
        <v>1989996.03</v>
      </c>
      <c r="R633" s="24">
        <f>IFERROR(ROUND(SUM(U634,U635)/K633, 2),0)</f>
        <v>36.18</v>
      </c>
      <c r="S633" s="24">
        <v>546</v>
      </c>
      <c r="T633" s="24">
        <f>R633+ROUND(S633, 2)</f>
        <v>582.17999999999995</v>
      </c>
      <c r="U633" s="24">
        <f>ROUND(R633*K633, 2)</f>
        <v>123669.75</v>
      </c>
      <c r="V633" s="24">
        <f>ROUND(K633*ROUND(S633, 2), 2)</f>
        <v>1866326.28</v>
      </c>
      <c r="W633" s="24">
        <f>U633+V633</f>
        <v>1989996.03</v>
      </c>
    </row>
    <row r="634" spans="1:23" ht="54" x14ac:dyDescent="0.35">
      <c r="A634" s="20" t="s">
        <v>1031</v>
      </c>
      <c r="B634" s="20"/>
      <c r="C634" s="14" t="s">
        <v>1012</v>
      </c>
      <c r="D634" s="22"/>
      <c r="E634" s="22"/>
      <c r="F634" s="26" t="s">
        <v>58</v>
      </c>
      <c r="G634" s="27">
        <v>1.8</v>
      </c>
      <c r="H634" s="132"/>
      <c r="I634" s="171"/>
      <c r="J634" s="142"/>
      <c r="K634" s="99">
        <v>6152.7240000000002</v>
      </c>
      <c r="L634" s="63">
        <v>12.7</v>
      </c>
      <c r="M634" s="29"/>
      <c r="N634" s="91"/>
      <c r="O634" s="63">
        <f>ROUND(ROUND(L634, 2)*K634, 2)</f>
        <v>78139.59</v>
      </c>
      <c r="P634" s="29"/>
      <c r="Q634" s="29"/>
      <c r="R634" s="28">
        <v>12.7</v>
      </c>
      <c r="S634" s="29"/>
      <c r="T634" s="29"/>
      <c r="U634" s="28">
        <f>ROUND(ROUND(R634, 2)*K634, 2)</f>
        <v>78139.59</v>
      </c>
      <c r="V634" s="29"/>
      <c r="W634" s="30"/>
    </row>
    <row r="635" spans="1:23" ht="36" x14ac:dyDescent="0.35">
      <c r="A635" s="20" t="s">
        <v>1032</v>
      </c>
      <c r="B635" s="20"/>
      <c r="C635" s="25" t="s">
        <v>60</v>
      </c>
      <c r="D635" s="22"/>
      <c r="E635" s="22"/>
      <c r="F635" s="26" t="s">
        <v>58</v>
      </c>
      <c r="G635" s="27">
        <v>0.15</v>
      </c>
      <c r="H635" s="132"/>
      <c r="I635" s="171"/>
      <c r="J635" s="142"/>
      <c r="K635" s="99">
        <v>512.72699999999998</v>
      </c>
      <c r="L635" s="63">
        <v>88.8</v>
      </c>
      <c r="M635" s="29"/>
      <c r="N635" s="91"/>
      <c r="O635" s="63">
        <f>ROUND(ROUND(L635, 2)*K635, 2)</f>
        <v>45530.16</v>
      </c>
      <c r="P635" s="29"/>
      <c r="Q635" s="29"/>
      <c r="R635" s="28">
        <v>88.8</v>
      </c>
      <c r="S635" s="29"/>
      <c r="T635" s="29"/>
      <c r="U635" s="28">
        <f>ROUND(ROUND(R635, 2)*K635, 2)</f>
        <v>45530.16</v>
      </c>
      <c r="V635" s="29"/>
      <c r="W635" s="30"/>
    </row>
    <row r="636" spans="1:23" ht="126" x14ac:dyDescent="0.35">
      <c r="A636" s="20" t="s">
        <v>1033</v>
      </c>
      <c r="B636" s="20" t="s">
        <v>1028</v>
      </c>
      <c r="C636" s="21" t="s">
        <v>1029</v>
      </c>
      <c r="D636" s="22"/>
      <c r="E636" s="22" t="s">
        <v>1034</v>
      </c>
      <c r="F636" s="22" t="s">
        <v>55</v>
      </c>
      <c r="G636" s="23">
        <v>1</v>
      </c>
      <c r="H636" s="131"/>
      <c r="I636" s="171"/>
      <c r="J636" s="142"/>
      <c r="K636" s="98">
        <v>2789.37</v>
      </c>
      <c r="L636" s="62">
        <f>IFERROR(ROUND(SUM(O637,O638)/K636, 2),0)</f>
        <v>36.18</v>
      </c>
      <c r="M636" s="80">
        <v>546</v>
      </c>
      <c r="N636" s="90">
        <f>L636+ROUND(M636, 2)</f>
        <v>582.17999999999995</v>
      </c>
      <c r="O636" s="62">
        <f>ROUND(L636*K636, 2)</f>
        <v>100919.41</v>
      </c>
      <c r="P636" s="24">
        <f>ROUND(K636*ROUND(M636, 2), 2)</f>
        <v>1522996.02</v>
      </c>
      <c r="Q636" s="24">
        <f>O636+P636</f>
        <v>1623915.43</v>
      </c>
      <c r="R636" s="24">
        <f>IFERROR(ROUND(SUM(U637,U638)/K636, 2),0)</f>
        <v>36.18</v>
      </c>
      <c r="S636" s="24">
        <v>546</v>
      </c>
      <c r="T636" s="24">
        <f>R636+ROUND(S636, 2)</f>
        <v>582.17999999999995</v>
      </c>
      <c r="U636" s="24">
        <f>ROUND(R636*K636, 2)</f>
        <v>100919.41</v>
      </c>
      <c r="V636" s="24">
        <f>ROUND(K636*ROUND(S636, 2), 2)</f>
        <v>1522996.02</v>
      </c>
      <c r="W636" s="24">
        <f>U636+V636</f>
        <v>1623915.43</v>
      </c>
    </row>
    <row r="637" spans="1:23" ht="36" x14ac:dyDescent="0.35">
      <c r="A637" s="20" t="s">
        <v>1035</v>
      </c>
      <c r="B637" s="20"/>
      <c r="C637" s="25" t="s">
        <v>60</v>
      </c>
      <c r="D637" s="22"/>
      <c r="E637" s="22"/>
      <c r="F637" s="26" t="s">
        <v>58</v>
      </c>
      <c r="G637" s="27">
        <v>0.15</v>
      </c>
      <c r="H637" s="132"/>
      <c r="I637" s="171"/>
      <c r="J637" s="142"/>
      <c r="K637" s="99">
        <v>418.40600000000001</v>
      </c>
      <c r="L637" s="63">
        <v>88.8</v>
      </c>
      <c r="M637" s="29"/>
      <c r="N637" s="91"/>
      <c r="O637" s="63">
        <f>ROUND(ROUND(L637, 2)*K637, 2)</f>
        <v>37154.449999999997</v>
      </c>
      <c r="P637" s="29"/>
      <c r="Q637" s="29"/>
      <c r="R637" s="28">
        <v>88.8</v>
      </c>
      <c r="S637" s="29"/>
      <c r="T637" s="29"/>
      <c r="U637" s="28">
        <f>ROUND(ROUND(R637, 2)*K637, 2)</f>
        <v>37154.449999999997</v>
      </c>
      <c r="V637" s="29"/>
      <c r="W637" s="30"/>
    </row>
    <row r="638" spans="1:23" ht="54.5" thickBot="1" x14ac:dyDescent="0.4">
      <c r="A638" s="20" t="s">
        <v>1036</v>
      </c>
      <c r="B638" s="20"/>
      <c r="C638" s="14" t="s">
        <v>1012</v>
      </c>
      <c r="D638" s="22"/>
      <c r="E638" s="22"/>
      <c r="F638" s="26" t="s">
        <v>58</v>
      </c>
      <c r="G638" s="27">
        <v>1.8</v>
      </c>
      <c r="H638" s="132"/>
      <c r="I638" s="171"/>
      <c r="J638" s="145"/>
      <c r="K638" s="105">
        <v>5020.866</v>
      </c>
      <c r="L638" s="63">
        <v>12.7</v>
      </c>
      <c r="M638" s="29"/>
      <c r="N638" s="91"/>
      <c r="O638" s="63">
        <f>ROUND(ROUND(L638, 2)*K638, 2)</f>
        <v>63765</v>
      </c>
      <c r="P638" s="29"/>
      <c r="Q638" s="29"/>
      <c r="R638" s="28">
        <v>12.7</v>
      </c>
      <c r="S638" s="29"/>
      <c r="T638" s="29"/>
      <c r="U638" s="28">
        <f>ROUND(ROUND(R638, 2)*K638, 2)</f>
        <v>63765</v>
      </c>
      <c r="V638" s="29"/>
      <c r="W638" s="30"/>
    </row>
    <row r="639" spans="1:23" ht="17" customHeight="1" thickBot="1" x14ac:dyDescent="0.4">
      <c r="A639" s="8" t="s">
        <v>1037</v>
      </c>
      <c r="B639" s="8" t="s">
        <v>1038</v>
      </c>
      <c r="C639" s="92" t="s">
        <v>1039</v>
      </c>
      <c r="D639" s="93"/>
      <c r="E639" s="93"/>
      <c r="F639" s="93"/>
      <c r="G639" s="93"/>
      <c r="H639" s="93"/>
      <c r="I639" s="167"/>
      <c r="J639" s="147"/>
      <c r="K639" s="94"/>
      <c r="N639" s="88"/>
      <c r="O639" s="83">
        <f>SUM(O640,O646,O652,O658,O664,O670,O676,O682,O688,O691,O694,O697,O700,O703,O706,O709,O712,O715,O718,O721,O724,O727,O730,O733,O736,O739,O742,O745,O748,O751,O754,O757,O760,O763,O766,O769,O772,O775,O778,O781,O784,O787,O790,O793,O796,O799,O802)</f>
        <v>82642.16</v>
      </c>
      <c r="P639" s="5">
        <f>SUM(P640,P646,P652,P658,P664,P670,P676,P682,P688,P691,P694,P697,P700,P703,P706,P709,P712,P715,P718,P721,P724,P727,P730,P733,P736,P739,P742,P745,P748,P751,P754,P757,P760,P763,P766,P769,P772,P775,P778,P781,P784,P787,P790,P793,P796,P799,P802)</f>
        <v>2880303.1999999993</v>
      </c>
      <c r="Q639" s="5">
        <f>SUM(Q640,Q646,Q652,Q658,Q664,Q670,Q676,Q682,Q688,Q691,Q694,Q697,Q700,Q703,Q706,Q709,Q712,Q715,Q718,Q721,Q724,Q727,Q730,Q733,Q736,Q739,Q742,Q745,Q748,Q751,Q754,Q757,Q760,Q763,Q766,Q769,Q772,Q775,Q778,Q781,Q784,Q787,Q790,Q793,Q796,Q799,Q802)</f>
        <v>2962945.3600000008</v>
      </c>
      <c r="U639" s="5">
        <f>SUM(U640,U646,U652,U658,U664,U670,U676,U682,U688,U691,U694,U697,U700,U703,U706,U709,U712,U715,U718,U721,U724,U727,U730,U733,U736,U739,U742,U745,U748,U751,U754,U757,U760,U763,U766,U769,U772,U775,U778,U781,U784,U787,U790,U793,U796,U799,U802)</f>
        <v>82642.16</v>
      </c>
      <c r="V639" s="5">
        <f>SUM(V640,V646,V652,V658,V664,V670,V676,V682,V688,V691,V694,V697,V700,V703,V706,V709,V712,V715,V718,V721,V724,V727,V730,V733,V736,V739,V742,V745,V748,V751,V754,V757,V760,V763,V766,V769,V772,V775,V778,V781,V784,V787,V790,V793,V796,V799,V802)</f>
        <v>2880303.1999999993</v>
      </c>
      <c r="W639" s="5">
        <f>SUM(W640,W646,W652,W658,W664,W670,W676,W682,W688,W691,W694,W697,W700,W703,W706,W709,W712,W715,W718,W721,W724,W727,W730,W733,W736,W739,W742,W745,W748,W751,W754,W757,W760,W763,W766,W769,W772,W775,W778,W781,W784,W787,W790,W793,W796,W799,W802)</f>
        <v>2962945.3600000008</v>
      </c>
    </row>
    <row r="640" spans="1:23" ht="54" x14ac:dyDescent="0.35">
      <c r="A640" s="31" t="s">
        <v>1040</v>
      </c>
      <c r="B640" s="31" t="s">
        <v>1041</v>
      </c>
      <c r="C640" s="32" t="s">
        <v>1042</v>
      </c>
      <c r="D640" s="33"/>
      <c r="E640" s="33" t="s">
        <v>54</v>
      </c>
      <c r="F640" s="33" t="s">
        <v>55</v>
      </c>
      <c r="G640" s="34">
        <v>1</v>
      </c>
      <c r="H640" s="133"/>
      <c r="I640" s="171"/>
      <c r="J640" s="151"/>
      <c r="K640" s="106">
        <v>0</v>
      </c>
      <c r="L640" s="64">
        <f>IFERROR(ROUND(SUM(O642,O644)/K640, 2),0)</f>
        <v>0</v>
      </c>
      <c r="M640" s="81">
        <v>278</v>
      </c>
      <c r="N640" s="90">
        <f>L640+ROUND(M640, 2)</f>
        <v>278</v>
      </c>
      <c r="O640" s="64">
        <f>ROUND(L640*K640, 2)</f>
        <v>0</v>
      </c>
      <c r="P640" s="35">
        <f>ROUND(K640*ROUND(M640, 2), 2)</f>
        <v>0</v>
      </c>
      <c r="Q640" s="35">
        <f>O640+P640</f>
        <v>0</v>
      </c>
      <c r="R640" s="35">
        <f>IFERROR(ROUND(SUM(U642,U644)/K640, 2),0)</f>
        <v>0</v>
      </c>
      <c r="S640" s="35">
        <v>278</v>
      </c>
      <c r="T640" s="35">
        <f>R640+ROUND(S640, 2)</f>
        <v>278</v>
      </c>
      <c r="U640" s="35">
        <f>ROUND(R640*K640, 2)</f>
        <v>0</v>
      </c>
      <c r="V640" s="35">
        <f>ROUND(K640*ROUND(S640, 2), 2)</f>
        <v>0</v>
      </c>
      <c r="W640" s="35">
        <f>U640+V640</f>
        <v>0</v>
      </c>
    </row>
    <row r="641" spans="1:23" ht="54" x14ac:dyDescent="0.35">
      <c r="A641" s="36" t="s">
        <v>1043</v>
      </c>
      <c r="B641" s="36" t="s">
        <v>1041</v>
      </c>
      <c r="C641" s="37" t="s">
        <v>1042</v>
      </c>
      <c r="D641" s="38"/>
      <c r="E641" s="38"/>
      <c r="F641" s="38" t="s">
        <v>55</v>
      </c>
      <c r="G641" s="39">
        <v>1</v>
      </c>
      <c r="H641" s="134"/>
      <c r="I641" s="171"/>
      <c r="J641" s="144"/>
      <c r="K641" s="102">
        <v>260.60000000000002</v>
      </c>
      <c r="L641" s="65">
        <v>0</v>
      </c>
      <c r="M641" s="82">
        <v>278</v>
      </c>
      <c r="N641" s="90"/>
      <c r="O641" s="65">
        <v>0</v>
      </c>
      <c r="P641" s="40"/>
      <c r="Q641" s="40"/>
      <c r="R641" s="40">
        <v>0</v>
      </c>
      <c r="S641" s="40">
        <v>278</v>
      </c>
      <c r="T641" s="40"/>
      <c r="U641" s="40">
        <v>0</v>
      </c>
      <c r="V641" s="40"/>
      <c r="W641" s="40"/>
    </row>
    <row r="642" spans="1:23" ht="108" x14ac:dyDescent="0.35">
      <c r="A642" s="31" t="s">
        <v>1044</v>
      </c>
      <c r="B642" s="31"/>
      <c r="C642" s="41" t="s">
        <v>599</v>
      </c>
      <c r="D642" s="33"/>
      <c r="E642" s="33" t="s">
        <v>1045</v>
      </c>
      <c r="F642" s="42" t="s">
        <v>58</v>
      </c>
      <c r="G642" s="43">
        <v>0.3</v>
      </c>
      <c r="H642" s="135"/>
      <c r="I642" s="171"/>
      <c r="J642" s="143"/>
      <c r="K642" s="107">
        <v>0</v>
      </c>
      <c r="L642" s="66">
        <v>388.89</v>
      </c>
      <c r="M642" s="45"/>
      <c r="N642" s="91"/>
      <c r="O642" s="66">
        <f>ROUND(ROUND(L642, 2)*K642, 2)</f>
        <v>0</v>
      </c>
      <c r="P642" s="45"/>
      <c r="Q642" s="45"/>
      <c r="R642" s="44">
        <v>388.89</v>
      </c>
      <c r="S642" s="45"/>
      <c r="T642" s="45"/>
      <c r="U642" s="44">
        <f>ROUND(ROUND(R642, 2)*K642, 2)</f>
        <v>0</v>
      </c>
      <c r="V642" s="45"/>
      <c r="W642" s="46"/>
    </row>
    <row r="643" spans="1:23" ht="108" x14ac:dyDescent="0.35">
      <c r="A643" s="36" t="s">
        <v>1046</v>
      </c>
      <c r="B643" s="36"/>
      <c r="C643" s="47" t="s">
        <v>599</v>
      </c>
      <c r="D643" s="38"/>
      <c r="E643" s="38" t="s">
        <v>1045</v>
      </c>
      <c r="F643" s="48" t="s">
        <v>58</v>
      </c>
      <c r="G643" s="49">
        <v>0.3</v>
      </c>
      <c r="H643" s="136"/>
      <c r="I643" s="171"/>
      <c r="J643" s="144"/>
      <c r="K643" s="108">
        <v>78.180000000000007</v>
      </c>
      <c r="L643" s="67">
        <v>388.89</v>
      </c>
      <c r="M643" s="51"/>
      <c r="N643" s="91"/>
      <c r="O643" s="67">
        <f>ROUND(ROUND(L643, 2)*K643, 2)</f>
        <v>30403.42</v>
      </c>
      <c r="P643" s="51"/>
      <c r="Q643" s="51"/>
      <c r="R643" s="50">
        <v>388.89</v>
      </c>
      <c r="S643" s="51"/>
      <c r="T643" s="51"/>
      <c r="U643" s="50">
        <f>ROUND(ROUND(R643, 2)*K643, 2)</f>
        <v>30403.42</v>
      </c>
      <c r="V643" s="51"/>
      <c r="W643" s="52"/>
    </row>
    <row r="644" spans="1:23" ht="36" x14ac:dyDescent="0.35">
      <c r="A644" s="31" t="s">
        <v>1047</v>
      </c>
      <c r="B644" s="31"/>
      <c r="C644" s="41" t="s">
        <v>235</v>
      </c>
      <c r="D644" s="33"/>
      <c r="E644" s="33"/>
      <c r="F644" s="42" t="s">
        <v>58</v>
      </c>
      <c r="G644" s="43">
        <v>0.15</v>
      </c>
      <c r="H644" s="135"/>
      <c r="I644" s="171"/>
      <c r="J644" s="143"/>
      <c r="K644" s="107">
        <v>0</v>
      </c>
      <c r="L644" s="66">
        <v>88.8</v>
      </c>
      <c r="M644" s="45"/>
      <c r="N644" s="91"/>
      <c r="O644" s="66">
        <f>ROUND(ROUND(L644, 2)*K644, 2)</f>
        <v>0</v>
      </c>
      <c r="P644" s="45"/>
      <c r="Q644" s="45"/>
      <c r="R644" s="44">
        <v>88.8</v>
      </c>
      <c r="S644" s="45"/>
      <c r="T644" s="45"/>
      <c r="U644" s="44">
        <f>ROUND(ROUND(R644, 2)*K644, 2)</f>
        <v>0</v>
      </c>
      <c r="V644" s="45"/>
      <c r="W644" s="46"/>
    </row>
    <row r="645" spans="1:23" ht="36" x14ac:dyDescent="0.35">
      <c r="A645" s="36" t="s">
        <v>1048</v>
      </c>
      <c r="B645" s="36"/>
      <c r="C645" s="47" t="s">
        <v>235</v>
      </c>
      <c r="D645" s="38"/>
      <c r="E645" s="38"/>
      <c r="F645" s="48" t="s">
        <v>58</v>
      </c>
      <c r="G645" s="49">
        <v>0.15</v>
      </c>
      <c r="H645" s="136"/>
      <c r="I645" s="171"/>
      <c r="J645" s="144"/>
      <c r="K645" s="108">
        <v>39.090000000000003</v>
      </c>
      <c r="L645" s="67">
        <v>88.8</v>
      </c>
      <c r="M645" s="51"/>
      <c r="N645" s="91"/>
      <c r="O645" s="67">
        <f>ROUND(ROUND(L645, 2)*K645, 2)</f>
        <v>3471.19</v>
      </c>
      <c r="P645" s="51"/>
      <c r="Q645" s="51"/>
      <c r="R645" s="50">
        <v>88.8</v>
      </c>
      <c r="S645" s="51"/>
      <c r="T645" s="51"/>
      <c r="U645" s="50">
        <f>ROUND(ROUND(R645, 2)*K645, 2)</f>
        <v>3471.19</v>
      </c>
      <c r="V645" s="51"/>
      <c r="W645" s="52"/>
    </row>
    <row r="646" spans="1:23" ht="54" x14ac:dyDescent="0.35">
      <c r="A646" s="31" t="s">
        <v>1049</v>
      </c>
      <c r="B646" s="31" t="s">
        <v>1041</v>
      </c>
      <c r="C646" s="32" t="s">
        <v>1042</v>
      </c>
      <c r="D646" s="33"/>
      <c r="E646" s="33" t="s">
        <v>54</v>
      </c>
      <c r="F646" s="33" t="s">
        <v>55</v>
      </c>
      <c r="G646" s="34">
        <v>1</v>
      </c>
      <c r="H646" s="133"/>
      <c r="I646" s="171"/>
      <c r="J646" s="143"/>
      <c r="K646" s="101">
        <v>0</v>
      </c>
      <c r="L646" s="64">
        <f>IFERROR(ROUND(SUM(O648,O650)/K646, 2),0)</f>
        <v>0</v>
      </c>
      <c r="M646" s="81">
        <v>278</v>
      </c>
      <c r="N646" s="90">
        <f>L646+ROUND(M646, 2)</f>
        <v>278</v>
      </c>
      <c r="O646" s="64">
        <f>ROUND(L646*K646, 2)</f>
        <v>0</v>
      </c>
      <c r="P646" s="35">
        <f>ROUND(K646*ROUND(M646, 2), 2)</f>
        <v>0</v>
      </c>
      <c r="Q646" s="35">
        <f>O646+P646</f>
        <v>0</v>
      </c>
      <c r="R646" s="35">
        <f>IFERROR(ROUND(SUM(U648,U650)/K646, 2),0)</f>
        <v>0</v>
      </c>
      <c r="S646" s="35">
        <v>278</v>
      </c>
      <c r="T646" s="35">
        <f>R646+ROUND(S646, 2)</f>
        <v>278</v>
      </c>
      <c r="U646" s="35">
        <f>ROUND(R646*K646, 2)</f>
        <v>0</v>
      </c>
      <c r="V646" s="35">
        <f>ROUND(K646*ROUND(S646, 2), 2)</f>
        <v>0</v>
      </c>
      <c r="W646" s="35">
        <f>U646+V646</f>
        <v>0</v>
      </c>
    </row>
    <row r="647" spans="1:23" ht="54" x14ac:dyDescent="0.35">
      <c r="A647" s="36" t="s">
        <v>1050</v>
      </c>
      <c r="B647" s="36" t="s">
        <v>1041</v>
      </c>
      <c r="C647" s="37" t="s">
        <v>1042</v>
      </c>
      <c r="D647" s="38"/>
      <c r="E647" s="38"/>
      <c r="F647" s="38" t="s">
        <v>55</v>
      </c>
      <c r="G647" s="39">
        <v>1</v>
      </c>
      <c r="H647" s="134"/>
      <c r="I647" s="171"/>
      <c r="J647" s="144"/>
      <c r="K647" s="102">
        <v>45</v>
      </c>
      <c r="L647" s="65">
        <v>0</v>
      </c>
      <c r="M647" s="82">
        <v>278</v>
      </c>
      <c r="N647" s="90"/>
      <c r="O647" s="65">
        <v>0</v>
      </c>
      <c r="P647" s="40"/>
      <c r="Q647" s="40"/>
      <c r="R647" s="40">
        <v>0</v>
      </c>
      <c r="S647" s="40">
        <v>278</v>
      </c>
      <c r="T647" s="40"/>
      <c r="U647" s="40">
        <v>0</v>
      </c>
      <c r="V647" s="40"/>
      <c r="W647" s="40"/>
    </row>
    <row r="648" spans="1:23" ht="36" x14ac:dyDescent="0.35">
      <c r="A648" s="31" t="s">
        <v>1051</v>
      </c>
      <c r="B648" s="31"/>
      <c r="C648" s="41" t="s">
        <v>235</v>
      </c>
      <c r="D648" s="33"/>
      <c r="E648" s="33"/>
      <c r="F648" s="42" t="s">
        <v>58</v>
      </c>
      <c r="G648" s="43">
        <v>0.15</v>
      </c>
      <c r="H648" s="135"/>
      <c r="I648" s="171"/>
      <c r="J648" s="143"/>
      <c r="K648" s="107">
        <v>0</v>
      </c>
      <c r="L648" s="66">
        <v>88.8</v>
      </c>
      <c r="M648" s="45"/>
      <c r="N648" s="91"/>
      <c r="O648" s="66">
        <f>ROUND(ROUND(L648, 2)*K648, 2)</f>
        <v>0</v>
      </c>
      <c r="P648" s="45"/>
      <c r="Q648" s="45"/>
      <c r="R648" s="44">
        <v>88.8</v>
      </c>
      <c r="S648" s="45"/>
      <c r="T648" s="45"/>
      <c r="U648" s="44">
        <f>ROUND(ROUND(R648, 2)*K648, 2)</f>
        <v>0</v>
      </c>
      <c r="V648" s="45"/>
      <c r="W648" s="46"/>
    </row>
    <row r="649" spans="1:23" ht="36" x14ac:dyDescent="0.35">
      <c r="A649" s="36" t="s">
        <v>1052</v>
      </c>
      <c r="B649" s="36"/>
      <c r="C649" s="47" t="s">
        <v>235</v>
      </c>
      <c r="D649" s="38"/>
      <c r="E649" s="38"/>
      <c r="F649" s="48" t="s">
        <v>58</v>
      </c>
      <c r="G649" s="49">
        <v>0.15</v>
      </c>
      <c r="H649" s="136"/>
      <c r="I649" s="171"/>
      <c r="J649" s="144"/>
      <c r="K649" s="108">
        <v>6.75</v>
      </c>
      <c r="L649" s="67">
        <v>88.8</v>
      </c>
      <c r="M649" s="51"/>
      <c r="N649" s="91"/>
      <c r="O649" s="67">
        <f>ROUND(ROUND(L649, 2)*K649, 2)</f>
        <v>599.4</v>
      </c>
      <c r="P649" s="51"/>
      <c r="Q649" s="51"/>
      <c r="R649" s="50">
        <v>88.8</v>
      </c>
      <c r="S649" s="51"/>
      <c r="T649" s="51"/>
      <c r="U649" s="50">
        <f>ROUND(ROUND(R649, 2)*K649, 2)</f>
        <v>599.4</v>
      </c>
      <c r="V649" s="51"/>
      <c r="W649" s="52"/>
    </row>
    <row r="650" spans="1:23" ht="54" x14ac:dyDescent="0.35">
      <c r="A650" s="31" t="s">
        <v>1053</v>
      </c>
      <c r="B650" s="31"/>
      <c r="C650" s="41" t="s">
        <v>1054</v>
      </c>
      <c r="D650" s="33"/>
      <c r="E650" s="33" t="s">
        <v>1055</v>
      </c>
      <c r="F650" s="42" t="s">
        <v>58</v>
      </c>
      <c r="G650" s="43">
        <v>0.3</v>
      </c>
      <c r="H650" s="135"/>
      <c r="I650" s="171"/>
      <c r="J650" s="143"/>
      <c r="K650" s="107">
        <v>0</v>
      </c>
      <c r="L650" s="66">
        <v>226.67</v>
      </c>
      <c r="M650" s="45"/>
      <c r="N650" s="91"/>
      <c r="O650" s="66">
        <f>ROUND(ROUND(L650, 2)*K650, 2)</f>
        <v>0</v>
      </c>
      <c r="P650" s="45"/>
      <c r="Q650" s="45"/>
      <c r="R650" s="44">
        <v>226.67</v>
      </c>
      <c r="S650" s="45"/>
      <c r="T650" s="45"/>
      <c r="U650" s="44">
        <f>ROUND(ROUND(R650, 2)*K650, 2)</f>
        <v>0</v>
      </c>
      <c r="V650" s="45"/>
      <c r="W650" s="46"/>
    </row>
    <row r="651" spans="1:23" ht="54" x14ac:dyDescent="0.35">
      <c r="A651" s="36" t="s">
        <v>1056</v>
      </c>
      <c r="B651" s="36"/>
      <c r="C651" s="47" t="s">
        <v>1054</v>
      </c>
      <c r="D651" s="38"/>
      <c r="E651" s="38" t="s">
        <v>1055</v>
      </c>
      <c r="F651" s="48" t="s">
        <v>58</v>
      </c>
      <c r="G651" s="49">
        <v>0.3</v>
      </c>
      <c r="H651" s="136"/>
      <c r="I651" s="171"/>
      <c r="J651" s="144"/>
      <c r="K651" s="108">
        <v>13.5</v>
      </c>
      <c r="L651" s="67">
        <v>226.67</v>
      </c>
      <c r="M651" s="51"/>
      <c r="N651" s="91"/>
      <c r="O651" s="67">
        <f>ROUND(ROUND(L651, 2)*K651, 2)</f>
        <v>3060.05</v>
      </c>
      <c r="P651" s="51"/>
      <c r="Q651" s="51"/>
      <c r="R651" s="50">
        <v>226.67</v>
      </c>
      <c r="S651" s="51"/>
      <c r="T651" s="51"/>
      <c r="U651" s="50">
        <f>ROUND(ROUND(R651, 2)*K651, 2)</f>
        <v>3060.05</v>
      </c>
      <c r="V651" s="51"/>
      <c r="W651" s="52"/>
    </row>
    <row r="652" spans="1:23" ht="54" x14ac:dyDescent="0.35">
      <c r="A652" s="31" t="s">
        <v>1057</v>
      </c>
      <c r="B652" s="31" t="s">
        <v>1041</v>
      </c>
      <c r="C652" s="32" t="s">
        <v>1042</v>
      </c>
      <c r="D652" s="33"/>
      <c r="E652" s="33" t="s">
        <v>54</v>
      </c>
      <c r="F652" s="33" t="s">
        <v>55</v>
      </c>
      <c r="G652" s="34">
        <v>1</v>
      </c>
      <c r="H652" s="133"/>
      <c r="I652" s="171"/>
      <c r="J652" s="143"/>
      <c r="K652" s="101">
        <v>0</v>
      </c>
      <c r="L652" s="64">
        <f>IFERROR(ROUND(SUM(O654,O656)/K652, 2),0)</f>
        <v>0</v>
      </c>
      <c r="M652" s="81">
        <v>278</v>
      </c>
      <c r="N652" s="90">
        <f>L652+ROUND(M652, 2)</f>
        <v>278</v>
      </c>
      <c r="O652" s="64">
        <f>ROUND(L652*K652, 2)</f>
        <v>0</v>
      </c>
      <c r="P652" s="35">
        <f>ROUND(K652*ROUND(M652, 2), 2)</f>
        <v>0</v>
      </c>
      <c r="Q652" s="35">
        <f>O652+P652</f>
        <v>0</v>
      </c>
      <c r="R652" s="35">
        <f>IFERROR(ROUND(SUM(U654,U656)/K652, 2),0)</f>
        <v>0</v>
      </c>
      <c r="S652" s="35">
        <v>278</v>
      </c>
      <c r="T652" s="35">
        <f>R652+ROUND(S652, 2)</f>
        <v>278</v>
      </c>
      <c r="U652" s="35">
        <f>ROUND(R652*K652, 2)</f>
        <v>0</v>
      </c>
      <c r="V652" s="35">
        <f>ROUND(K652*ROUND(S652, 2), 2)</f>
        <v>0</v>
      </c>
      <c r="W652" s="35">
        <f>U652+V652</f>
        <v>0</v>
      </c>
    </row>
    <row r="653" spans="1:23" ht="54" x14ac:dyDescent="0.35">
      <c r="A653" s="36" t="s">
        <v>1058</v>
      </c>
      <c r="B653" s="36" t="s">
        <v>1041</v>
      </c>
      <c r="C653" s="37" t="s">
        <v>1042</v>
      </c>
      <c r="D653" s="38"/>
      <c r="E653" s="38"/>
      <c r="F653" s="38" t="s">
        <v>55</v>
      </c>
      <c r="G653" s="39">
        <v>1</v>
      </c>
      <c r="H653" s="134"/>
      <c r="I653" s="171"/>
      <c r="J653" s="144"/>
      <c r="K653" s="102">
        <v>1174.7</v>
      </c>
      <c r="L653" s="65">
        <v>0</v>
      </c>
      <c r="M653" s="82">
        <v>278</v>
      </c>
      <c r="N653" s="90"/>
      <c r="O653" s="65">
        <v>0</v>
      </c>
      <c r="P653" s="40"/>
      <c r="Q653" s="40"/>
      <c r="R653" s="40">
        <v>0</v>
      </c>
      <c r="S653" s="40">
        <v>278</v>
      </c>
      <c r="T653" s="40"/>
      <c r="U653" s="40">
        <v>0</v>
      </c>
      <c r="V653" s="40"/>
      <c r="W653" s="40"/>
    </row>
    <row r="654" spans="1:23" ht="36" x14ac:dyDescent="0.35">
      <c r="A654" s="31" t="s">
        <v>1059</v>
      </c>
      <c r="B654" s="31"/>
      <c r="C654" s="41" t="s">
        <v>235</v>
      </c>
      <c r="D654" s="33"/>
      <c r="E654" s="33"/>
      <c r="F654" s="42" t="s">
        <v>58</v>
      </c>
      <c r="G654" s="43">
        <v>0.15</v>
      </c>
      <c r="H654" s="135"/>
      <c r="I654" s="171"/>
      <c r="J654" s="143"/>
      <c r="K654" s="107">
        <v>0</v>
      </c>
      <c r="L654" s="66">
        <v>88.8</v>
      </c>
      <c r="M654" s="45"/>
      <c r="N654" s="91"/>
      <c r="O654" s="66">
        <f>ROUND(ROUND(L654, 2)*K654, 2)</f>
        <v>0</v>
      </c>
      <c r="P654" s="45"/>
      <c r="Q654" s="45"/>
      <c r="R654" s="44">
        <v>88.8</v>
      </c>
      <c r="S654" s="45"/>
      <c r="T654" s="45"/>
      <c r="U654" s="44">
        <f>ROUND(ROUND(R654, 2)*K654, 2)</f>
        <v>0</v>
      </c>
      <c r="V654" s="45"/>
      <c r="W654" s="46"/>
    </row>
    <row r="655" spans="1:23" ht="36" x14ac:dyDescent="0.35">
      <c r="A655" s="36" t="s">
        <v>1060</v>
      </c>
      <c r="B655" s="36"/>
      <c r="C655" s="47" t="s">
        <v>235</v>
      </c>
      <c r="D655" s="38"/>
      <c r="E655" s="38"/>
      <c r="F655" s="48" t="s">
        <v>58</v>
      </c>
      <c r="G655" s="49">
        <v>0.15</v>
      </c>
      <c r="H655" s="136"/>
      <c r="I655" s="171"/>
      <c r="J655" s="144"/>
      <c r="K655" s="108">
        <v>176.20500000000001</v>
      </c>
      <c r="L655" s="67">
        <v>88.8</v>
      </c>
      <c r="M655" s="51"/>
      <c r="N655" s="91"/>
      <c r="O655" s="67">
        <f>ROUND(ROUND(L655, 2)*K655, 2)</f>
        <v>15647</v>
      </c>
      <c r="P655" s="51"/>
      <c r="Q655" s="51"/>
      <c r="R655" s="50">
        <v>88.8</v>
      </c>
      <c r="S655" s="51"/>
      <c r="T655" s="51"/>
      <c r="U655" s="50">
        <f>ROUND(ROUND(R655, 2)*K655, 2)</f>
        <v>15647</v>
      </c>
      <c r="V655" s="51"/>
      <c r="W655" s="52"/>
    </row>
    <row r="656" spans="1:23" ht="54" x14ac:dyDescent="0.35">
      <c r="A656" s="31" t="s">
        <v>1061</v>
      </c>
      <c r="B656" s="31"/>
      <c r="C656" s="41" t="s">
        <v>1054</v>
      </c>
      <c r="D656" s="33"/>
      <c r="E656" s="33" t="s">
        <v>1062</v>
      </c>
      <c r="F656" s="42" t="s">
        <v>58</v>
      </c>
      <c r="G656" s="43">
        <v>0.3</v>
      </c>
      <c r="H656" s="135"/>
      <c r="I656" s="171"/>
      <c r="J656" s="143"/>
      <c r="K656" s="107">
        <v>0</v>
      </c>
      <c r="L656" s="66">
        <v>226.67</v>
      </c>
      <c r="M656" s="45"/>
      <c r="N656" s="91"/>
      <c r="O656" s="66">
        <f>ROUND(ROUND(L656, 2)*K656, 2)</f>
        <v>0</v>
      </c>
      <c r="P656" s="45"/>
      <c r="Q656" s="45"/>
      <c r="R656" s="44">
        <v>226.67</v>
      </c>
      <c r="S656" s="45"/>
      <c r="T656" s="45"/>
      <c r="U656" s="44">
        <f>ROUND(ROUND(R656, 2)*K656, 2)</f>
        <v>0</v>
      </c>
      <c r="V656" s="45"/>
      <c r="W656" s="46"/>
    </row>
    <row r="657" spans="1:23" ht="54" x14ac:dyDescent="0.35">
      <c r="A657" s="36" t="s">
        <v>1063</v>
      </c>
      <c r="B657" s="36"/>
      <c r="C657" s="47" t="s">
        <v>1054</v>
      </c>
      <c r="D657" s="38"/>
      <c r="E657" s="38" t="s">
        <v>1062</v>
      </c>
      <c r="F657" s="48" t="s">
        <v>58</v>
      </c>
      <c r="G657" s="49">
        <v>0.3</v>
      </c>
      <c r="H657" s="136"/>
      <c r="I657" s="171"/>
      <c r="J657" s="144"/>
      <c r="K657" s="108">
        <v>352.41</v>
      </c>
      <c r="L657" s="67">
        <v>226.67</v>
      </c>
      <c r="M657" s="51"/>
      <c r="N657" s="91"/>
      <c r="O657" s="67">
        <f>ROUND(ROUND(L657, 2)*K657, 2)</f>
        <v>79880.77</v>
      </c>
      <c r="P657" s="51"/>
      <c r="Q657" s="51"/>
      <c r="R657" s="50">
        <v>226.67</v>
      </c>
      <c r="S657" s="51"/>
      <c r="T657" s="51"/>
      <c r="U657" s="50">
        <f>ROUND(ROUND(R657, 2)*K657, 2)</f>
        <v>79880.77</v>
      </c>
      <c r="V657" s="51"/>
      <c r="W657" s="52"/>
    </row>
    <row r="658" spans="1:23" ht="54" x14ac:dyDescent="0.35">
      <c r="A658" s="31" t="s">
        <v>1064</v>
      </c>
      <c r="B658" s="31" t="s">
        <v>1041</v>
      </c>
      <c r="C658" s="32" t="s">
        <v>1042</v>
      </c>
      <c r="D658" s="33"/>
      <c r="E658" s="33" t="s">
        <v>54</v>
      </c>
      <c r="F658" s="33" t="s">
        <v>55</v>
      </c>
      <c r="G658" s="34">
        <v>1</v>
      </c>
      <c r="H658" s="133"/>
      <c r="I658" s="171"/>
      <c r="J658" s="143"/>
      <c r="K658" s="101">
        <v>0</v>
      </c>
      <c r="L658" s="64">
        <f>IFERROR(ROUND(SUM(O660,O662)/K658, 2),0)</f>
        <v>0</v>
      </c>
      <c r="M658" s="81">
        <v>278</v>
      </c>
      <c r="N658" s="90">
        <f>L658+ROUND(M658, 2)</f>
        <v>278</v>
      </c>
      <c r="O658" s="64">
        <f>ROUND(L658*K658, 2)</f>
        <v>0</v>
      </c>
      <c r="P658" s="35">
        <f>ROUND(K658*ROUND(M658, 2), 2)</f>
        <v>0</v>
      </c>
      <c r="Q658" s="35">
        <f>O658+P658</f>
        <v>0</v>
      </c>
      <c r="R658" s="35">
        <f>IFERROR(ROUND(SUM(U660,U662)/K658, 2),0)</f>
        <v>0</v>
      </c>
      <c r="S658" s="35">
        <v>278</v>
      </c>
      <c r="T658" s="35">
        <f>R658+ROUND(S658, 2)</f>
        <v>278</v>
      </c>
      <c r="U658" s="35">
        <f>ROUND(R658*K658, 2)</f>
        <v>0</v>
      </c>
      <c r="V658" s="35">
        <f>ROUND(K658*ROUND(S658, 2), 2)</f>
        <v>0</v>
      </c>
      <c r="W658" s="35">
        <f>U658+V658</f>
        <v>0</v>
      </c>
    </row>
    <row r="659" spans="1:23" ht="54" x14ac:dyDescent="0.35">
      <c r="A659" s="36" t="s">
        <v>1065</v>
      </c>
      <c r="B659" s="36" t="s">
        <v>1041</v>
      </c>
      <c r="C659" s="37" t="s">
        <v>1042</v>
      </c>
      <c r="D659" s="38"/>
      <c r="E659" s="38"/>
      <c r="F659" s="38" t="s">
        <v>55</v>
      </c>
      <c r="G659" s="39">
        <v>1</v>
      </c>
      <c r="H659" s="134"/>
      <c r="I659" s="171"/>
      <c r="J659" s="144"/>
      <c r="K659" s="102">
        <v>127.1</v>
      </c>
      <c r="L659" s="65">
        <v>0</v>
      </c>
      <c r="M659" s="82">
        <v>278</v>
      </c>
      <c r="N659" s="90"/>
      <c r="O659" s="65">
        <v>0</v>
      </c>
      <c r="P659" s="40"/>
      <c r="Q659" s="40"/>
      <c r="R659" s="40">
        <v>0</v>
      </c>
      <c r="S659" s="40">
        <v>278</v>
      </c>
      <c r="T659" s="40"/>
      <c r="U659" s="40">
        <v>0</v>
      </c>
      <c r="V659" s="40"/>
      <c r="W659" s="40"/>
    </row>
    <row r="660" spans="1:23" ht="36" x14ac:dyDescent="0.35">
      <c r="A660" s="31" t="s">
        <v>1066</v>
      </c>
      <c r="B660" s="31"/>
      <c r="C660" s="41" t="s">
        <v>235</v>
      </c>
      <c r="D660" s="33"/>
      <c r="E660" s="33"/>
      <c r="F660" s="42" t="s">
        <v>58</v>
      </c>
      <c r="G660" s="43">
        <v>0.15</v>
      </c>
      <c r="H660" s="135"/>
      <c r="I660" s="171"/>
      <c r="J660" s="143"/>
      <c r="K660" s="107">
        <v>0</v>
      </c>
      <c r="L660" s="66">
        <v>88.8</v>
      </c>
      <c r="M660" s="45"/>
      <c r="N660" s="91"/>
      <c r="O660" s="66">
        <f>ROUND(ROUND(L660, 2)*K660, 2)</f>
        <v>0</v>
      </c>
      <c r="P660" s="45"/>
      <c r="Q660" s="45"/>
      <c r="R660" s="44">
        <v>88.8</v>
      </c>
      <c r="S660" s="45"/>
      <c r="T660" s="45"/>
      <c r="U660" s="44">
        <f>ROUND(ROUND(R660, 2)*K660, 2)</f>
        <v>0</v>
      </c>
      <c r="V660" s="45"/>
      <c r="W660" s="46"/>
    </row>
    <row r="661" spans="1:23" ht="36" x14ac:dyDescent="0.35">
      <c r="A661" s="36" t="s">
        <v>1067</v>
      </c>
      <c r="B661" s="36"/>
      <c r="C661" s="47" t="s">
        <v>235</v>
      </c>
      <c r="D661" s="38"/>
      <c r="E661" s="38"/>
      <c r="F661" s="48" t="s">
        <v>58</v>
      </c>
      <c r="G661" s="49">
        <v>0.15</v>
      </c>
      <c r="H661" s="136"/>
      <c r="I661" s="171"/>
      <c r="J661" s="144"/>
      <c r="K661" s="108">
        <v>19.065000000000001</v>
      </c>
      <c r="L661" s="67">
        <v>88.8</v>
      </c>
      <c r="M661" s="51"/>
      <c r="N661" s="91"/>
      <c r="O661" s="67">
        <f>ROUND(ROUND(L661, 2)*K661, 2)</f>
        <v>1692.97</v>
      </c>
      <c r="P661" s="51"/>
      <c r="Q661" s="51"/>
      <c r="R661" s="50">
        <v>88.8</v>
      </c>
      <c r="S661" s="51"/>
      <c r="T661" s="51"/>
      <c r="U661" s="50">
        <f>ROUND(ROUND(R661, 2)*K661, 2)</f>
        <v>1692.97</v>
      </c>
      <c r="V661" s="51"/>
      <c r="W661" s="52"/>
    </row>
    <row r="662" spans="1:23" ht="54" x14ac:dyDescent="0.35">
      <c r="A662" s="31" t="s">
        <v>1068</v>
      </c>
      <c r="B662" s="31"/>
      <c r="C662" s="41" t="s">
        <v>1054</v>
      </c>
      <c r="D662" s="33"/>
      <c r="E662" s="33" t="s">
        <v>1069</v>
      </c>
      <c r="F662" s="42" t="s">
        <v>58</v>
      </c>
      <c r="G662" s="43">
        <v>0.3</v>
      </c>
      <c r="H662" s="135"/>
      <c r="I662" s="171"/>
      <c r="J662" s="143"/>
      <c r="K662" s="107">
        <v>0</v>
      </c>
      <c r="L662" s="66">
        <v>226.67</v>
      </c>
      <c r="M662" s="45"/>
      <c r="N662" s="91"/>
      <c r="O662" s="66">
        <f>ROUND(ROUND(L662, 2)*K662, 2)</f>
        <v>0</v>
      </c>
      <c r="P662" s="45"/>
      <c r="Q662" s="45"/>
      <c r="R662" s="44">
        <v>226.67</v>
      </c>
      <c r="S662" s="45"/>
      <c r="T662" s="45"/>
      <c r="U662" s="44">
        <f>ROUND(ROUND(R662, 2)*K662, 2)</f>
        <v>0</v>
      </c>
      <c r="V662" s="45"/>
      <c r="W662" s="46"/>
    </row>
    <row r="663" spans="1:23" ht="54" x14ac:dyDescent="0.35">
      <c r="A663" s="36" t="s">
        <v>1070</v>
      </c>
      <c r="B663" s="36"/>
      <c r="C663" s="47" t="s">
        <v>1054</v>
      </c>
      <c r="D663" s="38"/>
      <c r="E663" s="38" t="s">
        <v>1069</v>
      </c>
      <c r="F663" s="48" t="s">
        <v>58</v>
      </c>
      <c r="G663" s="49">
        <v>0.3</v>
      </c>
      <c r="H663" s="136"/>
      <c r="I663" s="171"/>
      <c r="J663" s="144"/>
      <c r="K663" s="108">
        <v>38.130000000000003</v>
      </c>
      <c r="L663" s="67">
        <v>226.67</v>
      </c>
      <c r="M663" s="51"/>
      <c r="N663" s="91"/>
      <c r="O663" s="67">
        <f>ROUND(ROUND(L663, 2)*K663, 2)</f>
        <v>8642.93</v>
      </c>
      <c r="P663" s="51"/>
      <c r="Q663" s="51"/>
      <c r="R663" s="50">
        <v>226.67</v>
      </c>
      <c r="S663" s="51"/>
      <c r="T663" s="51"/>
      <c r="U663" s="50">
        <f>ROUND(ROUND(R663, 2)*K663, 2)</f>
        <v>8642.93</v>
      </c>
      <c r="V663" s="51"/>
      <c r="W663" s="52"/>
    </row>
    <row r="664" spans="1:23" ht="54" x14ac:dyDescent="0.35">
      <c r="A664" s="31" t="s">
        <v>1071</v>
      </c>
      <c r="B664" s="31" t="s">
        <v>1041</v>
      </c>
      <c r="C664" s="32" t="s">
        <v>1042</v>
      </c>
      <c r="D664" s="33"/>
      <c r="E664" s="33" t="s">
        <v>54</v>
      </c>
      <c r="F664" s="33" t="s">
        <v>55</v>
      </c>
      <c r="G664" s="34">
        <v>1</v>
      </c>
      <c r="H664" s="133"/>
      <c r="I664" s="171"/>
      <c r="J664" s="143"/>
      <c r="K664" s="101">
        <v>0</v>
      </c>
      <c r="L664" s="64">
        <f>IFERROR(ROUND(SUM(O666,O668)/K664, 2),0)</f>
        <v>0</v>
      </c>
      <c r="M664" s="81">
        <v>278</v>
      </c>
      <c r="N664" s="90">
        <f>L664+ROUND(M664, 2)</f>
        <v>278</v>
      </c>
      <c r="O664" s="64">
        <f>ROUND(L664*K664, 2)</f>
        <v>0</v>
      </c>
      <c r="P664" s="35">
        <f>ROUND(K664*ROUND(M664, 2), 2)</f>
        <v>0</v>
      </c>
      <c r="Q664" s="35">
        <f>O664+P664</f>
        <v>0</v>
      </c>
      <c r="R664" s="35">
        <f>IFERROR(ROUND(SUM(U666,U668)/K664, 2),0)</f>
        <v>0</v>
      </c>
      <c r="S664" s="35">
        <v>278</v>
      </c>
      <c r="T664" s="35">
        <f>R664+ROUND(S664, 2)</f>
        <v>278</v>
      </c>
      <c r="U664" s="35">
        <f>ROUND(R664*K664, 2)</f>
        <v>0</v>
      </c>
      <c r="V664" s="35">
        <f>ROUND(K664*ROUND(S664, 2), 2)</f>
        <v>0</v>
      </c>
      <c r="W664" s="35">
        <f>U664+V664</f>
        <v>0</v>
      </c>
    </row>
    <row r="665" spans="1:23" ht="54" x14ac:dyDescent="0.35">
      <c r="A665" s="36" t="s">
        <v>1072</v>
      </c>
      <c r="B665" s="36" t="s">
        <v>1041</v>
      </c>
      <c r="C665" s="37" t="s">
        <v>1042</v>
      </c>
      <c r="D665" s="38"/>
      <c r="E665" s="38"/>
      <c r="F665" s="38" t="s">
        <v>55</v>
      </c>
      <c r="G665" s="39">
        <v>1</v>
      </c>
      <c r="H665" s="134"/>
      <c r="I665" s="171"/>
      <c r="J665" s="144"/>
      <c r="K665" s="102">
        <v>69.2</v>
      </c>
      <c r="L665" s="65">
        <v>0</v>
      </c>
      <c r="M665" s="82">
        <v>278</v>
      </c>
      <c r="N665" s="90"/>
      <c r="O665" s="65">
        <v>0</v>
      </c>
      <c r="P665" s="40"/>
      <c r="Q665" s="40"/>
      <c r="R665" s="40">
        <v>0</v>
      </c>
      <c r="S665" s="40">
        <v>278</v>
      </c>
      <c r="T665" s="40"/>
      <c r="U665" s="40">
        <v>0</v>
      </c>
      <c r="V665" s="40"/>
      <c r="W665" s="40"/>
    </row>
    <row r="666" spans="1:23" ht="36" x14ac:dyDescent="0.35">
      <c r="A666" s="31" t="s">
        <v>1073</v>
      </c>
      <c r="B666" s="31"/>
      <c r="C666" s="41" t="s">
        <v>235</v>
      </c>
      <c r="D666" s="33"/>
      <c r="E666" s="33"/>
      <c r="F666" s="42" t="s">
        <v>58</v>
      </c>
      <c r="G666" s="43">
        <v>0.15</v>
      </c>
      <c r="H666" s="135"/>
      <c r="I666" s="171"/>
      <c r="J666" s="143"/>
      <c r="K666" s="107">
        <v>0</v>
      </c>
      <c r="L666" s="66">
        <v>88.8</v>
      </c>
      <c r="M666" s="45"/>
      <c r="N666" s="91"/>
      <c r="O666" s="66">
        <f>ROUND(ROUND(L666, 2)*K666, 2)</f>
        <v>0</v>
      </c>
      <c r="P666" s="45"/>
      <c r="Q666" s="45"/>
      <c r="R666" s="44">
        <v>88.8</v>
      </c>
      <c r="S666" s="45"/>
      <c r="T666" s="45"/>
      <c r="U666" s="44">
        <f>ROUND(ROUND(R666, 2)*K666, 2)</f>
        <v>0</v>
      </c>
      <c r="V666" s="45"/>
      <c r="W666" s="46"/>
    </row>
    <row r="667" spans="1:23" ht="36" x14ac:dyDescent="0.35">
      <c r="A667" s="36" t="s">
        <v>1074</v>
      </c>
      <c r="B667" s="36"/>
      <c r="C667" s="47" t="s">
        <v>235</v>
      </c>
      <c r="D667" s="38"/>
      <c r="E667" s="38"/>
      <c r="F667" s="48" t="s">
        <v>58</v>
      </c>
      <c r="G667" s="49">
        <v>0.15</v>
      </c>
      <c r="H667" s="136"/>
      <c r="I667" s="171"/>
      <c r="J667" s="144"/>
      <c r="K667" s="108">
        <v>10.38</v>
      </c>
      <c r="L667" s="67">
        <v>88.8</v>
      </c>
      <c r="M667" s="51"/>
      <c r="N667" s="91"/>
      <c r="O667" s="67">
        <f>ROUND(ROUND(L667, 2)*K667, 2)</f>
        <v>921.74</v>
      </c>
      <c r="P667" s="51"/>
      <c r="Q667" s="51"/>
      <c r="R667" s="50">
        <v>88.8</v>
      </c>
      <c r="S667" s="51"/>
      <c r="T667" s="51"/>
      <c r="U667" s="50">
        <f>ROUND(ROUND(R667, 2)*K667, 2)</f>
        <v>921.74</v>
      </c>
      <c r="V667" s="51"/>
      <c r="W667" s="52"/>
    </row>
    <row r="668" spans="1:23" ht="54" x14ac:dyDescent="0.35">
      <c r="A668" s="31" t="s">
        <v>1075</v>
      </c>
      <c r="B668" s="31"/>
      <c r="C668" s="41" t="s">
        <v>1054</v>
      </c>
      <c r="D668" s="33"/>
      <c r="E668" s="33" t="s">
        <v>1076</v>
      </c>
      <c r="F668" s="42" t="s">
        <v>58</v>
      </c>
      <c r="G668" s="43">
        <v>0.3</v>
      </c>
      <c r="H668" s="135"/>
      <c r="I668" s="171"/>
      <c r="J668" s="143"/>
      <c r="K668" s="107">
        <v>0</v>
      </c>
      <c r="L668" s="66">
        <v>226.67</v>
      </c>
      <c r="M668" s="45"/>
      <c r="N668" s="91"/>
      <c r="O668" s="66">
        <f>ROUND(ROUND(L668, 2)*K668, 2)</f>
        <v>0</v>
      </c>
      <c r="P668" s="45"/>
      <c r="Q668" s="45"/>
      <c r="R668" s="44">
        <v>226.67</v>
      </c>
      <c r="S668" s="45"/>
      <c r="T668" s="45"/>
      <c r="U668" s="44">
        <f>ROUND(ROUND(R668, 2)*K668, 2)</f>
        <v>0</v>
      </c>
      <c r="V668" s="45"/>
      <c r="W668" s="46"/>
    </row>
    <row r="669" spans="1:23" ht="54" x14ac:dyDescent="0.35">
      <c r="A669" s="36" t="s">
        <v>1077</v>
      </c>
      <c r="B669" s="36"/>
      <c r="C669" s="47" t="s">
        <v>1054</v>
      </c>
      <c r="D669" s="38"/>
      <c r="E669" s="38" t="s">
        <v>1076</v>
      </c>
      <c r="F669" s="48" t="s">
        <v>58</v>
      </c>
      <c r="G669" s="49">
        <v>0.3</v>
      </c>
      <c r="H669" s="136"/>
      <c r="I669" s="171"/>
      <c r="J669" s="144"/>
      <c r="K669" s="108">
        <v>20.76</v>
      </c>
      <c r="L669" s="67">
        <v>226.67</v>
      </c>
      <c r="M669" s="51"/>
      <c r="N669" s="91"/>
      <c r="O669" s="67">
        <f>ROUND(ROUND(L669, 2)*K669, 2)</f>
        <v>4705.67</v>
      </c>
      <c r="P669" s="51"/>
      <c r="Q669" s="51"/>
      <c r="R669" s="50">
        <v>226.67</v>
      </c>
      <c r="S669" s="51"/>
      <c r="T669" s="51"/>
      <c r="U669" s="50">
        <f>ROUND(ROUND(R669, 2)*K669, 2)</f>
        <v>4705.67</v>
      </c>
      <c r="V669" s="51"/>
      <c r="W669" s="52"/>
    </row>
    <row r="670" spans="1:23" ht="54" x14ac:dyDescent="0.35">
      <c r="A670" s="31" t="s">
        <v>1078</v>
      </c>
      <c r="B670" s="31" t="s">
        <v>1041</v>
      </c>
      <c r="C670" s="32" t="s">
        <v>1042</v>
      </c>
      <c r="D670" s="33"/>
      <c r="E670" s="33" t="s">
        <v>54</v>
      </c>
      <c r="F670" s="33" t="s">
        <v>55</v>
      </c>
      <c r="G670" s="34">
        <v>1</v>
      </c>
      <c r="H670" s="133"/>
      <c r="I670" s="171"/>
      <c r="J670" s="143"/>
      <c r="K670" s="101">
        <v>0</v>
      </c>
      <c r="L670" s="64">
        <f>IFERROR(ROUND(SUM(O672,O674)/K670, 2),0)</f>
        <v>0</v>
      </c>
      <c r="M670" s="81">
        <v>278</v>
      </c>
      <c r="N670" s="90">
        <f>L670+ROUND(M670, 2)</f>
        <v>278</v>
      </c>
      <c r="O670" s="64">
        <f>ROUND(L670*K670, 2)</f>
        <v>0</v>
      </c>
      <c r="P670" s="35">
        <f>ROUND(K670*ROUND(M670, 2), 2)</f>
        <v>0</v>
      </c>
      <c r="Q670" s="35">
        <f>O670+P670</f>
        <v>0</v>
      </c>
      <c r="R670" s="35">
        <f>IFERROR(ROUND(SUM(U672,U674)/K670, 2),0)</f>
        <v>0</v>
      </c>
      <c r="S670" s="35">
        <v>278</v>
      </c>
      <c r="T670" s="35">
        <f>R670+ROUND(S670, 2)</f>
        <v>278</v>
      </c>
      <c r="U670" s="35">
        <f>ROUND(R670*K670, 2)</f>
        <v>0</v>
      </c>
      <c r="V670" s="35">
        <f>ROUND(K670*ROUND(S670, 2), 2)</f>
        <v>0</v>
      </c>
      <c r="W670" s="35">
        <f>U670+V670</f>
        <v>0</v>
      </c>
    </row>
    <row r="671" spans="1:23" ht="54" x14ac:dyDescent="0.35">
      <c r="A671" s="36" t="s">
        <v>1079</v>
      </c>
      <c r="B671" s="36" t="s">
        <v>1041</v>
      </c>
      <c r="C671" s="37" t="s">
        <v>1042</v>
      </c>
      <c r="D671" s="38"/>
      <c r="E671" s="38"/>
      <c r="F671" s="38" t="s">
        <v>55</v>
      </c>
      <c r="G671" s="39">
        <v>1</v>
      </c>
      <c r="H671" s="134"/>
      <c r="I671" s="171"/>
      <c r="J671" s="144"/>
      <c r="K671" s="102">
        <v>68.8</v>
      </c>
      <c r="L671" s="65">
        <v>0</v>
      </c>
      <c r="M671" s="82">
        <v>278</v>
      </c>
      <c r="N671" s="90"/>
      <c r="O671" s="65">
        <v>0</v>
      </c>
      <c r="P671" s="40"/>
      <c r="Q671" s="40"/>
      <c r="R671" s="40">
        <v>0</v>
      </c>
      <c r="S671" s="40">
        <v>278</v>
      </c>
      <c r="T671" s="40"/>
      <c r="U671" s="40">
        <v>0</v>
      </c>
      <c r="V671" s="40"/>
      <c r="W671" s="40"/>
    </row>
    <row r="672" spans="1:23" ht="36" x14ac:dyDescent="0.35">
      <c r="A672" s="31" t="s">
        <v>1080</v>
      </c>
      <c r="B672" s="31"/>
      <c r="C672" s="41" t="s">
        <v>235</v>
      </c>
      <c r="D672" s="33"/>
      <c r="E672" s="33"/>
      <c r="F672" s="42" t="s">
        <v>58</v>
      </c>
      <c r="G672" s="43">
        <v>0.15</v>
      </c>
      <c r="H672" s="135"/>
      <c r="I672" s="171"/>
      <c r="J672" s="143"/>
      <c r="K672" s="107">
        <v>0</v>
      </c>
      <c r="L672" s="66">
        <v>88.8</v>
      </c>
      <c r="M672" s="45"/>
      <c r="N672" s="91"/>
      <c r="O672" s="66">
        <f>ROUND(ROUND(L672, 2)*K672, 2)</f>
        <v>0</v>
      </c>
      <c r="P672" s="45"/>
      <c r="Q672" s="45"/>
      <c r="R672" s="44">
        <v>88.8</v>
      </c>
      <c r="S672" s="45"/>
      <c r="T672" s="45"/>
      <c r="U672" s="44">
        <f>ROUND(ROUND(R672, 2)*K672, 2)</f>
        <v>0</v>
      </c>
      <c r="V672" s="45"/>
      <c r="W672" s="46"/>
    </row>
    <row r="673" spans="1:23" ht="36" x14ac:dyDescent="0.35">
      <c r="A673" s="36" t="s">
        <v>1081</v>
      </c>
      <c r="B673" s="36"/>
      <c r="C673" s="47" t="s">
        <v>235</v>
      </c>
      <c r="D673" s="38"/>
      <c r="E673" s="38"/>
      <c r="F673" s="48" t="s">
        <v>58</v>
      </c>
      <c r="G673" s="49">
        <v>0.15</v>
      </c>
      <c r="H673" s="136"/>
      <c r="I673" s="171"/>
      <c r="J673" s="144"/>
      <c r="K673" s="108">
        <v>10.32</v>
      </c>
      <c r="L673" s="67">
        <v>88.8</v>
      </c>
      <c r="M673" s="51"/>
      <c r="N673" s="91"/>
      <c r="O673" s="67">
        <f>ROUND(ROUND(L673, 2)*K673, 2)</f>
        <v>916.42</v>
      </c>
      <c r="P673" s="51"/>
      <c r="Q673" s="51"/>
      <c r="R673" s="50">
        <v>88.8</v>
      </c>
      <c r="S673" s="51"/>
      <c r="T673" s="51"/>
      <c r="U673" s="50">
        <f>ROUND(ROUND(R673, 2)*K673, 2)</f>
        <v>916.42</v>
      </c>
      <c r="V673" s="51"/>
      <c r="W673" s="52"/>
    </row>
    <row r="674" spans="1:23" ht="54" x14ac:dyDescent="0.35">
      <c r="A674" s="31" t="s">
        <v>1082</v>
      </c>
      <c r="B674" s="31"/>
      <c r="C674" s="41" t="s">
        <v>1054</v>
      </c>
      <c r="D674" s="33"/>
      <c r="E674" s="33" t="s">
        <v>1083</v>
      </c>
      <c r="F674" s="42" t="s">
        <v>58</v>
      </c>
      <c r="G674" s="43">
        <v>0.3</v>
      </c>
      <c r="H674" s="135"/>
      <c r="I674" s="171"/>
      <c r="J674" s="143"/>
      <c r="K674" s="107">
        <v>0</v>
      </c>
      <c r="L674" s="66">
        <v>226.67</v>
      </c>
      <c r="M674" s="45"/>
      <c r="N674" s="91"/>
      <c r="O674" s="66">
        <f>ROUND(ROUND(L674, 2)*K674, 2)</f>
        <v>0</v>
      </c>
      <c r="P674" s="45"/>
      <c r="Q674" s="45"/>
      <c r="R674" s="44">
        <v>226.67</v>
      </c>
      <c r="S674" s="45"/>
      <c r="T674" s="45"/>
      <c r="U674" s="44">
        <f>ROUND(ROUND(R674, 2)*K674, 2)</f>
        <v>0</v>
      </c>
      <c r="V674" s="45"/>
      <c r="W674" s="46"/>
    </row>
    <row r="675" spans="1:23" ht="54" x14ac:dyDescent="0.35">
      <c r="A675" s="36" t="s">
        <v>1084</v>
      </c>
      <c r="B675" s="36"/>
      <c r="C675" s="47" t="s">
        <v>1054</v>
      </c>
      <c r="D675" s="38"/>
      <c r="E675" s="38" t="s">
        <v>1083</v>
      </c>
      <c r="F675" s="48" t="s">
        <v>58</v>
      </c>
      <c r="G675" s="49">
        <v>0.3</v>
      </c>
      <c r="H675" s="136"/>
      <c r="I675" s="171"/>
      <c r="J675" s="144"/>
      <c r="K675" s="108">
        <v>20.64</v>
      </c>
      <c r="L675" s="67">
        <v>226.67</v>
      </c>
      <c r="M675" s="51"/>
      <c r="N675" s="91"/>
      <c r="O675" s="67">
        <f>ROUND(ROUND(L675, 2)*K675, 2)</f>
        <v>4678.47</v>
      </c>
      <c r="P675" s="51"/>
      <c r="Q675" s="51"/>
      <c r="R675" s="50">
        <v>226.67</v>
      </c>
      <c r="S675" s="51"/>
      <c r="T675" s="51"/>
      <c r="U675" s="50">
        <f>ROUND(ROUND(R675, 2)*K675, 2)</f>
        <v>4678.47</v>
      </c>
      <c r="V675" s="51"/>
      <c r="W675" s="52"/>
    </row>
    <row r="676" spans="1:23" ht="54" x14ac:dyDescent="0.35">
      <c r="A676" s="31" t="s">
        <v>1085</v>
      </c>
      <c r="B676" s="31" t="s">
        <v>1041</v>
      </c>
      <c r="C676" s="32" t="s">
        <v>1042</v>
      </c>
      <c r="D676" s="33"/>
      <c r="E676" s="33" t="s">
        <v>54</v>
      </c>
      <c r="F676" s="33" t="s">
        <v>55</v>
      </c>
      <c r="G676" s="34">
        <v>1</v>
      </c>
      <c r="H676" s="133"/>
      <c r="I676" s="171"/>
      <c r="J676" s="143"/>
      <c r="K676" s="101">
        <v>0</v>
      </c>
      <c r="L676" s="64">
        <f>IFERROR(ROUND(SUM(O678,O680)/K676, 2),0)</f>
        <v>0</v>
      </c>
      <c r="M676" s="81">
        <v>278</v>
      </c>
      <c r="N676" s="90">
        <f>L676+ROUND(M676, 2)</f>
        <v>278</v>
      </c>
      <c r="O676" s="64">
        <f>ROUND(L676*K676, 2)</f>
        <v>0</v>
      </c>
      <c r="P676" s="35">
        <f>ROUND(K676*ROUND(M676, 2), 2)</f>
        <v>0</v>
      </c>
      <c r="Q676" s="35">
        <f>O676+P676</f>
        <v>0</v>
      </c>
      <c r="R676" s="35">
        <f>IFERROR(ROUND(SUM(U678,U680)/K676, 2),0)</f>
        <v>0</v>
      </c>
      <c r="S676" s="35">
        <v>278</v>
      </c>
      <c r="T676" s="35">
        <f>R676+ROUND(S676, 2)</f>
        <v>278</v>
      </c>
      <c r="U676" s="35">
        <f>ROUND(R676*K676, 2)</f>
        <v>0</v>
      </c>
      <c r="V676" s="35">
        <f>ROUND(K676*ROUND(S676, 2), 2)</f>
        <v>0</v>
      </c>
      <c r="W676" s="35">
        <f>U676+V676</f>
        <v>0</v>
      </c>
    </row>
    <row r="677" spans="1:23" ht="54" x14ac:dyDescent="0.35">
      <c r="A677" s="36" t="s">
        <v>1086</v>
      </c>
      <c r="B677" s="36" t="s">
        <v>1041</v>
      </c>
      <c r="C677" s="37" t="s">
        <v>1042</v>
      </c>
      <c r="D677" s="38"/>
      <c r="E677" s="38"/>
      <c r="F677" s="38" t="s">
        <v>55</v>
      </c>
      <c r="G677" s="39">
        <v>1</v>
      </c>
      <c r="H677" s="134"/>
      <c r="I677" s="171"/>
      <c r="J677" s="144"/>
      <c r="K677" s="102">
        <v>57</v>
      </c>
      <c r="L677" s="65">
        <v>0</v>
      </c>
      <c r="M677" s="82">
        <v>278</v>
      </c>
      <c r="N677" s="90"/>
      <c r="O677" s="65">
        <v>0</v>
      </c>
      <c r="P677" s="40"/>
      <c r="Q677" s="40"/>
      <c r="R677" s="40">
        <v>0</v>
      </c>
      <c r="S677" s="40">
        <v>278</v>
      </c>
      <c r="T677" s="40"/>
      <c r="U677" s="40">
        <v>0</v>
      </c>
      <c r="V677" s="40"/>
      <c r="W677" s="40"/>
    </row>
    <row r="678" spans="1:23" ht="36" x14ac:dyDescent="0.35">
      <c r="A678" s="31" t="s">
        <v>1087</v>
      </c>
      <c r="B678" s="31"/>
      <c r="C678" s="41" t="s">
        <v>235</v>
      </c>
      <c r="D678" s="33"/>
      <c r="E678" s="33"/>
      <c r="F678" s="42" t="s">
        <v>58</v>
      </c>
      <c r="G678" s="43">
        <v>0.15</v>
      </c>
      <c r="H678" s="135"/>
      <c r="I678" s="171"/>
      <c r="J678" s="143"/>
      <c r="K678" s="107">
        <v>0</v>
      </c>
      <c r="L678" s="66">
        <v>88.8</v>
      </c>
      <c r="M678" s="45"/>
      <c r="N678" s="91"/>
      <c r="O678" s="66">
        <f>ROUND(ROUND(L678, 2)*K678, 2)</f>
        <v>0</v>
      </c>
      <c r="P678" s="45"/>
      <c r="Q678" s="45"/>
      <c r="R678" s="44">
        <v>88.8</v>
      </c>
      <c r="S678" s="45"/>
      <c r="T678" s="45"/>
      <c r="U678" s="44">
        <f>ROUND(ROUND(R678, 2)*K678, 2)</f>
        <v>0</v>
      </c>
      <c r="V678" s="45"/>
      <c r="W678" s="46"/>
    </row>
    <row r="679" spans="1:23" ht="36" x14ac:dyDescent="0.35">
      <c r="A679" s="36" t="s">
        <v>1088</v>
      </c>
      <c r="B679" s="36"/>
      <c r="C679" s="47" t="s">
        <v>235</v>
      </c>
      <c r="D679" s="38"/>
      <c r="E679" s="38"/>
      <c r="F679" s="48" t="s">
        <v>58</v>
      </c>
      <c r="G679" s="49">
        <v>0.15</v>
      </c>
      <c r="H679" s="136"/>
      <c r="I679" s="171"/>
      <c r="J679" s="144"/>
      <c r="K679" s="108">
        <v>8.5500000000000007</v>
      </c>
      <c r="L679" s="67">
        <v>88.8</v>
      </c>
      <c r="M679" s="51"/>
      <c r="N679" s="91"/>
      <c r="O679" s="67">
        <f>ROUND(ROUND(L679, 2)*K679, 2)</f>
        <v>759.24</v>
      </c>
      <c r="P679" s="51"/>
      <c r="Q679" s="51"/>
      <c r="R679" s="50">
        <v>88.8</v>
      </c>
      <c r="S679" s="51"/>
      <c r="T679" s="51"/>
      <c r="U679" s="50">
        <f>ROUND(ROUND(R679, 2)*K679, 2)</f>
        <v>759.24</v>
      </c>
      <c r="V679" s="51"/>
      <c r="W679" s="52"/>
    </row>
    <row r="680" spans="1:23" ht="54" x14ac:dyDescent="0.35">
      <c r="A680" s="31" t="s">
        <v>1089</v>
      </c>
      <c r="B680" s="31"/>
      <c r="C680" s="41" t="s">
        <v>1054</v>
      </c>
      <c r="D680" s="33"/>
      <c r="E680" s="33" t="s">
        <v>1090</v>
      </c>
      <c r="F680" s="42" t="s">
        <v>58</v>
      </c>
      <c r="G680" s="43">
        <v>0.3</v>
      </c>
      <c r="H680" s="135"/>
      <c r="I680" s="171"/>
      <c r="J680" s="143"/>
      <c r="K680" s="107">
        <v>0</v>
      </c>
      <c r="L680" s="66">
        <v>226.67</v>
      </c>
      <c r="M680" s="45"/>
      <c r="N680" s="91"/>
      <c r="O680" s="66">
        <f>ROUND(ROUND(L680, 2)*K680, 2)</f>
        <v>0</v>
      </c>
      <c r="P680" s="45"/>
      <c r="Q680" s="45"/>
      <c r="R680" s="44">
        <v>226.67</v>
      </c>
      <c r="S680" s="45"/>
      <c r="T680" s="45"/>
      <c r="U680" s="44">
        <f>ROUND(ROUND(R680, 2)*K680, 2)</f>
        <v>0</v>
      </c>
      <c r="V680" s="45"/>
      <c r="W680" s="46"/>
    </row>
    <row r="681" spans="1:23" ht="54" x14ac:dyDescent="0.35">
      <c r="A681" s="36" t="s">
        <v>1091</v>
      </c>
      <c r="B681" s="36"/>
      <c r="C681" s="47" t="s">
        <v>1054</v>
      </c>
      <c r="D681" s="38"/>
      <c r="E681" s="38" t="s">
        <v>1090</v>
      </c>
      <c r="F681" s="48" t="s">
        <v>58</v>
      </c>
      <c r="G681" s="49">
        <v>0.3</v>
      </c>
      <c r="H681" s="136"/>
      <c r="I681" s="171"/>
      <c r="J681" s="144"/>
      <c r="K681" s="108">
        <v>17.100000000000001</v>
      </c>
      <c r="L681" s="67">
        <v>226.67</v>
      </c>
      <c r="M681" s="51"/>
      <c r="N681" s="91"/>
      <c r="O681" s="67">
        <f>ROUND(ROUND(L681, 2)*K681, 2)</f>
        <v>3876.06</v>
      </c>
      <c r="P681" s="51"/>
      <c r="Q681" s="51"/>
      <c r="R681" s="50">
        <v>226.67</v>
      </c>
      <c r="S681" s="51"/>
      <c r="T681" s="51"/>
      <c r="U681" s="50">
        <f>ROUND(ROUND(R681, 2)*K681, 2)</f>
        <v>3876.06</v>
      </c>
      <c r="V681" s="51"/>
      <c r="W681" s="52"/>
    </row>
    <row r="682" spans="1:23" ht="54" x14ac:dyDescent="0.35">
      <c r="A682" s="31" t="s">
        <v>1092</v>
      </c>
      <c r="B682" s="31" t="s">
        <v>1041</v>
      </c>
      <c r="C682" s="32" t="s">
        <v>1042</v>
      </c>
      <c r="D682" s="33"/>
      <c r="E682" s="33" t="s">
        <v>54</v>
      </c>
      <c r="F682" s="33" t="s">
        <v>55</v>
      </c>
      <c r="G682" s="34">
        <v>1</v>
      </c>
      <c r="H682" s="133"/>
      <c r="I682" s="171"/>
      <c r="J682" s="143"/>
      <c r="K682" s="101">
        <v>0</v>
      </c>
      <c r="L682" s="64">
        <f>IFERROR(ROUND(SUM(O684,O686)/K682, 2),0)</f>
        <v>0</v>
      </c>
      <c r="M682" s="81">
        <v>278</v>
      </c>
      <c r="N682" s="90">
        <f>L682+ROUND(M682, 2)</f>
        <v>278</v>
      </c>
      <c r="O682" s="64">
        <f>ROUND(L682*K682, 2)</f>
        <v>0</v>
      </c>
      <c r="P682" s="35">
        <f>ROUND(K682*ROUND(M682, 2), 2)</f>
        <v>0</v>
      </c>
      <c r="Q682" s="35">
        <f>O682+P682</f>
        <v>0</v>
      </c>
      <c r="R682" s="35">
        <f>IFERROR(ROUND(SUM(U684,U686)/K682, 2),0)</f>
        <v>0</v>
      </c>
      <c r="S682" s="35">
        <v>278</v>
      </c>
      <c r="T682" s="35">
        <f>R682+ROUND(S682, 2)</f>
        <v>278</v>
      </c>
      <c r="U682" s="35">
        <f>ROUND(R682*K682, 2)</f>
        <v>0</v>
      </c>
      <c r="V682" s="35">
        <f>ROUND(K682*ROUND(S682, 2), 2)</f>
        <v>0</v>
      </c>
      <c r="W682" s="35">
        <f>U682+V682</f>
        <v>0</v>
      </c>
    </row>
    <row r="683" spans="1:23" ht="54" x14ac:dyDescent="0.35">
      <c r="A683" s="36" t="s">
        <v>1093</v>
      </c>
      <c r="B683" s="36" t="s">
        <v>1041</v>
      </c>
      <c r="C683" s="37" t="s">
        <v>1042</v>
      </c>
      <c r="D683" s="38"/>
      <c r="E683" s="38"/>
      <c r="F683" s="38" t="s">
        <v>55</v>
      </c>
      <c r="G683" s="39">
        <v>1</v>
      </c>
      <c r="H683" s="134"/>
      <c r="I683" s="171"/>
      <c r="J683" s="144"/>
      <c r="K683" s="102">
        <v>25.5</v>
      </c>
      <c r="L683" s="65">
        <v>0</v>
      </c>
      <c r="M683" s="82">
        <v>278</v>
      </c>
      <c r="N683" s="90"/>
      <c r="O683" s="65">
        <v>0</v>
      </c>
      <c r="P683" s="40"/>
      <c r="Q683" s="40"/>
      <c r="R683" s="40">
        <v>0</v>
      </c>
      <c r="S683" s="40">
        <v>278</v>
      </c>
      <c r="T683" s="40"/>
      <c r="U683" s="40">
        <v>0</v>
      </c>
      <c r="V683" s="40"/>
      <c r="W683" s="40"/>
    </row>
    <row r="684" spans="1:23" ht="36" x14ac:dyDescent="0.35">
      <c r="A684" s="31" t="s">
        <v>1094</v>
      </c>
      <c r="B684" s="31"/>
      <c r="C684" s="41" t="s">
        <v>235</v>
      </c>
      <c r="D684" s="33"/>
      <c r="E684" s="33"/>
      <c r="F684" s="42" t="s">
        <v>58</v>
      </c>
      <c r="G684" s="43">
        <v>0.15</v>
      </c>
      <c r="H684" s="135"/>
      <c r="I684" s="171"/>
      <c r="J684" s="143"/>
      <c r="K684" s="107">
        <v>0</v>
      </c>
      <c r="L684" s="66">
        <v>88.8</v>
      </c>
      <c r="M684" s="45"/>
      <c r="N684" s="91"/>
      <c r="O684" s="66">
        <f>ROUND(ROUND(L684, 2)*K684, 2)</f>
        <v>0</v>
      </c>
      <c r="P684" s="45"/>
      <c r="Q684" s="45"/>
      <c r="R684" s="44">
        <v>88.8</v>
      </c>
      <c r="S684" s="45"/>
      <c r="T684" s="45"/>
      <c r="U684" s="44">
        <f>ROUND(ROUND(R684, 2)*K684, 2)</f>
        <v>0</v>
      </c>
      <c r="V684" s="45"/>
      <c r="W684" s="46"/>
    </row>
    <row r="685" spans="1:23" ht="36" x14ac:dyDescent="0.35">
      <c r="A685" s="36" t="s">
        <v>1095</v>
      </c>
      <c r="B685" s="36"/>
      <c r="C685" s="47" t="s">
        <v>235</v>
      </c>
      <c r="D685" s="38"/>
      <c r="E685" s="38"/>
      <c r="F685" s="48" t="s">
        <v>58</v>
      </c>
      <c r="G685" s="49">
        <v>0.15</v>
      </c>
      <c r="H685" s="136"/>
      <c r="I685" s="171"/>
      <c r="J685" s="144"/>
      <c r="K685" s="108">
        <v>3.8250000000000002</v>
      </c>
      <c r="L685" s="67">
        <v>88.8</v>
      </c>
      <c r="M685" s="51"/>
      <c r="N685" s="91"/>
      <c r="O685" s="67">
        <f>ROUND(ROUND(L685, 2)*K685, 2)</f>
        <v>339.66</v>
      </c>
      <c r="P685" s="51"/>
      <c r="Q685" s="51"/>
      <c r="R685" s="50">
        <v>88.8</v>
      </c>
      <c r="S685" s="51"/>
      <c r="T685" s="51"/>
      <c r="U685" s="50">
        <f>ROUND(ROUND(R685, 2)*K685, 2)</f>
        <v>339.66</v>
      </c>
      <c r="V685" s="51"/>
      <c r="W685" s="52"/>
    </row>
    <row r="686" spans="1:23" ht="54" x14ac:dyDescent="0.35">
      <c r="A686" s="31" t="s">
        <v>1096</v>
      </c>
      <c r="B686" s="31"/>
      <c r="C686" s="41" t="s">
        <v>1054</v>
      </c>
      <c r="D686" s="33"/>
      <c r="E686" s="33" t="s">
        <v>1097</v>
      </c>
      <c r="F686" s="42" t="s">
        <v>58</v>
      </c>
      <c r="G686" s="43">
        <v>0.3</v>
      </c>
      <c r="H686" s="135"/>
      <c r="I686" s="171"/>
      <c r="J686" s="143"/>
      <c r="K686" s="107">
        <v>0</v>
      </c>
      <c r="L686" s="66">
        <v>226.67</v>
      </c>
      <c r="M686" s="45"/>
      <c r="N686" s="91"/>
      <c r="O686" s="66">
        <f>ROUND(ROUND(L686, 2)*K686, 2)</f>
        <v>0</v>
      </c>
      <c r="P686" s="45"/>
      <c r="Q686" s="45"/>
      <c r="R686" s="44">
        <v>226.67</v>
      </c>
      <c r="S686" s="45"/>
      <c r="T686" s="45"/>
      <c r="U686" s="44">
        <f>ROUND(ROUND(R686, 2)*K686, 2)</f>
        <v>0</v>
      </c>
      <c r="V686" s="45"/>
      <c r="W686" s="46"/>
    </row>
    <row r="687" spans="1:23" ht="54" x14ac:dyDescent="0.35">
      <c r="A687" s="36" t="s">
        <v>1098</v>
      </c>
      <c r="B687" s="36"/>
      <c r="C687" s="47" t="s">
        <v>1054</v>
      </c>
      <c r="D687" s="38"/>
      <c r="E687" s="38" t="s">
        <v>1097</v>
      </c>
      <c r="F687" s="48" t="s">
        <v>58</v>
      </c>
      <c r="G687" s="49">
        <v>0.3</v>
      </c>
      <c r="H687" s="136"/>
      <c r="I687" s="171"/>
      <c r="J687" s="144"/>
      <c r="K687" s="108">
        <v>7.65</v>
      </c>
      <c r="L687" s="67">
        <v>226.67</v>
      </c>
      <c r="M687" s="51"/>
      <c r="N687" s="91"/>
      <c r="O687" s="67">
        <f>ROUND(ROUND(L687, 2)*K687, 2)</f>
        <v>1734.03</v>
      </c>
      <c r="P687" s="51"/>
      <c r="Q687" s="51"/>
      <c r="R687" s="50">
        <v>226.67</v>
      </c>
      <c r="S687" s="51"/>
      <c r="T687" s="51"/>
      <c r="U687" s="50">
        <f>ROUND(ROUND(R687, 2)*K687, 2)</f>
        <v>1734.03</v>
      </c>
      <c r="V687" s="51"/>
      <c r="W687" s="52"/>
    </row>
    <row r="688" spans="1:23" ht="36" x14ac:dyDescent="0.35">
      <c r="A688" s="20" t="s">
        <v>1099</v>
      </c>
      <c r="B688" s="20" t="s">
        <v>1100</v>
      </c>
      <c r="C688" s="21" t="s">
        <v>1101</v>
      </c>
      <c r="D688" s="22"/>
      <c r="E688" s="22" t="s">
        <v>1102</v>
      </c>
      <c r="F688" s="22" t="s">
        <v>55</v>
      </c>
      <c r="G688" s="23">
        <v>1</v>
      </c>
      <c r="H688" s="131"/>
      <c r="I688" s="171"/>
      <c r="J688" s="142"/>
      <c r="K688" s="98">
        <v>0.85</v>
      </c>
      <c r="L688" s="62">
        <f>IFERROR(ROUND(SUM(O689,O690)/K688, 2),0)</f>
        <v>13.38</v>
      </c>
      <c r="M688" s="80">
        <v>464</v>
      </c>
      <c r="N688" s="90">
        <f>L688+ROUND(M688, 2)</f>
        <v>477.38</v>
      </c>
      <c r="O688" s="62">
        <f>ROUND(L688*K688, 2)</f>
        <v>11.37</v>
      </c>
      <c r="P688" s="24">
        <f>ROUND(K688*ROUND(M688, 2), 2)</f>
        <v>394.4</v>
      </c>
      <c r="Q688" s="24">
        <f>O688+P688</f>
        <v>405.77</v>
      </c>
      <c r="R688" s="24">
        <f>IFERROR(ROUND(SUM(U689,U690)/K688, 2),0)</f>
        <v>13.38</v>
      </c>
      <c r="S688" s="24">
        <v>464</v>
      </c>
      <c r="T688" s="24">
        <f>R688+ROUND(S688, 2)</f>
        <v>477.38</v>
      </c>
      <c r="U688" s="24">
        <f>ROUND(R688*K688, 2)</f>
        <v>11.37</v>
      </c>
      <c r="V688" s="24">
        <f>ROUND(K688*ROUND(S688, 2), 2)</f>
        <v>394.4</v>
      </c>
      <c r="W688" s="24">
        <f>U688+V688</f>
        <v>405.77</v>
      </c>
    </row>
    <row r="689" spans="1:23" ht="72" x14ac:dyDescent="0.35">
      <c r="A689" s="20" t="s">
        <v>1103</v>
      </c>
      <c r="B689" s="20"/>
      <c r="C689" s="25" t="s">
        <v>1104</v>
      </c>
      <c r="D689" s="22"/>
      <c r="E689" s="22" t="s">
        <v>1105</v>
      </c>
      <c r="F689" s="26" t="s">
        <v>58</v>
      </c>
      <c r="G689" s="27">
        <v>0.3</v>
      </c>
      <c r="H689" s="132"/>
      <c r="I689" s="171"/>
      <c r="J689" s="142"/>
      <c r="K689" s="99">
        <v>0.255</v>
      </c>
      <c r="L689" s="63">
        <v>0</v>
      </c>
      <c r="M689" s="29"/>
      <c r="N689" s="91"/>
      <c r="O689" s="63">
        <f>ROUND(ROUND(L689, 2)*K689, 2)</f>
        <v>0</v>
      </c>
      <c r="P689" s="29"/>
      <c r="Q689" s="29"/>
      <c r="R689" s="28">
        <v>0</v>
      </c>
      <c r="S689" s="29"/>
      <c r="T689" s="29"/>
      <c r="U689" s="28">
        <f>ROUND(ROUND(R689, 2)*K689, 2)</f>
        <v>0</v>
      </c>
      <c r="V689" s="29"/>
      <c r="W689" s="30"/>
    </row>
    <row r="690" spans="1:23" ht="36" x14ac:dyDescent="0.35">
      <c r="A690" s="20" t="s">
        <v>1106</v>
      </c>
      <c r="B690" s="20"/>
      <c r="C690" s="25" t="s">
        <v>235</v>
      </c>
      <c r="D690" s="22"/>
      <c r="E690" s="22"/>
      <c r="F690" s="26" t="s">
        <v>58</v>
      </c>
      <c r="G690" s="27">
        <v>0.15</v>
      </c>
      <c r="H690" s="132"/>
      <c r="I690" s="171"/>
      <c r="J690" s="142"/>
      <c r="K690" s="99">
        <v>0.128</v>
      </c>
      <c r="L690" s="63">
        <v>88.8</v>
      </c>
      <c r="M690" s="29"/>
      <c r="N690" s="91"/>
      <c r="O690" s="63">
        <f>ROUND(ROUND(L690, 2)*K690, 2)</f>
        <v>11.37</v>
      </c>
      <c r="P690" s="29"/>
      <c r="Q690" s="29"/>
      <c r="R690" s="28">
        <v>88.8</v>
      </c>
      <c r="S690" s="29"/>
      <c r="T690" s="29"/>
      <c r="U690" s="28">
        <f>ROUND(ROUND(R690, 2)*K690, 2)</f>
        <v>11.37</v>
      </c>
      <c r="V690" s="29"/>
      <c r="W690" s="30"/>
    </row>
    <row r="691" spans="1:23" ht="36" x14ac:dyDescent="0.35">
      <c r="A691" s="20" t="s">
        <v>1107</v>
      </c>
      <c r="B691" s="20" t="s">
        <v>1100</v>
      </c>
      <c r="C691" s="21" t="s">
        <v>1101</v>
      </c>
      <c r="D691" s="22"/>
      <c r="E691" s="22" t="s">
        <v>1108</v>
      </c>
      <c r="F691" s="22" t="s">
        <v>55</v>
      </c>
      <c r="G691" s="23">
        <v>1</v>
      </c>
      <c r="H691" s="131"/>
      <c r="I691" s="171"/>
      <c r="J691" s="142"/>
      <c r="K691" s="98">
        <v>1.5</v>
      </c>
      <c r="L691" s="62">
        <f>IFERROR(ROUND(SUM(O692,O693)/K691, 2),0)</f>
        <v>13.32</v>
      </c>
      <c r="M691" s="80">
        <v>464</v>
      </c>
      <c r="N691" s="90">
        <f>L691+ROUND(M691, 2)</f>
        <v>477.32</v>
      </c>
      <c r="O691" s="62">
        <f>ROUND(L691*K691, 2)</f>
        <v>19.98</v>
      </c>
      <c r="P691" s="24">
        <f>ROUND(K691*ROUND(M691, 2), 2)</f>
        <v>696</v>
      </c>
      <c r="Q691" s="24">
        <f>O691+P691</f>
        <v>715.98</v>
      </c>
      <c r="R691" s="24">
        <f>IFERROR(ROUND(SUM(U692,U693)/K691, 2),0)</f>
        <v>13.32</v>
      </c>
      <c r="S691" s="24">
        <v>464</v>
      </c>
      <c r="T691" s="24">
        <f>R691+ROUND(S691, 2)</f>
        <v>477.32</v>
      </c>
      <c r="U691" s="24">
        <f>ROUND(R691*K691, 2)</f>
        <v>19.98</v>
      </c>
      <c r="V691" s="24">
        <f>ROUND(K691*ROUND(S691, 2), 2)</f>
        <v>696</v>
      </c>
      <c r="W691" s="24">
        <f>U691+V691</f>
        <v>715.98</v>
      </c>
    </row>
    <row r="692" spans="1:23" ht="36" x14ac:dyDescent="0.35">
      <c r="A692" s="20" t="s">
        <v>1109</v>
      </c>
      <c r="B692" s="20"/>
      <c r="C692" s="25" t="s">
        <v>235</v>
      </c>
      <c r="D692" s="22"/>
      <c r="E692" s="22"/>
      <c r="F692" s="26" t="s">
        <v>58</v>
      </c>
      <c r="G692" s="27">
        <v>0.15</v>
      </c>
      <c r="H692" s="132"/>
      <c r="I692" s="171"/>
      <c r="J692" s="142"/>
      <c r="K692" s="99">
        <v>0.22500000000000001</v>
      </c>
      <c r="L692" s="63">
        <v>88.8</v>
      </c>
      <c r="M692" s="29"/>
      <c r="N692" s="91"/>
      <c r="O692" s="63">
        <f>ROUND(ROUND(L692, 2)*K692, 2)</f>
        <v>19.98</v>
      </c>
      <c r="P692" s="29"/>
      <c r="Q692" s="29"/>
      <c r="R692" s="28">
        <v>88.8</v>
      </c>
      <c r="S692" s="29"/>
      <c r="T692" s="29"/>
      <c r="U692" s="28">
        <f>ROUND(ROUND(R692, 2)*K692, 2)</f>
        <v>19.98</v>
      </c>
      <c r="V692" s="29"/>
      <c r="W692" s="30"/>
    </row>
    <row r="693" spans="1:23" ht="72" x14ac:dyDescent="0.35">
      <c r="A693" s="20" t="s">
        <v>1110</v>
      </c>
      <c r="B693" s="20"/>
      <c r="C693" s="25" t="s">
        <v>1104</v>
      </c>
      <c r="D693" s="22"/>
      <c r="E693" s="22" t="s">
        <v>1111</v>
      </c>
      <c r="F693" s="26" t="s">
        <v>58</v>
      </c>
      <c r="G693" s="27">
        <v>0.3</v>
      </c>
      <c r="H693" s="132"/>
      <c r="I693" s="171"/>
      <c r="J693" s="142"/>
      <c r="K693" s="99">
        <v>0.45</v>
      </c>
      <c r="L693" s="63">
        <v>0</v>
      </c>
      <c r="M693" s="29"/>
      <c r="N693" s="91"/>
      <c r="O693" s="63">
        <f>ROUND(ROUND(L693, 2)*K693, 2)</f>
        <v>0</v>
      </c>
      <c r="P693" s="29"/>
      <c r="Q693" s="29"/>
      <c r="R693" s="28">
        <v>0</v>
      </c>
      <c r="S693" s="29"/>
      <c r="T693" s="29"/>
      <c r="U693" s="28">
        <f>ROUND(ROUND(R693, 2)*K693, 2)</f>
        <v>0</v>
      </c>
      <c r="V693" s="29"/>
      <c r="W693" s="30"/>
    </row>
    <row r="694" spans="1:23" ht="36" x14ac:dyDescent="0.35">
      <c r="A694" s="20" t="s">
        <v>1112</v>
      </c>
      <c r="B694" s="20" t="s">
        <v>1100</v>
      </c>
      <c r="C694" s="21" t="s">
        <v>1101</v>
      </c>
      <c r="D694" s="22"/>
      <c r="E694" s="22" t="s">
        <v>1113</v>
      </c>
      <c r="F694" s="22" t="s">
        <v>55</v>
      </c>
      <c r="G694" s="23">
        <v>1</v>
      </c>
      <c r="H694" s="131"/>
      <c r="I694" s="171"/>
      <c r="J694" s="142"/>
      <c r="K694" s="98">
        <v>139.22</v>
      </c>
      <c r="L694" s="62">
        <f>IFERROR(ROUND(SUM(O695,O696)/K694, 2),0)</f>
        <v>13.32</v>
      </c>
      <c r="M694" s="80">
        <v>464</v>
      </c>
      <c r="N694" s="90">
        <f>L694+ROUND(M694, 2)</f>
        <v>477.32</v>
      </c>
      <c r="O694" s="62">
        <f>ROUND(L694*K694, 2)</f>
        <v>1854.41</v>
      </c>
      <c r="P694" s="24">
        <f>ROUND(K694*ROUND(M694, 2), 2)</f>
        <v>64598.080000000002</v>
      </c>
      <c r="Q694" s="24">
        <f>O694+P694</f>
        <v>66452.490000000005</v>
      </c>
      <c r="R694" s="24">
        <f>IFERROR(ROUND(SUM(U695,U696)/K694, 2),0)</f>
        <v>13.32</v>
      </c>
      <c r="S694" s="24">
        <v>464</v>
      </c>
      <c r="T694" s="24">
        <f>R694+ROUND(S694, 2)</f>
        <v>477.32</v>
      </c>
      <c r="U694" s="24">
        <f>ROUND(R694*K694, 2)</f>
        <v>1854.41</v>
      </c>
      <c r="V694" s="24">
        <f>ROUND(K694*ROUND(S694, 2), 2)</f>
        <v>64598.080000000002</v>
      </c>
      <c r="W694" s="24">
        <f>U694+V694</f>
        <v>66452.490000000005</v>
      </c>
    </row>
    <row r="695" spans="1:23" ht="36" x14ac:dyDescent="0.35">
      <c r="A695" s="20" t="s">
        <v>1114</v>
      </c>
      <c r="B695" s="20"/>
      <c r="C695" s="25" t="s">
        <v>235</v>
      </c>
      <c r="D695" s="22"/>
      <c r="E695" s="22"/>
      <c r="F695" s="26" t="s">
        <v>58</v>
      </c>
      <c r="G695" s="27">
        <v>0.15</v>
      </c>
      <c r="H695" s="132"/>
      <c r="I695" s="171"/>
      <c r="J695" s="142"/>
      <c r="K695" s="99">
        <v>20.882999999999999</v>
      </c>
      <c r="L695" s="63">
        <v>88.8</v>
      </c>
      <c r="M695" s="29"/>
      <c r="N695" s="91"/>
      <c r="O695" s="63">
        <f>ROUND(ROUND(L695, 2)*K695, 2)</f>
        <v>1854.41</v>
      </c>
      <c r="P695" s="29"/>
      <c r="Q695" s="29"/>
      <c r="R695" s="28">
        <v>88.8</v>
      </c>
      <c r="S695" s="29"/>
      <c r="T695" s="29"/>
      <c r="U695" s="28">
        <f>ROUND(ROUND(R695, 2)*K695, 2)</f>
        <v>1854.41</v>
      </c>
      <c r="V695" s="29"/>
      <c r="W695" s="30"/>
    </row>
    <row r="696" spans="1:23" ht="72" x14ac:dyDescent="0.35">
      <c r="A696" s="20" t="s">
        <v>1115</v>
      </c>
      <c r="B696" s="20"/>
      <c r="C696" s="25" t="s">
        <v>1104</v>
      </c>
      <c r="D696" s="22"/>
      <c r="E696" s="22" t="s">
        <v>1116</v>
      </c>
      <c r="F696" s="26" t="s">
        <v>58</v>
      </c>
      <c r="G696" s="27">
        <v>0.3</v>
      </c>
      <c r="H696" s="132"/>
      <c r="I696" s="171"/>
      <c r="J696" s="142"/>
      <c r="K696" s="99">
        <v>41.765999999999998</v>
      </c>
      <c r="L696" s="63">
        <v>0</v>
      </c>
      <c r="M696" s="29"/>
      <c r="N696" s="91"/>
      <c r="O696" s="63">
        <f>ROUND(ROUND(L696, 2)*K696, 2)</f>
        <v>0</v>
      </c>
      <c r="P696" s="29"/>
      <c r="Q696" s="29"/>
      <c r="R696" s="28">
        <v>0</v>
      </c>
      <c r="S696" s="29"/>
      <c r="T696" s="29"/>
      <c r="U696" s="28">
        <f>ROUND(ROUND(R696, 2)*K696, 2)</f>
        <v>0</v>
      </c>
      <c r="V696" s="29"/>
      <c r="W696" s="30"/>
    </row>
    <row r="697" spans="1:23" ht="36" x14ac:dyDescent="0.35">
      <c r="A697" s="20" t="s">
        <v>1117</v>
      </c>
      <c r="B697" s="20" t="s">
        <v>1100</v>
      </c>
      <c r="C697" s="21" t="s">
        <v>1101</v>
      </c>
      <c r="D697" s="22"/>
      <c r="E697" s="22" t="s">
        <v>1118</v>
      </c>
      <c r="F697" s="22" t="s">
        <v>55</v>
      </c>
      <c r="G697" s="23">
        <v>1</v>
      </c>
      <c r="H697" s="131"/>
      <c r="I697" s="171"/>
      <c r="J697" s="142"/>
      <c r="K697" s="98">
        <v>143.96</v>
      </c>
      <c r="L697" s="62">
        <f>IFERROR(ROUND(SUM(O698,O699)/K697, 2),0)</f>
        <v>13.32</v>
      </c>
      <c r="M697" s="80">
        <v>464</v>
      </c>
      <c r="N697" s="90">
        <f>L697+ROUND(M697, 2)</f>
        <v>477.32</v>
      </c>
      <c r="O697" s="62">
        <f>ROUND(L697*K697, 2)</f>
        <v>1917.55</v>
      </c>
      <c r="P697" s="24">
        <f>ROUND(K697*ROUND(M697, 2), 2)</f>
        <v>66797.440000000002</v>
      </c>
      <c r="Q697" s="24">
        <f>O697+P697</f>
        <v>68714.990000000005</v>
      </c>
      <c r="R697" s="24">
        <f>IFERROR(ROUND(SUM(U698,U699)/K697, 2),0)</f>
        <v>13.32</v>
      </c>
      <c r="S697" s="24">
        <v>464</v>
      </c>
      <c r="T697" s="24">
        <f>R697+ROUND(S697, 2)</f>
        <v>477.32</v>
      </c>
      <c r="U697" s="24">
        <f>ROUND(R697*K697, 2)</f>
        <v>1917.55</v>
      </c>
      <c r="V697" s="24">
        <f>ROUND(K697*ROUND(S697, 2), 2)</f>
        <v>66797.440000000002</v>
      </c>
      <c r="W697" s="24">
        <f>U697+V697</f>
        <v>68714.990000000005</v>
      </c>
    </row>
    <row r="698" spans="1:23" ht="36" x14ac:dyDescent="0.35">
      <c r="A698" s="20" t="s">
        <v>1119</v>
      </c>
      <c r="B698" s="20"/>
      <c r="C698" s="25" t="s">
        <v>235</v>
      </c>
      <c r="D698" s="22"/>
      <c r="E698" s="22"/>
      <c r="F698" s="26" t="s">
        <v>58</v>
      </c>
      <c r="G698" s="27">
        <v>0.15</v>
      </c>
      <c r="H698" s="132"/>
      <c r="I698" s="171"/>
      <c r="J698" s="142"/>
      <c r="K698" s="99">
        <v>21.594000000000001</v>
      </c>
      <c r="L698" s="63">
        <v>88.8</v>
      </c>
      <c r="M698" s="29"/>
      <c r="N698" s="91"/>
      <c r="O698" s="63">
        <f>ROUND(ROUND(L698, 2)*K698, 2)</f>
        <v>1917.55</v>
      </c>
      <c r="P698" s="29"/>
      <c r="Q698" s="29"/>
      <c r="R698" s="28">
        <v>88.8</v>
      </c>
      <c r="S698" s="29"/>
      <c r="T698" s="29"/>
      <c r="U698" s="28">
        <f>ROUND(ROUND(R698, 2)*K698, 2)</f>
        <v>1917.55</v>
      </c>
      <c r="V698" s="29"/>
      <c r="W698" s="30"/>
    </row>
    <row r="699" spans="1:23" ht="54" x14ac:dyDescent="0.35">
      <c r="A699" s="20" t="s">
        <v>1120</v>
      </c>
      <c r="B699" s="20"/>
      <c r="C699" s="25" t="s">
        <v>1121</v>
      </c>
      <c r="D699" s="22"/>
      <c r="E699" s="22" t="s">
        <v>1122</v>
      </c>
      <c r="F699" s="26" t="s">
        <v>58</v>
      </c>
      <c r="G699" s="27">
        <v>0.3</v>
      </c>
      <c r="H699" s="132"/>
      <c r="I699" s="171"/>
      <c r="J699" s="142"/>
      <c r="K699" s="99">
        <v>43.188000000000002</v>
      </c>
      <c r="L699" s="63">
        <v>0</v>
      </c>
      <c r="M699" s="29"/>
      <c r="N699" s="91"/>
      <c r="O699" s="63">
        <f>ROUND(ROUND(L699, 2)*K699, 2)</f>
        <v>0</v>
      </c>
      <c r="P699" s="29"/>
      <c r="Q699" s="29"/>
      <c r="R699" s="28">
        <v>0</v>
      </c>
      <c r="S699" s="29"/>
      <c r="T699" s="29"/>
      <c r="U699" s="28">
        <f>ROUND(ROUND(R699, 2)*K699, 2)</f>
        <v>0</v>
      </c>
      <c r="V699" s="29"/>
      <c r="W699" s="30"/>
    </row>
    <row r="700" spans="1:23" ht="36" x14ac:dyDescent="0.35">
      <c r="A700" s="20" t="s">
        <v>1123</v>
      </c>
      <c r="B700" s="20" t="s">
        <v>1100</v>
      </c>
      <c r="C700" s="21" t="s">
        <v>1101</v>
      </c>
      <c r="D700" s="22"/>
      <c r="E700" s="22" t="s">
        <v>1124</v>
      </c>
      <c r="F700" s="22" t="s">
        <v>55</v>
      </c>
      <c r="G700" s="23">
        <v>1</v>
      </c>
      <c r="H700" s="131"/>
      <c r="I700" s="171"/>
      <c r="J700" s="142"/>
      <c r="K700" s="98">
        <v>28.93</v>
      </c>
      <c r="L700" s="62">
        <f>IFERROR(ROUND(SUM(O701,O702)/K700, 2),0)</f>
        <v>13.32</v>
      </c>
      <c r="M700" s="80">
        <v>464</v>
      </c>
      <c r="N700" s="90">
        <f>L700+ROUND(M700, 2)</f>
        <v>477.32</v>
      </c>
      <c r="O700" s="62">
        <f>ROUND(L700*K700, 2)</f>
        <v>385.35</v>
      </c>
      <c r="P700" s="24">
        <f>ROUND(K700*ROUND(M700, 2), 2)</f>
        <v>13423.52</v>
      </c>
      <c r="Q700" s="24">
        <f>O700+P700</f>
        <v>13808.87</v>
      </c>
      <c r="R700" s="24">
        <f>IFERROR(ROUND(SUM(U701,U702)/K700, 2),0)</f>
        <v>13.32</v>
      </c>
      <c r="S700" s="24">
        <v>464</v>
      </c>
      <c r="T700" s="24">
        <f>R700+ROUND(S700, 2)</f>
        <v>477.32</v>
      </c>
      <c r="U700" s="24">
        <f>ROUND(R700*K700, 2)</f>
        <v>385.35</v>
      </c>
      <c r="V700" s="24">
        <f>ROUND(K700*ROUND(S700, 2), 2)</f>
        <v>13423.52</v>
      </c>
      <c r="W700" s="24">
        <f>U700+V700</f>
        <v>13808.87</v>
      </c>
    </row>
    <row r="701" spans="1:23" ht="36" x14ac:dyDescent="0.35">
      <c r="A701" s="20" t="s">
        <v>1125</v>
      </c>
      <c r="B701" s="20"/>
      <c r="C701" s="25" t="s">
        <v>235</v>
      </c>
      <c r="D701" s="22"/>
      <c r="E701" s="22"/>
      <c r="F701" s="26" t="s">
        <v>58</v>
      </c>
      <c r="G701" s="27">
        <v>0.15</v>
      </c>
      <c r="H701" s="132"/>
      <c r="I701" s="171"/>
      <c r="J701" s="142"/>
      <c r="K701" s="99">
        <v>4.34</v>
      </c>
      <c r="L701" s="63">
        <v>88.8</v>
      </c>
      <c r="M701" s="29"/>
      <c r="N701" s="91"/>
      <c r="O701" s="63">
        <f>ROUND(ROUND(L701, 2)*K701, 2)</f>
        <v>385.39</v>
      </c>
      <c r="P701" s="29"/>
      <c r="Q701" s="29"/>
      <c r="R701" s="28">
        <v>88.8</v>
      </c>
      <c r="S701" s="29"/>
      <c r="T701" s="29"/>
      <c r="U701" s="28">
        <f>ROUND(ROUND(R701, 2)*K701, 2)</f>
        <v>385.39</v>
      </c>
      <c r="V701" s="29"/>
      <c r="W701" s="30"/>
    </row>
    <row r="702" spans="1:23" ht="54" x14ac:dyDescent="0.35">
      <c r="A702" s="20" t="s">
        <v>1126</v>
      </c>
      <c r="B702" s="20"/>
      <c r="C702" s="25" t="s">
        <v>1121</v>
      </c>
      <c r="D702" s="22"/>
      <c r="E702" s="22" t="s">
        <v>1127</v>
      </c>
      <c r="F702" s="26" t="s">
        <v>58</v>
      </c>
      <c r="G702" s="27">
        <v>0.3</v>
      </c>
      <c r="H702" s="132"/>
      <c r="I702" s="171"/>
      <c r="J702" s="142"/>
      <c r="K702" s="99">
        <v>8.6790000000000003</v>
      </c>
      <c r="L702" s="63">
        <v>0</v>
      </c>
      <c r="M702" s="29"/>
      <c r="N702" s="91"/>
      <c r="O702" s="63">
        <f>ROUND(ROUND(L702, 2)*K702, 2)</f>
        <v>0</v>
      </c>
      <c r="P702" s="29"/>
      <c r="Q702" s="29"/>
      <c r="R702" s="28">
        <v>0</v>
      </c>
      <c r="S702" s="29"/>
      <c r="T702" s="29"/>
      <c r="U702" s="28">
        <f>ROUND(ROUND(R702, 2)*K702, 2)</f>
        <v>0</v>
      </c>
      <c r="V702" s="29"/>
      <c r="W702" s="30"/>
    </row>
    <row r="703" spans="1:23" ht="36" x14ac:dyDescent="0.35">
      <c r="A703" s="20" t="s">
        <v>1128</v>
      </c>
      <c r="B703" s="20" t="s">
        <v>1100</v>
      </c>
      <c r="C703" s="21" t="s">
        <v>1101</v>
      </c>
      <c r="D703" s="22"/>
      <c r="E703" s="22" t="s">
        <v>1129</v>
      </c>
      <c r="F703" s="22" t="s">
        <v>55</v>
      </c>
      <c r="G703" s="23">
        <v>1</v>
      </c>
      <c r="H703" s="131"/>
      <c r="I703" s="171"/>
      <c r="J703" s="142"/>
      <c r="K703" s="98">
        <v>28.7</v>
      </c>
      <c r="L703" s="62">
        <f>IFERROR(ROUND(SUM(O704,O705)/K703, 2),0)</f>
        <v>13.32</v>
      </c>
      <c r="M703" s="80">
        <v>464</v>
      </c>
      <c r="N703" s="90">
        <f>L703+ROUND(M703, 2)</f>
        <v>477.32</v>
      </c>
      <c r="O703" s="62">
        <f>ROUND(L703*K703, 2)</f>
        <v>382.28</v>
      </c>
      <c r="P703" s="24">
        <f>ROUND(K703*ROUND(M703, 2), 2)</f>
        <v>13316.8</v>
      </c>
      <c r="Q703" s="24">
        <f>O703+P703</f>
        <v>13699.08</v>
      </c>
      <c r="R703" s="24">
        <f>IFERROR(ROUND(SUM(U704,U705)/K703, 2),0)</f>
        <v>13.32</v>
      </c>
      <c r="S703" s="24">
        <v>464</v>
      </c>
      <c r="T703" s="24">
        <f>R703+ROUND(S703, 2)</f>
        <v>477.32</v>
      </c>
      <c r="U703" s="24">
        <f>ROUND(R703*K703, 2)</f>
        <v>382.28</v>
      </c>
      <c r="V703" s="24">
        <f>ROUND(K703*ROUND(S703, 2), 2)</f>
        <v>13316.8</v>
      </c>
      <c r="W703" s="24">
        <f>U703+V703</f>
        <v>13699.08</v>
      </c>
    </row>
    <row r="704" spans="1:23" ht="36" x14ac:dyDescent="0.35">
      <c r="A704" s="20" t="s">
        <v>1130</v>
      </c>
      <c r="B704" s="20"/>
      <c r="C704" s="25" t="s">
        <v>235</v>
      </c>
      <c r="D704" s="22"/>
      <c r="E704" s="22"/>
      <c r="F704" s="26" t="s">
        <v>58</v>
      </c>
      <c r="G704" s="27">
        <v>0.15</v>
      </c>
      <c r="H704" s="132"/>
      <c r="I704" s="171"/>
      <c r="J704" s="142"/>
      <c r="K704" s="99">
        <v>4.3049999999999997</v>
      </c>
      <c r="L704" s="63">
        <v>88.8</v>
      </c>
      <c r="M704" s="29"/>
      <c r="N704" s="91"/>
      <c r="O704" s="63">
        <f>ROUND(ROUND(L704, 2)*K704, 2)</f>
        <v>382.28</v>
      </c>
      <c r="P704" s="29"/>
      <c r="Q704" s="29"/>
      <c r="R704" s="28">
        <v>88.8</v>
      </c>
      <c r="S704" s="29"/>
      <c r="T704" s="29"/>
      <c r="U704" s="28">
        <f>ROUND(ROUND(R704, 2)*K704, 2)</f>
        <v>382.28</v>
      </c>
      <c r="V704" s="29"/>
      <c r="W704" s="30"/>
    </row>
    <row r="705" spans="1:23" ht="54" x14ac:dyDescent="0.35">
      <c r="A705" s="20" t="s">
        <v>1131</v>
      </c>
      <c r="B705" s="20"/>
      <c r="C705" s="25" t="s">
        <v>1121</v>
      </c>
      <c r="D705" s="22"/>
      <c r="E705" s="22" t="s">
        <v>1132</v>
      </c>
      <c r="F705" s="26" t="s">
        <v>58</v>
      </c>
      <c r="G705" s="27">
        <v>0.3</v>
      </c>
      <c r="H705" s="132"/>
      <c r="I705" s="171"/>
      <c r="J705" s="142"/>
      <c r="K705" s="99">
        <v>8.61</v>
      </c>
      <c r="L705" s="63">
        <v>0</v>
      </c>
      <c r="M705" s="29"/>
      <c r="N705" s="91"/>
      <c r="O705" s="63">
        <f>ROUND(ROUND(L705, 2)*K705, 2)</f>
        <v>0</v>
      </c>
      <c r="P705" s="29"/>
      <c r="Q705" s="29"/>
      <c r="R705" s="28">
        <v>0</v>
      </c>
      <c r="S705" s="29"/>
      <c r="T705" s="29"/>
      <c r="U705" s="28">
        <f>ROUND(ROUND(R705, 2)*K705, 2)</f>
        <v>0</v>
      </c>
      <c r="V705" s="29"/>
      <c r="W705" s="30"/>
    </row>
    <row r="706" spans="1:23" ht="36" x14ac:dyDescent="0.35">
      <c r="A706" s="20" t="s">
        <v>1133</v>
      </c>
      <c r="B706" s="20" t="s">
        <v>1100</v>
      </c>
      <c r="C706" s="21" t="s">
        <v>1101</v>
      </c>
      <c r="D706" s="22"/>
      <c r="E706" s="22" t="s">
        <v>1134</v>
      </c>
      <c r="F706" s="22" t="s">
        <v>55</v>
      </c>
      <c r="G706" s="23">
        <v>1</v>
      </c>
      <c r="H706" s="131"/>
      <c r="I706" s="171"/>
      <c r="J706" s="142"/>
      <c r="K706" s="98">
        <v>29.42</v>
      </c>
      <c r="L706" s="62">
        <f>IFERROR(ROUND(SUM(O707,O708)/K706, 2),0)</f>
        <v>13.32</v>
      </c>
      <c r="M706" s="80">
        <v>464</v>
      </c>
      <c r="N706" s="90">
        <f>L706+ROUND(M706, 2)</f>
        <v>477.32</v>
      </c>
      <c r="O706" s="62">
        <f>ROUND(L706*K706, 2)</f>
        <v>391.87</v>
      </c>
      <c r="P706" s="24">
        <f>ROUND(K706*ROUND(M706, 2), 2)</f>
        <v>13650.88</v>
      </c>
      <c r="Q706" s="24">
        <f>O706+P706</f>
        <v>14042.75</v>
      </c>
      <c r="R706" s="24">
        <f>IFERROR(ROUND(SUM(U707,U708)/K706, 2),0)</f>
        <v>13.32</v>
      </c>
      <c r="S706" s="24">
        <v>464</v>
      </c>
      <c r="T706" s="24">
        <f>R706+ROUND(S706, 2)</f>
        <v>477.32</v>
      </c>
      <c r="U706" s="24">
        <f>ROUND(R706*K706, 2)</f>
        <v>391.87</v>
      </c>
      <c r="V706" s="24">
        <f>ROUND(K706*ROUND(S706, 2), 2)</f>
        <v>13650.88</v>
      </c>
      <c r="W706" s="24">
        <f>U706+V706</f>
        <v>14042.75</v>
      </c>
    </row>
    <row r="707" spans="1:23" ht="36" x14ac:dyDescent="0.35">
      <c r="A707" s="20" t="s">
        <v>1135</v>
      </c>
      <c r="B707" s="20"/>
      <c r="C707" s="25" t="s">
        <v>235</v>
      </c>
      <c r="D707" s="22"/>
      <c r="E707" s="22"/>
      <c r="F707" s="26" t="s">
        <v>58</v>
      </c>
      <c r="G707" s="27">
        <v>0.15</v>
      </c>
      <c r="H707" s="132"/>
      <c r="I707" s="171"/>
      <c r="J707" s="142"/>
      <c r="K707" s="99">
        <v>4.4130000000000003</v>
      </c>
      <c r="L707" s="63">
        <v>88.8</v>
      </c>
      <c r="M707" s="29"/>
      <c r="N707" s="91"/>
      <c r="O707" s="63">
        <f>ROUND(ROUND(L707, 2)*K707, 2)</f>
        <v>391.87</v>
      </c>
      <c r="P707" s="29"/>
      <c r="Q707" s="29"/>
      <c r="R707" s="28">
        <v>88.8</v>
      </c>
      <c r="S707" s="29"/>
      <c r="T707" s="29"/>
      <c r="U707" s="28">
        <f>ROUND(ROUND(R707, 2)*K707, 2)</f>
        <v>391.87</v>
      </c>
      <c r="V707" s="29"/>
      <c r="W707" s="30"/>
    </row>
    <row r="708" spans="1:23" ht="54" x14ac:dyDescent="0.35">
      <c r="A708" s="20" t="s">
        <v>1136</v>
      </c>
      <c r="B708" s="20"/>
      <c r="C708" s="25" t="s">
        <v>1121</v>
      </c>
      <c r="D708" s="22"/>
      <c r="E708" s="22" t="s">
        <v>1137</v>
      </c>
      <c r="F708" s="26" t="s">
        <v>58</v>
      </c>
      <c r="G708" s="27">
        <v>0.3</v>
      </c>
      <c r="H708" s="132"/>
      <c r="I708" s="171"/>
      <c r="J708" s="142"/>
      <c r="K708" s="99">
        <v>8.8260000000000005</v>
      </c>
      <c r="L708" s="63">
        <v>0</v>
      </c>
      <c r="M708" s="29"/>
      <c r="N708" s="91"/>
      <c r="O708" s="63">
        <f>ROUND(ROUND(L708, 2)*K708, 2)</f>
        <v>0</v>
      </c>
      <c r="P708" s="29"/>
      <c r="Q708" s="29"/>
      <c r="R708" s="28">
        <v>0</v>
      </c>
      <c r="S708" s="29"/>
      <c r="T708" s="29"/>
      <c r="U708" s="28">
        <f>ROUND(ROUND(R708, 2)*K708, 2)</f>
        <v>0</v>
      </c>
      <c r="V708" s="29"/>
      <c r="W708" s="30"/>
    </row>
    <row r="709" spans="1:23" ht="36" x14ac:dyDescent="0.35">
      <c r="A709" s="20" t="s">
        <v>1138</v>
      </c>
      <c r="B709" s="20" t="s">
        <v>1100</v>
      </c>
      <c r="C709" s="21" t="s">
        <v>1101</v>
      </c>
      <c r="D709" s="22"/>
      <c r="E709" s="22" t="s">
        <v>1139</v>
      </c>
      <c r="F709" s="22" t="s">
        <v>55</v>
      </c>
      <c r="G709" s="23">
        <v>1</v>
      </c>
      <c r="H709" s="131"/>
      <c r="I709" s="171"/>
      <c r="J709" s="142"/>
      <c r="K709" s="98">
        <v>316.79000000000002</v>
      </c>
      <c r="L709" s="62">
        <f>IFERROR(ROUND(SUM(O710,O711)/K709, 2),0)</f>
        <v>13.32</v>
      </c>
      <c r="M709" s="80">
        <v>464</v>
      </c>
      <c r="N709" s="90">
        <f>L709+ROUND(M709, 2)</f>
        <v>477.32</v>
      </c>
      <c r="O709" s="62">
        <f>ROUND(L709*K709, 2)</f>
        <v>4219.6400000000003</v>
      </c>
      <c r="P709" s="24">
        <f>ROUND(K709*ROUND(M709, 2), 2)</f>
        <v>146990.56</v>
      </c>
      <c r="Q709" s="24">
        <f>O709+P709</f>
        <v>151210.20000000001</v>
      </c>
      <c r="R709" s="24">
        <f>IFERROR(ROUND(SUM(U710,U711)/K709, 2),0)</f>
        <v>13.32</v>
      </c>
      <c r="S709" s="24">
        <v>464</v>
      </c>
      <c r="T709" s="24">
        <f>R709+ROUND(S709, 2)</f>
        <v>477.32</v>
      </c>
      <c r="U709" s="24">
        <f>ROUND(R709*K709, 2)</f>
        <v>4219.6400000000003</v>
      </c>
      <c r="V709" s="24">
        <f>ROUND(K709*ROUND(S709, 2), 2)</f>
        <v>146990.56</v>
      </c>
      <c r="W709" s="24">
        <f>U709+V709</f>
        <v>151210.20000000001</v>
      </c>
    </row>
    <row r="710" spans="1:23" ht="36" x14ac:dyDescent="0.35">
      <c r="A710" s="20" t="s">
        <v>1140</v>
      </c>
      <c r="B710" s="20"/>
      <c r="C710" s="25" t="s">
        <v>235</v>
      </c>
      <c r="D710" s="22"/>
      <c r="E710" s="22"/>
      <c r="F710" s="26" t="s">
        <v>58</v>
      </c>
      <c r="G710" s="27">
        <v>0.15</v>
      </c>
      <c r="H710" s="132"/>
      <c r="I710" s="171"/>
      <c r="J710" s="142"/>
      <c r="K710" s="99">
        <v>47.518999999999998</v>
      </c>
      <c r="L710" s="63">
        <v>88.8</v>
      </c>
      <c r="M710" s="29"/>
      <c r="N710" s="91"/>
      <c r="O710" s="63">
        <f>ROUND(ROUND(L710, 2)*K710, 2)</f>
        <v>4219.6899999999996</v>
      </c>
      <c r="P710" s="29"/>
      <c r="Q710" s="29"/>
      <c r="R710" s="28">
        <v>88.8</v>
      </c>
      <c r="S710" s="29"/>
      <c r="T710" s="29"/>
      <c r="U710" s="28">
        <f>ROUND(ROUND(R710, 2)*K710, 2)</f>
        <v>4219.6899999999996</v>
      </c>
      <c r="V710" s="29"/>
      <c r="W710" s="30"/>
    </row>
    <row r="711" spans="1:23" ht="90" x14ac:dyDescent="0.35">
      <c r="A711" s="20" t="s">
        <v>1141</v>
      </c>
      <c r="B711" s="20"/>
      <c r="C711" s="25" t="s">
        <v>1104</v>
      </c>
      <c r="D711" s="22"/>
      <c r="E711" s="22" t="s">
        <v>1142</v>
      </c>
      <c r="F711" s="26" t="s">
        <v>58</v>
      </c>
      <c r="G711" s="27">
        <v>0.3</v>
      </c>
      <c r="H711" s="132"/>
      <c r="I711" s="171"/>
      <c r="J711" s="142"/>
      <c r="K711" s="99">
        <v>95.037000000000006</v>
      </c>
      <c r="L711" s="63">
        <v>0</v>
      </c>
      <c r="M711" s="29"/>
      <c r="N711" s="91"/>
      <c r="O711" s="63">
        <f>ROUND(ROUND(L711, 2)*K711, 2)</f>
        <v>0</v>
      </c>
      <c r="P711" s="29"/>
      <c r="Q711" s="29"/>
      <c r="R711" s="28">
        <v>0</v>
      </c>
      <c r="S711" s="29"/>
      <c r="T711" s="29"/>
      <c r="U711" s="28">
        <f>ROUND(ROUND(R711, 2)*K711, 2)</f>
        <v>0</v>
      </c>
      <c r="V711" s="29"/>
      <c r="W711" s="30"/>
    </row>
    <row r="712" spans="1:23" ht="36" x14ac:dyDescent="0.35">
      <c r="A712" s="20" t="s">
        <v>1143</v>
      </c>
      <c r="B712" s="20" t="s">
        <v>1100</v>
      </c>
      <c r="C712" s="21" t="s">
        <v>1101</v>
      </c>
      <c r="D712" s="22"/>
      <c r="E712" s="22" t="s">
        <v>1144</v>
      </c>
      <c r="F712" s="22" t="s">
        <v>55</v>
      </c>
      <c r="G712" s="23">
        <v>1</v>
      </c>
      <c r="H712" s="131"/>
      <c r="I712" s="171"/>
      <c r="J712" s="142"/>
      <c r="K712" s="98">
        <v>564.55999999999995</v>
      </c>
      <c r="L712" s="62">
        <f>IFERROR(ROUND(SUM(O713,O714)/K712, 2),0)</f>
        <v>13.32</v>
      </c>
      <c r="M712" s="80">
        <v>464</v>
      </c>
      <c r="N712" s="90">
        <f>L712+ROUND(M712, 2)</f>
        <v>477.32</v>
      </c>
      <c r="O712" s="62">
        <f>ROUND(L712*K712, 2)</f>
        <v>7519.94</v>
      </c>
      <c r="P712" s="24">
        <f>ROUND(K712*ROUND(M712, 2), 2)</f>
        <v>261955.84</v>
      </c>
      <c r="Q712" s="24">
        <f>O712+P712</f>
        <v>269475.77999999997</v>
      </c>
      <c r="R712" s="24">
        <f>IFERROR(ROUND(SUM(U713,U714)/K712, 2),0)</f>
        <v>13.32</v>
      </c>
      <c r="S712" s="24">
        <v>464</v>
      </c>
      <c r="T712" s="24">
        <f>R712+ROUND(S712, 2)</f>
        <v>477.32</v>
      </c>
      <c r="U712" s="24">
        <f>ROUND(R712*K712, 2)</f>
        <v>7519.94</v>
      </c>
      <c r="V712" s="24">
        <f>ROUND(K712*ROUND(S712, 2), 2)</f>
        <v>261955.84</v>
      </c>
      <c r="W712" s="24">
        <f>U712+V712</f>
        <v>269475.77999999997</v>
      </c>
    </row>
    <row r="713" spans="1:23" ht="36" x14ac:dyDescent="0.35">
      <c r="A713" s="20" t="s">
        <v>1145</v>
      </c>
      <c r="B713" s="20"/>
      <c r="C713" s="25" t="s">
        <v>235</v>
      </c>
      <c r="D713" s="22"/>
      <c r="E713" s="22"/>
      <c r="F713" s="26" t="s">
        <v>58</v>
      </c>
      <c r="G713" s="27">
        <v>0.15</v>
      </c>
      <c r="H713" s="132"/>
      <c r="I713" s="171"/>
      <c r="J713" s="142"/>
      <c r="K713" s="99">
        <v>84.683999999999997</v>
      </c>
      <c r="L713" s="63">
        <v>88.8</v>
      </c>
      <c r="M713" s="29"/>
      <c r="N713" s="91"/>
      <c r="O713" s="63">
        <f>ROUND(ROUND(L713, 2)*K713, 2)</f>
        <v>7519.94</v>
      </c>
      <c r="P713" s="29"/>
      <c r="Q713" s="29"/>
      <c r="R713" s="28">
        <v>88.8</v>
      </c>
      <c r="S713" s="29"/>
      <c r="T713" s="29"/>
      <c r="U713" s="28">
        <f>ROUND(ROUND(R713, 2)*K713, 2)</f>
        <v>7519.94</v>
      </c>
      <c r="V713" s="29"/>
      <c r="W713" s="30"/>
    </row>
    <row r="714" spans="1:23" ht="54" x14ac:dyDescent="0.35">
      <c r="A714" s="20" t="s">
        <v>1146</v>
      </c>
      <c r="B714" s="20"/>
      <c r="C714" s="25" t="s">
        <v>1121</v>
      </c>
      <c r="D714" s="22"/>
      <c r="E714" s="22" t="s">
        <v>1147</v>
      </c>
      <c r="F714" s="26" t="s">
        <v>58</v>
      </c>
      <c r="G714" s="27">
        <v>0.3</v>
      </c>
      <c r="H714" s="132"/>
      <c r="I714" s="171"/>
      <c r="J714" s="142"/>
      <c r="K714" s="99">
        <v>169.36799999999999</v>
      </c>
      <c r="L714" s="63">
        <v>0</v>
      </c>
      <c r="M714" s="29"/>
      <c r="N714" s="91"/>
      <c r="O714" s="63">
        <f>ROUND(ROUND(L714, 2)*K714, 2)</f>
        <v>0</v>
      </c>
      <c r="P714" s="29"/>
      <c r="Q714" s="29"/>
      <c r="R714" s="28">
        <v>0</v>
      </c>
      <c r="S714" s="29"/>
      <c r="T714" s="29"/>
      <c r="U714" s="28">
        <f>ROUND(ROUND(R714, 2)*K714, 2)</f>
        <v>0</v>
      </c>
      <c r="V714" s="29"/>
      <c r="W714" s="30"/>
    </row>
    <row r="715" spans="1:23" ht="36" x14ac:dyDescent="0.35">
      <c r="A715" s="20" t="s">
        <v>1148</v>
      </c>
      <c r="B715" s="20" t="s">
        <v>1100</v>
      </c>
      <c r="C715" s="21" t="s">
        <v>1101</v>
      </c>
      <c r="D715" s="22"/>
      <c r="E715" s="22" t="s">
        <v>1149</v>
      </c>
      <c r="F715" s="22" t="s">
        <v>55</v>
      </c>
      <c r="G715" s="23">
        <v>1</v>
      </c>
      <c r="H715" s="131"/>
      <c r="I715" s="171"/>
      <c r="J715" s="142"/>
      <c r="K715" s="98">
        <v>32.17</v>
      </c>
      <c r="L715" s="62">
        <f>IFERROR(ROUND(SUM(O716,O717)/K715, 2),0)</f>
        <v>12</v>
      </c>
      <c r="M715" s="80">
        <v>464</v>
      </c>
      <c r="N715" s="90">
        <f>L715+ROUND(M715, 2)</f>
        <v>476</v>
      </c>
      <c r="O715" s="62">
        <f>ROUND(L715*K715, 2)</f>
        <v>386.04</v>
      </c>
      <c r="P715" s="24">
        <f>ROUND(K715*ROUND(M715, 2), 2)</f>
        <v>14926.88</v>
      </c>
      <c r="Q715" s="24">
        <f>O715+P715</f>
        <v>15312.92</v>
      </c>
      <c r="R715" s="24">
        <f>IFERROR(ROUND(SUM(U716,U717)/K715, 2),0)</f>
        <v>12</v>
      </c>
      <c r="S715" s="24">
        <v>464</v>
      </c>
      <c r="T715" s="24">
        <f>R715+ROUND(S715, 2)</f>
        <v>476</v>
      </c>
      <c r="U715" s="24">
        <f>ROUND(R715*K715, 2)</f>
        <v>386.04</v>
      </c>
      <c r="V715" s="24">
        <f>ROUND(K715*ROUND(S715, 2), 2)</f>
        <v>14926.88</v>
      </c>
      <c r="W715" s="24">
        <f>U715+V715</f>
        <v>15312.92</v>
      </c>
    </row>
    <row r="716" spans="1:23" ht="36" x14ac:dyDescent="0.35">
      <c r="A716" s="20" t="s">
        <v>1150</v>
      </c>
      <c r="B716" s="20"/>
      <c r="C716" s="25" t="s">
        <v>1151</v>
      </c>
      <c r="D716" s="22"/>
      <c r="E716" s="22"/>
      <c r="F716" s="26" t="s">
        <v>58</v>
      </c>
      <c r="G716" s="27">
        <v>0.15</v>
      </c>
      <c r="H716" s="132"/>
      <c r="I716" s="171"/>
      <c r="J716" s="142"/>
      <c r="K716" s="99">
        <v>4.8259999999999996</v>
      </c>
      <c r="L716" s="63">
        <v>80</v>
      </c>
      <c r="M716" s="29"/>
      <c r="N716" s="91"/>
      <c r="O716" s="63">
        <f>ROUND(ROUND(L716, 2)*K716, 2)</f>
        <v>386.08</v>
      </c>
      <c r="P716" s="29"/>
      <c r="Q716" s="29"/>
      <c r="R716" s="28">
        <v>80</v>
      </c>
      <c r="S716" s="29"/>
      <c r="T716" s="29"/>
      <c r="U716" s="28">
        <f>ROUND(ROUND(R716, 2)*K716, 2)</f>
        <v>386.08</v>
      </c>
      <c r="V716" s="29"/>
      <c r="W716" s="30"/>
    </row>
    <row r="717" spans="1:23" ht="72" x14ac:dyDescent="0.35">
      <c r="A717" s="20" t="s">
        <v>1152</v>
      </c>
      <c r="B717" s="20"/>
      <c r="C717" s="25" t="s">
        <v>1121</v>
      </c>
      <c r="D717" s="22"/>
      <c r="E717" s="22" t="s">
        <v>1153</v>
      </c>
      <c r="F717" s="26" t="s">
        <v>58</v>
      </c>
      <c r="G717" s="27">
        <v>0.3</v>
      </c>
      <c r="H717" s="132"/>
      <c r="I717" s="171"/>
      <c r="J717" s="142"/>
      <c r="K717" s="99">
        <v>9.6509999999999998</v>
      </c>
      <c r="L717" s="63">
        <v>0</v>
      </c>
      <c r="M717" s="29"/>
      <c r="N717" s="91"/>
      <c r="O717" s="63">
        <f>ROUND(ROUND(L717, 2)*K717, 2)</f>
        <v>0</v>
      </c>
      <c r="P717" s="29"/>
      <c r="Q717" s="29"/>
      <c r="R717" s="28">
        <v>0</v>
      </c>
      <c r="S717" s="29"/>
      <c r="T717" s="29"/>
      <c r="U717" s="28">
        <f>ROUND(ROUND(R717, 2)*K717, 2)</f>
        <v>0</v>
      </c>
      <c r="V717" s="29"/>
      <c r="W717" s="30"/>
    </row>
    <row r="718" spans="1:23" ht="36" x14ac:dyDescent="0.35">
      <c r="A718" s="20" t="s">
        <v>1154</v>
      </c>
      <c r="B718" s="20" t="s">
        <v>1100</v>
      </c>
      <c r="C718" s="21" t="s">
        <v>1101</v>
      </c>
      <c r="D718" s="22"/>
      <c r="E718" s="22" t="s">
        <v>1155</v>
      </c>
      <c r="F718" s="22" t="s">
        <v>55</v>
      </c>
      <c r="G718" s="23">
        <v>1</v>
      </c>
      <c r="H718" s="131"/>
      <c r="I718" s="171"/>
      <c r="J718" s="142"/>
      <c r="K718" s="98">
        <v>38.729999999999997</v>
      </c>
      <c r="L718" s="62">
        <f>IFERROR(ROUND(SUM(O719,O720)/K718, 2),0)</f>
        <v>13.32</v>
      </c>
      <c r="M718" s="80">
        <v>464</v>
      </c>
      <c r="N718" s="90">
        <f>L718+ROUND(M718, 2)</f>
        <v>477.32</v>
      </c>
      <c r="O718" s="62">
        <f>ROUND(L718*K718, 2)</f>
        <v>515.88</v>
      </c>
      <c r="P718" s="24">
        <f>ROUND(K718*ROUND(M718, 2), 2)</f>
        <v>17970.72</v>
      </c>
      <c r="Q718" s="24">
        <f>O718+P718</f>
        <v>18486.600000000002</v>
      </c>
      <c r="R718" s="24">
        <f>IFERROR(ROUND(SUM(U719,U720)/K718, 2),0)</f>
        <v>13.32</v>
      </c>
      <c r="S718" s="24">
        <v>464</v>
      </c>
      <c r="T718" s="24">
        <f>R718+ROUND(S718, 2)</f>
        <v>477.32</v>
      </c>
      <c r="U718" s="24">
        <f>ROUND(R718*K718, 2)</f>
        <v>515.88</v>
      </c>
      <c r="V718" s="24">
        <f>ROUND(K718*ROUND(S718, 2), 2)</f>
        <v>17970.72</v>
      </c>
      <c r="W718" s="24">
        <f>U718+V718</f>
        <v>18486.600000000002</v>
      </c>
    </row>
    <row r="719" spans="1:23" ht="36" x14ac:dyDescent="0.35">
      <c r="A719" s="20" t="s">
        <v>1156</v>
      </c>
      <c r="B719" s="20"/>
      <c r="C719" s="25" t="s">
        <v>235</v>
      </c>
      <c r="D719" s="22"/>
      <c r="E719" s="22"/>
      <c r="F719" s="26" t="s">
        <v>58</v>
      </c>
      <c r="G719" s="27">
        <v>0.15</v>
      </c>
      <c r="H719" s="132"/>
      <c r="I719" s="171"/>
      <c r="J719" s="142"/>
      <c r="K719" s="99">
        <v>5.81</v>
      </c>
      <c r="L719" s="63">
        <v>88.8</v>
      </c>
      <c r="M719" s="29"/>
      <c r="N719" s="91"/>
      <c r="O719" s="63">
        <f>ROUND(ROUND(L719, 2)*K719, 2)</f>
        <v>515.92999999999995</v>
      </c>
      <c r="P719" s="29"/>
      <c r="Q719" s="29"/>
      <c r="R719" s="28">
        <v>88.8</v>
      </c>
      <c r="S719" s="29"/>
      <c r="T719" s="29"/>
      <c r="U719" s="28">
        <f>ROUND(ROUND(R719, 2)*K719, 2)</f>
        <v>515.92999999999995</v>
      </c>
      <c r="V719" s="29"/>
      <c r="W719" s="30"/>
    </row>
    <row r="720" spans="1:23" ht="54" x14ac:dyDescent="0.35">
      <c r="A720" s="20" t="s">
        <v>1157</v>
      </c>
      <c r="B720" s="20"/>
      <c r="C720" s="25" t="s">
        <v>1121</v>
      </c>
      <c r="D720" s="22"/>
      <c r="E720" s="22" t="s">
        <v>1158</v>
      </c>
      <c r="F720" s="26" t="s">
        <v>58</v>
      </c>
      <c r="G720" s="27">
        <v>0.3</v>
      </c>
      <c r="H720" s="132"/>
      <c r="I720" s="171"/>
      <c r="J720" s="142"/>
      <c r="K720" s="99">
        <v>11.619</v>
      </c>
      <c r="L720" s="63">
        <v>0</v>
      </c>
      <c r="M720" s="29"/>
      <c r="N720" s="91"/>
      <c r="O720" s="63">
        <f>ROUND(ROUND(L720, 2)*K720, 2)</f>
        <v>0</v>
      </c>
      <c r="P720" s="29"/>
      <c r="Q720" s="29"/>
      <c r="R720" s="28">
        <v>0</v>
      </c>
      <c r="S720" s="29"/>
      <c r="T720" s="29"/>
      <c r="U720" s="28">
        <f>ROUND(ROUND(R720, 2)*K720, 2)</f>
        <v>0</v>
      </c>
      <c r="V720" s="29"/>
      <c r="W720" s="30"/>
    </row>
    <row r="721" spans="1:23" ht="36" x14ac:dyDescent="0.35">
      <c r="A721" s="20" t="s">
        <v>1159</v>
      </c>
      <c r="B721" s="20" t="s">
        <v>1100</v>
      </c>
      <c r="C721" s="21" t="s">
        <v>1101</v>
      </c>
      <c r="D721" s="22"/>
      <c r="E721" s="22" t="s">
        <v>1134</v>
      </c>
      <c r="F721" s="22" t="s">
        <v>55</v>
      </c>
      <c r="G721" s="23">
        <v>1</v>
      </c>
      <c r="H721" s="131"/>
      <c r="I721" s="171"/>
      <c r="J721" s="142"/>
      <c r="K721" s="98">
        <v>38.74</v>
      </c>
      <c r="L721" s="62">
        <f>IFERROR(ROUND(SUM(O722,O723)/K721, 2),0)</f>
        <v>13.32</v>
      </c>
      <c r="M721" s="80">
        <v>464</v>
      </c>
      <c r="N721" s="90">
        <f>L721+ROUND(M721, 2)</f>
        <v>477.32</v>
      </c>
      <c r="O721" s="62">
        <f>ROUND(L721*K721, 2)</f>
        <v>516.02</v>
      </c>
      <c r="P721" s="24">
        <f>ROUND(K721*ROUND(M721, 2), 2)</f>
        <v>17975.36</v>
      </c>
      <c r="Q721" s="24">
        <f>O721+P721</f>
        <v>18491.38</v>
      </c>
      <c r="R721" s="24">
        <f>IFERROR(ROUND(SUM(U722,U723)/K721, 2),0)</f>
        <v>13.32</v>
      </c>
      <c r="S721" s="24">
        <v>464</v>
      </c>
      <c r="T721" s="24">
        <f>R721+ROUND(S721, 2)</f>
        <v>477.32</v>
      </c>
      <c r="U721" s="24">
        <f>ROUND(R721*K721, 2)</f>
        <v>516.02</v>
      </c>
      <c r="V721" s="24">
        <f>ROUND(K721*ROUND(S721, 2), 2)</f>
        <v>17975.36</v>
      </c>
      <c r="W721" s="24">
        <f>U721+V721</f>
        <v>18491.38</v>
      </c>
    </row>
    <row r="722" spans="1:23" ht="36" x14ac:dyDescent="0.35">
      <c r="A722" s="20" t="s">
        <v>1160</v>
      </c>
      <c r="B722" s="20"/>
      <c r="C722" s="25" t="s">
        <v>235</v>
      </c>
      <c r="D722" s="22"/>
      <c r="E722" s="22"/>
      <c r="F722" s="26" t="s">
        <v>58</v>
      </c>
      <c r="G722" s="27">
        <v>0.15</v>
      </c>
      <c r="H722" s="132"/>
      <c r="I722" s="171"/>
      <c r="J722" s="142"/>
      <c r="K722" s="99">
        <v>5.8109999999999999</v>
      </c>
      <c r="L722" s="63">
        <v>88.8</v>
      </c>
      <c r="M722" s="29"/>
      <c r="N722" s="91"/>
      <c r="O722" s="63">
        <f>ROUND(ROUND(L722, 2)*K722, 2)</f>
        <v>516.02</v>
      </c>
      <c r="P722" s="29"/>
      <c r="Q722" s="29"/>
      <c r="R722" s="28">
        <v>88.8</v>
      </c>
      <c r="S722" s="29"/>
      <c r="T722" s="29"/>
      <c r="U722" s="28">
        <f>ROUND(ROUND(R722, 2)*K722, 2)</f>
        <v>516.02</v>
      </c>
      <c r="V722" s="29"/>
      <c r="W722" s="30"/>
    </row>
    <row r="723" spans="1:23" ht="72" x14ac:dyDescent="0.35">
      <c r="A723" s="20" t="s">
        <v>1161</v>
      </c>
      <c r="B723" s="20"/>
      <c r="C723" s="25" t="s">
        <v>1121</v>
      </c>
      <c r="D723" s="22"/>
      <c r="E723" s="22" t="s">
        <v>1162</v>
      </c>
      <c r="F723" s="26" t="s">
        <v>58</v>
      </c>
      <c r="G723" s="27">
        <v>0.3</v>
      </c>
      <c r="H723" s="132"/>
      <c r="I723" s="171"/>
      <c r="J723" s="142"/>
      <c r="K723" s="99">
        <v>11.622</v>
      </c>
      <c r="L723" s="63">
        <v>0</v>
      </c>
      <c r="M723" s="29"/>
      <c r="N723" s="91"/>
      <c r="O723" s="63">
        <f>ROUND(ROUND(L723, 2)*K723, 2)</f>
        <v>0</v>
      </c>
      <c r="P723" s="29"/>
      <c r="Q723" s="29"/>
      <c r="R723" s="28">
        <v>0</v>
      </c>
      <c r="S723" s="29"/>
      <c r="T723" s="29"/>
      <c r="U723" s="28">
        <f>ROUND(ROUND(R723, 2)*K723, 2)</f>
        <v>0</v>
      </c>
      <c r="V723" s="29"/>
      <c r="W723" s="30"/>
    </row>
    <row r="724" spans="1:23" ht="36" x14ac:dyDescent="0.35">
      <c r="A724" s="20" t="s">
        <v>1163</v>
      </c>
      <c r="B724" s="20" t="s">
        <v>1100</v>
      </c>
      <c r="C724" s="21" t="s">
        <v>1101</v>
      </c>
      <c r="D724" s="22"/>
      <c r="E724" s="22" t="s">
        <v>1164</v>
      </c>
      <c r="F724" s="22" t="s">
        <v>55</v>
      </c>
      <c r="G724" s="23">
        <v>1</v>
      </c>
      <c r="H724" s="131"/>
      <c r="I724" s="171"/>
      <c r="J724" s="142"/>
      <c r="K724" s="98">
        <v>33.549999999999997</v>
      </c>
      <c r="L724" s="62">
        <f>IFERROR(ROUND(SUM(O725,O726)/K724, 2),0)</f>
        <v>13.32</v>
      </c>
      <c r="M724" s="80">
        <v>464</v>
      </c>
      <c r="N724" s="90">
        <f>L724+ROUND(M724, 2)</f>
        <v>477.32</v>
      </c>
      <c r="O724" s="62">
        <f>ROUND(L724*K724, 2)</f>
        <v>446.89</v>
      </c>
      <c r="P724" s="24">
        <f>ROUND(K724*ROUND(M724, 2), 2)</f>
        <v>15567.2</v>
      </c>
      <c r="Q724" s="24">
        <f>O724+P724</f>
        <v>16014.09</v>
      </c>
      <c r="R724" s="24">
        <f>IFERROR(ROUND(SUM(U725,U726)/K724, 2),0)</f>
        <v>13.32</v>
      </c>
      <c r="S724" s="24">
        <v>464</v>
      </c>
      <c r="T724" s="24">
        <f>R724+ROUND(S724, 2)</f>
        <v>477.32</v>
      </c>
      <c r="U724" s="24">
        <f>ROUND(R724*K724, 2)</f>
        <v>446.89</v>
      </c>
      <c r="V724" s="24">
        <f>ROUND(K724*ROUND(S724, 2), 2)</f>
        <v>15567.2</v>
      </c>
      <c r="W724" s="24">
        <f>U724+V724</f>
        <v>16014.09</v>
      </c>
    </row>
    <row r="725" spans="1:23" ht="36" x14ac:dyDescent="0.35">
      <c r="A725" s="20" t="s">
        <v>1165</v>
      </c>
      <c r="B725" s="20"/>
      <c r="C725" s="25" t="s">
        <v>235</v>
      </c>
      <c r="D725" s="22"/>
      <c r="E725" s="22"/>
      <c r="F725" s="26" t="s">
        <v>58</v>
      </c>
      <c r="G725" s="27">
        <v>0.15</v>
      </c>
      <c r="H725" s="132"/>
      <c r="I725" s="171"/>
      <c r="J725" s="142"/>
      <c r="K725" s="99">
        <v>5.0330000000000004</v>
      </c>
      <c r="L725" s="63">
        <v>88.8</v>
      </c>
      <c r="M725" s="29"/>
      <c r="N725" s="91"/>
      <c r="O725" s="63">
        <f>ROUND(ROUND(L725, 2)*K725, 2)</f>
        <v>446.93</v>
      </c>
      <c r="P725" s="29"/>
      <c r="Q725" s="29"/>
      <c r="R725" s="28">
        <v>88.8</v>
      </c>
      <c r="S725" s="29"/>
      <c r="T725" s="29"/>
      <c r="U725" s="28">
        <f>ROUND(ROUND(R725, 2)*K725, 2)</f>
        <v>446.93</v>
      </c>
      <c r="V725" s="29"/>
      <c r="W725" s="30"/>
    </row>
    <row r="726" spans="1:23" ht="54" x14ac:dyDescent="0.35">
      <c r="A726" s="20" t="s">
        <v>1166</v>
      </c>
      <c r="B726" s="20"/>
      <c r="C726" s="25" t="s">
        <v>1121</v>
      </c>
      <c r="D726" s="22"/>
      <c r="E726" s="22" t="s">
        <v>1167</v>
      </c>
      <c r="F726" s="26" t="s">
        <v>58</v>
      </c>
      <c r="G726" s="27">
        <v>0.3</v>
      </c>
      <c r="H726" s="132"/>
      <c r="I726" s="171"/>
      <c r="J726" s="142"/>
      <c r="K726" s="99">
        <v>10.065</v>
      </c>
      <c r="L726" s="63">
        <v>0</v>
      </c>
      <c r="M726" s="29"/>
      <c r="N726" s="91"/>
      <c r="O726" s="63">
        <f>ROUND(ROUND(L726, 2)*K726, 2)</f>
        <v>0</v>
      </c>
      <c r="P726" s="29"/>
      <c r="Q726" s="29"/>
      <c r="R726" s="28">
        <v>0</v>
      </c>
      <c r="S726" s="29"/>
      <c r="T726" s="29"/>
      <c r="U726" s="28">
        <f>ROUND(ROUND(R726, 2)*K726, 2)</f>
        <v>0</v>
      </c>
      <c r="V726" s="29"/>
      <c r="W726" s="30"/>
    </row>
    <row r="727" spans="1:23" ht="36" x14ac:dyDescent="0.35">
      <c r="A727" s="20" t="s">
        <v>1168</v>
      </c>
      <c r="B727" s="20" t="s">
        <v>1100</v>
      </c>
      <c r="C727" s="21" t="s">
        <v>1101</v>
      </c>
      <c r="D727" s="22"/>
      <c r="E727" s="22" t="s">
        <v>1169</v>
      </c>
      <c r="F727" s="22" t="s">
        <v>55</v>
      </c>
      <c r="G727" s="23">
        <v>1</v>
      </c>
      <c r="H727" s="131"/>
      <c r="I727" s="171"/>
      <c r="J727" s="142"/>
      <c r="K727" s="98">
        <v>1504.31</v>
      </c>
      <c r="L727" s="62">
        <f>IFERROR(ROUND(SUM(O728,O729)/K727, 2),0)</f>
        <v>13.32</v>
      </c>
      <c r="M727" s="80">
        <v>464</v>
      </c>
      <c r="N727" s="90">
        <f>L727+ROUND(M727, 2)</f>
        <v>477.32</v>
      </c>
      <c r="O727" s="62">
        <f>ROUND(L727*K727, 2)</f>
        <v>20037.41</v>
      </c>
      <c r="P727" s="24">
        <f>ROUND(K727*ROUND(M727, 2), 2)</f>
        <v>697999.84</v>
      </c>
      <c r="Q727" s="24">
        <f>O727+P727</f>
        <v>718037.25</v>
      </c>
      <c r="R727" s="24">
        <f>IFERROR(ROUND(SUM(U728,U729)/K727, 2),0)</f>
        <v>13.32</v>
      </c>
      <c r="S727" s="24">
        <v>464</v>
      </c>
      <c r="T727" s="24">
        <f>R727+ROUND(S727, 2)</f>
        <v>477.32</v>
      </c>
      <c r="U727" s="24">
        <f>ROUND(R727*K727, 2)</f>
        <v>20037.41</v>
      </c>
      <c r="V727" s="24">
        <f>ROUND(K727*ROUND(S727, 2), 2)</f>
        <v>697999.84</v>
      </c>
      <c r="W727" s="24">
        <f>U727+V727</f>
        <v>718037.25</v>
      </c>
    </row>
    <row r="728" spans="1:23" ht="36" x14ac:dyDescent="0.35">
      <c r="A728" s="20" t="s">
        <v>1170</v>
      </c>
      <c r="B728" s="20"/>
      <c r="C728" s="25" t="s">
        <v>235</v>
      </c>
      <c r="D728" s="22"/>
      <c r="E728" s="22"/>
      <c r="F728" s="26" t="s">
        <v>58</v>
      </c>
      <c r="G728" s="27">
        <v>0.15</v>
      </c>
      <c r="H728" s="132"/>
      <c r="I728" s="171"/>
      <c r="J728" s="142"/>
      <c r="K728" s="99">
        <v>225.64699999999999</v>
      </c>
      <c r="L728" s="63">
        <v>88.8</v>
      </c>
      <c r="M728" s="29"/>
      <c r="N728" s="91"/>
      <c r="O728" s="63">
        <f>ROUND(ROUND(L728, 2)*K728, 2)</f>
        <v>20037.45</v>
      </c>
      <c r="P728" s="29"/>
      <c r="Q728" s="29"/>
      <c r="R728" s="28">
        <v>88.8</v>
      </c>
      <c r="S728" s="29"/>
      <c r="T728" s="29"/>
      <c r="U728" s="28">
        <f>ROUND(ROUND(R728, 2)*K728, 2)</f>
        <v>20037.45</v>
      </c>
      <c r="V728" s="29"/>
      <c r="W728" s="30"/>
    </row>
    <row r="729" spans="1:23" ht="90" x14ac:dyDescent="0.35">
      <c r="A729" s="20" t="s">
        <v>1171</v>
      </c>
      <c r="B729" s="20"/>
      <c r="C729" s="25" t="s">
        <v>1121</v>
      </c>
      <c r="D729" s="22"/>
      <c r="E729" s="22" t="s">
        <v>1172</v>
      </c>
      <c r="F729" s="26" t="s">
        <v>58</v>
      </c>
      <c r="G729" s="27">
        <v>0.3</v>
      </c>
      <c r="H729" s="132"/>
      <c r="I729" s="171"/>
      <c r="J729" s="142"/>
      <c r="K729" s="99">
        <v>451.29300000000001</v>
      </c>
      <c r="L729" s="63">
        <v>0</v>
      </c>
      <c r="M729" s="29"/>
      <c r="N729" s="91"/>
      <c r="O729" s="63">
        <f>ROUND(ROUND(L729, 2)*K729, 2)</f>
        <v>0</v>
      </c>
      <c r="P729" s="29"/>
      <c r="Q729" s="29"/>
      <c r="R729" s="28">
        <v>0</v>
      </c>
      <c r="S729" s="29"/>
      <c r="T729" s="29"/>
      <c r="U729" s="28">
        <f>ROUND(ROUND(R729, 2)*K729, 2)</f>
        <v>0</v>
      </c>
      <c r="V729" s="29"/>
      <c r="W729" s="30"/>
    </row>
    <row r="730" spans="1:23" ht="36" x14ac:dyDescent="0.35">
      <c r="A730" s="20" t="s">
        <v>1173</v>
      </c>
      <c r="B730" s="20" t="s">
        <v>1100</v>
      </c>
      <c r="C730" s="21" t="s">
        <v>1101</v>
      </c>
      <c r="D730" s="22"/>
      <c r="E730" s="22" t="s">
        <v>1174</v>
      </c>
      <c r="F730" s="22" t="s">
        <v>55</v>
      </c>
      <c r="G730" s="23">
        <v>1</v>
      </c>
      <c r="H730" s="131"/>
      <c r="I730" s="171"/>
      <c r="J730" s="142"/>
      <c r="K730" s="98">
        <v>229.48</v>
      </c>
      <c r="L730" s="62">
        <f>IFERROR(ROUND(SUM(O731,O732)/K730, 2),0)</f>
        <v>13.32</v>
      </c>
      <c r="M730" s="80">
        <v>464</v>
      </c>
      <c r="N730" s="90">
        <f>L730+ROUND(M730, 2)</f>
        <v>477.32</v>
      </c>
      <c r="O730" s="62">
        <f>ROUND(L730*K730, 2)</f>
        <v>3056.67</v>
      </c>
      <c r="P730" s="24">
        <f>ROUND(K730*ROUND(M730, 2), 2)</f>
        <v>106478.72</v>
      </c>
      <c r="Q730" s="24">
        <f>O730+P730</f>
        <v>109535.39</v>
      </c>
      <c r="R730" s="24">
        <f>IFERROR(ROUND(SUM(U731,U732)/K730, 2),0)</f>
        <v>13.32</v>
      </c>
      <c r="S730" s="24">
        <v>464</v>
      </c>
      <c r="T730" s="24">
        <f>R730+ROUND(S730, 2)</f>
        <v>477.32</v>
      </c>
      <c r="U730" s="24">
        <f>ROUND(R730*K730, 2)</f>
        <v>3056.67</v>
      </c>
      <c r="V730" s="24">
        <f>ROUND(K730*ROUND(S730, 2), 2)</f>
        <v>106478.72</v>
      </c>
      <c r="W730" s="24">
        <f>U730+V730</f>
        <v>109535.39</v>
      </c>
    </row>
    <row r="731" spans="1:23" ht="36" x14ac:dyDescent="0.35">
      <c r="A731" s="20" t="s">
        <v>1175</v>
      </c>
      <c r="B731" s="20"/>
      <c r="C731" s="25" t="s">
        <v>235</v>
      </c>
      <c r="D731" s="22"/>
      <c r="E731" s="22"/>
      <c r="F731" s="26" t="s">
        <v>58</v>
      </c>
      <c r="G731" s="27">
        <v>0.15</v>
      </c>
      <c r="H731" s="132"/>
      <c r="I731" s="171"/>
      <c r="J731" s="142"/>
      <c r="K731" s="99">
        <v>34.421999999999997</v>
      </c>
      <c r="L731" s="63">
        <v>88.8</v>
      </c>
      <c r="M731" s="29"/>
      <c r="N731" s="91"/>
      <c r="O731" s="63">
        <f>ROUND(ROUND(L731, 2)*K731, 2)</f>
        <v>3056.67</v>
      </c>
      <c r="P731" s="29"/>
      <c r="Q731" s="29"/>
      <c r="R731" s="28">
        <v>88.8</v>
      </c>
      <c r="S731" s="29"/>
      <c r="T731" s="29"/>
      <c r="U731" s="28">
        <f>ROUND(ROUND(R731, 2)*K731, 2)</f>
        <v>3056.67</v>
      </c>
      <c r="V731" s="29"/>
      <c r="W731" s="30"/>
    </row>
    <row r="732" spans="1:23" ht="54" x14ac:dyDescent="0.35">
      <c r="A732" s="20" t="s">
        <v>1176</v>
      </c>
      <c r="B732" s="20"/>
      <c r="C732" s="25" t="s">
        <v>1104</v>
      </c>
      <c r="D732" s="22"/>
      <c r="E732" s="22" t="s">
        <v>1177</v>
      </c>
      <c r="F732" s="26" t="s">
        <v>58</v>
      </c>
      <c r="G732" s="27">
        <v>0.3</v>
      </c>
      <c r="H732" s="132"/>
      <c r="I732" s="171"/>
      <c r="J732" s="142"/>
      <c r="K732" s="99">
        <v>68.843999999999994</v>
      </c>
      <c r="L732" s="63">
        <v>0</v>
      </c>
      <c r="M732" s="29"/>
      <c r="N732" s="91"/>
      <c r="O732" s="63">
        <f>ROUND(ROUND(L732, 2)*K732, 2)</f>
        <v>0</v>
      </c>
      <c r="P732" s="29"/>
      <c r="Q732" s="29"/>
      <c r="R732" s="28">
        <v>0</v>
      </c>
      <c r="S732" s="29"/>
      <c r="T732" s="29"/>
      <c r="U732" s="28">
        <f>ROUND(ROUND(R732, 2)*K732, 2)</f>
        <v>0</v>
      </c>
      <c r="V732" s="29"/>
      <c r="W732" s="30"/>
    </row>
    <row r="733" spans="1:23" ht="36" x14ac:dyDescent="0.35">
      <c r="A733" s="20" t="s">
        <v>1178</v>
      </c>
      <c r="B733" s="20" t="s">
        <v>1100</v>
      </c>
      <c r="C733" s="21" t="s">
        <v>1101</v>
      </c>
      <c r="D733" s="22"/>
      <c r="E733" s="22" t="s">
        <v>1179</v>
      </c>
      <c r="F733" s="22" t="s">
        <v>55</v>
      </c>
      <c r="G733" s="23">
        <v>1</v>
      </c>
      <c r="H733" s="131"/>
      <c r="I733" s="171"/>
      <c r="J733" s="142"/>
      <c r="K733" s="98">
        <v>16.88</v>
      </c>
      <c r="L733" s="62">
        <f>IFERROR(ROUND(SUM(O734,O735)/K733, 2),0)</f>
        <v>13.32</v>
      </c>
      <c r="M733" s="80">
        <v>464</v>
      </c>
      <c r="N733" s="90">
        <f>L733+ROUND(M733, 2)</f>
        <v>477.32</v>
      </c>
      <c r="O733" s="62">
        <f>ROUND(L733*K733, 2)</f>
        <v>224.84</v>
      </c>
      <c r="P733" s="24">
        <f>ROUND(K733*ROUND(M733, 2), 2)</f>
        <v>7832.32</v>
      </c>
      <c r="Q733" s="24">
        <f>O733+P733</f>
        <v>8057.16</v>
      </c>
      <c r="R733" s="24">
        <f>IFERROR(ROUND(SUM(U734,U735)/K733, 2),0)</f>
        <v>13.32</v>
      </c>
      <c r="S733" s="24">
        <v>464</v>
      </c>
      <c r="T733" s="24">
        <f>R733+ROUND(S733, 2)</f>
        <v>477.32</v>
      </c>
      <c r="U733" s="24">
        <f>ROUND(R733*K733, 2)</f>
        <v>224.84</v>
      </c>
      <c r="V733" s="24">
        <f>ROUND(K733*ROUND(S733, 2), 2)</f>
        <v>7832.32</v>
      </c>
      <c r="W733" s="24">
        <f>U733+V733</f>
        <v>8057.16</v>
      </c>
    </row>
    <row r="734" spans="1:23" ht="36" x14ac:dyDescent="0.35">
      <c r="A734" s="20" t="s">
        <v>1180</v>
      </c>
      <c r="B734" s="20"/>
      <c r="C734" s="25" t="s">
        <v>235</v>
      </c>
      <c r="D734" s="22"/>
      <c r="E734" s="22"/>
      <c r="F734" s="26" t="s">
        <v>58</v>
      </c>
      <c r="G734" s="27">
        <v>0.15</v>
      </c>
      <c r="H734" s="132"/>
      <c r="I734" s="171"/>
      <c r="J734" s="142"/>
      <c r="K734" s="99">
        <v>2.532</v>
      </c>
      <c r="L734" s="63">
        <v>88.8</v>
      </c>
      <c r="M734" s="29"/>
      <c r="N734" s="91"/>
      <c r="O734" s="63">
        <f>ROUND(ROUND(L734, 2)*K734, 2)</f>
        <v>224.84</v>
      </c>
      <c r="P734" s="29"/>
      <c r="Q734" s="29"/>
      <c r="R734" s="28">
        <v>88.8</v>
      </c>
      <c r="S734" s="29"/>
      <c r="T734" s="29"/>
      <c r="U734" s="28">
        <f>ROUND(ROUND(R734, 2)*K734, 2)</f>
        <v>224.84</v>
      </c>
      <c r="V734" s="29"/>
      <c r="W734" s="30"/>
    </row>
    <row r="735" spans="1:23" ht="54" x14ac:dyDescent="0.35">
      <c r="A735" s="20" t="s">
        <v>1181</v>
      </c>
      <c r="B735" s="20"/>
      <c r="C735" s="25" t="s">
        <v>1104</v>
      </c>
      <c r="D735" s="22"/>
      <c r="E735" s="22" t="s">
        <v>1182</v>
      </c>
      <c r="F735" s="26" t="s">
        <v>58</v>
      </c>
      <c r="G735" s="27">
        <v>0.3</v>
      </c>
      <c r="H735" s="132"/>
      <c r="I735" s="171"/>
      <c r="J735" s="142"/>
      <c r="K735" s="99">
        <v>5.0640000000000001</v>
      </c>
      <c r="L735" s="63">
        <v>0</v>
      </c>
      <c r="M735" s="29"/>
      <c r="N735" s="91"/>
      <c r="O735" s="63">
        <f>ROUND(ROUND(L735, 2)*K735, 2)</f>
        <v>0</v>
      </c>
      <c r="P735" s="29"/>
      <c r="Q735" s="29"/>
      <c r="R735" s="28">
        <v>0</v>
      </c>
      <c r="S735" s="29"/>
      <c r="T735" s="29"/>
      <c r="U735" s="28">
        <f>ROUND(ROUND(R735, 2)*K735, 2)</f>
        <v>0</v>
      </c>
      <c r="V735" s="29"/>
      <c r="W735" s="30"/>
    </row>
    <row r="736" spans="1:23" ht="36" x14ac:dyDescent="0.35">
      <c r="A736" s="20" t="s">
        <v>1183</v>
      </c>
      <c r="B736" s="20" t="s">
        <v>1100</v>
      </c>
      <c r="C736" s="21" t="s">
        <v>1101</v>
      </c>
      <c r="D736" s="22"/>
      <c r="E736" s="22" t="s">
        <v>1184</v>
      </c>
      <c r="F736" s="22" t="s">
        <v>55</v>
      </c>
      <c r="G736" s="23">
        <v>1</v>
      </c>
      <c r="H736" s="131"/>
      <c r="I736" s="171"/>
      <c r="J736" s="142"/>
      <c r="K736" s="98">
        <v>107.24</v>
      </c>
      <c r="L736" s="62">
        <f>IFERROR(ROUND(SUM(O737,O738)/K736, 2),0)</f>
        <v>13.32</v>
      </c>
      <c r="M736" s="80">
        <v>464</v>
      </c>
      <c r="N736" s="90">
        <f>L736+ROUND(M736, 2)</f>
        <v>477.32</v>
      </c>
      <c r="O736" s="62">
        <f>ROUND(L736*K736, 2)</f>
        <v>1428.44</v>
      </c>
      <c r="P736" s="24">
        <f>ROUND(K736*ROUND(M736, 2), 2)</f>
        <v>49759.360000000001</v>
      </c>
      <c r="Q736" s="24">
        <f>O736+P736</f>
        <v>51187.8</v>
      </c>
      <c r="R736" s="24">
        <f>IFERROR(ROUND(SUM(U737,U738)/K736, 2),0)</f>
        <v>13.32</v>
      </c>
      <c r="S736" s="24">
        <v>464</v>
      </c>
      <c r="T736" s="24">
        <f>R736+ROUND(S736, 2)</f>
        <v>477.32</v>
      </c>
      <c r="U736" s="24">
        <f>ROUND(R736*K736, 2)</f>
        <v>1428.44</v>
      </c>
      <c r="V736" s="24">
        <f>ROUND(K736*ROUND(S736, 2), 2)</f>
        <v>49759.360000000001</v>
      </c>
      <c r="W736" s="24">
        <f>U736+V736</f>
        <v>51187.8</v>
      </c>
    </row>
    <row r="737" spans="1:23" ht="36" x14ac:dyDescent="0.35">
      <c r="A737" s="20" t="s">
        <v>1185</v>
      </c>
      <c r="B737" s="20"/>
      <c r="C737" s="25" t="s">
        <v>235</v>
      </c>
      <c r="D737" s="22"/>
      <c r="E737" s="22"/>
      <c r="F737" s="26" t="s">
        <v>58</v>
      </c>
      <c r="G737" s="27">
        <v>0.15</v>
      </c>
      <c r="H737" s="132"/>
      <c r="I737" s="171"/>
      <c r="J737" s="142"/>
      <c r="K737" s="99">
        <v>16.085999999999999</v>
      </c>
      <c r="L737" s="63">
        <v>88.8</v>
      </c>
      <c r="M737" s="29"/>
      <c r="N737" s="91"/>
      <c r="O737" s="63">
        <f>ROUND(ROUND(L737, 2)*K737, 2)</f>
        <v>1428.44</v>
      </c>
      <c r="P737" s="29"/>
      <c r="Q737" s="29"/>
      <c r="R737" s="28">
        <v>88.8</v>
      </c>
      <c r="S737" s="29"/>
      <c r="T737" s="29"/>
      <c r="U737" s="28">
        <f>ROUND(ROUND(R737, 2)*K737, 2)</f>
        <v>1428.44</v>
      </c>
      <c r="V737" s="29"/>
      <c r="W737" s="30"/>
    </row>
    <row r="738" spans="1:23" ht="54" x14ac:dyDescent="0.35">
      <c r="A738" s="20" t="s">
        <v>1186</v>
      </c>
      <c r="B738" s="20"/>
      <c r="C738" s="25" t="s">
        <v>1121</v>
      </c>
      <c r="D738" s="22"/>
      <c r="E738" s="22" t="s">
        <v>1187</v>
      </c>
      <c r="F738" s="26" t="s">
        <v>58</v>
      </c>
      <c r="G738" s="27">
        <v>0.3</v>
      </c>
      <c r="H738" s="132"/>
      <c r="I738" s="171"/>
      <c r="J738" s="142"/>
      <c r="K738" s="99">
        <v>32.171999999999997</v>
      </c>
      <c r="L738" s="63">
        <v>0</v>
      </c>
      <c r="M738" s="29"/>
      <c r="N738" s="91"/>
      <c r="O738" s="63">
        <f>ROUND(ROUND(L738, 2)*K738, 2)</f>
        <v>0</v>
      </c>
      <c r="P738" s="29"/>
      <c r="Q738" s="29"/>
      <c r="R738" s="28">
        <v>0</v>
      </c>
      <c r="S738" s="29"/>
      <c r="T738" s="29"/>
      <c r="U738" s="28">
        <f>ROUND(ROUND(R738, 2)*K738, 2)</f>
        <v>0</v>
      </c>
      <c r="V738" s="29"/>
      <c r="W738" s="30"/>
    </row>
    <row r="739" spans="1:23" ht="36" x14ac:dyDescent="0.35">
      <c r="A739" s="20" t="s">
        <v>1188</v>
      </c>
      <c r="B739" s="20" t="s">
        <v>1100</v>
      </c>
      <c r="C739" s="21" t="s">
        <v>1101</v>
      </c>
      <c r="D739" s="22"/>
      <c r="E739" s="22" t="s">
        <v>1189</v>
      </c>
      <c r="F739" s="22" t="s">
        <v>55</v>
      </c>
      <c r="G739" s="23">
        <v>1</v>
      </c>
      <c r="H739" s="131"/>
      <c r="I739" s="171"/>
      <c r="J739" s="142"/>
      <c r="K739" s="98">
        <v>3.42</v>
      </c>
      <c r="L739" s="62">
        <f>IFERROR(ROUND(SUM(O740,O741)/K739, 2),0)</f>
        <v>13.32</v>
      </c>
      <c r="M739" s="80">
        <v>464</v>
      </c>
      <c r="N739" s="90">
        <f>L739+ROUND(M739, 2)</f>
        <v>477.32</v>
      </c>
      <c r="O739" s="62">
        <f>ROUND(L739*K739, 2)</f>
        <v>45.55</v>
      </c>
      <c r="P739" s="24">
        <f>ROUND(K739*ROUND(M739, 2), 2)</f>
        <v>1586.88</v>
      </c>
      <c r="Q739" s="24">
        <f>O739+P739</f>
        <v>1632.43</v>
      </c>
      <c r="R739" s="24">
        <f>IFERROR(ROUND(SUM(U740,U741)/K739, 2),0)</f>
        <v>13.32</v>
      </c>
      <c r="S739" s="24">
        <v>464</v>
      </c>
      <c r="T739" s="24">
        <f>R739+ROUND(S739, 2)</f>
        <v>477.32</v>
      </c>
      <c r="U739" s="24">
        <f>ROUND(R739*K739, 2)</f>
        <v>45.55</v>
      </c>
      <c r="V739" s="24">
        <f>ROUND(K739*ROUND(S739, 2), 2)</f>
        <v>1586.88</v>
      </c>
      <c r="W739" s="24">
        <f>U739+V739</f>
        <v>1632.43</v>
      </c>
    </row>
    <row r="740" spans="1:23" ht="36" x14ac:dyDescent="0.35">
      <c r="A740" s="20" t="s">
        <v>1190</v>
      </c>
      <c r="B740" s="20"/>
      <c r="C740" s="25" t="s">
        <v>235</v>
      </c>
      <c r="D740" s="22"/>
      <c r="E740" s="22"/>
      <c r="F740" s="26" t="s">
        <v>58</v>
      </c>
      <c r="G740" s="27">
        <v>0.15</v>
      </c>
      <c r="H740" s="132"/>
      <c r="I740" s="171"/>
      <c r="J740" s="142"/>
      <c r="K740" s="99">
        <v>0.51300000000000001</v>
      </c>
      <c r="L740" s="63">
        <v>88.8</v>
      </c>
      <c r="M740" s="29"/>
      <c r="N740" s="91"/>
      <c r="O740" s="63">
        <f>ROUND(ROUND(L740, 2)*K740, 2)</f>
        <v>45.55</v>
      </c>
      <c r="P740" s="29"/>
      <c r="Q740" s="29"/>
      <c r="R740" s="28">
        <v>88.8</v>
      </c>
      <c r="S740" s="29"/>
      <c r="T740" s="29"/>
      <c r="U740" s="28">
        <f>ROUND(ROUND(R740, 2)*K740, 2)</f>
        <v>45.55</v>
      </c>
      <c r="V740" s="29"/>
      <c r="W740" s="30"/>
    </row>
    <row r="741" spans="1:23" ht="54" x14ac:dyDescent="0.35">
      <c r="A741" s="20" t="s">
        <v>1191</v>
      </c>
      <c r="B741" s="20"/>
      <c r="C741" s="25" t="s">
        <v>1121</v>
      </c>
      <c r="D741" s="22"/>
      <c r="E741" s="22" t="s">
        <v>1192</v>
      </c>
      <c r="F741" s="26" t="s">
        <v>58</v>
      </c>
      <c r="G741" s="27">
        <v>0.3</v>
      </c>
      <c r="H741" s="132"/>
      <c r="I741" s="171"/>
      <c r="J741" s="142"/>
      <c r="K741" s="99">
        <v>1.026</v>
      </c>
      <c r="L741" s="63">
        <v>0</v>
      </c>
      <c r="M741" s="29"/>
      <c r="N741" s="91"/>
      <c r="O741" s="63">
        <f>ROUND(ROUND(L741, 2)*K741, 2)</f>
        <v>0</v>
      </c>
      <c r="P741" s="29"/>
      <c r="Q741" s="29"/>
      <c r="R741" s="28">
        <v>0</v>
      </c>
      <c r="S741" s="29"/>
      <c r="T741" s="29"/>
      <c r="U741" s="28">
        <f>ROUND(ROUND(R741, 2)*K741, 2)</f>
        <v>0</v>
      </c>
      <c r="V741" s="29"/>
      <c r="W741" s="30"/>
    </row>
    <row r="742" spans="1:23" ht="36" x14ac:dyDescent="0.35">
      <c r="A742" s="20" t="s">
        <v>1193</v>
      </c>
      <c r="B742" s="20" t="s">
        <v>1100</v>
      </c>
      <c r="C742" s="21" t="s">
        <v>1101</v>
      </c>
      <c r="D742" s="22"/>
      <c r="E742" s="22" t="s">
        <v>1194</v>
      </c>
      <c r="F742" s="22" t="s">
        <v>55</v>
      </c>
      <c r="G742" s="23">
        <v>1</v>
      </c>
      <c r="H742" s="131"/>
      <c r="I742" s="171"/>
      <c r="J742" s="142"/>
      <c r="K742" s="98">
        <v>92.54</v>
      </c>
      <c r="L742" s="62">
        <f>IFERROR(ROUND(SUM(O743,O744)/K742, 2),0)</f>
        <v>13.32</v>
      </c>
      <c r="M742" s="80">
        <v>464</v>
      </c>
      <c r="N742" s="90">
        <f>L742+ROUND(M742, 2)</f>
        <v>477.32</v>
      </c>
      <c r="O742" s="62">
        <f>ROUND(L742*K742, 2)</f>
        <v>1232.6300000000001</v>
      </c>
      <c r="P742" s="24">
        <f>ROUND(K742*ROUND(M742, 2), 2)</f>
        <v>42938.559999999998</v>
      </c>
      <c r="Q742" s="24">
        <f>O742+P742</f>
        <v>44171.189999999995</v>
      </c>
      <c r="R742" s="24">
        <f>IFERROR(ROUND(SUM(U743,U744)/K742, 2),0)</f>
        <v>13.32</v>
      </c>
      <c r="S742" s="24">
        <v>464</v>
      </c>
      <c r="T742" s="24">
        <f>R742+ROUND(S742, 2)</f>
        <v>477.32</v>
      </c>
      <c r="U742" s="24">
        <f>ROUND(R742*K742, 2)</f>
        <v>1232.6300000000001</v>
      </c>
      <c r="V742" s="24">
        <f>ROUND(K742*ROUND(S742, 2), 2)</f>
        <v>42938.559999999998</v>
      </c>
      <c r="W742" s="24">
        <f>U742+V742</f>
        <v>44171.189999999995</v>
      </c>
    </row>
    <row r="743" spans="1:23" ht="36" x14ac:dyDescent="0.35">
      <c r="A743" s="20" t="s">
        <v>1195</v>
      </c>
      <c r="B743" s="20"/>
      <c r="C743" s="25" t="s">
        <v>235</v>
      </c>
      <c r="D743" s="22"/>
      <c r="E743" s="22"/>
      <c r="F743" s="26" t="s">
        <v>58</v>
      </c>
      <c r="G743" s="27">
        <v>0.15</v>
      </c>
      <c r="H743" s="132"/>
      <c r="I743" s="171"/>
      <c r="J743" s="142"/>
      <c r="K743" s="99">
        <v>13.881</v>
      </c>
      <c r="L743" s="63">
        <v>88.8</v>
      </c>
      <c r="M743" s="29"/>
      <c r="N743" s="91"/>
      <c r="O743" s="63">
        <f>ROUND(ROUND(L743, 2)*K743, 2)</f>
        <v>1232.6300000000001</v>
      </c>
      <c r="P743" s="29"/>
      <c r="Q743" s="29"/>
      <c r="R743" s="28">
        <v>88.8</v>
      </c>
      <c r="S743" s="29"/>
      <c r="T743" s="29"/>
      <c r="U743" s="28">
        <f>ROUND(ROUND(R743, 2)*K743, 2)</f>
        <v>1232.6300000000001</v>
      </c>
      <c r="V743" s="29"/>
      <c r="W743" s="30"/>
    </row>
    <row r="744" spans="1:23" ht="54" x14ac:dyDescent="0.35">
      <c r="A744" s="20" t="s">
        <v>1196</v>
      </c>
      <c r="B744" s="20"/>
      <c r="C744" s="25" t="s">
        <v>1121</v>
      </c>
      <c r="D744" s="22"/>
      <c r="E744" s="22" t="s">
        <v>1197</v>
      </c>
      <c r="F744" s="26" t="s">
        <v>58</v>
      </c>
      <c r="G744" s="27">
        <v>0.3</v>
      </c>
      <c r="H744" s="132"/>
      <c r="I744" s="171"/>
      <c r="J744" s="142"/>
      <c r="K744" s="99">
        <v>27.762</v>
      </c>
      <c r="L744" s="63">
        <v>0</v>
      </c>
      <c r="M744" s="29"/>
      <c r="N744" s="91"/>
      <c r="O744" s="63">
        <f>ROUND(ROUND(L744, 2)*K744, 2)</f>
        <v>0</v>
      </c>
      <c r="P744" s="29"/>
      <c r="Q744" s="29"/>
      <c r="R744" s="28">
        <v>0</v>
      </c>
      <c r="S744" s="29"/>
      <c r="T744" s="29"/>
      <c r="U744" s="28">
        <f>ROUND(ROUND(R744, 2)*K744, 2)</f>
        <v>0</v>
      </c>
      <c r="V744" s="29"/>
      <c r="W744" s="30"/>
    </row>
    <row r="745" spans="1:23" ht="36" x14ac:dyDescent="0.35">
      <c r="A745" s="20" t="s">
        <v>1198</v>
      </c>
      <c r="B745" s="20" t="s">
        <v>1100</v>
      </c>
      <c r="C745" s="21" t="s">
        <v>1101</v>
      </c>
      <c r="D745" s="22"/>
      <c r="E745" s="22" t="s">
        <v>1199</v>
      </c>
      <c r="F745" s="22" t="s">
        <v>55</v>
      </c>
      <c r="G745" s="23">
        <v>1</v>
      </c>
      <c r="H745" s="131"/>
      <c r="I745" s="171"/>
      <c r="J745" s="142"/>
      <c r="K745" s="98">
        <v>67.19</v>
      </c>
      <c r="L745" s="62">
        <f>IFERROR(ROUND(SUM(O746,O747)/K745, 2),0)</f>
        <v>13.32</v>
      </c>
      <c r="M745" s="80">
        <v>464</v>
      </c>
      <c r="N745" s="90">
        <f>L745+ROUND(M745, 2)</f>
        <v>477.32</v>
      </c>
      <c r="O745" s="62">
        <f>ROUND(L745*K745, 2)</f>
        <v>894.97</v>
      </c>
      <c r="P745" s="24">
        <f>ROUND(K745*ROUND(M745, 2), 2)</f>
        <v>31176.16</v>
      </c>
      <c r="Q745" s="24">
        <f>O745+P745</f>
        <v>32071.13</v>
      </c>
      <c r="R745" s="24">
        <f>IFERROR(ROUND(SUM(U746,U747)/K745, 2),0)</f>
        <v>13.32</v>
      </c>
      <c r="S745" s="24">
        <v>464</v>
      </c>
      <c r="T745" s="24">
        <f>R745+ROUND(S745, 2)</f>
        <v>477.32</v>
      </c>
      <c r="U745" s="24">
        <f>ROUND(R745*K745, 2)</f>
        <v>894.97</v>
      </c>
      <c r="V745" s="24">
        <f>ROUND(K745*ROUND(S745, 2), 2)</f>
        <v>31176.16</v>
      </c>
      <c r="W745" s="24">
        <f>U745+V745</f>
        <v>32071.13</v>
      </c>
    </row>
    <row r="746" spans="1:23" ht="36" x14ac:dyDescent="0.35">
      <c r="A746" s="20" t="s">
        <v>1200</v>
      </c>
      <c r="B746" s="20"/>
      <c r="C746" s="25" t="s">
        <v>235</v>
      </c>
      <c r="D746" s="22"/>
      <c r="E746" s="22"/>
      <c r="F746" s="26" t="s">
        <v>58</v>
      </c>
      <c r="G746" s="27">
        <v>0.15</v>
      </c>
      <c r="H746" s="132"/>
      <c r="I746" s="171"/>
      <c r="J746" s="142"/>
      <c r="K746" s="99">
        <v>10.079000000000001</v>
      </c>
      <c r="L746" s="63">
        <v>88.8</v>
      </c>
      <c r="M746" s="29"/>
      <c r="N746" s="91"/>
      <c r="O746" s="63">
        <f>ROUND(ROUND(L746, 2)*K746, 2)</f>
        <v>895.02</v>
      </c>
      <c r="P746" s="29"/>
      <c r="Q746" s="29"/>
      <c r="R746" s="28">
        <v>88.8</v>
      </c>
      <c r="S746" s="29"/>
      <c r="T746" s="29"/>
      <c r="U746" s="28">
        <f>ROUND(ROUND(R746, 2)*K746, 2)</f>
        <v>895.02</v>
      </c>
      <c r="V746" s="29"/>
      <c r="W746" s="30"/>
    </row>
    <row r="747" spans="1:23" ht="36" x14ac:dyDescent="0.35">
      <c r="A747" s="20" t="s">
        <v>1201</v>
      </c>
      <c r="B747" s="20"/>
      <c r="C747" s="25" t="s">
        <v>1121</v>
      </c>
      <c r="D747" s="22"/>
      <c r="E747" s="22" t="s">
        <v>1202</v>
      </c>
      <c r="F747" s="26" t="s">
        <v>58</v>
      </c>
      <c r="G747" s="27">
        <v>0.3</v>
      </c>
      <c r="H747" s="132"/>
      <c r="I747" s="171"/>
      <c r="J747" s="142"/>
      <c r="K747" s="99">
        <v>20.157</v>
      </c>
      <c r="L747" s="63">
        <v>0</v>
      </c>
      <c r="M747" s="29"/>
      <c r="N747" s="91"/>
      <c r="O747" s="63">
        <f>ROUND(ROUND(L747, 2)*K747, 2)</f>
        <v>0</v>
      </c>
      <c r="P747" s="29"/>
      <c r="Q747" s="29"/>
      <c r="R747" s="28">
        <v>0</v>
      </c>
      <c r="S747" s="29"/>
      <c r="T747" s="29"/>
      <c r="U747" s="28">
        <f>ROUND(ROUND(R747, 2)*K747, 2)</f>
        <v>0</v>
      </c>
      <c r="V747" s="29"/>
      <c r="W747" s="30"/>
    </row>
    <row r="748" spans="1:23" ht="36" x14ac:dyDescent="0.35">
      <c r="A748" s="20" t="s">
        <v>1203</v>
      </c>
      <c r="B748" s="20" t="s">
        <v>1100</v>
      </c>
      <c r="C748" s="21" t="s">
        <v>1101</v>
      </c>
      <c r="D748" s="22"/>
      <c r="E748" s="22" t="s">
        <v>1204</v>
      </c>
      <c r="F748" s="22" t="s">
        <v>55</v>
      </c>
      <c r="G748" s="23">
        <v>1</v>
      </c>
      <c r="H748" s="131"/>
      <c r="I748" s="171"/>
      <c r="J748" s="142"/>
      <c r="K748" s="98">
        <v>357.68</v>
      </c>
      <c r="L748" s="62">
        <f>IFERROR(ROUND(SUM(O749,O750)/K748, 2),0)</f>
        <v>13.32</v>
      </c>
      <c r="M748" s="80">
        <v>464</v>
      </c>
      <c r="N748" s="90">
        <f>L748+ROUND(M748, 2)</f>
        <v>477.32</v>
      </c>
      <c r="O748" s="62">
        <f>ROUND(L748*K748, 2)</f>
        <v>4764.3</v>
      </c>
      <c r="P748" s="24">
        <f>ROUND(K748*ROUND(M748, 2), 2)</f>
        <v>165963.51999999999</v>
      </c>
      <c r="Q748" s="24">
        <f>O748+P748</f>
        <v>170727.81999999998</v>
      </c>
      <c r="R748" s="24">
        <f>IFERROR(ROUND(SUM(U749,U750)/K748, 2),0)</f>
        <v>13.32</v>
      </c>
      <c r="S748" s="24">
        <v>464</v>
      </c>
      <c r="T748" s="24">
        <f>R748+ROUND(S748, 2)</f>
        <v>477.32</v>
      </c>
      <c r="U748" s="24">
        <f>ROUND(R748*K748, 2)</f>
        <v>4764.3</v>
      </c>
      <c r="V748" s="24">
        <f>ROUND(K748*ROUND(S748, 2), 2)</f>
        <v>165963.51999999999</v>
      </c>
      <c r="W748" s="24">
        <f>U748+V748</f>
        <v>170727.81999999998</v>
      </c>
    </row>
    <row r="749" spans="1:23" ht="36" x14ac:dyDescent="0.35">
      <c r="A749" s="20" t="s">
        <v>1205</v>
      </c>
      <c r="B749" s="20"/>
      <c r="C749" s="25" t="s">
        <v>235</v>
      </c>
      <c r="D749" s="22"/>
      <c r="E749" s="22"/>
      <c r="F749" s="26" t="s">
        <v>58</v>
      </c>
      <c r="G749" s="27">
        <v>0.15</v>
      </c>
      <c r="H749" s="132"/>
      <c r="I749" s="171"/>
      <c r="J749" s="142"/>
      <c r="K749" s="99">
        <v>53.652000000000001</v>
      </c>
      <c r="L749" s="63">
        <v>88.8</v>
      </c>
      <c r="M749" s="29"/>
      <c r="N749" s="91"/>
      <c r="O749" s="63">
        <f>ROUND(ROUND(L749, 2)*K749, 2)</f>
        <v>4764.3</v>
      </c>
      <c r="P749" s="29"/>
      <c r="Q749" s="29"/>
      <c r="R749" s="28">
        <v>88.8</v>
      </c>
      <c r="S749" s="29"/>
      <c r="T749" s="29"/>
      <c r="U749" s="28">
        <f>ROUND(ROUND(R749, 2)*K749, 2)</f>
        <v>4764.3</v>
      </c>
      <c r="V749" s="29"/>
      <c r="W749" s="30"/>
    </row>
    <row r="750" spans="1:23" ht="72" x14ac:dyDescent="0.35">
      <c r="A750" s="20" t="s">
        <v>1206</v>
      </c>
      <c r="B750" s="20"/>
      <c r="C750" s="25" t="s">
        <v>1104</v>
      </c>
      <c r="D750" s="22"/>
      <c r="E750" s="22" t="s">
        <v>1116</v>
      </c>
      <c r="F750" s="26" t="s">
        <v>58</v>
      </c>
      <c r="G750" s="27">
        <v>0.3</v>
      </c>
      <c r="H750" s="132"/>
      <c r="I750" s="171"/>
      <c r="J750" s="142"/>
      <c r="K750" s="99">
        <v>107.304</v>
      </c>
      <c r="L750" s="63">
        <v>0</v>
      </c>
      <c r="M750" s="29"/>
      <c r="N750" s="91"/>
      <c r="O750" s="63">
        <f>ROUND(ROUND(L750, 2)*K750, 2)</f>
        <v>0</v>
      </c>
      <c r="P750" s="29"/>
      <c r="Q750" s="29"/>
      <c r="R750" s="28">
        <v>0</v>
      </c>
      <c r="S750" s="29"/>
      <c r="T750" s="29"/>
      <c r="U750" s="28">
        <f>ROUND(ROUND(R750, 2)*K750, 2)</f>
        <v>0</v>
      </c>
      <c r="V750" s="29"/>
      <c r="W750" s="30"/>
    </row>
    <row r="751" spans="1:23" ht="36" x14ac:dyDescent="0.35">
      <c r="A751" s="20" t="s">
        <v>1207</v>
      </c>
      <c r="B751" s="20" t="s">
        <v>1100</v>
      </c>
      <c r="C751" s="21" t="s">
        <v>1101</v>
      </c>
      <c r="D751" s="22"/>
      <c r="E751" s="22" t="s">
        <v>1208</v>
      </c>
      <c r="F751" s="22" t="s">
        <v>55</v>
      </c>
      <c r="G751" s="23">
        <v>1</v>
      </c>
      <c r="H751" s="131"/>
      <c r="I751" s="171"/>
      <c r="J751" s="142"/>
      <c r="K751" s="98">
        <v>577.95000000000005</v>
      </c>
      <c r="L751" s="62">
        <f>IFERROR(ROUND(SUM(O752,O753)/K751, 2),0)</f>
        <v>13.32</v>
      </c>
      <c r="M751" s="80">
        <v>464</v>
      </c>
      <c r="N751" s="90">
        <f>L751+ROUND(M751, 2)</f>
        <v>477.32</v>
      </c>
      <c r="O751" s="62">
        <f>ROUND(L751*K751, 2)</f>
        <v>7698.29</v>
      </c>
      <c r="P751" s="24">
        <f>ROUND(K751*ROUND(M751, 2), 2)</f>
        <v>268168.8</v>
      </c>
      <c r="Q751" s="24">
        <f>O751+P751</f>
        <v>275867.08999999997</v>
      </c>
      <c r="R751" s="24">
        <f>IFERROR(ROUND(SUM(U752,U753)/K751, 2),0)</f>
        <v>13.32</v>
      </c>
      <c r="S751" s="24">
        <v>464</v>
      </c>
      <c r="T751" s="24">
        <f>R751+ROUND(S751, 2)</f>
        <v>477.32</v>
      </c>
      <c r="U751" s="24">
        <f>ROUND(R751*K751, 2)</f>
        <v>7698.29</v>
      </c>
      <c r="V751" s="24">
        <f>ROUND(K751*ROUND(S751, 2), 2)</f>
        <v>268168.8</v>
      </c>
      <c r="W751" s="24">
        <f>U751+V751</f>
        <v>275867.08999999997</v>
      </c>
    </row>
    <row r="752" spans="1:23" ht="36" x14ac:dyDescent="0.35">
      <c r="A752" s="20" t="s">
        <v>1209</v>
      </c>
      <c r="B752" s="20"/>
      <c r="C752" s="25" t="s">
        <v>235</v>
      </c>
      <c r="D752" s="22"/>
      <c r="E752" s="22"/>
      <c r="F752" s="26" t="s">
        <v>58</v>
      </c>
      <c r="G752" s="27">
        <v>0.15</v>
      </c>
      <c r="H752" s="132"/>
      <c r="I752" s="171"/>
      <c r="J752" s="142"/>
      <c r="K752" s="99">
        <v>86.692999999999998</v>
      </c>
      <c r="L752" s="63">
        <v>88.8</v>
      </c>
      <c r="M752" s="29"/>
      <c r="N752" s="91"/>
      <c r="O752" s="63">
        <f>ROUND(ROUND(L752, 2)*K752, 2)</f>
        <v>7698.34</v>
      </c>
      <c r="P752" s="29"/>
      <c r="Q752" s="29"/>
      <c r="R752" s="28">
        <v>88.8</v>
      </c>
      <c r="S752" s="29"/>
      <c r="T752" s="29"/>
      <c r="U752" s="28">
        <f>ROUND(ROUND(R752, 2)*K752, 2)</f>
        <v>7698.34</v>
      </c>
      <c r="V752" s="29"/>
      <c r="W752" s="30"/>
    </row>
    <row r="753" spans="1:23" ht="90" x14ac:dyDescent="0.35">
      <c r="A753" s="20" t="s">
        <v>1210</v>
      </c>
      <c r="B753" s="20"/>
      <c r="C753" s="25" t="s">
        <v>1104</v>
      </c>
      <c r="D753" s="22"/>
      <c r="E753" s="22" t="s">
        <v>1142</v>
      </c>
      <c r="F753" s="26" t="s">
        <v>58</v>
      </c>
      <c r="G753" s="27">
        <v>0.3</v>
      </c>
      <c r="H753" s="132"/>
      <c r="I753" s="171"/>
      <c r="J753" s="142"/>
      <c r="K753" s="99">
        <v>173.38499999999999</v>
      </c>
      <c r="L753" s="63">
        <v>0</v>
      </c>
      <c r="M753" s="29"/>
      <c r="N753" s="91"/>
      <c r="O753" s="63">
        <f>ROUND(ROUND(L753, 2)*K753, 2)</f>
        <v>0</v>
      </c>
      <c r="P753" s="29"/>
      <c r="Q753" s="29"/>
      <c r="R753" s="28">
        <v>0</v>
      </c>
      <c r="S753" s="29"/>
      <c r="T753" s="29"/>
      <c r="U753" s="28">
        <f>ROUND(ROUND(R753, 2)*K753, 2)</f>
        <v>0</v>
      </c>
      <c r="V753" s="29"/>
      <c r="W753" s="30"/>
    </row>
    <row r="754" spans="1:23" ht="36" x14ac:dyDescent="0.35">
      <c r="A754" s="20" t="s">
        <v>1211</v>
      </c>
      <c r="B754" s="20" t="s">
        <v>1100</v>
      </c>
      <c r="C754" s="21" t="s">
        <v>1101</v>
      </c>
      <c r="D754" s="22"/>
      <c r="E754" s="22" t="s">
        <v>1212</v>
      </c>
      <c r="F754" s="22" t="s">
        <v>55</v>
      </c>
      <c r="G754" s="23">
        <v>1</v>
      </c>
      <c r="H754" s="131"/>
      <c r="I754" s="171"/>
      <c r="J754" s="142"/>
      <c r="K754" s="98">
        <v>0.73</v>
      </c>
      <c r="L754" s="62">
        <f>IFERROR(ROUND(SUM(O755,O756)/K754, 2),0)</f>
        <v>13.38</v>
      </c>
      <c r="M754" s="80">
        <v>464</v>
      </c>
      <c r="N754" s="90">
        <f>L754+ROUND(M754, 2)</f>
        <v>477.38</v>
      </c>
      <c r="O754" s="62">
        <f>ROUND(L754*K754, 2)</f>
        <v>9.77</v>
      </c>
      <c r="P754" s="24">
        <f>ROUND(K754*ROUND(M754, 2), 2)</f>
        <v>338.72</v>
      </c>
      <c r="Q754" s="24">
        <f>O754+P754</f>
        <v>348.49</v>
      </c>
      <c r="R754" s="24">
        <f>IFERROR(ROUND(SUM(U755,U756)/K754, 2),0)</f>
        <v>13.38</v>
      </c>
      <c r="S754" s="24">
        <v>464</v>
      </c>
      <c r="T754" s="24">
        <f>R754+ROUND(S754, 2)</f>
        <v>477.38</v>
      </c>
      <c r="U754" s="24">
        <f>ROUND(R754*K754, 2)</f>
        <v>9.77</v>
      </c>
      <c r="V754" s="24">
        <f>ROUND(K754*ROUND(S754, 2), 2)</f>
        <v>338.72</v>
      </c>
      <c r="W754" s="24">
        <f>U754+V754</f>
        <v>348.49</v>
      </c>
    </row>
    <row r="755" spans="1:23" ht="36" x14ac:dyDescent="0.35">
      <c r="A755" s="20" t="s">
        <v>1213</v>
      </c>
      <c r="B755" s="20"/>
      <c r="C755" s="25" t="s">
        <v>235</v>
      </c>
      <c r="D755" s="22"/>
      <c r="E755" s="22"/>
      <c r="F755" s="26" t="s">
        <v>58</v>
      </c>
      <c r="G755" s="27">
        <v>0.15</v>
      </c>
      <c r="H755" s="132"/>
      <c r="I755" s="171"/>
      <c r="J755" s="142"/>
      <c r="K755" s="99">
        <v>0.11</v>
      </c>
      <c r="L755" s="63">
        <v>88.8</v>
      </c>
      <c r="M755" s="29"/>
      <c r="N755" s="91"/>
      <c r="O755" s="63">
        <f>ROUND(ROUND(L755, 2)*K755, 2)</f>
        <v>9.77</v>
      </c>
      <c r="P755" s="29"/>
      <c r="Q755" s="29"/>
      <c r="R755" s="28">
        <v>88.8</v>
      </c>
      <c r="S755" s="29"/>
      <c r="T755" s="29"/>
      <c r="U755" s="28">
        <f>ROUND(ROUND(R755, 2)*K755, 2)</f>
        <v>9.77</v>
      </c>
      <c r="V755" s="29"/>
      <c r="W755" s="30"/>
    </row>
    <row r="756" spans="1:23" ht="72" x14ac:dyDescent="0.35">
      <c r="A756" s="20" t="s">
        <v>1214</v>
      </c>
      <c r="B756" s="20"/>
      <c r="C756" s="25" t="s">
        <v>1104</v>
      </c>
      <c r="D756" s="22"/>
      <c r="E756" s="22" t="s">
        <v>1105</v>
      </c>
      <c r="F756" s="26" t="s">
        <v>58</v>
      </c>
      <c r="G756" s="27">
        <v>0.3</v>
      </c>
      <c r="H756" s="132"/>
      <c r="I756" s="171"/>
      <c r="J756" s="142"/>
      <c r="K756" s="99">
        <v>0.219</v>
      </c>
      <c r="L756" s="63">
        <v>0</v>
      </c>
      <c r="M756" s="29"/>
      <c r="N756" s="91"/>
      <c r="O756" s="63">
        <f>ROUND(ROUND(L756, 2)*K756, 2)</f>
        <v>0</v>
      </c>
      <c r="P756" s="29"/>
      <c r="Q756" s="29"/>
      <c r="R756" s="28">
        <v>0</v>
      </c>
      <c r="S756" s="29"/>
      <c r="T756" s="29"/>
      <c r="U756" s="28">
        <f>ROUND(ROUND(R756, 2)*K756, 2)</f>
        <v>0</v>
      </c>
      <c r="V756" s="29"/>
      <c r="W756" s="30"/>
    </row>
    <row r="757" spans="1:23" ht="36" x14ac:dyDescent="0.35">
      <c r="A757" s="20" t="s">
        <v>1215</v>
      </c>
      <c r="B757" s="20" t="s">
        <v>1100</v>
      </c>
      <c r="C757" s="21" t="s">
        <v>1101</v>
      </c>
      <c r="D757" s="22"/>
      <c r="E757" s="22" t="s">
        <v>1216</v>
      </c>
      <c r="F757" s="22" t="s">
        <v>55</v>
      </c>
      <c r="G757" s="23">
        <v>1</v>
      </c>
      <c r="H757" s="131"/>
      <c r="I757" s="171"/>
      <c r="J757" s="142"/>
      <c r="K757" s="98">
        <v>1.5</v>
      </c>
      <c r="L757" s="62">
        <f>IFERROR(ROUND(SUM(O758,O759)/K757, 2),0)</f>
        <v>13.32</v>
      </c>
      <c r="M757" s="80">
        <v>464</v>
      </c>
      <c r="N757" s="90">
        <f>L757+ROUND(M757, 2)</f>
        <v>477.32</v>
      </c>
      <c r="O757" s="62">
        <f>ROUND(L757*K757, 2)</f>
        <v>19.98</v>
      </c>
      <c r="P757" s="24">
        <f>ROUND(K757*ROUND(M757, 2), 2)</f>
        <v>696</v>
      </c>
      <c r="Q757" s="24">
        <f>O757+P757</f>
        <v>715.98</v>
      </c>
      <c r="R757" s="24">
        <f>IFERROR(ROUND(SUM(U758,U759)/K757, 2),0)</f>
        <v>13.32</v>
      </c>
      <c r="S757" s="24">
        <v>464</v>
      </c>
      <c r="T757" s="24">
        <f>R757+ROUND(S757, 2)</f>
        <v>477.32</v>
      </c>
      <c r="U757" s="24">
        <f>ROUND(R757*K757, 2)</f>
        <v>19.98</v>
      </c>
      <c r="V757" s="24">
        <f>ROUND(K757*ROUND(S757, 2), 2)</f>
        <v>696</v>
      </c>
      <c r="W757" s="24">
        <f>U757+V757</f>
        <v>715.98</v>
      </c>
    </row>
    <row r="758" spans="1:23" ht="36" x14ac:dyDescent="0.35">
      <c r="A758" s="20" t="s">
        <v>1217</v>
      </c>
      <c r="B758" s="20"/>
      <c r="C758" s="25" t="s">
        <v>235</v>
      </c>
      <c r="D758" s="22"/>
      <c r="E758" s="22"/>
      <c r="F758" s="26" t="s">
        <v>58</v>
      </c>
      <c r="G758" s="27">
        <v>0.15</v>
      </c>
      <c r="H758" s="132"/>
      <c r="I758" s="171"/>
      <c r="J758" s="142"/>
      <c r="K758" s="99">
        <v>0.22500000000000001</v>
      </c>
      <c r="L758" s="63">
        <v>88.8</v>
      </c>
      <c r="M758" s="29"/>
      <c r="N758" s="91"/>
      <c r="O758" s="63">
        <f>ROUND(ROUND(L758, 2)*K758, 2)</f>
        <v>19.98</v>
      </c>
      <c r="P758" s="29"/>
      <c r="Q758" s="29"/>
      <c r="R758" s="28">
        <v>88.8</v>
      </c>
      <c r="S758" s="29"/>
      <c r="T758" s="29"/>
      <c r="U758" s="28">
        <f>ROUND(ROUND(R758, 2)*K758, 2)</f>
        <v>19.98</v>
      </c>
      <c r="V758" s="29"/>
      <c r="W758" s="30"/>
    </row>
    <row r="759" spans="1:23" ht="72" x14ac:dyDescent="0.35">
      <c r="A759" s="20" t="s">
        <v>1218</v>
      </c>
      <c r="B759" s="20"/>
      <c r="C759" s="25" t="s">
        <v>1104</v>
      </c>
      <c r="D759" s="22"/>
      <c r="E759" s="22" t="s">
        <v>1111</v>
      </c>
      <c r="F759" s="26" t="s">
        <v>58</v>
      </c>
      <c r="G759" s="27">
        <v>0.3</v>
      </c>
      <c r="H759" s="132"/>
      <c r="I759" s="171"/>
      <c r="J759" s="142"/>
      <c r="K759" s="99">
        <v>0.45</v>
      </c>
      <c r="L759" s="63">
        <v>0</v>
      </c>
      <c r="M759" s="29"/>
      <c r="N759" s="91"/>
      <c r="O759" s="63">
        <f>ROUND(ROUND(L759, 2)*K759, 2)</f>
        <v>0</v>
      </c>
      <c r="P759" s="29"/>
      <c r="Q759" s="29"/>
      <c r="R759" s="28">
        <v>0</v>
      </c>
      <c r="S759" s="29"/>
      <c r="T759" s="29"/>
      <c r="U759" s="28">
        <f>ROUND(ROUND(R759, 2)*K759, 2)</f>
        <v>0</v>
      </c>
      <c r="V759" s="29"/>
      <c r="W759" s="30"/>
    </row>
    <row r="760" spans="1:23" ht="36" x14ac:dyDescent="0.35">
      <c r="A760" s="20" t="s">
        <v>1219</v>
      </c>
      <c r="B760" s="20" t="s">
        <v>1100</v>
      </c>
      <c r="C760" s="21" t="s">
        <v>1101</v>
      </c>
      <c r="D760" s="22"/>
      <c r="E760" s="22" t="s">
        <v>1220</v>
      </c>
      <c r="F760" s="22" t="s">
        <v>55</v>
      </c>
      <c r="G760" s="23">
        <v>1</v>
      </c>
      <c r="H760" s="131"/>
      <c r="I760" s="171"/>
      <c r="J760" s="142"/>
      <c r="K760" s="98">
        <v>79.66</v>
      </c>
      <c r="L760" s="62">
        <f>IFERROR(ROUND(SUM(O761,O762)/K760, 2),0)</f>
        <v>13.32</v>
      </c>
      <c r="M760" s="80">
        <v>464</v>
      </c>
      <c r="N760" s="90">
        <f>L760+ROUND(M760, 2)</f>
        <v>477.32</v>
      </c>
      <c r="O760" s="62">
        <f>ROUND(L760*K760, 2)</f>
        <v>1061.07</v>
      </c>
      <c r="P760" s="24">
        <f>ROUND(K760*ROUND(M760, 2), 2)</f>
        <v>36962.239999999998</v>
      </c>
      <c r="Q760" s="24">
        <f>O760+P760</f>
        <v>38023.31</v>
      </c>
      <c r="R760" s="24">
        <f>IFERROR(ROUND(SUM(U761,U762)/K760, 2),0)</f>
        <v>13.32</v>
      </c>
      <c r="S760" s="24">
        <v>464</v>
      </c>
      <c r="T760" s="24">
        <f>R760+ROUND(S760, 2)</f>
        <v>477.32</v>
      </c>
      <c r="U760" s="24">
        <f>ROUND(R760*K760, 2)</f>
        <v>1061.07</v>
      </c>
      <c r="V760" s="24">
        <f>ROUND(K760*ROUND(S760, 2), 2)</f>
        <v>36962.239999999998</v>
      </c>
      <c r="W760" s="24">
        <f>U760+V760</f>
        <v>38023.31</v>
      </c>
    </row>
    <row r="761" spans="1:23" ht="36" x14ac:dyDescent="0.35">
      <c r="A761" s="20" t="s">
        <v>1221</v>
      </c>
      <c r="B761" s="20"/>
      <c r="C761" s="25" t="s">
        <v>235</v>
      </c>
      <c r="D761" s="22"/>
      <c r="E761" s="22"/>
      <c r="F761" s="26" t="s">
        <v>58</v>
      </c>
      <c r="G761" s="27">
        <v>0.15</v>
      </c>
      <c r="H761" s="132"/>
      <c r="I761" s="171"/>
      <c r="J761" s="142"/>
      <c r="K761" s="99">
        <v>11.949</v>
      </c>
      <c r="L761" s="63">
        <v>88.8</v>
      </c>
      <c r="M761" s="29"/>
      <c r="N761" s="91"/>
      <c r="O761" s="63">
        <f>ROUND(ROUND(L761, 2)*K761, 2)</f>
        <v>1061.07</v>
      </c>
      <c r="P761" s="29"/>
      <c r="Q761" s="29"/>
      <c r="R761" s="28">
        <v>88.8</v>
      </c>
      <c r="S761" s="29"/>
      <c r="T761" s="29"/>
      <c r="U761" s="28">
        <f>ROUND(ROUND(R761, 2)*K761, 2)</f>
        <v>1061.07</v>
      </c>
      <c r="V761" s="29"/>
      <c r="W761" s="30"/>
    </row>
    <row r="762" spans="1:23" ht="54" x14ac:dyDescent="0.35">
      <c r="A762" s="20" t="s">
        <v>1222</v>
      </c>
      <c r="B762" s="20"/>
      <c r="C762" s="25" t="s">
        <v>1121</v>
      </c>
      <c r="D762" s="22"/>
      <c r="E762" s="22" t="s">
        <v>1147</v>
      </c>
      <c r="F762" s="26" t="s">
        <v>58</v>
      </c>
      <c r="G762" s="27">
        <v>0.3</v>
      </c>
      <c r="H762" s="132"/>
      <c r="I762" s="171"/>
      <c r="J762" s="142"/>
      <c r="K762" s="99">
        <v>23.898</v>
      </c>
      <c r="L762" s="63">
        <v>0</v>
      </c>
      <c r="M762" s="29"/>
      <c r="N762" s="91"/>
      <c r="O762" s="63">
        <f>ROUND(ROUND(L762, 2)*K762, 2)</f>
        <v>0</v>
      </c>
      <c r="P762" s="29"/>
      <c r="Q762" s="29"/>
      <c r="R762" s="28">
        <v>0</v>
      </c>
      <c r="S762" s="29"/>
      <c r="T762" s="29"/>
      <c r="U762" s="28">
        <f>ROUND(ROUND(R762, 2)*K762, 2)</f>
        <v>0</v>
      </c>
      <c r="V762" s="29"/>
      <c r="W762" s="30"/>
    </row>
    <row r="763" spans="1:23" ht="36" x14ac:dyDescent="0.35">
      <c r="A763" s="20" t="s">
        <v>1223</v>
      </c>
      <c r="B763" s="20" t="s">
        <v>1100</v>
      </c>
      <c r="C763" s="21" t="s">
        <v>1101</v>
      </c>
      <c r="D763" s="22"/>
      <c r="E763" s="22" t="s">
        <v>1224</v>
      </c>
      <c r="F763" s="22" t="s">
        <v>55</v>
      </c>
      <c r="G763" s="23">
        <v>1</v>
      </c>
      <c r="H763" s="131"/>
      <c r="I763" s="171"/>
      <c r="J763" s="142"/>
      <c r="K763" s="98">
        <v>80.790000000000006</v>
      </c>
      <c r="L763" s="62">
        <f>IFERROR(ROUND(SUM(O764,O765)/K763, 2),0)</f>
        <v>13.32</v>
      </c>
      <c r="M763" s="80">
        <v>464</v>
      </c>
      <c r="N763" s="90">
        <f>L763+ROUND(M763, 2)</f>
        <v>477.32</v>
      </c>
      <c r="O763" s="62">
        <f>ROUND(L763*K763, 2)</f>
        <v>1076.1199999999999</v>
      </c>
      <c r="P763" s="24">
        <f>ROUND(K763*ROUND(M763, 2), 2)</f>
        <v>37486.559999999998</v>
      </c>
      <c r="Q763" s="24">
        <f>O763+P763</f>
        <v>38562.68</v>
      </c>
      <c r="R763" s="24">
        <f>IFERROR(ROUND(SUM(U764,U765)/K763, 2),0)</f>
        <v>13.32</v>
      </c>
      <c r="S763" s="24">
        <v>464</v>
      </c>
      <c r="T763" s="24">
        <f>R763+ROUND(S763, 2)</f>
        <v>477.32</v>
      </c>
      <c r="U763" s="24">
        <f>ROUND(R763*K763, 2)</f>
        <v>1076.1199999999999</v>
      </c>
      <c r="V763" s="24">
        <f>ROUND(K763*ROUND(S763, 2), 2)</f>
        <v>37486.559999999998</v>
      </c>
      <c r="W763" s="24">
        <f>U763+V763</f>
        <v>38562.68</v>
      </c>
    </row>
    <row r="764" spans="1:23" ht="36" x14ac:dyDescent="0.35">
      <c r="A764" s="20" t="s">
        <v>1225</v>
      </c>
      <c r="B764" s="20"/>
      <c r="C764" s="25" t="s">
        <v>235</v>
      </c>
      <c r="D764" s="22"/>
      <c r="E764" s="22"/>
      <c r="F764" s="26" t="s">
        <v>58</v>
      </c>
      <c r="G764" s="27">
        <v>0.15</v>
      </c>
      <c r="H764" s="132"/>
      <c r="I764" s="171"/>
      <c r="J764" s="142"/>
      <c r="K764" s="99">
        <v>12.119</v>
      </c>
      <c r="L764" s="63">
        <v>88.8</v>
      </c>
      <c r="M764" s="29"/>
      <c r="N764" s="91"/>
      <c r="O764" s="63">
        <f>ROUND(ROUND(L764, 2)*K764, 2)</f>
        <v>1076.17</v>
      </c>
      <c r="P764" s="29"/>
      <c r="Q764" s="29"/>
      <c r="R764" s="28">
        <v>88.8</v>
      </c>
      <c r="S764" s="29"/>
      <c r="T764" s="29"/>
      <c r="U764" s="28">
        <f>ROUND(ROUND(R764, 2)*K764, 2)</f>
        <v>1076.17</v>
      </c>
      <c r="V764" s="29"/>
      <c r="W764" s="30"/>
    </row>
    <row r="765" spans="1:23" ht="54" x14ac:dyDescent="0.35">
      <c r="A765" s="20" t="s">
        <v>1226</v>
      </c>
      <c r="B765" s="20"/>
      <c r="C765" s="25" t="s">
        <v>1121</v>
      </c>
      <c r="D765" s="22"/>
      <c r="E765" s="22" t="s">
        <v>1122</v>
      </c>
      <c r="F765" s="26" t="s">
        <v>58</v>
      </c>
      <c r="G765" s="27">
        <v>0.3</v>
      </c>
      <c r="H765" s="132"/>
      <c r="I765" s="171"/>
      <c r="J765" s="142"/>
      <c r="K765" s="99">
        <v>24.236999999999998</v>
      </c>
      <c r="L765" s="63">
        <v>0</v>
      </c>
      <c r="M765" s="29"/>
      <c r="N765" s="91"/>
      <c r="O765" s="63">
        <f>ROUND(ROUND(L765, 2)*K765, 2)</f>
        <v>0</v>
      </c>
      <c r="P765" s="29"/>
      <c r="Q765" s="29"/>
      <c r="R765" s="28">
        <v>0</v>
      </c>
      <c r="S765" s="29"/>
      <c r="T765" s="29"/>
      <c r="U765" s="28">
        <f>ROUND(ROUND(R765, 2)*K765, 2)</f>
        <v>0</v>
      </c>
      <c r="V765" s="29"/>
      <c r="W765" s="30"/>
    </row>
    <row r="766" spans="1:23" ht="36" x14ac:dyDescent="0.35">
      <c r="A766" s="20" t="s">
        <v>1227</v>
      </c>
      <c r="B766" s="20" t="s">
        <v>1100</v>
      </c>
      <c r="C766" s="21" t="s">
        <v>1101</v>
      </c>
      <c r="D766" s="22"/>
      <c r="E766" s="22" t="s">
        <v>1228</v>
      </c>
      <c r="F766" s="22" t="s">
        <v>55</v>
      </c>
      <c r="G766" s="23">
        <v>1</v>
      </c>
      <c r="H766" s="131"/>
      <c r="I766" s="171"/>
      <c r="J766" s="142"/>
      <c r="K766" s="98">
        <v>26.92</v>
      </c>
      <c r="L766" s="62">
        <f>IFERROR(ROUND(SUM(O767,O768)/K766, 2),0)</f>
        <v>13.32</v>
      </c>
      <c r="M766" s="80">
        <v>464</v>
      </c>
      <c r="N766" s="90">
        <f>L766+ROUND(M766, 2)</f>
        <v>477.32</v>
      </c>
      <c r="O766" s="62">
        <f>ROUND(L766*K766, 2)</f>
        <v>358.57</v>
      </c>
      <c r="P766" s="24">
        <f>ROUND(K766*ROUND(M766, 2), 2)</f>
        <v>12490.88</v>
      </c>
      <c r="Q766" s="24">
        <f>O766+P766</f>
        <v>12849.449999999999</v>
      </c>
      <c r="R766" s="24">
        <f>IFERROR(ROUND(SUM(U767,U768)/K766, 2),0)</f>
        <v>13.32</v>
      </c>
      <c r="S766" s="24">
        <v>464</v>
      </c>
      <c r="T766" s="24">
        <f>R766+ROUND(S766, 2)</f>
        <v>477.32</v>
      </c>
      <c r="U766" s="24">
        <f>ROUND(R766*K766, 2)</f>
        <v>358.57</v>
      </c>
      <c r="V766" s="24">
        <f>ROUND(K766*ROUND(S766, 2), 2)</f>
        <v>12490.88</v>
      </c>
      <c r="W766" s="24">
        <f>U766+V766</f>
        <v>12849.449999999999</v>
      </c>
    </row>
    <row r="767" spans="1:23" ht="36" x14ac:dyDescent="0.35">
      <c r="A767" s="20" t="s">
        <v>1229</v>
      </c>
      <c r="B767" s="20"/>
      <c r="C767" s="25" t="s">
        <v>235</v>
      </c>
      <c r="D767" s="22"/>
      <c r="E767" s="22"/>
      <c r="F767" s="26" t="s">
        <v>58</v>
      </c>
      <c r="G767" s="27">
        <v>0.15</v>
      </c>
      <c r="H767" s="132"/>
      <c r="I767" s="171"/>
      <c r="J767" s="142"/>
      <c r="K767" s="99">
        <v>4.0380000000000003</v>
      </c>
      <c r="L767" s="63">
        <v>88.8</v>
      </c>
      <c r="M767" s="29"/>
      <c r="N767" s="91"/>
      <c r="O767" s="63">
        <f>ROUND(ROUND(L767, 2)*K767, 2)</f>
        <v>358.57</v>
      </c>
      <c r="P767" s="29"/>
      <c r="Q767" s="29"/>
      <c r="R767" s="28">
        <v>88.8</v>
      </c>
      <c r="S767" s="29"/>
      <c r="T767" s="29"/>
      <c r="U767" s="28">
        <f>ROUND(ROUND(R767, 2)*K767, 2)</f>
        <v>358.57</v>
      </c>
      <c r="V767" s="29"/>
      <c r="W767" s="30"/>
    </row>
    <row r="768" spans="1:23" ht="72" x14ac:dyDescent="0.35">
      <c r="A768" s="20" t="s">
        <v>1230</v>
      </c>
      <c r="B768" s="20"/>
      <c r="C768" s="25" t="s">
        <v>1121</v>
      </c>
      <c r="D768" s="22"/>
      <c r="E768" s="22" t="s">
        <v>1231</v>
      </c>
      <c r="F768" s="26" t="s">
        <v>58</v>
      </c>
      <c r="G768" s="27">
        <v>0.3</v>
      </c>
      <c r="H768" s="132"/>
      <c r="I768" s="171"/>
      <c r="J768" s="142"/>
      <c r="K768" s="99">
        <v>8.0760000000000005</v>
      </c>
      <c r="L768" s="63">
        <v>0</v>
      </c>
      <c r="M768" s="29"/>
      <c r="N768" s="91"/>
      <c r="O768" s="63">
        <f>ROUND(ROUND(L768, 2)*K768, 2)</f>
        <v>0</v>
      </c>
      <c r="P768" s="29"/>
      <c r="Q768" s="29"/>
      <c r="R768" s="28">
        <v>0</v>
      </c>
      <c r="S768" s="29"/>
      <c r="T768" s="29"/>
      <c r="U768" s="28">
        <f>ROUND(ROUND(R768, 2)*K768, 2)</f>
        <v>0</v>
      </c>
      <c r="V768" s="29"/>
      <c r="W768" s="30"/>
    </row>
    <row r="769" spans="1:23" ht="36" x14ac:dyDescent="0.35">
      <c r="A769" s="20" t="s">
        <v>1232</v>
      </c>
      <c r="B769" s="20" t="s">
        <v>1100</v>
      </c>
      <c r="C769" s="21" t="s">
        <v>1101</v>
      </c>
      <c r="D769" s="22"/>
      <c r="E769" s="22" t="s">
        <v>1233</v>
      </c>
      <c r="F769" s="22" t="s">
        <v>55</v>
      </c>
      <c r="G769" s="23">
        <v>1</v>
      </c>
      <c r="H769" s="131"/>
      <c r="I769" s="171"/>
      <c r="J769" s="142"/>
      <c r="K769" s="98">
        <v>28.35</v>
      </c>
      <c r="L769" s="62">
        <f>IFERROR(ROUND(SUM(O770,O771)/K769, 2),0)</f>
        <v>13.32</v>
      </c>
      <c r="M769" s="80">
        <v>464</v>
      </c>
      <c r="N769" s="90">
        <f>L769+ROUND(M769, 2)</f>
        <v>477.32</v>
      </c>
      <c r="O769" s="62">
        <f>ROUND(L769*K769, 2)</f>
        <v>377.62</v>
      </c>
      <c r="P769" s="24">
        <f>ROUND(K769*ROUND(M769, 2), 2)</f>
        <v>13154.4</v>
      </c>
      <c r="Q769" s="24">
        <f>O769+P769</f>
        <v>13532.02</v>
      </c>
      <c r="R769" s="24">
        <f>IFERROR(ROUND(SUM(U770,U771)/K769, 2),0)</f>
        <v>13.32</v>
      </c>
      <c r="S769" s="24">
        <v>464</v>
      </c>
      <c r="T769" s="24">
        <f>R769+ROUND(S769, 2)</f>
        <v>477.32</v>
      </c>
      <c r="U769" s="24">
        <f>ROUND(R769*K769, 2)</f>
        <v>377.62</v>
      </c>
      <c r="V769" s="24">
        <f>ROUND(K769*ROUND(S769, 2), 2)</f>
        <v>13154.4</v>
      </c>
      <c r="W769" s="24">
        <f>U769+V769</f>
        <v>13532.02</v>
      </c>
    </row>
    <row r="770" spans="1:23" ht="36" x14ac:dyDescent="0.35">
      <c r="A770" s="20" t="s">
        <v>1234</v>
      </c>
      <c r="B770" s="20"/>
      <c r="C770" s="25" t="s">
        <v>235</v>
      </c>
      <c r="D770" s="22"/>
      <c r="E770" s="22"/>
      <c r="F770" s="26" t="s">
        <v>58</v>
      </c>
      <c r="G770" s="27">
        <v>0.15</v>
      </c>
      <c r="H770" s="132"/>
      <c r="I770" s="171"/>
      <c r="J770" s="142"/>
      <c r="K770" s="99">
        <v>4.2530000000000001</v>
      </c>
      <c r="L770" s="63">
        <v>88.8</v>
      </c>
      <c r="M770" s="29"/>
      <c r="N770" s="91"/>
      <c r="O770" s="63">
        <f>ROUND(ROUND(L770, 2)*K770, 2)</f>
        <v>377.67</v>
      </c>
      <c r="P770" s="29"/>
      <c r="Q770" s="29"/>
      <c r="R770" s="28">
        <v>88.8</v>
      </c>
      <c r="S770" s="29"/>
      <c r="T770" s="29"/>
      <c r="U770" s="28">
        <f>ROUND(ROUND(R770, 2)*K770, 2)</f>
        <v>377.67</v>
      </c>
      <c r="V770" s="29"/>
      <c r="W770" s="30"/>
    </row>
    <row r="771" spans="1:23" ht="54" x14ac:dyDescent="0.35">
      <c r="A771" s="20" t="s">
        <v>1235</v>
      </c>
      <c r="B771" s="20"/>
      <c r="C771" s="25" t="s">
        <v>1121</v>
      </c>
      <c r="D771" s="22"/>
      <c r="E771" s="22" t="s">
        <v>1236</v>
      </c>
      <c r="F771" s="26" t="s">
        <v>58</v>
      </c>
      <c r="G771" s="27">
        <v>0.3</v>
      </c>
      <c r="H771" s="132"/>
      <c r="I771" s="171"/>
      <c r="J771" s="142"/>
      <c r="K771" s="99">
        <v>8.5050000000000008</v>
      </c>
      <c r="L771" s="63">
        <v>0</v>
      </c>
      <c r="M771" s="29"/>
      <c r="N771" s="91"/>
      <c r="O771" s="63">
        <f>ROUND(ROUND(L771, 2)*K771, 2)</f>
        <v>0</v>
      </c>
      <c r="P771" s="29"/>
      <c r="Q771" s="29"/>
      <c r="R771" s="28">
        <v>0</v>
      </c>
      <c r="S771" s="29"/>
      <c r="T771" s="29"/>
      <c r="U771" s="28">
        <f>ROUND(ROUND(R771, 2)*K771, 2)</f>
        <v>0</v>
      </c>
      <c r="V771" s="29"/>
      <c r="W771" s="30"/>
    </row>
    <row r="772" spans="1:23" ht="36" x14ac:dyDescent="0.35">
      <c r="A772" s="20" t="s">
        <v>1237</v>
      </c>
      <c r="B772" s="20" t="s">
        <v>1100</v>
      </c>
      <c r="C772" s="21" t="s">
        <v>1101</v>
      </c>
      <c r="D772" s="22"/>
      <c r="E772" s="22" t="s">
        <v>1238</v>
      </c>
      <c r="F772" s="22" t="s">
        <v>55</v>
      </c>
      <c r="G772" s="23">
        <v>1</v>
      </c>
      <c r="H772" s="131"/>
      <c r="I772" s="171"/>
      <c r="J772" s="142"/>
      <c r="K772" s="98">
        <v>26.03</v>
      </c>
      <c r="L772" s="62">
        <f>IFERROR(ROUND(SUM(O773,O774)/K772, 2),0)</f>
        <v>13.32</v>
      </c>
      <c r="M772" s="80">
        <v>464</v>
      </c>
      <c r="N772" s="90">
        <f>L772+ROUND(M772, 2)</f>
        <v>477.32</v>
      </c>
      <c r="O772" s="62">
        <f>ROUND(L772*K772, 2)</f>
        <v>346.72</v>
      </c>
      <c r="P772" s="24">
        <f>ROUND(K772*ROUND(M772, 2), 2)</f>
        <v>12077.92</v>
      </c>
      <c r="Q772" s="24">
        <f>O772+P772</f>
        <v>12424.64</v>
      </c>
      <c r="R772" s="24">
        <f>IFERROR(ROUND(SUM(U773,U774)/K772, 2),0)</f>
        <v>13.32</v>
      </c>
      <c r="S772" s="24">
        <v>464</v>
      </c>
      <c r="T772" s="24">
        <f>R772+ROUND(S772, 2)</f>
        <v>477.32</v>
      </c>
      <c r="U772" s="24">
        <f>ROUND(R772*K772, 2)</f>
        <v>346.72</v>
      </c>
      <c r="V772" s="24">
        <f>ROUND(K772*ROUND(S772, 2), 2)</f>
        <v>12077.92</v>
      </c>
      <c r="W772" s="24">
        <f>U772+V772</f>
        <v>12424.64</v>
      </c>
    </row>
    <row r="773" spans="1:23" ht="36" x14ac:dyDescent="0.35">
      <c r="A773" s="20" t="s">
        <v>1239</v>
      </c>
      <c r="B773" s="20"/>
      <c r="C773" s="25" t="s">
        <v>235</v>
      </c>
      <c r="D773" s="22"/>
      <c r="E773" s="22"/>
      <c r="F773" s="26" t="s">
        <v>58</v>
      </c>
      <c r="G773" s="27">
        <v>0.15</v>
      </c>
      <c r="H773" s="132"/>
      <c r="I773" s="171"/>
      <c r="J773" s="142"/>
      <c r="K773" s="99">
        <v>3.9049999999999998</v>
      </c>
      <c r="L773" s="63">
        <v>88.8</v>
      </c>
      <c r="M773" s="29"/>
      <c r="N773" s="91"/>
      <c r="O773" s="63">
        <f>ROUND(ROUND(L773, 2)*K773, 2)</f>
        <v>346.76</v>
      </c>
      <c r="P773" s="29"/>
      <c r="Q773" s="29"/>
      <c r="R773" s="28">
        <v>88.8</v>
      </c>
      <c r="S773" s="29"/>
      <c r="T773" s="29"/>
      <c r="U773" s="28">
        <f>ROUND(ROUND(R773, 2)*K773, 2)</f>
        <v>346.76</v>
      </c>
      <c r="V773" s="29"/>
      <c r="W773" s="30"/>
    </row>
    <row r="774" spans="1:23" ht="54" x14ac:dyDescent="0.35">
      <c r="A774" s="20" t="s">
        <v>1240</v>
      </c>
      <c r="B774" s="20"/>
      <c r="C774" s="25" t="s">
        <v>1121</v>
      </c>
      <c r="D774" s="22"/>
      <c r="E774" s="22" t="s">
        <v>1132</v>
      </c>
      <c r="F774" s="26" t="s">
        <v>58</v>
      </c>
      <c r="G774" s="27">
        <v>0.3</v>
      </c>
      <c r="H774" s="132"/>
      <c r="I774" s="171"/>
      <c r="J774" s="142"/>
      <c r="K774" s="99">
        <v>7.8090000000000002</v>
      </c>
      <c r="L774" s="63">
        <v>0</v>
      </c>
      <c r="M774" s="29"/>
      <c r="N774" s="91"/>
      <c r="O774" s="63">
        <f>ROUND(ROUND(L774, 2)*K774, 2)</f>
        <v>0</v>
      </c>
      <c r="P774" s="29"/>
      <c r="Q774" s="29"/>
      <c r="R774" s="28">
        <v>0</v>
      </c>
      <c r="S774" s="29"/>
      <c r="T774" s="29"/>
      <c r="U774" s="28">
        <f>ROUND(ROUND(R774, 2)*K774, 2)</f>
        <v>0</v>
      </c>
      <c r="V774" s="29"/>
      <c r="W774" s="30"/>
    </row>
    <row r="775" spans="1:23" ht="36" x14ac:dyDescent="0.35">
      <c r="A775" s="20" t="s">
        <v>1241</v>
      </c>
      <c r="B775" s="20" t="s">
        <v>1100</v>
      </c>
      <c r="C775" s="21" t="s">
        <v>1101</v>
      </c>
      <c r="D775" s="22"/>
      <c r="E775" s="22" t="s">
        <v>1242</v>
      </c>
      <c r="F775" s="22" t="s">
        <v>55</v>
      </c>
      <c r="G775" s="23">
        <v>1</v>
      </c>
      <c r="H775" s="131"/>
      <c r="I775" s="171"/>
      <c r="J775" s="142"/>
      <c r="K775" s="98">
        <v>34.79</v>
      </c>
      <c r="L775" s="62">
        <f>IFERROR(ROUND(SUM(O776,O777)/K775, 2),0)</f>
        <v>13.32</v>
      </c>
      <c r="M775" s="80">
        <v>464</v>
      </c>
      <c r="N775" s="90">
        <f>L775+ROUND(M775, 2)</f>
        <v>477.32</v>
      </c>
      <c r="O775" s="62">
        <f>ROUND(L775*K775, 2)</f>
        <v>463.4</v>
      </c>
      <c r="P775" s="24">
        <f>ROUND(K775*ROUND(M775, 2), 2)</f>
        <v>16142.56</v>
      </c>
      <c r="Q775" s="24">
        <f>O775+P775</f>
        <v>16605.96</v>
      </c>
      <c r="R775" s="24">
        <f>IFERROR(ROUND(SUM(U776,U777)/K775, 2),0)</f>
        <v>13.32</v>
      </c>
      <c r="S775" s="24">
        <v>464</v>
      </c>
      <c r="T775" s="24">
        <f>R775+ROUND(S775, 2)</f>
        <v>477.32</v>
      </c>
      <c r="U775" s="24">
        <f>ROUND(R775*K775, 2)</f>
        <v>463.4</v>
      </c>
      <c r="V775" s="24">
        <f>ROUND(K775*ROUND(S775, 2), 2)</f>
        <v>16142.56</v>
      </c>
      <c r="W775" s="24">
        <f>U775+V775</f>
        <v>16605.96</v>
      </c>
    </row>
    <row r="776" spans="1:23" ht="36" x14ac:dyDescent="0.35">
      <c r="A776" s="20" t="s">
        <v>1243</v>
      </c>
      <c r="B776" s="20"/>
      <c r="C776" s="25" t="s">
        <v>235</v>
      </c>
      <c r="D776" s="22"/>
      <c r="E776" s="22"/>
      <c r="F776" s="26" t="s">
        <v>58</v>
      </c>
      <c r="G776" s="27">
        <v>0.15</v>
      </c>
      <c r="H776" s="132"/>
      <c r="I776" s="171"/>
      <c r="J776" s="142"/>
      <c r="K776" s="99">
        <v>5.2190000000000003</v>
      </c>
      <c r="L776" s="63">
        <v>88.8</v>
      </c>
      <c r="M776" s="29"/>
      <c r="N776" s="91"/>
      <c r="O776" s="63">
        <f>ROUND(ROUND(L776, 2)*K776, 2)</f>
        <v>463.45</v>
      </c>
      <c r="P776" s="29"/>
      <c r="Q776" s="29"/>
      <c r="R776" s="28">
        <v>88.8</v>
      </c>
      <c r="S776" s="29"/>
      <c r="T776" s="29"/>
      <c r="U776" s="28">
        <f>ROUND(ROUND(R776, 2)*K776, 2)</f>
        <v>463.45</v>
      </c>
      <c r="V776" s="29"/>
      <c r="W776" s="30"/>
    </row>
    <row r="777" spans="1:23" ht="54" x14ac:dyDescent="0.35">
      <c r="A777" s="20" t="s">
        <v>1244</v>
      </c>
      <c r="B777" s="20"/>
      <c r="C777" s="25" t="s">
        <v>1245</v>
      </c>
      <c r="D777" s="22"/>
      <c r="E777" s="22" t="s">
        <v>1158</v>
      </c>
      <c r="F777" s="26" t="s">
        <v>58</v>
      </c>
      <c r="G777" s="27">
        <v>0.3</v>
      </c>
      <c r="H777" s="132"/>
      <c r="I777" s="171"/>
      <c r="J777" s="142"/>
      <c r="K777" s="99">
        <v>10.436999999999999</v>
      </c>
      <c r="L777" s="63">
        <v>0</v>
      </c>
      <c r="M777" s="29"/>
      <c r="N777" s="91"/>
      <c r="O777" s="63">
        <f>ROUND(ROUND(L777, 2)*K777, 2)</f>
        <v>0</v>
      </c>
      <c r="P777" s="29"/>
      <c r="Q777" s="29"/>
      <c r="R777" s="28">
        <v>0</v>
      </c>
      <c r="S777" s="29"/>
      <c r="T777" s="29"/>
      <c r="U777" s="28">
        <f>ROUND(ROUND(R777, 2)*K777, 2)</f>
        <v>0</v>
      </c>
      <c r="V777" s="29"/>
      <c r="W777" s="30"/>
    </row>
    <row r="778" spans="1:23" ht="36" x14ac:dyDescent="0.35">
      <c r="A778" s="20" t="s">
        <v>1246</v>
      </c>
      <c r="B778" s="20" t="s">
        <v>1100</v>
      </c>
      <c r="C778" s="21" t="s">
        <v>1101</v>
      </c>
      <c r="D778" s="22"/>
      <c r="E778" s="22" t="s">
        <v>1247</v>
      </c>
      <c r="F778" s="22" t="s">
        <v>55</v>
      </c>
      <c r="G778" s="23">
        <v>1</v>
      </c>
      <c r="H778" s="131"/>
      <c r="I778" s="171"/>
      <c r="J778" s="142"/>
      <c r="K778" s="98">
        <v>58.73</v>
      </c>
      <c r="L778" s="62">
        <f>IFERROR(ROUND(SUM(O779,O780)/K778, 2),0)</f>
        <v>13.32</v>
      </c>
      <c r="M778" s="80">
        <v>464</v>
      </c>
      <c r="N778" s="90">
        <f>L778+ROUND(M778, 2)</f>
        <v>477.32</v>
      </c>
      <c r="O778" s="62">
        <f>ROUND(L778*K778, 2)</f>
        <v>782.28</v>
      </c>
      <c r="P778" s="24">
        <f>ROUND(K778*ROUND(M778, 2), 2)</f>
        <v>27250.720000000001</v>
      </c>
      <c r="Q778" s="24">
        <f>O778+P778</f>
        <v>28033</v>
      </c>
      <c r="R778" s="24">
        <f>IFERROR(ROUND(SUM(U779,U780)/K778, 2),0)</f>
        <v>13.32</v>
      </c>
      <c r="S778" s="24">
        <v>464</v>
      </c>
      <c r="T778" s="24">
        <f>R778+ROUND(S778, 2)</f>
        <v>477.32</v>
      </c>
      <c r="U778" s="24">
        <f>ROUND(R778*K778, 2)</f>
        <v>782.28</v>
      </c>
      <c r="V778" s="24">
        <f>ROUND(K778*ROUND(S778, 2), 2)</f>
        <v>27250.720000000001</v>
      </c>
      <c r="W778" s="24">
        <f>U778+V778</f>
        <v>28033</v>
      </c>
    </row>
    <row r="779" spans="1:23" ht="36" x14ac:dyDescent="0.35">
      <c r="A779" s="20" t="s">
        <v>1248</v>
      </c>
      <c r="B779" s="20"/>
      <c r="C779" s="25" t="s">
        <v>235</v>
      </c>
      <c r="D779" s="22"/>
      <c r="E779" s="22"/>
      <c r="F779" s="26" t="s">
        <v>58</v>
      </c>
      <c r="G779" s="27">
        <v>0.15</v>
      </c>
      <c r="H779" s="132"/>
      <c r="I779" s="171"/>
      <c r="J779" s="142"/>
      <c r="K779" s="99">
        <v>8.81</v>
      </c>
      <c r="L779" s="63">
        <v>88.8</v>
      </c>
      <c r="M779" s="29"/>
      <c r="N779" s="91"/>
      <c r="O779" s="63">
        <f>ROUND(ROUND(L779, 2)*K779, 2)</f>
        <v>782.33</v>
      </c>
      <c r="P779" s="29"/>
      <c r="Q779" s="29"/>
      <c r="R779" s="28">
        <v>88.8</v>
      </c>
      <c r="S779" s="29"/>
      <c r="T779" s="29"/>
      <c r="U779" s="28">
        <f>ROUND(ROUND(R779, 2)*K779, 2)</f>
        <v>782.33</v>
      </c>
      <c r="V779" s="29"/>
      <c r="W779" s="30"/>
    </row>
    <row r="780" spans="1:23" ht="54" x14ac:dyDescent="0.35">
      <c r="A780" s="20" t="s">
        <v>1249</v>
      </c>
      <c r="B780" s="20"/>
      <c r="C780" s="25" t="s">
        <v>1121</v>
      </c>
      <c r="D780" s="22"/>
      <c r="E780" s="22" t="s">
        <v>1250</v>
      </c>
      <c r="F780" s="26" t="s">
        <v>58</v>
      </c>
      <c r="G780" s="27">
        <v>0.3</v>
      </c>
      <c r="H780" s="132"/>
      <c r="I780" s="171"/>
      <c r="J780" s="142"/>
      <c r="K780" s="99">
        <v>17.619</v>
      </c>
      <c r="L780" s="63">
        <v>0</v>
      </c>
      <c r="M780" s="29"/>
      <c r="N780" s="91"/>
      <c r="O780" s="63">
        <f>ROUND(ROUND(L780, 2)*K780, 2)</f>
        <v>0</v>
      </c>
      <c r="P780" s="29"/>
      <c r="Q780" s="29"/>
      <c r="R780" s="28">
        <v>0</v>
      </c>
      <c r="S780" s="29"/>
      <c r="T780" s="29"/>
      <c r="U780" s="28">
        <f>ROUND(ROUND(R780, 2)*K780, 2)</f>
        <v>0</v>
      </c>
      <c r="V780" s="29"/>
      <c r="W780" s="30"/>
    </row>
    <row r="781" spans="1:23" ht="36" x14ac:dyDescent="0.35">
      <c r="A781" s="20" t="s">
        <v>1251</v>
      </c>
      <c r="B781" s="20" t="s">
        <v>1100</v>
      </c>
      <c r="C781" s="21" t="s">
        <v>1101</v>
      </c>
      <c r="D781" s="22"/>
      <c r="E781" s="22" t="s">
        <v>1252</v>
      </c>
      <c r="F781" s="22" t="s">
        <v>55</v>
      </c>
      <c r="G781" s="23">
        <v>1</v>
      </c>
      <c r="H781" s="131"/>
      <c r="I781" s="171"/>
      <c r="J781" s="142"/>
      <c r="K781" s="98">
        <v>30.71</v>
      </c>
      <c r="L781" s="62">
        <f>IFERROR(ROUND(SUM(O782,O783)/K781, 2),0)</f>
        <v>13.32</v>
      </c>
      <c r="M781" s="80">
        <v>464</v>
      </c>
      <c r="N781" s="90">
        <f>L781+ROUND(M781, 2)</f>
        <v>477.32</v>
      </c>
      <c r="O781" s="62">
        <f>ROUND(L781*K781, 2)</f>
        <v>409.06</v>
      </c>
      <c r="P781" s="24">
        <f>ROUND(K781*ROUND(M781, 2), 2)</f>
        <v>14249.44</v>
      </c>
      <c r="Q781" s="24">
        <f>O781+P781</f>
        <v>14658.5</v>
      </c>
      <c r="R781" s="24">
        <f>IFERROR(ROUND(SUM(U782,U783)/K781, 2),0)</f>
        <v>13.32</v>
      </c>
      <c r="S781" s="24">
        <v>464</v>
      </c>
      <c r="T781" s="24">
        <f>R781+ROUND(S781, 2)</f>
        <v>477.32</v>
      </c>
      <c r="U781" s="24">
        <f>ROUND(R781*K781, 2)</f>
        <v>409.06</v>
      </c>
      <c r="V781" s="24">
        <f>ROUND(K781*ROUND(S781, 2), 2)</f>
        <v>14249.44</v>
      </c>
      <c r="W781" s="24">
        <f>U781+V781</f>
        <v>14658.5</v>
      </c>
    </row>
    <row r="782" spans="1:23" ht="36" x14ac:dyDescent="0.35">
      <c r="A782" s="20" t="s">
        <v>1253</v>
      </c>
      <c r="B782" s="20"/>
      <c r="C782" s="25" t="s">
        <v>235</v>
      </c>
      <c r="D782" s="22"/>
      <c r="E782" s="22"/>
      <c r="F782" s="26" t="s">
        <v>58</v>
      </c>
      <c r="G782" s="27">
        <v>0.15</v>
      </c>
      <c r="H782" s="132"/>
      <c r="I782" s="171"/>
      <c r="J782" s="142"/>
      <c r="K782" s="99">
        <v>4.6070000000000002</v>
      </c>
      <c r="L782" s="63">
        <v>88.8</v>
      </c>
      <c r="M782" s="29"/>
      <c r="N782" s="91"/>
      <c r="O782" s="63">
        <f>ROUND(ROUND(L782, 2)*K782, 2)</f>
        <v>409.1</v>
      </c>
      <c r="P782" s="29"/>
      <c r="Q782" s="29"/>
      <c r="R782" s="28">
        <v>88.8</v>
      </c>
      <c r="S782" s="29"/>
      <c r="T782" s="29"/>
      <c r="U782" s="28">
        <f>ROUND(ROUND(R782, 2)*K782, 2)</f>
        <v>409.1</v>
      </c>
      <c r="V782" s="29"/>
      <c r="W782" s="30"/>
    </row>
    <row r="783" spans="1:23" ht="54" x14ac:dyDescent="0.35">
      <c r="A783" s="20" t="s">
        <v>1254</v>
      </c>
      <c r="B783" s="20"/>
      <c r="C783" s="25" t="s">
        <v>1121</v>
      </c>
      <c r="D783" s="22"/>
      <c r="E783" s="22" t="s">
        <v>1167</v>
      </c>
      <c r="F783" s="26" t="s">
        <v>58</v>
      </c>
      <c r="G783" s="27">
        <v>0.3</v>
      </c>
      <c r="H783" s="132"/>
      <c r="I783" s="171"/>
      <c r="J783" s="142"/>
      <c r="K783" s="99">
        <v>9.2129999999999992</v>
      </c>
      <c r="L783" s="63">
        <v>0</v>
      </c>
      <c r="M783" s="29"/>
      <c r="N783" s="91"/>
      <c r="O783" s="63">
        <f>ROUND(ROUND(L783, 2)*K783, 2)</f>
        <v>0</v>
      </c>
      <c r="P783" s="29"/>
      <c r="Q783" s="29"/>
      <c r="R783" s="28">
        <v>0</v>
      </c>
      <c r="S783" s="29"/>
      <c r="T783" s="29"/>
      <c r="U783" s="28">
        <f>ROUND(ROUND(R783, 2)*K783, 2)</f>
        <v>0</v>
      </c>
      <c r="V783" s="29"/>
      <c r="W783" s="30"/>
    </row>
    <row r="784" spans="1:23" ht="36" x14ac:dyDescent="0.35">
      <c r="A784" s="20" t="s">
        <v>1255</v>
      </c>
      <c r="B784" s="20" t="s">
        <v>1100</v>
      </c>
      <c r="C784" s="21" t="s">
        <v>1101</v>
      </c>
      <c r="D784" s="22"/>
      <c r="E784" s="22" t="s">
        <v>1256</v>
      </c>
      <c r="F784" s="22" t="s">
        <v>55</v>
      </c>
      <c r="G784" s="23">
        <v>1</v>
      </c>
      <c r="H784" s="131"/>
      <c r="I784" s="171"/>
      <c r="J784" s="142"/>
      <c r="K784" s="98">
        <v>1281.17</v>
      </c>
      <c r="L784" s="62">
        <f>IFERROR(ROUND(SUM(O785,O786)/K784, 2),0)</f>
        <v>13.32</v>
      </c>
      <c r="M784" s="80">
        <v>464</v>
      </c>
      <c r="N784" s="90">
        <f>L784+ROUND(M784, 2)</f>
        <v>477.32</v>
      </c>
      <c r="O784" s="62">
        <f>ROUND(L784*K784, 2)</f>
        <v>17065.18</v>
      </c>
      <c r="P784" s="24">
        <f>ROUND(K784*ROUND(M784, 2), 2)</f>
        <v>594462.88</v>
      </c>
      <c r="Q784" s="24">
        <f>O784+P784</f>
        <v>611528.06000000006</v>
      </c>
      <c r="R784" s="24">
        <f>IFERROR(ROUND(SUM(U785,U786)/K784, 2),0)</f>
        <v>13.32</v>
      </c>
      <c r="S784" s="24">
        <v>464</v>
      </c>
      <c r="T784" s="24">
        <f>R784+ROUND(S784, 2)</f>
        <v>477.32</v>
      </c>
      <c r="U784" s="24">
        <f>ROUND(R784*K784, 2)</f>
        <v>17065.18</v>
      </c>
      <c r="V784" s="24">
        <f>ROUND(K784*ROUND(S784, 2), 2)</f>
        <v>594462.88</v>
      </c>
      <c r="W784" s="24">
        <f>U784+V784</f>
        <v>611528.06000000006</v>
      </c>
    </row>
    <row r="785" spans="1:23" ht="36" x14ac:dyDescent="0.35">
      <c r="A785" s="20" t="s">
        <v>1257</v>
      </c>
      <c r="B785" s="20"/>
      <c r="C785" s="25" t="s">
        <v>235</v>
      </c>
      <c r="D785" s="22"/>
      <c r="E785" s="22"/>
      <c r="F785" s="26" t="s">
        <v>58</v>
      </c>
      <c r="G785" s="27">
        <v>0.15</v>
      </c>
      <c r="H785" s="132"/>
      <c r="I785" s="171"/>
      <c r="J785" s="142"/>
      <c r="K785" s="99">
        <v>192.17599999999999</v>
      </c>
      <c r="L785" s="63">
        <v>88.8</v>
      </c>
      <c r="M785" s="29"/>
      <c r="N785" s="91"/>
      <c r="O785" s="63">
        <f>ROUND(ROUND(L785, 2)*K785, 2)</f>
        <v>17065.23</v>
      </c>
      <c r="P785" s="29"/>
      <c r="Q785" s="29"/>
      <c r="R785" s="28">
        <v>88.8</v>
      </c>
      <c r="S785" s="29"/>
      <c r="T785" s="29"/>
      <c r="U785" s="28">
        <f>ROUND(ROUND(R785, 2)*K785, 2)</f>
        <v>17065.23</v>
      </c>
      <c r="V785" s="29"/>
      <c r="W785" s="30"/>
    </row>
    <row r="786" spans="1:23" ht="20" x14ac:dyDescent="0.35">
      <c r="A786" s="20" t="s">
        <v>1258</v>
      </c>
      <c r="B786" s="20"/>
      <c r="C786" s="25" t="s">
        <v>1104</v>
      </c>
      <c r="D786" s="22"/>
      <c r="E786" s="22"/>
      <c r="F786" s="26" t="s">
        <v>58</v>
      </c>
      <c r="G786" s="27">
        <v>0.3</v>
      </c>
      <c r="H786" s="132"/>
      <c r="I786" s="171"/>
      <c r="J786" s="142"/>
      <c r="K786" s="99">
        <v>384.351</v>
      </c>
      <c r="L786" s="63">
        <v>0</v>
      </c>
      <c r="M786" s="29"/>
      <c r="N786" s="91"/>
      <c r="O786" s="63">
        <f>ROUND(ROUND(L786, 2)*K786, 2)</f>
        <v>0</v>
      </c>
      <c r="P786" s="29"/>
      <c r="Q786" s="29"/>
      <c r="R786" s="28">
        <v>0</v>
      </c>
      <c r="S786" s="29"/>
      <c r="T786" s="29"/>
      <c r="U786" s="28">
        <f>ROUND(ROUND(R786, 2)*K786, 2)</f>
        <v>0</v>
      </c>
      <c r="V786" s="29"/>
      <c r="W786" s="30"/>
    </row>
    <row r="787" spans="1:23" ht="36" x14ac:dyDescent="0.35">
      <c r="A787" s="20" t="s">
        <v>1259</v>
      </c>
      <c r="B787" s="20" t="s">
        <v>1100</v>
      </c>
      <c r="C787" s="21" t="s">
        <v>1101</v>
      </c>
      <c r="D787" s="22"/>
      <c r="E787" s="22" t="s">
        <v>1260</v>
      </c>
      <c r="F787" s="22" t="s">
        <v>55</v>
      </c>
      <c r="G787" s="23">
        <v>1</v>
      </c>
      <c r="H787" s="131"/>
      <c r="I787" s="171"/>
      <c r="J787" s="142"/>
      <c r="K787" s="98">
        <v>8.82</v>
      </c>
      <c r="L787" s="62">
        <f>IFERROR(ROUND(SUM(O788,O789)/K787, 2),0)</f>
        <v>13.32</v>
      </c>
      <c r="M787" s="80">
        <v>464</v>
      </c>
      <c r="N787" s="90">
        <f>L787+ROUND(M787, 2)</f>
        <v>477.32</v>
      </c>
      <c r="O787" s="62">
        <f>ROUND(L787*K787, 2)</f>
        <v>117.48</v>
      </c>
      <c r="P787" s="24">
        <f>ROUND(K787*ROUND(M787, 2), 2)</f>
        <v>4092.48</v>
      </c>
      <c r="Q787" s="24">
        <f>O787+P787</f>
        <v>4209.96</v>
      </c>
      <c r="R787" s="24">
        <f>IFERROR(ROUND(SUM(U788,U789)/K787, 2),0)</f>
        <v>13.32</v>
      </c>
      <c r="S787" s="24">
        <v>464</v>
      </c>
      <c r="T787" s="24">
        <f>R787+ROUND(S787, 2)</f>
        <v>477.32</v>
      </c>
      <c r="U787" s="24">
        <f>ROUND(R787*K787, 2)</f>
        <v>117.48</v>
      </c>
      <c r="V787" s="24">
        <f>ROUND(K787*ROUND(S787, 2), 2)</f>
        <v>4092.48</v>
      </c>
      <c r="W787" s="24">
        <f>U787+V787</f>
        <v>4209.96</v>
      </c>
    </row>
    <row r="788" spans="1:23" ht="36" x14ac:dyDescent="0.35">
      <c r="A788" s="20" t="s">
        <v>1261</v>
      </c>
      <c r="B788" s="20"/>
      <c r="C788" s="25" t="s">
        <v>235</v>
      </c>
      <c r="D788" s="22"/>
      <c r="E788" s="22"/>
      <c r="F788" s="26" t="s">
        <v>58</v>
      </c>
      <c r="G788" s="27">
        <v>0.15</v>
      </c>
      <c r="H788" s="132"/>
      <c r="I788" s="171"/>
      <c r="J788" s="142"/>
      <c r="K788" s="99">
        <v>1.323</v>
      </c>
      <c r="L788" s="63">
        <v>88.8</v>
      </c>
      <c r="M788" s="29"/>
      <c r="N788" s="91"/>
      <c r="O788" s="63">
        <f>ROUND(ROUND(L788, 2)*K788, 2)</f>
        <v>117.48</v>
      </c>
      <c r="P788" s="29"/>
      <c r="Q788" s="29"/>
      <c r="R788" s="28">
        <v>88.8</v>
      </c>
      <c r="S788" s="29"/>
      <c r="T788" s="29"/>
      <c r="U788" s="28">
        <f>ROUND(ROUND(R788, 2)*K788, 2)</f>
        <v>117.48</v>
      </c>
      <c r="V788" s="29"/>
      <c r="W788" s="30"/>
    </row>
    <row r="789" spans="1:23" ht="54" x14ac:dyDescent="0.35">
      <c r="A789" s="20" t="s">
        <v>1262</v>
      </c>
      <c r="B789" s="20"/>
      <c r="C789" s="25" t="s">
        <v>1104</v>
      </c>
      <c r="D789" s="22"/>
      <c r="E789" s="22" t="s">
        <v>1177</v>
      </c>
      <c r="F789" s="26" t="s">
        <v>58</v>
      </c>
      <c r="G789" s="27">
        <v>0.3</v>
      </c>
      <c r="H789" s="132"/>
      <c r="I789" s="171"/>
      <c r="J789" s="142"/>
      <c r="K789" s="99">
        <v>2.6459999999999999</v>
      </c>
      <c r="L789" s="63">
        <v>0</v>
      </c>
      <c r="M789" s="29"/>
      <c r="N789" s="91"/>
      <c r="O789" s="63">
        <f>ROUND(ROUND(L789, 2)*K789, 2)</f>
        <v>0</v>
      </c>
      <c r="P789" s="29"/>
      <c r="Q789" s="29"/>
      <c r="R789" s="28">
        <v>0</v>
      </c>
      <c r="S789" s="29"/>
      <c r="T789" s="29"/>
      <c r="U789" s="28">
        <f>ROUND(ROUND(R789, 2)*K789, 2)</f>
        <v>0</v>
      </c>
      <c r="V789" s="29"/>
      <c r="W789" s="30"/>
    </row>
    <row r="790" spans="1:23" ht="36" x14ac:dyDescent="0.35">
      <c r="A790" s="20" t="s">
        <v>1263</v>
      </c>
      <c r="B790" s="20" t="s">
        <v>1100</v>
      </c>
      <c r="C790" s="21" t="s">
        <v>1101</v>
      </c>
      <c r="D790" s="22"/>
      <c r="E790" s="22" t="s">
        <v>1264</v>
      </c>
      <c r="F790" s="22" t="s">
        <v>55</v>
      </c>
      <c r="G790" s="23">
        <v>1</v>
      </c>
      <c r="H790" s="131"/>
      <c r="I790" s="171"/>
      <c r="J790" s="142"/>
      <c r="K790" s="98">
        <v>24.88</v>
      </c>
      <c r="L790" s="62">
        <f>IFERROR(ROUND(SUM(O791,O792)/K790, 2),0)</f>
        <v>13.32</v>
      </c>
      <c r="M790" s="80">
        <v>464</v>
      </c>
      <c r="N790" s="90">
        <f>L790+ROUND(M790, 2)</f>
        <v>477.32</v>
      </c>
      <c r="O790" s="62">
        <f>ROUND(L790*K790, 2)</f>
        <v>331.4</v>
      </c>
      <c r="P790" s="24">
        <f>ROUND(K790*ROUND(M790, 2), 2)</f>
        <v>11544.32</v>
      </c>
      <c r="Q790" s="24">
        <f>O790+P790</f>
        <v>11875.72</v>
      </c>
      <c r="R790" s="24">
        <f>IFERROR(ROUND(SUM(U791,U792)/K790, 2),0)</f>
        <v>13.32</v>
      </c>
      <c r="S790" s="24">
        <v>464</v>
      </c>
      <c r="T790" s="24">
        <f>R790+ROUND(S790, 2)</f>
        <v>477.32</v>
      </c>
      <c r="U790" s="24">
        <f>ROUND(R790*K790, 2)</f>
        <v>331.4</v>
      </c>
      <c r="V790" s="24">
        <f>ROUND(K790*ROUND(S790, 2), 2)</f>
        <v>11544.32</v>
      </c>
      <c r="W790" s="24">
        <f>U790+V790</f>
        <v>11875.72</v>
      </c>
    </row>
    <row r="791" spans="1:23" ht="36" x14ac:dyDescent="0.35">
      <c r="A791" s="20" t="s">
        <v>1265</v>
      </c>
      <c r="B791" s="20"/>
      <c r="C791" s="25" t="s">
        <v>235</v>
      </c>
      <c r="D791" s="22"/>
      <c r="E791" s="22"/>
      <c r="F791" s="26" t="s">
        <v>58</v>
      </c>
      <c r="G791" s="27">
        <v>0.15</v>
      </c>
      <c r="H791" s="132"/>
      <c r="I791" s="171"/>
      <c r="J791" s="142"/>
      <c r="K791" s="99">
        <v>3.7320000000000002</v>
      </c>
      <c r="L791" s="63">
        <v>88.8</v>
      </c>
      <c r="M791" s="29"/>
      <c r="N791" s="91"/>
      <c r="O791" s="63">
        <f>ROUND(ROUND(L791, 2)*K791, 2)</f>
        <v>331.4</v>
      </c>
      <c r="P791" s="29"/>
      <c r="Q791" s="29"/>
      <c r="R791" s="28">
        <v>88.8</v>
      </c>
      <c r="S791" s="29"/>
      <c r="T791" s="29"/>
      <c r="U791" s="28">
        <f>ROUND(ROUND(R791, 2)*K791, 2)</f>
        <v>331.4</v>
      </c>
      <c r="V791" s="29"/>
      <c r="W791" s="30"/>
    </row>
    <row r="792" spans="1:23" ht="72" x14ac:dyDescent="0.35">
      <c r="A792" s="20" t="s">
        <v>1266</v>
      </c>
      <c r="B792" s="20"/>
      <c r="C792" s="25" t="s">
        <v>1104</v>
      </c>
      <c r="D792" s="22"/>
      <c r="E792" s="22" t="s">
        <v>1267</v>
      </c>
      <c r="F792" s="26" t="s">
        <v>58</v>
      </c>
      <c r="G792" s="27">
        <v>0.3</v>
      </c>
      <c r="H792" s="132"/>
      <c r="I792" s="171"/>
      <c r="J792" s="142"/>
      <c r="K792" s="99">
        <v>7.4640000000000004</v>
      </c>
      <c r="L792" s="63">
        <v>0</v>
      </c>
      <c r="M792" s="29"/>
      <c r="N792" s="91"/>
      <c r="O792" s="63">
        <f>ROUND(ROUND(L792, 2)*K792, 2)</f>
        <v>0</v>
      </c>
      <c r="P792" s="29"/>
      <c r="Q792" s="29"/>
      <c r="R792" s="28">
        <v>0</v>
      </c>
      <c r="S792" s="29"/>
      <c r="T792" s="29"/>
      <c r="U792" s="28">
        <f>ROUND(ROUND(R792, 2)*K792, 2)</f>
        <v>0</v>
      </c>
      <c r="V792" s="29"/>
      <c r="W792" s="30"/>
    </row>
    <row r="793" spans="1:23" ht="36" x14ac:dyDescent="0.35">
      <c r="A793" s="20" t="s">
        <v>1268</v>
      </c>
      <c r="B793" s="20" t="s">
        <v>1100</v>
      </c>
      <c r="C793" s="21" t="s">
        <v>1101</v>
      </c>
      <c r="D793" s="22"/>
      <c r="E793" s="22" t="s">
        <v>1269</v>
      </c>
      <c r="F793" s="22" t="s">
        <v>55</v>
      </c>
      <c r="G793" s="23">
        <v>1</v>
      </c>
      <c r="H793" s="131"/>
      <c r="I793" s="171"/>
      <c r="J793" s="142"/>
      <c r="K793" s="98">
        <v>28.85</v>
      </c>
      <c r="L793" s="62">
        <f>IFERROR(ROUND(SUM(O794,O795)/K793, 2),0)</f>
        <v>13.32</v>
      </c>
      <c r="M793" s="80">
        <v>464</v>
      </c>
      <c r="N793" s="90">
        <f>L793+ROUND(M793, 2)</f>
        <v>477.32</v>
      </c>
      <c r="O793" s="62">
        <f>ROUND(L793*K793, 2)</f>
        <v>384.28</v>
      </c>
      <c r="P793" s="24">
        <f>ROUND(K793*ROUND(M793, 2), 2)</f>
        <v>13386.4</v>
      </c>
      <c r="Q793" s="24">
        <f>O793+P793</f>
        <v>13770.68</v>
      </c>
      <c r="R793" s="24">
        <f>IFERROR(ROUND(SUM(U794,U795)/K793, 2),0)</f>
        <v>13.32</v>
      </c>
      <c r="S793" s="24">
        <v>464</v>
      </c>
      <c r="T793" s="24">
        <f>R793+ROUND(S793, 2)</f>
        <v>477.32</v>
      </c>
      <c r="U793" s="24">
        <f>ROUND(R793*K793, 2)</f>
        <v>384.28</v>
      </c>
      <c r="V793" s="24">
        <f>ROUND(K793*ROUND(S793, 2), 2)</f>
        <v>13386.4</v>
      </c>
      <c r="W793" s="24">
        <f>U793+V793</f>
        <v>13770.68</v>
      </c>
    </row>
    <row r="794" spans="1:23" ht="36" x14ac:dyDescent="0.35">
      <c r="A794" s="20" t="s">
        <v>1270</v>
      </c>
      <c r="B794" s="20"/>
      <c r="C794" s="25" t="s">
        <v>235</v>
      </c>
      <c r="D794" s="22"/>
      <c r="E794" s="22"/>
      <c r="F794" s="26" t="s">
        <v>58</v>
      </c>
      <c r="G794" s="27">
        <v>0.15</v>
      </c>
      <c r="H794" s="132"/>
      <c r="I794" s="171"/>
      <c r="J794" s="142"/>
      <c r="K794" s="99">
        <v>4.3280000000000003</v>
      </c>
      <c r="L794" s="63">
        <v>88.8</v>
      </c>
      <c r="M794" s="29"/>
      <c r="N794" s="91"/>
      <c r="O794" s="63">
        <f>ROUND(ROUND(L794, 2)*K794, 2)</f>
        <v>384.33</v>
      </c>
      <c r="P794" s="29"/>
      <c r="Q794" s="29"/>
      <c r="R794" s="28">
        <v>88.8</v>
      </c>
      <c r="S794" s="29"/>
      <c r="T794" s="29"/>
      <c r="U794" s="28">
        <f>ROUND(ROUND(R794, 2)*K794, 2)</f>
        <v>384.33</v>
      </c>
      <c r="V794" s="29"/>
      <c r="W794" s="30"/>
    </row>
    <row r="795" spans="1:23" ht="54" x14ac:dyDescent="0.35">
      <c r="A795" s="20" t="s">
        <v>1271</v>
      </c>
      <c r="B795" s="20"/>
      <c r="C795" s="25" t="s">
        <v>1121</v>
      </c>
      <c r="D795" s="22"/>
      <c r="E795" s="22" t="s">
        <v>1272</v>
      </c>
      <c r="F795" s="26" t="s">
        <v>58</v>
      </c>
      <c r="G795" s="27">
        <v>0.3</v>
      </c>
      <c r="H795" s="132"/>
      <c r="I795" s="171"/>
      <c r="J795" s="142"/>
      <c r="K795" s="99">
        <v>8.6549999999999994</v>
      </c>
      <c r="L795" s="63">
        <v>0</v>
      </c>
      <c r="M795" s="29"/>
      <c r="N795" s="91"/>
      <c r="O795" s="63">
        <f>ROUND(ROUND(L795, 2)*K795, 2)</f>
        <v>0</v>
      </c>
      <c r="P795" s="29"/>
      <c r="Q795" s="29"/>
      <c r="R795" s="28">
        <v>0</v>
      </c>
      <c r="S795" s="29"/>
      <c r="T795" s="29"/>
      <c r="U795" s="28">
        <f>ROUND(ROUND(R795, 2)*K795, 2)</f>
        <v>0</v>
      </c>
      <c r="V795" s="29"/>
      <c r="W795" s="30"/>
    </row>
    <row r="796" spans="1:23" ht="36" x14ac:dyDescent="0.35">
      <c r="A796" s="20" t="s">
        <v>1273</v>
      </c>
      <c r="B796" s="20" t="s">
        <v>1100</v>
      </c>
      <c r="C796" s="21" t="s">
        <v>1101</v>
      </c>
      <c r="D796" s="22"/>
      <c r="E796" s="22" t="s">
        <v>1274</v>
      </c>
      <c r="F796" s="22" t="s">
        <v>55</v>
      </c>
      <c r="G796" s="23">
        <v>1</v>
      </c>
      <c r="H796" s="131"/>
      <c r="I796" s="171"/>
      <c r="J796" s="142"/>
      <c r="K796" s="98">
        <v>3.12</v>
      </c>
      <c r="L796" s="62">
        <f>IFERROR(ROUND(SUM(O797,O798)/K796, 2),0)</f>
        <v>13.32</v>
      </c>
      <c r="M796" s="80">
        <v>464</v>
      </c>
      <c r="N796" s="90">
        <f>L796+ROUND(M796, 2)</f>
        <v>477.32</v>
      </c>
      <c r="O796" s="62">
        <f>ROUND(L796*K796, 2)</f>
        <v>41.56</v>
      </c>
      <c r="P796" s="24">
        <f>ROUND(K796*ROUND(M796, 2), 2)</f>
        <v>1447.68</v>
      </c>
      <c r="Q796" s="24">
        <f>O796+P796</f>
        <v>1489.24</v>
      </c>
      <c r="R796" s="24">
        <f>IFERROR(ROUND(SUM(U797,U798)/K796, 2),0)</f>
        <v>13.32</v>
      </c>
      <c r="S796" s="24">
        <v>464</v>
      </c>
      <c r="T796" s="24">
        <f>R796+ROUND(S796, 2)</f>
        <v>477.32</v>
      </c>
      <c r="U796" s="24">
        <f>ROUND(R796*K796, 2)</f>
        <v>41.56</v>
      </c>
      <c r="V796" s="24">
        <f>ROUND(K796*ROUND(S796, 2), 2)</f>
        <v>1447.68</v>
      </c>
      <c r="W796" s="24">
        <f>U796+V796</f>
        <v>1489.24</v>
      </c>
    </row>
    <row r="797" spans="1:23" ht="36" x14ac:dyDescent="0.35">
      <c r="A797" s="20" t="s">
        <v>1275</v>
      </c>
      <c r="B797" s="20"/>
      <c r="C797" s="25" t="s">
        <v>235</v>
      </c>
      <c r="D797" s="22"/>
      <c r="E797" s="22"/>
      <c r="F797" s="26" t="s">
        <v>58</v>
      </c>
      <c r="G797" s="27">
        <v>0.15</v>
      </c>
      <c r="H797" s="132"/>
      <c r="I797" s="171"/>
      <c r="J797" s="142"/>
      <c r="K797" s="99">
        <v>0.46800000000000003</v>
      </c>
      <c r="L797" s="63">
        <v>88.8</v>
      </c>
      <c r="M797" s="29"/>
      <c r="N797" s="91"/>
      <c r="O797" s="63">
        <f>ROUND(ROUND(L797, 2)*K797, 2)</f>
        <v>41.56</v>
      </c>
      <c r="P797" s="29"/>
      <c r="Q797" s="29"/>
      <c r="R797" s="28">
        <v>88.8</v>
      </c>
      <c r="S797" s="29"/>
      <c r="T797" s="29"/>
      <c r="U797" s="28">
        <f>ROUND(ROUND(R797, 2)*K797, 2)</f>
        <v>41.56</v>
      </c>
      <c r="V797" s="29"/>
      <c r="W797" s="30"/>
    </row>
    <row r="798" spans="1:23" ht="54" x14ac:dyDescent="0.35">
      <c r="A798" s="20" t="s">
        <v>1276</v>
      </c>
      <c r="B798" s="20"/>
      <c r="C798" s="25" t="s">
        <v>1121</v>
      </c>
      <c r="D798" s="22"/>
      <c r="E798" s="22" t="s">
        <v>1192</v>
      </c>
      <c r="F798" s="26" t="s">
        <v>58</v>
      </c>
      <c r="G798" s="27">
        <v>0.3</v>
      </c>
      <c r="H798" s="132"/>
      <c r="I798" s="171"/>
      <c r="J798" s="142"/>
      <c r="K798" s="99">
        <v>0.93600000000000005</v>
      </c>
      <c r="L798" s="63">
        <v>0</v>
      </c>
      <c r="M798" s="29"/>
      <c r="N798" s="91"/>
      <c r="O798" s="63">
        <f>ROUND(ROUND(L798, 2)*K798, 2)</f>
        <v>0</v>
      </c>
      <c r="P798" s="29"/>
      <c r="Q798" s="29"/>
      <c r="R798" s="28">
        <v>0</v>
      </c>
      <c r="S798" s="29"/>
      <c r="T798" s="29"/>
      <c r="U798" s="28">
        <f>ROUND(ROUND(R798, 2)*K798, 2)</f>
        <v>0</v>
      </c>
      <c r="V798" s="29"/>
      <c r="W798" s="30"/>
    </row>
    <row r="799" spans="1:23" ht="36" x14ac:dyDescent="0.35">
      <c r="A799" s="20" t="s">
        <v>1277</v>
      </c>
      <c r="B799" s="20" t="s">
        <v>1100</v>
      </c>
      <c r="C799" s="21" t="s">
        <v>1101</v>
      </c>
      <c r="D799" s="22"/>
      <c r="E799" s="22" t="s">
        <v>1278</v>
      </c>
      <c r="F799" s="22" t="s">
        <v>55</v>
      </c>
      <c r="G799" s="23">
        <v>1</v>
      </c>
      <c r="H799" s="131"/>
      <c r="I799" s="171"/>
      <c r="J799" s="142"/>
      <c r="K799" s="98">
        <v>83.7</v>
      </c>
      <c r="L799" s="62">
        <f>IFERROR(ROUND(SUM(O800,O801)/K799, 2),0)</f>
        <v>13.32</v>
      </c>
      <c r="M799" s="80">
        <v>464</v>
      </c>
      <c r="N799" s="90">
        <f>L799+ROUND(M799, 2)</f>
        <v>477.32</v>
      </c>
      <c r="O799" s="62">
        <f>ROUND(L799*K799, 2)</f>
        <v>1114.8800000000001</v>
      </c>
      <c r="P799" s="24">
        <f>ROUND(K799*ROUND(M799, 2), 2)</f>
        <v>38836.800000000003</v>
      </c>
      <c r="Q799" s="24">
        <f>O799+P799</f>
        <v>39951.68</v>
      </c>
      <c r="R799" s="24">
        <f>IFERROR(ROUND(SUM(U800,U801)/K799, 2),0)</f>
        <v>13.32</v>
      </c>
      <c r="S799" s="24">
        <v>464</v>
      </c>
      <c r="T799" s="24">
        <f>R799+ROUND(S799, 2)</f>
        <v>477.32</v>
      </c>
      <c r="U799" s="24">
        <f>ROUND(R799*K799, 2)</f>
        <v>1114.8800000000001</v>
      </c>
      <c r="V799" s="24">
        <f>ROUND(K799*ROUND(S799, 2), 2)</f>
        <v>38836.800000000003</v>
      </c>
      <c r="W799" s="24">
        <f>U799+V799</f>
        <v>39951.68</v>
      </c>
    </row>
    <row r="800" spans="1:23" ht="36" x14ac:dyDescent="0.35">
      <c r="A800" s="20" t="s">
        <v>1279</v>
      </c>
      <c r="B800" s="20"/>
      <c r="C800" s="25" t="s">
        <v>235</v>
      </c>
      <c r="D800" s="22"/>
      <c r="E800" s="22"/>
      <c r="F800" s="26" t="s">
        <v>58</v>
      </c>
      <c r="G800" s="27">
        <v>0.15</v>
      </c>
      <c r="H800" s="132"/>
      <c r="I800" s="171"/>
      <c r="J800" s="142"/>
      <c r="K800" s="99">
        <v>12.555</v>
      </c>
      <c r="L800" s="63">
        <v>88.8</v>
      </c>
      <c r="M800" s="29"/>
      <c r="N800" s="91"/>
      <c r="O800" s="63">
        <f>ROUND(ROUND(L800, 2)*K800, 2)</f>
        <v>1114.8800000000001</v>
      </c>
      <c r="P800" s="29"/>
      <c r="Q800" s="29"/>
      <c r="R800" s="28">
        <v>88.8</v>
      </c>
      <c r="S800" s="29"/>
      <c r="T800" s="29"/>
      <c r="U800" s="28">
        <f>ROUND(ROUND(R800, 2)*K800, 2)</f>
        <v>1114.8800000000001</v>
      </c>
      <c r="V800" s="29"/>
      <c r="W800" s="30"/>
    </row>
    <row r="801" spans="1:23" ht="36" x14ac:dyDescent="0.35">
      <c r="A801" s="20" t="s">
        <v>1280</v>
      </c>
      <c r="B801" s="20"/>
      <c r="C801" s="25" t="s">
        <v>1121</v>
      </c>
      <c r="D801" s="22"/>
      <c r="E801" s="22" t="s">
        <v>1281</v>
      </c>
      <c r="F801" s="26" t="s">
        <v>58</v>
      </c>
      <c r="G801" s="27">
        <v>0.3</v>
      </c>
      <c r="H801" s="132"/>
      <c r="I801" s="171"/>
      <c r="J801" s="142"/>
      <c r="K801" s="99">
        <v>25.11</v>
      </c>
      <c r="L801" s="63">
        <v>0</v>
      </c>
      <c r="M801" s="29"/>
      <c r="N801" s="91"/>
      <c r="O801" s="63">
        <f>ROUND(ROUND(L801, 2)*K801, 2)</f>
        <v>0</v>
      </c>
      <c r="P801" s="29"/>
      <c r="Q801" s="29"/>
      <c r="R801" s="28">
        <v>0</v>
      </c>
      <c r="S801" s="29"/>
      <c r="T801" s="29"/>
      <c r="U801" s="28">
        <f>ROUND(ROUND(R801, 2)*K801, 2)</f>
        <v>0</v>
      </c>
      <c r="V801" s="29"/>
      <c r="W801" s="30"/>
    </row>
    <row r="802" spans="1:23" ht="36" x14ac:dyDescent="0.35">
      <c r="A802" s="20" t="s">
        <v>1282</v>
      </c>
      <c r="B802" s="20" t="s">
        <v>1100</v>
      </c>
      <c r="C802" s="21" t="s">
        <v>1101</v>
      </c>
      <c r="D802" s="22"/>
      <c r="E802" s="22" t="s">
        <v>1283</v>
      </c>
      <c r="F802" s="22" t="s">
        <v>55</v>
      </c>
      <c r="G802" s="23">
        <v>1</v>
      </c>
      <c r="H802" s="131"/>
      <c r="I802" s="171"/>
      <c r="J802" s="142"/>
      <c r="K802" s="98">
        <v>54.99</v>
      </c>
      <c r="L802" s="62">
        <f>IFERROR(ROUND(SUM(O803,O804)/K802, 2),0)</f>
        <v>13.32</v>
      </c>
      <c r="M802" s="80">
        <v>464</v>
      </c>
      <c r="N802" s="90">
        <f>L802+ROUND(M802, 2)</f>
        <v>477.32</v>
      </c>
      <c r="O802" s="62">
        <f>ROUND(L802*K802, 2)</f>
        <v>732.47</v>
      </c>
      <c r="P802" s="24">
        <f>ROUND(K802*ROUND(M802, 2), 2)</f>
        <v>25515.360000000001</v>
      </c>
      <c r="Q802" s="24">
        <f>O802+P802</f>
        <v>26247.83</v>
      </c>
      <c r="R802" s="24">
        <f>IFERROR(ROUND(SUM(U803,U804)/K802, 2),0)</f>
        <v>13.32</v>
      </c>
      <c r="S802" s="24">
        <v>464</v>
      </c>
      <c r="T802" s="24">
        <f>R802+ROUND(S802, 2)</f>
        <v>477.32</v>
      </c>
      <c r="U802" s="24">
        <f>ROUND(R802*K802, 2)</f>
        <v>732.47</v>
      </c>
      <c r="V802" s="24">
        <f>ROUND(K802*ROUND(S802, 2), 2)</f>
        <v>25515.360000000001</v>
      </c>
      <c r="W802" s="24">
        <f>U802+V802</f>
        <v>26247.83</v>
      </c>
    </row>
    <row r="803" spans="1:23" ht="36" x14ac:dyDescent="0.35">
      <c r="A803" s="20" t="s">
        <v>1284</v>
      </c>
      <c r="B803" s="20"/>
      <c r="C803" s="25" t="s">
        <v>235</v>
      </c>
      <c r="D803" s="22"/>
      <c r="E803" s="22"/>
      <c r="F803" s="26" t="s">
        <v>58</v>
      </c>
      <c r="G803" s="27">
        <v>0.15</v>
      </c>
      <c r="H803" s="132"/>
      <c r="I803" s="171"/>
      <c r="J803" s="142"/>
      <c r="K803" s="99">
        <v>8.2490000000000006</v>
      </c>
      <c r="L803" s="63">
        <v>88.8</v>
      </c>
      <c r="M803" s="29"/>
      <c r="N803" s="91"/>
      <c r="O803" s="63">
        <f>ROUND(ROUND(L803, 2)*K803, 2)</f>
        <v>732.51</v>
      </c>
      <c r="P803" s="29"/>
      <c r="Q803" s="29"/>
      <c r="R803" s="28">
        <v>88.8</v>
      </c>
      <c r="S803" s="29"/>
      <c r="T803" s="29"/>
      <c r="U803" s="28">
        <f>ROUND(ROUND(R803, 2)*K803, 2)</f>
        <v>732.51</v>
      </c>
      <c r="V803" s="29"/>
      <c r="W803" s="30"/>
    </row>
    <row r="804" spans="1:23" ht="36.5" thickBot="1" x14ac:dyDescent="0.4">
      <c r="A804" s="20" t="s">
        <v>1285</v>
      </c>
      <c r="B804" s="20"/>
      <c r="C804" s="25" t="s">
        <v>1121</v>
      </c>
      <c r="D804" s="22"/>
      <c r="E804" s="22" t="s">
        <v>1202</v>
      </c>
      <c r="F804" s="26" t="s">
        <v>58</v>
      </c>
      <c r="G804" s="27">
        <v>0.3</v>
      </c>
      <c r="H804" s="132"/>
      <c r="I804" s="171"/>
      <c r="J804" s="145"/>
      <c r="K804" s="105">
        <v>16.497</v>
      </c>
      <c r="L804" s="63">
        <v>0</v>
      </c>
      <c r="M804" s="29"/>
      <c r="N804" s="91"/>
      <c r="O804" s="63">
        <f>ROUND(ROUND(L804, 2)*K804, 2)</f>
        <v>0</v>
      </c>
      <c r="P804" s="29"/>
      <c r="Q804" s="29"/>
      <c r="R804" s="28">
        <v>0</v>
      </c>
      <c r="S804" s="29"/>
      <c r="T804" s="29"/>
      <c r="U804" s="28">
        <f>ROUND(ROUND(R804, 2)*K804, 2)</f>
        <v>0</v>
      </c>
      <c r="V804" s="29"/>
      <c r="W804" s="30"/>
    </row>
    <row r="805" spans="1:23" ht="17" customHeight="1" thickBot="1" x14ac:dyDescent="0.4">
      <c r="A805" s="20" t="s">
        <v>1286</v>
      </c>
      <c r="B805" s="20" t="s">
        <v>1287</v>
      </c>
      <c r="C805" s="114" t="s">
        <v>1288</v>
      </c>
      <c r="D805" s="115"/>
      <c r="E805" s="115"/>
      <c r="F805" s="115"/>
      <c r="G805" s="115"/>
      <c r="H805" s="115"/>
      <c r="I805" s="168"/>
      <c r="J805" s="159"/>
      <c r="K805" s="116"/>
      <c r="L805" s="29"/>
      <c r="M805" s="29"/>
      <c r="N805" s="91"/>
      <c r="O805" s="85">
        <f>SUM(O806,O808,O810,O812,O814,O816,O818,O820,O822,O824,O826,O840,O853,O865,O877)</f>
        <v>19360183.630000006</v>
      </c>
      <c r="P805" s="56">
        <f>SUM(P806,P808,P810,P812,P814,P816,P818,P820,P822,P824,P826,P840,P853,P865,P877)</f>
        <v>4064165.0399999991</v>
      </c>
      <c r="Q805" s="56">
        <f>SUM(Q806,Q808,Q810,Q812,Q814,Q816,Q818,Q820,Q822,Q824,Q826,Q840,Q853,Q865,Q877)</f>
        <v>23424348.670000002</v>
      </c>
      <c r="R805" s="29"/>
      <c r="S805" s="29"/>
      <c r="T805" s="29"/>
      <c r="U805" s="56">
        <f>SUM(U806,U808,U810,U812,U814,U816,U818,U820,U822,U824,U826,U840,U853,U865,U877)</f>
        <v>19360183.630000006</v>
      </c>
      <c r="V805" s="56">
        <f>SUM(V806,V808,V810,V812,V814,V816,V818,V820,V822,V824,V826,V840,V853,V865,V877)</f>
        <v>4064165.0399999991</v>
      </c>
      <c r="W805" s="56">
        <f>SUM(W806,W808,W810,W812,W814,W816,W818,W820,W822,W824,W826,W840,W853,W865,W877)</f>
        <v>23424348.670000002</v>
      </c>
    </row>
    <row r="806" spans="1:23" ht="36" x14ac:dyDescent="0.35">
      <c r="A806" s="20" t="s">
        <v>1289</v>
      </c>
      <c r="B806" s="20" t="s">
        <v>1290</v>
      </c>
      <c r="C806" s="21" t="s">
        <v>1291</v>
      </c>
      <c r="D806" s="22"/>
      <c r="E806" s="22" t="s">
        <v>1292</v>
      </c>
      <c r="F806" s="22" t="s">
        <v>55</v>
      </c>
      <c r="G806" s="23">
        <v>1</v>
      </c>
      <c r="H806" s="131"/>
      <c r="I806" s="171"/>
      <c r="J806" s="154"/>
      <c r="K806" s="113">
        <v>433.87</v>
      </c>
      <c r="L806" s="62">
        <f>IFERROR(ROUND(SUM(O807)/K806, 2),0)</f>
        <v>0</v>
      </c>
      <c r="M806" s="80">
        <v>837</v>
      </c>
      <c r="N806" s="90">
        <f>L806+ROUND(M806, 2)</f>
        <v>837</v>
      </c>
      <c r="O806" s="62">
        <f>ROUND(L806*K806, 2)</f>
        <v>0</v>
      </c>
      <c r="P806" s="24">
        <f>ROUND(K806*ROUND(M806, 2), 2)</f>
        <v>363149.19</v>
      </c>
      <c r="Q806" s="24">
        <f>O806+P806</f>
        <v>363149.19</v>
      </c>
      <c r="R806" s="24">
        <f>IFERROR(ROUND(SUM(U807)/K806, 2),0)</f>
        <v>0</v>
      </c>
      <c r="S806" s="24">
        <v>837</v>
      </c>
      <c r="T806" s="24">
        <f>R806+ROUND(S806, 2)</f>
        <v>837</v>
      </c>
      <c r="U806" s="24">
        <f>ROUND(R806*K806, 2)</f>
        <v>0</v>
      </c>
      <c r="V806" s="24">
        <f>ROUND(K806*ROUND(S806, 2), 2)</f>
        <v>363149.19</v>
      </c>
      <c r="W806" s="24">
        <f>U806+V806</f>
        <v>363149.19</v>
      </c>
    </row>
    <row r="807" spans="1:23" ht="108" x14ac:dyDescent="0.35">
      <c r="A807" s="20" t="s">
        <v>1293</v>
      </c>
      <c r="B807" s="20"/>
      <c r="C807" s="25" t="s">
        <v>1294</v>
      </c>
      <c r="D807" s="22"/>
      <c r="E807" s="22" t="s">
        <v>1295</v>
      </c>
      <c r="F807" s="26" t="s">
        <v>55</v>
      </c>
      <c r="G807" s="27">
        <v>1</v>
      </c>
      <c r="H807" s="132"/>
      <c r="I807" s="171"/>
      <c r="J807" s="142"/>
      <c r="K807" s="110">
        <v>433.87</v>
      </c>
      <c r="L807" s="63">
        <v>0</v>
      </c>
      <c r="M807" s="29"/>
      <c r="N807" s="91"/>
      <c r="O807" s="63">
        <f>ROUND(ROUND(L807, 2)*K807, 2)</f>
        <v>0</v>
      </c>
      <c r="P807" s="29"/>
      <c r="Q807" s="29"/>
      <c r="R807" s="28">
        <v>0</v>
      </c>
      <c r="S807" s="29"/>
      <c r="T807" s="29"/>
      <c r="U807" s="28">
        <f>ROUND(ROUND(R807, 2)*K807, 2)</f>
        <v>0</v>
      </c>
      <c r="V807" s="29"/>
      <c r="W807" s="30"/>
    </row>
    <row r="808" spans="1:23" ht="36" x14ac:dyDescent="0.35">
      <c r="A808" s="20" t="s">
        <v>1296</v>
      </c>
      <c r="B808" s="20" t="s">
        <v>1290</v>
      </c>
      <c r="C808" s="21" t="s">
        <v>1291</v>
      </c>
      <c r="D808" s="22"/>
      <c r="E808" s="22" t="s">
        <v>1297</v>
      </c>
      <c r="F808" s="22" t="s">
        <v>55</v>
      </c>
      <c r="G808" s="23">
        <v>1</v>
      </c>
      <c r="H808" s="131"/>
      <c r="I808" s="171"/>
      <c r="J808" s="142"/>
      <c r="K808" s="98">
        <v>1422.4</v>
      </c>
      <c r="L808" s="62">
        <f>IFERROR(ROUND(SUM(O809)/K808, 2),0)</f>
        <v>7126.9</v>
      </c>
      <c r="M808" s="80">
        <v>837</v>
      </c>
      <c r="N808" s="90">
        <f>L808+ROUND(M808, 2)</f>
        <v>7963.9</v>
      </c>
      <c r="O808" s="62">
        <f>ROUND(L808*K808, 2)</f>
        <v>10137302.560000001</v>
      </c>
      <c r="P808" s="24">
        <f>ROUND(K808*ROUND(M808, 2), 2)</f>
        <v>1190548.8</v>
      </c>
      <c r="Q808" s="24">
        <f>O808+P808</f>
        <v>11327851.360000001</v>
      </c>
      <c r="R808" s="24">
        <f>IFERROR(ROUND(SUM(U809)/K808, 2),0)</f>
        <v>7126.9</v>
      </c>
      <c r="S808" s="24">
        <v>837</v>
      </c>
      <c r="T808" s="24">
        <f>R808+ROUND(S808, 2)</f>
        <v>7963.9</v>
      </c>
      <c r="U808" s="24">
        <f>ROUND(R808*K808, 2)</f>
        <v>10137302.560000001</v>
      </c>
      <c r="V808" s="24">
        <f>ROUND(K808*ROUND(S808, 2), 2)</f>
        <v>1190548.8</v>
      </c>
      <c r="W808" s="24">
        <f>U808+V808</f>
        <v>11327851.360000001</v>
      </c>
    </row>
    <row r="809" spans="1:23" ht="72" x14ac:dyDescent="0.35">
      <c r="A809" s="20" t="s">
        <v>1298</v>
      </c>
      <c r="B809" s="20"/>
      <c r="C809" s="25" t="s">
        <v>1299</v>
      </c>
      <c r="D809" s="22"/>
      <c r="E809" s="22" t="s">
        <v>1300</v>
      </c>
      <c r="F809" s="26" t="s">
        <v>55</v>
      </c>
      <c r="G809" s="27">
        <v>1.1000000000000001</v>
      </c>
      <c r="H809" s="132"/>
      <c r="I809" s="171"/>
      <c r="J809" s="142"/>
      <c r="K809" s="110">
        <v>1564.64</v>
      </c>
      <c r="L809" s="63">
        <v>6479</v>
      </c>
      <c r="M809" s="29"/>
      <c r="N809" s="91"/>
      <c r="O809" s="63">
        <f>ROUND(ROUND(L809, 2)*K809, 2)</f>
        <v>10137302.560000001</v>
      </c>
      <c r="P809" s="29"/>
      <c r="Q809" s="29"/>
      <c r="R809" s="28">
        <v>6479</v>
      </c>
      <c r="S809" s="29"/>
      <c r="T809" s="29"/>
      <c r="U809" s="28">
        <f>ROUND(ROUND(R809, 2)*K809, 2)</f>
        <v>10137302.560000001</v>
      </c>
      <c r="V809" s="29"/>
      <c r="W809" s="30"/>
    </row>
    <row r="810" spans="1:23" ht="36" x14ac:dyDescent="0.35">
      <c r="A810" s="20" t="s">
        <v>1301</v>
      </c>
      <c r="B810" s="20" t="s">
        <v>1290</v>
      </c>
      <c r="C810" s="21" t="s">
        <v>1291</v>
      </c>
      <c r="D810" s="22"/>
      <c r="E810" s="22" t="s">
        <v>1302</v>
      </c>
      <c r="F810" s="22" t="s">
        <v>55</v>
      </c>
      <c r="G810" s="23">
        <v>1</v>
      </c>
      <c r="H810" s="131"/>
      <c r="I810" s="171"/>
      <c r="J810" s="142"/>
      <c r="K810" s="98">
        <v>34.450000000000003</v>
      </c>
      <c r="L810" s="62">
        <f>IFERROR(ROUND(SUM(O811)/K810, 2),0)</f>
        <v>855.89</v>
      </c>
      <c r="M810" s="80">
        <v>837</v>
      </c>
      <c r="N810" s="90">
        <f>L810+ROUND(M810, 2)</f>
        <v>1692.8899999999999</v>
      </c>
      <c r="O810" s="62">
        <f>ROUND(L810*K810, 2)</f>
        <v>29485.41</v>
      </c>
      <c r="P810" s="24">
        <f>ROUND(K810*ROUND(M810, 2), 2)</f>
        <v>28834.65</v>
      </c>
      <c r="Q810" s="24">
        <f>O810+P810</f>
        <v>58320.06</v>
      </c>
      <c r="R810" s="24">
        <f>IFERROR(ROUND(SUM(U811)/K810, 2),0)</f>
        <v>855.89</v>
      </c>
      <c r="S810" s="24">
        <v>837</v>
      </c>
      <c r="T810" s="24">
        <f>R810+ROUND(S810, 2)</f>
        <v>1692.8899999999999</v>
      </c>
      <c r="U810" s="24">
        <f>ROUND(R810*K810, 2)</f>
        <v>29485.41</v>
      </c>
      <c r="V810" s="24">
        <f>ROUND(K810*ROUND(S810, 2), 2)</f>
        <v>28834.65</v>
      </c>
      <c r="W810" s="24">
        <f>U810+V810</f>
        <v>58320.06</v>
      </c>
    </row>
    <row r="811" spans="1:23" ht="90" x14ac:dyDescent="0.35">
      <c r="A811" s="20" t="s">
        <v>1303</v>
      </c>
      <c r="B811" s="20"/>
      <c r="C811" s="14" t="s">
        <v>1304</v>
      </c>
      <c r="D811" s="22"/>
      <c r="E811" s="22" t="s">
        <v>1305</v>
      </c>
      <c r="F811" s="26" t="s">
        <v>55</v>
      </c>
      <c r="G811" s="27">
        <v>1.1000000000000001</v>
      </c>
      <c r="H811" s="132"/>
      <c r="I811" s="171"/>
      <c r="J811" s="142"/>
      <c r="K811" s="110">
        <v>37.895000000000003</v>
      </c>
      <c r="L811" s="63">
        <v>778.08</v>
      </c>
      <c r="M811" s="29"/>
      <c r="N811" s="91"/>
      <c r="O811" s="63">
        <f>ROUND(ROUND(L811, 2)*K811, 2)</f>
        <v>29485.34</v>
      </c>
      <c r="P811" s="29"/>
      <c r="Q811" s="29"/>
      <c r="R811" s="28">
        <v>778.08</v>
      </c>
      <c r="S811" s="29"/>
      <c r="T811" s="29"/>
      <c r="U811" s="28">
        <f>ROUND(ROUND(R811, 2)*K811, 2)</f>
        <v>29485.34</v>
      </c>
      <c r="V811" s="29"/>
      <c r="W811" s="30"/>
    </row>
    <row r="812" spans="1:23" ht="36" x14ac:dyDescent="0.35">
      <c r="A812" s="20" t="s">
        <v>1306</v>
      </c>
      <c r="B812" s="20" t="s">
        <v>1290</v>
      </c>
      <c r="C812" s="21" t="s">
        <v>1291</v>
      </c>
      <c r="D812" s="22"/>
      <c r="E812" s="22" t="s">
        <v>1278</v>
      </c>
      <c r="F812" s="22" t="s">
        <v>55</v>
      </c>
      <c r="G812" s="23">
        <v>1</v>
      </c>
      <c r="H812" s="131"/>
      <c r="I812" s="171"/>
      <c r="J812" s="142"/>
      <c r="K812" s="98">
        <v>83.7</v>
      </c>
      <c r="L812" s="62">
        <f>IFERROR(ROUND(SUM(O813)/K812, 2),0)</f>
        <v>902.98</v>
      </c>
      <c r="M812" s="80">
        <v>837</v>
      </c>
      <c r="N812" s="90">
        <f>L812+ROUND(M812, 2)</f>
        <v>1739.98</v>
      </c>
      <c r="O812" s="62">
        <f>ROUND(L812*K812, 2)</f>
        <v>75579.429999999993</v>
      </c>
      <c r="P812" s="24">
        <f>ROUND(K812*ROUND(M812, 2), 2)</f>
        <v>70056.899999999994</v>
      </c>
      <c r="Q812" s="24">
        <f>O812+P812</f>
        <v>145636.32999999999</v>
      </c>
      <c r="R812" s="24">
        <f>IFERROR(ROUND(SUM(U813)/K812, 2),0)</f>
        <v>902.98</v>
      </c>
      <c r="S812" s="24">
        <v>837</v>
      </c>
      <c r="T812" s="24">
        <f>R812+ROUND(S812, 2)</f>
        <v>1739.98</v>
      </c>
      <c r="U812" s="24">
        <f>ROUND(R812*K812, 2)</f>
        <v>75579.429999999993</v>
      </c>
      <c r="V812" s="24">
        <f>ROUND(K812*ROUND(S812, 2), 2)</f>
        <v>70056.899999999994</v>
      </c>
      <c r="W812" s="24">
        <f>U812+V812</f>
        <v>145636.32999999999</v>
      </c>
    </row>
    <row r="813" spans="1:23" ht="36" x14ac:dyDescent="0.35">
      <c r="A813" s="20" t="s">
        <v>1307</v>
      </c>
      <c r="B813" s="20"/>
      <c r="C813" s="14" t="s">
        <v>1308</v>
      </c>
      <c r="D813" s="22"/>
      <c r="E813" s="22"/>
      <c r="F813" s="26" t="s">
        <v>55</v>
      </c>
      <c r="G813" s="27">
        <v>1.1000000000000001</v>
      </c>
      <c r="H813" s="132"/>
      <c r="I813" s="171"/>
      <c r="J813" s="142"/>
      <c r="K813" s="110">
        <v>92.07</v>
      </c>
      <c r="L813" s="63">
        <v>820.89</v>
      </c>
      <c r="M813" s="29"/>
      <c r="N813" s="91"/>
      <c r="O813" s="63">
        <f>ROUND(ROUND(L813, 2)*K813, 2)</f>
        <v>75579.34</v>
      </c>
      <c r="P813" s="29"/>
      <c r="Q813" s="29"/>
      <c r="R813" s="28">
        <v>820.89</v>
      </c>
      <c r="S813" s="29"/>
      <c r="T813" s="29"/>
      <c r="U813" s="28">
        <f>ROUND(ROUND(R813, 2)*K813, 2)</f>
        <v>75579.34</v>
      </c>
      <c r="V813" s="29"/>
      <c r="W813" s="30"/>
    </row>
    <row r="814" spans="1:23" ht="36" x14ac:dyDescent="0.35">
      <c r="A814" s="20" t="s">
        <v>1309</v>
      </c>
      <c r="B814" s="20" t="s">
        <v>1290</v>
      </c>
      <c r="C814" s="21" t="s">
        <v>1291</v>
      </c>
      <c r="D814" s="22"/>
      <c r="E814" s="22" t="s">
        <v>1283</v>
      </c>
      <c r="F814" s="22" t="s">
        <v>55</v>
      </c>
      <c r="G814" s="23">
        <v>1</v>
      </c>
      <c r="H814" s="131"/>
      <c r="I814" s="171"/>
      <c r="J814" s="142"/>
      <c r="K814" s="98">
        <v>54.99</v>
      </c>
      <c r="L814" s="62">
        <f>IFERROR(ROUND(SUM(O815)/K814, 2),0)</f>
        <v>901.26</v>
      </c>
      <c r="M814" s="80">
        <v>837</v>
      </c>
      <c r="N814" s="90">
        <f>L814+ROUND(M814, 2)</f>
        <v>1738.26</v>
      </c>
      <c r="O814" s="62">
        <f>ROUND(L814*K814, 2)</f>
        <v>49560.29</v>
      </c>
      <c r="P814" s="24">
        <f>ROUND(K814*ROUND(M814, 2), 2)</f>
        <v>46026.63</v>
      </c>
      <c r="Q814" s="24">
        <f>O814+P814</f>
        <v>95586.92</v>
      </c>
      <c r="R814" s="24">
        <f>IFERROR(ROUND(SUM(U815)/K814, 2),0)</f>
        <v>901.26</v>
      </c>
      <c r="S814" s="24">
        <v>837</v>
      </c>
      <c r="T814" s="24">
        <f>R814+ROUND(S814, 2)</f>
        <v>1738.26</v>
      </c>
      <c r="U814" s="24">
        <f>ROUND(R814*K814, 2)</f>
        <v>49560.29</v>
      </c>
      <c r="V814" s="24">
        <f>ROUND(K814*ROUND(S814, 2), 2)</f>
        <v>46026.63</v>
      </c>
      <c r="W814" s="24">
        <f>U814+V814</f>
        <v>95586.92</v>
      </c>
    </row>
    <row r="815" spans="1:23" ht="36" x14ac:dyDescent="0.35">
      <c r="A815" s="20" t="s">
        <v>1310</v>
      </c>
      <c r="B815" s="20"/>
      <c r="C815" s="14" t="s">
        <v>1311</v>
      </c>
      <c r="D815" s="22"/>
      <c r="E815" s="22"/>
      <c r="F815" s="26" t="s">
        <v>55</v>
      </c>
      <c r="G815" s="27">
        <v>1.1000000000000001</v>
      </c>
      <c r="H815" s="132"/>
      <c r="I815" s="171"/>
      <c r="J815" s="142"/>
      <c r="K815" s="110">
        <v>60.488999999999997</v>
      </c>
      <c r="L815" s="63">
        <v>819.33</v>
      </c>
      <c r="M815" s="29"/>
      <c r="N815" s="91"/>
      <c r="O815" s="63">
        <f>ROUND(ROUND(L815, 2)*K815, 2)</f>
        <v>49560.45</v>
      </c>
      <c r="P815" s="29"/>
      <c r="Q815" s="29"/>
      <c r="R815" s="28">
        <v>819.33</v>
      </c>
      <c r="S815" s="29"/>
      <c r="T815" s="29"/>
      <c r="U815" s="28">
        <f>ROUND(ROUND(R815, 2)*K815, 2)</f>
        <v>49560.45</v>
      </c>
      <c r="V815" s="29"/>
      <c r="W815" s="30"/>
    </row>
    <row r="816" spans="1:23" ht="36" x14ac:dyDescent="0.35">
      <c r="A816" s="20" t="s">
        <v>1312</v>
      </c>
      <c r="B816" s="20" t="s">
        <v>1290</v>
      </c>
      <c r="C816" s="21" t="s">
        <v>1291</v>
      </c>
      <c r="D816" s="22"/>
      <c r="E816" s="22" t="s">
        <v>1313</v>
      </c>
      <c r="F816" s="22" t="s">
        <v>55</v>
      </c>
      <c r="G816" s="23">
        <v>1</v>
      </c>
      <c r="H816" s="131"/>
      <c r="I816" s="171"/>
      <c r="J816" s="142"/>
      <c r="K816" s="98">
        <v>388.35</v>
      </c>
      <c r="L816" s="62">
        <f>IFERROR(ROUND(SUM(O817)/K816, 2),0)</f>
        <v>0</v>
      </c>
      <c r="M816" s="80">
        <v>837</v>
      </c>
      <c r="N816" s="90">
        <f>L816+ROUND(M816, 2)</f>
        <v>837</v>
      </c>
      <c r="O816" s="62">
        <f>ROUND(L816*K816, 2)</f>
        <v>0</v>
      </c>
      <c r="P816" s="24">
        <f>ROUND(K816*ROUND(M816, 2), 2)</f>
        <v>325048.95</v>
      </c>
      <c r="Q816" s="24">
        <f>O816+P816</f>
        <v>325048.95</v>
      </c>
      <c r="R816" s="24">
        <f>IFERROR(ROUND(SUM(U817)/K816, 2),0)</f>
        <v>0</v>
      </c>
      <c r="S816" s="24">
        <v>837</v>
      </c>
      <c r="T816" s="24">
        <f>R816+ROUND(S816, 2)</f>
        <v>837</v>
      </c>
      <c r="U816" s="24">
        <f>ROUND(R816*K816, 2)</f>
        <v>0</v>
      </c>
      <c r="V816" s="24">
        <f>ROUND(K816*ROUND(S816, 2), 2)</f>
        <v>325048.95</v>
      </c>
      <c r="W816" s="24">
        <f>U816+V816</f>
        <v>325048.95</v>
      </c>
    </row>
    <row r="817" spans="1:23" ht="90" x14ac:dyDescent="0.35">
      <c r="A817" s="20" t="s">
        <v>1314</v>
      </c>
      <c r="B817" s="20"/>
      <c r="C817" s="25" t="s">
        <v>1294</v>
      </c>
      <c r="D817" s="22"/>
      <c r="E817" s="22" t="s">
        <v>1315</v>
      </c>
      <c r="F817" s="26" t="s">
        <v>55</v>
      </c>
      <c r="G817" s="27">
        <v>1</v>
      </c>
      <c r="H817" s="132"/>
      <c r="I817" s="171"/>
      <c r="J817" s="142"/>
      <c r="K817" s="110">
        <v>388.35</v>
      </c>
      <c r="L817" s="63">
        <v>0</v>
      </c>
      <c r="M817" s="29"/>
      <c r="N817" s="91"/>
      <c r="O817" s="63">
        <f>ROUND(ROUND(L817, 2)*K817, 2)</f>
        <v>0</v>
      </c>
      <c r="P817" s="29"/>
      <c r="Q817" s="29"/>
      <c r="R817" s="28">
        <v>0</v>
      </c>
      <c r="S817" s="29"/>
      <c r="T817" s="29"/>
      <c r="U817" s="28">
        <f>ROUND(ROUND(R817, 2)*K817, 2)</f>
        <v>0</v>
      </c>
      <c r="V817" s="29"/>
      <c r="W817" s="30"/>
    </row>
    <row r="818" spans="1:23" ht="36" x14ac:dyDescent="0.35">
      <c r="A818" s="20" t="s">
        <v>1316</v>
      </c>
      <c r="B818" s="20" t="s">
        <v>1290</v>
      </c>
      <c r="C818" s="21" t="s">
        <v>1291</v>
      </c>
      <c r="D818" s="22"/>
      <c r="E818" s="22" t="s">
        <v>1317</v>
      </c>
      <c r="F818" s="22" t="s">
        <v>55</v>
      </c>
      <c r="G818" s="23">
        <v>1</v>
      </c>
      <c r="H818" s="131"/>
      <c r="I818" s="171"/>
      <c r="J818" s="142"/>
      <c r="K818" s="98">
        <v>1200.01</v>
      </c>
      <c r="L818" s="62">
        <f>IFERROR(ROUND(SUM(O819)/K818, 2),0)</f>
        <v>7126.9</v>
      </c>
      <c r="M818" s="80">
        <v>837</v>
      </c>
      <c r="N818" s="90">
        <f>L818+ROUND(M818, 2)</f>
        <v>7963.9</v>
      </c>
      <c r="O818" s="62">
        <f>ROUND(L818*K818, 2)</f>
        <v>8552351.2699999996</v>
      </c>
      <c r="P818" s="24">
        <f>ROUND(K818*ROUND(M818, 2), 2)</f>
        <v>1004408.37</v>
      </c>
      <c r="Q818" s="24">
        <f>O818+P818</f>
        <v>9556759.6399999987</v>
      </c>
      <c r="R818" s="24">
        <f>IFERROR(ROUND(SUM(U819)/K818, 2),0)</f>
        <v>7126.9</v>
      </c>
      <c r="S818" s="24">
        <v>837</v>
      </c>
      <c r="T818" s="24">
        <f>R818+ROUND(S818, 2)</f>
        <v>7963.9</v>
      </c>
      <c r="U818" s="24">
        <f>ROUND(R818*K818, 2)</f>
        <v>8552351.2699999996</v>
      </c>
      <c r="V818" s="24">
        <f>ROUND(K818*ROUND(S818, 2), 2)</f>
        <v>1004408.37</v>
      </c>
      <c r="W818" s="24">
        <f>U818+V818</f>
        <v>9556759.6399999987</v>
      </c>
    </row>
    <row r="819" spans="1:23" ht="72" x14ac:dyDescent="0.35">
      <c r="A819" s="20" t="s">
        <v>1318</v>
      </c>
      <c r="B819" s="20"/>
      <c r="C819" s="25" t="s">
        <v>1299</v>
      </c>
      <c r="D819" s="22"/>
      <c r="E819" s="22" t="s">
        <v>1300</v>
      </c>
      <c r="F819" s="26" t="s">
        <v>55</v>
      </c>
      <c r="G819" s="27">
        <v>1.1000000000000001</v>
      </c>
      <c r="H819" s="132"/>
      <c r="I819" s="171"/>
      <c r="J819" s="142"/>
      <c r="K819" s="110">
        <v>1320.011</v>
      </c>
      <c r="L819" s="63">
        <v>6479</v>
      </c>
      <c r="M819" s="29"/>
      <c r="N819" s="91"/>
      <c r="O819" s="63">
        <f>ROUND(ROUND(L819, 2)*K819, 2)</f>
        <v>8552351.2699999996</v>
      </c>
      <c r="P819" s="29"/>
      <c r="Q819" s="29"/>
      <c r="R819" s="28">
        <v>6479</v>
      </c>
      <c r="S819" s="29"/>
      <c r="T819" s="29"/>
      <c r="U819" s="28">
        <f>ROUND(ROUND(R819, 2)*K819, 2)</f>
        <v>8552351.2699999996</v>
      </c>
      <c r="V819" s="29"/>
      <c r="W819" s="30"/>
    </row>
    <row r="820" spans="1:23" ht="36" x14ac:dyDescent="0.35">
      <c r="A820" s="20" t="s">
        <v>1319</v>
      </c>
      <c r="B820" s="20" t="s">
        <v>1290</v>
      </c>
      <c r="C820" s="21" t="s">
        <v>1291</v>
      </c>
      <c r="D820" s="22"/>
      <c r="E820" s="22" t="s">
        <v>1320</v>
      </c>
      <c r="F820" s="22" t="s">
        <v>55</v>
      </c>
      <c r="G820" s="23">
        <v>1</v>
      </c>
      <c r="H820" s="131"/>
      <c r="I820" s="171"/>
      <c r="J820" s="142"/>
      <c r="K820" s="98">
        <v>163.46</v>
      </c>
      <c r="L820" s="62">
        <f>IFERROR(ROUND(SUM(O821)/K820, 2),0)</f>
        <v>855.89</v>
      </c>
      <c r="M820" s="80">
        <v>837</v>
      </c>
      <c r="N820" s="90">
        <f>L820+ROUND(M820, 2)</f>
        <v>1692.8899999999999</v>
      </c>
      <c r="O820" s="62">
        <f>ROUND(L820*K820, 2)</f>
        <v>139903.78</v>
      </c>
      <c r="P820" s="24">
        <f>ROUND(K820*ROUND(M820, 2), 2)</f>
        <v>136816.01999999999</v>
      </c>
      <c r="Q820" s="24">
        <f>O820+P820</f>
        <v>276719.8</v>
      </c>
      <c r="R820" s="24">
        <f>IFERROR(ROUND(SUM(U821)/K820, 2),0)</f>
        <v>855.89</v>
      </c>
      <c r="S820" s="24">
        <v>837</v>
      </c>
      <c r="T820" s="24">
        <f>R820+ROUND(S820, 2)</f>
        <v>1692.8899999999999</v>
      </c>
      <c r="U820" s="24">
        <f>ROUND(R820*K820, 2)</f>
        <v>139903.78</v>
      </c>
      <c r="V820" s="24">
        <f>ROUND(K820*ROUND(S820, 2), 2)</f>
        <v>136816.01999999999</v>
      </c>
      <c r="W820" s="24">
        <f>U820+V820</f>
        <v>276719.8</v>
      </c>
    </row>
    <row r="821" spans="1:23" ht="90" x14ac:dyDescent="0.35">
      <c r="A821" s="20" t="s">
        <v>1321</v>
      </c>
      <c r="B821" s="20"/>
      <c r="C821" s="14" t="s">
        <v>1304</v>
      </c>
      <c r="D821" s="22"/>
      <c r="E821" s="22" t="s">
        <v>1305</v>
      </c>
      <c r="F821" s="26" t="s">
        <v>55</v>
      </c>
      <c r="G821" s="27">
        <v>1.1000000000000001</v>
      </c>
      <c r="H821" s="132"/>
      <c r="I821" s="171"/>
      <c r="J821" s="142"/>
      <c r="K821" s="110">
        <v>179.80600000000001</v>
      </c>
      <c r="L821" s="63">
        <v>778.08</v>
      </c>
      <c r="M821" s="29"/>
      <c r="N821" s="91"/>
      <c r="O821" s="63">
        <f>ROUND(ROUND(L821, 2)*K821, 2)</f>
        <v>139903.45000000001</v>
      </c>
      <c r="P821" s="29"/>
      <c r="Q821" s="29"/>
      <c r="R821" s="28">
        <v>778.08</v>
      </c>
      <c r="S821" s="29"/>
      <c r="T821" s="29"/>
      <c r="U821" s="28">
        <f>ROUND(ROUND(R821, 2)*K821, 2)</f>
        <v>139903.45000000001</v>
      </c>
      <c r="V821" s="29"/>
      <c r="W821" s="30"/>
    </row>
    <row r="822" spans="1:23" ht="36" x14ac:dyDescent="0.35">
      <c r="A822" s="20" t="s">
        <v>1322</v>
      </c>
      <c r="B822" s="20" t="s">
        <v>1290</v>
      </c>
      <c r="C822" s="21" t="s">
        <v>1291</v>
      </c>
      <c r="D822" s="22"/>
      <c r="E822" s="22" t="s">
        <v>1194</v>
      </c>
      <c r="F822" s="22" t="s">
        <v>55</v>
      </c>
      <c r="G822" s="23">
        <v>1</v>
      </c>
      <c r="H822" s="131"/>
      <c r="I822" s="171"/>
      <c r="J822" s="142"/>
      <c r="K822" s="98">
        <v>92.54</v>
      </c>
      <c r="L822" s="62">
        <f>IFERROR(ROUND(SUM(O823)/K822, 2),0)</f>
        <v>902.98</v>
      </c>
      <c r="M822" s="80">
        <v>837</v>
      </c>
      <c r="N822" s="90">
        <f>L822+ROUND(M822, 2)</f>
        <v>1739.98</v>
      </c>
      <c r="O822" s="62">
        <f>ROUND(L822*K822, 2)</f>
        <v>83561.77</v>
      </c>
      <c r="P822" s="24">
        <f>ROUND(K822*ROUND(M822, 2), 2)</f>
        <v>77455.98</v>
      </c>
      <c r="Q822" s="24">
        <f>O822+P822</f>
        <v>161017.75</v>
      </c>
      <c r="R822" s="24">
        <f>IFERROR(ROUND(SUM(U823)/K822, 2),0)</f>
        <v>902.98</v>
      </c>
      <c r="S822" s="24">
        <v>837</v>
      </c>
      <c r="T822" s="24">
        <f>R822+ROUND(S822, 2)</f>
        <v>1739.98</v>
      </c>
      <c r="U822" s="24">
        <f>ROUND(R822*K822, 2)</f>
        <v>83561.77</v>
      </c>
      <c r="V822" s="24">
        <f>ROUND(K822*ROUND(S822, 2), 2)</f>
        <v>77455.98</v>
      </c>
      <c r="W822" s="24">
        <f>U822+V822</f>
        <v>161017.75</v>
      </c>
    </row>
    <row r="823" spans="1:23" ht="36" x14ac:dyDescent="0.35">
      <c r="A823" s="20" t="s">
        <v>1323</v>
      </c>
      <c r="B823" s="20"/>
      <c r="C823" s="14" t="s">
        <v>1308</v>
      </c>
      <c r="D823" s="22"/>
      <c r="E823" s="22"/>
      <c r="F823" s="26" t="s">
        <v>55</v>
      </c>
      <c r="G823" s="27">
        <v>1.1000000000000001</v>
      </c>
      <c r="H823" s="132"/>
      <c r="I823" s="171"/>
      <c r="J823" s="142"/>
      <c r="K823" s="110">
        <v>101.794</v>
      </c>
      <c r="L823" s="63">
        <v>820.89</v>
      </c>
      <c r="M823" s="29"/>
      <c r="N823" s="91"/>
      <c r="O823" s="63">
        <f>ROUND(ROUND(L823, 2)*K823, 2)</f>
        <v>83561.679999999993</v>
      </c>
      <c r="P823" s="29"/>
      <c r="Q823" s="29"/>
      <c r="R823" s="28">
        <v>820.89</v>
      </c>
      <c r="S823" s="29"/>
      <c r="T823" s="29"/>
      <c r="U823" s="28">
        <f>ROUND(ROUND(R823, 2)*K823, 2)</f>
        <v>83561.679999999993</v>
      </c>
      <c r="V823" s="29"/>
      <c r="W823" s="30"/>
    </row>
    <row r="824" spans="1:23" ht="36" x14ac:dyDescent="0.35">
      <c r="A824" s="20" t="s">
        <v>1324</v>
      </c>
      <c r="B824" s="20" t="s">
        <v>1290</v>
      </c>
      <c r="C824" s="21" t="s">
        <v>1291</v>
      </c>
      <c r="D824" s="22"/>
      <c r="E824" s="22" t="s">
        <v>1199</v>
      </c>
      <c r="F824" s="22" t="s">
        <v>55</v>
      </c>
      <c r="G824" s="23">
        <v>1</v>
      </c>
      <c r="H824" s="131"/>
      <c r="I824" s="171"/>
      <c r="J824" s="142"/>
      <c r="K824" s="98">
        <v>67.19</v>
      </c>
      <c r="L824" s="62">
        <f>IFERROR(ROUND(SUM(O825)/K824, 2),0)</f>
        <v>901.26</v>
      </c>
      <c r="M824" s="80">
        <v>837</v>
      </c>
      <c r="N824" s="90">
        <f>L824+ROUND(M824, 2)</f>
        <v>1738.26</v>
      </c>
      <c r="O824" s="62">
        <f>ROUND(L824*K824, 2)</f>
        <v>60555.66</v>
      </c>
      <c r="P824" s="24">
        <f>ROUND(K824*ROUND(M824, 2), 2)</f>
        <v>56238.03</v>
      </c>
      <c r="Q824" s="24">
        <f>O824+P824</f>
        <v>116793.69</v>
      </c>
      <c r="R824" s="24">
        <f>IFERROR(ROUND(SUM(U825)/K824, 2),0)</f>
        <v>901.26</v>
      </c>
      <c r="S824" s="24">
        <v>837</v>
      </c>
      <c r="T824" s="24">
        <f>R824+ROUND(S824, 2)</f>
        <v>1738.26</v>
      </c>
      <c r="U824" s="24">
        <f>ROUND(R824*K824, 2)</f>
        <v>60555.66</v>
      </c>
      <c r="V824" s="24">
        <f>ROUND(K824*ROUND(S824, 2), 2)</f>
        <v>56238.03</v>
      </c>
      <c r="W824" s="24">
        <f>U824+V824</f>
        <v>116793.69</v>
      </c>
    </row>
    <row r="825" spans="1:23" ht="36" x14ac:dyDescent="0.35">
      <c r="A825" s="20" t="s">
        <v>1325</v>
      </c>
      <c r="B825" s="20"/>
      <c r="C825" s="14" t="s">
        <v>1311</v>
      </c>
      <c r="D825" s="22"/>
      <c r="E825" s="22"/>
      <c r="F825" s="26" t="s">
        <v>55</v>
      </c>
      <c r="G825" s="27">
        <v>1.1000000000000001</v>
      </c>
      <c r="H825" s="132"/>
      <c r="I825" s="171"/>
      <c r="J825" s="142"/>
      <c r="K825" s="110">
        <v>73.909000000000006</v>
      </c>
      <c r="L825" s="63">
        <v>819.33</v>
      </c>
      <c r="M825" s="29"/>
      <c r="N825" s="91"/>
      <c r="O825" s="63">
        <f>ROUND(ROUND(L825, 2)*K825, 2)</f>
        <v>60555.86</v>
      </c>
      <c r="P825" s="29"/>
      <c r="Q825" s="29"/>
      <c r="R825" s="28">
        <v>819.33</v>
      </c>
      <c r="S825" s="29"/>
      <c r="T825" s="29"/>
      <c r="U825" s="28">
        <f>ROUND(ROUND(R825, 2)*K825, 2)</f>
        <v>60555.86</v>
      </c>
      <c r="V825" s="29"/>
      <c r="W825" s="30"/>
    </row>
    <row r="826" spans="1:23" ht="36" x14ac:dyDescent="0.35">
      <c r="A826" s="20" t="s">
        <v>1326</v>
      </c>
      <c r="B826" s="20" t="s">
        <v>1327</v>
      </c>
      <c r="C826" s="21" t="s">
        <v>1328</v>
      </c>
      <c r="D826" s="22"/>
      <c r="E826" s="22" t="s">
        <v>1329</v>
      </c>
      <c r="F826" s="22" t="s">
        <v>55</v>
      </c>
      <c r="G826" s="23">
        <v>1</v>
      </c>
      <c r="H826" s="131"/>
      <c r="I826" s="171"/>
      <c r="J826" s="142"/>
      <c r="K826" s="98">
        <v>37.700000000000003</v>
      </c>
      <c r="L826" s="62">
        <f>IFERROR(ROUND(SUM(O827,O828,O829,O830,O831,O832,O833,O834,O835,O836,O837,O838,O839)/K826, 2),0)</f>
        <v>614.67999999999995</v>
      </c>
      <c r="M826" s="80">
        <v>1199</v>
      </c>
      <c r="N826" s="90">
        <f>L826+ROUND(M826, 2)</f>
        <v>1813.6799999999998</v>
      </c>
      <c r="O826" s="62">
        <f>ROUND(L826*K826, 2)</f>
        <v>23173.439999999999</v>
      </c>
      <c r="P826" s="24">
        <f>ROUND(K826*ROUND(M826, 2), 2)</f>
        <v>45202.3</v>
      </c>
      <c r="Q826" s="24">
        <f>O826+P826</f>
        <v>68375.740000000005</v>
      </c>
      <c r="R826" s="24">
        <f>IFERROR(ROUND(SUM(U827,U828,U829,U830,U831,U832,U833,U834,U835,U836,U837,U838,U839)/K826, 2),0)</f>
        <v>614.67999999999995</v>
      </c>
      <c r="S826" s="24">
        <v>1199</v>
      </c>
      <c r="T826" s="24">
        <f>R826+ROUND(S826, 2)</f>
        <v>1813.6799999999998</v>
      </c>
      <c r="U826" s="24">
        <f>ROUND(R826*K826, 2)</f>
        <v>23173.439999999999</v>
      </c>
      <c r="V826" s="24">
        <f>ROUND(K826*ROUND(S826, 2), 2)</f>
        <v>45202.3</v>
      </c>
      <c r="W826" s="24">
        <f>U826+V826</f>
        <v>68375.740000000005</v>
      </c>
    </row>
    <row r="827" spans="1:23" ht="20" x14ac:dyDescent="0.35">
      <c r="A827" s="20" t="s">
        <v>1330</v>
      </c>
      <c r="B827" s="20"/>
      <c r="C827" s="25" t="s">
        <v>1331</v>
      </c>
      <c r="D827" s="22"/>
      <c r="E827" s="22"/>
      <c r="F827" s="26" t="s">
        <v>84</v>
      </c>
      <c r="G827" s="27">
        <v>15</v>
      </c>
      <c r="H827" s="132"/>
      <c r="I827" s="171"/>
      <c r="J827" s="142"/>
      <c r="K827" s="99">
        <v>565.5</v>
      </c>
      <c r="L827" s="63">
        <v>0.95</v>
      </c>
      <c r="M827" s="29"/>
      <c r="N827" s="91"/>
      <c r="O827" s="63">
        <f t="shared" ref="O827:O839" si="24">ROUND(ROUND(L827, 2)*K827, 2)</f>
        <v>537.23</v>
      </c>
      <c r="P827" s="29"/>
      <c r="Q827" s="29"/>
      <c r="R827" s="28">
        <v>0.95</v>
      </c>
      <c r="S827" s="29"/>
      <c r="T827" s="29"/>
      <c r="U827" s="28">
        <f t="shared" ref="U827:U839" si="25">ROUND(ROUND(R827, 2)*K827, 2)</f>
        <v>537.23</v>
      </c>
      <c r="V827" s="29"/>
      <c r="W827" s="30"/>
    </row>
    <row r="828" spans="1:23" ht="20" x14ac:dyDescent="0.35">
      <c r="A828" s="20" t="s">
        <v>1332</v>
      </c>
      <c r="B828" s="20"/>
      <c r="C828" s="25" t="s">
        <v>1333</v>
      </c>
      <c r="D828" s="22"/>
      <c r="E828" s="22"/>
      <c r="F828" s="26" t="s">
        <v>84</v>
      </c>
      <c r="G828" s="27">
        <v>30</v>
      </c>
      <c r="H828" s="132"/>
      <c r="I828" s="171"/>
      <c r="J828" s="142"/>
      <c r="K828" s="99">
        <v>1131</v>
      </c>
      <c r="L828" s="63">
        <v>0.28000000000000003</v>
      </c>
      <c r="M828" s="29"/>
      <c r="N828" s="91"/>
      <c r="O828" s="63">
        <f t="shared" si="24"/>
        <v>316.68</v>
      </c>
      <c r="P828" s="29"/>
      <c r="Q828" s="29"/>
      <c r="R828" s="28">
        <v>0.28000000000000003</v>
      </c>
      <c r="S828" s="29"/>
      <c r="T828" s="29"/>
      <c r="U828" s="28">
        <f t="shared" si="25"/>
        <v>316.68</v>
      </c>
      <c r="V828" s="29"/>
      <c r="W828" s="30"/>
    </row>
    <row r="829" spans="1:23" ht="20" x14ac:dyDescent="0.35">
      <c r="A829" s="20" t="s">
        <v>1334</v>
      </c>
      <c r="B829" s="20"/>
      <c r="C829" s="25" t="s">
        <v>915</v>
      </c>
      <c r="D829" s="22"/>
      <c r="E829" s="22"/>
      <c r="F829" s="26" t="s">
        <v>58</v>
      </c>
      <c r="G829" s="27">
        <v>0.35</v>
      </c>
      <c r="H829" s="132"/>
      <c r="I829" s="171"/>
      <c r="J829" s="142"/>
      <c r="K829" s="99">
        <v>13.195</v>
      </c>
      <c r="L829" s="63">
        <v>55</v>
      </c>
      <c r="M829" s="29"/>
      <c r="N829" s="91"/>
      <c r="O829" s="63">
        <f t="shared" si="24"/>
        <v>725.73</v>
      </c>
      <c r="P829" s="29"/>
      <c r="Q829" s="29"/>
      <c r="R829" s="28">
        <v>55</v>
      </c>
      <c r="S829" s="29"/>
      <c r="T829" s="29"/>
      <c r="U829" s="28">
        <f t="shared" si="25"/>
        <v>725.73</v>
      </c>
      <c r="V829" s="29"/>
      <c r="W829" s="30"/>
    </row>
    <row r="830" spans="1:23" ht="20" x14ac:dyDescent="0.35">
      <c r="A830" s="20" t="s">
        <v>1335</v>
      </c>
      <c r="B830" s="20"/>
      <c r="C830" s="25" t="s">
        <v>1336</v>
      </c>
      <c r="D830" s="22"/>
      <c r="E830" s="22"/>
      <c r="F830" s="26" t="s">
        <v>84</v>
      </c>
      <c r="G830" s="27">
        <v>0.3</v>
      </c>
      <c r="H830" s="132"/>
      <c r="I830" s="171"/>
      <c r="J830" s="142"/>
      <c r="K830" s="99">
        <v>11.31</v>
      </c>
      <c r="L830" s="63">
        <v>5.6</v>
      </c>
      <c r="M830" s="29"/>
      <c r="N830" s="91"/>
      <c r="O830" s="63">
        <f t="shared" si="24"/>
        <v>63.34</v>
      </c>
      <c r="P830" s="29"/>
      <c r="Q830" s="29"/>
      <c r="R830" s="28">
        <v>5.6</v>
      </c>
      <c r="S830" s="29"/>
      <c r="T830" s="29"/>
      <c r="U830" s="28">
        <f t="shared" si="25"/>
        <v>63.34</v>
      </c>
      <c r="V830" s="29"/>
      <c r="W830" s="30"/>
    </row>
    <row r="831" spans="1:23" ht="36" x14ac:dyDescent="0.35">
      <c r="A831" s="20" t="s">
        <v>1337</v>
      </c>
      <c r="B831" s="20"/>
      <c r="C831" s="14" t="s">
        <v>1338</v>
      </c>
      <c r="D831" s="22"/>
      <c r="E831" s="22"/>
      <c r="F831" s="26" t="s">
        <v>84</v>
      </c>
      <c r="G831" s="27">
        <v>3.6</v>
      </c>
      <c r="H831" s="132"/>
      <c r="I831" s="171"/>
      <c r="J831" s="142"/>
      <c r="K831" s="99">
        <v>135.72</v>
      </c>
      <c r="L831" s="63">
        <v>15.9</v>
      </c>
      <c r="M831" s="29"/>
      <c r="N831" s="91"/>
      <c r="O831" s="63">
        <f t="shared" si="24"/>
        <v>2157.9499999999998</v>
      </c>
      <c r="P831" s="29"/>
      <c r="Q831" s="29"/>
      <c r="R831" s="28">
        <v>15.9</v>
      </c>
      <c r="S831" s="29"/>
      <c r="T831" s="29"/>
      <c r="U831" s="28">
        <f t="shared" si="25"/>
        <v>2157.9499999999998</v>
      </c>
      <c r="V831" s="29"/>
      <c r="W831" s="30"/>
    </row>
    <row r="832" spans="1:23" ht="20" x14ac:dyDescent="0.35">
      <c r="A832" s="20" t="s">
        <v>1339</v>
      </c>
      <c r="B832" s="20"/>
      <c r="C832" s="25" t="s">
        <v>1340</v>
      </c>
      <c r="D832" s="22"/>
      <c r="E832" s="22"/>
      <c r="F832" s="26" t="s">
        <v>67</v>
      </c>
      <c r="G832" s="27">
        <v>0.3</v>
      </c>
      <c r="H832" s="132"/>
      <c r="I832" s="171"/>
      <c r="J832" s="142"/>
      <c r="K832" s="99">
        <v>11.31</v>
      </c>
      <c r="L832" s="63">
        <v>49.04</v>
      </c>
      <c r="M832" s="29"/>
      <c r="N832" s="91"/>
      <c r="O832" s="63">
        <f t="shared" si="24"/>
        <v>554.64</v>
      </c>
      <c r="P832" s="29"/>
      <c r="Q832" s="29"/>
      <c r="R832" s="28">
        <v>49.04</v>
      </c>
      <c r="S832" s="29"/>
      <c r="T832" s="29"/>
      <c r="U832" s="28">
        <f t="shared" si="25"/>
        <v>554.64</v>
      </c>
      <c r="V832" s="29"/>
      <c r="W832" s="30"/>
    </row>
    <row r="833" spans="1:23" ht="20" x14ac:dyDescent="0.35">
      <c r="A833" s="20" t="s">
        <v>1341</v>
      </c>
      <c r="B833" s="20"/>
      <c r="C833" s="25" t="s">
        <v>1342</v>
      </c>
      <c r="D833" s="22"/>
      <c r="E833" s="22"/>
      <c r="F833" s="26" t="s">
        <v>67</v>
      </c>
      <c r="G833" s="27">
        <v>4.7</v>
      </c>
      <c r="H833" s="132"/>
      <c r="I833" s="171"/>
      <c r="J833" s="142"/>
      <c r="K833" s="99">
        <v>177.19</v>
      </c>
      <c r="L833" s="63">
        <v>66.98</v>
      </c>
      <c r="M833" s="29"/>
      <c r="N833" s="91"/>
      <c r="O833" s="63">
        <f t="shared" si="24"/>
        <v>11868.19</v>
      </c>
      <c r="P833" s="29"/>
      <c r="Q833" s="29"/>
      <c r="R833" s="28">
        <v>66.98</v>
      </c>
      <c r="S833" s="29"/>
      <c r="T833" s="29"/>
      <c r="U833" s="28">
        <f t="shared" si="25"/>
        <v>11868.19</v>
      </c>
      <c r="V833" s="29"/>
      <c r="W833" s="30"/>
    </row>
    <row r="834" spans="1:23" ht="20" x14ac:dyDescent="0.35">
      <c r="A834" s="20" t="s">
        <v>1343</v>
      </c>
      <c r="B834" s="20"/>
      <c r="C834" s="14" t="s">
        <v>1344</v>
      </c>
      <c r="D834" s="22"/>
      <c r="E834" s="22"/>
      <c r="F834" s="26" t="s">
        <v>84</v>
      </c>
      <c r="G834" s="27">
        <v>4.2</v>
      </c>
      <c r="H834" s="132"/>
      <c r="I834" s="171"/>
      <c r="J834" s="142"/>
      <c r="K834" s="99">
        <v>158.34</v>
      </c>
      <c r="L834" s="63">
        <v>5.41</v>
      </c>
      <c r="M834" s="29"/>
      <c r="N834" s="91"/>
      <c r="O834" s="63">
        <f t="shared" si="24"/>
        <v>856.62</v>
      </c>
      <c r="P834" s="29"/>
      <c r="Q834" s="29"/>
      <c r="R834" s="28">
        <v>5.41</v>
      </c>
      <c r="S834" s="29"/>
      <c r="T834" s="29"/>
      <c r="U834" s="28">
        <f t="shared" si="25"/>
        <v>856.62</v>
      </c>
      <c r="V834" s="29"/>
      <c r="W834" s="30"/>
    </row>
    <row r="835" spans="1:23" ht="20" x14ac:dyDescent="0.35">
      <c r="A835" s="20" t="s">
        <v>1345</v>
      </c>
      <c r="B835" s="20"/>
      <c r="C835" s="25" t="s">
        <v>1346</v>
      </c>
      <c r="D835" s="22"/>
      <c r="E835" s="22"/>
      <c r="F835" s="26" t="s">
        <v>67</v>
      </c>
      <c r="G835" s="27">
        <v>1.05</v>
      </c>
      <c r="H835" s="132"/>
      <c r="I835" s="171"/>
      <c r="J835" s="142"/>
      <c r="K835" s="99">
        <v>39.585000000000001</v>
      </c>
      <c r="L835" s="63">
        <v>4.5999999999999996</v>
      </c>
      <c r="M835" s="29"/>
      <c r="N835" s="91"/>
      <c r="O835" s="63">
        <f t="shared" si="24"/>
        <v>182.09</v>
      </c>
      <c r="P835" s="29"/>
      <c r="Q835" s="29"/>
      <c r="R835" s="28">
        <v>4.5999999999999996</v>
      </c>
      <c r="S835" s="29"/>
      <c r="T835" s="29"/>
      <c r="U835" s="28">
        <f t="shared" si="25"/>
        <v>182.09</v>
      </c>
      <c r="V835" s="29"/>
      <c r="W835" s="30"/>
    </row>
    <row r="836" spans="1:23" ht="20" x14ac:dyDescent="0.35">
      <c r="A836" s="20" t="s">
        <v>1347</v>
      </c>
      <c r="B836" s="20"/>
      <c r="C836" s="25" t="s">
        <v>1348</v>
      </c>
      <c r="D836" s="22"/>
      <c r="E836" s="22"/>
      <c r="F836" s="26" t="s">
        <v>67</v>
      </c>
      <c r="G836" s="27">
        <v>1.25</v>
      </c>
      <c r="H836" s="132"/>
      <c r="I836" s="171"/>
      <c r="J836" s="142"/>
      <c r="K836" s="99">
        <v>47.125</v>
      </c>
      <c r="L836" s="63">
        <v>2.8</v>
      </c>
      <c r="M836" s="29"/>
      <c r="N836" s="91"/>
      <c r="O836" s="63">
        <f t="shared" si="24"/>
        <v>131.94999999999999</v>
      </c>
      <c r="P836" s="29"/>
      <c r="Q836" s="29"/>
      <c r="R836" s="28">
        <v>2.8</v>
      </c>
      <c r="S836" s="29"/>
      <c r="T836" s="29"/>
      <c r="U836" s="28">
        <f t="shared" si="25"/>
        <v>131.94999999999999</v>
      </c>
      <c r="V836" s="29"/>
      <c r="W836" s="30"/>
    </row>
    <row r="837" spans="1:23" ht="36" x14ac:dyDescent="0.35">
      <c r="A837" s="20" t="s">
        <v>1349</v>
      </c>
      <c r="B837" s="20"/>
      <c r="C837" s="25" t="s">
        <v>235</v>
      </c>
      <c r="D837" s="22"/>
      <c r="E837" s="22"/>
      <c r="F837" s="26" t="s">
        <v>58</v>
      </c>
      <c r="G837" s="27">
        <v>0.1</v>
      </c>
      <c r="H837" s="132"/>
      <c r="I837" s="171"/>
      <c r="J837" s="142"/>
      <c r="K837" s="99">
        <v>3.77</v>
      </c>
      <c r="L837" s="63">
        <v>88.8</v>
      </c>
      <c r="M837" s="29"/>
      <c r="N837" s="91"/>
      <c r="O837" s="63">
        <f t="shared" si="24"/>
        <v>334.78</v>
      </c>
      <c r="P837" s="29"/>
      <c r="Q837" s="29"/>
      <c r="R837" s="28">
        <v>88.8</v>
      </c>
      <c r="S837" s="29"/>
      <c r="T837" s="29"/>
      <c r="U837" s="28">
        <f t="shared" si="25"/>
        <v>334.78</v>
      </c>
      <c r="V837" s="29"/>
      <c r="W837" s="30"/>
    </row>
    <row r="838" spans="1:23" ht="36" x14ac:dyDescent="0.35">
      <c r="A838" s="20" t="s">
        <v>1350</v>
      </c>
      <c r="B838" s="20"/>
      <c r="C838" s="25" t="s">
        <v>919</v>
      </c>
      <c r="D838" s="22"/>
      <c r="E838" s="22"/>
      <c r="F838" s="26" t="s">
        <v>55</v>
      </c>
      <c r="G838" s="27">
        <v>1.05</v>
      </c>
      <c r="H838" s="132"/>
      <c r="I838" s="171"/>
      <c r="J838" s="142"/>
      <c r="K838" s="99">
        <v>39.585000000000001</v>
      </c>
      <c r="L838" s="63">
        <v>135.53</v>
      </c>
      <c r="M838" s="29"/>
      <c r="N838" s="91"/>
      <c r="O838" s="63">
        <f t="shared" si="24"/>
        <v>5364.96</v>
      </c>
      <c r="P838" s="29"/>
      <c r="Q838" s="29"/>
      <c r="R838" s="28">
        <v>135.53</v>
      </c>
      <c r="S838" s="29"/>
      <c r="T838" s="29"/>
      <c r="U838" s="28">
        <f t="shared" si="25"/>
        <v>5364.96</v>
      </c>
      <c r="V838" s="29"/>
      <c r="W838" s="30"/>
    </row>
    <row r="839" spans="1:23" ht="20" x14ac:dyDescent="0.35">
      <c r="A839" s="20" t="s">
        <v>1351</v>
      </c>
      <c r="B839" s="20"/>
      <c r="C839" s="25" t="s">
        <v>1352</v>
      </c>
      <c r="D839" s="22"/>
      <c r="E839" s="22"/>
      <c r="F839" s="26" t="s">
        <v>84</v>
      </c>
      <c r="G839" s="27">
        <v>0.75</v>
      </c>
      <c r="H839" s="132"/>
      <c r="I839" s="171"/>
      <c r="J839" s="142"/>
      <c r="K839" s="99">
        <v>28.274999999999999</v>
      </c>
      <c r="L839" s="63">
        <v>2.8</v>
      </c>
      <c r="M839" s="29"/>
      <c r="N839" s="91"/>
      <c r="O839" s="63">
        <f t="shared" si="24"/>
        <v>79.17</v>
      </c>
      <c r="P839" s="29"/>
      <c r="Q839" s="29"/>
      <c r="R839" s="28">
        <v>2.8</v>
      </c>
      <c r="S839" s="29"/>
      <c r="T839" s="29"/>
      <c r="U839" s="28">
        <f t="shared" si="25"/>
        <v>79.17</v>
      </c>
      <c r="V839" s="29"/>
      <c r="W839" s="30"/>
    </row>
    <row r="840" spans="1:23" ht="36" x14ac:dyDescent="0.35">
      <c r="A840" s="20" t="s">
        <v>1353</v>
      </c>
      <c r="B840" s="20" t="s">
        <v>1327</v>
      </c>
      <c r="C840" s="21" t="s">
        <v>1328</v>
      </c>
      <c r="D840" s="22"/>
      <c r="E840" s="22" t="s">
        <v>1354</v>
      </c>
      <c r="F840" s="22" t="s">
        <v>55</v>
      </c>
      <c r="G840" s="23">
        <v>1</v>
      </c>
      <c r="H840" s="131"/>
      <c r="I840" s="171"/>
      <c r="J840" s="142"/>
      <c r="K840" s="98">
        <v>31.97</v>
      </c>
      <c r="L840" s="62">
        <f>IFERROR(ROUND(SUM(O841,O842,O843,O844,O845,O846,O847,O848,O849,O850,O851,O852)/K840, 2),0)</f>
        <v>470.69</v>
      </c>
      <c r="M840" s="80">
        <v>1199</v>
      </c>
      <c r="N840" s="90">
        <f>L840+ROUND(M840, 2)</f>
        <v>1669.69</v>
      </c>
      <c r="O840" s="62">
        <f>ROUND(L840*K840, 2)</f>
        <v>15047.96</v>
      </c>
      <c r="P840" s="24">
        <f>ROUND(K840*ROUND(M840, 2), 2)</f>
        <v>38332.03</v>
      </c>
      <c r="Q840" s="24">
        <f>O840+P840</f>
        <v>53379.99</v>
      </c>
      <c r="R840" s="24">
        <f>IFERROR(ROUND(SUM(U841,U842,U843,U844,U845,U846,U847,U848,U849,U850,U851,U852)/K840, 2),0)</f>
        <v>470.69</v>
      </c>
      <c r="S840" s="24">
        <v>1199</v>
      </c>
      <c r="T840" s="24">
        <f>R840+ROUND(S840, 2)</f>
        <v>1669.69</v>
      </c>
      <c r="U840" s="24">
        <f>ROUND(R840*K840, 2)</f>
        <v>15047.96</v>
      </c>
      <c r="V840" s="24">
        <f>ROUND(K840*ROUND(S840, 2), 2)</f>
        <v>38332.03</v>
      </c>
      <c r="W840" s="24">
        <f>U840+V840</f>
        <v>53379.99</v>
      </c>
    </row>
    <row r="841" spans="1:23" ht="20" x14ac:dyDescent="0.35">
      <c r="A841" s="20" t="s">
        <v>1355</v>
      </c>
      <c r="B841" s="20"/>
      <c r="C841" s="25" t="s">
        <v>1352</v>
      </c>
      <c r="D841" s="22"/>
      <c r="E841" s="22"/>
      <c r="F841" s="26" t="s">
        <v>84</v>
      </c>
      <c r="G841" s="27">
        <v>0.75</v>
      </c>
      <c r="H841" s="132"/>
      <c r="I841" s="171"/>
      <c r="J841" s="142"/>
      <c r="K841" s="99">
        <v>23.978000000000002</v>
      </c>
      <c r="L841" s="63">
        <v>2.8</v>
      </c>
      <c r="M841" s="29"/>
      <c r="N841" s="91"/>
      <c r="O841" s="63">
        <f t="shared" ref="O841:O852" si="26">ROUND(ROUND(L841, 2)*K841, 2)</f>
        <v>67.14</v>
      </c>
      <c r="P841" s="29"/>
      <c r="Q841" s="29"/>
      <c r="R841" s="28">
        <v>2.8</v>
      </c>
      <c r="S841" s="29"/>
      <c r="T841" s="29"/>
      <c r="U841" s="28">
        <f t="shared" ref="U841:U852" si="27">ROUND(ROUND(R841, 2)*K841, 2)</f>
        <v>67.14</v>
      </c>
      <c r="V841" s="29"/>
      <c r="W841" s="30"/>
    </row>
    <row r="842" spans="1:23" ht="36" x14ac:dyDescent="0.35">
      <c r="A842" s="20" t="s">
        <v>1356</v>
      </c>
      <c r="B842" s="20"/>
      <c r="C842" s="25" t="s">
        <v>235</v>
      </c>
      <c r="D842" s="22"/>
      <c r="E842" s="22"/>
      <c r="F842" s="26" t="s">
        <v>58</v>
      </c>
      <c r="G842" s="27">
        <v>0.1</v>
      </c>
      <c r="H842" s="132"/>
      <c r="I842" s="171"/>
      <c r="J842" s="142"/>
      <c r="K842" s="99">
        <v>3.1970000000000001</v>
      </c>
      <c r="L842" s="63">
        <v>88.8</v>
      </c>
      <c r="M842" s="29"/>
      <c r="N842" s="91"/>
      <c r="O842" s="63">
        <f t="shared" si="26"/>
        <v>283.89</v>
      </c>
      <c r="P842" s="29"/>
      <c r="Q842" s="29"/>
      <c r="R842" s="28">
        <v>88.8</v>
      </c>
      <c r="S842" s="29"/>
      <c r="T842" s="29"/>
      <c r="U842" s="28">
        <f t="shared" si="27"/>
        <v>283.89</v>
      </c>
      <c r="V842" s="29"/>
      <c r="W842" s="30"/>
    </row>
    <row r="843" spans="1:23" ht="20" x14ac:dyDescent="0.35">
      <c r="A843" s="20" t="s">
        <v>1357</v>
      </c>
      <c r="B843" s="20"/>
      <c r="C843" s="25" t="s">
        <v>1348</v>
      </c>
      <c r="D843" s="22"/>
      <c r="E843" s="22"/>
      <c r="F843" s="26" t="s">
        <v>67</v>
      </c>
      <c r="G843" s="27">
        <v>1.25</v>
      </c>
      <c r="H843" s="132"/>
      <c r="I843" s="171"/>
      <c r="J843" s="142"/>
      <c r="K843" s="99">
        <v>39.963000000000001</v>
      </c>
      <c r="L843" s="63">
        <v>2.8</v>
      </c>
      <c r="M843" s="29"/>
      <c r="N843" s="91"/>
      <c r="O843" s="63">
        <f t="shared" si="26"/>
        <v>111.9</v>
      </c>
      <c r="P843" s="29"/>
      <c r="Q843" s="29"/>
      <c r="R843" s="28">
        <v>2.8</v>
      </c>
      <c r="S843" s="29"/>
      <c r="T843" s="29"/>
      <c r="U843" s="28">
        <f t="shared" si="27"/>
        <v>111.9</v>
      </c>
      <c r="V843" s="29"/>
      <c r="W843" s="30"/>
    </row>
    <row r="844" spans="1:23" ht="20" x14ac:dyDescent="0.35">
      <c r="A844" s="20" t="s">
        <v>1358</v>
      </c>
      <c r="B844" s="20"/>
      <c r="C844" s="25" t="s">
        <v>1346</v>
      </c>
      <c r="D844" s="22"/>
      <c r="E844" s="22"/>
      <c r="F844" s="26" t="s">
        <v>67</v>
      </c>
      <c r="G844" s="27">
        <v>1.05</v>
      </c>
      <c r="H844" s="132"/>
      <c r="I844" s="171"/>
      <c r="J844" s="142"/>
      <c r="K844" s="99">
        <v>33.569000000000003</v>
      </c>
      <c r="L844" s="63">
        <v>4.5999999999999996</v>
      </c>
      <c r="M844" s="29"/>
      <c r="N844" s="91"/>
      <c r="O844" s="63">
        <f t="shared" si="26"/>
        <v>154.41999999999999</v>
      </c>
      <c r="P844" s="29"/>
      <c r="Q844" s="29"/>
      <c r="R844" s="28">
        <v>4.5999999999999996</v>
      </c>
      <c r="S844" s="29"/>
      <c r="T844" s="29"/>
      <c r="U844" s="28">
        <f t="shared" si="27"/>
        <v>154.41999999999999</v>
      </c>
      <c r="V844" s="29"/>
      <c r="W844" s="30"/>
    </row>
    <row r="845" spans="1:23" ht="20" x14ac:dyDescent="0.35">
      <c r="A845" s="20" t="s">
        <v>1359</v>
      </c>
      <c r="B845" s="20"/>
      <c r="C845" s="25" t="s">
        <v>937</v>
      </c>
      <c r="D845" s="22"/>
      <c r="E845" s="22"/>
      <c r="F845" s="26" t="s">
        <v>55</v>
      </c>
      <c r="G845" s="27">
        <v>1.05</v>
      </c>
      <c r="H845" s="132"/>
      <c r="I845" s="171"/>
      <c r="J845" s="142"/>
      <c r="K845" s="99">
        <v>33.569000000000003</v>
      </c>
      <c r="L845" s="63">
        <v>0</v>
      </c>
      <c r="M845" s="29"/>
      <c r="N845" s="91"/>
      <c r="O845" s="63">
        <f t="shared" si="26"/>
        <v>0</v>
      </c>
      <c r="P845" s="29"/>
      <c r="Q845" s="29"/>
      <c r="R845" s="28">
        <v>0</v>
      </c>
      <c r="S845" s="29"/>
      <c r="T845" s="29"/>
      <c r="U845" s="28">
        <f t="shared" si="27"/>
        <v>0</v>
      </c>
      <c r="V845" s="29"/>
      <c r="W845" s="30"/>
    </row>
    <row r="846" spans="1:23" ht="20" x14ac:dyDescent="0.35">
      <c r="A846" s="20" t="s">
        <v>1360</v>
      </c>
      <c r="B846" s="20"/>
      <c r="C846" s="14" t="s">
        <v>1344</v>
      </c>
      <c r="D846" s="22"/>
      <c r="E846" s="22"/>
      <c r="F846" s="26" t="s">
        <v>84</v>
      </c>
      <c r="G846" s="27">
        <v>4.2</v>
      </c>
      <c r="H846" s="132"/>
      <c r="I846" s="171"/>
      <c r="J846" s="142"/>
      <c r="K846" s="99">
        <v>134.274</v>
      </c>
      <c r="L846" s="63">
        <v>5.41</v>
      </c>
      <c r="M846" s="29"/>
      <c r="N846" s="91"/>
      <c r="O846" s="63">
        <f t="shared" si="26"/>
        <v>726.42</v>
      </c>
      <c r="P846" s="29"/>
      <c r="Q846" s="29"/>
      <c r="R846" s="28">
        <v>5.41</v>
      </c>
      <c r="S846" s="29"/>
      <c r="T846" s="29"/>
      <c r="U846" s="28">
        <f t="shared" si="27"/>
        <v>726.42</v>
      </c>
      <c r="V846" s="29"/>
      <c r="W846" s="30"/>
    </row>
    <row r="847" spans="1:23" ht="20" x14ac:dyDescent="0.35">
      <c r="A847" s="20" t="s">
        <v>1361</v>
      </c>
      <c r="B847" s="20"/>
      <c r="C847" s="25" t="s">
        <v>1340</v>
      </c>
      <c r="D847" s="22"/>
      <c r="E847" s="22"/>
      <c r="F847" s="26" t="s">
        <v>67</v>
      </c>
      <c r="G847" s="27">
        <v>0.3</v>
      </c>
      <c r="H847" s="132"/>
      <c r="I847" s="171"/>
      <c r="J847" s="142"/>
      <c r="K847" s="99">
        <v>9.5909999999999993</v>
      </c>
      <c r="L847" s="63">
        <v>49.04</v>
      </c>
      <c r="M847" s="29"/>
      <c r="N847" s="91"/>
      <c r="O847" s="63">
        <f t="shared" si="26"/>
        <v>470.34</v>
      </c>
      <c r="P847" s="29"/>
      <c r="Q847" s="29"/>
      <c r="R847" s="28">
        <v>49.04</v>
      </c>
      <c r="S847" s="29"/>
      <c r="T847" s="29"/>
      <c r="U847" s="28">
        <f t="shared" si="27"/>
        <v>470.34</v>
      </c>
      <c r="V847" s="29"/>
      <c r="W847" s="30"/>
    </row>
    <row r="848" spans="1:23" ht="20" x14ac:dyDescent="0.35">
      <c r="A848" s="20" t="s">
        <v>1362</v>
      </c>
      <c r="B848" s="20"/>
      <c r="C848" s="25" t="s">
        <v>1342</v>
      </c>
      <c r="D848" s="22"/>
      <c r="E848" s="22"/>
      <c r="F848" s="26" t="s">
        <v>67</v>
      </c>
      <c r="G848" s="27">
        <v>4.7</v>
      </c>
      <c r="H848" s="132"/>
      <c r="I848" s="171"/>
      <c r="J848" s="142"/>
      <c r="K848" s="99">
        <v>150.25899999999999</v>
      </c>
      <c r="L848" s="63">
        <v>66.98</v>
      </c>
      <c r="M848" s="29"/>
      <c r="N848" s="91"/>
      <c r="O848" s="63">
        <f t="shared" si="26"/>
        <v>10064.35</v>
      </c>
      <c r="P848" s="29"/>
      <c r="Q848" s="29"/>
      <c r="R848" s="28">
        <v>66.98</v>
      </c>
      <c r="S848" s="29"/>
      <c r="T848" s="29"/>
      <c r="U848" s="28">
        <f t="shared" si="27"/>
        <v>10064.35</v>
      </c>
      <c r="V848" s="29"/>
      <c r="W848" s="30"/>
    </row>
    <row r="849" spans="1:23" ht="36" x14ac:dyDescent="0.35">
      <c r="A849" s="20" t="s">
        <v>1363</v>
      </c>
      <c r="B849" s="20"/>
      <c r="C849" s="14" t="s">
        <v>1338</v>
      </c>
      <c r="D849" s="22"/>
      <c r="E849" s="22"/>
      <c r="F849" s="26" t="s">
        <v>84</v>
      </c>
      <c r="G849" s="27">
        <v>3.6</v>
      </c>
      <c r="H849" s="132"/>
      <c r="I849" s="171"/>
      <c r="J849" s="142"/>
      <c r="K849" s="99">
        <v>115.092</v>
      </c>
      <c r="L849" s="63">
        <v>15.9</v>
      </c>
      <c r="M849" s="29"/>
      <c r="N849" s="91"/>
      <c r="O849" s="63">
        <f t="shared" si="26"/>
        <v>1829.96</v>
      </c>
      <c r="P849" s="29"/>
      <c r="Q849" s="29"/>
      <c r="R849" s="28">
        <v>15.9</v>
      </c>
      <c r="S849" s="29"/>
      <c r="T849" s="29"/>
      <c r="U849" s="28">
        <f t="shared" si="27"/>
        <v>1829.96</v>
      </c>
      <c r="V849" s="29"/>
      <c r="W849" s="30"/>
    </row>
    <row r="850" spans="1:23" ht="20" x14ac:dyDescent="0.35">
      <c r="A850" s="20" t="s">
        <v>1364</v>
      </c>
      <c r="B850" s="20"/>
      <c r="C850" s="25" t="s">
        <v>915</v>
      </c>
      <c r="D850" s="22"/>
      <c r="E850" s="22"/>
      <c r="F850" s="26" t="s">
        <v>58</v>
      </c>
      <c r="G850" s="27">
        <v>0.35</v>
      </c>
      <c r="H850" s="132"/>
      <c r="I850" s="171"/>
      <c r="J850" s="142"/>
      <c r="K850" s="99">
        <v>11.19</v>
      </c>
      <c r="L850" s="63">
        <v>55</v>
      </c>
      <c r="M850" s="29"/>
      <c r="N850" s="91"/>
      <c r="O850" s="63">
        <f t="shared" si="26"/>
        <v>615.45000000000005</v>
      </c>
      <c r="P850" s="29"/>
      <c r="Q850" s="29"/>
      <c r="R850" s="28">
        <v>55</v>
      </c>
      <c r="S850" s="29"/>
      <c r="T850" s="29"/>
      <c r="U850" s="28">
        <f t="shared" si="27"/>
        <v>615.45000000000005</v>
      </c>
      <c r="V850" s="29"/>
      <c r="W850" s="30"/>
    </row>
    <row r="851" spans="1:23" ht="20" x14ac:dyDescent="0.35">
      <c r="A851" s="20" t="s">
        <v>1365</v>
      </c>
      <c r="B851" s="20"/>
      <c r="C851" s="25" t="s">
        <v>1333</v>
      </c>
      <c r="D851" s="22"/>
      <c r="E851" s="22"/>
      <c r="F851" s="26" t="s">
        <v>84</v>
      </c>
      <c r="G851" s="27">
        <v>30</v>
      </c>
      <c r="H851" s="132"/>
      <c r="I851" s="171"/>
      <c r="J851" s="142"/>
      <c r="K851" s="99">
        <v>959.1</v>
      </c>
      <c r="L851" s="63">
        <v>0.28000000000000003</v>
      </c>
      <c r="M851" s="29"/>
      <c r="N851" s="91"/>
      <c r="O851" s="63">
        <f t="shared" si="26"/>
        <v>268.55</v>
      </c>
      <c r="P851" s="29"/>
      <c r="Q851" s="29"/>
      <c r="R851" s="28">
        <v>0.28000000000000003</v>
      </c>
      <c r="S851" s="29"/>
      <c r="T851" s="29"/>
      <c r="U851" s="28">
        <f t="shared" si="27"/>
        <v>268.55</v>
      </c>
      <c r="V851" s="29"/>
      <c r="W851" s="30"/>
    </row>
    <row r="852" spans="1:23" ht="20" x14ac:dyDescent="0.35">
      <c r="A852" s="20" t="s">
        <v>1366</v>
      </c>
      <c r="B852" s="20"/>
      <c r="C852" s="25" t="s">
        <v>1331</v>
      </c>
      <c r="D852" s="22"/>
      <c r="E852" s="22"/>
      <c r="F852" s="26" t="s">
        <v>84</v>
      </c>
      <c r="G852" s="27">
        <v>15</v>
      </c>
      <c r="H852" s="132"/>
      <c r="I852" s="171"/>
      <c r="J852" s="142"/>
      <c r="K852" s="99">
        <v>479.55</v>
      </c>
      <c r="L852" s="63">
        <v>0.95</v>
      </c>
      <c r="M852" s="29"/>
      <c r="N852" s="91"/>
      <c r="O852" s="63">
        <f t="shared" si="26"/>
        <v>455.57</v>
      </c>
      <c r="P852" s="29"/>
      <c r="Q852" s="29"/>
      <c r="R852" s="28">
        <v>0.95</v>
      </c>
      <c r="S852" s="29"/>
      <c r="T852" s="29"/>
      <c r="U852" s="28">
        <f t="shared" si="27"/>
        <v>455.57</v>
      </c>
      <c r="V852" s="29"/>
      <c r="W852" s="30"/>
    </row>
    <row r="853" spans="1:23" ht="36" x14ac:dyDescent="0.35">
      <c r="A853" s="20" t="s">
        <v>1367</v>
      </c>
      <c r="B853" s="20" t="s">
        <v>1327</v>
      </c>
      <c r="C853" s="21" t="s">
        <v>1328</v>
      </c>
      <c r="D853" s="22"/>
      <c r="E853" s="22" t="s">
        <v>1368</v>
      </c>
      <c r="F853" s="22" t="s">
        <v>55</v>
      </c>
      <c r="G853" s="23">
        <v>1</v>
      </c>
      <c r="H853" s="131"/>
      <c r="I853" s="171"/>
      <c r="J853" s="142"/>
      <c r="K853" s="98">
        <v>246.36</v>
      </c>
      <c r="L853" s="62">
        <f>IFERROR(ROUND(SUM(O854,O855,O856,O857,O858,O859,O860,O861,O862,O863,O864)/K853, 2),0)</f>
        <v>586.54999999999995</v>
      </c>
      <c r="M853" s="80">
        <v>1199</v>
      </c>
      <c r="N853" s="90">
        <f>L853+ROUND(M853, 2)</f>
        <v>1785.55</v>
      </c>
      <c r="O853" s="62">
        <f>ROUND(L853*K853, 2)</f>
        <v>144502.46</v>
      </c>
      <c r="P853" s="24">
        <f>ROUND(K853*ROUND(M853, 2), 2)</f>
        <v>295385.64</v>
      </c>
      <c r="Q853" s="24">
        <f>O853+P853</f>
        <v>439888.1</v>
      </c>
      <c r="R853" s="24">
        <f>IFERROR(ROUND(SUM(U854,U855,U856,U857,U858,U859,U860,U861,U862,U863,U864)/K853, 2),0)</f>
        <v>586.54999999999995</v>
      </c>
      <c r="S853" s="24">
        <v>1199</v>
      </c>
      <c r="T853" s="24">
        <f>R853+ROUND(S853, 2)</f>
        <v>1785.55</v>
      </c>
      <c r="U853" s="24">
        <f>ROUND(R853*K853, 2)</f>
        <v>144502.46</v>
      </c>
      <c r="V853" s="24">
        <f>ROUND(K853*ROUND(S853, 2), 2)</f>
        <v>295385.64</v>
      </c>
      <c r="W853" s="24">
        <f>U853+V853</f>
        <v>439888.1</v>
      </c>
    </row>
    <row r="854" spans="1:23" ht="20" x14ac:dyDescent="0.35">
      <c r="A854" s="20" t="s">
        <v>1369</v>
      </c>
      <c r="B854" s="20"/>
      <c r="C854" s="25" t="s">
        <v>1352</v>
      </c>
      <c r="D854" s="22"/>
      <c r="E854" s="22"/>
      <c r="F854" s="26" t="s">
        <v>84</v>
      </c>
      <c r="G854" s="27">
        <v>0.75</v>
      </c>
      <c r="H854" s="132"/>
      <c r="I854" s="171"/>
      <c r="J854" s="142"/>
      <c r="K854" s="99">
        <v>184.77</v>
      </c>
      <c r="L854" s="63">
        <v>2.8</v>
      </c>
      <c r="M854" s="29"/>
      <c r="N854" s="91"/>
      <c r="O854" s="63">
        <f t="shared" ref="O854:O864" si="28">ROUND(ROUND(L854, 2)*K854, 2)</f>
        <v>517.36</v>
      </c>
      <c r="P854" s="29"/>
      <c r="Q854" s="29"/>
      <c r="R854" s="28">
        <v>2.8</v>
      </c>
      <c r="S854" s="29"/>
      <c r="T854" s="29"/>
      <c r="U854" s="28">
        <f t="shared" ref="U854:U864" si="29">ROUND(ROUND(R854, 2)*K854, 2)</f>
        <v>517.36</v>
      </c>
      <c r="V854" s="29"/>
      <c r="W854" s="30"/>
    </row>
    <row r="855" spans="1:23" ht="36" x14ac:dyDescent="0.35">
      <c r="A855" s="20" t="s">
        <v>1370</v>
      </c>
      <c r="B855" s="20"/>
      <c r="C855" s="25" t="s">
        <v>919</v>
      </c>
      <c r="D855" s="22"/>
      <c r="E855" s="22"/>
      <c r="F855" s="26" t="s">
        <v>55</v>
      </c>
      <c r="G855" s="27">
        <v>1.05</v>
      </c>
      <c r="H855" s="132"/>
      <c r="I855" s="171"/>
      <c r="J855" s="142"/>
      <c r="K855" s="99">
        <v>258.678</v>
      </c>
      <c r="L855" s="63">
        <v>135.53</v>
      </c>
      <c r="M855" s="29"/>
      <c r="N855" s="91"/>
      <c r="O855" s="63">
        <f t="shared" si="28"/>
        <v>35058.629999999997</v>
      </c>
      <c r="P855" s="29"/>
      <c r="Q855" s="29"/>
      <c r="R855" s="28">
        <v>135.53</v>
      </c>
      <c r="S855" s="29"/>
      <c r="T855" s="29"/>
      <c r="U855" s="28">
        <f t="shared" si="29"/>
        <v>35058.629999999997</v>
      </c>
      <c r="V855" s="29"/>
      <c r="W855" s="30"/>
    </row>
    <row r="856" spans="1:23" ht="20" x14ac:dyDescent="0.35">
      <c r="A856" s="20" t="s">
        <v>1371</v>
      </c>
      <c r="B856" s="20"/>
      <c r="C856" s="25" t="s">
        <v>1348</v>
      </c>
      <c r="D856" s="22"/>
      <c r="E856" s="22"/>
      <c r="F856" s="26" t="s">
        <v>67</v>
      </c>
      <c r="G856" s="27">
        <v>1.25</v>
      </c>
      <c r="H856" s="132"/>
      <c r="I856" s="171"/>
      <c r="J856" s="142"/>
      <c r="K856" s="99">
        <v>307.95</v>
      </c>
      <c r="L856" s="63">
        <v>2.8</v>
      </c>
      <c r="M856" s="29"/>
      <c r="N856" s="91"/>
      <c r="O856" s="63">
        <f t="shared" si="28"/>
        <v>862.26</v>
      </c>
      <c r="P856" s="29"/>
      <c r="Q856" s="29"/>
      <c r="R856" s="28">
        <v>2.8</v>
      </c>
      <c r="S856" s="29"/>
      <c r="T856" s="29"/>
      <c r="U856" s="28">
        <f t="shared" si="29"/>
        <v>862.26</v>
      </c>
      <c r="V856" s="29"/>
      <c r="W856" s="30"/>
    </row>
    <row r="857" spans="1:23" ht="20" x14ac:dyDescent="0.35">
      <c r="A857" s="20" t="s">
        <v>1372</v>
      </c>
      <c r="B857" s="20"/>
      <c r="C857" s="25" t="s">
        <v>1346</v>
      </c>
      <c r="D857" s="22"/>
      <c r="E857" s="22"/>
      <c r="F857" s="26" t="s">
        <v>67</v>
      </c>
      <c r="G857" s="27">
        <v>1.05</v>
      </c>
      <c r="H857" s="132"/>
      <c r="I857" s="171"/>
      <c r="J857" s="142"/>
      <c r="K857" s="99">
        <v>258.678</v>
      </c>
      <c r="L857" s="63">
        <v>4.5999999999999996</v>
      </c>
      <c r="M857" s="29"/>
      <c r="N857" s="91"/>
      <c r="O857" s="63">
        <f t="shared" si="28"/>
        <v>1189.92</v>
      </c>
      <c r="P857" s="29"/>
      <c r="Q857" s="29"/>
      <c r="R857" s="28">
        <v>4.5999999999999996</v>
      </c>
      <c r="S857" s="29"/>
      <c r="T857" s="29"/>
      <c r="U857" s="28">
        <f t="shared" si="29"/>
        <v>1189.92</v>
      </c>
      <c r="V857" s="29"/>
      <c r="W857" s="30"/>
    </row>
    <row r="858" spans="1:23" ht="20" x14ac:dyDescent="0.35">
      <c r="A858" s="20" t="s">
        <v>1373</v>
      </c>
      <c r="B858" s="20"/>
      <c r="C858" s="14" t="s">
        <v>1344</v>
      </c>
      <c r="D858" s="22"/>
      <c r="E858" s="22"/>
      <c r="F858" s="26" t="s">
        <v>84</v>
      </c>
      <c r="G858" s="27">
        <v>4.2</v>
      </c>
      <c r="H858" s="132"/>
      <c r="I858" s="171"/>
      <c r="J858" s="142"/>
      <c r="K858" s="99">
        <v>1034.712</v>
      </c>
      <c r="L858" s="63">
        <v>5.41</v>
      </c>
      <c r="M858" s="29"/>
      <c r="N858" s="91"/>
      <c r="O858" s="63">
        <f t="shared" si="28"/>
        <v>5597.79</v>
      </c>
      <c r="P858" s="29"/>
      <c r="Q858" s="29"/>
      <c r="R858" s="28">
        <v>5.41</v>
      </c>
      <c r="S858" s="29"/>
      <c r="T858" s="29"/>
      <c r="U858" s="28">
        <f t="shared" si="29"/>
        <v>5597.79</v>
      </c>
      <c r="V858" s="29"/>
      <c r="W858" s="30"/>
    </row>
    <row r="859" spans="1:23" ht="20" x14ac:dyDescent="0.35">
      <c r="A859" s="20" t="s">
        <v>1374</v>
      </c>
      <c r="B859" s="20"/>
      <c r="C859" s="25" t="s">
        <v>1340</v>
      </c>
      <c r="D859" s="22"/>
      <c r="E859" s="22"/>
      <c r="F859" s="26" t="s">
        <v>67</v>
      </c>
      <c r="G859" s="27">
        <v>0.3</v>
      </c>
      <c r="H859" s="132"/>
      <c r="I859" s="171"/>
      <c r="J859" s="142"/>
      <c r="K859" s="99">
        <v>73.908000000000001</v>
      </c>
      <c r="L859" s="63">
        <v>49.04</v>
      </c>
      <c r="M859" s="29"/>
      <c r="N859" s="91"/>
      <c r="O859" s="63">
        <f t="shared" si="28"/>
        <v>3624.45</v>
      </c>
      <c r="P859" s="29"/>
      <c r="Q859" s="29"/>
      <c r="R859" s="28">
        <v>49.04</v>
      </c>
      <c r="S859" s="29"/>
      <c r="T859" s="29"/>
      <c r="U859" s="28">
        <f t="shared" si="29"/>
        <v>3624.45</v>
      </c>
      <c r="V859" s="29"/>
      <c r="W859" s="30"/>
    </row>
    <row r="860" spans="1:23" ht="20" x14ac:dyDescent="0.35">
      <c r="A860" s="20" t="s">
        <v>1375</v>
      </c>
      <c r="B860" s="20"/>
      <c r="C860" s="25" t="s">
        <v>1342</v>
      </c>
      <c r="D860" s="22"/>
      <c r="E860" s="22"/>
      <c r="F860" s="26" t="s">
        <v>67</v>
      </c>
      <c r="G860" s="27">
        <v>4.7</v>
      </c>
      <c r="H860" s="132"/>
      <c r="I860" s="171"/>
      <c r="J860" s="142"/>
      <c r="K860" s="99">
        <v>1157.8920000000001</v>
      </c>
      <c r="L860" s="63">
        <v>66.98</v>
      </c>
      <c r="M860" s="29"/>
      <c r="N860" s="91"/>
      <c r="O860" s="63">
        <f t="shared" si="28"/>
        <v>77555.61</v>
      </c>
      <c r="P860" s="29"/>
      <c r="Q860" s="29"/>
      <c r="R860" s="28">
        <v>66.98</v>
      </c>
      <c r="S860" s="29"/>
      <c r="T860" s="29"/>
      <c r="U860" s="28">
        <f t="shared" si="29"/>
        <v>77555.61</v>
      </c>
      <c r="V860" s="29"/>
      <c r="W860" s="30"/>
    </row>
    <row r="861" spans="1:23" ht="36" x14ac:dyDescent="0.35">
      <c r="A861" s="20" t="s">
        <v>1376</v>
      </c>
      <c r="B861" s="20"/>
      <c r="C861" s="14" t="s">
        <v>1338</v>
      </c>
      <c r="D861" s="22"/>
      <c r="E861" s="22"/>
      <c r="F861" s="26" t="s">
        <v>84</v>
      </c>
      <c r="G861" s="27">
        <v>3.6</v>
      </c>
      <c r="H861" s="132"/>
      <c r="I861" s="171"/>
      <c r="J861" s="142"/>
      <c r="K861" s="99">
        <v>886.89599999999996</v>
      </c>
      <c r="L861" s="63">
        <v>15.9</v>
      </c>
      <c r="M861" s="29"/>
      <c r="N861" s="91"/>
      <c r="O861" s="63">
        <f t="shared" si="28"/>
        <v>14101.65</v>
      </c>
      <c r="P861" s="29"/>
      <c r="Q861" s="29"/>
      <c r="R861" s="28">
        <v>15.9</v>
      </c>
      <c r="S861" s="29"/>
      <c r="T861" s="29"/>
      <c r="U861" s="28">
        <f t="shared" si="29"/>
        <v>14101.65</v>
      </c>
      <c r="V861" s="29"/>
      <c r="W861" s="30"/>
    </row>
    <row r="862" spans="1:23" ht="20" x14ac:dyDescent="0.35">
      <c r="A862" s="20" t="s">
        <v>1377</v>
      </c>
      <c r="B862" s="20"/>
      <c r="C862" s="25" t="s">
        <v>1336</v>
      </c>
      <c r="D862" s="22"/>
      <c r="E862" s="22"/>
      <c r="F862" s="26" t="s">
        <v>84</v>
      </c>
      <c r="G862" s="27">
        <v>0.3</v>
      </c>
      <c r="H862" s="132"/>
      <c r="I862" s="171"/>
      <c r="J862" s="142"/>
      <c r="K862" s="99">
        <v>73.908000000000001</v>
      </c>
      <c r="L862" s="63">
        <v>5.6</v>
      </c>
      <c r="M862" s="29"/>
      <c r="N862" s="91"/>
      <c r="O862" s="63">
        <f t="shared" si="28"/>
        <v>413.88</v>
      </c>
      <c r="P862" s="29"/>
      <c r="Q862" s="29"/>
      <c r="R862" s="28">
        <v>5.6</v>
      </c>
      <c r="S862" s="29"/>
      <c r="T862" s="29"/>
      <c r="U862" s="28">
        <f t="shared" si="29"/>
        <v>413.88</v>
      </c>
      <c r="V862" s="29"/>
      <c r="W862" s="30"/>
    </row>
    <row r="863" spans="1:23" ht="20" x14ac:dyDescent="0.35">
      <c r="A863" s="20" t="s">
        <v>1378</v>
      </c>
      <c r="B863" s="20"/>
      <c r="C863" s="25" t="s">
        <v>1333</v>
      </c>
      <c r="D863" s="22"/>
      <c r="E863" s="22"/>
      <c r="F863" s="26" t="s">
        <v>84</v>
      </c>
      <c r="G863" s="27">
        <v>30</v>
      </c>
      <c r="H863" s="132"/>
      <c r="I863" s="171"/>
      <c r="J863" s="142"/>
      <c r="K863" s="99">
        <v>7390.8</v>
      </c>
      <c r="L863" s="63">
        <v>0.28000000000000003</v>
      </c>
      <c r="M863" s="29"/>
      <c r="N863" s="91"/>
      <c r="O863" s="63">
        <f t="shared" si="28"/>
        <v>2069.42</v>
      </c>
      <c r="P863" s="29"/>
      <c r="Q863" s="29"/>
      <c r="R863" s="28">
        <v>0.28000000000000003</v>
      </c>
      <c r="S863" s="29"/>
      <c r="T863" s="29"/>
      <c r="U863" s="28">
        <f t="shared" si="29"/>
        <v>2069.42</v>
      </c>
      <c r="V863" s="29"/>
      <c r="W863" s="30"/>
    </row>
    <row r="864" spans="1:23" ht="20" x14ac:dyDescent="0.35">
      <c r="A864" s="20" t="s">
        <v>1379</v>
      </c>
      <c r="B864" s="20"/>
      <c r="C864" s="25" t="s">
        <v>1331</v>
      </c>
      <c r="D864" s="22"/>
      <c r="E864" s="22"/>
      <c r="F864" s="26" t="s">
        <v>84</v>
      </c>
      <c r="G864" s="27">
        <v>15</v>
      </c>
      <c r="H864" s="132"/>
      <c r="I864" s="171"/>
      <c r="J864" s="142"/>
      <c r="K864" s="99">
        <v>3695.4</v>
      </c>
      <c r="L864" s="63">
        <v>0.95</v>
      </c>
      <c r="M864" s="29"/>
      <c r="N864" s="91"/>
      <c r="O864" s="63">
        <f t="shared" si="28"/>
        <v>3510.63</v>
      </c>
      <c r="P864" s="29"/>
      <c r="Q864" s="29"/>
      <c r="R864" s="28">
        <v>0.95</v>
      </c>
      <c r="S864" s="29"/>
      <c r="T864" s="29"/>
      <c r="U864" s="28">
        <f t="shared" si="29"/>
        <v>3510.63</v>
      </c>
      <c r="V864" s="29"/>
      <c r="W864" s="30"/>
    </row>
    <row r="865" spans="1:23" ht="36" x14ac:dyDescent="0.35">
      <c r="A865" s="20" t="s">
        <v>1380</v>
      </c>
      <c r="B865" s="20" t="s">
        <v>1327</v>
      </c>
      <c r="C865" s="21" t="s">
        <v>1328</v>
      </c>
      <c r="D865" s="22"/>
      <c r="E865" s="22" t="s">
        <v>1381</v>
      </c>
      <c r="F865" s="22" t="s">
        <v>55</v>
      </c>
      <c r="G865" s="23">
        <v>1</v>
      </c>
      <c r="H865" s="131"/>
      <c r="I865" s="171"/>
      <c r="J865" s="142"/>
      <c r="K865" s="98">
        <v>110.66</v>
      </c>
      <c r="L865" s="62">
        <f>IFERROR(ROUND(SUM(O866,O867,O868,O869,O870,O871,O872,O873,O874,O875,O876)/K865, 2),0)</f>
        <v>444.24</v>
      </c>
      <c r="M865" s="80">
        <v>1199</v>
      </c>
      <c r="N865" s="90">
        <f>L865+ROUND(M865, 2)</f>
        <v>1643.24</v>
      </c>
      <c r="O865" s="62">
        <f>ROUND(L865*K865, 2)</f>
        <v>49159.6</v>
      </c>
      <c r="P865" s="24">
        <f>ROUND(K865*ROUND(M865, 2), 2)</f>
        <v>132681.34</v>
      </c>
      <c r="Q865" s="24">
        <f>O865+P865</f>
        <v>181840.94</v>
      </c>
      <c r="R865" s="24">
        <f>IFERROR(ROUND(SUM(U866,U867,U868,U869,U870,U871,U872,U873,U874,U875,U876)/K865, 2),0)</f>
        <v>444.24</v>
      </c>
      <c r="S865" s="24">
        <v>1199</v>
      </c>
      <c r="T865" s="24">
        <f>R865+ROUND(S865, 2)</f>
        <v>1643.24</v>
      </c>
      <c r="U865" s="24">
        <f>ROUND(R865*K865, 2)</f>
        <v>49159.6</v>
      </c>
      <c r="V865" s="24">
        <f>ROUND(K865*ROUND(S865, 2), 2)</f>
        <v>132681.34</v>
      </c>
      <c r="W865" s="24">
        <f>U865+V865</f>
        <v>181840.94</v>
      </c>
    </row>
    <row r="866" spans="1:23" ht="20" x14ac:dyDescent="0.35">
      <c r="A866" s="20" t="s">
        <v>1382</v>
      </c>
      <c r="B866" s="20"/>
      <c r="C866" s="25" t="s">
        <v>1352</v>
      </c>
      <c r="D866" s="22"/>
      <c r="E866" s="22"/>
      <c r="F866" s="26" t="s">
        <v>84</v>
      </c>
      <c r="G866" s="27">
        <v>0.75</v>
      </c>
      <c r="H866" s="132"/>
      <c r="I866" s="171"/>
      <c r="J866" s="142"/>
      <c r="K866" s="99">
        <v>82.995000000000005</v>
      </c>
      <c r="L866" s="63">
        <v>2.8</v>
      </c>
      <c r="M866" s="29"/>
      <c r="N866" s="91"/>
      <c r="O866" s="63">
        <f t="shared" ref="O866:O876" si="30">ROUND(ROUND(L866, 2)*K866, 2)</f>
        <v>232.39</v>
      </c>
      <c r="P866" s="29"/>
      <c r="Q866" s="29"/>
      <c r="R866" s="28">
        <v>2.8</v>
      </c>
      <c r="S866" s="29"/>
      <c r="T866" s="29"/>
      <c r="U866" s="28">
        <f t="shared" ref="U866:U876" si="31">ROUND(ROUND(R866, 2)*K866, 2)</f>
        <v>232.39</v>
      </c>
      <c r="V866" s="29"/>
      <c r="W866" s="30"/>
    </row>
    <row r="867" spans="1:23" ht="20" x14ac:dyDescent="0.35">
      <c r="A867" s="20" t="s">
        <v>1383</v>
      </c>
      <c r="B867" s="20"/>
      <c r="C867" s="25" t="s">
        <v>1348</v>
      </c>
      <c r="D867" s="22"/>
      <c r="E867" s="22"/>
      <c r="F867" s="26" t="s">
        <v>67</v>
      </c>
      <c r="G867" s="27">
        <v>1.25</v>
      </c>
      <c r="H867" s="132"/>
      <c r="I867" s="171"/>
      <c r="J867" s="142"/>
      <c r="K867" s="99">
        <v>138.32499999999999</v>
      </c>
      <c r="L867" s="63">
        <v>2.8</v>
      </c>
      <c r="M867" s="29"/>
      <c r="N867" s="91"/>
      <c r="O867" s="63">
        <f t="shared" si="30"/>
        <v>387.31</v>
      </c>
      <c r="P867" s="29"/>
      <c r="Q867" s="29"/>
      <c r="R867" s="28">
        <v>2.8</v>
      </c>
      <c r="S867" s="29"/>
      <c r="T867" s="29"/>
      <c r="U867" s="28">
        <f t="shared" si="31"/>
        <v>387.31</v>
      </c>
      <c r="V867" s="29"/>
      <c r="W867" s="30"/>
    </row>
    <row r="868" spans="1:23" ht="20" x14ac:dyDescent="0.35">
      <c r="A868" s="20" t="s">
        <v>1384</v>
      </c>
      <c r="B868" s="20"/>
      <c r="C868" s="25" t="s">
        <v>1346</v>
      </c>
      <c r="D868" s="22"/>
      <c r="E868" s="22"/>
      <c r="F868" s="26" t="s">
        <v>67</v>
      </c>
      <c r="G868" s="27">
        <v>1.05</v>
      </c>
      <c r="H868" s="132"/>
      <c r="I868" s="171"/>
      <c r="J868" s="142"/>
      <c r="K868" s="99">
        <v>116.193</v>
      </c>
      <c r="L868" s="63">
        <v>4.5999999999999996</v>
      </c>
      <c r="M868" s="29"/>
      <c r="N868" s="91"/>
      <c r="O868" s="63">
        <f t="shared" si="30"/>
        <v>534.49</v>
      </c>
      <c r="P868" s="29"/>
      <c r="Q868" s="29"/>
      <c r="R868" s="28">
        <v>4.5999999999999996</v>
      </c>
      <c r="S868" s="29"/>
      <c r="T868" s="29"/>
      <c r="U868" s="28">
        <f t="shared" si="31"/>
        <v>534.49</v>
      </c>
      <c r="V868" s="29"/>
      <c r="W868" s="30"/>
    </row>
    <row r="869" spans="1:23" ht="20" x14ac:dyDescent="0.35">
      <c r="A869" s="20" t="s">
        <v>1385</v>
      </c>
      <c r="B869" s="20"/>
      <c r="C869" s="25" t="s">
        <v>937</v>
      </c>
      <c r="D869" s="22"/>
      <c r="E869" s="22"/>
      <c r="F869" s="26" t="s">
        <v>55</v>
      </c>
      <c r="G869" s="27">
        <v>1.05</v>
      </c>
      <c r="H869" s="132"/>
      <c r="I869" s="171"/>
      <c r="J869" s="142"/>
      <c r="K869" s="99">
        <v>116.193</v>
      </c>
      <c r="L869" s="63">
        <v>0</v>
      </c>
      <c r="M869" s="29"/>
      <c r="N869" s="91"/>
      <c r="O869" s="63">
        <f t="shared" si="30"/>
        <v>0</v>
      </c>
      <c r="P869" s="29"/>
      <c r="Q869" s="29"/>
      <c r="R869" s="28">
        <v>0</v>
      </c>
      <c r="S869" s="29"/>
      <c r="T869" s="29"/>
      <c r="U869" s="28">
        <f t="shared" si="31"/>
        <v>0</v>
      </c>
      <c r="V869" s="29"/>
      <c r="W869" s="30"/>
    </row>
    <row r="870" spans="1:23" ht="20" x14ac:dyDescent="0.35">
      <c r="A870" s="20" t="s">
        <v>1386</v>
      </c>
      <c r="B870" s="20"/>
      <c r="C870" s="14" t="s">
        <v>1344</v>
      </c>
      <c r="D870" s="22"/>
      <c r="E870" s="22"/>
      <c r="F870" s="26" t="s">
        <v>84</v>
      </c>
      <c r="G870" s="27">
        <v>4.2</v>
      </c>
      <c r="H870" s="132"/>
      <c r="I870" s="171"/>
      <c r="J870" s="142"/>
      <c r="K870" s="99">
        <v>464.77199999999999</v>
      </c>
      <c r="L870" s="63">
        <v>5.41</v>
      </c>
      <c r="M870" s="29"/>
      <c r="N870" s="91"/>
      <c r="O870" s="63">
        <f t="shared" si="30"/>
        <v>2514.42</v>
      </c>
      <c r="P870" s="29"/>
      <c r="Q870" s="29"/>
      <c r="R870" s="28">
        <v>5.41</v>
      </c>
      <c r="S870" s="29"/>
      <c r="T870" s="29"/>
      <c r="U870" s="28">
        <f t="shared" si="31"/>
        <v>2514.42</v>
      </c>
      <c r="V870" s="29"/>
      <c r="W870" s="30"/>
    </row>
    <row r="871" spans="1:23" ht="20" x14ac:dyDescent="0.35">
      <c r="A871" s="20" t="s">
        <v>1387</v>
      </c>
      <c r="B871" s="20"/>
      <c r="C871" s="25" t="s">
        <v>1340</v>
      </c>
      <c r="D871" s="22"/>
      <c r="E871" s="22"/>
      <c r="F871" s="26" t="s">
        <v>67</v>
      </c>
      <c r="G871" s="27">
        <v>0.3</v>
      </c>
      <c r="H871" s="132"/>
      <c r="I871" s="171"/>
      <c r="J871" s="142"/>
      <c r="K871" s="99">
        <v>33.198</v>
      </c>
      <c r="L871" s="63">
        <v>49.04</v>
      </c>
      <c r="M871" s="29"/>
      <c r="N871" s="91"/>
      <c r="O871" s="63">
        <f t="shared" si="30"/>
        <v>1628.03</v>
      </c>
      <c r="P871" s="29"/>
      <c r="Q871" s="29"/>
      <c r="R871" s="28">
        <v>49.04</v>
      </c>
      <c r="S871" s="29"/>
      <c r="T871" s="29"/>
      <c r="U871" s="28">
        <f t="shared" si="31"/>
        <v>1628.03</v>
      </c>
      <c r="V871" s="29"/>
      <c r="W871" s="30"/>
    </row>
    <row r="872" spans="1:23" ht="20" x14ac:dyDescent="0.35">
      <c r="A872" s="20" t="s">
        <v>1388</v>
      </c>
      <c r="B872" s="20"/>
      <c r="C872" s="25" t="s">
        <v>1342</v>
      </c>
      <c r="D872" s="22"/>
      <c r="E872" s="22"/>
      <c r="F872" s="26" t="s">
        <v>67</v>
      </c>
      <c r="G872" s="27">
        <v>4.7</v>
      </c>
      <c r="H872" s="132"/>
      <c r="I872" s="171"/>
      <c r="J872" s="142"/>
      <c r="K872" s="99">
        <v>520.10199999999998</v>
      </c>
      <c r="L872" s="63">
        <v>66.98</v>
      </c>
      <c r="M872" s="29"/>
      <c r="N872" s="91"/>
      <c r="O872" s="63">
        <f t="shared" si="30"/>
        <v>34836.43</v>
      </c>
      <c r="P872" s="29"/>
      <c r="Q872" s="29"/>
      <c r="R872" s="28">
        <v>66.98</v>
      </c>
      <c r="S872" s="29"/>
      <c r="T872" s="29"/>
      <c r="U872" s="28">
        <f t="shared" si="31"/>
        <v>34836.43</v>
      </c>
      <c r="V872" s="29"/>
      <c r="W872" s="30"/>
    </row>
    <row r="873" spans="1:23" ht="36" x14ac:dyDescent="0.35">
      <c r="A873" s="20" t="s">
        <v>1389</v>
      </c>
      <c r="B873" s="20"/>
      <c r="C873" s="14" t="s">
        <v>1338</v>
      </c>
      <c r="D873" s="22"/>
      <c r="E873" s="22"/>
      <c r="F873" s="26" t="s">
        <v>84</v>
      </c>
      <c r="G873" s="27">
        <v>3.6</v>
      </c>
      <c r="H873" s="132"/>
      <c r="I873" s="171"/>
      <c r="J873" s="142"/>
      <c r="K873" s="99">
        <v>398.37599999999998</v>
      </c>
      <c r="L873" s="63">
        <v>15.9</v>
      </c>
      <c r="M873" s="29"/>
      <c r="N873" s="91"/>
      <c r="O873" s="63">
        <f t="shared" si="30"/>
        <v>6334.18</v>
      </c>
      <c r="P873" s="29"/>
      <c r="Q873" s="29"/>
      <c r="R873" s="28">
        <v>15.9</v>
      </c>
      <c r="S873" s="29"/>
      <c r="T873" s="29"/>
      <c r="U873" s="28">
        <f t="shared" si="31"/>
        <v>6334.18</v>
      </c>
      <c r="V873" s="29"/>
      <c r="W873" s="30"/>
    </row>
    <row r="874" spans="1:23" ht="20" x14ac:dyDescent="0.35">
      <c r="A874" s="20" t="s">
        <v>1390</v>
      </c>
      <c r="B874" s="20"/>
      <c r="C874" s="25" t="s">
        <v>1336</v>
      </c>
      <c r="D874" s="22"/>
      <c r="E874" s="22"/>
      <c r="F874" s="26" t="s">
        <v>84</v>
      </c>
      <c r="G874" s="27">
        <v>0.3</v>
      </c>
      <c r="H874" s="132"/>
      <c r="I874" s="171"/>
      <c r="J874" s="142"/>
      <c r="K874" s="99">
        <v>33.198</v>
      </c>
      <c r="L874" s="63">
        <v>5.6</v>
      </c>
      <c r="M874" s="29"/>
      <c r="N874" s="91"/>
      <c r="O874" s="63">
        <f t="shared" si="30"/>
        <v>185.91</v>
      </c>
      <c r="P874" s="29"/>
      <c r="Q874" s="29"/>
      <c r="R874" s="28">
        <v>5.6</v>
      </c>
      <c r="S874" s="29"/>
      <c r="T874" s="29"/>
      <c r="U874" s="28">
        <f t="shared" si="31"/>
        <v>185.91</v>
      </c>
      <c r="V874" s="29"/>
      <c r="W874" s="30"/>
    </row>
    <row r="875" spans="1:23" ht="20" x14ac:dyDescent="0.35">
      <c r="A875" s="20" t="s">
        <v>1391</v>
      </c>
      <c r="B875" s="20"/>
      <c r="C875" s="25" t="s">
        <v>1333</v>
      </c>
      <c r="D875" s="22"/>
      <c r="E875" s="22"/>
      <c r="F875" s="26" t="s">
        <v>84</v>
      </c>
      <c r="G875" s="27">
        <v>30</v>
      </c>
      <c r="H875" s="132"/>
      <c r="I875" s="171"/>
      <c r="J875" s="142"/>
      <c r="K875" s="99">
        <v>3319.8</v>
      </c>
      <c r="L875" s="63">
        <v>0.28000000000000003</v>
      </c>
      <c r="M875" s="29"/>
      <c r="N875" s="91"/>
      <c r="O875" s="63">
        <f t="shared" si="30"/>
        <v>929.54</v>
      </c>
      <c r="P875" s="29"/>
      <c r="Q875" s="29"/>
      <c r="R875" s="28">
        <v>0.28000000000000003</v>
      </c>
      <c r="S875" s="29"/>
      <c r="T875" s="29"/>
      <c r="U875" s="28">
        <f t="shared" si="31"/>
        <v>929.54</v>
      </c>
      <c r="V875" s="29"/>
      <c r="W875" s="30"/>
    </row>
    <row r="876" spans="1:23" ht="20" x14ac:dyDescent="0.35">
      <c r="A876" s="20" t="s">
        <v>1392</v>
      </c>
      <c r="B876" s="20"/>
      <c r="C876" s="25" t="s">
        <v>1331</v>
      </c>
      <c r="D876" s="22"/>
      <c r="E876" s="22"/>
      <c r="F876" s="26" t="s">
        <v>84</v>
      </c>
      <c r="G876" s="27">
        <v>15</v>
      </c>
      <c r="H876" s="132"/>
      <c r="I876" s="171"/>
      <c r="J876" s="142"/>
      <c r="K876" s="99">
        <v>1659.9</v>
      </c>
      <c r="L876" s="63">
        <v>0.95</v>
      </c>
      <c r="M876" s="29"/>
      <c r="N876" s="91"/>
      <c r="O876" s="63">
        <f t="shared" si="30"/>
        <v>1576.91</v>
      </c>
      <c r="P876" s="29"/>
      <c r="Q876" s="29"/>
      <c r="R876" s="28">
        <v>0.95</v>
      </c>
      <c r="S876" s="29"/>
      <c r="T876" s="29"/>
      <c r="U876" s="28">
        <f t="shared" si="31"/>
        <v>1576.91</v>
      </c>
      <c r="V876" s="29"/>
      <c r="W876" s="30"/>
    </row>
    <row r="877" spans="1:23" ht="54.5" thickBot="1" x14ac:dyDescent="0.4">
      <c r="A877" s="20" t="s">
        <v>1393</v>
      </c>
      <c r="B877" s="20" t="s">
        <v>1394</v>
      </c>
      <c r="C877" s="21" t="s">
        <v>1395</v>
      </c>
      <c r="D877" s="22"/>
      <c r="E877" s="22" t="s">
        <v>63</v>
      </c>
      <c r="F877" s="22" t="s">
        <v>55</v>
      </c>
      <c r="G877" s="23">
        <v>1</v>
      </c>
      <c r="H877" s="131"/>
      <c r="I877" s="171"/>
      <c r="J877" s="145"/>
      <c r="K877" s="118">
        <v>2099.0100000000002</v>
      </c>
      <c r="L877" s="62">
        <v>0</v>
      </c>
      <c r="M877" s="80">
        <v>121</v>
      </c>
      <c r="N877" s="90">
        <f>L877+ROUND(M877, 2)</f>
        <v>121</v>
      </c>
      <c r="O877" s="62">
        <v>0</v>
      </c>
      <c r="P877" s="24">
        <f>ROUND(K877*ROUND(M877, 2), 2)</f>
        <v>253980.21</v>
      </c>
      <c r="Q877" s="24">
        <f>O877+P877</f>
        <v>253980.21</v>
      </c>
      <c r="R877" s="24">
        <v>0</v>
      </c>
      <c r="S877" s="24">
        <v>121</v>
      </c>
      <c r="T877" s="24">
        <f>R877+ROUND(S877, 2)</f>
        <v>121</v>
      </c>
      <c r="U877" s="24">
        <v>0</v>
      </c>
      <c r="V877" s="24">
        <f>ROUND(K877*ROUND(S877, 2), 2)</f>
        <v>253980.21</v>
      </c>
      <c r="W877" s="24">
        <f>U877+V877</f>
        <v>253980.21</v>
      </c>
    </row>
    <row r="878" spans="1:23" ht="17" customHeight="1" thickBot="1" x14ac:dyDescent="0.4">
      <c r="A878" s="20" t="s">
        <v>1396</v>
      </c>
      <c r="B878" s="20" t="s">
        <v>1397</v>
      </c>
      <c r="C878" s="114" t="s">
        <v>1398</v>
      </c>
      <c r="D878" s="115"/>
      <c r="E878" s="115"/>
      <c r="F878" s="115"/>
      <c r="G878" s="115"/>
      <c r="H878" s="115"/>
      <c r="I878" s="168"/>
      <c r="J878" s="160"/>
      <c r="K878" s="116"/>
      <c r="L878" s="29"/>
      <c r="M878" s="29"/>
      <c r="N878" s="91"/>
      <c r="O878" s="85">
        <f>SUM(O879,O900)</f>
        <v>0</v>
      </c>
      <c r="P878" s="56">
        <f>SUM(P879,P900)</f>
        <v>395791</v>
      </c>
      <c r="Q878" s="56">
        <f>SUM(Q879,Q900)</f>
        <v>395791</v>
      </c>
      <c r="R878" s="29"/>
      <c r="S878" s="29"/>
      <c r="T878" s="29"/>
      <c r="U878" s="56">
        <f>SUM(U879,U900)</f>
        <v>0</v>
      </c>
      <c r="V878" s="56">
        <f>SUM(V879,V900)</f>
        <v>395791</v>
      </c>
      <c r="W878" s="56">
        <f>SUM(W879,W900)</f>
        <v>395791</v>
      </c>
    </row>
    <row r="879" spans="1:23" ht="54" x14ac:dyDescent="0.35">
      <c r="A879" s="20" t="s">
        <v>1399</v>
      </c>
      <c r="B879" s="20" t="s">
        <v>1400</v>
      </c>
      <c r="C879" s="21" t="s">
        <v>1401</v>
      </c>
      <c r="D879" s="22"/>
      <c r="E879" s="22" t="s">
        <v>1402</v>
      </c>
      <c r="F879" s="22" t="s">
        <v>84</v>
      </c>
      <c r="G879" s="23">
        <v>1</v>
      </c>
      <c r="H879" s="131"/>
      <c r="I879" s="171"/>
      <c r="J879" s="154"/>
      <c r="K879" s="113">
        <v>66</v>
      </c>
      <c r="L879" s="62">
        <f>IFERROR(ROUND(SUM(O880,O881,O882,O883,O884,O885,O886,O887,O888,O889,O890,O891,O892,O893,O894,O895,O896,O897,O898,O899)/K879, 2),0)</f>
        <v>0</v>
      </c>
      <c r="M879" s="80">
        <v>3271</v>
      </c>
      <c r="N879" s="90">
        <f>L879+ROUND(M879, 2)</f>
        <v>3271</v>
      </c>
      <c r="O879" s="62">
        <f>ROUND(L879*K879, 2)</f>
        <v>0</v>
      </c>
      <c r="P879" s="24">
        <f>ROUND(K879*ROUND(M879, 2), 2)</f>
        <v>215886</v>
      </c>
      <c r="Q879" s="24">
        <f>O879+P879</f>
        <v>215886</v>
      </c>
      <c r="R879" s="24">
        <f>IFERROR(ROUND(SUM(U880,U881,U882,U883,U884,U885,U886,U887,U888,U889,U890,U891,U892,U893,U894,U895,U896,U897,U898,U899)/K879, 2),0)</f>
        <v>0</v>
      </c>
      <c r="S879" s="24">
        <v>3271</v>
      </c>
      <c r="T879" s="24">
        <f>R879+ROUND(S879, 2)</f>
        <v>3271</v>
      </c>
      <c r="U879" s="24">
        <f>ROUND(R879*K879, 2)</f>
        <v>0</v>
      </c>
      <c r="V879" s="24">
        <f>ROUND(K879*ROUND(S879, 2), 2)</f>
        <v>215886</v>
      </c>
      <c r="W879" s="24">
        <f>U879+V879</f>
        <v>215886</v>
      </c>
    </row>
    <row r="880" spans="1:23" ht="409.5" x14ac:dyDescent="0.35">
      <c r="A880" s="20" t="s">
        <v>1403</v>
      </c>
      <c r="B880" s="20"/>
      <c r="C880" s="25" t="s">
        <v>1404</v>
      </c>
      <c r="D880" s="22"/>
      <c r="E880" s="22" t="s">
        <v>1405</v>
      </c>
      <c r="F880" s="26" t="s">
        <v>84</v>
      </c>
      <c r="G880" s="27">
        <v>1</v>
      </c>
      <c r="H880" s="132"/>
      <c r="I880" s="171"/>
      <c r="J880" s="142"/>
      <c r="K880" s="110">
        <v>1</v>
      </c>
      <c r="L880" s="63">
        <v>0</v>
      </c>
      <c r="M880" s="29"/>
      <c r="N880" s="91"/>
      <c r="O880" s="63">
        <f t="shared" ref="O880:O899" si="32">ROUND(ROUND(L880, 2)*K880, 2)</f>
        <v>0</v>
      </c>
      <c r="P880" s="29"/>
      <c r="Q880" s="29"/>
      <c r="R880" s="28">
        <v>0</v>
      </c>
      <c r="S880" s="29"/>
      <c r="T880" s="29"/>
      <c r="U880" s="28">
        <f t="shared" ref="U880:U899" si="33">ROUND(ROUND(R880, 2)*K880, 2)</f>
        <v>0</v>
      </c>
      <c r="V880" s="29"/>
      <c r="W880" s="30"/>
    </row>
    <row r="881" spans="1:23" ht="409.5" x14ac:dyDescent="0.35">
      <c r="A881" s="20" t="s">
        <v>1406</v>
      </c>
      <c r="B881" s="20"/>
      <c r="C881" s="25" t="s">
        <v>1407</v>
      </c>
      <c r="D881" s="22"/>
      <c r="E881" s="22" t="s">
        <v>1408</v>
      </c>
      <c r="F881" s="26" t="s">
        <v>84</v>
      </c>
      <c r="G881" s="27">
        <v>1</v>
      </c>
      <c r="H881" s="132"/>
      <c r="I881" s="171"/>
      <c r="J881" s="142"/>
      <c r="K881" s="110">
        <v>1</v>
      </c>
      <c r="L881" s="63">
        <v>0</v>
      </c>
      <c r="M881" s="29"/>
      <c r="N881" s="91"/>
      <c r="O881" s="63">
        <f t="shared" si="32"/>
        <v>0</v>
      </c>
      <c r="P881" s="29"/>
      <c r="Q881" s="29"/>
      <c r="R881" s="28">
        <v>0</v>
      </c>
      <c r="S881" s="29"/>
      <c r="T881" s="29"/>
      <c r="U881" s="28">
        <f t="shared" si="33"/>
        <v>0</v>
      </c>
      <c r="V881" s="29"/>
      <c r="W881" s="30"/>
    </row>
    <row r="882" spans="1:23" ht="396" x14ac:dyDescent="0.35">
      <c r="A882" s="20" t="s">
        <v>1409</v>
      </c>
      <c r="B882" s="20"/>
      <c r="C882" s="25" t="s">
        <v>1410</v>
      </c>
      <c r="D882" s="22"/>
      <c r="E882" s="22" t="s">
        <v>1411</v>
      </c>
      <c r="F882" s="26" t="s">
        <v>84</v>
      </c>
      <c r="G882" s="27">
        <v>1</v>
      </c>
      <c r="H882" s="132"/>
      <c r="I882" s="171"/>
      <c r="J882" s="142"/>
      <c r="K882" s="110">
        <v>10</v>
      </c>
      <c r="L882" s="63">
        <v>0</v>
      </c>
      <c r="M882" s="29"/>
      <c r="N882" s="91"/>
      <c r="O882" s="63">
        <f t="shared" si="32"/>
        <v>0</v>
      </c>
      <c r="P882" s="29"/>
      <c r="Q882" s="29"/>
      <c r="R882" s="28">
        <v>0</v>
      </c>
      <c r="S882" s="29"/>
      <c r="T882" s="29"/>
      <c r="U882" s="28">
        <f t="shared" si="33"/>
        <v>0</v>
      </c>
      <c r="V882" s="29"/>
      <c r="W882" s="30"/>
    </row>
    <row r="883" spans="1:23" ht="396" x14ac:dyDescent="0.35">
      <c r="A883" s="20" t="s">
        <v>1412</v>
      </c>
      <c r="B883" s="20"/>
      <c r="C883" s="25" t="s">
        <v>1413</v>
      </c>
      <c r="D883" s="22"/>
      <c r="E883" s="22" t="s">
        <v>1414</v>
      </c>
      <c r="F883" s="26" t="s">
        <v>84</v>
      </c>
      <c r="G883" s="27">
        <v>1</v>
      </c>
      <c r="H883" s="132"/>
      <c r="I883" s="171"/>
      <c r="J883" s="142"/>
      <c r="K883" s="110">
        <v>4</v>
      </c>
      <c r="L883" s="63">
        <v>0</v>
      </c>
      <c r="M883" s="29"/>
      <c r="N883" s="91"/>
      <c r="O883" s="63">
        <f t="shared" si="32"/>
        <v>0</v>
      </c>
      <c r="P883" s="29"/>
      <c r="Q883" s="29"/>
      <c r="R883" s="28">
        <v>0</v>
      </c>
      <c r="S883" s="29"/>
      <c r="T883" s="29"/>
      <c r="U883" s="28">
        <f t="shared" si="33"/>
        <v>0</v>
      </c>
      <c r="V883" s="29"/>
      <c r="W883" s="30"/>
    </row>
    <row r="884" spans="1:23" ht="409.5" x14ac:dyDescent="0.35">
      <c r="A884" s="20" t="s">
        <v>1415</v>
      </c>
      <c r="B884" s="20"/>
      <c r="C884" s="25" t="s">
        <v>1416</v>
      </c>
      <c r="D884" s="22"/>
      <c r="E884" s="22" t="s">
        <v>1417</v>
      </c>
      <c r="F884" s="26" t="s">
        <v>84</v>
      </c>
      <c r="G884" s="27">
        <v>1</v>
      </c>
      <c r="H884" s="132"/>
      <c r="I884" s="171"/>
      <c r="J884" s="142"/>
      <c r="K884" s="110">
        <v>1</v>
      </c>
      <c r="L884" s="63">
        <v>0</v>
      </c>
      <c r="M884" s="29"/>
      <c r="N884" s="91"/>
      <c r="O884" s="63">
        <f t="shared" si="32"/>
        <v>0</v>
      </c>
      <c r="P884" s="29"/>
      <c r="Q884" s="29"/>
      <c r="R884" s="28">
        <v>0</v>
      </c>
      <c r="S884" s="29"/>
      <c r="T884" s="29"/>
      <c r="U884" s="28">
        <f t="shared" si="33"/>
        <v>0</v>
      </c>
      <c r="V884" s="29"/>
      <c r="W884" s="30"/>
    </row>
    <row r="885" spans="1:23" ht="409.5" x14ac:dyDescent="0.35">
      <c r="A885" s="20" t="s">
        <v>1418</v>
      </c>
      <c r="B885" s="20"/>
      <c r="C885" s="25" t="s">
        <v>1419</v>
      </c>
      <c r="D885" s="22"/>
      <c r="E885" s="22" t="s">
        <v>1420</v>
      </c>
      <c r="F885" s="26" t="s">
        <v>84</v>
      </c>
      <c r="G885" s="27">
        <v>1</v>
      </c>
      <c r="H885" s="132"/>
      <c r="I885" s="171"/>
      <c r="J885" s="142"/>
      <c r="K885" s="110">
        <v>1</v>
      </c>
      <c r="L885" s="63">
        <v>0</v>
      </c>
      <c r="M885" s="29"/>
      <c r="N885" s="91"/>
      <c r="O885" s="63">
        <f t="shared" si="32"/>
        <v>0</v>
      </c>
      <c r="P885" s="29"/>
      <c r="Q885" s="29"/>
      <c r="R885" s="28">
        <v>0</v>
      </c>
      <c r="S885" s="29"/>
      <c r="T885" s="29"/>
      <c r="U885" s="28">
        <f t="shared" si="33"/>
        <v>0</v>
      </c>
      <c r="V885" s="29"/>
      <c r="W885" s="30"/>
    </row>
    <row r="886" spans="1:23" ht="409.5" x14ac:dyDescent="0.35">
      <c r="A886" s="20" t="s">
        <v>1421</v>
      </c>
      <c r="B886" s="20"/>
      <c r="C886" s="25" t="s">
        <v>1422</v>
      </c>
      <c r="D886" s="22"/>
      <c r="E886" s="22" t="s">
        <v>1423</v>
      </c>
      <c r="F886" s="26" t="s">
        <v>84</v>
      </c>
      <c r="G886" s="27">
        <v>1</v>
      </c>
      <c r="H886" s="132"/>
      <c r="I886" s="171"/>
      <c r="J886" s="142"/>
      <c r="K886" s="110">
        <v>6</v>
      </c>
      <c r="L886" s="63">
        <v>0</v>
      </c>
      <c r="M886" s="29"/>
      <c r="N886" s="91"/>
      <c r="O886" s="63">
        <f t="shared" si="32"/>
        <v>0</v>
      </c>
      <c r="P886" s="29"/>
      <c r="Q886" s="29"/>
      <c r="R886" s="28">
        <v>0</v>
      </c>
      <c r="S886" s="29"/>
      <c r="T886" s="29"/>
      <c r="U886" s="28">
        <f t="shared" si="33"/>
        <v>0</v>
      </c>
      <c r="V886" s="29"/>
      <c r="W886" s="30"/>
    </row>
    <row r="887" spans="1:23" ht="409.5" x14ac:dyDescent="0.35">
      <c r="A887" s="20" t="s">
        <v>1424</v>
      </c>
      <c r="B887" s="20"/>
      <c r="C887" s="25" t="s">
        <v>1425</v>
      </c>
      <c r="D887" s="22"/>
      <c r="E887" s="22" t="s">
        <v>1426</v>
      </c>
      <c r="F887" s="26" t="s">
        <v>84</v>
      </c>
      <c r="G887" s="27">
        <v>1</v>
      </c>
      <c r="H887" s="132"/>
      <c r="I887" s="171"/>
      <c r="J887" s="142"/>
      <c r="K887" s="110">
        <v>3</v>
      </c>
      <c r="L887" s="63">
        <v>0</v>
      </c>
      <c r="M887" s="29"/>
      <c r="N887" s="91"/>
      <c r="O887" s="63">
        <f t="shared" si="32"/>
        <v>0</v>
      </c>
      <c r="P887" s="29"/>
      <c r="Q887" s="29"/>
      <c r="R887" s="28">
        <v>0</v>
      </c>
      <c r="S887" s="29"/>
      <c r="T887" s="29"/>
      <c r="U887" s="28">
        <f t="shared" si="33"/>
        <v>0</v>
      </c>
      <c r="V887" s="29"/>
      <c r="W887" s="30"/>
    </row>
    <row r="888" spans="1:23" ht="396" x14ac:dyDescent="0.35">
      <c r="A888" s="20" t="s">
        <v>1427</v>
      </c>
      <c r="B888" s="20"/>
      <c r="C888" s="25" t="s">
        <v>1428</v>
      </c>
      <c r="D888" s="22"/>
      <c r="E888" s="22" t="s">
        <v>1429</v>
      </c>
      <c r="F888" s="26" t="s">
        <v>84</v>
      </c>
      <c r="G888" s="27">
        <v>1</v>
      </c>
      <c r="H888" s="132"/>
      <c r="I888" s="171"/>
      <c r="J888" s="142"/>
      <c r="K888" s="110">
        <v>10</v>
      </c>
      <c r="L888" s="63">
        <v>0</v>
      </c>
      <c r="M888" s="29"/>
      <c r="N888" s="91"/>
      <c r="O888" s="63">
        <f t="shared" si="32"/>
        <v>0</v>
      </c>
      <c r="P888" s="29"/>
      <c r="Q888" s="29"/>
      <c r="R888" s="28">
        <v>0</v>
      </c>
      <c r="S888" s="29"/>
      <c r="T888" s="29"/>
      <c r="U888" s="28">
        <f t="shared" si="33"/>
        <v>0</v>
      </c>
      <c r="V888" s="29"/>
      <c r="W888" s="30"/>
    </row>
    <row r="889" spans="1:23" ht="409.5" x14ac:dyDescent="0.35">
      <c r="A889" s="20" t="s">
        <v>1430</v>
      </c>
      <c r="B889" s="20"/>
      <c r="C889" s="25" t="s">
        <v>1431</v>
      </c>
      <c r="D889" s="22"/>
      <c r="E889" s="22" t="s">
        <v>1432</v>
      </c>
      <c r="F889" s="26" t="s">
        <v>84</v>
      </c>
      <c r="G889" s="27">
        <v>1</v>
      </c>
      <c r="H889" s="132"/>
      <c r="I889" s="171"/>
      <c r="J889" s="142"/>
      <c r="K889" s="110">
        <v>5</v>
      </c>
      <c r="L889" s="63">
        <v>0</v>
      </c>
      <c r="M889" s="29"/>
      <c r="N889" s="91"/>
      <c r="O889" s="63">
        <f t="shared" si="32"/>
        <v>0</v>
      </c>
      <c r="P889" s="29"/>
      <c r="Q889" s="29"/>
      <c r="R889" s="28">
        <v>0</v>
      </c>
      <c r="S889" s="29"/>
      <c r="T889" s="29"/>
      <c r="U889" s="28">
        <f t="shared" si="33"/>
        <v>0</v>
      </c>
      <c r="V889" s="29"/>
      <c r="W889" s="30"/>
    </row>
    <row r="890" spans="1:23" ht="409.5" x14ac:dyDescent="0.35">
      <c r="A890" s="20" t="s">
        <v>1433</v>
      </c>
      <c r="B890" s="20"/>
      <c r="C890" s="25" t="s">
        <v>1434</v>
      </c>
      <c r="D890" s="22"/>
      <c r="E890" s="22" t="s">
        <v>1435</v>
      </c>
      <c r="F890" s="26" t="s">
        <v>84</v>
      </c>
      <c r="G890" s="27">
        <v>1</v>
      </c>
      <c r="H890" s="132"/>
      <c r="I890" s="171"/>
      <c r="J890" s="142"/>
      <c r="K890" s="110">
        <v>1</v>
      </c>
      <c r="L890" s="63">
        <v>0</v>
      </c>
      <c r="M890" s="29"/>
      <c r="N890" s="91"/>
      <c r="O890" s="63">
        <f t="shared" si="32"/>
        <v>0</v>
      </c>
      <c r="P890" s="29"/>
      <c r="Q890" s="29"/>
      <c r="R890" s="28">
        <v>0</v>
      </c>
      <c r="S890" s="29"/>
      <c r="T890" s="29"/>
      <c r="U890" s="28">
        <f t="shared" si="33"/>
        <v>0</v>
      </c>
      <c r="V890" s="29"/>
      <c r="W890" s="30"/>
    </row>
    <row r="891" spans="1:23" ht="409.5" x14ac:dyDescent="0.35">
      <c r="A891" s="20" t="s">
        <v>1436</v>
      </c>
      <c r="B891" s="20"/>
      <c r="C891" s="25" t="s">
        <v>1437</v>
      </c>
      <c r="D891" s="22"/>
      <c r="E891" s="22" t="s">
        <v>1438</v>
      </c>
      <c r="F891" s="26" t="s">
        <v>84</v>
      </c>
      <c r="G891" s="27">
        <v>1</v>
      </c>
      <c r="H891" s="132"/>
      <c r="I891" s="171"/>
      <c r="J891" s="142"/>
      <c r="K891" s="110">
        <v>1</v>
      </c>
      <c r="L891" s="63">
        <v>0</v>
      </c>
      <c r="M891" s="29"/>
      <c r="N891" s="91"/>
      <c r="O891" s="63">
        <f t="shared" si="32"/>
        <v>0</v>
      </c>
      <c r="P891" s="29"/>
      <c r="Q891" s="29"/>
      <c r="R891" s="28">
        <v>0</v>
      </c>
      <c r="S891" s="29"/>
      <c r="T891" s="29"/>
      <c r="U891" s="28">
        <f t="shared" si="33"/>
        <v>0</v>
      </c>
      <c r="V891" s="29"/>
      <c r="W891" s="30"/>
    </row>
    <row r="892" spans="1:23" ht="396" x14ac:dyDescent="0.35">
      <c r="A892" s="20" t="s">
        <v>1439</v>
      </c>
      <c r="B892" s="20"/>
      <c r="C892" s="25" t="s">
        <v>1440</v>
      </c>
      <c r="D892" s="22"/>
      <c r="E892" s="22" t="s">
        <v>1441</v>
      </c>
      <c r="F892" s="26" t="s">
        <v>84</v>
      </c>
      <c r="G892" s="27">
        <v>1</v>
      </c>
      <c r="H892" s="132"/>
      <c r="I892" s="171"/>
      <c r="J892" s="142"/>
      <c r="K892" s="110">
        <v>4</v>
      </c>
      <c r="L892" s="63">
        <v>0</v>
      </c>
      <c r="M892" s="29"/>
      <c r="N892" s="91"/>
      <c r="O892" s="63">
        <f t="shared" si="32"/>
        <v>0</v>
      </c>
      <c r="P892" s="29"/>
      <c r="Q892" s="29"/>
      <c r="R892" s="28">
        <v>0</v>
      </c>
      <c r="S892" s="29"/>
      <c r="T892" s="29"/>
      <c r="U892" s="28">
        <f t="shared" si="33"/>
        <v>0</v>
      </c>
      <c r="V892" s="29"/>
      <c r="W892" s="30"/>
    </row>
    <row r="893" spans="1:23" ht="396" x14ac:dyDescent="0.35">
      <c r="A893" s="20" t="s">
        <v>1442</v>
      </c>
      <c r="B893" s="20"/>
      <c r="C893" s="25" t="s">
        <v>1443</v>
      </c>
      <c r="D893" s="22"/>
      <c r="E893" s="22" t="s">
        <v>1444</v>
      </c>
      <c r="F893" s="26" t="s">
        <v>84</v>
      </c>
      <c r="G893" s="27">
        <v>1</v>
      </c>
      <c r="H893" s="132"/>
      <c r="I893" s="171"/>
      <c r="J893" s="142"/>
      <c r="K893" s="110">
        <v>4</v>
      </c>
      <c r="L893" s="63">
        <v>0</v>
      </c>
      <c r="M893" s="29"/>
      <c r="N893" s="91"/>
      <c r="O893" s="63">
        <f t="shared" si="32"/>
        <v>0</v>
      </c>
      <c r="P893" s="29"/>
      <c r="Q893" s="29"/>
      <c r="R893" s="28">
        <v>0</v>
      </c>
      <c r="S893" s="29"/>
      <c r="T893" s="29"/>
      <c r="U893" s="28">
        <f t="shared" si="33"/>
        <v>0</v>
      </c>
      <c r="V893" s="29"/>
      <c r="W893" s="30"/>
    </row>
    <row r="894" spans="1:23" ht="409.5" x14ac:dyDescent="0.35">
      <c r="A894" s="20" t="s">
        <v>1445</v>
      </c>
      <c r="B894" s="20"/>
      <c r="C894" s="25" t="s">
        <v>1446</v>
      </c>
      <c r="D894" s="22"/>
      <c r="E894" s="22" t="s">
        <v>1447</v>
      </c>
      <c r="F894" s="26" t="s">
        <v>84</v>
      </c>
      <c r="G894" s="27">
        <v>1</v>
      </c>
      <c r="H894" s="132"/>
      <c r="I894" s="171"/>
      <c r="J894" s="142"/>
      <c r="K894" s="110">
        <v>3</v>
      </c>
      <c r="L894" s="63">
        <v>0</v>
      </c>
      <c r="M894" s="29"/>
      <c r="N894" s="91"/>
      <c r="O894" s="63">
        <f t="shared" si="32"/>
        <v>0</v>
      </c>
      <c r="P894" s="29"/>
      <c r="Q894" s="29"/>
      <c r="R894" s="28">
        <v>0</v>
      </c>
      <c r="S894" s="29"/>
      <c r="T894" s="29"/>
      <c r="U894" s="28">
        <f t="shared" si="33"/>
        <v>0</v>
      </c>
      <c r="V894" s="29"/>
      <c r="W894" s="30"/>
    </row>
    <row r="895" spans="1:23" ht="409.5" x14ac:dyDescent="0.35">
      <c r="A895" s="20" t="s">
        <v>1448</v>
      </c>
      <c r="B895" s="20"/>
      <c r="C895" s="25" t="s">
        <v>1449</v>
      </c>
      <c r="D895" s="22"/>
      <c r="E895" s="22" t="s">
        <v>1450</v>
      </c>
      <c r="F895" s="26" t="s">
        <v>84</v>
      </c>
      <c r="G895" s="27">
        <v>1</v>
      </c>
      <c r="H895" s="132"/>
      <c r="I895" s="171"/>
      <c r="J895" s="142"/>
      <c r="K895" s="110">
        <v>1</v>
      </c>
      <c r="L895" s="63">
        <v>0</v>
      </c>
      <c r="M895" s="29"/>
      <c r="N895" s="91"/>
      <c r="O895" s="63">
        <f t="shared" si="32"/>
        <v>0</v>
      </c>
      <c r="P895" s="29"/>
      <c r="Q895" s="29"/>
      <c r="R895" s="28">
        <v>0</v>
      </c>
      <c r="S895" s="29"/>
      <c r="T895" s="29"/>
      <c r="U895" s="28">
        <f t="shared" si="33"/>
        <v>0</v>
      </c>
      <c r="V895" s="29"/>
      <c r="W895" s="30"/>
    </row>
    <row r="896" spans="1:23" ht="409.5" x14ac:dyDescent="0.35">
      <c r="A896" s="20" t="s">
        <v>1451</v>
      </c>
      <c r="B896" s="20"/>
      <c r="C896" s="25" t="s">
        <v>1452</v>
      </c>
      <c r="D896" s="22"/>
      <c r="E896" s="22" t="s">
        <v>1453</v>
      </c>
      <c r="F896" s="26" t="s">
        <v>84</v>
      </c>
      <c r="G896" s="27">
        <v>1</v>
      </c>
      <c r="H896" s="132"/>
      <c r="I896" s="171"/>
      <c r="J896" s="142"/>
      <c r="K896" s="110">
        <v>1</v>
      </c>
      <c r="L896" s="63">
        <v>0</v>
      </c>
      <c r="M896" s="29"/>
      <c r="N896" s="91"/>
      <c r="O896" s="63">
        <f t="shared" si="32"/>
        <v>0</v>
      </c>
      <c r="P896" s="29"/>
      <c r="Q896" s="29"/>
      <c r="R896" s="28">
        <v>0</v>
      </c>
      <c r="S896" s="29"/>
      <c r="T896" s="29"/>
      <c r="U896" s="28">
        <f t="shared" si="33"/>
        <v>0</v>
      </c>
      <c r="V896" s="29"/>
      <c r="W896" s="30"/>
    </row>
    <row r="897" spans="1:23" ht="396" x14ac:dyDescent="0.35">
      <c r="A897" s="20" t="s">
        <v>1454</v>
      </c>
      <c r="B897" s="20"/>
      <c r="C897" s="25" t="s">
        <v>1455</v>
      </c>
      <c r="D897" s="22"/>
      <c r="E897" s="22" t="s">
        <v>1456</v>
      </c>
      <c r="F897" s="26" t="s">
        <v>84</v>
      </c>
      <c r="G897" s="27">
        <v>1</v>
      </c>
      <c r="H897" s="132"/>
      <c r="I897" s="171"/>
      <c r="J897" s="142"/>
      <c r="K897" s="110">
        <v>4</v>
      </c>
      <c r="L897" s="63">
        <v>0</v>
      </c>
      <c r="M897" s="29"/>
      <c r="N897" s="91"/>
      <c r="O897" s="63">
        <f t="shared" si="32"/>
        <v>0</v>
      </c>
      <c r="P897" s="29"/>
      <c r="Q897" s="29"/>
      <c r="R897" s="28">
        <v>0</v>
      </c>
      <c r="S897" s="29"/>
      <c r="T897" s="29"/>
      <c r="U897" s="28">
        <f t="shared" si="33"/>
        <v>0</v>
      </c>
      <c r="V897" s="29"/>
      <c r="W897" s="30"/>
    </row>
    <row r="898" spans="1:23" ht="409.5" x14ac:dyDescent="0.35">
      <c r="A898" s="20" t="s">
        <v>1457</v>
      </c>
      <c r="B898" s="20"/>
      <c r="C898" s="25" t="s">
        <v>1458</v>
      </c>
      <c r="D898" s="22"/>
      <c r="E898" s="22" t="s">
        <v>1459</v>
      </c>
      <c r="F898" s="26" t="s">
        <v>84</v>
      </c>
      <c r="G898" s="27">
        <v>1</v>
      </c>
      <c r="H898" s="132"/>
      <c r="I898" s="171"/>
      <c r="J898" s="142"/>
      <c r="K898" s="110">
        <v>1</v>
      </c>
      <c r="L898" s="63">
        <v>0</v>
      </c>
      <c r="M898" s="29"/>
      <c r="N898" s="91"/>
      <c r="O898" s="63">
        <f t="shared" si="32"/>
        <v>0</v>
      </c>
      <c r="P898" s="29"/>
      <c r="Q898" s="29"/>
      <c r="R898" s="28">
        <v>0</v>
      </c>
      <c r="S898" s="29"/>
      <c r="T898" s="29"/>
      <c r="U898" s="28">
        <f t="shared" si="33"/>
        <v>0</v>
      </c>
      <c r="V898" s="29"/>
      <c r="W898" s="30"/>
    </row>
    <row r="899" spans="1:23" ht="409.5" x14ac:dyDescent="0.35">
      <c r="A899" s="20" t="s">
        <v>1460</v>
      </c>
      <c r="B899" s="20"/>
      <c r="C899" s="25" t="s">
        <v>1461</v>
      </c>
      <c r="D899" s="22"/>
      <c r="E899" s="22" t="s">
        <v>1462</v>
      </c>
      <c r="F899" s="26" t="s">
        <v>84</v>
      </c>
      <c r="G899" s="27">
        <v>1</v>
      </c>
      <c r="H899" s="132"/>
      <c r="I899" s="171"/>
      <c r="J899" s="142"/>
      <c r="K899" s="110">
        <v>4</v>
      </c>
      <c r="L899" s="63">
        <v>0</v>
      </c>
      <c r="M899" s="29"/>
      <c r="N899" s="91"/>
      <c r="O899" s="63">
        <f t="shared" si="32"/>
        <v>0</v>
      </c>
      <c r="P899" s="29"/>
      <c r="Q899" s="29"/>
      <c r="R899" s="28">
        <v>0</v>
      </c>
      <c r="S899" s="29"/>
      <c r="T899" s="29"/>
      <c r="U899" s="28">
        <f t="shared" si="33"/>
        <v>0</v>
      </c>
      <c r="V899" s="29"/>
      <c r="W899" s="30"/>
    </row>
    <row r="900" spans="1:23" ht="54" x14ac:dyDescent="0.35">
      <c r="A900" s="20" t="s">
        <v>1463</v>
      </c>
      <c r="B900" s="20" t="s">
        <v>1400</v>
      </c>
      <c r="C900" s="21" t="s">
        <v>1401</v>
      </c>
      <c r="D900" s="22"/>
      <c r="E900" s="22" t="s">
        <v>1402</v>
      </c>
      <c r="F900" s="22" t="s">
        <v>84</v>
      </c>
      <c r="G900" s="23">
        <v>1</v>
      </c>
      <c r="H900" s="131"/>
      <c r="I900" s="171"/>
      <c r="J900" s="142"/>
      <c r="K900" s="98">
        <v>55</v>
      </c>
      <c r="L900" s="62">
        <f>IFERROR(ROUND(SUM(O901,O902,O903,O904,O905,O906,O907,O908,O909,O910,O911,O912,O913,O914,O915,O916,O917)/K900, 2),0)</f>
        <v>0</v>
      </c>
      <c r="M900" s="80">
        <v>3271</v>
      </c>
      <c r="N900" s="90">
        <f>L900+ROUND(M900, 2)</f>
        <v>3271</v>
      </c>
      <c r="O900" s="62">
        <f>ROUND(L900*K900, 2)</f>
        <v>0</v>
      </c>
      <c r="P900" s="24">
        <f>ROUND(K900*ROUND(M900, 2), 2)</f>
        <v>179905</v>
      </c>
      <c r="Q900" s="24">
        <f>O900+P900</f>
        <v>179905</v>
      </c>
      <c r="R900" s="24">
        <f>IFERROR(ROUND(SUM(U901,U902,U903,U904,U905,U906,U907,U908,U909,U910,U911,U912,U913,U914,U915,U916,U917)/K900, 2),0)</f>
        <v>0</v>
      </c>
      <c r="S900" s="24">
        <v>3271</v>
      </c>
      <c r="T900" s="24">
        <f>R900+ROUND(S900, 2)</f>
        <v>3271</v>
      </c>
      <c r="U900" s="24">
        <f>ROUND(R900*K900, 2)</f>
        <v>0</v>
      </c>
      <c r="V900" s="24">
        <f>ROUND(K900*ROUND(S900, 2), 2)</f>
        <v>179905</v>
      </c>
      <c r="W900" s="24">
        <f>U900+V900</f>
        <v>179905</v>
      </c>
    </row>
    <row r="901" spans="1:23" ht="409.5" x14ac:dyDescent="0.35">
      <c r="A901" s="20" t="s">
        <v>1464</v>
      </c>
      <c r="B901" s="20"/>
      <c r="C901" s="25" t="s">
        <v>1404</v>
      </c>
      <c r="D901" s="22"/>
      <c r="E901" s="22" t="s">
        <v>1465</v>
      </c>
      <c r="F901" s="26" t="s">
        <v>84</v>
      </c>
      <c r="G901" s="27">
        <v>1</v>
      </c>
      <c r="H901" s="132"/>
      <c r="I901" s="171"/>
      <c r="J901" s="142"/>
      <c r="K901" s="110">
        <v>3</v>
      </c>
      <c r="L901" s="63">
        <v>0</v>
      </c>
      <c r="M901" s="29"/>
      <c r="N901" s="91"/>
      <c r="O901" s="63">
        <f t="shared" ref="O901:O917" si="34">ROUND(ROUND(L901, 2)*K901, 2)</f>
        <v>0</v>
      </c>
      <c r="P901" s="29"/>
      <c r="Q901" s="29"/>
      <c r="R901" s="28">
        <v>0</v>
      </c>
      <c r="S901" s="29"/>
      <c r="T901" s="29"/>
      <c r="U901" s="28">
        <f t="shared" ref="U901:U917" si="35">ROUND(ROUND(R901, 2)*K901, 2)</f>
        <v>0</v>
      </c>
      <c r="V901" s="29"/>
      <c r="W901" s="30"/>
    </row>
    <row r="902" spans="1:23" ht="378" x14ac:dyDescent="0.35">
      <c r="A902" s="20" t="s">
        <v>1466</v>
      </c>
      <c r="B902" s="20"/>
      <c r="C902" s="25" t="s">
        <v>1467</v>
      </c>
      <c r="D902" s="22"/>
      <c r="E902" s="22" t="s">
        <v>1468</v>
      </c>
      <c r="F902" s="26" t="s">
        <v>84</v>
      </c>
      <c r="G902" s="27">
        <v>1</v>
      </c>
      <c r="H902" s="132"/>
      <c r="I902" s="171"/>
      <c r="J902" s="142"/>
      <c r="K902" s="110">
        <v>1</v>
      </c>
      <c r="L902" s="63">
        <v>0</v>
      </c>
      <c r="M902" s="29"/>
      <c r="N902" s="91"/>
      <c r="O902" s="63">
        <f t="shared" si="34"/>
        <v>0</v>
      </c>
      <c r="P902" s="29"/>
      <c r="Q902" s="29"/>
      <c r="R902" s="28">
        <v>0</v>
      </c>
      <c r="S902" s="29"/>
      <c r="T902" s="29"/>
      <c r="U902" s="28">
        <f t="shared" si="35"/>
        <v>0</v>
      </c>
      <c r="V902" s="29"/>
      <c r="W902" s="30"/>
    </row>
    <row r="903" spans="1:23" ht="360" x14ac:dyDescent="0.35">
      <c r="A903" s="20" t="s">
        <v>1469</v>
      </c>
      <c r="B903" s="20"/>
      <c r="C903" s="25" t="s">
        <v>1470</v>
      </c>
      <c r="D903" s="22"/>
      <c r="E903" s="22" t="s">
        <v>1471</v>
      </c>
      <c r="F903" s="26" t="s">
        <v>84</v>
      </c>
      <c r="G903" s="27">
        <v>1</v>
      </c>
      <c r="H903" s="132"/>
      <c r="I903" s="171"/>
      <c r="J903" s="142"/>
      <c r="K903" s="110">
        <v>2</v>
      </c>
      <c r="L903" s="63">
        <v>0</v>
      </c>
      <c r="M903" s="29"/>
      <c r="N903" s="91"/>
      <c r="O903" s="63">
        <f t="shared" si="34"/>
        <v>0</v>
      </c>
      <c r="P903" s="29"/>
      <c r="Q903" s="29"/>
      <c r="R903" s="28">
        <v>0</v>
      </c>
      <c r="S903" s="29"/>
      <c r="T903" s="29"/>
      <c r="U903" s="28">
        <f t="shared" si="35"/>
        <v>0</v>
      </c>
      <c r="V903" s="29"/>
      <c r="W903" s="30"/>
    </row>
    <row r="904" spans="1:23" ht="324" x14ac:dyDescent="0.35">
      <c r="A904" s="20" t="s">
        <v>1472</v>
      </c>
      <c r="B904" s="20"/>
      <c r="C904" s="25" t="s">
        <v>1410</v>
      </c>
      <c r="D904" s="22"/>
      <c r="E904" s="22" t="s">
        <v>1473</v>
      </c>
      <c r="F904" s="26" t="s">
        <v>84</v>
      </c>
      <c r="G904" s="27">
        <v>1</v>
      </c>
      <c r="H904" s="132"/>
      <c r="I904" s="171"/>
      <c r="J904" s="142"/>
      <c r="K904" s="110">
        <v>2</v>
      </c>
      <c r="L904" s="63">
        <v>0</v>
      </c>
      <c r="M904" s="29"/>
      <c r="N904" s="91"/>
      <c r="O904" s="63">
        <f t="shared" si="34"/>
        <v>0</v>
      </c>
      <c r="P904" s="29"/>
      <c r="Q904" s="29"/>
      <c r="R904" s="28">
        <v>0</v>
      </c>
      <c r="S904" s="29"/>
      <c r="T904" s="29"/>
      <c r="U904" s="28">
        <f t="shared" si="35"/>
        <v>0</v>
      </c>
      <c r="V904" s="29"/>
      <c r="W904" s="30"/>
    </row>
    <row r="905" spans="1:23" ht="342" x14ac:dyDescent="0.35">
      <c r="A905" s="20" t="s">
        <v>1474</v>
      </c>
      <c r="B905" s="20"/>
      <c r="C905" s="25" t="s">
        <v>1475</v>
      </c>
      <c r="D905" s="22"/>
      <c r="E905" s="22" t="s">
        <v>1476</v>
      </c>
      <c r="F905" s="26" t="s">
        <v>84</v>
      </c>
      <c r="G905" s="27">
        <v>1</v>
      </c>
      <c r="H905" s="132"/>
      <c r="I905" s="171"/>
      <c r="J905" s="142"/>
      <c r="K905" s="110">
        <v>3</v>
      </c>
      <c r="L905" s="63">
        <v>0</v>
      </c>
      <c r="M905" s="29"/>
      <c r="N905" s="91"/>
      <c r="O905" s="63">
        <f t="shared" si="34"/>
        <v>0</v>
      </c>
      <c r="P905" s="29"/>
      <c r="Q905" s="29"/>
      <c r="R905" s="28">
        <v>0</v>
      </c>
      <c r="S905" s="29"/>
      <c r="T905" s="29"/>
      <c r="U905" s="28">
        <f t="shared" si="35"/>
        <v>0</v>
      </c>
      <c r="V905" s="29"/>
      <c r="W905" s="30"/>
    </row>
    <row r="906" spans="1:23" ht="409.5" x14ac:dyDescent="0.35">
      <c r="A906" s="20" t="s">
        <v>1477</v>
      </c>
      <c r="B906" s="20"/>
      <c r="C906" s="25" t="s">
        <v>1416</v>
      </c>
      <c r="D906" s="22"/>
      <c r="E906" s="22" t="s">
        <v>1478</v>
      </c>
      <c r="F906" s="26" t="s">
        <v>84</v>
      </c>
      <c r="G906" s="27">
        <v>1</v>
      </c>
      <c r="H906" s="132"/>
      <c r="I906" s="171"/>
      <c r="J906" s="142"/>
      <c r="K906" s="110">
        <v>1</v>
      </c>
      <c r="L906" s="63">
        <v>0</v>
      </c>
      <c r="M906" s="29"/>
      <c r="N906" s="91"/>
      <c r="O906" s="63">
        <f t="shared" si="34"/>
        <v>0</v>
      </c>
      <c r="P906" s="29"/>
      <c r="Q906" s="29"/>
      <c r="R906" s="28">
        <v>0</v>
      </c>
      <c r="S906" s="29"/>
      <c r="T906" s="29"/>
      <c r="U906" s="28">
        <f t="shared" si="35"/>
        <v>0</v>
      </c>
      <c r="V906" s="29"/>
      <c r="W906" s="30"/>
    </row>
    <row r="907" spans="1:23" ht="409.5" x14ac:dyDescent="0.35">
      <c r="A907" s="20" t="s">
        <v>1479</v>
      </c>
      <c r="B907" s="20"/>
      <c r="C907" s="25" t="s">
        <v>1425</v>
      </c>
      <c r="D907" s="22"/>
      <c r="E907" s="22" t="s">
        <v>1480</v>
      </c>
      <c r="F907" s="26" t="s">
        <v>84</v>
      </c>
      <c r="G907" s="27">
        <v>1</v>
      </c>
      <c r="H907" s="132"/>
      <c r="I907" s="171"/>
      <c r="J907" s="142"/>
      <c r="K907" s="110">
        <v>2</v>
      </c>
      <c r="L907" s="63">
        <v>0</v>
      </c>
      <c r="M907" s="29"/>
      <c r="N907" s="91"/>
      <c r="O907" s="63">
        <f t="shared" si="34"/>
        <v>0</v>
      </c>
      <c r="P907" s="29"/>
      <c r="Q907" s="29"/>
      <c r="R907" s="28">
        <v>0</v>
      </c>
      <c r="S907" s="29"/>
      <c r="T907" s="29"/>
      <c r="U907" s="28">
        <f t="shared" si="35"/>
        <v>0</v>
      </c>
      <c r="V907" s="29"/>
      <c r="W907" s="30"/>
    </row>
    <row r="908" spans="1:23" ht="342" x14ac:dyDescent="0.35">
      <c r="A908" s="20" t="s">
        <v>1481</v>
      </c>
      <c r="B908" s="20"/>
      <c r="C908" s="25" t="s">
        <v>1482</v>
      </c>
      <c r="D908" s="22"/>
      <c r="E908" s="22" t="s">
        <v>1483</v>
      </c>
      <c r="F908" s="26" t="s">
        <v>84</v>
      </c>
      <c r="G908" s="27">
        <v>1</v>
      </c>
      <c r="H908" s="132"/>
      <c r="I908" s="171"/>
      <c r="J908" s="142"/>
      <c r="K908" s="110">
        <v>2</v>
      </c>
      <c r="L908" s="63">
        <v>0</v>
      </c>
      <c r="M908" s="29"/>
      <c r="N908" s="91"/>
      <c r="O908" s="63">
        <f t="shared" si="34"/>
        <v>0</v>
      </c>
      <c r="P908" s="29"/>
      <c r="Q908" s="29"/>
      <c r="R908" s="28">
        <v>0</v>
      </c>
      <c r="S908" s="29"/>
      <c r="T908" s="29"/>
      <c r="U908" s="28">
        <f t="shared" si="35"/>
        <v>0</v>
      </c>
      <c r="V908" s="29"/>
      <c r="W908" s="30"/>
    </row>
    <row r="909" spans="1:23" ht="378" x14ac:dyDescent="0.35">
      <c r="A909" s="20" t="s">
        <v>1484</v>
      </c>
      <c r="B909" s="20"/>
      <c r="C909" s="25" t="s">
        <v>1434</v>
      </c>
      <c r="D909" s="22"/>
      <c r="E909" s="22" t="s">
        <v>1485</v>
      </c>
      <c r="F909" s="26" t="s">
        <v>84</v>
      </c>
      <c r="G909" s="27">
        <v>1</v>
      </c>
      <c r="H909" s="132"/>
      <c r="I909" s="171"/>
      <c r="J909" s="142"/>
      <c r="K909" s="110">
        <v>5</v>
      </c>
      <c r="L909" s="63">
        <v>0</v>
      </c>
      <c r="M909" s="29"/>
      <c r="N909" s="91"/>
      <c r="O909" s="63">
        <f t="shared" si="34"/>
        <v>0</v>
      </c>
      <c r="P909" s="29"/>
      <c r="Q909" s="29"/>
      <c r="R909" s="28">
        <v>0</v>
      </c>
      <c r="S909" s="29"/>
      <c r="T909" s="29"/>
      <c r="U909" s="28">
        <f t="shared" si="35"/>
        <v>0</v>
      </c>
      <c r="V909" s="29"/>
      <c r="W909" s="30"/>
    </row>
    <row r="910" spans="1:23" ht="342" x14ac:dyDescent="0.35">
      <c r="A910" s="20" t="s">
        <v>1486</v>
      </c>
      <c r="B910" s="20"/>
      <c r="C910" s="25" t="s">
        <v>1437</v>
      </c>
      <c r="D910" s="22"/>
      <c r="E910" s="22" t="s">
        <v>1487</v>
      </c>
      <c r="F910" s="26" t="s">
        <v>84</v>
      </c>
      <c r="G910" s="27">
        <v>1</v>
      </c>
      <c r="H910" s="132"/>
      <c r="I910" s="171"/>
      <c r="J910" s="142"/>
      <c r="K910" s="110">
        <v>5</v>
      </c>
      <c r="L910" s="63">
        <v>0</v>
      </c>
      <c r="M910" s="29"/>
      <c r="N910" s="91"/>
      <c r="O910" s="63">
        <f t="shared" si="34"/>
        <v>0</v>
      </c>
      <c r="P910" s="29"/>
      <c r="Q910" s="29"/>
      <c r="R910" s="28">
        <v>0</v>
      </c>
      <c r="S910" s="29"/>
      <c r="T910" s="29"/>
      <c r="U910" s="28">
        <f t="shared" si="35"/>
        <v>0</v>
      </c>
      <c r="V910" s="29"/>
      <c r="W910" s="30"/>
    </row>
    <row r="911" spans="1:23" ht="360" x14ac:dyDescent="0.35">
      <c r="A911" s="20" t="s">
        <v>1488</v>
      </c>
      <c r="B911" s="20"/>
      <c r="C911" s="25" t="s">
        <v>1489</v>
      </c>
      <c r="D911" s="22"/>
      <c r="E911" s="22" t="s">
        <v>1490</v>
      </c>
      <c r="F911" s="26" t="s">
        <v>84</v>
      </c>
      <c r="G911" s="27">
        <v>1</v>
      </c>
      <c r="H911" s="132"/>
      <c r="I911" s="171"/>
      <c r="J911" s="142"/>
      <c r="K911" s="110">
        <v>15</v>
      </c>
      <c r="L911" s="63">
        <v>0</v>
      </c>
      <c r="M911" s="29"/>
      <c r="N911" s="91"/>
      <c r="O911" s="63">
        <f t="shared" si="34"/>
        <v>0</v>
      </c>
      <c r="P911" s="29"/>
      <c r="Q911" s="29"/>
      <c r="R911" s="28">
        <v>0</v>
      </c>
      <c r="S911" s="29"/>
      <c r="T911" s="29"/>
      <c r="U911" s="28">
        <f t="shared" si="35"/>
        <v>0</v>
      </c>
      <c r="V911" s="29"/>
      <c r="W911" s="30"/>
    </row>
    <row r="912" spans="1:23" ht="396" x14ac:dyDescent="0.35">
      <c r="A912" s="20" t="s">
        <v>1491</v>
      </c>
      <c r="B912" s="20"/>
      <c r="C912" s="25" t="s">
        <v>1440</v>
      </c>
      <c r="D912" s="22"/>
      <c r="E912" s="22" t="s">
        <v>1492</v>
      </c>
      <c r="F912" s="26" t="s">
        <v>84</v>
      </c>
      <c r="G912" s="27">
        <v>1</v>
      </c>
      <c r="H912" s="132"/>
      <c r="I912" s="171"/>
      <c r="J912" s="142"/>
      <c r="K912" s="110">
        <v>1</v>
      </c>
      <c r="L912" s="63">
        <v>0</v>
      </c>
      <c r="M912" s="29"/>
      <c r="N912" s="91"/>
      <c r="O912" s="63">
        <f t="shared" si="34"/>
        <v>0</v>
      </c>
      <c r="P912" s="29"/>
      <c r="Q912" s="29"/>
      <c r="R912" s="28">
        <v>0</v>
      </c>
      <c r="S912" s="29"/>
      <c r="T912" s="29"/>
      <c r="U912" s="28">
        <f t="shared" si="35"/>
        <v>0</v>
      </c>
      <c r="V912" s="29"/>
      <c r="W912" s="30"/>
    </row>
    <row r="913" spans="1:23" ht="342" x14ac:dyDescent="0.35">
      <c r="A913" s="20" t="s">
        <v>1493</v>
      </c>
      <c r="B913" s="20"/>
      <c r="C913" s="25" t="s">
        <v>1449</v>
      </c>
      <c r="D913" s="22"/>
      <c r="E913" s="22" t="s">
        <v>1494</v>
      </c>
      <c r="F913" s="26" t="s">
        <v>84</v>
      </c>
      <c r="G913" s="27">
        <v>1</v>
      </c>
      <c r="H913" s="132"/>
      <c r="I913" s="171"/>
      <c r="J913" s="142"/>
      <c r="K913" s="110">
        <v>2</v>
      </c>
      <c r="L913" s="63">
        <v>0</v>
      </c>
      <c r="M913" s="29"/>
      <c r="N913" s="91"/>
      <c r="O913" s="63">
        <f t="shared" si="34"/>
        <v>0</v>
      </c>
      <c r="P913" s="29"/>
      <c r="Q913" s="29"/>
      <c r="R913" s="28">
        <v>0</v>
      </c>
      <c r="S913" s="29"/>
      <c r="T913" s="29"/>
      <c r="U913" s="28">
        <f t="shared" si="35"/>
        <v>0</v>
      </c>
      <c r="V913" s="29"/>
      <c r="W913" s="30"/>
    </row>
    <row r="914" spans="1:23" ht="360" x14ac:dyDescent="0.35">
      <c r="A914" s="20" t="s">
        <v>1495</v>
      </c>
      <c r="B914" s="20"/>
      <c r="C914" s="25" t="s">
        <v>1452</v>
      </c>
      <c r="D914" s="22"/>
      <c r="E914" s="22" t="s">
        <v>1496</v>
      </c>
      <c r="F914" s="26" t="s">
        <v>84</v>
      </c>
      <c r="G914" s="27">
        <v>1</v>
      </c>
      <c r="H914" s="132"/>
      <c r="I914" s="171"/>
      <c r="J914" s="142"/>
      <c r="K914" s="110">
        <v>4</v>
      </c>
      <c r="L914" s="63">
        <v>0</v>
      </c>
      <c r="M914" s="29"/>
      <c r="N914" s="91"/>
      <c r="O914" s="63">
        <f t="shared" si="34"/>
        <v>0</v>
      </c>
      <c r="P914" s="29"/>
      <c r="Q914" s="29"/>
      <c r="R914" s="28">
        <v>0</v>
      </c>
      <c r="S914" s="29"/>
      <c r="T914" s="29"/>
      <c r="U914" s="28">
        <f t="shared" si="35"/>
        <v>0</v>
      </c>
      <c r="V914" s="29"/>
      <c r="W914" s="30"/>
    </row>
    <row r="915" spans="1:23" ht="396" x14ac:dyDescent="0.35">
      <c r="A915" s="20" t="s">
        <v>1497</v>
      </c>
      <c r="B915" s="20"/>
      <c r="C915" s="25" t="s">
        <v>1498</v>
      </c>
      <c r="D915" s="22"/>
      <c r="E915" s="22" t="s">
        <v>1499</v>
      </c>
      <c r="F915" s="26" t="s">
        <v>84</v>
      </c>
      <c r="G915" s="27">
        <v>1</v>
      </c>
      <c r="H915" s="132"/>
      <c r="I915" s="171"/>
      <c r="J915" s="142"/>
      <c r="K915" s="110">
        <v>4</v>
      </c>
      <c r="L915" s="63">
        <v>0</v>
      </c>
      <c r="M915" s="29"/>
      <c r="N915" s="91"/>
      <c r="O915" s="63">
        <f t="shared" si="34"/>
        <v>0</v>
      </c>
      <c r="P915" s="29"/>
      <c r="Q915" s="29"/>
      <c r="R915" s="28">
        <v>0</v>
      </c>
      <c r="S915" s="29"/>
      <c r="T915" s="29"/>
      <c r="U915" s="28">
        <f t="shared" si="35"/>
        <v>0</v>
      </c>
      <c r="V915" s="29"/>
      <c r="W915" s="30"/>
    </row>
    <row r="916" spans="1:23" ht="324" x14ac:dyDescent="0.35">
      <c r="A916" s="20" t="s">
        <v>1500</v>
      </c>
      <c r="B916" s="20"/>
      <c r="C916" s="25" t="s">
        <v>1455</v>
      </c>
      <c r="D916" s="22"/>
      <c r="E916" s="22" t="s">
        <v>1501</v>
      </c>
      <c r="F916" s="26" t="s">
        <v>84</v>
      </c>
      <c r="G916" s="27">
        <v>1</v>
      </c>
      <c r="H916" s="132"/>
      <c r="I916" s="171"/>
      <c r="J916" s="142"/>
      <c r="K916" s="110">
        <v>1</v>
      </c>
      <c r="L916" s="63">
        <v>0</v>
      </c>
      <c r="M916" s="29"/>
      <c r="N916" s="91"/>
      <c r="O916" s="63">
        <f t="shared" si="34"/>
        <v>0</v>
      </c>
      <c r="P916" s="29"/>
      <c r="Q916" s="29"/>
      <c r="R916" s="28">
        <v>0</v>
      </c>
      <c r="S916" s="29"/>
      <c r="T916" s="29"/>
      <c r="U916" s="28">
        <f t="shared" si="35"/>
        <v>0</v>
      </c>
      <c r="V916" s="29"/>
      <c r="W916" s="30"/>
    </row>
    <row r="917" spans="1:23" ht="324.5" thickBot="1" x14ac:dyDescent="0.4">
      <c r="A917" s="20" t="s">
        <v>1502</v>
      </c>
      <c r="B917" s="20"/>
      <c r="C917" s="25" t="s">
        <v>1503</v>
      </c>
      <c r="D917" s="22"/>
      <c r="E917" s="22" t="s">
        <v>1504</v>
      </c>
      <c r="F917" s="26" t="s">
        <v>84</v>
      </c>
      <c r="G917" s="27">
        <v>1</v>
      </c>
      <c r="H917" s="132"/>
      <c r="I917" s="171"/>
      <c r="J917" s="149"/>
      <c r="K917" s="95">
        <v>2</v>
      </c>
      <c r="L917" s="63">
        <v>0</v>
      </c>
      <c r="M917" s="29"/>
      <c r="N917" s="91"/>
      <c r="O917" s="63">
        <f t="shared" si="34"/>
        <v>0</v>
      </c>
      <c r="P917" s="29"/>
      <c r="Q917" s="29"/>
      <c r="R917" s="28">
        <v>0</v>
      </c>
      <c r="S917" s="29"/>
      <c r="T917" s="29"/>
      <c r="U917" s="28">
        <f t="shared" si="35"/>
        <v>0</v>
      </c>
      <c r="V917" s="29"/>
      <c r="W917" s="30"/>
    </row>
    <row r="918" spans="1:23" ht="17" customHeight="1" x14ac:dyDescent="0.35">
      <c r="A918" s="20" t="s">
        <v>1505</v>
      </c>
      <c r="B918" s="20" t="s">
        <v>1506</v>
      </c>
      <c r="C918" s="114" t="s">
        <v>1507</v>
      </c>
      <c r="D918" s="115"/>
      <c r="E918" s="115"/>
      <c r="F918" s="115"/>
      <c r="G918" s="115"/>
      <c r="H918" s="115"/>
      <c r="I918" s="168"/>
      <c r="J918" s="161"/>
      <c r="K918" s="119"/>
      <c r="L918" s="29"/>
      <c r="M918" s="29"/>
      <c r="N918" s="91"/>
      <c r="O918" s="85">
        <f t="shared" ref="O918:Q920" si="36">SUM(O919)</f>
        <v>0</v>
      </c>
      <c r="P918" s="56">
        <f t="shared" si="36"/>
        <v>1057732.71</v>
      </c>
      <c r="Q918" s="56">
        <f t="shared" si="36"/>
        <v>1057732.71</v>
      </c>
      <c r="R918" s="29"/>
      <c r="S918" s="29"/>
      <c r="T918" s="29"/>
      <c r="U918" s="56">
        <f t="shared" ref="U918:W920" si="37">SUM(U919)</f>
        <v>0</v>
      </c>
      <c r="V918" s="56">
        <f t="shared" si="37"/>
        <v>1057732.71</v>
      </c>
      <c r="W918" s="56">
        <f t="shared" si="37"/>
        <v>1057732.71</v>
      </c>
    </row>
    <row r="919" spans="1:23" ht="17" customHeight="1" x14ac:dyDescent="0.35">
      <c r="A919" s="20" t="s">
        <v>1508</v>
      </c>
      <c r="B919" s="20" t="s">
        <v>1509</v>
      </c>
      <c r="C919" s="114" t="s">
        <v>1510</v>
      </c>
      <c r="D919" s="115"/>
      <c r="E919" s="115"/>
      <c r="F919" s="115"/>
      <c r="G919" s="115"/>
      <c r="H919" s="115"/>
      <c r="I919" s="168"/>
      <c r="J919" s="162"/>
      <c r="K919" s="120"/>
      <c r="L919" s="29"/>
      <c r="M919" s="29"/>
      <c r="N919" s="91"/>
      <c r="O919" s="85">
        <f t="shared" si="36"/>
        <v>0</v>
      </c>
      <c r="P919" s="56">
        <f t="shared" si="36"/>
        <v>1057732.71</v>
      </c>
      <c r="Q919" s="56">
        <f t="shared" si="36"/>
        <v>1057732.71</v>
      </c>
      <c r="R919" s="29"/>
      <c r="S919" s="29"/>
      <c r="T919" s="29"/>
      <c r="U919" s="56">
        <f t="shared" si="37"/>
        <v>0</v>
      </c>
      <c r="V919" s="56">
        <f t="shared" si="37"/>
        <v>1057732.71</v>
      </c>
      <c r="W919" s="56">
        <f t="shared" si="37"/>
        <v>1057732.71</v>
      </c>
    </row>
    <row r="920" spans="1:23" ht="17" customHeight="1" thickBot="1" x14ac:dyDescent="0.4">
      <c r="A920" s="20" t="s">
        <v>1511</v>
      </c>
      <c r="B920" s="20" t="s">
        <v>1512</v>
      </c>
      <c r="C920" s="114" t="s">
        <v>1513</v>
      </c>
      <c r="D920" s="115"/>
      <c r="E920" s="115"/>
      <c r="F920" s="115"/>
      <c r="G920" s="115"/>
      <c r="H920" s="115"/>
      <c r="I920" s="168"/>
      <c r="J920" s="163"/>
      <c r="K920" s="117"/>
      <c r="L920" s="29"/>
      <c r="M920" s="29"/>
      <c r="N920" s="91"/>
      <c r="O920" s="85">
        <f t="shared" si="36"/>
        <v>0</v>
      </c>
      <c r="P920" s="56">
        <f t="shared" si="36"/>
        <v>1057732.71</v>
      </c>
      <c r="Q920" s="56">
        <f t="shared" si="36"/>
        <v>1057732.71</v>
      </c>
      <c r="R920" s="29"/>
      <c r="S920" s="29"/>
      <c r="T920" s="29"/>
      <c r="U920" s="56">
        <f t="shared" si="37"/>
        <v>0</v>
      </c>
      <c r="V920" s="56">
        <f t="shared" si="37"/>
        <v>1057732.71</v>
      </c>
      <c r="W920" s="56">
        <f t="shared" si="37"/>
        <v>1057732.71</v>
      </c>
    </row>
    <row r="921" spans="1:23" ht="90.5" thickBot="1" x14ac:dyDescent="0.4">
      <c r="A921" s="20" t="s">
        <v>1514</v>
      </c>
      <c r="B921" s="20" t="s">
        <v>1515</v>
      </c>
      <c r="C921" s="21" t="s">
        <v>1516</v>
      </c>
      <c r="D921" s="22"/>
      <c r="E921" s="22" t="s">
        <v>1517</v>
      </c>
      <c r="F921" s="22" t="s">
        <v>55</v>
      </c>
      <c r="G921" s="23">
        <v>1</v>
      </c>
      <c r="H921" s="131"/>
      <c r="I921" s="179"/>
      <c r="J921" s="164"/>
      <c r="K921" s="121">
        <v>1348.65</v>
      </c>
      <c r="L921" s="62">
        <v>0</v>
      </c>
      <c r="M921" s="80">
        <v>784.29</v>
      </c>
      <c r="N921" s="90">
        <f>L921+ROUND(M921, 2)</f>
        <v>784.29</v>
      </c>
      <c r="O921" s="62">
        <v>0</v>
      </c>
      <c r="P921" s="24">
        <f>ROUND(K921*ROUND(M921, 2), 2)</f>
        <v>1057732.71</v>
      </c>
      <c r="Q921" s="24">
        <f>O921+P921</f>
        <v>1057732.71</v>
      </c>
      <c r="R921" s="24">
        <v>0</v>
      </c>
      <c r="S921" s="24">
        <v>784.29</v>
      </c>
      <c r="T921" s="24">
        <f>R921+ROUND(S921, 2)</f>
        <v>784.29</v>
      </c>
      <c r="U921" s="24">
        <v>0</v>
      </c>
      <c r="V921" s="24">
        <f>ROUND(K921*ROUND(S921, 2), 2)</f>
        <v>1057732.71</v>
      </c>
      <c r="W921" s="24">
        <f>U921+V921</f>
        <v>1057732.71</v>
      </c>
    </row>
    <row r="922" spans="1:23" ht="41" customHeight="1" thickBot="1" x14ac:dyDescent="0.4">
      <c r="A922" s="57"/>
      <c r="B922" s="57"/>
      <c r="C922" s="57"/>
      <c r="D922" s="172" t="s">
        <v>1518</v>
      </c>
      <c r="E922" s="57"/>
      <c r="F922" s="57"/>
      <c r="G922" s="57"/>
      <c r="H922" s="57"/>
      <c r="I922" s="180">
        <f>SUM(I15:I921)</f>
        <v>16404936.078699999</v>
      </c>
      <c r="J922" s="57"/>
      <c r="K922" s="57"/>
      <c r="L922" s="57"/>
      <c r="M922" s="57"/>
      <c r="N922" s="173"/>
      <c r="O922" s="174">
        <f>SUM(O8)</f>
        <v>48343925.430000007</v>
      </c>
      <c r="P922" s="175">
        <f>SUM(P8)</f>
        <v>97174132.929999992</v>
      </c>
      <c r="Q922" s="175">
        <f>O922+P922</f>
        <v>145518058.36000001</v>
      </c>
      <c r="R922" s="57"/>
      <c r="S922" s="57"/>
      <c r="T922" s="57"/>
      <c r="U922" s="58">
        <f>SUM(U8)</f>
        <v>55954680.140000015</v>
      </c>
      <c r="V922" s="58">
        <f>SUM(V8)</f>
        <v>97174132.929999992</v>
      </c>
      <c r="W922" s="58">
        <f>U922+V922</f>
        <v>153128813.06999999</v>
      </c>
    </row>
    <row r="923" spans="1:23" ht="56" customHeight="1" thickBot="1" x14ac:dyDescent="0.4">
      <c r="B923" s="176"/>
      <c r="C923" s="176"/>
      <c r="D923" s="176"/>
      <c r="E923" s="228" t="s">
        <v>1522</v>
      </c>
      <c r="F923" s="229"/>
      <c r="G923" s="229"/>
      <c r="H923" s="229"/>
      <c r="I923" s="178"/>
      <c r="J923" s="177"/>
      <c r="K923" s="176"/>
      <c r="L923" s="176"/>
      <c r="M923" s="176"/>
      <c r="N923" s="176"/>
      <c r="O923" s="176"/>
      <c r="P923" s="176"/>
      <c r="Q923" s="178">
        <f>Q922-I922</f>
        <v>129113122.28130001</v>
      </c>
    </row>
  </sheetData>
  <mergeCells count="33">
    <mergeCell ref="R6:S6"/>
    <mergeCell ref="J5:J7"/>
    <mergeCell ref="A2:W2"/>
    <mergeCell ref="A3:W3"/>
    <mergeCell ref="A4:W4"/>
    <mergeCell ref="A5:A7"/>
    <mergeCell ref="B5:B7"/>
    <mergeCell ref="C5:C7"/>
    <mergeCell ref="D5:D7"/>
    <mergeCell ref="E5:E7"/>
    <mergeCell ref="F5:F7"/>
    <mergeCell ref="G5:G7"/>
    <mergeCell ref="U5:W5"/>
    <mergeCell ref="L6:M6"/>
    <mergeCell ref="N6:N7"/>
    <mergeCell ref="O6:P6"/>
    <mergeCell ref="Q6:Q7"/>
    <mergeCell ref="E923:H923"/>
    <mergeCell ref="U6:V6"/>
    <mergeCell ref="W6:W7"/>
    <mergeCell ref="A8:K8"/>
    <mergeCell ref="C9:K9"/>
    <mergeCell ref="C11:K11"/>
    <mergeCell ref="C12:K12"/>
    <mergeCell ref="C13:K13"/>
    <mergeCell ref="C14:K14"/>
    <mergeCell ref="C10:K10"/>
    <mergeCell ref="I5:I7"/>
    <mergeCell ref="K5:K7"/>
    <mergeCell ref="L5:Q5"/>
    <mergeCell ref="R5:T5"/>
    <mergeCell ref="T6:T7"/>
    <mergeCell ref="H5:H7"/>
  </mergeCells>
  <pageMargins left="0.7" right="0.7" top="0.75" bottom="0.75" header="0.3" footer="0.3"/>
  <pageSetup paperSize="9" scale="2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ВЫПОЛНЕНИЕ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срк</cp:lastModifiedBy>
  <dcterms:created xsi:type="dcterms:W3CDTF">2025-10-17T08:42:13Z</dcterms:created>
  <dcterms:modified xsi:type="dcterms:W3CDTF">2025-11-03T17:24:24Z</dcterms:modified>
  <cp:category/>
</cp:coreProperties>
</file>