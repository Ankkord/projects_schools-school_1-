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624" windowHeight="8760" activeTab="2"/>
  </bookViews>
  <sheets>
    <sheet name="6.3инжКом (2)" sheetId="23" r:id="rId1"/>
    <sheet name="6.4ГКЛ" sheetId="22" r:id="rId2"/>
    <sheet name="6.3инжКом" sheetId="21" r:id="rId3"/>
    <sheet name="6.2ГКЛ" sheetId="20" r:id="rId4"/>
    <sheet name="6.1ГКЛ" sheetId="19" r:id="rId5"/>
    <sheet name="Лист2" sheetId="3" r:id="rId6"/>
    <sheet name="Лист1" sheetId="1" r:id="rId7"/>
    <sheet name="5.1ГКЛ" sheetId="18" r:id="rId8"/>
    <sheet name="Table 1" sheetId="2" r:id="rId9"/>
    <sheet name="2расчет" sheetId="9" r:id="rId10"/>
    <sheet name="3вор" sheetId="4" r:id="rId11"/>
    <sheet name="общая" sheetId="11" r:id="rId12"/>
    <sheet name="3пом" sheetId="8" r:id="rId13"/>
    <sheet name="3расчет" sheetId="6" r:id="rId14"/>
    <sheet name="3.1-Пт" sheetId="14" r:id="rId15"/>
    <sheet name="3.1" sheetId="15" r:id="rId16"/>
    <sheet name="4.1-Пт" sheetId="16" r:id="rId17"/>
    <sheet name="4.1" sheetId="17" r:id="rId18"/>
    <sheet name="ПТ3эт" sheetId="12" r:id="rId19"/>
    <sheet name="ПТ2эт" sheetId="13" r:id="rId20"/>
  </sheets>
  <calcPr calcId="152511"/>
</workbook>
</file>

<file path=xl/calcChain.xml><?xml version="1.0" encoding="utf-8"?>
<calcChain xmlns="http://schemas.openxmlformats.org/spreadsheetml/2006/main">
  <c r="B13" i="21" l="1"/>
  <c r="B12" i="21"/>
  <c r="B14" i="21"/>
  <c r="F3" i="21" s="1"/>
  <c r="B11" i="21"/>
  <c r="B25" i="21"/>
  <c r="B27" i="21" s="1"/>
  <c r="F5" i="21" s="1"/>
  <c r="B24" i="21"/>
  <c r="B26" i="21"/>
  <c r="B19" i="21"/>
  <c r="B20" i="21" s="1"/>
  <c r="F4" i="21" s="1"/>
  <c r="F17" i="21"/>
  <c r="F16" i="21"/>
  <c r="F12" i="21"/>
  <c r="F7" i="21"/>
  <c r="F6" i="21"/>
  <c r="B26" i="23"/>
  <c r="B25" i="23"/>
  <c r="B24" i="23"/>
  <c r="B19" i="23"/>
  <c r="B18" i="23"/>
  <c r="B20" i="23" s="1"/>
  <c r="F4" i="23" s="1"/>
  <c r="F16" i="23"/>
  <c r="F17" i="23" s="1"/>
  <c r="F7" i="23" s="1"/>
  <c r="B13" i="23"/>
  <c r="B12" i="23"/>
  <c r="F11" i="23"/>
  <c r="F12" i="23" s="1"/>
  <c r="F6" i="23" s="1"/>
  <c r="B11" i="23"/>
  <c r="B14" i="23" s="1"/>
  <c r="F3" i="23" s="1"/>
  <c r="B27" i="23" l="1"/>
  <c r="F5" i="23" s="1"/>
  <c r="C11" i="22"/>
  <c r="E8" i="22" s="1"/>
  <c r="E3" i="22"/>
  <c r="E4" i="22" s="1"/>
  <c r="E5" i="22" l="1"/>
  <c r="C19" i="20" l="1"/>
  <c r="C14" i="20" l="1"/>
  <c r="E7" i="20"/>
  <c r="G6" i="19" l="1"/>
  <c r="G7" i="19"/>
  <c r="C19" i="19" l="1"/>
  <c r="G3" i="19" s="1"/>
  <c r="G5" i="19" l="1"/>
  <c r="G4" i="19"/>
  <c r="F7" i="18"/>
  <c r="C14" i="18"/>
  <c r="C13" i="18"/>
  <c r="C12" i="18"/>
  <c r="C11" i="18"/>
  <c r="C10" i="18"/>
  <c r="D6" i="18" l="1"/>
  <c r="F6" i="18" s="1"/>
  <c r="D5" i="18"/>
  <c r="F5" i="18" s="1"/>
  <c r="D4" i="18"/>
  <c r="F4" i="18" s="1"/>
  <c r="D3" i="18" l="1"/>
  <c r="F3" i="18" s="1"/>
  <c r="E2" i="16" l="1"/>
  <c r="E2" i="14"/>
  <c r="E3" i="14"/>
  <c r="E3" i="16"/>
  <c r="B9" i="17"/>
  <c r="B9" i="15"/>
  <c r="N9" i="11"/>
  <c r="M12" i="11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2" i="6"/>
  <c r="D152" i="2" l="1"/>
  <c r="D148" i="2"/>
  <c r="E144" i="2"/>
  <c r="E145" i="2" s="1"/>
  <c r="D144" i="2"/>
  <c r="D145" i="2" s="1"/>
  <c r="E123" i="2"/>
  <c r="E63" i="2"/>
  <c r="D95" i="2"/>
  <c r="D84" i="2"/>
  <c r="D72" i="2"/>
  <c r="D50" i="2"/>
  <c r="D47" i="2"/>
  <c r="D18" i="2"/>
  <c r="E30" i="6"/>
  <c r="E95" i="2"/>
  <c r="E109" i="2"/>
  <c r="E113" i="2"/>
  <c r="E18" i="2"/>
  <c r="E47" i="2"/>
  <c r="E50" i="2"/>
  <c r="E72" i="2"/>
  <c r="C30" i="6"/>
  <c r="E84" i="2"/>
  <c r="L12" i="11" l="1"/>
  <c r="L3" i="11"/>
  <c r="K9" i="11"/>
  <c r="K6" i="11"/>
  <c r="J4" i="11" l="1"/>
  <c r="J5" i="11"/>
  <c r="J6" i="11"/>
  <c r="J7" i="11"/>
  <c r="J8" i="11"/>
  <c r="J9" i="11"/>
  <c r="J10" i="11"/>
  <c r="J11" i="11"/>
  <c r="J12" i="11"/>
  <c r="J3" i="11"/>
  <c r="B3" i="6" l="1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2" i="6"/>
  <c r="F3" i="9"/>
  <c r="F4" i="9"/>
  <c r="F6" i="9"/>
  <c r="F7" i="9"/>
  <c r="F9" i="9"/>
  <c r="F10" i="9"/>
  <c r="F11" i="9"/>
  <c r="F12" i="9"/>
  <c r="F13" i="9"/>
  <c r="F14" i="9"/>
  <c r="F15" i="9"/>
  <c r="F17" i="9"/>
  <c r="F18" i="9"/>
  <c r="F19" i="9"/>
  <c r="F20" i="9"/>
  <c r="F21" i="9"/>
  <c r="F22" i="9"/>
  <c r="F23" i="9"/>
  <c r="F24" i="9"/>
  <c r="F26" i="9"/>
  <c r="F27" i="9"/>
  <c r="F28" i="9"/>
  <c r="F29" i="9"/>
  <c r="F30" i="9"/>
  <c r="F2" i="9"/>
  <c r="D31" i="9"/>
  <c r="E31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2" i="9"/>
  <c r="G42" i="9" l="1"/>
  <c r="G40" i="9"/>
  <c r="G41" i="9"/>
  <c r="G45" i="9"/>
  <c r="G44" i="9"/>
  <c r="G43" i="9"/>
  <c r="H42" i="6"/>
  <c r="H41" i="6"/>
  <c r="H40" i="6"/>
  <c r="H43" i="6"/>
  <c r="H44" i="6"/>
  <c r="H45" i="6"/>
  <c r="C39" i="9" l="1"/>
  <c r="C25" i="9"/>
  <c r="F25" i="9" s="1"/>
  <c r="C38" i="9"/>
  <c r="C16" i="9"/>
  <c r="F16" i="9" s="1"/>
  <c r="C37" i="9"/>
  <c r="C36" i="9"/>
  <c r="C8" i="9"/>
  <c r="F8" i="9" s="1"/>
  <c r="C34" i="9"/>
  <c r="C5" i="9"/>
  <c r="B31" i="9"/>
  <c r="B30" i="8"/>
  <c r="E3" i="4" s="1"/>
  <c r="E6" i="4" s="1"/>
  <c r="E8" i="4" s="1"/>
  <c r="D25" i="6"/>
  <c r="D26" i="6"/>
  <c r="D27" i="6"/>
  <c r="D24" i="6"/>
  <c r="B30" i="6"/>
  <c r="C31" i="9" l="1"/>
  <c r="F5" i="9"/>
  <c r="H46" i="6"/>
  <c r="D30" i="6"/>
  <c r="E4" i="4"/>
  <c r="E7" i="4"/>
  <c r="E5" i="4"/>
  <c r="G46" i="9" l="1"/>
  <c r="G49" i="9" s="1"/>
  <c r="H47" i="6"/>
  <c r="B31" i="1"/>
  <c r="E3" i="3" s="1"/>
  <c r="E5" i="3" l="1"/>
  <c r="E6" i="3"/>
  <c r="E4" i="3"/>
  <c r="E8" i="3" l="1"/>
  <c r="E7" i="3"/>
  <c r="E6" i="20" l="1"/>
  <c r="E5" i="20"/>
</calcChain>
</file>

<file path=xl/sharedStrings.xml><?xml version="1.0" encoding="utf-8"?>
<sst xmlns="http://schemas.openxmlformats.org/spreadsheetml/2006/main" count="2419" uniqueCount="823">
  <si>
    <t>пт-6</t>
  </si>
  <si>
    <t>Столбец1</t>
  </si>
  <si>
    <t>отдельно</t>
  </si>
  <si>
    <t>пт-5.1</t>
  </si>
  <si>
    <t>пт-7</t>
  </si>
  <si>
    <t>Итог:</t>
  </si>
  <si>
    <t>Подготовка поверхности СКБ / потолка / ЖБ / 5 мм</t>
  </si>
  <si>
    <t>м2</t>
  </si>
  <si>
    <t>Грунтовка БЕТОН-КОНТАКТ_/</t>
  </si>
  <si>
    <t>кг</t>
  </si>
  <si>
    <t>Шпатлевка гипсовая_ / белая / Унифицированная по ПИК-СТАНДАРТ, 30кг</t>
  </si>
  <si>
    <t>Подготовка поверхности СКБ / потолка / по штукатурке / 2мм</t>
  </si>
  <si>
    <t>Шпатлевка гипсовая_ / белая / Унифицированная по ПИК-СТАНДАРТ, 30кг (BIM)</t>
  </si>
  <si>
    <t>Грунтовка универсальный ЛАСТИМИН_ / УНКОНТ ЛЮКС LP51 А</t>
  </si>
  <si>
    <t>Наименование</t>
  </si>
  <si>
    <t>Ед. изм.</t>
  </si>
  <si>
    <t>Коэф. расхода</t>
  </si>
  <si>
    <t>Объем</t>
  </si>
  <si>
    <t>Тип</t>
  </si>
  <si>
    <t>Примечание</t>
  </si>
  <si>
    <r>
      <rPr>
        <i/>
        <sz val="10"/>
        <rFont val="ГОСТ тип А"/>
        <family val="2"/>
        <charset val="204"/>
      </rPr>
      <t>Вид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отделки</t>
    </r>
  </si>
  <si>
    <r>
      <rPr>
        <i/>
        <sz val="10"/>
        <rFont val="ГОСТ тип А"/>
        <family val="2"/>
        <charset val="204"/>
      </rPr>
      <t>Площадь,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м²</t>
    </r>
  </si>
  <si>
    <r>
      <rPr>
        <i/>
        <sz val="10"/>
        <rFont val="ГОСТ тип А"/>
        <family val="2"/>
        <charset val="204"/>
      </rPr>
      <t>Работы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по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черновой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отделке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выполнять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при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необходимости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выравнивания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стен</t>
    </r>
  </si>
  <si>
    <r>
      <rPr>
        <i/>
        <sz val="10"/>
        <rFont val="ГОСТ тип А"/>
        <family val="2"/>
        <charset val="204"/>
      </rPr>
      <t>Работы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по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черновой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отделке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выполнять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при</t>
    </r>
  </si>
  <si>
    <r>
      <rPr>
        <i/>
        <sz val="10"/>
        <rFont val="ГОСТ тип А"/>
        <family val="2"/>
        <charset val="204"/>
      </rPr>
      <t>Номер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помещения</t>
    </r>
  </si>
  <si>
    <t>Ведомость работ и используемых материалов</t>
  </si>
  <si>
    <r>
      <rPr>
        <i/>
        <sz val="10"/>
        <rFont val="ГОСТ тип А"/>
        <family val="2"/>
        <charset val="204"/>
      </rPr>
      <t>Номер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помещени</t>
    </r>
    <r>
      <rPr>
        <i/>
        <sz val="10"/>
        <rFont val="ГОСТ тип А"/>
        <family val="2"/>
        <charset val="204"/>
      </rPr>
      <t>я</t>
    </r>
  </si>
  <si>
    <t>итог:</t>
  </si>
  <si>
    <t>лист 1</t>
  </si>
  <si>
    <t>лист 2</t>
  </si>
  <si>
    <t>лист 3</t>
  </si>
  <si>
    <t>лист 4</t>
  </si>
  <si>
    <t>лист 5</t>
  </si>
  <si>
    <t>лист 6</t>
  </si>
  <si>
    <t>3 этаж. Шпаклевка потолков финишная под покраску</t>
  </si>
  <si>
    <t xml:space="preserve">3 этаж. Шпаклевка потолков базовая </t>
  </si>
  <si>
    <t>2 этаж. Шпаклевка потолков базовая</t>
  </si>
  <si>
    <t>2 этаж. Шпаклевка потолков финишная под покраску</t>
  </si>
  <si>
    <t>Площадь
по полу</t>
  </si>
  <si>
    <t>Номер помещения</t>
  </si>
  <si>
    <t>Площадь, м²</t>
  </si>
  <si>
    <r>
      <rPr>
        <i/>
        <sz val="10"/>
        <rFont val="ГОСТ тип А"/>
        <family val="2"/>
        <charset val="204"/>
      </rPr>
      <t>Площадь,</t>
    </r>
    <r>
      <rPr>
        <sz val="10"/>
        <rFont val="ГОСТ тип А"/>
        <family val="2"/>
        <charset val="204"/>
      </rPr>
      <t>по исп схемам</t>
    </r>
  </si>
  <si>
    <t>по исп схема</t>
  </si>
  <si>
    <t>По РД
по полу</t>
  </si>
  <si>
    <t>разница
между полом и потолком</t>
  </si>
  <si>
    <t>По в-ти
потолка</t>
  </si>
  <si>
    <t>По вед-ти(РД)
потолка</t>
  </si>
  <si>
    <t>Разница между полом и потолком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</si>
  <si>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</si>
  <si>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</si>
  <si>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</si>
  <si>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</si>
  <si>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</si>
  <si>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Коэф.расхода</t>
  </si>
  <si>
    <t>Кол-во БО</t>
  </si>
  <si>
    <t>Общее кол-во</t>
  </si>
  <si>
    <t>Осталось 
закрыть</t>
  </si>
  <si>
    <t>2 этаж</t>
  </si>
  <si>
    <t>3 этаж</t>
  </si>
  <si>
    <t>пог. м</t>
  </si>
  <si>
    <t>шт</t>
  </si>
  <si>
    <t>Грунтовка универсальный ЛАСТИМИН_ / LP-51 А</t>
  </si>
  <si>
    <t>Краска водно-дисперсионная интерьерная Акриловая, моющаяся Матовая, Г1(КМ1), RAL 7035</t>
  </si>
  <si>
    <t>Шпаклевка д/заделки швов, ШОВСИЛК_/Т33</t>
  </si>
  <si>
    <t>Гипсовые строительные плиты_ / влагостойкий / 12,5*1200*2500</t>
  </si>
  <si>
    <t>Плита Кнауф Файерборд_ / 2500х1200х12.5 м</t>
  </si>
  <si>
    <t>Шуруп_/3,5*25</t>
  </si>
  <si>
    <t>1.1.1.1.1.3.1</t>
  </si>
  <si>
    <t>6.3.1.5.3.1</t>
  </si>
  <si>
    <t>Черновые работы по поверхности потолков</t>
  </si>
  <si>
    <t>1.1.1.1.1.3.1.2</t>
  </si>
  <si>
    <t>6.3.1.5.3.1.6.1</t>
  </si>
  <si>
    <t>3 этаж. Шпаклевка потолков базовая (тип ПТ-1.4, ПТ-1.8, ПТ-1.1, ПТ-2.3, ПТ-2.4, ПТ-2.6, ПТ-2.8, ПТ-1.2, ПТ-2.1, ПТ-2.5, ПТ-2.7, ПТ-2.8, ПТ-2.10, ПТ-2.16, ПТ-4.1, ПТ-4.3, ПТ-5.1, ПТ-5.2, ПТ-8.1, ПТ-8.2)</t>
  </si>
  <si>
    <t>1.1.1.1.1.3.1.2.1</t>
  </si>
  <si>
    <t>1.1.1.1.1.3.1.2.2</t>
  </si>
  <si>
    <t>1.1.1.1.1.3.1.3</t>
  </si>
  <si>
    <t>2 этаж. Шпаклевка потолков базовая (тип ПТ-1.4, ПТ-1.8, ПТ-1.1, ПТ-2.3, ПТ-2.4, ПТ-2.6, ПТ-2.8, ПТ-1.2, ПТ-2.1, ПТ-2.5, ПТ-2.7, ПТ-2.8, ПТ-2.10, ПТ-2.16, ПТ-4.1, ПТ-4.3, ПТ-5.1, ПТ-5.2, ПТ-8.1, ПТ-8.2)</t>
  </si>
  <si>
    <t>1.1.1.1.1.3.1.3.1</t>
  </si>
  <si>
    <t>1.1.1.1.1.3.1.3.2</t>
  </si>
  <si>
    <t>1.1.1.1.1.3.1.4</t>
  </si>
  <si>
    <t>6.3.1.5.3.1.6.6</t>
  </si>
  <si>
    <t>2 этаж. Шпаклевка потолков финишная под покраску (тип ПТ-1.4, ПТ-1.8, ПТ-1.1, ПТ-2.3, ПТ-2.4, ПТ-2.6, ПТ-2.8, ПТ-1.2, ПТ-2.1, ПТ-2.5, ПТ-2.7, ПТ-2.8, ПТ-2.10, ПТ-2.16, ПТ-4.1, ПТ-4.3, ПТ-5.1, ПТ-5.2, ПТ-8.1, ПТ-8.2)</t>
  </si>
  <si>
    <t>1.1.1.1.1.3.1.4.1</t>
  </si>
  <si>
    <t>1.1.1.1.1.3.1.4.2</t>
  </si>
  <si>
    <t>1.1.1.1.1.3.1.5</t>
  </si>
  <si>
    <t>3 этаж. Шпаклевка потолков финишная под покраску (тип ПТ-1.4, ПТ-1.8, ПТ-1.1, ПТ-2.3, ПТ-2.4, ПТ-2.6, ПТ-2.8, ПТ-1.2, ПТ-2.1, ПТ-2.5, ПТ-2.7, ПТ-2.8, ПТ-2.10, ПТ-2.16, ПТ-4.1, ПТ-4.3, ПТ-5.1, ПТ-5.2, ПТ-8.1, ПТ-8.2)</t>
  </si>
  <si>
    <t>1.1.1.1.1.3.1.5.1</t>
  </si>
  <si>
    <t>1.1.1.1.1.3.1.5.2</t>
  </si>
  <si>
    <t>1.1.1.1.1.3.2</t>
  </si>
  <si>
    <t>6.3.1.5.3.2</t>
  </si>
  <si>
    <t>Чистовые работы по поверхности потолков</t>
  </si>
  <si>
    <t>1.1.1.1.1.3.2.1</t>
  </si>
  <si>
    <t>6.3.1.5.3.2.1.1</t>
  </si>
  <si>
    <t>Окраска поверхностей потолков с предварительной огрунтовкой поверхностей / в 2 слоя</t>
  </si>
  <si>
    <t>1.1.1.1.1.3.2.1.1</t>
  </si>
  <si>
    <t>Окраска матовой водно-дисперсионной краской для высококачественной отделки Antega Строитель (моющаяся) цвет серый шелк RAL 7044, КМ1</t>
  </si>
  <si>
    <t>1.1.1.1.1.3.2.1.2</t>
  </si>
  <si>
    <t>1.1.1.1.1.3.2.2</t>
  </si>
  <si>
    <t>1.1.1.1.1.3.2.2.1</t>
  </si>
  <si>
    <t>1.1.1.1.1.3.2.2.2</t>
  </si>
  <si>
    <t>Краска негорючая моющаяся Protect Decor_ / RAL 9003</t>
  </si>
  <si>
    <t>Краска огнестойкая Antega Строитель НГ, цвет - белый RAL 9003, КМ0</t>
  </si>
  <si>
    <t>1.1.1.1.1.3.2.3</t>
  </si>
  <si>
    <t>1.1.1.1.1.3.2.3.1</t>
  </si>
  <si>
    <t>Краска огнестойкая Antega Строитель НГ, цвет - темно-серый RAL 7016, КМ0</t>
  </si>
  <si>
    <t>1.1.1.1.1.3.2.3.2</t>
  </si>
  <si>
    <t>1.1.1.1.1.3.2.4</t>
  </si>
  <si>
    <t>1.1.1.1.1.3.2.4.1</t>
  </si>
  <si>
    <t>1.1.1.1.1.3.2.4.2</t>
  </si>
  <si>
    <t>Краска огнестойкая Antega Строитель НГ, цвет серый шелк RAL 7044, КМ0</t>
  </si>
  <si>
    <t>1.1.1.1.1.3.2.5</t>
  </si>
  <si>
    <t>1.1.1.1.1.3.2.5.1</t>
  </si>
  <si>
    <t>Краска огнестойкая Antega Строитель НГ, цвет голубой NCS S 2030-R80B, КМ0</t>
  </si>
  <si>
    <t>1.1.1.1.1.3.2.5.2</t>
  </si>
  <si>
    <t>1.1.1.1.1.3.2.6</t>
  </si>
  <si>
    <t>1.1.1.1.1.3.2.6.1</t>
  </si>
  <si>
    <t>1.1.1.1.1.3.2.6.2</t>
  </si>
  <si>
    <t>Краска огнестойкая Antega Строитель НГ, цвет зеленый RAL NCS S 2060-G40Y, КМ0</t>
  </si>
  <si>
    <t>1.1.1.1.1.3.2.7</t>
  </si>
  <si>
    <t>1.1.1.1.1.3.2.7.1</t>
  </si>
  <si>
    <t>Краска огнестойкая Antega Строитель НГ, цвет желтый NCS S 1070-Y20R, КМ0</t>
  </si>
  <si>
    <t>1.1.1.1.1.3.2.7.2</t>
  </si>
  <si>
    <t>1.1.1.1.1.3.2.8</t>
  </si>
  <si>
    <t>1.1.1.1.1.3.2.8.1</t>
  </si>
  <si>
    <t>1.1.1.1.1.3.2.8.2</t>
  </si>
  <si>
    <t>Краска огнестойкая Antega Строитель НГ, цвет оранжевый NCS S 2060-Y30R, КМ0</t>
  </si>
  <si>
    <t>1.1.1.1.1.3.2.9</t>
  </si>
  <si>
    <t>6.3.1.5.3.2.3.2</t>
  </si>
  <si>
    <t>Лакокрасочные работы СКБ / окраска потолков / в 2 слоя</t>
  </si>
  <si>
    <t>2 этаж. ПТ-1.4</t>
  </si>
  <si>
    <t>1.1.1.1.1.3.2.9.1</t>
  </si>
  <si>
    <t>Краска водно-дисперсионная / КМ1 7015</t>
  </si>
  <si>
    <t>Матовая водно-дисперсионная краска, ANTEGA СТРОИТЕЛЬ, NCS S 5030-R90B, 2 класс истирания, КМ1</t>
  </si>
  <si>
    <t>1.1.1.1.1.3.2.9.2</t>
  </si>
  <si>
    <t>1.1.1.1.1.3.2.10</t>
  </si>
  <si>
    <t>2 этаж. ПТ-1.8</t>
  </si>
  <si>
    <t>1.1.1.1.1.3.2.10.1</t>
  </si>
  <si>
    <t>1.1.1.1.1.3.2.10.2</t>
  </si>
  <si>
    <t>Матовая водно-дисперсионная краска, ANTEGA СТРОИТЕЛЬ, NCS S 2060-G40Y, 2 класс истирания, КМ1</t>
  </si>
  <si>
    <t>1.1.1.1.1.3.2.11</t>
  </si>
  <si>
    <t>2 этаж. ПТ-1.1</t>
  </si>
  <si>
    <t>1.1.1.1.1.3.2.11.1</t>
  </si>
  <si>
    <t>Матовая водно-дисперсионная краска, ANTEGA СТРОИТЕЛЬ, RAL 9003, белый, 2 класс истирания, КМ1</t>
  </si>
  <si>
    <t>1.1.1.1.1.3.2.11.2</t>
  </si>
  <si>
    <t>1.1.1.1.1.3.2.12</t>
  </si>
  <si>
    <t>2 этаж. ПТ-2.3</t>
  </si>
  <si>
    <t>1.1.1.1.1.3.2.12.1</t>
  </si>
  <si>
    <t>1.1.1.1.1.3.2.12.2</t>
  </si>
  <si>
    <t>Краска для потолка Стройтекс КМ0_ / RAL 7037</t>
  </si>
  <si>
    <t>Краска негорючая ANTEGA СТРОИТЕЛЬ, RAL 7044, 1 класс истирания, КМ0</t>
  </si>
  <si>
    <t>1.1.1.1.1.3.2.13</t>
  </si>
  <si>
    <t>2 этаж. ПТ-2.4</t>
  </si>
  <si>
    <t>1.1.1.1.1.3.2.13.1</t>
  </si>
  <si>
    <t xml:space="preserve">Краска негорючая ANTEGA СТРОИТЕЛЬ НГ, NCS S 1070-Y30R, 1 класс истирания, КМ0 </t>
  </si>
  <si>
    <t>1.1.1.1.1.3.2.13.2</t>
  </si>
  <si>
    <t>1.1.1.1.1.3.2.14</t>
  </si>
  <si>
    <t>2 этаж. ПТ-2.6</t>
  </si>
  <si>
    <t>1.1.1.1.1.3.2.14.1</t>
  </si>
  <si>
    <t>1.1.1.1.1.3.2.14.2</t>
  </si>
  <si>
    <t>Краска негорючая ANTEGA СТРОИТЕЛЬ, NCS S 5020-R70B, 1 класс истирания, КМ0</t>
  </si>
  <si>
    <t>1.1.1.1.1.3.2.15</t>
  </si>
  <si>
    <t>2 этаж. ПТ-2.8</t>
  </si>
  <si>
    <t>1.1.1.1.1.3.2.15.1</t>
  </si>
  <si>
    <t>Краска негорючая ANTEGA СТРОИТЕЛЬ НГ, NCS S 4020-R90B, 1 класс истирания, КМ0</t>
  </si>
  <si>
    <t>1.1.1.1.1.3.2.15.2</t>
  </si>
  <si>
    <t>1.1.1.1.1.3.2.16</t>
  </si>
  <si>
    <t>2 этаж. ПТ-1.2</t>
  </si>
  <si>
    <t>1.1.1.1.1.3.2.16.1</t>
  </si>
  <si>
    <t>1.1.1.1.1.3.2.16.2</t>
  </si>
  <si>
    <t>Матовая водно-дисперсионная краска, ANTEGA СТРОИТЕЛЬ, RAL 7044,
серый-шелк, 2 класс истирания, КМ1</t>
  </si>
  <si>
    <t>1.1.1.1.1.3.2.17</t>
  </si>
  <si>
    <t>2 этаж. ПТ-2.1</t>
  </si>
  <si>
    <t>1.1.1.1.1.3.2.17.1</t>
  </si>
  <si>
    <t>Краска негорючая ANTEGA СТРОИТЕЛЬ НГ, RAL 9003, 1 класс истирания, КМ0</t>
  </si>
  <si>
    <t>1.1.1.1.1.3.2.17.2</t>
  </si>
  <si>
    <t>1.1.1.1.1.3.2.18</t>
  </si>
  <si>
    <t>2 этаж. ПТ-2.5</t>
  </si>
  <si>
    <t>1.1.1.1.1.3.2.18.1</t>
  </si>
  <si>
    <t>Грунтовка _ /  универсальная глубокого проникновения</t>
  </si>
  <si>
    <t>1.1.1.1.1.3.2.18.2</t>
  </si>
  <si>
    <t>Краска негорючая ANTEGA СТРОИТЕЛЬ НГ, NCS S 2030-R80B, 1 класс
истирания, КМ0</t>
  </si>
  <si>
    <t>1.1.1.1.1.3.2.19</t>
  </si>
  <si>
    <t>2 этаж. ПТ-2.7</t>
  </si>
  <si>
    <t>1.1.1.1.1.3.2.19.1</t>
  </si>
  <si>
    <t>Краска негорючая ANTEGA СТРОИТЕЛЬ, NCS S 5030-R90B, 1 класс истирания, КМ0</t>
  </si>
  <si>
    <t>1.1.1.1.1.3.2.19.2</t>
  </si>
  <si>
    <t>1.1.1.1.1.3.2.20</t>
  </si>
  <si>
    <t>1.1.1.1.1.3.2.20.1</t>
  </si>
  <si>
    <t>1.1.1.1.1.3.2.20.2</t>
  </si>
  <si>
    <t xml:space="preserve">Краска негорючая ANTEGA СТРОИТЕЛЬ НГ, NCS S 2060-G40Y, 1 класс истирания, КМ0
</t>
  </si>
  <si>
    <t>1.1.1.1.1.3.2.21</t>
  </si>
  <si>
    <t>2 этаж. ПТ-2.10</t>
  </si>
  <si>
    <t>1.1.1.1.1.3.2.21.1</t>
  </si>
  <si>
    <t>Краска негорючая ANTEGA СТРОИТЕЛЬ, NCS S 3040-R20B, 1 класс истирания, КМ0</t>
  </si>
  <si>
    <t>1.1.1.1.1.3.2.21.2</t>
  </si>
  <si>
    <t>1.1.1.1.1.3.2.22</t>
  </si>
  <si>
    <t>2 этаж. ПТ-2.16</t>
  </si>
  <si>
    <t>1.1.1.1.1.3.2.22.1</t>
  </si>
  <si>
    <t>1.1.1.1.1.3.2.22.2</t>
  </si>
  <si>
    <t>Матовая моющаяся влагостойкая водно-дисперсионная силикатная краска НГ, Ral 7016, 1 класс истирания, КМ0</t>
  </si>
  <si>
    <t>1.1.1.1.1.3.2.23</t>
  </si>
  <si>
    <t>2 этаж. ПТ-4.1</t>
  </si>
  <si>
    <t>1.1.1.1.1.3.2.23.1</t>
  </si>
  <si>
    <t>Матовая водно-дисперсионная краска ANTEGA СТРОИТЕЛЬ , RAL 9003, КМ1</t>
  </si>
  <si>
    <t>1.1.1.1.1.3.2.23.2</t>
  </si>
  <si>
    <t>1.1.1.1.1.3.2.24</t>
  </si>
  <si>
    <t>2 этаж. ПТ-4.3</t>
  </si>
  <si>
    <t>1.1.1.1.1.3.2.24.1</t>
  </si>
  <si>
    <t>1.1.1.1.1.3.2.24.2</t>
  </si>
  <si>
    <t>Матовая водно-дисперсионная краска ANTEGA СТРОИТЕЛЬ , RAL 7016, КМ1</t>
  </si>
  <si>
    <t>1.1.1.1.1.3.2.25</t>
  </si>
  <si>
    <t>2 этаж. ПТ-5.1</t>
  </si>
  <si>
    <t>1.1.1.1.1.3.2.25.1</t>
  </si>
  <si>
    <t>краска негорючая ANTEGA СТРОИТЕЛЬ, RAL 9003, 1 класс
истирания, КМ0</t>
  </si>
  <si>
    <t>1.1.1.1.1.3.2.25.2</t>
  </si>
  <si>
    <t>1.1.1.1.1.3.2.26</t>
  </si>
  <si>
    <t>2 этаж. ПТ-5.2</t>
  </si>
  <si>
    <t>1.1.1.1.1.3.2.26.1</t>
  </si>
  <si>
    <t>1.1.1.1.1.3.2.26.2</t>
  </si>
  <si>
    <t>Краска огнестойкая ANTEGA СТРОИТЕЛЬ НГ, RAL 7016, КМ0</t>
  </si>
  <si>
    <t>1.1.1.1.1.3.2.27</t>
  </si>
  <si>
    <t>3 этаж. ПТ-1.1</t>
  </si>
  <si>
    <t>1.1.1.1.1.3.2.27.1</t>
  </si>
  <si>
    <t>1.1.1.1.1.3.2.27.2</t>
  </si>
  <si>
    <t>1.1.1.1.1.3.2.28</t>
  </si>
  <si>
    <t>3 этаж. ПТ-1.2</t>
  </si>
  <si>
    <t>1.1.1.1.1.3.2.28.1</t>
  </si>
  <si>
    <t>1.1.1.1.1.3.2.28.2</t>
  </si>
  <si>
    <t>1.1.1.1.1.3.2.29</t>
  </si>
  <si>
    <t>3 этаж. ПТ-1.4</t>
  </si>
  <si>
    <t>1.1.1.1.1.3.2.29.1</t>
  </si>
  <si>
    <t>1.1.1.1.1.3.2.29.2</t>
  </si>
  <si>
    <t>1.1.1.1.1.3.2.30</t>
  </si>
  <si>
    <t>3 этаж. ПТ-1.8</t>
  </si>
  <si>
    <t>1.1.1.1.1.3.2.30.1</t>
  </si>
  <si>
    <t>1.1.1.1.1.3.2.30.2</t>
  </si>
  <si>
    <t>1.1.1.1.1.3.2.31</t>
  </si>
  <si>
    <t>3 этаж. ПТ-2.1</t>
  </si>
  <si>
    <t>1.1.1.1.1.3.2.31.1</t>
  </si>
  <si>
    <t>1.1.1.1.1.3.2.31.2</t>
  </si>
  <si>
    <t>1.1.1.1.1.3.2.32</t>
  </si>
  <si>
    <t>3 этаж. ПТ-2.3</t>
  </si>
  <si>
    <t>1.1.1.1.1.3.2.32.1</t>
  </si>
  <si>
    <t>1.1.1.1.1.3.2.32.2</t>
  </si>
  <si>
    <t>1.1.1.1.1.3.2.33</t>
  </si>
  <si>
    <t>3 этаж. ПТ-2.4</t>
  </si>
  <si>
    <t>1.1.1.1.1.3.2.33.1</t>
  </si>
  <si>
    <t>Краска негорючая ANTEGA СТРОИТЕЛЬ НГ, NCS S 1070-Y30R, 1 класс
истирания, КМ0</t>
  </si>
  <si>
    <t>1.1.1.1.1.3.2.33.2</t>
  </si>
  <si>
    <t>1.1.1.1.1.3.2.34</t>
  </si>
  <si>
    <t>3 этаж. ПТ-2.5</t>
  </si>
  <si>
    <t>1.1.1.1.1.3.2.34.1</t>
  </si>
  <si>
    <t>1.1.1.1.1.3.2.34.2</t>
  </si>
  <si>
    <t>Краска негорючая ANTEGA СТРОИТЕЛЬ НГ, NCS S 2030-R80B, 1 класс истирания, КМ0</t>
  </si>
  <si>
    <t>1.1.1.1.1.3.2.35</t>
  </si>
  <si>
    <t>3 этаж. ПТ-2.6</t>
  </si>
  <si>
    <t>1.1.1.1.1.3.2.35.1</t>
  </si>
  <si>
    <t>1.1.1.1.1.3.2.35.2</t>
  </si>
  <si>
    <t>1.1.1.1.1.3.2.36</t>
  </si>
  <si>
    <t>3 этаж. ПТ-2.7</t>
  </si>
  <si>
    <t>1.1.1.1.1.3.2.36.1</t>
  </si>
  <si>
    <t>1.1.1.1.1.3.2.36.2</t>
  </si>
  <si>
    <t>Краска моющаяся влагостойкая  / RAL 9004 матовый / БЭСТ-КОЛОР</t>
  </si>
  <si>
    <t>1.1.1.1.1.3.2.37</t>
  </si>
  <si>
    <t>3 этаж. ПТ-2.8</t>
  </si>
  <si>
    <t>1.1.1.1.1.3.2.37.1</t>
  </si>
  <si>
    <t>Краска негорючая ANTEGA СТРОИТЕЛЬ НГ, NCS S 2060-G40Y, 1 класс истирания, КМ0</t>
  </si>
  <si>
    <t>1.1.1.1.1.3.2.37.2</t>
  </si>
  <si>
    <t>1.1.1.1.1.3.2.38</t>
  </si>
  <si>
    <t>3 этаж. ПТ-2.10</t>
  </si>
  <si>
    <t>1.1.1.1.1.3.2.38.1</t>
  </si>
  <si>
    <t>1.1.1.1.1.3.2.38.2</t>
  </si>
  <si>
    <t>1.1.1.1.1.3.2.39</t>
  </si>
  <si>
    <t>3 этаж. ПТ-2.16</t>
  </si>
  <si>
    <t>1.1.1.1.1.3.2.39.1</t>
  </si>
  <si>
    <t>1.1.1.1.1.3.2.39.2</t>
  </si>
  <si>
    <t>1.1.1.1.1.3.2.40</t>
  </si>
  <si>
    <t>3 этаж. ПТ-4.1</t>
  </si>
  <si>
    <t>1.1.1.1.1.3.2.40.1</t>
  </si>
  <si>
    <t>1.1.1.1.1.3.2.40.2</t>
  </si>
  <si>
    <t>1.1.1.1.1.3.2.41</t>
  </si>
  <si>
    <t>3 этаж. ПТ-4.3</t>
  </si>
  <si>
    <t>1.1.1.1.1.3.2.41.1</t>
  </si>
  <si>
    <t>Матовая моющаяся влагостойкая водно-дисперсионная краска, RAL 7016, КМ1</t>
  </si>
  <si>
    <t>1.1.1.1.1.3.2.41.2</t>
  </si>
  <si>
    <t>1.1.1.1.1.3.2.42</t>
  </si>
  <si>
    <t>3 этаж. ПТ-5.1</t>
  </si>
  <si>
    <t>1.1.1.1.1.3.2.42.1</t>
  </si>
  <si>
    <t>1.1.1.1.1.3.2.42.2</t>
  </si>
  <si>
    <t>Краска негорючая ANTEGA СТРОИТЕЛЬ, RAL 9003, 1 класс истирания, КМ0</t>
  </si>
  <si>
    <t>1.1.1.1.1.3.2.43</t>
  </si>
  <si>
    <t>3 этаж. ПТ-5.2</t>
  </si>
  <si>
    <t>1.1.1.1.1.3.2.43.1</t>
  </si>
  <si>
    <t>1.1.1.1.1.3.2.43.2</t>
  </si>
  <si>
    <t>1.1.1.1.1.4</t>
  </si>
  <si>
    <t>6.3.1.5.4</t>
  </si>
  <si>
    <t>Монтаж потолочных конструкций</t>
  </si>
  <si>
    <t>1.1.1.1.1.4.1</t>
  </si>
  <si>
    <t>6.3.1.5.4.1.2</t>
  </si>
  <si>
    <t>Монтаж подвесного потолка / типа Армстронг, Грильято</t>
  </si>
  <si>
    <t>3 этаж. ПТ-3</t>
  </si>
  <si>
    <t>1.1.1.1.1.4.1.1</t>
  </si>
  <si>
    <t>Подвесной потолок из ПВС со скрытой подвесной системой / Hook-On Албес TM Perfaten / 1200х600 мм</t>
  </si>
  <si>
    <t>Негорючая потолочная плита Uniproc,
арт. Унипрок НГ, Тип ПП-6АГ; кромка прямая. Размер плиты: 1200х600х6мм, цвет RAL 9016, КМ0</t>
  </si>
  <si>
    <t>1.1.1.1.1.4.2</t>
  </si>
  <si>
    <t>3 этаж. ПТ-6</t>
  </si>
  <si>
    <t>1.1.1.1.1.4.2.1</t>
  </si>
  <si>
    <t>Подвесные акустические панели / Белый Frost / Ecophon Solo Baffle  / 1200х600х40 мм</t>
  </si>
  <si>
    <t>Подвесной потолок из минирального волокна Акустик Групп "Ecophon Focus", кромка А-15, 1200х600мм, белый, КМ1</t>
  </si>
  <si>
    <t>1.1.1.1.1.4.3</t>
  </si>
  <si>
    <t>3 этаж. ПТ-7</t>
  </si>
  <si>
    <t>1.1.1.1.1.4.3.1</t>
  </si>
  <si>
    <t>Подвесной потолок Армстронг / Белый</t>
  </si>
  <si>
    <t>Подвесной кассетный металлический потолок Albes "TEGULAR", 600х600мм, кассета АР600А6/90*Т-24, RAL 9003, белый, КМ0</t>
  </si>
  <si>
    <t>1.1.1.1.1.4.4</t>
  </si>
  <si>
    <t>3 этаж. ПТ-8.1</t>
  </si>
  <si>
    <t>1.1.1.1.1.4.4.1</t>
  </si>
  <si>
    <t>Подвесной потолок ГРИЛЬЯТО_ / белый / 100х100х40мм</t>
  </si>
  <si>
    <t>1.1.1.1.1.4.5</t>
  </si>
  <si>
    <t>3 этаж. ПТ-8.2</t>
  </si>
  <si>
    <t>1.1.1.1.1.4.5.1</t>
  </si>
  <si>
    <t>Подвесной потолок ГРИЛЬЯТО_/черный/100*100*40мм</t>
  </si>
  <si>
    <t>1.1.1.1.1.4.6</t>
  </si>
  <si>
    <t>2 этаж. ПТ-3</t>
  </si>
  <si>
    <t>1.1.1.1.1.4.6.1</t>
  </si>
  <si>
    <t>Негорючая потолочная плита Uniproc, арт. Унипрок НГ, Тип ПП-6АГ; кромка прямая. Размер плиты: 1200х600х6мм, цвет RAL 9016, КМ0</t>
  </si>
  <si>
    <t>1.1.1.1.1.4.7</t>
  </si>
  <si>
    <t>2 этаж. ПТ-6</t>
  </si>
  <si>
    <t>1.1.1.1.1.4.7.1</t>
  </si>
  <si>
    <t>1.1.1.1.1.4.8</t>
  </si>
  <si>
    <t>2 этаж. ПТ-7</t>
  </si>
  <si>
    <t>1.1.1.1.1.4.8.1</t>
  </si>
  <si>
    <t>1.1.1.1.1.4.9</t>
  </si>
  <si>
    <t>2 этаж. ПТ-8.1</t>
  </si>
  <si>
    <t>1.1.1.1.1.4.9.1</t>
  </si>
  <si>
    <t>1.1.1.1.1.4.10</t>
  </si>
  <si>
    <t>2 этаж. ПТ-8.2</t>
  </si>
  <si>
    <t>1.1.1.1.1.4.10.1</t>
  </si>
  <si>
    <t>1.1.1.1.1.4.11</t>
  </si>
  <si>
    <t>6.3.1.5.4.1.3</t>
  </si>
  <si>
    <t>Монтаж подвесного потолка / из ГКЛ в 1 слой с применением профиля ПП</t>
  </si>
  <si>
    <t>3 этаж. ПТ-4.1, ПТ-4.3</t>
  </si>
  <si>
    <t>1.1.1.1.1.4.11.1</t>
  </si>
  <si>
    <t>Удлинитель профилей_/потолочный/60*27</t>
  </si>
  <si>
    <t>1.1.1.1.1.4.11.2</t>
  </si>
  <si>
    <t>Шуруп со сверлом_/3,5*11</t>
  </si>
  <si>
    <t>1.1.1.1.1.4.11.3</t>
  </si>
  <si>
    <t>1.1.1.1.1.4.11.4</t>
  </si>
  <si>
    <t>Соединитель профилей одноуровневый_/потолочный/60*27</t>
  </si>
  <si>
    <t>1.1.1.1.1.4.11.5</t>
  </si>
  <si>
    <t>1.1.1.1.1.4.11.6</t>
  </si>
  <si>
    <t>Лента Дихтунгсбанд_/50мм</t>
  </si>
  <si>
    <t>1.1.1.1.1.4.11.7</t>
  </si>
  <si>
    <t>Лента армирующая ( серпянка)_/50мм</t>
  </si>
  <si>
    <t>1.1.1.1.1.4.11.8</t>
  </si>
  <si>
    <t>Профиль_/направляющий/75*40*0,40/3м</t>
  </si>
  <si>
    <t>1.1.1.1.1.4.11.9</t>
  </si>
  <si>
    <t>Профиль_/потолочный/60*27*0,40/3м</t>
  </si>
  <si>
    <t>1.1.1.1.1.4.11.10</t>
  </si>
  <si>
    <t>Подвес профиля прямой_/потолочный/60*27</t>
  </si>
  <si>
    <t>1.1.1.1.1.4.11.11</t>
  </si>
  <si>
    <t>1.1.1.1.1.4.11.12</t>
  </si>
  <si>
    <t>1.1.1.1.1.4.11.13</t>
  </si>
  <si>
    <t>Анкер-клин_/6*40</t>
  </si>
  <si>
    <t>1.1.1.1.1.4.12</t>
  </si>
  <si>
    <t>3 этаж. ПТ-5.1, ПТ-5.2</t>
  </si>
  <si>
    <t>1.1.1.1.1.4.12.1</t>
  </si>
  <si>
    <t>1.1.1.1.1.4.12.2</t>
  </si>
  <si>
    <t>1.1.1.1.1.4.12.3</t>
  </si>
  <si>
    <t>1.1.1.1.1.4.12.4</t>
  </si>
  <si>
    <t>1.1.1.1.1.4.12.5</t>
  </si>
  <si>
    <t>1.1.1.1.1.4.12.6</t>
  </si>
  <si>
    <t>1.1.1.1.1.4.12.7</t>
  </si>
  <si>
    <t>1.1.1.1.1.4.12.8</t>
  </si>
  <si>
    <t>1.1.1.1.1.4.12.9</t>
  </si>
  <si>
    <t>1.1.1.1.1.4.12.10</t>
  </si>
  <si>
    <t>1.1.1.1.1.4.12.11</t>
  </si>
  <si>
    <t>1.1.1.1.1.4.12.12</t>
  </si>
  <si>
    <t>1.1.1.1.1.4.13</t>
  </si>
  <si>
    <t>2 этаж. ПТ-4.1, ПТ-4.3</t>
  </si>
  <si>
    <t>1.1.1.1.1.4.13.1</t>
  </si>
  <si>
    <t>1.1.1.1.1.4.13.2</t>
  </si>
  <si>
    <t>1.1.1.1.1.4.13.3</t>
  </si>
  <si>
    <t>1.1.1.1.1.4.13.4</t>
  </si>
  <si>
    <t>1.1.1.1.1.4.13.5</t>
  </si>
  <si>
    <t>1.1.1.1.1.4.13.6</t>
  </si>
  <si>
    <t>1.1.1.1.1.4.13.7</t>
  </si>
  <si>
    <t>1.1.1.1.1.4.13.8</t>
  </si>
  <si>
    <t>1.1.1.1.1.4.13.9</t>
  </si>
  <si>
    <t>1.1.1.1.1.4.13.10</t>
  </si>
  <si>
    <t>1.1.1.1.1.4.13.11</t>
  </si>
  <si>
    <t>1.1.1.1.1.4.14</t>
  </si>
  <si>
    <t>2 этаж. ПТ-5.1, ПТ-5.2</t>
  </si>
  <si>
    <t>1.1.1.1.1.4.14.1</t>
  </si>
  <si>
    <t>1.1.1.1.1.4.14.2</t>
  </si>
  <si>
    <t>1.1.1.1.1.4.14.3</t>
  </si>
  <si>
    <t>1.1.1.1.1.4.14.4</t>
  </si>
  <si>
    <t>1.1.1.1.1.4.14.5</t>
  </si>
  <si>
    <t>1.1.1.1.1.4.14.6</t>
  </si>
  <si>
    <t>1.1.1.1.1.4.14.7</t>
  </si>
  <si>
    <t>1.1.1.1.1.4.14.8</t>
  </si>
  <si>
    <t>1.1.1.1.1.4.14.9</t>
  </si>
  <si>
    <t>1.1.1.1.1.4.14.10</t>
  </si>
  <si>
    <t>1.1.1.1.1.4.14.11</t>
  </si>
  <si>
    <t>1.1.1.1.1.4.15</t>
  </si>
  <si>
    <t>6.3.1.5.4.2.1</t>
  </si>
  <si>
    <t>Надбавка за монтаж подвесного потолка при высоте более 3,2 м, включая использование лесов и подмостей</t>
  </si>
  <si>
    <t>1.1.1.1.1.5</t>
  </si>
  <si>
    <t>6.3.1.5.5</t>
  </si>
  <si>
    <t>Дверные блоки</t>
  </si>
  <si>
    <t>1.1.1.1.1.5.1</t>
  </si>
  <si>
    <t>6.3.1.5.5.2.1</t>
  </si>
  <si>
    <t>Установка межкомнатных деревянных дверных блоков</t>
  </si>
  <si>
    <t>Дверь Mario Rioli (КП от 01.12.2025). Тип: Д-5</t>
  </si>
  <si>
    <t>1.1.1.1.1.5.1.1</t>
  </si>
  <si>
    <t>Межкомнатные двери Mario Rioli_ / Pronto 600 / Лиственница белая  / Д-26Л, Д-27Л, Д-28Л/ЛЕВ/ЦИЛ/РИГ_2/ХР /ПЕТ_MOR/КР по 3/ДК  /  2000 х 900 х 40/ДК 4.3.90 ПВХ</t>
  </si>
  <si>
    <t>Д-5. 2100х1000. "ГОСТ 475-2016 ДВ 1 Рп 21х10 Г Пр Мд3 ПУИ 1000 2100, не менее 800 мм, ширина полотна 900 мм Инженерный массив/фанера (по технологии производителя) + МДФ 6 мм с двух сторон Светлое дерево, выпадающий противопожарный цилиндр ключ - завертка со стороны помещения - Нажимная без задержки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</si>
  <si>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1.1.1.1.1.5.2</t>
  </si>
  <si>
    <t>Дверь Mario Rioli (КП от 01.12.2025). Тип: Д-5(л)</t>
  </si>
  <si>
    <t>1.1.1.1.1.5.2.1</t>
  </si>
  <si>
    <t>Д-5(л). 2100х1000. ГОСТ 475-2016 ДВ 1 Рл 21х10 Г Пр Мд3 ПУИ 1000 2100, не менее 800 мм, ширина полотна 900 мм Инженерный массив/фанера (по технологии производителя) + МДФ 6 мм с двух сторон Светлое дерево, выпадающий противопожарный цилиндр ключ - завертка со стороны помещения - Нажимная без задержки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</si>
  <si>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1.1.1.1.1.5.3</t>
  </si>
  <si>
    <t>Дверь Mario Rioli (КП от 01.12.2025). Тип: Д-6(л)</t>
  </si>
  <si>
    <t>1.1.1.1.1.5.3.1</t>
  </si>
  <si>
    <t>Д-5(л). 2100х1000. "ГОСТ 475-2016 ДВ 1 Рл 21х10 Г Пр Мд3 С/У медблока 1000 2100, не менее 800 мм, ширина полотна 900 мм Инженерный массив/фанера (по технологии производителя) + МДФ 6 мм с двух сторон Светлое дерево, выпадающий противопожарный цилиндр ключ - завертка со стороны помещения - Нажимная без задержки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</si>
  <si>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1.1.1.1.1.5.4</t>
  </si>
  <si>
    <t>Дверь Mario Rioli (КП от 01.12.2025). Тип: Д-7(л)</t>
  </si>
  <si>
    <t>1.1.1.1.1.5.4.1</t>
  </si>
  <si>
    <t>Д-6(л) 2100х1000. "ГОСТ 475-2016 ДВ 1 Рл 21х10 Г Пр Мд3 Помещение для приготовления дезинфицирующих растворов и хранения уборочного инвентаря 1000 2100, не менее 800 мм, ширина полотна 900 мм. Инженерный массив/фанера (по технологии производителя) + МДФ 6 мм с двух сторон, RAL 9003 , Выпадающий противопожарный цилиндр ключ - завертка со стороны помещения - Нажимная без задержки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</si>
  <si>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1.1.1.1.1.5.5</t>
  </si>
  <si>
    <t>Дверь Mario Rioli (КП от 01.12.2025). Тип: Д-11</t>
  </si>
  <si>
    <t>1.1.1.1.1.5.5.1</t>
  </si>
  <si>
    <t>Межкомнатные двери Mario Rioli_ / Pronto 600 / Лиственница белая  / Д-26 прав /ПР/ЦИЛ/РИГ_2/ХР /ПЕТ_MOR/КР по 3/ДК /  2000 х 900 х 40/ДК 4.3.90 ПВХ</t>
  </si>
  <si>
    <t>Д-7(л), 2100х1150. "ГОСТ 475-2016 ДВ 1 Рп 21х11,5 Г Пр Мд3 С/У персонала и КЛГ 1150 2100, не менее 900 мм, ширина полотна 1050 мм Инженерный массив/фанера (по технологии производителя) + МДФ 6 мм с двух сторон, Светлое дерево, Выпадающий противопожарный
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</si>
  <si>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1.1.1.1.1.5.6</t>
  </si>
  <si>
    <t>Дверь Mario Rioli (КП от 01.12.2025). Тип: Д-11(л)</t>
  </si>
  <si>
    <t>1.1.1.1.1.5.6.1</t>
  </si>
  <si>
    <t>Д-11(л), 2100х1150. ГОСТ 475-2016 ДВ 1 Рл 21х11,5 Г Пр Мд3 С/У персонала и КЛГ 1150 2100, не менее 900 мм, ширина полотна 1050 мм Инженерный массив/фанера (по технологии производителя) + МДФ 6 мм с двух сторон, Светлое дерево, Выпадающий противопожарный
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</si>
  <si>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1.1.1.1.1.5.7</t>
  </si>
  <si>
    <t>Дверь Mario Rioli (КП от 01.12.2025). Тип: Д-11.2</t>
  </si>
  <si>
    <t>1.1.1.1.1.5.7.1</t>
  </si>
  <si>
    <t>Д-11.2, 2100х1150. "ГОСТ 475-2016 ДВ 1 Рп 21х11,5 Г Пр Мд3 С/У МГН, раздевальные МГН в спортблоке 1150 2100 не менее 900 мм, ширина полотна 1050 мм Инженерный массив/фанера (по технологии производителя) + МДФ 6 мм с двух сторон Светлое дерево, Выпадающий противопожарный сантехнический фиксатор с открыванием снаружи в экстренных случаях для оказания помощи и знаком индикации «занято/свободно» - Нажимная с задержкой закрывания Телескопическая коробка с добором, наличники с двух сторон, С обеих сторон - Уплотнение в притворах, укомплектовать стопором, запирающим устройством с открыванием снаружи в экстренных случаях для оказания помощи и знаком индикации «занято/свободно». Дверь во влагостойком исполнении (обеспечить возможность проведения влажной дезинфекции поверхностей полотен).</t>
  </si>
  <si>
    <t>1.1.1.1.1.5.8</t>
  </si>
  <si>
    <t>Дверь Mario Rioli (КП от 01.12.2025). Тип: Д-11.2(л)</t>
  </si>
  <si>
    <t>1.1.1.1.1.5.8.1</t>
  </si>
  <si>
    <t>Д-11.2(л), 2100х1150. "ГОСТ 475-2016 ДВ 1 Рп 21х11,5 Г Пр Мд3 С/У МГН, раздевальные МГН в спортблоке 1150 2100 не менее 900 мм, ширина полотна 1050 мм Инженерный массив/фанера (по технологии производителя) + МДФ 6 мм с двух сторон Светлое дерево, Выпадающий противопожарный сантехнический фиксатор с открыванием снаружи в экстренных случаях для оказания  помощи и знаком индикации «занято/свободно» - Нажимная с задержкой закрывания Телескопическая коробка с добором, наличники с двух сторон, С обеих сторон - Уплотнение в притворах, укомплектовать стопором, запирающим устройством с открыванием снаружи в экстренных случаях для оказания помощи и знаком индикации «занято/свободно». Дверь во влагостойком исполнении (обеспечить возможность проведения влажной дезинфекции поверхностей полотен).</t>
  </si>
  <si>
    <t>1.1.1.1.1.5.9</t>
  </si>
  <si>
    <t>Дверь Mario Rioli (КП от 01.12.2025). Тип: Д-12</t>
  </si>
  <si>
    <t>1.1.1.1.1.5.9.1</t>
  </si>
  <si>
    <t>Д-12, 2100х1150. ГОСТ 475-2016 ДВ 1 Рп 21х11,5 Г Пр Мд3 С/У для мальчиков и девочек 1150 2100, не менее 900 мм, ширина полотна 1050 мм Инженерный массив/фанера (по технологии производителя) + МДФ 6 мм с двух сторон, Светлое дерево, Выпадающий противопожарный
без замка, защелка-язычок - Нажимная с задержкой закрывания -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</si>
  <si>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1.1.1.1.1.5.10</t>
  </si>
  <si>
    <t>Дверь Mario Rioli (КП от 01.12.2025). Тип: Д-12(л)</t>
  </si>
  <si>
    <t>1.1.1.1.1.5.10.1</t>
  </si>
  <si>
    <t>Д-12(л), 2100х1150. "ГОСТ 475-2016 ДВ 1 Рл 21х11,5 Г Пр Мд3 С/У для мальчиков и девочек 1150 2100, не менее 900 мм, ширина полотна 1050 мм Инженерный массив/фанера (по технологии производителя) + МДФ 6 мм с двух сторон, Светлое дерево, Выпадающий противопожарный
без замка, защелка-язычок - Нажимная с задержкой закрывания -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</si>
  <si>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1.1.1.1.1.5.11</t>
  </si>
  <si>
    <t>Дверь Mario Rioli (КП от 01.12.2025). Тип: Д-15*</t>
  </si>
  <si>
    <t>1.1.1.1.1.5.11.1</t>
  </si>
  <si>
    <t>Д-15*, 2100х1150. Индивидуальное изготовление ДВ 1 Рп 21х11,5 Г ПО Мд3 EI30 Кладовая инвентаря, помещение для установки оборудования 1150 2100, не менее 900 мм, ширина полотна 1050 мм Инженерный массив/фанера (по технологии производителя) + МДФ 6 мм с двух сторон, Светлое дерево,EI30 - Выпадающий противопожарный,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</si>
  <si>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1.1.1.1.1.5.12</t>
  </si>
  <si>
    <t>Дверь Mario Rioli (КП от 01.12.2025). Тип: Д-15*(л)</t>
  </si>
  <si>
    <t>1.1.1.1.1.5.12.1</t>
  </si>
  <si>
    <t>Д-15*(л), 2100х1150. Индивидуальное изготовление ДВ 1 Рл 21х11,5 Г ПО Мд3 EI30 Кладовая инвентаря, помещение для установки оборудования 1150 2100, не менее 900 мм, ширина полотна 1050 мм Инженерный массив/фанера (по технологии производителя) + МДФ 6 мм с двух сторон, Светлое дерево,EI30 - Выпадающий противопожарный,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</si>
  <si>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1.1.1.1.1.5.13</t>
  </si>
  <si>
    <t>Дверь Mario Rioli (КП от 01.12.2025). Тип: Д-16</t>
  </si>
  <si>
    <t>1.1.1.1.1.5.13.1</t>
  </si>
  <si>
    <t>Д-16, 2100х1150. "ГОСТ 475-2016 ДВ 1 Рп 21х11,5 Г Пр Мд3 Комната инструктора, Раздевальные (спортблок) 1150 2100, не менее 900 мм, ширина полотна 1050 мм Инженерный массив/фанера (по технологии производителя) + МДФ 6 мм с двух сторон Светлое дерево,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</si>
  <si>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1.1.1.1.1.5.14</t>
  </si>
  <si>
    <t>Дверь Mario Rioli (КП от 01.12.2025). Тип: Д-16(л)</t>
  </si>
  <si>
    <t>1.1.1.1.1.5.14.1</t>
  </si>
  <si>
    <t>Межкомнатные двери Mario Rioli_ / Pronto 600 / Лиственница белая  / ДГ-22Л лев с\у/ЛЕ/APECS_WC_2/ХР /ПЕТ_MOR/КР по 3/ДК  / 2000 х 700 х 40/ДК 4.3.90 ПВХ</t>
  </si>
  <si>
    <t>Д-16(л), 2100х1150. "ГОСТ 475-2016 ДВ 1 Рл 21х11,5 Г Пр Мд3 Комната инструктора, Раздевальные (спортблок) 1150 2100, не менее 900 мм, ширина полотна 1050 мм Инженерный массив/фанера (по технологии производителя) + МДФ 6 мм с двух сторон Светлое дерево,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</si>
  <si>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1.1.1.1.1.5.15</t>
  </si>
  <si>
    <t>Дверь Mario Rioli (КП от 01.12.2025). Тип: Д-17*</t>
  </si>
  <si>
    <t>1.1.1.1.1.5.15.1</t>
  </si>
  <si>
    <t>Д-17*, 2100х1150. "Индивидуальное изготовление ДВ 1 Рп 21х11,5 Г ПО Мд3 EI30 Лаборантские 1150 2100, не менее 900 мм, ширина полотна 1050 мм Инженерный массив/фанера (по технологии производителя) + МДФ 6 мм с двух сторон Светлое дерево EI30 -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СКУД на вход и выход Уплотнение в притворах, укомплектовать стопором.</t>
  </si>
  <si>
    <t>1.1.1.1.1.5.16</t>
  </si>
  <si>
    <t>Дверь Mario Rioli (КП от 01.12.2025). Тип: Д-17*(л)</t>
  </si>
  <si>
    <t>1.1.1.1.1.5.16.1</t>
  </si>
  <si>
    <t>Д-17*(л), 2100х1150. "Индивидуальное изготовление ДВ 1 Рл 21х11,5 Г ПО Мд3 EI30 Лаборантские 1150 2100, не менее 900 мм, ширина полотна 1050 мм Инженерный массив/фанера (по технологии производителя) + МДФ 6 мм с двух сторон Светлое дерево EI30 -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СКУД на вход и выход Уплотнение в притворах, укомплектовать стопором.</t>
  </si>
  <si>
    <t>1.1.1.1.1.5.17</t>
  </si>
  <si>
    <t>Дверь Mario Rioli (КП от 01.12.2025). Тип: Д-20*</t>
  </si>
  <si>
    <t>1.1.1.1.1.5.17.1</t>
  </si>
  <si>
    <t>Д-20*, 2100х1150. Индивидуальное изготовление ДВ 1 Рп 21х11,5 Г ПО Мд3 EIS60 Технический центр 1150 2100, не менее 900 мм, ширина полотна 1050 мм Инженерный массив/фанера (по технологии производителя) + МДФ 6 мм с двух сторон RAL 9003 EIS60 -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</si>
  <si>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1.1.1.1.1.5.18</t>
  </si>
  <si>
    <t>Дверь Mario Rioli (КП от 01.12.2025). Тип: Д-21</t>
  </si>
  <si>
    <t>1.1.1.1.1.5.18.1</t>
  </si>
  <si>
    <t>Д-21, 2100х1150. "ГОСТ 475-2016 ДВ 1 Рп 21х11,5 Г Пр Мд3 Артистическая 1150 2100. не менее 900 мм, ширина полотна 1050 мм Инженерный массив/фанера (по технологии производителя) + МДФ 6 мм с двух сторон Светлое дерево.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</si>
  <si>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1.1.1.1.1.5.19</t>
  </si>
  <si>
    <t>Дверь Mario Rioli (КП от 01.12.2025). Тип: Д-22*</t>
  </si>
  <si>
    <t>1.1.1.1.1.5.19.1</t>
  </si>
  <si>
    <t>Д-22*, 2100х1150. "ГОСТ 475-2016 ДВ 1 Рп 21х11,5 Г Пр Мд3 Артистическая 1150 2100. не менее 900 мм, ширина полотна 1050 мм Инженерный массив/фанера (по технологии производителя) + МДФ 6 мм с двух сторон Светлое дерево.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</si>
  <si>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1.1.1.1.1.5.20</t>
  </si>
  <si>
    <t>Дверь Mario Rioli (КП от 01.12.2025). Тип: Д-22*(л)</t>
  </si>
  <si>
    <t>1.1.1.1.1.5.20.1</t>
  </si>
  <si>
    <t>Д-22*(л), 2100х1150. "Индивидуальное изготовление ДВ 1 Рл 21х11,5 Г ПО Мд3 EI30 Артистическая, кладовая 1150 2100 , не менее 900 мм, ширина полотна 1050 мм Инженерный массив/фанера (по технологии производителя) + МДФ 6 мм с двух сторон Светлое дерево EI30 -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</si>
  <si>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1.1.1.1.1.5.21</t>
  </si>
  <si>
    <t>Дверь Mario Rioli (КП от 01.12.2025). Тип: Д-23</t>
  </si>
  <si>
    <t>1.1.1.1.1.5.21.1</t>
  </si>
  <si>
    <t>Д-23, 2100х 1150. "ГОСТ 475-2016 ДВ 1 Рп 21х11,5 Г Пр Мд3 Кабинет врача, Процедурный кабинет, Прививочный кабинет. 1150 2100, не менее 900 мм, ширина полотна 1050 мм, Инженерный массив/фанера (по технологии производителя) + МДФ 6 мм с двух сторон Светлое дерево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</si>
  <si>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1.1.1.1.1.5.22</t>
  </si>
  <si>
    <t>Дверь Mario Rioli (КП от 01.12.2025). Тип: Д-24</t>
  </si>
  <si>
    <t>1.1.1.1.1.5.22.1</t>
  </si>
  <si>
    <t>Д-24, 2100х1150. "ГОСТ 475-2016 ДВ 1 Рп 21х11,5 Г Пр Мд3 Кабинет психолога, Кабинет логопеда 1150 2100, не менее 900 мм, ширина полотна 1050 мм Инженерный массив/фанера (по технологии производителя) + МДФ 6 мм с двух сторон Светлое дерево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</t>
  </si>
  <si>
    <t>1.1.1.1.1.5.23</t>
  </si>
  <si>
    <t>Дверь Mario Rioli (КП от 01.12.2025). Тип: Д-25</t>
  </si>
  <si>
    <t>1.1.1.1.1.5.23.1</t>
  </si>
  <si>
    <t>Д-25, 2100х1150. "ГОСТ 475-2016 ДВ 1 Рп 21х11,5 Г Пр Мд3 Административный кабинет 1150 2100, не менее 900 мм, ширина полотна 1050 мм Инженерный массив/фанера (по технологии производителя) + МДФ 6 мм с двух сторон, Светлое дерево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</si>
  <si>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1.1.1.1.1.5.24</t>
  </si>
  <si>
    <t>Дверь Mario Rioli (КП от 01.12.2025). Тип: Д-32(л)</t>
  </si>
  <si>
    <t>1.1.1.1.1.5.24.1</t>
  </si>
  <si>
    <t>Д-32(л), 2400х1650. "ГОСТ 475-2016 ДВ 2 Рл 24х16,5 Г Пр Мд3 Студия драмкружка 1650 2400  не менее 1200 мм, ширина основного полотна 1000 мм Инженерный массив/фанера (по технологии производителя) + МДФ 6 мм с двух сторон, Светлое дерево Выпадающий противопожарный замок в составе антипаники Антипаника на обе створки Антипаника изнутри на обе створки, нажимная ручка снаружи на основную створку с задержкой закрывания, на обе створки. Координатор без шпингалета Телескопическая коробка с добором, наличники с двух сторон. С обеих сторон - Уплотнение в притворах, укомплектовать стопором.</t>
  </si>
  <si>
    <t>1.1.1.1.1.5.25</t>
  </si>
  <si>
    <t>Дверь Mario Rioli (КП от 01.12.2025). Тип: Д-33*</t>
  </si>
  <si>
    <t>1.1.1.1.1.5.25.1</t>
  </si>
  <si>
    <t>Д-33*, 2400х1650. "Индивидуальное изготовление ДВ 2 Рп 24х16,5 Г ПО Мд3 EI30 Студия драмкружка 1650 2400, не менее 1200 мм, ширина основного полотна 1000 мм Инженерный массив/фанера (по технологии производителя) + МДФ 6 мм с двух сторон Светлое дерево, EI30 , Выпадающий противопожарный замок в составе  антипаники, Антипаника на обе створки Антипаника изнутри на обе створки, нажимная ручка снаружи на основную створку, с задержкой закрывания, на обе створки. Координатор без шпингалета Телескопическая коробка с добором, наличники с двух сторон. С обеих сторон - Уплотнение в притворах, укомплектовать стопором.</t>
  </si>
  <si>
    <t>1.1.1.1.1.5.26</t>
  </si>
  <si>
    <t>Дверь Mario Rioli (КП от 01.12.2025). Тип: Д-34*</t>
  </si>
  <si>
    <t>1.1.1.1.1.5.26.1</t>
  </si>
  <si>
    <t>Д-34*, 2400х2200. "Индивидуальное изготовление изготовление ДВ 2 Рп 24х22 Г ПО Мд3 EI30 Снарядная (спортблок) 2200 2400, не менее 1200 мм, ширина основного полотна 1000 мм, Инженерный массив/фанера (по технологии производителя) + МДФ 6 мм с двух сторон Светлое дерево, EI30 - Выпадающий противопожарный цилиндр ключ - завертка со стороны помещения, Нажимная на основную створку,  задержкой закрывания, на обе створки. Координатор обычный Телескопическая коробка с добором, наличники с двух сторон. С обеих сторон - Уплотнение в притворах, укомплектовать стопором.</t>
  </si>
  <si>
    <t>1.1-Пт</t>
  </si>
  <si>
    <t>2.1-Пт</t>
  </si>
  <si>
    <t>- затирка;
- грунтовка "Бетоноконтакт";
- шпатлёвка;
- грунтовка глубокого
проникновения
δ = 5 мм</t>
  </si>
  <si>
    <t>Столбец2</t>
  </si>
  <si>
    <r>
      <rPr>
        <i/>
        <sz val="10"/>
        <rFont val="ГОСТ тип А"/>
        <family val="2"/>
        <charset val="204"/>
      </rPr>
      <t>Наименование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помещения</t>
    </r>
  </si>
  <si>
    <r>
      <rPr>
        <i/>
        <sz val="10"/>
        <rFont val="ГОСТ тип А"/>
        <family val="2"/>
        <charset val="204"/>
      </rPr>
      <t>Универсальное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помещение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возможностью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проведения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занятий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во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внеурочное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время,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в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том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числе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групп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продленного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дня</t>
    </r>
  </si>
  <si>
    <r>
      <rPr>
        <i/>
        <sz val="10"/>
        <rFont val="ГОСТ тип А"/>
        <family val="2"/>
        <charset val="204"/>
      </rPr>
      <t>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обеспыливание;
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грунтовка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глубокого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проникновения;
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подвесной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потолок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(см.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раздел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АИ)</t>
    </r>
  </si>
  <si>
    <r>
      <rPr>
        <i/>
        <sz val="10"/>
        <rFont val="ГОСТ тип А"/>
        <family val="2"/>
        <charset val="204"/>
      </rPr>
      <t>Рекреация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начальных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классов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(с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коридором)</t>
    </r>
  </si>
  <si>
    <r>
      <rPr>
        <i/>
        <sz val="10"/>
        <rFont val="ГОСТ тип А"/>
        <family val="2"/>
        <charset val="204"/>
      </rPr>
      <t>Кабинет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рабочим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пространством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учителей</t>
    </r>
  </si>
  <si>
    <r>
      <rPr>
        <i/>
        <sz val="10"/>
        <rFont val="ГОСТ тип А"/>
        <family val="2"/>
        <charset val="204"/>
      </rPr>
      <t>Административный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кабинет</t>
    </r>
  </si>
  <si>
    <r>
      <rPr>
        <i/>
        <sz val="10"/>
        <rFont val="ГОСТ тип А"/>
        <family val="2"/>
        <charset val="204"/>
      </rPr>
      <t>Верхние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ряды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актового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зала</t>
    </r>
  </si>
  <si>
    <r>
      <rPr>
        <i/>
        <sz val="10"/>
        <rFont val="ГОСТ тип А"/>
        <family val="2"/>
        <charset val="204"/>
      </rPr>
      <t>Технический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центр</t>
    </r>
  </si>
  <si>
    <r>
      <rPr>
        <i/>
        <sz val="10"/>
        <rFont val="ГОСТ тип А"/>
        <family val="2"/>
        <charset val="204"/>
      </rPr>
      <t>Лестничная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клетка</t>
    </r>
  </si>
  <si>
    <r>
      <rPr>
        <i/>
        <sz val="10"/>
        <rFont val="ГОСТ тип А"/>
        <family val="2"/>
        <charset val="204"/>
      </rPr>
      <t>Лифтовый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холл.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Зона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безопасности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МГН</t>
    </r>
  </si>
  <si>
    <r>
      <rPr>
        <i/>
        <sz val="10"/>
        <rFont val="ГОСТ тип А"/>
        <family val="2"/>
        <charset val="204"/>
      </rPr>
      <t>Санузел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девочек</t>
    </r>
  </si>
  <si>
    <r>
      <rPr>
        <i/>
        <sz val="10"/>
        <rFont val="ГОСТ тип А"/>
        <family val="2"/>
        <charset val="204"/>
      </rPr>
      <t>Помещение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уборочного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инвентаря</t>
    </r>
  </si>
  <si>
    <r>
      <rPr>
        <i/>
        <sz val="10"/>
        <rFont val="ГОСТ тип А"/>
        <family val="2"/>
        <charset val="204"/>
      </rPr>
      <t>Учебный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кабинет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(2-4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классы)</t>
    </r>
  </si>
  <si>
    <r>
      <rPr>
        <i/>
        <sz val="10"/>
        <rFont val="ГОСТ тип А"/>
        <family val="2"/>
        <charset val="204"/>
      </rPr>
      <t>Санузел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мальчиков</t>
    </r>
  </si>
  <si>
    <r>
      <rPr>
        <i/>
        <sz val="10"/>
        <rFont val="ГОСТ тип А"/>
        <family val="2"/>
        <charset val="204"/>
      </rPr>
      <t>Туалет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МГН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детей)</t>
    </r>
  </si>
  <si>
    <r>
      <rPr>
        <i/>
        <sz val="10"/>
        <rFont val="ГОСТ тип А"/>
        <family val="2"/>
        <charset val="204"/>
      </rPr>
      <t>Санузел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персонала,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комната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личной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гигиены</t>
    </r>
  </si>
  <si>
    <r>
      <rPr>
        <i/>
        <sz val="10"/>
        <rFont val="ГОСТ тип А"/>
        <family val="2"/>
        <charset val="204"/>
      </rPr>
      <t>Многофункциональный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информационный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библиотечный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центр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зонами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индивидуальных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групповых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занятий,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медиатеки,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хранения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закрытый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фонд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выдачи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книг</t>
    </r>
  </si>
  <si>
    <t>Раздевальная</t>
  </si>
  <si>
    <t>Душевая</t>
  </si>
  <si>
    <t>Туалет</t>
  </si>
  <si>
    <r>
      <rPr>
        <i/>
        <sz val="10"/>
        <rFont val="ГОСТ тип А"/>
        <family val="2"/>
        <charset val="204"/>
      </rPr>
      <t>Комната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инструктора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душем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туалетом)</t>
    </r>
  </si>
  <si>
    <r>
      <rPr>
        <i/>
        <sz val="10"/>
        <rFont val="ГОСТ тип А"/>
        <family val="2"/>
        <charset val="204"/>
      </rPr>
      <t>Раздевальная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МГН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душем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туалетом)</t>
    </r>
  </si>
  <si>
    <r>
      <rPr>
        <i/>
        <sz val="10"/>
        <rFont val="ГОСТ тип А"/>
        <family val="2"/>
        <charset val="204"/>
      </rPr>
      <t>Инвентарная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(снарядная)</t>
    </r>
  </si>
  <si>
    <r>
      <rPr>
        <i/>
        <sz val="10"/>
        <rFont val="ГОСТ тип А"/>
        <family val="2"/>
        <charset val="204"/>
      </rPr>
      <t>Кабинет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иностранного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языка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возможностью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деления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трансформируемой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перегородкой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на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два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помещения</t>
    </r>
  </si>
  <si>
    <r>
      <rPr>
        <i/>
        <sz val="10"/>
        <rFont val="ГОСТ тип А"/>
        <family val="2"/>
        <charset val="204"/>
      </rPr>
      <t>Универсальный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трансформируемый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спортивный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зал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18x30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разделительным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занавесом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на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электрическом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приводе</t>
    </r>
  </si>
  <si>
    <r>
      <rPr>
        <i/>
        <sz val="10"/>
        <rFont val="ГОСТ тип А"/>
        <family val="2"/>
        <charset val="204"/>
      </rPr>
      <t>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окраска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RAL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9003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(марку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огнестойкость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краски
см.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раздел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КР)</t>
    </r>
  </si>
  <si>
    <r>
      <rPr>
        <i/>
        <sz val="10"/>
        <rFont val="ГОСТ тип А"/>
        <family val="2"/>
        <charset val="204"/>
      </rPr>
      <t>Кабинет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музыки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пения</t>
    </r>
  </si>
  <si>
    <r>
      <rPr>
        <i/>
        <sz val="10"/>
        <rFont val="ГОСТ тип А"/>
        <family val="2"/>
        <charset val="204"/>
      </rPr>
      <t>Учебный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кабинет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универсального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назначения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5-9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классы)</t>
    </r>
  </si>
  <si>
    <r>
      <rPr>
        <i/>
        <sz val="10"/>
        <rFont val="ГОСТ тип А"/>
        <family val="2"/>
        <charset val="204"/>
      </rPr>
      <t>Рекреация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коридором</t>
    </r>
  </si>
  <si>
    <r>
      <rPr>
        <i/>
        <sz val="10"/>
        <rFont val="ГОСТ тип А"/>
        <family val="2"/>
        <charset val="204"/>
      </rPr>
      <t>Специализированный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учебный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кабинет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естествознания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(тип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В: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экология+география+ОБЖ)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зонами</t>
    </r>
  </si>
  <si>
    <t>Коридор</t>
  </si>
  <si>
    <r>
      <rPr>
        <i/>
        <sz val="10"/>
        <rFont val="ГОСТ тип А"/>
        <family val="2"/>
        <charset val="204"/>
      </rPr>
      <t>Лаборантская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тип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АВ)</t>
    </r>
  </si>
  <si>
    <r>
      <rPr>
        <i/>
        <sz val="10"/>
        <rFont val="ГОСТ тип А"/>
        <family val="2"/>
        <charset val="204"/>
      </rPr>
      <t>Инженерный
лабороторно-исследовательский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комплекс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возможностью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деления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трансформируемыми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перегородками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на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зоны</t>
    </r>
  </si>
  <si>
    <t>Лаборантская</t>
  </si>
  <si>
    <r>
      <rPr>
        <i/>
        <sz val="10"/>
        <rFont val="ГОСТ тип А"/>
        <family val="2"/>
        <charset val="204"/>
      </rPr>
      <t>Санузел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мальчиков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основной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средней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школы</t>
    </r>
  </si>
  <si>
    <r>
      <rPr>
        <i/>
        <sz val="10"/>
        <rFont val="ГОСТ тип А"/>
        <family val="2"/>
        <charset val="204"/>
      </rPr>
      <t>Санузел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девочек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основной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средней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школы</t>
    </r>
  </si>
  <si>
    <r>
      <rPr>
        <i/>
        <sz val="10"/>
        <rFont val="ГОСТ тип А"/>
        <family val="2"/>
        <charset val="204"/>
      </rPr>
      <t>Верхние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ряды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многофункционального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пространства</t>
    </r>
  </si>
  <si>
    <r>
      <rPr>
        <i/>
        <sz val="10"/>
        <rFont val="ГОСТ тип А"/>
        <family val="2"/>
        <charset val="204"/>
      </rPr>
      <t>Академический
лабораторно-исследовательский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комплекс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возможностью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деления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трансформируемыми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перегородками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на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зоны</t>
    </r>
  </si>
  <si>
    <r>
      <rPr>
        <i/>
        <sz val="10"/>
        <rFont val="ГОСТ тип А"/>
        <family val="2"/>
        <charset val="204"/>
      </rPr>
      <t>Лекционная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аудитория</t>
    </r>
  </si>
  <si>
    <t>Книгохранилище</t>
  </si>
  <si>
    <r>
      <rPr>
        <i/>
        <sz val="10"/>
        <rFont val="ГОСТ тип А"/>
        <family val="2"/>
        <charset val="204"/>
      </rPr>
      <t>Комната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личной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гигиены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девочек</t>
    </r>
  </si>
  <si>
    <r>
      <rPr>
        <i/>
        <sz val="10"/>
        <rFont val="ГОСТ тип А"/>
        <family val="2"/>
        <charset val="204"/>
      </rPr>
      <t>Зона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безопасности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МГН</t>
    </r>
  </si>
  <si>
    <r>
      <rPr>
        <i/>
        <sz val="10"/>
        <rFont val="ГОСТ тип А"/>
        <family val="2"/>
        <charset val="204"/>
      </rPr>
      <t>Шахматный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кружок</t>
    </r>
  </si>
  <si>
    <r>
      <rPr>
        <i/>
        <sz val="10"/>
        <rFont val="ГОСТ тип А"/>
        <family val="2"/>
        <charset val="204"/>
      </rPr>
      <t>Лабораторно-исследовательский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комплекс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изучения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естествознания</t>
    </r>
  </si>
  <si>
    <r>
      <rPr>
        <i/>
        <sz val="10"/>
        <rFont val="ГОСТ тип А"/>
        <family val="2"/>
        <charset val="204"/>
      </rPr>
      <t>Работы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по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черновой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отделке</t>
    </r>
  </si>
  <si>
    <r>
      <rPr>
        <i/>
        <sz val="10"/>
        <rFont val="ГОСТ тип А"/>
        <family val="2"/>
        <charset val="204"/>
      </rPr>
      <t>Учебный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кабинет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изучения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естествознания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(биология)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фронтальной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формой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обучения</t>
    </r>
  </si>
  <si>
    <r>
      <rPr>
        <i/>
        <sz val="10"/>
        <rFont val="ГОСТ тип А"/>
        <family val="2"/>
        <charset val="204"/>
      </rPr>
      <t>Учебный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кабинет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универсального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назначения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(10-11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классы)</t>
    </r>
  </si>
  <si>
    <r>
      <rPr>
        <i/>
        <sz val="10"/>
        <rFont val="ГОСТ тип А"/>
        <family val="2"/>
        <charset val="204"/>
      </rPr>
      <t>Специализированный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учебный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кабинет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естествознания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(тип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А: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физика+химия+биология)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зонами</t>
    </r>
  </si>
  <si>
    <r>
      <rPr>
        <i/>
        <sz val="10"/>
        <rFont val="ГОСТ тип А"/>
        <family val="2"/>
        <charset val="204"/>
      </rPr>
      <t>Лаборантская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тип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А)</t>
    </r>
  </si>
  <si>
    <r>
      <rPr>
        <i/>
        <sz val="10"/>
        <rFont val="ГОСТ тип А"/>
        <family val="2"/>
        <charset val="204"/>
      </rPr>
      <t>Кабинет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информатики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возможностью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деления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трансформируемой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перегородкой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на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два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помещения</t>
    </r>
  </si>
  <si>
    <r>
      <rPr>
        <i/>
        <sz val="10"/>
        <rFont val="ГОСТ тип А"/>
        <family val="2"/>
        <charset val="204"/>
      </rPr>
      <t>Медицинский
лабороторно-исследовательский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комплекс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возможностью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деления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трансформируемыми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перегородками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на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зоны</t>
    </r>
  </si>
  <si>
    <r>
      <rPr>
        <i/>
        <sz val="10"/>
        <rFont val="ГОСТ тип А"/>
        <family val="2"/>
        <charset val="204"/>
      </rPr>
      <t>IT-полигон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возможностью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деления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трансформируемыми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перегородками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на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зоны</t>
    </r>
  </si>
  <si>
    <r>
      <rPr>
        <i/>
        <sz val="10"/>
        <rFont val="ГОСТ тип А"/>
        <family val="2"/>
        <charset val="204"/>
      </rPr>
      <t>Мастерская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акварельной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живописи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рисунка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c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кладовой</t>
    </r>
  </si>
  <si>
    <r>
      <rPr>
        <i/>
        <sz val="10"/>
        <rFont val="ГОСТ тип А"/>
        <family val="2"/>
        <charset val="204"/>
      </rPr>
      <t>Санузел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девочек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основной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старшей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школы</t>
    </r>
  </si>
  <si>
    <r>
      <rPr>
        <i/>
        <sz val="10"/>
        <rFont val="ГОСТ тип А"/>
        <family val="2"/>
        <charset val="204"/>
      </rPr>
      <t>Учебный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кабинет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изучения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естествознания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(физика)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фронтальной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формой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обучения</t>
    </r>
  </si>
  <si>
    <r>
      <rPr>
        <i/>
        <sz val="10"/>
        <rFont val="ГОСТ тип А"/>
        <family val="2"/>
        <charset val="204"/>
      </rPr>
      <t>Помещение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обработки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материалов</t>
    </r>
  </si>
  <si>
    <r>
      <rPr>
        <i/>
        <sz val="10"/>
        <rFont val="ГОСТ тип А"/>
        <family val="2"/>
        <charset val="204"/>
      </rPr>
      <t>Помещение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установки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технологического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оборудования</t>
    </r>
  </si>
  <si>
    <r>
      <rPr>
        <i/>
        <sz val="10"/>
        <rFont val="ГОСТ тип А"/>
        <family val="2"/>
        <charset val="204"/>
      </rPr>
      <t>Помещение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хранения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оборудования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расходных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материалов</t>
    </r>
  </si>
  <si>
    <t>Кладовая</t>
  </si>
  <si>
    <r>
      <rPr>
        <b/>
        <i/>
        <sz val="10"/>
        <rFont val="ГОСТ тип А"/>
        <family val="2"/>
        <charset val="204"/>
      </rPr>
      <t>Номер</t>
    </r>
    <r>
      <rPr>
        <b/>
        <sz val="10"/>
        <rFont val="ГОСТ тип А"/>
        <family val="2"/>
        <charset val="204"/>
      </rPr>
      <t xml:space="preserve"> </t>
    </r>
    <r>
      <rPr>
        <b/>
        <i/>
        <sz val="10"/>
        <rFont val="ГОСТ тип А"/>
        <family val="2"/>
        <charset val="204"/>
      </rPr>
      <t>помещени</t>
    </r>
    <r>
      <rPr>
        <b/>
        <sz val="10"/>
        <rFont val="ГОСТ тип А"/>
        <family val="2"/>
        <charset val="204"/>
      </rPr>
      <t xml:space="preserve"> </t>
    </r>
    <r>
      <rPr>
        <b/>
        <i/>
        <sz val="10"/>
        <rFont val="ГОСТ тип А"/>
        <family val="2"/>
        <charset val="204"/>
      </rPr>
      <t>я</t>
    </r>
  </si>
  <si>
    <r>
      <rPr>
        <b/>
        <i/>
        <sz val="10"/>
        <rFont val="ГОСТ тип А"/>
        <family val="2"/>
        <charset val="204"/>
      </rPr>
      <t>Площадь,</t>
    </r>
    <r>
      <rPr>
        <b/>
        <sz val="10"/>
        <rFont val="ГОСТ тип А"/>
        <family val="2"/>
        <charset val="204"/>
      </rPr>
      <t xml:space="preserve"> </t>
    </r>
    <r>
      <rPr>
        <b/>
        <i/>
        <sz val="10"/>
        <rFont val="ГОСТ тип А"/>
        <family val="2"/>
        <charset val="204"/>
      </rPr>
      <t>м²</t>
    </r>
  </si>
  <si>
    <t>Площадь оригина</t>
  </si>
  <si>
    <t>По КП</t>
  </si>
  <si>
    <t>-  затирка;
-  грунтовка  "Бетоноконтакт";
-  шпатлёвка;
-  грунтовка  глубокого проникновения
δ  =  5  мм</t>
  </si>
  <si>
    <t>ПТ-2.16</t>
  </si>
  <si>
    <t>92.2</t>
  </si>
  <si>
    <t>ПТ-2.5</t>
  </si>
  <si>
    <t>Столбец3</t>
  </si>
  <si>
    <t>ПТ-1.1</t>
  </si>
  <si>
    <t>3.001</t>
  </si>
  <si>
    <t>ПТ-6</t>
  </si>
  <si>
    <t>3.002</t>
  </si>
  <si>
    <t>ПТ-4.1</t>
  </si>
  <si>
    <t>3.003</t>
  </si>
  <si>
    <t>3.004</t>
  </si>
  <si>
    <t>ПТ-2.1</t>
  </si>
  <si>
    <t>3.005</t>
  </si>
  <si>
    <t>ПТ-3</t>
  </si>
  <si>
    <t>3.006</t>
  </si>
  <si>
    <t>3.007</t>
  </si>
  <si>
    <t>ПТ-7</t>
  </si>
  <si>
    <t>3.008</t>
  </si>
  <si>
    <t>3.009</t>
  </si>
  <si>
    <t>ПТ-8.1</t>
  </si>
  <si>
    <t>3.010</t>
  </si>
  <si>
    <t>3.011</t>
  </si>
  <si>
    <t>ДШ-2.2</t>
  </si>
  <si>
    <t>3.012</t>
  </si>
  <si>
    <t>ДШ-3.2</t>
  </si>
  <si>
    <t>ПТ-1.4</t>
  </si>
  <si>
    <t>3.013</t>
  </si>
  <si>
    <t>3.014</t>
  </si>
  <si>
    <t>3.015</t>
  </si>
  <si>
    <t>ПТ-8.2</t>
  </si>
  <si>
    <t>ПТ-2.7</t>
  </si>
  <si>
    <t>3.016</t>
  </si>
  <si>
    <t>3.017</t>
  </si>
  <si>
    <t>3.018</t>
  </si>
  <si>
    <t>ДШ-2.1</t>
  </si>
  <si>
    <t>3.019</t>
  </si>
  <si>
    <t>ПТ-2.4</t>
  </si>
  <si>
    <t>ПТБ-1.1.6</t>
  </si>
  <si>
    <t>3.020</t>
  </si>
  <si>
    <t>3.021</t>
  </si>
  <si>
    <t>ДШ-3.1</t>
  </si>
  <si>
    <t>3.022</t>
  </si>
  <si>
    <t>3.023</t>
  </si>
  <si>
    <t>ПТ-2.6</t>
  </si>
  <si>
    <t>3.024</t>
  </si>
  <si>
    <t>3.025</t>
  </si>
  <si>
    <t>3.026</t>
  </si>
  <si>
    <t>3.027</t>
  </si>
  <si>
    <t>3.028</t>
  </si>
  <si>
    <t>3.029</t>
  </si>
  <si>
    <t>3.030</t>
  </si>
  <si>
    <t>3.031</t>
  </si>
  <si>
    <t>3.032</t>
  </si>
  <si>
    <t>3.033</t>
  </si>
  <si>
    <t>ПТ-2.8</t>
  </si>
  <si>
    <t>3.034</t>
  </si>
  <si>
    <t>3.035</t>
  </si>
  <si>
    <t>3.036</t>
  </si>
  <si>
    <t>ПТ-1.13</t>
  </si>
  <si>
    <t>3.037</t>
  </si>
  <si>
    <t>3.038</t>
  </si>
  <si>
    <t>3.039</t>
  </si>
  <si>
    <t>3.040</t>
  </si>
  <si>
    <t>3.041</t>
  </si>
  <si>
    <t>2,,9</t>
  </si>
  <si>
    <t>3.042</t>
  </si>
  <si>
    <t>ПТ-4.3</t>
  </si>
  <si>
    <t>3.043</t>
  </si>
  <si>
    <t>3.044</t>
  </si>
  <si>
    <t>3.045</t>
  </si>
  <si>
    <t>НЕТ</t>
  </si>
  <si>
    <t>3.046</t>
  </si>
  <si>
    <t>ПТ-2.10</t>
  </si>
  <si>
    <t>3.047</t>
  </si>
  <si>
    <t>3.048</t>
  </si>
  <si>
    <t>3.049</t>
  </si>
  <si>
    <t>3.050</t>
  </si>
  <si>
    <t>ПТ-1.2</t>
  </si>
  <si>
    <t>3.051</t>
  </si>
  <si>
    <t>ПТ-5.1</t>
  </si>
  <si>
    <t>3.052</t>
  </si>
  <si>
    <t>3.053</t>
  </si>
  <si>
    <t>ПТБ-3</t>
  </si>
  <si>
    <t>3.054</t>
  </si>
  <si>
    <t>3.055</t>
  </si>
  <si>
    <t>3.057</t>
  </si>
  <si>
    <t>3.058</t>
  </si>
  <si>
    <t>3.059</t>
  </si>
  <si>
    <t>3.060</t>
  </si>
  <si>
    <t>3.061</t>
  </si>
  <si>
    <t>3.062</t>
  </si>
  <si>
    <t>ПТ-2.3</t>
  </si>
  <si>
    <t>3.063</t>
  </si>
  <si>
    <t>3.064</t>
  </si>
  <si>
    <t>3.066</t>
  </si>
  <si>
    <t>ПТ-1.8</t>
  </si>
  <si>
    <t>ПТ-5.2</t>
  </si>
  <si>
    <t>2.001</t>
  </si>
  <si>
    <t>2.002</t>
  </si>
  <si>
    <t>2.003</t>
  </si>
  <si>
    <t>2.004</t>
  </si>
  <si>
    <t>2.005</t>
  </si>
  <si>
    <t>2.007</t>
  </si>
  <si>
    <t>2.008</t>
  </si>
  <si>
    <t>2.009</t>
  </si>
  <si>
    <t>2.010</t>
  </si>
  <si>
    <t>2.011</t>
  </si>
  <si>
    <t>2.012</t>
  </si>
  <si>
    <t>2.013</t>
  </si>
  <si>
    <t>2.014</t>
  </si>
  <si>
    <t>2.015</t>
  </si>
  <si>
    <t>2.016</t>
  </si>
  <si>
    <t>2.017</t>
  </si>
  <si>
    <t>ПТБ-1.1.3</t>
  </si>
  <si>
    <t>ПТБ-1.2.3</t>
  </si>
  <si>
    <t>2.018</t>
  </si>
  <si>
    <t>2.019</t>
  </si>
  <si>
    <t>2.020</t>
  </si>
  <si>
    <t>2.021</t>
  </si>
  <si>
    <t>2.022</t>
  </si>
  <si>
    <t>ПТБ-1.2.6</t>
  </si>
  <si>
    <t>2.023</t>
  </si>
  <si>
    <t>2.024</t>
  </si>
  <si>
    <t>2.025</t>
  </si>
  <si>
    <t>2.026</t>
  </si>
  <si>
    <t>2.027</t>
  </si>
  <si>
    <t>2.028</t>
  </si>
  <si>
    <t>2.029</t>
  </si>
  <si>
    <t>2.030</t>
  </si>
  <si>
    <t>2.031</t>
  </si>
  <si>
    <t>2.032</t>
  </si>
  <si>
    <t>2.033</t>
  </si>
  <si>
    <t>2.034</t>
  </si>
  <si>
    <t>2.035</t>
  </si>
  <si>
    <t>2.036</t>
  </si>
  <si>
    <t>2.037</t>
  </si>
  <si>
    <t>2.038</t>
  </si>
  <si>
    <t>2.039</t>
  </si>
  <si>
    <t>2.040</t>
  </si>
  <si>
    <t>2.041</t>
  </si>
  <si>
    <t>2.042</t>
  </si>
  <si>
    <t>ПТБ-1.1.1</t>
  </si>
  <si>
    <t>ПТБ-1.2.1</t>
  </si>
  <si>
    <t>2.043</t>
  </si>
  <si>
    <t>2.044</t>
  </si>
  <si>
    <t>2.045</t>
  </si>
  <si>
    <t>ДШ-2</t>
  </si>
  <si>
    <t>2.046</t>
  </si>
  <si>
    <t>2.047</t>
  </si>
  <si>
    <t>2.048</t>
  </si>
  <si>
    <t>2.049</t>
  </si>
  <si>
    <t>2.050</t>
  </si>
  <si>
    <t>2.051</t>
  </si>
  <si>
    <t>2.052</t>
  </si>
  <si>
    <t>2.053</t>
  </si>
  <si>
    <t>2.054</t>
  </si>
  <si>
    <t>2.055</t>
  </si>
  <si>
    <t>2.056</t>
  </si>
  <si>
    <t>2.057</t>
  </si>
  <si>
    <t>2.059</t>
  </si>
  <si>
    <t>2.060</t>
  </si>
  <si>
    <t>2.061</t>
  </si>
  <si>
    <t>2.062</t>
  </si>
  <si>
    <t>ПТБ-1.1.5</t>
  </si>
  <si>
    <t>ПТБ-1.2.5</t>
  </si>
  <si>
    <t>2.063</t>
  </si>
  <si>
    <t>2.064</t>
  </si>
  <si>
    <t>2.065</t>
  </si>
  <si>
    <t>2.066</t>
  </si>
  <si>
    <t>2.067</t>
  </si>
  <si>
    <t>2.068</t>
  </si>
  <si>
    <t>2.070</t>
  </si>
  <si>
    <t>2.071</t>
  </si>
  <si>
    <t>3.1-Пт</t>
  </si>
  <si>
    <t>4.1-Пт</t>
  </si>
  <si>
    <t xml:space="preserve">2 этаж. Шпаклевка потолков финишная под покраску </t>
  </si>
  <si>
    <t>3 этаж. Шпаклевка потолков базовая</t>
  </si>
  <si>
    <t>№ п.п.</t>
  </si>
  <si>
    <t>Кол-во</t>
  </si>
  <si>
    <t>Описание</t>
  </si>
  <si>
    <t>Ед./шт.</t>
  </si>
  <si>
    <t>Зашивка приборов Knauf Файерборд 12,5мм / 1 слой</t>
  </si>
  <si>
    <t>Подготовка поверхности СКБ / потолка / базовая</t>
  </si>
  <si>
    <t>Подготовка поверхности СКБ / потолка / финишная</t>
  </si>
  <si>
    <t>Объем, м2</t>
  </si>
  <si>
    <t>Строительные леса</t>
  </si>
  <si>
    <t>-</t>
  </si>
  <si>
    <t>2.006</t>
  </si>
  <si>
    <t>10м(высота) * 2м(длина) * 4 шт =</t>
  </si>
  <si>
    <t>7,5м(высота) * 2м(длина) * 4 шт =</t>
  </si>
  <si>
    <t>2.058</t>
  </si>
  <si>
    <t>7,5м(высота) * 2м(длина) * 8 шт =</t>
  </si>
  <si>
    <t>2,5м(высота) * 2м(длина) * 4 шт =</t>
  </si>
  <si>
    <t>Расчет (Строительные леса)</t>
  </si>
  <si>
    <t>1.012</t>
  </si>
  <si>
    <t>1.056</t>
  </si>
  <si>
    <t>1.067</t>
  </si>
  <si>
    <t>№ п.п</t>
  </si>
  <si>
    <t>пом.</t>
  </si>
  <si>
    <t>объем, м2.</t>
  </si>
  <si>
    <t>Ведомость работ</t>
  </si>
  <si>
    <t>Подготовка поверхности СКБ / потолка</t>
  </si>
  <si>
    <t>опуск на стены 0.4 м</t>
  </si>
  <si>
    <t>1 эт, (3 * 4 шт. *2 L *2.5 h)
2 эт, (3 * 3 шт. *2 L *2.5 h)
3 эт, (3 * 3 шт. *2 L *2.5 h)</t>
  </si>
  <si>
    <t>Зашивка потолков 1 слой. Файерборд, 1, 2, 3 эт.</t>
  </si>
  <si>
    <t>Монтаж подвесного потолка / с применением профиля ПП</t>
  </si>
  <si>
    <t>базовый слой</t>
  </si>
  <si>
    <t>финишная слой</t>
  </si>
  <si>
    <t>2.5м(высота) * 2м(длина) * 13 шт =</t>
  </si>
  <si>
    <t>(0.4 * 2 + 0,85) L * 1 h * 2 шт =</t>
  </si>
  <si>
    <t>(0,6*2 + 1,3*2)L * 0,42 h * 1шт =</t>
  </si>
  <si>
    <t xml:space="preserve">1м(выс) * 2м(дл) * 6 шт (лиф. шах) = </t>
  </si>
  <si>
    <t>(0,7 + 0,25*2)L * 0,3 h * 2 шт =</t>
  </si>
  <si>
    <t xml:space="preserve">4,04 * 2 шт = </t>
  </si>
  <si>
    <t>Расчет (Облицовка)</t>
  </si>
  <si>
    <t>Расчет (Облицовка вент. коробов - монтаж)</t>
  </si>
  <si>
    <t>Расчет (Нижняя плоскость)</t>
  </si>
  <si>
    <t>(2 L * 6 шт  + (0.4 * 2 + 0,85) L  * 2 шт + 
+ (0,6*2 + 1,3*2)L + (0,7 + 0,25*2) L )
 * 0,08 ширина.</t>
  </si>
  <si>
    <t>Подготовка поверхности СКБ / стен / ГКЛ, ПГП / 2мм (базовый слой)</t>
  </si>
  <si>
    <t>Подготовка поверхности СКБ / стен / ГКЛ, ПГП / 2мм (финишный слой)</t>
  </si>
  <si>
    <t>Монтаж, демонтаж, аренда строительных лесов</t>
  </si>
  <si>
    <t>пом. 1.008, 1.042, 1.094, 1.095, 2.009, 2.045, 2.055, 3.007, 3.033, 3.046</t>
  </si>
  <si>
    <t>Устройство перегородок на металлическом каркасе по системе Knauf из Файерборда в 1 слой с двух сторон</t>
  </si>
  <si>
    <t>№ этажа</t>
  </si>
  <si>
    <t>объем, м2</t>
  </si>
  <si>
    <t>Лакокрасочные работы
СКБ / окраска потолков /</t>
  </si>
  <si>
    <t>ПТ-2.16, Окраска потолка/
окраска инженерных коммуникации</t>
  </si>
  <si>
    <t>ПТ-2.1, Окраска потолка/
окраска инженерных коммуникации</t>
  </si>
  <si>
    <t>ПТ-2.3, Окраска потолка/
окраска инженерных коммуникации</t>
  </si>
  <si>
    <t>ПТ-1.2, Окраска потолка/
окраска инженерных коммуникации</t>
  </si>
  <si>
    <t>ПТ-1.1, Окраска потолка/
окраска инженерных коммуникации</t>
  </si>
  <si>
    <t>пом. 1.077, 1.047</t>
  </si>
  <si>
    <t>Устройство перегородок на металлическом каркасе по системе Knauf из Файерборда в 1 слой</t>
  </si>
  <si>
    <t>3 м(высота) * 2м(длина) * 4 шт =</t>
  </si>
  <si>
    <t>Лакокрасочные работы СКБ / окраска потолков / в 2 слоя / ПТ-2.3</t>
  </si>
  <si>
    <t>Лакокрасочные работы СКБ / окраска потолков / в 2 слоя / ПТ-5.1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</si>
</sst>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₽_-;\-* #,##0.00\ _₽_-;_-* &quot;-&quot;??\ _₽_-;_-@_-"/>
    <numFmt numFmtId="164" formatCode="0.0"/>
    <numFmt numFmtId="165" formatCode="#,##0.000"/>
    <numFmt numFmtId="166" formatCode="#,##0.0"/>
  </numFmts>
  <fonts count="4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  <charset val="204"/>
    </font>
    <font>
      <i/>
      <sz val="11"/>
      <color rgb="FF000000"/>
      <name val="ISOCPEUR"/>
      <family val="2"/>
    </font>
    <font>
      <b/>
      <sz val="10"/>
      <color theme="1"/>
      <name val="ГОСТ тип А"/>
      <family val="2"/>
      <charset val="204"/>
    </font>
    <font>
      <sz val="10"/>
      <color theme="1"/>
      <name val="ГОСТ тип А"/>
      <family val="2"/>
      <charset val="204"/>
    </font>
    <font>
      <sz val="10"/>
      <color rgb="FF000000"/>
      <name val="ГОСТ тип А"/>
      <family val="2"/>
      <charset val="204"/>
    </font>
    <font>
      <i/>
      <sz val="10"/>
      <color rgb="FF000000"/>
      <name val="ГОСТ тип А"/>
      <family val="2"/>
      <charset val="204"/>
    </font>
    <font>
      <b/>
      <sz val="10"/>
      <color rgb="FF000000"/>
      <name val="ГОСТ тип А"/>
      <family val="2"/>
      <charset val="204"/>
    </font>
    <font>
      <i/>
      <sz val="10"/>
      <name val="ГОСТ тип А"/>
      <family val="2"/>
      <charset val="204"/>
    </font>
    <font>
      <sz val="10"/>
      <name val="ГОСТ тип А"/>
      <family val="2"/>
      <charset val="204"/>
    </font>
    <font>
      <sz val="11"/>
      <color theme="1"/>
      <name val="Calibri"/>
      <family val="2"/>
      <scheme val="minor"/>
    </font>
    <font>
      <b/>
      <i/>
      <sz val="10"/>
      <color theme="1"/>
      <name val="ГОСТ тип А"/>
      <family val="2"/>
      <charset val="204"/>
    </font>
    <font>
      <i/>
      <sz val="10"/>
      <color theme="1"/>
      <name val="ГОСТ тип А"/>
      <family val="2"/>
      <charset val="204"/>
    </font>
    <font>
      <b/>
      <i/>
      <sz val="10"/>
      <name val="ГОСТ тип А"/>
      <family val="2"/>
      <charset val="204"/>
    </font>
    <font>
      <b/>
      <sz val="10"/>
      <name val="ГОСТ тип А"/>
      <family val="2"/>
      <charset val="204"/>
    </font>
    <font>
      <b/>
      <sz val="18"/>
      <color rgb="FFFF0000"/>
      <name val="ГОСТ тип А"/>
      <family val="2"/>
      <charset val="204"/>
    </font>
    <font>
      <b/>
      <sz val="16"/>
      <color rgb="FFFF0000"/>
      <name val="ГОСТ тип А"/>
      <family val="2"/>
      <charset val="204"/>
    </font>
    <font>
      <b/>
      <sz val="12"/>
      <color rgb="FF000000"/>
      <name val="ГОСТ тип А"/>
      <family val="2"/>
      <charset val="204"/>
    </font>
    <font>
      <b/>
      <sz val="14"/>
      <color rgb="FF000000"/>
      <name val="ГОСТ тип А"/>
      <family val="2"/>
      <charset val="204"/>
    </font>
    <font>
      <b/>
      <sz val="18"/>
      <color rgb="FF000000"/>
      <name val="ГОСТ тип А"/>
      <family val="2"/>
      <charset val="204"/>
    </font>
    <font>
      <b/>
      <sz val="12"/>
      <color rgb="FFFF0000"/>
      <name val="ГОСТ тип А"/>
      <family val="2"/>
      <charset val="204"/>
    </font>
    <font>
      <b/>
      <sz val="14"/>
      <color theme="1"/>
      <name val="ГОСТ тип А"/>
      <family val="2"/>
      <charset val="204"/>
    </font>
    <font>
      <b/>
      <sz val="14"/>
      <name val="ГОСТ тип А"/>
      <family val="2"/>
      <charset val="204"/>
    </font>
    <font>
      <b/>
      <sz val="16"/>
      <color rgb="FF000000"/>
      <name val="ГОСТ тип А"/>
      <family val="2"/>
      <charset val="204"/>
    </font>
    <font>
      <b/>
      <sz val="18"/>
      <color theme="1"/>
      <name val="ГОСТ тип А"/>
      <family val="2"/>
      <charset val="204"/>
    </font>
    <font>
      <b/>
      <sz val="11"/>
      <color theme="1"/>
      <name val="ГОСТ тип А"/>
      <family val="2"/>
      <charset val="204"/>
    </font>
    <font>
      <b/>
      <sz val="12"/>
      <color theme="0" tint="-0.34998626667073579"/>
      <name val="ГОСТ тип А"/>
      <family val="2"/>
      <charset val="204"/>
    </font>
    <font>
      <b/>
      <i/>
      <sz val="14"/>
      <color theme="0" tint="-0.34998626667073579"/>
      <name val="ГОСТ тип А"/>
      <family val="2"/>
      <charset val="204"/>
    </font>
    <font>
      <b/>
      <sz val="14"/>
      <color theme="0" tint="-0.34998626667073579"/>
      <name val="ГОСТ тип А"/>
      <family val="2"/>
      <charset val="204"/>
    </font>
    <font>
      <b/>
      <sz val="18"/>
      <color theme="0" tint="-0.34998626667073579"/>
      <name val="ГОСТ тип А"/>
      <family val="2"/>
      <charset val="204"/>
    </font>
    <font>
      <b/>
      <sz val="12"/>
      <color theme="0" tint="-0.14999847407452621"/>
      <name val="ГОСТ тип А"/>
      <family val="2"/>
      <charset val="204"/>
    </font>
    <font>
      <b/>
      <sz val="14"/>
      <color theme="0" tint="-0.14999847407452621"/>
      <name val="ГОСТ тип А"/>
      <family val="2"/>
      <charset val="204"/>
    </font>
    <font>
      <b/>
      <sz val="18"/>
      <color theme="0" tint="-0.14999847407452621"/>
      <name val="ГОСТ тип А"/>
      <family val="2"/>
      <charset val="204"/>
    </font>
    <font>
      <b/>
      <i/>
      <sz val="14"/>
      <color theme="0" tint="-0.14999847407452621"/>
      <name val="ГОСТ тип А"/>
      <family val="2"/>
      <charset val="204"/>
    </font>
    <font>
      <b/>
      <i/>
      <sz val="14"/>
      <color rgb="FF000000"/>
      <name val="ГОСТ тип А"/>
      <family val="2"/>
      <charset val="204"/>
    </font>
    <font>
      <b/>
      <sz val="12"/>
      <color theme="0" tint="-0.249977111117893"/>
      <name val="ГОСТ тип А"/>
      <family val="2"/>
      <charset val="204"/>
    </font>
    <font>
      <b/>
      <i/>
      <sz val="14"/>
      <color theme="0" tint="-0.249977111117893"/>
      <name val="ГОСТ тип А"/>
      <family val="2"/>
      <charset val="204"/>
    </font>
    <font>
      <b/>
      <sz val="14"/>
      <color theme="0" tint="-0.249977111117893"/>
      <name val="ГОСТ тип А"/>
      <family val="2"/>
      <charset val="204"/>
    </font>
    <font>
      <b/>
      <sz val="18"/>
      <color theme="0" tint="-0.249977111117893"/>
      <name val="ГОСТ тип А"/>
      <family val="2"/>
      <charset val="204"/>
    </font>
    <font>
      <b/>
      <i/>
      <sz val="14"/>
      <color theme="1"/>
      <name val="ГОСТ тип А"/>
      <family val="2"/>
      <charset val="204"/>
    </font>
    <font>
      <b/>
      <i/>
      <sz val="14"/>
      <name val="ГОСТ тип А"/>
      <family val="2"/>
      <charset val="204"/>
    </font>
    <font>
      <b/>
      <sz val="14"/>
      <color rgb="FF800000"/>
      <name val="ГОСТ тип А"/>
      <family val="2"/>
      <charset val="204"/>
    </font>
    <font>
      <b/>
      <i/>
      <sz val="10"/>
      <color rgb="FF000000"/>
      <name val="ГОСТ тип А"/>
      <family val="2"/>
      <charset val="204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6"/>
      <name val="ГОСТ тип А"/>
      <family val="2"/>
      <charset val="204"/>
    </font>
    <font>
      <sz val="16"/>
      <color theme="1"/>
      <name val="ГОСТ тип А"/>
      <family val="2"/>
      <charset val="204"/>
    </font>
    <font>
      <i/>
      <sz val="16"/>
      <color rgb="FF000000"/>
      <name val="ГОСТ тип А"/>
      <family val="2"/>
      <charset val="204"/>
    </font>
    <font>
      <b/>
      <i/>
      <sz val="12"/>
      <color theme="1"/>
      <name val="ГОСТ тип А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CC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D8E4BC"/>
        <bgColor rgb="FF000000"/>
      </patternFill>
    </fill>
    <fill>
      <patternFill patternType="solid">
        <fgColor theme="6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43" fontId="10" fillId="0" borderId="0" applyFont="0" applyFill="0" applyBorder="0" applyAlignment="0" applyProtection="0"/>
  </cellStyleXfs>
  <cellXfs count="234">
    <xf numFmtId="0" fontId="0" fillId="0" borderId="0" xfId="0"/>
    <xf numFmtId="0" fontId="3" fillId="0" borderId="7" xfId="0" applyFont="1" applyBorder="1" applyAlignment="1">
      <alignment vertical="center"/>
    </xf>
    <xf numFmtId="2" fontId="3" fillId="0" borderId="7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4" fillId="0" borderId="0" xfId="0" applyFont="1"/>
    <xf numFmtId="0" fontId="5" fillId="0" borderId="3" xfId="1" applyFont="1" applyFill="1" applyBorder="1" applyAlignment="1">
      <alignment horizontal="left" vertical="center" wrapText="1" indent="5"/>
    </xf>
    <xf numFmtId="0" fontId="5" fillId="0" borderId="0" xfId="1" applyFont="1" applyFill="1" applyBorder="1" applyAlignment="1">
      <alignment horizontal="left" vertical="top"/>
    </xf>
    <xf numFmtId="164" fontId="6" fillId="2" borderId="9" xfId="1" applyNumberFormat="1" applyFont="1" applyFill="1" applyBorder="1" applyAlignment="1">
      <alignment horizontal="center" vertical="center" shrinkToFit="1"/>
    </xf>
    <xf numFmtId="164" fontId="6" fillId="0" borderId="9" xfId="1" applyNumberFormat="1" applyFont="1" applyBorder="1" applyAlignment="1">
      <alignment horizontal="center" vertical="center" shrinkToFit="1"/>
    </xf>
    <xf numFmtId="164" fontId="6" fillId="2" borderId="9" xfId="1" applyNumberFormat="1" applyFont="1" applyFill="1" applyBorder="1" applyAlignment="1">
      <alignment horizontal="center" shrinkToFit="1"/>
    </xf>
    <xf numFmtId="0" fontId="4" fillId="0" borderId="9" xfId="0" applyFont="1" applyBorder="1"/>
    <xf numFmtId="0" fontId="9" fillId="0" borderId="9" xfId="1" applyNumberFormat="1" applyFont="1" applyFill="1" applyBorder="1" applyAlignment="1">
      <alignment horizontal="center" vertical="top" wrapText="1"/>
    </xf>
    <xf numFmtId="3" fontId="6" fillId="0" borderId="9" xfId="1" applyNumberFormat="1" applyFont="1" applyFill="1" applyBorder="1" applyAlignment="1">
      <alignment horizontal="center" vertical="center" shrinkToFit="1"/>
    </xf>
    <xf numFmtId="0" fontId="5" fillId="0" borderId="6" xfId="0" applyFont="1" applyFill="1" applyBorder="1" applyAlignment="1" applyProtection="1">
      <alignment horizontal="left" vertical="center" wrapText="1"/>
    </xf>
    <xf numFmtId="0" fontId="5" fillId="0" borderId="6" xfId="0" applyFont="1" applyFill="1" applyBorder="1" applyAlignment="1" applyProtection="1">
      <alignment horizontal="center" vertical="center" wrapText="1"/>
    </xf>
    <xf numFmtId="165" fontId="5" fillId="0" borderId="6" xfId="0" applyNumberFormat="1" applyFont="1" applyFill="1" applyBorder="1" applyAlignment="1" applyProtection="1">
      <alignment horizontal="center" vertical="center" wrapText="1"/>
    </xf>
    <xf numFmtId="0" fontId="6" fillId="0" borderId="6" xfId="0" applyFont="1" applyFill="1" applyBorder="1" applyAlignment="1" applyProtection="1">
      <alignment horizontal="right" vertical="center" wrapText="1"/>
    </xf>
    <xf numFmtId="0" fontId="5" fillId="0" borderId="6" xfId="0" applyFont="1" applyFill="1" applyBorder="1" applyAlignment="1" applyProtection="1">
      <alignment horizontal="center" vertical="center"/>
    </xf>
    <xf numFmtId="165" fontId="5" fillId="0" borderId="6" xfId="0" applyNumberFormat="1" applyFont="1" applyFill="1" applyBorder="1" applyAlignment="1" applyProtection="1">
      <alignment horizontal="center" vertical="center"/>
    </xf>
    <xf numFmtId="164" fontId="5" fillId="0" borderId="0" xfId="1" applyNumberFormat="1" applyFont="1" applyFill="1" applyBorder="1" applyAlignment="1">
      <alignment horizontal="left" vertical="top"/>
    </xf>
    <xf numFmtId="164" fontId="0" fillId="0" borderId="0" xfId="0" applyNumberFormat="1"/>
    <xf numFmtId="3" fontId="2" fillId="3" borderId="1" xfId="1" applyNumberFormat="1" applyFont="1" applyFill="1" applyBorder="1" applyAlignment="1">
      <alignment horizontal="center" vertical="center" shrinkToFit="1"/>
    </xf>
    <xf numFmtId="164" fontId="2" fillId="3" borderId="1" xfId="1" applyNumberFormat="1" applyFont="1" applyFill="1" applyBorder="1" applyAlignment="1">
      <alignment horizontal="center" vertical="center" shrinkToFit="1"/>
    </xf>
    <xf numFmtId="3" fontId="2" fillId="3" borderId="2" xfId="1" applyNumberFormat="1" applyFont="1" applyFill="1" applyBorder="1" applyAlignment="1">
      <alignment horizontal="center" vertical="center" shrinkToFit="1"/>
    </xf>
    <xf numFmtId="164" fontId="2" fillId="3" borderId="2" xfId="1" applyNumberFormat="1" applyFont="1" applyFill="1" applyBorder="1" applyAlignment="1">
      <alignment horizontal="center" vertical="center" shrinkToFit="1"/>
    </xf>
    <xf numFmtId="3" fontId="2" fillId="4" borderId="1" xfId="1" applyNumberFormat="1" applyFont="1" applyFill="1" applyBorder="1" applyAlignment="1">
      <alignment horizontal="center" vertical="center" shrinkToFit="1"/>
    </xf>
    <xf numFmtId="164" fontId="2" fillId="4" borderId="1" xfId="1" applyNumberFormat="1" applyFont="1" applyFill="1" applyBorder="1" applyAlignment="1">
      <alignment horizontal="center" vertical="center" shrinkToFit="1"/>
    </xf>
    <xf numFmtId="164" fontId="6" fillId="0" borderId="9" xfId="1" applyNumberFormat="1" applyFont="1" applyFill="1" applyBorder="1" applyAlignment="1">
      <alignment horizontal="center" vertical="center" shrinkToFit="1"/>
    </xf>
    <xf numFmtId="0" fontId="9" fillId="0" borderId="9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164" fontId="4" fillId="0" borderId="9" xfId="0" applyNumberFormat="1" applyFont="1" applyFill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2" fontId="11" fillId="0" borderId="7" xfId="0" applyNumberFormat="1" applyFont="1" applyBorder="1" applyAlignment="1">
      <alignment horizontal="center" vertical="center"/>
    </xf>
    <xf numFmtId="2" fontId="11" fillId="0" borderId="8" xfId="0" applyNumberFormat="1" applyFont="1" applyBorder="1" applyAlignment="1">
      <alignment horizontal="center" vertical="center"/>
    </xf>
    <xf numFmtId="0" fontId="6" fillId="0" borderId="6" xfId="0" applyFont="1" applyFill="1" applyBorder="1" applyAlignment="1" applyProtection="1">
      <alignment horizontal="left" vertical="center" wrapText="1"/>
    </xf>
    <xf numFmtId="0" fontId="6" fillId="0" borderId="6" xfId="0" applyFont="1" applyFill="1" applyBorder="1" applyAlignment="1" applyProtection="1">
      <alignment horizontal="center" vertical="center" wrapText="1"/>
    </xf>
    <xf numFmtId="165" fontId="6" fillId="0" borderId="6" xfId="0" applyNumberFormat="1" applyFont="1" applyFill="1" applyBorder="1" applyAlignment="1" applyProtection="1">
      <alignment horizontal="center" vertical="center" wrapText="1"/>
    </xf>
    <xf numFmtId="0" fontId="6" fillId="0" borderId="6" xfId="0" applyFont="1" applyFill="1" applyBorder="1" applyAlignment="1" applyProtection="1">
      <alignment horizontal="center" vertical="center"/>
    </xf>
    <xf numFmtId="165" fontId="6" fillId="0" borderId="6" xfId="0" applyNumberFormat="1" applyFont="1" applyFill="1" applyBorder="1" applyAlignment="1" applyProtection="1">
      <alignment horizontal="center" vertical="center"/>
    </xf>
    <xf numFmtId="0" fontId="12" fillId="0" borderId="0" xfId="0" applyFont="1"/>
    <xf numFmtId="2" fontId="4" fillId="0" borderId="9" xfId="0" applyNumberFormat="1" applyFont="1" applyBorder="1"/>
    <xf numFmtId="0" fontId="4" fillId="0" borderId="0" xfId="0" applyFont="1" applyAlignment="1">
      <alignment wrapText="1"/>
    </xf>
    <xf numFmtId="0" fontId="7" fillId="0" borderId="9" xfId="1" applyNumberFormat="1" applyFont="1" applyBorder="1" applyAlignment="1">
      <alignment horizontal="center" vertical="top" wrapText="1"/>
    </xf>
    <xf numFmtId="2" fontId="0" fillId="0" borderId="0" xfId="2" applyNumberFormat="1" applyFont="1"/>
    <xf numFmtId="0" fontId="9" fillId="0" borderId="9" xfId="1" applyNumberFormat="1" applyFont="1" applyFill="1" applyBorder="1" applyAlignment="1">
      <alignment horizontal="left" vertical="top" wrapText="1" indent="2"/>
    </xf>
    <xf numFmtId="0" fontId="0" fillId="0" borderId="0" xfId="0" applyFill="1"/>
    <xf numFmtId="164" fontId="0" fillId="0" borderId="0" xfId="0" applyNumberFormat="1" applyFill="1"/>
    <xf numFmtId="164" fontId="6" fillId="0" borderId="9" xfId="1" applyNumberFormat="1" applyFont="1" applyFill="1" applyBorder="1" applyAlignment="1">
      <alignment horizontal="center" shrinkToFit="1"/>
    </xf>
    <xf numFmtId="0" fontId="4" fillId="0" borderId="9" xfId="0" applyFont="1" applyFill="1" applyBorder="1"/>
    <xf numFmtId="164" fontId="4" fillId="0" borderId="9" xfId="0" applyNumberFormat="1" applyFont="1" applyFill="1" applyBorder="1"/>
    <xf numFmtId="0" fontId="0" fillId="0" borderId="9" xfId="0" applyFill="1" applyBorder="1"/>
    <xf numFmtId="0" fontId="0" fillId="0" borderId="9" xfId="0" applyFill="1" applyBorder="1" applyAlignment="1">
      <alignment wrapText="1"/>
    </xf>
    <xf numFmtId="164" fontId="0" fillId="0" borderId="9" xfId="0" applyNumberFormat="1" applyFill="1" applyBorder="1"/>
    <xf numFmtId="3" fontId="6" fillId="5" borderId="9" xfId="1" applyNumberFormat="1" applyFont="1" applyFill="1" applyBorder="1" applyAlignment="1">
      <alignment horizontal="center" vertical="center" shrinkToFit="1"/>
    </xf>
    <xf numFmtId="164" fontId="6" fillId="5" borderId="9" xfId="1" applyNumberFormat="1" applyFont="1" applyFill="1" applyBorder="1" applyAlignment="1">
      <alignment horizontal="center" vertical="center" shrinkToFit="1"/>
    </xf>
    <xf numFmtId="0" fontId="0" fillId="5" borderId="9" xfId="0" applyFill="1" applyBorder="1"/>
    <xf numFmtId="164" fontId="0" fillId="5" borderId="9" xfId="0" applyNumberFormat="1" applyFill="1" applyBorder="1"/>
    <xf numFmtId="165" fontId="5" fillId="0" borderId="0" xfId="0" applyNumberFormat="1" applyFont="1" applyFill="1" applyBorder="1" applyAlignment="1" applyProtection="1">
      <alignment horizontal="center" vertical="center" wrapText="1"/>
    </xf>
    <xf numFmtId="0" fontId="8" fillId="0" borderId="9" xfId="1" applyNumberFormat="1" applyFont="1" applyFill="1" applyBorder="1" applyAlignment="1">
      <alignment horizontal="left" vertical="top" wrapText="1"/>
    </xf>
    <xf numFmtId="3" fontId="2" fillId="0" borderId="9" xfId="1" applyNumberFormat="1" applyFont="1" applyFill="1" applyBorder="1" applyAlignment="1">
      <alignment horizontal="center" vertical="center" wrapText="1" shrinkToFit="1"/>
    </xf>
    <xf numFmtId="164" fontId="2" fillId="0" borderId="9" xfId="1" applyNumberFormat="1" applyFont="1" applyFill="1" applyBorder="1" applyAlignment="1">
      <alignment horizontal="center" vertical="center" wrapText="1" shrinkToFit="1"/>
    </xf>
    <xf numFmtId="164" fontId="0" fillId="0" borderId="9" xfId="0" applyNumberFormat="1" applyFill="1" applyBorder="1" applyAlignment="1">
      <alignment wrapText="1"/>
    </xf>
    <xf numFmtId="3" fontId="2" fillId="6" borderId="9" xfId="1" applyNumberFormat="1" applyFont="1" applyFill="1" applyBorder="1" applyAlignment="1">
      <alignment horizontal="center" vertical="center" wrapText="1" shrinkToFit="1"/>
    </xf>
    <xf numFmtId="164" fontId="2" fillId="6" borderId="9" xfId="1" applyNumberFormat="1" applyFont="1" applyFill="1" applyBorder="1" applyAlignment="1">
      <alignment horizontal="center" vertical="center" wrapText="1" shrinkToFit="1"/>
    </xf>
    <xf numFmtId="0" fontId="0" fillId="6" borderId="9" xfId="0" applyFill="1" applyBorder="1" applyAlignment="1">
      <alignment wrapText="1"/>
    </xf>
    <xf numFmtId="0" fontId="16" fillId="0" borderId="9" xfId="0" applyFont="1" applyBorder="1" applyAlignment="1">
      <alignment horizontal="left" vertical="center"/>
    </xf>
    <xf numFmtId="0" fontId="16" fillId="0" borderId="9" xfId="0" applyFont="1" applyBorder="1" applyAlignment="1">
      <alignment vertical="center"/>
    </xf>
    <xf numFmtId="0" fontId="15" fillId="7" borderId="16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 wrapText="1"/>
    </xf>
    <xf numFmtId="0" fontId="18" fillId="0" borderId="9" xfId="0" applyFont="1" applyBorder="1" applyAlignment="1">
      <alignment horizontal="center" vertical="center" wrapText="1"/>
    </xf>
    <xf numFmtId="165" fontId="18" fillId="0" borderId="9" xfId="0" applyNumberFormat="1" applyFont="1" applyBorder="1" applyAlignment="1">
      <alignment horizontal="center" vertical="center" wrapText="1"/>
    </xf>
    <xf numFmtId="165" fontId="15" fillId="7" borderId="9" xfId="0" applyNumberFormat="1" applyFont="1" applyFill="1" applyBorder="1" applyAlignment="1">
      <alignment horizontal="center" vertical="center" wrapText="1"/>
    </xf>
    <xf numFmtId="4" fontId="19" fillId="11" borderId="9" xfId="0" applyNumberFormat="1" applyFont="1" applyFill="1" applyBorder="1" applyAlignment="1">
      <alignment horizontal="center" vertical="center" wrapText="1"/>
    </xf>
    <xf numFmtId="0" fontId="20" fillId="0" borderId="9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21" fillId="10" borderId="9" xfId="0" applyFont="1" applyFill="1" applyBorder="1" applyAlignment="1">
      <alignment horizontal="left" vertical="center"/>
    </xf>
    <xf numFmtId="0" fontId="21" fillId="10" borderId="9" xfId="0" applyFont="1" applyFill="1" applyBorder="1" applyAlignment="1">
      <alignment horizontal="left" vertical="center" wrapText="1"/>
    </xf>
    <xf numFmtId="0" fontId="21" fillId="10" borderId="9" xfId="0" applyFont="1" applyFill="1" applyBorder="1" applyAlignment="1">
      <alignment horizontal="center" vertical="center" wrapText="1"/>
    </xf>
    <xf numFmtId="165" fontId="21" fillId="10" borderId="9" xfId="0" applyNumberFormat="1" applyFont="1" applyFill="1" applyBorder="1" applyAlignment="1">
      <alignment horizontal="center" vertical="center" wrapText="1"/>
    </xf>
    <xf numFmtId="0" fontId="22" fillId="0" borderId="9" xfId="0" applyFont="1" applyBorder="1" applyAlignment="1">
      <alignment horizontal="left" vertical="center"/>
    </xf>
    <xf numFmtId="0" fontId="22" fillId="0" borderId="9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center" vertical="center" wrapText="1"/>
    </xf>
    <xf numFmtId="165" fontId="22" fillId="0" borderId="9" xfId="0" applyNumberFormat="1" applyFont="1" applyBorder="1" applyAlignment="1">
      <alignment horizontal="center" vertical="center" wrapText="1"/>
    </xf>
    <xf numFmtId="0" fontId="17" fillId="0" borderId="9" xfId="0" applyFont="1" applyBorder="1" applyAlignment="1">
      <alignment vertical="center" wrapText="1"/>
    </xf>
    <xf numFmtId="0" fontId="24" fillId="0" borderId="0" xfId="0" applyFont="1"/>
    <xf numFmtId="0" fontId="25" fillId="0" borderId="0" xfId="0" applyFont="1"/>
    <xf numFmtId="0" fontId="26" fillId="0" borderId="9" xfId="0" applyFont="1" applyBorder="1" applyAlignment="1">
      <alignment horizontal="left" vertical="center"/>
    </xf>
    <xf numFmtId="0" fontId="27" fillId="12" borderId="9" xfId="0" applyFont="1" applyFill="1" applyBorder="1" applyAlignment="1">
      <alignment horizontal="right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/>
    </xf>
    <xf numFmtId="165" fontId="28" fillId="0" borderId="9" xfId="0" applyNumberFormat="1" applyFont="1" applyBorder="1" applyAlignment="1">
      <alignment horizontal="center" vertical="center"/>
    </xf>
    <xf numFmtId="165" fontId="15" fillId="7" borderId="9" xfId="0" applyNumberFormat="1" applyFont="1" applyFill="1" applyBorder="1" applyAlignment="1">
      <alignment horizontal="center" vertical="center"/>
    </xf>
    <xf numFmtId="4" fontId="29" fillId="8" borderId="9" xfId="0" applyNumberFormat="1" applyFont="1" applyFill="1" applyBorder="1" applyAlignment="1">
      <alignment horizontal="center" vertical="center"/>
    </xf>
    <xf numFmtId="0" fontId="27" fillId="0" borderId="9" xfId="0" applyFont="1" applyBorder="1" applyAlignment="1">
      <alignment horizontal="right" vertical="center" wrapText="1"/>
    </xf>
    <xf numFmtId="165" fontId="18" fillId="0" borderId="9" xfId="0" applyNumberFormat="1" applyFont="1" applyBorder="1" applyAlignment="1">
      <alignment horizontal="center" vertical="center"/>
    </xf>
    <xf numFmtId="4" fontId="19" fillId="8" borderId="9" xfId="0" applyNumberFormat="1" applyFont="1" applyFill="1" applyBorder="1" applyAlignment="1">
      <alignment horizontal="center" vertical="center"/>
    </xf>
    <xf numFmtId="0" fontId="30" fillId="0" borderId="9" xfId="0" applyFont="1" applyBorder="1" applyAlignment="1">
      <alignment horizontal="left" vertical="center"/>
    </xf>
    <xf numFmtId="0" fontId="31" fillId="0" borderId="9" xfId="0" applyFont="1" applyBorder="1" applyAlignment="1">
      <alignment horizontal="left" vertical="center" wrapText="1"/>
    </xf>
    <xf numFmtId="0" fontId="31" fillId="0" borderId="9" xfId="0" applyFont="1" applyBorder="1" applyAlignment="1">
      <alignment horizontal="center" vertical="center" wrapText="1"/>
    </xf>
    <xf numFmtId="165" fontId="31" fillId="0" borderId="9" xfId="0" applyNumberFormat="1" applyFont="1" applyBorder="1" applyAlignment="1">
      <alignment horizontal="center" vertical="center" wrapText="1"/>
    </xf>
    <xf numFmtId="4" fontId="32" fillId="11" borderId="9" xfId="0" applyNumberFormat="1" applyFont="1" applyFill="1" applyBorder="1" applyAlignment="1">
      <alignment horizontal="center" vertical="center" wrapText="1"/>
    </xf>
    <xf numFmtId="0" fontId="33" fillId="0" borderId="9" xfId="0" applyFont="1" applyBorder="1" applyAlignment="1">
      <alignment horizontal="right" vertical="center" wrapText="1"/>
    </xf>
    <xf numFmtId="0" fontId="31" fillId="0" borderId="9" xfId="0" applyFont="1" applyBorder="1" applyAlignment="1">
      <alignment horizontal="center" vertical="center"/>
    </xf>
    <xf numFmtId="165" fontId="31" fillId="0" borderId="9" xfId="0" applyNumberFormat="1" applyFont="1" applyBorder="1" applyAlignment="1">
      <alignment horizontal="center" vertical="center"/>
    </xf>
    <xf numFmtId="4" fontId="32" fillId="8" borderId="9" xfId="0" applyNumberFormat="1" applyFont="1" applyFill="1" applyBorder="1" applyAlignment="1">
      <alignment horizontal="center" vertical="center"/>
    </xf>
    <xf numFmtId="0" fontId="34" fillId="0" borderId="9" xfId="0" applyFont="1" applyBorder="1" applyAlignment="1">
      <alignment horizontal="right" vertical="center" wrapText="1"/>
    </xf>
    <xf numFmtId="0" fontId="18" fillId="0" borderId="9" xfId="0" applyFont="1" applyBorder="1" applyAlignment="1">
      <alignment horizontal="center" vertical="center"/>
    </xf>
    <xf numFmtId="0" fontId="35" fillId="0" borderId="9" xfId="0" applyFont="1" applyBorder="1" applyAlignment="1">
      <alignment horizontal="left" vertical="center"/>
    </xf>
    <xf numFmtId="0" fontId="36" fillId="0" borderId="9" xfId="0" applyFont="1" applyBorder="1" applyAlignment="1">
      <alignment horizontal="right" vertical="center" wrapText="1"/>
    </xf>
    <xf numFmtId="0" fontId="37" fillId="0" borderId="9" xfId="0" applyFont="1" applyBorder="1" applyAlignment="1">
      <alignment horizontal="center" vertical="center" wrapText="1"/>
    </xf>
    <xf numFmtId="0" fontId="37" fillId="0" borderId="9" xfId="0" applyFont="1" applyBorder="1" applyAlignment="1">
      <alignment horizontal="center" vertical="center"/>
    </xf>
    <xf numFmtId="165" fontId="37" fillId="0" borderId="9" xfId="0" applyNumberFormat="1" applyFont="1" applyBorder="1" applyAlignment="1">
      <alignment horizontal="center" vertical="center"/>
    </xf>
    <xf numFmtId="4" fontId="38" fillId="8" borderId="9" xfId="0" applyNumberFormat="1" applyFont="1" applyFill="1" applyBorder="1" applyAlignment="1">
      <alignment horizontal="center" vertical="center"/>
    </xf>
    <xf numFmtId="0" fontId="39" fillId="12" borderId="9" xfId="0" applyFont="1" applyFill="1" applyBorder="1" applyAlignment="1">
      <alignment horizontal="right" vertical="center" wrapText="1"/>
    </xf>
    <xf numFmtId="0" fontId="40" fillId="12" borderId="9" xfId="0" applyFont="1" applyFill="1" applyBorder="1" applyAlignment="1">
      <alignment horizontal="right" vertical="center" wrapText="1"/>
    </xf>
    <xf numFmtId="0" fontId="34" fillId="12" borderId="9" xfId="0" applyFont="1" applyFill="1" applyBorder="1" applyAlignment="1">
      <alignment horizontal="right" vertical="center" wrapText="1"/>
    </xf>
    <xf numFmtId="165" fontId="41" fillId="0" borderId="9" xfId="0" applyNumberFormat="1" applyFont="1" applyBorder="1" applyAlignment="1">
      <alignment horizontal="center" vertical="center"/>
    </xf>
    <xf numFmtId="0" fontId="36" fillId="9" borderId="9" xfId="0" applyFont="1" applyFill="1" applyBorder="1" applyAlignment="1">
      <alignment horizontal="right" vertical="center" wrapText="1"/>
    </xf>
    <xf numFmtId="0" fontId="36" fillId="10" borderId="9" xfId="0" applyFont="1" applyFill="1" applyBorder="1" applyAlignment="1">
      <alignment horizontal="right" vertical="center" wrapText="1"/>
    </xf>
    <xf numFmtId="0" fontId="33" fillId="10" borderId="9" xfId="0" applyFont="1" applyFill="1" applyBorder="1" applyAlignment="1">
      <alignment horizontal="right" vertical="center" wrapText="1"/>
    </xf>
    <xf numFmtId="0" fontId="35" fillId="10" borderId="9" xfId="0" applyFont="1" applyFill="1" applyBorder="1" applyAlignment="1">
      <alignment horizontal="left" vertical="center"/>
    </xf>
    <xf numFmtId="0" fontId="37" fillId="10" borderId="9" xfId="0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left" vertical="center"/>
    </xf>
    <xf numFmtId="0" fontId="17" fillId="0" borderId="6" xfId="0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 wrapText="1"/>
    </xf>
    <xf numFmtId="0" fontId="18" fillId="0" borderId="6" xfId="0" applyFont="1" applyBorder="1" applyAlignment="1">
      <alignment horizontal="center" vertical="center" wrapText="1"/>
    </xf>
    <xf numFmtId="165" fontId="18" fillId="0" borderId="6" xfId="0" applyNumberFormat="1" applyFont="1" applyBorder="1" applyAlignment="1">
      <alignment horizontal="center" vertical="center" wrapText="1"/>
    </xf>
    <xf numFmtId="165" fontId="18" fillId="0" borderId="1" xfId="0" applyNumberFormat="1" applyFont="1" applyBorder="1" applyAlignment="1">
      <alignment horizontal="center" vertical="center" wrapText="1"/>
    </xf>
    <xf numFmtId="4" fontId="19" fillId="11" borderId="15" xfId="0" applyNumberFormat="1" applyFont="1" applyFill="1" applyBorder="1" applyAlignment="1">
      <alignment horizontal="center" vertical="center" wrapText="1"/>
    </xf>
    <xf numFmtId="0" fontId="34" fillId="0" borderId="6" xfId="0" applyFont="1" applyBorder="1" applyAlignment="1">
      <alignment horizontal="right" vertical="center" wrapText="1"/>
    </xf>
    <xf numFmtId="0" fontId="18" fillId="0" borderId="6" xfId="0" applyFont="1" applyBorder="1" applyAlignment="1">
      <alignment horizontal="center" vertical="center"/>
    </xf>
    <xf numFmtId="165" fontId="18" fillId="0" borderId="6" xfId="0" applyNumberFormat="1" applyFont="1" applyBorder="1" applyAlignment="1">
      <alignment horizontal="center" vertical="center"/>
    </xf>
    <xf numFmtId="165" fontId="41" fillId="0" borderId="6" xfId="0" applyNumberFormat="1" applyFont="1" applyBorder="1" applyAlignment="1">
      <alignment horizontal="center" vertical="center"/>
    </xf>
    <xf numFmtId="165" fontId="41" fillId="0" borderId="1" xfId="0" applyNumberFormat="1" applyFont="1" applyBorder="1" applyAlignment="1">
      <alignment horizontal="center" vertical="center"/>
    </xf>
    <xf numFmtId="4" fontId="19" fillId="8" borderId="15" xfId="0" applyNumberFormat="1" applyFont="1" applyFill="1" applyBorder="1" applyAlignment="1">
      <alignment horizontal="center" vertical="center"/>
    </xf>
    <xf numFmtId="165" fontId="41" fillId="0" borderId="2" xfId="0" applyNumberFormat="1" applyFont="1" applyBorder="1" applyAlignment="1">
      <alignment horizontal="center" vertical="center"/>
    </xf>
    <xf numFmtId="0" fontId="15" fillId="7" borderId="9" xfId="0" applyFont="1" applyFill="1" applyBorder="1" applyAlignment="1">
      <alignment horizontal="center" vertical="center" wrapText="1"/>
    </xf>
    <xf numFmtId="0" fontId="15" fillId="8" borderId="9" xfId="0" applyFont="1" applyFill="1" applyBorder="1" applyAlignment="1">
      <alignment horizontal="center" vertical="center" wrapText="1"/>
    </xf>
    <xf numFmtId="0" fontId="15" fillId="7" borderId="9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11" borderId="9" xfId="0" applyFont="1" applyFill="1" applyBorder="1" applyAlignment="1">
      <alignment horizontal="center" vertical="center"/>
    </xf>
    <xf numFmtId="0" fontId="19" fillId="11" borderId="13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6" fontId="24" fillId="0" borderId="9" xfId="0" applyNumberFormat="1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left" vertical="top" wrapText="1" indent="5"/>
    </xf>
    <xf numFmtId="0" fontId="7" fillId="0" borderId="0" xfId="1" applyFont="1" applyFill="1" applyBorder="1" applyAlignment="1">
      <alignment horizontal="center" vertical="top" wrapText="1"/>
    </xf>
    <xf numFmtId="0" fontId="7" fillId="0" borderId="3" xfId="1" applyFont="1" applyFill="1" applyBorder="1" applyAlignment="1">
      <alignment horizontal="center" vertical="center" wrapText="1"/>
    </xf>
    <xf numFmtId="0" fontId="7" fillId="0" borderId="0" xfId="1" applyFon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left" vertical="top"/>
    </xf>
    <xf numFmtId="0" fontId="5" fillId="0" borderId="0" xfId="1" applyFont="1" applyFill="1" applyBorder="1" applyAlignment="1">
      <alignment horizontal="left" vertical="top" wrapText="1"/>
    </xf>
    <xf numFmtId="2" fontId="5" fillId="0" borderId="0" xfId="1" applyNumberFormat="1" applyFont="1" applyFill="1" applyBorder="1" applyAlignment="1">
      <alignment horizontal="center" vertical="center"/>
    </xf>
    <xf numFmtId="2" fontId="7" fillId="0" borderId="0" xfId="1" applyNumberFormat="1" applyFont="1" applyFill="1" applyBorder="1" applyAlignment="1">
      <alignment horizontal="left" vertical="top"/>
    </xf>
    <xf numFmtId="0" fontId="1" fillId="0" borderId="0" xfId="1" applyFill="1" applyBorder="1" applyAlignment="1">
      <alignment horizontal="left" vertical="top"/>
    </xf>
    <xf numFmtId="0" fontId="43" fillId="0" borderId="0" xfId="1" applyFont="1" applyFill="1" applyBorder="1" applyAlignment="1">
      <alignment horizontal="left" vertical="top"/>
    </xf>
    <xf numFmtId="0" fontId="44" fillId="0" borderId="0" xfId="1" applyFont="1" applyFill="1" applyAlignment="1">
      <alignment horizontal="left" vertical="top"/>
    </xf>
    <xf numFmtId="0" fontId="44" fillId="0" borderId="0" xfId="1" applyFont="1" applyFill="1" applyBorder="1" applyAlignment="1">
      <alignment horizontal="left" vertical="top"/>
    </xf>
    <xf numFmtId="3" fontId="42" fillId="0" borderId="9" xfId="1" applyNumberFormat="1" applyFont="1" applyFill="1" applyBorder="1" applyAlignment="1">
      <alignment horizontal="center" vertical="center" shrinkToFit="1"/>
    </xf>
    <xf numFmtId="0" fontId="5" fillId="0" borderId="9" xfId="1" applyFont="1" applyFill="1" applyBorder="1" applyAlignment="1">
      <alignment horizontal="left" vertical="top" wrapText="1"/>
    </xf>
    <xf numFmtId="0" fontId="7" fillId="0" borderId="9" xfId="1" applyFont="1" applyFill="1" applyBorder="1" applyAlignment="1">
      <alignment horizontal="center" vertical="center" wrapText="1"/>
    </xf>
    <xf numFmtId="164" fontId="42" fillId="0" borderId="9" xfId="1" applyNumberFormat="1" applyFont="1" applyFill="1" applyBorder="1" applyAlignment="1">
      <alignment horizontal="center" vertical="center" shrinkToFit="1"/>
    </xf>
    <xf numFmtId="0" fontId="5" fillId="0" borderId="9" xfId="1" applyFont="1" applyFill="1" applyBorder="1" applyAlignment="1">
      <alignment horizontal="left" vertical="top"/>
    </xf>
    <xf numFmtId="0" fontId="5" fillId="0" borderId="9" xfId="1" applyFont="1" applyFill="1" applyBorder="1" applyAlignment="1">
      <alignment horizontal="left" vertical="center" wrapText="1"/>
    </xf>
    <xf numFmtId="164" fontId="42" fillId="0" borderId="9" xfId="1" applyNumberFormat="1" applyFont="1" applyFill="1" applyBorder="1" applyAlignment="1">
      <alignment horizontal="center" shrinkToFit="1"/>
    </xf>
    <xf numFmtId="0" fontId="5" fillId="0" borderId="9" xfId="1" quotePrefix="1" applyFont="1" applyFill="1" applyBorder="1" applyAlignment="1">
      <alignment horizontal="left" vertical="top" wrapText="1"/>
    </xf>
    <xf numFmtId="0" fontId="7" fillId="13" borderId="9" xfId="1" quotePrefix="1" applyFont="1" applyFill="1" applyBorder="1" applyAlignment="1">
      <alignment horizontal="center" vertical="center" wrapText="1"/>
    </xf>
    <xf numFmtId="164" fontId="42" fillId="13" borderId="9" xfId="1" applyNumberFormat="1" applyFont="1" applyFill="1" applyBorder="1" applyAlignment="1">
      <alignment horizontal="center" vertical="center" shrinkToFit="1"/>
    </xf>
    <xf numFmtId="0" fontId="8" fillId="0" borderId="9" xfId="1" applyFont="1" applyFill="1" applyBorder="1" applyAlignment="1">
      <alignment horizontal="left" vertical="center" wrapText="1"/>
    </xf>
    <xf numFmtId="0" fontId="7" fillId="13" borderId="9" xfId="1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6" fontId="18" fillId="0" borderId="9" xfId="0" applyNumberFormat="1" applyFont="1" applyBorder="1" applyAlignment="1">
      <alignment horizontal="center" vertical="center" wrapText="1"/>
    </xf>
    <xf numFmtId="0" fontId="45" fillId="0" borderId="9" xfId="1" applyNumberFormat="1" applyFont="1" applyFill="1" applyBorder="1" applyAlignment="1">
      <alignment horizontal="center" vertical="center" wrapText="1"/>
    </xf>
    <xf numFmtId="0" fontId="46" fillId="0" borderId="0" xfId="0" applyFont="1" applyAlignment="1">
      <alignment horizontal="center" vertical="center"/>
    </xf>
    <xf numFmtId="3" fontId="47" fillId="0" borderId="9" xfId="1" applyNumberFormat="1" applyFont="1" applyFill="1" applyBorder="1" applyAlignment="1">
      <alignment horizontal="center" vertical="center" shrinkToFit="1"/>
    </xf>
    <xf numFmtId="164" fontId="47" fillId="0" borderId="9" xfId="1" applyNumberFormat="1" applyFont="1" applyFill="1" applyBorder="1" applyAlignment="1">
      <alignment horizontal="center" vertical="center" shrinkToFit="1"/>
    </xf>
    <xf numFmtId="0" fontId="46" fillId="0" borderId="9" xfId="0" applyFont="1" applyFill="1" applyBorder="1" applyAlignment="1">
      <alignment horizontal="center" vertical="center"/>
    </xf>
    <xf numFmtId="164" fontId="46" fillId="0" borderId="9" xfId="0" applyNumberFormat="1" applyFont="1" applyFill="1" applyBorder="1" applyAlignment="1">
      <alignment horizontal="center" vertical="center"/>
    </xf>
    <xf numFmtId="0" fontId="48" fillId="0" borderId="0" xfId="0" applyFont="1"/>
    <xf numFmtId="0" fontId="48" fillId="0" borderId="9" xfId="0" applyFont="1" applyBorder="1" applyAlignment="1">
      <alignment vertical="center"/>
    </xf>
    <xf numFmtId="2" fontId="48" fillId="0" borderId="9" xfId="0" applyNumberFormat="1" applyFont="1" applyBorder="1" applyAlignment="1">
      <alignment horizontal="center" vertical="center"/>
    </xf>
    <xf numFmtId="0" fontId="48" fillId="0" borderId="9" xfId="0" applyFont="1" applyBorder="1" applyAlignment="1">
      <alignment horizontal="center" vertical="center"/>
    </xf>
    <xf numFmtId="0" fontId="48" fillId="0" borderId="9" xfId="0" applyFont="1" applyBorder="1" applyAlignment="1">
      <alignment horizontal="left" vertical="center" wrapText="1"/>
    </xf>
    <xf numFmtId="0" fontId="48" fillId="0" borderId="9" xfId="0" applyFont="1" applyBorder="1" applyAlignment="1">
      <alignment horizontal="center" vertical="center"/>
    </xf>
    <xf numFmtId="0" fontId="48" fillId="0" borderId="9" xfId="0" applyFont="1" applyBorder="1" applyAlignment="1">
      <alignment horizontal="center" vertical="center"/>
    </xf>
    <xf numFmtId="0" fontId="48" fillId="0" borderId="9" xfId="0" applyFont="1" applyBorder="1" applyAlignment="1">
      <alignment horizontal="center" vertical="center"/>
    </xf>
    <xf numFmtId="0" fontId="48" fillId="0" borderId="19" xfId="0" applyFont="1" applyBorder="1" applyAlignment="1">
      <alignment horizontal="left" vertical="center" wrapText="1"/>
    </xf>
    <xf numFmtId="0" fontId="48" fillId="0" borderId="19" xfId="0" applyFont="1" applyBorder="1" applyAlignment="1">
      <alignment horizontal="center"/>
    </xf>
    <xf numFmtId="0" fontId="48" fillId="0" borderId="0" xfId="0" applyFont="1" applyAlignment="1">
      <alignment horizontal="center" vertical="center"/>
    </xf>
    <xf numFmtId="2" fontId="48" fillId="0" borderId="9" xfId="0" applyNumberFormat="1" applyFont="1" applyBorder="1" applyAlignment="1">
      <alignment horizontal="right" vertical="center"/>
    </xf>
    <xf numFmtId="0" fontId="48" fillId="0" borderId="9" xfId="0" applyFont="1" applyBorder="1" applyAlignment="1">
      <alignment horizontal="center" vertical="center"/>
    </xf>
    <xf numFmtId="0" fontId="48" fillId="0" borderId="9" xfId="0" applyFont="1" applyBorder="1" applyAlignment="1">
      <alignment horizontal="center" vertical="center"/>
    </xf>
    <xf numFmtId="0" fontId="48" fillId="0" borderId="9" xfId="0" applyFont="1" applyBorder="1"/>
    <xf numFmtId="0" fontId="48" fillId="0" borderId="9" xfId="0" applyFont="1" applyBorder="1" applyAlignment="1">
      <alignment horizontal="center" vertical="center"/>
    </xf>
    <xf numFmtId="0" fontId="48" fillId="0" borderId="9" xfId="0" applyFont="1" applyBorder="1" applyAlignment="1">
      <alignment wrapText="1"/>
    </xf>
    <xf numFmtId="0" fontId="48" fillId="0" borderId="9" xfId="0" applyFont="1" applyBorder="1" applyAlignment="1">
      <alignment horizontal="center" vertical="center"/>
    </xf>
    <xf numFmtId="0" fontId="48" fillId="0" borderId="9" xfId="0" applyFont="1" applyBorder="1" applyAlignment="1">
      <alignment horizontal="center" vertical="center"/>
    </xf>
    <xf numFmtId="0" fontId="48" fillId="0" borderId="19" xfId="0" applyFont="1" applyBorder="1" applyAlignment="1">
      <alignment horizontal="center"/>
    </xf>
    <xf numFmtId="0" fontId="48" fillId="0" borderId="19" xfId="0" applyFont="1" applyBorder="1" applyAlignment="1">
      <alignment horizontal="left" vertical="center" wrapText="1"/>
    </xf>
    <xf numFmtId="0" fontId="48" fillId="0" borderId="9" xfId="0" applyFont="1" applyBorder="1" applyAlignment="1">
      <alignment horizontal="center" vertical="center"/>
    </xf>
    <xf numFmtId="0" fontId="48" fillId="0" borderId="22" xfId="0" applyFont="1" applyBorder="1" applyAlignment="1">
      <alignment horizontal="center" vertical="center" wrapText="1"/>
    </xf>
    <xf numFmtId="0" fontId="48" fillId="0" borderId="23" xfId="0" applyFont="1" applyBorder="1" applyAlignment="1">
      <alignment horizontal="center" vertical="center" wrapText="1"/>
    </xf>
    <xf numFmtId="0" fontId="48" fillId="0" borderId="16" xfId="0" applyFont="1" applyBorder="1" applyAlignment="1">
      <alignment horizontal="center" vertical="center" wrapText="1"/>
    </xf>
    <xf numFmtId="0" fontId="48" fillId="0" borderId="17" xfId="0" applyFont="1" applyBorder="1" applyAlignment="1">
      <alignment horizontal="center" vertical="center"/>
    </xf>
    <xf numFmtId="0" fontId="48" fillId="0" borderId="17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8" fillId="0" borderId="18" xfId="0" applyFont="1" applyBorder="1" applyAlignment="1">
      <alignment horizontal="center"/>
    </xf>
    <xf numFmtId="0" fontId="48" fillId="0" borderId="19" xfId="0" applyFont="1" applyBorder="1" applyAlignment="1">
      <alignment horizontal="center"/>
    </xf>
    <xf numFmtId="0" fontId="48" fillId="0" borderId="18" xfId="0" applyFont="1" applyBorder="1" applyAlignment="1">
      <alignment horizontal="left" vertical="center" wrapText="1"/>
    </xf>
    <xf numFmtId="0" fontId="48" fillId="0" borderId="19" xfId="0" applyFont="1" applyBorder="1" applyAlignment="1">
      <alignment horizontal="left" vertical="center" wrapText="1"/>
    </xf>
    <xf numFmtId="0" fontId="48" fillId="0" borderId="24" xfId="0" applyFont="1" applyBorder="1" applyAlignment="1">
      <alignment horizontal="center" vertical="center"/>
    </xf>
    <xf numFmtId="0" fontId="48" fillId="0" borderId="20" xfId="0" applyFont="1" applyBorder="1" applyAlignment="1">
      <alignment horizontal="center" vertical="center"/>
    </xf>
    <xf numFmtId="0" fontId="48" fillId="0" borderId="0" xfId="0" applyFont="1" applyBorder="1" applyAlignment="1">
      <alignment horizontal="center" vertical="center"/>
    </xf>
    <xf numFmtId="0" fontId="48" fillId="0" borderId="25" xfId="0" applyFont="1" applyBorder="1" applyAlignment="1">
      <alignment horizontal="center" vertical="center"/>
    </xf>
    <xf numFmtId="0" fontId="48" fillId="0" borderId="26" xfId="0" applyFont="1" applyBorder="1" applyAlignment="1">
      <alignment horizontal="center" vertical="center"/>
    </xf>
    <xf numFmtId="0" fontId="48" fillId="0" borderId="18" xfId="0" applyFont="1" applyBorder="1" applyAlignment="1">
      <alignment horizontal="right" vertical="center"/>
    </xf>
    <xf numFmtId="0" fontId="48" fillId="0" borderId="19" xfId="0" applyFont="1" applyBorder="1" applyAlignment="1">
      <alignment horizontal="right" vertical="center"/>
    </xf>
    <xf numFmtId="0" fontId="48" fillId="0" borderId="21" xfId="0" applyFont="1" applyBorder="1" applyAlignment="1">
      <alignment horizontal="left" vertical="center" wrapText="1"/>
    </xf>
    <xf numFmtId="0" fontId="48" fillId="0" borderId="21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8" fillId="0" borderId="20" xfId="0" applyFont="1" applyBorder="1" applyAlignment="1">
      <alignment horizont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23" fillId="0" borderId="4" xfId="0" applyFont="1" applyBorder="1" applyAlignment="1">
      <alignment horizontal="left" vertical="center"/>
    </xf>
    <xf numFmtId="0" fontId="23" fillId="0" borderId="5" xfId="0" applyFont="1" applyBorder="1" applyAlignment="1">
      <alignment horizontal="left" vertical="center"/>
    </xf>
  </cellXfs>
  <cellStyles count="3">
    <cellStyle name="Обычный" xfId="0" builtinId="0"/>
    <cellStyle name="Обычный 2" xfId="1"/>
    <cellStyle name="Финансовый" xfId="2" builtinId="3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ГОСТ тип А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name val="ГОСТ тип А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0"/>
        <name val="ГОСТ тип А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name val="ГОСТ тип А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name val="ГОСТ тип А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top style="thin">
          <color rgb="FF000000"/>
        </top>
      </border>
    </dxf>
    <dxf>
      <font>
        <b/>
        <strike val="0"/>
        <outline val="0"/>
        <shadow val="0"/>
        <u val="none"/>
        <vertAlign val="baseline"/>
        <sz val="10"/>
        <name val="ГОСТ тип А"/>
        <scheme val="none"/>
      </font>
    </dxf>
    <dxf>
      <font>
        <b/>
        <strike val="0"/>
        <outline val="0"/>
        <shadow val="0"/>
        <u val="none"/>
        <vertAlign val="baseline"/>
        <sz val="10"/>
        <name val="ГОСТ тип А"/>
        <scheme val="none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Таблица1" displayName="Таблица1" ref="A1:G138" totalsRowShown="0" headerRowDxfId="11" dataDxfId="10" tableBorderDxfId="9">
  <autoFilter ref="A1:G138">
    <filterColumn colId="1">
      <filters>
        <filter val="Лестничная  клетка"/>
      </filters>
    </filterColumn>
  </autoFilter>
  <tableColumns count="7">
    <tableColumn id="1" name="Номер помещени я" dataDxfId="8" dataCellStyle="Обычный 2"/>
    <tableColumn id="2" name="Наименование помещения" dataDxfId="7" dataCellStyle="Обычный 2"/>
    <tableColumn id="3" name="Вид  отделки" dataDxfId="6" dataCellStyle="Обычный 2"/>
    <tableColumn id="7" name="Площадь оригина" dataDxfId="5" dataCellStyle="Обычный 2"/>
    <tableColumn id="4" name="Площадь, м²" dataDxfId="4" dataCellStyle="Обычный 2"/>
    <tableColumn id="5" name="Примечание" dataDxfId="3" dataCellStyle="Обычный 2"/>
    <tableColumn id="6" name="Столбец1" dataDxfId="2" dataCellStyle="Обычный 2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2" name="Таблица13" displayName="Таблица13" ref="A1:C136" totalsRowShown="0">
  <autoFilter ref="A1:C136">
    <filterColumn colId="0">
      <filters>
        <filter val="ПТ-2.16"/>
      </filters>
    </filterColumn>
  </autoFilter>
  <tableColumns count="3">
    <tableColumn id="1" name="Столбец1"/>
    <tableColumn id="2" name="Столбец2"/>
    <tableColumn id="3" name="Столбец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Таблица2" displayName="Таблица2" ref="A1:C168" totalsRowShown="0" headerRowDxfId="1">
  <autoFilter ref="A1:C168">
    <filterColumn colId="0">
      <filters>
        <filter val="ПТ-1.1"/>
        <filter val="ПТ-1.2"/>
        <filter val="ПТ-1.4"/>
        <filter val="ПТ-1.8"/>
        <filter val="ПТ-2.1"/>
        <filter val="ПТ-2.10"/>
        <filter val="ПТ-2.16"/>
        <filter val="ПТ-2.3"/>
        <filter val="ПТ-2.4"/>
        <filter val="ПТ-2.5"/>
        <filter val="ПТ-2.6"/>
        <filter val="ПТ-2.7"/>
        <filter val="ПТ-2.8"/>
        <filter val="ПТ-4.1"/>
        <filter val="ПТ-4.3"/>
        <filter val="ПТ-5.1"/>
        <filter val="ПТ-5.2"/>
        <filter val="ПТ-8.1"/>
        <filter val="ПТ-8.2"/>
      </filters>
    </filterColumn>
  </autoFilter>
  <tableColumns count="3">
    <tableColumn id="1" name="Столбец1" dataDxfId="0"/>
    <tableColumn id="2" name="Столбец2"/>
    <tableColumn id="3" name="Столбец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zoomScale="70" zoomScaleNormal="70" workbookViewId="0">
      <selection activeCell="D6" sqref="D6"/>
    </sheetView>
  </sheetViews>
  <sheetFormatPr defaultRowHeight="15.6" x14ac:dyDescent="0.3"/>
  <cols>
    <col min="1" max="1" width="11.33203125" style="184" bestFit="1" customWidth="1"/>
    <col min="2" max="2" width="13.77734375" style="184" customWidth="1"/>
    <col min="3" max="3" width="20.109375" style="184" customWidth="1"/>
    <col min="4" max="4" width="31.44140625" style="184" customWidth="1"/>
    <col min="5" max="5" width="11" style="184" customWidth="1"/>
    <col min="6" max="6" width="12.33203125" style="184" bestFit="1" customWidth="1"/>
    <col min="7" max="16384" width="8.88671875" style="184"/>
  </cols>
  <sheetData>
    <row r="1" spans="1:6" x14ac:dyDescent="0.3">
      <c r="A1" s="205" t="s">
        <v>787</v>
      </c>
      <c r="B1" s="205"/>
      <c r="C1" s="205"/>
      <c r="D1" s="205"/>
      <c r="E1" s="205"/>
      <c r="F1" s="205"/>
    </row>
    <row r="2" spans="1:6" x14ac:dyDescent="0.3">
      <c r="A2" s="185" t="s">
        <v>764</v>
      </c>
      <c r="B2" s="212" t="s">
        <v>14</v>
      </c>
      <c r="C2" s="213"/>
      <c r="D2" s="203" t="s">
        <v>766</v>
      </c>
      <c r="E2" s="186" t="s">
        <v>15</v>
      </c>
      <c r="F2" s="186" t="s">
        <v>771</v>
      </c>
    </row>
    <row r="3" spans="1:6" ht="46.8" x14ac:dyDescent="0.3">
      <c r="A3" s="202">
        <v>1</v>
      </c>
      <c r="B3" s="214" t="s">
        <v>812</v>
      </c>
      <c r="C3" s="215"/>
      <c r="D3" s="204" t="s">
        <v>813</v>
      </c>
      <c r="E3" s="202" t="s">
        <v>7</v>
      </c>
      <c r="F3" s="202">
        <f>B14</f>
        <v>5365.5599999999995</v>
      </c>
    </row>
    <row r="4" spans="1:6" ht="46.8" x14ac:dyDescent="0.3">
      <c r="A4" s="202">
        <v>2</v>
      </c>
      <c r="B4" s="214" t="s">
        <v>812</v>
      </c>
      <c r="C4" s="215"/>
      <c r="D4" s="204" t="s">
        <v>814</v>
      </c>
      <c r="E4" s="202" t="s">
        <v>7</v>
      </c>
      <c r="F4" s="202">
        <f>B20</f>
        <v>118.80000000000001</v>
      </c>
    </row>
    <row r="5" spans="1:6" ht="46.8" x14ac:dyDescent="0.3">
      <c r="A5" s="202">
        <v>3</v>
      </c>
      <c r="B5" s="214" t="s">
        <v>812</v>
      </c>
      <c r="C5" s="215"/>
      <c r="D5" s="204" t="s">
        <v>815</v>
      </c>
      <c r="E5" s="202" t="s">
        <v>7</v>
      </c>
      <c r="F5" s="202">
        <f>B27</f>
        <v>2405.2799999999997</v>
      </c>
    </row>
    <row r="6" spans="1:6" ht="46.8" x14ac:dyDescent="0.3">
      <c r="A6" s="202">
        <v>4</v>
      </c>
      <c r="B6" s="214" t="s">
        <v>812</v>
      </c>
      <c r="C6" s="215"/>
      <c r="D6" s="204" t="s">
        <v>816</v>
      </c>
      <c r="E6" s="202" t="s">
        <v>7</v>
      </c>
      <c r="F6" s="202">
        <f>F12</f>
        <v>32.520000000000003</v>
      </c>
    </row>
    <row r="7" spans="1:6" ht="46.8" x14ac:dyDescent="0.3">
      <c r="A7" s="202">
        <v>5</v>
      </c>
      <c r="B7" s="214" t="s">
        <v>812</v>
      </c>
      <c r="C7" s="215"/>
      <c r="D7" s="204" t="s">
        <v>817</v>
      </c>
      <c r="E7" s="202" t="s">
        <v>7</v>
      </c>
      <c r="F7" s="202">
        <f>F17</f>
        <v>240.71999999999997</v>
      </c>
    </row>
    <row r="8" spans="1:6" x14ac:dyDescent="0.3">
      <c r="A8" s="205"/>
      <c r="B8" s="205"/>
      <c r="C8" s="205"/>
      <c r="D8" s="205"/>
      <c r="E8" s="205"/>
      <c r="F8" s="205"/>
    </row>
    <row r="9" spans="1:6" x14ac:dyDescent="0.3">
      <c r="A9" s="205" t="s">
        <v>587</v>
      </c>
      <c r="B9" s="205"/>
      <c r="C9" s="216"/>
      <c r="D9" s="219"/>
      <c r="E9" s="205" t="s">
        <v>664</v>
      </c>
      <c r="F9" s="205"/>
    </row>
    <row r="10" spans="1:6" x14ac:dyDescent="0.3">
      <c r="A10" s="202" t="s">
        <v>810</v>
      </c>
      <c r="B10" s="202" t="s">
        <v>811</v>
      </c>
      <c r="C10" s="217"/>
      <c r="D10" s="220"/>
      <c r="E10" s="202" t="s">
        <v>810</v>
      </c>
      <c r="F10" s="202" t="s">
        <v>811</v>
      </c>
    </row>
    <row r="11" spans="1:6" x14ac:dyDescent="0.3">
      <c r="A11" s="202">
        <v>1</v>
      </c>
      <c r="B11" s="202">
        <f>1752.6*1.2</f>
        <v>2103.12</v>
      </c>
      <c r="C11" s="217"/>
      <c r="D11" s="220"/>
      <c r="E11" s="202">
        <v>1</v>
      </c>
      <c r="F11" s="202">
        <f>27.1*1.2</f>
        <v>32.520000000000003</v>
      </c>
    </row>
    <row r="12" spans="1:6" x14ac:dyDescent="0.3">
      <c r="A12" s="202">
        <v>2</v>
      </c>
      <c r="B12" s="202">
        <f>1381.8*1.2</f>
        <v>1658.1599999999999</v>
      </c>
      <c r="C12" s="217"/>
      <c r="D12" s="220"/>
      <c r="E12" s="202" t="s">
        <v>5</v>
      </c>
      <c r="F12" s="202">
        <f>SUM(F11:F11)</f>
        <v>32.520000000000003</v>
      </c>
    </row>
    <row r="13" spans="1:6" x14ac:dyDescent="0.3">
      <c r="A13" s="202">
        <v>3</v>
      </c>
      <c r="B13" s="202">
        <f>1336.9*1.2</f>
        <v>1604.28</v>
      </c>
      <c r="C13" s="217"/>
      <c r="D13" s="220"/>
      <c r="E13" s="212"/>
      <c r="F13" s="213"/>
    </row>
    <row r="14" spans="1:6" x14ac:dyDescent="0.3">
      <c r="A14" s="202" t="s">
        <v>5</v>
      </c>
      <c r="B14" s="202">
        <f>SUM(B11:B13)</f>
        <v>5365.5599999999995</v>
      </c>
      <c r="C14" s="217"/>
      <c r="D14" s="220"/>
      <c r="E14" s="205" t="s">
        <v>591</v>
      </c>
      <c r="F14" s="205"/>
    </row>
    <row r="15" spans="1:6" x14ac:dyDescent="0.3">
      <c r="A15" s="212"/>
      <c r="B15" s="213"/>
      <c r="C15" s="217"/>
      <c r="D15" s="220"/>
      <c r="E15" s="202" t="s">
        <v>810</v>
      </c>
      <c r="F15" s="202" t="s">
        <v>811</v>
      </c>
    </row>
    <row r="16" spans="1:6" x14ac:dyDescent="0.3">
      <c r="A16" s="205" t="s">
        <v>598</v>
      </c>
      <c r="B16" s="205"/>
      <c r="C16" s="217"/>
      <c r="D16" s="220"/>
      <c r="E16" s="202">
        <v>3</v>
      </c>
      <c r="F16" s="202">
        <f>200.6*1.2</f>
        <v>240.71999999999997</v>
      </c>
    </row>
    <row r="17" spans="1:6" x14ac:dyDescent="0.3">
      <c r="A17" s="202" t="s">
        <v>810</v>
      </c>
      <c r="B17" s="202" t="s">
        <v>811</v>
      </c>
      <c r="C17" s="217"/>
      <c r="D17" s="220"/>
      <c r="E17" s="202" t="s">
        <v>5</v>
      </c>
      <c r="F17" s="202">
        <f>SUM(F16:F16)</f>
        <v>240.71999999999997</v>
      </c>
    </row>
    <row r="18" spans="1:6" x14ac:dyDescent="0.3">
      <c r="A18" s="202">
        <v>1</v>
      </c>
      <c r="B18" s="202">
        <f>60.1*1.2</f>
        <v>72.12</v>
      </c>
      <c r="C18" s="217"/>
      <c r="D18" s="218"/>
      <c r="E18" s="218"/>
      <c r="F18" s="218"/>
    </row>
    <row r="19" spans="1:6" x14ac:dyDescent="0.3">
      <c r="A19" s="202">
        <v>3</v>
      </c>
      <c r="B19" s="202">
        <f>38.9*1.2</f>
        <v>46.68</v>
      </c>
      <c r="C19" s="217"/>
      <c r="D19" s="218"/>
      <c r="E19" s="218"/>
      <c r="F19" s="218"/>
    </row>
    <row r="20" spans="1:6" x14ac:dyDescent="0.3">
      <c r="A20" s="202" t="s">
        <v>5</v>
      </c>
      <c r="B20" s="202">
        <f>SUM(B18:B19)</f>
        <v>118.80000000000001</v>
      </c>
      <c r="C20" s="217"/>
      <c r="D20" s="218"/>
      <c r="E20" s="218"/>
      <c r="F20" s="218"/>
    </row>
    <row r="21" spans="1:6" x14ac:dyDescent="0.3">
      <c r="A21" s="212"/>
      <c r="B21" s="213"/>
      <c r="C21" s="217"/>
      <c r="D21" s="218"/>
      <c r="E21" s="218"/>
      <c r="F21" s="218"/>
    </row>
    <row r="22" spans="1:6" x14ac:dyDescent="0.3">
      <c r="A22" s="205" t="s">
        <v>678</v>
      </c>
      <c r="B22" s="205"/>
      <c r="C22" s="217"/>
      <c r="D22" s="218"/>
      <c r="E22" s="218"/>
      <c r="F22" s="218"/>
    </row>
    <row r="23" spans="1:6" x14ac:dyDescent="0.3">
      <c r="A23" s="202" t="s">
        <v>810</v>
      </c>
      <c r="B23" s="202" t="s">
        <v>811</v>
      </c>
      <c r="C23" s="217"/>
      <c r="D23" s="218"/>
      <c r="E23" s="218"/>
      <c r="F23" s="218"/>
    </row>
    <row r="24" spans="1:6" x14ac:dyDescent="0.3">
      <c r="A24" s="202">
        <v>1</v>
      </c>
      <c r="B24" s="202">
        <f>892.5*1.2</f>
        <v>1071</v>
      </c>
      <c r="C24" s="217"/>
      <c r="D24" s="218"/>
      <c r="E24" s="218"/>
      <c r="F24" s="218"/>
    </row>
    <row r="25" spans="1:6" x14ac:dyDescent="0.3">
      <c r="A25" s="202">
        <v>2</v>
      </c>
      <c r="B25" s="202">
        <f>375.1*1.2</f>
        <v>450.12</v>
      </c>
      <c r="C25" s="217"/>
      <c r="D25" s="218"/>
      <c r="E25" s="218"/>
      <c r="F25" s="218"/>
    </row>
    <row r="26" spans="1:6" x14ac:dyDescent="0.3">
      <c r="A26" s="202">
        <v>3</v>
      </c>
      <c r="B26" s="202">
        <f>736.8*1.2</f>
        <v>884.16</v>
      </c>
      <c r="C26" s="217"/>
      <c r="D26" s="218"/>
      <c r="E26" s="218"/>
      <c r="F26" s="218"/>
    </row>
    <row r="27" spans="1:6" x14ac:dyDescent="0.3">
      <c r="A27" s="202" t="s">
        <v>5</v>
      </c>
      <c r="B27" s="202">
        <f>SUM(B24:B26)</f>
        <v>2405.2799999999997</v>
      </c>
      <c r="C27" s="217"/>
      <c r="D27" s="218"/>
      <c r="E27" s="218"/>
      <c r="F27" s="218"/>
    </row>
  </sheetData>
  <mergeCells count="18">
    <mergeCell ref="A16:B16"/>
    <mergeCell ref="E18:F27"/>
    <mergeCell ref="A21:B21"/>
    <mergeCell ref="A22:B22"/>
    <mergeCell ref="B5:C5"/>
    <mergeCell ref="B6:C6"/>
    <mergeCell ref="B7:C7"/>
    <mergeCell ref="A8:F8"/>
    <mergeCell ref="A9:B9"/>
    <mergeCell ref="C9:D27"/>
    <mergeCell ref="E9:F9"/>
    <mergeCell ref="E13:F13"/>
    <mergeCell ref="E14:F14"/>
    <mergeCell ref="A15:B15"/>
    <mergeCell ref="A1:F1"/>
    <mergeCell ref="B2:C2"/>
    <mergeCell ref="B3:C3"/>
    <mergeCell ref="B4:C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zoomScale="70" zoomScaleNormal="70" workbookViewId="0">
      <selection activeCell="C3" sqref="C3:C8"/>
    </sheetView>
  </sheetViews>
  <sheetFormatPr defaultRowHeight="15.6" x14ac:dyDescent="0.3"/>
  <cols>
    <col min="1" max="1" width="7.77734375" style="184" customWidth="1"/>
    <col min="2" max="2" width="53.21875" style="184" customWidth="1"/>
    <col min="3" max="3" width="15.109375" style="184" customWidth="1"/>
    <col min="4" max="4" width="13.88671875" style="184" customWidth="1"/>
    <col min="5" max="5" width="11.88671875" style="184" customWidth="1"/>
    <col min="6" max="16384" width="8.88671875" style="184"/>
  </cols>
  <sheetData>
    <row r="1" spans="1:5" x14ac:dyDescent="0.3">
      <c r="A1" s="205" t="s">
        <v>25</v>
      </c>
      <c r="B1" s="205"/>
      <c r="C1" s="205"/>
      <c r="D1" s="205"/>
    </row>
    <row r="2" spans="1:5" x14ac:dyDescent="0.3">
      <c r="A2" s="185" t="s">
        <v>764</v>
      </c>
      <c r="B2" s="185" t="s">
        <v>14</v>
      </c>
      <c r="C2" s="185" t="s">
        <v>766</v>
      </c>
      <c r="D2" s="186" t="s">
        <v>15</v>
      </c>
      <c r="E2" s="186" t="s">
        <v>771</v>
      </c>
    </row>
    <row r="3" spans="1:5" ht="46.8" x14ac:dyDescent="0.3">
      <c r="A3" s="201">
        <v>1</v>
      </c>
      <c r="B3" s="188" t="s">
        <v>819</v>
      </c>
      <c r="C3" s="206" t="s">
        <v>818</v>
      </c>
      <c r="D3" s="201" t="s">
        <v>7</v>
      </c>
      <c r="E3" s="201">
        <f>3.91+7.12</f>
        <v>11.030000000000001</v>
      </c>
    </row>
    <row r="4" spans="1:5" ht="31.2" x14ac:dyDescent="0.3">
      <c r="A4" s="201">
        <v>2</v>
      </c>
      <c r="B4" s="188" t="s">
        <v>805</v>
      </c>
      <c r="C4" s="207"/>
      <c r="D4" s="201" t="s">
        <v>7</v>
      </c>
      <c r="E4" s="201">
        <f>E3</f>
        <v>11.030000000000001</v>
      </c>
    </row>
    <row r="5" spans="1:5" ht="31.2" x14ac:dyDescent="0.3">
      <c r="A5" s="201">
        <v>3</v>
      </c>
      <c r="B5" s="188" t="s">
        <v>806</v>
      </c>
      <c r="C5" s="207"/>
      <c r="D5" s="201" t="s">
        <v>7</v>
      </c>
      <c r="E5" s="201">
        <f>E4</f>
        <v>11.030000000000001</v>
      </c>
    </row>
    <row r="6" spans="1:5" ht="31.2" x14ac:dyDescent="0.3">
      <c r="A6" s="201">
        <v>4</v>
      </c>
      <c r="B6" s="188" t="s">
        <v>822</v>
      </c>
      <c r="C6" s="207"/>
      <c r="D6" s="201" t="s">
        <v>7</v>
      </c>
      <c r="E6" s="201">
        <v>3.91</v>
      </c>
    </row>
    <row r="7" spans="1:5" ht="31.2" x14ac:dyDescent="0.3">
      <c r="A7" s="201">
        <v>5</v>
      </c>
      <c r="B7" s="188" t="s">
        <v>821</v>
      </c>
      <c r="C7" s="207"/>
      <c r="D7" s="201" t="s">
        <v>7</v>
      </c>
      <c r="E7" s="201">
        <v>7.12</v>
      </c>
    </row>
    <row r="8" spans="1:5" x14ac:dyDescent="0.3">
      <c r="A8" s="201">
        <v>6</v>
      </c>
      <c r="B8" s="188" t="s">
        <v>807</v>
      </c>
      <c r="C8" s="208"/>
      <c r="D8" s="201" t="s">
        <v>7</v>
      </c>
      <c r="E8" s="201">
        <f>C11</f>
        <v>24</v>
      </c>
    </row>
    <row r="9" spans="1:5" x14ac:dyDescent="0.3">
      <c r="A9" s="209"/>
      <c r="B9" s="209"/>
      <c r="C9" s="209"/>
      <c r="D9" s="209"/>
      <c r="E9" s="210"/>
    </row>
    <row r="10" spans="1:5" x14ac:dyDescent="0.3">
      <c r="A10" s="205" t="s">
        <v>780</v>
      </c>
      <c r="B10" s="205"/>
      <c r="C10" s="205"/>
      <c r="D10" s="205"/>
      <c r="E10" s="211"/>
    </row>
    <row r="11" spans="1:5" x14ac:dyDescent="0.3">
      <c r="A11" s="185" t="s">
        <v>774</v>
      </c>
      <c r="B11" s="185" t="s">
        <v>820</v>
      </c>
      <c r="C11" s="185">
        <f>3*4*2</f>
        <v>24</v>
      </c>
      <c r="D11" s="201" t="s">
        <v>7</v>
      </c>
      <c r="E11" s="211"/>
    </row>
  </sheetData>
  <mergeCells count="5">
    <mergeCell ref="A10:D10"/>
    <mergeCell ref="A1:D1"/>
    <mergeCell ref="C3:C8"/>
    <mergeCell ref="A9:D9"/>
    <mergeCell ref="E9:E1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zoomScale="70" zoomScaleNormal="70" workbookViewId="0">
      <selection activeCell="J18" sqref="J18"/>
    </sheetView>
  </sheetViews>
  <sheetFormatPr defaultRowHeight="15.6" x14ac:dyDescent="0.3"/>
  <cols>
    <col min="1" max="1" width="11.33203125" style="184" bestFit="1" customWidth="1"/>
    <col min="2" max="2" width="13.77734375" style="184" customWidth="1"/>
    <col min="3" max="3" width="20.109375" style="184" customWidth="1"/>
    <col min="4" max="4" width="31.44140625" style="184" customWidth="1"/>
    <col min="5" max="5" width="11" style="184" customWidth="1"/>
    <col min="6" max="6" width="12" style="184" bestFit="1" customWidth="1"/>
    <col min="7" max="16384" width="8.88671875" style="184"/>
  </cols>
  <sheetData>
    <row r="1" spans="1:6" x14ac:dyDescent="0.3">
      <c r="A1" s="205" t="s">
        <v>787</v>
      </c>
      <c r="B1" s="205"/>
      <c r="C1" s="205"/>
      <c r="D1" s="205"/>
      <c r="E1" s="205"/>
      <c r="F1" s="205"/>
    </row>
    <row r="2" spans="1:6" x14ac:dyDescent="0.3">
      <c r="A2" s="185" t="s">
        <v>764</v>
      </c>
      <c r="B2" s="212" t="s">
        <v>14</v>
      </c>
      <c r="C2" s="213"/>
      <c r="D2" s="203" t="s">
        <v>766</v>
      </c>
      <c r="E2" s="186" t="s">
        <v>15</v>
      </c>
      <c r="F2" s="186" t="s">
        <v>771</v>
      </c>
    </row>
    <row r="3" spans="1:6" ht="47.4" customHeight="1" x14ac:dyDescent="0.3">
      <c r="A3" s="202">
        <v>1</v>
      </c>
      <c r="B3" s="214" t="s">
        <v>812</v>
      </c>
      <c r="C3" s="215"/>
      <c r="D3" s="204" t="s">
        <v>813</v>
      </c>
      <c r="E3" s="202" t="s">
        <v>7</v>
      </c>
      <c r="F3" s="186">
        <f>B14</f>
        <v>6131.73</v>
      </c>
    </row>
    <row r="4" spans="1:6" ht="47.4" customHeight="1" x14ac:dyDescent="0.3">
      <c r="A4" s="202">
        <v>2</v>
      </c>
      <c r="B4" s="214" t="s">
        <v>812</v>
      </c>
      <c r="C4" s="215"/>
      <c r="D4" s="204" t="s">
        <v>814</v>
      </c>
      <c r="E4" s="202" t="s">
        <v>7</v>
      </c>
      <c r="F4" s="186">
        <f>B20</f>
        <v>87</v>
      </c>
    </row>
    <row r="5" spans="1:6" ht="47.4" customHeight="1" x14ac:dyDescent="0.3">
      <c r="A5" s="202">
        <v>3</v>
      </c>
      <c r="B5" s="214" t="s">
        <v>812</v>
      </c>
      <c r="C5" s="215"/>
      <c r="D5" s="204" t="s">
        <v>815</v>
      </c>
      <c r="E5" s="202" t="s">
        <v>7</v>
      </c>
      <c r="F5" s="186">
        <f>B27</f>
        <v>2236.2049999999999</v>
      </c>
    </row>
    <row r="6" spans="1:6" ht="47.4" customHeight="1" x14ac:dyDescent="0.3">
      <c r="A6" s="202">
        <v>4</v>
      </c>
      <c r="B6" s="214" t="s">
        <v>812</v>
      </c>
      <c r="C6" s="215"/>
      <c r="D6" s="204" t="s">
        <v>816</v>
      </c>
      <c r="E6" s="202" t="s">
        <v>7</v>
      </c>
      <c r="F6" s="186">
        <f>F12</f>
        <v>146.6</v>
      </c>
    </row>
    <row r="7" spans="1:6" ht="47.4" customHeight="1" x14ac:dyDescent="0.3">
      <c r="A7" s="202">
        <v>5</v>
      </c>
      <c r="B7" s="214" t="s">
        <v>812</v>
      </c>
      <c r="C7" s="215"/>
      <c r="D7" s="204" t="s">
        <v>817</v>
      </c>
      <c r="E7" s="202" t="s">
        <v>7</v>
      </c>
      <c r="F7" s="186">
        <f>F17</f>
        <v>231.97645</v>
      </c>
    </row>
    <row r="8" spans="1:6" x14ac:dyDescent="0.3">
      <c r="A8" s="205"/>
      <c r="B8" s="205"/>
      <c r="C8" s="205"/>
      <c r="D8" s="205"/>
      <c r="E8" s="205"/>
      <c r="F8" s="205"/>
    </row>
    <row r="9" spans="1:6" x14ac:dyDescent="0.3">
      <c r="A9" s="205" t="s">
        <v>587</v>
      </c>
      <c r="B9" s="205"/>
      <c r="C9" s="216"/>
      <c r="D9" s="219"/>
      <c r="E9" s="205" t="s">
        <v>664</v>
      </c>
      <c r="F9" s="205"/>
    </row>
    <row r="10" spans="1:6" s="194" customFormat="1" x14ac:dyDescent="0.3">
      <c r="A10" s="202" t="s">
        <v>810</v>
      </c>
      <c r="B10" s="202" t="s">
        <v>811</v>
      </c>
      <c r="C10" s="217"/>
      <c r="D10" s="220"/>
      <c r="E10" s="202" t="s">
        <v>810</v>
      </c>
      <c r="F10" s="202" t="s">
        <v>811</v>
      </c>
    </row>
    <row r="11" spans="1:6" x14ac:dyDescent="0.3">
      <c r="A11" s="202">
        <v>1</v>
      </c>
      <c r="B11" s="202">
        <f>1750.1+21*(0.3*2+0.4*2)+4.4*(0.45*2+0.5*2)+3.5*(0.95*2+0.5*2)+2.5*(2*0.75+0.3*2)*4+32*(0.8*2+0.35*2)+9.7*(2*0.4+2*0.5)+26*2*(1*2+0.5*2)+86*0.4*4 + 34.4*0.25*4+13.7*2*0.6+11.4*0.9*2+20*2*0.75</f>
        <v>2305.0299999999997</v>
      </c>
      <c r="C11" s="217"/>
      <c r="D11" s="220"/>
      <c r="E11" s="202">
        <v>1</v>
      </c>
      <c r="F11" s="202">
        <v>146.6</v>
      </c>
    </row>
    <row r="12" spans="1:6" x14ac:dyDescent="0.3">
      <c r="A12" s="202">
        <v>2</v>
      </c>
      <c r="B12" s="202">
        <f>1381.8+554</f>
        <v>1935.8</v>
      </c>
      <c r="C12" s="217"/>
      <c r="D12" s="220"/>
      <c r="E12" s="202" t="s">
        <v>5</v>
      </c>
      <c r="F12" s="202">
        <f>SUM(F11:F11)</f>
        <v>146.6</v>
      </c>
    </row>
    <row r="13" spans="1:6" x14ac:dyDescent="0.3">
      <c r="A13" s="202">
        <v>3</v>
      </c>
      <c r="B13" s="202">
        <f>1336.9+554</f>
        <v>1890.9</v>
      </c>
      <c r="C13" s="217"/>
      <c r="D13" s="220"/>
      <c r="E13" s="212"/>
      <c r="F13" s="213"/>
    </row>
    <row r="14" spans="1:6" x14ac:dyDescent="0.3">
      <c r="A14" s="202" t="s">
        <v>5</v>
      </c>
      <c r="B14" s="202">
        <f>SUM(B11:B13)</f>
        <v>6131.73</v>
      </c>
      <c r="C14" s="217"/>
      <c r="D14" s="220"/>
      <c r="E14" s="205" t="s">
        <v>591</v>
      </c>
      <c r="F14" s="205"/>
    </row>
    <row r="15" spans="1:6" x14ac:dyDescent="0.3">
      <c r="A15" s="212"/>
      <c r="B15" s="213"/>
      <c r="C15" s="217"/>
      <c r="D15" s="220"/>
      <c r="E15" s="202" t="s">
        <v>810</v>
      </c>
      <c r="F15" s="202" t="s">
        <v>811</v>
      </c>
    </row>
    <row r="16" spans="1:6" x14ac:dyDescent="0.3">
      <c r="A16" s="205" t="s">
        <v>598</v>
      </c>
      <c r="B16" s="205"/>
      <c r="C16" s="217"/>
      <c r="D16" s="220"/>
      <c r="E16" s="202">
        <v>3</v>
      </c>
      <c r="F16" s="186">
        <f>200.6+7.4*0.2*3.14+5.7*0.25*3.14+22.5*3.14*0.315</f>
        <v>231.97645</v>
      </c>
    </row>
    <row r="17" spans="1:6" x14ac:dyDescent="0.3">
      <c r="A17" s="202" t="s">
        <v>810</v>
      </c>
      <c r="B17" s="202" t="s">
        <v>811</v>
      </c>
      <c r="C17" s="217"/>
      <c r="D17" s="220"/>
      <c r="E17" s="202" t="s">
        <v>5</v>
      </c>
      <c r="F17" s="186">
        <f>SUM(F16:F16)</f>
        <v>231.97645</v>
      </c>
    </row>
    <row r="18" spans="1:6" x14ac:dyDescent="0.3">
      <c r="A18" s="202">
        <v>1</v>
      </c>
      <c r="B18" s="202">
        <v>48.1</v>
      </c>
      <c r="C18" s="217"/>
      <c r="D18" s="218"/>
      <c r="E18" s="218"/>
      <c r="F18" s="218"/>
    </row>
    <row r="19" spans="1:6" x14ac:dyDescent="0.3">
      <c r="A19" s="202">
        <v>3</v>
      </c>
      <c r="B19" s="202">
        <f>38.9</f>
        <v>38.9</v>
      </c>
      <c r="C19" s="217"/>
      <c r="D19" s="218"/>
      <c r="E19" s="218"/>
      <c r="F19" s="218"/>
    </row>
    <row r="20" spans="1:6" x14ac:dyDescent="0.3">
      <c r="A20" s="202" t="s">
        <v>5</v>
      </c>
      <c r="B20" s="202">
        <f>SUM(B18:B19)</f>
        <v>87</v>
      </c>
      <c r="C20" s="217"/>
      <c r="D20" s="218"/>
      <c r="E20" s="218"/>
      <c r="F20" s="218"/>
    </row>
    <row r="21" spans="1:6" x14ac:dyDescent="0.3">
      <c r="A21" s="212"/>
      <c r="B21" s="213"/>
      <c r="C21" s="217"/>
      <c r="D21" s="218"/>
      <c r="E21" s="218"/>
      <c r="F21" s="218"/>
    </row>
    <row r="22" spans="1:6" x14ac:dyDescent="0.3">
      <c r="A22" s="205" t="s">
        <v>678</v>
      </c>
      <c r="B22" s="205"/>
      <c r="C22" s="217"/>
      <c r="D22" s="218"/>
      <c r="E22" s="218"/>
      <c r="F22" s="218"/>
    </row>
    <row r="23" spans="1:6" x14ac:dyDescent="0.3">
      <c r="A23" s="202" t="s">
        <v>810</v>
      </c>
      <c r="B23" s="202" t="s">
        <v>811</v>
      </c>
      <c r="C23" s="217"/>
      <c r="D23" s="218"/>
      <c r="E23" s="218"/>
      <c r="F23" s="218"/>
    </row>
    <row r="24" spans="1:6" x14ac:dyDescent="0.3">
      <c r="A24" s="202">
        <v>1</v>
      </c>
      <c r="B24" s="202">
        <f>892.54+3.14*0.4*(10+6)*5</f>
        <v>993.02</v>
      </c>
      <c r="C24" s="217"/>
      <c r="D24" s="218"/>
      <c r="E24" s="218"/>
      <c r="F24" s="218"/>
    </row>
    <row r="25" spans="1:6" x14ac:dyDescent="0.3">
      <c r="A25" s="202">
        <v>2</v>
      </c>
      <c r="B25" s="202">
        <f>375.1*1.35</f>
        <v>506.38500000000005</v>
      </c>
      <c r="C25" s="217"/>
      <c r="D25" s="218"/>
      <c r="E25" s="218"/>
      <c r="F25" s="218"/>
    </row>
    <row r="26" spans="1:6" x14ac:dyDescent="0.3">
      <c r="A26" s="202">
        <v>3</v>
      </c>
      <c r="B26" s="202">
        <f>736.8</f>
        <v>736.8</v>
      </c>
      <c r="C26" s="217"/>
      <c r="D26" s="218"/>
      <c r="E26" s="218"/>
      <c r="F26" s="218"/>
    </row>
    <row r="27" spans="1:6" x14ac:dyDescent="0.3">
      <c r="A27" s="202" t="s">
        <v>5</v>
      </c>
      <c r="B27" s="202">
        <f>SUM(B24:B26)</f>
        <v>2236.2049999999999</v>
      </c>
      <c r="C27" s="217"/>
      <c r="D27" s="218"/>
      <c r="E27" s="218"/>
      <c r="F27" s="218"/>
    </row>
  </sheetData>
  <mergeCells count="18">
    <mergeCell ref="A16:B16"/>
    <mergeCell ref="A22:B22"/>
    <mergeCell ref="E9:F9"/>
    <mergeCell ref="E14:F14"/>
    <mergeCell ref="A15:B15"/>
    <mergeCell ref="A21:B21"/>
    <mergeCell ref="E13:F13"/>
    <mergeCell ref="E18:F27"/>
    <mergeCell ref="C9:D27"/>
    <mergeCell ref="A9:B9"/>
    <mergeCell ref="A8:F8"/>
    <mergeCell ref="A1:F1"/>
    <mergeCell ref="B2:C2"/>
    <mergeCell ref="B3:C3"/>
    <mergeCell ref="B4:C4"/>
    <mergeCell ref="B5:C5"/>
    <mergeCell ref="B6:C6"/>
    <mergeCell ref="B7:C7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zoomScale="70" zoomScaleNormal="70" workbookViewId="0">
      <selection activeCell="B5" sqref="B5"/>
    </sheetView>
  </sheetViews>
  <sheetFormatPr defaultRowHeight="15.6" x14ac:dyDescent="0.3"/>
  <cols>
    <col min="1" max="1" width="7.77734375" style="184" customWidth="1"/>
    <col min="2" max="2" width="53.21875" style="184" customWidth="1"/>
    <col min="3" max="3" width="15.109375" style="184" customWidth="1"/>
    <col min="4" max="4" width="13.88671875" style="184" customWidth="1"/>
    <col min="5" max="5" width="11.88671875" style="184" customWidth="1"/>
    <col min="6" max="16384" width="8.88671875" style="184"/>
  </cols>
  <sheetData>
    <row r="1" spans="1:5" x14ac:dyDescent="0.3">
      <c r="A1" s="205" t="s">
        <v>25</v>
      </c>
      <c r="B1" s="205"/>
      <c r="C1" s="205"/>
      <c r="D1" s="205"/>
    </row>
    <row r="2" spans="1:5" x14ac:dyDescent="0.3">
      <c r="A2" s="185" t="s">
        <v>764</v>
      </c>
      <c r="B2" s="185" t="s">
        <v>14</v>
      </c>
      <c r="C2" s="185" t="s">
        <v>766</v>
      </c>
      <c r="D2" s="186" t="s">
        <v>15</v>
      </c>
      <c r="E2" s="186" t="s">
        <v>771</v>
      </c>
    </row>
    <row r="3" spans="1:5" ht="46.8" x14ac:dyDescent="0.3">
      <c r="A3" s="196">
        <v>1</v>
      </c>
      <c r="B3" s="188" t="s">
        <v>809</v>
      </c>
      <c r="C3" s="206" t="s">
        <v>808</v>
      </c>
      <c r="D3" s="196" t="s">
        <v>7</v>
      </c>
      <c r="E3" s="196">
        <v>25.7</v>
      </c>
    </row>
    <row r="4" spans="1:5" ht="31.2" x14ac:dyDescent="0.3">
      <c r="A4" s="196">
        <v>2</v>
      </c>
      <c r="B4" s="188" t="s">
        <v>805</v>
      </c>
      <c r="C4" s="207"/>
      <c r="D4" s="196" t="s">
        <v>7</v>
      </c>
      <c r="E4" s="196">
        <v>45.04</v>
      </c>
    </row>
    <row r="5" spans="1:5" ht="31.2" x14ac:dyDescent="0.3">
      <c r="A5" s="196">
        <v>3</v>
      </c>
      <c r="B5" s="188" t="s">
        <v>806</v>
      </c>
      <c r="C5" s="207"/>
      <c r="D5" s="196" t="s">
        <v>7</v>
      </c>
      <c r="E5" s="196">
        <f>E4</f>
        <v>45.04</v>
      </c>
    </row>
    <row r="6" spans="1:5" ht="31.2" x14ac:dyDescent="0.3">
      <c r="A6" s="196">
        <v>4</v>
      </c>
      <c r="B6" s="188" t="s">
        <v>128</v>
      </c>
      <c r="C6" s="207"/>
      <c r="D6" s="196" t="s">
        <v>7</v>
      </c>
      <c r="E6" s="196">
        <f>E4</f>
        <v>45.04</v>
      </c>
    </row>
    <row r="7" spans="1:5" x14ac:dyDescent="0.3">
      <c r="A7" s="196">
        <v>5</v>
      </c>
      <c r="B7" s="188" t="s">
        <v>807</v>
      </c>
      <c r="C7" s="208"/>
      <c r="D7" s="196" t="s">
        <v>7</v>
      </c>
      <c r="E7" s="196">
        <f>C22</f>
        <v>65</v>
      </c>
    </row>
    <row r="8" spans="1:5" x14ac:dyDescent="0.3">
      <c r="A8" s="209"/>
      <c r="B8" s="209"/>
      <c r="C8" s="209"/>
      <c r="D8" s="209"/>
      <c r="E8" s="210"/>
    </row>
    <row r="9" spans="1:5" x14ac:dyDescent="0.3">
      <c r="A9" s="205" t="s">
        <v>802</v>
      </c>
      <c r="B9" s="205"/>
      <c r="C9" s="205"/>
      <c r="D9" s="205"/>
      <c r="E9" s="211"/>
    </row>
    <row r="10" spans="1:5" x14ac:dyDescent="0.3">
      <c r="A10" s="198">
        <v>1</v>
      </c>
      <c r="B10" s="185" t="s">
        <v>798</v>
      </c>
      <c r="C10" s="185">
        <v>12</v>
      </c>
      <c r="D10" s="197" t="s">
        <v>7</v>
      </c>
      <c r="E10" s="211"/>
    </row>
    <row r="11" spans="1:5" x14ac:dyDescent="0.3">
      <c r="A11" s="198">
        <v>2</v>
      </c>
      <c r="B11" s="198" t="s">
        <v>796</v>
      </c>
      <c r="C11" s="185">
        <v>3.3</v>
      </c>
      <c r="D11" s="197" t="s">
        <v>7</v>
      </c>
      <c r="E11" s="211"/>
    </row>
    <row r="12" spans="1:5" x14ac:dyDescent="0.3">
      <c r="A12" s="198">
        <v>3</v>
      </c>
      <c r="B12" s="198" t="s">
        <v>797</v>
      </c>
      <c r="C12" s="185">
        <v>1.6</v>
      </c>
      <c r="D12" s="197" t="s">
        <v>7</v>
      </c>
      <c r="E12" s="211"/>
    </row>
    <row r="13" spans="1:5" x14ac:dyDescent="0.3">
      <c r="A13" s="198">
        <v>4</v>
      </c>
      <c r="B13" s="198" t="s">
        <v>799</v>
      </c>
      <c r="C13" s="185">
        <v>0.72</v>
      </c>
      <c r="D13" s="197" t="s">
        <v>7</v>
      </c>
      <c r="E13" s="211"/>
    </row>
    <row r="14" spans="1:5" x14ac:dyDescent="0.3">
      <c r="A14" s="221" t="s">
        <v>5</v>
      </c>
      <c r="B14" s="222"/>
      <c r="C14" s="198">
        <f>SUM(C10:C13)</f>
        <v>17.62</v>
      </c>
      <c r="D14" s="197" t="s">
        <v>7</v>
      </c>
      <c r="E14" s="211"/>
    </row>
    <row r="15" spans="1:5" x14ac:dyDescent="0.3">
      <c r="A15" s="209"/>
      <c r="B15" s="209"/>
      <c r="C15" s="209"/>
      <c r="D15" s="209"/>
      <c r="E15" s="211"/>
    </row>
    <row r="16" spans="1:5" x14ac:dyDescent="0.3">
      <c r="A16" s="205" t="s">
        <v>801</v>
      </c>
      <c r="B16" s="205"/>
      <c r="C16" s="205"/>
      <c r="D16" s="205"/>
      <c r="E16" s="211"/>
    </row>
    <row r="17" spans="1:5" x14ac:dyDescent="0.3">
      <c r="A17" s="198">
        <v>1</v>
      </c>
      <c r="B17" s="198" t="s">
        <v>800</v>
      </c>
      <c r="C17" s="185">
        <v>8.08</v>
      </c>
      <c r="D17" s="197" t="s">
        <v>7</v>
      </c>
      <c r="E17" s="211"/>
    </row>
    <row r="18" spans="1:5" x14ac:dyDescent="0.3">
      <c r="A18" s="205" t="s">
        <v>803</v>
      </c>
      <c r="B18" s="205"/>
      <c r="C18" s="205"/>
      <c r="D18" s="205"/>
      <c r="E18" s="211"/>
    </row>
    <row r="19" spans="1:5" ht="46.2" customHeight="1" x14ac:dyDescent="0.3">
      <c r="A19" s="198">
        <v>1</v>
      </c>
      <c r="B19" s="200" t="s">
        <v>804</v>
      </c>
      <c r="C19" s="185">
        <f>( 2*6 + (0.4*2 + 0.85) * 2 + (0.6*2+1.3*2) + (0.7 + 0.25 * 2) * 2) * 0.08</f>
        <v>1.72</v>
      </c>
      <c r="D19" s="199" t="s">
        <v>7</v>
      </c>
      <c r="E19" s="211"/>
    </row>
    <row r="20" spans="1:5" x14ac:dyDescent="0.3">
      <c r="A20" s="209"/>
      <c r="B20" s="209"/>
      <c r="C20" s="209"/>
      <c r="D20" s="209"/>
      <c r="E20" s="211"/>
    </row>
    <row r="21" spans="1:5" x14ac:dyDescent="0.3">
      <c r="A21" s="205" t="s">
        <v>780</v>
      </c>
      <c r="B21" s="205"/>
      <c r="C21" s="205"/>
      <c r="D21" s="205"/>
      <c r="E21" s="211"/>
    </row>
    <row r="22" spans="1:5" x14ac:dyDescent="0.3">
      <c r="A22" s="185" t="s">
        <v>774</v>
      </c>
      <c r="B22" s="185" t="s">
        <v>795</v>
      </c>
      <c r="C22" s="185">
        <v>65</v>
      </c>
      <c r="D22" s="196" t="s">
        <v>7</v>
      </c>
      <c r="E22" s="211"/>
    </row>
  </sheetData>
  <mergeCells count="11">
    <mergeCell ref="E8:E22"/>
    <mergeCell ref="A1:D1"/>
    <mergeCell ref="A8:D8"/>
    <mergeCell ref="A21:D21"/>
    <mergeCell ref="A9:D9"/>
    <mergeCell ref="A14:B14"/>
    <mergeCell ref="A20:D20"/>
    <mergeCell ref="A15:D15"/>
    <mergeCell ref="A16:D16"/>
    <mergeCell ref="A18:D18"/>
    <mergeCell ref="C3:C7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zoomScale="70" zoomScaleNormal="70" workbookViewId="0">
      <selection activeCell="B3" sqref="B3:D3"/>
    </sheetView>
  </sheetViews>
  <sheetFormatPr defaultRowHeight="15.6" x14ac:dyDescent="0.3"/>
  <cols>
    <col min="1" max="1" width="7.88671875" style="184" bestFit="1" customWidth="1"/>
    <col min="2" max="2" width="6.88671875" style="184" bestFit="1" customWidth="1"/>
    <col min="3" max="3" width="12.33203125" style="184" bestFit="1" customWidth="1"/>
    <col min="4" max="4" width="14.6640625" style="184" customWidth="1"/>
    <col min="5" max="5" width="32.88671875" style="184" customWidth="1"/>
    <col min="6" max="6" width="9.5546875" style="184" bestFit="1" customWidth="1"/>
    <col min="7" max="7" width="12" style="184" bestFit="1" customWidth="1"/>
    <col min="8" max="16384" width="8.88671875" style="184"/>
  </cols>
  <sheetData>
    <row r="1" spans="1:7" x14ac:dyDescent="0.3">
      <c r="A1" s="205" t="s">
        <v>787</v>
      </c>
      <c r="B1" s="205"/>
      <c r="C1" s="205"/>
      <c r="D1" s="205"/>
      <c r="E1" s="205"/>
      <c r="F1" s="205"/>
      <c r="G1" s="205"/>
    </row>
    <row r="2" spans="1:7" x14ac:dyDescent="0.3">
      <c r="A2" s="185" t="s">
        <v>764</v>
      </c>
      <c r="B2" s="212" t="s">
        <v>14</v>
      </c>
      <c r="C2" s="224"/>
      <c r="D2" s="213"/>
      <c r="E2" s="193" t="s">
        <v>766</v>
      </c>
      <c r="F2" s="186" t="s">
        <v>15</v>
      </c>
      <c r="G2" s="186" t="s">
        <v>771</v>
      </c>
    </row>
    <row r="3" spans="1:7" ht="47.4" customHeight="1" x14ac:dyDescent="0.3">
      <c r="A3" s="190">
        <v>1</v>
      </c>
      <c r="B3" s="214" t="s">
        <v>792</v>
      </c>
      <c r="C3" s="223"/>
      <c r="D3" s="215"/>
      <c r="E3" s="192" t="s">
        <v>791</v>
      </c>
      <c r="F3" s="190" t="s">
        <v>7</v>
      </c>
      <c r="G3" s="190">
        <f>C19</f>
        <v>90.800000000000026</v>
      </c>
    </row>
    <row r="4" spans="1:7" ht="30" customHeight="1" x14ac:dyDescent="0.3">
      <c r="A4" s="191">
        <v>2</v>
      </c>
      <c r="B4" s="214" t="s">
        <v>788</v>
      </c>
      <c r="C4" s="223"/>
      <c r="D4" s="215"/>
      <c r="E4" s="192" t="s">
        <v>793</v>
      </c>
      <c r="F4" s="191" t="s">
        <v>7</v>
      </c>
      <c r="G4" s="191">
        <f>G3</f>
        <v>90.800000000000026</v>
      </c>
    </row>
    <row r="5" spans="1:7" ht="30" customHeight="1" x14ac:dyDescent="0.3">
      <c r="A5" s="191">
        <v>3</v>
      </c>
      <c r="B5" s="214" t="s">
        <v>788</v>
      </c>
      <c r="C5" s="223"/>
      <c r="D5" s="215"/>
      <c r="E5" s="192" t="s">
        <v>794</v>
      </c>
      <c r="F5" s="191" t="s">
        <v>7</v>
      </c>
      <c r="G5" s="191">
        <f>G3</f>
        <v>90.800000000000026</v>
      </c>
    </row>
    <row r="6" spans="1:7" ht="30" customHeight="1" x14ac:dyDescent="0.3">
      <c r="A6" s="191">
        <v>4</v>
      </c>
      <c r="B6" s="214" t="s">
        <v>128</v>
      </c>
      <c r="C6" s="223"/>
      <c r="D6" s="215"/>
      <c r="E6" s="192" t="s">
        <v>789</v>
      </c>
      <c r="F6" s="191" t="s">
        <v>7</v>
      </c>
      <c r="G6" s="191">
        <f>G3+14.2*0.4*6+12.9*0.4*3</f>
        <v>140.36000000000001</v>
      </c>
    </row>
    <row r="7" spans="1:7" ht="46.8" x14ac:dyDescent="0.3">
      <c r="A7" s="191">
        <v>5</v>
      </c>
      <c r="B7" s="214" t="s">
        <v>772</v>
      </c>
      <c r="C7" s="223"/>
      <c r="D7" s="215"/>
      <c r="E7" s="192" t="s">
        <v>790</v>
      </c>
      <c r="F7" s="191" t="s">
        <v>7</v>
      </c>
      <c r="G7" s="191">
        <f xml:space="preserve"> 4 * 3 * 2 * 2.5 + 2*3*3*2*2.5</f>
        <v>150</v>
      </c>
    </row>
    <row r="8" spans="1:7" x14ac:dyDescent="0.3">
      <c r="A8" s="209"/>
      <c r="B8" s="209"/>
      <c r="C8" s="209"/>
      <c r="D8" s="209"/>
      <c r="E8" s="209"/>
      <c r="F8" s="209"/>
      <c r="G8" s="209"/>
    </row>
    <row r="9" spans="1:7" s="194" customFormat="1" x14ac:dyDescent="0.3">
      <c r="A9" s="190" t="s">
        <v>784</v>
      </c>
      <c r="B9" s="190" t="s">
        <v>785</v>
      </c>
      <c r="C9" s="190" t="s">
        <v>786</v>
      </c>
      <c r="D9" s="217"/>
      <c r="E9" s="218"/>
      <c r="F9" s="218"/>
      <c r="G9" s="218"/>
    </row>
    <row r="10" spans="1:7" x14ac:dyDescent="0.3">
      <c r="A10" s="190">
        <v>1</v>
      </c>
      <c r="B10" s="190" t="s">
        <v>781</v>
      </c>
      <c r="C10" s="195">
        <v>11.22</v>
      </c>
      <c r="D10" s="217"/>
      <c r="E10" s="218"/>
      <c r="F10" s="218"/>
      <c r="G10" s="218"/>
    </row>
    <row r="11" spans="1:7" x14ac:dyDescent="0.3">
      <c r="A11" s="190">
        <v>2</v>
      </c>
      <c r="B11" s="190" t="s">
        <v>782</v>
      </c>
      <c r="C11" s="195">
        <v>11.23</v>
      </c>
      <c r="D11" s="217"/>
      <c r="E11" s="218"/>
      <c r="F11" s="218"/>
      <c r="G11" s="218"/>
    </row>
    <row r="12" spans="1:7" x14ac:dyDescent="0.3">
      <c r="A12" s="190">
        <v>3</v>
      </c>
      <c r="B12" s="190" t="s">
        <v>783</v>
      </c>
      <c r="C12" s="195">
        <v>11.25</v>
      </c>
      <c r="D12" s="217"/>
      <c r="E12" s="218"/>
      <c r="F12" s="218"/>
      <c r="G12" s="218"/>
    </row>
    <row r="13" spans="1:7" x14ac:dyDescent="0.3">
      <c r="A13" s="190">
        <v>4</v>
      </c>
      <c r="B13" s="190" t="s">
        <v>691</v>
      </c>
      <c r="C13" s="195">
        <v>10.130000000000001</v>
      </c>
      <c r="D13" s="217"/>
      <c r="E13" s="218"/>
      <c r="F13" s="218"/>
      <c r="G13" s="218"/>
    </row>
    <row r="14" spans="1:7" x14ac:dyDescent="0.3">
      <c r="A14" s="190">
        <v>5</v>
      </c>
      <c r="B14" s="190" t="s">
        <v>730</v>
      </c>
      <c r="C14" s="195">
        <v>10.130000000000001</v>
      </c>
      <c r="D14" s="217"/>
      <c r="E14" s="218"/>
      <c r="F14" s="218"/>
      <c r="G14" s="218"/>
    </row>
    <row r="15" spans="1:7" x14ac:dyDescent="0.3">
      <c r="A15" s="190">
        <v>6</v>
      </c>
      <c r="B15" s="190" t="s">
        <v>743</v>
      </c>
      <c r="C15" s="195">
        <v>10.14</v>
      </c>
      <c r="D15" s="217"/>
      <c r="E15" s="218"/>
      <c r="F15" s="218"/>
      <c r="G15" s="218"/>
    </row>
    <row r="16" spans="1:7" x14ac:dyDescent="0.3">
      <c r="A16" s="190">
        <v>7</v>
      </c>
      <c r="B16" s="190" t="s">
        <v>602</v>
      </c>
      <c r="C16" s="195">
        <v>8.9</v>
      </c>
      <c r="D16" s="217"/>
      <c r="E16" s="218"/>
      <c r="F16" s="218"/>
      <c r="G16" s="218"/>
    </row>
    <row r="17" spans="1:7" x14ac:dyDescent="0.3">
      <c r="A17" s="190">
        <v>8</v>
      </c>
      <c r="B17" s="190" t="s">
        <v>640</v>
      </c>
      <c r="C17" s="195">
        <v>8.9</v>
      </c>
      <c r="D17" s="217"/>
      <c r="E17" s="218"/>
      <c r="F17" s="218"/>
      <c r="G17" s="218"/>
    </row>
    <row r="18" spans="1:7" x14ac:dyDescent="0.3">
      <c r="A18" s="190">
        <v>9</v>
      </c>
      <c r="B18" s="190" t="s">
        <v>658</v>
      </c>
      <c r="C18" s="195">
        <v>8.9</v>
      </c>
      <c r="D18" s="217"/>
      <c r="E18" s="218"/>
      <c r="F18" s="218"/>
      <c r="G18" s="218"/>
    </row>
    <row r="19" spans="1:7" x14ac:dyDescent="0.3">
      <c r="A19" s="221" t="s">
        <v>5</v>
      </c>
      <c r="B19" s="222"/>
      <c r="C19" s="185">
        <f>SUM(C10:C18)</f>
        <v>90.800000000000026</v>
      </c>
      <c r="D19" s="217"/>
      <c r="E19" s="218"/>
      <c r="F19" s="218"/>
      <c r="G19" s="218"/>
    </row>
  </sheetData>
  <mergeCells count="10">
    <mergeCell ref="B7:D7"/>
    <mergeCell ref="D9:G19"/>
    <mergeCell ref="A19:B19"/>
    <mergeCell ref="A1:G1"/>
    <mergeCell ref="A8:G8"/>
    <mergeCell ref="B2:D2"/>
    <mergeCell ref="B3:D3"/>
    <mergeCell ref="B4:D4"/>
    <mergeCell ref="B5:D5"/>
    <mergeCell ref="B6:D6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E8"/>
  <sheetViews>
    <sheetView zoomScale="85" zoomScaleNormal="85" workbookViewId="0">
      <selection sqref="A1:E1"/>
    </sheetView>
  </sheetViews>
  <sheetFormatPr defaultColWidth="22.33203125" defaultRowHeight="13.2" x14ac:dyDescent="0.25"/>
  <cols>
    <col min="1" max="1" width="51" style="4" customWidth="1"/>
    <col min="2" max="2" width="41.109375" style="4" customWidth="1"/>
    <col min="3" max="3" width="13.109375" style="4" customWidth="1"/>
    <col min="4" max="4" width="14.33203125" style="4" customWidth="1"/>
    <col min="5" max="5" width="15.44140625" style="4" customWidth="1"/>
    <col min="6" max="16384" width="22.33203125" style="4"/>
  </cols>
  <sheetData>
    <row r="1" spans="1:5" ht="15.75" customHeight="1" thickBot="1" x14ac:dyDescent="0.3">
      <c r="A1" s="225" t="s">
        <v>25</v>
      </c>
      <c r="B1" s="226"/>
      <c r="C1" s="226"/>
      <c r="D1" s="226"/>
      <c r="E1" s="227"/>
    </row>
    <row r="2" spans="1:5" x14ac:dyDescent="0.25">
      <c r="A2" s="1" t="s">
        <v>18</v>
      </c>
      <c r="B2" s="1" t="s">
        <v>14</v>
      </c>
      <c r="C2" s="2" t="s">
        <v>15</v>
      </c>
      <c r="D2" s="2" t="s">
        <v>16</v>
      </c>
      <c r="E2" s="3" t="s">
        <v>17</v>
      </c>
    </row>
    <row r="3" spans="1:5" x14ac:dyDescent="0.25">
      <c r="A3" s="13" t="s">
        <v>6</v>
      </c>
      <c r="B3" s="14" t="s">
        <v>36</v>
      </c>
      <c r="C3" s="14" t="s">
        <v>7</v>
      </c>
      <c r="D3" s="15">
        <v>1</v>
      </c>
      <c r="E3" s="15">
        <f>Лист1!B31</f>
        <v>2126.1999999999998</v>
      </c>
    </row>
    <row r="4" spans="1:5" x14ac:dyDescent="0.25">
      <c r="A4" s="16" t="s">
        <v>8</v>
      </c>
      <c r="B4" s="14"/>
      <c r="C4" s="17" t="s">
        <v>9</v>
      </c>
      <c r="D4" s="18">
        <v>0.15</v>
      </c>
      <c r="E4" s="18">
        <f>E3*D4</f>
        <v>318.92999999999995</v>
      </c>
    </row>
    <row r="5" spans="1:5" ht="26.4" x14ac:dyDescent="0.25">
      <c r="A5" s="16" t="s">
        <v>10</v>
      </c>
      <c r="B5" s="14"/>
      <c r="C5" s="17" t="s">
        <v>9</v>
      </c>
      <c r="D5" s="18">
        <v>4.5</v>
      </c>
      <c r="E5" s="18">
        <f>E3*D5</f>
        <v>9567.9</v>
      </c>
    </row>
    <row r="6" spans="1:5" ht="26.4" x14ac:dyDescent="0.25">
      <c r="A6" s="13" t="s">
        <v>11</v>
      </c>
      <c r="B6" s="14" t="s">
        <v>37</v>
      </c>
      <c r="C6" s="14" t="s">
        <v>7</v>
      </c>
      <c r="D6" s="15">
        <v>1</v>
      </c>
      <c r="E6" s="15">
        <f>E3</f>
        <v>2126.1999999999998</v>
      </c>
    </row>
    <row r="7" spans="1:5" ht="26.4" x14ac:dyDescent="0.25">
      <c r="A7" s="16" t="s">
        <v>12</v>
      </c>
      <c r="B7" s="14"/>
      <c r="C7" s="17" t="s">
        <v>9</v>
      </c>
      <c r="D7" s="18">
        <v>1.8</v>
      </c>
      <c r="E7" s="18">
        <f>E6*D7</f>
        <v>3827.16</v>
      </c>
    </row>
    <row r="8" spans="1:5" ht="26.4" x14ac:dyDescent="0.25">
      <c r="A8" s="16" t="s">
        <v>13</v>
      </c>
      <c r="B8" s="14"/>
      <c r="C8" s="17" t="s">
        <v>9</v>
      </c>
      <c r="D8" s="18">
        <v>0.15</v>
      </c>
      <c r="E8" s="18">
        <f>E6*D8</f>
        <v>318.92999999999995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>
      <selection activeCell="C45" sqref="C45"/>
    </sheetView>
  </sheetViews>
  <sheetFormatPr defaultColWidth="9.109375" defaultRowHeight="13.2" x14ac:dyDescent="0.25"/>
  <cols>
    <col min="1" max="1" width="11.6640625" style="4" customWidth="1"/>
    <col min="2" max="2" width="10.88671875" style="4" customWidth="1"/>
    <col min="3" max="16384" width="9.109375" style="4"/>
  </cols>
  <sheetData>
    <row r="1" spans="1:2" s="42" customFormat="1" ht="26.4" x14ac:dyDescent="0.25">
      <c r="A1" s="11" t="s">
        <v>24</v>
      </c>
      <c r="B1" s="43" t="s">
        <v>21</v>
      </c>
    </row>
    <row r="2" spans="1:2" x14ac:dyDescent="0.25">
      <c r="A2" s="12">
        <v>2003</v>
      </c>
      <c r="B2" s="7">
        <v>217.89999999999998</v>
      </c>
    </row>
    <row r="3" spans="1:2" x14ac:dyDescent="0.25">
      <c r="A3" s="12">
        <v>2009</v>
      </c>
      <c r="B3" s="8">
        <v>8.9</v>
      </c>
    </row>
    <row r="4" spans="1:2" x14ac:dyDescent="0.25">
      <c r="A4" s="12">
        <v>2010</v>
      </c>
      <c r="B4" s="9">
        <v>21.6</v>
      </c>
    </row>
    <row r="5" spans="1:2" x14ac:dyDescent="0.25">
      <c r="A5" s="12">
        <v>2017</v>
      </c>
      <c r="B5" s="8">
        <v>236.70000000000002</v>
      </c>
    </row>
    <row r="6" spans="1:2" x14ac:dyDescent="0.25">
      <c r="A6" s="12">
        <v>2018</v>
      </c>
      <c r="B6" s="7">
        <v>18.900000000000002</v>
      </c>
    </row>
    <row r="7" spans="1:2" x14ac:dyDescent="0.25">
      <c r="A7" s="12">
        <v>2020</v>
      </c>
      <c r="B7" s="7">
        <v>9.6000000000000014</v>
      </c>
    </row>
    <row r="8" spans="1:2" x14ac:dyDescent="0.25">
      <c r="A8" s="12">
        <v>2022</v>
      </c>
      <c r="B8" s="8">
        <v>471.2</v>
      </c>
    </row>
    <row r="9" spans="1:2" x14ac:dyDescent="0.25">
      <c r="A9" s="12">
        <v>2026</v>
      </c>
      <c r="B9" s="7">
        <v>15.6</v>
      </c>
    </row>
    <row r="10" spans="1:2" x14ac:dyDescent="0.25">
      <c r="A10" s="12">
        <v>2027</v>
      </c>
      <c r="B10" s="8">
        <v>7.6</v>
      </c>
    </row>
    <row r="11" spans="1:2" x14ac:dyDescent="0.25">
      <c r="A11" s="12">
        <v>2028</v>
      </c>
      <c r="B11" s="7">
        <v>19</v>
      </c>
    </row>
    <row r="12" spans="1:2" x14ac:dyDescent="0.25">
      <c r="A12" s="12">
        <v>2029</v>
      </c>
      <c r="B12" s="8">
        <v>7.2999999999999989</v>
      </c>
    </row>
    <row r="13" spans="1:2" x14ac:dyDescent="0.25">
      <c r="A13" s="12">
        <v>2032</v>
      </c>
      <c r="B13" s="7">
        <v>19.5</v>
      </c>
    </row>
    <row r="14" spans="1:2" x14ac:dyDescent="0.25">
      <c r="A14" s="12">
        <v>2042</v>
      </c>
      <c r="B14" s="8">
        <v>101.8</v>
      </c>
    </row>
    <row r="15" spans="1:2" x14ac:dyDescent="0.25">
      <c r="A15" s="12">
        <v>2043</v>
      </c>
      <c r="B15" s="7">
        <v>10.3</v>
      </c>
    </row>
    <row r="16" spans="1:2" x14ac:dyDescent="0.25">
      <c r="A16" s="12">
        <v>2046</v>
      </c>
      <c r="B16" s="7">
        <v>162.10000000000002</v>
      </c>
    </row>
    <row r="17" spans="1:2" x14ac:dyDescent="0.25">
      <c r="A17" s="12">
        <v>2049</v>
      </c>
      <c r="B17" s="8">
        <v>127.00000000000001</v>
      </c>
    </row>
    <row r="18" spans="1:2" x14ac:dyDescent="0.25">
      <c r="A18" s="12">
        <v>2051</v>
      </c>
      <c r="B18" s="7">
        <v>21.4</v>
      </c>
    </row>
    <row r="19" spans="1:2" x14ac:dyDescent="0.25">
      <c r="A19" s="12">
        <v>2052</v>
      </c>
      <c r="B19" s="8">
        <v>4</v>
      </c>
    </row>
    <row r="20" spans="1:2" x14ac:dyDescent="0.25">
      <c r="A20" s="12">
        <v>2053</v>
      </c>
      <c r="B20" s="7">
        <v>5.3</v>
      </c>
    </row>
    <row r="21" spans="1:2" x14ac:dyDescent="0.25">
      <c r="A21" s="12">
        <v>2054</v>
      </c>
      <c r="B21" s="8">
        <v>20.6</v>
      </c>
    </row>
    <row r="22" spans="1:2" x14ac:dyDescent="0.25">
      <c r="A22" s="12">
        <v>2055</v>
      </c>
      <c r="B22" s="7">
        <v>8.6000000000000014</v>
      </c>
    </row>
    <row r="23" spans="1:2" x14ac:dyDescent="0.25">
      <c r="A23" s="12">
        <v>2057</v>
      </c>
      <c r="B23" s="7">
        <v>18</v>
      </c>
    </row>
    <row r="24" spans="1:2" x14ac:dyDescent="0.25">
      <c r="A24" s="12">
        <v>2058</v>
      </c>
      <c r="B24" s="8">
        <v>34.299999999999997</v>
      </c>
    </row>
    <row r="25" spans="1:2" x14ac:dyDescent="0.25">
      <c r="A25" s="12">
        <v>2062</v>
      </c>
      <c r="B25" s="7">
        <v>212.7</v>
      </c>
    </row>
    <row r="26" spans="1:2" x14ac:dyDescent="0.25">
      <c r="A26" s="12">
        <v>2067</v>
      </c>
      <c r="B26" s="7">
        <v>89.6</v>
      </c>
    </row>
    <row r="27" spans="1:2" x14ac:dyDescent="0.25">
      <c r="A27" s="12">
        <v>2068</v>
      </c>
      <c r="B27" s="8">
        <v>111.8</v>
      </c>
    </row>
    <row r="28" spans="1:2" x14ac:dyDescent="0.25">
      <c r="A28" s="12">
        <v>2069</v>
      </c>
      <c r="B28" s="7">
        <v>3.1</v>
      </c>
    </row>
    <row r="29" spans="1:2" x14ac:dyDescent="0.25">
      <c r="A29" s="12">
        <v>2070</v>
      </c>
      <c r="B29" s="8">
        <v>13.700000000000001</v>
      </c>
    </row>
    <row r="30" spans="1:2" x14ac:dyDescent="0.25">
      <c r="A30" s="12">
        <v>2071</v>
      </c>
      <c r="B30" s="7">
        <v>128.1</v>
      </c>
    </row>
    <row r="31" spans="1:2" x14ac:dyDescent="0.25">
      <c r="A31" s="10" t="s">
        <v>5</v>
      </c>
      <c r="B31" s="41">
        <f>SUM(B2:B30)</f>
        <v>2126.1999999999998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B4" sqref="B4:B7"/>
    </sheetView>
  </sheetViews>
  <sheetFormatPr defaultRowHeight="15.6" x14ac:dyDescent="0.3"/>
  <cols>
    <col min="1" max="1" width="7.77734375" style="184" customWidth="1"/>
    <col min="2" max="2" width="38" style="184" customWidth="1"/>
    <col min="3" max="3" width="10.109375" style="184" customWidth="1"/>
    <col min="4" max="4" width="9.44140625" style="184" customWidth="1"/>
    <col min="5" max="5" width="8.88671875" style="184"/>
    <col min="6" max="6" width="13.21875" style="184" customWidth="1"/>
    <col min="7" max="16384" width="8.88671875" style="184"/>
  </cols>
  <sheetData>
    <row r="1" spans="1:6" x14ac:dyDescent="0.3">
      <c r="A1" s="205" t="s">
        <v>25</v>
      </c>
      <c r="B1" s="205"/>
      <c r="C1" s="205"/>
      <c r="D1" s="205"/>
      <c r="E1" s="205"/>
      <c r="F1" s="205"/>
    </row>
    <row r="2" spans="1:6" x14ac:dyDescent="0.3">
      <c r="A2" s="185" t="s">
        <v>764</v>
      </c>
      <c r="B2" s="185" t="s">
        <v>14</v>
      </c>
      <c r="C2" s="186" t="s">
        <v>15</v>
      </c>
      <c r="D2" s="186" t="s">
        <v>767</v>
      </c>
      <c r="E2" s="186" t="s">
        <v>765</v>
      </c>
      <c r="F2" s="186" t="s">
        <v>771</v>
      </c>
    </row>
    <row r="3" spans="1:6" ht="31.2" customHeight="1" x14ac:dyDescent="0.3">
      <c r="A3" s="187">
        <v>1</v>
      </c>
      <c r="B3" s="188" t="s">
        <v>768</v>
      </c>
      <c r="C3" s="187" t="s">
        <v>7</v>
      </c>
      <c r="D3" s="186">
        <f>5.2*0.38+0.69</f>
        <v>2.6660000000000004</v>
      </c>
      <c r="E3" s="187">
        <v>5</v>
      </c>
      <c r="F3" s="187">
        <f>D3*E3</f>
        <v>13.330000000000002</v>
      </c>
    </row>
    <row r="4" spans="1:6" ht="31.2" x14ac:dyDescent="0.3">
      <c r="A4" s="187">
        <v>2</v>
      </c>
      <c r="B4" s="188" t="s">
        <v>769</v>
      </c>
      <c r="C4" s="187" t="s">
        <v>7</v>
      </c>
      <c r="D4" s="186">
        <f>5.2*0.38+0.69</f>
        <v>2.6660000000000004</v>
      </c>
      <c r="E4" s="187">
        <v>5</v>
      </c>
      <c r="F4" s="187">
        <f>D4*E4</f>
        <v>13.330000000000002</v>
      </c>
    </row>
    <row r="5" spans="1:6" ht="31.2" x14ac:dyDescent="0.3">
      <c r="A5" s="187">
        <v>3</v>
      </c>
      <c r="B5" s="188" t="s">
        <v>770</v>
      </c>
      <c r="C5" s="187" t="s">
        <v>7</v>
      </c>
      <c r="D5" s="186">
        <f>5.2*0.38+0.69</f>
        <v>2.6660000000000004</v>
      </c>
      <c r="E5" s="187">
        <v>5</v>
      </c>
      <c r="F5" s="187">
        <f>D5*E5</f>
        <v>13.330000000000002</v>
      </c>
    </row>
    <row r="6" spans="1:6" ht="30" customHeight="1" x14ac:dyDescent="0.3">
      <c r="A6" s="187">
        <v>4</v>
      </c>
      <c r="B6" s="188" t="s">
        <v>128</v>
      </c>
      <c r="C6" s="187" t="s">
        <v>7</v>
      </c>
      <c r="D6" s="186">
        <f>5.2*0.38+0.69</f>
        <v>2.6660000000000004</v>
      </c>
      <c r="E6" s="187">
        <v>5</v>
      </c>
      <c r="F6" s="187">
        <f>D6*E6</f>
        <v>13.330000000000002</v>
      </c>
    </row>
    <row r="7" spans="1:6" x14ac:dyDescent="0.3">
      <c r="A7" s="189">
        <v>5</v>
      </c>
      <c r="B7" s="188" t="s">
        <v>772</v>
      </c>
      <c r="C7" s="189" t="s">
        <v>7</v>
      </c>
      <c r="D7" s="186" t="s">
        <v>773</v>
      </c>
      <c r="E7" s="189">
        <v>20</v>
      </c>
      <c r="F7" s="189">
        <f>C14</f>
        <v>280</v>
      </c>
    </row>
    <row r="8" spans="1:6" x14ac:dyDescent="0.3">
      <c r="A8" s="209"/>
      <c r="B8" s="209"/>
      <c r="C8" s="209"/>
      <c r="D8" s="209"/>
      <c r="E8" s="209"/>
      <c r="F8" s="209"/>
    </row>
    <row r="9" spans="1:6" x14ac:dyDescent="0.3">
      <c r="A9" s="205" t="s">
        <v>780</v>
      </c>
      <c r="B9" s="205"/>
      <c r="C9" s="205"/>
      <c r="D9" s="205"/>
      <c r="E9" s="228"/>
      <c r="F9" s="211"/>
    </row>
    <row r="10" spans="1:6" x14ac:dyDescent="0.3">
      <c r="A10" s="185" t="s">
        <v>774</v>
      </c>
      <c r="B10" s="185" t="s">
        <v>775</v>
      </c>
      <c r="C10" s="185">
        <f>10*2*4</f>
        <v>80</v>
      </c>
      <c r="D10" s="189" t="s">
        <v>7</v>
      </c>
      <c r="E10" s="228"/>
      <c r="F10" s="211"/>
    </row>
    <row r="11" spans="1:6" x14ac:dyDescent="0.3">
      <c r="A11" s="185" t="s">
        <v>774</v>
      </c>
      <c r="B11" s="185" t="s">
        <v>776</v>
      </c>
      <c r="C11" s="185">
        <f>7.5*2*4</f>
        <v>60</v>
      </c>
      <c r="D11" s="189" t="s">
        <v>7</v>
      </c>
      <c r="E11" s="228"/>
      <c r="F11" s="211"/>
    </row>
    <row r="12" spans="1:6" x14ac:dyDescent="0.3">
      <c r="A12" s="185" t="s">
        <v>777</v>
      </c>
      <c r="B12" s="185" t="s">
        <v>778</v>
      </c>
      <c r="C12" s="185">
        <f>7.5*2*8</f>
        <v>120</v>
      </c>
      <c r="D12" s="189" t="s">
        <v>7</v>
      </c>
      <c r="E12" s="228"/>
      <c r="F12" s="211"/>
    </row>
    <row r="13" spans="1:6" x14ac:dyDescent="0.3">
      <c r="A13" s="185" t="s">
        <v>622</v>
      </c>
      <c r="B13" s="185" t="s">
        <v>779</v>
      </c>
      <c r="C13" s="185">
        <f>2.5*2*4</f>
        <v>20</v>
      </c>
      <c r="D13" s="189" t="s">
        <v>7</v>
      </c>
      <c r="E13" s="228"/>
      <c r="F13" s="211"/>
    </row>
    <row r="14" spans="1:6" x14ac:dyDescent="0.3">
      <c r="A14" s="221" t="s">
        <v>5</v>
      </c>
      <c r="B14" s="222"/>
      <c r="C14" s="185">
        <f>SUM(C10:C13)</f>
        <v>280</v>
      </c>
      <c r="D14" s="189" t="s">
        <v>7</v>
      </c>
      <c r="E14" s="228"/>
      <c r="F14" s="211"/>
    </row>
  </sheetData>
  <mergeCells count="5">
    <mergeCell ref="A1:F1"/>
    <mergeCell ref="A8:F8"/>
    <mergeCell ref="A9:D9"/>
    <mergeCell ref="A14:B14"/>
    <mergeCell ref="E9:F14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152"/>
  <sheetViews>
    <sheetView zoomScale="70" zoomScaleNormal="70" workbookViewId="0">
      <selection activeCell="E78" sqref="E78 E88 E92 E96 E106 E119 E124"/>
    </sheetView>
  </sheetViews>
  <sheetFormatPr defaultColWidth="9.109375" defaultRowHeight="13.2" x14ac:dyDescent="0.3"/>
  <cols>
    <col min="1" max="1" width="18.6640625" style="153" customWidth="1"/>
    <col min="2" max="2" width="17.5546875" style="6" customWidth="1"/>
    <col min="3" max="3" width="20.6640625" style="6" customWidth="1"/>
    <col min="4" max="4" width="17.5546875" style="152" customWidth="1"/>
    <col min="5" max="5" width="17" style="153" customWidth="1"/>
    <col min="6" max="6" width="25.88671875" style="6" customWidth="1"/>
    <col min="7" max="7" width="15.44140625" style="6" customWidth="1"/>
    <col min="8" max="8" width="9.109375" style="156"/>
    <col min="9" max="16384" width="9.109375" style="153"/>
  </cols>
  <sheetData>
    <row r="1" spans="1:8" ht="39.6" x14ac:dyDescent="0.3">
      <c r="A1" s="150" t="s">
        <v>582</v>
      </c>
      <c r="B1" s="149" t="s">
        <v>523</v>
      </c>
      <c r="C1" s="5" t="s">
        <v>20</v>
      </c>
      <c r="D1" s="151" t="s">
        <v>584</v>
      </c>
      <c r="E1" s="151" t="s">
        <v>583</v>
      </c>
      <c r="F1" s="148" t="s">
        <v>19</v>
      </c>
      <c r="G1" s="147" t="s">
        <v>1</v>
      </c>
      <c r="H1" s="155" t="s">
        <v>522</v>
      </c>
    </row>
    <row r="2" spans="1:8" ht="16.95" hidden="1" customHeight="1" x14ac:dyDescent="0.3">
      <c r="A2" s="161">
        <v>2001</v>
      </c>
      <c r="B2" s="162" t="s">
        <v>524</v>
      </c>
      <c r="C2" s="162" t="s">
        <v>525</v>
      </c>
      <c r="D2" s="163">
        <v>80.7</v>
      </c>
      <c r="E2" s="164">
        <v>80.7</v>
      </c>
      <c r="F2" s="162" t="s">
        <v>22</v>
      </c>
      <c r="G2" s="165" t="s">
        <v>0</v>
      </c>
    </row>
    <row r="3" spans="1:8" ht="16.95" hidden="1" customHeight="1" x14ac:dyDescent="0.3">
      <c r="A3" s="161">
        <v>2002</v>
      </c>
      <c r="B3" s="162" t="s">
        <v>524</v>
      </c>
      <c r="C3" s="162" t="s">
        <v>525</v>
      </c>
      <c r="D3" s="163">
        <v>64.8</v>
      </c>
      <c r="E3" s="164">
        <v>64.8</v>
      </c>
      <c r="F3" s="162" t="s">
        <v>22</v>
      </c>
      <c r="G3" s="165" t="s">
        <v>0</v>
      </c>
    </row>
    <row r="4" spans="1:8" ht="16.95" hidden="1" customHeight="1" x14ac:dyDescent="0.3">
      <c r="A4" s="161">
        <v>2003</v>
      </c>
      <c r="B4" s="166" t="s">
        <v>526</v>
      </c>
      <c r="C4" s="162" t="s">
        <v>521</v>
      </c>
      <c r="D4" s="163">
        <v>218.2</v>
      </c>
      <c r="E4" s="164">
        <v>218.2</v>
      </c>
      <c r="F4" s="162" t="s">
        <v>22</v>
      </c>
      <c r="G4" s="165"/>
    </row>
    <row r="5" spans="1:8" ht="16.95" hidden="1" customHeight="1" x14ac:dyDescent="0.3">
      <c r="A5" s="161">
        <v>2004</v>
      </c>
      <c r="B5" s="166" t="s">
        <v>527</v>
      </c>
      <c r="C5" s="162" t="s">
        <v>525</v>
      </c>
      <c r="D5" s="163">
        <v>45.5</v>
      </c>
      <c r="E5" s="164">
        <v>45.5</v>
      </c>
      <c r="F5" s="162" t="s">
        <v>22</v>
      </c>
      <c r="G5" s="165" t="s">
        <v>0</v>
      </c>
    </row>
    <row r="6" spans="1:8" ht="16.95" hidden="1" customHeight="1" x14ac:dyDescent="0.3">
      <c r="A6" s="161">
        <v>2005</v>
      </c>
      <c r="B6" s="166" t="s">
        <v>528</v>
      </c>
      <c r="C6" s="162" t="s">
        <v>525</v>
      </c>
      <c r="D6" s="163">
        <v>23.7</v>
      </c>
      <c r="E6" s="164">
        <v>23.7</v>
      </c>
      <c r="F6" s="162" t="s">
        <v>22</v>
      </c>
      <c r="G6" s="165" t="s">
        <v>0</v>
      </c>
    </row>
    <row r="7" spans="1:8" ht="16.95" hidden="1" customHeight="1" x14ac:dyDescent="0.3">
      <c r="A7" s="161">
        <v>2006</v>
      </c>
      <c r="B7" s="166" t="s">
        <v>529</v>
      </c>
      <c r="C7" s="162" t="s">
        <v>521</v>
      </c>
      <c r="D7" s="163">
        <v>0</v>
      </c>
      <c r="E7" s="164">
        <v>0</v>
      </c>
      <c r="F7" s="162" t="s">
        <v>22</v>
      </c>
      <c r="G7" s="165"/>
    </row>
    <row r="8" spans="1:8" ht="16.95" hidden="1" customHeight="1" x14ac:dyDescent="0.3">
      <c r="A8" s="161">
        <v>2007</v>
      </c>
      <c r="B8" s="166" t="s">
        <v>530</v>
      </c>
      <c r="C8" s="162" t="s">
        <v>525</v>
      </c>
      <c r="D8" s="163">
        <v>23.7</v>
      </c>
      <c r="E8" s="164">
        <v>23.7</v>
      </c>
      <c r="F8" s="162" t="s">
        <v>22</v>
      </c>
      <c r="G8" s="165" t="s">
        <v>3</v>
      </c>
    </row>
    <row r="9" spans="1:8" ht="16.95" customHeight="1" x14ac:dyDescent="0.3">
      <c r="A9" s="161">
        <v>2008</v>
      </c>
      <c r="B9" s="166" t="s">
        <v>531</v>
      </c>
      <c r="C9" s="162" t="s">
        <v>521</v>
      </c>
      <c r="D9" s="163">
        <v>65.599999999999994</v>
      </c>
      <c r="E9" s="164">
        <v>65.599999999999994</v>
      </c>
      <c r="F9" s="162" t="s">
        <v>22</v>
      </c>
      <c r="G9" s="165"/>
    </row>
    <row r="10" spans="1:8" ht="16.95" hidden="1" customHeight="1" x14ac:dyDescent="0.3">
      <c r="A10" s="161">
        <v>2009</v>
      </c>
      <c r="B10" s="166" t="s">
        <v>532</v>
      </c>
      <c r="C10" s="162" t="s">
        <v>521</v>
      </c>
      <c r="D10" s="163">
        <v>10.3</v>
      </c>
      <c r="E10" s="164">
        <v>10.3</v>
      </c>
      <c r="F10" s="162" t="s">
        <v>22</v>
      </c>
      <c r="G10" s="165"/>
    </row>
    <row r="11" spans="1:8" ht="16.95" hidden="1" customHeight="1" x14ac:dyDescent="0.25">
      <c r="A11" s="161">
        <v>2010</v>
      </c>
      <c r="B11" s="166" t="s">
        <v>533</v>
      </c>
      <c r="C11" s="162" t="s">
        <v>521</v>
      </c>
      <c r="D11" s="163">
        <v>23.5</v>
      </c>
      <c r="E11" s="167">
        <v>23.5</v>
      </c>
      <c r="F11" s="166" t="s">
        <v>23</v>
      </c>
      <c r="G11" s="165"/>
    </row>
    <row r="12" spans="1:8" ht="16.95" hidden="1" customHeight="1" x14ac:dyDescent="0.3">
      <c r="A12" s="161">
        <v>2011</v>
      </c>
      <c r="B12" s="166" t="s">
        <v>534</v>
      </c>
      <c r="C12" s="162" t="s">
        <v>525</v>
      </c>
      <c r="D12" s="163">
        <v>4.7</v>
      </c>
      <c r="E12" s="164">
        <v>4.7</v>
      </c>
      <c r="F12" s="166" t="s">
        <v>22</v>
      </c>
      <c r="G12" s="165" t="s">
        <v>4</v>
      </c>
    </row>
    <row r="13" spans="1:8" ht="16.95" hidden="1" customHeight="1" x14ac:dyDescent="0.3">
      <c r="A13" s="161">
        <v>2012</v>
      </c>
      <c r="B13" s="166" t="s">
        <v>535</v>
      </c>
      <c r="C13" s="162" t="s">
        <v>525</v>
      </c>
      <c r="D13" s="163">
        <v>63.2</v>
      </c>
      <c r="E13" s="164">
        <v>63.2</v>
      </c>
      <c r="F13" s="162" t="s">
        <v>22</v>
      </c>
      <c r="G13" s="165"/>
    </row>
    <row r="14" spans="1:8" ht="16.95" hidden="1" customHeight="1" x14ac:dyDescent="0.3">
      <c r="A14" s="161">
        <v>2013</v>
      </c>
      <c r="B14" s="166" t="s">
        <v>535</v>
      </c>
      <c r="C14" s="162" t="s">
        <v>525</v>
      </c>
      <c r="D14" s="163">
        <v>64.2</v>
      </c>
      <c r="E14" s="164">
        <v>64.2</v>
      </c>
      <c r="F14" s="162" t="s">
        <v>22</v>
      </c>
      <c r="G14" s="165"/>
    </row>
    <row r="15" spans="1:8" ht="16.95" hidden="1" customHeight="1" x14ac:dyDescent="0.3">
      <c r="A15" s="161">
        <v>2014</v>
      </c>
      <c r="B15" s="166" t="s">
        <v>535</v>
      </c>
      <c r="C15" s="162" t="s">
        <v>525</v>
      </c>
      <c r="D15" s="163">
        <v>64.8</v>
      </c>
      <c r="E15" s="164">
        <v>64.8</v>
      </c>
      <c r="F15" s="162" t="s">
        <v>22</v>
      </c>
      <c r="G15" s="165"/>
    </row>
    <row r="16" spans="1:8" ht="16.95" hidden="1" customHeight="1" x14ac:dyDescent="0.3">
      <c r="A16" s="161">
        <v>2015</v>
      </c>
      <c r="B16" s="166" t="s">
        <v>535</v>
      </c>
      <c r="C16" s="162" t="s">
        <v>525</v>
      </c>
      <c r="D16" s="163">
        <v>63.4</v>
      </c>
      <c r="E16" s="164">
        <v>63.4</v>
      </c>
      <c r="F16" s="162" t="s">
        <v>22</v>
      </c>
      <c r="G16" s="165"/>
    </row>
    <row r="17" spans="1:7" ht="16.95" hidden="1" customHeight="1" x14ac:dyDescent="0.3">
      <c r="A17" s="161">
        <v>2016</v>
      </c>
      <c r="B17" s="166" t="s">
        <v>535</v>
      </c>
      <c r="C17" s="162" t="s">
        <v>525</v>
      </c>
      <c r="D17" s="163">
        <v>63.9</v>
      </c>
      <c r="E17" s="164">
        <v>63.9</v>
      </c>
      <c r="F17" s="162" t="s">
        <v>22</v>
      </c>
      <c r="G17" s="165"/>
    </row>
    <row r="18" spans="1:7" ht="16.95" hidden="1" customHeight="1" x14ac:dyDescent="0.3">
      <c r="A18" s="161">
        <v>2017</v>
      </c>
      <c r="B18" s="166" t="s">
        <v>526</v>
      </c>
      <c r="C18" s="168" t="s">
        <v>521</v>
      </c>
      <c r="D18" s="169">
        <f>478.8</f>
        <v>478.8</v>
      </c>
      <c r="E18" s="170">
        <f>478.8/2</f>
        <v>239.4</v>
      </c>
      <c r="F18" s="162" t="s">
        <v>22</v>
      </c>
      <c r="G18" s="165"/>
    </row>
    <row r="19" spans="1:7" ht="16.95" hidden="1" customHeight="1" x14ac:dyDescent="0.3">
      <c r="A19" s="161">
        <v>2018</v>
      </c>
      <c r="B19" s="166" t="s">
        <v>536</v>
      </c>
      <c r="C19" s="162" t="s">
        <v>521</v>
      </c>
      <c r="D19" s="163">
        <v>19.600000000000001</v>
      </c>
      <c r="E19" s="164">
        <v>19.600000000000001</v>
      </c>
      <c r="F19" s="166" t="s">
        <v>22</v>
      </c>
      <c r="G19" s="165"/>
    </row>
    <row r="20" spans="1:7" ht="16.95" customHeight="1" x14ac:dyDescent="0.3">
      <c r="A20" s="161">
        <v>2019</v>
      </c>
      <c r="B20" s="166" t="s">
        <v>531</v>
      </c>
      <c r="C20" s="162" t="s">
        <v>521</v>
      </c>
      <c r="D20" s="163">
        <v>78.5</v>
      </c>
      <c r="E20" s="164">
        <v>78.5</v>
      </c>
      <c r="F20" s="162" t="s">
        <v>22</v>
      </c>
      <c r="G20" s="165"/>
    </row>
    <row r="21" spans="1:7" ht="16.95" hidden="1" customHeight="1" x14ac:dyDescent="0.3">
      <c r="A21" s="161">
        <v>2020</v>
      </c>
      <c r="B21" s="166" t="s">
        <v>537</v>
      </c>
      <c r="C21" s="162" t="s">
        <v>521</v>
      </c>
      <c r="D21" s="163">
        <v>10.3</v>
      </c>
      <c r="E21" s="164">
        <v>10.3</v>
      </c>
      <c r="F21" s="166" t="s">
        <v>22</v>
      </c>
      <c r="G21" s="165"/>
    </row>
    <row r="22" spans="1:7" ht="16.95" hidden="1" customHeight="1" x14ac:dyDescent="0.3">
      <c r="A22" s="161">
        <v>2021</v>
      </c>
      <c r="B22" s="166" t="s">
        <v>538</v>
      </c>
      <c r="C22" s="162" t="s">
        <v>525</v>
      </c>
      <c r="D22" s="163">
        <v>5.5</v>
      </c>
      <c r="E22" s="164">
        <v>5.5</v>
      </c>
      <c r="F22" s="166" t="s">
        <v>22</v>
      </c>
      <c r="G22" s="165"/>
    </row>
    <row r="23" spans="1:7" ht="16.95" hidden="1" customHeight="1" x14ac:dyDescent="0.3">
      <c r="A23" s="161">
        <v>2022</v>
      </c>
      <c r="B23" s="162" t="s">
        <v>539</v>
      </c>
      <c r="C23" s="162" t="s">
        <v>521</v>
      </c>
      <c r="D23" s="163">
        <v>478.7</v>
      </c>
      <c r="E23" s="164">
        <v>478.7</v>
      </c>
      <c r="F23" s="162" t="s">
        <v>22</v>
      </c>
      <c r="G23" s="165"/>
    </row>
    <row r="24" spans="1:7" ht="16.95" customHeight="1" x14ac:dyDescent="0.3">
      <c r="A24" s="161">
        <v>2023</v>
      </c>
      <c r="B24" s="166" t="s">
        <v>531</v>
      </c>
      <c r="C24" s="162" t="s">
        <v>521</v>
      </c>
      <c r="D24" s="163">
        <v>60.4</v>
      </c>
      <c r="E24" s="164">
        <v>60.4</v>
      </c>
      <c r="F24" s="162" t="s">
        <v>22</v>
      </c>
      <c r="G24" s="165"/>
    </row>
    <row r="25" spans="1:7" ht="16.95" customHeight="1" x14ac:dyDescent="0.3">
      <c r="A25" s="161">
        <v>2024</v>
      </c>
      <c r="B25" s="166" t="s">
        <v>531</v>
      </c>
      <c r="C25" s="162" t="s">
        <v>521</v>
      </c>
      <c r="D25" s="163">
        <v>60.3</v>
      </c>
      <c r="E25" s="164">
        <v>60.3</v>
      </c>
      <c r="F25" s="162" t="s">
        <v>22</v>
      </c>
      <c r="G25" s="165"/>
    </row>
    <row r="26" spans="1:7" ht="16.95" hidden="1" customHeight="1" x14ac:dyDescent="0.3">
      <c r="A26" s="161">
        <v>2025</v>
      </c>
      <c r="B26" s="171" t="s">
        <v>540</v>
      </c>
      <c r="C26" s="162" t="s">
        <v>525</v>
      </c>
      <c r="D26" s="163">
        <v>28.1</v>
      </c>
      <c r="E26" s="164">
        <v>28.1</v>
      </c>
      <c r="F26" s="162" t="s">
        <v>22</v>
      </c>
      <c r="G26" s="165"/>
    </row>
    <row r="27" spans="1:7" ht="16.95" hidden="1" customHeight="1" x14ac:dyDescent="0.3">
      <c r="A27" s="161">
        <v>2026</v>
      </c>
      <c r="B27" s="171" t="s">
        <v>541</v>
      </c>
      <c r="C27" s="162" t="s">
        <v>521</v>
      </c>
      <c r="D27" s="163">
        <v>16.600000000000001</v>
      </c>
      <c r="E27" s="164">
        <v>16.600000000000001</v>
      </c>
      <c r="F27" s="166" t="s">
        <v>22</v>
      </c>
      <c r="G27" s="165"/>
    </row>
    <row r="28" spans="1:7" ht="16.95" hidden="1" customHeight="1" x14ac:dyDescent="0.3">
      <c r="A28" s="161">
        <v>2027</v>
      </c>
      <c r="B28" s="171" t="s">
        <v>542</v>
      </c>
      <c r="C28" s="162" t="s">
        <v>521</v>
      </c>
      <c r="D28" s="163">
        <v>8.1</v>
      </c>
      <c r="E28" s="164">
        <v>8.1</v>
      </c>
      <c r="F28" s="166" t="s">
        <v>22</v>
      </c>
      <c r="G28" s="165"/>
    </row>
    <row r="29" spans="1:7" ht="16.95" hidden="1" customHeight="1" x14ac:dyDescent="0.3">
      <c r="A29" s="161">
        <v>2028</v>
      </c>
      <c r="B29" s="171" t="s">
        <v>541</v>
      </c>
      <c r="C29" s="162" t="s">
        <v>521</v>
      </c>
      <c r="D29" s="163">
        <v>19.8</v>
      </c>
      <c r="E29" s="164">
        <v>19.8</v>
      </c>
      <c r="F29" s="166" t="s">
        <v>22</v>
      </c>
      <c r="G29" s="165"/>
    </row>
    <row r="30" spans="1:7" ht="16.95" hidden="1" customHeight="1" x14ac:dyDescent="0.3">
      <c r="A30" s="161">
        <v>2029</v>
      </c>
      <c r="B30" s="171" t="s">
        <v>542</v>
      </c>
      <c r="C30" s="162" t="s">
        <v>521</v>
      </c>
      <c r="D30" s="163">
        <v>8.1999999999999993</v>
      </c>
      <c r="E30" s="164">
        <v>8.1999999999999993</v>
      </c>
      <c r="F30" s="166" t="s">
        <v>22</v>
      </c>
      <c r="G30" s="165"/>
    </row>
    <row r="31" spans="1:7" ht="16.95" hidden="1" customHeight="1" x14ac:dyDescent="0.3">
      <c r="A31" s="161">
        <v>2030</v>
      </c>
      <c r="B31" s="171" t="s">
        <v>540</v>
      </c>
      <c r="C31" s="162" t="s">
        <v>525</v>
      </c>
      <c r="D31" s="163">
        <v>32</v>
      </c>
      <c r="E31" s="164">
        <v>32</v>
      </c>
      <c r="F31" s="162" t="s">
        <v>22</v>
      </c>
      <c r="G31" s="165"/>
    </row>
    <row r="32" spans="1:7" ht="16.95" hidden="1" customHeight="1" x14ac:dyDescent="0.3">
      <c r="A32" s="161">
        <v>2031</v>
      </c>
      <c r="B32" s="166" t="s">
        <v>543</v>
      </c>
      <c r="C32" s="162" t="s">
        <v>525</v>
      </c>
      <c r="D32" s="163">
        <v>21.6</v>
      </c>
      <c r="E32" s="164">
        <v>21.6</v>
      </c>
      <c r="F32" s="166" t="s">
        <v>22</v>
      </c>
      <c r="G32" s="165"/>
    </row>
    <row r="33" spans="1:7" ht="16.95" hidden="1" customHeight="1" x14ac:dyDescent="0.3">
      <c r="A33" s="161">
        <v>2032</v>
      </c>
      <c r="B33" s="166" t="s">
        <v>544</v>
      </c>
      <c r="C33" s="162" t="s">
        <v>521</v>
      </c>
      <c r="D33" s="163">
        <v>20.100000000000001</v>
      </c>
      <c r="E33" s="164">
        <v>20.100000000000001</v>
      </c>
      <c r="F33" s="166" t="s">
        <v>22</v>
      </c>
      <c r="G33" s="165"/>
    </row>
    <row r="34" spans="1:7" ht="16.95" hidden="1" customHeight="1" x14ac:dyDescent="0.3">
      <c r="A34" s="161">
        <v>2033</v>
      </c>
      <c r="B34" s="166" t="s">
        <v>545</v>
      </c>
      <c r="C34" s="162" t="s">
        <v>525</v>
      </c>
      <c r="D34" s="163">
        <v>32.9</v>
      </c>
      <c r="E34" s="164">
        <v>32.9</v>
      </c>
      <c r="F34" s="162" t="s">
        <v>22</v>
      </c>
      <c r="G34" s="165"/>
    </row>
    <row r="35" spans="1:7" ht="16.95" hidden="1" customHeight="1" x14ac:dyDescent="0.3">
      <c r="A35" s="161">
        <v>2034</v>
      </c>
      <c r="B35" s="166" t="s">
        <v>538</v>
      </c>
      <c r="C35" s="162" t="s">
        <v>525</v>
      </c>
      <c r="D35" s="163">
        <v>8.1</v>
      </c>
      <c r="E35" s="164">
        <v>8.1</v>
      </c>
      <c r="F35" s="166" t="s">
        <v>22</v>
      </c>
      <c r="G35" s="165"/>
    </row>
    <row r="36" spans="1:7" ht="16.95" hidden="1" customHeight="1" x14ac:dyDescent="0.3">
      <c r="A36" s="161">
        <v>2035</v>
      </c>
      <c r="B36" s="166" t="s">
        <v>534</v>
      </c>
      <c r="C36" s="162" t="s">
        <v>525</v>
      </c>
      <c r="D36" s="163">
        <v>7.5</v>
      </c>
      <c r="E36" s="164">
        <v>7.5</v>
      </c>
      <c r="F36" s="166" t="s">
        <v>22</v>
      </c>
      <c r="G36" s="165"/>
    </row>
    <row r="37" spans="1:7" ht="16.95" hidden="1" customHeight="1" x14ac:dyDescent="0.3">
      <c r="A37" s="161">
        <v>2036</v>
      </c>
      <c r="B37" s="162" t="s">
        <v>546</v>
      </c>
      <c r="C37" s="162" t="s">
        <v>525</v>
      </c>
      <c r="D37" s="163">
        <v>88.5</v>
      </c>
      <c r="E37" s="164">
        <v>88.5</v>
      </c>
      <c r="F37" s="162" t="s">
        <v>22</v>
      </c>
      <c r="G37" s="165"/>
    </row>
    <row r="38" spans="1:7" ht="16.95" hidden="1" customHeight="1" x14ac:dyDescent="0.3">
      <c r="A38" s="161">
        <v>2037</v>
      </c>
      <c r="B38" s="162" t="s">
        <v>547</v>
      </c>
      <c r="C38" s="166" t="s">
        <v>548</v>
      </c>
      <c r="D38" s="163">
        <v>554.29999999999995</v>
      </c>
      <c r="E38" s="164">
        <v>554.29999999999995</v>
      </c>
      <c r="F38" s="162" t="s">
        <v>22</v>
      </c>
      <c r="G38" s="165" t="s">
        <v>2</v>
      </c>
    </row>
    <row r="39" spans="1:7" ht="16.95" hidden="1" customHeight="1" x14ac:dyDescent="0.3">
      <c r="A39" s="161">
        <v>2038</v>
      </c>
      <c r="B39" s="166" t="s">
        <v>549</v>
      </c>
      <c r="C39" s="162" t="s">
        <v>525</v>
      </c>
      <c r="D39" s="163">
        <v>65.5</v>
      </c>
      <c r="E39" s="164">
        <v>65.5</v>
      </c>
      <c r="F39" s="162" t="s">
        <v>22</v>
      </c>
      <c r="G39" s="165"/>
    </row>
    <row r="40" spans="1:7" ht="16.95" hidden="1" customHeight="1" x14ac:dyDescent="0.3">
      <c r="A40" s="161">
        <v>2039</v>
      </c>
      <c r="B40" s="166" t="s">
        <v>550</v>
      </c>
      <c r="C40" s="162" t="s">
        <v>525</v>
      </c>
      <c r="D40" s="163">
        <v>62.3</v>
      </c>
      <c r="E40" s="164">
        <v>62.3</v>
      </c>
      <c r="F40" s="162" t="s">
        <v>22</v>
      </c>
      <c r="G40" s="165"/>
    </row>
    <row r="41" spans="1:7" ht="16.95" hidden="1" customHeight="1" x14ac:dyDescent="0.3">
      <c r="A41" s="161">
        <v>2040</v>
      </c>
      <c r="B41" s="166" t="s">
        <v>550</v>
      </c>
      <c r="C41" s="162" t="s">
        <v>525</v>
      </c>
      <c r="D41" s="163">
        <v>64.400000000000006</v>
      </c>
      <c r="E41" s="164">
        <v>64.400000000000006</v>
      </c>
      <c r="F41" s="162" t="s">
        <v>22</v>
      </c>
      <c r="G41" s="165"/>
    </row>
    <row r="42" spans="1:7" ht="16.95" hidden="1" customHeight="1" x14ac:dyDescent="0.3">
      <c r="A42" s="161">
        <v>2041</v>
      </c>
      <c r="B42" s="166" t="s">
        <v>550</v>
      </c>
      <c r="C42" s="162" t="s">
        <v>525</v>
      </c>
      <c r="D42" s="163">
        <v>64.099999999999994</v>
      </c>
      <c r="E42" s="164">
        <v>64.099999999999994</v>
      </c>
      <c r="F42" s="162" t="s">
        <v>22</v>
      </c>
      <c r="G42" s="165"/>
    </row>
    <row r="43" spans="1:7" ht="16.95" hidden="1" customHeight="1" x14ac:dyDescent="0.3">
      <c r="A43" s="161">
        <v>2042</v>
      </c>
      <c r="B43" s="166" t="s">
        <v>551</v>
      </c>
      <c r="C43" s="162" t="s">
        <v>521</v>
      </c>
      <c r="D43" s="163">
        <v>103.6</v>
      </c>
      <c r="E43" s="164">
        <v>103.6</v>
      </c>
      <c r="F43" s="162" t="s">
        <v>22</v>
      </c>
      <c r="G43" s="165"/>
    </row>
    <row r="44" spans="1:7" ht="16.95" hidden="1" customHeight="1" x14ac:dyDescent="0.3">
      <c r="A44" s="161">
        <v>2043</v>
      </c>
      <c r="B44" s="166" t="s">
        <v>532</v>
      </c>
      <c r="C44" s="162" t="s">
        <v>521</v>
      </c>
      <c r="D44" s="163">
        <v>10.4</v>
      </c>
      <c r="E44" s="164">
        <v>10.4</v>
      </c>
      <c r="F44" s="162" t="s">
        <v>22</v>
      </c>
      <c r="G44" s="165"/>
    </row>
    <row r="45" spans="1:7" ht="16.95" customHeight="1" x14ac:dyDescent="0.3">
      <c r="A45" s="161">
        <v>2044</v>
      </c>
      <c r="B45" s="166" t="s">
        <v>531</v>
      </c>
      <c r="C45" s="162" t="s">
        <v>521</v>
      </c>
      <c r="D45" s="163">
        <v>71.8</v>
      </c>
      <c r="E45" s="164">
        <v>71.8</v>
      </c>
      <c r="F45" s="162" t="s">
        <v>22</v>
      </c>
      <c r="G45" s="165"/>
    </row>
    <row r="46" spans="1:7" ht="16.95" hidden="1" customHeight="1" x14ac:dyDescent="0.3">
      <c r="A46" s="161">
        <v>2045</v>
      </c>
      <c r="B46" s="162" t="s">
        <v>552</v>
      </c>
      <c r="C46" s="162" t="s">
        <v>525</v>
      </c>
      <c r="D46" s="163">
        <v>432.2</v>
      </c>
      <c r="E46" s="164">
        <v>432.2</v>
      </c>
      <c r="F46" s="162" t="s">
        <v>22</v>
      </c>
      <c r="G46" s="165"/>
    </row>
    <row r="47" spans="1:7" ht="16.95" hidden="1" customHeight="1" x14ac:dyDescent="0.3">
      <c r="A47" s="161">
        <v>2046</v>
      </c>
      <c r="B47" s="171" t="s">
        <v>553</v>
      </c>
      <c r="C47" s="162" t="s">
        <v>521</v>
      </c>
      <c r="D47" s="172">
        <f>326</f>
        <v>326</v>
      </c>
      <c r="E47" s="170">
        <f>326/2</f>
        <v>163</v>
      </c>
      <c r="F47" s="162" t="s">
        <v>22</v>
      </c>
      <c r="G47" s="165"/>
    </row>
    <row r="48" spans="1:7" ht="16.95" hidden="1" customHeight="1" x14ac:dyDescent="0.25">
      <c r="A48" s="161">
        <v>2047</v>
      </c>
      <c r="B48" s="166" t="s">
        <v>554</v>
      </c>
      <c r="C48" s="162" t="s">
        <v>525</v>
      </c>
      <c r="D48" s="163">
        <v>41.9</v>
      </c>
      <c r="E48" s="167">
        <v>41.9</v>
      </c>
      <c r="F48" s="166" t="s">
        <v>22</v>
      </c>
      <c r="G48" s="165"/>
    </row>
    <row r="49" spans="1:7" ht="16.95" hidden="1" customHeight="1" x14ac:dyDescent="0.3">
      <c r="A49" s="161">
        <v>2048</v>
      </c>
      <c r="B49" s="162" t="s">
        <v>555</v>
      </c>
      <c r="C49" s="162" t="s">
        <v>525</v>
      </c>
      <c r="D49" s="163">
        <v>342.3</v>
      </c>
      <c r="E49" s="164">
        <v>342.3</v>
      </c>
      <c r="F49" s="162" t="s">
        <v>22</v>
      </c>
      <c r="G49" s="165"/>
    </row>
    <row r="50" spans="1:7" ht="16.95" hidden="1" customHeight="1" x14ac:dyDescent="0.3">
      <c r="A50" s="161">
        <v>2049</v>
      </c>
      <c r="B50" s="171" t="s">
        <v>553</v>
      </c>
      <c r="C50" s="162" t="s">
        <v>521</v>
      </c>
      <c r="D50" s="172">
        <f>256.2</f>
        <v>256.2</v>
      </c>
      <c r="E50" s="170">
        <f>256.2/2</f>
        <v>128.1</v>
      </c>
      <c r="F50" s="162" t="s">
        <v>22</v>
      </c>
      <c r="G50" s="165"/>
    </row>
    <row r="51" spans="1:7" ht="16.95" hidden="1" customHeight="1" x14ac:dyDescent="0.3">
      <c r="A51" s="161">
        <v>2050</v>
      </c>
      <c r="B51" s="171" t="s">
        <v>556</v>
      </c>
      <c r="C51" s="162" t="s">
        <v>525</v>
      </c>
      <c r="D51" s="163">
        <v>38.4</v>
      </c>
      <c r="E51" s="164">
        <v>38.4</v>
      </c>
      <c r="F51" s="162" t="s">
        <v>22</v>
      </c>
      <c r="G51" s="165"/>
    </row>
    <row r="52" spans="1:7" ht="16.95" hidden="1" customHeight="1" x14ac:dyDescent="0.3">
      <c r="A52" s="161">
        <v>2051</v>
      </c>
      <c r="B52" s="166" t="s">
        <v>557</v>
      </c>
      <c r="C52" s="162" t="s">
        <v>521</v>
      </c>
      <c r="D52" s="163">
        <v>22.2</v>
      </c>
      <c r="E52" s="164">
        <v>22.2</v>
      </c>
      <c r="F52" s="166" t="s">
        <v>22</v>
      </c>
      <c r="G52" s="165"/>
    </row>
    <row r="53" spans="1:7" ht="16.95" hidden="1" customHeight="1" x14ac:dyDescent="0.3">
      <c r="A53" s="161">
        <v>2052</v>
      </c>
      <c r="B53" s="166" t="s">
        <v>534</v>
      </c>
      <c r="C53" s="162" t="s">
        <v>521</v>
      </c>
      <c r="D53" s="163">
        <v>4.4000000000000004</v>
      </c>
      <c r="E53" s="164">
        <v>4.4000000000000004</v>
      </c>
      <c r="F53" s="166" t="s">
        <v>22</v>
      </c>
      <c r="G53" s="165"/>
    </row>
    <row r="54" spans="1:7" ht="16.95" hidden="1" customHeight="1" x14ac:dyDescent="0.3">
      <c r="A54" s="161">
        <v>2053</v>
      </c>
      <c r="B54" s="166" t="s">
        <v>537</v>
      </c>
      <c r="C54" s="162" t="s">
        <v>521</v>
      </c>
      <c r="D54" s="163">
        <v>5.6</v>
      </c>
      <c r="E54" s="164">
        <v>5.6</v>
      </c>
      <c r="F54" s="166" t="s">
        <v>22</v>
      </c>
      <c r="G54" s="165"/>
    </row>
    <row r="55" spans="1:7" ht="16.95" hidden="1" customHeight="1" x14ac:dyDescent="0.3">
      <c r="A55" s="161">
        <v>2054</v>
      </c>
      <c r="B55" s="166" t="s">
        <v>558</v>
      </c>
      <c r="C55" s="162" t="s">
        <v>521</v>
      </c>
      <c r="D55" s="163">
        <v>22.1</v>
      </c>
      <c r="E55" s="164">
        <v>22.1</v>
      </c>
      <c r="F55" s="166" t="s">
        <v>22</v>
      </c>
      <c r="G55" s="165"/>
    </row>
    <row r="56" spans="1:7" ht="16.95" hidden="1" customHeight="1" x14ac:dyDescent="0.3">
      <c r="A56" s="161">
        <v>2055</v>
      </c>
      <c r="B56" s="166" t="s">
        <v>532</v>
      </c>
      <c r="C56" s="162" t="s">
        <v>521</v>
      </c>
      <c r="D56" s="163">
        <v>10.3</v>
      </c>
      <c r="E56" s="164">
        <v>10.3</v>
      </c>
      <c r="F56" s="162" t="s">
        <v>22</v>
      </c>
      <c r="G56" s="165"/>
    </row>
    <row r="57" spans="1:7" ht="16.95" customHeight="1" x14ac:dyDescent="0.3">
      <c r="A57" s="161">
        <v>2056</v>
      </c>
      <c r="B57" s="166" t="s">
        <v>531</v>
      </c>
      <c r="C57" s="162" t="s">
        <v>521</v>
      </c>
      <c r="D57" s="163">
        <v>70.400000000000006</v>
      </c>
      <c r="E57" s="164">
        <v>70.400000000000006</v>
      </c>
      <c r="F57" s="162" t="s">
        <v>22</v>
      </c>
      <c r="G57" s="165"/>
    </row>
    <row r="58" spans="1:7" ht="16.95" hidden="1" customHeight="1" x14ac:dyDescent="0.3">
      <c r="A58" s="161">
        <v>2057</v>
      </c>
      <c r="B58" s="166" t="s">
        <v>530</v>
      </c>
      <c r="C58" s="162" t="s">
        <v>521</v>
      </c>
      <c r="D58" s="163">
        <v>19.899999999999999</v>
      </c>
      <c r="E58" s="164">
        <v>19.899999999999999</v>
      </c>
      <c r="F58" s="162" t="s">
        <v>22</v>
      </c>
      <c r="G58" s="165"/>
    </row>
    <row r="59" spans="1:7" ht="16.95" hidden="1" customHeight="1" x14ac:dyDescent="0.3">
      <c r="A59" s="161">
        <v>2058</v>
      </c>
      <c r="B59" s="166" t="s">
        <v>559</v>
      </c>
      <c r="C59" s="162" t="s">
        <v>521</v>
      </c>
      <c r="D59" s="163">
        <v>142.69999999999999</v>
      </c>
      <c r="E59" s="164">
        <v>142.69999999999999</v>
      </c>
      <c r="F59" s="162" t="s">
        <v>22</v>
      </c>
      <c r="G59" s="165"/>
    </row>
    <row r="60" spans="1:7" ht="16.95" hidden="1" customHeight="1" x14ac:dyDescent="0.3">
      <c r="A60" s="161">
        <v>2059</v>
      </c>
      <c r="B60" s="166" t="s">
        <v>534</v>
      </c>
      <c r="C60" s="162" t="s">
        <v>525</v>
      </c>
      <c r="D60" s="163">
        <v>4.5999999999999996</v>
      </c>
      <c r="E60" s="164">
        <v>4.5999999999999996</v>
      </c>
      <c r="F60" s="166" t="s">
        <v>22</v>
      </c>
      <c r="G60" s="165"/>
    </row>
    <row r="61" spans="1:7" ht="16.95" hidden="1" customHeight="1" x14ac:dyDescent="0.3">
      <c r="A61" s="161">
        <v>2060</v>
      </c>
      <c r="B61" s="171" t="s">
        <v>556</v>
      </c>
      <c r="C61" s="162" t="s">
        <v>525</v>
      </c>
      <c r="D61" s="163">
        <v>34.6</v>
      </c>
      <c r="E61" s="164">
        <v>34.6</v>
      </c>
      <c r="F61" s="162" t="s">
        <v>22</v>
      </c>
      <c r="G61" s="165"/>
    </row>
    <row r="62" spans="1:7" ht="16.95" hidden="1" customHeight="1" x14ac:dyDescent="0.3">
      <c r="A62" s="161">
        <v>2061</v>
      </c>
      <c r="B62" s="162" t="s">
        <v>560</v>
      </c>
      <c r="C62" s="162" t="s">
        <v>525</v>
      </c>
      <c r="D62" s="163">
        <v>0</v>
      </c>
      <c r="E62" s="164">
        <v>0</v>
      </c>
      <c r="F62" s="162" t="s">
        <v>22</v>
      </c>
      <c r="G62" s="165"/>
    </row>
    <row r="63" spans="1:7" ht="16.95" hidden="1" customHeight="1" x14ac:dyDescent="0.3">
      <c r="A63" s="161">
        <v>2062</v>
      </c>
      <c r="B63" s="166" t="s">
        <v>551</v>
      </c>
      <c r="C63" s="162" t="s">
        <v>521</v>
      </c>
      <c r="D63" s="172">
        <v>426.5</v>
      </c>
      <c r="E63" s="170">
        <f>426.5/2</f>
        <v>213.25</v>
      </c>
      <c r="F63" s="162" t="s">
        <v>22</v>
      </c>
      <c r="G63" s="165"/>
    </row>
    <row r="64" spans="1:7" ht="16.95" customHeight="1" x14ac:dyDescent="0.3">
      <c r="A64" s="161">
        <v>2063</v>
      </c>
      <c r="B64" s="166" t="s">
        <v>531</v>
      </c>
      <c r="C64" s="162" t="s">
        <v>521</v>
      </c>
      <c r="D64" s="163">
        <v>61.7</v>
      </c>
      <c r="E64" s="164">
        <v>61.7</v>
      </c>
      <c r="F64" s="162" t="s">
        <v>22</v>
      </c>
      <c r="G64" s="165"/>
    </row>
    <row r="65" spans="1:9" ht="16.95" hidden="1" customHeight="1" x14ac:dyDescent="0.3">
      <c r="A65" s="161">
        <v>2064</v>
      </c>
      <c r="B65" s="166" t="s">
        <v>550</v>
      </c>
      <c r="C65" s="162" t="s">
        <v>525</v>
      </c>
      <c r="D65" s="163">
        <v>66.099999999999994</v>
      </c>
      <c r="E65" s="164">
        <v>66.099999999999994</v>
      </c>
      <c r="F65" s="162" t="s">
        <v>22</v>
      </c>
      <c r="G65" s="165"/>
    </row>
    <row r="66" spans="1:9" ht="16.95" hidden="1" customHeight="1" x14ac:dyDescent="0.3">
      <c r="A66" s="161">
        <v>2065</v>
      </c>
      <c r="B66" s="166" t="s">
        <v>534</v>
      </c>
      <c r="C66" s="162" t="s">
        <v>525</v>
      </c>
      <c r="D66" s="163">
        <v>4.2</v>
      </c>
      <c r="E66" s="164">
        <v>4.2</v>
      </c>
      <c r="F66" s="166" t="s">
        <v>22</v>
      </c>
      <c r="G66" s="165"/>
    </row>
    <row r="67" spans="1:9" ht="16.95" hidden="1" customHeight="1" x14ac:dyDescent="0.3">
      <c r="A67" s="161">
        <v>2066</v>
      </c>
      <c r="B67" s="166" t="s">
        <v>561</v>
      </c>
      <c r="C67" s="162" t="s">
        <v>525</v>
      </c>
      <c r="D67" s="163">
        <v>92.2</v>
      </c>
      <c r="E67" s="164">
        <v>92.2</v>
      </c>
      <c r="F67" s="162" t="s">
        <v>22</v>
      </c>
      <c r="G67" s="165"/>
    </row>
    <row r="68" spans="1:9" ht="16.95" hidden="1" customHeight="1" x14ac:dyDescent="0.3">
      <c r="A68" s="161">
        <v>2067</v>
      </c>
      <c r="B68" s="171" t="s">
        <v>553</v>
      </c>
      <c r="C68" s="162" t="s">
        <v>521</v>
      </c>
      <c r="D68" s="163">
        <v>90.8</v>
      </c>
      <c r="E68" s="164">
        <v>90.8</v>
      </c>
      <c r="F68" s="162" t="s">
        <v>22</v>
      </c>
      <c r="G68" s="165"/>
    </row>
    <row r="69" spans="1:9" ht="16.95" hidden="1" customHeight="1" x14ac:dyDescent="0.3">
      <c r="A69" s="161">
        <v>2068</v>
      </c>
      <c r="B69" s="171" t="s">
        <v>562</v>
      </c>
      <c r="C69" s="162" t="s">
        <v>521</v>
      </c>
      <c r="D69" s="163">
        <v>112.7</v>
      </c>
      <c r="E69" s="164">
        <v>112.7</v>
      </c>
      <c r="F69" s="162" t="s">
        <v>22</v>
      </c>
      <c r="G69" s="165"/>
    </row>
    <row r="70" spans="1:9" ht="16.95" hidden="1" customHeight="1" x14ac:dyDescent="0.3">
      <c r="A70" s="161">
        <v>2069</v>
      </c>
      <c r="B70" s="166" t="s">
        <v>563</v>
      </c>
      <c r="C70" s="162" t="s">
        <v>521</v>
      </c>
      <c r="D70" s="163">
        <v>3.2</v>
      </c>
      <c r="E70" s="164">
        <v>3.2</v>
      </c>
      <c r="F70" s="166" t="s">
        <v>22</v>
      </c>
      <c r="G70" s="165"/>
    </row>
    <row r="71" spans="1:9" ht="16.95" hidden="1" customHeight="1" x14ac:dyDescent="0.3">
      <c r="A71" s="161">
        <v>2070</v>
      </c>
      <c r="B71" s="166" t="s">
        <v>564</v>
      </c>
      <c r="C71" s="162" t="s">
        <v>521</v>
      </c>
      <c r="D71" s="163">
        <v>15.3</v>
      </c>
      <c r="E71" s="164">
        <v>15.3</v>
      </c>
      <c r="F71" s="162" t="s">
        <v>22</v>
      </c>
      <c r="G71" s="165"/>
    </row>
    <row r="72" spans="1:9" ht="16.95" hidden="1" customHeight="1" x14ac:dyDescent="0.3">
      <c r="A72" s="161">
        <v>2071</v>
      </c>
      <c r="B72" s="171" t="s">
        <v>553</v>
      </c>
      <c r="C72" s="162" t="s">
        <v>521</v>
      </c>
      <c r="D72" s="172">
        <f>257.1</f>
        <v>257.10000000000002</v>
      </c>
      <c r="E72" s="170">
        <f>257.1/2</f>
        <v>128.55000000000001</v>
      </c>
      <c r="F72" s="162" t="s">
        <v>22</v>
      </c>
      <c r="G72" s="165"/>
    </row>
    <row r="73" spans="1:9" ht="16.95" hidden="1" customHeight="1" x14ac:dyDescent="0.3">
      <c r="A73" s="161">
        <v>3001</v>
      </c>
      <c r="B73" s="166" t="s">
        <v>535</v>
      </c>
      <c r="C73" s="162" t="s">
        <v>525</v>
      </c>
      <c r="D73" s="163">
        <v>80.400000000000006</v>
      </c>
      <c r="E73" s="164">
        <v>80.400000000000006</v>
      </c>
      <c r="F73" s="162" t="s">
        <v>22</v>
      </c>
      <c r="G73" s="165">
        <v>3.3</v>
      </c>
    </row>
    <row r="74" spans="1:9" ht="16.95" hidden="1" customHeight="1" x14ac:dyDescent="0.3">
      <c r="A74" s="161">
        <v>3002</v>
      </c>
      <c r="B74" s="166" t="s">
        <v>535</v>
      </c>
      <c r="C74" s="162" t="s">
        <v>525</v>
      </c>
      <c r="D74" s="163">
        <v>63.3</v>
      </c>
      <c r="E74" s="164">
        <v>63.3</v>
      </c>
      <c r="F74" s="162" t="s">
        <v>22</v>
      </c>
      <c r="G74" s="165">
        <v>8.3000000000000007</v>
      </c>
    </row>
    <row r="75" spans="1:9" ht="16.95" hidden="1" customHeight="1" x14ac:dyDescent="0.3">
      <c r="A75" s="161">
        <v>3003</v>
      </c>
      <c r="B75" s="166" t="s">
        <v>565</v>
      </c>
      <c r="C75" s="162" t="s">
        <v>525</v>
      </c>
      <c r="D75" s="163">
        <v>84.7</v>
      </c>
      <c r="E75" s="164">
        <v>84.7</v>
      </c>
      <c r="F75" s="162" t="s">
        <v>22</v>
      </c>
      <c r="G75" s="165">
        <v>0</v>
      </c>
    </row>
    <row r="76" spans="1:9" ht="16.95" hidden="1" customHeight="1" x14ac:dyDescent="0.3">
      <c r="A76" s="161">
        <v>3004</v>
      </c>
      <c r="B76" s="166" t="s">
        <v>526</v>
      </c>
      <c r="C76" s="162" t="s">
        <v>521</v>
      </c>
      <c r="D76" s="163">
        <v>244.1</v>
      </c>
      <c r="E76" s="164">
        <v>244.1</v>
      </c>
      <c r="F76" s="162" t="s">
        <v>22</v>
      </c>
      <c r="G76" s="165">
        <v>92.2</v>
      </c>
      <c r="H76" s="156" t="s">
        <v>588</v>
      </c>
    </row>
    <row r="77" spans="1:9" ht="16.95" hidden="1" customHeight="1" x14ac:dyDescent="0.3">
      <c r="A77" s="161">
        <v>3005</v>
      </c>
      <c r="B77" s="171" t="s">
        <v>556</v>
      </c>
      <c r="C77" s="162" t="s">
        <v>525</v>
      </c>
      <c r="D77" s="163">
        <v>18.399999999999999</v>
      </c>
      <c r="E77" s="164">
        <v>18.399999999999999</v>
      </c>
      <c r="F77" s="162" t="s">
        <v>22</v>
      </c>
      <c r="G77" s="165">
        <v>1.1000000000000001</v>
      </c>
    </row>
    <row r="78" spans="1:9" ht="16.95" customHeight="1" x14ac:dyDescent="0.3">
      <c r="A78" s="161">
        <v>3006</v>
      </c>
      <c r="B78" s="166" t="s">
        <v>531</v>
      </c>
      <c r="C78" s="162" t="s">
        <v>521</v>
      </c>
      <c r="D78" s="163">
        <v>52</v>
      </c>
      <c r="E78" s="164">
        <v>52</v>
      </c>
      <c r="F78" s="162" t="s">
        <v>22</v>
      </c>
      <c r="G78" s="165">
        <v>28.3</v>
      </c>
      <c r="H78" s="156">
        <v>28.3</v>
      </c>
      <c r="I78" s="153">
        <v>31.54</v>
      </c>
    </row>
    <row r="79" spans="1:9" ht="16.95" hidden="1" customHeight="1" x14ac:dyDescent="0.3">
      <c r="A79" s="161">
        <v>3007</v>
      </c>
      <c r="B79" s="166" t="s">
        <v>532</v>
      </c>
      <c r="C79" s="162" t="s">
        <v>521</v>
      </c>
      <c r="D79" s="163">
        <v>9.1</v>
      </c>
      <c r="E79" s="164">
        <v>9.1</v>
      </c>
      <c r="F79" s="162" t="s">
        <v>22</v>
      </c>
      <c r="G79" s="165">
        <v>9.1</v>
      </c>
      <c r="H79" s="156">
        <v>9.1</v>
      </c>
    </row>
    <row r="80" spans="1:9" ht="16.95" hidden="1" customHeight="1" x14ac:dyDescent="0.3">
      <c r="A80" s="161">
        <v>3008</v>
      </c>
      <c r="B80" s="166" t="s">
        <v>534</v>
      </c>
      <c r="C80" s="162" t="s">
        <v>525</v>
      </c>
      <c r="D80" s="163">
        <v>4.7</v>
      </c>
      <c r="E80" s="164">
        <v>4.7</v>
      </c>
      <c r="F80" s="166" t="s">
        <v>22</v>
      </c>
      <c r="G80" s="165">
        <v>0</v>
      </c>
    </row>
    <row r="81" spans="1:7" ht="16.95" hidden="1" customHeight="1" x14ac:dyDescent="0.3">
      <c r="A81" s="161">
        <v>3009</v>
      </c>
      <c r="B81" s="166" t="s">
        <v>533</v>
      </c>
      <c r="C81" s="162" t="s">
        <v>521</v>
      </c>
      <c r="D81" s="163">
        <v>23.5</v>
      </c>
      <c r="E81" s="164">
        <v>23.5</v>
      </c>
      <c r="F81" s="166" t="s">
        <v>22</v>
      </c>
      <c r="G81" s="165">
        <v>23.7</v>
      </c>
    </row>
    <row r="82" spans="1:7" ht="16.95" hidden="1" customHeight="1" x14ac:dyDescent="0.3">
      <c r="A82" s="161">
        <v>3010</v>
      </c>
      <c r="B82" s="166" t="s">
        <v>566</v>
      </c>
      <c r="C82" s="162" t="s">
        <v>525</v>
      </c>
      <c r="D82" s="163">
        <v>103.1</v>
      </c>
      <c r="E82" s="164">
        <v>103.1</v>
      </c>
      <c r="F82" s="166" t="s">
        <v>567</v>
      </c>
      <c r="G82" s="165">
        <v>5.4</v>
      </c>
    </row>
    <row r="83" spans="1:7" ht="16.95" hidden="1" customHeight="1" x14ac:dyDescent="0.3">
      <c r="A83" s="161">
        <v>3011</v>
      </c>
      <c r="B83" s="162" t="s">
        <v>546</v>
      </c>
      <c r="C83" s="162" t="s">
        <v>525</v>
      </c>
      <c r="D83" s="163">
        <v>89.8</v>
      </c>
      <c r="E83" s="164">
        <v>89.8</v>
      </c>
      <c r="F83" s="162" t="s">
        <v>22</v>
      </c>
      <c r="G83" s="165">
        <v>7.3</v>
      </c>
    </row>
    <row r="84" spans="1:7" ht="16.95" hidden="1" customHeight="1" x14ac:dyDescent="0.3">
      <c r="A84" s="161">
        <v>3012</v>
      </c>
      <c r="B84" s="166" t="s">
        <v>526</v>
      </c>
      <c r="C84" s="162" t="s">
        <v>521</v>
      </c>
      <c r="D84" s="172">
        <f>470.2</f>
        <v>470.2</v>
      </c>
      <c r="E84" s="170">
        <f>470.2/2</f>
        <v>235.1</v>
      </c>
      <c r="F84" s="162" t="s">
        <v>22</v>
      </c>
      <c r="G84" s="165">
        <v>247.3</v>
      </c>
    </row>
    <row r="85" spans="1:7" ht="16.95" hidden="1" customHeight="1" x14ac:dyDescent="0.3">
      <c r="A85" s="161">
        <v>3013</v>
      </c>
      <c r="B85" s="166" t="s">
        <v>535</v>
      </c>
      <c r="C85" s="162" t="s">
        <v>525</v>
      </c>
      <c r="D85" s="163">
        <v>63</v>
      </c>
      <c r="E85" s="164">
        <v>63</v>
      </c>
      <c r="F85" s="162" t="s">
        <v>22</v>
      </c>
      <c r="G85" s="165">
        <v>3.4</v>
      </c>
    </row>
    <row r="86" spans="1:7" ht="16.95" hidden="1" customHeight="1" x14ac:dyDescent="0.3">
      <c r="A86" s="161">
        <v>3014</v>
      </c>
      <c r="B86" s="166" t="s">
        <v>535</v>
      </c>
      <c r="C86" s="162" t="s">
        <v>525</v>
      </c>
      <c r="D86" s="163">
        <v>63.6</v>
      </c>
      <c r="E86" s="164">
        <v>63.6</v>
      </c>
      <c r="F86" s="162" t="s">
        <v>22</v>
      </c>
      <c r="G86" s="165">
        <v>3.4</v>
      </c>
    </row>
    <row r="87" spans="1:7" ht="16.95" hidden="1" customHeight="1" x14ac:dyDescent="0.3">
      <c r="A87" s="161">
        <v>3015</v>
      </c>
      <c r="B87" s="166" t="s">
        <v>536</v>
      </c>
      <c r="C87" s="162" t="s">
        <v>521</v>
      </c>
      <c r="D87" s="163">
        <v>19.600000000000001</v>
      </c>
      <c r="E87" s="164">
        <v>19.600000000000001</v>
      </c>
      <c r="F87" s="166" t="s">
        <v>22</v>
      </c>
      <c r="G87" s="165">
        <v>38.5</v>
      </c>
    </row>
    <row r="88" spans="1:7" ht="16.95" customHeight="1" x14ac:dyDescent="0.3">
      <c r="A88" s="161">
        <v>3016</v>
      </c>
      <c r="B88" s="166" t="s">
        <v>531</v>
      </c>
      <c r="C88" s="162" t="s">
        <v>521</v>
      </c>
      <c r="D88" s="163">
        <v>58.5</v>
      </c>
      <c r="E88" s="164">
        <v>58.5</v>
      </c>
      <c r="F88" s="162" t="s">
        <v>22</v>
      </c>
      <c r="G88" s="165">
        <v>34.799999999999997</v>
      </c>
    </row>
    <row r="89" spans="1:7" ht="16.95" hidden="1" customHeight="1" x14ac:dyDescent="0.3">
      <c r="A89" s="161">
        <v>3017</v>
      </c>
      <c r="B89" s="166" t="s">
        <v>537</v>
      </c>
      <c r="C89" s="162" t="s">
        <v>521</v>
      </c>
      <c r="D89" s="163">
        <v>10.3</v>
      </c>
      <c r="E89" s="164">
        <v>10.3</v>
      </c>
      <c r="F89" s="166" t="s">
        <v>22</v>
      </c>
      <c r="G89" s="165">
        <v>10.3</v>
      </c>
    </row>
    <row r="90" spans="1:7" ht="16.95" hidden="1" customHeight="1" x14ac:dyDescent="0.3">
      <c r="A90" s="161">
        <v>3018</v>
      </c>
      <c r="B90" s="166" t="s">
        <v>538</v>
      </c>
      <c r="C90" s="162" t="s">
        <v>525</v>
      </c>
      <c r="D90" s="163">
        <v>5.5</v>
      </c>
      <c r="E90" s="164">
        <v>5.5</v>
      </c>
      <c r="F90" s="166" t="s">
        <v>22</v>
      </c>
      <c r="G90" s="165">
        <v>0</v>
      </c>
    </row>
    <row r="91" spans="1:7" ht="16.95" hidden="1" customHeight="1" x14ac:dyDescent="0.3">
      <c r="A91" s="161">
        <v>3019</v>
      </c>
      <c r="B91" s="162" t="s">
        <v>539</v>
      </c>
      <c r="C91" s="162" t="s">
        <v>521</v>
      </c>
      <c r="D91" s="163">
        <v>321.8</v>
      </c>
      <c r="E91" s="164">
        <v>321.8</v>
      </c>
      <c r="F91" s="162" t="s">
        <v>22</v>
      </c>
      <c r="G91" s="165">
        <v>587.9</v>
      </c>
    </row>
    <row r="92" spans="1:7" ht="16.95" customHeight="1" x14ac:dyDescent="0.3">
      <c r="A92" s="161">
        <v>3020</v>
      </c>
      <c r="B92" s="166" t="s">
        <v>531</v>
      </c>
      <c r="C92" s="162" t="s">
        <v>521</v>
      </c>
      <c r="D92" s="163">
        <v>49</v>
      </c>
      <c r="E92" s="164">
        <v>49</v>
      </c>
      <c r="F92" s="162" t="s">
        <v>22</v>
      </c>
      <c r="G92" s="165">
        <v>26</v>
      </c>
    </row>
    <row r="93" spans="1:7" ht="16.95" hidden="1" customHeight="1" x14ac:dyDescent="0.3">
      <c r="A93" s="161">
        <v>3021</v>
      </c>
      <c r="B93" s="171" t="s">
        <v>556</v>
      </c>
      <c r="C93" s="162" t="s">
        <v>525</v>
      </c>
      <c r="D93" s="163">
        <v>24.7</v>
      </c>
      <c r="E93" s="164">
        <v>24.7</v>
      </c>
      <c r="F93" s="162" t="s">
        <v>22</v>
      </c>
      <c r="G93" s="165">
        <v>1.1000000000000001</v>
      </c>
    </row>
    <row r="94" spans="1:7" ht="16.95" hidden="1" customHeight="1" x14ac:dyDescent="0.3">
      <c r="A94" s="161">
        <v>3022</v>
      </c>
      <c r="B94" s="166" t="s">
        <v>568</v>
      </c>
      <c r="C94" s="162" t="s">
        <v>525</v>
      </c>
      <c r="D94" s="163">
        <v>150.19999999999999</v>
      </c>
      <c r="E94" s="164">
        <v>150.19999999999999</v>
      </c>
      <c r="F94" s="162" t="s">
        <v>22</v>
      </c>
      <c r="G94" s="165">
        <v>10.4</v>
      </c>
    </row>
    <row r="95" spans="1:7" ht="16.95" hidden="1" customHeight="1" x14ac:dyDescent="0.3">
      <c r="A95" s="161">
        <v>3023</v>
      </c>
      <c r="B95" s="166" t="s">
        <v>551</v>
      </c>
      <c r="C95" s="162" t="s">
        <v>521</v>
      </c>
      <c r="D95" s="172">
        <f>364.3</f>
        <v>364.3</v>
      </c>
      <c r="E95" s="170">
        <f>364.3/2</f>
        <v>182.15</v>
      </c>
      <c r="F95" s="162" t="s">
        <v>22</v>
      </c>
      <c r="G95" s="165">
        <v>13.5</v>
      </c>
    </row>
    <row r="96" spans="1:7" ht="16.95" customHeight="1" x14ac:dyDescent="0.3">
      <c r="A96" s="161">
        <v>3024</v>
      </c>
      <c r="B96" s="166" t="s">
        <v>531</v>
      </c>
      <c r="C96" s="162" t="s">
        <v>521</v>
      </c>
      <c r="D96" s="163">
        <v>49</v>
      </c>
      <c r="E96" s="164">
        <v>49</v>
      </c>
      <c r="F96" s="162" t="s">
        <v>22</v>
      </c>
      <c r="G96" s="165">
        <v>26</v>
      </c>
    </row>
    <row r="97" spans="1:7" ht="16.95" hidden="1" customHeight="1" x14ac:dyDescent="0.3">
      <c r="A97" s="161">
        <v>3025</v>
      </c>
      <c r="B97" s="166" t="s">
        <v>538</v>
      </c>
      <c r="C97" s="162" t="s">
        <v>525</v>
      </c>
      <c r="D97" s="163">
        <v>8.1</v>
      </c>
      <c r="E97" s="164">
        <v>8.1</v>
      </c>
      <c r="F97" s="166" t="s">
        <v>22</v>
      </c>
      <c r="G97" s="165">
        <v>0</v>
      </c>
    </row>
    <row r="98" spans="1:7" ht="16.95" hidden="1" customHeight="1" x14ac:dyDescent="0.3">
      <c r="A98" s="161">
        <v>3026</v>
      </c>
      <c r="B98" s="166" t="s">
        <v>534</v>
      </c>
      <c r="C98" s="162" t="s">
        <v>525</v>
      </c>
      <c r="D98" s="163">
        <v>7.5</v>
      </c>
      <c r="E98" s="164">
        <v>7.5</v>
      </c>
      <c r="F98" s="166" t="s">
        <v>22</v>
      </c>
      <c r="G98" s="165">
        <v>0</v>
      </c>
    </row>
    <row r="99" spans="1:7" ht="16.95" hidden="1" customHeight="1" x14ac:dyDescent="0.3">
      <c r="A99" s="161">
        <v>3027</v>
      </c>
      <c r="B99" s="162" t="s">
        <v>546</v>
      </c>
      <c r="C99" s="162" t="s">
        <v>525</v>
      </c>
      <c r="D99" s="163">
        <v>90.2</v>
      </c>
      <c r="E99" s="164">
        <v>90.2</v>
      </c>
      <c r="F99" s="162" t="s">
        <v>22</v>
      </c>
      <c r="G99" s="165">
        <v>4.5999999999999996</v>
      </c>
    </row>
    <row r="100" spans="1:7" ht="16.95" hidden="1" customHeight="1" x14ac:dyDescent="0.3">
      <c r="A100" s="161">
        <v>3028</v>
      </c>
      <c r="B100" s="166" t="s">
        <v>569</v>
      </c>
      <c r="C100" s="162" t="s">
        <v>525</v>
      </c>
      <c r="D100" s="163">
        <v>63.5</v>
      </c>
      <c r="E100" s="164">
        <v>63.5</v>
      </c>
      <c r="F100" s="162" t="s">
        <v>22</v>
      </c>
      <c r="G100" s="165">
        <v>3.7</v>
      </c>
    </row>
    <row r="101" spans="1:7" ht="16.95" hidden="1" customHeight="1" x14ac:dyDescent="0.3">
      <c r="A101" s="161">
        <v>3029</v>
      </c>
      <c r="B101" s="166" t="s">
        <v>534</v>
      </c>
      <c r="C101" s="162" t="s">
        <v>525</v>
      </c>
      <c r="D101" s="163">
        <v>4.4000000000000004</v>
      </c>
      <c r="E101" s="164">
        <v>4.4000000000000004</v>
      </c>
      <c r="F101" s="166" t="s">
        <v>22</v>
      </c>
      <c r="G101" s="165">
        <v>0</v>
      </c>
    </row>
    <row r="102" spans="1:7" ht="16.95" hidden="1" customHeight="1" x14ac:dyDescent="0.3">
      <c r="A102" s="161">
        <v>3030</v>
      </c>
      <c r="B102" s="166" t="s">
        <v>569</v>
      </c>
      <c r="C102" s="162" t="s">
        <v>525</v>
      </c>
      <c r="D102" s="163">
        <v>63.9</v>
      </c>
      <c r="E102" s="164">
        <v>63.9</v>
      </c>
      <c r="F102" s="162" t="s">
        <v>22</v>
      </c>
      <c r="G102" s="165">
        <v>3.3</v>
      </c>
    </row>
    <row r="103" spans="1:7" ht="16.95" hidden="1" customHeight="1" x14ac:dyDescent="0.3">
      <c r="A103" s="161">
        <v>3031</v>
      </c>
      <c r="B103" s="166" t="s">
        <v>569</v>
      </c>
      <c r="C103" s="162" t="s">
        <v>525</v>
      </c>
      <c r="D103" s="163">
        <v>64.2</v>
      </c>
      <c r="E103" s="164">
        <v>64.2</v>
      </c>
      <c r="F103" s="162" t="s">
        <v>22</v>
      </c>
      <c r="G103" s="165">
        <v>3.6</v>
      </c>
    </row>
    <row r="104" spans="1:7" ht="16.95" hidden="1" customHeight="1" x14ac:dyDescent="0.3">
      <c r="A104" s="161">
        <v>3032</v>
      </c>
      <c r="B104" s="166" t="s">
        <v>569</v>
      </c>
      <c r="C104" s="162" t="s">
        <v>525</v>
      </c>
      <c r="D104" s="163">
        <v>64.099999999999994</v>
      </c>
      <c r="E104" s="164">
        <v>64.099999999999994</v>
      </c>
      <c r="F104" s="162" t="s">
        <v>22</v>
      </c>
      <c r="G104" s="165">
        <v>3.4</v>
      </c>
    </row>
    <row r="105" spans="1:7" ht="16.95" hidden="1" customHeight="1" x14ac:dyDescent="0.3">
      <c r="A105" s="161">
        <v>3033</v>
      </c>
      <c r="B105" s="166" t="s">
        <v>532</v>
      </c>
      <c r="C105" s="162" t="s">
        <v>521</v>
      </c>
      <c r="D105" s="163">
        <v>9.1999999999999993</v>
      </c>
      <c r="E105" s="164">
        <v>9.1999999999999993</v>
      </c>
      <c r="F105" s="162" t="s">
        <v>22</v>
      </c>
      <c r="G105" s="165">
        <v>9.1999999999999993</v>
      </c>
    </row>
    <row r="106" spans="1:7" ht="16.95" customHeight="1" x14ac:dyDescent="0.3">
      <c r="A106" s="161">
        <v>3034</v>
      </c>
      <c r="B106" s="166" t="s">
        <v>531</v>
      </c>
      <c r="C106" s="162" t="s">
        <v>521</v>
      </c>
      <c r="D106" s="163">
        <v>55.2</v>
      </c>
      <c r="E106" s="164">
        <v>55.2</v>
      </c>
      <c r="F106" s="162" t="s">
        <v>22</v>
      </c>
      <c r="G106" s="165">
        <v>31.5</v>
      </c>
    </row>
    <row r="107" spans="1:7" ht="16.95" hidden="1" customHeight="1" x14ac:dyDescent="0.3">
      <c r="A107" s="161">
        <v>3035</v>
      </c>
      <c r="B107" s="166" t="s">
        <v>569</v>
      </c>
      <c r="C107" s="162" t="s">
        <v>525</v>
      </c>
      <c r="D107" s="163">
        <v>63.3</v>
      </c>
      <c r="E107" s="164">
        <v>63.3</v>
      </c>
      <c r="F107" s="162" t="s">
        <v>22</v>
      </c>
      <c r="G107" s="165">
        <v>3.4</v>
      </c>
    </row>
    <row r="108" spans="1:7" ht="16.95" hidden="1" customHeight="1" x14ac:dyDescent="0.3">
      <c r="A108" s="161">
        <v>3036</v>
      </c>
      <c r="B108" s="166" t="s">
        <v>550</v>
      </c>
      <c r="C108" s="162" t="s">
        <v>525</v>
      </c>
      <c r="D108" s="163">
        <v>62.6</v>
      </c>
      <c r="E108" s="164">
        <v>62.6</v>
      </c>
      <c r="F108" s="162" t="s">
        <v>22</v>
      </c>
      <c r="G108" s="165">
        <v>74.7</v>
      </c>
    </row>
    <row r="109" spans="1:7" ht="16.95" hidden="1" customHeight="1" x14ac:dyDescent="0.3">
      <c r="A109" s="161">
        <v>3037</v>
      </c>
      <c r="B109" s="171" t="s">
        <v>553</v>
      </c>
      <c r="C109" s="162" t="s">
        <v>521</v>
      </c>
      <c r="D109" s="172">
        <v>232.5</v>
      </c>
      <c r="E109" s="170">
        <f>232.5/2</f>
        <v>116.25</v>
      </c>
      <c r="F109" s="162" t="s">
        <v>22</v>
      </c>
      <c r="G109" s="165">
        <v>282.2</v>
      </c>
    </row>
    <row r="110" spans="1:7" ht="16.95" hidden="1" customHeight="1" x14ac:dyDescent="0.3">
      <c r="A110" s="161">
        <v>3038</v>
      </c>
      <c r="B110" s="166" t="s">
        <v>570</v>
      </c>
      <c r="C110" s="162" t="s">
        <v>525</v>
      </c>
      <c r="D110" s="163">
        <v>393.2</v>
      </c>
      <c r="E110" s="164">
        <v>393.2</v>
      </c>
      <c r="F110" s="166" t="s">
        <v>23</v>
      </c>
      <c r="G110" s="165">
        <v>10.199999999999999</v>
      </c>
    </row>
    <row r="111" spans="1:7" ht="16.95" hidden="1" customHeight="1" x14ac:dyDescent="0.3">
      <c r="A111" s="161">
        <v>3039</v>
      </c>
      <c r="B111" s="166" t="s">
        <v>571</v>
      </c>
      <c r="C111" s="162" t="s">
        <v>525</v>
      </c>
      <c r="D111" s="163">
        <v>20.399999999999999</v>
      </c>
      <c r="E111" s="164">
        <v>20.399999999999999</v>
      </c>
      <c r="F111" s="162" t="s">
        <v>22</v>
      </c>
      <c r="G111" s="165">
        <v>0</v>
      </c>
    </row>
    <row r="112" spans="1:7" ht="16.95" hidden="1" customHeight="1" x14ac:dyDescent="0.3">
      <c r="A112" s="161">
        <v>3040</v>
      </c>
      <c r="B112" s="162" t="s">
        <v>572</v>
      </c>
      <c r="C112" s="162" t="s">
        <v>525</v>
      </c>
      <c r="D112" s="163">
        <v>120.7</v>
      </c>
      <c r="E112" s="164">
        <v>120.7</v>
      </c>
      <c r="F112" s="162" t="s">
        <v>22</v>
      </c>
      <c r="G112" s="165">
        <v>6.7</v>
      </c>
    </row>
    <row r="113" spans="1:7" ht="16.95" hidden="1" customHeight="1" x14ac:dyDescent="0.3">
      <c r="A113" s="161">
        <v>3041</v>
      </c>
      <c r="B113" s="171" t="s">
        <v>553</v>
      </c>
      <c r="C113" s="162" t="s">
        <v>521</v>
      </c>
      <c r="D113" s="172">
        <v>331.2</v>
      </c>
      <c r="E113" s="170">
        <f>331.2/2</f>
        <v>165.6</v>
      </c>
      <c r="F113" s="162" t="s">
        <v>22</v>
      </c>
      <c r="G113" s="165">
        <v>0</v>
      </c>
    </row>
    <row r="114" spans="1:7" ht="16.95" hidden="1" customHeight="1" x14ac:dyDescent="0.3">
      <c r="A114" s="161">
        <v>3042</v>
      </c>
      <c r="B114" s="166" t="s">
        <v>557</v>
      </c>
      <c r="C114" s="162" t="s">
        <v>521</v>
      </c>
      <c r="D114" s="163">
        <v>22.2</v>
      </c>
      <c r="E114" s="164">
        <v>22.2</v>
      </c>
      <c r="F114" s="166" t="s">
        <v>22</v>
      </c>
      <c r="G114" s="165">
        <v>49.4</v>
      </c>
    </row>
    <row r="115" spans="1:7" ht="16.95" hidden="1" customHeight="1" x14ac:dyDescent="0.3">
      <c r="A115" s="161">
        <v>3043</v>
      </c>
      <c r="B115" s="166" t="s">
        <v>558</v>
      </c>
      <c r="C115" s="162" t="s">
        <v>521</v>
      </c>
      <c r="D115" s="163">
        <v>22.1</v>
      </c>
      <c r="E115" s="164">
        <v>22.1</v>
      </c>
      <c r="F115" s="166" t="s">
        <v>22</v>
      </c>
      <c r="G115" s="165">
        <v>56.6</v>
      </c>
    </row>
    <row r="116" spans="1:7" ht="16.95" hidden="1" customHeight="1" x14ac:dyDescent="0.3">
      <c r="A116" s="161">
        <v>3044</v>
      </c>
      <c r="B116" s="166" t="s">
        <v>534</v>
      </c>
      <c r="C116" s="162" t="s">
        <v>525</v>
      </c>
      <c r="D116" s="163">
        <v>4.4000000000000004</v>
      </c>
      <c r="E116" s="164">
        <v>4.4000000000000004</v>
      </c>
      <c r="F116" s="166" t="s">
        <v>22</v>
      </c>
      <c r="G116" s="165">
        <v>0</v>
      </c>
    </row>
    <row r="117" spans="1:7" ht="16.95" hidden="1" customHeight="1" x14ac:dyDescent="0.3">
      <c r="A117" s="161">
        <v>3045</v>
      </c>
      <c r="B117" s="166" t="s">
        <v>537</v>
      </c>
      <c r="C117" s="162" t="s">
        <v>521</v>
      </c>
      <c r="D117" s="163">
        <v>5.6</v>
      </c>
      <c r="E117" s="164">
        <v>5.6</v>
      </c>
      <c r="F117" s="166" t="s">
        <v>22</v>
      </c>
      <c r="G117" s="165">
        <v>11.2</v>
      </c>
    </row>
    <row r="118" spans="1:7" ht="16.95" hidden="1" customHeight="1" x14ac:dyDescent="0.3">
      <c r="A118" s="161">
        <v>3046</v>
      </c>
      <c r="B118" s="166" t="s">
        <v>532</v>
      </c>
      <c r="C118" s="162" t="s">
        <v>521</v>
      </c>
      <c r="D118" s="163">
        <v>9.1</v>
      </c>
      <c r="E118" s="164">
        <v>9.1</v>
      </c>
      <c r="F118" s="162" t="s">
        <v>22</v>
      </c>
      <c r="G118" s="165">
        <v>0</v>
      </c>
    </row>
    <row r="119" spans="1:7" ht="16.95" customHeight="1" x14ac:dyDescent="0.3">
      <c r="A119" s="161">
        <v>3047</v>
      </c>
      <c r="B119" s="166" t="s">
        <v>531</v>
      </c>
      <c r="C119" s="162" t="s">
        <v>521</v>
      </c>
      <c r="D119" s="163">
        <v>54.4</v>
      </c>
      <c r="E119" s="164">
        <v>54.4</v>
      </c>
      <c r="F119" s="162" t="s">
        <v>22</v>
      </c>
      <c r="G119" s="165">
        <v>30.7</v>
      </c>
    </row>
    <row r="120" spans="1:7" ht="16.95" hidden="1" customHeight="1" x14ac:dyDescent="0.3">
      <c r="A120" s="161">
        <v>3048</v>
      </c>
      <c r="B120" s="166" t="s">
        <v>527</v>
      </c>
      <c r="C120" s="162" t="s">
        <v>525</v>
      </c>
      <c r="D120" s="163">
        <v>94.1</v>
      </c>
      <c r="E120" s="164">
        <v>94.1</v>
      </c>
      <c r="F120" s="162" t="s">
        <v>22</v>
      </c>
      <c r="G120" s="165">
        <v>3.1</v>
      </c>
    </row>
    <row r="121" spans="1:7" ht="16.95" hidden="1" customHeight="1" x14ac:dyDescent="0.3">
      <c r="A121" s="161">
        <v>3049</v>
      </c>
      <c r="B121" s="171" t="s">
        <v>556</v>
      </c>
      <c r="C121" s="162" t="s">
        <v>525</v>
      </c>
      <c r="D121" s="163">
        <v>40.799999999999997</v>
      </c>
      <c r="E121" s="164">
        <v>40.799999999999997</v>
      </c>
      <c r="F121" s="162" t="s">
        <v>22</v>
      </c>
      <c r="G121" s="165">
        <v>3.5</v>
      </c>
    </row>
    <row r="122" spans="1:7" ht="16.95" hidden="1" customHeight="1" x14ac:dyDescent="0.3">
      <c r="A122" s="161">
        <v>3050</v>
      </c>
      <c r="B122" s="162" t="s">
        <v>573</v>
      </c>
      <c r="C122" s="162" t="s">
        <v>525</v>
      </c>
      <c r="D122" s="163">
        <v>156.4</v>
      </c>
      <c r="E122" s="164">
        <v>156.4</v>
      </c>
      <c r="F122" s="162" t="s">
        <v>22</v>
      </c>
      <c r="G122" s="165">
        <v>8.5</v>
      </c>
    </row>
    <row r="123" spans="1:7" ht="16.95" hidden="1" customHeight="1" x14ac:dyDescent="0.3">
      <c r="A123" s="161">
        <v>3051</v>
      </c>
      <c r="B123" s="166" t="s">
        <v>551</v>
      </c>
      <c r="C123" s="162" t="s">
        <v>521</v>
      </c>
      <c r="D123" s="172">
        <v>363.8</v>
      </c>
      <c r="E123" s="170">
        <f>363.8/2</f>
        <v>181.9</v>
      </c>
      <c r="F123" s="162" t="s">
        <v>22</v>
      </c>
      <c r="G123" s="165">
        <v>45.1</v>
      </c>
    </row>
    <row r="124" spans="1:7" ht="16.95" customHeight="1" x14ac:dyDescent="0.3">
      <c r="A124" s="161">
        <v>3052</v>
      </c>
      <c r="B124" s="166" t="s">
        <v>531</v>
      </c>
      <c r="C124" s="162" t="s">
        <v>521</v>
      </c>
      <c r="D124" s="163">
        <v>50.1</v>
      </c>
      <c r="E124" s="164">
        <v>50.1</v>
      </c>
      <c r="F124" s="162" t="s">
        <v>22</v>
      </c>
      <c r="G124" s="165">
        <v>27.3</v>
      </c>
    </row>
    <row r="125" spans="1:7" ht="16.95" hidden="1" customHeight="1" x14ac:dyDescent="0.3">
      <c r="A125" s="161">
        <v>3053</v>
      </c>
      <c r="B125" s="166" t="s">
        <v>574</v>
      </c>
      <c r="C125" s="162" t="s">
        <v>521</v>
      </c>
      <c r="D125" s="163">
        <v>200.9</v>
      </c>
      <c r="E125" s="164">
        <v>200.9</v>
      </c>
      <c r="F125" s="162" t="s">
        <v>22</v>
      </c>
      <c r="G125" s="165">
        <v>247.2</v>
      </c>
    </row>
    <row r="126" spans="1:7" ht="16.95" hidden="1" customHeight="1" x14ac:dyDescent="0.3">
      <c r="A126" s="161">
        <v>3054</v>
      </c>
      <c r="B126" s="166" t="s">
        <v>575</v>
      </c>
      <c r="C126" s="162" t="s">
        <v>525</v>
      </c>
      <c r="D126" s="163">
        <v>90</v>
      </c>
      <c r="E126" s="164">
        <v>90</v>
      </c>
      <c r="F126" s="162" t="s">
        <v>22</v>
      </c>
      <c r="G126" s="165">
        <v>8.4</v>
      </c>
    </row>
    <row r="127" spans="1:7" ht="16.95" hidden="1" customHeight="1" x14ac:dyDescent="0.3">
      <c r="A127" s="161">
        <v>3055</v>
      </c>
      <c r="B127" s="166" t="s">
        <v>576</v>
      </c>
      <c r="C127" s="162" t="s">
        <v>521</v>
      </c>
      <c r="D127" s="163">
        <v>14.5</v>
      </c>
      <c r="E127" s="164">
        <v>14.5</v>
      </c>
      <c r="F127" s="166" t="s">
        <v>22</v>
      </c>
      <c r="G127" s="165">
        <v>29</v>
      </c>
    </row>
    <row r="128" spans="1:7" ht="16.95" hidden="1" customHeight="1" x14ac:dyDescent="0.3">
      <c r="A128" s="161">
        <v>3057</v>
      </c>
      <c r="B128" s="166" t="s">
        <v>563</v>
      </c>
      <c r="C128" s="162" t="s">
        <v>521</v>
      </c>
      <c r="D128" s="163">
        <v>8.6</v>
      </c>
      <c r="E128" s="164">
        <v>8.6</v>
      </c>
      <c r="F128" s="166" t="s">
        <v>22</v>
      </c>
      <c r="G128" s="165">
        <v>19.899999999999999</v>
      </c>
    </row>
    <row r="129" spans="1:7" ht="16.95" hidden="1" customHeight="1" x14ac:dyDescent="0.3">
      <c r="A129" s="161">
        <v>3058</v>
      </c>
      <c r="B129" s="166" t="s">
        <v>577</v>
      </c>
      <c r="C129" s="162" t="s">
        <v>525</v>
      </c>
      <c r="D129" s="163">
        <v>76.5</v>
      </c>
      <c r="E129" s="164">
        <v>76.5</v>
      </c>
      <c r="F129" s="166" t="s">
        <v>567</v>
      </c>
      <c r="G129" s="165">
        <v>3.8</v>
      </c>
    </row>
    <row r="130" spans="1:7" ht="16.95" hidden="1" customHeight="1" x14ac:dyDescent="0.3">
      <c r="A130" s="161">
        <v>3059</v>
      </c>
      <c r="B130" s="166" t="s">
        <v>578</v>
      </c>
      <c r="C130" s="162" t="s">
        <v>521</v>
      </c>
      <c r="D130" s="163">
        <v>39</v>
      </c>
      <c r="E130" s="164">
        <v>39</v>
      </c>
      <c r="F130" s="162" t="s">
        <v>22</v>
      </c>
      <c r="G130" s="165">
        <v>51.2</v>
      </c>
    </row>
    <row r="131" spans="1:7" ht="16.95" hidden="1" customHeight="1" x14ac:dyDescent="0.3">
      <c r="A131" s="161">
        <v>3060</v>
      </c>
      <c r="B131" s="166" t="s">
        <v>579</v>
      </c>
      <c r="C131" s="162" t="s">
        <v>521</v>
      </c>
      <c r="D131" s="163">
        <v>7.6</v>
      </c>
      <c r="E131" s="164">
        <v>7.6</v>
      </c>
      <c r="F131" s="162" t="s">
        <v>22</v>
      </c>
      <c r="G131" s="165">
        <v>8.9</v>
      </c>
    </row>
    <row r="132" spans="1:7" ht="16.95" hidden="1" customHeight="1" x14ac:dyDescent="0.3">
      <c r="A132" s="161">
        <v>3061</v>
      </c>
      <c r="B132" s="166" t="s">
        <v>580</v>
      </c>
      <c r="C132" s="162" t="s">
        <v>521</v>
      </c>
      <c r="D132" s="163">
        <v>12.8</v>
      </c>
      <c r="E132" s="164">
        <v>12.8</v>
      </c>
      <c r="F132" s="162" t="s">
        <v>22</v>
      </c>
      <c r="G132" s="165">
        <v>17.100000000000001</v>
      </c>
    </row>
    <row r="133" spans="1:7" ht="16.95" hidden="1" customHeight="1" x14ac:dyDescent="0.3">
      <c r="A133" s="161">
        <v>3062</v>
      </c>
      <c r="B133" s="171" t="s">
        <v>581</v>
      </c>
      <c r="C133" s="162" t="s">
        <v>521</v>
      </c>
      <c r="D133" s="163">
        <v>11.8</v>
      </c>
      <c r="E133" s="164">
        <v>11.8</v>
      </c>
      <c r="F133" s="162" t="s">
        <v>22</v>
      </c>
      <c r="G133" s="165">
        <v>13.3</v>
      </c>
    </row>
    <row r="134" spans="1:7" ht="16.95" hidden="1" customHeight="1" x14ac:dyDescent="0.3">
      <c r="A134" s="161">
        <v>3063</v>
      </c>
      <c r="B134" s="171" t="s">
        <v>562</v>
      </c>
      <c r="C134" s="162" t="s">
        <v>521</v>
      </c>
      <c r="D134" s="163">
        <v>72.8</v>
      </c>
      <c r="E134" s="164">
        <v>72.8</v>
      </c>
      <c r="F134" s="162" t="s">
        <v>22</v>
      </c>
      <c r="G134" s="165">
        <v>80.8</v>
      </c>
    </row>
    <row r="135" spans="1:7" ht="16.95" hidden="1" customHeight="1" x14ac:dyDescent="0.3">
      <c r="A135" s="161">
        <v>3064</v>
      </c>
      <c r="B135" s="166" t="s">
        <v>557</v>
      </c>
      <c r="C135" s="162" t="s">
        <v>521</v>
      </c>
      <c r="D135" s="163">
        <v>15.6</v>
      </c>
      <c r="E135" s="164">
        <v>15.6</v>
      </c>
      <c r="F135" s="166" t="s">
        <v>22</v>
      </c>
      <c r="G135" s="165">
        <v>31.2</v>
      </c>
    </row>
    <row r="136" spans="1:7" ht="16.95" hidden="1" customHeight="1" x14ac:dyDescent="0.3">
      <c r="A136" s="161">
        <v>3065</v>
      </c>
      <c r="B136" s="166" t="s">
        <v>563</v>
      </c>
      <c r="C136" s="162" t="s">
        <v>521</v>
      </c>
      <c r="D136" s="163">
        <v>3.2</v>
      </c>
      <c r="E136" s="164">
        <v>3.2</v>
      </c>
      <c r="F136" s="166" t="s">
        <v>22</v>
      </c>
      <c r="G136" s="165">
        <v>0</v>
      </c>
    </row>
    <row r="137" spans="1:7" ht="16.95" hidden="1" customHeight="1" x14ac:dyDescent="0.3">
      <c r="A137" s="161">
        <v>3066</v>
      </c>
      <c r="B137" s="166" t="s">
        <v>551</v>
      </c>
      <c r="C137" s="162" t="s">
        <v>521</v>
      </c>
      <c r="D137" s="163">
        <v>102.2</v>
      </c>
      <c r="E137" s="164">
        <v>102.2</v>
      </c>
      <c r="F137" s="162" t="s">
        <v>22</v>
      </c>
      <c r="G137" s="165">
        <v>473.5</v>
      </c>
    </row>
    <row r="138" spans="1:7" ht="16.95" hidden="1" customHeight="1" x14ac:dyDescent="0.3">
      <c r="A138" s="161">
        <v>3067</v>
      </c>
      <c r="B138" s="166" t="s">
        <v>564</v>
      </c>
      <c r="C138" s="162" t="s">
        <v>521</v>
      </c>
      <c r="D138" s="163">
        <v>15.3</v>
      </c>
      <c r="E138" s="164">
        <v>15.3</v>
      </c>
      <c r="F138" s="162" t="s">
        <v>22</v>
      </c>
      <c r="G138" s="165">
        <v>0</v>
      </c>
    </row>
    <row r="139" spans="1:7" ht="17.399999999999999" customHeight="1" x14ac:dyDescent="0.3"/>
    <row r="143" spans="1:7" x14ac:dyDescent="0.3">
      <c r="A143" s="6"/>
      <c r="B143" s="6" t="s">
        <v>585</v>
      </c>
    </row>
    <row r="144" spans="1:7" ht="18.600000000000001" customHeight="1" x14ac:dyDescent="0.3">
      <c r="A144" s="6" t="s">
        <v>58</v>
      </c>
      <c r="B144" s="6">
        <v>2789.37</v>
      </c>
      <c r="C144" s="154" t="s">
        <v>586</v>
      </c>
      <c r="D144" s="152">
        <f>SUMIF(C76:C138,C144,D76:D138)</f>
        <v>0</v>
      </c>
      <c r="E144" s="152">
        <f>SUMIF(C76:C138,C144,E76:E138)</f>
        <v>0</v>
      </c>
    </row>
    <row r="145" spans="4:6" x14ac:dyDescent="0.3">
      <c r="D145" s="152">
        <f>D144-B144</f>
        <v>-2789.37</v>
      </c>
      <c r="E145" s="153">
        <f>E144-B144</f>
        <v>-2789.37</v>
      </c>
      <c r="F145" s="19"/>
    </row>
    <row r="147" spans="4:6" x14ac:dyDescent="0.3">
      <c r="D147" s="152">
        <v>2962</v>
      </c>
    </row>
    <row r="148" spans="4:6" x14ac:dyDescent="0.3">
      <c r="D148" s="152">
        <f>D147-B144</f>
        <v>172.63000000000011</v>
      </c>
    </row>
    <row r="151" spans="4:6" x14ac:dyDescent="0.3">
      <c r="D151" s="152">
        <v>2817.7</v>
      </c>
    </row>
    <row r="152" spans="4:6" x14ac:dyDescent="0.3">
      <c r="D152" s="152">
        <f>D151-B144</f>
        <v>28.329999999999927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selection activeCell="B33" sqref="B33"/>
    </sheetView>
  </sheetViews>
  <sheetFormatPr defaultColWidth="9.109375" defaultRowHeight="14.4" x14ac:dyDescent="0.3"/>
  <cols>
    <col min="1" max="1" width="17.44140625" style="46" customWidth="1"/>
    <col min="2" max="2" width="13.6640625" style="46" customWidth="1"/>
    <col min="3" max="5" width="9.109375" style="46" customWidth="1"/>
    <col min="6" max="6" width="14.33203125" style="46" customWidth="1"/>
    <col min="7" max="16384" width="9.109375" style="46"/>
  </cols>
  <sheetData>
    <row r="1" spans="1:6" ht="43.2" x14ac:dyDescent="0.3">
      <c r="A1" s="11" t="s">
        <v>24</v>
      </c>
      <c r="B1" s="45" t="s">
        <v>41</v>
      </c>
      <c r="C1" s="52" t="s">
        <v>45</v>
      </c>
      <c r="D1" s="51"/>
      <c r="E1" s="52" t="s">
        <v>38</v>
      </c>
      <c r="F1" s="52" t="s">
        <v>44</v>
      </c>
    </row>
    <row r="2" spans="1:6" x14ac:dyDescent="0.3">
      <c r="A2" s="12">
        <v>2003</v>
      </c>
      <c r="B2" s="27">
        <f>Лист1!B2</f>
        <v>217.89999999999998</v>
      </c>
      <c r="C2" s="27">
        <v>218.2</v>
      </c>
      <c r="D2" s="51"/>
      <c r="E2" s="27">
        <v>218.2</v>
      </c>
      <c r="F2" s="53">
        <f>C2-E2</f>
        <v>0</v>
      </c>
    </row>
    <row r="3" spans="1:6" x14ac:dyDescent="0.3">
      <c r="A3" s="12">
        <v>2009</v>
      </c>
      <c r="B3" s="27">
        <f>Лист1!B3</f>
        <v>8.9</v>
      </c>
      <c r="C3" s="27">
        <v>10.3</v>
      </c>
      <c r="D3" s="51"/>
      <c r="E3" s="27">
        <v>10.3</v>
      </c>
      <c r="F3" s="53">
        <f t="shared" ref="F3:F30" si="0">C3-E3</f>
        <v>0</v>
      </c>
    </row>
    <row r="4" spans="1:6" x14ac:dyDescent="0.3">
      <c r="A4" s="12">
        <v>2010</v>
      </c>
      <c r="B4" s="27">
        <f>Лист1!B4</f>
        <v>21.6</v>
      </c>
      <c r="C4" s="48">
        <v>23.5</v>
      </c>
      <c r="D4" s="51"/>
      <c r="E4" s="48">
        <v>23.5</v>
      </c>
      <c r="F4" s="53">
        <f t="shared" si="0"/>
        <v>0</v>
      </c>
    </row>
    <row r="5" spans="1:6" x14ac:dyDescent="0.3">
      <c r="A5" s="54">
        <v>2017</v>
      </c>
      <c r="B5" s="55">
        <f>Лист1!B5</f>
        <v>236.70000000000002</v>
      </c>
      <c r="C5" s="55">
        <f>478.8</f>
        <v>478.8</v>
      </c>
      <c r="D5" s="56"/>
      <c r="E5" s="55">
        <v>237.9</v>
      </c>
      <c r="F5" s="57">
        <f t="shared" si="0"/>
        <v>240.9</v>
      </c>
    </row>
    <row r="6" spans="1:6" x14ac:dyDescent="0.3">
      <c r="A6" s="12">
        <v>2018</v>
      </c>
      <c r="B6" s="27">
        <f>Лист1!B6</f>
        <v>18.900000000000002</v>
      </c>
      <c r="C6" s="27">
        <v>19.600000000000001</v>
      </c>
      <c r="D6" s="51"/>
      <c r="E6" s="27">
        <v>19.600000000000001</v>
      </c>
      <c r="F6" s="53">
        <f t="shared" si="0"/>
        <v>0</v>
      </c>
    </row>
    <row r="7" spans="1:6" x14ac:dyDescent="0.3">
      <c r="A7" s="12">
        <v>2020</v>
      </c>
      <c r="B7" s="27">
        <f>Лист1!B7</f>
        <v>9.6000000000000014</v>
      </c>
      <c r="C7" s="27">
        <v>10.3</v>
      </c>
      <c r="D7" s="51"/>
      <c r="E7" s="27">
        <v>10.3</v>
      </c>
      <c r="F7" s="53">
        <f t="shared" si="0"/>
        <v>0</v>
      </c>
    </row>
    <row r="8" spans="1:6" x14ac:dyDescent="0.3">
      <c r="A8" s="12">
        <v>2022</v>
      </c>
      <c r="B8" s="27">
        <f>Лист1!B8</f>
        <v>471.2</v>
      </c>
      <c r="C8" s="27">
        <f>478.7</f>
        <v>478.7</v>
      </c>
      <c r="D8" s="51"/>
      <c r="E8" s="27">
        <v>476.6</v>
      </c>
      <c r="F8" s="53">
        <f t="shared" si="0"/>
        <v>2.0999999999999659</v>
      </c>
    </row>
    <row r="9" spans="1:6" x14ac:dyDescent="0.3">
      <c r="A9" s="12">
        <v>2026</v>
      </c>
      <c r="B9" s="27">
        <f>Лист1!B9</f>
        <v>15.6</v>
      </c>
      <c r="C9" s="27">
        <v>16.600000000000001</v>
      </c>
      <c r="D9" s="51"/>
      <c r="E9" s="27">
        <v>16.600000000000001</v>
      </c>
      <c r="F9" s="53">
        <f t="shared" si="0"/>
        <v>0</v>
      </c>
    </row>
    <row r="10" spans="1:6" x14ac:dyDescent="0.3">
      <c r="A10" s="12">
        <v>2027</v>
      </c>
      <c r="B10" s="27">
        <f>Лист1!B10</f>
        <v>7.6</v>
      </c>
      <c r="C10" s="27">
        <v>8.1</v>
      </c>
      <c r="D10" s="51"/>
      <c r="E10" s="27">
        <v>8.1</v>
      </c>
      <c r="F10" s="53">
        <f t="shared" si="0"/>
        <v>0</v>
      </c>
    </row>
    <row r="11" spans="1:6" x14ac:dyDescent="0.3">
      <c r="A11" s="12">
        <v>2028</v>
      </c>
      <c r="B11" s="27">
        <f>Лист1!B11</f>
        <v>19</v>
      </c>
      <c r="C11" s="27">
        <v>19.8</v>
      </c>
      <c r="D11" s="51"/>
      <c r="E11" s="27">
        <v>19.8</v>
      </c>
      <c r="F11" s="53">
        <f t="shared" si="0"/>
        <v>0</v>
      </c>
    </row>
    <row r="12" spans="1:6" x14ac:dyDescent="0.3">
      <c r="A12" s="12">
        <v>2029</v>
      </c>
      <c r="B12" s="27">
        <f>Лист1!B12</f>
        <v>7.2999999999999989</v>
      </c>
      <c r="C12" s="27">
        <v>8.1999999999999993</v>
      </c>
      <c r="D12" s="51"/>
      <c r="E12" s="27">
        <v>8.1999999999999993</v>
      </c>
      <c r="F12" s="53">
        <f t="shared" si="0"/>
        <v>0</v>
      </c>
    </row>
    <row r="13" spans="1:6" x14ac:dyDescent="0.3">
      <c r="A13" s="12">
        <v>2032</v>
      </c>
      <c r="B13" s="27">
        <f>Лист1!B13</f>
        <v>19.5</v>
      </c>
      <c r="C13" s="27">
        <v>20.100000000000001</v>
      </c>
      <c r="D13" s="51"/>
      <c r="E13" s="27">
        <v>20.100000000000001</v>
      </c>
      <c r="F13" s="53">
        <f t="shared" si="0"/>
        <v>0</v>
      </c>
    </row>
    <row r="14" spans="1:6" x14ac:dyDescent="0.3">
      <c r="A14" s="12">
        <v>2042</v>
      </c>
      <c r="B14" s="27">
        <f>Лист1!B14</f>
        <v>101.8</v>
      </c>
      <c r="C14" s="27">
        <v>103.6</v>
      </c>
      <c r="D14" s="51"/>
      <c r="E14" s="27">
        <v>103.6</v>
      </c>
      <c r="F14" s="53">
        <f t="shared" si="0"/>
        <v>0</v>
      </c>
    </row>
    <row r="15" spans="1:6" x14ac:dyDescent="0.3">
      <c r="A15" s="12">
        <v>2043</v>
      </c>
      <c r="B15" s="27">
        <f>Лист1!B15</f>
        <v>10.3</v>
      </c>
      <c r="C15" s="27">
        <v>10.4</v>
      </c>
      <c r="D15" s="51"/>
      <c r="E15" s="27">
        <v>10.4</v>
      </c>
      <c r="F15" s="53">
        <f t="shared" si="0"/>
        <v>0</v>
      </c>
    </row>
    <row r="16" spans="1:6" x14ac:dyDescent="0.3">
      <c r="A16" s="54">
        <v>2046</v>
      </c>
      <c r="B16" s="55">
        <f>Лист1!B16</f>
        <v>162.10000000000002</v>
      </c>
      <c r="C16" s="55">
        <f>326</f>
        <v>326</v>
      </c>
      <c r="D16" s="56"/>
      <c r="E16" s="55">
        <v>163.30000000000001</v>
      </c>
      <c r="F16" s="57">
        <f t="shared" si="0"/>
        <v>162.69999999999999</v>
      </c>
    </row>
    <row r="17" spans="1:6" x14ac:dyDescent="0.3">
      <c r="A17" s="54">
        <v>2049</v>
      </c>
      <c r="B17" s="55">
        <f>Лист1!B17</f>
        <v>127.00000000000001</v>
      </c>
      <c r="C17" s="55">
        <v>256.2</v>
      </c>
      <c r="D17" s="56"/>
      <c r="E17" s="55">
        <v>128.30000000000001</v>
      </c>
      <c r="F17" s="57">
        <f t="shared" si="0"/>
        <v>127.89999999999998</v>
      </c>
    </row>
    <row r="18" spans="1:6" x14ac:dyDescent="0.3">
      <c r="A18" s="12">
        <v>2051</v>
      </c>
      <c r="B18" s="27">
        <f>Лист1!B18</f>
        <v>21.4</v>
      </c>
      <c r="C18" s="27">
        <v>22.2</v>
      </c>
      <c r="D18" s="51"/>
      <c r="E18" s="27">
        <v>22.2</v>
      </c>
      <c r="F18" s="53">
        <f t="shared" si="0"/>
        <v>0</v>
      </c>
    </row>
    <row r="19" spans="1:6" x14ac:dyDescent="0.3">
      <c r="A19" s="12">
        <v>2052</v>
      </c>
      <c r="B19" s="27">
        <f>Лист1!B19</f>
        <v>4</v>
      </c>
      <c r="C19" s="27">
        <v>4.4000000000000004</v>
      </c>
      <c r="D19" s="51"/>
      <c r="E19" s="27">
        <v>4.4000000000000004</v>
      </c>
      <c r="F19" s="53">
        <f t="shared" si="0"/>
        <v>0</v>
      </c>
    </row>
    <row r="20" spans="1:6" x14ac:dyDescent="0.3">
      <c r="A20" s="12">
        <v>2053</v>
      </c>
      <c r="B20" s="27">
        <f>Лист1!B20</f>
        <v>5.3</v>
      </c>
      <c r="C20" s="27">
        <v>5.6</v>
      </c>
      <c r="D20" s="51"/>
      <c r="E20" s="27">
        <v>5.6</v>
      </c>
      <c r="F20" s="53">
        <f t="shared" si="0"/>
        <v>0</v>
      </c>
    </row>
    <row r="21" spans="1:6" x14ac:dyDescent="0.3">
      <c r="A21" s="12">
        <v>2054</v>
      </c>
      <c r="B21" s="27">
        <f>Лист1!B21</f>
        <v>20.6</v>
      </c>
      <c r="C21" s="27">
        <v>22.1</v>
      </c>
      <c r="D21" s="51"/>
      <c r="E21" s="27">
        <v>22.1</v>
      </c>
      <c r="F21" s="53">
        <f t="shared" si="0"/>
        <v>0</v>
      </c>
    </row>
    <row r="22" spans="1:6" x14ac:dyDescent="0.3">
      <c r="A22" s="12">
        <v>2055</v>
      </c>
      <c r="B22" s="27">
        <f>Лист1!B22</f>
        <v>8.6000000000000014</v>
      </c>
      <c r="C22" s="27">
        <v>10.3</v>
      </c>
      <c r="D22" s="51"/>
      <c r="E22" s="27">
        <v>10.3</v>
      </c>
      <c r="F22" s="53">
        <f t="shared" si="0"/>
        <v>0</v>
      </c>
    </row>
    <row r="23" spans="1:6" x14ac:dyDescent="0.3">
      <c r="A23" s="12">
        <v>2057</v>
      </c>
      <c r="B23" s="27">
        <f>Лист1!B23</f>
        <v>18</v>
      </c>
      <c r="C23" s="27">
        <v>19.899999999999999</v>
      </c>
      <c r="D23" s="51"/>
      <c r="E23" s="27">
        <v>19.899999999999999</v>
      </c>
      <c r="F23" s="53">
        <f t="shared" si="0"/>
        <v>0</v>
      </c>
    </row>
    <row r="24" spans="1:6" x14ac:dyDescent="0.3">
      <c r="A24" s="12">
        <v>2058</v>
      </c>
      <c r="B24" s="27">
        <f>Лист1!B24</f>
        <v>34.299999999999997</v>
      </c>
      <c r="C24" s="27">
        <v>35.799999999999997</v>
      </c>
      <c r="D24" s="51"/>
      <c r="E24" s="27">
        <v>35.799999999999997</v>
      </c>
      <c r="F24" s="53">
        <f t="shared" si="0"/>
        <v>0</v>
      </c>
    </row>
    <row r="25" spans="1:6" x14ac:dyDescent="0.3">
      <c r="A25" s="54">
        <v>2062</v>
      </c>
      <c r="B25" s="55">
        <f>Лист1!B25</f>
        <v>212.7</v>
      </c>
      <c r="C25" s="55">
        <f>426.5</f>
        <v>426.5</v>
      </c>
      <c r="D25" s="56"/>
      <c r="E25" s="55">
        <v>213.5</v>
      </c>
      <c r="F25" s="57">
        <f t="shared" si="0"/>
        <v>213</v>
      </c>
    </row>
    <row r="26" spans="1:6" x14ac:dyDescent="0.3">
      <c r="A26" s="12">
        <v>2067</v>
      </c>
      <c r="B26" s="27">
        <f>Лист1!B26</f>
        <v>89.6</v>
      </c>
      <c r="C26" s="27">
        <v>90.8</v>
      </c>
      <c r="D26" s="51"/>
      <c r="E26" s="27">
        <v>90.8</v>
      </c>
      <c r="F26" s="53">
        <f t="shared" si="0"/>
        <v>0</v>
      </c>
    </row>
    <row r="27" spans="1:6" x14ac:dyDescent="0.3">
      <c r="A27" s="12">
        <v>2068</v>
      </c>
      <c r="B27" s="27">
        <f>Лист1!B27</f>
        <v>111.8</v>
      </c>
      <c r="C27" s="27">
        <v>112.7</v>
      </c>
      <c r="D27" s="51"/>
      <c r="E27" s="27">
        <v>112.7</v>
      </c>
      <c r="F27" s="53">
        <f t="shared" si="0"/>
        <v>0</v>
      </c>
    </row>
    <row r="28" spans="1:6" x14ac:dyDescent="0.3">
      <c r="A28" s="12">
        <v>2069</v>
      </c>
      <c r="B28" s="27">
        <f>Лист1!B28</f>
        <v>3.1</v>
      </c>
      <c r="C28" s="27">
        <v>3.2</v>
      </c>
      <c r="D28" s="51"/>
      <c r="E28" s="27">
        <v>3.2</v>
      </c>
      <c r="F28" s="53">
        <f t="shared" si="0"/>
        <v>0</v>
      </c>
    </row>
    <row r="29" spans="1:6" x14ac:dyDescent="0.3">
      <c r="A29" s="12">
        <v>2070</v>
      </c>
      <c r="B29" s="27">
        <f>Лист1!B29</f>
        <v>13.700000000000001</v>
      </c>
      <c r="C29" s="27">
        <v>15.3</v>
      </c>
      <c r="D29" s="51"/>
      <c r="E29" s="27">
        <v>15.3</v>
      </c>
      <c r="F29" s="53">
        <f t="shared" si="0"/>
        <v>0</v>
      </c>
    </row>
    <row r="30" spans="1:6" x14ac:dyDescent="0.3">
      <c r="A30" s="54">
        <v>2071</v>
      </c>
      <c r="B30" s="55">
        <f>Лист1!B30</f>
        <v>128.1</v>
      </c>
      <c r="C30" s="55">
        <v>257.10000000000002</v>
      </c>
      <c r="D30" s="56"/>
      <c r="E30" s="55">
        <v>128.9</v>
      </c>
      <c r="F30" s="57">
        <f t="shared" si="0"/>
        <v>128.20000000000002</v>
      </c>
    </row>
    <row r="31" spans="1:6" x14ac:dyDescent="0.3">
      <c r="A31" s="49" t="s">
        <v>5</v>
      </c>
      <c r="B31" s="50">
        <f>SUM(B2:B30)</f>
        <v>2126.1999999999998</v>
      </c>
      <c r="C31" s="50">
        <f t="shared" ref="C31:E31" si="1">SUM(C2:C30)</f>
        <v>3034.3</v>
      </c>
      <c r="D31" s="50">
        <f t="shared" si="1"/>
        <v>0</v>
      </c>
      <c r="E31" s="50">
        <f t="shared" si="1"/>
        <v>2159.5</v>
      </c>
      <c r="F31" s="51"/>
    </row>
    <row r="33" spans="1:7" x14ac:dyDescent="0.3">
      <c r="A33" s="12">
        <v>2008</v>
      </c>
      <c r="B33" s="27">
        <v>57.099999999999994</v>
      </c>
      <c r="C33" s="27">
        <v>40.299999999999997</v>
      </c>
      <c r="E33" s="46">
        <v>31.5</v>
      </c>
    </row>
    <row r="34" spans="1:7" x14ac:dyDescent="0.3">
      <c r="A34" s="12">
        <v>2019</v>
      </c>
      <c r="B34" s="27">
        <v>55.6</v>
      </c>
      <c r="C34" s="27">
        <f>40.6+15</f>
        <v>55.6</v>
      </c>
      <c r="E34" s="46">
        <v>38</v>
      </c>
    </row>
    <row r="35" spans="1:7" x14ac:dyDescent="0.3">
      <c r="A35" s="12">
        <v>2023</v>
      </c>
      <c r="B35" s="27">
        <v>23.4</v>
      </c>
      <c r="C35" s="27">
        <v>23.4</v>
      </c>
      <c r="E35" s="46">
        <v>28.9</v>
      </c>
    </row>
    <row r="36" spans="1:7" x14ac:dyDescent="0.3">
      <c r="A36" s="12">
        <v>2024</v>
      </c>
      <c r="B36" s="27">
        <v>67.599999999999994</v>
      </c>
      <c r="C36" s="27">
        <f>52.6+15</f>
        <v>67.599999999999994</v>
      </c>
      <c r="E36" s="46">
        <v>28.9</v>
      </c>
    </row>
    <row r="37" spans="1:7" x14ac:dyDescent="0.3">
      <c r="A37" s="12">
        <v>2044</v>
      </c>
      <c r="B37" s="27">
        <v>63.6</v>
      </c>
      <c r="C37" s="27">
        <f>43.6+20</f>
        <v>63.6</v>
      </c>
      <c r="E37" s="46">
        <v>34.700000000000003</v>
      </c>
    </row>
    <row r="38" spans="1:7" x14ac:dyDescent="0.3">
      <c r="A38" s="12">
        <v>2056</v>
      </c>
      <c r="B38" s="27">
        <v>50.4</v>
      </c>
      <c r="C38" s="27">
        <f>30.4+20</f>
        <v>50.4</v>
      </c>
      <c r="E38" s="46">
        <v>33.9</v>
      </c>
    </row>
    <row r="39" spans="1:7" x14ac:dyDescent="0.3">
      <c r="A39" s="12">
        <v>2063</v>
      </c>
      <c r="B39" s="27">
        <v>66.099999999999994</v>
      </c>
      <c r="C39" s="27">
        <f>23.4+22.7+20</f>
        <v>66.099999999999994</v>
      </c>
      <c r="E39" s="46">
        <v>29.6</v>
      </c>
    </row>
    <row r="40" spans="1:7" x14ac:dyDescent="0.3">
      <c r="F40" s="46" t="s">
        <v>28</v>
      </c>
      <c r="G40" s="47">
        <f>B23+B24+B25</f>
        <v>265</v>
      </c>
    </row>
    <row r="41" spans="1:7" x14ac:dyDescent="0.3">
      <c r="B41" s="47"/>
      <c r="E41" s="47"/>
      <c r="F41" s="46" t="s">
        <v>29</v>
      </c>
      <c r="G41" s="47">
        <f>SUM(B16:B22)+B28</f>
        <v>352.10000000000008</v>
      </c>
    </row>
    <row r="42" spans="1:7" x14ac:dyDescent="0.3">
      <c r="F42" s="46" t="s">
        <v>30</v>
      </c>
      <c r="G42" s="47">
        <f>B14+B15+B30</f>
        <v>240.2</v>
      </c>
    </row>
    <row r="43" spans="1:7" x14ac:dyDescent="0.3">
      <c r="F43" s="46" t="s">
        <v>31</v>
      </c>
      <c r="G43" s="47">
        <f>SUM(B8:B13)+B26+B27</f>
        <v>741.6</v>
      </c>
    </row>
    <row r="44" spans="1:7" x14ac:dyDescent="0.3">
      <c r="F44" s="46" t="s">
        <v>32</v>
      </c>
      <c r="G44" s="47">
        <f>SUM(B5:B7)+B29</f>
        <v>278.90000000000003</v>
      </c>
    </row>
    <row r="45" spans="1:7" x14ac:dyDescent="0.3">
      <c r="F45" s="46" t="s">
        <v>33</v>
      </c>
      <c r="G45" s="47">
        <f>SUM(B2:B4)</f>
        <v>248.39999999999998</v>
      </c>
    </row>
    <row r="46" spans="1:7" x14ac:dyDescent="0.3">
      <c r="G46" s="47">
        <f>SUM(G40:G45)</f>
        <v>2126.2000000000003</v>
      </c>
    </row>
    <row r="47" spans="1:7" x14ac:dyDescent="0.3">
      <c r="G47" s="46">
        <v>0</v>
      </c>
    </row>
    <row r="49" spans="7:7" x14ac:dyDescent="0.3">
      <c r="G49" s="47">
        <f>G46-B31</f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E8"/>
  <sheetViews>
    <sheetView workbookViewId="0">
      <selection activeCell="A2" sqref="A1:XFD2"/>
    </sheetView>
  </sheetViews>
  <sheetFormatPr defaultColWidth="9.109375" defaultRowHeight="13.2" x14ac:dyDescent="0.25"/>
  <cols>
    <col min="1" max="1" width="26.88671875" style="40" customWidth="1"/>
    <col min="2" max="2" width="41.109375" style="40" customWidth="1"/>
    <col min="3" max="3" width="13.109375" style="40" customWidth="1"/>
    <col min="4" max="4" width="14.33203125" style="40" customWidth="1"/>
    <col min="5" max="5" width="15.44140625" style="40" customWidth="1"/>
    <col min="6" max="16384" width="9.109375" style="40"/>
  </cols>
  <sheetData>
    <row r="1" spans="1:5" ht="13.8" thickBot="1" x14ac:dyDescent="0.3">
      <c r="A1" s="229" t="s">
        <v>25</v>
      </c>
      <c r="B1" s="230"/>
      <c r="C1" s="230"/>
      <c r="D1" s="230"/>
      <c r="E1" s="231"/>
    </row>
    <row r="2" spans="1:5" x14ac:dyDescent="0.25">
      <c r="A2" s="32" t="s">
        <v>18</v>
      </c>
      <c r="B2" s="32" t="s">
        <v>14</v>
      </c>
      <c r="C2" s="33" t="s">
        <v>15</v>
      </c>
      <c r="D2" s="33" t="s">
        <v>16</v>
      </c>
      <c r="E2" s="34" t="s">
        <v>17</v>
      </c>
    </row>
    <row r="3" spans="1:5" ht="26.4" x14ac:dyDescent="0.25">
      <c r="A3" s="35" t="s">
        <v>6</v>
      </c>
      <c r="B3" s="36" t="s">
        <v>35</v>
      </c>
      <c r="C3" s="36" t="s">
        <v>7</v>
      </c>
      <c r="D3" s="37">
        <v>1</v>
      </c>
      <c r="E3" s="37">
        <f>'3пом'!B30</f>
        <v>2056.7999999999997</v>
      </c>
    </row>
    <row r="4" spans="1:5" x14ac:dyDescent="0.25">
      <c r="A4" s="16" t="s">
        <v>8</v>
      </c>
      <c r="B4" s="36"/>
      <c r="C4" s="38" t="s">
        <v>9</v>
      </c>
      <c r="D4" s="39">
        <v>0.15</v>
      </c>
      <c r="E4" s="39">
        <f>D4*E3</f>
        <v>308.51999999999992</v>
      </c>
    </row>
    <row r="5" spans="1:5" ht="39.6" x14ac:dyDescent="0.25">
      <c r="A5" s="16" t="s">
        <v>10</v>
      </c>
      <c r="B5" s="36"/>
      <c r="C5" s="38" t="s">
        <v>9</v>
      </c>
      <c r="D5" s="39">
        <v>4.5</v>
      </c>
      <c r="E5" s="39">
        <f>D5*E3</f>
        <v>9255.5999999999985</v>
      </c>
    </row>
    <row r="6" spans="1:5" ht="39.6" x14ac:dyDescent="0.25">
      <c r="A6" s="35" t="s">
        <v>11</v>
      </c>
      <c r="B6" s="36" t="s">
        <v>34</v>
      </c>
      <c r="C6" s="36" t="s">
        <v>7</v>
      </c>
      <c r="D6" s="37">
        <v>1</v>
      </c>
      <c r="E6" s="37">
        <f>E3</f>
        <v>2056.7999999999997</v>
      </c>
    </row>
    <row r="7" spans="1:5" ht="39.6" x14ac:dyDescent="0.25">
      <c r="A7" s="16" t="s">
        <v>12</v>
      </c>
      <c r="B7" s="36"/>
      <c r="C7" s="38" t="s">
        <v>9</v>
      </c>
      <c r="D7" s="39">
        <v>1.8</v>
      </c>
      <c r="E7" s="39">
        <f>D7*E6</f>
        <v>3702.24</v>
      </c>
    </row>
    <row r="8" spans="1:5" ht="39.6" x14ac:dyDescent="0.25">
      <c r="A8" s="16" t="s">
        <v>13</v>
      </c>
      <c r="B8" s="36"/>
      <c r="C8" s="38" t="s">
        <v>9</v>
      </c>
      <c r="D8" s="39">
        <v>0.15</v>
      </c>
      <c r="E8" s="39">
        <f>D8*E6</f>
        <v>308.51999999999992</v>
      </c>
    </row>
  </sheetData>
  <mergeCells count="1">
    <mergeCell ref="A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270"/>
  <sheetViews>
    <sheetView topLeftCell="A73" zoomScale="55" zoomScaleNormal="55" workbookViewId="0">
      <selection activeCell="D12" sqref="D12"/>
    </sheetView>
  </sheetViews>
  <sheetFormatPr defaultRowHeight="23.4" x14ac:dyDescent="0.45"/>
  <cols>
    <col min="1" max="1" width="18.5546875" style="87" customWidth="1"/>
    <col min="2" max="2" width="20.77734375" style="87" customWidth="1"/>
    <col min="3" max="3" width="66.33203125" style="87" customWidth="1"/>
    <col min="4" max="4" width="33.33203125" style="87" customWidth="1"/>
    <col min="5" max="5" width="50.21875" style="87" customWidth="1"/>
    <col min="6" max="6" width="8.88671875" style="87"/>
    <col min="7" max="7" width="12.21875" style="87" customWidth="1"/>
    <col min="8" max="8" width="8.88671875" style="87"/>
    <col min="9" max="9" width="23.44140625" style="144" customWidth="1"/>
    <col min="10" max="10" width="19.77734375" style="144" customWidth="1"/>
    <col min="11" max="12" width="14.21875" style="141" customWidth="1"/>
    <col min="13" max="13" width="10.5546875" style="141" customWidth="1"/>
    <col min="14" max="14" width="13.6640625" style="141" customWidth="1"/>
    <col min="15" max="19" width="8.88671875" style="141"/>
    <col min="20" max="21" width="8.88671875" style="86"/>
    <col min="22" max="16384" width="8.88671875" style="87"/>
  </cols>
  <sheetData>
    <row r="1" spans="1:14" ht="49.5" customHeight="1" x14ac:dyDescent="0.45">
      <c r="A1" s="85" t="s">
        <v>48</v>
      </c>
      <c r="B1" s="85" t="s">
        <v>49</v>
      </c>
      <c r="C1" s="85" t="s">
        <v>50</v>
      </c>
      <c r="D1" s="85" t="s">
        <v>51</v>
      </c>
      <c r="E1" s="85" t="s">
        <v>52</v>
      </c>
      <c r="F1" s="85" t="s">
        <v>15</v>
      </c>
      <c r="G1" s="85" t="s">
        <v>53</v>
      </c>
      <c r="H1" s="85" t="s">
        <v>54</v>
      </c>
      <c r="I1" s="138" t="s">
        <v>55</v>
      </c>
      <c r="J1" s="139" t="s">
        <v>56</v>
      </c>
    </row>
    <row r="2" spans="1:14" ht="37.049999999999997" customHeight="1" x14ac:dyDescent="0.45">
      <c r="A2" s="66" t="s">
        <v>67</v>
      </c>
      <c r="B2" s="66" t="s">
        <v>68</v>
      </c>
      <c r="C2" s="67" t="s">
        <v>69</v>
      </c>
      <c r="D2" s="67"/>
      <c r="E2" s="67"/>
      <c r="F2" s="67"/>
      <c r="G2" s="67"/>
      <c r="H2" s="67"/>
      <c r="I2" s="68"/>
      <c r="J2" s="142"/>
      <c r="K2" s="145" t="s">
        <v>519</v>
      </c>
      <c r="L2" s="146" t="s">
        <v>520</v>
      </c>
      <c r="M2" s="146" t="s">
        <v>760</v>
      </c>
      <c r="N2" s="146" t="s">
        <v>761</v>
      </c>
    </row>
    <row r="3" spans="1:14" ht="134.55000000000001" customHeight="1" x14ac:dyDescent="0.45">
      <c r="A3" s="69" t="s">
        <v>70</v>
      </c>
      <c r="B3" s="69" t="s">
        <v>71</v>
      </c>
      <c r="C3" s="70" t="s">
        <v>6</v>
      </c>
      <c r="D3" s="71"/>
      <c r="E3" s="71" t="s">
        <v>72</v>
      </c>
      <c r="F3" s="71" t="s">
        <v>7</v>
      </c>
      <c r="G3" s="72">
        <v>1</v>
      </c>
      <c r="H3" s="72"/>
      <c r="I3" s="73">
        <v>2789.37</v>
      </c>
      <c r="J3" s="74">
        <f>I3-SUM(K3:T3)</f>
        <v>364.37000000000035</v>
      </c>
      <c r="K3" s="146"/>
      <c r="L3" s="146">
        <f>'3вор'!E3</f>
        <v>2056.7999999999997</v>
      </c>
      <c r="M3" s="146">
        <v>368.2</v>
      </c>
      <c r="N3" s="146"/>
    </row>
    <row r="4" spans="1:14" ht="36" hidden="1" x14ac:dyDescent="0.45">
      <c r="A4" s="88" t="s">
        <v>73</v>
      </c>
      <c r="B4" s="88"/>
      <c r="C4" s="89" t="s">
        <v>10</v>
      </c>
      <c r="D4" s="90"/>
      <c r="E4" s="90"/>
      <c r="F4" s="91" t="s">
        <v>9</v>
      </c>
      <c r="G4" s="92">
        <v>4.5</v>
      </c>
      <c r="H4" s="92"/>
      <c r="I4" s="93">
        <v>12552.165000000001</v>
      </c>
      <c r="J4" s="74">
        <f t="shared" ref="J4:J12" si="0">I4-SUM(K4:T4)</f>
        <v>12552.165000000001</v>
      </c>
      <c r="K4" s="146"/>
      <c r="L4" s="146"/>
      <c r="M4" s="146"/>
      <c r="N4" s="146"/>
    </row>
    <row r="5" spans="1:14" hidden="1" x14ac:dyDescent="0.45">
      <c r="A5" s="88" t="s">
        <v>74</v>
      </c>
      <c r="B5" s="88"/>
      <c r="C5" s="95" t="s">
        <v>8</v>
      </c>
      <c r="D5" s="90"/>
      <c r="E5" s="90"/>
      <c r="F5" s="91" t="s">
        <v>9</v>
      </c>
      <c r="G5" s="92">
        <v>0.15</v>
      </c>
      <c r="H5" s="92"/>
      <c r="I5" s="93">
        <v>418.40600000000001</v>
      </c>
      <c r="J5" s="74">
        <f t="shared" si="0"/>
        <v>418.40600000000001</v>
      </c>
      <c r="K5" s="146"/>
      <c r="L5" s="146"/>
      <c r="M5" s="146"/>
      <c r="N5" s="146"/>
    </row>
    <row r="6" spans="1:14" ht="137.55000000000001" customHeight="1" x14ac:dyDescent="0.45">
      <c r="A6" s="69" t="s">
        <v>75</v>
      </c>
      <c r="B6" s="69" t="s">
        <v>71</v>
      </c>
      <c r="C6" s="70" t="s">
        <v>6</v>
      </c>
      <c r="D6" s="71"/>
      <c r="E6" s="71" t="s">
        <v>76</v>
      </c>
      <c r="F6" s="71" t="s">
        <v>7</v>
      </c>
      <c r="G6" s="72">
        <v>1</v>
      </c>
      <c r="H6" s="72"/>
      <c r="I6" s="73">
        <v>3418.18</v>
      </c>
      <c r="J6" s="74">
        <f t="shared" si="0"/>
        <v>823.2800000000002</v>
      </c>
      <c r="K6" s="146">
        <f>Лист2!E3</f>
        <v>2126.1999999999998</v>
      </c>
      <c r="L6" s="146"/>
      <c r="M6" s="146"/>
      <c r="N6" s="146">
        <v>468.7</v>
      </c>
    </row>
    <row r="7" spans="1:14" hidden="1" x14ac:dyDescent="0.45">
      <c r="A7" s="88" t="s">
        <v>77</v>
      </c>
      <c r="B7" s="88"/>
      <c r="C7" s="95" t="s">
        <v>8</v>
      </c>
      <c r="D7" s="90"/>
      <c r="E7" s="90"/>
      <c r="F7" s="91" t="s">
        <v>9</v>
      </c>
      <c r="G7" s="92">
        <v>0.15</v>
      </c>
      <c r="H7" s="96"/>
      <c r="I7" s="93">
        <v>512.72699999999998</v>
      </c>
      <c r="J7" s="74">
        <f t="shared" si="0"/>
        <v>512.72699999999998</v>
      </c>
      <c r="K7" s="146"/>
      <c r="L7" s="146"/>
      <c r="M7" s="146"/>
      <c r="N7" s="146"/>
    </row>
    <row r="8" spans="1:14" ht="36" hidden="1" x14ac:dyDescent="0.45">
      <c r="A8" s="88" t="s">
        <v>78</v>
      </c>
      <c r="B8" s="88"/>
      <c r="C8" s="89" t="s">
        <v>10</v>
      </c>
      <c r="D8" s="90"/>
      <c r="E8" s="90"/>
      <c r="F8" s="91" t="s">
        <v>9</v>
      </c>
      <c r="G8" s="92">
        <v>4.5</v>
      </c>
      <c r="H8" s="96"/>
      <c r="I8" s="93">
        <v>15381.81</v>
      </c>
      <c r="J8" s="74">
        <f t="shared" si="0"/>
        <v>15381.81</v>
      </c>
      <c r="K8" s="146"/>
      <c r="L8" s="146"/>
      <c r="M8" s="146"/>
      <c r="N8" s="146"/>
    </row>
    <row r="9" spans="1:14" ht="145.05000000000001" customHeight="1" x14ac:dyDescent="0.45">
      <c r="A9" s="69" t="s">
        <v>79</v>
      </c>
      <c r="B9" s="69" t="s">
        <v>80</v>
      </c>
      <c r="C9" s="70" t="s">
        <v>11</v>
      </c>
      <c r="D9" s="71"/>
      <c r="E9" s="71" t="s">
        <v>81</v>
      </c>
      <c r="F9" s="71" t="s">
        <v>7</v>
      </c>
      <c r="G9" s="72">
        <v>1</v>
      </c>
      <c r="H9" s="72"/>
      <c r="I9" s="73">
        <v>3418.18</v>
      </c>
      <c r="J9" s="74">
        <f t="shared" si="0"/>
        <v>823.2800000000002</v>
      </c>
      <c r="K9" s="146">
        <f>Лист2!E6</f>
        <v>2126.1999999999998</v>
      </c>
      <c r="L9" s="146"/>
      <c r="M9" s="146"/>
      <c r="N9" s="146">
        <f>N6</f>
        <v>468.7</v>
      </c>
    </row>
    <row r="10" spans="1:14" ht="36" hidden="1" x14ac:dyDescent="0.45">
      <c r="A10" s="88" t="s">
        <v>82</v>
      </c>
      <c r="B10" s="88"/>
      <c r="C10" s="89" t="s">
        <v>12</v>
      </c>
      <c r="D10" s="90"/>
      <c r="E10" s="90"/>
      <c r="F10" s="91" t="s">
        <v>9</v>
      </c>
      <c r="G10" s="92">
        <v>1.8</v>
      </c>
      <c r="H10" s="92"/>
      <c r="I10" s="93">
        <v>6152.7240000000002</v>
      </c>
      <c r="J10" s="74">
        <f t="shared" si="0"/>
        <v>6152.7240000000002</v>
      </c>
      <c r="K10" s="146"/>
      <c r="L10" s="146"/>
      <c r="M10" s="146"/>
      <c r="N10" s="146"/>
    </row>
    <row r="11" spans="1:14" ht="36" hidden="1" x14ac:dyDescent="0.45">
      <c r="A11" s="88" t="s">
        <v>83</v>
      </c>
      <c r="B11" s="88"/>
      <c r="C11" s="95" t="s">
        <v>13</v>
      </c>
      <c r="D11" s="90"/>
      <c r="E11" s="90"/>
      <c r="F11" s="91" t="s">
        <v>9</v>
      </c>
      <c r="G11" s="92">
        <v>0.15</v>
      </c>
      <c r="H11" s="92"/>
      <c r="I11" s="93">
        <v>512.72699999999998</v>
      </c>
      <c r="J11" s="74">
        <f t="shared" si="0"/>
        <v>512.72699999999998</v>
      </c>
      <c r="K11" s="146"/>
      <c r="L11" s="146"/>
      <c r="M11" s="146"/>
      <c r="N11" s="146"/>
    </row>
    <row r="12" spans="1:14" ht="148.94999999999999" customHeight="1" x14ac:dyDescent="0.45">
      <c r="A12" s="69" t="s">
        <v>84</v>
      </c>
      <c r="B12" s="69" t="s">
        <v>80</v>
      </c>
      <c r="C12" s="70" t="s">
        <v>11</v>
      </c>
      <c r="D12" s="71"/>
      <c r="E12" s="71" t="s">
        <v>85</v>
      </c>
      <c r="F12" s="71" t="s">
        <v>7</v>
      </c>
      <c r="G12" s="72">
        <v>1</v>
      </c>
      <c r="H12" s="72"/>
      <c r="I12" s="73">
        <v>2789.37</v>
      </c>
      <c r="J12" s="74">
        <f t="shared" si="0"/>
        <v>364.37000000000035</v>
      </c>
      <c r="K12" s="146"/>
      <c r="L12" s="146">
        <f>'3вор'!E6</f>
        <v>2056.7999999999997</v>
      </c>
      <c r="M12" s="146">
        <f>M3</f>
        <v>368.2</v>
      </c>
      <c r="N12" s="146"/>
    </row>
    <row r="13" spans="1:14" ht="36" hidden="1" x14ac:dyDescent="0.45">
      <c r="A13" s="88" t="s">
        <v>86</v>
      </c>
      <c r="B13" s="88"/>
      <c r="C13" s="95" t="s">
        <v>13</v>
      </c>
      <c r="D13" s="90"/>
      <c r="E13" s="90"/>
      <c r="F13" s="91" t="s">
        <v>9</v>
      </c>
      <c r="G13" s="92">
        <v>0.15</v>
      </c>
      <c r="H13" s="92"/>
      <c r="I13" s="93">
        <v>418.40600000000001</v>
      </c>
      <c r="J13" s="94"/>
    </row>
    <row r="14" spans="1:14" ht="36" hidden="1" x14ac:dyDescent="0.45">
      <c r="A14" s="88" t="s">
        <v>87</v>
      </c>
      <c r="B14" s="88"/>
      <c r="C14" s="89" t="s">
        <v>12</v>
      </c>
      <c r="D14" s="90"/>
      <c r="E14" s="90"/>
      <c r="F14" s="91" t="s">
        <v>9</v>
      </c>
      <c r="G14" s="92">
        <v>1.8</v>
      </c>
      <c r="H14" s="92"/>
      <c r="I14" s="93">
        <v>5020.866</v>
      </c>
      <c r="J14" s="94"/>
    </row>
    <row r="15" spans="1:14" ht="57" customHeight="1" x14ac:dyDescent="0.45">
      <c r="A15" s="75" t="s">
        <v>88</v>
      </c>
      <c r="B15" s="75" t="s">
        <v>89</v>
      </c>
      <c r="C15" s="67" t="s">
        <v>90</v>
      </c>
      <c r="D15" s="67"/>
      <c r="E15" s="67"/>
      <c r="F15" s="67"/>
      <c r="G15" s="67"/>
      <c r="H15" s="67"/>
      <c r="I15" s="140"/>
      <c r="J15" s="142"/>
    </row>
    <row r="16" spans="1:14" ht="36" hidden="1" x14ac:dyDescent="0.45">
      <c r="A16" s="98" t="s">
        <v>91</v>
      </c>
      <c r="B16" s="98" t="s">
        <v>92</v>
      </c>
      <c r="C16" s="99" t="s">
        <v>93</v>
      </c>
      <c r="D16" s="100"/>
      <c r="E16" s="100" t="s">
        <v>57</v>
      </c>
      <c r="F16" s="100" t="s">
        <v>7</v>
      </c>
      <c r="G16" s="101">
        <v>1</v>
      </c>
      <c r="H16" s="101"/>
      <c r="I16" s="73">
        <v>0</v>
      </c>
      <c r="J16" s="102"/>
    </row>
    <row r="17" spans="1:10" ht="75.45" hidden="1" customHeight="1" x14ac:dyDescent="0.45">
      <c r="A17" s="98" t="s">
        <v>94</v>
      </c>
      <c r="B17" s="98"/>
      <c r="C17" s="103" t="s">
        <v>62</v>
      </c>
      <c r="D17" s="100"/>
      <c r="E17" s="100" t="s">
        <v>95</v>
      </c>
      <c r="F17" s="104" t="s">
        <v>9</v>
      </c>
      <c r="G17" s="105">
        <v>0.3</v>
      </c>
      <c r="H17" s="105"/>
      <c r="I17" s="93">
        <v>0</v>
      </c>
      <c r="J17" s="106"/>
    </row>
    <row r="18" spans="1:10" hidden="1" x14ac:dyDescent="0.45">
      <c r="A18" s="98" t="s">
        <v>96</v>
      </c>
      <c r="B18" s="98"/>
      <c r="C18" s="103" t="s">
        <v>61</v>
      </c>
      <c r="D18" s="100"/>
      <c r="E18" s="100"/>
      <c r="F18" s="104" t="s">
        <v>9</v>
      </c>
      <c r="G18" s="105">
        <v>0.15</v>
      </c>
      <c r="H18" s="105"/>
      <c r="I18" s="93">
        <v>0</v>
      </c>
      <c r="J18" s="106"/>
    </row>
    <row r="19" spans="1:10" ht="36" hidden="1" x14ac:dyDescent="0.45">
      <c r="A19" s="98" t="s">
        <v>97</v>
      </c>
      <c r="B19" s="98" t="s">
        <v>92</v>
      </c>
      <c r="C19" s="99" t="s">
        <v>93</v>
      </c>
      <c r="D19" s="100"/>
      <c r="E19" s="100" t="s">
        <v>57</v>
      </c>
      <c r="F19" s="100" t="s">
        <v>7</v>
      </c>
      <c r="G19" s="101">
        <v>1</v>
      </c>
      <c r="H19" s="101"/>
      <c r="I19" s="73">
        <v>0</v>
      </c>
      <c r="J19" s="102"/>
    </row>
    <row r="20" spans="1:10" hidden="1" x14ac:dyDescent="0.45">
      <c r="A20" s="98" t="s">
        <v>98</v>
      </c>
      <c r="B20" s="98"/>
      <c r="C20" s="103" t="s">
        <v>61</v>
      </c>
      <c r="D20" s="100"/>
      <c r="E20" s="100"/>
      <c r="F20" s="104" t="s">
        <v>9</v>
      </c>
      <c r="G20" s="105">
        <v>0.15</v>
      </c>
      <c r="H20" s="105"/>
      <c r="I20" s="93">
        <v>0</v>
      </c>
      <c r="J20" s="106"/>
    </row>
    <row r="21" spans="1:10" ht="32.549999999999997" hidden="1" customHeight="1" x14ac:dyDescent="0.45">
      <c r="A21" s="98" t="s">
        <v>99</v>
      </c>
      <c r="B21" s="98"/>
      <c r="C21" s="103" t="s">
        <v>100</v>
      </c>
      <c r="D21" s="100"/>
      <c r="E21" s="100" t="s">
        <v>101</v>
      </c>
      <c r="F21" s="104" t="s">
        <v>9</v>
      </c>
      <c r="G21" s="105">
        <v>0.3</v>
      </c>
      <c r="H21" s="105"/>
      <c r="I21" s="93">
        <v>0</v>
      </c>
      <c r="J21" s="106"/>
    </row>
    <row r="22" spans="1:10" ht="36" hidden="1" x14ac:dyDescent="0.45">
      <c r="A22" s="98" t="s">
        <v>102</v>
      </c>
      <c r="B22" s="98" t="s">
        <v>92</v>
      </c>
      <c r="C22" s="99" t="s">
        <v>93</v>
      </c>
      <c r="D22" s="100"/>
      <c r="E22" s="100" t="s">
        <v>57</v>
      </c>
      <c r="F22" s="100" t="s">
        <v>7</v>
      </c>
      <c r="G22" s="101">
        <v>1</v>
      </c>
      <c r="H22" s="101"/>
      <c r="I22" s="73">
        <v>0</v>
      </c>
      <c r="J22" s="102"/>
    </row>
    <row r="23" spans="1:10" ht="99.45" hidden="1" customHeight="1" x14ac:dyDescent="0.45">
      <c r="A23" s="98" t="s">
        <v>103</v>
      </c>
      <c r="B23" s="98"/>
      <c r="C23" s="103" t="s">
        <v>100</v>
      </c>
      <c r="D23" s="100"/>
      <c r="E23" s="100" t="s">
        <v>104</v>
      </c>
      <c r="F23" s="104" t="s">
        <v>9</v>
      </c>
      <c r="G23" s="105">
        <v>0.3</v>
      </c>
      <c r="H23" s="105"/>
      <c r="I23" s="93">
        <v>0</v>
      </c>
      <c r="J23" s="106"/>
    </row>
    <row r="24" spans="1:10" hidden="1" x14ac:dyDescent="0.45">
      <c r="A24" s="98" t="s">
        <v>105</v>
      </c>
      <c r="B24" s="98"/>
      <c r="C24" s="103" t="s">
        <v>61</v>
      </c>
      <c r="D24" s="100"/>
      <c r="E24" s="100"/>
      <c r="F24" s="104" t="s">
        <v>9</v>
      </c>
      <c r="G24" s="105">
        <v>0.15</v>
      </c>
      <c r="H24" s="105"/>
      <c r="I24" s="93">
        <v>0</v>
      </c>
      <c r="J24" s="106"/>
    </row>
    <row r="25" spans="1:10" ht="36" hidden="1" x14ac:dyDescent="0.45">
      <c r="A25" s="98" t="s">
        <v>106</v>
      </c>
      <c r="B25" s="98" t="s">
        <v>92</v>
      </c>
      <c r="C25" s="99" t="s">
        <v>93</v>
      </c>
      <c r="D25" s="100"/>
      <c r="E25" s="100" t="s">
        <v>57</v>
      </c>
      <c r="F25" s="100" t="s">
        <v>7</v>
      </c>
      <c r="G25" s="101">
        <v>1</v>
      </c>
      <c r="H25" s="101"/>
      <c r="I25" s="73">
        <v>0</v>
      </c>
      <c r="J25" s="102"/>
    </row>
    <row r="26" spans="1:10" hidden="1" x14ac:dyDescent="0.45">
      <c r="A26" s="98" t="s">
        <v>107</v>
      </c>
      <c r="B26" s="98"/>
      <c r="C26" s="103" t="s">
        <v>61</v>
      </c>
      <c r="D26" s="100"/>
      <c r="E26" s="100"/>
      <c r="F26" s="104" t="s">
        <v>9</v>
      </c>
      <c r="G26" s="105">
        <v>0.15</v>
      </c>
      <c r="H26" s="105"/>
      <c r="I26" s="93">
        <v>0</v>
      </c>
      <c r="J26" s="106"/>
    </row>
    <row r="27" spans="1:10" ht="85.5" hidden="1" customHeight="1" x14ac:dyDescent="0.45">
      <c r="A27" s="98" t="s">
        <v>108</v>
      </c>
      <c r="B27" s="98"/>
      <c r="C27" s="103" t="s">
        <v>100</v>
      </c>
      <c r="D27" s="100"/>
      <c r="E27" s="100" t="s">
        <v>109</v>
      </c>
      <c r="F27" s="104" t="s">
        <v>9</v>
      </c>
      <c r="G27" s="105">
        <v>0.3</v>
      </c>
      <c r="H27" s="105"/>
      <c r="I27" s="93">
        <v>0</v>
      </c>
      <c r="J27" s="106"/>
    </row>
    <row r="28" spans="1:10" ht="36" hidden="1" x14ac:dyDescent="0.45">
      <c r="A28" s="98" t="s">
        <v>110</v>
      </c>
      <c r="B28" s="98" t="s">
        <v>92</v>
      </c>
      <c r="C28" s="99" t="s">
        <v>93</v>
      </c>
      <c r="D28" s="100"/>
      <c r="E28" s="100" t="s">
        <v>57</v>
      </c>
      <c r="F28" s="100" t="s">
        <v>7</v>
      </c>
      <c r="G28" s="101">
        <v>1</v>
      </c>
      <c r="H28" s="101"/>
      <c r="I28" s="73">
        <v>0</v>
      </c>
      <c r="J28" s="102"/>
    </row>
    <row r="29" spans="1:10" ht="90" hidden="1" customHeight="1" x14ac:dyDescent="0.45">
      <c r="A29" s="98" t="s">
        <v>111</v>
      </c>
      <c r="B29" s="98"/>
      <c r="C29" s="103" t="s">
        <v>100</v>
      </c>
      <c r="D29" s="100"/>
      <c r="E29" s="100" t="s">
        <v>112</v>
      </c>
      <c r="F29" s="104" t="s">
        <v>9</v>
      </c>
      <c r="G29" s="105">
        <v>0.3</v>
      </c>
      <c r="H29" s="105"/>
      <c r="I29" s="93">
        <v>0</v>
      </c>
      <c r="J29" s="106"/>
    </row>
    <row r="30" spans="1:10" hidden="1" x14ac:dyDescent="0.45">
      <c r="A30" s="98" t="s">
        <v>113</v>
      </c>
      <c r="B30" s="98"/>
      <c r="C30" s="103" t="s">
        <v>61</v>
      </c>
      <c r="D30" s="100"/>
      <c r="E30" s="100"/>
      <c r="F30" s="104" t="s">
        <v>9</v>
      </c>
      <c r="G30" s="105">
        <v>0.15</v>
      </c>
      <c r="H30" s="105"/>
      <c r="I30" s="93">
        <v>0</v>
      </c>
      <c r="J30" s="106"/>
    </row>
    <row r="31" spans="1:10" ht="36" hidden="1" x14ac:dyDescent="0.45">
      <c r="A31" s="98" t="s">
        <v>114</v>
      </c>
      <c r="B31" s="98" t="s">
        <v>92</v>
      </c>
      <c r="C31" s="99" t="s">
        <v>93</v>
      </c>
      <c r="D31" s="100"/>
      <c r="E31" s="100" t="s">
        <v>57</v>
      </c>
      <c r="F31" s="100" t="s">
        <v>7</v>
      </c>
      <c r="G31" s="101">
        <v>1</v>
      </c>
      <c r="H31" s="101"/>
      <c r="I31" s="73">
        <v>0</v>
      </c>
      <c r="J31" s="102"/>
    </row>
    <row r="32" spans="1:10" hidden="1" x14ac:dyDescent="0.45">
      <c r="A32" s="98" t="s">
        <v>115</v>
      </c>
      <c r="B32" s="98"/>
      <c r="C32" s="103" t="s">
        <v>61</v>
      </c>
      <c r="D32" s="100"/>
      <c r="E32" s="100"/>
      <c r="F32" s="104" t="s">
        <v>9</v>
      </c>
      <c r="G32" s="105">
        <v>0.15</v>
      </c>
      <c r="H32" s="105"/>
      <c r="I32" s="93">
        <v>0</v>
      </c>
      <c r="J32" s="106"/>
    </row>
    <row r="33" spans="1:10" ht="78.45" hidden="1" customHeight="1" x14ac:dyDescent="0.45">
      <c r="A33" s="98" t="s">
        <v>116</v>
      </c>
      <c r="B33" s="98"/>
      <c r="C33" s="103" t="s">
        <v>100</v>
      </c>
      <c r="D33" s="100"/>
      <c r="E33" s="100" t="s">
        <v>117</v>
      </c>
      <c r="F33" s="104" t="s">
        <v>9</v>
      </c>
      <c r="G33" s="105">
        <v>0.3</v>
      </c>
      <c r="H33" s="105"/>
      <c r="I33" s="93">
        <v>0</v>
      </c>
      <c r="J33" s="106"/>
    </row>
    <row r="34" spans="1:10" ht="36" hidden="1" x14ac:dyDescent="0.45">
      <c r="A34" s="98" t="s">
        <v>118</v>
      </c>
      <c r="B34" s="98" t="s">
        <v>92</v>
      </c>
      <c r="C34" s="99" t="s">
        <v>93</v>
      </c>
      <c r="D34" s="100"/>
      <c r="E34" s="100" t="s">
        <v>57</v>
      </c>
      <c r="F34" s="100" t="s">
        <v>7</v>
      </c>
      <c r="G34" s="101">
        <v>1</v>
      </c>
      <c r="H34" s="101"/>
      <c r="I34" s="73">
        <v>0</v>
      </c>
      <c r="J34" s="102"/>
    </row>
    <row r="35" spans="1:10" ht="94.5" hidden="1" customHeight="1" x14ac:dyDescent="0.45">
      <c r="A35" s="98" t="s">
        <v>119</v>
      </c>
      <c r="B35" s="98"/>
      <c r="C35" s="103" t="s">
        <v>100</v>
      </c>
      <c r="D35" s="100"/>
      <c r="E35" s="100" t="s">
        <v>120</v>
      </c>
      <c r="F35" s="104" t="s">
        <v>9</v>
      </c>
      <c r="G35" s="105">
        <v>0.3</v>
      </c>
      <c r="H35" s="105"/>
      <c r="I35" s="93">
        <v>0</v>
      </c>
      <c r="J35" s="106"/>
    </row>
    <row r="36" spans="1:10" hidden="1" x14ac:dyDescent="0.45">
      <c r="A36" s="98" t="s">
        <v>121</v>
      </c>
      <c r="B36" s="98"/>
      <c r="C36" s="103" t="s">
        <v>61</v>
      </c>
      <c r="D36" s="100"/>
      <c r="E36" s="100"/>
      <c r="F36" s="104" t="s">
        <v>9</v>
      </c>
      <c r="G36" s="105">
        <v>0.15</v>
      </c>
      <c r="H36" s="105"/>
      <c r="I36" s="93">
        <v>0</v>
      </c>
      <c r="J36" s="106"/>
    </row>
    <row r="37" spans="1:10" ht="36" hidden="1" x14ac:dyDescent="0.45">
      <c r="A37" s="98" t="s">
        <v>122</v>
      </c>
      <c r="B37" s="98" t="s">
        <v>92</v>
      </c>
      <c r="C37" s="99" t="s">
        <v>93</v>
      </c>
      <c r="D37" s="100"/>
      <c r="E37" s="100" t="s">
        <v>57</v>
      </c>
      <c r="F37" s="100" t="s">
        <v>7</v>
      </c>
      <c r="G37" s="101">
        <v>1</v>
      </c>
      <c r="H37" s="101"/>
      <c r="I37" s="73">
        <v>0</v>
      </c>
      <c r="J37" s="102"/>
    </row>
    <row r="38" spans="1:10" hidden="1" x14ac:dyDescent="0.45">
      <c r="A38" s="98" t="s">
        <v>123</v>
      </c>
      <c r="B38" s="98"/>
      <c r="C38" s="103" t="s">
        <v>61</v>
      </c>
      <c r="D38" s="100"/>
      <c r="E38" s="100"/>
      <c r="F38" s="104" t="s">
        <v>9</v>
      </c>
      <c r="G38" s="105">
        <v>0.15</v>
      </c>
      <c r="H38" s="105"/>
      <c r="I38" s="93">
        <v>0</v>
      </c>
      <c r="J38" s="106"/>
    </row>
    <row r="39" spans="1:10" ht="90" hidden="1" customHeight="1" x14ac:dyDescent="0.45">
      <c r="A39" s="98" t="s">
        <v>124</v>
      </c>
      <c r="B39" s="98"/>
      <c r="C39" s="103" t="s">
        <v>100</v>
      </c>
      <c r="D39" s="100"/>
      <c r="E39" s="100" t="s">
        <v>125</v>
      </c>
      <c r="F39" s="104" t="s">
        <v>9</v>
      </c>
      <c r="G39" s="105">
        <v>0.3</v>
      </c>
      <c r="H39" s="105"/>
      <c r="I39" s="93">
        <v>0</v>
      </c>
      <c r="J39" s="106"/>
    </row>
    <row r="40" spans="1:10" ht="40.049999999999997" customHeight="1" x14ac:dyDescent="0.45">
      <c r="A40" s="76" t="s">
        <v>126</v>
      </c>
      <c r="B40" s="76" t="s">
        <v>127</v>
      </c>
      <c r="C40" s="70" t="s">
        <v>128</v>
      </c>
      <c r="D40" s="71"/>
      <c r="E40" s="71" t="s">
        <v>129</v>
      </c>
      <c r="F40" s="71" t="s">
        <v>7</v>
      </c>
      <c r="G40" s="72">
        <v>1</v>
      </c>
      <c r="H40" s="72"/>
      <c r="I40" s="73">
        <v>0.85</v>
      </c>
      <c r="J40" s="74"/>
    </row>
    <row r="41" spans="1:10" ht="65.55" hidden="1" customHeight="1" x14ac:dyDescent="0.45">
      <c r="A41" s="98" t="s">
        <v>130</v>
      </c>
      <c r="B41" s="98"/>
      <c r="C41" s="103" t="s">
        <v>131</v>
      </c>
      <c r="D41" s="100"/>
      <c r="E41" s="100" t="s">
        <v>132</v>
      </c>
      <c r="F41" s="104" t="s">
        <v>9</v>
      </c>
      <c r="G41" s="105">
        <v>0.3</v>
      </c>
      <c r="H41" s="105"/>
      <c r="I41" s="93">
        <v>0.255</v>
      </c>
      <c r="J41" s="106"/>
    </row>
    <row r="42" spans="1:10" hidden="1" x14ac:dyDescent="0.45">
      <c r="A42" s="98" t="s">
        <v>133</v>
      </c>
      <c r="B42" s="98"/>
      <c r="C42" s="103" t="s">
        <v>61</v>
      </c>
      <c r="D42" s="100"/>
      <c r="E42" s="100"/>
      <c r="F42" s="104" t="s">
        <v>9</v>
      </c>
      <c r="G42" s="105">
        <v>0.15</v>
      </c>
      <c r="H42" s="105"/>
      <c r="I42" s="93">
        <v>0.128</v>
      </c>
      <c r="J42" s="106"/>
    </row>
    <row r="43" spans="1:10" ht="46.95" customHeight="1" x14ac:dyDescent="0.45">
      <c r="A43" s="76" t="s">
        <v>134</v>
      </c>
      <c r="B43" s="76" t="s">
        <v>127</v>
      </c>
      <c r="C43" s="70" t="s">
        <v>128</v>
      </c>
      <c r="D43" s="71"/>
      <c r="E43" s="71" t="s">
        <v>135</v>
      </c>
      <c r="F43" s="71" t="s">
        <v>7</v>
      </c>
      <c r="G43" s="72">
        <v>1</v>
      </c>
      <c r="H43" s="72"/>
      <c r="I43" s="73">
        <v>1.5</v>
      </c>
      <c r="J43" s="74"/>
    </row>
    <row r="44" spans="1:10" hidden="1" x14ac:dyDescent="0.45">
      <c r="A44" s="69" t="s">
        <v>136</v>
      </c>
      <c r="B44" s="69"/>
      <c r="C44" s="107" t="s">
        <v>61</v>
      </c>
      <c r="D44" s="71"/>
      <c r="E44" s="71"/>
      <c r="F44" s="108" t="s">
        <v>9</v>
      </c>
      <c r="G44" s="96">
        <v>0.15</v>
      </c>
      <c r="H44" s="96"/>
      <c r="I44" s="93">
        <v>0.22500000000000001</v>
      </c>
      <c r="J44" s="97"/>
    </row>
    <row r="45" spans="1:10" ht="73.5" hidden="1" customHeight="1" x14ac:dyDescent="0.45">
      <c r="A45" s="69" t="s">
        <v>137</v>
      </c>
      <c r="B45" s="69"/>
      <c r="C45" s="107" t="s">
        <v>131</v>
      </c>
      <c r="D45" s="71"/>
      <c r="E45" s="71" t="s">
        <v>138</v>
      </c>
      <c r="F45" s="108" t="s">
        <v>9</v>
      </c>
      <c r="G45" s="96">
        <v>0.3</v>
      </c>
      <c r="H45" s="96"/>
      <c r="I45" s="93">
        <v>0.45</v>
      </c>
      <c r="J45" s="97"/>
    </row>
    <row r="46" spans="1:10" ht="48" customHeight="1" x14ac:dyDescent="0.45">
      <c r="A46" s="76" t="s">
        <v>139</v>
      </c>
      <c r="B46" s="76" t="s">
        <v>127</v>
      </c>
      <c r="C46" s="70" t="s">
        <v>128</v>
      </c>
      <c r="D46" s="71"/>
      <c r="E46" s="71" t="s">
        <v>140</v>
      </c>
      <c r="F46" s="71" t="s">
        <v>7</v>
      </c>
      <c r="G46" s="72">
        <v>1</v>
      </c>
      <c r="H46" s="72"/>
      <c r="I46" s="73">
        <v>139.22</v>
      </c>
      <c r="J46" s="74"/>
    </row>
    <row r="47" spans="1:10" ht="78.45" hidden="1" customHeight="1" x14ac:dyDescent="0.45">
      <c r="A47" s="98" t="s">
        <v>141</v>
      </c>
      <c r="B47" s="98"/>
      <c r="C47" s="103" t="s">
        <v>131</v>
      </c>
      <c r="D47" s="100"/>
      <c r="E47" s="100" t="s">
        <v>142</v>
      </c>
      <c r="F47" s="104" t="s">
        <v>9</v>
      </c>
      <c r="G47" s="105">
        <v>0.3</v>
      </c>
      <c r="H47" s="105"/>
      <c r="I47" s="93">
        <v>41.765999999999998</v>
      </c>
      <c r="J47" s="106"/>
    </row>
    <row r="48" spans="1:10" hidden="1" x14ac:dyDescent="0.45">
      <c r="A48" s="98" t="s">
        <v>143</v>
      </c>
      <c r="B48" s="98"/>
      <c r="C48" s="103" t="s">
        <v>61</v>
      </c>
      <c r="D48" s="100"/>
      <c r="E48" s="100"/>
      <c r="F48" s="104" t="s">
        <v>9</v>
      </c>
      <c r="G48" s="105">
        <v>0.15</v>
      </c>
      <c r="H48" s="105"/>
      <c r="I48" s="93">
        <v>20.882999999999999</v>
      </c>
      <c r="J48" s="106"/>
    </row>
    <row r="49" spans="1:10" ht="46.05" customHeight="1" x14ac:dyDescent="0.45">
      <c r="A49" s="76" t="s">
        <v>144</v>
      </c>
      <c r="B49" s="76" t="s">
        <v>127</v>
      </c>
      <c r="C49" s="70" t="s">
        <v>128</v>
      </c>
      <c r="D49" s="71"/>
      <c r="E49" s="71" t="s">
        <v>145</v>
      </c>
      <c r="F49" s="71" t="s">
        <v>7</v>
      </c>
      <c r="G49" s="72">
        <v>1</v>
      </c>
      <c r="H49" s="72"/>
      <c r="I49" s="73">
        <v>143.96</v>
      </c>
      <c r="J49" s="74"/>
    </row>
    <row r="50" spans="1:10" hidden="1" x14ac:dyDescent="0.45">
      <c r="A50" s="98" t="s">
        <v>146</v>
      </c>
      <c r="B50" s="98"/>
      <c r="C50" s="103" t="s">
        <v>61</v>
      </c>
      <c r="D50" s="100"/>
      <c r="E50" s="100"/>
      <c r="F50" s="104" t="s">
        <v>9</v>
      </c>
      <c r="G50" s="105">
        <v>0.15</v>
      </c>
      <c r="H50" s="105"/>
      <c r="I50" s="93">
        <v>21.594000000000001</v>
      </c>
      <c r="J50" s="106"/>
    </row>
    <row r="51" spans="1:10" ht="72" hidden="1" customHeight="1" x14ac:dyDescent="0.45">
      <c r="A51" s="98" t="s">
        <v>147</v>
      </c>
      <c r="B51" s="98"/>
      <c r="C51" s="103" t="s">
        <v>148</v>
      </c>
      <c r="D51" s="100"/>
      <c r="E51" s="100" t="s">
        <v>149</v>
      </c>
      <c r="F51" s="104" t="s">
        <v>9</v>
      </c>
      <c r="G51" s="105">
        <v>0.3</v>
      </c>
      <c r="H51" s="105"/>
      <c r="I51" s="93">
        <v>43.188000000000002</v>
      </c>
      <c r="J51" s="106"/>
    </row>
    <row r="52" spans="1:10" ht="42" customHeight="1" x14ac:dyDescent="0.45">
      <c r="A52" s="76" t="s">
        <v>150</v>
      </c>
      <c r="B52" s="76" t="s">
        <v>127</v>
      </c>
      <c r="C52" s="70" t="s">
        <v>128</v>
      </c>
      <c r="D52" s="71"/>
      <c r="E52" s="71" t="s">
        <v>151</v>
      </c>
      <c r="F52" s="71" t="s">
        <v>7</v>
      </c>
      <c r="G52" s="72">
        <v>1</v>
      </c>
      <c r="H52" s="72"/>
      <c r="I52" s="73">
        <v>28.93</v>
      </c>
      <c r="J52" s="74"/>
    </row>
    <row r="53" spans="1:10" ht="77.55" hidden="1" customHeight="1" x14ac:dyDescent="0.45">
      <c r="A53" s="98" t="s">
        <v>152</v>
      </c>
      <c r="B53" s="98"/>
      <c r="C53" s="103" t="s">
        <v>148</v>
      </c>
      <c r="D53" s="100"/>
      <c r="E53" s="100" t="s">
        <v>153</v>
      </c>
      <c r="F53" s="104" t="s">
        <v>9</v>
      </c>
      <c r="G53" s="105">
        <v>0.3</v>
      </c>
      <c r="H53" s="105"/>
      <c r="I53" s="93">
        <v>8.6790000000000003</v>
      </c>
      <c r="J53" s="106"/>
    </row>
    <row r="54" spans="1:10" hidden="1" x14ac:dyDescent="0.45">
      <c r="A54" s="98" t="s">
        <v>154</v>
      </c>
      <c r="B54" s="98"/>
      <c r="C54" s="103" t="s">
        <v>61</v>
      </c>
      <c r="D54" s="100"/>
      <c r="E54" s="100"/>
      <c r="F54" s="104" t="s">
        <v>9</v>
      </c>
      <c r="G54" s="105">
        <v>0.15</v>
      </c>
      <c r="H54" s="105"/>
      <c r="I54" s="93">
        <v>4.34</v>
      </c>
      <c r="J54" s="106"/>
    </row>
    <row r="55" spans="1:10" ht="49.5" customHeight="1" x14ac:dyDescent="0.45">
      <c r="A55" s="76" t="s">
        <v>155</v>
      </c>
      <c r="B55" s="76" t="s">
        <v>127</v>
      </c>
      <c r="C55" s="70" t="s">
        <v>128</v>
      </c>
      <c r="D55" s="71"/>
      <c r="E55" s="71" t="s">
        <v>156</v>
      </c>
      <c r="F55" s="71" t="s">
        <v>7</v>
      </c>
      <c r="G55" s="72">
        <v>1</v>
      </c>
      <c r="H55" s="72"/>
      <c r="I55" s="73">
        <v>28.7</v>
      </c>
      <c r="J55" s="74"/>
    </row>
    <row r="56" spans="1:10" hidden="1" x14ac:dyDescent="0.45">
      <c r="A56" s="98" t="s">
        <v>157</v>
      </c>
      <c r="B56" s="98"/>
      <c r="C56" s="103" t="s">
        <v>61</v>
      </c>
      <c r="D56" s="100"/>
      <c r="E56" s="100"/>
      <c r="F56" s="104" t="s">
        <v>9</v>
      </c>
      <c r="G56" s="105">
        <v>0.15</v>
      </c>
      <c r="H56" s="105"/>
      <c r="I56" s="93">
        <v>4.3049999999999997</v>
      </c>
      <c r="J56" s="106"/>
    </row>
    <row r="57" spans="1:10" ht="75" hidden="1" customHeight="1" x14ac:dyDescent="0.45">
      <c r="A57" s="98" t="s">
        <v>158</v>
      </c>
      <c r="B57" s="98"/>
      <c r="C57" s="103" t="s">
        <v>148</v>
      </c>
      <c r="D57" s="100"/>
      <c r="E57" s="100" t="s">
        <v>159</v>
      </c>
      <c r="F57" s="104" t="s">
        <v>9</v>
      </c>
      <c r="G57" s="105">
        <v>0.3</v>
      </c>
      <c r="H57" s="105"/>
      <c r="I57" s="93">
        <v>8.61</v>
      </c>
      <c r="J57" s="106"/>
    </row>
    <row r="58" spans="1:10" ht="39.450000000000003" customHeight="1" x14ac:dyDescent="0.45">
      <c r="A58" s="76" t="s">
        <v>160</v>
      </c>
      <c r="B58" s="76" t="s">
        <v>127</v>
      </c>
      <c r="C58" s="70" t="s">
        <v>128</v>
      </c>
      <c r="D58" s="71"/>
      <c r="E58" s="71" t="s">
        <v>161</v>
      </c>
      <c r="F58" s="71" t="s">
        <v>7</v>
      </c>
      <c r="G58" s="72">
        <v>1</v>
      </c>
      <c r="H58" s="72"/>
      <c r="I58" s="73">
        <v>29.42</v>
      </c>
      <c r="J58" s="74"/>
    </row>
    <row r="59" spans="1:10" ht="75" hidden="1" customHeight="1" x14ac:dyDescent="0.45">
      <c r="A59" s="98" t="s">
        <v>162</v>
      </c>
      <c r="B59" s="98"/>
      <c r="C59" s="103" t="s">
        <v>148</v>
      </c>
      <c r="D59" s="100"/>
      <c r="E59" s="100" t="s">
        <v>163</v>
      </c>
      <c r="F59" s="104" t="s">
        <v>9</v>
      </c>
      <c r="G59" s="105">
        <v>0.3</v>
      </c>
      <c r="H59" s="105"/>
      <c r="I59" s="93">
        <v>8.8260000000000005</v>
      </c>
      <c r="J59" s="106"/>
    </row>
    <row r="60" spans="1:10" hidden="1" x14ac:dyDescent="0.45">
      <c r="A60" s="98" t="s">
        <v>164</v>
      </c>
      <c r="B60" s="98"/>
      <c r="C60" s="103" t="s">
        <v>61</v>
      </c>
      <c r="D60" s="100"/>
      <c r="E60" s="100"/>
      <c r="F60" s="104" t="s">
        <v>9</v>
      </c>
      <c r="G60" s="105">
        <v>0.15</v>
      </c>
      <c r="H60" s="105"/>
      <c r="I60" s="93">
        <v>4.4130000000000003</v>
      </c>
      <c r="J60" s="106"/>
    </row>
    <row r="61" spans="1:10" ht="49.5" customHeight="1" x14ac:dyDescent="0.45">
      <c r="A61" s="76" t="s">
        <v>165</v>
      </c>
      <c r="B61" s="76" t="s">
        <v>127</v>
      </c>
      <c r="C61" s="70" t="s">
        <v>128</v>
      </c>
      <c r="D61" s="71"/>
      <c r="E61" s="71" t="s">
        <v>166</v>
      </c>
      <c r="F61" s="71" t="s">
        <v>7</v>
      </c>
      <c r="G61" s="72">
        <v>1</v>
      </c>
      <c r="H61" s="72"/>
      <c r="I61" s="73">
        <v>316.79000000000002</v>
      </c>
      <c r="J61" s="74"/>
    </row>
    <row r="62" spans="1:10" hidden="1" x14ac:dyDescent="0.45">
      <c r="A62" s="98" t="s">
        <v>167</v>
      </c>
      <c r="B62" s="98"/>
      <c r="C62" s="103" t="s">
        <v>61</v>
      </c>
      <c r="D62" s="100"/>
      <c r="E62" s="100"/>
      <c r="F62" s="104" t="s">
        <v>9</v>
      </c>
      <c r="G62" s="105">
        <v>0.15</v>
      </c>
      <c r="H62" s="105"/>
      <c r="I62" s="93">
        <v>47.518999999999998</v>
      </c>
      <c r="J62" s="106"/>
    </row>
    <row r="63" spans="1:10" ht="82.5" hidden="1" customHeight="1" x14ac:dyDescent="0.45">
      <c r="A63" s="98" t="s">
        <v>168</v>
      </c>
      <c r="B63" s="98"/>
      <c r="C63" s="103" t="s">
        <v>131</v>
      </c>
      <c r="D63" s="100"/>
      <c r="E63" s="100" t="s">
        <v>169</v>
      </c>
      <c r="F63" s="104" t="s">
        <v>9</v>
      </c>
      <c r="G63" s="105">
        <v>0.3</v>
      </c>
      <c r="H63" s="105"/>
      <c r="I63" s="93">
        <v>95.037000000000006</v>
      </c>
      <c r="J63" s="106"/>
    </row>
    <row r="64" spans="1:10" ht="46.5" customHeight="1" x14ac:dyDescent="0.45">
      <c r="A64" s="76" t="s">
        <v>170</v>
      </c>
      <c r="B64" s="76" t="s">
        <v>127</v>
      </c>
      <c r="C64" s="70" t="s">
        <v>128</v>
      </c>
      <c r="D64" s="71"/>
      <c r="E64" s="71" t="s">
        <v>171</v>
      </c>
      <c r="F64" s="71" t="s">
        <v>7</v>
      </c>
      <c r="G64" s="72">
        <v>1</v>
      </c>
      <c r="H64" s="72"/>
      <c r="I64" s="73">
        <v>564.55999999999995</v>
      </c>
      <c r="J64" s="74"/>
    </row>
    <row r="65" spans="1:10" ht="72" hidden="1" customHeight="1" x14ac:dyDescent="0.45">
      <c r="A65" s="98" t="s">
        <v>172</v>
      </c>
      <c r="B65" s="98"/>
      <c r="C65" s="103" t="s">
        <v>148</v>
      </c>
      <c r="D65" s="100"/>
      <c r="E65" s="100" t="s">
        <v>173</v>
      </c>
      <c r="F65" s="104" t="s">
        <v>9</v>
      </c>
      <c r="G65" s="105">
        <v>0.3</v>
      </c>
      <c r="H65" s="105"/>
      <c r="I65" s="93">
        <v>169.36799999999999</v>
      </c>
      <c r="J65" s="106"/>
    </row>
    <row r="66" spans="1:10" hidden="1" x14ac:dyDescent="0.45">
      <c r="A66" s="98" t="s">
        <v>174</v>
      </c>
      <c r="B66" s="98"/>
      <c r="C66" s="103" t="s">
        <v>61</v>
      </c>
      <c r="D66" s="100"/>
      <c r="E66" s="100"/>
      <c r="F66" s="104" t="s">
        <v>9</v>
      </c>
      <c r="G66" s="105">
        <v>0.15</v>
      </c>
      <c r="H66" s="105"/>
      <c r="I66" s="93">
        <v>84.683999999999997</v>
      </c>
      <c r="J66" s="106"/>
    </row>
    <row r="67" spans="1:10" ht="44.55" customHeight="1" x14ac:dyDescent="0.45">
      <c r="A67" s="76" t="s">
        <v>175</v>
      </c>
      <c r="B67" s="76" t="s">
        <v>127</v>
      </c>
      <c r="C67" s="70" t="s">
        <v>128</v>
      </c>
      <c r="D67" s="71"/>
      <c r="E67" s="71" t="s">
        <v>176</v>
      </c>
      <c r="F67" s="71" t="s">
        <v>7</v>
      </c>
      <c r="G67" s="72">
        <v>1</v>
      </c>
      <c r="H67" s="72"/>
      <c r="I67" s="73">
        <v>32.17</v>
      </c>
      <c r="J67" s="74"/>
    </row>
    <row r="68" spans="1:10" ht="36" hidden="1" x14ac:dyDescent="0.45">
      <c r="A68" s="98" t="s">
        <v>177</v>
      </c>
      <c r="B68" s="98"/>
      <c r="C68" s="103" t="s">
        <v>178</v>
      </c>
      <c r="D68" s="100"/>
      <c r="E68" s="100"/>
      <c r="F68" s="104" t="s">
        <v>9</v>
      </c>
      <c r="G68" s="105">
        <v>0.15</v>
      </c>
      <c r="H68" s="105"/>
      <c r="I68" s="93">
        <v>4.8259999999999996</v>
      </c>
      <c r="J68" s="106"/>
    </row>
    <row r="69" spans="1:10" ht="72.45" hidden="1" customHeight="1" x14ac:dyDescent="0.45">
      <c r="A69" s="98" t="s">
        <v>179</v>
      </c>
      <c r="B69" s="98"/>
      <c r="C69" s="103" t="s">
        <v>148</v>
      </c>
      <c r="D69" s="100"/>
      <c r="E69" s="100" t="s">
        <v>180</v>
      </c>
      <c r="F69" s="104" t="s">
        <v>9</v>
      </c>
      <c r="G69" s="105">
        <v>0.3</v>
      </c>
      <c r="H69" s="105"/>
      <c r="I69" s="93">
        <v>9.6509999999999998</v>
      </c>
      <c r="J69" s="106"/>
    </row>
    <row r="70" spans="1:10" ht="50.55" customHeight="1" x14ac:dyDescent="0.45">
      <c r="A70" s="76" t="s">
        <v>181</v>
      </c>
      <c r="B70" s="76" t="s">
        <v>127</v>
      </c>
      <c r="C70" s="70" t="s">
        <v>128</v>
      </c>
      <c r="D70" s="71"/>
      <c r="E70" s="71" t="s">
        <v>182</v>
      </c>
      <c r="F70" s="71" t="s">
        <v>7</v>
      </c>
      <c r="G70" s="72">
        <v>1</v>
      </c>
      <c r="H70" s="72"/>
      <c r="I70" s="73">
        <v>38.729999999999997</v>
      </c>
      <c r="J70" s="74"/>
    </row>
    <row r="71" spans="1:10" ht="66" hidden="1" customHeight="1" x14ac:dyDescent="0.45">
      <c r="A71" s="98" t="s">
        <v>183</v>
      </c>
      <c r="B71" s="98"/>
      <c r="C71" s="103" t="s">
        <v>148</v>
      </c>
      <c r="D71" s="100"/>
      <c r="E71" s="100" t="s">
        <v>184</v>
      </c>
      <c r="F71" s="104" t="s">
        <v>9</v>
      </c>
      <c r="G71" s="105">
        <v>0.3</v>
      </c>
      <c r="H71" s="105"/>
      <c r="I71" s="93">
        <v>11.619</v>
      </c>
      <c r="J71" s="106"/>
    </row>
    <row r="72" spans="1:10" hidden="1" x14ac:dyDescent="0.45">
      <c r="A72" s="98" t="s">
        <v>185</v>
      </c>
      <c r="B72" s="98"/>
      <c r="C72" s="103" t="s">
        <v>61</v>
      </c>
      <c r="D72" s="100"/>
      <c r="E72" s="100"/>
      <c r="F72" s="104" t="s">
        <v>9</v>
      </c>
      <c r="G72" s="105">
        <v>0.15</v>
      </c>
      <c r="H72" s="105"/>
      <c r="I72" s="93">
        <v>5.81</v>
      </c>
      <c r="J72" s="106"/>
    </row>
    <row r="73" spans="1:10" ht="49.5" customHeight="1" x14ac:dyDescent="0.45">
      <c r="A73" s="76" t="s">
        <v>186</v>
      </c>
      <c r="B73" s="76" t="s">
        <v>127</v>
      </c>
      <c r="C73" s="70" t="s">
        <v>128</v>
      </c>
      <c r="D73" s="71"/>
      <c r="E73" s="71" t="s">
        <v>161</v>
      </c>
      <c r="F73" s="71" t="s">
        <v>7</v>
      </c>
      <c r="G73" s="72">
        <v>1</v>
      </c>
      <c r="H73" s="72"/>
      <c r="I73" s="73">
        <v>38.74</v>
      </c>
      <c r="J73" s="74"/>
    </row>
    <row r="74" spans="1:10" hidden="1" x14ac:dyDescent="0.45">
      <c r="A74" s="98" t="s">
        <v>187</v>
      </c>
      <c r="B74" s="98"/>
      <c r="C74" s="103" t="s">
        <v>61</v>
      </c>
      <c r="D74" s="100"/>
      <c r="E74" s="100"/>
      <c r="F74" s="104" t="s">
        <v>9</v>
      </c>
      <c r="G74" s="105">
        <v>0.15</v>
      </c>
      <c r="H74" s="105"/>
      <c r="I74" s="93">
        <v>5.8109999999999999</v>
      </c>
      <c r="J74" s="106"/>
    </row>
    <row r="75" spans="1:10" ht="73.05" hidden="1" customHeight="1" x14ac:dyDescent="0.45">
      <c r="A75" s="98" t="s">
        <v>188</v>
      </c>
      <c r="B75" s="98"/>
      <c r="C75" s="103" t="s">
        <v>148</v>
      </c>
      <c r="D75" s="100"/>
      <c r="E75" s="100" t="s">
        <v>189</v>
      </c>
      <c r="F75" s="104" t="s">
        <v>9</v>
      </c>
      <c r="G75" s="105">
        <v>0.3</v>
      </c>
      <c r="H75" s="105"/>
      <c r="I75" s="93">
        <v>11.622</v>
      </c>
      <c r="J75" s="106"/>
    </row>
    <row r="76" spans="1:10" ht="49.95" customHeight="1" x14ac:dyDescent="0.45">
      <c r="A76" s="76" t="s">
        <v>190</v>
      </c>
      <c r="B76" s="76" t="s">
        <v>127</v>
      </c>
      <c r="C76" s="70" t="s">
        <v>128</v>
      </c>
      <c r="D76" s="71"/>
      <c r="E76" s="71" t="s">
        <v>191</v>
      </c>
      <c r="F76" s="71" t="s">
        <v>7</v>
      </c>
      <c r="G76" s="72">
        <v>1</v>
      </c>
      <c r="H76" s="72"/>
      <c r="I76" s="73">
        <v>33.549999999999997</v>
      </c>
      <c r="J76" s="74"/>
    </row>
    <row r="77" spans="1:10" ht="76.95" hidden="1" customHeight="1" x14ac:dyDescent="0.45">
      <c r="A77" s="69" t="s">
        <v>192</v>
      </c>
      <c r="B77" s="69"/>
      <c r="C77" s="107" t="s">
        <v>148</v>
      </c>
      <c r="D77" s="71"/>
      <c r="E77" s="71" t="s">
        <v>193</v>
      </c>
      <c r="F77" s="108" t="s">
        <v>9</v>
      </c>
      <c r="G77" s="96">
        <v>0.3</v>
      </c>
      <c r="H77" s="96"/>
      <c r="I77" s="93">
        <v>10.065</v>
      </c>
      <c r="J77" s="97"/>
    </row>
    <row r="78" spans="1:10" hidden="1" x14ac:dyDescent="0.45">
      <c r="A78" s="69" t="s">
        <v>194</v>
      </c>
      <c r="B78" s="69"/>
      <c r="C78" s="107" t="s">
        <v>61</v>
      </c>
      <c r="D78" s="71"/>
      <c r="E78" s="71"/>
      <c r="F78" s="108" t="s">
        <v>9</v>
      </c>
      <c r="G78" s="96">
        <v>0.15</v>
      </c>
      <c r="H78" s="96"/>
      <c r="I78" s="93">
        <v>5.0330000000000004</v>
      </c>
      <c r="J78" s="97"/>
    </row>
    <row r="79" spans="1:10" ht="42" customHeight="1" x14ac:dyDescent="0.45">
      <c r="A79" s="76" t="s">
        <v>195</v>
      </c>
      <c r="B79" s="76" t="s">
        <v>127</v>
      </c>
      <c r="C79" s="70" t="s">
        <v>128</v>
      </c>
      <c r="D79" s="71"/>
      <c r="E79" s="71" t="s">
        <v>196</v>
      </c>
      <c r="F79" s="71" t="s">
        <v>7</v>
      </c>
      <c r="G79" s="72">
        <v>1</v>
      </c>
      <c r="H79" s="72"/>
      <c r="I79" s="73">
        <v>1504.31</v>
      </c>
      <c r="J79" s="74"/>
    </row>
    <row r="80" spans="1:10" hidden="1" x14ac:dyDescent="0.45">
      <c r="A80" s="98" t="s">
        <v>197</v>
      </c>
      <c r="B80" s="98"/>
      <c r="C80" s="103" t="s">
        <v>61</v>
      </c>
      <c r="D80" s="100"/>
      <c r="E80" s="100"/>
      <c r="F80" s="104" t="s">
        <v>9</v>
      </c>
      <c r="G80" s="105">
        <v>0.15</v>
      </c>
      <c r="H80" s="105"/>
      <c r="I80" s="93">
        <v>225.64699999999999</v>
      </c>
      <c r="J80" s="106"/>
    </row>
    <row r="81" spans="1:10" ht="93" hidden="1" customHeight="1" x14ac:dyDescent="0.45">
      <c r="A81" s="98" t="s">
        <v>198</v>
      </c>
      <c r="B81" s="98"/>
      <c r="C81" s="103" t="s">
        <v>148</v>
      </c>
      <c r="D81" s="100"/>
      <c r="E81" s="100" t="s">
        <v>199</v>
      </c>
      <c r="F81" s="104" t="s">
        <v>9</v>
      </c>
      <c r="G81" s="105">
        <v>0.3</v>
      </c>
      <c r="H81" s="105"/>
      <c r="I81" s="93">
        <v>451.29300000000001</v>
      </c>
      <c r="J81" s="106"/>
    </row>
    <row r="82" spans="1:10" ht="49.05" customHeight="1" x14ac:dyDescent="0.45">
      <c r="A82" s="76" t="s">
        <v>200</v>
      </c>
      <c r="B82" s="76" t="s">
        <v>127</v>
      </c>
      <c r="C82" s="70" t="s">
        <v>128</v>
      </c>
      <c r="D82" s="71"/>
      <c r="E82" s="71" t="s">
        <v>201</v>
      </c>
      <c r="F82" s="71" t="s">
        <v>7</v>
      </c>
      <c r="G82" s="72">
        <v>1</v>
      </c>
      <c r="H82" s="72"/>
      <c r="I82" s="73">
        <v>229.48</v>
      </c>
      <c r="J82" s="74"/>
    </row>
    <row r="83" spans="1:10" ht="63.45" hidden="1" customHeight="1" x14ac:dyDescent="0.45">
      <c r="A83" s="98" t="s">
        <v>202</v>
      </c>
      <c r="B83" s="98"/>
      <c r="C83" s="103" t="s">
        <v>131</v>
      </c>
      <c r="D83" s="100"/>
      <c r="E83" s="100" t="s">
        <v>203</v>
      </c>
      <c r="F83" s="104" t="s">
        <v>9</v>
      </c>
      <c r="G83" s="105">
        <v>0.3</v>
      </c>
      <c r="H83" s="105"/>
      <c r="I83" s="93">
        <v>68.843999999999994</v>
      </c>
      <c r="J83" s="106"/>
    </row>
    <row r="84" spans="1:10" hidden="1" x14ac:dyDescent="0.45">
      <c r="A84" s="98" t="s">
        <v>204</v>
      </c>
      <c r="B84" s="98"/>
      <c r="C84" s="103" t="s">
        <v>61</v>
      </c>
      <c r="D84" s="100"/>
      <c r="E84" s="100"/>
      <c r="F84" s="104" t="s">
        <v>9</v>
      </c>
      <c r="G84" s="105">
        <v>0.15</v>
      </c>
      <c r="H84" s="105"/>
      <c r="I84" s="93">
        <v>34.421999999999997</v>
      </c>
      <c r="J84" s="106"/>
    </row>
    <row r="85" spans="1:10" ht="46.95" customHeight="1" x14ac:dyDescent="0.45">
      <c r="A85" s="76" t="s">
        <v>205</v>
      </c>
      <c r="B85" s="76" t="s">
        <v>127</v>
      </c>
      <c r="C85" s="70" t="s">
        <v>128</v>
      </c>
      <c r="D85" s="71"/>
      <c r="E85" s="71" t="s">
        <v>206</v>
      </c>
      <c r="F85" s="71" t="s">
        <v>7</v>
      </c>
      <c r="G85" s="72">
        <v>1</v>
      </c>
      <c r="H85" s="72"/>
      <c r="I85" s="73">
        <v>16.88</v>
      </c>
      <c r="J85" s="74"/>
    </row>
    <row r="86" spans="1:10" hidden="1" x14ac:dyDescent="0.45">
      <c r="A86" s="98" t="s">
        <v>207</v>
      </c>
      <c r="B86" s="98"/>
      <c r="C86" s="103" t="s">
        <v>61</v>
      </c>
      <c r="D86" s="100"/>
      <c r="E86" s="100"/>
      <c r="F86" s="104" t="s">
        <v>9</v>
      </c>
      <c r="G86" s="105">
        <v>0.15</v>
      </c>
      <c r="H86" s="105"/>
      <c r="I86" s="93">
        <v>2.532</v>
      </c>
      <c r="J86" s="106"/>
    </row>
    <row r="87" spans="1:10" ht="69" hidden="1" customHeight="1" x14ac:dyDescent="0.45">
      <c r="A87" s="98" t="s">
        <v>208</v>
      </c>
      <c r="B87" s="98"/>
      <c r="C87" s="103" t="s">
        <v>131</v>
      </c>
      <c r="D87" s="100"/>
      <c r="E87" s="100" t="s">
        <v>209</v>
      </c>
      <c r="F87" s="104" t="s">
        <v>9</v>
      </c>
      <c r="G87" s="105">
        <v>0.3</v>
      </c>
      <c r="H87" s="105"/>
      <c r="I87" s="93">
        <v>5.0640000000000001</v>
      </c>
      <c r="J87" s="106"/>
    </row>
    <row r="88" spans="1:10" ht="48.45" customHeight="1" x14ac:dyDescent="0.45">
      <c r="A88" s="76" t="s">
        <v>210</v>
      </c>
      <c r="B88" s="76" t="s">
        <v>127</v>
      </c>
      <c r="C88" s="70" t="s">
        <v>128</v>
      </c>
      <c r="D88" s="71"/>
      <c r="E88" s="71" t="s">
        <v>211</v>
      </c>
      <c r="F88" s="71" t="s">
        <v>7</v>
      </c>
      <c r="G88" s="72">
        <v>1</v>
      </c>
      <c r="H88" s="72"/>
      <c r="I88" s="73">
        <v>107.24</v>
      </c>
      <c r="J88" s="74"/>
    </row>
    <row r="89" spans="1:10" ht="83.55" hidden="1" customHeight="1" x14ac:dyDescent="0.45">
      <c r="A89" s="98" t="s">
        <v>212</v>
      </c>
      <c r="B89" s="98"/>
      <c r="C89" s="103" t="s">
        <v>148</v>
      </c>
      <c r="D89" s="100"/>
      <c r="E89" s="100" t="s">
        <v>213</v>
      </c>
      <c r="F89" s="104" t="s">
        <v>9</v>
      </c>
      <c r="G89" s="105">
        <v>0.3</v>
      </c>
      <c r="H89" s="105"/>
      <c r="I89" s="93">
        <v>32.171999999999997</v>
      </c>
      <c r="J89" s="106"/>
    </row>
    <row r="90" spans="1:10" hidden="1" x14ac:dyDescent="0.45">
      <c r="A90" s="98" t="s">
        <v>214</v>
      </c>
      <c r="B90" s="98"/>
      <c r="C90" s="103" t="s">
        <v>61</v>
      </c>
      <c r="D90" s="100"/>
      <c r="E90" s="100"/>
      <c r="F90" s="104" t="s">
        <v>9</v>
      </c>
      <c r="G90" s="105">
        <v>0.15</v>
      </c>
      <c r="H90" s="105"/>
      <c r="I90" s="93">
        <v>16.085999999999999</v>
      </c>
      <c r="J90" s="106"/>
    </row>
    <row r="91" spans="1:10" ht="46.5" customHeight="1" x14ac:dyDescent="0.45">
      <c r="A91" s="76" t="s">
        <v>215</v>
      </c>
      <c r="B91" s="76" t="s">
        <v>127</v>
      </c>
      <c r="C91" s="70" t="s">
        <v>128</v>
      </c>
      <c r="D91" s="71"/>
      <c r="E91" s="71" t="s">
        <v>216</v>
      </c>
      <c r="F91" s="71" t="s">
        <v>7</v>
      </c>
      <c r="G91" s="72">
        <v>1</v>
      </c>
      <c r="H91" s="72"/>
      <c r="I91" s="73">
        <v>3.42</v>
      </c>
      <c r="J91" s="74"/>
    </row>
    <row r="92" spans="1:10" hidden="1" x14ac:dyDescent="0.45">
      <c r="A92" s="98" t="s">
        <v>217</v>
      </c>
      <c r="B92" s="98"/>
      <c r="C92" s="103" t="s">
        <v>61</v>
      </c>
      <c r="D92" s="100"/>
      <c r="E92" s="100"/>
      <c r="F92" s="104" t="s">
        <v>9</v>
      </c>
      <c r="G92" s="105">
        <v>0.15</v>
      </c>
      <c r="H92" s="105"/>
      <c r="I92" s="93">
        <v>0.51300000000000001</v>
      </c>
      <c r="J92" s="106"/>
    </row>
    <row r="93" spans="1:10" ht="64.05" hidden="1" customHeight="1" x14ac:dyDescent="0.45">
      <c r="A93" s="98" t="s">
        <v>218</v>
      </c>
      <c r="B93" s="98"/>
      <c r="C93" s="103" t="s">
        <v>148</v>
      </c>
      <c r="D93" s="100"/>
      <c r="E93" s="100" t="s">
        <v>219</v>
      </c>
      <c r="F93" s="104" t="s">
        <v>9</v>
      </c>
      <c r="G93" s="105">
        <v>0.3</v>
      </c>
      <c r="H93" s="105"/>
      <c r="I93" s="93">
        <v>1.026</v>
      </c>
      <c r="J93" s="106"/>
    </row>
    <row r="94" spans="1:10" ht="51.45" customHeight="1" x14ac:dyDescent="0.45">
      <c r="A94" s="77" t="s">
        <v>220</v>
      </c>
      <c r="B94" s="77" t="s">
        <v>127</v>
      </c>
      <c r="C94" s="78" t="s">
        <v>128</v>
      </c>
      <c r="D94" s="79"/>
      <c r="E94" s="79" t="s">
        <v>221</v>
      </c>
      <c r="F94" s="79" t="s">
        <v>7</v>
      </c>
      <c r="G94" s="80">
        <v>1</v>
      </c>
      <c r="H94" s="80"/>
      <c r="I94" s="73">
        <v>357.68</v>
      </c>
      <c r="J94" s="74"/>
    </row>
    <row r="95" spans="1:10" ht="73.5" hidden="1" customHeight="1" x14ac:dyDescent="0.45">
      <c r="A95" s="98" t="s">
        <v>222</v>
      </c>
      <c r="B95" s="98"/>
      <c r="C95" s="103" t="s">
        <v>131</v>
      </c>
      <c r="D95" s="100"/>
      <c r="E95" s="100" t="s">
        <v>142</v>
      </c>
      <c r="F95" s="104" t="s">
        <v>9</v>
      </c>
      <c r="G95" s="105">
        <v>0.3</v>
      </c>
      <c r="H95" s="105"/>
      <c r="I95" s="93">
        <v>107.304</v>
      </c>
      <c r="J95" s="106"/>
    </row>
    <row r="96" spans="1:10" hidden="1" x14ac:dyDescent="0.45">
      <c r="A96" s="98" t="s">
        <v>223</v>
      </c>
      <c r="B96" s="98"/>
      <c r="C96" s="103" t="s">
        <v>61</v>
      </c>
      <c r="D96" s="100"/>
      <c r="E96" s="100"/>
      <c r="F96" s="104" t="s">
        <v>9</v>
      </c>
      <c r="G96" s="105">
        <v>0.15</v>
      </c>
      <c r="H96" s="105"/>
      <c r="I96" s="93">
        <v>53.652000000000001</v>
      </c>
      <c r="J96" s="106"/>
    </row>
    <row r="97" spans="1:10" ht="40.5" customHeight="1" x14ac:dyDescent="0.45">
      <c r="A97" s="76" t="s">
        <v>224</v>
      </c>
      <c r="B97" s="76" t="s">
        <v>127</v>
      </c>
      <c r="C97" s="70" t="s">
        <v>128</v>
      </c>
      <c r="D97" s="71"/>
      <c r="E97" s="71" t="s">
        <v>225</v>
      </c>
      <c r="F97" s="71" t="s">
        <v>7</v>
      </c>
      <c r="G97" s="72">
        <v>1</v>
      </c>
      <c r="H97" s="72"/>
      <c r="I97" s="73">
        <v>577.95000000000005</v>
      </c>
      <c r="J97" s="74"/>
    </row>
    <row r="98" spans="1:10" hidden="1" x14ac:dyDescent="0.45">
      <c r="A98" s="98" t="s">
        <v>226</v>
      </c>
      <c r="B98" s="98"/>
      <c r="C98" s="103" t="s">
        <v>61</v>
      </c>
      <c r="D98" s="100"/>
      <c r="E98" s="100"/>
      <c r="F98" s="104" t="s">
        <v>9</v>
      </c>
      <c r="G98" s="105">
        <v>0.15</v>
      </c>
      <c r="H98" s="105"/>
      <c r="I98" s="93">
        <v>86.692999999999998</v>
      </c>
      <c r="J98" s="106"/>
    </row>
    <row r="99" spans="1:10" ht="85.05" hidden="1" customHeight="1" x14ac:dyDescent="0.45">
      <c r="A99" s="98" t="s">
        <v>227</v>
      </c>
      <c r="B99" s="98"/>
      <c r="C99" s="103" t="s">
        <v>131</v>
      </c>
      <c r="D99" s="100"/>
      <c r="E99" s="100" t="s">
        <v>169</v>
      </c>
      <c r="F99" s="104" t="s">
        <v>9</v>
      </c>
      <c r="G99" s="105">
        <v>0.3</v>
      </c>
      <c r="H99" s="105"/>
      <c r="I99" s="93">
        <v>173.38499999999999</v>
      </c>
      <c r="J99" s="106"/>
    </row>
    <row r="100" spans="1:10" ht="46.5" customHeight="1" x14ac:dyDescent="0.45">
      <c r="A100" s="76" t="s">
        <v>228</v>
      </c>
      <c r="B100" s="76" t="s">
        <v>127</v>
      </c>
      <c r="C100" s="70" t="s">
        <v>128</v>
      </c>
      <c r="D100" s="71"/>
      <c r="E100" s="71" t="s">
        <v>229</v>
      </c>
      <c r="F100" s="71" t="s">
        <v>7</v>
      </c>
      <c r="G100" s="72">
        <v>1</v>
      </c>
      <c r="H100" s="72"/>
      <c r="I100" s="73">
        <v>0.73</v>
      </c>
      <c r="J100" s="74"/>
    </row>
    <row r="101" spans="1:10" ht="75" hidden="1" customHeight="1" x14ac:dyDescent="0.45">
      <c r="A101" s="98" t="s">
        <v>230</v>
      </c>
      <c r="B101" s="98"/>
      <c r="C101" s="103" t="s">
        <v>131</v>
      </c>
      <c r="D101" s="100"/>
      <c r="E101" s="100" t="s">
        <v>132</v>
      </c>
      <c r="F101" s="104" t="s">
        <v>9</v>
      </c>
      <c r="G101" s="105">
        <v>0.3</v>
      </c>
      <c r="H101" s="105"/>
      <c r="I101" s="93">
        <v>0.219</v>
      </c>
      <c r="J101" s="106"/>
    </row>
    <row r="102" spans="1:10" hidden="1" x14ac:dyDescent="0.45">
      <c r="A102" s="98" t="s">
        <v>231</v>
      </c>
      <c r="B102" s="98"/>
      <c r="C102" s="103" t="s">
        <v>61</v>
      </c>
      <c r="D102" s="100"/>
      <c r="E102" s="100"/>
      <c r="F102" s="104" t="s">
        <v>9</v>
      </c>
      <c r="G102" s="105">
        <v>0.15</v>
      </c>
      <c r="H102" s="105"/>
      <c r="I102" s="93">
        <v>0.11</v>
      </c>
      <c r="J102" s="106"/>
    </row>
    <row r="103" spans="1:10" ht="42" customHeight="1" x14ac:dyDescent="0.45">
      <c r="A103" s="76" t="s">
        <v>232</v>
      </c>
      <c r="B103" s="76" t="s">
        <v>127</v>
      </c>
      <c r="C103" s="70" t="s">
        <v>128</v>
      </c>
      <c r="D103" s="71"/>
      <c r="E103" s="71" t="s">
        <v>233</v>
      </c>
      <c r="F103" s="71" t="s">
        <v>7</v>
      </c>
      <c r="G103" s="72">
        <v>1</v>
      </c>
      <c r="H103" s="72"/>
      <c r="I103" s="73">
        <v>1.5</v>
      </c>
      <c r="J103" s="74"/>
    </row>
    <row r="104" spans="1:10" ht="1.05" hidden="1" customHeight="1" x14ac:dyDescent="0.45">
      <c r="A104" s="98" t="s">
        <v>234</v>
      </c>
      <c r="B104" s="98"/>
      <c r="C104" s="103" t="s">
        <v>61</v>
      </c>
      <c r="D104" s="100"/>
      <c r="E104" s="100"/>
      <c r="F104" s="104" t="s">
        <v>9</v>
      </c>
      <c r="G104" s="105">
        <v>0.15</v>
      </c>
      <c r="H104" s="105"/>
      <c r="I104" s="93">
        <v>0.22500000000000001</v>
      </c>
      <c r="J104" s="106"/>
    </row>
    <row r="105" spans="1:10" ht="9" hidden="1" customHeight="1" x14ac:dyDescent="0.45">
      <c r="A105" s="98" t="s">
        <v>235</v>
      </c>
      <c r="B105" s="98"/>
      <c r="C105" s="103" t="s">
        <v>131</v>
      </c>
      <c r="D105" s="100"/>
      <c r="E105" s="100" t="s">
        <v>138</v>
      </c>
      <c r="F105" s="104" t="s">
        <v>9</v>
      </c>
      <c r="G105" s="105">
        <v>0.3</v>
      </c>
      <c r="H105" s="105"/>
      <c r="I105" s="93">
        <v>0.45</v>
      </c>
      <c r="J105" s="106"/>
    </row>
    <row r="106" spans="1:10" ht="58.5" customHeight="1" x14ac:dyDescent="0.45">
      <c r="A106" s="76" t="s">
        <v>236</v>
      </c>
      <c r="B106" s="76" t="s">
        <v>127</v>
      </c>
      <c r="C106" s="70" t="s">
        <v>128</v>
      </c>
      <c r="D106" s="71"/>
      <c r="E106" s="71" t="s">
        <v>237</v>
      </c>
      <c r="F106" s="71" t="s">
        <v>7</v>
      </c>
      <c r="G106" s="72">
        <v>1</v>
      </c>
      <c r="H106" s="72"/>
      <c r="I106" s="73">
        <v>79.66</v>
      </c>
      <c r="J106" s="74"/>
    </row>
    <row r="107" spans="1:10" ht="90" hidden="1" customHeight="1" x14ac:dyDescent="0.45">
      <c r="A107" s="98" t="s">
        <v>238</v>
      </c>
      <c r="B107" s="98"/>
      <c r="C107" s="103" t="s">
        <v>148</v>
      </c>
      <c r="D107" s="100"/>
      <c r="E107" s="100" t="s">
        <v>173</v>
      </c>
      <c r="F107" s="104" t="s">
        <v>9</v>
      </c>
      <c r="G107" s="105">
        <v>0.3</v>
      </c>
      <c r="H107" s="105"/>
      <c r="I107" s="93">
        <v>23.898</v>
      </c>
      <c r="J107" s="106"/>
    </row>
    <row r="108" spans="1:10" hidden="1" x14ac:dyDescent="0.45">
      <c r="A108" s="98" t="s">
        <v>239</v>
      </c>
      <c r="B108" s="98"/>
      <c r="C108" s="103" t="s">
        <v>61</v>
      </c>
      <c r="D108" s="100"/>
      <c r="E108" s="100"/>
      <c r="F108" s="104" t="s">
        <v>9</v>
      </c>
      <c r="G108" s="105">
        <v>0.15</v>
      </c>
      <c r="H108" s="105"/>
      <c r="I108" s="93">
        <v>11.949</v>
      </c>
      <c r="J108" s="106"/>
    </row>
    <row r="109" spans="1:10" ht="43.5" customHeight="1" x14ac:dyDescent="0.45">
      <c r="A109" s="76" t="s">
        <v>240</v>
      </c>
      <c r="B109" s="76" t="s">
        <v>127</v>
      </c>
      <c r="C109" s="70" t="s">
        <v>128</v>
      </c>
      <c r="D109" s="71"/>
      <c r="E109" s="71" t="s">
        <v>241</v>
      </c>
      <c r="F109" s="71" t="s">
        <v>7</v>
      </c>
      <c r="G109" s="72">
        <v>1</v>
      </c>
      <c r="H109" s="72"/>
      <c r="I109" s="73">
        <v>80.790000000000006</v>
      </c>
      <c r="J109" s="74"/>
    </row>
    <row r="110" spans="1:10" hidden="1" x14ac:dyDescent="0.45">
      <c r="A110" s="98" t="s">
        <v>242</v>
      </c>
      <c r="B110" s="98"/>
      <c r="C110" s="103" t="s">
        <v>61</v>
      </c>
      <c r="D110" s="100"/>
      <c r="E110" s="100"/>
      <c r="F110" s="104" t="s">
        <v>9</v>
      </c>
      <c r="G110" s="105">
        <v>0.15</v>
      </c>
      <c r="H110" s="105"/>
      <c r="I110" s="93">
        <v>12.119</v>
      </c>
      <c r="J110" s="106"/>
    </row>
    <row r="111" spans="1:10" ht="57" hidden="1" customHeight="1" x14ac:dyDescent="0.45">
      <c r="A111" s="98" t="s">
        <v>243</v>
      </c>
      <c r="B111" s="98"/>
      <c r="C111" s="103" t="s">
        <v>148</v>
      </c>
      <c r="D111" s="100"/>
      <c r="E111" s="100" t="s">
        <v>149</v>
      </c>
      <c r="F111" s="104" t="s">
        <v>9</v>
      </c>
      <c r="G111" s="105">
        <v>0.3</v>
      </c>
      <c r="H111" s="105"/>
      <c r="I111" s="93">
        <v>24.236999999999998</v>
      </c>
      <c r="J111" s="106"/>
    </row>
    <row r="112" spans="1:10" ht="55.95" customHeight="1" x14ac:dyDescent="0.45">
      <c r="A112" s="76" t="s">
        <v>244</v>
      </c>
      <c r="B112" s="76" t="s">
        <v>127</v>
      </c>
      <c r="C112" s="70" t="s">
        <v>128</v>
      </c>
      <c r="D112" s="71"/>
      <c r="E112" s="71" t="s">
        <v>245</v>
      </c>
      <c r="F112" s="71" t="s">
        <v>7</v>
      </c>
      <c r="G112" s="72">
        <v>1</v>
      </c>
      <c r="H112" s="72"/>
      <c r="I112" s="73">
        <v>26.92</v>
      </c>
      <c r="J112" s="74"/>
    </row>
    <row r="113" spans="1:10" ht="76.95" hidden="1" customHeight="1" x14ac:dyDescent="0.45">
      <c r="A113" s="98" t="s">
        <v>246</v>
      </c>
      <c r="B113" s="98"/>
      <c r="C113" s="103" t="s">
        <v>148</v>
      </c>
      <c r="D113" s="100"/>
      <c r="E113" s="100" t="s">
        <v>247</v>
      </c>
      <c r="F113" s="104" t="s">
        <v>9</v>
      </c>
      <c r="G113" s="105">
        <v>0.3</v>
      </c>
      <c r="H113" s="105"/>
      <c r="I113" s="93">
        <v>8.0760000000000005</v>
      </c>
      <c r="J113" s="106"/>
    </row>
    <row r="114" spans="1:10" hidden="1" x14ac:dyDescent="0.45">
      <c r="A114" s="98" t="s">
        <v>248</v>
      </c>
      <c r="B114" s="98"/>
      <c r="C114" s="103" t="s">
        <v>61</v>
      </c>
      <c r="D114" s="100"/>
      <c r="E114" s="100"/>
      <c r="F114" s="104" t="s">
        <v>9</v>
      </c>
      <c r="G114" s="105">
        <v>0.15</v>
      </c>
      <c r="H114" s="105"/>
      <c r="I114" s="93">
        <v>4.0380000000000003</v>
      </c>
      <c r="J114" s="106"/>
    </row>
    <row r="115" spans="1:10" ht="47.55" customHeight="1" x14ac:dyDescent="0.45">
      <c r="A115" s="76" t="s">
        <v>249</v>
      </c>
      <c r="B115" s="76" t="s">
        <v>127</v>
      </c>
      <c r="C115" s="70" t="s">
        <v>128</v>
      </c>
      <c r="D115" s="71"/>
      <c r="E115" s="71" t="s">
        <v>250</v>
      </c>
      <c r="F115" s="71" t="s">
        <v>7</v>
      </c>
      <c r="G115" s="72">
        <v>1</v>
      </c>
      <c r="H115" s="72"/>
      <c r="I115" s="73">
        <v>28.35</v>
      </c>
      <c r="J115" s="74"/>
    </row>
    <row r="116" spans="1:10" hidden="1" x14ac:dyDescent="0.45">
      <c r="A116" s="98" t="s">
        <v>251</v>
      </c>
      <c r="B116" s="98"/>
      <c r="C116" s="103" t="s">
        <v>61</v>
      </c>
      <c r="D116" s="100"/>
      <c r="E116" s="100"/>
      <c r="F116" s="104" t="s">
        <v>9</v>
      </c>
      <c r="G116" s="105">
        <v>0.15</v>
      </c>
      <c r="H116" s="105"/>
      <c r="I116" s="93">
        <v>4.2530000000000001</v>
      </c>
      <c r="J116" s="106"/>
    </row>
    <row r="117" spans="1:10" ht="77.55" hidden="1" customHeight="1" x14ac:dyDescent="0.45">
      <c r="A117" s="98" t="s">
        <v>252</v>
      </c>
      <c r="B117" s="98"/>
      <c r="C117" s="103" t="s">
        <v>148</v>
      </c>
      <c r="D117" s="100"/>
      <c r="E117" s="100" t="s">
        <v>253</v>
      </c>
      <c r="F117" s="104" t="s">
        <v>9</v>
      </c>
      <c r="G117" s="105">
        <v>0.3</v>
      </c>
      <c r="H117" s="105"/>
      <c r="I117" s="93">
        <v>8.5050000000000008</v>
      </c>
      <c r="J117" s="106"/>
    </row>
    <row r="118" spans="1:10" ht="52.5" customHeight="1" x14ac:dyDescent="0.45">
      <c r="A118" s="76" t="s">
        <v>254</v>
      </c>
      <c r="B118" s="76" t="s">
        <v>127</v>
      </c>
      <c r="C118" s="70" t="s">
        <v>128</v>
      </c>
      <c r="D118" s="71"/>
      <c r="E118" s="71" t="s">
        <v>255</v>
      </c>
      <c r="F118" s="71" t="s">
        <v>7</v>
      </c>
      <c r="G118" s="72">
        <v>1</v>
      </c>
      <c r="H118" s="72"/>
      <c r="I118" s="73">
        <v>26.03</v>
      </c>
      <c r="J118" s="74"/>
    </row>
    <row r="119" spans="1:10" ht="75" hidden="1" customHeight="1" x14ac:dyDescent="0.45">
      <c r="A119" s="98" t="s">
        <v>256</v>
      </c>
      <c r="B119" s="98"/>
      <c r="C119" s="103" t="s">
        <v>148</v>
      </c>
      <c r="D119" s="100"/>
      <c r="E119" s="100" t="s">
        <v>159</v>
      </c>
      <c r="F119" s="104" t="s">
        <v>9</v>
      </c>
      <c r="G119" s="105">
        <v>0.3</v>
      </c>
      <c r="H119" s="105"/>
      <c r="I119" s="93">
        <v>7.8090000000000002</v>
      </c>
      <c r="J119" s="106"/>
    </row>
    <row r="120" spans="1:10" hidden="1" x14ac:dyDescent="0.45">
      <c r="A120" s="98" t="s">
        <v>257</v>
      </c>
      <c r="B120" s="98"/>
      <c r="C120" s="103" t="s">
        <v>61</v>
      </c>
      <c r="D120" s="100"/>
      <c r="E120" s="100"/>
      <c r="F120" s="104" t="s">
        <v>9</v>
      </c>
      <c r="G120" s="105">
        <v>0.15</v>
      </c>
      <c r="H120" s="105"/>
      <c r="I120" s="93">
        <v>3.9049999999999998</v>
      </c>
      <c r="J120" s="106"/>
    </row>
    <row r="121" spans="1:10" ht="42" customHeight="1" x14ac:dyDescent="0.45">
      <c r="A121" s="76" t="s">
        <v>258</v>
      </c>
      <c r="B121" s="76" t="s">
        <v>127</v>
      </c>
      <c r="C121" s="70" t="s">
        <v>128</v>
      </c>
      <c r="D121" s="71"/>
      <c r="E121" s="71" t="s">
        <v>259</v>
      </c>
      <c r="F121" s="71" t="s">
        <v>7</v>
      </c>
      <c r="G121" s="72">
        <v>1</v>
      </c>
      <c r="H121" s="72"/>
      <c r="I121" s="73">
        <v>34.79</v>
      </c>
      <c r="J121" s="74"/>
    </row>
    <row r="122" spans="1:10" hidden="1" x14ac:dyDescent="0.45">
      <c r="A122" s="98" t="s">
        <v>260</v>
      </c>
      <c r="B122" s="98"/>
      <c r="C122" s="103" t="s">
        <v>61</v>
      </c>
      <c r="D122" s="100"/>
      <c r="E122" s="100"/>
      <c r="F122" s="104" t="s">
        <v>9</v>
      </c>
      <c r="G122" s="105">
        <v>0.15</v>
      </c>
      <c r="H122" s="105"/>
      <c r="I122" s="93">
        <v>5.2190000000000003</v>
      </c>
      <c r="J122" s="106"/>
    </row>
    <row r="123" spans="1:10" ht="73.5" hidden="1" customHeight="1" x14ac:dyDescent="0.45">
      <c r="A123" s="98" t="s">
        <v>261</v>
      </c>
      <c r="B123" s="98"/>
      <c r="C123" s="103" t="s">
        <v>262</v>
      </c>
      <c r="D123" s="100"/>
      <c r="E123" s="100" t="s">
        <v>184</v>
      </c>
      <c r="F123" s="104" t="s">
        <v>9</v>
      </c>
      <c r="G123" s="105">
        <v>0.3</v>
      </c>
      <c r="H123" s="105"/>
      <c r="I123" s="93">
        <v>10.436999999999999</v>
      </c>
      <c r="J123" s="106"/>
    </row>
    <row r="124" spans="1:10" ht="46.5" customHeight="1" x14ac:dyDescent="0.45">
      <c r="A124" s="76" t="s">
        <v>263</v>
      </c>
      <c r="B124" s="76" t="s">
        <v>127</v>
      </c>
      <c r="C124" s="70" t="s">
        <v>128</v>
      </c>
      <c r="D124" s="71"/>
      <c r="E124" s="71" t="s">
        <v>264</v>
      </c>
      <c r="F124" s="71" t="s">
        <v>7</v>
      </c>
      <c r="G124" s="72">
        <v>1</v>
      </c>
      <c r="H124" s="72"/>
      <c r="I124" s="73">
        <v>58.73</v>
      </c>
      <c r="J124" s="74"/>
    </row>
    <row r="125" spans="1:10" ht="76.05" hidden="1" customHeight="1" x14ac:dyDescent="0.45">
      <c r="A125" s="98" t="s">
        <v>265</v>
      </c>
      <c r="B125" s="98"/>
      <c r="C125" s="103" t="s">
        <v>148</v>
      </c>
      <c r="D125" s="100"/>
      <c r="E125" s="100" t="s">
        <v>266</v>
      </c>
      <c r="F125" s="104" t="s">
        <v>9</v>
      </c>
      <c r="G125" s="105">
        <v>0.3</v>
      </c>
      <c r="H125" s="105"/>
      <c r="I125" s="93">
        <v>17.619</v>
      </c>
      <c r="J125" s="106"/>
    </row>
    <row r="126" spans="1:10" hidden="1" x14ac:dyDescent="0.45">
      <c r="A126" s="98" t="s">
        <v>267</v>
      </c>
      <c r="B126" s="98"/>
      <c r="C126" s="103" t="s">
        <v>61</v>
      </c>
      <c r="D126" s="100"/>
      <c r="E126" s="100"/>
      <c r="F126" s="104" t="s">
        <v>9</v>
      </c>
      <c r="G126" s="105">
        <v>0.15</v>
      </c>
      <c r="H126" s="105"/>
      <c r="I126" s="93">
        <v>8.81</v>
      </c>
      <c r="J126" s="106"/>
    </row>
    <row r="127" spans="1:10" ht="49.05" customHeight="1" x14ac:dyDescent="0.45">
      <c r="A127" s="76" t="s">
        <v>268</v>
      </c>
      <c r="B127" s="76" t="s">
        <v>127</v>
      </c>
      <c r="C127" s="70" t="s">
        <v>128</v>
      </c>
      <c r="D127" s="71"/>
      <c r="E127" s="71" t="s">
        <v>269</v>
      </c>
      <c r="F127" s="71" t="s">
        <v>7</v>
      </c>
      <c r="G127" s="72">
        <v>1</v>
      </c>
      <c r="H127" s="72"/>
      <c r="I127" s="73">
        <v>30.71</v>
      </c>
      <c r="J127" s="74"/>
    </row>
    <row r="128" spans="1:10" hidden="1" x14ac:dyDescent="0.45">
      <c r="A128" s="98" t="s">
        <v>270</v>
      </c>
      <c r="B128" s="98"/>
      <c r="C128" s="103" t="s">
        <v>61</v>
      </c>
      <c r="D128" s="100"/>
      <c r="E128" s="100"/>
      <c r="F128" s="104" t="s">
        <v>9</v>
      </c>
      <c r="G128" s="105">
        <v>0.15</v>
      </c>
      <c r="H128" s="105"/>
      <c r="I128" s="93">
        <v>4.6070000000000002</v>
      </c>
      <c r="J128" s="106"/>
    </row>
    <row r="129" spans="1:10" ht="57.45" hidden="1" customHeight="1" x14ac:dyDescent="0.45">
      <c r="A129" s="98" t="s">
        <v>271</v>
      </c>
      <c r="B129" s="98"/>
      <c r="C129" s="103" t="s">
        <v>148</v>
      </c>
      <c r="D129" s="100"/>
      <c r="E129" s="100" t="s">
        <v>193</v>
      </c>
      <c r="F129" s="104" t="s">
        <v>9</v>
      </c>
      <c r="G129" s="105">
        <v>0.3</v>
      </c>
      <c r="H129" s="105"/>
      <c r="I129" s="93">
        <v>9.2129999999999992</v>
      </c>
      <c r="J129" s="106"/>
    </row>
    <row r="130" spans="1:10" ht="64.5" customHeight="1" x14ac:dyDescent="0.45">
      <c r="A130" s="76" t="s">
        <v>272</v>
      </c>
      <c r="B130" s="76" t="s">
        <v>127</v>
      </c>
      <c r="C130" s="70" t="s">
        <v>128</v>
      </c>
      <c r="D130" s="71"/>
      <c r="E130" s="71" t="s">
        <v>273</v>
      </c>
      <c r="F130" s="71" t="s">
        <v>7</v>
      </c>
      <c r="G130" s="72">
        <v>1</v>
      </c>
      <c r="H130" s="72"/>
      <c r="I130" s="73">
        <v>1281.17</v>
      </c>
      <c r="J130" s="74"/>
    </row>
    <row r="131" spans="1:10" ht="26.55" hidden="1" customHeight="1" x14ac:dyDescent="0.45">
      <c r="A131" s="98" t="s">
        <v>274</v>
      </c>
      <c r="B131" s="98"/>
      <c r="C131" s="103" t="s">
        <v>131</v>
      </c>
      <c r="D131" s="100"/>
      <c r="E131" s="100"/>
      <c r="F131" s="104" t="s">
        <v>9</v>
      </c>
      <c r="G131" s="105">
        <v>0.3</v>
      </c>
      <c r="H131" s="105"/>
      <c r="I131" s="93">
        <v>384.351</v>
      </c>
      <c r="J131" s="106"/>
    </row>
    <row r="132" spans="1:10" hidden="1" x14ac:dyDescent="0.45">
      <c r="A132" s="98" t="s">
        <v>275</v>
      </c>
      <c r="B132" s="98"/>
      <c r="C132" s="103" t="s">
        <v>61</v>
      </c>
      <c r="D132" s="100"/>
      <c r="E132" s="100"/>
      <c r="F132" s="104" t="s">
        <v>9</v>
      </c>
      <c r="G132" s="105">
        <v>0.15</v>
      </c>
      <c r="H132" s="105"/>
      <c r="I132" s="93">
        <v>192.17599999999999</v>
      </c>
      <c r="J132" s="106"/>
    </row>
    <row r="133" spans="1:10" ht="43.95" customHeight="1" x14ac:dyDescent="0.45">
      <c r="A133" s="76" t="s">
        <v>276</v>
      </c>
      <c r="B133" s="76" t="s">
        <v>127</v>
      </c>
      <c r="C133" s="70" t="s">
        <v>128</v>
      </c>
      <c r="D133" s="71"/>
      <c r="E133" s="71" t="s">
        <v>277</v>
      </c>
      <c r="F133" s="71" t="s">
        <v>7</v>
      </c>
      <c r="G133" s="72">
        <v>1</v>
      </c>
      <c r="H133" s="72"/>
      <c r="I133" s="73">
        <v>8.82</v>
      </c>
      <c r="J133" s="74"/>
    </row>
    <row r="134" spans="1:10" hidden="1" x14ac:dyDescent="0.45">
      <c r="A134" s="98" t="s">
        <v>278</v>
      </c>
      <c r="B134" s="98"/>
      <c r="C134" s="103" t="s">
        <v>61</v>
      </c>
      <c r="D134" s="100"/>
      <c r="E134" s="100"/>
      <c r="F134" s="104" t="s">
        <v>9</v>
      </c>
      <c r="G134" s="105">
        <v>0.15</v>
      </c>
      <c r="H134" s="105"/>
      <c r="I134" s="93">
        <v>1.323</v>
      </c>
      <c r="J134" s="106"/>
    </row>
    <row r="135" spans="1:10" ht="75" hidden="1" customHeight="1" x14ac:dyDescent="0.45">
      <c r="A135" s="98" t="s">
        <v>279</v>
      </c>
      <c r="B135" s="98"/>
      <c r="C135" s="103" t="s">
        <v>131</v>
      </c>
      <c r="D135" s="100"/>
      <c r="E135" s="100" t="s">
        <v>203</v>
      </c>
      <c r="F135" s="104" t="s">
        <v>9</v>
      </c>
      <c r="G135" s="105">
        <v>0.3</v>
      </c>
      <c r="H135" s="105"/>
      <c r="I135" s="93">
        <v>2.6459999999999999</v>
      </c>
      <c r="J135" s="106"/>
    </row>
    <row r="136" spans="1:10" ht="39" customHeight="1" x14ac:dyDescent="0.45">
      <c r="A136" s="76" t="s">
        <v>280</v>
      </c>
      <c r="B136" s="76" t="s">
        <v>127</v>
      </c>
      <c r="C136" s="70" t="s">
        <v>128</v>
      </c>
      <c r="D136" s="71"/>
      <c r="E136" s="71" t="s">
        <v>281</v>
      </c>
      <c r="F136" s="71" t="s">
        <v>7</v>
      </c>
      <c r="G136" s="72">
        <v>1</v>
      </c>
      <c r="H136" s="72"/>
      <c r="I136" s="73">
        <v>24.88</v>
      </c>
      <c r="J136" s="74"/>
    </row>
    <row r="137" spans="1:10" ht="62.55" hidden="1" customHeight="1" x14ac:dyDescent="0.45">
      <c r="A137" s="109" t="s">
        <v>282</v>
      </c>
      <c r="B137" s="109"/>
      <c r="C137" s="110" t="s">
        <v>131</v>
      </c>
      <c r="D137" s="111"/>
      <c r="E137" s="111" t="s">
        <v>283</v>
      </c>
      <c r="F137" s="112" t="s">
        <v>9</v>
      </c>
      <c r="G137" s="113">
        <v>0.3</v>
      </c>
      <c r="H137" s="113"/>
      <c r="I137" s="93">
        <v>7.4640000000000004</v>
      </c>
      <c r="J137" s="114"/>
    </row>
    <row r="138" spans="1:10" hidden="1" x14ac:dyDescent="0.45">
      <c r="A138" s="109" t="s">
        <v>284</v>
      </c>
      <c r="B138" s="109"/>
      <c r="C138" s="110" t="s">
        <v>61</v>
      </c>
      <c r="D138" s="111"/>
      <c r="E138" s="111"/>
      <c r="F138" s="112" t="s">
        <v>9</v>
      </c>
      <c r="G138" s="113">
        <v>0.15</v>
      </c>
      <c r="H138" s="113"/>
      <c r="I138" s="93">
        <v>3.7320000000000002</v>
      </c>
      <c r="J138" s="114"/>
    </row>
    <row r="139" spans="1:10" ht="40.5" customHeight="1" x14ac:dyDescent="0.45">
      <c r="A139" s="76" t="s">
        <v>285</v>
      </c>
      <c r="B139" s="76" t="s">
        <v>127</v>
      </c>
      <c r="C139" s="70" t="s">
        <v>128</v>
      </c>
      <c r="D139" s="71"/>
      <c r="E139" s="71" t="s">
        <v>286</v>
      </c>
      <c r="F139" s="71" t="s">
        <v>7</v>
      </c>
      <c r="G139" s="72">
        <v>1</v>
      </c>
      <c r="H139" s="72"/>
      <c r="I139" s="73">
        <v>28.85</v>
      </c>
      <c r="J139" s="74"/>
    </row>
    <row r="140" spans="1:10" hidden="1" x14ac:dyDescent="0.45">
      <c r="A140" s="109" t="s">
        <v>287</v>
      </c>
      <c r="B140" s="109"/>
      <c r="C140" s="110" t="s">
        <v>61</v>
      </c>
      <c r="D140" s="111"/>
      <c r="E140" s="111"/>
      <c r="F140" s="112" t="s">
        <v>9</v>
      </c>
      <c r="G140" s="113">
        <v>0.15</v>
      </c>
      <c r="H140" s="113"/>
      <c r="I140" s="93">
        <v>4.3280000000000003</v>
      </c>
      <c r="J140" s="114"/>
    </row>
    <row r="141" spans="1:10" ht="76.05" hidden="1" customHeight="1" x14ac:dyDescent="0.45">
      <c r="A141" s="109" t="s">
        <v>288</v>
      </c>
      <c r="B141" s="109"/>
      <c r="C141" s="110" t="s">
        <v>148</v>
      </c>
      <c r="D141" s="111"/>
      <c r="E141" s="111" t="s">
        <v>289</v>
      </c>
      <c r="F141" s="112" t="s">
        <v>9</v>
      </c>
      <c r="G141" s="113">
        <v>0.3</v>
      </c>
      <c r="H141" s="113"/>
      <c r="I141" s="93">
        <v>8.6549999999999994</v>
      </c>
      <c r="J141" s="114"/>
    </row>
    <row r="142" spans="1:10" ht="40.950000000000003" customHeight="1" x14ac:dyDescent="0.45">
      <c r="A142" s="76" t="s">
        <v>290</v>
      </c>
      <c r="B142" s="76" t="s">
        <v>127</v>
      </c>
      <c r="C142" s="70" t="s">
        <v>128</v>
      </c>
      <c r="D142" s="71"/>
      <c r="E142" s="71" t="s">
        <v>291</v>
      </c>
      <c r="F142" s="71" t="s">
        <v>7</v>
      </c>
      <c r="G142" s="72">
        <v>1</v>
      </c>
      <c r="H142" s="72"/>
      <c r="I142" s="73">
        <v>3.12</v>
      </c>
      <c r="J142" s="74"/>
    </row>
    <row r="143" spans="1:10" ht="58.95" hidden="1" customHeight="1" x14ac:dyDescent="0.45">
      <c r="A143" s="109" t="s">
        <v>292</v>
      </c>
      <c r="B143" s="109"/>
      <c r="C143" s="110" t="s">
        <v>148</v>
      </c>
      <c r="D143" s="111"/>
      <c r="E143" s="111" t="s">
        <v>219</v>
      </c>
      <c r="F143" s="112" t="s">
        <v>9</v>
      </c>
      <c r="G143" s="113">
        <v>0.3</v>
      </c>
      <c r="H143" s="113"/>
      <c r="I143" s="93">
        <v>0.93600000000000005</v>
      </c>
      <c r="J143" s="114"/>
    </row>
    <row r="144" spans="1:10" hidden="1" x14ac:dyDescent="0.45">
      <c r="A144" s="109" t="s">
        <v>293</v>
      </c>
      <c r="B144" s="109"/>
      <c r="C144" s="110" t="s">
        <v>61</v>
      </c>
      <c r="D144" s="111"/>
      <c r="E144" s="111"/>
      <c r="F144" s="112" t="s">
        <v>9</v>
      </c>
      <c r="G144" s="113">
        <v>0.15</v>
      </c>
      <c r="H144" s="113"/>
      <c r="I144" s="93">
        <v>0.46800000000000003</v>
      </c>
      <c r="J144" s="114"/>
    </row>
    <row r="145" spans="1:10" ht="35.549999999999997" customHeight="1" x14ac:dyDescent="0.45">
      <c r="A145" s="66" t="s">
        <v>294</v>
      </c>
      <c r="B145" s="66" t="s">
        <v>295</v>
      </c>
      <c r="C145" s="67" t="s">
        <v>296</v>
      </c>
      <c r="D145" s="67"/>
      <c r="E145" s="67"/>
      <c r="F145" s="67"/>
      <c r="G145" s="67"/>
      <c r="H145" s="67"/>
      <c r="I145" s="140"/>
      <c r="J145" s="142"/>
    </row>
    <row r="146" spans="1:10" ht="42.45" customHeight="1" x14ac:dyDescent="0.45">
      <c r="A146" s="76" t="s">
        <v>297</v>
      </c>
      <c r="B146" s="76" t="s">
        <v>298</v>
      </c>
      <c r="C146" s="70" t="s">
        <v>299</v>
      </c>
      <c r="D146" s="71"/>
      <c r="E146" s="71" t="s">
        <v>300</v>
      </c>
      <c r="F146" s="71" t="s">
        <v>7</v>
      </c>
      <c r="G146" s="72">
        <v>1</v>
      </c>
      <c r="H146" s="72"/>
      <c r="I146" s="73">
        <v>433.87</v>
      </c>
      <c r="J146" s="74"/>
    </row>
    <row r="147" spans="1:10" ht="94.5" hidden="1" customHeight="1" x14ac:dyDescent="0.45">
      <c r="A147" s="109" t="s">
        <v>301</v>
      </c>
      <c r="B147" s="109"/>
      <c r="C147" s="110" t="s">
        <v>302</v>
      </c>
      <c r="D147" s="111"/>
      <c r="E147" s="111" t="s">
        <v>303</v>
      </c>
      <c r="F147" s="112" t="s">
        <v>7</v>
      </c>
      <c r="G147" s="113">
        <v>1</v>
      </c>
      <c r="H147" s="113"/>
      <c r="I147" s="93">
        <v>433.87</v>
      </c>
      <c r="J147" s="114"/>
    </row>
    <row r="148" spans="1:10" ht="44.55" customHeight="1" x14ac:dyDescent="0.45">
      <c r="A148" s="76" t="s">
        <v>304</v>
      </c>
      <c r="B148" s="76" t="s">
        <v>298</v>
      </c>
      <c r="C148" s="70" t="s">
        <v>299</v>
      </c>
      <c r="D148" s="71"/>
      <c r="E148" s="71" t="s">
        <v>305</v>
      </c>
      <c r="F148" s="71" t="s">
        <v>7</v>
      </c>
      <c r="G148" s="72">
        <v>1</v>
      </c>
      <c r="H148" s="72"/>
      <c r="I148" s="73">
        <v>1422.4</v>
      </c>
      <c r="J148" s="74"/>
    </row>
    <row r="149" spans="1:10" ht="90.45" hidden="1" customHeight="1" x14ac:dyDescent="0.45">
      <c r="A149" s="109" t="s">
        <v>306</v>
      </c>
      <c r="B149" s="109"/>
      <c r="C149" s="110" t="s">
        <v>307</v>
      </c>
      <c r="D149" s="111"/>
      <c r="E149" s="111" t="s">
        <v>308</v>
      </c>
      <c r="F149" s="112" t="s">
        <v>7</v>
      </c>
      <c r="G149" s="113">
        <v>1.1000000000000001</v>
      </c>
      <c r="H149" s="113"/>
      <c r="I149" s="93">
        <v>1564.64</v>
      </c>
      <c r="J149" s="114"/>
    </row>
    <row r="150" spans="1:10" ht="53.55" customHeight="1" x14ac:dyDescent="0.45">
      <c r="A150" s="76" t="s">
        <v>309</v>
      </c>
      <c r="B150" s="76" t="s">
        <v>298</v>
      </c>
      <c r="C150" s="70" t="s">
        <v>299</v>
      </c>
      <c r="D150" s="71"/>
      <c r="E150" s="71" t="s">
        <v>310</v>
      </c>
      <c r="F150" s="71" t="s">
        <v>7</v>
      </c>
      <c r="G150" s="72">
        <v>1</v>
      </c>
      <c r="H150" s="72"/>
      <c r="I150" s="73">
        <v>34.450000000000003</v>
      </c>
      <c r="J150" s="74"/>
    </row>
    <row r="151" spans="1:10" ht="91.05" hidden="1" customHeight="1" x14ac:dyDescent="0.45">
      <c r="A151" s="98" t="s">
        <v>311</v>
      </c>
      <c r="B151" s="98"/>
      <c r="C151" s="115" t="s">
        <v>312</v>
      </c>
      <c r="D151" s="100"/>
      <c r="E151" s="100" t="s">
        <v>313</v>
      </c>
      <c r="F151" s="104" t="s">
        <v>7</v>
      </c>
      <c r="G151" s="105">
        <v>1.1000000000000001</v>
      </c>
      <c r="H151" s="105"/>
      <c r="I151" s="93">
        <v>37.895000000000003</v>
      </c>
      <c r="J151" s="106"/>
    </row>
    <row r="152" spans="1:10" ht="45.45" customHeight="1" x14ac:dyDescent="0.45">
      <c r="A152" s="76" t="s">
        <v>314</v>
      </c>
      <c r="B152" s="76" t="s">
        <v>298</v>
      </c>
      <c r="C152" s="70" t="s">
        <v>299</v>
      </c>
      <c r="D152" s="71"/>
      <c r="E152" s="71" t="s">
        <v>315</v>
      </c>
      <c r="F152" s="71" t="s">
        <v>7</v>
      </c>
      <c r="G152" s="72">
        <v>1</v>
      </c>
      <c r="H152" s="72"/>
      <c r="I152" s="73">
        <v>83.7</v>
      </c>
      <c r="J152" s="74"/>
    </row>
    <row r="153" spans="1:10" ht="36" hidden="1" x14ac:dyDescent="0.45">
      <c r="A153" s="98" t="s">
        <v>316</v>
      </c>
      <c r="B153" s="98"/>
      <c r="C153" s="116" t="s">
        <v>317</v>
      </c>
      <c r="D153" s="100"/>
      <c r="E153" s="100"/>
      <c r="F153" s="104" t="s">
        <v>7</v>
      </c>
      <c r="G153" s="105">
        <v>1.1000000000000001</v>
      </c>
      <c r="H153" s="105"/>
      <c r="I153" s="93">
        <v>92.07</v>
      </c>
      <c r="J153" s="106"/>
    </row>
    <row r="154" spans="1:10" ht="43.95" customHeight="1" x14ac:dyDescent="0.45">
      <c r="A154" s="76" t="s">
        <v>318</v>
      </c>
      <c r="B154" s="76" t="s">
        <v>298</v>
      </c>
      <c r="C154" s="70" t="s">
        <v>299</v>
      </c>
      <c r="D154" s="71"/>
      <c r="E154" s="71" t="s">
        <v>319</v>
      </c>
      <c r="F154" s="71" t="s">
        <v>7</v>
      </c>
      <c r="G154" s="72">
        <v>1</v>
      </c>
      <c r="H154" s="72"/>
      <c r="I154" s="73">
        <v>54.99</v>
      </c>
      <c r="J154" s="74"/>
    </row>
    <row r="155" spans="1:10" ht="36" hidden="1" x14ac:dyDescent="0.45">
      <c r="A155" s="69" t="s">
        <v>320</v>
      </c>
      <c r="B155" s="69"/>
      <c r="C155" s="117" t="s">
        <v>321</v>
      </c>
      <c r="D155" s="71"/>
      <c r="E155" s="71"/>
      <c r="F155" s="108" t="s">
        <v>7</v>
      </c>
      <c r="G155" s="96">
        <v>1.1000000000000001</v>
      </c>
      <c r="H155" s="118"/>
      <c r="I155" s="93">
        <v>60.488999999999997</v>
      </c>
      <c r="J155" s="97"/>
    </row>
    <row r="156" spans="1:10" ht="42" customHeight="1" x14ac:dyDescent="0.45">
      <c r="A156" s="76" t="s">
        <v>322</v>
      </c>
      <c r="B156" s="76" t="s">
        <v>298</v>
      </c>
      <c r="C156" s="70" t="s">
        <v>299</v>
      </c>
      <c r="D156" s="71"/>
      <c r="E156" s="71" t="s">
        <v>323</v>
      </c>
      <c r="F156" s="71" t="s">
        <v>7</v>
      </c>
      <c r="G156" s="72">
        <v>1</v>
      </c>
      <c r="H156" s="72"/>
      <c r="I156" s="73">
        <v>388.35</v>
      </c>
      <c r="J156" s="74"/>
    </row>
    <row r="157" spans="1:10" ht="94.5" hidden="1" customHeight="1" x14ac:dyDescent="0.45">
      <c r="A157" s="69" t="s">
        <v>324</v>
      </c>
      <c r="B157" s="69"/>
      <c r="C157" s="107" t="s">
        <v>302</v>
      </c>
      <c r="D157" s="71"/>
      <c r="E157" s="111" t="s">
        <v>325</v>
      </c>
      <c r="F157" s="112" t="s">
        <v>7</v>
      </c>
      <c r="G157" s="113">
        <v>1</v>
      </c>
      <c r="H157" s="113"/>
      <c r="I157" s="93">
        <v>388.35</v>
      </c>
      <c r="J157" s="114"/>
    </row>
    <row r="158" spans="1:10" ht="40.950000000000003" customHeight="1" x14ac:dyDescent="0.45">
      <c r="A158" s="76" t="s">
        <v>326</v>
      </c>
      <c r="B158" s="76" t="s">
        <v>298</v>
      </c>
      <c r="C158" s="70" t="s">
        <v>299</v>
      </c>
      <c r="D158" s="71"/>
      <c r="E158" s="71" t="s">
        <v>327</v>
      </c>
      <c r="F158" s="71" t="s">
        <v>7</v>
      </c>
      <c r="G158" s="72">
        <v>1</v>
      </c>
      <c r="H158" s="72"/>
      <c r="I158" s="73">
        <v>1200.01</v>
      </c>
      <c r="J158" s="74"/>
    </row>
    <row r="159" spans="1:10" ht="65.55" hidden="1" customHeight="1" x14ac:dyDescent="0.45">
      <c r="A159" s="69" t="s">
        <v>328</v>
      </c>
      <c r="B159" s="69"/>
      <c r="C159" s="107" t="s">
        <v>307</v>
      </c>
      <c r="D159" s="71"/>
      <c r="E159" s="111" t="s">
        <v>308</v>
      </c>
      <c r="F159" s="112" t="s">
        <v>7</v>
      </c>
      <c r="G159" s="113">
        <v>1.1000000000000001</v>
      </c>
      <c r="H159" s="113"/>
      <c r="I159" s="93">
        <v>1320.011</v>
      </c>
      <c r="J159" s="114"/>
    </row>
    <row r="160" spans="1:10" ht="41.55" customHeight="1" x14ac:dyDescent="0.45">
      <c r="A160" s="76" t="s">
        <v>329</v>
      </c>
      <c r="B160" s="76" t="s">
        <v>298</v>
      </c>
      <c r="C160" s="70" t="s">
        <v>299</v>
      </c>
      <c r="D160" s="71"/>
      <c r="E160" s="71" t="s">
        <v>330</v>
      </c>
      <c r="F160" s="71" t="s">
        <v>7</v>
      </c>
      <c r="G160" s="72">
        <v>1</v>
      </c>
      <c r="H160" s="72"/>
      <c r="I160" s="73">
        <v>163.46</v>
      </c>
      <c r="J160" s="74"/>
    </row>
    <row r="161" spans="1:10" ht="71.55" hidden="1" customHeight="1" x14ac:dyDescent="0.45">
      <c r="A161" s="69" t="s">
        <v>331</v>
      </c>
      <c r="B161" s="69"/>
      <c r="C161" s="117" t="s">
        <v>312</v>
      </c>
      <c r="D161" s="71"/>
      <c r="E161" s="111" t="s">
        <v>313</v>
      </c>
      <c r="F161" s="112" t="s">
        <v>7</v>
      </c>
      <c r="G161" s="113">
        <v>1.1000000000000001</v>
      </c>
      <c r="H161" s="113"/>
      <c r="I161" s="93">
        <v>179.80600000000001</v>
      </c>
      <c r="J161" s="114"/>
    </row>
    <row r="162" spans="1:10" ht="43.05" customHeight="1" x14ac:dyDescent="0.45">
      <c r="A162" s="76" t="s">
        <v>332</v>
      </c>
      <c r="B162" s="76" t="s">
        <v>298</v>
      </c>
      <c r="C162" s="70" t="s">
        <v>299</v>
      </c>
      <c r="D162" s="71"/>
      <c r="E162" s="71" t="s">
        <v>333</v>
      </c>
      <c r="F162" s="71" t="s">
        <v>7</v>
      </c>
      <c r="G162" s="72">
        <v>1</v>
      </c>
      <c r="H162" s="72"/>
      <c r="I162" s="73">
        <v>92.54</v>
      </c>
      <c r="J162" s="74"/>
    </row>
    <row r="163" spans="1:10" ht="36" hidden="1" x14ac:dyDescent="0.45">
      <c r="A163" s="69" t="s">
        <v>334</v>
      </c>
      <c r="B163" s="69"/>
      <c r="C163" s="117" t="s">
        <v>317</v>
      </c>
      <c r="D163" s="71"/>
      <c r="E163" s="71"/>
      <c r="F163" s="108" t="s">
        <v>7</v>
      </c>
      <c r="G163" s="96">
        <v>1.1000000000000001</v>
      </c>
      <c r="H163" s="118"/>
      <c r="I163" s="93">
        <v>101.794</v>
      </c>
      <c r="J163" s="97"/>
    </row>
    <row r="164" spans="1:10" ht="42" customHeight="1" x14ac:dyDescent="0.45">
      <c r="A164" s="76" t="s">
        <v>335</v>
      </c>
      <c r="B164" s="76" t="s">
        <v>298</v>
      </c>
      <c r="C164" s="70" t="s">
        <v>299</v>
      </c>
      <c r="D164" s="71"/>
      <c r="E164" s="71" t="s">
        <v>336</v>
      </c>
      <c r="F164" s="71" t="s">
        <v>7</v>
      </c>
      <c r="G164" s="72">
        <v>1</v>
      </c>
      <c r="H164" s="72"/>
      <c r="I164" s="73">
        <v>67.19</v>
      </c>
      <c r="J164" s="74"/>
    </row>
    <row r="165" spans="1:10" ht="36" hidden="1" x14ac:dyDescent="0.45">
      <c r="A165" s="69" t="s">
        <v>337</v>
      </c>
      <c r="B165" s="69"/>
      <c r="C165" s="117" t="s">
        <v>321</v>
      </c>
      <c r="D165" s="71"/>
      <c r="E165" s="71"/>
      <c r="F165" s="108" t="s">
        <v>7</v>
      </c>
      <c r="G165" s="96">
        <v>1.1000000000000001</v>
      </c>
      <c r="H165" s="118"/>
      <c r="I165" s="93">
        <v>73.909000000000006</v>
      </c>
      <c r="J165" s="97"/>
    </row>
    <row r="166" spans="1:10" ht="49.05" customHeight="1" x14ac:dyDescent="0.45">
      <c r="A166" s="76" t="s">
        <v>338</v>
      </c>
      <c r="B166" s="76" t="s">
        <v>339</v>
      </c>
      <c r="C166" s="70" t="s">
        <v>340</v>
      </c>
      <c r="D166" s="71"/>
      <c r="E166" s="71" t="s">
        <v>341</v>
      </c>
      <c r="F166" s="71" t="s">
        <v>7</v>
      </c>
      <c r="G166" s="72">
        <v>1</v>
      </c>
      <c r="H166" s="72"/>
      <c r="I166" s="73">
        <v>37.700000000000003</v>
      </c>
      <c r="J166" s="74"/>
    </row>
    <row r="167" spans="1:10" hidden="1" x14ac:dyDescent="0.45">
      <c r="A167" s="69" t="s">
        <v>342</v>
      </c>
      <c r="B167" s="69"/>
      <c r="C167" s="107" t="s">
        <v>343</v>
      </c>
      <c r="D167" s="71"/>
      <c r="E167" s="71"/>
      <c r="F167" s="108" t="s">
        <v>60</v>
      </c>
      <c r="G167" s="96">
        <v>0.3</v>
      </c>
      <c r="H167" s="96"/>
      <c r="I167" s="93">
        <v>11.31</v>
      </c>
      <c r="J167" s="97"/>
    </row>
    <row r="168" spans="1:10" hidden="1" x14ac:dyDescent="0.45">
      <c r="A168" s="109" t="s">
        <v>344</v>
      </c>
      <c r="B168" s="109"/>
      <c r="C168" s="110" t="s">
        <v>345</v>
      </c>
      <c r="D168" s="111"/>
      <c r="E168" s="111"/>
      <c r="F168" s="112" t="s">
        <v>60</v>
      </c>
      <c r="G168" s="113">
        <v>15</v>
      </c>
      <c r="H168" s="113"/>
      <c r="I168" s="93">
        <v>565.5</v>
      </c>
      <c r="J168" s="114"/>
    </row>
    <row r="169" spans="1:10" hidden="1" x14ac:dyDescent="0.45">
      <c r="A169" s="109" t="s">
        <v>346</v>
      </c>
      <c r="B169" s="109"/>
      <c r="C169" s="110" t="s">
        <v>66</v>
      </c>
      <c r="D169" s="111"/>
      <c r="E169" s="111"/>
      <c r="F169" s="112" t="s">
        <v>60</v>
      </c>
      <c r="G169" s="113">
        <v>30</v>
      </c>
      <c r="H169" s="113"/>
      <c r="I169" s="93">
        <v>1131</v>
      </c>
      <c r="J169" s="114"/>
    </row>
    <row r="170" spans="1:10" ht="36" hidden="1" x14ac:dyDescent="0.45">
      <c r="A170" s="109" t="s">
        <v>347</v>
      </c>
      <c r="B170" s="109"/>
      <c r="C170" s="119" t="s">
        <v>348</v>
      </c>
      <c r="D170" s="111"/>
      <c r="E170" s="111"/>
      <c r="F170" s="112" t="s">
        <v>60</v>
      </c>
      <c r="G170" s="113">
        <v>3.6</v>
      </c>
      <c r="H170" s="113"/>
      <c r="I170" s="93">
        <v>135.72</v>
      </c>
      <c r="J170" s="114"/>
    </row>
    <row r="171" spans="1:10" hidden="1" x14ac:dyDescent="0.45">
      <c r="A171" s="109" t="s">
        <v>349</v>
      </c>
      <c r="B171" s="109"/>
      <c r="C171" s="120" t="s">
        <v>63</v>
      </c>
      <c r="D171" s="111"/>
      <c r="E171" s="111"/>
      <c r="F171" s="112" t="s">
        <v>9</v>
      </c>
      <c r="G171" s="113">
        <v>0.35</v>
      </c>
      <c r="H171" s="113"/>
      <c r="I171" s="93">
        <v>13.195</v>
      </c>
      <c r="J171" s="114"/>
    </row>
    <row r="172" spans="1:10" hidden="1" x14ac:dyDescent="0.45">
      <c r="A172" s="109" t="s">
        <v>350</v>
      </c>
      <c r="B172" s="109"/>
      <c r="C172" s="120" t="s">
        <v>351</v>
      </c>
      <c r="D172" s="111"/>
      <c r="E172" s="111"/>
      <c r="F172" s="112" t="s">
        <v>59</v>
      </c>
      <c r="G172" s="113">
        <v>1.05</v>
      </c>
      <c r="H172" s="113"/>
      <c r="I172" s="93">
        <v>39.585000000000001</v>
      </c>
      <c r="J172" s="114"/>
    </row>
    <row r="173" spans="1:10" hidden="1" x14ac:dyDescent="0.45">
      <c r="A173" s="109" t="s">
        <v>352</v>
      </c>
      <c r="B173" s="109"/>
      <c r="C173" s="120" t="s">
        <v>353</v>
      </c>
      <c r="D173" s="111"/>
      <c r="E173" s="111"/>
      <c r="F173" s="112" t="s">
        <v>59</v>
      </c>
      <c r="G173" s="113">
        <v>1.25</v>
      </c>
      <c r="H173" s="113"/>
      <c r="I173" s="93">
        <v>47.125</v>
      </c>
      <c r="J173" s="114"/>
    </row>
    <row r="174" spans="1:10" hidden="1" x14ac:dyDescent="0.45">
      <c r="A174" s="109" t="s">
        <v>354</v>
      </c>
      <c r="B174" s="109"/>
      <c r="C174" s="120" t="s">
        <v>355</v>
      </c>
      <c r="D174" s="111"/>
      <c r="E174" s="111"/>
      <c r="F174" s="112" t="s">
        <v>59</v>
      </c>
      <c r="G174" s="113">
        <v>0.3</v>
      </c>
      <c r="H174" s="113"/>
      <c r="I174" s="93">
        <v>11.31</v>
      </c>
      <c r="J174" s="114"/>
    </row>
    <row r="175" spans="1:10" hidden="1" x14ac:dyDescent="0.45">
      <c r="A175" s="109" t="s">
        <v>356</v>
      </c>
      <c r="B175" s="109"/>
      <c r="C175" s="120" t="s">
        <v>357</v>
      </c>
      <c r="D175" s="111"/>
      <c r="E175" s="111"/>
      <c r="F175" s="112" t="s">
        <v>59</v>
      </c>
      <c r="G175" s="113">
        <v>4.7</v>
      </c>
      <c r="H175" s="113"/>
      <c r="I175" s="93">
        <v>177.19</v>
      </c>
      <c r="J175" s="114"/>
    </row>
    <row r="176" spans="1:10" hidden="1" x14ac:dyDescent="0.45">
      <c r="A176" s="109" t="s">
        <v>358</v>
      </c>
      <c r="B176" s="109"/>
      <c r="C176" s="119" t="s">
        <v>359</v>
      </c>
      <c r="D176" s="111"/>
      <c r="E176" s="111"/>
      <c r="F176" s="112" t="s">
        <v>60</v>
      </c>
      <c r="G176" s="113">
        <v>4.2</v>
      </c>
      <c r="H176" s="113"/>
      <c r="I176" s="93">
        <v>158.34</v>
      </c>
      <c r="J176" s="114"/>
    </row>
    <row r="177" spans="1:10" hidden="1" x14ac:dyDescent="0.45">
      <c r="A177" s="109" t="s">
        <v>360</v>
      </c>
      <c r="B177" s="109"/>
      <c r="C177" s="120" t="s">
        <v>61</v>
      </c>
      <c r="D177" s="111"/>
      <c r="E177" s="111"/>
      <c r="F177" s="112" t="s">
        <v>9</v>
      </c>
      <c r="G177" s="113">
        <v>0.1</v>
      </c>
      <c r="H177" s="113"/>
      <c r="I177" s="93">
        <v>3.77</v>
      </c>
      <c r="J177" s="114"/>
    </row>
    <row r="178" spans="1:10" ht="36" hidden="1" x14ac:dyDescent="0.45">
      <c r="A178" s="109" t="s">
        <v>361</v>
      </c>
      <c r="B178" s="109"/>
      <c r="C178" s="120" t="s">
        <v>64</v>
      </c>
      <c r="D178" s="111"/>
      <c r="E178" s="111"/>
      <c r="F178" s="112" t="s">
        <v>7</v>
      </c>
      <c r="G178" s="113">
        <v>1.05</v>
      </c>
      <c r="H178" s="113"/>
      <c r="I178" s="93">
        <v>39.585000000000001</v>
      </c>
      <c r="J178" s="114"/>
    </row>
    <row r="179" spans="1:10" hidden="1" x14ac:dyDescent="0.45">
      <c r="A179" s="98" t="s">
        <v>362</v>
      </c>
      <c r="B179" s="98"/>
      <c r="C179" s="121" t="s">
        <v>363</v>
      </c>
      <c r="D179" s="100"/>
      <c r="E179" s="100"/>
      <c r="F179" s="104" t="s">
        <v>60</v>
      </c>
      <c r="G179" s="105">
        <v>0.75</v>
      </c>
      <c r="H179" s="105"/>
      <c r="I179" s="93">
        <v>28.274999999999999</v>
      </c>
      <c r="J179" s="106"/>
    </row>
    <row r="180" spans="1:10" ht="45" customHeight="1" x14ac:dyDescent="0.45">
      <c r="A180" s="76" t="s">
        <v>364</v>
      </c>
      <c r="B180" s="76" t="s">
        <v>339</v>
      </c>
      <c r="C180" s="70" t="s">
        <v>340</v>
      </c>
      <c r="D180" s="71"/>
      <c r="E180" s="71" t="s">
        <v>365</v>
      </c>
      <c r="F180" s="71" t="s">
        <v>7</v>
      </c>
      <c r="G180" s="72">
        <v>1</v>
      </c>
      <c r="H180" s="72"/>
      <c r="I180" s="73">
        <v>31.97</v>
      </c>
      <c r="J180" s="74"/>
    </row>
    <row r="181" spans="1:10" hidden="1" x14ac:dyDescent="0.45">
      <c r="A181" s="109" t="s">
        <v>366</v>
      </c>
      <c r="B181" s="109"/>
      <c r="C181" s="110" t="s">
        <v>363</v>
      </c>
      <c r="D181" s="111"/>
      <c r="E181" s="111"/>
      <c r="F181" s="112" t="s">
        <v>60</v>
      </c>
      <c r="G181" s="113">
        <v>0.75</v>
      </c>
      <c r="H181" s="113"/>
      <c r="I181" s="93">
        <v>23.978000000000002</v>
      </c>
      <c r="J181" s="114"/>
    </row>
    <row r="182" spans="1:10" hidden="1" x14ac:dyDescent="0.45">
      <c r="A182" s="109" t="s">
        <v>367</v>
      </c>
      <c r="B182" s="109"/>
      <c r="C182" s="120" t="s">
        <v>61</v>
      </c>
      <c r="D182" s="111"/>
      <c r="E182" s="111"/>
      <c r="F182" s="112" t="s">
        <v>9</v>
      </c>
      <c r="G182" s="113">
        <v>0.1</v>
      </c>
      <c r="H182" s="113"/>
      <c r="I182" s="93">
        <v>3.1970000000000001</v>
      </c>
      <c r="J182" s="114"/>
    </row>
    <row r="183" spans="1:10" hidden="1" x14ac:dyDescent="0.45">
      <c r="A183" s="109" t="s">
        <v>368</v>
      </c>
      <c r="B183" s="109"/>
      <c r="C183" s="119" t="s">
        <v>359</v>
      </c>
      <c r="D183" s="111"/>
      <c r="E183" s="111"/>
      <c r="F183" s="112" t="s">
        <v>60</v>
      </c>
      <c r="G183" s="113">
        <v>4.2</v>
      </c>
      <c r="H183" s="113"/>
      <c r="I183" s="93">
        <v>134.274</v>
      </c>
      <c r="J183" s="114"/>
    </row>
    <row r="184" spans="1:10" hidden="1" x14ac:dyDescent="0.45">
      <c r="A184" s="109" t="s">
        <v>369</v>
      </c>
      <c r="B184" s="109"/>
      <c r="C184" s="120" t="s">
        <v>355</v>
      </c>
      <c r="D184" s="111"/>
      <c r="E184" s="111"/>
      <c r="F184" s="112" t="s">
        <v>59</v>
      </c>
      <c r="G184" s="113">
        <v>0.3</v>
      </c>
      <c r="H184" s="113"/>
      <c r="I184" s="93">
        <v>9.5909999999999993</v>
      </c>
      <c r="J184" s="114"/>
    </row>
    <row r="185" spans="1:10" hidden="1" x14ac:dyDescent="0.45">
      <c r="A185" s="109" t="s">
        <v>370</v>
      </c>
      <c r="B185" s="109"/>
      <c r="C185" s="120" t="s">
        <v>357</v>
      </c>
      <c r="D185" s="111"/>
      <c r="E185" s="111"/>
      <c r="F185" s="112" t="s">
        <v>59</v>
      </c>
      <c r="G185" s="113">
        <v>4.7</v>
      </c>
      <c r="H185" s="113"/>
      <c r="I185" s="93">
        <v>150.25899999999999</v>
      </c>
      <c r="J185" s="114"/>
    </row>
    <row r="186" spans="1:10" hidden="1" x14ac:dyDescent="0.45">
      <c r="A186" s="109" t="s">
        <v>371</v>
      </c>
      <c r="B186" s="109"/>
      <c r="C186" s="120" t="s">
        <v>353</v>
      </c>
      <c r="D186" s="111"/>
      <c r="E186" s="111"/>
      <c r="F186" s="112" t="s">
        <v>59</v>
      </c>
      <c r="G186" s="113">
        <v>1.25</v>
      </c>
      <c r="H186" s="113"/>
      <c r="I186" s="93">
        <v>39.963000000000001</v>
      </c>
      <c r="J186" s="114"/>
    </row>
    <row r="187" spans="1:10" hidden="1" x14ac:dyDescent="0.45">
      <c r="A187" s="109" t="s">
        <v>372</v>
      </c>
      <c r="B187" s="109"/>
      <c r="C187" s="120" t="s">
        <v>351</v>
      </c>
      <c r="D187" s="111"/>
      <c r="E187" s="111"/>
      <c r="F187" s="112" t="s">
        <v>59</v>
      </c>
      <c r="G187" s="113">
        <v>1.05</v>
      </c>
      <c r="H187" s="113"/>
      <c r="I187" s="93">
        <v>33.569000000000003</v>
      </c>
      <c r="J187" s="114"/>
    </row>
    <row r="188" spans="1:10" hidden="1" x14ac:dyDescent="0.45">
      <c r="A188" s="109" t="s">
        <v>373</v>
      </c>
      <c r="B188" s="109"/>
      <c r="C188" s="120" t="s">
        <v>65</v>
      </c>
      <c r="D188" s="111"/>
      <c r="E188" s="111"/>
      <c r="F188" s="112" t="s">
        <v>7</v>
      </c>
      <c r="G188" s="113">
        <v>1.05</v>
      </c>
      <c r="H188" s="113"/>
      <c r="I188" s="93">
        <v>33.569000000000003</v>
      </c>
      <c r="J188" s="114"/>
    </row>
    <row r="189" spans="1:10" hidden="1" x14ac:dyDescent="0.45">
      <c r="A189" s="109" t="s">
        <v>374</v>
      </c>
      <c r="B189" s="109"/>
      <c r="C189" s="120" t="s">
        <v>63</v>
      </c>
      <c r="D189" s="111"/>
      <c r="E189" s="111"/>
      <c r="F189" s="112" t="s">
        <v>9</v>
      </c>
      <c r="G189" s="113">
        <v>0.35</v>
      </c>
      <c r="H189" s="113"/>
      <c r="I189" s="93">
        <v>11.19</v>
      </c>
      <c r="J189" s="114"/>
    </row>
    <row r="190" spans="1:10" ht="36" hidden="1" x14ac:dyDescent="0.45">
      <c r="A190" s="109" t="s">
        <v>375</v>
      </c>
      <c r="B190" s="109"/>
      <c r="C190" s="119" t="s">
        <v>348</v>
      </c>
      <c r="D190" s="111"/>
      <c r="E190" s="111"/>
      <c r="F190" s="112" t="s">
        <v>60</v>
      </c>
      <c r="G190" s="113">
        <v>3.6</v>
      </c>
      <c r="H190" s="113"/>
      <c r="I190" s="93">
        <v>115.092</v>
      </c>
      <c r="J190" s="114"/>
    </row>
    <row r="191" spans="1:10" hidden="1" x14ac:dyDescent="0.45">
      <c r="A191" s="109" t="s">
        <v>376</v>
      </c>
      <c r="B191" s="109"/>
      <c r="C191" s="120" t="s">
        <v>66</v>
      </c>
      <c r="D191" s="111"/>
      <c r="E191" s="111"/>
      <c r="F191" s="112" t="s">
        <v>60</v>
      </c>
      <c r="G191" s="113">
        <v>30</v>
      </c>
      <c r="H191" s="113"/>
      <c r="I191" s="93">
        <v>959.1</v>
      </c>
      <c r="J191" s="114"/>
    </row>
    <row r="192" spans="1:10" hidden="1" x14ac:dyDescent="0.45">
      <c r="A192" s="109" t="s">
        <v>377</v>
      </c>
      <c r="B192" s="109"/>
      <c r="C192" s="120" t="s">
        <v>345</v>
      </c>
      <c r="D192" s="111"/>
      <c r="E192" s="111"/>
      <c r="F192" s="112" t="s">
        <v>60</v>
      </c>
      <c r="G192" s="113">
        <v>15</v>
      </c>
      <c r="H192" s="113"/>
      <c r="I192" s="93">
        <v>479.55</v>
      </c>
      <c r="J192" s="114"/>
    </row>
    <row r="193" spans="1:10" ht="47.55" customHeight="1" x14ac:dyDescent="0.45">
      <c r="A193" s="81" t="s">
        <v>378</v>
      </c>
      <c r="B193" s="81" t="s">
        <v>339</v>
      </c>
      <c r="C193" s="82" t="s">
        <v>340</v>
      </c>
      <c r="D193" s="83"/>
      <c r="E193" s="83" t="s">
        <v>379</v>
      </c>
      <c r="F193" s="83" t="s">
        <v>7</v>
      </c>
      <c r="G193" s="84">
        <v>1</v>
      </c>
      <c r="H193" s="84"/>
      <c r="I193" s="73">
        <v>246.36</v>
      </c>
      <c r="J193" s="74"/>
    </row>
    <row r="194" spans="1:10" hidden="1" x14ac:dyDescent="0.45">
      <c r="A194" s="109" t="s">
        <v>380</v>
      </c>
      <c r="B194" s="109"/>
      <c r="C194" s="120" t="s">
        <v>343</v>
      </c>
      <c r="D194" s="111"/>
      <c r="E194" s="111"/>
      <c r="F194" s="112" t="s">
        <v>60</v>
      </c>
      <c r="G194" s="113">
        <v>0.3</v>
      </c>
      <c r="H194" s="113"/>
      <c r="I194" s="93">
        <v>73.908000000000001</v>
      </c>
      <c r="J194" s="114"/>
    </row>
    <row r="195" spans="1:10" hidden="1" x14ac:dyDescent="0.45">
      <c r="A195" s="109" t="s">
        <v>381</v>
      </c>
      <c r="B195" s="109"/>
      <c r="C195" s="120" t="s">
        <v>345</v>
      </c>
      <c r="D195" s="111"/>
      <c r="E195" s="111"/>
      <c r="F195" s="112" t="s">
        <v>60</v>
      </c>
      <c r="G195" s="113">
        <v>15</v>
      </c>
      <c r="H195" s="113"/>
      <c r="I195" s="93">
        <v>3695.4</v>
      </c>
      <c r="J195" s="114"/>
    </row>
    <row r="196" spans="1:10" hidden="1" x14ac:dyDescent="0.45">
      <c r="A196" s="109" t="s">
        <v>382</v>
      </c>
      <c r="B196" s="109"/>
      <c r="C196" s="120" t="s">
        <v>66</v>
      </c>
      <c r="D196" s="111"/>
      <c r="E196" s="111"/>
      <c r="F196" s="112" t="s">
        <v>60</v>
      </c>
      <c r="G196" s="113">
        <v>30</v>
      </c>
      <c r="H196" s="113"/>
      <c r="I196" s="93">
        <v>7390.8</v>
      </c>
      <c r="J196" s="114"/>
    </row>
    <row r="197" spans="1:10" ht="36" hidden="1" x14ac:dyDescent="0.45">
      <c r="A197" s="109" t="s">
        <v>383</v>
      </c>
      <c r="B197" s="109"/>
      <c r="C197" s="119" t="s">
        <v>348</v>
      </c>
      <c r="D197" s="111"/>
      <c r="E197" s="111"/>
      <c r="F197" s="112" t="s">
        <v>60</v>
      </c>
      <c r="G197" s="113">
        <v>3.6</v>
      </c>
      <c r="H197" s="113"/>
      <c r="I197" s="93">
        <v>886.89599999999996</v>
      </c>
      <c r="J197" s="114"/>
    </row>
    <row r="198" spans="1:10" hidden="1" x14ac:dyDescent="0.45">
      <c r="A198" s="109" t="s">
        <v>384</v>
      </c>
      <c r="B198" s="109"/>
      <c r="C198" s="120" t="s">
        <v>351</v>
      </c>
      <c r="D198" s="111"/>
      <c r="E198" s="111"/>
      <c r="F198" s="112" t="s">
        <v>59</v>
      </c>
      <c r="G198" s="113">
        <v>1.05</v>
      </c>
      <c r="H198" s="113"/>
      <c r="I198" s="93">
        <v>258.678</v>
      </c>
      <c r="J198" s="114"/>
    </row>
    <row r="199" spans="1:10" hidden="1" x14ac:dyDescent="0.45">
      <c r="A199" s="109" t="s">
        <v>385</v>
      </c>
      <c r="B199" s="109"/>
      <c r="C199" s="120" t="s">
        <v>353</v>
      </c>
      <c r="D199" s="111"/>
      <c r="E199" s="111"/>
      <c r="F199" s="112" t="s">
        <v>59</v>
      </c>
      <c r="G199" s="113">
        <v>1.25</v>
      </c>
      <c r="H199" s="113"/>
      <c r="I199" s="93">
        <v>307.95</v>
      </c>
      <c r="J199" s="114"/>
    </row>
    <row r="200" spans="1:10" hidden="1" x14ac:dyDescent="0.45">
      <c r="A200" s="109" t="s">
        <v>386</v>
      </c>
      <c r="B200" s="109"/>
      <c r="C200" s="120" t="s">
        <v>355</v>
      </c>
      <c r="D200" s="111"/>
      <c r="E200" s="111"/>
      <c r="F200" s="112" t="s">
        <v>59</v>
      </c>
      <c r="G200" s="113">
        <v>0.3</v>
      </c>
      <c r="H200" s="113"/>
      <c r="I200" s="93">
        <v>73.908000000000001</v>
      </c>
      <c r="J200" s="114"/>
    </row>
    <row r="201" spans="1:10" hidden="1" x14ac:dyDescent="0.45">
      <c r="A201" s="109" t="s">
        <v>387</v>
      </c>
      <c r="B201" s="109"/>
      <c r="C201" s="120" t="s">
        <v>357</v>
      </c>
      <c r="D201" s="111"/>
      <c r="E201" s="111"/>
      <c r="F201" s="112" t="s">
        <v>59</v>
      </c>
      <c r="G201" s="113">
        <v>4.7</v>
      </c>
      <c r="H201" s="113"/>
      <c r="I201" s="93">
        <v>1157.8920000000001</v>
      </c>
      <c r="J201" s="114"/>
    </row>
    <row r="202" spans="1:10" hidden="1" x14ac:dyDescent="0.45">
      <c r="A202" s="109" t="s">
        <v>388</v>
      </c>
      <c r="B202" s="109"/>
      <c r="C202" s="119" t="s">
        <v>359</v>
      </c>
      <c r="D202" s="111"/>
      <c r="E202" s="111"/>
      <c r="F202" s="112" t="s">
        <v>60</v>
      </c>
      <c r="G202" s="113">
        <v>4.2</v>
      </c>
      <c r="H202" s="113"/>
      <c r="I202" s="93">
        <v>1034.712</v>
      </c>
      <c r="J202" s="114"/>
    </row>
    <row r="203" spans="1:10" ht="36" hidden="1" x14ac:dyDescent="0.45">
      <c r="A203" s="109" t="s">
        <v>389</v>
      </c>
      <c r="B203" s="109"/>
      <c r="C203" s="120" t="s">
        <v>64</v>
      </c>
      <c r="D203" s="111"/>
      <c r="E203" s="111"/>
      <c r="F203" s="112" t="s">
        <v>7</v>
      </c>
      <c r="G203" s="113">
        <v>1.05</v>
      </c>
      <c r="H203" s="113"/>
      <c r="I203" s="93">
        <v>258.678</v>
      </c>
      <c r="J203" s="114"/>
    </row>
    <row r="204" spans="1:10" hidden="1" x14ac:dyDescent="0.45">
      <c r="A204" s="109" t="s">
        <v>390</v>
      </c>
      <c r="B204" s="109"/>
      <c r="C204" s="120" t="s">
        <v>363</v>
      </c>
      <c r="D204" s="111"/>
      <c r="E204" s="111"/>
      <c r="F204" s="112" t="s">
        <v>60</v>
      </c>
      <c r="G204" s="113">
        <v>0.75</v>
      </c>
      <c r="H204" s="113"/>
      <c r="I204" s="93">
        <v>184.77</v>
      </c>
      <c r="J204" s="114"/>
    </row>
    <row r="205" spans="1:10" ht="44.55" customHeight="1" x14ac:dyDescent="0.45">
      <c r="A205" s="76" t="s">
        <v>391</v>
      </c>
      <c r="B205" s="76" t="s">
        <v>339</v>
      </c>
      <c r="C205" s="70" t="s">
        <v>340</v>
      </c>
      <c r="D205" s="71"/>
      <c r="E205" s="71" t="s">
        <v>392</v>
      </c>
      <c r="F205" s="71" t="s">
        <v>7</v>
      </c>
      <c r="G205" s="72">
        <v>1</v>
      </c>
      <c r="H205" s="72"/>
      <c r="I205" s="73">
        <v>110.66</v>
      </c>
      <c r="J205" s="74"/>
    </row>
    <row r="206" spans="1:10" hidden="1" x14ac:dyDescent="0.45">
      <c r="A206" s="122" t="s">
        <v>393</v>
      </c>
      <c r="B206" s="122"/>
      <c r="C206" s="120" t="s">
        <v>363</v>
      </c>
      <c r="D206" s="123"/>
      <c r="E206" s="123"/>
      <c r="F206" s="112" t="s">
        <v>60</v>
      </c>
      <c r="G206" s="113">
        <v>0.75</v>
      </c>
      <c r="H206" s="113"/>
      <c r="I206" s="93">
        <v>82.995000000000005</v>
      </c>
      <c r="J206" s="114"/>
    </row>
    <row r="207" spans="1:10" hidden="1" x14ac:dyDescent="0.45">
      <c r="A207" s="122" t="s">
        <v>394</v>
      </c>
      <c r="B207" s="122"/>
      <c r="C207" s="119" t="s">
        <v>359</v>
      </c>
      <c r="D207" s="123"/>
      <c r="E207" s="123"/>
      <c r="F207" s="112" t="s">
        <v>60</v>
      </c>
      <c r="G207" s="113">
        <v>4.2</v>
      </c>
      <c r="H207" s="113"/>
      <c r="I207" s="93">
        <v>464.77199999999999</v>
      </c>
      <c r="J207" s="114"/>
    </row>
    <row r="208" spans="1:10" hidden="1" x14ac:dyDescent="0.45">
      <c r="A208" s="122" t="s">
        <v>395</v>
      </c>
      <c r="B208" s="122"/>
      <c r="C208" s="120" t="s">
        <v>355</v>
      </c>
      <c r="D208" s="123"/>
      <c r="E208" s="123"/>
      <c r="F208" s="112" t="s">
        <v>59</v>
      </c>
      <c r="G208" s="113">
        <v>0.3</v>
      </c>
      <c r="H208" s="113"/>
      <c r="I208" s="93">
        <v>33.198</v>
      </c>
      <c r="J208" s="114"/>
    </row>
    <row r="209" spans="1:10" hidden="1" x14ac:dyDescent="0.45">
      <c r="A209" s="122" t="s">
        <v>396</v>
      </c>
      <c r="B209" s="122"/>
      <c r="C209" s="120" t="s">
        <v>357</v>
      </c>
      <c r="D209" s="123"/>
      <c r="E209" s="123"/>
      <c r="F209" s="112" t="s">
        <v>59</v>
      </c>
      <c r="G209" s="113">
        <v>4.7</v>
      </c>
      <c r="H209" s="113"/>
      <c r="I209" s="93">
        <v>520.10199999999998</v>
      </c>
      <c r="J209" s="114"/>
    </row>
    <row r="210" spans="1:10" hidden="1" x14ac:dyDescent="0.45">
      <c r="A210" s="122" t="s">
        <v>397</v>
      </c>
      <c r="B210" s="122"/>
      <c r="C210" s="120" t="s">
        <v>353</v>
      </c>
      <c r="D210" s="123"/>
      <c r="E210" s="123"/>
      <c r="F210" s="112" t="s">
        <v>59</v>
      </c>
      <c r="G210" s="113">
        <v>1.25</v>
      </c>
      <c r="H210" s="113"/>
      <c r="I210" s="93">
        <v>138.32499999999999</v>
      </c>
      <c r="J210" s="114"/>
    </row>
    <row r="211" spans="1:10" hidden="1" x14ac:dyDescent="0.45">
      <c r="A211" s="122" t="s">
        <v>398</v>
      </c>
      <c r="B211" s="122"/>
      <c r="C211" s="120" t="s">
        <v>351</v>
      </c>
      <c r="D211" s="123"/>
      <c r="E211" s="123"/>
      <c r="F211" s="112" t="s">
        <v>59</v>
      </c>
      <c r="G211" s="113">
        <v>1.05</v>
      </c>
      <c r="H211" s="113"/>
      <c r="I211" s="93">
        <v>116.193</v>
      </c>
      <c r="J211" s="114"/>
    </row>
    <row r="212" spans="1:10" hidden="1" x14ac:dyDescent="0.45">
      <c r="A212" s="122" t="s">
        <v>399</v>
      </c>
      <c r="B212" s="122"/>
      <c r="C212" s="120" t="s">
        <v>65</v>
      </c>
      <c r="D212" s="123"/>
      <c r="E212" s="123"/>
      <c r="F212" s="112" t="s">
        <v>7</v>
      </c>
      <c r="G212" s="113">
        <v>1.05</v>
      </c>
      <c r="H212" s="113"/>
      <c r="I212" s="93">
        <v>116.193</v>
      </c>
      <c r="J212" s="114"/>
    </row>
    <row r="213" spans="1:10" ht="36" hidden="1" x14ac:dyDescent="0.45">
      <c r="A213" s="122" t="s">
        <v>400</v>
      </c>
      <c r="B213" s="122"/>
      <c r="C213" s="119" t="s">
        <v>348</v>
      </c>
      <c r="D213" s="123"/>
      <c r="E213" s="123"/>
      <c r="F213" s="112" t="s">
        <v>60</v>
      </c>
      <c r="G213" s="113">
        <v>3.6</v>
      </c>
      <c r="H213" s="113"/>
      <c r="I213" s="93">
        <v>398.37599999999998</v>
      </c>
      <c r="J213" s="114"/>
    </row>
    <row r="214" spans="1:10" hidden="1" x14ac:dyDescent="0.45">
      <c r="A214" s="122" t="s">
        <v>401</v>
      </c>
      <c r="B214" s="122"/>
      <c r="C214" s="120" t="s">
        <v>66</v>
      </c>
      <c r="D214" s="123"/>
      <c r="E214" s="123"/>
      <c r="F214" s="112" t="s">
        <v>60</v>
      </c>
      <c r="G214" s="113">
        <v>30</v>
      </c>
      <c r="H214" s="113"/>
      <c r="I214" s="93">
        <v>3319.8</v>
      </c>
      <c r="J214" s="114"/>
    </row>
    <row r="215" spans="1:10" hidden="1" x14ac:dyDescent="0.45">
      <c r="A215" s="122" t="s">
        <v>402</v>
      </c>
      <c r="B215" s="122"/>
      <c r="C215" s="120" t="s">
        <v>345</v>
      </c>
      <c r="D215" s="123"/>
      <c r="E215" s="123"/>
      <c r="F215" s="112" t="s">
        <v>60</v>
      </c>
      <c r="G215" s="113">
        <v>15</v>
      </c>
      <c r="H215" s="113"/>
      <c r="I215" s="93">
        <v>1659.9</v>
      </c>
      <c r="J215" s="114"/>
    </row>
    <row r="216" spans="1:10" hidden="1" x14ac:dyDescent="0.45">
      <c r="A216" s="122" t="s">
        <v>403</v>
      </c>
      <c r="B216" s="122"/>
      <c r="C216" s="120" t="s">
        <v>343</v>
      </c>
      <c r="D216" s="123"/>
      <c r="E216" s="123"/>
      <c r="F216" s="112" t="s">
        <v>60</v>
      </c>
      <c r="G216" s="113">
        <v>0.3</v>
      </c>
      <c r="H216" s="113"/>
      <c r="I216" s="93">
        <v>33.198</v>
      </c>
      <c r="J216" s="114"/>
    </row>
    <row r="217" spans="1:10" ht="50.55" customHeight="1" x14ac:dyDescent="0.45">
      <c r="A217" s="76" t="s">
        <v>404</v>
      </c>
      <c r="B217" s="76" t="s">
        <v>405</v>
      </c>
      <c r="C217" s="70" t="s">
        <v>406</v>
      </c>
      <c r="D217" s="71"/>
      <c r="E217" s="71" t="s">
        <v>58</v>
      </c>
      <c r="F217" s="71" t="s">
        <v>7</v>
      </c>
      <c r="G217" s="72">
        <v>1</v>
      </c>
      <c r="H217" s="72"/>
      <c r="I217" s="73">
        <v>2099.0100000000002</v>
      </c>
      <c r="J217" s="74"/>
    </row>
    <row r="218" spans="1:10" ht="31.95" hidden="1" customHeight="1" x14ac:dyDescent="0.45">
      <c r="A218" s="124" t="s">
        <v>407</v>
      </c>
      <c r="B218" s="124" t="s">
        <v>408</v>
      </c>
      <c r="C218" s="232" t="s">
        <v>409</v>
      </c>
      <c r="D218" s="233"/>
      <c r="E218" s="233"/>
      <c r="F218" s="233"/>
      <c r="G218" s="233"/>
      <c r="H218" s="233"/>
      <c r="I218" s="233"/>
      <c r="J218" s="143"/>
    </row>
    <row r="219" spans="1:10" ht="51" hidden="1" customHeight="1" x14ac:dyDescent="0.45">
      <c r="A219" s="125" t="s">
        <v>410</v>
      </c>
      <c r="B219" s="125" t="s">
        <v>411</v>
      </c>
      <c r="C219" s="126" t="s">
        <v>412</v>
      </c>
      <c r="D219" s="127"/>
      <c r="E219" s="127" t="s">
        <v>413</v>
      </c>
      <c r="F219" s="127" t="s">
        <v>60</v>
      </c>
      <c r="G219" s="128">
        <v>1</v>
      </c>
      <c r="H219" s="128"/>
      <c r="I219" s="129">
        <v>10</v>
      </c>
      <c r="J219" s="130"/>
    </row>
    <row r="220" spans="1:10" ht="238.05" hidden="1" customHeight="1" x14ac:dyDescent="0.45">
      <c r="A220" s="125" t="s">
        <v>414</v>
      </c>
      <c r="B220" s="125"/>
      <c r="C220" s="131" t="s">
        <v>415</v>
      </c>
      <c r="D220" s="127"/>
      <c r="E220" s="127" t="s">
        <v>416</v>
      </c>
      <c r="F220" s="132" t="s">
        <v>60</v>
      </c>
      <c r="G220" s="133">
        <v>1</v>
      </c>
      <c r="H220" s="134"/>
      <c r="I220" s="135">
        <v>10</v>
      </c>
      <c r="J220" s="136"/>
    </row>
    <row r="221" spans="1:10" ht="36.6" hidden="1" thickBot="1" x14ac:dyDescent="0.5">
      <c r="A221" s="125" t="s">
        <v>417</v>
      </c>
      <c r="B221" s="125" t="s">
        <v>411</v>
      </c>
      <c r="C221" s="126" t="s">
        <v>412</v>
      </c>
      <c r="D221" s="127"/>
      <c r="E221" s="127" t="s">
        <v>418</v>
      </c>
      <c r="F221" s="127" t="s">
        <v>60</v>
      </c>
      <c r="G221" s="128">
        <v>1</v>
      </c>
      <c r="H221" s="128"/>
      <c r="I221" s="129">
        <v>4</v>
      </c>
      <c r="J221" s="130"/>
    </row>
    <row r="222" spans="1:10" ht="252" hidden="1" customHeight="1" x14ac:dyDescent="0.45">
      <c r="A222" s="125" t="s">
        <v>419</v>
      </c>
      <c r="B222" s="125"/>
      <c r="C222" s="131" t="s">
        <v>415</v>
      </c>
      <c r="D222" s="127"/>
      <c r="E222" s="127" t="s">
        <v>420</v>
      </c>
      <c r="F222" s="132" t="s">
        <v>60</v>
      </c>
      <c r="G222" s="133">
        <v>1</v>
      </c>
      <c r="H222" s="134"/>
      <c r="I222" s="135">
        <v>4</v>
      </c>
      <c r="J222" s="136"/>
    </row>
    <row r="223" spans="1:10" ht="36.6" hidden="1" thickBot="1" x14ac:dyDescent="0.5">
      <c r="A223" s="125" t="s">
        <v>421</v>
      </c>
      <c r="B223" s="125" t="s">
        <v>411</v>
      </c>
      <c r="C223" s="126" t="s">
        <v>412</v>
      </c>
      <c r="D223" s="127"/>
      <c r="E223" s="127" t="s">
        <v>422</v>
      </c>
      <c r="F223" s="127" t="s">
        <v>60</v>
      </c>
      <c r="G223" s="128">
        <v>1</v>
      </c>
      <c r="H223" s="128"/>
      <c r="I223" s="129">
        <v>1</v>
      </c>
      <c r="J223" s="130"/>
    </row>
    <row r="224" spans="1:10" ht="174.45" hidden="1" customHeight="1" x14ac:dyDescent="0.45">
      <c r="A224" s="125" t="s">
        <v>423</v>
      </c>
      <c r="B224" s="125"/>
      <c r="C224" s="131" t="s">
        <v>415</v>
      </c>
      <c r="D224" s="127"/>
      <c r="E224" s="127" t="s">
        <v>424</v>
      </c>
      <c r="F224" s="132" t="s">
        <v>60</v>
      </c>
      <c r="G224" s="133">
        <v>1</v>
      </c>
      <c r="H224" s="134"/>
      <c r="I224" s="135">
        <v>1</v>
      </c>
      <c r="J224" s="136"/>
    </row>
    <row r="225" spans="1:10" ht="36.6" hidden="1" thickBot="1" x14ac:dyDescent="0.5">
      <c r="A225" s="125" t="s">
        <v>425</v>
      </c>
      <c r="B225" s="125" t="s">
        <v>411</v>
      </c>
      <c r="C225" s="126" t="s">
        <v>412</v>
      </c>
      <c r="D225" s="127"/>
      <c r="E225" s="127" t="s">
        <v>426</v>
      </c>
      <c r="F225" s="127" t="s">
        <v>60</v>
      </c>
      <c r="G225" s="128">
        <v>1</v>
      </c>
      <c r="H225" s="128"/>
      <c r="I225" s="129">
        <v>1</v>
      </c>
      <c r="J225" s="130"/>
    </row>
    <row r="226" spans="1:10" ht="175.95" hidden="1" customHeight="1" x14ac:dyDescent="0.45">
      <c r="A226" s="125" t="s">
        <v>427</v>
      </c>
      <c r="B226" s="125"/>
      <c r="C226" s="131" t="s">
        <v>415</v>
      </c>
      <c r="D226" s="127"/>
      <c r="E226" s="127" t="s">
        <v>428</v>
      </c>
      <c r="F226" s="132" t="s">
        <v>60</v>
      </c>
      <c r="G226" s="133">
        <v>1</v>
      </c>
      <c r="H226" s="134"/>
      <c r="I226" s="135">
        <v>1</v>
      </c>
      <c r="J226" s="136"/>
    </row>
    <row r="227" spans="1:10" ht="0.45" hidden="1" customHeight="1" x14ac:dyDescent="0.45">
      <c r="A227" s="125" t="s">
        <v>429</v>
      </c>
      <c r="B227" s="125" t="s">
        <v>411</v>
      </c>
      <c r="C227" s="126" t="s">
        <v>412</v>
      </c>
      <c r="D227" s="127"/>
      <c r="E227" s="127" t="s">
        <v>430</v>
      </c>
      <c r="F227" s="127" t="s">
        <v>60</v>
      </c>
      <c r="G227" s="128">
        <v>1</v>
      </c>
      <c r="H227" s="128"/>
      <c r="I227" s="129">
        <v>5</v>
      </c>
      <c r="J227" s="130"/>
    </row>
    <row r="228" spans="1:10" ht="214.5" hidden="1" customHeight="1" x14ac:dyDescent="0.45">
      <c r="A228" s="125" t="s">
        <v>431</v>
      </c>
      <c r="B228" s="125"/>
      <c r="C228" s="131" t="s">
        <v>432</v>
      </c>
      <c r="D228" s="127"/>
      <c r="E228" s="127" t="s">
        <v>433</v>
      </c>
      <c r="F228" s="132" t="s">
        <v>60</v>
      </c>
      <c r="G228" s="133">
        <v>1</v>
      </c>
      <c r="H228" s="134"/>
      <c r="I228" s="135">
        <v>5</v>
      </c>
      <c r="J228" s="136"/>
    </row>
    <row r="229" spans="1:10" ht="36.6" hidden="1" thickBot="1" x14ac:dyDescent="0.5">
      <c r="A229" s="125" t="s">
        <v>434</v>
      </c>
      <c r="B229" s="125" t="s">
        <v>411</v>
      </c>
      <c r="C229" s="126" t="s">
        <v>412</v>
      </c>
      <c r="D229" s="127"/>
      <c r="E229" s="127" t="s">
        <v>435</v>
      </c>
      <c r="F229" s="127" t="s">
        <v>60</v>
      </c>
      <c r="G229" s="128">
        <v>1</v>
      </c>
      <c r="H229" s="128"/>
      <c r="I229" s="129">
        <v>3</v>
      </c>
      <c r="J229" s="130"/>
    </row>
    <row r="230" spans="1:10" ht="171" hidden="1" customHeight="1" x14ac:dyDescent="0.45">
      <c r="A230" s="125" t="s">
        <v>436</v>
      </c>
      <c r="B230" s="125"/>
      <c r="C230" s="131" t="s">
        <v>415</v>
      </c>
      <c r="D230" s="127"/>
      <c r="E230" s="127" t="s">
        <v>437</v>
      </c>
      <c r="F230" s="132" t="s">
        <v>60</v>
      </c>
      <c r="G230" s="133">
        <v>1</v>
      </c>
      <c r="H230" s="134"/>
      <c r="I230" s="135">
        <v>3</v>
      </c>
      <c r="J230" s="136"/>
    </row>
    <row r="231" spans="1:10" ht="36.6" hidden="1" thickBot="1" x14ac:dyDescent="0.5">
      <c r="A231" s="125" t="s">
        <v>438</v>
      </c>
      <c r="B231" s="125" t="s">
        <v>411</v>
      </c>
      <c r="C231" s="126" t="s">
        <v>412</v>
      </c>
      <c r="D231" s="127"/>
      <c r="E231" s="127" t="s">
        <v>439</v>
      </c>
      <c r="F231" s="127" t="s">
        <v>60</v>
      </c>
      <c r="G231" s="128">
        <v>1</v>
      </c>
      <c r="H231" s="128"/>
      <c r="I231" s="129">
        <v>6</v>
      </c>
      <c r="J231" s="130"/>
    </row>
    <row r="232" spans="1:10" ht="90.45" hidden="1" customHeight="1" x14ac:dyDescent="0.45">
      <c r="A232" s="125" t="s">
        <v>440</v>
      </c>
      <c r="B232" s="125"/>
      <c r="C232" s="131" t="s">
        <v>415</v>
      </c>
      <c r="D232" s="127"/>
      <c r="E232" s="127" t="s">
        <v>441</v>
      </c>
      <c r="F232" s="132" t="s">
        <v>60</v>
      </c>
      <c r="G232" s="133">
        <v>1</v>
      </c>
      <c r="H232" s="134"/>
      <c r="I232" s="135">
        <v>6</v>
      </c>
      <c r="J232" s="136"/>
    </row>
    <row r="233" spans="1:10" ht="36.6" hidden="1" thickBot="1" x14ac:dyDescent="0.5">
      <c r="A233" s="125" t="s">
        <v>442</v>
      </c>
      <c r="B233" s="125" t="s">
        <v>411</v>
      </c>
      <c r="C233" s="126" t="s">
        <v>412</v>
      </c>
      <c r="D233" s="127"/>
      <c r="E233" s="127" t="s">
        <v>443</v>
      </c>
      <c r="F233" s="127" t="s">
        <v>60</v>
      </c>
      <c r="G233" s="128">
        <v>1</v>
      </c>
      <c r="H233" s="128"/>
      <c r="I233" s="129">
        <v>4</v>
      </c>
      <c r="J233" s="130"/>
    </row>
    <row r="234" spans="1:10" ht="142.94999999999999" hidden="1" customHeight="1" x14ac:dyDescent="0.45">
      <c r="A234" s="125" t="s">
        <v>444</v>
      </c>
      <c r="B234" s="125"/>
      <c r="C234" s="131" t="s">
        <v>415</v>
      </c>
      <c r="D234" s="127"/>
      <c r="E234" s="127" t="s">
        <v>445</v>
      </c>
      <c r="F234" s="132" t="s">
        <v>60</v>
      </c>
      <c r="G234" s="133">
        <v>1</v>
      </c>
      <c r="H234" s="134"/>
      <c r="I234" s="135">
        <v>4</v>
      </c>
      <c r="J234" s="136"/>
    </row>
    <row r="235" spans="1:10" ht="0.45" hidden="1" customHeight="1" x14ac:dyDescent="0.45">
      <c r="A235" s="125" t="s">
        <v>446</v>
      </c>
      <c r="B235" s="125" t="s">
        <v>411</v>
      </c>
      <c r="C235" s="126" t="s">
        <v>412</v>
      </c>
      <c r="D235" s="127"/>
      <c r="E235" s="127" t="s">
        <v>447</v>
      </c>
      <c r="F235" s="127" t="s">
        <v>60</v>
      </c>
      <c r="G235" s="128">
        <v>1</v>
      </c>
      <c r="H235" s="128"/>
      <c r="I235" s="129">
        <v>10</v>
      </c>
      <c r="J235" s="130"/>
    </row>
    <row r="236" spans="1:10" ht="166.05" hidden="1" customHeight="1" x14ac:dyDescent="0.45">
      <c r="A236" s="125" t="s">
        <v>448</v>
      </c>
      <c r="B236" s="125"/>
      <c r="C236" s="131" t="s">
        <v>432</v>
      </c>
      <c r="D236" s="127"/>
      <c r="E236" s="127" t="s">
        <v>449</v>
      </c>
      <c r="F236" s="132" t="s">
        <v>60</v>
      </c>
      <c r="G236" s="133">
        <v>1</v>
      </c>
      <c r="H236" s="134"/>
      <c r="I236" s="135">
        <v>10</v>
      </c>
      <c r="J236" s="136"/>
    </row>
    <row r="237" spans="1:10" ht="36.6" hidden="1" thickBot="1" x14ac:dyDescent="0.5">
      <c r="A237" s="125" t="s">
        <v>450</v>
      </c>
      <c r="B237" s="125" t="s">
        <v>411</v>
      </c>
      <c r="C237" s="126" t="s">
        <v>412</v>
      </c>
      <c r="D237" s="127"/>
      <c r="E237" s="127" t="s">
        <v>451</v>
      </c>
      <c r="F237" s="127" t="s">
        <v>60</v>
      </c>
      <c r="G237" s="128">
        <v>1</v>
      </c>
      <c r="H237" s="128"/>
      <c r="I237" s="129">
        <v>4</v>
      </c>
      <c r="J237" s="130"/>
    </row>
    <row r="238" spans="1:10" ht="132" hidden="1" customHeight="1" x14ac:dyDescent="0.45">
      <c r="A238" s="125" t="s">
        <v>452</v>
      </c>
      <c r="B238" s="125"/>
      <c r="C238" s="131" t="s">
        <v>415</v>
      </c>
      <c r="D238" s="127"/>
      <c r="E238" s="127" t="s">
        <v>453</v>
      </c>
      <c r="F238" s="132" t="s">
        <v>60</v>
      </c>
      <c r="G238" s="133">
        <v>1</v>
      </c>
      <c r="H238" s="134"/>
      <c r="I238" s="135">
        <v>4</v>
      </c>
      <c r="J238" s="136"/>
    </row>
    <row r="239" spans="1:10" ht="36.6" hidden="1" thickBot="1" x14ac:dyDescent="0.5">
      <c r="A239" s="125" t="s">
        <v>454</v>
      </c>
      <c r="B239" s="125" t="s">
        <v>411</v>
      </c>
      <c r="C239" s="126" t="s">
        <v>412</v>
      </c>
      <c r="D239" s="127"/>
      <c r="E239" s="127" t="s">
        <v>455</v>
      </c>
      <c r="F239" s="127" t="s">
        <v>60</v>
      </c>
      <c r="G239" s="128">
        <v>1</v>
      </c>
      <c r="H239" s="128"/>
      <c r="I239" s="129">
        <v>5</v>
      </c>
      <c r="J239" s="130"/>
    </row>
    <row r="240" spans="1:10" ht="172.95" hidden="1" customHeight="1" x14ac:dyDescent="0.45">
      <c r="A240" s="125" t="s">
        <v>456</v>
      </c>
      <c r="B240" s="125"/>
      <c r="C240" s="131" t="s">
        <v>432</v>
      </c>
      <c r="D240" s="127"/>
      <c r="E240" s="127" t="s">
        <v>457</v>
      </c>
      <c r="F240" s="132" t="s">
        <v>60</v>
      </c>
      <c r="G240" s="133">
        <v>1</v>
      </c>
      <c r="H240" s="134"/>
      <c r="I240" s="135">
        <v>5</v>
      </c>
      <c r="J240" s="136"/>
    </row>
    <row r="241" spans="1:10" ht="22.5" hidden="1" customHeight="1" x14ac:dyDescent="0.45">
      <c r="A241" s="125" t="s">
        <v>458</v>
      </c>
      <c r="B241" s="125" t="s">
        <v>411</v>
      </c>
      <c r="C241" s="126" t="s">
        <v>412</v>
      </c>
      <c r="D241" s="127"/>
      <c r="E241" s="127" t="s">
        <v>459</v>
      </c>
      <c r="F241" s="127" t="s">
        <v>60</v>
      </c>
      <c r="G241" s="128">
        <v>1</v>
      </c>
      <c r="H241" s="128"/>
      <c r="I241" s="129">
        <v>1</v>
      </c>
      <c r="J241" s="130"/>
    </row>
    <row r="242" spans="1:10" ht="155.55000000000001" hidden="1" customHeight="1" x14ac:dyDescent="0.45">
      <c r="A242" s="125" t="s">
        <v>460</v>
      </c>
      <c r="B242" s="125"/>
      <c r="C242" s="131" t="s">
        <v>415</v>
      </c>
      <c r="D242" s="127"/>
      <c r="E242" s="127" t="s">
        <v>461</v>
      </c>
      <c r="F242" s="132" t="s">
        <v>60</v>
      </c>
      <c r="G242" s="133">
        <v>1</v>
      </c>
      <c r="H242" s="134"/>
      <c r="I242" s="135">
        <v>1</v>
      </c>
      <c r="J242" s="136"/>
    </row>
    <row r="243" spans="1:10" ht="36.6" hidden="1" thickBot="1" x14ac:dyDescent="0.5">
      <c r="A243" s="125" t="s">
        <v>462</v>
      </c>
      <c r="B243" s="125" t="s">
        <v>411</v>
      </c>
      <c r="C243" s="126" t="s">
        <v>412</v>
      </c>
      <c r="D243" s="127"/>
      <c r="E243" s="127" t="s">
        <v>463</v>
      </c>
      <c r="F243" s="127" t="s">
        <v>60</v>
      </c>
      <c r="G243" s="128">
        <v>1</v>
      </c>
      <c r="H243" s="128"/>
      <c r="I243" s="129">
        <v>5</v>
      </c>
      <c r="J243" s="130"/>
    </row>
    <row r="244" spans="1:10" ht="103.5" hidden="1" customHeight="1" x14ac:dyDescent="0.45">
      <c r="A244" s="125" t="s">
        <v>464</v>
      </c>
      <c r="B244" s="125"/>
      <c r="C244" s="131" t="s">
        <v>432</v>
      </c>
      <c r="D244" s="127"/>
      <c r="E244" s="127" t="s">
        <v>465</v>
      </c>
      <c r="F244" s="132" t="s">
        <v>60</v>
      </c>
      <c r="G244" s="133">
        <v>1</v>
      </c>
      <c r="H244" s="134"/>
      <c r="I244" s="135">
        <v>5</v>
      </c>
      <c r="J244" s="136"/>
    </row>
    <row r="245" spans="1:10" ht="36.6" hidden="1" thickBot="1" x14ac:dyDescent="0.5">
      <c r="A245" s="125" t="s">
        <v>466</v>
      </c>
      <c r="B245" s="125" t="s">
        <v>411</v>
      </c>
      <c r="C245" s="126" t="s">
        <v>412</v>
      </c>
      <c r="D245" s="127"/>
      <c r="E245" s="127" t="s">
        <v>467</v>
      </c>
      <c r="F245" s="127" t="s">
        <v>60</v>
      </c>
      <c r="G245" s="128">
        <v>1</v>
      </c>
      <c r="H245" s="128"/>
      <c r="I245" s="129">
        <v>3</v>
      </c>
      <c r="J245" s="130"/>
    </row>
    <row r="246" spans="1:10" ht="142.05000000000001" hidden="1" customHeight="1" x14ac:dyDescent="0.45">
      <c r="A246" s="125" t="s">
        <v>468</v>
      </c>
      <c r="B246" s="125"/>
      <c r="C246" s="131" t="s">
        <v>469</v>
      </c>
      <c r="D246" s="127"/>
      <c r="E246" s="127" t="s">
        <v>470</v>
      </c>
      <c r="F246" s="132" t="s">
        <v>60</v>
      </c>
      <c r="G246" s="133">
        <v>1</v>
      </c>
      <c r="H246" s="134"/>
      <c r="I246" s="135">
        <v>3</v>
      </c>
      <c r="J246" s="136"/>
    </row>
    <row r="247" spans="1:10" ht="30.45" hidden="1" customHeight="1" x14ac:dyDescent="0.45">
      <c r="A247" s="125" t="s">
        <v>471</v>
      </c>
      <c r="B247" s="125" t="s">
        <v>411</v>
      </c>
      <c r="C247" s="126" t="s">
        <v>412</v>
      </c>
      <c r="D247" s="127"/>
      <c r="E247" s="127" t="s">
        <v>472</v>
      </c>
      <c r="F247" s="127" t="s">
        <v>60</v>
      </c>
      <c r="G247" s="128">
        <v>1</v>
      </c>
      <c r="H247" s="128"/>
      <c r="I247" s="129">
        <v>15</v>
      </c>
      <c r="J247" s="130"/>
    </row>
    <row r="248" spans="1:10" ht="133.5" hidden="1" customHeight="1" x14ac:dyDescent="0.45">
      <c r="A248" s="125" t="s">
        <v>473</v>
      </c>
      <c r="B248" s="125"/>
      <c r="C248" s="131" t="s">
        <v>432</v>
      </c>
      <c r="D248" s="127"/>
      <c r="E248" s="127" t="s">
        <v>474</v>
      </c>
      <c r="F248" s="132" t="s">
        <v>60</v>
      </c>
      <c r="G248" s="133">
        <v>1</v>
      </c>
      <c r="H248" s="134"/>
      <c r="I248" s="135">
        <v>15</v>
      </c>
      <c r="J248" s="136"/>
    </row>
    <row r="249" spans="1:10" ht="36.6" hidden="1" thickBot="1" x14ac:dyDescent="0.5">
      <c r="A249" s="125" t="s">
        <v>475</v>
      </c>
      <c r="B249" s="125" t="s">
        <v>411</v>
      </c>
      <c r="C249" s="126" t="s">
        <v>412</v>
      </c>
      <c r="D249" s="127"/>
      <c r="E249" s="127" t="s">
        <v>476</v>
      </c>
      <c r="F249" s="127" t="s">
        <v>60</v>
      </c>
      <c r="G249" s="128">
        <v>1</v>
      </c>
      <c r="H249" s="128"/>
      <c r="I249" s="129">
        <v>4</v>
      </c>
      <c r="J249" s="130"/>
    </row>
    <row r="250" spans="1:10" ht="161.55000000000001" hidden="1" customHeight="1" x14ac:dyDescent="0.45">
      <c r="A250" s="125" t="s">
        <v>477</v>
      </c>
      <c r="B250" s="125"/>
      <c r="C250" s="131" t="s">
        <v>415</v>
      </c>
      <c r="D250" s="127"/>
      <c r="E250" s="127" t="s">
        <v>478</v>
      </c>
      <c r="F250" s="132" t="s">
        <v>60</v>
      </c>
      <c r="G250" s="133">
        <v>1</v>
      </c>
      <c r="H250" s="134"/>
      <c r="I250" s="135">
        <v>4</v>
      </c>
      <c r="J250" s="136"/>
    </row>
    <row r="251" spans="1:10" ht="36.6" hidden="1" thickBot="1" x14ac:dyDescent="0.5">
      <c r="A251" s="125" t="s">
        <v>479</v>
      </c>
      <c r="B251" s="125" t="s">
        <v>411</v>
      </c>
      <c r="C251" s="126" t="s">
        <v>412</v>
      </c>
      <c r="D251" s="127"/>
      <c r="E251" s="127" t="s">
        <v>480</v>
      </c>
      <c r="F251" s="127" t="s">
        <v>60</v>
      </c>
      <c r="G251" s="128">
        <v>1</v>
      </c>
      <c r="H251" s="128"/>
      <c r="I251" s="129">
        <v>2</v>
      </c>
      <c r="J251" s="130"/>
    </row>
    <row r="252" spans="1:10" ht="148.05000000000001" hidden="1" customHeight="1" x14ac:dyDescent="0.45">
      <c r="A252" s="125" t="s">
        <v>481</v>
      </c>
      <c r="B252" s="125"/>
      <c r="C252" s="131" t="s">
        <v>432</v>
      </c>
      <c r="D252" s="127"/>
      <c r="E252" s="127" t="s">
        <v>482</v>
      </c>
      <c r="F252" s="132" t="s">
        <v>60</v>
      </c>
      <c r="G252" s="133">
        <v>1</v>
      </c>
      <c r="H252" s="134"/>
      <c r="I252" s="135">
        <v>2</v>
      </c>
      <c r="J252" s="136"/>
    </row>
    <row r="253" spans="1:10" ht="36.6" hidden="1" thickBot="1" x14ac:dyDescent="0.5">
      <c r="A253" s="125" t="s">
        <v>483</v>
      </c>
      <c r="B253" s="125" t="s">
        <v>411</v>
      </c>
      <c r="C253" s="126" t="s">
        <v>412</v>
      </c>
      <c r="D253" s="127"/>
      <c r="E253" s="127" t="s">
        <v>484</v>
      </c>
      <c r="F253" s="127" t="s">
        <v>60</v>
      </c>
      <c r="G253" s="128">
        <v>1</v>
      </c>
      <c r="H253" s="128"/>
      <c r="I253" s="129">
        <v>2</v>
      </c>
      <c r="J253" s="130"/>
    </row>
    <row r="254" spans="1:10" ht="127.95" hidden="1" customHeight="1" x14ac:dyDescent="0.45">
      <c r="A254" s="125" t="s">
        <v>485</v>
      </c>
      <c r="B254" s="125"/>
      <c r="C254" s="131" t="s">
        <v>432</v>
      </c>
      <c r="D254" s="127"/>
      <c r="E254" s="127" t="s">
        <v>486</v>
      </c>
      <c r="F254" s="132" t="s">
        <v>60</v>
      </c>
      <c r="G254" s="133">
        <v>1</v>
      </c>
      <c r="H254" s="134"/>
      <c r="I254" s="135">
        <v>2</v>
      </c>
      <c r="J254" s="136"/>
    </row>
    <row r="255" spans="1:10" ht="36.6" hidden="1" thickBot="1" x14ac:dyDescent="0.5">
      <c r="A255" s="125" t="s">
        <v>487</v>
      </c>
      <c r="B255" s="125" t="s">
        <v>411</v>
      </c>
      <c r="C255" s="126" t="s">
        <v>412</v>
      </c>
      <c r="D255" s="127"/>
      <c r="E255" s="127" t="s">
        <v>488</v>
      </c>
      <c r="F255" s="127" t="s">
        <v>60</v>
      </c>
      <c r="G255" s="128">
        <v>1</v>
      </c>
      <c r="H255" s="128"/>
      <c r="I255" s="129">
        <v>2</v>
      </c>
      <c r="J255" s="130"/>
    </row>
    <row r="256" spans="1:10" ht="126.45" hidden="1" customHeight="1" x14ac:dyDescent="0.45">
      <c r="A256" s="125" t="s">
        <v>489</v>
      </c>
      <c r="B256" s="125"/>
      <c r="C256" s="131" t="s">
        <v>432</v>
      </c>
      <c r="D256" s="127"/>
      <c r="E256" s="127" t="s">
        <v>490</v>
      </c>
      <c r="F256" s="132" t="s">
        <v>60</v>
      </c>
      <c r="G256" s="133">
        <v>1</v>
      </c>
      <c r="H256" s="134"/>
      <c r="I256" s="135">
        <v>2</v>
      </c>
      <c r="J256" s="136"/>
    </row>
    <row r="257" spans="1:10" ht="36.6" hidden="1" thickBot="1" x14ac:dyDescent="0.5">
      <c r="A257" s="125" t="s">
        <v>491</v>
      </c>
      <c r="B257" s="125" t="s">
        <v>411</v>
      </c>
      <c r="C257" s="126" t="s">
        <v>412</v>
      </c>
      <c r="D257" s="127"/>
      <c r="E257" s="127" t="s">
        <v>492</v>
      </c>
      <c r="F257" s="127" t="s">
        <v>60</v>
      </c>
      <c r="G257" s="128">
        <v>1</v>
      </c>
      <c r="H257" s="128"/>
      <c r="I257" s="129">
        <v>2</v>
      </c>
      <c r="J257" s="130"/>
    </row>
    <row r="258" spans="1:10" ht="172.95" hidden="1" customHeight="1" x14ac:dyDescent="0.45">
      <c r="A258" s="125" t="s">
        <v>493</v>
      </c>
      <c r="B258" s="125"/>
      <c r="C258" s="131" t="s">
        <v>415</v>
      </c>
      <c r="D258" s="127"/>
      <c r="E258" s="127" t="s">
        <v>494</v>
      </c>
      <c r="F258" s="132" t="s">
        <v>60</v>
      </c>
      <c r="G258" s="133">
        <v>1</v>
      </c>
      <c r="H258" s="134"/>
      <c r="I258" s="135">
        <v>2</v>
      </c>
      <c r="J258" s="136"/>
    </row>
    <row r="259" spans="1:10" ht="29.55" hidden="1" customHeight="1" x14ac:dyDescent="0.45">
      <c r="A259" s="125" t="s">
        <v>495</v>
      </c>
      <c r="B259" s="125" t="s">
        <v>411</v>
      </c>
      <c r="C259" s="126" t="s">
        <v>412</v>
      </c>
      <c r="D259" s="127"/>
      <c r="E259" s="127" t="s">
        <v>496</v>
      </c>
      <c r="F259" s="127" t="s">
        <v>60</v>
      </c>
      <c r="G259" s="128">
        <v>1</v>
      </c>
      <c r="H259" s="128"/>
      <c r="I259" s="129">
        <v>3</v>
      </c>
      <c r="J259" s="130"/>
    </row>
    <row r="260" spans="1:10" ht="190.95" hidden="1" customHeight="1" x14ac:dyDescent="0.45">
      <c r="A260" s="125" t="s">
        <v>497</v>
      </c>
      <c r="B260" s="125"/>
      <c r="C260" s="131" t="s">
        <v>432</v>
      </c>
      <c r="D260" s="127"/>
      <c r="E260" s="127" t="s">
        <v>498</v>
      </c>
      <c r="F260" s="132" t="s">
        <v>60</v>
      </c>
      <c r="G260" s="133">
        <v>1</v>
      </c>
      <c r="H260" s="134"/>
      <c r="I260" s="135">
        <v>3</v>
      </c>
      <c r="J260" s="136"/>
    </row>
    <row r="261" spans="1:10" ht="36.6" hidden="1" thickBot="1" x14ac:dyDescent="0.5">
      <c r="A261" s="125" t="s">
        <v>499</v>
      </c>
      <c r="B261" s="125" t="s">
        <v>411</v>
      </c>
      <c r="C261" s="126" t="s">
        <v>412</v>
      </c>
      <c r="D261" s="127"/>
      <c r="E261" s="127" t="s">
        <v>500</v>
      </c>
      <c r="F261" s="127" t="s">
        <v>60</v>
      </c>
      <c r="G261" s="128">
        <v>1</v>
      </c>
      <c r="H261" s="128"/>
      <c r="I261" s="129">
        <v>2</v>
      </c>
      <c r="J261" s="130"/>
    </row>
    <row r="262" spans="1:10" ht="192" hidden="1" customHeight="1" x14ac:dyDescent="0.45">
      <c r="A262" s="125" t="s">
        <v>501</v>
      </c>
      <c r="B262" s="125"/>
      <c r="C262" s="131" t="s">
        <v>432</v>
      </c>
      <c r="D262" s="127"/>
      <c r="E262" s="127" t="s">
        <v>502</v>
      </c>
      <c r="F262" s="132" t="s">
        <v>60</v>
      </c>
      <c r="G262" s="133">
        <v>1</v>
      </c>
      <c r="H262" s="134"/>
      <c r="I262" s="135">
        <v>2</v>
      </c>
      <c r="J262" s="136"/>
    </row>
    <row r="263" spans="1:10" ht="36.6" hidden="1" thickBot="1" x14ac:dyDescent="0.5">
      <c r="A263" s="125" t="s">
        <v>503</v>
      </c>
      <c r="B263" s="125" t="s">
        <v>411</v>
      </c>
      <c r="C263" s="126" t="s">
        <v>412</v>
      </c>
      <c r="D263" s="127"/>
      <c r="E263" s="127" t="s">
        <v>504</v>
      </c>
      <c r="F263" s="127" t="s">
        <v>60</v>
      </c>
      <c r="G263" s="128">
        <v>1</v>
      </c>
      <c r="H263" s="128"/>
      <c r="I263" s="129">
        <v>1</v>
      </c>
      <c r="J263" s="130"/>
    </row>
    <row r="264" spans="1:10" ht="204.45" hidden="1" customHeight="1" x14ac:dyDescent="0.45">
      <c r="A264" s="125" t="s">
        <v>505</v>
      </c>
      <c r="B264" s="125"/>
      <c r="C264" s="131" t="s">
        <v>432</v>
      </c>
      <c r="D264" s="127"/>
      <c r="E264" s="127" t="s">
        <v>506</v>
      </c>
      <c r="F264" s="132" t="s">
        <v>60</v>
      </c>
      <c r="G264" s="133">
        <v>1</v>
      </c>
      <c r="H264" s="134"/>
      <c r="I264" s="135">
        <v>1</v>
      </c>
      <c r="J264" s="136"/>
    </row>
    <row r="265" spans="1:10" ht="31.05" hidden="1" customHeight="1" x14ac:dyDescent="0.45">
      <c r="A265" s="125" t="s">
        <v>507</v>
      </c>
      <c r="B265" s="125" t="s">
        <v>411</v>
      </c>
      <c r="C265" s="126" t="s">
        <v>412</v>
      </c>
      <c r="D265" s="127"/>
      <c r="E265" s="127" t="s">
        <v>508</v>
      </c>
      <c r="F265" s="127" t="s">
        <v>60</v>
      </c>
      <c r="G265" s="128">
        <v>1</v>
      </c>
      <c r="H265" s="128"/>
      <c r="I265" s="129">
        <v>1</v>
      </c>
      <c r="J265" s="130"/>
    </row>
    <row r="266" spans="1:10" ht="146.55000000000001" hidden="1" customHeight="1" x14ac:dyDescent="0.45">
      <c r="A266" s="125" t="s">
        <v>509</v>
      </c>
      <c r="B266" s="125"/>
      <c r="C266" s="131" t="s">
        <v>415</v>
      </c>
      <c r="D266" s="127"/>
      <c r="E266" s="127" t="s">
        <v>510</v>
      </c>
      <c r="F266" s="132" t="s">
        <v>60</v>
      </c>
      <c r="G266" s="133">
        <v>1</v>
      </c>
      <c r="H266" s="134"/>
      <c r="I266" s="135">
        <v>1</v>
      </c>
      <c r="J266" s="136"/>
    </row>
    <row r="267" spans="1:10" ht="36.6" hidden="1" thickBot="1" x14ac:dyDescent="0.5">
      <c r="A267" s="125" t="s">
        <v>511</v>
      </c>
      <c r="B267" s="125" t="s">
        <v>411</v>
      </c>
      <c r="C267" s="126" t="s">
        <v>412</v>
      </c>
      <c r="D267" s="127"/>
      <c r="E267" s="127" t="s">
        <v>512</v>
      </c>
      <c r="F267" s="127" t="s">
        <v>60</v>
      </c>
      <c r="G267" s="128">
        <v>1</v>
      </c>
      <c r="H267" s="128"/>
      <c r="I267" s="129">
        <v>1</v>
      </c>
      <c r="J267" s="130"/>
    </row>
    <row r="268" spans="1:10" ht="166.95" hidden="1" customHeight="1" x14ac:dyDescent="0.45">
      <c r="A268" s="125" t="s">
        <v>513</v>
      </c>
      <c r="B268" s="125"/>
      <c r="C268" s="131" t="s">
        <v>432</v>
      </c>
      <c r="D268" s="127"/>
      <c r="E268" s="127" t="s">
        <v>514</v>
      </c>
      <c r="F268" s="132" t="s">
        <v>60</v>
      </c>
      <c r="G268" s="133">
        <v>1</v>
      </c>
      <c r="H268" s="134"/>
      <c r="I268" s="135">
        <v>1</v>
      </c>
      <c r="J268" s="136"/>
    </row>
    <row r="269" spans="1:10" ht="36.6" hidden="1" thickBot="1" x14ac:dyDescent="0.5">
      <c r="A269" s="125" t="s">
        <v>515</v>
      </c>
      <c r="B269" s="125" t="s">
        <v>411</v>
      </c>
      <c r="C269" s="126" t="s">
        <v>412</v>
      </c>
      <c r="D269" s="127"/>
      <c r="E269" s="127" t="s">
        <v>516</v>
      </c>
      <c r="F269" s="127" t="s">
        <v>60</v>
      </c>
      <c r="G269" s="128">
        <v>1</v>
      </c>
      <c r="H269" s="128"/>
      <c r="I269" s="129">
        <v>2</v>
      </c>
      <c r="J269" s="130"/>
    </row>
    <row r="270" spans="1:10" ht="170.55" hidden="1" customHeight="1" x14ac:dyDescent="0.45">
      <c r="A270" s="125" t="s">
        <v>517</v>
      </c>
      <c r="B270" s="125"/>
      <c r="C270" s="131" t="s">
        <v>432</v>
      </c>
      <c r="D270" s="127"/>
      <c r="E270" s="127" t="s">
        <v>518</v>
      </c>
      <c r="F270" s="132" t="s">
        <v>60</v>
      </c>
      <c r="G270" s="133">
        <v>1</v>
      </c>
      <c r="H270" s="134"/>
      <c r="I270" s="137">
        <v>2</v>
      </c>
      <c r="J270" s="136"/>
    </row>
  </sheetData>
  <mergeCells count="1">
    <mergeCell ref="C218:I218"/>
  </mergeCells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>
      <selection activeCell="D21" sqref="D21"/>
    </sheetView>
  </sheetViews>
  <sheetFormatPr defaultColWidth="9.109375" defaultRowHeight="13.2" x14ac:dyDescent="0.3"/>
  <cols>
    <col min="1" max="1" width="10" style="29" customWidth="1"/>
    <col min="2" max="16384" width="9.109375" style="29"/>
  </cols>
  <sheetData>
    <row r="1" spans="1:2" ht="26.4" x14ac:dyDescent="0.3">
      <c r="A1" s="28" t="s">
        <v>39</v>
      </c>
      <c r="B1" s="28" t="s">
        <v>40</v>
      </c>
    </row>
    <row r="2" spans="1:2" x14ac:dyDescent="0.3">
      <c r="A2" s="12">
        <v>3004</v>
      </c>
      <c r="B2" s="27">
        <v>241.1</v>
      </c>
    </row>
    <row r="3" spans="1:2" x14ac:dyDescent="0.3">
      <c r="A3" s="12">
        <v>3007</v>
      </c>
      <c r="B3" s="27">
        <v>8.1</v>
      </c>
    </row>
    <row r="4" spans="1:2" x14ac:dyDescent="0.3">
      <c r="A4" s="12">
        <v>3009</v>
      </c>
      <c r="B4" s="27">
        <v>22.8</v>
      </c>
    </row>
    <row r="5" spans="1:2" x14ac:dyDescent="0.3">
      <c r="A5" s="12">
        <v>3012</v>
      </c>
      <c r="B5" s="27">
        <v>233.5</v>
      </c>
    </row>
    <row r="6" spans="1:2" x14ac:dyDescent="0.3">
      <c r="A6" s="12">
        <v>3015</v>
      </c>
      <c r="B6" s="27">
        <v>19.100000000000001</v>
      </c>
    </row>
    <row r="7" spans="1:2" x14ac:dyDescent="0.3">
      <c r="A7" s="12">
        <v>3017</v>
      </c>
      <c r="B7" s="27">
        <v>9.4</v>
      </c>
    </row>
    <row r="8" spans="1:2" x14ac:dyDescent="0.3">
      <c r="A8" s="12">
        <v>3019</v>
      </c>
      <c r="B8" s="27">
        <v>315.5</v>
      </c>
    </row>
    <row r="9" spans="1:2" x14ac:dyDescent="0.3">
      <c r="A9" s="12">
        <v>3023</v>
      </c>
      <c r="B9" s="27">
        <v>185.9</v>
      </c>
    </row>
    <row r="10" spans="1:2" x14ac:dyDescent="0.3">
      <c r="A10" s="12">
        <v>3033</v>
      </c>
      <c r="B10" s="27">
        <v>8.8999999999999986</v>
      </c>
    </row>
    <row r="11" spans="1:2" x14ac:dyDescent="0.3">
      <c r="A11" s="12">
        <v>3037</v>
      </c>
      <c r="B11" s="27">
        <v>111.60000000000001</v>
      </c>
    </row>
    <row r="12" spans="1:2" x14ac:dyDescent="0.3">
      <c r="A12" s="12">
        <v>3041</v>
      </c>
      <c r="B12" s="27">
        <v>159.80000000000001</v>
      </c>
    </row>
    <row r="13" spans="1:2" x14ac:dyDescent="0.3">
      <c r="A13" s="12">
        <v>3042</v>
      </c>
      <c r="B13" s="27">
        <v>21.4</v>
      </c>
    </row>
    <row r="14" spans="1:2" x14ac:dyDescent="0.3">
      <c r="A14" s="12">
        <v>3043</v>
      </c>
      <c r="B14" s="27">
        <v>21.8</v>
      </c>
    </row>
    <row r="15" spans="1:2" x14ac:dyDescent="0.3">
      <c r="A15" s="12">
        <v>3045</v>
      </c>
      <c r="B15" s="27">
        <v>4.5999999999999996</v>
      </c>
    </row>
    <row r="16" spans="1:2" x14ac:dyDescent="0.3">
      <c r="A16" s="12">
        <v>3046</v>
      </c>
      <c r="B16" s="27">
        <v>9</v>
      </c>
    </row>
    <row r="17" spans="1:2" x14ac:dyDescent="0.3">
      <c r="A17" s="12">
        <v>3051</v>
      </c>
      <c r="B17" s="27">
        <v>193.7</v>
      </c>
    </row>
    <row r="18" spans="1:2" x14ac:dyDescent="0.3">
      <c r="A18" s="12">
        <v>3053</v>
      </c>
      <c r="B18" s="27">
        <v>198.20000000000002</v>
      </c>
    </row>
    <row r="19" spans="1:2" x14ac:dyDescent="0.3">
      <c r="A19" s="12">
        <v>3055</v>
      </c>
      <c r="B19" s="27">
        <v>13.8</v>
      </c>
    </row>
    <row r="20" spans="1:2" x14ac:dyDescent="0.3">
      <c r="A20" s="12">
        <v>3057</v>
      </c>
      <c r="B20" s="27">
        <v>8</v>
      </c>
    </row>
    <row r="21" spans="1:2" x14ac:dyDescent="0.3">
      <c r="A21" s="12">
        <v>3059</v>
      </c>
      <c r="B21" s="27">
        <v>38.799999999999997</v>
      </c>
    </row>
    <row r="22" spans="1:2" x14ac:dyDescent="0.3">
      <c r="A22" s="12">
        <v>3060</v>
      </c>
      <c r="B22" s="27">
        <v>7.5</v>
      </c>
    </row>
    <row r="23" spans="1:2" x14ac:dyDescent="0.3">
      <c r="A23" s="12">
        <v>3061</v>
      </c>
      <c r="B23" s="27">
        <v>12</v>
      </c>
    </row>
    <row r="24" spans="1:2" x14ac:dyDescent="0.3">
      <c r="A24" s="12">
        <v>3062</v>
      </c>
      <c r="B24" s="27">
        <v>11.5</v>
      </c>
    </row>
    <row r="25" spans="1:2" x14ac:dyDescent="0.3">
      <c r="A25" s="12">
        <v>3063</v>
      </c>
      <c r="B25" s="27">
        <v>72</v>
      </c>
    </row>
    <row r="26" spans="1:2" x14ac:dyDescent="0.3">
      <c r="A26" s="12">
        <v>3064</v>
      </c>
      <c r="B26" s="27">
        <v>14.6</v>
      </c>
    </row>
    <row r="27" spans="1:2" x14ac:dyDescent="0.3">
      <c r="A27" s="12">
        <v>3065</v>
      </c>
      <c r="B27" s="27">
        <v>2.3000000000000003</v>
      </c>
    </row>
    <row r="28" spans="1:2" x14ac:dyDescent="0.3">
      <c r="A28" s="12">
        <v>3066</v>
      </c>
      <c r="B28" s="27">
        <v>97.600000000000009</v>
      </c>
    </row>
    <row r="29" spans="1:2" x14ac:dyDescent="0.3">
      <c r="A29" s="12">
        <v>3067</v>
      </c>
      <c r="B29" s="27">
        <v>14.299999999999999</v>
      </c>
    </row>
    <row r="30" spans="1:2" x14ac:dyDescent="0.3">
      <c r="A30" s="30" t="s">
        <v>27</v>
      </c>
      <c r="B30" s="31">
        <f>SUM(B2:B29)</f>
        <v>2056.7999999999997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opLeftCell="A18" zoomScaleNormal="100" workbookViewId="0">
      <selection activeCell="H55" sqref="H55"/>
    </sheetView>
  </sheetViews>
  <sheetFormatPr defaultRowHeight="14.4" x14ac:dyDescent="0.3"/>
  <cols>
    <col min="1" max="1" width="10.33203125" customWidth="1"/>
    <col min="2" max="2" width="14.33203125" customWidth="1"/>
    <col min="3" max="3" width="12.88671875" customWidth="1"/>
    <col min="4" max="4" width="9.109375" customWidth="1"/>
    <col min="5" max="5" width="15.5546875" customWidth="1"/>
    <col min="8" max="8" width="9.5546875" bestFit="1" customWidth="1"/>
  </cols>
  <sheetData>
    <row r="1" spans="1:5" ht="43.2" x14ac:dyDescent="0.3">
      <c r="A1" s="11" t="s">
        <v>26</v>
      </c>
      <c r="B1" s="59" t="s">
        <v>42</v>
      </c>
      <c r="C1" s="52" t="s">
        <v>46</v>
      </c>
      <c r="D1" s="52" t="s">
        <v>43</v>
      </c>
      <c r="E1" s="52" t="s">
        <v>47</v>
      </c>
    </row>
    <row r="2" spans="1:5" x14ac:dyDescent="0.3">
      <c r="A2" s="60">
        <v>3004</v>
      </c>
      <c r="B2" s="61">
        <f>'3пом'!B2</f>
        <v>241.1</v>
      </c>
      <c r="C2" s="61">
        <v>244.1</v>
      </c>
      <c r="D2" s="52">
        <v>244.9</v>
      </c>
      <c r="E2" s="62">
        <f>B2-D2</f>
        <v>-3.8000000000000114</v>
      </c>
    </row>
    <row r="3" spans="1:5" x14ac:dyDescent="0.3">
      <c r="A3" s="60">
        <v>3007</v>
      </c>
      <c r="B3" s="61">
        <f>'3пом'!B3</f>
        <v>8.1</v>
      </c>
      <c r="C3" s="61">
        <v>9.1</v>
      </c>
      <c r="D3" s="52">
        <v>9.1</v>
      </c>
      <c r="E3" s="62">
        <f t="shared" ref="E3:E29" si="0">B3-D3</f>
        <v>-1</v>
      </c>
    </row>
    <row r="4" spans="1:5" x14ac:dyDescent="0.3">
      <c r="A4" s="60">
        <v>3009</v>
      </c>
      <c r="B4" s="61">
        <f>'3пом'!B4</f>
        <v>22.8</v>
      </c>
      <c r="C4" s="61">
        <v>23.5</v>
      </c>
      <c r="D4" s="52">
        <v>23.5</v>
      </c>
      <c r="E4" s="62">
        <f t="shared" si="0"/>
        <v>-0.69999999999999929</v>
      </c>
    </row>
    <row r="5" spans="1:5" x14ac:dyDescent="0.3">
      <c r="A5" s="63">
        <v>3012</v>
      </c>
      <c r="B5" s="64">
        <f>'3пом'!B5</f>
        <v>233.5</v>
      </c>
      <c r="C5" s="64">
        <v>470.2</v>
      </c>
      <c r="D5" s="65">
        <v>235.7</v>
      </c>
      <c r="E5" s="62">
        <f t="shared" si="0"/>
        <v>-2.1999999999999886</v>
      </c>
    </row>
    <row r="6" spans="1:5" x14ac:dyDescent="0.3">
      <c r="A6" s="60">
        <v>3015</v>
      </c>
      <c r="B6" s="61">
        <f>'3пом'!B6</f>
        <v>19.100000000000001</v>
      </c>
      <c r="C6" s="61">
        <v>19.600000000000001</v>
      </c>
      <c r="D6" s="52">
        <v>19.600000000000001</v>
      </c>
      <c r="E6" s="62">
        <f t="shared" si="0"/>
        <v>-0.5</v>
      </c>
    </row>
    <row r="7" spans="1:5" x14ac:dyDescent="0.3">
      <c r="A7" s="60">
        <v>3017</v>
      </c>
      <c r="B7" s="61">
        <f>'3пом'!B7</f>
        <v>9.4</v>
      </c>
      <c r="C7" s="61">
        <v>10.3</v>
      </c>
      <c r="D7" s="52">
        <v>10.3</v>
      </c>
      <c r="E7" s="62">
        <f t="shared" si="0"/>
        <v>-0.90000000000000036</v>
      </c>
    </row>
    <row r="8" spans="1:5" x14ac:dyDescent="0.3">
      <c r="A8" s="60">
        <v>3019</v>
      </c>
      <c r="B8" s="61">
        <f>'3пом'!B8</f>
        <v>315.5</v>
      </c>
      <c r="C8" s="61">
        <v>321.8</v>
      </c>
      <c r="D8" s="52">
        <v>320.39999999999998</v>
      </c>
      <c r="E8" s="62">
        <f t="shared" si="0"/>
        <v>-4.8999999999999773</v>
      </c>
    </row>
    <row r="9" spans="1:5" x14ac:dyDescent="0.3">
      <c r="A9" s="63">
        <v>3023</v>
      </c>
      <c r="B9" s="64">
        <f>'3пом'!B9</f>
        <v>185.9</v>
      </c>
      <c r="C9" s="64">
        <v>364.3</v>
      </c>
      <c r="D9" s="65">
        <v>188.6</v>
      </c>
      <c r="E9" s="62">
        <f t="shared" si="0"/>
        <v>-2.6999999999999886</v>
      </c>
    </row>
    <row r="10" spans="1:5" x14ac:dyDescent="0.3">
      <c r="A10" s="60">
        <v>3033</v>
      </c>
      <c r="B10" s="61">
        <f>'3пом'!B10</f>
        <v>8.8999999999999986</v>
      </c>
      <c r="C10" s="61">
        <v>9.1999999999999993</v>
      </c>
      <c r="D10" s="52">
        <v>9.1999999999999993</v>
      </c>
      <c r="E10" s="62">
        <f t="shared" si="0"/>
        <v>-0.30000000000000071</v>
      </c>
    </row>
    <row r="11" spans="1:5" x14ac:dyDescent="0.3">
      <c r="A11" s="63">
        <v>3037</v>
      </c>
      <c r="B11" s="64">
        <f>'3пом'!B11</f>
        <v>111.60000000000001</v>
      </c>
      <c r="C11" s="64">
        <v>232.5</v>
      </c>
      <c r="D11" s="65">
        <v>116.4</v>
      </c>
      <c r="E11" s="62">
        <f t="shared" si="0"/>
        <v>-4.7999999999999972</v>
      </c>
    </row>
    <row r="12" spans="1:5" x14ac:dyDescent="0.3">
      <c r="A12" s="63">
        <v>3041</v>
      </c>
      <c r="B12" s="64">
        <f>'3пом'!B12</f>
        <v>159.80000000000001</v>
      </c>
      <c r="C12" s="64">
        <v>331.2</v>
      </c>
      <c r="D12" s="65">
        <v>165.8</v>
      </c>
      <c r="E12" s="62">
        <f t="shared" si="0"/>
        <v>-6</v>
      </c>
    </row>
    <row r="13" spans="1:5" x14ac:dyDescent="0.3">
      <c r="A13" s="60">
        <v>3042</v>
      </c>
      <c r="B13" s="61">
        <f>'3пом'!B13</f>
        <v>21.4</v>
      </c>
      <c r="C13" s="61">
        <v>22.2</v>
      </c>
      <c r="D13" s="52">
        <v>22.2</v>
      </c>
      <c r="E13" s="62">
        <f t="shared" si="0"/>
        <v>-0.80000000000000071</v>
      </c>
    </row>
    <row r="14" spans="1:5" x14ac:dyDescent="0.3">
      <c r="A14" s="60">
        <v>3043</v>
      </c>
      <c r="B14" s="61">
        <f>'3пом'!B14</f>
        <v>21.8</v>
      </c>
      <c r="C14" s="61">
        <v>22.1</v>
      </c>
      <c r="D14" s="52">
        <v>22.1</v>
      </c>
      <c r="E14" s="62">
        <f t="shared" si="0"/>
        <v>-0.30000000000000071</v>
      </c>
    </row>
    <row r="15" spans="1:5" x14ac:dyDescent="0.3">
      <c r="A15" s="60">
        <v>3045</v>
      </c>
      <c r="B15" s="61">
        <f>'3пом'!B15</f>
        <v>4.5999999999999996</v>
      </c>
      <c r="C15" s="61">
        <v>5.6</v>
      </c>
      <c r="D15" s="52">
        <v>5.6</v>
      </c>
      <c r="E15" s="62">
        <f t="shared" si="0"/>
        <v>-1</v>
      </c>
    </row>
    <row r="16" spans="1:5" x14ac:dyDescent="0.3">
      <c r="A16" s="60">
        <v>3046</v>
      </c>
      <c r="B16" s="61">
        <f>'3пом'!B16</f>
        <v>9</v>
      </c>
      <c r="C16" s="61">
        <v>9.1</v>
      </c>
      <c r="D16" s="52">
        <v>9.1</v>
      </c>
      <c r="E16" s="62">
        <f t="shared" si="0"/>
        <v>-9.9999999999999645E-2</v>
      </c>
    </row>
    <row r="17" spans="1:5" x14ac:dyDescent="0.3">
      <c r="A17" s="63">
        <v>3051</v>
      </c>
      <c r="B17" s="64">
        <f>'3пом'!B17</f>
        <v>193.7</v>
      </c>
      <c r="C17" s="64">
        <v>363.8</v>
      </c>
      <c r="D17" s="65">
        <v>198.1</v>
      </c>
      <c r="E17" s="62">
        <f t="shared" si="0"/>
        <v>-4.4000000000000057</v>
      </c>
    </row>
    <row r="18" spans="1:5" x14ac:dyDescent="0.3">
      <c r="A18" s="60">
        <v>3053</v>
      </c>
      <c r="B18" s="61">
        <f>'3пом'!B18</f>
        <v>198.20000000000002</v>
      </c>
      <c r="C18" s="61">
        <v>200.9</v>
      </c>
      <c r="D18" s="52">
        <v>200.9</v>
      </c>
      <c r="E18" s="62">
        <f t="shared" si="0"/>
        <v>-2.6999999999999886</v>
      </c>
    </row>
    <row r="19" spans="1:5" x14ac:dyDescent="0.3">
      <c r="A19" s="60">
        <v>3055</v>
      </c>
      <c r="B19" s="61">
        <f>'3пом'!B19</f>
        <v>13.8</v>
      </c>
      <c r="C19" s="61">
        <v>14.5</v>
      </c>
      <c r="D19" s="52">
        <v>14.5</v>
      </c>
      <c r="E19" s="62">
        <f t="shared" si="0"/>
        <v>-0.69999999999999929</v>
      </c>
    </row>
    <row r="20" spans="1:5" x14ac:dyDescent="0.3">
      <c r="A20" s="60">
        <v>3057</v>
      </c>
      <c r="B20" s="61">
        <f>'3пом'!B20</f>
        <v>8</v>
      </c>
      <c r="C20" s="61">
        <v>8.6</v>
      </c>
      <c r="D20" s="52">
        <v>8.6</v>
      </c>
      <c r="E20" s="62">
        <f t="shared" si="0"/>
        <v>-0.59999999999999964</v>
      </c>
    </row>
    <row r="21" spans="1:5" x14ac:dyDescent="0.3">
      <c r="A21" s="60">
        <v>3059</v>
      </c>
      <c r="B21" s="61">
        <f>'3пом'!B21</f>
        <v>38.799999999999997</v>
      </c>
      <c r="C21" s="61">
        <v>39</v>
      </c>
      <c r="D21" s="52">
        <v>39</v>
      </c>
      <c r="E21" s="62">
        <f t="shared" si="0"/>
        <v>-0.20000000000000284</v>
      </c>
    </row>
    <row r="22" spans="1:5" x14ac:dyDescent="0.3">
      <c r="A22" s="60">
        <v>3060</v>
      </c>
      <c r="B22" s="61">
        <f>'3пом'!B22</f>
        <v>7.5</v>
      </c>
      <c r="C22" s="61">
        <v>7.6</v>
      </c>
      <c r="D22" s="52">
        <v>7.6</v>
      </c>
      <c r="E22" s="62">
        <f t="shared" si="0"/>
        <v>-9.9999999999999645E-2</v>
      </c>
    </row>
    <row r="23" spans="1:5" x14ac:dyDescent="0.3">
      <c r="A23" s="60">
        <v>3061</v>
      </c>
      <c r="B23" s="61">
        <f>'3пом'!B23</f>
        <v>12</v>
      </c>
      <c r="C23" s="61">
        <v>12.8</v>
      </c>
      <c r="D23" s="52">
        <v>12.8</v>
      </c>
      <c r="E23" s="62">
        <f t="shared" si="0"/>
        <v>-0.80000000000000071</v>
      </c>
    </row>
    <row r="24" spans="1:5" x14ac:dyDescent="0.3">
      <c r="A24" s="60">
        <v>3062</v>
      </c>
      <c r="B24" s="61">
        <f>'3пом'!B24</f>
        <v>11.5</v>
      </c>
      <c r="C24" s="61">
        <v>11.8</v>
      </c>
      <c r="D24" s="62">
        <f>B24</f>
        <v>11.5</v>
      </c>
      <c r="E24" s="62">
        <f t="shared" si="0"/>
        <v>0</v>
      </c>
    </row>
    <row r="25" spans="1:5" x14ac:dyDescent="0.3">
      <c r="A25" s="60">
        <v>3063</v>
      </c>
      <c r="B25" s="61">
        <f>'3пом'!B25</f>
        <v>72</v>
      </c>
      <c r="C25" s="61">
        <v>72.8</v>
      </c>
      <c r="D25" s="62">
        <f t="shared" ref="D25:D27" si="1">B25</f>
        <v>72</v>
      </c>
      <c r="E25" s="62">
        <f t="shared" si="0"/>
        <v>0</v>
      </c>
    </row>
    <row r="26" spans="1:5" x14ac:dyDescent="0.3">
      <c r="A26" s="60">
        <v>3064</v>
      </c>
      <c r="B26" s="61">
        <f>'3пом'!B26</f>
        <v>14.6</v>
      </c>
      <c r="C26" s="61">
        <v>15.6</v>
      </c>
      <c r="D26" s="62">
        <f t="shared" si="1"/>
        <v>14.6</v>
      </c>
      <c r="E26" s="62">
        <f t="shared" si="0"/>
        <v>0</v>
      </c>
    </row>
    <row r="27" spans="1:5" x14ac:dyDescent="0.3">
      <c r="A27" s="60">
        <v>3065</v>
      </c>
      <c r="B27" s="61">
        <f>'3пом'!B27</f>
        <v>2.3000000000000003</v>
      </c>
      <c r="C27" s="61">
        <v>3.2</v>
      </c>
      <c r="D27" s="62">
        <f t="shared" si="1"/>
        <v>2.3000000000000003</v>
      </c>
      <c r="E27" s="62">
        <f t="shared" si="0"/>
        <v>0</v>
      </c>
    </row>
    <row r="28" spans="1:5" x14ac:dyDescent="0.3">
      <c r="A28" s="60">
        <v>3066</v>
      </c>
      <c r="B28" s="61">
        <f>'3пом'!B28</f>
        <v>97.600000000000009</v>
      </c>
      <c r="C28" s="61">
        <v>102.2</v>
      </c>
      <c r="D28" s="52">
        <v>101.7</v>
      </c>
      <c r="E28" s="62">
        <f t="shared" si="0"/>
        <v>-4.0999999999999943</v>
      </c>
    </row>
    <row r="29" spans="1:5" x14ac:dyDescent="0.3">
      <c r="A29" s="60">
        <v>3067</v>
      </c>
      <c r="B29" s="61">
        <f>'3пом'!B29</f>
        <v>14.299999999999999</v>
      </c>
      <c r="C29" s="61">
        <v>15.3</v>
      </c>
      <c r="D29" s="52">
        <v>15.2</v>
      </c>
      <c r="E29" s="62">
        <f t="shared" si="0"/>
        <v>-0.90000000000000036</v>
      </c>
    </row>
    <row r="30" spans="1:5" x14ac:dyDescent="0.3">
      <c r="B30" s="20">
        <f>SUM(B2:B29)</f>
        <v>2056.7999999999997</v>
      </c>
      <c r="C30" s="20">
        <f>SUM(C2:C29)</f>
        <v>2962.9</v>
      </c>
      <c r="D30" s="20">
        <f t="shared" ref="D30:E30" si="2">SUM(D2:D29)</f>
        <v>2101.2999999999993</v>
      </c>
      <c r="E30" s="20">
        <f t="shared" si="2"/>
        <v>-44.49999999999995</v>
      </c>
    </row>
    <row r="31" spans="1:5" x14ac:dyDescent="0.3">
      <c r="D31" s="58"/>
    </row>
    <row r="33" spans="1:8" x14ac:dyDescent="0.3">
      <c r="A33" s="25">
        <v>3006</v>
      </c>
      <c r="B33" s="26"/>
    </row>
    <row r="34" spans="1:8" x14ac:dyDescent="0.3">
      <c r="A34" s="21">
        <v>3016</v>
      </c>
      <c r="B34" s="22"/>
    </row>
    <row r="35" spans="1:8" x14ac:dyDescent="0.3">
      <c r="A35" s="25">
        <v>3020</v>
      </c>
      <c r="B35" s="26"/>
    </row>
    <row r="36" spans="1:8" x14ac:dyDescent="0.3">
      <c r="A36" s="25">
        <v>3024</v>
      </c>
      <c r="B36" s="26"/>
    </row>
    <row r="37" spans="1:8" x14ac:dyDescent="0.3">
      <c r="A37" s="25">
        <v>3034</v>
      </c>
      <c r="B37" s="26"/>
    </row>
    <row r="38" spans="1:8" x14ac:dyDescent="0.3">
      <c r="A38" s="23">
        <v>3047</v>
      </c>
      <c r="B38" s="24"/>
    </row>
    <row r="39" spans="1:8" x14ac:dyDescent="0.3">
      <c r="A39" s="21">
        <v>3052</v>
      </c>
      <c r="B39" s="22"/>
    </row>
    <row r="40" spans="1:8" x14ac:dyDescent="0.3">
      <c r="G40" t="s">
        <v>28</v>
      </c>
      <c r="H40" s="20">
        <f>B17+B18+B21+B22+B23+B24</f>
        <v>461.7</v>
      </c>
    </row>
    <row r="41" spans="1:8" x14ac:dyDescent="0.3">
      <c r="G41" t="s">
        <v>29</v>
      </c>
      <c r="H41" s="20">
        <f>SUM(B11:B16)+B27</f>
        <v>330.50000000000006</v>
      </c>
    </row>
    <row r="42" spans="1:8" x14ac:dyDescent="0.3">
      <c r="G42" t="s">
        <v>30</v>
      </c>
      <c r="H42" s="44">
        <f>B10+B28+B19+B20+B26</f>
        <v>142.9</v>
      </c>
    </row>
    <row r="43" spans="1:8" x14ac:dyDescent="0.3">
      <c r="G43" t="s">
        <v>31</v>
      </c>
      <c r="H43" s="20">
        <f>B8+B9+B25</f>
        <v>573.4</v>
      </c>
    </row>
    <row r="44" spans="1:8" x14ac:dyDescent="0.3">
      <c r="G44" t="s">
        <v>32</v>
      </c>
      <c r="H44" s="20">
        <f>SUM(B5:B7)+B29</f>
        <v>276.3</v>
      </c>
    </row>
    <row r="45" spans="1:8" x14ac:dyDescent="0.3">
      <c r="G45" t="s">
        <v>33</v>
      </c>
      <c r="H45" s="20">
        <f>SUM(B2:B4)</f>
        <v>272</v>
      </c>
    </row>
    <row r="46" spans="1:8" x14ac:dyDescent="0.3">
      <c r="H46" s="20">
        <f>B30</f>
        <v>2056.7999999999997</v>
      </c>
    </row>
    <row r="47" spans="1:8" x14ac:dyDescent="0.3">
      <c r="H47" s="20">
        <f>SUM(H40:H45)-H46</f>
        <v>0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E3"/>
  <sheetViews>
    <sheetView workbookViewId="0">
      <selection activeCell="D10" sqref="D10"/>
    </sheetView>
  </sheetViews>
  <sheetFormatPr defaultRowHeight="14.4" x14ac:dyDescent="0.3"/>
  <cols>
    <col min="1" max="1" width="8.6640625" style="175" customWidth="1"/>
    <col min="2" max="2" width="66.33203125" customWidth="1"/>
    <col min="3" max="3" width="50.21875" customWidth="1"/>
    <col min="5" max="5" width="11.44140625" customWidth="1"/>
  </cols>
  <sheetData>
    <row r="1" spans="1:5" s="176" customFormat="1" ht="15.6" x14ac:dyDescent="0.3">
      <c r="A1" s="173" t="s">
        <v>764</v>
      </c>
      <c r="B1" s="173" t="s">
        <v>50</v>
      </c>
      <c r="C1" s="173" t="s">
        <v>766</v>
      </c>
      <c r="D1" s="173" t="s">
        <v>15</v>
      </c>
      <c r="E1" s="173" t="s">
        <v>765</v>
      </c>
    </row>
    <row r="2" spans="1:5" ht="18" x14ac:dyDescent="0.3">
      <c r="A2" s="174">
        <v>1</v>
      </c>
      <c r="B2" s="70" t="s">
        <v>6</v>
      </c>
      <c r="C2" s="71" t="s">
        <v>763</v>
      </c>
      <c r="D2" s="71" t="s">
        <v>7</v>
      </c>
      <c r="E2" s="177">
        <f>'3.1'!B9</f>
        <v>365.1</v>
      </c>
    </row>
    <row r="3" spans="1:5" ht="36" x14ac:dyDescent="0.3">
      <c r="A3" s="174">
        <v>2</v>
      </c>
      <c r="B3" s="70" t="s">
        <v>11</v>
      </c>
      <c r="C3" s="71" t="s">
        <v>34</v>
      </c>
      <c r="D3" s="71" t="s">
        <v>7</v>
      </c>
      <c r="E3" s="177">
        <f>E2</f>
        <v>365.1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B9"/>
  <sheetViews>
    <sheetView workbookViewId="0">
      <selection activeCell="B9" sqref="B9"/>
    </sheetView>
  </sheetViews>
  <sheetFormatPr defaultColWidth="9.109375" defaultRowHeight="13.2" x14ac:dyDescent="0.3"/>
  <cols>
    <col min="1" max="1" width="10" style="29" customWidth="1"/>
    <col min="2" max="16384" width="9.109375" style="29"/>
  </cols>
  <sheetData>
    <row r="1" spans="1:2" ht="26.4" x14ac:dyDescent="0.3">
      <c r="A1" s="28" t="s">
        <v>39</v>
      </c>
      <c r="B1" s="28" t="s">
        <v>40</v>
      </c>
    </row>
    <row r="2" spans="1:2" x14ac:dyDescent="0.3">
      <c r="A2" s="12">
        <v>3006</v>
      </c>
      <c r="B2" s="27">
        <v>51.7</v>
      </c>
    </row>
    <row r="3" spans="1:2" x14ac:dyDescent="0.3">
      <c r="A3" s="12">
        <v>3016</v>
      </c>
      <c r="B3" s="27">
        <v>58.2</v>
      </c>
    </row>
    <row r="4" spans="1:2" x14ac:dyDescent="0.3">
      <c r="A4" s="12">
        <v>3020</v>
      </c>
      <c r="B4" s="27">
        <v>48.4</v>
      </c>
    </row>
    <row r="5" spans="1:2" x14ac:dyDescent="0.3">
      <c r="A5" s="12">
        <v>3024</v>
      </c>
      <c r="B5" s="27">
        <v>48.6</v>
      </c>
    </row>
    <row r="6" spans="1:2" x14ac:dyDescent="0.3">
      <c r="A6" s="12">
        <v>3034</v>
      </c>
      <c r="B6" s="27">
        <v>54.7</v>
      </c>
    </row>
    <row r="7" spans="1:2" x14ac:dyDescent="0.3">
      <c r="A7" s="12">
        <v>3047</v>
      </c>
      <c r="B7" s="27">
        <v>54.1</v>
      </c>
    </row>
    <row r="8" spans="1:2" x14ac:dyDescent="0.3">
      <c r="A8" s="12">
        <v>3052</v>
      </c>
      <c r="B8" s="27">
        <v>49.4</v>
      </c>
    </row>
    <row r="9" spans="1:2" x14ac:dyDescent="0.3">
      <c r="A9" s="30" t="s">
        <v>27</v>
      </c>
      <c r="B9" s="31">
        <f>SUM(B2:B8)</f>
        <v>365.1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E3"/>
  <sheetViews>
    <sheetView workbookViewId="0">
      <selection activeCell="D10" sqref="D10"/>
    </sheetView>
  </sheetViews>
  <sheetFormatPr defaultRowHeight="14.4" x14ac:dyDescent="0.3"/>
  <cols>
    <col min="1" max="1" width="8.6640625" style="175" customWidth="1"/>
    <col min="2" max="2" width="46.77734375" customWidth="1"/>
    <col min="3" max="3" width="34.77734375" customWidth="1"/>
    <col min="5" max="5" width="11.44140625" customWidth="1"/>
  </cols>
  <sheetData>
    <row r="1" spans="1:5" s="176" customFormat="1" ht="15.6" x14ac:dyDescent="0.3">
      <c r="A1" s="173" t="s">
        <v>764</v>
      </c>
      <c r="B1" s="173" t="s">
        <v>50</v>
      </c>
      <c r="C1" s="173" t="s">
        <v>766</v>
      </c>
      <c r="D1" s="173" t="s">
        <v>15</v>
      </c>
      <c r="E1" s="173" t="s">
        <v>765</v>
      </c>
    </row>
    <row r="2" spans="1:5" ht="32.4" customHeight="1" x14ac:dyDescent="0.3">
      <c r="A2" s="174">
        <v>1</v>
      </c>
      <c r="B2" s="70" t="s">
        <v>6</v>
      </c>
      <c r="C2" s="71" t="s">
        <v>36</v>
      </c>
      <c r="D2" s="71" t="s">
        <v>7</v>
      </c>
      <c r="E2" s="177">
        <f>'4.1'!B9</f>
        <v>468.7</v>
      </c>
    </row>
    <row r="3" spans="1:5" ht="54" x14ac:dyDescent="0.3">
      <c r="A3" s="174">
        <v>2</v>
      </c>
      <c r="B3" s="70" t="s">
        <v>11</v>
      </c>
      <c r="C3" s="71" t="s">
        <v>762</v>
      </c>
      <c r="D3" s="71" t="s">
        <v>7</v>
      </c>
      <c r="E3" s="177">
        <f>E2</f>
        <v>468.7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B9"/>
  <sheetViews>
    <sheetView workbookViewId="0">
      <selection activeCell="B7" sqref="B7"/>
    </sheetView>
  </sheetViews>
  <sheetFormatPr defaultColWidth="9.109375" defaultRowHeight="21" x14ac:dyDescent="0.3"/>
  <cols>
    <col min="1" max="1" width="14.109375" style="179" customWidth="1"/>
    <col min="2" max="2" width="15.88671875" style="179" customWidth="1"/>
    <col min="3" max="16384" width="9.109375" style="179"/>
  </cols>
  <sheetData>
    <row r="1" spans="1:2" ht="42" x14ac:dyDescent="0.3">
      <c r="A1" s="178" t="s">
        <v>39</v>
      </c>
      <c r="B1" s="178" t="s">
        <v>40</v>
      </c>
    </row>
    <row r="2" spans="1:2" x14ac:dyDescent="0.3">
      <c r="A2" s="180">
        <v>2008</v>
      </c>
      <c r="B2" s="181">
        <v>65.599999999999994</v>
      </c>
    </row>
    <row r="3" spans="1:2" x14ac:dyDescent="0.3">
      <c r="A3" s="180">
        <v>2019</v>
      </c>
      <c r="B3" s="181">
        <v>78.5</v>
      </c>
    </row>
    <row r="4" spans="1:2" x14ac:dyDescent="0.3">
      <c r="A4" s="180">
        <v>2023</v>
      </c>
      <c r="B4" s="181">
        <v>60.4</v>
      </c>
    </row>
    <row r="5" spans="1:2" x14ac:dyDescent="0.3">
      <c r="A5" s="180">
        <v>2024</v>
      </c>
      <c r="B5" s="181">
        <v>60.3</v>
      </c>
    </row>
    <row r="6" spans="1:2" x14ac:dyDescent="0.3">
      <c r="A6" s="180">
        <v>2044</v>
      </c>
      <c r="B6" s="181">
        <v>71.8</v>
      </c>
    </row>
    <row r="7" spans="1:2" x14ac:dyDescent="0.3">
      <c r="A7" s="180">
        <v>2056</v>
      </c>
      <c r="B7" s="181">
        <v>70.400000000000006</v>
      </c>
    </row>
    <row r="8" spans="1:2" x14ac:dyDescent="0.3">
      <c r="A8" s="180">
        <v>2063</v>
      </c>
      <c r="B8" s="181">
        <v>61.7</v>
      </c>
    </row>
    <row r="9" spans="1:2" x14ac:dyDescent="0.3">
      <c r="A9" s="182" t="s">
        <v>27</v>
      </c>
      <c r="B9" s="183">
        <f>SUM(B2:B8)</f>
        <v>468.7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C136"/>
  <sheetViews>
    <sheetView zoomScale="145" zoomScaleNormal="145" workbookViewId="0">
      <selection activeCell="F26" sqref="F26"/>
    </sheetView>
  </sheetViews>
  <sheetFormatPr defaultRowHeight="13.2" x14ac:dyDescent="0.3"/>
  <cols>
    <col min="1" max="3" width="10.88671875" style="157" customWidth="1"/>
    <col min="4" max="16384" width="8.88671875" style="157"/>
  </cols>
  <sheetData>
    <row r="1" spans="1:3" x14ac:dyDescent="0.3">
      <c r="A1" s="157" t="s">
        <v>1</v>
      </c>
      <c r="B1" s="157" t="s">
        <v>522</v>
      </c>
      <c r="C1" s="157" t="s">
        <v>590</v>
      </c>
    </row>
    <row r="2" spans="1:3" hidden="1" x14ac:dyDescent="0.3">
      <c r="A2" s="157" t="s">
        <v>591</v>
      </c>
      <c r="B2" s="157" t="s">
        <v>592</v>
      </c>
      <c r="C2" s="158">
        <v>3.3</v>
      </c>
    </row>
    <row r="3" spans="1:3" hidden="1" x14ac:dyDescent="0.3">
      <c r="A3" s="157" t="s">
        <v>593</v>
      </c>
      <c r="B3" s="157" t="s">
        <v>592</v>
      </c>
      <c r="C3" s="157">
        <v>77</v>
      </c>
    </row>
    <row r="4" spans="1:3" hidden="1" x14ac:dyDescent="0.3">
      <c r="A4" s="157" t="s">
        <v>591</v>
      </c>
      <c r="B4" s="157" t="s">
        <v>594</v>
      </c>
      <c r="C4" s="157">
        <v>8.1</v>
      </c>
    </row>
    <row r="5" spans="1:3" hidden="1" x14ac:dyDescent="0.3">
      <c r="A5" s="157" t="s">
        <v>595</v>
      </c>
      <c r="B5" s="157" t="s">
        <v>594</v>
      </c>
      <c r="C5" s="157">
        <v>0.2</v>
      </c>
    </row>
    <row r="6" spans="1:3" hidden="1" x14ac:dyDescent="0.3">
      <c r="A6" s="157" t="s">
        <v>593</v>
      </c>
      <c r="B6" s="157" t="s">
        <v>594</v>
      </c>
      <c r="C6" s="157">
        <v>61.3</v>
      </c>
    </row>
    <row r="7" spans="1:3" hidden="1" x14ac:dyDescent="0.3">
      <c r="A7" s="157" t="s">
        <v>593</v>
      </c>
      <c r="B7" s="157" t="s">
        <v>596</v>
      </c>
      <c r="C7" s="157">
        <v>82.1</v>
      </c>
    </row>
    <row r="8" spans="1:3" x14ac:dyDescent="0.3">
      <c r="A8" s="157" t="s">
        <v>587</v>
      </c>
      <c r="B8" s="157" t="s">
        <v>597</v>
      </c>
      <c r="C8" s="157">
        <v>92.2</v>
      </c>
    </row>
    <row r="9" spans="1:3" hidden="1" x14ac:dyDescent="0.3">
      <c r="A9" s="157" t="s">
        <v>598</v>
      </c>
      <c r="B9" s="157" t="s">
        <v>599</v>
      </c>
      <c r="C9" s="157">
        <v>1.1000000000000001</v>
      </c>
    </row>
    <row r="10" spans="1:3" hidden="1" x14ac:dyDescent="0.3">
      <c r="A10" s="157" t="s">
        <v>600</v>
      </c>
      <c r="B10" s="157" t="s">
        <v>599</v>
      </c>
      <c r="C10" s="157">
        <v>17.8</v>
      </c>
    </row>
    <row r="11" spans="1:3" hidden="1" x14ac:dyDescent="0.3">
      <c r="A11" s="157" t="s">
        <v>589</v>
      </c>
      <c r="B11" s="157" t="s">
        <v>601</v>
      </c>
      <c r="C11" s="157">
        <v>28.3</v>
      </c>
    </row>
    <row r="12" spans="1:3" x14ac:dyDescent="0.3">
      <c r="A12" s="157" t="s">
        <v>587</v>
      </c>
      <c r="B12" s="157" t="s">
        <v>602</v>
      </c>
      <c r="C12" s="157">
        <v>9.1</v>
      </c>
    </row>
    <row r="13" spans="1:3" hidden="1" x14ac:dyDescent="0.3">
      <c r="A13" s="157" t="s">
        <v>603</v>
      </c>
      <c r="B13" s="157" t="s">
        <v>604</v>
      </c>
      <c r="C13" s="157">
        <v>4.7</v>
      </c>
    </row>
    <row r="14" spans="1:3" hidden="1" x14ac:dyDescent="0.3">
      <c r="A14" s="157" t="s">
        <v>591</v>
      </c>
      <c r="B14" s="157" t="s">
        <v>605</v>
      </c>
      <c r="C14" s="157">
        <v>1.2</v>
      </c>
    </row>
    <row r="15" spans="1:3" x14ac:dyDescent="0.3">
      <c r="A15" s="157" t="s">
        <v>587</v>
      </c>
      <c r="B15" s="157" t="s">
        <v>605</v>
      </c>
      <c r="C15" s="157">
        <v>22.5</v>
      </c>
    </row>
    <row r="16" spans="1:3" hidden="1" x14ac:dyDescent="0.3">
      <c r="A16" s="157" t="s">
        <v>606</v>
      </c>
      <c r="B16" s="157" t="s">
        <v>605</v>
      </c>
      <c r="C16" s="157">
        <v>0</v>
      </c>
    </row>
    <row r="17" spans="1:3" hidden="1" x14ac:dyDescent="0.3">
      <c r="A17" s="157" t="s">
        <v>598</v>
      </c>
      <c r="B17" s="157" t="s">
        <v>607</v>
      </c>
      <c r="C17" s="157">
        <v>5.4</v>
      </c>
    </row>
    <row r="18" spans="1:3" hidden="1" x14ac:dyDescent="0.3">
      <c r="A18" s="157" t="s">
        <v>600</v>
      </c>
      <c r="B18" s="157" t="s">
        <v>607</v>
      </c>
      <c r="C18" s="157">
        <v>99.9</v>
      </c>
    </row>
    <row r="19" spans="1:3" hidden="1" x14ac:dyDescent="0.3">
      <c r="A19" s="157" t="s">
        <v>595</v>
      </c>
      <c r="B19" s="157" t="s">
        <v>607</v>
      </c>
      <c r="C19" s="157">
        <v>0</v>
      </c>
    </row>
    <row r="20" spans="1:3" hidden="1" x14ac:dyDescent="0.3">
      <c r="A20" s="157" t="s">
        <v>591</v>
      </c>
      <c r="B20" s="157" t="s">
        <v>608</v>
      </c>
      <c r="C20" s="157">
        <v>4.5999999999999996</v>
      </c>
    </row>
    <row r="21" spans="1:3" hidden="1" x14ac:dyDescent="0.3">
      <c r="A21" s="157" t="s">
        <v>595</v>
      </c>
      <c r="B21" s="157" t="s">
        <v>608</v>
      </c>
      <c r="C21" s="157">
        <v>2.7</v>
      </c>
    </row>
    <row r="22" spans="1:3" hidden="1" x14ac:dyDescent="0.3">
      <c r="A22" s="157" t="s">
        <v>593</v>
      </c>
      <c r="B22" s="157" t="s">
        <v>608</v>
      </c>
      <c r="C22" s="157">
        <v>86.3</v>
      </c>
    </row>
    <row r="23" spans="1:3" hidden="1" x14ac:dyDescent="0.3">
      <c r="A23" s="157" t="s">
        <v>609</v>
      </c>
      <c r="B23" s="157" t="s">
        <v>610</v>
      </c>
      <c r="C23" s="157">
        <v>4.0999999999999996</v>
      </c>
    </row>
    <row r="24" spans="1:3" hidden="1" x14ac:dyDescent="0.3">
      <c r="A24" s="157" t="s">
        <v>611</v>
      </c>
      <c r="B24" s="157" t="s">
        <v>610</v>
      </c>
      <c r="C24" s="157">
        <v>0.3</v>
      </c>
    </row>
    <row r="25" spans="1:3" hidden="1" x14ac:dyDescent="0.3">
      <c r="A25" s="157" t="s">
        <v>612</v>
      </c>
      <c r="B25" s="157" t="s">
        <v>610</v>
      </c>
      <c r="C25" s="157">
        <v>0.7</v>
      </c>
    </row>
    <row r="26" spans="1:3" x14ac:dyDescent="0.3">
      <c r="A26" s="157" t="s">
        <v>587</v>
      </c>
      <c r="B26" s="157" t="s">
        <v>610</v>
      </c>
      <c r="C26" s="157">
        <v>246.6</v>
      </c>
    </row>
    <row r="27" spans="1:3" hidden="1" x14ac:dyDescent="0.3">
      <c r="A27" s="157" t="s">
        <v>591</v>
      </c>
      <c r="B27" s="157" t="s">
        <v>613</v>
      </c>
      <c r="C27" s="157">
        <v>3.4</v>
      </c>
    </row>
    <row r="28" spans="1:3" hidden="1" x14ac:dyDescent="0.3">
      <c r="A28" s="157" t="s">
        <v>593</v>
      </c>
      <c r="B28" s="157" t="s">
        <v>613</v>
      </c>
      <c r="C28" s="157">
        <v>61</v>
      </c>
    </row>
    <row r="29" spans="1:3" hidden="1" x14ac:dyDescent="0.3">
      <c r="A29" s="157" t="s">
        <v>591</v>
      </c>
      <c r="B29" s="157" t="s">
        <v>614</v>
      </c>
      <c r="C29" s="157">
        <v>3.4</v>
      </c>
    </row>
    <row r="30" spans="1:3" hidden="1" x14ac:dyDescent="0.3">
      <c r="A30" s="157" t="s">
        <v>593</v>
      </c>
      <c r="B30" s="157" t="s">
        <v>614</v>
      </c>
      <c r="C30" s="157">
        <v>61.6</v>
      </c>
    </row>
    <row r="31" spans="1:3" hidden="1" x14ac:dyDescent="0.3">
      <c r="A31" s="157" t="s">
        <v>591</v>
      </c>
      <c r="B31" s="157" t="s">
        <v>615</v>
      </c>
      <c r="C31" s="157">
        <v>0.9</v>
      </c>
    </row>
    <row r="32" spans="1:3" x14ac:dyDescent="0.3">
      <c r="A32" s="157" t="s">
        <v>587</v>
      </c>
      <c r="B32" s="157" t="s">
        <v>615</v>
      </c>
      <c r="C32" s="157">
        <v>18.8</v>
      </c>
    </row>
    <row r="33" spans="1:3" hidden="1" x14ac:dyDescent="0.3">
      <c r="A33" s="157" t="s">
        <v>616</v>
      </c>
      <c r="B33" s="157" t="s">
        <v>615</v>
      </c>
      <c r="C33" s="157">
        <v>18.8</v>
      </c>
    </row>
    <row r="34" spans="1:3" hidden="1" x14ac:dyDescent="0.3">
      <c r="A34" s="157" t="s">
        <v>617</v>
      </c>
      <c r="B34" s="157" t="s">
        <v>618</v>
      </c>
      <c r="C34" s="157">
        <v>34.799999999999997</v>
      </c>
    </row>
    <row r="35" spans="1:3" hidden="1" x14ac:dyDescent="0.3">
      <c r="A35" s="157" t="s">
        <v>606</v>
      </c>
      <c r="B35" s="157" t="s">
        <v>619</v>
      </c>
      <c r="C35" s="157">
        <v>10.3</v>
      </c>
    </row>
    <row r="36" spans="1:3" hidden="1" x14ac:dyDescent="0.3">
      <c r="A36" s="157" t="s">
        <v>603</v>
      </c>
      <c r="B36" s="157" t="s">
        <v>620</v>
      </c>
      <c r="C36" s="157">
        <v>5.5</v>
      </c>
    </row>
    <row r="37" spans="1:3" hidden="1" x14ac:dyDescent="0.3">
      <c r="A37" s="157" t="s">
        <v>621</v>
      </c>
      <c r="B37" s="157" t="s">
        <v>622</v>
      </c>
      <c r="C37" s="157">
        <v>2.1</v>
      </c>
    </row>
    <row r="38" spans="1:3" hidden="1" x14ac:dyDescent="0.3">
      <c r="A38" s="157" t="s">
        <v>591</v>
      </c>
      <c r="B38" s="157" t="s">
        <v>622</v>
      </c>
      <c r="C38" s="157">
        <v>14.4</v>
      </c>
    </row>
    <row r="39" spans="1:3" hidden="1" x14ac:dyDescent="0.3">
      <c r="A39" s="157" t="s">
        <v>623</v>
      </c>
      <c r="B39" s="157" t="s">
        <v>622</v>
      </c>
      <c r="C39" s="157">
        <v>573.1</v>
      </c>
    </row>
    <row r="40" spans="1:3" hidden="1" x14ac:dyDescent="0.3">
      <c r="A40" s="157" t="s">
        <v>623</v>
      </c>
      <c r="B40" s="157" t="s">
        <v>622</v>
      </c>
      <c r="C40" s="157">
        <v>0.4</v>
      </c>
    </row>
    <row r="41" spans="1:3" hidden="1" x14ac:dyDescent="0.3">
      <c r="A41" s="157" t="s">
        <v>624</v>
      </c>
      <c r="B41" s="157" t="s">
        <v>622</v>
      </c>
      <c r="C41" s="157">
        <v>20</v>
      </c>
    </row>
    <row r="42" spans="1:3" hidden="1" x14ac:dyDescent="0.3">
      <c r="A42" s="157" t="s">
        <v>598</v>
      </c>
      <c r="B42" s="157" t="s">
        <v>625</v>
      </c>
      <c r="C42" s="157">
        <v>0.4</v>
      </c>
    </row>
    <row r="43" spans="1:3" hidden="1" x14ac:dyDescent="0.3">
      <c r="A43" s="157" t="s">
        <v>623</v>
      </c>
      <c r="B43" s="157" t="s">
        <v>625</v>
      </c>
      <c r="C43" s="157">
        <v>25.6</v>
      </c>
    </row>
    <row r="44" spans="1:3" hidden="1" x14ac:dyDescent="0.3">
      <c r="A44" s="157" t="s">
        <v>598</v>
      </c>
      <c r="B44" s="157" t="s">
        <v>626</v>
      </c>
      <c r="C44" s="157">
        <v>1.1000000000000001</v>
      </c>
    </row>
    <row r="45" spans="1:3" hidden="1" x14ac:dyDescent="0.3">
      <c r="A45" s="157" t="s">
        <v>600</v>
      </c>
      <c r="B45" s="157" t="s">
        <v>626</v>
      </c>
      <c r="C45" s="157">
        <v>24.1</v>
      </c>
    </row>
    <row r="46" spans="1:3" hidden="1" x14ac:dyDescent="0.3">
      <c r="A46" s="157" t="s">
        <v>627</v>
      </c>
      <c r="B46" s="157" t="s">
        <v>628</v>
      </c>
      <c r="C46" s="157">
        <v>6.4</v>
      </c>
    </row>
    <row r="47" spans="1:3" hidden="1" x14ac:dyDescent="0.3">
      <c r="A47" s="157" t="s">
        <v>591</v>
      </c>
      <c r="B47" s="157" t="s">
        <v>628</v>
      </c>
      <c r="C47" s="157">
        <v>10.4</v>
      </c>
    </row>
    <row r="48" spans="1:3" hidden="1" x14ac:dyDescent="0.3">
      <c r="A48" s="157" t="s">
        <v>593</v>
      </c>
      <c r="B48" s="157" t="s">
        <v>628</v>
      </c>
      <c r="C48" s="157">
        <v>66.099999999999994</v>
      </c>
    </row>
    <row r="49" spans="1:3" hidden="1" x14ac:dyDescent="0.3">
      <c r="A49" s="157" t="s">
        <v>609</v>
      </c>
      <c r="B49" s="157" t="s">
        <v>629</v>
      </c>
      <c r="C49" s="157">
        <v>3.5</v>
      </c>
    </row>
    <row r="50" spans="1:3" x14ac:dyDescent="0.3">
      <c r="A50" s="157" t="s">
        <v>587</v>
      </c>
      <c r="B50" s="157" t="s">
        <v>629</v>
      </c>
      <c r="C50" s="157">
        <v>13.5</v>
      </c>
    </row>
    <row r="51" spans="1:3" hidden="1" x14ac:dyDescent="0.3">
      <c r="A51" s="157" t="s">
        <v>630</v>
      </c>
      <c r="B51" s="157" t="s">
        <v>631</v>
      </c>
      <c r="C51" s="157">
        <v>26</v>
      </c>
    </row>
    <row r="52" spans="1:3" hidden="1" x14ac:dyDescent="0.3">
      <c r="A52" s="157" t="s">
        <v>603</v>
      </c>
      <c r="B52" s="157" t="s">
        <v>632</v>
      </c>
      <c r="C52" s="157">
        <v>8.1</v>
      </c>
    </row>
    <row r="53" spans="1:3" hidden="1" x14ac:dyDescent="0.3">
      <c r="A53" s="157" t="s">
        <v>603</v>
      </c>
      <c r="B53" s="157" t="s">
        <v>633</v>
      </c>
      <c r="C53" s="157">
        <v>7.5</v>
      </c>
    </row>
    <row r="54" spans="1:3" hidden="1" x14ac:dyDescent="0.3">
      <c r="A54" s="157" t="s">
        <v>591</v>
      </c>
      <c r="B54" s="157" t="s">
        <v>634</v>
      </c>
      <c r="C54" s="157">
        <v>4.5999999999999996</v>
      </c>
    </row>
    <row r="55" spans="1:3" hidden="1" x14ac:dyDescent="0.3">
      <c r="A55" s="157" t="s">
        <v>593</v>
      </c>
      <c r="B55" s="157" t="s">
        <v>634</v>
      </c>
      <c r="C55" s="157">
        <v>87</v>
      </c>
    </row>
    <row r="56" spans="1:3" hidden="1" x14ac:dyDescent="0.3">
      <c r="A56" s="157" t="s">
        <v>591</v>
      </c>
      <c r="B56" s="157" t="s">
        <v>635</v>
      </c>
      <c r="C56" s="157">
        <v>3.7</v>
      </c>
    </row>
    <row r="57" spans="1:3" hidden="1" x14ac:dyDescent="0.3">
      <c r="A57" s="157" t="s">
        <v>593</v>
      </c>
      <c r="B57" s="157" t="s">
        <v>635</v>
      </c>
      <c r="C57" s="157">
        <v>61.5</v>
      </c>
    </row>
    <row r="58" spans="1:3" hidden="1" x14ac:dyDescent="0.3">
      <c r="A58" s="157" t="s">
        <v>603</v>
      </c>
      <c r="B58" s="157" t="s">
        <v>636</v>
      </c>
      <c r="C58" s="157">
        <v>4.4000000000000004</v>
      </c>
    </row>
    <row r="59" spans="1:3" hidden="1" x14ac:dyDescent="0.3">
      <c r="A59" s="157" t="s">
        <v>591</v>
      </c>
      <c r="B59" s="157" t="s">
        <v>637</v>
      </c>
      <c r="C59" s="157">
        <v>3.3</v>
      </c>
    </row>
    <row r="60" spans="1:3" hidden="1" x14ac:dyDescent="0.3">
      <c r="A60" s="157" t="s">
        <v>593</v>
      </c>
      <c r="B60" s="157" t="s">
        <v>637</v>
      </c>
      <c r="C60" s="157">
        <v>60.8</v>
      </c>
    </row>
    <row r="61" spans="1:3" hidden="1" x14ac:dyDescent="0.3">
      <c r="A61" s="157" t="s">
        <v>591</v>
      </c>
      <c r="B61" s="157" t="s">
        <v>638</v>
      </c>
      <c r="C61" s="157">
        <v>3.6</v>
      </c>
    </row>
    <row r="62" spans="1:3" hidden="1" x14ac:dyDescent="0.3">
      <c r="A62" s="157" t="s">
        <v>593</v>
      </c>
      <c r="B62" s="157" t="s">
        <v>638</v>
      </c>
      <c r="C62" s="157">
        <v>61.1</v>
      </c>
    </row>
    <row r="63" spans="1:3" hidden="1" x14ac:dyDescent="0.3">
      <c r="A63" s="157" t="s">
        <v>591</v>
      </c>
      <c r="B63" s="157" t="s">
        <v>639</v>
      </c>
      <c r="C63" s="157">
        <v>3.4</v>
      </c>
    </row>
    <row r="64" spans="1:3" hidden="1" x14ac:dyDescent="0.3">
      <c r="A64" s="157" t="s">
        <v>593</v>
      </c>
      <c r="B64" s="157" t="s">
        <v>639</v>
      </c>
      <c r="C64" s="157">
        <v>61</v>
      </c>
    </row>
    <row r="65" spans="1:3" x14ac:dyDescent="0.3">
      <c r="A65" s="157" t="s">
        <v>587</v>
      </c>
      <c r="B65" s="157" t="s">
        <v>640</v>
      </c>
      <c r="C65" s="157">
        <v>9.1999999999999993</v>
      </c>
    </row>
    <row r="66" spans="1:3" hidden="1" x14ac:dyDescent="0.3">
      <c r="A66" s="157" t="s">
        <v>641</v>
      </c>
      <c r="B66" s="157" t="s">
        <v>642</v>
      </c>
      <c r="C66" s="157">
        <v>31.5</v>
      </c>
    </row>
    <row r="67" spans="1:3" hidden="1" x14ac:dyDescent="0.3">
      <c r="A67" s="157" t="s">
        <v>591</v>
      </c>
      <c r="B67" s="157" t="s">
        <v>643</v>
      </c>
      <c r="C67" s="157">
        <v>3.4</v>
      </c>
    </row>
    <row r="68" spans="1:3" hidden="1" x14ac:dyDescent="0.3">
      <c r="A68" s="157" t="s">
        <v>593</v>
      </c>
      <c r="B68" s="157" t="s">
        <v>643</v>
      </c>
      <c r="C68" s="157">
        <v>61.3</v>
      </c>
    </row>
    <row r="69" spans="1:3" hidden="1" x14ac:dyDescent="0.3">
      <c r="A69" s="157" t="s">
        <v>591</v>
      </c>
      <c r="B69" s="157" t="s">
        <v>644</v>
      </c>
      <c r="C69" s="157">
        <v>74.7</v>
      </c>
    </row>
    <row r="70" spans="1:3" hidden="1" x14ac:dyDescent="0.3">
      <c r="A70" s="157" t="s">
        <v>645</v>
      </c>
      <c r="B70" s="157" t="s">
        <v>644</v>
      </c>
      <c r="C70" s="157">
        <v>21.7</v>
      </c>
    </row>
    <row r="71" spans="1:3" hidden="1" x14ac:dyDescent="0.3">
      <c r="A71" s="157" t="s">
        <v>609</v>
      </c>
      <c r="B71" s="157" t="s">
        <v>646</v>
      </c>
      <c r="C71" s="157">
        <v>2.9</v>
      </c>
    </row>
    <row r="72" spans="1:3" hidden="1" x14ac:dyDescent="0.3">
      <c r="A72" s="157" t="s">
        <v>591</v>
      </c>
      <c r="B72" s="157" t="s">
        <v>646</v>
      </c>
      <c r="C72" s="157">
        <v>6.8</v>
      </c>
    </row>
    <row r="73" spans="1:3" x14ac:dyDescent="0.3">
      <c r="A73" s="157" t="s">
        <v>587</v>
      </c>
      <c r="B73" s="157" t="s">
        <v>646</v>
      </c>
      <c r="C73" s="157">
        <v>275.39999999999998</v>
      </c>
    </row>
    <row r="74" spans="1:3" hidden="1" x14ac:dyDescent="0.3">
      <c r="A74" s="157" t="s">
        <v>621</v>
      </c>
      <c r="B74" s="157" t="s">
        <v>647</v>
      </c>
      <c r="C74" s="157">
        <v>6.6</v>
      </c>
    </row>
    <row r="75" spans="1:3" hidden="1" x14ac:dyDescent="0.3">
      <c r="A75" s="157" t="s">
        <v>611</v>
      </c>
      <c r="B75" s="157" t="s">
        <v>647</v>
      </c>
      <c r="C75" s="157">
        <v>0.2</v>
      </c>
    </row>
    <row r="76" spans="1:3" hidden="1" x14ac:dyDescent="0.3">
      <c r="A76" s="157" t="s">
        <v>591</v>
      </c>
      <c r="B76" s="157" t="s">
        <v>647</v>
      </c>
      <c r="C76" s="157">
        <v>10.199999999999999</v>
      </c>
    </row>
    <row r="77" spans="1:3" hidden="1" x14ac:dyDescent="0.3">
      <c r="A77" s="157" t="s">
        <v>593</v>
      </c>
      <c r="B77" s="157" t="s">
        <v>647</v>
      </c>
      <c r="C77" s="157">
        <v>191</v>
      </c>
    </row>
    <row r="78" spans="1:3" hidden="1" x14ac:dyDescent="0.3">
      <c r="A78" s="157" t="s">
        <v>600</v>
      </c>
      <c r="B78" s="157" t="s">
        <v>648</v>
      </c>
      <c r="C78" s="157">
        <v>19.7</v>
      </c>
    </row>
    <row r="79" spans="1:3" hidden="1" x14ac:dyDescent="0.3">
      <c r="A79" s="157" t="s">
        <v>591</v>
      </c>
      <c r="B79" s="157" t="s">
        <v>649</v>
      </c>
      <c r="C79" s="157">
        <v>6.7</v>
      </c>
    </row>
    <row r="80" spans="1:3" hidden="1" x14ac:dyDescent="0.3">
      <c r="A80" s="157" t="s">
        <v>593</v>
      </c>
      <c r="B80" s="157" t="s">
        <v>649</v>
      </c>
      <c r="C80" s="157">
        <v>115.5</v>
      </c>
    </row>
    <row r="81" spans="1:3" hidden="1" x14ac:dyDescent="0.3">
      <c r="A81" s="157" t="s">
        <v>609</v>
      </c>
      <c r="B81" s="157" t="s">
        <v>650</v>
      </c>
      <c r="C81" s="157" t="s">
        <v>651</v>
      </c>
    </row>
    <row r="82" spans="1:3" hidden="1" x14ac:dyDescent="0.3">
      <c r="A82" s="157" t="s">
        <v>591</v>
      </c>
      <c r="B82" s="157" t="s">
        <v>652</v>
      </c>
      <c r="C82" s="157">
        <v>1.1000000000000001</v>
      </c>
    </row>
    <row r="83" spans="1:3" x14ac:dyDescent="0.3">
      <c r="A83" s="157" t="s">
        <v>587</v>
      </c>
      <c r="B83" s="157" t="s">
        <v>652</v>
      </c>
      <c r="C83" s="157">
        <v>20.6</v>
      </c>
    </row>
    <row r="84" spans="1:3" hidden="1" x14ac:dyDescent="0.3">
      <c r="A84" s="157" t="s">
        <v>653</v>
      </c>
      <c r="B84" s="157" t="s">
        <v>652</v>
      </c>
      <c r="C84" s="157">
        <v>7.1</v>
      </c>
    </row>
    <row r="85" spans="1:3" hidden="1" x14ac:dyDescent="0.3">
      <c r="A85" s="157" t="s">
        <v>616</v>
      </c>
      <c r="B85" s="157" t="s">
        <v>652</v>
      </c>
      <c r="C85" s="157">
        <v>20.6</v>
      </c>
    </row>
    <row r="86" spans="1:3" hidden="1" x14ac:dyDescent="0.3">
      <c r="A86" s="157" t="s">
        <v>591</v>
      </c>
      <c r="B86" s="157" t="s">
        <v>654</v>
      </c>
      <c r="C86" s="157">
        <v>1.3</v>
      </c>
    </row>
    <row r="87" spans="1:3" x14ac:dyDescent="0.3">
      <c r="A87" s="157" t="s">
        <v>587</v>
      </c>
      <c r="B87" s="157" t="s">
        <v>654</v>
      </c>
      <c r="C87" s="157">
        <v>23.5</v>
      </c>
    </row>
    <row r="88" spans="1:3" hidden="1" x14ac:dyDescent="0.3">
      <c r="A88" s="157" t="s">
        <v>595</v>
      </c>
      <c r="B88" s="157" t="s">
        <v>654</v>
      </c>
      <c r="C88" s="157">
        <v>4.5</v>
      </c>
    </row>
    <row r="89" spans="1:3" hidden="1" x14ac:dyDescent="0.3">
      <c r="A89" s="157" t="s">
        <v>653</v>
      </c>
      <c r="B89" s="157" t="s">
        <v>654</v>
      </c>
      <c r="C89" s="157">
        <v>3.8</v>
      </c>
    </row>
    <row r="90" spans="1:3" hidden="1" x14ac:dyDescent="0.3">
      <c r="A90" s="157" t="s">
        <v>606</v>
      </c>
      <c r="B90" s="157" t="s">
        <v>654</v>
      </c>
      <c r="C90" s="157">
        <v>23.5</v>
      </c>
    </row>
    <row r="91" spans="1:3" hidden="1" x14ac:dyDescent="0.3">
      <c r="A91" s="157" t="s">
        <v>603</v>
      </c>
      <c r="B91" s="157" t="s">
        <v>655</v>
      </c>
      <c r="C91" s="157">
        <v>4.4000000000000004</v>
      </c>
    </row>
    <row r="92" spans="1:3" x14ac:dyDescent="0.3">
      <c r="A92" s="157" t="s">
        <v>587</v>
      </c>
      <c r="B92" s="157" t="s">
        <v>656</v>
      </c>
      <c r="C92" s="157">
        <v>5.6</v>
      </c>
    </row>
    <row r="93" spans="1:3" hidden="1" x14ac:dyDescent="0.3">
      <c r="A93" s="157" t="s">
        <v>606</v>
      </c>
      <c r="B93" s="157" t="s">
        <v>656</v>
      </c>
      <c r="C93" s="157">
        <v>5.6</v>
      </c>
    </row>
    <row r="94" spans="1:3" hidden="1" x14ac:dyDescent="0.3">
      <c r="A94" s="157" t="s">
        <v>657</v>
      </c>
      <c r="B94" s="157" t="s">
        <v>658</v>
      </c>
      <c r="C94" s="157">
        <v>0</v>
      </c>
    </row>
    <row r="95" spans="1:3" hidden="1" x14ac:dyDescent="0.3">
      <c r="A95" s="157" t="s">
        <v>659</v>
      </c>
      <c r="B95" s="157" t="s">
        <v>660</v>
      </c>
      <c r="C95" s="157">
        <v>30.7</v>
      </c>
    </row>
    <row r="96" spans="1:3" hidden="1" x14ac:dyDescent="0.3">
      <c r="A96" s="157" t="s">
        <v>621</v>
      </c>
      <c r="B96" s="157" t="s">
        <v>661</v>
      </c>
      <c r="C96" s="157">
        <v>2.2000000000000002</v>
      </c>
    </row>
    <row r="97" spans="1:3" hidden="1" x14ac:dyDescent="0.3">
      <c r="A97" s="157" t="s">
        <v>591</v>
      </c>
      <c r="B97" s="157" t="s">
        <v>661</v>
      </c>
      <c r="C97" s="157">
        <v>3.1</v>
      </c>
    </row>
    <row r="98" spans="1:3" hidden="1" x14ac:dyDescent="0.3">
      <c r="A98" s="157" t="s">
        <v>593</v>
      </c>
      <c r="B98" s="157" t="s">
        <v>661</v>
      </c>
      <c r="C98" s="157">
        <v>93.2</v>
      </c>
    </row>
    <row r="99" spans="1:3" hidden="1" x14ac:dyDescent="0.3">
      <c r="A99" s="157" t="s">
        <v>598</v>
      </c>
      <c r="B99" s="157" t="s">
        <v>662</v>
      </c>
      <c r="C99" s="157">
        <v>3.5</v>
      </c>
    </row>
    <row r="100" spans="1:3" hidden="1" x14ac:dyDescent="0.3">
      <c r="A100" s="157" t="s">
        <v>600</v>
      </c>
      <c r="B100" s="157" t="s">
        <v>662</v>
      </c>
      <c r="C100" s="157">
        <v>39.5</v>
      </c>
    </row>
    <row r="101" spans="1:3" hidden="1" x14ac:dyDescent="0.3">
      <c r="A101" s="157" t="s">
        <v>598</v>
      </c>
      <c r="B101" s="157" t="s">
        <v>663</v>
      </c>
      <c r="C101" s="157">
        <v>8.5</v>
      </c>
    </row>
    <row r="102" spans="1:3" hidden="1" x14ac:dyDescent="0.3">
      <c r="A102" s="157" t="s">
        <v>600</v>
      </c>
      <c r="B102" s="157" t="s">
        <v>663</v>
      </c>
      <c r="C102" s="157">
        <v>150.69999999999999</v>
      </c>
    </row>
    <row r="103" spans="1:3" hidden="1" x14ac:dyDescent="0.3">
      <c r="A103" s="157" t="s">
        <v>664</v>
      </c>
      <c r="B103" s="157" t="s">
        <v>665</v>
      </c>
      <c r="C103" s="157">
        <v>4.9000000000000004</v>
      </c>
    </row>
    <row r="104" spans="1:3" x14ac:dyDescent="0.3">
      <c r="A104" s="157" t="s">
        <v>587</v>
      </c>
      <c r="B104" s="157" t="s">
        <v>665</v>
      </c>
      <c r="C104" s="157">
        <v>11.3</v>
      </c>
    </row>
    <row r="105" spans="1:3" hidden="1" x14ac:dyDescent="0.3">
      <c r="A105" s="157" t="s">
        <v>666</v>
      </c>
      <c r="B105" s="157" t="s">
        <v>665</v>
      </c>
      <c r="C105" s="157">
        <v>28.9</v>
      </c>
    </row>
    <row r="106" spans="1:3" hidden="1" x14ac:dyDescent="0.3">
      <c r="A106" s="157" t="s">
        <v>641</v>
      </c>
      <c r="B106" s="157" t="s">
        <v>667</v>
      </c>
      <c r="C106" s="157">
        <v>27.3</v>
      </c>
    </row>
    <row r="107" spans="1:3" hidden="1" x14ac:dyDescent="0.3">
      <c r="A107" s="157" t="s">
        <v>591</v>
      </c>
      <c r="B107" s="157" t="s">
        <v>668</v>
      </c>
      <c r="C107" s="157">
        <v>247.2</v>
      </c>
    </row>
    <row r="108" spans="1:3" hidden="1" x14ac:dyDescent="0.3">
      <c r="A108" s="157" t="s">
        <v>669</v>
      </c>
      <c r="B108" s="157" t="s">
        <v>668</v>
      </c>
      <c r="C108" s="157">
        <v>20</v>
      </c>
    </row>
    <row r="109" spans="1:3" hidden="1" x14ac:dyDescent="0.3">
      <c r="A109" s="157" t="s">
        <v>598</v>
      </c>
      <c r="B109" s="157" t="s">
        <v>670</v>
      </c>
      <c r="C109" s="157">
        <v>8.4</v>
      </c>
    </row>
    <row r="110" spans="1:3" hidden="1" x14ac:dyDescent="0.3">
      <c r="A110" s="157" t="s">
        <v>600</v>
      </c>
      <c r="B110" s="157" t="s">
        <v>670</v>
      </c>
      <c r="C110" s="157">
        <v>82.2</v>
      </c>
    </row>
    <row r="111" spans="1:3" x14ac:dyDescent="0.3">
      <c r="A111" s="157" t="s">
        <v>587</v>
      </c>
      <c r="B111" s="157" t="s">
        <v>671</v>
      </c>
      <c r="C111" s="157">
        <v>14.5</v>
      </c>
    </row>
    <row r="112" spans="1:3" hidden="1" x14ac:dyDescent="0.3">
      <c r="A112" s="157" t="s">
        <v>606</v>
      </c>
      <c r="B112" s="157" t="s">
        <v>671</v>
      </c>
      <c r="C112" s="157">
        <v>14.5</v>
      </c>
    </row>
    <row r="113" spans="1:3" hidden="1" x14ac:dyDescent="0.3">
      <c r="A113" s="157" t="s">
        <v>591</v>
      </c>
      <c r="B113" s="157" t="s">
        <v>672</v>
      </c>
      <c r="C113" s="157">
        <v>1.2</v>
      </c>
    </row>
    <row r="114" spans="1:3" x14ac:dyDescent="0.3">
      <c r="A114" s="157" t="s">
        <v>587</v>
      </c>
      <c r="B114" s="157" t="s">
        <v>672</v>
      </c>
      <c r="C114" s="157">
        <v>7.2</v>
      </c>
    </row>
    <row r="115" spans="1:3" hidden="1" x14ac:dyDescent="0.3">
      <c r="A115" s="157" t="s">
        <v>595</v>
      </c>
      <c r="B115" s="157" t="s">
        <v>672</v>
      </c>
      <c r="C115" s="157">
        <v>1.5</v>
      </c>
    </row>
    <row r="116" spans="1:3" hidden="1" x14ac:dyDescent="0.3">
      <c r="A116" s="157" t="s">
        <v>653</v>
      </c>
      <c r="B116" s="157" t="s">
        <v>672</v>
      </c>
      <c r="C116" s="157">
        <v>2.8</v>
      </c>
    </row>
    <row r="117" spans="1:3" hidden="1" x14ac:dyDescent="0.3">
      <c r="A117" s="157" t="s">
        <v>606</v>
      </c>
      <c r="B117" s="157" t="s">
        <v>672</v>
      </c>
      <c r="C117" s="157">
        <v>7.2</v>
      </c>
    </row>
    <row r="118" spans="1:3" hidden="1" x14ac:dyDescent="0.3">
      <c r="A118" s="157" t="s">
        <v>591</v>
      </c>
      <c r="B118" s="157" t="s">
        <v>673</v>
      </c>
      <c r="C118" s="157">
        <v>3.8</v>
      </c>
    </row>
    <row r="119" spans="1:3" hidden="1" x14ac:dyDescent="0.3">
      <c r="A119" s="157" t="s">
        <v>593</v>
      </c>
      <c r="B119" s="157" t="s">
        <v>673</v>
      </c>
      <c r="C119" s="157">
        <v>74</v>
      </c>
    </row>
    <row r="120" spans="1:3" hidden="1" x14ac:dyDescent="0.3">
      <c r="A120" s="157" t="s">
        <v>609</v>
      </c>
      <c r="B120" s="157" t="s">
        <v>674</v>
      </c>
      <c r="C120" s="157">
        <v>1.2</v>
      </c>
    </row>
    <row r="121" spans="1:3" hidden="1" x14ac:dyDescent="0.3">
      <c r="A121" s="157" t="s">
        <v>598</v>
      </c>
      <c r="B121" s="157" t="s">
        <v>674</v>
      </c>
      <c r="C121" s="157">
        <v>51.2</v>
      </c>
    </row>
    <row r="122" spans="1:3" x14ac:dyDescent="0.3">
      <c r="A122" s="157" t="s">
        <v>587</v>
      </c>
      <c r="B122" s="157" t="s">
        <v>675</v>
      </c>
      <c r="C122" s="157">
        <v>5.6</v>
      </c>
    </row>
    <row r="123" spans="1:3" hidden="1" x14ac:dyDescent="0.3">
      <c r="A123" s="157" t="s">
        <v>653</v>
      </c>
      <c r="B123" s="157" t="s">
        <v>675</v>
      </c>
      <c r="C123" s="157">
        <v>3.3</v>
      </c>
    </row>
    <row r="124" spans="1:3" x14ac:dyDescent="0.3">
      <c r="A124" s="157" t="s">
        <v>587</v>
      </c>
      <c r="B124" s="157" t="s">
        <v>676</v>
      </c>
      <c r="C124" s="157">
        <v>13.5</v>
      </c>
    </row>
    <row r="125" spans="1:3" hidden="1" x14ac:dyDescent="0.3">
      <c r="A125" s="157" t="s">
        <v>653</v>
      </c>
      <c r="B125" s="157" t="s">
        <v>676</v>
      </c>
      <c r="C125" s="157">
        <v>3.6</v>
      </c>
    </row>
    <row r="126" spans="1:3" x14ac:dyDescent="0.3">
      <c r="A126" s="157" t="s">
        <v>587</v>
      </c>
      <c r="B126" s="157" t="s">
        <v>677</v>
      </c>
      <c r="C126" s="157">
        <v>8.9</v>
      </c>
    </row>
    <row r="127" spans="1:3" hidden="1" x14ac:dyDescent="0.3">
      <c r="A127" s="157" t="s">
        <v>653</v>
      </c>
      <c r="B127" s="157" t="s">
        <v>677</v>
      </c>
      <c r="C127" s="157">
        <v>4.4000000000000004</v>
      </c>
    </row>
    <row r="128" spans="1:3" hidden="1" x14ac:dyDescent="0.3">
      <c r="A128" s="157" t="s">
        <v>678</v>
      </c>
      <c r="B128" s="157" t="s">
        <v>679</v>
      </c>
      <c r="C128" s="157">
        <v>80.8</v>
      </c>
    </row>
    <row r="129" spans="1:3" x14ac:dyDescent="0.3">
      <c r="A129" s="157" t="s">
        <v>587</v>
      </c>
      <c r="B129" s="157" t="s">
        <v>680</v>
      </c>
      <c r="C129" s="157">
        <v>15.6</v>
      </c>
    </row>
    <row r="130" spans="1:3" hidden="1" x14ac:dyDescent="0.3">
      <c r="A130" s="157" t="s">
        <v>616</v>
      </c>
      <c r="B130" s="157" t="s">
        <v>680</v>
      </c>
      <c r="C130" s="157">
        <v>15.6</v>
      </c>
    </row>
    <row r="131" spans="1:3" hidden="1" x14ac:dyDescent="0.3">
      <c r="A131" s="157" t="s">
        <v>611</v>
      </c>
      <c r="B131" s="157" t="s">
        <v>681</v>
      </c>
      <c r="C131" s="157">
        <v>7.4</v>
      </c>
    </row>
    <row r="132" spans="1:3" hidden="1" x14ac:dyDescent="0.3">
      <c r="A132" s="157" t="s">
        <v>591</v>
      </c>
      <c r="B132" s="157" t="s">
        <v>681</v>
      </c>
      <c r="C132" s="157">
        <v>1.5</v>
      </c>
    </row>
    <row r="133" spans="1:3" hidden="1" x14ac:dyDescent="0.3">
      <c r="A133" s="157" t="s">
        <v>682</v>
      </c>
      <c r="B133" s="157" t="s">
        <v>681</v>
      </c>
      <c r="C133" s="157">
        <v>1.5</v>
      </c>
    </row>
    <row r="134" spans="1:3" x14ac:dyDescent="0.3">
      <c r="A134" s="157" t="s">
        <v>587</v>
      </c>
      <c r="B134" s="157" t="s">
        <v>681</v>
      </c>
      <c r="C134" s="157">
        <v>443.1</v>
      </c>
    </row>
    <row r="135" spans="1:3" hidden="1" x14ac:dyDescent="0.3">
      <c r="A135" s="157" t="s">
        <v>683</v>
      </c>
      <c r="B135" s="157" t="s">
        <v>681</v>
      </c>
      <c r="C135" s="157">
        <v>3.1</v>
      </c>
    </row>
    <row r="136" spans="1:3" x14ac:dyDescent="0.3">
      <c r="A136" s="157" t="s">
        <v>587</v>
      </c>
      <c r="B136" s="157" t="s">
        <v>681</v>
      </c>
      <c r="C136" s="157">
        <v>24.3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C168"/>
  <sheetViews>
    <sheetView zoomScaleNormal="100" workbookViewId="0">
      <selection activeCell="F138" sqref="F138"/>
    </sheetView>
  </sheetViews>
  <sheetFormatPr defaultRowHeight="13.2" x14ac:dyDescent="0.3"/>
  <cols>
    <col min="1" max="3" width="10.88671875" style="157" customWidth="1"/>
    <col min="4" max="16384" width="8.88671875" style="157"/>
  </cols>
  <sheetData>
    <row r="1" spans="1:3" x14ac:dyDescent="0.3">
      <c r="A1" s="159" t="s">
        <v>1</v>
      </c>
      <c r="B1" s="159" t="s">
        <v>522</v>
      </c>
      <c r="C1" s="160" t="s">
        <v>590</v>
      </c>
    </row>
    <row r="2" spans="1:3" x14ac:dyDescent="0.3">
      <c r="A2" s="159" t="s">
        <v>591</v>
      </c>
      <c r="B2" s="159" t="s">
        <v>684</v>
      </c>
      <c r="C2" s="160">
        <v>1.8</v>
      </c>
    </row>
    <row r="3" spans="1:3" x14ac:dyDescent="0.3">
      <c r="A3" s="158" t="s">
        <v>595</v>
      </c>
      <c r="B3" s="159" t="s">
        <v>684</v>
      </c>
      <c r="C3" s="157">
        <v>10.7</v>
      </c>
    </row>
    <row r="4" spans="1:3" hidden="1" x14ac:dyDescent="0.3">
      <c r="A4" s="158" t="s">
        <v>593</v>
      </c>
      <c r="B4" s="159" t="s">
        <v>684</v>
      </c>
      <c r="C4" s="157">
        <v>78.7</v>
      </c>
    </row>
    <row r="5" spans="1:3" x14ac:dyDescent="0.3">
      <c r="A5" s="159" t="s">
        <v>591</v>
      </c>
      <c r="B5" s="159" t="s">
        <v>685</v>
      </c>
      <c r="C5" s="160">
        <v>1.8</v>
      </c>
    </row>
    <row r="6" spans="1:3" x14ac:dyDescent="0.3">
      <c r="A6" s="158" t="s">
        <v>595</v>
      </c>
      <c r="B6" s="159" t="s">
        <v>685</v>
      </c>
      <c r="C6" s="160">
        <v>1.8</v>
      </c>
    </row>
    <row r="7" spans="1:3" hidden="1" x14ac:dyDescent="0.3">
      <c r="A7" s="158" t="s">
        <v>593</v>
      </c>
      <c r="B7" s="159" t="s">
        <v>685</v>
      </c>
      <c r="C7" s="157">
        <v>60.9</v>
      </c>
    </row>
    <row r="8" spans="1:3" x14ac:dyDescent="0.3">
      <c r="A8" s="158" t="s">
        <v>598</v>
      </c>
      <c r="B8" s="157" t="s">
        <v>686</v>
      </c>
      <c r="C8" s="157">
        <v>10.199999999999999</v>
      </c>
    </row>
    <row r="9" spans="1:3" x14ac:dyDescent="0.3">
      <c r="A9" s="158" t="s">
        <v>587</v>
      </c>
      <c r="B9" s="157" t="s">
        <v>686</v>
      </c>
      <c r="C9" s="157">
        <v>215.2</v>
      </c>
    </row>
    <row r="10" spans="1:3" x14ac:dyDescent="0.3">
      <c r="A10" s="159" t="s">
        <v>591</v>
      </c>
      <c r="B10" s="157" t="s">
        <v>687</v>
      </c>
      <c r="C10" s="157">
        <v>1.2</v>
      </c>
    </row>
    <row r="11" spans="1:3" x14ac:dyDescent="0.3">
      <c r="A11" s="158" t="s">
        <v>595</v>
      </c>
      <c r="B11" s="157" t="s">
        <v>687</v>
      </c>
      <c r="C11" s="157">
        <v>7.7</v>
      </c>
    </row>
    <row r="12" spans="1:3" hidden="1" x14ac:dyDescent="0.3">
      <c r="A12" s="158" t="s">
        <v>593</v>
      </c>
      <c r="B12" s="157" t="s">
        <v>687</v>
      </c>
      <c r="C12" s="157">
        <v>42.9</v>
      </c>
    </row>
    <row r="13" spans="1:3" x14ac:dyDescent="0.3">
      <c r="A13" s="159" t="s">
        <v>591</v>
      </c>
      <c r="B13" s="157" t="s">
        <v>688</v>
      </c>
      <c r="C13" s="157">
        <v>1</v>
      </c>
    </row>
    <row r="14" spans="1:3" x14ac:dyDescent="0.3">
      <c r="A14" s="158" t="s">
        <v>595</v>
      </c>
      <c r="B14" s="157" t="s">
        <v>688</v>
      </c>
      <c r="C14" s="157">
        <v>12.4</v>
      </c>
    </row>
    <row r="15" spans="1:3" hidden="1" x14ac:dyDescent="0.3">
      <c r="A15" s="158" t="s">
        <v>593</v>
      </c>
      <c r="B15" s="157" t="s">
        <v>688</v>
      </c>
      <c r="C15" s="157">
        <v>21.3</v>
      </c>
    </row>
    <row r="16" spans="1:3" x14ac:dyDescent="0.3">
      <c r="A16" s="158" t="s">
        <v>666</v>
      </c>
      <c r="B16" s="157" t="s">
        <v>689</v>
      </c>
      <c r="C16" s="157">
        <v>22.9</v>
      </c>
    </row>
    <row r="17" spans="1:3" x14ac:dyDescent="0.3">
      <c r="A17" s="158" t="s">
        <v>589</v>
      </c>
      <c r="B17" s="157" t="s">
        <v>690</v>
      </c>
      <c r="C17" s="157">
        <v>32.200000000000003</v>
      </c>
    </row>
    <row r="18" spans="1:3" x14ac:dyDescent="0.3">
      <c r="A18" s="158" t="s">
        <v>587</v>
      </c>
      <c r="B18" s="157" t="s">
        <v>691</v>
      </c>
      <c r="C18" s="157">
        <v>10.3</v>
      </c>
    </row>
    <row r="19" spans="1:3" x14ac:dyDescent="0.3">
      <c r="A19" s="159" t="s">
        <v>591</v>
      </c>
      <c r="B19" s="157" t="s">
        <v>692</v>
      </c>
      <c r="C19" s="157">
        <v>0.7</v>
      </c>
    </row>
    <row r="20" spans="1:3" x14ac:dyDescent="0.3">
      <c r="A20" s="158" t="s">
        <v>587</v>
      </c>
      <c r="B20" s="157" t="s">
        <v>692</v>
      </c>
      <c r="C20" s="157">
        <v>22.1</v>
      </c>
    </row>
    <row r="21" spans="1:3" x14ac:dyDescent="0.3">
      <c r="A21" s="158" t="s">
        <v>595</v>
      </c>
      <c r="B21" s="157" t="s">
        <v>692</v>
      </c>
      <c r="C21" s="157">
        <v>2.6</v>
      </c>
    </row>
    <row r="22" spans="1:3" x14ac:dyDescent="0.3">
      <c r="A22" s="158" t="s">
        <v>653</v>
      </c>
      <c r="B22" s="157" t="s">
        <v>692</v>
      </c>
      <c r="C22" s="157">
        <v>2.1</v>
      </c>
    </row>
    <row r="23" spans="1:3" x14ac:dyDescent="0.3">
      <c r="A23" s="158" t="s">
        <v>606</v>
      </c>
      <c r="B23" s="157" t="s">
        <v>692</v>
      </c>
      <c r="C23" s="157">
        <v>22.1</v>
      </c>
    </row>
    <row r="24" spans="1:3" hidden="1" x14ac:dyDescent="0.3">
      <c r="A24" s="158" t="s">
        <v>603</v>
      </c>
      <c r="B24" s="158" t="s">
        <v>693</v>
      </c>
      <c r="C24" s="157">
        <v>4.7</v>
      </c>
    </row>
    <row r="25" spans="1:3" x14ac:dyDescent="0.3">
      <c r="A25" s="159" t="s">
        <v>591</v>
      </c>
      <c r="B25" s="157" t="s">
        <v>694</v>
      </c>
      <c r="C25" s="157">
        <v>1.7</v>
      </c>
    </row>
    <row r="26" spans="1:3" x14ac:dyDescent="0.3">
      <c r="A26" s="158" t="s">
        <v>595</v>
      </c>
      <c r="B26" s="157" t="s">
        <v>694</v>
      </c>
      <c r="C26" s="157">
        <v>10.9</v>
      </c>
    </row>
    <row r="27" spans="1:3" hidden="1" x14ac:dyDescent="0.3">
      <c r="A27" s="158" t="s">
        <v>593</v>
      </c>
      <c r="B27" s="157" t="s">
        <v>694</v>
      </c>
      <c r="C27" s="157">
        <v>59.4</v>
      </c>
    </row>
    <row r="28" spans="1:3" x14ac:dyDescent="0.3">
      <c r="A28" s="159" t="s">
        <v>591</v>
      </c>
      <c r="B28" s="157" t="s">
        <v>695</v>
      </c>
      <c r="C28" s="157">
        <v>1.7</v>
      </c>
    </row>
    <row r="29" spans="1:3" x14ac:dyDescent="0.3">
      <c r="A29" s="158" t="s">
        <v>595</v>
      </c>
      <c r="B29" s="157" t="s">
        <v>695</v>
      </c>
      <c r="C29" s="157">
        <v>11</v>
      </c>
    </row>
    <row r="30" spans="1:3" hidden="1" x14ac:dyDescent="0.3">
      <c r="A30" s="158" t="s">
        <v>593</v>
      </c>
      <c r="B30" s="157" t="s">
        <v>695</v>
      </c>
      <c r="C30" s="157">
        <v>60.4</v>
      </c>
    </row>
    <row r="31" spans="1:3" x14ac:dyDescent="0.3">
      <c r="A31" s="159" t="s">
        <v>591</v>
      </c>
      <c r="B31" s="157" t="s">
        <v>696</v>
      </c>
      <c r="C31" s="157">
        <v>1.7</v>
      </c>
    </row>
    <row r="32" spans="1:3" x14ac:dyDescent="0.3">
      <c r="A32" s="158" t="s">
        <v>595</v>
      </c>
      <c r="B32" s="157" t="s">
        <v>696</v>
      </c>
      <c r="C32" s="157">
        <v>10.9</v>
      </c>
    </row>
    <row r="33" spans="1:3" hidden="1" x14ac:dyDescent="0.3">
      <c r="A33" s="158" t="s">
        <v>593</v>
      </c>
      <c r="B33" s="157" t="s">
        <v>696</v>
      </c>
      <c r="C33" s="157">
        <v>61.1</v>
      </c>
    </row>
    <row r="34" spans="1:3" x14ac:dyDescent="0.3">
      <c r="A34" s="159" t="s">
        <v>591</v>
      </c>
      <c r="B34" s="157" t="s">
        <v>697</v>
      </c>
      <c r="C34" s="157">
        <v>1.7</v>
      </c>
    </row>
    <row r="35" spans="1:3" x14ac:dyDescent="0.3">
      <c r="A35" s="158" t="s">
        <v>595</v>
      </c>
      <c r="B35" s="157" t="s">
        <v>697</v>
      </c>
      <c r="C35" s="157">
        <v>10</v>
      </c>
    </row>
    <row r="36" spans="1:3" hidden="1" x14ac:dyDescent="0.3">
      <c r="A36" s="158" t="s">
        <v>593</v>
      </c>
      <c r="B36" s="157" t="s">
        <v>697</v>
      </c>
      <c r="C36" s="157">
        <v>59.6</v>
      </c>
    </row>
    <row r="37" spans="1:3" x14ac:dyDescent="0.3">
      <c r="A37" s="159" t="s">
        <v>591</v>
      </c>
      <c r="B37" s="157" t="s">
        <v>698</v>
      </c>
      <c r="C37" s="157">
        <v>1.8</v>
      </c>
    </row>
    <row r="38" spans="1:3" x14ac:dyDescent="0.3">
      <c r="A38" s="158" t="s">
        <v>595</v>
      </c>
      <c r="B38" s="157" t="s">
        <v>698</v>
      </c>
      <c r="C38" s="157">
        <v>11</v>
      </c>
    </row>
    <row r="39" spans="1:3" hidden="1" x14ac:dyDescent="0.3">
      <c r="A39" s="158" t="s">
        <v>593</v>
      </c>
      <c r="B39" s="157" t="s">
        <v>698</v>
      </c>
      <c r="C39" s="157">
        <v>60.1</v>
      </c>
    </row>
    <row r="40" spans="1:3" hidden="1" x14ac:dyDescent="0.3">
      <c r="A40" s="158" t="s">
        <v>609</v>
      </c>
      <c r="B40" s="157" t="s">
        <v>699</v>
      </c>
      <c r="C40" s="157">
        <v>4</v>
      </c>
    </row>
    <row r="41" spans="1:3" x14ac:dyDescent="0.3">
      <c r="A41" s="158" t="s">
        <v>612</v>
      </c>
      <c r="B41" s="157" t="s">
        <v>699</v>
      </c>
      <c r="C41" s="157">
        <v>0.9</v>
      </c>
    </row>
    <row r="42" spans="1:3" x14ac:dyDescent="0.3">
      <c r="A42" s="158" t="s">
        <v>587</v>
      </c>
      <c r="B42" s="157" t="s">
        <v>699</v>
      </c>
      <c r="C42" s="157">
        <v>239.5</v>
      </c>
    </row>
    <row r="43" spans="1:3" hidden="1" x14ac:dyDescent="0.3">
      <c r="A43" s="158" t="s">
        <v>700</v>
      </c>
      <c r="B43" s="157" t="s">
        <v>699</v>
      </c>
      <c r="C43" s="157">
        <v>6</v>
      </c>
    </row>
    <row r="44" spans="1:3" hidden="1" x14ac:dyDescent="0.3">
      <c r="A44" s="158" t="s">
        <v>701</v>
      </c>
      <c r="B44" s="157" t="s">
        <v>699</v>
      </c>
      <c r="C44" s="157">
        <v>6</v>
      </c>
    </row>
    <row r="45" spans="1:3" x14ac:dyDescent="0.3">
      <c r="A45" s="159" t="s">
        <v>591</v>
      </c>
      <c r="B45" s="157" t="s">
        <v>702</v>
      </c>
      <c r="C45" s="157">
        <v>0.4</v>
      </c>
    </row>
    <row r="46" spans="1:3" x14ac:dyDescent="0.3">
      <c r="A46" s="158" t="s">
        <v>587</v>
      </c>
      <c r="B46" s="157" t="s">
        <v>702</v>
      </c>
      <c r="C46" s="157">
        <v>18.600000000000001</v>
      </c>
    </row>
    <row r="47" spans="1:3" x14ac:dyDescent="0.3">
      <c r="A47" s="158" t="s">
        <v>653</v>
      </c>
      <c r="B47" s="157" t="s">
        <v>702</v>
      </c>
      <c r="C47" s="157">
        <v>2.8</v>
      </c>
    </row>
    <row r="48" spans="1:3" x14ac:dyDescent="0.3">
      <c r="A48" s="158" t="s">
        <v>616</v>
      </c>
      <c r="B48" s="157" t="s">
        <v>702</v>
      </c>
      <c r="C48" s="157">
        <v>18.600000000000001</v>
      </c>
    </row>
    <row r="49" spans="1:3" x14ac:dyDescent="0.3">
      <c r="A49" s="158" t="s">
        <v>617</v>
      </c>
      <c r="B49" s="157" t="s">
        <v>703</v>
      </c>
      <c r="C49" s="157">
        <v>38.700000000000003</v>
      </c>
    </row>
    <row r="50" spans="1:3" x14ac:dyDescent="0.3">
      <c r="A50" s="158" t="s">
        <v>587</v>
      </c>
      <c r="B50" s="157" t="s">
        <v>704</v>
      </c>
      <c r="C50" s="157">
        <v>10.199999999999999</v>
      </c>
    </row>
    <row r="51" spans="1:3" x14ac:dyDescent="0.3">
      <c r="A51" s="158" t="s">
        <v>606</v>
      </c>
      <c r="B51" s="157" t="s">
        <v>704</v>
      </c>
      <c r="C51" s="157">
        <v>10.199999999999999</v>
      </c>
    </row>
    <row r="52" spans="1:3" hidden="1" x14ac:dyDescent="0.3">
      <c r="A52" s="158" t="s">
        <v>603</v>
      </c>
      <c r="B52" s="157" t="s">
        <v>705</v>
      </c>
      <c r="C52" s="157">
        <v>5.5</v>
      </c>
    </row>
    <row r="53" spans="1:3" hidden="1" x14ac:dyDescent="0.3">
      <c r="A53" s="158" t="s">
        <v>621</v>
      </c>
      <c r="B53" s="157" t="s">
        <v>706</v>
      </c>
      <c r="C53" s="157">
        <v>2.1</v>
      </c>
    </row>
    <row r="54" spans="1:3" x14ac:dyDescent="0.3">
      <c r="A54" s="158" t="s">
        <v>591</v>
      </c>
      <c r="B54" s="157" t="s">
        <v>706</v>
      </c>
      <c r="C54" s="157">
        <v>51.6</v>
      </c>
    </row>
    <row r="55" spans="1:3" x14ac:dyDescent="0.3">
      <c r="A55" s="158" t="s">
        <v>664</v>
      </c>
      <c r="B55" s="157" t="s">
        <v>706</v>
      </c>
      <c r="C55" s="157">
        <v>316.8</v>
      </c>
    </row>
    <row r="56" spans="1:3" x14ac:dyDescent="0.3">
      <c r="A56" s="158" t="s">
        <v>678</v>
      </c>
      <c r="B56" s="157" t="s">
        <v>706</v>
      </c>
      <c r="C56" s="157">
        <v>19.899999999999999</v>
      </c>
    </row>
    <row r="57" spans="1:3" hidden="1" x14ac:dyDescent="0.3">
      <c r="A57" s="158" t="s">
        <v>624</v>
      </c>
      <c r="B57" s="157" t="s">
        <v>706</v>
      </c>
      <c r="C57" s="157">
        <v>14</v>
      </c>
    </row>
    <row r="58" spans="1:3" hidden="1" x14ac:dyDescent="0.3">
      <c r="A58" s="158" t="s">
        <v>707</v>
      </c>
      <c r="B58" s="157" t="s">
        <v>706</v>
      </c>
      <c r="C58" s="157">
        <v>14</v>
      </c>
    </row>
    <row r="59" spans="1:3" x14ac:dyDescent="0.3">
      <c r="A59" s="158" t="s">
        <v>623</v>
      </c>
      <c r="B59" s="157" t="s">
        <v>708</v>
      </c>
      <c r="C59" s="157">
        <v>28.9</v>
      </c>
    </row>
    <row r="60" spans="1:3" x14ac:dyDescent="0.3">
      <c r="A60" s="158" t="s">
        <v>630</v>
      </c>
      <c r="B60" s="157" t="s">
        <v>709</v>
      </c>
      <c r="C60" s="157">
        <v>28.7</v>
      </c>
    </row>
    <row r="61" spans="1:3" hidden="1" x14ac:dyDescent="0.3">
      <c r="A61" s="158" t="s">
        <v>603</v>
      </c>
      <c r="B61" s="157" t="s">
        <v>710</v>
      </c>
      <c r="C61" s="157">
        <v>28.1</v>
      </c>
    </row>
    <row r="62" spans="1:3" x14ac:dyDescent="0.3">
      <c r="A62" s="158" t="s">
        <v>587</v>
      </c>
      <c r="B62" s="157" t="s">
        <v>711</v>
      </c>
      <c r="C62" s="157">
        <v>12.8</v>
      </c>
    </row>
    <row r="63" spans="1:3" x14ac:dyDescent="0.3">
      <c r="A63" s="158" t="s">
        <v>595</v>
      </c>
      <c r="B63" s="157" t="s">
        <v>711</v>
      </c>
      <c r="C63" s="157">
        <v>4.8</v>
      </c>
    </row>
    <row r="64" spans="1:3" x14ac:dyDescent="0.3">
      <c r="A64" s="158" t="s">
        <v>653</v>
      </c>
      <c r="B64" s="157" t="s">
        <v>711</v>
      </c>
      <c r="C64" s="157">
        <v>2.2000000000000002</v>
      </c>
    </row>
    <row r="65" spans="1:3" x14ac:dyDescent="0.3">
      <c r="A65" s="158" t="s">
        <v>606</v>
      </c>
      <c r="B65" s="157" t="s">
        <v>711</v>
      </c>
      <c r="C65" s="157">
        <v>12.8</v>
      </c>
    </row>
    <row r="66" spans="1:3" x14ac:dyDescent="0.3">
      <c r="A66" s="158" t="s">
        <v>587</v>
      </c>
      <c r="B66" s="157" t="s">
        <v>712</v>
      </c>
      <c r="C66" s="157">
        <v>8.1</v>
      </c>
    </row>
    <row r="67" spans="1:3" x14ac:dyDescent="0.3">
      <c r="A67" s="158" t="s">
        <v>606</v>
      </c>
      <c r="B67" s="157" t="s">
        <v>712</v>
      </c>
      <c r="C67" s="157">
        <v>8.1</v>
      </c>
    </row>
    <row r="68" spans="1:3" x14ac:dyDescent="0.3">
      <c r="A68" s="158" t="s">
        <v>587</v>
      </c>
      <c r="B68" s="157" t="s">
        <v>713</v>
      </c>
      <c r="C68" s="157">
        <v>19.8</v>
      </c>
    </row>
    <row r="69" spans="1:3" x14ac:dyDescent="0.3">
      <c r="A69" s="158" t="s">
        <v>616</v>
      </c>
      <c r="B69" s="157" t="s">
        <v>713</v>
      </c>
      <c r="C69" s="157">
        <v>19.8</v>
      </c>
    </row>
    <row r="70" spans="1:3" x14ac:dyDescent="0.3">
      <c r="A70" s="158" t="s">
        <v>587</v>
      </c>
      <c r="B70" s="157" t="s">
        <v>714</v>
      </c>
      <c r="C70" s="157">
        <v>8.1999999999999993</v>
      </c>
    </row>
    <row r="71" spans="1:3" x14ac:dyDescent="0.3">
      <c r="A71" s="158" t="s">
        <v>616</v>
      </c>
      <c r="B71" s="157" t="s">
        <v>714</v>
      </c>
      <c r="C71" s="157">
        <v>8.1999999999999993</v>
      </c>
    </row>
    <row r="72" spans="1:3" hidden="1" x14ac:dyDescent="0.3">
      <c r="A72" s="158" t="s">
        <v>603</v>
      </c>
      <c r="B72" s="157" t="s">
        <v>715</v>
      </c>
      <c r="C72" s="157">
        <v>32</v>
      </c>
    </row>
    <row r="73" spans="1:3" hidden="1" x14ac:dyDescent="0.3">
      <c r="A73" s="158" t="s">
        <v>603</v>
      </c>
      <c r="B73" s="157" t="s">
        <v>716</v>
      </c>
      <c r="C73" s="157">
        <v>21.4</v>
      </c>
    </row>
    <row r="74" spans="1:3" x14ac:dyDescent="0.3">
      <c r="A74" s="158" t="s">
        <v>587</v>
      </c>
      <c r="B74" s="157" t="s">
        <v>717</v>
      </c>
      <c r="C74" s="157">
        <v>9.6999999999999993</v>
      </c>
    </row>
    <row r="75" spans="1:3" hidden="1" x14ac:dyDescent="0.3">
      <c r="A75" s="158" t="s">
        <v>603</v>
      </c>
      <c r="B75" s="157" t="s">
        <v>717</v>
      </c>
      <c r="C75" s="157">
        <v>10.199999999999999</v>
      </c>
    </row>
    <row r="76" spans="1:3" x14ac:dyDescent="0.3">
      <c r="A76" s="158" t="s">
        <v>606</v>
      </c>
      <c r="B76" s="157" t="s">
        <v>717</v>
      </c>
      <c r="C76" s="157">
        <v>9.6999999999999993</v>
      </c>
    </row>
    <row r="77" spans="1:3" hidden="1" x14ac:dyDescent="0.3">
      <c r="A77" s="158" t="s">
        <v>603</v>
      </c>
      <c r="B77" s="157" t="s">
        <v>718</v>
      </c>
      <c r="C77" s="157">
        <v>32.9</v>
      </c>
    </row>
    <row r="78" spans="1:3" hidden="1" x14ac:dyDescent="0.3">
      <c r="A78" s="158" t="s">
        <v>603</v>
      </c>
      <c r="B78" s="157" t="s">
        <v>719</v>
      </c>
      <c r="C78" s="157">
        <v>8.1</v>
      </c>
    </row>
    <row r="79" spans="1:3" hidden="1" x14ac:dyDescent="0.3">
      <c r="A79" s="158" t="s">
        <v>603</v>
      </c>
      <c r="B79" s="157" t="s">
        <v>720</v>
      </c>
      <c r="C79" s="157">
        <v>7.5</v>
      </c>
    </row>
    <row r="80" spans="1:3" x14ac:dyDescent="0.3">
      <c r="A80" s="158" t="s">
        <v>591</v>
      </c>
      <c r="B80" s="157" t="s">
        <v>721</v>
      </c>
      <c r="C80" s="157">
        <v>2.5</v>
      </c>
    </row>
    <row r="81" spans="1:3" x14ac:dyDescent="0.3">
      <c r="A81" s="158" t="s">
        <v>595</v>
      </c>
      <c r="B81" s="157" t="s">
        <v>721</v>
      </c>
      <c r="C81" s="157">
        <v>15.7</v>
      </c>
    </row>
    <row r="82" spans="1:3" hidden="1" x14ac:dyDescent="0.3">
      <c r="A82" s="158" t="s">
        <v>593</v>
      </c>
      <c r="B82" s="157" t="s">
        <v>721</v>
      </c>
      <c r="C82" s="157">
        <v>82.9</v>
      </c>
    </row>
    <row r="83" spans="1:3" x14ac:dyDescent="0.3">
      <c r="A83" s="158" t="s">
        <v>591</v>
      </c>
      <c r="B83" s="157" t="s">
        <v>722</v>
      </c>
      <c r="C83" s="157">
        <v>43.6</v>
      </c>
    </row>
    <row r="84" spans="1:3" x14ac:dyDescent="0.3">
      <c r="A84" s="158" t="s">
        <v>598</v>
      </c>
      <c r="B84" s="157" t="s">
        <v>722</v>
      </c>
      <c r="C84" s="157">
        <v>541.4</v>
      </c>
    </row>
    <row r="85" spans="1:3" x14ac:dyDescent="0.3">
      <c r="A85" s="158" t="s">
        <v>591</v>
      </c>
      <c r="B85" s="157" t="s">
        <v>723</v>
      </c>
      <c r="C85" s="157">
        <v>1.8</v>
      </c>
    </row>
    <row r="86" spans="1:3" x14ac:dyDescent="0.3">
      <c r="A86" s="158" t="s">
        <v>595</v>
      </c>
      <c r="B86" s="157" t="s">
        <v>723</v>
      </c>
      <c r="C86" s="157">
        <v>11.1</v>
      </c>
    </row>
    <row r="87" spans="1:3" hidden="1" x14ac:dyDescent="0.3">
      <c r="A87" s="158" t="s">
        <v>593</v>
      </c>
      <c r="B87" s="157" t="s">
        <v>723</v>
      </c>
      <c r="C87" s="157">
        <v>61.7</v>
      </c>
    </row>
    <row r="88" spans="1:3" x14ac:dyDescent="0.3">
      <c r="A88" s="158" t="s">
        <v>591</v>
      </c>
      <c r="B88" s="157" t="s">
        <v>724</v>
      </c>
      <c r="C88" s="157">
        <v>1.8</v>
      </c>
    </row>
    <row r="89" spans="1:3" x14ac:dyDescent="0.3">
      <c r="A89" s="158" t="s">
        <v>595</v>
      </c>
      <c r="B89" s="157" t="s">
        <v>724</v>
      </c>
      <c r="C89" s="157">
        <v>10.7</v>
      </c>
    </row>
    <row r="90" spans="1:3" hidden="1" x14ac:dyDescent="0.3">
      <c r="A90" s="158" t="s">
        <v>593</v>
      </c>
      <c r="B90" s="157" t="s">
        <v>724</v>
      </c>
      <c r="C90" s="157">
        <v>57.5</v>
      </c>
    </row>
    <row r="91" spans="1:3" x14ac:dyDescent="0.3">
      <c r="A91" s="158" t="s">
        <v>591</v>
      </c>
      <c r="B91" s="157" t="s">
        <v>725</v>
      </c>
      <c r="C91" s="157">
        <v>1.7</v>
      </c>
    </row>
    <row r="92" spans="1:3" x14ac:dyDescent="0.3">
      <c r="A92" s="158" t="s">
        <v>595</v>
      </c>
      <c r="B92" s="157" t="s">
        <v>725</v>
      </c>
      <c r="C92" s="157">
        <v>10.7</v>
      </c>
    </row>
    <row r="93" spans="1:3" hidden="1" x14ac:dyDescent="0.3">
      <c r="A93" s="158" t="s">
        <v>593</v>
      </c>
      <c r="B93" s="157" t="s">
        <v>725</v>
      </c>
      <c r="C93" s="157">
        <v>59.6</v>
      </c>
    </row>
    <row r="94" spans="1:3" x14ac:dyDescent="0.3">
      <c r="A94" s="158" t="s">
        <v>591</v>
      </c>
      <c r="B94" s="157" t="s">
        <v>726</v>
      </c>
      <c r="C94" s="157">
        <v>1.7</v>
      </c>
    </row>
    <row r="95" spans="1:3" x14ac:dyDescent="0.3">
      <c r="A95" s="158" t="s">
        <v>595</v>
      </c>
      <c r="B95" s="157" t="s">
        <v>726</v>
      </c>
      <c r="C95" s="157">
        <v>10.9</v>
      </c>
    </row>
    <row r="96" spans="1:3" hidden="1" x14ac:dyDescent="0.3">
      <c r="A96" s="158" t="s">
        <v>593</v>
      </c>
      <c r="B96" s="157" t="s">
        <v>726</v>
      </c>
      <c r="C96" s="157">
        <v>59.3</v>
      </c>
    </row>
    <row r="97" spans="1:3" x14ac:dyDescent="0.3">
      <c r="A97" s="158" t="s">
        <v>682</v>
      </c>
      <c r="B97" s="157" t="s">
        <v>727</v>
      </c>
      <c r="C97" s="157">
        <v>1.5</v>
      </c>
    </row>
    <row r="98" spans="1:3" x14ac:dyDescent="0.3">
      <c r="A98" s="158" t="s">
        <v>587</v>
      </c>
      <c r="B98" s="157" t="s">
        <v>727</v>
      </c>
      <c r="C98" s="157">
        <v>100.5</v>
      </c>
    </row>
    <row r="99" spans="1:3" hidden="1" x14ac:dyDescent="0.3">
      <c r="A99" s="158" t="s">
        <v>728</v>
      </c>
      <c r="B99" s="157" t="s">
        <v>727</v>
      </c>
      <c r="C99" s="157">
        <v>4</v>
      </c>
    </row>
    <row r="100" spans="1:3" hidden="1" x14ac:dyDescent="0.3">
      <c r="A100" s="158" t="s">
        <v>729</v>
      </c>
      <c r="B100" s="157" t="s">
        <v>727</v>
      </c>
      <c r="C100" s="157">
        <v>3</v>
      </c>
    </row>
    <row r="101" spans="1:3" x14ac:dyDescent="0.3">
      <c r="A101" s="158" t="s">
        <v>587</v>
      </c>
      <c r="B101" s="157" t="s">
        <v>730</v>
      </c>
      <c r="C101" s="157">
        <v>10.4</v>
      </c>
    </row>
    <row r="102" spans="1:3" x14ac:dyDescent="0.3">
      <c r="A102" s="158" t="s">
        <v>641</v>
      </c>
      <c r="B102" s="157" t="s">
        <v>731</v>
      </c>
      <c r="C102" s="157">
        <v>38.700000000000003</v>
      </c>
    </row>
    <row r="103" spans="1:3" hidden="1" x14ac:dyDescent="0.3">
      <c r="A103" s="158" t="s">
        <v>621</v>
      </c>
      <c r="B103" s="157" t="s">
        <v>732</v>
      </c>
      <c r="C103" s="157">
        <v>6.6</v>
      </c>
    </row>
    <row r="104" spans="1:3" hidden="1" x14ac:dyDescent="0.3">
      <c r="A104" s="158" t="s">
        <v>627</v>
      </c>
      <c r="B104" s="157" t="s">
        <v>732</v>
      </c>
      <c r="C104" s="157">
        <v>0.4</v>
      </c>
    </row>
    <row r="105" spans="1:3" x14ac:dyDescent="0.3">
      <c r="A105" s="158" t="s">
        <v>591</v>
      </c>
      <c r="B105" s="157" t="s">
        <v>732</v>
      </c>
      <c r="C105" s="157">
        <v>6.6</v>
      </c>
    </row>
    <row r="106" spans="1:3" x14ac:dyDescent="0.3">
      <c r="A106" s="158" t="s">
        <v>595</v>
      </c>
      <c r="B106" s="157" t="s">
        <v>732</v>
      </c>
      <c r="C106" s="157">
        <v>40.6</v>
      </c>
    </row>
    <row r="107" spans="1:3" hidden="1" x14ac:dyDescent="0.3">
      <c r="A107" s="158" t="s">
        <v>593</v>
      </c>
      <c r="B107" s="157" t="s">
        <v>732</v>
      </c>
      <c r="C107" s="157">
        <v>202.3</v>
      </c>
    </row>
    <row r="108" spans="1:3" hidden="1" x14ac:dyDescent="0.3">
      <c r="A108" s="158" t="s">
        <v>733</v>
      </c>
      <c r="B108" s="157" t="s">
        <v>734</v>
      </c>
      <c r="C108" s="157">
        <v>2.9</v>
      </c>
    </row>
    <row r="109" spans="1:3" x14ac:dyDescent="0.3">
      <c r="A109" s="158" t="s">
        <v>587</v>
      </c>
      <c r="B109" s="157" t="s">
        <v>734</v>
      </c>
      <c r="C109" s="157">
        <v>162.6</v>
      </c>
    </row>
    <row r="110" spans="1:3" x14ac:dyDescent="0.3">
      <c r="A110" s="158" t="s">
        <v>598</v>
      </c>
      <c r="B110" s="157" t="s">
        <v>735</v>
      </c>
      <c r="C110" s="157">
        <v>1.2</v>
      </c>
    </row>
    <row r="111" spans="1:3" x14ac:dyDescent="0.3">
      <c r="A111" s="158" t="s">
        <v>666</v>
      </c>
      <c r="B111" s="157" t="s">
        <v>735</v>
      </c>
      <c r="C111" s="157">
        <v>32</v>
      </c>
    </row>
    <row r="112" spans="1:3" hidden="1" x14ac:dyDescent="0.3">
      <c r="A112" s="158" t="s">
        <v>593</v>
      </c>
      <c r="B112" s="157" t="s">
        <v>735</v>
      </c>
      <c r="C112" s="157">
        <v>29.9</v>
      </c>
    </row>
    <row r="113" spans="1:3" hidden="1" x14ac:dyDescent="0.3">
      <c r="A113" s="158" t="s">
        <v>621</v>
      </c>
      <c r="B113" s="157" t="s">
        <v>736</v>
      </c>
      <c r="C113" s="157">
        <v>6.6</v>
      </c>
    </row>
    <row r="114" spans="1:3" hidden="1" x14ac:dyDescent="0.3">
      <c r="A114" s="158" t="s">
        <v>627</v>
      </c>
      <c r="B114" s="157" t="s">
        <v>736</v>
      </c>
      <c r="C114" s="157">
        <v>0.2</v>
      </c>
    </row>
    <row r="115" spans="1:3" x14ac:dyDescent="0.3">
      <c r="A115" s="158" t="s">
        <v>598</v>
      </c>
      <c r="B115" s="157" t="s">
        <v>736</v>
      </c>
      <c r="C115" s="157">
        <v>4.5999999999999996</v>
      </c>
    </row>
    <row r="116" spans="1:3" hidden="1" x14ac:dyDescent="0.3">
      <c r="A116" s="158" t="s">
        <v>600</v>
      </c>
      <c r="B116" s="157" t="s">
        <v>736</v>
      </c>
      <c r="C116" s="157">
        <v>160.5</v>
      </c>
    </row>
    <row r="117" spans="1:3" x14ac:dyDescent="0.3">
      <c r="A117" s="158" t="s">
        <v>666</v>
      </c>
      <c r="B117" s="157" t="s">
        <v>736</v>
      </c>
      <c r="C117" s="157">
        <v>22.4</v>
      </c>
    </row>
    <row r="118" spans="1:3" hidden="1" x14ac:dyDescent="0.3">
      <c r="A118" s="158" t="s">
        <v>609</v>
      </c>
      <c r="B118" s="157" t="s">
        <v>737</v>
      </c>
      <c r="C118" s="157">
        <v>2.9</v>
      </c>
    </row>
    <row r="119" spans="1:3" x14ac:dyDescent="0.3">
      <c r="A119" s="158" t="s">
        <v>587</v>
      </c>
      <c r="B119" s="157" t="s">
        <v>737</v>
      </c>
      <c r="C119" s="157">
        <v>127.3</v>
      </c>
    </row>
    <row r="120" spans="1:3" x14ac:dyDescent="0.3">
      <c r="A120" s="158" t="s">
        <v>598</v>
      </c>
      <c r="B120" s="157" t="s">
        <v>738</v>
      </c>
      <c r="C120" s="157">
        <v>1</v>
      </c>
    </row>
    <row r="121" spans="1:3" hidden="1" x14ac:dyDescent="0.3">
      <c r="A121" s="158" t="s">
        <v>600</v>
      </c>
      <c r="B121" s="157" t="s">
        <v>738</v>
      </c>
      <c r="C121" s="157">
        <v>36.200000000000003</v>
      </c>
    </row>
    <row r="122" spans="1:3" x14ac:dyDescent="0.3">
      <c r="A122" s="158" t="s">
        <v>666</v>
      </c>
      <c r="B122" s="157" t="s">
        <v>738</v>
      </c>
      <c r="C122" s="157">
        <v>6.4</v>
      </c>
    </row>
    <row r="123" spans="1:3" x14ac:dyDescent="0.3">
      <c r="A123" s="158" t="s">
        <v>591</v>
      </c>
      <c r="B123" s="157" t="s">
        <v>739</v>
      </c>
      <c r="C123" s="157">
        <v>0.7</v>
      </c>
    </row>
    <row r="124" spans="1:3" x14ac:dyDescent="0.3">
      <c r="A124" s="158" t="s">
        <v>587</v>
      </c>
      <c r="B124" s="157" t="s">
        <v>739</v>
      </c>
      <c r="C124" s="157">
        <v>20.6</v>
      </c>
    </row>
    <row r="125" spans="1:3" x14ac:dyDescent="0.3">
      <c r="A125" s="158" t="s">
        <v>653</v>
      </c>
      <c r="B125" s="157" t="s">
        <v>739</v>
      </c>
      <c r="C125" s="157">
        <v>6.6</v>
      </c>
    </row>
    <row r="126" spans="1:3" x14ac:dyDescent="0.3">
      <c r="A126" s="158" t="s">
        <v>616</v>
      </c>
      <c r="B126" s="157" t="s">
        <v>739</v>
      </c>
      <c r="C126" s="157">
        <v>20.6</v>
      </c>
    </row>
    <row r="127" spans="1:3" hidden="1" x14ac:dyDescent="0.3">
      <c r="A127" s="158" t="s">
        <v>603</v>
      </c>
      <c r="B127" s="157" t="s">
        <v>740</v>
      </c>
      <c r="C127" s="157">
        <v>4.4000000000000004</v>
      </c>
    </row>
    <row r="128" spans="1:3" x14ac:dyDescent="0.3">
      <c r="A128" s="158" t="s">
        <v>587</v>
      </c>
      <c r="B128" s="157" t="s">
        <v>741</v>
      </c>
      <c r="C128" s="157">
        <v>5.6</v>
      </c>
    </row>
    <row r="129" spans="1:3" x14ac:dyDescent="0.3">
      <c r="A129" s="158" t="s">
        <v>606</v>
      </c>
      <c r="B129" s="157" t="s">
        <v>741</v>
      </c>
      <c r="C129" s="157">
        <v>5.6</v>
      </c>
    </row>
    <row r="130" spans="1:3" x14ac:dyDescent="0.3">
      <c r="A130" s="158" t="s">
        <v>591</v>
      </c>
      <c r="B130" s="157" t="s">
        <v>742</v>
      </c>
      <c r="C130" s="157">
        <v>0.7</v>
      </c>
    </row>
    <row r="131" spans="1:3" x14ac:dyDescent="0.3">
      <c r="A131" s="158" t="s">
        <v>587</v>
      </c>
      <c r="B131" s="157" t="s">
        <v>742</v>
      </c>
      <c r="C131" s="157">
        <v>23.9</v>
      </c>
    </row>
    <row r="132" spans="1:3" x14ac:dyDescent="0.3">
      <c r="A132" s="158" t="s">
        <v>595</v>
      </c>
      <c r="B132" s="157" t="s">
        <v>742</v>
      </c>
      <c r="C132" s="157">
        <v>3.8</v>
      </c>
    </row>
    <row r="133" spans="1:3" x14ac:dyDescent="0.3">
      <c r="A133" s="158" t="s">
        <v>653</v>
      </c>
      <c r="B133" s="157" t="s">
        <v>742</v>
      </c>
      <c r="C133" s="157">
        <v>3.2</v>
      </c>
    </row>
    <row r="134" spans="1:3" x14ac:dyDescent="0.3">
      <c r="A134" s="158" t="s">
        <v>606</v>
      </c>
      <c r="B134" s="157" t="s">
        <v>742</v>
      </c>
      <c r="C134" s="157">
        <v>23.9</v>
      </c>
    </row>
    <row r="135" spans="1:3" x14ac:dyDescent="0.3">
      <c r="A135" s="158" t="s">
        <v>587</v>
      </c>
      <c r="B135" s="157" t="s">
        <v>743</v>
      </c>
      <c r="C135" s="157">
        <v>10.3</v>
      </c>
    </row>
    <row r="136" spans="1:3" x14ac:dyDescent="0.3">
      <c r="A136" s="158" t="s">
        <v>659</v>
      </c>
      <c r="B136" s="157" t="s">
        <v>744</v>
      </c>
      <c r="C136" s="157">
        <v>33.6</v>
      </c>
    </row>
    <row r="137" spans="1:3" x14ac:dyDescent="0.3">
      <c r="A137" s="158" t="s">
        <v>587</v>
      </c>
      <c r="B137" s="157" t="s">
        <v>745</v>
      </c>
      <c r="C137" s="157">
        <v>19</v>
      </c>
    </row>
    <row r="138" spans="1:3" x14ac:dyDescent="0.3">
      <c r="A138" s="158" t="s">
        <v>683</v>
      </c>
      <c r="B138" s="157" t="s">
        <v>745</v>
      </c>
      <c r="C138" s="157">
        <v>3.4</v>
      </c>
    </row>
    <row r="139" spans="1:3" hidden="1" x14ac:dyDescent="0.3">
      <c r="A139" s="158" t="s">
        <v>603</v>
      </c>
      <c r="B139" s="157" t="s">
        <v>746</v>
      </c>
      <c r="C139" s="157">
        <v>4.5999999999999996</v>
      </c>
    </row>
    <row r="140" spans="1:3" x14ac:dyDescent="0.3">
      <c r="A140" s="158" t="s">
        <v>598</v>
      </c>
      <c r="B140" s="157" t="s">
        <v>747</v>
      </c>
      <c r="C140" s="157">
        <v>0.9</v>
      </c>
    </row>
    <row r="141" spans="1:3" hidden="1" x14ac:dyDescent="0.3">
      <c r="A141" s="158" t="s">
        <v>600</v>
      </c>
      <c r="B141" s="157" t="s">
        <v>747</v>
      </c>
      <c r="C141" s="157">
        <v>32.799999999999997</v>
      </c>
    </row>
    <row r="142" spans="1:3" x14ac:dyDescent="0.3">
      <c r="A142" s="158" t="s">
        <v>595</v>
      </c>
      <c r="B142" s="157" t="s">
        <v>747</v>
      </c>
      <c r="C142" s="157">
        <v>7</v>
      </c>
    </row>
    <row r="143" spans="1:3" x14ac:dyDescent="0.3">
      <c r="A143" s="158" t="s">
        <v>666</v>
      </c>
      <c r="B143" s="157" t="s">
        <v>747</v>
      </c>
      <c r="C143" s="157">
        <v>3</v>
      </c>
    </row>
    <row r="144" spans="1:3" x14ac:dyDescent="0.3">
      <c r="A144" s="158" t="s">
        <v>598</v>
      </c>
      <c r="B144" s="157" t="s">
        <v>748</v>
      </c>
      <c r="C144" s="157">
        <v>4.5999999999999996</v>
      </c>
    </row>
    <row r="145" spans="1:3" hidden="1" x14ac:dyDescent="0.3">
      <c r="A145" s="158" t="s">
        <v>600</v>
      </c>
      <c r="B145" s="157" t="s">
        <v>748</v>
      </c>
      <c r="C145" s="157">
        <v>158.9</v>
      </c>
    </row>
    <row r="146" spans="1:3" x14ac:dyDescent="0.3">
      <c r="A146" s="158" t="s">
        <v>595</v>
      </c>
      <c r="B146" s="157" t="s">
        <v>748</v>
      </c>
      <c r="C146" s="157">
        <v>4.9000000000000004</v>
      </c>
    </row>
    <row r="147" spans="1:3" x14ac:dyDescent="0.3">
      <c r="A147" s="158" t="s">
        <v>666</v>
      </c>
      <c r="B147" s="157" t="s">
        <v>748</v>
      </c>
      <c r="C147" s="157">
        <v>20.6</v>
      </c>
    </row>
    <row r="148" spans="1:3" hidden="1" x14ac:dyDescent="0.3">
      <c r="A148" s="158" t="s">
        <v>611</v>
      </c>
      <c r="B148" s="157" t="s">
        <v>749</v>
      </c>
      <c r="C148" s="157">
        <v>4</v>
      </c>
    </row>
    <row r="149" spans="1:3" x14ac:dyDescent="0.3">
      <c r="A149" s="158" t="s">
        <v>591</v>
      </c>
      <c r="B149" s="157" t="s">
        <v>749</v>
      </c>
      <c r="C149" s="157">
        <v>1.8</v>
      </c>
    </row>
    <row r="150" spans="1:3" x14ac:dyDescent="0.3">
      <c r="A150" s="158" t="s">
        <v>587</v>
      </c>
      <c r="B150" s="157" t="s">
        <v>749</v>
      </c>
      <c r="C150" s="157">
        <v>212.9</v>
      </c>
    </row>
    <row r="151" spans="1:3" hidden="1" x14ac:dyDescent="0.3">
      <c r="A151" s="158" t="s">
        <v>750</v>
      </c>
      <c r="B151" s="157" t="s">
        <v>749</v>
      </c>
      <c r="C151" s="157">
        <v>13</v>
      </c>
    </row>
    <row r="152" spans="1:3" hidden="1" x14ac:dyDescent="0.3">
      <c r="A152" s="158" t="s">
        <v>751</v>
      </c>
      <c r="B152" s="157" t="s">
        <v>749</v>
      </c>
      <c r="C152" s="157">
        <v>9</v>
      </c>
    </row>
    <row r="153" spans="1:3" x14ac:dyDescent="0.3">
      <c r="A153" s="158" t="s">
        <v>641</v>
      </c>
      <c r="B153" s="157" t="s">
        <v>752</v>
      </c>
      <c r="C153" s="157">
        <v>29.4</v>
      </c>
    </row>
    <row r="154" spans="1:3" x14ac:dyDescent="0.3">
      <c r="A154" s="158" t="s">
        <v>591</v>
      </c>
      <c r="B154" s="157" t="s">
        <v>753</v>
      </c>
      <c r="C154" s="157">
        <v>4.2</v>
      </c>
    </row>
    <row r="155" spans="1:3" x14ac:dyDescent="0.3">
      <c r="A155" s="158" t="s">
        <v>595</v>
      </c>
      <c r="B155" s="157" t="s">
        <v>753</v>
      </c>
      <c r="C155" s="157">
        <v>4</v>
      </c>
    </row>
    <row r="156" spans="1:3" hidden="1" x14ac:dyDescent="0.3">
      <c r="A156" s="158" t="s">
        <v>593</v>
      </c>
      <c r="B156" s="157" t="s">
        <v>753</v>
      </c>
      <c r="C156" s="157">
        <v>61.3</v>
      </c>
    </row>
    <row r="157" spans="1:3" hidden="1" x14ac:dyDescent="0.3">
      <c r="A157" s="158" t="s">
        <v>603</v>
      </c>
      <c r="B157" s="157" t="s">
        <v>754</v>
      </c>
      <c r="C157" s="157">
        <v>4.2</v>
      </c>
    </row>
    <row r="158" spans="1:3" x14ac:dyDescent="0.3">
      <c r="A158" s="158" t="s">
        <v>591</v>
      </c>
      <c r="B158" s="157" t="s">
        <v>755</v>
      </c>
      <c r="C158" s="157">
        <v>4.7</v>
      </c>
    </row>
    <row r="159" spans="1:3" x14ac:dyDescent="0.3">
      <c r="A159" s="158" t="s">
        <v>595</v>
      </c>
      <c r="B159" s="157" t="s">
        <v>755</v>
      </c>
      <c r="C159" s="157">
        <v>15.4</v>
      </c>
    </row>
    <row r="160" spans="1:3" hidden="1" x14ac:dyDescent="0.3">
      <c r="A160" s="158" t="s">
        <v>593</v>
      </c>
      <c r="B160" s="157" t="s">
        <v>755</v>
      </c>
      <c r="C160" s="157">
        <v>81</v>
      </c>
    </row>
    <row r="161" spans="1:3" x14ac:dyDescent="0.3">
      <c r="A161" s="158" t="s">
        <v>587</v>
      </c>
      <c r="B161" s="157" t="s">
        <v>756</v>
      </c>
      <c r="C161" s="157">
        <v>90.5</v>
      </c>
    </row>
    <row r="162" spans="1:3" hidden="1" x14ac:dyDescent="0.3">
      <c r="A162" s="158" t="s">
        <v>621</v>
      </c>
      <c r="B162" s="157" t="s">
        <v>757</v>
      </c>
      <c r="C162" s="157">
        <v>2.2000000000000002</v>
      </c>
    </row>
    <row r="163" spans="1:3" x14ac:dyDescent="0.3">
      <c r="A163" s="158" t="s">
        <v>598</v>
      </c>
      <c r="B163" s="157" t="s">
        <v>757</v>
      </c>
      <c r="C163" s="157">
        <v>0.8</v>
      </c>
    </row>
    <row r="164" spans="1:3" x14ac:dyDescent="0.3">
      <c r="A164" s="158" t="s">
        <v>678</v>
      </c>
      <c r="B164" s="157" t="s">
        <v>757</v>
      </c>
      <c r="C164" s="157">
        <v>124</v>
      </c>
    </row>
    <row r="165" spans="1:3" x14ac:dyDescent="0.3">
      <c r="A165" s="158" t="s">
        <v>587</v>
      </c>
      <c r="B165" s="157" t="s">
        <v>758</v>
      </c>
      <c r="C165" s="157">
        <v>15.3</v>
      </c>
    </row>
    <row r="166" spans="1:3" hidden="1" x14ac:dyDescent="0.3">
      <c r="A166" s="158" t="s">
        <v>609</v>
      </c>
      <c r="B166" s="157" t="s">
        <v>759</v>
      </c>
      <c r="C166" s="157">
        <v>3.5</v>
      </c>
    </row>
    <row r="167" spans="1:3" hidden="1" x14ac:dyDescent="0.3">
      <c r="A167" s="158" t="s">
        <v>611</v>
      </c>
      <c r="B167" s="157" t="s">
        <v>759</v>
      </c>
      <c r="C167" s="157">
        <v>3.4</v>
      </c>
    </row>
    <row r="168" spans="1:3" x14ac:dyDescent="0.3">
      <c r="A168" s="158" t="s">
        <v>587</v>
      </c>
      <c r="B168" s="157" t="s">
        <v>759</v>
      </c>
      <c r="C168" s="157">
        <v>130.9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20</vt:i4>
      </vt:variant>
    </vt:vector>
  </HeadingPairs>
  <TitlesOfParts>
    <vt:vector size="20" baseType="lpstr">
      <vt:lpstr>6.3инжКом (2)</vt:lpstr>
      <vt:lpstr>6.4ГКЛ</vt:lpstr>
      <vt:lpstr>6.3инжКом</vt:lpstr>
      <vt:lpstr>6.2ГКЛ</vt:lpstr>
      <vt:lpstr>6.1ГКЛ</vt:lpstr>
      <vt:lpstr>Лист2</vt:lpstr>
      <vt:lpstr>Лист1</vt:lpstr>
      <vt:lpstr>5.1ГКЛ</vt:lpstr>
      <vt:lpstr>Table 1</vt:lpstr>
      <vt:lpstr>2расчет</vt:lpstr>
      <vt:lpstr>3вор</vt:lpstr>
      <vt:lpstr>общая</vt:lpstr>
      <vt:lpstr>3пом</vt:lpstr>
      <vt:lpstr>3расчет</vt:lpstr>
      <vt:lpstr>3.1-Пт</vt:lpstr>
      <vt:lpstr>3.1</vt:lpstr>
      <vt:lpstr>4.1-Пт</vt:lpstr>
      <vt:lpstr>4.1</vt:lpstr>
      <vt:lpstr>ПТ3эт</vt:lpstr>
      <vt:lpstr>ПТ2эт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2026-09-15T09:41:48Z</dcterms:modified>
</cp:coreProperties>
</file>