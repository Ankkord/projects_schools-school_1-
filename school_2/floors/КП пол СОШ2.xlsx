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minimized="1" xWindow="0" yWindow="0" windowWidth="16056" windowHeight="8508" firstSheet="2" activeTab="10"/>
    <workbookView xWindow="0" yWindow="0" windowWidth="16056" windowHeight="8520" firstSheet="4" activeTab="10"/>
  </bookViews>
  <sheets>
    <sheet name="КП" sheetId="3" r:id="rId1"/>
    <sheet name="Пом" sheetId="4" r:id="rId2"/>
    <sheet name="Лист2" sheetId="7" r:id="rId3"/>
    <sheet name="5.1" sheetId="6" r:id="rId4"/>
    <sheet name="5.2" sheetId="8" r:id="rId5"/>
    <sheet name="Типы" sheetId="5" r:id="rId6"/>
    <sheet name="6.1" sheetId="10" r:id="rId7"/>
    <sheet name="6.2" sheetId="11" r:id="rId8"/>
    <sheet name="4.1" sheetId="13" r:id="rId9"/>
    <sheet name="4.2" sheetId="14" r:id="rId10"/>
    <sheet name="7-Кер" sheetId="15" r:id="rId1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15" l="1"/>
  <c r="E10" i="15"/>
  <c r="E11" i="15"/>
  <c r="E12" i="15"/>
  <c r="E7" i="15"/>
  <c r="E8" i="15"/>
  <c r="E6" i="15"/>
  <c r="E13" i="15" l="1"/>
  <c r="H3" i="15" s="1"/>
  <c r="J268" i="3"/>
  <c r="J263" i="3"/>
  <c r="J248" i="3"/>
  <c r="J243" i="3"/>
  <c r="J124" i="3"/>
  <c r="J122" i="3"/>
  <c r="J112" i="3"/>
  <c r="P124" i="3"/>
  <c r="O122" i="3"/>
  <c r="O112" i="3"/>
  <c r="T268" i="3"/>
  <c r="T248" i="3"/>
  <c r="S243" i="3"/>
  <c r="S263" i="3"/>
  <c r="C23" i="14"/>
  <c r="K3" i="14" s="1"/>
  <c r="P115" i="3" s="1"/>
  <c r="J115" i="3" s="1"/>
  <c r="G9" i="14"/>
  <c r="K4" i="14" s="1"/>
  <c r="C26" i="13"/>
  <c r="K3" i="13" s="1"/>
  <c r="G10" i="13"/>
  <c r="K4" i="13" s="1"/>
  <c r="K4" i="10"/>
  <c r="K4" i="11"/>
  <c r="G14" i="11"/>
  <c r="C30" i="11"/>
  <c r="K3" i="11" s="1"/>
  <c r="G12" i="10"/>
  <c r="F8" i="4" l="1"/>
  <c r="C28" i="10"/>
  <c r="K3" i="10" s="1"/>
  <c r="R14" i="3"/>
  <c r="J14" i="3" s="1"/>
  <c r="Q11" i="3"/>
  <c r="J11" i="3" s="1"/>
  <c r="G24" i="8" l="1"/>
  <c r="C23" i="8"/>
  <c r="K3" i="8" s="1"/>
  <c r="C41" i="6"/>
  <c r="G10" i="6"/>
  <c r="K3" i="6" l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<sst xmlns="http://schemas.openxmlformats.org/spreadsheetml/2006/main" count="2350" uniqueCount="645">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</sst>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9" formatCode="0.000"/>
  </numFmts>
  <fonts count="28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</font>
    <font>
      <sz val="12"/>
      <color rgb="FF000000"/>
      <name val="Times New Roman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19">
    <xf numFmtId="0" fontId="0" fillId="0" borderId="0" xfId="0"/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/>
    </xf>
    <xf numFmtId="16" fontId="2" fillId="0" borderId="3" xfId="0" applyNumberFormat="1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0" fillId="0" borderId="8" xfId="0" applyBorder="1"/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right" vertical="center" wrapText="1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righ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center" vertical="center" wrapText="1"/>
    </xf>
    <xf numFmtId="164" fontId="3" fillId="3" borderId="8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right" vertical="center" wrapText="1"/>
    </xf>
    <xf numFmtId="0" fontId="3" fillId="3" borderId="8" xfId="0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164" fontId="5" fillId="3" borderId="8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right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164" fontId="3" fillId="0" borderId="10" xfId="0" applyNumberFormat="1" applyFont="1" applyBorder="1" applyAlignment="1">
      <alignment horizontal="center" vertical="center" wrapText="1"/>
    </xf>
    <xf numFmtId="164" fontId="3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5" fillId="0" borderId="12" xfId="0" applyNumberFormat="1" applyFont="1" applyBorder="1" applyAlignment="1">
      <alignment horizontal="center" vertical="center"/>
    </xf>
    <xf numFmtId="164" fontId="5" fillId="3" borderId="12" xfId="0" applyNumberFormat="1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3" borderId="12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3" borderId="14" xfId="0" applyNumberFormat="1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left" vertical="center"/>
    </xf>
    <xf numFmtId="0" fontId="1" fillId="5" borderId="16" xfId="0" applyFont="1" applyFill="1" applyBorder="1" applyAlignment="1">
      <alignment horizontal="left" vertical="center"/>
    </xf>
    <xf numFmtId="164" fontId="3" fillId="5" borderId="17" xfId="0" applyNumberFormat="1" applyFont="1" applyFill="1" applyBorder="1" applyAlignment="1">
      <alignment horizontal="center" vertical="center" wrapText="1"/>
    </xf>
    <xf numFmtId="164" fontId="3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7" fillId="0" borderId="0" xfId="0" applyFont="1"/>
    <xf numFmtId="0" fontId="8" fillId="0" borderId="0" xfId="0" applyFont="1"/>
    <xf numFmtId="0" fontId="7" fillId="0" borderId="8" xfId="0" applyFont="1" applyBorder="1"/>
    <xf numFmtId="0" fontId="8" fillId="0" borderId="8" xfId="0" applyFont="1" applyBorder="1"/>
    <xf numFmtId="0" fontId="9" fillId="0" borderId="8" xfId="0" applyFont="1" applyBorder="1"/>
    <xf numFmtId="0" fontId="10" fillId="0" borderId="0" xfId="0" applyFont="1"/>
    <xf numFmtId="0" fontId="11" fillId="0" borderId="8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164" fontId="11" fillId="3" borderId="10" xfId="0" applyNumberFormat="1" applyFont="1" applyFill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right" vertical="center" wrapText="1"/>
    </xf>
    <xf numFmtId="0" fontId="9" fillId="6" borderId="8" xfId="0" applyFont="1" applyFill="1" applyBorder="1"/>
    <xf numFmtId="0" fontId="7" fillId="6" borderId="8" xfId="0" applyFont="1" applyFill="1" applyBorder="1"/>
    <xf numFmtId="49" fontId="17" fillId="0" borderId="8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43" fontId="17" fillId="0" borderId="0" xfId="1" applyFont="1" applyAlignment="1"/>
    <xf numFmtId="2" fontId="17" fillId="0" borderId="8" xfId="0" applyNumberFormat="1" applyFont="1" applyBorder="1" applyAlignment="1">
      <alignment vertical="center"/>
    </xf>
    <xf numFmtId="2" fontId="17" fillId="0" borderId="8" xfId="1" applyNumberFormat="1" applyFont="1" applyBorder="1" applyAlignment="1">
      <alignment vertical="center"/>
    </xf>
    <xf numFmtId="0" fontId="16" fillId="0" borderId="19" xfId="0" applyFont="1" applyBorder="1"/>
    <xf numFmtId="0" fontId="9" fillId="0" borderId="12" xfId="0" applyFont="1" applyBorder="1"/>
    <xf numFmtId="0" fontId="20" fillId="0" borderId="0" xfId="0" applyFont="1"/>
    <xf numFmtId="0" fontId="21" fillId="6" borderId="8" xfId="0" applyFont="1" applyFill="1" applyBorder="1"/>
    <xf numFmtId="0" fontId="21" fillId="0" borderId="8" xfId="0" applyFont="1" applyBorder="1"/>
    <xf numFmtId="0" fontId="22" fillId="6" borderId="8" xfId="0" applyFont="1" applyFill="1" applyBorder="1"/>
    <xf numFmtId="0" fontId="17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7" fillId="0" borderId="0" xfId="0" applyFont="1" applyAlignment="1"/>
    <xf numFmtId="0" fontId="23" fillId="0" borderId="0" xfId="0" applyFont="1"/>
    <xf numFmtId="0" fontId="24" fillId="0" borderId="8" xfId="0" applyFont="1" applyBorder="1"/>
    <xf numFmtId="0" fontId="24" fillId="6" borderId="8" xfId="0" applyFont="1" applyFill="1" applyBorder="1"/>
    <xf numFmtId="166" fontId="0" fillId="0" borderId="0" xfId="0" applyNumberFormat="1"/>
    <xf numFmtId="16" fontId="25" fillId="0" borderId="3" xfId="0" applyNumberFormat="1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0" fontId="26" fillId="0" borderId="8" xfId="0" applyFont="1" applyBorder="1"/>
    <xf numFmtId="0" fontId="17" fillId="0" borderId="8" xfId="0" applyFont="1" applyBorder="1" applyAlignment="1">
      <alignment horizontal="center" vertical="center"/>
    </xf>
    <xf numFmtId="2" fontId="17" fillId="0" borderId="10" xfId="0" applyNumberFormat="1" applyFont="1" applyBorder="1" applyAlignment="1">
      <alignment horizontal="center" vertical="center"/>
    </xf>
    <xf numFmtId="2" fontId="17" fillId="0" borderId="11" xfId="0" applyNumberFormat="1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/>
    </xf>
    <xf numFmtId="165" fontId="17" fillId="0" borderId="11" xfId="1" applyNumberFormat="1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10" xfId="0" applyFont="1" applyBorder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0" xfId="0" applyFont="1" applyFill="1" applyBorder="1" applyAlignment="1">
      <alignment vertical="center" wrapText="1"/>
    </xf>
    <xf numFmtId="0" fontId="18" fillId="0" borderId="20" xfId="0" applyFont="1" applyFill="1" applyBorder="1" applyAlignment="1">
      <alignment vertical="center" wrapText="1"/>
    </xf>
    <xf numFmtId="0" fontId="18" fillId="0" borderId="11" xfId="0" applyFont="1" applyFill="1" applyBorder="1" applyAlignment="1">
      <alignment vertical="center" wrapText="1"/>
    </xf>
    <xf numFmtId="0" fontId="20" fillId="0" borderId="0" xfId="0" applyFont="1" applyAlignment="1">
      <alignment horizont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 wrapText="1"/>
    </xf>
    <xf numFmtId="165" fontId="27" fillId="0" borderId="10" xfId="1" applyNumberFormat="1" applyFont="1" applyBorder="1" applyAlignment="1">
      <alignment horizontal="center" vertical="center" wrapText="1"/>
    </xf>
    <xf numFmtId="165" fontId="27" fillId="0" borderId="11" xfId="1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Fill="1" applyBorder="1" applyAlignment="1">
      <alignment horizontal="left" vertical="center" wrapText="1"/>
    </xf>
    <xf numFmtId="2" fontId="17" fillId="0" borderId="8" xfId="0" applyNumberFormat="1" applyFont="1" applyBorder="1" applyAlignment="1">
      <alignment horizontal="center" vertical="center"/>
    </xf>
    <xf numFmtId="165" fontId="27" fillId="0" borderId="8" xfId="1" applyNumberFormat="1" applyFont="1" applyBorder="1" applyAlignment="1">
      <alignment horizontal="left" vertical="center" wrapText="1"/>
    </xf>
    <xf numFmtId="2" fontId="24" fillId="0" borderId="8" xfId="0" applyNumberFormat="1" applyFont="1" applyBorder="1"/>
    <xf numFmtId="2" fontId="24" fillId="6" borderId="8" xfId="0" applyNumberFormat="1" applyFont="1" applyFill="1" applyBorder="1"/>
    <xf numFmtId="169" fontId="24" fillId="6" borderId="8" xfId="0" applyNumberFormat="1" applyFont="1" applyFill="1" applyBorder="1"/>
    <xf numFmtId="2" fontId="24" fillId="6" borderId="14" xfId="0" applyNumberFormat="1" applyFont="1" applyFill="1" applyBorder="1"/>
    <xf numFmtId="0" fontId="0" fillId="0" borderId="23" xfId="0" applyBorder="1" applyAlignment="1">
      <alignment horizontal="center"/>
    </xf>
    <xf numFmtId="169" fontId="24" fillId="0" borderId="8" xfId="0" applyNumberFormat="1" applyFont="1" applyBorder="1"/>
  </cellXfs>
  <cellStyles count="2">
    <cellStyle name="Обычный" xfId="0" builtinId="0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>
    <filterColumn colId="1">
      <customFilters>
        <customFilter operator="notEqual" val=" "/>
      </customFilters>
    </filterColumn>
    <filterColumn colId="8">
      <filters blank="1">
        <filter val="0,518"/>
        <filter val="1 087,116"/>
        <filter val="1 624,500"/>
        <filter val="1 764,700"/>
        <filter val="1 786,950"/>
        <filter val="1 872,000"/>
        <filter val="1 876,000"/>
        <filter val="1 919,200"/>
        <filter val="1 941,170"/>
        <filter val="1 990,200"/>
        <filter val="1,380"/>
        <filter val="1,595"/>
        <filter val="10,728"/>
        <filter val="100,800"/>
        <filter val="106,300"/>
        <filter val="109,120"/>
        <filter val="126,260"/>
        <filter val="13,525"/>
        <filter val="130,000"/>
        <filter val="15,519"/>
        <filter val="150,600"/>
        <filter val="162,930"/>
        <filter val="180,670"/>
        <filter val="187,740"/>
        <filter val="195,592"/>
        <filter val="2 035,800"/>
        <filter val="2,600"/>
        <filter val="2,880"/>
        <filter val="22,100"/>
        <filter val="23,918"/>
        <filter val="236,700"/>
        <filter val="239,900"/>
        <filter val="24,150"/>
        <filter val="24,396"/>
        <filter val="248,800"/>
        <filter val="25 909,200"/>
        <filter val="25,810"/>
        <filter val="253,000"/>
        <filter val="256,264"/>
        <filter val="263,890"/>
        <filter val="268,200"/>
        <filter val="27,617"/>
        <filter val="276,000"/>
        <filter val="277,000"/>
        <filter val="28 695,200"/>
        <filter val="3 105,000"/>
        <filter val="3 586,900"/>
        <filter val="3 665,100"/>
        <filter val="3 723,500"/>
        <filter val="3 740,200"/>
        <filter val="3 775,053"/>
        <filter val="3 835,205"/>
        <filter val="3 945,590"/>
        <filter val="3,795"/>
        <filter val="3,872"/>
        <filter val="331,700"/>
        <filter val="339,300"/>
        <filter val="34 133,600"/>
        <filter val="34,500"/>
        <filter val="37,650"/>
        <filter val="37,950"/>
        <filter val="376,500"/>
        <filter val="378,700"/>
        <filter val="398,040"/>
        <filter val="4 263,200"/>
        <filter val="4 266,700"/>
        <filter val="4 693,370"/>
        <filter val="4 896,000"/>
        <filter val="4,023"/>
        <filter val="4,252"/>
        <filter val="407,160"/>
        <filter val="419 667,300"/>
        <filter val="433,000"/>
        <filter val="440,000"/>
        <filter val="47,980"/>
        <filter val="49,755"/>
        <filter val="493,488"/>
        <filter val="499 203,900"/>
        <filter val="5 050,400"/>
        <filter val="50,895"/>
        <filter val="54,100"/>
        <filter val="543,100"/>
        <filter val="549,765"/>
        <filter val="55,800"/>
        <filter val="558,525"/>
        <filter val="57,887"/>
        <filter val="58,800"/>
        <filter val="59 843,200"/>
        <filter val="59,175"/>
        <filter val="59,500"/>
        <filter val="591,750"/>
        <filter val="597,410"/>
        <filter val="6,453"/>
        <filter val="6,900"/>
        <filter val="631,300"/>
        <filter val="650,239"/>
        <filter val="68 180,400"/>
        <filter val="68 211,200"/>
        <filter val="694,430"/>
        <filter val="717,380"/>
        <filter val="74,410"/>
        <filter val="8,115"/>
        <filter val="8,640"/>
        <filter val="8,928"/>
        <filter val="81,465"/>
        <filter val="82,925"/>
        <filter val="84,825"/>
        <filter val="853,340"/>
        <filter val="94,000"/>
        <filter val="953,751"/>
        <filter val="96,000"/>
        <filter val="99,200"/>
      </filters>
    </filterColumn>
  </autoFilter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72"/>
  <sheetViews>
    <sheetView topLeftCell="B171" zoomScale="55" zoomScaleNormal="55" workbookViewId="0">
      <selection activeCell="I248" sqref="I248"/>
    </sheetView>
    <sheetView topLeftCell="C61" zoomScale="55" zoomScaleNormal="55" workbookViewId="1">
      <selection activeCell="E130" sqref="E130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7" t="s">
        <v>634</v>
      </c>
      <c r="T1" s="88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thickBot="1" x14ac:dyDescent="0.35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hidden="1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.6" hidden="1" thickBot="1" x14ac:dyDescent="0.35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hidden="1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hidden="1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.6" hidden="1" thickBot="1" x14ac:dyDescent="0.35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.600000000000001" hidden="1" thickBot="1" x14ac:dyDescent="0.35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hidden="1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-8.3000000000010914</v>
      </c>
      <c r="K11" s="31"/>
      <c r="L11" s="10"/>
      <c r="M11" s="10"/>
      <c r="N11" s="10"/>
      <c r="O11" s="10"/>
      <c r="P11" s="10"/>
      <c r="Q11" s="81">
        <f>'5.1'!K3</f>
        <v>4271.5000000000009</v>
      </c>
      <c r="R11" s="10"/>
      <c r="S11" s="10"/>
      <c r="T11" s="10"/>
    </row>
    <row r="12" spans="1:20" ht="36.6" hidden="1" thickBot="1" x14ac:dyDescent="0.35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hidden="1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81.099999999999454</v>
      </c>
      <c r="K14" s="31"/>
      <c r="L14" s="10"/>
      <c r="M14" s="10"/>
      <c r="N14" s="10"/>
      <c r="O14" s="10"/>
      <c r="P14" s="10"/>
      <c r="Q14" s="10"/>
      <c r="R14" s="81">
        <f>'5.2'!K3</f>
        <v>3659.1000000000004</v>
      </c>
      <c r="S14" s="10"/>
      <c r="T14" s="10"/>
    </row>
    <row r="15" spans="1:20" ht="36.6" hidden="1" thickBot="1" x14ac:dyDescent="0.35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hidden="1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hidden="1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hidden="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hidden="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hidden="1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.600000000000001" hidden="1" thickBot="1" x14ac:dyDescent="0.35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.600000000000001" hidden="1" thickBot="1" x14ac:dyDescent="0.35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.600000000000001" hidden="1" thickBot="1" x14ac:dyDescent="0.35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.600000000000001" hidden="1" thickBot="1" x14ac:dyDescent="0.35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.600000000000001" hidden="1" thickBot="1" x14ac:dyDescent="0.35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.600000000000001" hidden="1" thickBot="1" x14ac:dyDescent="0.35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hidden="1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hidden="1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.6" hidden="1" thickBot="1" x14ac:dyDescent="0.35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.600000000000001" hidden="1" thickBot="1" x14ac:dyDescent="0.35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.600000000000001" hidden="1" thickBot="1" x14ac:dyDescent="0.35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.600000000000001" hidden="1" thickBot="1" x14ac:dyDescent="0.35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.600000000000001" hidden="1" thickBot="1" x14ac:dyDescent="0.35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.600000000000001" hidden="1" thickBot="1" x14ac:dyDescent="0.35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hidden="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hidden="1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.600000000000001" hidden="1" thickBot="1" x14ac:dyDescent="0.35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.600000000000001" hidden="1" thickBot="1" x14ac:dyDescent="0.35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.600000000000001" hidden="1" thickBot="1" x14ac:dyDescent="0.35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.600000000000001" hidden="1" thickBot="1" x14ac:dyDescent="0.35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hidden="1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hidden="1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.6" hidden="1" thickBot="1" x14ac:dyDescent="0.35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.600000000000001" hidden="1" thickBot="1" x14ac:dyDescent="0.35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.600000000000001" hidden="1" thickBot="1" x14ac:dyDescent="0.35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.600000000000001" hidden="1" thickBot="1" x14ac:dyDescent="0.35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hidden="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hidden="1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.600000000000001" hidden="1" thickBot="1" x14ac:dyDescent="0.35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.600000000000001" hidden="1" thickBot="1" x14ac:dyDescent="0.35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.600000000000001" hidden="1" thickBot="1" x14ac:dyDescent="0.35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.600000000000001" hidden="1" thickBot="1" x14ac:dyDescent="0.35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hidden="1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.6" hidden="1" thickBot="1" x14ac:dyDescent="0.35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.600000000000001" hidden="1" thickBot="1" x14ac:dyDescent="0.35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.600000000000001" hidden="1" thickBot="1" x14ac:dyDescent="0.35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.600000000000001" hidden="1" thickBot="1" x14ac:dyDescent="0.35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hidden="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.600000000000001" hidden="1" thickBot="1" x14ac:dyDescent="0.35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.600000000000001" hidden="1" thickBot="1" x14ac:dyDescent="0.35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.600000000000001" hidden="1" thickBot="1" x14ac:dyDescent="0.35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.600000000000001" hidden="1" thickBot="1" x14ac:dyDescent="0.35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hidden="1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.6" hidden="1" thickBot="1" x14ac:dyDescent="0.35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.600000000000001" hidden="1" thickBot="1" x14ac:dyDescent="0.35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.600000000000001" hidden="1" thickBot="1" x14ac:dyDescent="0.35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.600000000000001" hidden="1" thickBot="1" x14ac:dyDescent="0.35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hidden="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hidden="1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.600000000000001" hidden="1" thickBot="1" x14ac:dyDescent="0.35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.600000000000001" hidden="1" thickBot="1" x14ac:dyDescent="0.35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.600000000000001" hidden="1" thickBot="1" x14ac:dyDescent="0.35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.600000000000001" hidden="1" thickBot="1" x14ac:dyDescent="0.35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.600000000000001" hidden="1" thickBot="1" x14ac:dyDescent="0.35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.600000000000001" hidden="1" thickBot="1" x14ac:dyDescent="0.35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hidden="1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hidden="1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.6" hidden="1" thickBot="1" x14ac:dyDescent="0.35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.600000000000001" hidden="1" thickBot="1" x14ac:dyDescent="0.35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.600000000000001" hidden="1" thickBot="1" x14ac:dyDescent="0.35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.600000000000001" hidden="1" thickBot="1" x14ac:dyDescent="0.35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hidden="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hidden="1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.600000000000001" hidden="1" thickBot="1" x14ac:dyDescent="0.35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.600000000000001" hidden="1" thickBot="1" x14ac:dyDescent="0.35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.600000000000001" hidden="1" thickBot="1" x14ac:dyDescent="0.35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.600000000000001" hidden="1" thickBot="1" x14ac:dyDescent="0.35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hidden="1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.6" hidden="1" thickBot="1" x14ac:dyDescent="0.35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.600000000000001" hidden="1" thickBot="1" x14ac:dyDescent="0.35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.600000000000001" hidden="1" thickBot="1" x14ac:dyDescent="0.35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.600000000000001" hidden="1" thickBot="1" x14ac:dyDescent="0.35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hidden="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.600000000000001" hidden="1" thickBot="1" x14ac:dyDescent="0.35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.600000000000001" hidden="1" thickBot="1" x14ac:dyDescent="0.35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.600000000000001" hidden="1" thickBot="1" x14ac:dyDescent="0.35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.600000000000001" hidden="1" thickBot="1" x14ac:dyDescent="0.35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hidden="1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hidden="1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.600000000000001" hidden="1" thickBot="1" x14ac:dyDescent="0.35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hidden="1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hidden="1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.6" hidden="1" thickBot="1" x14ac:dyDescent="0.35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hidden="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18.699999999999989</v>
      </c>
      <c r="K112" s="31"/>
      <c r="L112" s="10"/>
      <c r="M112" s="10"/>
      <c r="N112" s="10"/>
      <c r="O112" s="81">
        <f>'4.1'!K3</f>
        <v>218</v>
      </c>
      <c r="P112" s="10"/>
      <c r="Q112" s="10"/>
      <c r="R112" s="10"/>
      <c r="S112" s="10"/>
      <c r="T112" s="10"/>
    </row>
    <row r="113" spans="1:20" ht="18.600000000000001" hidden="1" thickBot="1" x14ac:dyDescent="0.35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hidden="1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-31.5</v>
      </c>
      <c r="K115" s="31"/>
      <c r="L115" s="10"/>
      <c r="M115" s="10"/>
      <c r="N115" s="10"/>
      <c r="O115" s="10"/>
      <c r="P115" s="81">
        <f>'4.2'!K3</f>
        <v>182.1</v>
      </c>
      <c r="Q115" s="10"/>
      <c r="R115" s="10"/>
      <c r="S115" s="10"/>
      <c r="T115" s="10"/>
    </row>
    <row r="116" spans="1:20" ht="36.6" hidden="1" thickBot="1" x14ac:dyDescent="0.35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hidden="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hidden="1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hidden="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hidden="1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hidden="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0.89999999999986358</v>
      </c>
      <c r="K122" s="31"/>
      <c r="L122" s="10"/>
      <c r="M122" s="10"/>
      <c r="N122" s="10"/>
      <c r="O122" s="81">
        <f>'4.1'!K4</f>
        <v>630.40000000000009</v>
      </c>
      <c r="P122" s="10"/>
      <c r="Q122" s="10"/>
      <c r="R122" s="10"/>
      <c r="S122" s="10"/>
      <c r="T122" s="10"/>
    </row>
    <row r="123" spans="1:20" ht="18.600000000000001" hidden="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6.5</v>
      </c>
      <c r="K124" s="31"/>
      <c r="L124" s="10"/>
      <c r="M124" s="10"/>
      <c r="N124" s="10"/>
      <c r="O124" s="10"/>
      <c r="P124" s="81">
        <f>'4.2'!K4</f>
        <v>242.3</v>
      </c>
      <c r="Q124" s="10"/>
      <c r="R124" s="10"/>
      <c r="S124" s="10"/>
      <c r="T124" s="10"/>
    </row>
    <row r="125" spans="1:20" ht="18.600000000000001" hidden="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hidden="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hidden="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hidden="1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hidden="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hidden="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hidden="1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hidden="1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hidden="1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hidden="1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hidden="1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hidden="1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hidden="1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.6" hidden="1" thickBot="1" x14ac:dyDescent="0.35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.599999999999994" hidden="1" thickBot="1" x14ac:dyDescent="0.35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.599999999999994" hidden="1" thickBot="1" x14ac:dyDescent="0.35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36.6" hidden="1" thickBot="1" x14ac:dyDescent="0.35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hidden="1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hidden="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.6" hidden="1" thickBot="1" x14ac:dyDescent="0.35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.6" hidden="1" thickBot="1" x14ac:dyDescent="0.35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.599999999999994" hidden="1" thickBot="1" x14ac:dyDescent="0.35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hidden="1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.6" hidden="1" thickBot="1" x14ac:dyDescent="0.35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.599999999999994" hidden="1" thickBot="1" x14ac:dyDescent="0.35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.6" hidden="1" thickBot="1" x14ac:dyDescent="0.35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hidden="1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hidden="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.6" hidden="1" thickBot="1" x14ac:dyDescent="0.35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hidden="1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hidden="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.6" hidden="1" thickBot="1" x14ac:dyDescent="0.35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.6" hidden="1" thickBot="1" x14ac:dyDescent="0.35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hidden="1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.6" hidden="1" thickBot="1" x14ac:dyDescent="0.35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hidden="1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.6" hidden="1" thickBot="1" x14ac:dyDescent="0.35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hidden="1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hidden="1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.599999999999994" hidden="1" thickBot="1" x14ac:dyDescent="0.35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36.6" hidden="1" thickBot="1" x14ac:dyDescent="0.35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hidden="1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hidden="1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.6" hidden="1" thickBot="1" x14ac:dyDescent="0.35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hidden="1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hidden="1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.6" hidden="1" thickBot="1" x14ac:dyDescent="0.35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hidden="1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hidden="1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.6" hidden="1" thickBot="1" x14ac:dyDescent="0.35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hidden="1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.6" hidden="1" thickBot="1" x14ac:dyDescent="0.35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.6" hidden="1" thickBot="1" x14ac:dyDescent="0.35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hidden="1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.6" hidden="1" thickBot="1" x14ac:dyDescent="0.35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.6" hidden="1" thickBot="1" x14ac:dyDescent="0.35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hidden="1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hidden="1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hidden="1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hidden="1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hidden="1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hidden="1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hidden="1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hidden="1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.6" hidden="1" thickBot="1" x14ac:dyDescent="0.35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.599999999999994" hidden="1" thickBot="1" x14ac:dyDescent="0.35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.6" hidden="1" thickBot="1" x14ac:dyDescent="0.35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hidden="1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hidden="1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.6" hidden="1" thickBot="1" x14ac:dyDescent="0.35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.600000000000001" hidden="1" thickBot="1" x14ac:dyDescent="0.35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.6" hidden="1" thickBot="1" x14ac:dyDescent="0.35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hidden="1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hidden="1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.599999999999994" hidden="1" thickBot="1" x14ac:dyDescent="0.35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.6" hidden="1" thickBot="1" x14ac:dyDescent="0.35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.6" hidden="1" thickBot="1" x14ac:dyDescent="0.35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hidden="1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.6" hidden="1" thickBot="1" x14ac:dyDescent="0.35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.6" hidden="1" thickBot="1" x14ac:dyDescent="0.35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.6" hidden="1" thickBot="1" x14ac:dyDescent="0.35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hidden="1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.6" hidden="1" thickBot="1" x14ac:dyDescent="0.35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72.599999999999994" hidden="1" thickBot="1" x14ac:dyDescent="0.35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.600000000000001" hidden="1" thickBot="1" x14ac:dyDescent="0.35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hidden="1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.6" hidden="1" thickBot="1" x14ac:dyDescent="0.35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.6" hidden="1" thickBot="1" x14ac:dyDescent="0.35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.6" hidden="1" thickBot="1" x14ac:dyDescent="0.35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hidden="1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hidden="1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.6" hidden="1" thickBot="1" x14ac:dyDescent="0.35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.6" hidden="1" thickBot="1" x14ac:dyDescent="0.35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.6" hidden="1" thickBot="1" x14ac:dyDescent="0.35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hidden="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hidden="1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.600000000000001" hidden="1" thickBot="1" x14ac:dyDescent="0.35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.6" hidden="1" thickBot="1" x14ac:dyDescent="0.35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.6" hidden="1" thickBot="1" x14ac:dyDescent="0.35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hidden="1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0.10999999999999943</v>
      </c>
      <c r="K243" s="31"/>
      <c r="L243" s="10"/>
      <c r="M243" s="10"/>
      <c r="N243" s="10"/>
      <c r="O243" s="10"/>
      <c r="P243" s="10"/>
      <c r="Q243" s="10"/>
      <c r="R243" s="10"/>
      <c r="S243" s="81">
        <f>'6.1'!K4</f>
        <v>25.7</v>
      </c>
      <c r="T243" s="10"/>
    </row>
    <row r="244" spans="1:20" ht="36.6" hidden="1" thickBot="1" x14ac:dyDescent="0.35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.6" hidden="1" thickBot="1" x14ac:dyDescent="0.35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.6" hidden="1" thickBot="1" x14ac:dyDescent="0.35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hidden="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0.10000000000000142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1">
        <f>'6.2'!K4</f>
        <v>54</v>
      </c>
    </row>
    <row r="249" spans="1:20" ht="18.600000000000001" hidden="1" thickBot="1" x14ac:dyDescent="0.35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.6" hidden="1" thickBot="1" x14ac:dyDescent="0.35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.6" hidden="1" thickBot="1" x14ac:dyDescent="0.35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hidden="1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hidden="1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.6" hidden="1" thickBot="1" x14ac:dyDescent="0.35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.6" hidden="1" thickBot="1" x14ac:dyDescent="0.35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72.599999999999994" hidden="1" thickBot="1" x14ac:dyDescent="0.35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36.6" hidden="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hidden="1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36.6" hidden="1" thickBot="1" x14ac:dyDescent="0.35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72.599999999999994" hidden="1" thickBot="1" x14ac:dyDescent="0.35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.6" hidden="1" thickBot="1" x14ac:dyDescent="0.35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hidden="1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0.70000000000004547</v>
      </c>
      <c r="K263" s="31"/>
      <c r="L263" s="10"/>
      <c r="M263" s="10"/>
      <c r="N263" s="10"/>
      <c r="O263" s="10"/>
      <c r="P263" s="10"/>
      <c r="Q263" s="10"/>
      <c r="R263" s="10"/>
      <c r="S263" s="81">
        <f>'6.1'!K3</f>
        <v>330.99999999999994</v>
      </c>
      <c r="T263" s="10"/>
    </row>
    <row r="264" spans="1:20" ht="36.6" hidden="1" thickBot="1" x14ac:dyDescent="0.35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.6" hidden="1" thickBot="1" x14ac:dyDescent="0.35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72.599999999999994" hidden="1" thickBot="1" x14ac:dyDescent="0.35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36.6" hidden="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0.19999999999998863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1">
        <f>'6.2'!K3</f>
        <v>339.1</v>
      </c>
    </row>
    <row r="269" spans="1:20" ht="36" hidden="1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72" hidden="1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hidden="1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hidden="1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1"/>
  <sheetViews>
    <sheetView workbookViewId="0">
      <selection activeCell="F47" sqref="F47:F52"/>
    </sheetView>
    <sheetView workbookViewId="1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9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9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9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9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9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9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9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9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9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9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9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9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9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9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9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/>
    <sheetView workbookViewId="1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>
      <selection activeCell="D11" sqref="D11:K41"/>
    </sheetView>
    <sheetView workbookViewId="1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0" t="s">
        <v>625</v>
      </c>
      <c r="B1" s="90"/>
      <c r="C1" s="90"/>
      <c r="D1" s="90"/>
      <c r="E1" s="90"/>
      <c r="F1" s="90"/>
      <c r="G1" s="90"/>
      <c r="H1" s="90"/>
      <c r="I1" s="90"/>
      <c r="J1" s="70"/>
      <c r="K1" s="70"/>
    </row>
    <row r="2" spans="1:11" ht="31.2" x14ac:dyDescent="0.3">
      <c r="A2" s="66" t="s">
        <v>626</v>
      </c>
      <c r="B2" s="97" t="s">
        <v>2</v>
      </c>
      <c r="C2" s="98"/>
      <c r="D2" s="98"/>
      <c r="E2" s="98"/>
      <c r="F2" s="98"/>
      <c r="G2" s="99"/>
      <c r="H2" s="91" t="s">
        <v>631</v>
      </c>
      <c r="I2" s="92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00" t="s">
        <v>27</v>
      </c>
      <c r="C3" s="101"/>
      <c r="D3" s="101"/>
      <c r="E3" s="101"/>
      <c r="F3" s="101"/>
      <c r="G3" s="102"/>
      <c r="H3" s="93" t="s">
        <v>19</v>
      </c>
      <c r="I3" s="94"/>
      <c r="J3" s="68" t="s">
        <v>20</v>
      </c>
      <c r="K3" s="72">
        <f>G10+C41</f>
        <v>4271.5000000000009</v>
      </c>
    </row>
    <row r="4" spans="1:11" ht="15.6" x14ac:dyDescent="0.3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</row>
    <row r="5" spans="1:11" ht="46.8" x14ac:dyDescent="0.3">
      <c r="A5" s="69" t="s">
        <v>627</v>
      </c>
      <c r="B5" s="69" t="s">
        <v>628</v>
      </c>
      <c r="C5" s="69" t="s">
        <v>629</v>
      </c>
      <c r="D5" s="95"/>
      <c r="E5" s="69" t="s">
        <v>627</v>
      </c>
      <c r="F5" s="69" t="s">
        <v>628</v>
      </c>
      <c r="G5" s="69" t="s">
        <v>629</v>
      </c>
      <c r="H5" s="96"/>
      <c r="I5" s="96"/>
      <c r="J5" s="96"/>
      <c r="K5" s="96"/>
    </row>
    <row r="6" spans="1:11" ht="15.6" customHeight="1" x14ac:dyDescent="0.3">
      <c r="A6" s="64" t="s">
        <v>442</v>
      </c>
      <c r="B6" s="64" t="s">
        <v>440</v>
      </c>
      <c r="C6" s="64">
        <v>80.599999999999994</v>
      </c>
      <c r="D6" s="95"/>
      <c r="E6" s="64" t="s">
        <v>557</v>
      </c>
      <c r="F6" s="64" t="s">
        <v>558</v>
      </c>
      <c r="G6" s="64">
        <v>24.5</v>
      </c>
      <c r="H6" s="96"/>
      <c r="I6" s="96"/>
      <c r="J6" s="96"/>
      <c r="K6" s="96"/>
    </row>
    <row r="7" spans="1:11" ht="15.6" customHeight="1" x14ac:dyDescent="0.3">
      <c r="A7" s="54" t="s">
        <v>443</v>
      </c>
      <c r="B7" s="54" t="s">
        <v>440</v>
      </c>
      <c r="C7" s="54">
        <v>64.8</v>
      </c>
      <c r="D7" s="95"/>
      <c r="E7" s="54" t="s">
        <v>517</v>
      </c>
      <c r="F7" s="54" t="s">
        <v>512</v>
      </c>
      <c r="G7" s="54">
        <v>543.1</v>
      </c>
      <c r="H7" s="96"/>
      <c r="I7" s="96"/>
      <c r="J7" s="96"/>
      <c r="K7" s="96"/>
    </row>
    <row r="8" spans="1:11" ht="15.6" customHeight="1" x14ac:dyDescent="0.3">
      <c r="A8" s="64" t="s">
        <v>444</v>
      </c>
      <c r="B8" s="64" t="s">
        <v>440</v>
      </c>
      <c r="C8" s="64">
        <v>218.7</v>
      </c>
      <c r="D8" s="95"/>
      <c r="E8" s="64" t="s">
        <v>518</v>
      </c>
      <c r="F8" s="64" t="s">
        <v>512</v>
      </c>
      <c r="G8" s="64">
        <v>66.2</v>
      </c>
      <c r="H8" s="96"/>
      <c r="I8" s="96"/>
      <c r="J8" s="96"/>
      <c r="K8" s="96"/>
    </row>
    <row r="9" spans="1:11" ht="15.6" customHeight="1" x14ac:dyDescent="0.3">
      <c r="A9" s="54" t="s">
        <v>445</v>
      </c>
      <c r="B9" s="54" t="s">
        <v>440</v>
      </c>
      <c r="C9" s="54">
        <v>45.7</v>
      </c>
      <c r="D9" s="95"/>
      <c r="E9" s="64" t="s">
        <v>556</v>
      </c>
      <c r="F9" s="64" t="s">
        <v>515</v>
      </c>
      <c r="G9" s="64">
        <v>20.3</v>
      </c>
      <c r="H9" s="96"/>
      <c r="I9" s="96"/>
      <c r="J9" s="96"/>
      <c r="K9" s="96"/>
    </row>
    <row r="10" spans="1:11" ht="15.6" customHeight="1" x14ac:dyDescent="0.3">
      <c r="A10" s="64" t="s">
        <v>446</v>
      </c>
      <c r="B10" s="64" t="s">
        <v>440</v>
      </c>
      <c r="C10" s="64">
        <v>18.899999999999999</v>
      </c>
      <c r="D10" s="95"/>
      <c r="F10" s="51" t="s">
        <v>630</v>
      </c>
      <c r="G10">
        <f>SUM(G6:G9)</f>
        <v>654.1</v>
      </c>
      <c r="H10" s="96"/>
      <c r="I10" s="96"/>
      <c r="J10" s="96"/>
      <c r="K10" s="96"/>
    </row>
    <row r="11" spans="1:11" ht="15.6" customHeight="1" x14ac:dyDescent="0.3">
      <c r="A11" s="54" t="s">
        <v>447</v>
      </c>
      <c r="B11" s="54" t="s">
        <v>440</v>
      </c>
      <c r="C11" s="54">
        <v>63.3</v>
      </c>
      <c r="D11" s="95"/>
      <c r="E11" s="95"/>
      <c r="F11" s="95"/>
      <c r="G11" s="95"/>
      <c r="H11" s="95"/>
      <c r="I11" s="95"/>
      <c r="J11" s="95"/>
      <c r="K11" s="95"/>
    </row>
    <row r="12" spans="1:11" ht="15.6" customHeight="1" x14ac:dyDescent="0.3">
      <c r="A12" s="64" t="s">
        <v>448</v>
      </c>
      <c r="B12" s="64" t="s">
        <v>440</v>
      </c>
      <c r="C12" s="64">
        <v>64.3</v>
      </c>
      <c r="D12" s="95"/>
      <c r="E12" s="95"/>
      <c r="F12" s="95"/>
      <c r="G12" s="95"/>
      <c r="H12" s="95"/>
      <c r="I12" s="95"/>
      <c r="J12" s="95"/>
      <c r="K12" s="95"/>
    </row>
    <row r="13" spans="1:11" ht="15.6" customHeight="1" x14ac:dyDescent="0.3">
      <c r="A13" s="54" t="s">
        <v>449</v>
      </c>
      <c r="B13" s="54" t="s">
        <v>440</v>
      </c>
      <c r="C13" s="54">
        <v>64.900000000000006</v>
      </c>
      <c r="D13" s="95"/>
      <c r="E13" s="95"/>
      <c r="F13" s="95"/>
      <c r="G13" s="95"/>
      <c r="H13" s="95"/>
      <c r="I13" s="95"/>
      <c r="J13" s="95"/>
      <c r="K13" s="95"/>
    </row>
    <row r="14" spans="1:11" ht="15.6" customHeight="1" x14ac:dyDescent="0.3">
      <c r="A14" s="64" t="s">
        <v>450</v>
      </c>
      <c r="B14" s="64" t="s">
        <v>440</v>
      </c>
      <c r="C14" s="64">
        <v>63.5</v>
      </c>
      <c r="D14" s="95"/>
      <c r="E14" s="95"/>
      <c r="F14" s="95"/>
      <c r="G14" s="95"/>
      <c r="H14" s="95"/>
      <c r="I14" s="95"/>
      <c r="J14" s="95"/>
      <c r="K14" s="95"/>
    </row>
    <row r="15" spans="1:11" ht="15.6" customHeight="1" x14ac:dyDescent="0.3">
      <c r="A15" s="54" t="s">
        <v>451</v>
      </c>
      <c r="B15" s="54" t="s">
        <v>440</v>
      </c>
      <c r="C15" s="54">
        <v>64</v>
      </c>
      <c r="D15" s="95"/>
      <c r="E15" s="95"/>
      <c r="F15" s="95"/>
      <c r="G15" s="95"/>
      <c r="H15" s="95"/>
      <c r="I15" s="95"/>
      <c r="J15" s="95"/>
      <c r="K15" s="95"/>
    </row>
    <row r="16" spans="1:11" ht="15.6" customHeight="1" x14ac:dyDescent="0.3">
      <c r="A16" s="64" t="s">
        <v>452</v>
      </c>
      <c r="B16" s="64" t="s">
        <v>440</v>
      </c>
      <c r="C16" s="64">
        <v>237</v>
      </c>
      <c r="D16" s="95"/>
      <c r="E16" s="95"/>
      <c r="F16" s="95"/>
      <c r="G16" s="95"/>
      <c r="H16" s="95"/>
      <c r="I16" s="95"/>
      <c r="J16" s="95"/>
      <c r="K16" s="95"/>
    </row>
    <row r="17" spans="1:11" ht="15.6" customHeight="1" x14ac:dyDescent="0.3">
      <c r="A17" s="54" t="s">
        <v>453</v>
      </c>
      <c r="B17" s="54" t="s">
        <v>440</v>
      </c>
      <c r="C17" s="54">
        <v>478.6</v>
      </c>
      <c r="D17" s="95"/>
      <c r="E17" s="95"/>
      <c r="F17" s="95"/>
      <c r="G17" s="95"/>
      <c r="H17" s="95"/>
      <c r="I17" s="95"/>
      <c r="J17" s="95"/>
      <c r="K17" s="95"/>
    </row>
    <row r="18" spans="1:11" ht="15.6" customHeight="1" x14ac:dyDescent="0.3">
      <c r="A18" s="64" t="s">
        <v>454</v>
      </c>
      <c r="B18" s="64" t="s">
        <v>440</v>
      </c>
      <c r="C18" s="64">
        <v>28.5</v>
      </c>
      <c r="D18" s="95"/>
      <c r="E18" s="95"/>
      <c r="F18" s="95"/>
      <c r="G18" s="95"/>
      <c r="H18" s="95"/>
      <c r="I18" s="95"/>
      <c r="J18" s="95"/>
      <c r="K18" s="95"/>
    </row>
    <row r="19" spans="1:11" ht="15.6" customHeight="1" x14ac:dyDescent="0.3">
      <c r="A19" s="54" t="s">
        <v>455</v>
      </c>
      <c r="B19" s="54" t="s">
        <v>440</v>
      </c>
      <c r="C19" s="54">
        <v>42.7</v>
      </c>
      <c r="D19" s="95"/>
      <c r="E19" s="95"/>
      <c r="F19" s="95"/>
      <c r="G19" s="95"/>
      <c r="H19" s="95"/>
      <c r="I19" s="95"/>
      <c r="J19" s="95"/>
      <c r="K19" s="95"/>
    </row>
    <row r="20" spans="1:11" ht="15.6" customHeight="1" x14ac:dyDescent="0.3">
      <c r="A20" s="64" t="s">
        <v>530</v>
      </c>
      <c r="B20" s="64" t="s">
        <v>440</v>
      </c>
      <c r="C20" s="64">
        <v>12.6</v>
      </c>
      <c r="D20" s="95"/>
      <c r="E20" s="95"/>
      <c r="F20" s="95"/>
      <c r="G20" s="95"/>
      <c r="H20" s="95"/>
      <c r="I20" s="95"/>
      <c r="J20" s="95"/>
      <c r="K20" s="95"/>
    </row>
    <row r="21" spans="1:11" ht="15.6" customHeight="1" x14ac:dyDescent="0.3">
      <c r="A21" s="64" t="s">
        <v>456</v>
      </c>
      <c r="B21" s="64" t="s">
        <v>440</v>
      </c>
      <c r="C21" s="64">
        <v>10.199999999999999</v>
      </c>
      <c r="D21" s="95"/>
      <c r="E21" s="95"/>
      <c r="F21" s="95"/>
      <c r="G21" s="95"/>
      <c r="H21" s="95"/>
      <c r="I21" s="95"/>
      <c r="J21" s="95"/>
      <c r="K21" s="95"/>
    </row>
    <row r="22" spans="1:11" ht="15.6" customHeight="1" x14ac:dyDescent="0.3">
      <c r="A22" s="54" t="s">
        <v>457</v>
      </c>
      <c r="B22" s="54" t="s">
        <v>440</v>
      </c>
      <c r="C22" s="54">
        <v>89</v>
      </c>
      <c r="D22" s="95"/>
      <c r="E22" s="95"/>
      <c r="F22" s="95"/>
      <c r="G22" s="95"/>
      <c r="H22" s="95"/>
      <c r="I22" s="95"/>
      <c r="J22" s="95"/>
      <c r="K22" s="95"/>
    </row>
    <row r="23" spans="1:11" ht="15.6" customHeight="1" x14ac:dyDescent="0.3">
      <c r="A23" s="64" t="s">
        <v>458</v>
      </c>
      <c r="B23" s="64" t="s">
        <v>440</v>
      </c>
      <c r="C23" s="64">
        <v>62.5</v>
      </c>
      <c r="D23" s="95"/>
      <c r="E23" s="95"/>
      <c r="F23" s="95"/>
      <c r="G23" s="95"/>
      <c r="H23" s="95"/>
      <c r="I23" s="95"/>
      <c r="J23" s="95"/>
      <c r="K23" s="95"/>
    </row>
    <row r="24" spans="1:11" ht="15.6" customHeight="1" x14ac:dyDescent="0.3">
      <c r="A24" s="54" t="s">
        <v>459</v>
      </c>
      <c r="B24" s="54" t="s">
        <v>440</v>
      </c>
      <c r="C24" s="54">
        <v>64.5</v>
      </c>
      <c r="D24" s="95"/>
      <c r="E24" s="95"/>
      <c r="F24" s="95"/>
      <c r="G24" s="95"/>
      <c r="H24" s="95"/>
      <c r="I24" s="95"/>
      <c r="J24" s="95"/>
      <c r="K24" s="95"/>
    </row>
    <row r="25" spans="1:11" ht="15.6" customHeight="1" x14ac:dyDescent="0.3">
      <c r="A25" s="64" t="s">
        <v>460</v>
      </c>
      <c r="B25" s="64" t="s">
        <v>440</v>
      </c>
      <c r="C25" s="64">
        <v>64.2</v>
      </c>
      <c r="D25" s="95"/>
      <c r="E25" s="95"/>
      <c r="F25" s="95"/>
      <c r="G25" s="95"/>
      <c r="H25" s="95"/>
      <c r="I25" s="95"/>
      <c r="J25" s="95"/>
      <c r="K25" s="95"/>
    </row>
    <row r="26" spans="1:11" ht="15.6" customHeight="1" x14ac:dyDescent="0.3">
      <c r="A26" s="54" t="s">
        <v>461</v>
      </c>
      <c r="B26" s="54" t="s">
        <v>440</v>
      </c>
      <c r="C26" s="54">
        <v>100.5</v>
      </c>
      <c r="D26" s="95"/>
      <c r="E26" s="95"/>
      <c r="F26" s="95"/>
      <c r="G26" s="95"/>
      <c r="H26" s="95"/>
      <c r="I26" s="95"/>
      <c r="J26" s="95"/>
      <c r="K26" s="95"/>
    </row>
    <row r="27" spans="1:11" ht="15.6" customHeight="1" x14ac:dyDescent="0.3">
      <c r="A27" s="64" t="s">
        <v>462</v>
      </c>
      <c r="B27" s="64" t="s">
        <v>440</v>
      </c>
      <c r="C27" s="64">
        <v>218.3</v>
      </c>
      <c r="D27" s="95"/>
      <c r="E27" s="95"/>
      <c r="F27" s="95"/>
      <c r="G27" s="95"/>
      <c r="H27" s="95"/>
      <c r="I27" s="95"/>
      <c r="J27" s="95"/>
      <c r="K27" s="95"/>
    </row>
    <row r="28" spans="1:11" ht="15.6" customHeight="1" x14ac:dyDescent="0.3">
      <c r="A28" s="54" t="s">
        <v>463</v>
      </c>
      <c r="B28" s="54" t="s">
        <v>440</v>
      </c>
      <c r="C28" s="54">
        <v>162.9</v>
      </c>
      <c r="D28" s="95"/>
      <c r="E28" s="95"/>
      <c r="F28" s="95"/>
      <c r="G28" s="95"/>
      <c r="H28" s="95"/>
      <c r="I28" s="95"/>
      <c r="J28" s="95"/>
      <c r="K28" s="95"/>
    </row>
    <row r="29" spans="1:11" ht="15.6" customHeight="1" x14ac:dyDescent="0.3">
      <c r="A29" s="64" t="s">
        <v>464</v>
      </c>
      <c r="B29" s="64" t="s">
        <v>440</v>
      </c>
      <c r="C29" s="65">
        <v>41.9</v>
      </c>
      <c r="D29" s="95"/>
      <c r="E29" s="95"/>
      <c r="F29" s="95"/>
      <c r="G29" s="95"/>
      <c r="H29" s="95"/>
      <c r="I29" s="95"/>
      <c r="J29" s="95"/>
      <c r="K29" s="95"/>
    </row>
    <row r="30" spans="1:11" ht="15.6" customHeight="1" x14ac:dyDescent="0.3">
      <c r="A30" s="54" t="s">
        <v>465</v>
      </c>
      <c r="B30" s="54" t="s">
        <v>440</v>
      </c>
      <c r="C30" s="54">
        <v>171.9</v>
      </c>
      <c r="D30" s="95"/>
      <c r="E30" s="95"/>
      <c r="F30" s="95"/>
      <c r="G30" s="95"/>
      <c r="H30" s="95"/>
      <c r="I30" s="95"/>
      <c r="J30" s="95"/>
      <c r="K30" s="95"/>
    </row>
    <row r="31" spans="1:11" ht="15.6" customHeight="1" x14ac:dyDescent="0.3">
      <c r="A31" s="64" t="s">
        <v>466</v>
      </c>
      <c r="B31" s="64" t="s">
        <v>440</v>
      </c>
      <c r="C31" s="64">
        <v>130.5</v>
      </c>
      <c r="D31" s="95"/>
      <c r="E31" s="95"/>
      <c r="F31" s="95"/>
      <c r="G31" s="95"/>
      <c r="H31" s="95"/>
      <c r="I31" s="95"/>
      <c r="J31" s="95"/>
      <c r="K31" s="95"/>
    </row>
    <row r="32" spans="1:11" ht="15.6" customHeight="1" x14ac:dyDescent="0.3">
      <c r="A32" s="54" t="s">
        <v>467</v>
      </c>
      <c r="B32" s="54" t="s">
        <v>440</v>
      </c>
      <c r="C32" s="54">
        <v>38.5</v>
      </c>
      <c r="D32" s="95"/>
      <c r="E32" s="95"/>
      <c r="F32" s="95"/>
      <c r="G32" s="95"/>
      <c r="H32" s="95"/>
      <c r="I32" s="95"/>
      <c r="J32" s="95"/>
      <c r="K32" s="95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95"/>
      <c r="E33" s="95"/>
      <c r="F33" s="95"/>
      <c r="G33" s="95"/>
      <c r="H33" s="95"/>
      <c r="I33" s="95"/>
      <c r="J33" s="95"/>
      <c r="K33" s="95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95"/>
      <c r="E34" s="95"/>
      <c r="F34" s="95"/>
      <c r="G34" s="95"/>
      <c r="H34" s="95"/>
      <c r="I34" s="95"/>
      <c r="J34" s="95"/>
      <c r="K34" s="95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95"/>
      <c r="E35" s="95"/>
      <c r="F35" s="95"/>
      <c r="G35" s="95"/>
      <c r="H35" s="95"/>
      <c r="I35" s="95"/>
      <c r="J35" s="95"/>
      <c r="K35" s="95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95"/>
      <c r="E36" s="95"/>
      <c r="F36" s="95"/>
      <c r="G36" s="95"/>
      <c r="H36" s="95"/>
      <c r="I36" s="95"/>
      <c r="J36" s="95"/>
      <c r="K36" s="95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95"/>
      <c r="E37" s="95"/>
      <c r="F37" s="95"/>
      <c r="G37" s="95"/>
      <c r="H37" s="95"/>
      <c r="I37" s="95"/>
      <c r="J37" s="95"/>
      <c r="K37" s="95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95"/>
      <c r="E38" s="95"/>
      <c r="F38" s="95"/>
      <c r="G38" s="95"/>
      <c r="H38" s="95"/>
      <c r="I38" s="95"/>
      <c r="J38" s="95"/>
      <c r="K38" s="95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95"/>
      <c r="E39" s="95"/>
      <c r="F39" s="95"/>
      <c r="G39" s="95"/>
      <c r="H39" s="95"/>
      <c r="I39" s="95"/>
      <c r="J39" s="95"/>
      <c r="K39" s="95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95"/>
      <c r="E40" s="95"/>
      <c r="F40" s="95"/>
      <c r="G40" s="95"/>
      <c r="H40" s="95"/>
      <c r="I40" s="95"/>
      <c r="J40" s="95"/>
      <c r="K40" s="95"/>
    </row>
    <row r="41" spans="1:11" ht="14.4" customHeight="1" x14ac:dyDescent="0.3">
      <c r="B41" s="51" t="s">
        <v>630</v>
      </c>
      <c r="C41">
        <f>SUM(C6:C40)</f>
        <v>3617.4000000000005</v>
      </c>
      <c r="D41" s="95"/>
      <c r="E41" s="95"/>
      <c r="F41" s="95"/>
      <c r="G41" s="95"/>
      <c r="H41" s="95"/>
      <c r="I41" s="95"/>
      <c r="J41" s="95"/>
      <c r="K41" s="95"/>
    </row>
  </sheetData>
  <mergeCells count="9">
    <mergeCell ref="A1:I1"/>
    <mergeCell ref="H2:I2"/>
    <mergeCell ref="H3:I3"/>
    <mergeCell ref="D11:K41"/>
    <mergeCell ref="D5:D10"/>
    <mergeCell ref="H5:K10"/>
    <mergeCell ref="A4:K4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C22" sqref="A5:D24"/>
    </sheetView>
    <sheetView workbookViewId="1">
      <selection sqref="A1:K1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04" t="s">
        <v>625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</row>
    <row r="2" spans="1:11" ht="31.2" x14ac:dyDescent="0.3">
      <c r="A2" s="66" t="s">
        <v>626</v>
      </c>
      <c r="B2" s="97" t="s">
        <v>2</v>
      </c>
      <c r="C2" s="98"/>
      <c r="D2" s="98"/>
      <c r="E2" s="98"/>
      <c r="F2" s="98"/>
      <c r="G2" s="99"/>
      <c r="H2" s="91" t="s">
        <v>631</v>
      </c>
      <c r="I2" s="92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00" t="s">
        <v>27</v>
      </c>
      <c r="C3" s="101"/>
      <c r="D3" s="101"/>
      <c r="E3" s="101"/>
      <c r="F3" s="101"/>
      <c r="G3" s="102"/>
      <c r="H3" s="93" t="s">
        <v>28</v>
      </c>
      <c r="I3" s="94"/>
      <c r="J3" s="68" t="s">
        <v>20</v>
      </c>
      <c r="K3" s="72">
        <f>C23+G24</f>
        <v>3659.1000000000004</v>
      </c>
    </row>
    <row r="4" spans="1:11" x14ac:dyDescent="0.3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</row>
    <row r="5" spans="1:11" ht="46.8" x14ac:dyDescent="0.3">
      <c r="A5" s="69" t="s">
        <v>627</v>
      </c>
      <c r="B5" s="69" t="s">
        <v>628</v>
      </c>
      <c r="C5" s="69" t="s">
        <v>629</v>
      </c>
      <c r="D5" s="95"/>
      <c r="E5" s="69" t="s">
        <v>627</v>
      </c>
      <c r="F5" s="69" t="s">
        <v>628</v>
      </c>
      <c r="G5" s="69" t="s">
        <v>629</v>
      </c>
      <c r="H5" s="103"/>
      <c r="I5" s="103"/>
      <c r="J5" s="103"/>
      <c r="K5" s="103"/>
    </row>
    <row r="6" spans="1:11" ht="15.6" customHeight="1" x14ac:dyDescent="0.3">
      <c r="A6" s="76" t="s">
        <v>476</v>
      </c>
      <c r="B6" s="76" t="s">
        <v>440</v>
      </c>
      <c r="C6" s="76">
        <v>82.2</v>
      </c>
      <c r="D6" s="95"/>
      <c r="E6" s="77" t="s">
        <v>493</v>
      </c>
      <c r="F6" s="77" t="s">
        <v>440</v>
      </c>
      <c r="G6" s="77">
        <v>64.5</v>
      </c>
      <c r="H6" s="103"/>
      <c r="I6" s="103"/>
      <c r="J6" s="103"/>
      <c r="K6" s="103"/>
    </row>
    <row r="7" spans="1:11" ht="15.6" customHeight="1" x14ac:dyDescent="0.3">
      <c r="A7" s="77" t="s">
        <v>477</v>
      </c>
      <c r="B7" s="77" t="s">
        <v>440</v>
      </c>
      <c r="C7" s="77">
        <v>63.6</v>
      </c>
      <c r="D7" s="95"/>
      <c r="E7" s="76" t="s">
        <v>494</v>
      </c>
      <c r="F7" s="76" t="s">
        <v>440</v>
      </c>
      <c r="G7" s="76">
        <v>64.400000000000006</v>
      </c>
      <c r="H7" s="103"/>
      <c r="I7" s="103"/>
      <c r="J7" s="103"/>
      <c r="K7" s="103"/>
    </row>
    <row r="8" spans="1:11" ht="15.6" customHeight="1" x14ac:dyDescent="0.3">
      <c r="A8" s="76" t="s">
        <v>478</v>
      </c>
      <c r="B8" s="76" t="s">
        <v>440</v>
      </c>
      <c r="C8" s="76">
        <v>85.1</v>
      </c>
      <c r="D8" s="95"/>
      <c r="E8" s="77" t="s">
        <v>495</v>
      </c>
      <c r="F8" s="77" t="s">
        <v>440</v>
      </c>
      <c r="G8" s="77">
        <v>63.6</v>
      </c>
      <c r="H8" s="103"/>
      <c r="I8" s="103"/>
      <c r="J8" s="103"/>
      <c r="K8" s="103"/>
    </row>
    <row r="9" spans="1:11" ht="15.6" customHeight="1" x14ac:dyDescent="0.3">
      <c r="A9" s="77" t="s">
        <v>479</v>
      </c>
      <c r="B9" s="77" t="s">
        <v>440</v>
      </c>
      <c r="C9" s="77">
        <v>96.7</v>
      </c>
      <c r="D9" s="95"/>
      <c r="E9" s="76" t="s">
        <v>496</v>
      </c>
      <c r="F9" s="76" t="s">
        <v>440</v>
      </c>
      <c r="G9" s="76">
        <v>63</v>
      </c>
      <c r="H9" s="103"/>
      <c r="I9" s="103"/>
      <c r="J9" s="103"/>
      <c r="K9" s="103"/>
    </row>
    <row r="10" spans="1:11" ht="15.6" customHeight="1" x14ac:dyDescent="0.3">
      <c r="A10" s="76" t="s">
        <v>480</v>
      </c>
      <c r="B10" s="76" t="s">
        <v>440</v>
      </c>
      <c r="C10" s="76">
        <v>19</v>
      </c>
      <c r="D10" s="95"/>
      <c r="E10" s="77" t="s">
        <v>497</v>
      </c>
      <c r="F10" s="77" t="s">
        <v>440</v>
      </c>
      <c r="G10" s="77">
        <v>118.8</v>
      </c>
      <c r="H10" s="103"/>
      <c r="I10" s="103"/>
      <c r="J10" s="103"/>
      <c r="K10" s="103"/>
    </row>
    <row r="11" spans="1:11" ht="15.6" customHeight="1" x14ac:dyDescent="0.3">
      <c r="A11" s="77" t="s">
        <v>481</v>
      </c>
      <c r="B11" s="77" t="s">
        <v>440</v>
      </c>
      <c r="C11" s="77">
        <v>103.5</v>
      </c>
      <c r="D11" s="95"/>
      <c r="E11" s="76" t="s">
        <v>498</v>
      </c>
      <c r="F11" s="76" t="s">
        <v>440</v>
      </c>
      <c r="G11" s="78">
        <v>198.2</v>
      </c>
      <c r="H11" s="103"/>
      <c r="I11" s="103"/>
      <c r="J11" s="103"/>
      <c r="K11" s="103"/>
    </row>
    <row r="12" spans="1:11" ht="15.6" customHeight="1" x14ac:dyDescent="0.3">
      <c r="A12" s="76" t="s">
        <v>482</v>
      </c>
      <c r="B12" s="76" t="s">
        <v>440</v>
      </c>
      <c r="C12" s="76">
        <v>90.3</v>
      </c>
      <c r="D12" s="95"/>
      <c r="E12" s="77" t="s">
        <v>499</v>
      </c>
      <c r="F12" s="77" t="s">
        <v>440</v>
      </c>
      <c r="G12" s="77">
        <v>20.6</v>
      </c>
      <c r="H12" s="103"/>
      <c r="I12" s="103"/>
      <c r="J12" s="103"/>
      <c r="K12" s="103"/>
    </row>
    <row r="13" spans="1:11" ht="15.6" customHeight="1" x14ac:dyDescent="0.3">
      <c r="A13" s="77" t="s">
        <v>483</v>
      </c>
      <c r="B13" s="77" t="s">
        <v>440</v>
      </c>
      <c r="C13" s="77">
        <v>237</v>
      </c>
      <c r="D13" s="95"/>
      <c r="E13" s="76" t="s">
        <v>500</v>
      </c>
      <c r="F13" s="76" t="s">
        <v>440</v>
      </c>
      <c r="G13" s="76">
        <v>122.4</v>
      </c>
      <c r="H13" s="103"/>
      <c r="I13" s="103"/>
      <c r="J13" s="103"/>
      <c r="K13" s="103"/>
    </row>
    <row r="14" spans="1:11" ht="15.6" customHeight="1" x14ac:dyDescent="0.3">
      <c r="A14" s="76" t="s">
        <v>484</v>
      </c>
      <c r="B14" s="76" t="s">
        <v>440</v>
      </c>
      <c r="C14" s="76">
        <v>63.3</v>
      </c>
      <c r="D14" s="95"/>
      <c r="E14" s="77" t="s">
        <v>501</v>
      </c>
      <c r="F14" s="77" t="s">
        <v>440</v>
      </c>
      <c r="G14" s="77">
        <v>167.2</v>
      </c>
      <c r="H14" s="103"/>
      <c r="I14" s="103"/>
      <c r="J14" s="103"/>
      <c r="K14" s="103"/>
    </row>
    <row r="15" spans="1:11" ht="15.6" customHeight="1" x14ac:dyDescent="0.3">
      <c r="A15" s="77" t="s">
        <v>485</v>
      </c>
      <c r="B15" s="77" t="s">
        <v>440</v>
      </c>
      <c r="C15" s="77">
        <v>64</v>
      </c>
      <c r="D15" s="95"/>
      <c r="E15" s="76" t="s">
        <v>502</v>
      </c>
      <c r="F15" s="76" t="s">
        <v>440</v>
      </c>
      <c r="G15" s="76">
        <v>96.8</v>
      </c>
      <c r="H15" s="103"/>
      <c r="I15" s="103"/>
      <c r="J15" s="103"/>
      <c r="K15" s="103"/>
    </row>
    <row r="16" spans="1:11" ht="15.6" customHeight="1" x14ac:dyDescent="0.3">
      <c r="A16" s="76" t="s">
        <v>486</v>
      </c>
      <c r="B16" s="76" t="s">
        <v>440</v>
      </c>
      <c r="C16" s="76">
        <v>319.7</v>
      </c>
      <c r="D16" s="95"/>
      <c r="E16" s="77" t="s">
        <v>503</v>
      </c>
      <c r="F16" s="77" t="s">
        <v>440</v>
      </c>
      <c r="G16" s="77">
        <v>54.7</v>
      </c>
      <c r="H16" s="103"/>
      <c r="I16" s="103"/>
      <c r="J16" s="103"/>
      <c r="K16" s="103"/>
    </row>
    <row r="17" spans="1:11" ht="15.6" customHeight="1" x14ac:dyDescent="0.3">
      <c r="A17" s="77" t="s">
        <v>487</v>
      </c>
      <c r="B17" s="77" t="s">
        <v>440</v>
      </c>
      <c r="C17" s="77">
        <v>24.7</v>
      </c>
      <c r="D17" s="95"/>
      <c r="E17" s="76" t="s">
        <v>504</v>
      </c>
      <c r="F17" s="76" t="s">
        <v>440</v>
      </c>
      <c r="G17" s="76">
        <v>147.1</v>
      </c>
      <c r="H17" s="103"/>
      <c r="I17" s="103"/>
      <c r="J17" s="103"/>
      <c r="K17" s="103"/>
    </row>
    <row r="18" spans="1:11" ht="15.6" customHeight="1" x14ac:dyDescent="0.3">
      <c r="A18" s="76" t="s">
        <v>488</v>
      </c>
      <c r="B18" s="76" t="s">
        <v>440</v>
      </c>
      <c r="C18" s="76">
        <v>75.8</v>
      </c>
      <c r="D18" s="95"/>
      <c r="E18" s="77" t="s">
        <v>505</v>
      </c>
      <c r="F18" s="77" t="s">
        <v>440</v>
      </c>
      <c r="G18" s="77">
        <v>200.8</v>
      </c>
      <c r="H18" s="103"/>
      <c r="I18" s="103"/>
      <c r="J18" s="103"/>
      <c r="K18" s="103"/>
    </row>
    <row r="19" spans="1:11" ht="15.6" customHeight="1" x14ac:dyDescent="0.3">
      <c r="A19" s="77" t="s">
        <v>489</v>
      </c>
      <c r="B19" s="77" t="s">
        <v>440</v>
      </c>
      <c r="C19" s="77">
        <v>189.7</v>
      </c>
      <c r="D19" s="95"/>
      <c r="E19" s="76" t="s">
        <v>519</v>
      </c>
      <c r="F19" s="76" t="s">
        <v>440</v>
      </c>
      <c r="G19" s="76">
        <v>202.4</v>
      </c>
      <c r="H19" s="103"/>
      <c r="I19" s="103"/>
      <c r="J19" s="103"/>
      <c r="K19" s="103"/>
    </row>
    <row r="20" spans="1:11" ht="15.6" customHeight="1" x14ac:dyDescent="0.3">
      <c r="A20" s="76" t="s">
        <v>490</v>
      </c>
      <c r="B20" s="76" t="s">
        <v>440</v>
      </c>
      <c r="C20" s="76">
        <v>90.9</v>
      </c>
      <c r="D20" s="95"/>
      <c r="E20" s="77" t="s">
        <v>506</v>
      </c>
      <c r="F20" s="77" t="s">
        <v>440</v>
      </c>
      <c r="G20" s="77">
        <v>90.4</v>
      </c>
      <c r="H20" s="103"/>
      <c r="I20" s="103"/>
      <c r="J20" s="103"/>
      <c r="K20" s="103"/>
    </row>
    <row r="21" spans="1:11" ht="15.6" customHeight="1" x14ac:dyDescent="0.3">
      <c r="A21" s="77" t="s">
        <v>491</v>
      </c>
      <c r="B21" s="77" t="s">
        <v>440</v>
      </c>
      <c r="C21" s="77">
        <v>63.8</v>
      </c>
      <c r="D21" s="95"/>
      <c r="E21" s="76" t="s">
        <v>507</v>
      </c>
      <c r="F21" s="76" t="s">
        <v>440</v>
      </c>
      <c r="G21" s="76">
        <v>76.7</v>
      </c>
      <c r="H21" s="103"/>
      <c r="I21" s="103"/>
      <c r="J21" s="103"/>
      <c r="K21" s="103"/>
    </row>
    <row r="22" spans="1:11" ht="15.6" customHeight="1" x14ac:dyDescent="0.3">
      <c r="A22" s="76" t="s">
        <v>492</v>
      </c>
      <c r="B22" s="76" t="s">
        <v>440</v>
      </c>
      <c r="C22" s="76">
        <v>63.9</v>
      </c>
      <c r="D22" s="95"/>
      <c r="E22" s="77" t="s">
        <v>511</v>
      </c>
      <c r="F22" s="77" t="s">
        <v>440</v>
      </c>
      <c r="G22" s="77">
        <v>72.900000000000006</v>
      </c>
      <c r="H22" s="103"/>
      <c r="I22" s="103"/>
      <c r="J22" s="103"/>
      <c r="K22" s="103"/>
    </row>
    <row r="23" spans="1:11" ht="15.6" customHeight="1" x14ac:dyDescent="0.3">
      <c r="B23" s="75" t="s">
        <v>630</v>
      </c>
      <c r="C23" s="75">
        <f>SUM(C6:C22)</f>
        <v>1733.2</v>
      </c>
      <c r="D23" s="95"/>
      <c r="E23" s="76" t="s">
        <v>441</v>
      </c>
      <c r="F23" s="76" t="s">
        <v>440</v>
      </c>
      <c r="G23" s="76">
        <v>101.4</v>
      </c>
      <c r="H23" s="103"/>
      <c r="I23" s="103"/>
      <c r="J23" s="103"/>
      <c r="K23" s="103"/>
    </row>
    <row r="24" spans="1:11" ht="15.6" customHeight="1" x14ac:dyDescent="0.3">
      <c r="A24" s="103"/>
      <c r="B24" s="103"/>
      <c r="C24" s="103"/>
      <c r="D24" s="95"/>
      <c r="F24" s="75" t="s">
        <v>630</v>
      </c>
      <c r="G24" s="75">
        <f>SUM(G6:G23)</f>
        <v>1925.9000000000003</v>
      </c>
      <c r="H24" s="103"/>
      <c r="I24" s="103"/>
      <c r="J24" s="103"/>
      <c r="K24" s="103"/>
    </row>
  </sheetData>
  <mergeCells count="9">
    <mergeCell ref="D5:D24"/>
    <mergeCell ref="A24:C24"/>
    <mergeCell ref="H5:K24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>
      <selection activeCell="F9" sqref="F9:F10"/>
    </sheetView>
    <sheetView workbookViewId="1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3">
        <v>25.8</v>
      </c>
      <c r="G13" s="55">
        <v>54.1</v>
      </c>
    </row>
    <row r="14" spans="2:7" x14ac:dyDescent="0.3">
      <c r="E14" s="55" t="s">
        <v>597</v>
      </c>
      <c r="F14" s="83">
        <v>72.900000000000006</v>
      </c>
      <c r="G14" s="55">
        <v>0</v>
      </c>
    </row>
    <row r="15" spans="2:7" x14ac:dyDescent="0.3">
      <c r="E15" s="55" t="s">
        <v>595</v>
      </c>
      <c r="F15" s="83">
        <v>3723.5</v>
      </c>
      <c r="G15" s="55">
        <v>3665.1</v>
      </c>
    </row>
    <row r="16" spans="2:7" x14ac:dyDescent="0.3">
      <c r="E16" s="55" t="s">
        <v>598</v>
      </c>
      <c r="F16" s="83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"/>
  <sheetViews>
    <sheetView workbookViewId="0">
      <selection activeCell="H6" sqref="H6:K28"/>
    </sheetView>
    <sheetView workbookViewId="1">
      <selection activeCell="F30" sqref="F3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0" t="s">
        <v>625</v>
      </c>
      <c r="B1" s="90"/>
      <c r="C1" s="90"/>
      <c r="D1" s="90"/>
      <c r="E1" s="90"/>
      <c r="F1" s="90"/>
      <c r="G1" s="90"/>
      <c r="H1" s="90"/>
      <c r="I1" s="90"/>
      <c r="J1" s="70"/>
      <c r="K1" s="70"/>
    </row>
    <row r="2" spans="1:11" ht="31.2" x14ac:dyDescent="0.3">
      <c r="A2" s="66" t="s">
        <v>626</v>
      </c>
      <c r="B2" s="97" t="s">
        <v>2</v>
      </c>
      <c r="C2" s="98"/>
      <c r="D2" s="98"/>
      <c r="E2" s="98"/>
      <c r="F2" s="98"/>
      <c r="G2" s="99"/>
      <c r="H2" s="91" t="s">
        <v>631</v>
      </c>
      <c r="I2" s="92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0" t="s">
        <v>413</v>
      </c>
      <c r="C3" s="101"/>
      <c r="D3" s="101"/>
      <c r="E3" s="101"/>
      <c r="F3" s="101"/>
      <c r="G3" s="102"/>
      <c r="H3" s="106" t="s">
        <v>644</v>
      </c>
      <c r="I3" s="94"/>
      <c r="J3" s="79" t="s">
        <v>20</v>
      </c>
      <c r="K3" s="72">
        <f>C28</f>
        <v>330.99999999999994</v>
      </c>
    </row>
    <row r="4" spans="1:11" ht="50.4" customHeight="1" x14ac:dyDescent="0.3">
      <c r="A4" s="80">
        <v>2</v>
      </c>
      <c r="B4" s="100" t="s">
        <v>387</v>
      </c>
      <c r="C4" s="101"/>
      <c r="D4" s="101"/>
      <c r="E4" s="101"/>
      <c r="F4" s="101"/>
      <c r="G4" s="102"/>
      <c r="H4" s="106" t="s">
        <v>643</v>
      </c>
      <c r="I4" s="94"/>
      <c r="J4" s="80" t="s">
        <v>20</v>
      </c>
      <c r="K4" s="72">
        <f>G12</f>
        <v>25.7</v>
      </c>
    </row>
    <row r="5" spans="1:11" ht="15.6" x14ac:dyDescent="0.3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</row>
    <row r="6" spans="1:11" ht="46.8" x14ac:dyDescent="0.3">
      <c r="A6" s="69" t="s">
        <v>627</v>
      </c>
      <c r="B6" s="69" t="s">
        <v>628</v>
      </c>
      <c r="C6" s="69" t="s">
        <v>629</v>
      </c>
      <c r="D6" s="95"/>
      <c r="E6" s="69" t="s">
        <v>627</v>
      </c>
      <c r="F6" s="69" t="s">
        <v>628</v>
      </c>
      <c r="G6" s="69" t="s">
        <v>629</v>
      </c>
      <c r="H6" s="96"/>
      <c r="I6" s="96"/>
      <c r="J6" s="96"/>
      <c r="K6" s="96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95"/>
      <c r="E7" s="85" t="s">
        <v>522</v>
      </c>
      <c r="F7" s="64" t="s">
        <v>594</v>
      </c>
      <c r="G7" s="85">
        <v>4.8</v>
      </c>
      <c r="H7" s="96"/>
      <c r="I7" s="96"/>
      <c r="J7" s="96"/>
      <c r="K7" s="96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95"/>
      <c r="E8" s="84" t="s">
        <v>532</v>
      </c>
      <c r="F8" s="54" t="s">
        <v>594</v>
      </c>
      <c r="G8" s="84">
        <v>7.5</v>
      </c>
      <c r="H8" s="96"/>
      <c r="I8" s="96"/>
      <c r="J8" s="96"/>
      <c r="K8" s="96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95"/>
      <c r="E9" s="85" t="s">
        <v>534</v>
      </c>
      <c r="F9" s="64" t="s">
        <v>594</v>
      </c>
      <c r="G9" s="85">
        <v>4.5</v>
      </c>
      <c r="H9" s="96"/>
      <c r="I9" s="96"/>
      <c r="J9" s="96"/>
      <c r="K9" s="96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95"/>
      <c r="E10" s="84" t="s">
        <v>537</v>
      </c>
      <c r="F10" s="54" t="s">
        <v>594</v>
      </c>
      <c r="G10" s="84">
        <v>4.5999999999999996</v>
      </c>
      <c r="H10" s="96"/>
      <c r="I10" s="96"/>
      <c r="J10" s="96"/>
      <c r="K10" s="96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95"/>
      <c r="E11" s="85" t="s">
        <v>538</v>
      </c>
      <c r="F11" s="64" t="s">
        <v>594</v>
      </c>
      <c r="G11" s="85">
        <v>4.3</v>
      </c>
      <c r="H11" s="96"/>
      <c r="I11" s="96"/>
      <c r="J11" s="96"/>
      <c r="K11" s="96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95"/>
      <c r="E12" s="82"/>
      <c r="F12" s="82" t="s">
        <v>630</v>
      </c>
      <c r="G12" s="82">
        <f>SUM(G7:G11)</f>
        <v>25.7</v>
      </c>
      <c r="H12" s="96"/>
      <c r="I12" s="96"/>
      <c r="J12" s="96"/>
      <c r="K12" s="96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95"/>
      <c r="E13" s="95"/>
      <c r="F13" s="95"/>
      <c r="G13" s="95"/>
      <c r="H13" s="96"/>
      <c r="I13" s="96"/>
      <c r="J13" s="96"/>
      <c r="K13" s="96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95"/>
      <c r="E14" s="95"/>
      <c r="F14" s="95"/>
      <c r="G14" s="95"/>
      <c r="H14" s="96"/>
      <c r="I14" s="96"/>
      <c r="J14" s="96"/>
      <c r="K14" s="96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95"/>
      <c r="E15" s="95"/>
      <c r="F15" s="95"/>
      <c r="G15" s="95"/>
      <c r="H15" s="96"/>
      <c r="I15" s="96"/>
      <c r="J15" s="96"/>
      <c r="K15" s="96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95"/>
      <c r="E16" s="95"/>
      <c r="F16" s="95"/>
      <c r="G16" s="95"/>
      <c r="H16" s="96"/>
      <c r="I16" s="96"/>
      <c r="J16" s="96"/>
      <c r="K16" s="96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95"/>
      <c r="E17" s="95"/>
      <c r="F17" s="95"/>
      <c r="G17" s="95"/>
      <c r="H17" s="96"/>
      <c r="I17" s="96"/>
      <c r="J17" s="96"/>
      <c r="K17" s="96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95"/>
      <c r="E18" s="95"/>
      <c r="F18" s="95"/>
      <c r="G18" s="95"/>
      <c r="H18" s="96"/>
      <c r="I18" s="96"/>
      <c r="J18" s="96"/>
      <c r="K18" s="96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95"/>
      <c r="E19" s="95"/>
      <c r="F19" s="95"/>
      <c r="G19" s="95"/>
      <c r="H19" s="96"/>
      <c r="I19" s="96"/>
      <c r="J19" s="96"/>
      <c r="K19" s="96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95"/>
      <c r="E20" s="95"/>
      <c r="F20" s="95"/>
      <c r="G20" s="95"/>
      <c r="H20" s="96"/>
      <c r="I20" s="96"/>
      <c r="J20" s="96"/>
      <c r="K20" s="96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95"/>
      <c r="E21" s="95"/>
      <c r="F21" s="95"/>
      <c r="G21" s="95"/>
      <c r="H21" s="96"/>
      <c r="I21" s="96"/>
      <c r="J21" s="96"/>
      <c r="K21" s="96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95"/>
      <c r="E22" s="95"/>
      <c r="F22" s="95"/>
      <c r="G22" s="95"/>
      <c r="H22" s="96"/>
      <c r="I22" s="96"/>
      <c r="J22" s="96"/>
      <c r="K22" s="96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95"/>
      <c r="E23" s="95"/>
      <c r="F23" s="95"/>
      <c r="G23" s="95"/>
      <c r="H23" s="96"/>
      <c r="I23" s="96"/>
      <c r="J23" s="96"/>
      <c r="K23" s="96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95"/>
      <c r="E24" s="95"/>
      <c r="F24" s="95"/>
      <c r="G24" s="95"/>
      <c r="H24" s="96"/>
      <c r="I24" s="96"/>
      <c r="J24" s="96"/>
      <c r="K24" s="96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95"/>
      <c r="E25" s="95"/>
      <c r="F25" s="95"/>
      <c r="G25" s="95"/>
      <c r="H25" s="96"/>
      <c r="I25" s="96"/>
      <c r="J25" s="96"/>
      <c r="K25" s="96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95"/>
      <c r="E26" s="95"/>
      <c r="F26" s="95"/>
      <c r="G26" s="95"/>
      <c r="H26" s="96"/>
      <c r="I26" s="96"/>
      <c r="J26" s="96"/>
      <c r="K26" s="96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95"/>
      <c r="E27" s="95"/>
      <c r="F27" s="95"/>
      <c r="G27" s="95"/>
      <c r="H27" s="96"/>
      <c r="I27" s="96"/>
      <c r="J27" s="96"/>
      <c r="K27" s="96"/>
    </row>
    <row r="28" spans="1:11" ht="14.4" customHeight="1" x14ac:dyDescent="0.3">
      <c r="B28" s="51" t="s">
        <v>630</v>
      </c>
      <c r="C28" s="86">
        <f>SUM(C7:C27)</f>
        <v>330.99999999999994</v>
      </c>
      <c r="D28" s="95"/>
      <c r="E28" s="95"/>
      <c r="F28" s="95"/>
      <c r="G28" s="95"/>
      <c r="H28" s="96"/>
      <c r="I28" s="96"/>
      <c r="J28" s="96"/>
      <c r="K28" s="96"/>
    </row>
  </sheetData>
  <mergeCells count="11">
    <mergeCell ref="A1:I1"/>
    <mergeCell ref="B2:G2"/>
    <mergeCell ref="H2:I2"/>
    <mergeCell ref="B3:G3"/>
    <mergeCell ref="H3:I3"/>
    <mergeCell ref="D6:D28"/>
    <mergeCell ref="H6:K28"/>
    <mergeCell ref="E13:G28"/>
    <mergeCell ref="A5:K5"/>
    <mergeCell ref="B4:G4"/>
    <mergeCell ref="H4:I4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workbookViewId="0">
      <selection activeCell="K3" sqref="K3"/>
    </sheetView>
    <sheetView workbookViewId="1">
      <selection activeCell="M14" sqref="M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0" t="s">
        <v>625</v>
      </c>
      <c r="B1" s="90"/>
      <c r="C1" s="90"/>
      <c r="D1" s="90"/>
      <c r="E1" s="90"/>
      <c r="F1" s="90"/>
      <c r="G1" s="90"/>
      <c r="H1" s="90"/>
      <c r="I1" s="90"/>
      <c r="J1" s="70"/>
      <c r="K1" s="70"/>
    </row>
    <row r="2" spans="1:11" ht="31.2" x14ac:dyDescent="0.3">
      <c r="A2" s="66" t="s">
        <v>626</v>
      </c>
      <c r="B2" s="97" t="s">
        <v>2</v>
      </c>
      <c r="C2" s="98"/>
      <c r="D2" s="98"/>
      <c r="E2" s="98"/>
      <c r="F2" s="98"/>
      <c r="G2" s="99"/>
      <c r="H2" s="91" t="s">
        <v>631</v>
      </c>
      <c r="I2" s="92"/>
      <c r="J2" s="67" t="s">
        <v>5</v>
      </c>
      <c r="K2" s="71" t="s">
        <v>591</v>
      </c>
    </row>
    <row r="3" spans="1:11" ht="50.4" customHeight="1" x14ac:dyDescent="0.3">
      <c r="A3" s="80">
        <v>1</v>
      </c>
      <c r="B3" s="100" t="s">
        <v>413</v>
      </c>
      <c r="C3" s="101"/>
      <c r="D3" s="101"/>
      <c r="E3" s="101"/>
      <c r="F3" s="101"/>
      <c r="G3" s="102"/>
      <c r="H3" s="106" t="s">
        <v>632</v>
      </c>
      <c r="I3" s="94"/>
      <c r="J3" s="80" t="s">
        <v>20</v>
      </c>
      <c r="K3" s="72">
        <f>C30</f>
        <v>339.1</v>
      </c>
    </row>
    <row r="4" spans="1:11" ht="50.4" customHeight="1" x14ac:dyDescent="0.3">
      <c r="A4" s="80">
        <v>2</v>
      </c>
      <c r="B4" s="100" t="s">
        <v>387</v>
      </c>
      <c r="C4" s="101"/>
      <c r="D4" s="101"/>
      <c r="E4" s="101"/>
      <c r="F4" s="101"/>
      <c r="G4" s="102"/>
      <c r="H4" s="106" t="s">
        <v>633</v>
      </c>
      <c r="I4" s="94"/>
      <c r="J4" s="80" t="s">
        <v>20</v>
      </c>
      <c r="K4" s="72">
        <f>G14</f>
        <v>54</v>
      </c>
    </row>
    <row r="5" spans="1:11" ht="15.6" x14ac:dyDescent="0.3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</row>
    <row r="6" spans="1:11" ht="46.8" x14ac:dyDescent="0.3">
      <c r="A6" s="69" t="s">
        <v>627</v>
      </c>
      <c r="B6" s="69" t="s">
        <v>628</v>
      </c>
      <c r="C6" s="69" t="s">
        <v>629</v>
      </c>
      <c r="D6" s="95"/>
      <c r="E6" s="69" t="s">
        <v>627</v>
      </c>
      <c r="F6" s="69" t="s">
        <v>628</v>
      </c>
      <c r="G6" s="69" t="s">
        <v>629</v>
      </c>
      <c r="H6" s="96"/>
      <c r="I6" s="96"/>
      <c r="J6" s="96"/>
      <c r="K6" s="96"/>
    </row>
    <row r="7" spans="1:11" ht="15.6" customHeight="1" x14ac:dyDescent="0.3">
      <c r="A7" s="64" t="s">
        <v>572</v>
      </c>
      <c r="B7" s="64" t="s">
        <v>592</v>
      </c>
      <c r="C7" s="64">
        <v>13.2</v>
      </c>
      <c r="D7" s="95"/>
      <c r="E7" s="85" t="s">
        <v>540</v>
      </c>
      <c r="F7" s="64" t="s">
        <v>594</v>
      </c>
      <c r="G7" s="85">
        <v>4.8</v>
      </c>
      <c r="H7" s="96"/>
      <c r="I7" s="96"/>
      <c r="J7" s="96"/>
      <c r="K7" s="96"/>
    </row>
    <row r="8" spans="1:11" ht="15.6" customHeight="1" x14ac:dyDescent="0.3">
      <c r="A8" s="54" t="s">
        <v>573</v>
      </c>
      <c r="B8" s="54" t="s">
        <v>592</v>
      </c>
      <c r="C8" s="54">
        <v>9.6</v>
      </c>
      <c r="D8" s="95"/>
      <c r="E8" s="84" t="s">
        <v>546</v>
      </c>
      <c r="F8" s="54" t="s">
        <v>594</v>
      </c>
      <c r="G8" s="84">
        <v>7.5</v>
      </c>
      <c r="H8" s="96"/>
      <c r="I8" s="96"/>
      <c r="J8" s="96"/>
      <c r="K8" s="96"/>
    </row>
    <row r="9" spans="1:11" ht="15.6" customHeight="1" x14ac:dyDescent="0.3">
      <c r="A9" s="64" t="s">
        <v>541</v>
      </c>
      <c r="B9" s="64" t="s">
        <v>592</v>
      </c>
      <c r="C9" s="64">
        <v>21.9</v>
      </c>
      <c r="D9" s="95"/>
      <c r="E9" s="85" t="s">
        <v>547</v>
      </c>
      <c r="F9" s="64" t="s">
        <v>594</v>
      </c>
      <c r="G9" s="85">
        <v>4.5</v>
      </c>
      <c r="H9" s="96"/>
      <c r="I9" s="96"/>
      <c r="J9" s="96"/>
      <c r="K9" s="96"/>
    </row>
    <row r="10" spans="1:11" ht="15.6" customHeight="1" x14ac:dyDescent="0.3">
      <c r="A10" s="54" t="s">
        <v>542</v>
      </c>
      <c r="B10" s="54" t="s">
        <v>592</v>
      </c>
      <c r="C10" s="54">
        <v>19.600000000000001</v>
      </c>
      <c r="D10" s="95"/>
      <c r="E10" s="84" t="s">
        <v>550</v>
      </c>
      <c r="F10" s="54" t="s">
        <v>594</v>
      </c>
      <c r="G10" s="84">
        <v>4.5</v>
      </c>
      <c r="H10" s="96"/>
      <c r="I10" s="96"/>
      <c r="J10" s="96"/>
      <c r="K10" s="96"/>
    </row>
    <row r="11" spans="1:11" ht="15.6" customHeight="1" x14ac:dyDescent="0.3">
      <c r="A11" s="64" t="s">
        <v>574</v>
      </c>
      <c r="B11" s="64" t="s">
        <v>592</v>
      </c>
      <c r="C11" s="64">
        <v>19.7</v>
      </c>
      <c r="D11" s="95"/>
      <c r="E11" s="85" t="s">
        <v>508</v>
      </c>
      <c r="F11" s="64" t="s">
        <v>594</v>
      </c>
      <c r="G11" s="85">
        <v>7.7</v>
      </c>
      <c r="H11" s="96"/>
      <c r="I11" s="96"/>
      <c r="J11" s="96"/>
      <c r="K11" s="96"/>
    </row>
    <row r="12" spans="1:11" ht="15.6" customHeight="1" x14ac:dyDescent="0.3">
      <c r="A12" s="54" t="s">
        <v>543</v>
      </c>
      <c r="B12" s="54" t="s">
        <v>592</v>
      </c>
      <c r="C12" s="54">
        <v>10.5</v>
      </c>
      <c r="D12" s="95"/>
      <c r="E12" s="84" t="s">
        <v>509</v>
      </c>
      <c r="F12" s="54" t="s">
        <v>594</v>
      </c>
      <c r="G12" s="84">
        <v>13</v>
      </c>
      <c r="H12" s="96"/>
      <c r="I12" s="96"/>
      <c r="J12" s="96"/>
      <c r="K12" s="96"/>
    </row>
    <row r="13" spans="1:11" ht="15.6" customHeight="1" x14ac:dyDescent="0.3">
      <c r="A13" s="64" t="s">
        <v>544</v>
      </c>
      <c r="B13" s="64" t="s">
        <v>592</v>
      </c>
      <c r="C13" s="64">
        <v>5.6</v>
      </c>
      <c r="D13" s="95"/>
      <c r="E13" s="84" t="s">
        <v>510</v>
      </c>
      <c r="F13" s="54" t="s">
        <v>594</v>
      </c>
      <c r="G13" s="84">
        <v>12</v>
      </c>
      <c r="H13" s="96"/>
      <c r="I13" s="96"/>
      <c r="J13" s="96"/>
      <c r="K13" s="96"/>
    </row>
    <row r="14" spans="1:11" ht="15.6" customHeight="1" x14ac:dyDescent="0.3">
      <c r="A14" s="54" t="s">
        <v>575</v>
      </c>
      <c r="B14" s="54" t="s">
        <v>592</v>
      </c>
      <c r="C14" s="54">
        <v>10.199999999999999</v>
      </c>
      <c r="D14" s="95"/>
      <c r="E14" s="82"/>
      <c r="F14" s="82" t="s">
        <v>630</v>
      </c>
      <c r="G14" s="82">
        <f>SUM(G7:G13)</f>
        <v>54</v>
      </c>
      <c r="H14" s="96"/>
      <c r="I14" s="96"/>
      <c r="J14" s="96"/>
      <c r="K14" s="96"/>
    </row>
    <row r="15" spans="1:11" ht="15.6" customHeight="1" x14ac:dyDescent="0.3">
      <c r="A15" s="64" t="s">
        <v>576</v>
      </c>
      <c r="B15" s="64" t="s">
        <v>592</v>
      </c>
      <c r="C15" s="64">
        <v>10.6</v>
      </c>
      <c r="D15" s="95"/>
      <c r="E15" s="95"/>
      <c r="F15" s="95"/>
      <c r="G15" s="95"/>
      <c r="H15" s="96"/>
      <c r="I15" s="96"/>
      <c r="J15" s="96"/>
      <c r="K15" s="96"/>
    </row>
    <row r="16" spans="1:11" ht="15.6" customHeight="1" x14ac:dyDescent="0.3">
      <c r="A16" s="54" t="s">
        <v>545</v>
      </c>
      <c r="B16" s="54" t="s">
        <v>592</v>
      </c>
      <c r="C16" s="54">
        <v>8.1999999999999993</v>
      </c>
      <c r="D16" s="95"/>
      <c r="E16" s="95"/>
      <c r="F16" s="95"/>
      <c r="G16" s="95"/>
      <c r="H16" s="96"/>
      <c r="I16" s="96"/>
      <c r="J16" s="96"/>
      <c r="K16" s="96"/>
    </row>
    <row r="17" spans="1:11" ht="15.6" customHeight="1" x14ac:dyDescent="0.3">
      <c r="A17" s="64" t="s">
        <v>577</v>
      </c>
      <c r="B17" s="64" t="s">
        <v>592</v>
      </c>
      <c r="C17" s="64">
        <v>9.8000000000000007</v>
      </c>
      <c r="D17" s="95"/>
      <c r="E17" s="95"/>
      <c r="F17" s="95"/>
      <c r="G17" s="95"/>
      <c r="H17" s="96"/>
      <c r="I17" s="96"/>
      <c r="J17" s="96"/>
      <c r="K17" s="96"/>
    </row>
    <row r="18" spans="1:11" ht="15.6" customHeight="1" x14ac:dyDescent="0.3">
      <c r="A18" s="54" t="s">
        <v>578</v>
      </c>
      <c r="B18" s="54" t="s">
        <v>592</v>
      </c>
      <c r="C18" s="54">
        <v>15.9</v>
      </c>
      <c r="D18" s="95"/>
      <c r="E18" s="95"/>
      <c r="F18" s="95"/>
      <c r="G18" s="95"/>
      <c r="H18" s="96"/>
      <c r="I18" s="96"/>
      <c r="J18" s="96"/>
      <c r="K18" s="96"/>
    </row>
    <row r="19" spans="1:11" ht="15.6" customHeight="1" x14ac:dyDescent="0.3">
      <c r="A19" s="64" t="s">
        <v>548</v>
      </c>
      <c r="B19" s="64" t="s">
        <v>592</v>
      </c>
      <c r="C19" s="64">
        <v>22.2</v>
      </c>
      <c r="D19" s="95"/>
      <c r="E19" s="95"/>
      <c r="F19" s="95"/>
      <c r="G19" s="95"/>
      <c r="H19" s="96"/>
      <c r="I19" s="96"/>
      <c r="J19" s="96"/>
      <c r="K19" s="96"/>
    </row>
    <row r="20" spans="1:11" ht="15.6" customHeight="1" x14ac:dyDescent="0.3">
      <c r="A20" s="54" t="s">
        <v>549</v>
      </c>
      <c r="B20" s="54" t="s">
        <v>592</v>
      </c>
      <c r="C20" s="54">
        <v>25.3</v>
      </c>
      <c r="D20" s="95"/>
      <c r="E20" s="95"/>
      <c r="F20" s="95"/>
      <c r="G20" s="95"/>
      <c r="H20" s="96"/>
      <c r="I20" s="96"/>
      <c r="J20" s="96"/>
      <c r="K20" s="96"/>
    </row>
    <row r="21" spans="1:11" ht="15.6" customHeight="1" x14ac:dyDescent="0.3">
      <c r="A21" s="64" t="s">
        <v>551</v>
      </c>
      <c r="B21" s="64" t="s">
        <v>592</v>
      </c>
      <c r="C21" s="64">
        <v>5.8</v>
      </c>
      <c r="D21" s="95"/>
      <c r="E21" s="95"/>
      <c r="F21" s="95"/>
      <c r="G21" s="95"/>
      <c r="H21" s="96"/>
      <c r="I21" s="96"/>
      <c r="J21" s="96"/>
      <c r="K21" s="96"/>
    </row>
    <row r="22" spans="1:11" ht="15.6" customHeight="1" x14ac:dyDescent="0.3">
      <c r="A22" s="64" t="s">
        <v>579</v>
      </c>
      <c r="B22" s="64" t="s">
        <v>592</v>
      </c>
      <c r="C22" s="64">
        <v>9.6</v>
      </c>
      <c r="D22" s="95"/>
      <c r="E22" s="95"/>
      <c r="F22" s="95"/>
      <c r="G22" s="95"/>
      <c r="H22" s="96"/>
      <c r="I22" s="96"/>
      <c r="J22" s="96"/>
      <c r="K22" s="96"/>
    </row>
    <row r="23" spans="1:11" ht="15.6" customHeight="1" x14ac:dyDescent="0.3">
      <c r="A23" s="54" t="s">
        <v>580</v>
      </c>
      <c r="B23" s="54" t="s">
        <v>592</v>
      </c>
      <c r="C23" s="54">
        <v>15.6</v>
      </c>
      <c r="D23" s="95"/>
      <c r="E23" s="95"/>
      <c r="F23" s="95"/>
      <c r="G23" s="95"/>
      <c r="H23" s="96"/>
      <c r="I23" s="96"/>
      <c r="J23" s="96"/>
      <c r="K23" s="96"/>
    </row>
    <row r="24" spans="1:11" ht="15.6" customHeight="1" x14ac:dyDescent="0.3">
      <c r="A24" s="64" t="s">
        <v>581</v>
      </c>
      <c r="B24" s="64" t="s">
        <v>592</v>
      </c>
      <c r="C24" s="64">
        <v>11.1</v>
      </c>
      <c r="D24" s="95"/>
      <c r="E24" s="95"/>
      <c r="F24" s="95"/>
      <c r="G24" s="95"/>
      <c r="H24" s="96"/>
      <c r="I24" s="96"/>
      <c r="J24" s="96"/>
      <c r="K24" s="96"/>
    </row>
    <row r="25" spans="1:11" ht="15.6" customHeight="1" x14ac:dyDescent="0.3">
      <c r="A25" s="54" t="s">
        <v>552</v>
      </c>
      <c r="B25" s="54" t="s">
        <v>592</v>
      </c>
      <c r="C25" s="54">
        <v>14.7</v>
      </c>
      <c r="D25" s="95"/>
      <c r="E25" s="95"/>
      <c r="F25" s="95"/>
      <c r="G25" s="95"/>
      <c r="H25" s="96"/>
      <c r="I25" s="96"/>
      <c r="J25" s="96"/>
      <c r="K25" s="96"/>
    </row>
    <row r="26" spans="1:11" ht="15.6" customHeight="1" x14ac:dyDescent="0.3">
      <c r="A26" s="64" t="s">
        <v>553</v>
      </c>
      <c r="B26" s="64" t="s">
        <v>592</v>
      </c>
      <c r="C26" s="64">
        <v>8.9</v>
      </c>
      <c r="D26" s="95"/>
      <c r="E26" s="95"/>
      <c r="F26" s="95"/>
      <c r="G26" s="95"/>
      <c r="H26" s="96"/>
      <c r="I26" s="96"/>
      <c r="J26" s="96"/>
      <c r="K26" s="96"/>
    </row>
    <row r="27" spans="1:11" ht="15.6" customHeight="1" x14ac:dyDescent="0.3">
      <c r="A27" s="54" t="s">
        <v>520</v>
      </c>
      <c r="B27" s="54" t="s">
        <v>592</v>
      </c>
      <c r="C27" s="54">
        <v>39.6</v>
      </c>
      <c r="D27" s="95"/>
      <c r="E27" s="95"/>
      <c r="F27" s="95"/>
      <c r="G27" s="95"/>
      <c r="H27" s="96"/>
      <c r="I27" s="96"/>
      <c r="J27" s="96"/>
      <c r="K27" s="96"/>
    </row>
    <row r="28" spans="1:11" ht="15.6" customHeight="1" x14ac:dyDescent="0.3">
      <c r="A28" s="64" t="s">
        <v>554</v>
      </c>
      <c r="B28" s="64" t="s">
        <v>592</v>
      </c>
      <c r="C28" s="64">
        <v>15.8</v>
      </c>
      <c r="D28" s="95"/>
      <c r="E28" s="95"/>
      <c r="F28" s="95"/>
      <c r="G28" s="95"/>
      <c r="H28" s="96"/>
      <c r="I28" s="96"/>
      <c r="J28" s="96"/>
      <c r="K28" s="96"/>
    </row>
    <row r="29" spans="1:11" ht="15.6" customHeight="1" x14ac:dyDescent="0.3">
      <c r="A29" s="64" t="s">
        <v>582</v>
      </c>
      <c r="B29" s="64" t="s">
        <v>592</v>
      </c>
      <c r="C29" s="64">
        <v>15.7</v>
      </c>
      <c r="D29" s="95"/>
      <c r="E29" s="95"/>
      <c r="F29" s="95"/>
      <c r="G29" s="95"/>
      <c r="H29" s="96"/>
      <c r="I29" s="96"/>
      <c r="J29" s="96"/>
      <c r="K29" s="96"/>
    </row>
    <row r="30" spans="1:11" ht="14.4" customHeight="1" x14ac:dyDescent="0.3">
      <c r="B30" s="51" t="s">
        <v>630</v>
      </c>
      <c r="C30" s="86">
        <f>SUM(C7:C29)</f>
        <v>339.1</v>
      </c>
      <c r="D30" s="95"/>
      <c r="E30" s="95"/>
      <c r="F30" s="95"/>
      <c r="G30" s="95"/>
      <c r="H30" s="96"/>
      <c r="I30" s="96"/>
      <c r="J30" s="96"/>
      <c r="K30" s="96"/>
    </row>
  </sheetData>
  <mergeCells count="11">
    <mergeCell ref="A5:K5"/>
    <mergeCell ref="D6:D30"/>
    <mergeCell ref="E15:G30"/>
    <mergeCell ref="H6:K30"/>
    <mergeCell ref="A1:I1"/>
    <mergeCell ref="B2:G2"/>
    <mergeCell ref="H2:I2"/>
    <mergeCell ref="B3:G3"/>
    <mergeCell ref="H3:I3"/>
    <mergeCell ref="B4:G4"/>
    <mergeCell ref="H4:I4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85" zoomScaleNormal="85" workbookViewId="0">
      <selection activeCell="B4" sqref="B4:G4"/>
    </sheetView>
    <sheetView workbookViewId="1">
      <selection activeCell="A25" sqref="A7:A25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0" t="s">
        <v>625</v>
      </c>
      <c r="B1" s="90"/>
      <c r="C1" s="90"/>
      <c r="D1" s="90"/>
      <c r="E1" s="90"/>
      <c r="F1" s="90"/>
      <c r="G1" s="90"/>
      <c r="H1" s="90"/>
      <c r="I1" s="90"/>
      <c r="J1" s="70"/>
      <c r="K1" s="70"/>
    </row>
    <row r="2" spans="1:11" ht="31.2" x14ac:dyDescent="0.3">
      <c r="A2" s="66" t="s">
        <v>626</v>
      </c>
      <c r="B2" s="97" t="s">
        <v>2</v>
      </c>
      <c r="C2" s="98"/>
      <c r="D2" s="98"/>
      <c r="E2" s="98"/>
      <c r="F2" s="98"/>
      <c r="G2" s="99"/>
      <c r="H2" s="91" t="s">
        <v>631</v>
      </c>
      <c r="I2" s="92"/>
      <c r="J2" s="67" t="s">
        <v>5</v>
      </c>
      <c r="K2" s="71" t="s">
        <v>591</v>
      </c>
    </row>
    <row r="3" spans="1:11" ht="50.4" customHeight="1" x14ac:dyDescent="0.3">
      <c r="A3" s="80">
        <v>1</v>
      </c>
      <c r="B3" s="100" t="s">
        <v>159</v>
      </c>
      <c r="C3" s="101"/>
      <c r="D3" s="101"/>
      <c r="E3" s="101"/>
      <c r="F3" s="101"/>
      <c r="G3" s="102"/>
      <c r="H3" s="107" t="s">
        <v>636</v>
      </c>
      <c r="I3" s="108"/>
      <c r="J3" s="80" t="s">
        <v>20</v>
      </c>
      <c r="K3" s="72">
        <f>C26</f>
        <v>218</v>
      </c>
    </row>
    <row r="4" spans="1:11" ht="50.4" customHeight="1" x14ac:dyDescent="0.3">
      <c r="A4" s="80">
        <v>2</v>
      </c>
      <c r="B4" s="100" t="s">
        <v>175</v>
      </c>
      <c r="C4" s="101"/>
      <c r="D4" s="101"/>
      <c r="E4" s="101"/>
      <c r="F4" s="101"/>
      <c r="G4" s="102"/>
      <c r="H4" s="107" t="s">
        <v>623</v>
      </c>
      <c r="I4" s="108"/>
      <c r="J4" s="80" t="s">
        <v>20</v>
      </c>
      <c r="K4" s="72">
        <f>G10</f>
        <v>630.40000000000009</v>
      </c>
    </row>
    <row r="5" spans="1:11" ht="15.6" x14ac:dyDescent="0.3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</row>
    <row r="6" spans="1:11" ht="46.8" x14ac:dyDescent="0.3">
      <c r="A6" s="69" t="s">
        <v>627</v>
      </c>
      <c r="B6" s="69" t="s">
        <v>628</v>
      </c>
      <c r="C6" s="69" t="s">
        <v>629</v>
      </c>
      <c r="D6" s="95"/>
      <c r="E6" s="69" t="s">
        <v>627</v>
      </c>
      <c r="F6" s="69" t="s">
        <v>628</v>
      </c>
      <c r="G6" s="69" t="s">
        <v>629</v>
      </c>
      <c r="H6" s="96"/>
      <c r="I6" s="96"/>
      <c r="J6" s="96"/>
      <c r="K6" s="96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95"/>
      <c r="E7" s="85" t="s">
        <v>516</v>
      </c>
      <c r="F7" s="64" t="s">
        <v>512</v>
      </c>
      <c r="G7" s="85">
        <v>32.1</v>
      </c>
      <c r="H7" s="96"/>
      <c r="I7" s="96"/>
      <c r="J7" s="96"/>
      <c r="K7" s="96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95"/>
      <c r="E8" s="84" t="s">
        <v>517</v>
      </c>
      <c r="F8" s="54" t="s">
        <v>512</v>
      </c>
      <c r="G8" s="84">
        <v>535.1</v>
      </c>
      <c r="H8" s="96"/>
      <c r="I8" s="96"/>
      <c r="J8" s="96"/>
      <c r="K8" s="96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95"/>
      <c r="E9" s="85" t="s">
        <v>518</v>
      </c>
      <c r="F9" s="64" t="s">
        <v>512</v>
      </c>
      <c r="G9" s="85">
        <v>63.2</v>
      </c>
      <c r="H9" s="96"/>
      <c r="I9" s="96"/>
      <c r="J9" s="96"/>
      <c r="K9" s="96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95"/>
      <c r="E10" s="82"/>
      <c r="F10" s="82" t="s">
        <v>630</v>
      </c>
      <c r="G10" s="82">
        <f>SUM(G7:G9)</f>
        <v>630.40000000000009</v>
      </c>
      <c r="H10" s="96"/>
      <c r="I10" s="96"/>
      <c r="J10" s="96"/>
      <c r="K10" s="96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95"/>
      <c r="E11" s="95"/>
      <c r="F11" s="95"/>
      <c r="G11" s="95"/>
      <c r="H11" s="96"/>
      <c r="I11" s="96"/>
      <c r="J11" s="96"/>
      <c r="K11" s="96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95"/>
      <c r="E12" s="95"/>
      <c r="F12" s="95"/>
      <c r="G12" s="95"/>
      <c r="H12" s="96"/>
      <c r="I12" s="96"/>
      <c r="J12" s="96"/>
      <c r="K12" s="96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95"/>
      <c r="E13" s="95"/>
      <c r="F13" s="95"/>
      <c r="G13" s="95"/>
      <c r="H13" s="96"/>
      <c r="I13" s="96"/>
      <c r="J13" s="96"/>
      <c r="K13" s="96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95"/>
      <c r="E14" s="95"/>
      <c r="F14" s="95"/>
      <c r="G14" s="95"/>
      <c r="H14" s="96"/>
      <c r="I14" s="96"/>
      <c r="J14" s="96"/>
      <c r="K14" s="96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95"/>
      <c r="E15" s="95"/>
      <c r="F15" s="95"/>
      <c r="G15" s="95"/>
      <c r="H15" s="96"/>
      <c r="I15" s="96"/>
      <c r="J15" s="96"/>
      <c r="K15" s="96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95"/>
      <c r="E16" s="95"/>
      <c r="F16" s="95"/>
      <c r="G16" s="95"/>
      <c r="H16" s="96"/>
      <c r="I16" s="96"/>
      <c r="J16" s="96"/>
      <c r="K16" s="96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95"/>
      <c r="E17" s="95"/>
      <c r="F17" s="95"/>
      <c r="G17" s="95"/>
      <c r="H17" s="96"/>
      <c r="I17" s="96"/>
      <c r="J17" s="96"/>
      <c r="K17" s="96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95"/>
      <c r="E18" s="95"/>
      <c r="F18" s="95"/>
      <c r="G18" s="95"/>
      <c r="H18" s="96"/>
      <c r="I18" s="96"/>
      <c r="J18" s="96"/>
      <c r="K18" s="96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95"/>
      <c r="E19" s="95"/>
      <c r="F19" s="95"/>
      <c r="G19" s="95"/>
      <c r="H19" s="96"/>
      <c r="I19" s="96"/>
      <c r="J19" s="96"/>
      <c r="K19" s="96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95"/>
      <c r="E20" s="95"/>
      <c r="F20" s="95"/>
      <c r="G20" s="95"/>
      <c r="H20" s="96"/>
      <c r="I20" s="96"/>
      <c r="J20" s="96"/>
      <c r="K20" s="96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95"/>
      <c r="E21" s="95"/>
      <c r="F21" s="95"/>
      <c r="G21" s="95"/>
      <c r="H21" s="96"/>
      <c r="I21" s="96"/>
      <c r="J21" s="96"/>
      <c r="K21" s="96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95"/>
      <c r="E22" s="95"/>
      <c r="F22" s="95"/>
      <c r="G22" s="95"/>
      <c r="H22" s="96"/>
      <c r="I22" s="96"/>
      <c r="J22" s="96"/>
      <c r="K22" s="96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95"/>
      <c r="E23" s="95"/>
      <c r="F23" s="95"/>
      <c r="G23" s="95"/>
      <c r="H23" s="96"/>
      <c r="I23" s="96"/>
      <c r="J23" s="96"/>
      <c r="K23" s="96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95"/>
      <c r="E24" s="95"/>
      <c r="F24" s="95"/>
      <c r="G24" s="95"/>
      <c r="H24" s="96"/>
      <c r="I24" s="96"/>
      <c r="J24" s="96"/>
      <c r="K24" s="96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95"/>
      <c r="E25" s="95"/>
      <c r="F25" s="95"/>
      <c r="G25" s="95"/>
      <c r="H25" s="96"/>
      <c r="I25" s="96"/>
      <c r="J25" s="96"/>
      <c r="K25" s="96"/>
    </row>
    <row r="26" spans="1:11" ht="14.4" customHeight="1" x14ac:dyDescent="0.3">
      <c r="B26" s="51" t="s">
        <v>630</v>
      </c>
      <c r="C26" s="86">
        <f>SUM(C7:C25)</f>
        <v>218</v>
      </c>
      <c r="D26" s="95"/>
      <c r="E26" s="95"/>
      <c r="F26" s="95"/>
      <c r="G26" s="95"/>
      <c r="H26" s="96"/>
      <c r="I26" s="96"/>
      <c r="J26" s="96"/>
      <c r="K26" s="96"/>
    </row>
  </sheetData>
  <mergeCells count="11">
    <mergeCell ref="A5:K5"/>
    <mergeCell ref="D6:D26"/>
    <mergeCell ref="H6:K26"/>
    <mergeCell ref="E11:G26"/>
    <mergeCell ref="A1:I1"/>
    <mergeCell ref="B2:G2"/>
    <mergeCell ref="H2:I2"/>
    <mergeCell ref="B3:G3"/>
    <mergeCell ref="H3:I3"/>
    <mergeCell ref="B4:G4"/>
    <mergeCell ref="H4:I4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zoomScale="85" zoomScaleNormal="85" workbookViewId="0">
      <selection sqref="A1:K10"/>
    </sheetView>
    <sheetView workbookViewId="1">
      <selection activeCell="A22" sqref="A7:A22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0" t="s">
        <v>625</v>
      </c>
      <c r="B1" s="90"/>
      <c r="C1" s="90"/>
      <c r="D1" s="90"/>
      <c r="E1" s="90"/>
      <c r="F1" s="90"/>
      <c r="G1" s="90"/>
      <c r="H1" s="90"/>
      <c r="I1" s="90"/>
      <c r="J1" s="70"/>
      <c r="K1" s="70"/>
    </row>
    <row r="2" spans="1:11" ht="31.2" x14ac:dyDescent="0.3">
      <c r="A2" s="66" t="s">
        <v>626</v>
      </c>
      <c r="B2" s="97" t="s">
        <v>2</v>
      </c>
      <c r="C2" s="98"/>
      <c r="D2" s="98"/>
      <c r="E2" s="98"/>
      <c r="F2" s="98"/>
      <c r="G2" s="99"/>
      <c r="H2" s="91" t="s">
        <v>631</v>
      </c>
      <c r="I2" s="92"/>
      <c r="J2" s="67" t="s">
        <v>5</v>
      </c>
      <c r="K2" s="71" t="s">
        <v>591</v>
      </c>
    </row>
    <row r="3" spans="1:11" ht="50.4" customHeight="1" x14ac:dyDescent="0.3">
      <c r="A3" s="80">
        <v>1</v>
      </c>
      <c r="B3" s="100" t="s">
        <v>159</v>
      </c>
      <c r="C3" s="101"/>
      <c r="D3" s="101"/>
      <c r="E3" s="101"/>
      <c r="F3" s="101"/>
      <c r="G3" s="102"/>
      <c r="H3" s="107" t="s">
        <v>637</v>
      </c>
      <c r="I3" s="108"/>
      <c r="J3" s="80" t="s">
        <v>20</v>
      </c>
      <c r="K3" s="72">
        <f>C23</f>
        <v>182.1</v>
      </c>
    </row>
    <row r="4" spans="1:11" ht="50.4" customHeight="1" x14ac:dyDescent="0.3">
      <c r="A4" s="80">
        <v>2</v>
      </c>
      <c r="B4" s="100" t="s">
        <v>175</v>
      </c>
      <c r="C4" s="101"/>
      <c r="D4" s="101"/>
      <c r="E4" s="101"/>
      <c r="F4" s="101"/>
      <c r="G4" s="102"/>
      <c r="H4" s="107" t="s">
        <v>622</v>
      </c>
      <c r="I4" s="108"/>
      <c r="J4" s="80" t="s">
        <v>20</v>
      </c>
      <c r="K4" s="72">
        <f>G9</f>
        <v>242.3</v>
      </c>
    </row>
    <row r="5" spans="1:11" ht="15.6" x14ac:dyDescent="0.3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</row>
    <row r="6" spans="1:11" ht="46.8" x14ac:dyDescent="0.3">
      <c r="A6" s="69" t="s">
        <v>627</v>
      </c>
      <c r="B6" s="69" t="s">
        <v>628</v>
      </c>
      <c r="C6" s="69" t="s">
        <v>629</v>
      </c>
      <c r="D6" s="95"/>
      <c r="E6" s="69" t="s">
        <v>627</v>
      </c>
      <c r="F6" s="69" t="s">
        <v>628</v>
      </c>
      <c r="G6" s="69" t="s">
        <v>629</v>
      </c>
      <c r="H6" s="96"/>
      <c r="I6" s="96"/>
      <c r="J6" s="96"/>
      <c r="K6" s="96"/>
    </row>
    <row r="7" spans="1:11" ht="15.6" customHeight="1" x14ac:dyDescent="0.3">
      <c r="A7" s="64" t="s">
        <v>540</v>
      </c>
      <c r="B7" s="64" t="s">
        <v>513</v>
      </c>
      <c r="C7" s="64">
        <v>4.8</v>
      </c>
      <c r="D7" s="95"/>
      <c r="E7" s="85" t="s">
        <v>519</v>
      </c>
      <c r="F7" s="64" t="s">
        <v>512</v>
      </c>
      <c r="G7" s="85">
        <v>202.4</v>
      </c>
      <c r="H7" s="96"/>
      <c r="I7" s="96"/>
      <c r="J7" s="96"/>
      <c r="K7" s="96"/>
    </row>
    <row r="8" spans="1:11" ht="15.6" customHeight="1" x14ac:dyDescent="0.3">
      <c r="A8" s="54" t="s">
        <v>541</v>
      </c>
      <c r="B8" s="54" t="s">
        <v>513</v>
      </c>
      <c r="C8" s="54">
        <v>23.6</v>
      </c>
      <c r="D8" s="95"/>
      <c r="E8" s="84" t="s">
        <v>520</v>
      </c>
      <c r="F8" s="54" t="s">
        <v>512</v>
      </c>
      <c r="G8" s="84">
        <v>39.9</v>
      </c>
      <c r="H8" s="96"/>
      <c r="I8" s="96"/>
      <c r="J8" s="96"/>
      <c r="K8" s="96"/>
    </row>
    <row r="9" spans="1:11" ht="15.6" customHeight="1" x14ac:dyDescent="0.3">
      <c r="A9" s="64" t="s">
        <v>542</v>
      </c>
      <c r="B9" s="64" t="s">
        <v>513</v>
      </c>
      <c r="C9" s="64">
        <v>19.600000000000001</v>
      </c>
      <c r="D9" s="95"/>
      <c r="E9" s="82"/>
      <c r="F9" s="82" t="s">
        <v>630</v>
      </c>
      <c r="G9" s="82">
        <f>SUM(G7:G8)</f>
        <v>242.3</v>
      </c>
      <c r="H9" s="96"/>
      <c r="I9" s="96"/>
      <c r="J9" s="96"/>
      <c r="K9" s="96"/>
    </row>
    <row r="10" spans="1:11" ht="15.6" customHeight="1" x14ac:dyDescent="0.3">
      <c r="A10" s="54" t="s">
        <v>543</v>
      </c>
      <c r="B10" s="54" t="s">
        <v>513</v>
      </c>
      <c r="C10" s="54">
        <v>10.5</v>
      </c>
      <c r="D10" s="95"/>
      <c r="E10" s="95"/>
      <c r="F10" s="95"/>
      <c r="G10" s="95"/>
      <c r="H10" s="96"/>
      <c r="I10" s="96"/>
      <c r="J10" s="96"/>
      <c r="K10" s="96"/>
    </row>
    <row r="11" spans="1:11" ht="15.6" customHeight="1" x14ac:dyDescent="0.3">
      <c r="A11" s="64" t="s">
        <v>544</v>
      </c>
      <c r="B11" s="64" t="s">
        <v>513</v>
      </c>
      <c r="C11" s="64">
        <v>5.6</v>
      </c>
      <c r="D11" s="95"/>
      <c r="E11" s="95"/>
      <c r="F11" s="95"/>
      <c r="G11" s="95"/>
      <c r="H11" s="96"/>
      <c r="I11" s="96"/>
      <c r="J11" s="96"/>
      <c r="K11" s="96"/>
    </row>
    <row r="12" spans="1:11" ht="15.6" customHeight="1" x14ac:dyDescent="0.3">
      <c r="A12" s="54" t="s">
        <v>545</v>
      </c>
      <c r="B12" s="54" t="s">
        <v>513</v>
      </c>
      <c r="C12" s="54">
        <v>8.1999999999999993</v>
      </c>
      <c r="D12" s="95"/>
      <c r="E12" s="95"/>
      <c r="F12" s="95"/>
      <c r="G12" s="95"/>
      <c r="H12" s="96"/>
      <c r="I12" s="96"/>
      <c r="J12" s="96"/>
      <c r="K12" s="96"/>
    </row>
    <row r="13" spans="1:11" ht="15.6" customHeight="1" x14ac:dyDescent="0.3">
      <c r="A13" s="64" t="s">
        <v>546</v>
      </c>
      <c r="B13" s="64" t="s">
        <v>513</v>
      </c>
      <c r="C13" s="64">
        <v>7.6</v>
      </c>
      <c r="D13" s="95"/>
      <c r="E13" s="95"/>
      <c r="F13" s="95"/>
      <c r="G13" s="95"/>
      <c r="H13" s="96"/>
      <c r="I13" s="96"/>
      <c r="J13" s="96"/>
      <c r="K13" s="96"/>
    </row>
    <row r="14" spans="1:11" ht="15.6" customHeight="1" x14ac:dyDescent="0.3">
      <c r="A14" s="54" t="s">
        <v>547</v>
      </c>
      <c r="B14" s="54" t="s">
        <v>513</v>
      </c>
      <c r="C14" s="54">
        <v>4.5</v>
      </c>
      <c r="D14" s="95"/>
      <c r="E14" s="95"/>
      <c r="F14" s="95"/>
      <c r="G14" s="95"/>
      <c r="H14" s="96"/>
      <c r="I14" s="96"/>
      <c r="J14" s="96"/>
      <c r="K14" s="96"/>
    </row>
    <row r="15" spans="1:11" ht="15.6" customHeight="1" x14ac:dyDescent="0.3">
      <c r="A15" s="64" t="s">
        <v>548</v>
      </c>
      <c r="B15" s="64" t="s">
        <v>513</v>
      </c>
      <c r="C15" s="64">
        <v>22.4</v>
      </c>
      <c r="D15" s="95"/>
      <c r="E15" s="95"/>
      <c r="F15" s="95"/>
      <c r="G15" s="95"/>
      <c r="H15" s="96"/>
      <c r="I15" s="96"/>
      <c r="J15" s="96"/>
      <c r="K15" s="96"/>
    </row>
    <row r="16" spans="1:11" ht="15.6" customHeight="1" x14ac:dyDescent="0.3">
      <c r="A16" s="54" t="s">
        <v>549</v>
      </c>
      <c r="B16" s="54" t="s">
        <v>513</v>
      </c>
      <c r="C16" s="54">
        <v>22.4</v>
      </c>
      <c r="D16" s="95"/>
      <c r="E16" s="95"/>
      <c r="F16" s="95"/>
      <c r="G16" s="95"/>
      <c r="H16" s="96"/>
      <c r="I16" s="96"/>
      <c r="J16" s="96"/>
      <c r="K16" s="96"/>
    </row>
    <row r="17" spans="1:11" ht="15.6" customHeight="1" x14ac:dyDescent="0.3">
      <c r="A17" s="64" t="s">
        <v>550</v>
      </c>
      <c r="B17" s="64" t="s">
        <v>513</v>
      </c>
      <c r="C17" s="64">
        <v>4.5</v>
      </c>
      <c r="D17" s="95"/>
      <c r="E17" s="95"/>
      <c r="F17" s="95"/>
      <c r="G17" s="95"/>
      <c r="H17" s="96"/>
      <c r="I17" s="96"/>
      <c r="J17" s="96"/>
      <c r="K17" s="96"/>
    </row>
    <row r="18" spans="1:11" ht="15.6" customHeight="1" x14ac:dyDescent="0.3">
      <c r="A18" s="54" t="s">
        <v>551</v>
      </c>
      <c r="B18" s="54" t="s">
        <v>513</v>
      </c>
      <c r="C18" s="54">
        <v>5.8</v>
      </c>
      <c r="D18" s="95"/>
      <c r="E18" s="95"/>
      <c r="F18" s="95"/>
      <c r="G18" s="95"/>
      <c r="H18" s="96"/>
      <c r="I18" s="96"/>
      <c r="J18" s="96"/>
      <c r="K18" s="96"/>
    </row>
    <row r="19" spans="1:11" ht="15.6" customHeight="1" x14ac:dyDescent="0.3">
      <c r="A19" s="64" t="s">
        <v>552</v>
      </c>
      <c r="B19" s="64" t="s">
        <v>513</v>
      </c>
      <c r="C19" s="64">
        <v>14.7</v>
      </c>
      <c r="D19" s="95"/>
      <c r="E19" s="95"/>
      <c r="F19" s="95"/>
      <c r="G19" s="95"/>
      <c r="H19" s="96"/>
      <c r="I19" s="96"/>
      <c r="J19" s="96"/>
      <c r="K19" s="96"/>
    </row>
    <row r="20" spans="1:11" ht="15.6" customHeight="1" x14ac:dyDescent="0.3">
      <c r="A20" s="54" t="s">
        <v>553</v>
      </c>
      <c r="B20" s="54" t="s">
        <v>513</v>
      </c>
      <c r="C20" s="54">
        <v>8.9</v>
      </c>
      <c r="D20" s="95"/>
      <c r="E20" s="95"/>
      <c r="F20" s="95"/>
      <c r="G20" s="95"/>
      <c r="H20" s="96"/>
      <c r="I20" s="96"/>
      <c r="J20" s="96"/>
      <c r="K20" s="96"/>
    </row>
    <row r="21" spans="1:11" ht="15.6" customHeight="1" x14ac:dyDescent="0.3">
      <c r="A21" s="64" t="s">
        <v>554</v>
      </c>
      <c r="B21" s="64" t="s">
        <v>513</v>
      </c>
      <c r="C21" s="64">
        <v>15.8</v>
      </c>
      <c r="D21" s="95"/>
      <c r="E21" s="95"/>
      <c r="F21" s="95"/>
      <c r="G21" s="95"/>
      <c r="H21" s="96"/>
      <c r="I21" s="96"/>
      <c r="J21" s="96"/>
      <c r="K21" s="96"/>
    </row>
    <row r="22" spans="1:11" ht="15.6" customHeight="1" x14ac:dyDescent="0.3">
      <c r="A22" s="64" t="s">
        <v>555</v>
      </c>
      <c r="B22" s="64" t="s">
        <v>513</v>
      </c>
      <c r="C22" s="64">
        <v>3.2</v>
      </c>
      <c r="D22" s="95"/>
      <c r="E22" s="95"/>
      <c r="F22" s="95"/>
      <c r="G22" s="95"/>
      <c r="H22" s="96"/>
      <c r="I22" s="96"/>
      <c r="J22" s="96"/>
      <c r="K22" s="96"/>
    </row>
    <row r="23" spans="1:11" ht="14.4" customHeight="1" x14ac:dyDescent="0.3">
      <c r="B23" s="51" t="s">
        <v>630</v>
      </c>
      <c r="C23" s="86">
        <f>SUM(C7:C22)</f>
        <v>182.1</v>
      </c>
      <c r="D23" s="95"/>
      <c r="E23" s="95"/>
      <c r="F23" s="95"/>
      <c r="G23" s="95"/>
      <c r="H23" s="96"/>
      <c r="I23" s="96"/>
      <c r="J23" s="96"/>
      <c r="K23" s="96"/>
    </row>
  </sheetData>
  <mergeCells count="11">
    <mergeCell ref="D6:D23"/>
    <mergeCell ref="E10:G23"/>
    <mergeCell ref="H6:K23"/>
    <mergeCell ref="A5:K5"/>
    <mergeCell ref="A1:I1"/>
    <mergeCell ref="B2:G2"/>
    <mergeCell ref="H2:I2"/>
    <mergeCell ref="B3:G3"/>
    <mergeCell ref="H3:I3"/>
    <mergeCell ref="B4:G4"/>
    <mergeCell ref="H4:I4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tabSelected="1" workbookViewId="0">
      <selection activeCell="F14" sqref="F14"/>
    </sheetView>
    <sheetView tabSelected="1" zoomScale="85" zoomScaleNormal="85" workbookViewId="1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90" t="s">
        <v>625</v>
      </c>
      <c r="B1" s="90"/>
      <c r="C1" s="90"/>
      <c r="D1" s="90"/>
      <c r="E1" s="90"/>
      <c r="F1" s="90"/>
      <c r="G1" s="70"/>
      <c r="H1" s="70"/>
    </row>
    <row r="2" spans="1:8" ht="15.6" x14ac:dyDescent="0.3">
      <c r="A2" s="66" t="s">
        <v>626</v>
      </c>
      <c r="B2" s="109" t="s">
        <v>2</v>
      </c>
      <c r="C2" s="109"/>
      <c r="D2" s="109"/>
      <c r="E2" s="111" t="s">
        <v>631</v>
      </c>
      <c r="F2" s="111"/>
      <c r="G2" s="67" t="s">
        <v>5</v>
      </c>
      <c r="H2" s="71" t="s">
        <v>591</v>
      </c>
    </row>
    <row r="3" spans="1:8" ht="32.4" customHeight="1" x14ac:dyDescent="0.3">
      <c r="A3" s="80">
        <v>1</v>
      </c>
      <c r="B3" s="110" t="s">
        <v>188</v>
      </c>
      <c r="C3" s="110"/>
      <c r="D3" s="110"/>
      <c r="E3" s="112" t="s">
        <v>192</v>
      </c>
      <c r="F3" s="112"/>
      <c r="G3" s="80" t="s">
        <v>20</v>
      </c>
      <c r="H3" s="72">
        <f>E13</f>
        <v>23.9025</v>
      </c>
    </row>
    <row r="4" spans="1:8" ht="15.6" x14ac:dyDescent="0.3">
      <c r="A4" s="95"/>
      <c r="B4" s="95"/>
      <c r="C4" s="95"/>
      <c r="D4" s="95"/>
      <c r="E4" s="95"/>
      <c r="F4" s="95"/>
      <c r="G4" s="95"/>
      <c r="H4" s="95"/>
    </row>
    <row r="5" spans="1:8" ht="46.8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96"/>
      <c r="G5" s="96"/>
      <c r="H5" s="96"/>
    </row>
    <row r="6" spans="1:8" x14ac:dyDescent="0.3">
      <c r="A6" s="85" t="s">
        <v>557</v>
      </c>
      <c r="B6" s="85" t="s">
        <v>558</v>
      </c>
      <c r="C6" s="114">
        <v>18.5</v>
      </c>
      <c r="D6" s="115">
        <v>0.375</v>
      </c>
      <c r="E6" s="114">
        <f>C6*D6</f>
        <v>6.9375</v>
      </c>
      <c r="F6" s="96"/>
      <c r="G6" s="96"/>
      <c r="H6" s="96"/>
    </row>
    <row r="7" spans="1:8" x14ac:dyDescent="0.3">
      <c r="A7" s="84" t="s">
        <v>556</v>
      </c>
      <c r="B7" s="84" t="s">
        <v>515</v>
      </c>
      <c r="C7" s="113">
        <v>16</v>
      </c>
      <c r="D7" s="118">
        <v>0.61499999999999999</v>
      </c>
      <c r="E7" s="113">
        <f>C7*D7</f>
        <v>9.84</v>
      </c>
      <c r="F7" s="96"/>
      <c r="G7" s="96"/>
      <c r="H7" s="96"/>
    </row>
    <row r="8" spans="1:8" x14ac:dyDescent="0.3">
      <c r="A8" s="85" t="s">
        <v>469</v>
      </c>
      <c r="B8" s="85" t="s">
        <v>514</v>
      </c>
      <c r="C8" s="114">
        <v>9.5</v>
      </c>
      <c r="D8" s="115">
        <v>0.15</v>
      </c>
      <c r="E8" s="114">
        <f t="shared" ref="E8:E12" si="0">C8*D8</f>
        <v>1.425</v>
      </c>
      <c r="F8" s="96"/>
      <c r="G8" s="96"/>
      <c r="H8" s="96"/>
    </row>
    <row r="9" spans="1:8" x14ac:dyDescent="0.3">
      <c r="A9" s="84" t="s">
        <v>469</v>
      </c>
      <c r="B9" s="84" t="s">
        <v>514</v>
      </c>
      <c r="C9" s="113">
        <v>9.3000000000000007</v>
      </c>
      <c r="D9" s="118">
        <v>0.15</v>
      </c>
      <c r="E9" s="113">
        <f t="shared" si="0"/>
        <v>1.395</v>
      </c>
      <c r="F9" s="96"/>
      <c r="G9" s="96"/>
      <c r="H9" s="96"/>
    </row>
    <row r="10" spans="1:8" x14ac:dyDescent="0.3">
      <c r="A10" s="85" t="s">
        <v>498</v>
      </c>
      <c r="B10" s="85" t="s">
        <v>514</v>
      </c>
      <c r="C10" s="114">
        <v>10.3</v>
      </c>
      <c r="D10" s="115">
        <v>0.15</v>
      </c>
      <c r="E10" s="114">
        <f t="shared" si="0"/>
        <v>1.5450000000000002</v>
      </c>
      <c r="F10" s="96"/>
      <c r="G10" s="96"/>
      <c r="H10" s="96"/>
    </row>
    <row r="11" spans="1:8" x14ac:dyDescent="0.3">
      <c r="A11" s="84" t="s">
        <v>504</v>
      </c>
      <c r="B11" s="84" t="s">
        <v>514</v>
      </c>
      <c r="C11" s="113">
        <v>9.1999999999999993</v>
      </c>
      <c r="D11" s="118">
        <v>0.15</v>
      </c>
      <c r="E11" s="113">
        <f t="shared" si="0"/>
        <v>1.38</v>
      </c>
      <c r="F11" s="96"/>
      <c r="G11" s="96"/>
      <c r="H11" s="96"/>
    </row>
    <row r="12" spans="1:8" x14ac:dyDescent="0.3">
      <c r="A12" s="85" t="s">
        <v>507</v>
      </c>
      <c r="B12" s="85" t="s">
        <v>514</v>
      </c>
      <c r="C12" s="114">
        <v>9.1999999999999993</v>
      </c>
      <c r="D12" s="115">
        <v>0.15</v>
      </c>
      <c r="E12" s="114">
        <f t="shared" ref="E12" si="1">C12*D12</f>
        <v>1.38</v>
      </c>
      <c r="F12" s="96"/>
      <c r="G12" s="96"/>
      <c r="H12" s="96"/>
    </row>
    <row r="13" spans="1:8" x14ac:dyDescent="0.3">
      <c r="A13" s="117"/>
      <c r="B13" s="117"/>
      <c r="C13" s="117"/>
      <c r="D13" t="s">
        <v>642</v>
      </c>
      <c r="E13" s="116">
        <f>SUM(E6:E12)</f>
        <v>23.9025</v>
      </c>
      <c r="F13" s="96"/>
      <c r="G13" s="96"/>
      <c r="H13" s="96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КП</vt:lpstr>
      <vt:lpstr>Пом</vt:lpstr>
      <vt:lpstr>Лист2</vt:lpstr>
      <vt:lpstr>5.1</vt:lpstr>
      <vt:lpstr>5.2</vt:lpstr>
      <vt:lpstr>Типы</vt:lpstr>
      <vt:lpstr>6.1</vt:lpstr>
      <vt:lpstr>6.2</vt:lpstr>
      <vt:lpstr>4.1</vt:lpstr>
      <vt:lpstr>4.2</vt:lpstr>
      <vt:lpstr>7-Кер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2026-03-24T18:01:36Z</dcterms:modified>
  <cp:category/>
</cp:coreProperties>
</file>