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2\floors\"/>
    </mc:Choice>
  </mc:AlternateContent>
  <bookViews>
    <workbookView xWindow="0" yWindow="0" windowWidth="16056" windowHeight="8520" activeTab="1"/>
  </bookViews>
  <sheets>
    <sheet name="9.7оргПлт" sheetId="25" r:id="rId1"/>
    <sheet name="9.5Мср" sheetId="24" r:id="rId2"/>
    <sheet name="9.4орг" sheetId="23" r:id="rId3"/>
    <sheet name="9.2плтк" sheetId="22" r:id="rId4"/>
    <sheet name="9.1шлфк" sheetId="21" r:id="rId5"/>
    <sheet name="8.1_орг" sheetId="20" r:id="rId6"/>
    <sheet name="7-Кер" sheetId="15" r:id="rId7"/>
    <sheet name="6.3_ост" sheetId="17" r:id="rId8"/>
    <sheet name="5.3_нал_пл" sheetId="16" r:id="rId9"/>
    <sheet name="4.3_ост" sheetId="18" r:id="rId10"/>
    <sheet name="КП" sheetId="3" r:id="rId11"/>
    <sheet name="Пом" sheetId="4" r:id="rId12"/>
    <sheet name="Лист2" sheetId="7" r:id="rId13"/>
    <sheet name="Типы" sheetId="5" r:id="rId14"/>
    <sheet name="5.1" sheetId="6" r:id="rId15"/>
    <sheet name="5.2" sheetId="8" r:id="rId16"/>
    <sheet name="6.1" sheetId="10" r:id="rId17"/>
    <sheet name="6.2" sheetId="11" r:id="rId18"/>
    <sheet name="4.1" sheetId="13" r:id="rId19"/>
    <sheet name="4.2" sheetId="14" r:id="rId20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5" l="1"/>
  <c r="J3" i="25" s="1"/>
  <c r="C12" i="24" l="1"/>
  <c r="J3" i="24" s="1"/>
  <c r="C9" i="23" l="1"/>
  <c r="K3" i="23" s="1"/>
  <c r="D11" i="22" l="1"/>
  <c r="G4" i="22" l="1"/>
  <c r="G6" i="22"/>
  <c r="D16" i="22"/>
  <c r="G5" i="22" s="1"/>
  <c r="C14" i="22"/>
  <c r="C15" i="22"/>
  <c r="C16" i="22"/>
  <c r="G3" i="22" s="1"/>
  <c r="B6" i="21" l="1"/>
  <c r="B9" i="21" l="1"/>
  <c r="F3" i="21" s="1"/>
  <c r="G36" i="20" l="1"/>
  <c r="K29" i="20" l="1"/>
  <c r="K3" i="20" l="1"/>
  <c r="C32" i="20"/>
  <c r="G10" i="16" l="1"/>
  <c r="C50" i="18" l="1"/>
  <c r="G36" i="18"/>
  <c r="K31" i="18"/>
  <c r="K30" i="18"/>
  <c r="C26" i="18"/>
  <c r="G10" i="18"/>
  <c r="K4" i="18"/>
  <c r="K3" i="18"/>
  <c r="C60" i="17"/>
  <c r="K33" i="17" s="1"/>
  <c r="G44" i="17"/>
  <c r="K34" i="17"/>
  <c r="C28" i="17"/>
  <c r="G12" i="17"/>
  <c r="K4" i="17"/>
  <c r="K3" i="17"/>
  <c r="C17" i="8"/>
  <c r="K3" i="8" s="1"/>
  <c r="G66" i="16"/>
  <c r="C65" i="16"/>
  <c r="K45" i="16"/>
  <c r="C41" i="16"/>
  <c r="K3" i="16" s="1"/>
  <c r="E9" i="15" l="1"/>
  <c r="E10" i="15"/>
  <c r="E11" i="15"/>
  <c r="E12" i="15"/>
  <c r="E7" i="15"/>
  <c r="E8" i="15"/>
  <c r="E6" i="15"/>
  <c r="E13" i="15" l="1"/>
  <c r="H3" i="15" s="1"/>
  <c r="J122" i="3"/>
  <c r="C13" i="14"/>
  <c r="K3" i="14" s="1"/>
  <c r="P115" i="3" s="1"/>
  <c r="J115" i="3" s="1"/>
  <c r="J124" i="3"/>
  <c r="C13" i="13"/>
  <c r="K3" i="13" s="1"/>
  <c r="O112" i="3" s="1"/>
  <c r="J112" i="3" s="1"/>
  <c r="G10" i="11"/>
  <c r="K4" i="11" s="1"/>
  <c r="T248" i="3" s="1"/>
  <c r="J248" i="3" s="1"/>
  <c r="C14" i="11"/>
  <c r="K3" i="11" s="1"/>
  <c r="T268" i="3" s="1"/>
  <c r="J268" i="3" s="1"/>
  <c r="G10" i="10"/>
  <c r="K4" i="10" s="1"/>
  <c r="S243" i="3" s="1"/>
  <c r="J243" i="3" s="1"/>
  <c r="F8" i="4" l="1"/>
  <c r="C14" i="10"/>
  <c r="K3" i="10" s="1"/>
  <c r="S263" i="3" s="1"/>
  <c r="J263" i="3" s="1"/>
  <c r="R14" i="3" l="1"/>
  <c r="J14" i="3" s="1"/>
  <c r="C18" i="6"/>
  <c r="K3" i="6" s="1"/>
  <c r="Q11" i="3" l="1"/>
  <c r="J11" i="3" s="1"/>
  <c r="F45" i="4"/>
  <c r="F38" i="4" l="1"/>
  <c r="J99" i="3"/>
  <c r="J93" i="3"/>
  <c r="J67" i="3"/>
  <c r="J61" i="3"/>
  <c r="J55" i="3"/>
</calcChain>
</file>

<file path=xl/sharedStrings.xml><?xml version="1.0" encoding="utf-8"?>
<sst xmlns="http://schemas.openxmlformats.org/spreadsheetml/2006/main" count="2754" uniqueCount="709">
  <si>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</si>
  <si>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</si>
  <si>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</si>
  <si>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</si>
  <si>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</si>
  <si>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</si>
  <si>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</si>
  <si>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</si>
  <si>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</si>
  <si>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1.1.1.1.1.1</t>
  </si>
  <si>
    <t>6.3.1.5.1</t>
  </si>
  <si>
    <t>Полы</t>
  </si>
  <si>
    <t>1.1.1.1.1.1.1</t>
  </si>
  <si>
    <t>6.3.1.5.1.1</t>
  </si>
  <si>
    <t xml:space="preserve">Подготовка полов под финишное покрытие </t>
  </si>
  <si>
    <t>1.1.1.1.1.1.1.1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</si>
  <si>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</si>
  <si>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</si>
  <si>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</si>
  <si>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2 этаж</t>
  </si>
  <si>
    <t>м2</t>
  </si>
  <si>
    <t>1.1.1.1.1.1.1.1.1</t>
  </si>
  <si>
    <t>Наливной пол_ / Унифицированный по ПИК-СТАНДАРТ</t>
  </si>
  <si>
    <t>кг</t>
  </si>
  <si>
    <t>1.1.1.1.1.1.1.1.2</t>
  </si>
  <si>
    <t>Грунтовка универсальный ЛАСТИМИН_ / УНКОНТ ЛЮКС LP51 А</t>
  </si>
  <si>
    <t>1.1.1.1.1.1.1.2</t>
  </si>
  <si>
    <t>Устройство наливных полов с огрунтовкой поверхности и проклейкой демпферной лентой / толщ. до 10 мм</t>
  </si>
  <si>
    <t>3 этаж</t>
  </si>
  <si>
    <t>1.1.1.1.1.1.1.2.1</t>
  </si>
  <si>
    <t>1.1.1.1.1.1.1.2.2</t>
  </si>
  <si>
    <t>Лента кромочная демпферная_/8*100мм/20м</t>
  </si>
  <si>
    <t>пог. м</t>
  </si>
  <si>
    <t>1.1.1.1.1.1.1.2.3</t>
  </si>
  <si>
    <t>1.1.1.1.1.1.1.3</t>
  </si>
  <si>
    <t>1.1.1.1.1.1.1.3.1</t>
  </si>
  <si>
    <t>1.1.1.1.1.1.1.3.2</t>
  </si>
  <si>
    <t>1.1.1.1.1.1.1.4</t>
  </si>
  <si>
    <t>1.1.1.1.1.1.1.4.1</t>
  </si>
  <si>
    <t>1.1.1.1.1.1.1.4.2</t>
  </si>
  <si>
    <t>1.1.1.1.1.1.1.5</t>
  </si>
  <si>
    <t>6.3.1.5.1.1.7.1</t>
  </si>
  <si>
    <t xml:space="preserve">Замоноличивание мест прохождения стояков труб </t>
  </si>
  <si>
    <t>Замоноличивание проходок инж. сетей в перекрытиях 2-3 этаж, 3 этаж-кровля.</t>
  </si>
  <si>
    <t>м3</t>
  </si>
  <si>
    <t>1.1.1.1.1.1.1.5.1</t>
  </si>
  <si>
    <t>Смесь цементно-песчаная М200</t>
  </si>
  <si>
    <t>1.1.1.1.1.1.1.6</t>
  </si>
  <si>
    <t>1.1.1.1.1.1.1.6.1</t>
  </si>
  <si>
    <t>1.1.1.1.1.1.1.7</t>
  </si>
  <si>
    <t>6.3.1.5.1.1.11.3</t>
  </si>
  <si>
    <t>Устройство стяжки СКБ / армированная сеткой от 41 мм до 60мм</t>
  </si>
  <si>
    <t>2 этаж. Стяжка полусухая армированная, толщиной 50 мм.
Тип: П18, П-18.1</t>
  </si>
  <si>
    <t>1.1.1.1.1.1.1.7.1</t>
  </si>
  <si>
    <t>Фиксатор арматуры Звездочка_/15/4-16</t>
  </si>
  <si>
    <t>шт</t>
  </si>
  <si>
    <t>1.1.1.1.1.1.1.7.2</t>
  </si>
  <si>
    <t>Фиброволокно_/7-12мм</t>
  </si>
  <si>
    <t>1.1.1.1.1.1.1.7.3</t>
  </si>
  <si>
    <t>Сетка эл/св_/100*100*5</t>
  </si>
  <si>
    <t>1.1.1.1.1.1.1.7.4</t>
  </si>
  <si>
    <t>Портландцемент_/М500</t>
  </si>
  <si>
    <t>1.1.1.1.1.1.1.7.5</t>
  </si>
  <si>
    <t>Песок_ / речной / мытый</t>
  </si>
  <si>
    <t>1.1.1.1.1.1.1.7.6</t>
  </si>
  <si>
    <t>1.1.1.1.1.1.1.7.7</t>
  </si>
  <si>
    <t>1.1.1.1.1.1.1.8</t>
  </si>
  <si>
    <t>2 этаж. Стяжка полусухая армированная, толщиной 60 мм</t>
  </si>
  <si>
    <t>1.1.1.1.1.1.1.8.1</t>
  </si>
  <si>
    <t>1.1.1.1.1.1.1.8.2</t>
  </si>
  <si>
    <t>1.1.1.1.1.1.1.8.3</t>
  </si>
  <si>
    <t>1.1.1.1.1.1.1.8.4</t>
  </si>
  <si>
    <t>1.1.1.1.1.1.1.8.5</t>
  </si>
  <si>
    <t>1.1.1.1.1.1.1.8.6</t>
  </si>
  <si>
    <t>1.1.1.1.1.1.1.8.7</t>
  </si>
  <si>
    <t>1.1.1.1.1.1.1.9</t>
  </si>
  <si>
    <t>Устройство стяжки СКБ / армированная сеткой от 41 мм до 60 мм</t>
  </si>
  <si>
    <t>3 этаж. Стяжка толщиной 60 мм. Тип: П-14</t>
  </si>
  <si>
    <t>1.1.1.1.1.1.1.9.1</t>
  </si>
  <si>
    <t>1.1.1.1.1.1.1.9.2</t>
  </si>
  <si>
    <t>Смесь цементно-песчаная сухая_/М150</t>
  </si>
  <si>
    <t>1.1.1.1.1.1.1.9.3</t>
  </si>
  <si>
    <t>1.1.1.1.1.1.1.9.4</t>
  </si>
  <si>
    <t>1.1.1.1.1.1.1.9.5</t>
  </si>
  <si>
    <t>1.1.1.1.1.1.1.10</t>
  </si>
  <si>
    <t>2 этаж. Стяжка толщиной 60 мм. П-14</t>
  </si>
  <si>
    <t>1.1.1.1.1.1.1.10.1</t>
  </si>
  <si>
    <t>1.1.1.1.1.1.1.10.2</t>
  </si>
  <si>
    <t>1.1.1.1.1.1.1.10.3</t>
  </si>
  <si>
    <t>1.1.1.1.1.1.1.10.4</t>
  </si>
  <si>
    <t>1.1.1.1.1.1.1.10.5</t>
  </si>
  <si>
    <t>1.1.1.1.1.1.1.11</t>
  </si>
  <si>
    <t>2 этаж. Стяжка толщиной 50 мм. Тип: П18, П-18.1</t>
  </si>
  <si>
    <t>1.1.1.1.1.1.1.11.1</t>
  </si>
  <si>
    <t>1.1.1.1.1.1.1.11.2</t>
  </si>
  <si>
    <t>1.1.1.1.1.1.1.11.3</t>
  </si>
  <si>
    <t>1.1.1.1.1.1.1.11.4</t>
  </si>
  <si>
    <t>1.1.1.1.1.1.1.11.5</t>
  </si>
  <si>
    <t>1.1.1.1.1.1.1.12</t>
  </si>
  <si>
    <t>1.1.1.1.1.1.1.12.1</t>
  </si>
  <si>
    <t>1.1.1.1.1.1.1.12.2</t>
  </si>
  <si>
    <t>1.1.1.1.1.1.1.12.3</t>
  </si>
  <si>
    <t>1.1.1.1.1.1.1.12.4</t>
  </si>
  <si>
    <t>1.1.1.1.1.1.1.12.5</t>
  </si>
  <si>
    <t>1.1.1.1.1.1.1.13</t>
  </si>
  <si>
    <t>1.1.1.1.1.1.1.13.1</t>
  </si>
  <si>
    <t>1.1.1.1.1.1.1.13.2</t>
  </si>
  <si>
    <t>1.1.1.1.1.1.1.13.3</t>
  </si>
  <si>
    <t>1.1.1.1.1.1.1.13.4</t>
  </si>
  <si>
    <t>1.1.1.1.1.1.1.13.5</t>
  </si>
  <si>
    <t>1.1.1.1.1.1.1.14</t>
  </si>
  <si>
    <t>1.1.1.1.1.1.1.14.1</t>
  </si>
  <si>
    <t>1.1.1.1.1.1.1.14.2</t>
  </si>
  <si>
    <t>1.1.1.1.1.1.1.14.3</t>
  </si>
  <si>
    <t>1.1.1.1.1.1.1.14.4</t>
  </si>
  <si>
    <t>1.1.1.1.1.1.1.14.5</t>
  </si>
  <si>
    <t>1.1.1.1.1.1.1.15</t>
  </si>
  <si>
    <t>6.3.1.5.1.1.11.4</t>
  </si>
  <si>
    <t>Устройство стяжки СКБ / армированная сеткой от 61мм до 80мм</t>
  </si>
  <si>
    <t>2 этаж. Стяжка полусухая армированная, толщиной 65 мм</t>
  </si>
  <si>
    <t>1.1.1.1.1.1.1.15.1</t>
  </si>
  <si>
    <t>1.1.1.1.1.1.1.15.2</t>
  </si>
  <si>
    <t>1.1.1.1.1.1.1.15.3</t>
  </si>
  <si>
    <t>1.1.1.1.1.1.1.15.4</t>
  </si>
  <si>
    <t>1.1.1.1.1.1.1.15.5</t>
  </si>
  <si>
    <t>1.1.1.1.1.1.1.15.6</t>
  </si>
  <si>
    <t>1.1.1.1.1.1.1.15.7</t>
  </si>
  <si>
    <t>1.1.1.1.1.1.1.16</t>
  </si>
  <si>
    <t>Устройство стяжки СКБ / армированная сеткой от 61мм до 80 мм</t>
  </si>
  <si>
    <t>3 этаж. Стяжка толщиной 65 мм. Тип: П-12, П-13, П-15, П-16.</t>
  </si>
  <si>
    <t>1.1.1.1.1.1.1.16.1</t>
  </si>
  <si>
    <t>1.1.1.1.1.1.1.16.2</t>
  </si>
  <si>
    <t>1.1.1.1.1.1.1.16.3</t>
  </si>
  <si>
    <t>1.1.1.1.1.1.1.16.4</t>
  </si>
  <si>
    <t>1.1.1.1.1.1.1.16.5</t>
  </si>
  <si>
    <t>1.1.1.1.1.1.1.17</t>
  </si>
  <si>
    <t>2 этаж. Стяжка толщиной 65 мм. Тип: П-12, П-13, П-15, П-16.</t>
  </si>
  <si>
    <t>1.1.1.1.1.1.1.17.1</t>
  </si>
  <si>
    <t>1.1.1.1.1.1.1.17.2</t>
  </si>
  <si>
    <t>1.1.1.1.1.1.1.17.3</t>
  </si>
  <si>
    <t>1.1.1.1.1.1.1.17.4</t>
  </si>
  <si>
    <t>1.1.1.1.1.1.1.17.5</t>
  </si>
  <si>
    <t>1.1.1.1.1.1.1.18</t>
  </si>
  <si>
    <t>1.1.1.1.1.1.1.18.1</t>
  </si>
  <si>
    <t>1.1.1.1.1.1.1.18.2</t>
  </si>
  <si>
    <t>1.1.1.1.1.1.1.18.3</t>
  </si>
  <si>
    <t>1.1.1.1.1.1.1.18.4</t>
  </si>
  <si>
    <t>1.1.1.1.1.1.1.18.5</t>
  </si>
  <si>
    <t>1.1.1.1.1.1.1.19</t>
  </si>
  <si>
    <t>1.1.1.1.1.1.1.19.1</t>
  </si>
  <si>
    <t>1.1.1.1.1.1.1.19.2</t>
  </si>
  <si>
    <t>1.1.1.1.1.1.1.19.3</t>
  </si>
  <si>
    <t>1.1.1.1.1.1.1.19.4</t>
  </si>
  <si>
    <t>1.1.1.1.1.1.1.19.5</t>
  </si>
  <si>
    <t>1.1.1.1.1.1.2</t>
  </si>
  <si>
    <t>6.3.1.5.1.2</t>
  </si>
  <si>
    <t>Гидроизоляция, тепло-звукоизоляция, утепление</t>
  </si>
  <si>
    <t>1.1.1.1.1.1.2.1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</si>
  <si>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</si>
  <si>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</si>
  <si>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1.1.1.1.1.1.2.1.1</t>
  </si>
  <si>
    <t>Праймер битумный_ / Технониколь №01</t>
  </si>
  <si>
    <t>1.1.1.1.1.1.2.1.2</t>
  </si>
  <si>
    <t>Гидроизоляционная мастика_/ТЕХНОНИКОЛЬ №31</t>
  </si>
  <si>
    <t>1.1.1.1.1.1.2.2</t>
  </si>
  <si>
    <t>1.1.1.1.1.1.2.2.1</t>
  </si>
  <si>
    <t>1.1.1.1.1.1.2.2.2</t>
  </si>
  <si>
    <t>1.1.1.1.1.1.2.3</t>
  </si>
  <si>
    <t>1.1.1.1.1.1.2.3.1</t>
  </si>
  <si>
    <t>1.1.1.1.1.1.2.3.2</t>
  </si>
  <si>
    <t>1.1.1.1.1.1.2.4</t>
  </si>
  <si>
    <t>1.1.1.1.1.1.2.4.1</t>
  </si>
  <si>
    <t>1.1.1.1.1.1.2.4.2</t>
  </si>
  <si>
    <t>1.1.1.1.1.1.2.5</t>
  </si>
  <si>
    <t>6.3.1.5.1.2.4.5</t>
  </si>
  <si>
    <t>Устройство тепло-звукоизоляции полов / Рулонный материал / в 1 слой</t>
  </si>
  <si>
    <t>1.1.1.1.1.1.2.5.1</t>
  </si>
  <si>
    <t>Подложка из полистирола / isolon 500 1502</t>
  </si>
  <si>
    <t>Техноэласт Акустик - 5мм</t>
  </si>
  <si>
    <t>1.1.1.1.1.1.2.6</t>
  </si>
  <si>
    <t>1.1.1.1.1.1.2.6.1</t>
  </si>
  <si>
    <t>Техноэласт Акустик 5мм</t>
  </si>
  <si>
    <t>1.1.1.1.1.1.2.7</t>
  </si>
  <si>
    <t>1.1.1.1.1.1.2.7.1</t>
  </si>
  <si>
    <t>1.1.1.1.1.1.2.8</t>
  </si>
  <si>
    <t>1.1.1.1.1.1.2.8.1</t>
  </si>
  <si>
    <t>1.1.1.1.1.1.2.9</t>
  </si>
  <si>
    <t>6.3.1.5.1.2.5.1</t>
  </si>
  <si>
    <t>Утепление полов керамзитом</t>
  </si>
  <si>
    <t>1.1.1.1.1.1.2.9.1</t>
  </si>
  <si>
    <t>Керамзит_ / фр 10-20</t>
  </si>
  <si>
    <t>1.1.1.1.1.1.2.10</t>
  </si>
  <si>
    <t>2 и 3 этаж
47,6*0,15+16*0,615+18,5*0,375</t>
  </si>
  <si>
    <t>1.1.1.1.1.1.2.10.1</t>
  </si>
  <si>
    <t>1.1.1.1.1.1.2.11</t>
  </si>
  <si>
    <t>1.1.1.1.1.1.2.11.1</t>
  </si>
  <si>
    <t>1.1.1.1.1.1.2.12</t>
  </si>
  <si>
    <t>6.3.1.5.1.2.7.1</t>
  </si>
  <si>
    <t>Устройство деформационного шва</t>
  </si>
  <si>
    <t>2 и 3 этажи. ДШ-4 (пол).</t>
  </si>
  <si>
    <t>1.1.1.1.1.1.2.12.1</t>
  </si>
  <si>
    <t>Шов деформационный_ / ДШ-НС 210 / 50 С</t>
  </si>
  <si>
    <t>Накладной профиль для напольного деформационного шва Гидроконтур ДШ-АЛ-50/0, алюминий, при ширине деф. шва 50мм</t>
  </si>
  <si>
    <t>1.1.1.1.1.1.2.13</t>
  </si>
  <si>
    <t>2 и 3 этажи. ДШ-6 (пол).</t>
  </si>
  <si>
    <t>1.1.1.1.1.1.2.13.1</t>
  </si>
  <si>
    <t>Накладной профиль для напольного деформационного шва Гидроконтур ДШ-АЛ-50/0 УГЛ, алюминий, при ширине деф. шва 50мм</t>
  </si>
  <si>
    <t>1.1.1.1.1.1.2.14</t>
  </si>
  <si>
    <t>2 и 3 этажи. ДШ-2.1, ДШ-2.2 (потолок).</t>
  </si>
  <si>
    <t>1.1.1.1.1.1.2.14.1</t>
  </si>
  <si>
    <t>Накладной профиль для деформационного шва Гидроконтур ПСН-100: RAL 9003 - 31 п.м.; RAL 7016 - 27,8 п.м.</t>
  </si>
  <si>
    <t>1.1.1.1.1.1.2.15</t>
  </si>
  <si>
    <t>2 и 3 этажи. ДШ-3.1, ДШ-3.2 (потолок).</t>
  </si>
  <si>
    <t>1.1.1.1.1.1.2.15.1</t>
  </si>
  <si>
    <t>Накладной профиль для деформационного шва Гидроконтур ПСН-110 УГЛ: RAL 9003 - 7,1 п.м.; RAL 7016 - 15 п.м.</t>
  </si>
  <si>
    <t>1.1.1.1.1.1.2.16</t>
  </si>
  <si>
    <t>2 и 3 этажи. ДШ-2 (стены).</t>
  </si>
  <si>
    <t>1.1.1.1.1.1.2.16.1</t>
  </si>
  <si>
    <t>Накладной профиль для деформационного шва Гидроконтур ПСН-100 белый</t>
  </si>
  <si>
    <t>1.1.1.1.1.1.2.17</t>
  </si>
  <si>
    <t>2 и 3 этажи. ДШ-3 (стены).</t>
  </si>
  <si>
    <t>1.1.1.1.1.1.2.17.1</t>
  </si>
  <si>
    <t>Накладной угловой профиль для деформационного шва Гидроконтур ПСН-110 УГЛ, RAL 9003</t>
  </si>
  <si>
    <t>1.1.1.1.1.1.3</t>
  </si>
  <si>
    <t>6.3.1.5.1.3</t>
  </si>
  <si>
    <t>Устройство покрытия полов</t>
  </si>
  <si>
    <t>1.1.1.1.1.1.3.1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</si>
  <si>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</si>
  <si>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</si>
  <si>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2 этаж. Тип: КР-1, КР-6</t>
  </si>
  <si>
    <t>1.1.1.1.1.1.3.1.1</t>
  </si>
  <si>
    <t>Клей плиточный/ Унифицированный по ПИК-СТАНДАРТ</t>
  </si>
  <si>
    <t>Клей для плитки Стройбриг Базакс АС10 серый класс С0 Т 25 кг</t>
  </si>
  <si>
    <t>1.1.1.1.1.1.3.1.2</t>
  </si>
  <si>
    <t>Керамический гранит Kerama Marazzi Дайсен SG610300R 600x600x9мм обрезной светлый серый</t>
  </si>
  <si>
    <t>Керамогранит Kerama Marazzi SG502120R 200х800х11 мм,
Фрегат медовый бежевый (не ниже КМ1)</t>
  </si>
  <si>
    <t>1.1.1.1.1.1.3.1.3</t>
  </si>
  <si>
    <t>Керамическая плитка Pietra Pienza_ / светло-серый Матовый / K909010R0001VTP0/напольная / 600*600*8мм</t>
  </si>
  <si>
    <t>Керамогранит Kerama Marazzi Про Матрикс DD602020R и Джиминьяно DD642220R, 600х600х9мм.</t>
  </si>
  <si>
    <t>1.1.1.1.1.1.3.1.4</t>
  </si>
  <si>
    <t>Затирка Цезерит СE33_/04 серебристо-серый</t>
  </si>
  <si>
    <t>1.1.1.1.1.1.3.1.5</t>
  </si>
  <si>
    <t>Грунтовка универсальный ЛАСТИМИН_ / LP-51 А</t>
  </si>
  <si>
    <t>1.1.1.1.1.1.3.2</t>
  </si>
  <si>
    <t>6.3.1.5.1.3.2.1</t>
  </si>
  <si>
    <t>Устройство покрытия пола из линолеума</t>
  </si>
  <si>
    <t>Включая защиту ДВП</t>
  </si>
  <si>
    <t>1.1.1.1.1.1.3.2.1</t>
  </si>
  <si>
    <t>Клей для линолеума</t>
  </si>
  <si>
    <t>Клей акриловый для гибких напольных покрытий Kesto Plus 4 кг</t>
  </si>
  <si>
    <t>1.1.1.1.1.1.3.2.2</t>
  </si>
  <si>
    <t>Грунтовка _ / универсальная водно-дисперсионная</t>
  </si>
  <si>
    <t xml:space="preserve">Грунт универсальный Стройбриг Ластимин LP51 A </t>
  </si>
  <si>
    <t>1.1.1.1.1.1.3.2.3</t>
  </si>
  <si>
    <t>Сварочный шнур для линолеума (для объектов СКБ)_ / Tarkett / Сварочный шнур для спортивного линолеума серого для школы / 91542</t>
  </si>
  <si>
    <t>1.1.1.1.1.1.3.2.4</t>
  </si>
  <si>
    <t>Линолеум (для объектов СКБ)_ / 4 мм  / TEAL / Omnisports ACTION R40 / Tarkett / - / Спортивный линолеум для школы цветной</t>
  </si>
  <si>
    <t>1.1.1.1.1.1.3.3</t>
  </si>
  <si>
    <t>1.1.1.1.1.1.3.3.1</t>
  </si>
  <si>
    <t>1.1.1.1.1.1.3.3.2</t>
  </si>
  <si>
    <t>1.1.1.1.1.1.3.3.3</t>
  </si>
  <si>
    <t>Грунт универсальный Стройбриг Ластимин LP51 A</t>
  </si>
  <si>
    <t>1.1.1.1.1.1.3.3.4</t>
  </si>
  <si>
    <t>1.1.1.1.1.1.3.4</t>
  </si>
  <si>
    <t>6.3.1.5.1.3.8.1</t>
  </si>
  <si>
    <t>Установка стыковочных профилей</t>
  </si>
  <si>
    <t>2 этаж. ПР-4</t>
  </si>
  <si>
    <t>1.1.1.1.1.1.3.4.1</t>
  </si>
  <si>
    <t>Профиль T-образный ПМЮ-01_ / серебро матовое / 2700*30</t>
  </si>
  <si>
    <t>1.1.1.1.1.1.3.4.2</t>
  </si>
  <si>
    <t>Жидкие гвозди универсальные_/</t>
  </si>
  <si>
    <t>Клей монтажный акриловый Момент Fix Универсал белый 380 мл</t>
  </si>
  <si>
    <t>1.1.1.1.1.1.3.5</t>
  </si>
  <si>
    <t>3 этаж. ПР-3, ПР-4</t>
  </si>
  <si>
    <t>1.1.1.1.1.1.3.5.1</t>
  </si>
  <si>
    <t>1.1.1.1.1.1.3.5.2</t>
  </si>
  <si>
    <t>Т-образный профиль ПМЮ 01 (2700х30мм), цвет - серебро матовое</t>
  </si>
  <si>
    <t>1.1.1.1.1.1.3.5.3</t>
  </si>
  <si>
    <t>Профиль Г-образный алюминиевый / ПМЮ-017</t>
  </si>
  <si>
    <t>Г-образный противоскользящий ПВХ профиль Salag (132002) 42х15мм, цвет - 02 серый/серый</t>
  </si>
  <si>
    <t>1.1.1.1.1.1.3.6</t>
  </si>
  <si>
    <t>2 и 3 этажи. ПР-3</t>
  </si>
  <si>
    <t>1.1.1.1.1.1.3.6.1</t>
  </si>
  <si>
    <t>1.1.1.1.1.1.3.6.2</t>
  </si>
  <si>
    <t>1.1.1.1.1.1.3.7</t>
  </si>
  <si>
    <t>2 и 3 этажи. ПР-4</t>
  </si>
  <si>
    <t>1.1.1.1.1.1.3.7.1</t>
  </si>
  <si>
    <t>1.1.1.1.1.1.3.7.2</t>
  </si>
  <si>
    <t>1.1.1.1.1.1.3.8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</si>
  <si>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</si>
  <si>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</si>
  <si>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2 этаж. ПЛ-1</t>
  </si>
  <si>
    <t>1.1.1.1.1.1.3.8.1</t>
  </si>
  <si>
    <t>Керамический гранит Kerama marazzi_ / Светлый серый /  DD600300R, Estima LF01 UnitileVento grey PG  / 600х600х10мм</t>
  </si>
  <si>
    <t>Плинтус из керамогранита Kerama Marazzi Про матрикс
DD602200R/6BT 600x95х9 мм, цвет светло-серый</t>
  </si>
  <si>
    <t>1.1.1.1.1.1.3.8.2</t>
  </si>
  <si>
    <t>1.1.1.1.1.1.3.8.3</t>
  </si>
  <si>
    <t>1.1.1.1.1.1.3.9</t>
  </si>
  <si>
    <t>6.3.1.5.1.3.11.1</t>
  </si>
  <si>
    <t>Установка напольного плинтуса ПВХ, включая установку розетт на трубы отопления</t>
  </si>
  <si>
    <t>2 этаж. ПЛ-2</t>
  </si>
  <si>
    <t>1.1.1.1.1.1.3.9.1</t>
  </si>
  <si>
    <t>Плинтус  ПВХ SMARTPROFILE AQUA37  / 95*37ММ 2,2М</t>
  </si>
  <si>
    <t>Плинтус гибкий ПВХ Dollken WL 100 0146, цвет светло-серый RAL 7046, КМ2</t>
  </si>
  <si>
    <t>1.1.1.1.1.1.3.9.2</t>
  </si>
  <si>
    <t>1.1.1.1.1.1.3.10</t>
  </si>
  <si>
    <t>6.3.1.5.1.3.14.1</t>
  </si>
  <si>
    <t>Устройство покрытия пола из кварцвинила / на клею</t>
  </si>
  <si>
    <t>1.1.1.1.1.1.3.10.1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</si>
  <si>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</si>
  <si>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полиуретановый для ПВХ плитки двухкомпонентный Homa Homakoll Tile 2K PU 4,3 кг</t>
  </si>
  <si>
    <t>1.1.1.1.1.1.3.10.2</t>
  </si>
  <si>
    <t>Кварц-виниловая плитка / SPC VIVA Series с защитным слоем 0,3мм</t>
  </si>
  <si>
    <t>Плитка ПВХ Forbo Effekta Professional 8060 T Light Concrete PRO 500х500х2 мм, защитый слой 0,8 мм, цвет светло-серый, КМ2</t>
  </si>
  <si>
    <t>1.1.1.1.1.1.3.11</t>
  </si>
  <si>
    <t>1.1.1.1.1.1.3.11.1</t>
  </si>
  <si>
    <t>Плитка ПВХ Forbo Effekta Professional 8060 T Light Concrete PRO 500х500х2 мм, защитный слой 0,8 мм, цвет светло-серый, КМ2</t>
  </si>
  <si>
    <t>1.1.1.1.1.1.3.11.2</t>
  </si>
  <si>
    <t>1.1.1.1.1.1.3.12</t>
  </si>
  <si>
    <t>1.1.1.1.1.1.3.12.1</t>
  </si>
  <si>
    <t>1.1.1.1.1.1.3.12.2</t>
  </si>
  <si>
    <t>1.1.1.1.1.1.3.12.3</t>
  </si>
  <si>
    <t>1.1.1.1.1.1.3.13</t>
  </si>
  <si>
    <t>1.1.1.1.1.1.3.13.1</t>
  </si>
  <si>
    <t>1.1.1.1.1.1.3.13.2</t>
  </si>
  <si>
    <t>1.1.1.1.1.1.3.13.3</t>
  </si>
  <si>
    <t>1.1.1.1.1.1.3.14</t>
  </si>
  <si>
    <t>6.3.1.5.1.3.16.4</t>
  </si>
  <si>
    <t>Установка напольного плинтуса / полимерного на клею</t>
  </si>
  <si>
    <t>3 этаж. ПЛ-2</t>
  </si>
  <si>
    <t>1.1.1.1.1.1.3.14.1</t>
  </si>
  <si>
    <t>Плинтус для линолеума (для объектов СКБ) 100 мм WL 100 Dark Gray 0146 Dollken Плинтус для линолеума для детского сада и школ</t>
  </si>
  <si>
    <t>1.1.1.1.1.1.3.15</t>
  </si>
  <si>
    <t>1.1.1.1.1.1.3.15.1</t>
  </si>
  <si>
    <t>1.1.1.1.1.1.3.16</t>
  </si>
  <si>
    <t>1.1.1.1.1.1.3.16.1</t>
  </si>
  <si>
    <t>1.1.1.1.1.1.3.17</t>
  </si>
  <si>
    <t>1.1.1.1.1.1.3.17.1</t>
  </si>
  <si>
    <t>1.1.1.1.1.1.3.18</t>
  </si>
  <si>
    <t>6.3.1.5.1.3.19.1</t>
  </si>
  <si>
    <t>Устройство плинтуса из керамогранитной плитки СКБ</t>
  </si>
  <si>
    <t>1.1.1.1.1.1.3.18.1</t>
  </si>
  <si>
    <t>Плиточный клей_ / Унифицированный по ПИК-СТАНДАРТ</t>
  </si>
  <si>
    <t>1.1.1.1.1.1.3.18.2</t>
  </si>
  <si>
    <t>Плинтус керамогранитный Дайсен SG211200R/3BT 600х95мм светло-серый</t>
  </si>
  <si>
    <t>Плинтус из керамогранита, Kerama Marazzi Про Матрикс DD602200R/6BT, 600х95х9мм, светло-серый</t>
  </si>
  <si>
    <t>1.1.1.1.1.1.3.18.3</t>
  </si>
  <si>
    <t>Затирка Цезерит СE33_/13 атрацит</t>
  </si>
  <si>
    <t xml:space="preserve"> Ceresit CE33 04 серебристо-серый
</t>
  </si>
  <si>
    <t>1.1.1.1.1.1.3.18.4</t>
  </si>
  <si>
    <t>1.1.1.1.1.1.3.19</t>
  </si>
  <si>
    <t>1.1.1.1.1.1.3.19.1</t>
  </si>
  <si>
    <t>1.1.1.1.1.1.3.19.2</t>
  </si>
  <si>
    <t>1.1.1.1.1.1.3.19.3</t>
  </si>
  <si>
    <t>Керамическая плитка Коллиано_ / Серый / SG913000N / 300*300*8мм</t>
  </si>
  <si>
    <t>Плинтус из керамогранита Kerama Marazzi Коллиано SG913000N, 300х100х8мм, серый, затирка Ceresit CE 33 13 антрацит</t>
  </si>
  <si>
    <t>1.1.1.1.1.1.3.19.4</t>
  </si>
  <si>
    <t>1.1.1.1.1.1.3.20</t>
  </si>
  <si>
    <t>1.1.1.1.1.1.3.20.1</t>
  </si>
  <si>
    <t xml:space="preserve">Клей для плитки Стройбриг Базакс АС10 серый класс С0 Т 25 кг
</t>
  </si>
  <si>
    <t>1.1.1.1.1.1.3.20.2</t>
  </si>
  <si>
    <t>Керамогранит, Kerama Marazzi Про Матрикс DD602200R/6BT, 600х95х9мм, светло-серый</t>
  </si>
  <si>
    <t>1.1.1.1.1.1.3.20.3</t>
  </si>
  <si>
    <t xml:space="preserve">затирка Ceresit CE33 04 серебристо-серый, КМ0
</t>
  </si>
  <si>
    <t>1.1.1.1.1.1.3.20.4</t>
  </si>
  <si>
    <t>1.1.1.1.1.1.3.21</t>
  </si>
  <si>
    <t>3 этаж, ПЛ-1</t>
  </si>
  <si>
    <t>1.1.1.1.1.1.3.21.1</t>
  </si>
  <si>
    <t>1.1.1.1.1.1.3.21.2</t>
  </si>
  <si>
    <t xml:space="preserve"> Ceresit CE33 04 серебристо-серый</t>
  </si>
  <si>
    <t>1.1.1.1.1.1.3.21.3</t>
  </si>
  <si>
    <t>1.1.1.1.1.1.3.21.4</t>
  </si>
  <si>
    <t>1.1.1.1.1.1.3.22</t>
  </si>
  <si>
    <t>3 этаж, ПЛ-4</t>
  </si>
  <si>
    <t>1.1.1.1.1.1.3.22.1</t>
  </si>
  <si>
    <t>1.1.1.1.1.1.3.22.2</t>
  </si>
  <si>
    <t>Плинтус из керамогранита Kerama Marazzi Коллиано SG913000N, 300х100х8мм, серый</t>
  </si>
  <si>
    <t>1.1.1.1.1.1.3.22.3</t>
  </si>
  <si>
    <t>1.1.1.1.1.1.3.22.4</t>
  </si>
  <si>
    <t>1.1.1.1.1.1.3.23</t>
  </si>
  <si>
    <t>1.1.1.1.1.1.3.23.1</t>
  </si>
  <si>
    <t>1.1.1.1.1.1.3.23.2</t>
  </si>
  <si>
    <t>затирка Ceresit CE33 04 серебристо-серый, КМ0</t>
  </si>
  <si>
    <t>1.1.1.1.1.1.3.23.3</t>
  </si>
  <si>
    <t>1.1.1.1.1.1.3.23.4</t>
  </si>
  <si>
    <t>1.1.1.1.1.1.3.24</t>
  </si>
  <si>
    <t>6.3.1.5.1.3.20.1</t>
  </si>
  <si>
    <t>Устройство покрытия пола СКБ с затиркой и укрытием ДВП / из керамогранитной плитки до 0,2м2/шт</t>
  </si>
  <si>
    <t>2 этаж. КР-4</t>
  </si>
  <si>
    <t>1.1.1.1.1.1.3.24.1</t>
  </si>
  <si>
    <t>1.1.1.1.1.1.3.24.2</t>
  </si>
  <si>
    <t>1.1.1.1.1.1.3.24.3</t>
  </si>
  <si>
    <t>Керамогранит Kerama Marazzi Коллиано SG913000N, 300х300х8мм</t>
  </si>
  <si>
    <t>1.1.1.1.1.1.3.24.4</t>
  </si>
  <si>
    <t>1.1.1.1.1.1.3.25</t>
  </si>
  <si>
    <t>3 этаж. КР-4</t>
  </si>
  <si>
    <t>1.1.1.1.1.1.3.25.1</t>
  </si>
  <si>
    <t>1.1.1.1.1.1.3.25.2</t>
  </si>
  <si>
    <t xml:space="preserve"> Kerama Marazzi Коллиано SG913000N, 300х300х8мм</t>
  </si>
  <si>
    <t>1.1.1.1.1.1.3.25.3</t>
  </si>
  <si>
    <t>1.1.1.1.1.1.3.25.4</t>
  </si>
  <si>
    <t>1.1.1.1.1.1.3.26</t>
  </si>
  <si>
    <t>1.1.1.1.1.1.3.26.1</t>
  </si>
  <si>
    <t>1.1.1.1.1.1.3.26.2</t>
  </si>
  <si>
    <t>1.1.1.1.1.1.3.26.3</t>
  </si>
  <si>
    <t>1.1.1.1.1.1.3.26.4</t>
  </si>
  <si>
    <t>1.1.1.1.1.1.3.27</t>
  </si>
  <si>
    <t>1.1.1.1.1.1.3.27.1</t>
  </si>
  <si>
    <t>1.1.1.1.1.1.3.27.2</t>
  </si>
  <si>
    <t>1.1.1.1.1.1.3.27.3</t>
  </si>
  <si>
    <t>1.1.1.1.1.1.3.27.4</t>
  </si>
  <si>
    <t>1.1.1.1.1.1.3.28</t>
  </si>
  <si>
    <t>6.3.1.5.1.3.20.2</t>
  </si>
  <si>
    <t>Устройство покрытия пола СКБ с затиркой и укрытием ДВП / из керамогранитной плитки от 0,2м2/шт</t>
  </si>
  <si>
    <t>2 этаж. КР-1</t>
  </si>
  <si>
    <t>1.1.1.1.1.1.3.28.1</t>
  </si>
  <si>
    <t>Плиточный клей_ /  Унифицированный по ПИК-СТАНДАРТ</t>
  </si>
  <si>
    <t>1.1.1.1.1.1.3.28.2</t>
  </si>
  <si>
    <t>1.1.1.1.1.1.3.28.3</t>
  </si>
  <si>
    <t>Керамический гранит Kerama marazzi_ / Серый светлый / SG614800R/Напольный/Королевская дорога / 600*600*11</t>
  </si>
  <si>
    <t>Керамогранит, Kerama Marazzi Про Матрикс DD602020R, 600х600х9мм, светло-серый</t>
  </si>
  <si>
    <t>1.1.1.1.1.1.3.28.4</t>
  </si>
  <si>
    <t>1.1.1.1.1.1.3.29</t>
  </si>
  <si>
    <t>3 этаж. КР-1</t>
  </si>
  <si>
    <t>1.1.1.1.1.1.3.29.1</t>
  </si>
  <si>
    <t>1.1.1.1.1.1.3.29.2</t>
  </si>
  <si>
    <t>1.1.1.1.1.1.3.29.3</t>
  </si>
  <si>
    <t>1.1.1.1.1.1.3.29.4</t>
  </si>
  <si>
    <t>1.1.1.1.1.1.3.30</t>
  </si>
  <si>
    <t>1.1.1.1.1.1.3.30.1</t>
  </si>
  <si>
    <t>1.1.1.1.1.1.3.30.2</t>
  </si>
  <si>
    <t>1.1.1.1.1.1.3.30.3</t>
  </si>
  <si>
    <t>1.1.1.1.1.1.3.30.4</t>
  </si>
  <si>
    <t>1.1.1.1.1.1.3.31</t>
  </si>
  <si>
    <t>1.1.1.1.1.1.3.31.1</t>
  </si>
  <si>
    <t>1.1.1.1.1.1.3.31.2</t>
  </si>
  <si>
    <t>1.1.1.1.1.1.3.31.3</t>
  </si>
  <si>
    <t>1.1.1.1.1.1.3.31.4</t>
  </si>
  <si>
    <t>5.1-Нал</t>
  </si>
  <si>
    <t>П-12</t>
  </si>
  <si>
    <t>П-13</t>
  </si>
  <si>
    <t>3.066</t>
  </si>
  <si>
    <t>2.001</t>
  </si>
  <si>
    <t>2.002</t>
  </si>
  <si>
    <t>2.003</t>
  </si>
  <si>
    <t>2.004</t>
  </si>
  <si>
    <t>2.005</t>
  </si>
  <si>
    <t>2.012</t>
  </si>
  <si>
    <t>2.013</t>
  </si>
  <si>
    <t>2.014</t>
  </si>
  <si>
    <t>2.015</t>
  </si>
  <si>
    <t>2.016</t>
  </si>
  <si>
    <t>2.017</t>
  </si>
  <si>
    <t>2.022</t>
  </si>
  <si>
    <t>2.025</t>
  </si>
  <si>
    <t>2.030</t>
  </si>
  <si>
    <t>2.032</t>
  </si>
  <si>
    <t>2.036</t>
  </si>
  <si>
    <t>2.039</t>
  </si>
  <si>
    <t>2.040</t>
  </si>
  <si>
    <t>2.041</t>
  </si>
  <si>
    <t>2.042</t>
  </si>
  <si>
    <t>2.045</t>
  </si>
  <si>
    <t>2.046</t>
  </si>
  <si>
    <t>2.047</t>
  </si>
  <si>
    <t>2.048</t>
  </si>
  <si>
    <t>2.049</t>
  </si>
  <si>
    <t>2.050</t>
  </si>
  <si>
    <t>2.060</t>
  </si>
  <si>
    <t>2.061</t>
  </si>
  <si>
    <t>2.062</t>
  </si>
  <si>
    <t>2.064</t>
  </si>
  <si>
    <t>2.066</t>
  </si>
  <si>
    <t>2.067</t>
  </si>
  <si>
    <t>2.068</t>
  </si>
  <si>
    <t>2.071</t>
  </si>
  <si>
    <t>3.001</t>
  </si>
  <si>
    <t>3.002</t>
  </si>
  <si>
    <t>3.003</t>
  </si>
  <si>
    <t>3.004</t>
  </si>
  <si>
    <t>3.005</t>
  </si>
  <si>
    <t>3.010</t>
  </si>
  <si>
    <t>3.011</t>
  </si>
  <si>
    <t>3.012</t>
  </si>
  <si>
    <t>3.013</t>
  </si>
  <si>
    <t>3.014</t>
  </si>
  <si>
    <t>3.019</t>
  </si>
  <si>
    <t>3.021</t>
  </si>
  <si>
    <t>3.022</t>
  </si>
  <si>
    <t>3.023</t>
  </si>
  <si>
    <t>3.027</t>
  </si>
  <si>
    <t>3.028</t>
  </si>
  <si>
    <t>3.030</t>
  </si>
  <si>
    <t>3.031</t>
  </si>
  <si>
    <t>3.032</t>
  </si>
  <si>
    <t>3.035</t>
  </si>
  <si>
    <t>3.036</t>
  </si>
  <si>
    <t>3.037</t>
  </si>
  <si>
    <t>3.038</t>
  </si>
  <si>
    <t>3.039</t>
  </si>
  <si>
    <t>3.040</t>
  </si>
  <si>
    <t>3.041</t>
  </si>
  <si>
    <t>3.048</t>
  </si>
  <si>
    <t>3.049</t>
  </si>
  <si>
    <t>3.050</t>
  </si>
  <si>
    <t>3.051</t>
  </si>
  <si>
    <t>3.054</t>
  </si>
  <si>
    <t>3.058</t>
  </si>
  <si>
    <t>3.060</t>
  </si>
  <si>
    <t>3.061</t>
  </si>
  <si>
    <t>3.062</t>
  </si>
  <si>
    <t>3.063</t>
  </si>
  <si>
    <t>П-14</t>
  </si>
  <si>
    <t>П-15</t>
  </si>
  <si>
    <t>П-16</t>
  </si>
  <si>
    <t>П-18</t>
  </si>
  <si>
    <t>2.033</t>
  </si>
  <si>
    <t>2.037</t>
  </si>
  <si>
    <t>2.038</t>
  </si>
  <si>
    <t>3.053</t>
  </si>
  <si>
    <t>3.059</t>
  </si>
  <si>
    <t>2.010</t>
  </si>
  <si>
    <t>2.011</t>
  </si>
  <si>
    <t>2.018</t>
  </si>
  <si>
    <t>2.020</t>
  </si>
  <si>
    <t>2.021</t>
  </si>
  <si>
    <t>2.026</t>
  </si>
  <si>
    <t>2.027</t>
  </si>
  <si>
    <t>2.028</t>
  </si>
  <si>
    <t>2.029</t>
  </si>
  <si>
    <t>2.031</t>
  </si>
  <si>
    <t>2.034</t>
  </si>
  <si>
    <t>2.035</t>
  </si>
  <si>
    <t>2.051</t>
  </si>
  <si>
    <t>2.052</t>
  </si>
  <si>
    <t>2.053</t>
  </si>
  <si>
    <t>2.054</t>
  </si>
  <si>
    <t>2.059</t>
  </si>
  <si>
    <t>2.065</t>
  </si>
  <si>
    <t>2.069</t>
  </si>
  <si>
    <t>3.008</t>
  </si>
  <si>
    <t>3.009</t>
  </si>
  <si>
    <t>3.015</t>
  </si>
  <si>
    <t>3.017</t>
  </si>
  <si>
    <t>3.018</t>
  </si>
  <si>
    <t>3.025</t>
  </si>
  <si>
    <t>3.026</t>
  </si>
  <si>
    <t>3.029</t>
  </si>
  <si>
    <t>3.042</t>
  </si>
  <si>
    <t>3.043</t>
  </si>
  <si>
    <t>3.044</t>
  </si>
  <si>
    <t>3.045</t>
  </si>
  <si>
    <t>3.055</t>
  </si>
  <si>
    <t>3.057</t>
  </si>
  <si>
    <t>3.064</t>
  </si>
  <si>
    <t>3.065</t>
  </si>
  <si>
    <t>2.057</t>
  </si>
  <si>
    <t>2.007</t>
  </si>
  <si>
    <t>П-18.1</t>
  </si>
  <si>
    <t>2.006</t>
  </si>
  <si>
    <t>2.008</t>
  </si>
  <si>
    <t>2.009</t>
  </si>
  <si>
    <t>2.019</t>
  </si>
  <si>
    <t>2.023</t>
  </si>
  <si>
    <t>2.024</t>
  </si>
  <si>
    <t>2.043</t>
  </si>
  <si>
    <t>2.044</t>
  </si>
  <si>
    <t>2.055</t>
  </si>
  <si>
    <t>2.056</t>
  </si>
  <si>
    <t>2.058</t>
  </si>
  <si>
    <t>2.063</t>
  </si>
  <si>
    <t>2.070</t>
  </si>
  <si>
    <t>3.006</t>
  </si>
  <si>
    <t>3.007</t>
  </si>
  <si>
    <t>3.016</t>
  </si>
  <si>
    <t>3.020</t>
  </si>
  <si>
    <t>3.024</t>
  </si>
  <si>
    <t>3.033</t>
  </si>
  <si>
    <t>3.034</t>
  </si>
  <si>
    <t>3.046</t>
  </si>
  <si>
    <t>3.047</t>
  </si>
  <si>
    <t>3.052</t>
  </si>
  <si>
    <t>3.067</t>
  </si>
  <si>
    <t>Тип</t>
  </si>
  <si>
    <t>№ пом.</t>
  </si>
  <si>
    <t>1.1-Пл</t>
  </si>
  <si>
    <t>2.1-Пл</t>
  </si>
  <si>
    <t>3.1-Пл</t>
  </si>
  <si>
    <t>4-Пл</t>
  </si>
  <si>
    <t>Осталось</t>
  </si>
  <si>
    <t>5.2-Нал</t>
  </si>
  <si>
    <t>Объем</t>
  </si>
  <si>
    <t>КР-1</t>
  </si>
  <si>
    <t>Марка</t>
  </si>
  <si>
    <t>КР-4</t>
  </si>
  <si>
    <t>Л-1</t>
  </si>
  <si>
    <t>Н/Н</t>
  </si>
  <si>
    <t>КР-6</t>
  </si>
  <si>
    <t>Л-4</t>
  </si>
  <si>
    <t>КР-2</t>
  </si>
  <si>
    <t>КР-3</t>
  </si>
  <si>
    <t>КР3.1</t>
  </si>
  <si>
    <t>02 Этаж</t>
  </si>
  <si>
    <t>03 Этаж</t>
  </si>
  <si>
    <t>Тип2</t>
  </si>
  <si>
    <t>Этаж</t>
  </si>
  <si>
    <t>класс</t>
  </si>
  <si>
    <t>коридор</t>
  </si>
  <si>
    <t>лестница</t>
  </si>
  <si>
    <t>лифт</t>
  </si>
  <si>
    <t>инвентарь</t>
  </si>
  <si>
    <t>санузел</t>
  </si>
  <si>
    <t>зб МГН</t>
  </si>
  <si>
    <t>библиотека</t>
  </si>
  <si>
    <t>учительская</t>
  </si>
  <si>
    <t>книгохранелище</t>
  </si>
  <si>
    <t>подиум</t>
  </si>
  <si>
    <t>склад</t>
  </si>
  <si>
    <t>спортзал</t>
  </si>
  <si>
    <t>верхн ряды</t>
  </si>
  <si>
    <t>П-14, п-13</t>
  </si>
  <si>
    <t>Лестницы</t>
  </si>
  <si>
    <t>3 этаж (3.053, 3.059)</t>
  </si>
  <si>
    <t>2 этаж (2.033, 2.037, 2.038)</t>
  </si>
  <si>
    <t>2 этаж (спорт зал)</t>
  </si>
  <si>
    <t>Ведомость работ и используемых материалов</t>
  </si>
  <si>
    <t>№ п.п.</t>
  </si>
  <si>
    <t>№ 
пом.</t>
  </si>
  <si>
    <t>Тип пола</t>
  </si>
  <si>
    <t>Площадь,
м2.</t>
  </si>
  <si>
    <t>Итог:</t>
  </si>
  <si>
    <t>Описание</t>
  </si>
  <si>
    <t>3 этаж. 
КР-1</t>
  </si>
  <si>
    <t>3 этаж. 
КР-4</t>
  </si>
  <si>
    <t>6.1-Пл</t>
  </si>
  <si>
    <t>6.2-Пл</t>
  </si>
  <si>
    <t>2 этаж
Тип П-15</t>
  </si>
  <si>
    <t>3 этаж
Тип П-15</t>
  </si>
  <si>
    <t>4.1-Из</t>
  </si>
  <si>
    <t>4.2-Из</t>
  </si>
  <si>
    <t>Высота, м</t>
  </si>
  <si>
    <t>Объем, м3</t>
  </si>
  <si>
    <t xml:space="preserve">Итог: </t>
  </si>
  <si>
    <t>2 этаж. 
КР-4</t>
  </si>
  <si>
    <t>2 этаж. 
КР-1</t>
  </si>
  <si>
    <t>Защитные мероприятия по защите пола от повреждений</t>
  </si>
  <si>
    <t>1, 2, 3 этаж.
Оргалит</t>
  </si>
  <si>
    <t>№ 
п. п.</t>
  </si>
  <si>
    <t>1.052</t>
  </si>
  <si>
    <t>1.012</t>
  </si>
  <si>
    <t>1.014</t>
  </si>
  <si>
    <t>1.013</t>
  </si>
  <si>
    <t>1.025</t>
  </si>
  <si>
    <t>1.026</t>
  </si>
  <si>
    <t>1.031</t>
  </si>
  <si>
    <t>1.033</t>
  </si>
  <si>
    <t>1.018</t>
  </si>
  <si>
    <t>1.019</t>
  </si>
  <si>
    <t>1.020</t>
  </si>
  <si>
    <t>1.021</t>
  </si>
  <si>
    <t>1.035</t>
  </si>
  <si>
    <t>1.036</t>
  </si>
  <si>
    <t>1.037</t>
  </si>
  <si>
    <t>1.038</t>
  </si>
  <si>
    <t>1.040</t>
  </si>
  <si>
    <t>1.041</t>
  </si>
  <si>
    <t>1.042</t>
  </si>
  <si>
    <t>1.089</t>
  </si>
  <si>
    <t>1.103</t>
  </si>
  <si>
    <t>1.106</t>
  </si>
  <si>
    <t>1.107</t>
  </si>
  <si>
    <t>1.108</t>
  </si>
  <si>
    <t>1.109</t>
  </si>
  <si>
    <t>1.046</t>
  </si>
  <si>
    <t>№ 
этажа</t>
  </si>
  <si>
    <t>1, 2, 3 этаж.</t>
  </si>
  <si>
    <t>Площадь шлифования наливного пола</t>
  </si>
  <si>
    <t>1.088</t>
  </si>
  <si>
    <t>ПВХ плитка и плинтус</t>
  </si>
  <si>
    <t>1.032</t>
  </si>
  <si>
    <t>плинтус, пог.м.</t>
  </si>
  <si>
    <t>объем, м2.</t>
  </si>
  <si>
    <t>пом.</t>
  </si>
  <si>
    <t>№ п.п</t>
  </si>
  <si>
    <t>Керамогранитная плитка и плинтус</t>
  </si>
  <si>
    <t>Установка напольного плинтуса ПВХ</t>
  </si>
  <si>
    <t>Объем, м2</t>
  </si>
  <si>
    <t>Наименование</t>
  </si>
  <si>
    <t>Ведомость работ</t>
  </si>
  <si>
    <t>Устройство плинтуса из керамогранитной плитки</t>
  </si>
  <si>
    <t>Устройство покрытия пола из ПВХ плитки</t>
  </si>
  <si>
    <t>1 этаж 500х500х2,55 мм
Виниловая ПВХ плитка, Forbo Effekta
Professional 8061 T Natural Concrete PRO,</t>
  </si>
  <si>
    <t>1-2 этаж Керамогранит, Kerama Marazzi Про Матрикс
DD602020R серый светлый, 600х600х9мм</t>
  </si>
  <si>
    <t>Устройство покрытия пола из керамогранитной плитки</t>
  </si>
  <si>
    <t>1 этаж Гибкий плинтус ПВХ, Dollken WL 100 Серый 146,
высота 100мм, В1, Д2, Т2, РП1, Г1 (КМ2)</t>
  </si>
  <si>
    <t>1-2 этаж Плинтус из керамогранита, Kerama Marazzi Про
Матрикс DD602020R/6BT, 600х95(h)х9мм, серый
светлый, затирка Ceresit CE 33, 04
серебристо-серый, НГ</t>
  </si>
  <si>
    <t>№ 
эт.</t>
  </si>
  <si>
    <t>1.072</t>
  </si>
  <si>
    <t>Уборка мусора / ММП1, ММП2, обед-ый зал, подвал, спорт-зал 1, спорт-зал 2.</t>
  </si>
  <si>
    <t>подв.</t>
  </si>
  <si>
    <t>т.</t>
  </si>
  <si>
    <t>Площадь,
т.</t>
  </si>
  <si>
    <t>1, 2, 3 этаж.
Оргалит
Защита плитки от покраски потолка</t>
  </si>
  <si>
    <t>шт.</t>
  </si>
  <si>
    <t>подвал 
1, 2, 3 этаж.</t>
  </si>
  <si>
    <t xml:space="preserve"> 504 т.</t>
  </si>
  <si>
    <t xml:space="preserve"> 380 т.</t>
  </si>
  <si>
    <t>Талоны / контейнер / 8 м3</t>
  </si>
  <si>
    <t>Талоны / контейнер / 20 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</si>
</sst>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₽_-;\-* #,##0.00\ _₽_-;_-* &quot;-&quot;??\ _₽_-;_-@_-"/>
    <numFmt numFmtId="164" formatCode="#,##0.000"/>
    <numFmt numFmtId="165" formatCode="_-* #,##0.0\ _₽_-;\-* #,##0.0\ _₽_-;_-* &quot;-&quot;??\ _₽_-;_-@_-"/>
    <numFmt numFmtId="166" formatCode="0.0"/>
    <numFmt numFmtId="167" formatCode="0.000"/>
  </numFmts>
  <fonts count="31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4" tint="-0.249977111117893"/>
      <name val="Calibri"/>
      <family val="2"/>
      <charset val="204"/>
    </font>
    <font>
      <sz val="11"/>
      <color rgb="FF00B050"/>
      <name val="Calibri"/>
      <family val="2"/>
      <charset val="204"/>
    </font>
    <font>
      <sz val="14"/>
      <color rgb="FF00B050"/>
      <name val="Times New Roman"/>
      <family val="1"/>
      <charset val="204"/>
    </font>
    <font>
      <sz val="14"/>
      <color rgb="FF7030A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theme="4" tint="-0.249977111117893"/>
      <name val="Calibri"/>
      <family val="2"/>
      <charset val="204"/>
    </font>
    <font>
      <b/>
      <sz val="12"/>
      <color theme="1"/>
      <name val="ГОСТ тип А"/>
      <family val="2"/>
      <charset val="204"/>
    </font>
    <font>
      <b/>
      <sz val="12"/>
      <color rgb="FF000000"/>
      <name val="ГОСТ тип А"/>
      <family val="2"/>
      <charset val="204"/>
    </font>
    <font>
      <b/>
      <sz val="12"/>
      <color theme="4" tint="-0.249977111117893"/>
      <name val="ГОСТ тип А"/>
      <family val="2"/>
      <charset val="204"/>
    </font>
    <font>
      <sz val="12"/>
      <color rgb="FF000000"/>
      <name val="ГОСТ тип А"/>
      <family val="2"/>
      <charset val="204"/>
    </font>
    <font>
      <sz val="12"/>
      <color theme="4" tint="-0.249977111117893"/>
      <name val="ГОСТ тип А"/>
      <family val="2"/>
      <charset val="204"/>
    </font>
    <font>
      <sz val="12"/>
      <name val="ГОСТ тип А"/>
      <family val="2"/>
      <charset val="204"/>
    </font>
    <font>
      <sz val="11"/>
      <color theme="6" tint="-0.499984740745262"/>
      <name val="Calibri"/>
      <family val="2"/>
      <charset val="204"/>
    </font>
    <font>
      <sz val="11"/>
      <color theme="4" tint="-0.249977111117893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ГОСТ тип А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i/>
      <sz val="12"/>
      <color theme="1"/>
      <name val="ГОСТ тип А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8E4BC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0" fontId="1" fillId="0" borderId="0"/>
  </cellStyleXfs>
  <cellXfs count="172">
    <xf numFmtId="0" fontId="0" fillId="0" borderId="0" xfId="0"/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16" fontId="3" fillId="0" borderId="3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8" xfId="0" applyBorder="1"/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164" fontId="4" fillId="3" borderId="8" xfId="0" applyNumberFormat="1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right" vertical="center" wrapText="1"/>
    </xf>
    <xf numFmtId="0" fontId="4" fillId="3" borderId="8" xfId="0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right" vertical="center" wrapText="1"/>
    </xf>
    <xf numFmtId="164" fontId="7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164" fontId="4" fillId="0" borderId="10" xfId="0" applyNumberFormat="1" applyFont="1" applyBorder="1" applyAlignment="1">
      <alignment horizontal="center" vertical="center" wrapText="1"/>
    </xf>
    <xf numFmtId="164" fontId="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64" fontId="6" fillId="0" borderId="12" xfId="0" applyNumberFormat="1" applyFont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3" borderId="14" xfId="0" applyNumberFormat="1" applyFont="1" applyFill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3" borderId="13" xfId="0" applyNumberFormat="1" applyFont="1" applyFill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left" vertical="center"/>
    </xf>
    <xf numFmtId="164" fontId="4" fillId="5" borderId="17" xfId="0" applyNumberFormat="1" applyFont="1" applyFill="1" applyBorder="1" applyAlignment="1">
      <alignment horizontal="center" vertical="center" wrapText="1"/>
    </xf>
    <xf numFmtId="164" fontId="4" fillId="5" borderId="9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2" xfId="0" applyBorder="1"/>
    <xf numFmtId="0" fontId="8" fillId="0" borderId="0" xfId="0" applyFont="1"/>
    <xf numFmtId="0" fontId="9" fillId="0" borderId="0" xfId="0" applyFont="1"/>
    <xf numFmtId="0" fontId="8" fillId="0" borderId="8" xfId="0" applyFont="1" applyBorder="1"/>
    <xf numFmtId="0" fontId="9" fillId="0" borderId="8" xfId="0" applyFont="1" applyBorder="1"/>
    <xf numFmtId="0" fontId="10" fillId="0" borderId="8" xfId="0" applyFont="1" applyBorder="1"/>
    <xf numFmtId="0" fontId="11" fillId="0" borderId="0" xfId="0" applyFont="1"/>
    <xf numFmtId="0" fontId="12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164" fontId="12" fillId="0" borderId="10" xfId="0" applyNumberFormat="1" applyFont="1" applyBorder="1" applyAlignment="1">
      <alignment horizontal="center" vertical="center" wrapText="1"/>
    </xf>
    <xf numFmtId="164" fontId="12" fillId="3" borderId="10" xfId="0" applyNumberFormat="1" applyFont="1" applyFill="1" applyBorder="1" applyAlignment="1">
      <alignment horizontal="center" vertical="center" wrapText="1"/>
    </xf>
    <xf numFmtId="164" fontId="13" fillId="3" borderId="10" xfId="0" applyNumberFormat="1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right" vertical="center" wrapText="1"/>
    </xf>
    <xf numFmtId="0" fontId="10" fillId="6" borderId="8" xfId="0" applyFont="1" applyFill="1" applyBorder="1"/>
    <xf numFmtId="0" fontId="8" fillId="6" borderId="8" xfId="0" applyFont="1" applyFill="1" applyBorder="1"/>
    <xf numFmtId="49" fontId="18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43" fontId="18" fillId="0" borderId="0" xfId="1" applyFont="1" applyAlignment="1"/>
    <xf numFmtId="2" fontId="18" fillId="0" borderId="8" xfId="0" applyNumberFormat="1" applyFont="1" applyBorder="1" applyAlignment="1">
      <alignment vertical="center"/>
    </xf>
    <xf numFmtId="2" fontId="18" fillId="0" borderId="8" xfId="1" applyNumberFormat="1" applyFont="1" applyBorder="1" applyAlignment="1">
      <alignment vertical="center"/>
    </xf>
    <xf numFmtId="0" fontId="17" fillId="0" borderId="19" xfId="0" applyFont="1" applyBorder="1"/>
    <xf numFmtId="0" fontId="10" fillId="0" borderId="12" xfId="0" applyFont="1" applyBorder="1"/>
    <xf numFmtId="0" fontId="21" fillId="0" borderId="0" xfId="0" applyFont="1"/>
    <xf numFmtId="0" fontId="22" fillId="6" borderId="8" xfId="0" applyFont="1" applyFill="1" applyBorder="1"/>
    <xf numFmtId="0" fontId="22" fillId="0" borderId="8" xfId="0" applyFont="1" applyBorder="1"/>
    <xf numFmtId="0" fontId="23" fillId="6" borderId="8" xfId="0" applyFont="1" applyFill="1" applyBorder="1"/>
    <xf numFmtId="0" fontId="18" fillId="0" borderId="8" xfId="0" applyFont="1" applyBorder="1" applyAlignment="1">
      <alignment horizontal="center" vertical="center"/>
    </xf>
    <xf numFmtId="2" fontId="0" fillId="0" borderId="8" xfId="0" applyNumberFormat="1" applyBorder="1"/>
    <xf numFmtId="0" fontId="18" fillId="0" borderId="0" xfId="0" applyFont="1" applyAlignment="1"/>
    <xf numFmtId="0" fontId="24" fillId="0" borderId="0" xfId="0" applyFont="1"/>
    <xf numFmtId="0" fontId="25" fillId="0" borderId="8" xfId="0" applyFont="1" applyBorder="1"/>
    <xf numFmtId="0" fontId="25" fillId="6" borderId="8" xfId="0" applyFont="1" applyFill="1" applyBorder="1"/>
    <xf numFmtId="166" fontId="0" fillId="0" borderId="0" xfId="0" applyNumberFormat="1"/>
    <xf numFmtId="16" fontId="26" fillId="0" borderId="3" xfId="0" applyNumberFormat="1" applyFont="1" applyBorder="1" applyAlignment="1">
      <alignment vertical="center" wrapText="1"/>
    </xf>
    <xf numFmtId="0" fontId="26" fillId="0" borderId="3" xfId="0" applyFont="1" applyBorder="1" applyAlignment="1">
      <alignment vertical="center" wrapText="1"/>
    </xf>
    <xf numFmtId="0" fontId="27" fillId="0" borderId="8" xfId="0" applyFont="1" applyBorder="1"/>
    <xf numFmtId="0" fontId="18" fillId="0" borderId="8" xfId="0" applyFont="1" applyBorder="1" applyAlignment="1">
      <alignment horizontal="center" vertical="center"/>
    </xf>
    <xf numFmtId="2" fontId="25" fillId="0" borderId="8" xfId="0" applyNumberFormat="1" applyFont="1" applyBorder="1"/>
    <xf numFmtId="2" fontId="25" fillId="6" borderId="8" xfId="0" applyNumberFormat="1" applyFont="1" applyFill="1" applyBorder="1"/>
    <xf numFmtId="167" fontId="25" fillId="6" borderId="8" xfId="0" applyNumberFormat="1" applyFont="1" applyFill="1" applyBorder="1"/>
    <xf numFmtId="2" fontId="25" fillId="6" borderId="14" xfId="0" applyNumberFormat="1" applyFont="1" applyFill="1" applyBorder="1"/>
    <xf numFmtId="167" fontId="25" fillId="0" borderId="8" xfId="0" applyNumberFormat="1" applyFont="1" applyBorder="1"/>
    <xf numFmtId="0" fontId="0" fillId="0" borderId="0" xfId="0" applyAlignment="1"/>
    <xf numFmtId="0" fontId="21" fillId="0" borderId="0" xfId="0" applyFont="1" applyAlignment="1"/>
    <xf numFmtId="0" fontId="18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165" fontId="28" fillId="0" borderId="10" xfId="1" applyNumberFormat="1" applyFont="1" applyBorder="1" applyAlignment="1">
      <alignment horizontal="center" vertical="center" wrapText="1"/>
    </xf>
    <xf numFmtId="2" fontId="18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166" fontId="10" fillId="6" borderId="8" xfId="0" applyNumberFormat="1" applyFont="1" applyFill="1" applyBorder="1"/>
    <xf numFmtId="166" fontId="10" fillId="0" borderId="8" xfId="0" applyNumberFormat="1" applyFont="1" applyBorder="1"/>
    <xf numFmtId="166" fontId="18" fillId="0" borderId="8" xfId="1" applyNumberFormat="1" applyFont="1" applyBorder="1" applyAlignment="1">
      <alignment vertical="center"/>
    </xf>
    <xf numFmtId="0" fontId="1" fillId="0" borderId="0" xfId="2"/>
    <xf numFmtId="166" fontId="30" fillId="0" borderId="8" xfId="2" applyNumberFormat="1" applyFont="1" applyBorder="1" applyAlignment="1">
      <alignment horizontal="right" vertical="center"/>
    </xf>
    <xf numFmtId="0" fontId="30" fillId="0" borderId="8" xfId="2" applyFont="1" applyBorder="1" applyAlignment="1">
      <alignment horizontal="center" vertical="center"/>
    </xf>
    <xf numFmtId="166" fontId="30" fillId="0" borderId="8" xfId="2" applyNumberFormat="1" applyFont="1" applyBorder="1" applyAlignment="1">
      <alignment vertical="center"/>
    </xf>
    <xf numFmtId="166" fontId="30" fillId="0" borderId="8" xfId="2" applyNumberFormat="1" applyFont="1" applyBorder="1" applyAlignment="1">
      <alignment horizontal="center" vertical="center"/>
    </xf>
    <xf numFmtId="0" fontId="30" fillId="0" borderId="11" xfId="2" applyFont="1" applyBorder="1" applyAlignment="1">
      <alignment horizontal="left" vertical="center" wrapText="1"/>
    </xf>
    <xf numFmtId="2" fontId="30" fillId="0" borderId="8" xfId="2" applyNumberFormat="1" applyFont="1" applyBorder="1" applyAlignment="1">
      <alignment horizontal="center" vertical="center"/>
    </xf>
    <xf numFmtId="0" fontId="30" fillId="0" borderId="11" xfId="2" applyFont="1" applyBorder="1" applyAlignment="1">
      <alignment horizontal="center"/>
    </xf>
    <xf numFmtId="0" fontId="30" fillId="0" borderId="8" xfId="2" applyFont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0" fillId="0" borderId="8" xfId="2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165" fontId="28" fillId="0" borderId="10" xfId="1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165" fontId="28" fillId="0" borderId="10" xfId="1" applyNumberFormat="1" applyFont="1" applyBorder="1" applyAlignment="1">
      <alignment horizontal="center" vertical="center" wrapText="1"/>
    </xf>
    <xf numFmtId="1" fontId="18" fillId="0" borderId="8" xfId="1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right" vertical="center"/>
    </xf>
    <xf numFmtId="0" fontId="18" fillId="0" borderId="8" xfId="0" applyFont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0" xfId="0" applyFont="1" applyFill="1" applyBorder="1" applyAlignment="1">
      <alignment vertical="center" wrapText="1"/>
    </xf>
    <xf numFmtId="0" fontId="19" fillId="0" borderId="20" xfId="0" applyFont="1" applyFill="1" applyBorder="1" applyAlignment="1">
      <alignment vertical="center" wrapText="1"/>
    </xf>
    <xf numFmtId="0" fontId="19" fillId="0" borderId="11" xfId="0" applyFont="1" applyFill="1" applyBorder="1" applyAlignment="1">
      <alignment vertical="center" wrapText="1"/>
    </xf>
    <xf numFmtId="0" fontId="18" fillId="0" borderId="23" xfId="0" applyFont="1" applyBorder="1" applyAlignment="1">
      <alignment horizontal="center"/>
    </xf>
    <xf numFmtId="2" fontId="18" fillId="0" borderId="10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165" fontId="28" fillId="0" borderId="10" xfId="1" applyNumberFormat="1" applyFont="1" applyBorder="1" applyAlignment="1">
      <alignment horizontal="center" vertical="center" wrapText="1"/>
    </xf>
    <xf numFmtId="165" fontId="28" fillId="0" borderId="11" xfId="1" applyNumberFormat="1" applyFont="1" applyBorder="1" applyAlignment="1">
      <alignment horizontal="center" vertical="center" wrapText="1"/>
    </xf>
    <xf numFmtId="0" fontId="30" fillId="0" borderId="10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0" fontId="30" fillId="0" borderId="11" xfId="2" applyFont="1" applyBorder="1" applyAlignment="1">
      <alignment horizontal="left" vertical="center" wrapText="1"/>
    </xf>
    <xf numFmtId="0" fontId="30" fillId="0" borderId="23" xfId="2" applyFont="1" applyBorder="1" applyAlignment="1">
      <alignment horizontal="center" vertical="center"/>
    </xf>
    <xf numFmtId="0" fontId="30" fillId="0" borderId="10" xfId="2" applyFont="1" applyBorder="1" applyAlignment="1">
      <alignment horizontal="right" vertical="center"/>
    </xf>
    <xf numFmtId="0" fontId="30" fillId="0" borderId="11" xfId="2" applyFont="1" applyBorder="1" applyAlignment="1">
      <alignment horizontal="right" vertical="center"/>
    </xf>
    <xf numFmtId="0" fontId="29" fillId="0" borderId="20" xfId="2" applyFont="1" applyBorder="1" applyAlignment="1">
      <alignment horizontal="center"/>
    </xf>
    <xf numFmtId="0" fontId="30" fillId="0" borderId="10" xfId="2" applyFont="1" applyBorder="1" applyAlignment="1">
      <alignment horizontal="center" vertical="center"/>
    </xf>
    <xf numFmtId="0" fontId="30" fillId="0" borderId="20" xfId="2" applyFont="1" applyBorder="1" applyAlignment="1">
      <alignment horizontal="center" vertical="center"/>
    </xf>
    <xf numFmtId="0" fontId="30" fillId="0" borderId="11" xfId="2" applyFont="1" applyBorder="1" applyAlignment="1">
      <alignment horizontal="center" vertical="center"/>
    </xf>
    <xf numFmtId="0" fontId="1" fillId="0" borderId="20" xfId="2" applyBorder="1" applyAlignment="1">
      <alignment horizontal="center"/>
    </xf>
    <xf numFmtId="0" fontId="30" fillId="0" borderId="0" xfId="2" applyFont="1" applyBorder="1" applyAlignment="1">
      <alignment horizontal="center" vertical="center"/>
    </xf>
    <xf numFmtId="0" fontId="30" fillId="0" borderId="8" xfId="2" applyFont="1" applyBorder="1" applyAlignment="1">
      <alignment horizontal="center" vertical="center"/>
    </xf>
    <xf numFmtId="0" fontId="30" fillId="0" borderId="10" xfId="2" applyFont="1" applyBorder="1" applyAlignment="1">
      <alignment horizontal="center"/>
    </xf>
    <xf numFmtId="0" fontId="30" fillId="0" borderId="20" xfId="2" applyFont="1" applyBorder="1" applyAlignment="1">
      <alignment horizontal="center"/>
    </xf>
    <xf numFmtId="0" fontId="30" fillId="0" borderId="11" xfId="2" applyFont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0" borderId="8" xfId="0" applyFont="1" applyBorder="1" applyAlignment="1">
      <alignment horizontal="center" vertical="center"/>
    </xf>
    <xf numFmtId="0" fontId="19" fillId="0" borderId="8" xfId="0" applyFont="1" applyFill="1" applyBorder="1" applyAlignment="1">
      <alignment horizontal="left" vertical="center" wrapText="1"/>
    </xf>
    <xf numFmtId="2" fontId="18" fillId="0" borderId="8" xfId="0" applyNumberFormat="1" applyFont="1" applyBorder="1" applyAlignment="1">
      <alignment horizontal="center" vertical="center"/>
    </xf>
    <xf numFmtId="165" fontId="28" fillId="0" borderId="8" xfId="1" applyNumberFormat="1" applyFont="1" applyBorder="1" applyAlignment="1">
      <alignment horizontal="left" vertical="center" wrapText="1"/>
    </xf>
    <xf numFmtId="165" fontId="18" fillId="0" borderId="10" xfId="1" applyNumberFormat="1" applyFont="1" applyBorder="1" applyAlignment="1">
      <alignment horizontal="center" vertical="center" wrapText="1"/>
    </xf>
    <xf numFmtId="165" fontId="18" fillId="0" borderId="11" xfId="1" applyNumberFormat="1" applyFont="1" applyBorder="1" applyAlignment="1">
      <alignment horizontal="center" vertical="center"/>
    </xf>
    <xf numFmtId="165" fontId="18" fillId="0" borderId="10" xfId="1" applyNumberFormat="1" applyFont="1" applyBorder="1" applyAlignment="1">
      <alignment horizontal="center" vertical="center"/>
    </xf>
    <xf numFmtId="165" fontId="28" fillId="0" borderId="11" xfId="1" applyNumberFormat="1" applyFont="1" applyBorder="1" applyAlignment="1">
      <alignment horizontal="center" vertical="center"/>
    </xf>
    <xf numFmtId="0" fontId="19" fillId="0" borderId="8" xfId="0" applyFont="1" applyFill="1" applyBorder="1" applyAlignment="1">
      <alignment vertical="center" wrapText="1"/>
    </xf>
    <xf numFmtId="0" fontId="19" fillId="0" borderId="8" xfId="0" applyFont="1" applyFill="1" applyBorder="1" applyAlignment="1">
      <alignment vertical="center" wrapText="1"/>
    </xf>
  </cellXfs>
  <cellStyles count="3">
    <cellStyle name="Обычный" xfId="0" builtinId="0"/>
    <cellStyle name="Обычный 2" xfId="2"/>
    <cellStyle name="Финансовый" xfId="1" builtinId="3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800000"/>
        <name val="Times New Roman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800000"/>
        <name val="Times New Roman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800000"/>
        <name val="Times New Roman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T272" totalsRowShown="0" headerRowDxfId="38" tableBorderDxfId="37">
  <autoFilter ref="A1:T272"/>
  <tableColumns count="20">
    <tableColumn id="1" name="Номер п/п" dataDxfId="36"/>
    <tableColumn id="2" name="Код узла ИСР" dataDxfId="35"/>
    <tableColumn id="3" name="Наименование затрат" dataDxfId="34"/>
    <tableColumn id="4" name="Комментарий по ИСР" dataDxfId="33"/>
    <tableColumn id="5" name="Комментарий подрядчика" dataDxfId="32"/>
    <tableColumn id="6" name="Ед. изм." dataDxfId="31"/>
    <tableColumn id="7" name="Коэф.расхода" dataDxfId="30"/>
    <tableColumn id="8" name="Кол-во БО" dataDxfId="29"/>
    <tableColumn id="9" name="Общее кол-во" dataDxfId="28"/>
    <tableColumn id="15" name="Осталось" dataDxfId="27"/>
    <tableColumn id="10" name="1.1-Пл" dataDxfId="26"/>
    <tableColumn id="11" name="2.1-Пл" dataDxfId="25"/>
    <tableColumn id="12" name="3.1-Пл" dataDxfId="24"/>
    <tableColumn id="13" name="4-Пл" dataDxfId="23"/>
    <tableColumn id="19" name="4.1-Из" dataDxfId="22"/>
    <tableColumn id="20" name="4.2-Из" dataDxfId="21"/>
    <tableColumn id="14" name="5.1-Нал" dataDxfId="20"/>
    <tableColumn id="16" name="5.2-Нал" dataDxfId="19"/>
    <tableColumn id="17" name="6.1-Пл" dataDxfId="18"/>
    <tableColumn id="18" name="6.2-Пл" dataDxfId="1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F161" totalsRowShown="0">
  <autoFilter ref="A1:F161">
    <filterColumn colId="2">
      <filters>
        <filter val="П-16"/>
        <filter val="П-18"/>
        <filter val="П-18.1"/>
      </filters>
    </filterColumn>
  </autoFilter>
  <sortState ref="A2:H143">
    <sortCondition ref="D1:D143"/>
  </sortState>
  <tableColumns count="6">
    <tableColumn id="4" name="Этаж" dataDxfId="16"/>
    <tableColumn id="7" name="Тип" dataDxfId="15"/>
    <tableColumn id="6" name="Тип2" dataDxfId="14"/>
    <tableColumn id="2" name="№ пом." dataDxfId="13"/>
    <tableColumn id="5" name="Марка" dataDxfId="12"/>
    <tableColumn id="3" name="Объем" dataDxfId="11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1:F41" totalsRowShown="0" headerRowDxfId="10" dataDxfId="8" headerRowBorderDxfId="9" tableBorderDxfId="7" totalsRowBorderDxfId="6">
  <autoFilter ref="A1:F41">
    <filterColumn colId="2">
      <filters>
        <filter val="П-14"/>
        <filter val="П-16"/>
        <filter val="П-18"/>
        <filter val="П-18.1"/>
      </filters>
    </filterColumn>
  </autoFilter>
  <tableColumns count="6">
    <tableColumn id="1" name="Этаж" dataDxfId="5"/>
    <tableColumn id="2" name="Тип" dataDxfId="4"/>
    <tableColumn id="3" name="Тип2" dataDxfId="3"/>
    <tableColumn id="4" name="№ пом." dataDxfId="2"/>
    <tableColumn id="5" name="Марка" dataDxfId="1"/>
    <tableColumn id="6" name="Объем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zoomScaleNormal="100" workbookViewId="0">
      <selection activeCell="D22" sqref="D22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2.109375" customWidth="1"/>
    <col min="7" max="7" width="9.5546875" hidden="1" customWidth="1"/>
    <col min="8" max="8" width="22.88671875" customWidth="1"/>
    <col min="9" max="9" width="8.21875" customWidth="1"/>
    <col min="10" max="10" width="9.88671875" customWidth="1"/>
  </cols>
  <sheetData>
    <row r="1" spans="1:10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70"/>
      <c r="J1" s="70"/>
    </row>
    <row r="2" spans="1:10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22" t="s">
        <v>631</v>
      </c>
      <c r="I2" s="67" t="s">
        <v>5</v>
      </c>
      <c r="J2" s="71" t="s">
        <v>591</v>
      </c>
    </row>
    <row r="3" spans="1:10" ht="57.6" x14ac:dyDescent="0.3">
      <c r="A3" s="121">
        <v>1</v>
      </c>
      <c r="B3" s="134" t="s">
        <v>645</v>
      </c>
      <c r="C3" s="135"/>
      <c r="D3" s="135"/>
      <c r="E3" s="135"/>
      <c r="F3" s="135"/>
      <c r="G3" s="136"/>
      <c r="H3" s="123" t="s">
        <v>702</v>
      </c>
      <c r="I3" s="121" t="s">
        <v>20</v>
      </c>
      <c r="J3" s="72">
        <f>C9</f>
        <v>3374.4</v>
      </c>
    </row>
    <row r="4" spans="1:10" ht="15.6" x14ac:dyDescent="0.3">
      <c r="A4" s="137"/>
      <c r="B4" s="137"/>
      <c r="C4" s="137"/>
      <c r="D4" s="137"/>
      <c r="E4" s="137"/>
      <c r="F4" s="137"/>
      <c r="G4" s="137"/>
      <c r="H4" s="137"/>
      <c r="I4" s="137"/>
      <c r="J4" s="137"/>
    </row>
    <row r="5" spans="1:10" ht="46.8" x14ac:dyDescent="0.3">
      <c r="A5" s="69" t="s">
        <v>647</v>
      </c>
      <c r="B5" s="69" t="s">
        <v>696</v>
      </c>
      <c r="C5" s="69" t="s">
        <v>629</v>
      </c>
      <c r="D5" s="128"/>
      <c r="E5" s="128"/>
      <c r="F5" s="128"/>
      <c r="G5" s="128"/>
      <c r="H5" s="128"/>
      <c r="I5" s="128"/>
      <c r="J5" s="128"/>
    </row>
    <row r="6" spans="1:10" ht="15.6" customHeight="1" x14ac:dyDescent="0.3">
      <c r="A6" s="116">
        <v>1</v>
      </c>
      <c r="B6" s="116">
        <v>1</v>
      </c>
      <c r="C6" s="116">
        <v>2996.1</v>
      </c>
      <c r="D6" s="128"/>
      <c r="E6" s="128"/>
      <c r="F6" s="128"/>
      <c r="G6" s="128"/>
      <c r="H6" s="128"/>
      <c r="I6" s="128"/>
      <c r="J6" s="128"/>
    </row>
    <row r="7" spans="1:10" ht="15.6" customHeight="1" x14ac:dyDescent="0.3">
      <c r="A7" s="117">
        <v>2</v>
      </c>
      <c r="B7" s="117">
        <v>2</v>
      </c>
      <c r="C7" s="117">
        <v>165.4</v>
      </c>
      <c r="D7" s="128"/>
      <c r="E7" s="128"/>
      <c r="F7" s="128"/>
      <c r="G7" s="128"/>
      <c r="H7" s="128"/>
      <c r="I7" s="128"/>
      <c r="J7" s="128"/>
    </row>
    <row r="8" spans="1:10" ht="15.6" customHeight="1" x14ac:dyDescent="0.3">
      <c r="A8" s="116">
        <v>3</v>
      </c>
      <c r="B8" s="116">
        <v>3</v>
      </c>
      <c r="C8" s="116">
        <v>212.9</v>
      </c>
      <c r="D8" s="128"/>
      <c r="E8" s="128"/>
      <c r="F8" s="128"/>
      <c r="G8" s="128"/>
      <c r="H8" s="128"/>
      <c r="I8" s="128"/>
      <c r="J8" s="128"/>
    </row>
    <row r="9" spans="1:10" x14ac:dyDescent="0.3">
      <c r="A9" s="129" t="s">
        <v>630</v>
      </c>
      <c r="B9" s="129"/>
      <c r="C9" s="118">
        <f>SUM(C6:C8)</f>
        <v>3374.4</v>
      </c>
      <c r="D9" s="128"/>
      <c r="E9" s="128"/>
      <c r="F9" s="128"/>
      <c r="G9" s="128"/>
      <c r="H9" s="128"/>
      <c r="I9" s="128"/>
      <c r="J9" s="128"/>
    </row>
  </sheetData>
  <mergeCells count="6">
    <mergeCell ref="D5:J9"/>
    <mergeCell ref="A9:B9"/>
    <mergeCell ref="A1:H1"/>
    <mergeCell ref="B2:G2"/>
    <mergeCell ref="B3:G3"/>
    <mergeCell ref="A4:J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zoomScale="130" zoomScaleNormal="130" workbookViewId="0">
      <selection activeCell="P8" sqref="P8"/>
    </sheetView>
  </sheetViews>
  <sheetFormatPr defaultRowHeight="14.4" x14ac:dyDescent="0.3"/>
  <cols>
    <col min="1" max="1" width="7.21875" customWidth="1"/>
    <col min="2" max="2" width="7.88671875" customWidth="1"/>
    <col min="3" max="3" width="11.77734375" customWidth="1"/>
    <col min="4" max="4" width="4.109375" customWidth="1"/>
    <col min="5" max="5" width="7.109375" customWidth="1"/>
    <col min="6" max="7" width="3.21875" customWidth="1"/>
    <col min="8" max="8" width="10" bestFit="1" customWidth="1"/>
    <col min="9" max="9" width="4.88671875" bestFit="1" customWidth="1"/>
    <col min="10" max="10" width="7" bestFit="1" customWidth="1"/>
  </cols>
  <sheetData>
    <row r="1" spans="1:10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25" t="s">
        <v>631</v>
      </c>
      <c r="I2" s="67" t="s">
        <v>5</v>
      </c>
      <c r="J2" s="71" t="s">
        <v>591</v>
      </c>
    </row>
    <row r="3" spans="1:10" ht="50.4" customHeight="1" x14ac:dyDescent="0.3">
      <c r="A3" s="120">
        <v>1</v>
      </c>
      <c r="B3" s="134" t="s">
        <v>698</v>
      </c>
      <c r="C3" s="135"/>
      <c r="D3" s="135"/>
      <c r="E3" s="135"/>
      <c r="F3" s="135"/>
      <c r="G3" s="136"/>
      <c r="H3" s="126" t="s">
        <v>704</v>
      </c>
      <c r="I3" s="120" t="s">
        <v>700</v>
      </c>
      <c r="J3" s="127">
        <f>C12</f>
        <v>884</v>
      </c>
    </row>
    <row r="4" spans="1:10" ht="15.6" customHeight="1" x14ac:dyDescent="0.3">
      <c r="A4" s="124">
        <v>2</v>
      </c>
      <c r="B4" s="170" t="s">
        <v>707</v>
      </c>
      <c r="C4" s="170"/>
      <c r="D4" s="170"/>
      <c r="E4" s="170"/>
      <c r="F4" s="170"/>
      <c r="G4" s="170"/>
      <c r="H4" s="171" t="s">
        <v>705</v>
      </c>
      <c r="I4" s="124" t="s">
        <v>703</v>
      </c>
      <c r="J4" s="127">
        <v>63</v>
      </c>
    </row>
    <row r="5" spans="1:10" ht="15.6" customHeight="1" x14ac:dyDescent="0.3">
      <c r="A5" s="124">
        <v>3</v>
      </c>
      <c r="B5" s="170" t="s">
        <v>708</v>
      </c>
      <c r="C5" s="170"/>
      <c r="D5" s="170"/>
      <c r="E5" s="170"/>
      <c r="F5" s="170"/>
      <c r="G5" s="170"/>
      <c r="H5" s="171" t="s">
        <v>706</v>
      </c>
      <c r="I5" s="124" t="s">
        <v>703</v>
      </c>
      <c r="J5" s="127">
        <v>19</v>
      </c>
    </row>
    <row r="6" spans="1:10" ht="15.6" x14ac:dyDescent="0.3">
      <c r="A6" s="137"/>
      <c r="B6" s="137"/>
      <c r="C6" s="137"/>
      <c r="D6" s="137"/>
      <c r="E6" s="137"/>
      <c r="F6" s="137"/>
      <c r="G6" s="137"/>
      <c r="H6" s="137"/>
      <c r="I6" s="137"/>
      <c r="J6" s="137"/>
    </row>
    <row r="7" spans="1:10" ht="31.2" x14ac:dyDescent="0.3">
      <c r="A7" s="69" t="s">
        <v>647</v>
      </c>
      <c r="B7" s="69" t="s">
        <v>696</v>
      </c>
      <c r="C7" s="69" t="s">
        <v>701</v>
      </c>
      <c r="D7" s="128"/>
      <c r="E7" s="128"/>
      <c r="F7" s="128"/>
      <c r="G7" s="128"/>
      <c r="H7" s="128"/>
      <c r="I7" s="128"/>
      <c r="J7" s="128"/>
    </row>
    <row r="8" spans="1:10" ht="15.6" customHeight="1" x14ac:dyDescent="0.3">
      <c r="A8" s="116">
        <v>1</v>
      </c>
      <c r="B8" s="116" t="s">
        <v>699</v>
      </c>
      <c r="C8" s="116">
        <v>299</v>
      </c>
      <c r="D8" s="128"/>
      <c r="E8" s="128"/>
      <c r="F8" s="128"/>
      <c r="G8" s="128"/>
      <c r="H8" s="128"/>
      <c r="I8" s="128"/>
      <c r="J8" s="128"/>
    </row>
    <row r="9" spans="1:10" ht="15.6" customHeight="1" x14ac:dyDescent="0.3">
      <c r="A9" s="117">
        <v>2</v>
      </c>
      <c r="B9" s="117">
        <v>1</v>
      </c>
      <c r="C9" s="117">
        <v>186</v>
      </c>
      <c r="D9" s="128"/>
      <c r="E9" s="128"/>
      <c r="F9" s="128"/>
      <c r="G9" s="128"/>
      <c r="H9" s="128"/>
      <c r="I9" s="128"/>
      <c r="J9" s="128"/>
    </row>
    <row r="10" spans="1:10" ht="15.6" customHeight="1" x14ac:dyDescent="0.3">
      <c r="A10" s="117">
        <v>3</v>
      </c>
      <c r="B10" s="117">
        <v>2</v>
      </c>
      <c r="C10" s="117">
        <v>219</v>
      </c>
      <c r="D10" s="128"/>
      <c r="E10" s="128"/>
      <c r="F10" s="128"/>
      <c r="G10" s="128"/>
      <c r="H10" s="128"/>
      <c r="I10" s="128"/>
      <c r="J10" s="128"/>
    </row>
    <row r="11" spans="1:10" ht="15.6" customHeight="1" x14ac:dyDescent="0.3">
      <c r="A11" s="116">
        <v>4</v>
      </c>
      <c r="B11" s="116">
        <v>3</v>
      </c>
      <c r="C11" s="116">
        <v>180</v>
      </c>
      <c r="D11" s="128"/>
      <c r="E11" s="128"/>
      <c r="F11" s="128"/>
      <c r="G11" s="128"/>
      <c r="H11" s="128"/>
      <c r="I11" s="128"/>
      <c r="J11" s="128"/>
    </row>
    <row r="12" spans="1:10" x14ac:dyDescent="0.3">
      <c r="A12" s="129" t="s">
        <v>630</v>
      </c>
      <c r="B12" s="129"/>
      <c r="C12" s="118">
        <f>SUM(C8:C11)</f>
        <v>884</v>
      </c>
      <c r="D12" s="128"/>
      <c r="E12" s="128"/>
      <c r="F12" s="128"/>
      <c r="G12" s="128"/>
      <c r="H12" s="128"/>
      <c r="I12" s="128"/>
      <c r="J12" s="128"/>
    </row>
  </sheetData>
  <mergeCells count="8">
    <mergeCell ref="D7:J12"/>
    <mergeCell ref="A12:B12"/>
    <mergeCell ref="B2:G2"/>
    <mergeCell ref="B3:G3"/>
    <mergeCell ref="A6:J6"/>
    <mergeCell ref="B4:G4"/>
    <mergeCell ref="B5:G5"/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="70" zoomScaleNormal="70" workbookViewId="0">
      <selection activeCell="D5" sqref="D5:K9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5546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70"/>
      <c r="K1" s="70"/>
    </row>
    <row r="2" spans="1:11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50.4" customHeight="1" x14ac:dyDescent="0.3">
      <c r="A3" s="115">
        <v>1</v>
      </c>
      <c r="B3" s="134" t="s">
        <v>645</v>
      </c>
      <c r="C3" s="135"/>
      <c r="D3" s="135"/>
      <c r="E3" s="135"/>
      <c r="F3" s="135"/>
      <c r="G3" s="136"/>
      <c r="H3" s="140" t="s">
        <v>646</v>
      </c>
      <c r="I3" s="141"/>
      <c r="J3" s="115" t="s">
        <v>20</v>
      </c>
      <c r="K3" s="72">
        <f>C9</f>
        <v>9308.7999999999993</v>
      </c>
    </row>
    <row r="4" spans="1:11" ht="15.6" x14ac:dyDescent="0.3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</row>
    <row r="5" spans="1:11" ht="46.8" x14ac:dyDescent="0.3">
      <c r="A5" s="69" t="s">
        <v>647</v>
      </c>
      <c r="B5" s="69" t="s">
        <v>696</v>
      </c>
      <c r="C5" s="69" t="s">
        <v>629</v>
      </c>
      <c r="D5" s="128"/>
      <c r="E5" s="128"/>
      <c r="F5" s="128"/>
      <c r="G5" s="128"/>
      <c r="H5" s="128"/>
      <c r="I5" s="128"/>
      <c r="J5" s="128"/>
      <c r="K5" s="128"/>
    </row>
    <row r="6" spans="1:11" ht="15.6" customHeight="1" x14ac:dyDescent="0.3">
      <c r="A6" s="116">
        <v>1</v>
      </c>
      <c r="B6" s="116">
        <v>1</v>
      </c>
      <c r="C6" s="116">
        <v>1731.1</v>
      </c>
      <c r="D6" s="128"/>
      <c r="E6" s="128"/>
      <c r="F6" s="128"/>
      <c r="G6" s="128"/>
      <c r="H6" s="128"/>
      <c r="I6" s="128"/>
      <c r="J6" s="128"/>
      <c r="K6" s="128"/>
    </row>
    <row r="7" spans="1:11" ht="15.6" customHeight="1" x14ac:dyDescent="0.3">
      <c r="A7" s="117">
        <v>2</v>
      </c>
      <c r="B7" s="117">
        <v>2</v>
      </c>
      <c r="C7" s="117">
        <v>4073.1</v>
      </c>
      <c r="D7" s="128"/>
      <c r="E7" s="128"/>
      <c r="F7" s="128"/>
      <c r="G7" s="128"/>
      <c r="H7" s="128"/>
      <c r="I7" s="128"/>
      <c r="J7" s="128"/>
      <c r="K7" s="128"/>
    </row>
    <row r="8" spans="1:11" ht="15.6" customHeight="1" x14ac:dyDescent="0.3">
      <c r="A8" s="116">
        <v>3</v>
      </c>
      <c r="B8" s="116">
        <v>3</v>
      </c>
      <c r="C8" s="116">
        <v>3504.6</v>
      </c>
      <c r="D8" s="128"/>
      <c r="E8" s="128"/>
      <c r="F8" s="128"/>
      <c r="G8" s="128"/>
      <c r="H8" s="128"/>
      <c r="I8" s="128"/>
      <c r="J8" s="128"/>
      <c r="K8" s="128"/>
    </row>
    <row r="9" spans="1:11" x14ac:dyDescent="0.3">
      <c r="A9" s="129" t="s">
        <v>630</v>
      </c>
      <c r="B9" s="129"/>
      <c r="C9" s="118">
        <f>SUM(C6:C8)</f>
        <v>9308.7999999999993</v>
      </c>
      <c r="D9" s="128"/>
      <c r="E9" s="128"/>
      <c r="F9" s="128"/>
      <c r="G9" s="128"/>
      <c r="H9" s="128"/>
      <c r="I9" s="128"/>
      <c r="J9" s="128"/>
      <c r="K9" s="128"/>
    </row>
  </sheetData>
  <mergeCells count="8">
    <mergeCell ref="A9:B9"/>
    <mergeCell ref="A1:I1"/>
    <mergeCell ref="B2:G2"/>
    <mergeCell ref="H2:I2"/>
    <mergeCell ref="B3:G3"/>
    <mergeCell ref="H3:I3"/>
    <mergeCell ref="A4:K4"/>
    <mergeCell ref="D5:K9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G19"/>
  <sheetViews>
    <sheetView zoomScale="70" zoomScaleNormal="70" workbookViewId="0">
      <selection activeCell="D23" sqref="D23"/>
    </sheetView>
  </sheetViews>
  <sheetFormatPr defaultRowHeight="14.4" x14ac:dyDescent="0.3"/>
  <cols>
    <col min="1" max="1" width="7.88671875" style="106" bestFit="1" customWidth="1"/>
    <col min="2" max="2" width="7.77734375" style="106" bestFit="1" customWidth="1"/>
    <col min="3" max="3" width="12.33203125" style="106" bestFit="1" customWidth="1"/>
    <col min="4" max="4" width="19.88671875" style="106" customWidth="1"/>
    <col min="5" max="5" width="51.88671875" style="106" customWidth="1"/>
    <col min="6" max="6" width="9.88671875" style="106" bestFit="1" customWidth="1"/>
    <col min="7" max="7" width="12" style="106" bestFit="1" customWidth="1"/>
    <col min="8" max="16384" width="8.88671875" style="106"/>
  </cols>
  <sheetData>
    <row r="1" spans="1:7" ht="15.6" x14ac:dyDescent="0.3">
      <c r="A1" s="154" t="s">
        <v>688</v>
      </c>
      <c r="B1" s="154"/>
      <c r="C1" s="154"/>
      <c r="D1" s="154"/>
      <c r="E1" s="154"/>
      <c r="F1" s="154"/>
      <c r="G1" s="154"/>
    </row>
    <row r="2" spans="1:7" ht="15.6" x14ac:dyDescent="0.3">
      <c r="A2" s="114" t="s">
        <v>626</v>
      </c>
      <c r="B2" s="155" t="s">
        <v>687</v>
      </c>
      <c r="C2" s="156"/>
      <c r="D2" s="157"/>
      <c r="E2" s="113" t="s">
        <v>631</v>
      </c>
      <c r="F2" s="112" t="s">
        <v>5</v>
      </c>
      <c r="G2" s="112" t="s">
        <v>686</v>
      </c>
    </row>
    <row r="3" spans="1:7" ht="49.8" customHeight="1" x14ac:dyDescent="0.3">
      <c r="A3" s="108">
        <v>1</v>
      </c>
      <c r="B3" s="142" t="s">
        <v>693</v>
      </c>
      <c r="C3" s="143"/>
      <c r="D3" s="144"/>
      <c r="E3" s="111" t="s">
        <v>692</v>
      </c>
      <c r="F3" s="108" t="s">
        <v>20</v>
      </c>
      <c r="G3" s="110">
        <f>C16</f>
        <v>120.35000000000001</v>
      </c>
    </row>
    <row r="4" spans="1:7" ht="46.8" x14ac:dyDescent="0.3">
      <c r="A4" s="108">
        <v>2</v>
      </c>
      <c r="B4" s="142" t="s">
        <v>690</v>
      </c>
      <c r="C4" s="143"/>
      <c r="D4" s="144"/>
      <c r="E4" s="111" t="s">
        <v>691</v>
      </c>
      <c r="F4" s="108" t="s">
        <v>20</v>
      </c>
      <c r="G4" s="110">
        <f>C19</f>
        <v>7.15</v>
      </c>
    </row>
    <row r="5" spans="1:7" ht="101.4" customHeight="1" x14ac:dyDescent="0.3">
      <c r="A5" s="108">
        <v>3</v>
      </c>
      <c r="B5" s="142" t="s">
        <v>689</v>
      </c>
      <c r="C5" s="143"/>
      <c r="D5" s="144"/>
      <c r="E5" s="111" t="s">
        <v>695</v>
      </c>
      <c r="F5" s="108" t="s">
        <v>20</v>
      </c>
      <c r="G5" s="110">
        <f>D16</f>
        <v>122.14999999999999</v>
      </c>
    </row>
    <row r="6" spans="1:7" ht="30" customHeight="1" x14ac:dyDescent="0.3">
      <c r="A6" s="108">
        <v>4</v>
      </c>
      <c r="B6" s="142" t="s">
        <v>685</v>
      </c>
      <c r="C6" s="143"/>
      <c r="D6" s="144"/>
      <c r="E6" s="111" t="s">
        <v>694</v>
      </c>
      <c r="F6" s="108" t="s">
        <v>20</v>
      </c>
      <c r="G6" s="110">
        <f>D19</f>
        <v>9.9</v>
      </c>
    </row>
    <row r="7" spans="1:7" ht="15.6" x14ac:dyDescent="0.3">
      <c r="A7" s="145"/>
      <c r="B7" s="145"/>
      <c r="C7" s="145"/>
      <c r="D7" s="145"/>
      <c r="E7" s="145"/>
      <c r="F7" s="145"/>
      <c r="G7" s="145"/>
    </row>
    <row r="8" spans="1:7" ht="15.6" customHeight="1" x14ac:dyDescent="0.3">
      <c r="A8" s="149" t="s">
        <v>684</v>
      </c>
      <c r="B8" s="150"/>
      <c r="C8" s="150"/>
      <c r="D8" s="151"/>
      <c r="E8" s="153"/>
      <c r="F8" s="153"/>
      <c r="G8" s="153"/>
    </row>
    <row r="9" spans="1:7" ht="15.6" x14ac:dyDescent="0.3">
      <c r="A9" s="108" t="s">
        <v>683</v>
      </c>
      <c r="B9" s="108" t="s">
        <v>682</v>
      </c>
      <c r="C9" s="108" t="s">
        <v>681</v>
      </c>
      <c r="D9" s="108" t="s">
        <v>680</v>
      </c>
      <c r="E9" s="153"/>
      <c r="F9" s="153"/>
      <c r="G9" s="153"/>
    </row>
    <row r="10" spans="1:7" ht="15.6" x14ac:dyDescent="0.3">
      <c r="A10" s="108">
        <v>1</v>
      </c>
      <c r="B10" s="108" t="s">
        <v>648</v>
      </c>
      <c r="C10" s="107">
        <v>15.2</v>
      </c>
      <c r="D10" s="107">
        <v>14.8</v>
      </c>
      <c r="E10" s="153"/>
      <c r="F10" s="153"/>
      <c r="G10" s="153"/>
    </row>
    <row r="11" spans="1:7" ht="15.6" x14ac:dyDescent="0.3">
      <c r="A11" s="108">
        <v>2</v>
      </c>
      <c r="B11" s="108" t="s">
        <v>654</v>
      </c>
      <c r="C11" s="107">
        <v>5.75</v>
      </c>
      <c r="D11" s="107">
        <f>2.25+5.7</f>
        <v>7.95</v>
      </c>
      <c r="E11" s="153"/>
      <c r="F11" s="153"/>
      <c r="G11" s="153"/>
    </row>
    <row r="12" spans="1:7" ht="15.6" x14ac:dyDescent="0.3">
      <c r="A12" s="108">
        <v>3</v>
      </c>
      <c r="B12" s="108" t="s">
        <v>679</v>
      </c>
      <c r="C12" s="107">
        <v>32.700000000000003</v>
      </c>
      <c r="D12" s="107">
        <v>35.200000000000003</v>
      </c>
      <c r="E12" s="153"/>
      <c r="F12" s="153"/>
      <c r="G12" s="153"/>
    </row>
    <row r="13" spans="1:7" ht="15.6" x14ac:dyDescent="0.3">
      <c r="A13" s="119">
        <v>4</v>
      </c>
      <c r="B13" s="119" t="s">
        <v>697</v>
      </c>
      <c r="C13" s="107">
        <v>21.4</v>
      </c>
      <c r="D13" s="107">
        <v>19.8</v>
      </c>
      <c r="E13" s="153"/>
      <c r="F13" s="153"/>
      <c r="G13" s="153"/>
    </row>
    <row r="14" spans="1:7" ht="15.6" x14ac:dyDescent="0.3">
      <c r="A14" s="108">
        <v>5</v>
      </c>
      <c r="B14" s="108" t="s">
        <v>557</v>
      </c>
      <c r="C14" s="107">
        <f>23.6+1</f>
        <v>24.6</v>
      </c>
      <c r="D14" s="107">
        <v>24.1</v>
      </c>
      <c r="E14" s="153"/>
      <c r="F14" s="153"/>
      <c r="G14" s="153"/>
    </row>
    <row r="15" spans="1:7" ht="15.6" x14ac:dyDescent="0.3">
      <c r="A15" s="108">
        <v>6</v>
      </c>
      <c r="B15" s="108" t="s">
        <v>556</v>
      </c>
      <c r="C15" s="107">
        <f>19.7+1</f>
        <v>20.7</v>
      </c>
      <c r="D15" s="107">
        <v>20.3</v>
      </c>
      <c r="E15" s="153"/>
      <c r="F15" s="153"/>
      <c r="G15" s="153"/>
    </row>
    <row r="16" spans="1:7" ht="15.6" x14ac:dyDescent="0.3">
      <c r="A16" s="146" t="s">
        <v>630</v>
      </c>
      <c r="B16" s="147"/>
      <c r="C16" s="109">
        <f>SUM(C10:C15)</f>
        <v>120.35000000000001</v>
      </c>
      <c r="D16" s="109">
        <f>SUM(D10:D15)</f>
        <v>122.14999999999999</v>
      </c>
      <c r="E16" s="153"/>
      <c r="F16" s="153"/>
      <c r="G16" s="153"/>
    </row>
    <row r="17" spans="1:7" ht="14.4" customHeight="1" x14ac:dyDescent="0.3">
      <c r="A17" s="152"/>
      <c r="B17" s="152"/>
      <c r="C17" s="152"/>
      <c r="D17" s="152"/>
      <c r="E17" s="153"/>
      <c r="F17" s="153"/>
      <c r="G17" s="153"/>
    </row>
    <row r="18" spans="1:7" ht="14.4" customHeight="1" x14ac:dyDescent="0.3">
      <c r="A18" s="148" t="s">
        <v>678</v>
      </c>
      <c r="B18" s="148"/>
      <c r="C18" s="148"/>
      <c r="D18" s="148"/>
      <c r="E18" s="153"/>
      <c r="F18" s="153"/>
      <c r="G18" s="153"/>
    </row>
    <row r="19" spans="1:7" ht="15.6" x14ac:dyDescent="0.3">
      <c r="A19" s="108">
        <v>1</v>
      </c>
      <c r="B19" s="108" t="s">
        <v>677</v>
      </c>
      <c r="C19" s="107">
        <v>7.15</v>
      </c>
      <c r="D19" s="107">
        <v>9.9</v>
      </c>
      <c r="E19" s="153"/>
      <c r="F19" s="153"/>
      <c r="G19" s="153"/>
    </row>
  </sheetData>
  <mergeCells count="12">
    <mergeCell ref="A1:G1"/>
    <mergeCell ref="B2:D2"/>
    <mergeCell ref="B3:D3"/>
    <mergeCell ref="B4:D4"/>
    <mergeCell ref="B5:D5"/>
    <mergeCell ref="B6:D6"/>
    <mergeCell ref="A7:G7"/>
    <mergeCell ref="A16:B16"/>
    <mergeCell ref="A18:D18"/>
    <mergeCell ref="A8:D8"/>
    <mergeCell ref="A17:D17"/>
    <mergeCell ref="E8:G19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7" sqref="B7"/>
    </sheetView>
  </sheetViews>
  <sheetFormatPr defaultRowHeight="14.4" x14ac:dyDescent="0.3"/>
  <cols>
    <col min="1" max="1" width="7.21875" customWidth="1"/>
    <col min="2" max="2" width="12.21875" customWidth="1"/>
    <col min="3" max="3" width="14.6640625" customWidth="1"/>
    <col min="4" max="4" width="13.77734375" customWidth="1"/>
    <col min="5" max="5" width="10.6640625" customWidth="1"/>
    <col min="6" max="6" width="11.33203125" customWidth="1"/>
  </cols>
  <sheetData>
    <row r="1" spans="1:6" ht="15.6" x14ac:dyDescent="0.3">
      <c r="A1" s="158" t="s">
        <v>625</v>
      </c>
      <c r="B1" s="159"/>
      <c r="C1" s="159"/>
      <c r="D1" s="159"/>
      <c r="E1" s="159"/>
      <c r="F1" s="159"/>
    </row>
    <row r="2" spans="1:6" ht="18.600000000000001" customHeight="1" x14ac:dyDescent="0.3">
      <c r="A2" s="66" t="s">
        <v>626</v>
      </c>
      <c r="B2" s="131" t="s">
        <v>2</v>
      </c>
      <c r="C2" s="133"/>
      <c r="D2" s="99" t="s">
        <v>631</v>
      </c>
      <c r="E2" s="67" t="s">
        <v>5</v>
      </c>
      <c r="F2" s="101" t="s">
        <v>591</v>
      </c>
    </row>
    <row r="3" spans="1:6" ht="33.6" customHeight="1" x14ac:dyDescent="0.3">
      <c r="A3" s="98">
        <v>1</v>
      </c>
      <c r="B3" s="134" t="s">
        <v>676</v>
      </c>
      <c r="C3" s="136"/>
      <c r="D3" s="100" t="s">
        <v>675</v>
      </c>
      <c r="E3" s="98" t="s">
        <v>20</v>
      </c>
      <c r="F3" s="105">
        <f>B9</f>
        <v>9482.4000000000015</v>
      </c>
    </row>
    <row r="4" spans="1:6" ht="11.4" customHeight="1" x14ac:dyDescent="0.3">
      <c r="A4" s="137"/>
      <c r="B4" s="137"/>
      <c r="C4" s="137"/>
      <c r="D4" s="137"/>
      <c r="E4" s="137"/>
      <c r="F4" s="137"/>
    </row>
    <row r="5" spans="1:6" ht="31.8" customHeight="1" x14ac:dyDescent="0.3">
      <c r="A5" s="69" t="s">
        <v>674</v>
      </c>
      <c r="B5" s="69" t="s">
        <v>629</v>
      </c>
      <c r="C5" s="160"/>
      <c r="D5" s="160"/>
      <c r="E5" s="160"/>
      <c r="F5" s="160"/>
    </row>
    <row r="6" spans="1:6" ht="15.6" customHeight="1" x14ac:dyDescent="0.3">
      <c r="A6" s="64">
        <v>1</v>
      </c>
      <c r="B6" s="103">
        <f>1581.9+140.9</f>
        <v>1722.8000000000002</v>
      </c>
      <c r="C6" s="160"/>
      <c r="D6" s="160"/>
      <c r="E6" s="160"/>
      <c r="F6" s="160"/>
    </row>
    <row r="7" spans="1:6" ht="15.6" customHeight="1" x14ac:dyDescent="0.3">
      <c r="A7" s="54">
        <v>2</v>
      </c>
      <c r="B7" s="104">
        <v>4179.3</v>
      </c>
      <c r="C7" s="160"/>
      <c r="D7" s="160"/>
      <c r="E7" s="160"/>
      <c r="F7" s="160"/>
    </row>
    <row r="8" spans="1:6" ht="15.6" customHeight="1" x14ac:dyDescent="0.3">
      <c r="A8" s="64">
        <v>3</v>
      </c>
      <c r="B8" s="103">
        <v>3580.3</v>
      </c>
      <c r="C8" s="160"/>
      <c r="D8" s="160"/>
      <c r="E8" s="160"/>
      <c r="F8" s="160"/>
    </row>
    <row r="9" spans="1:6" ht="14.4" customHeight="1" x14ac:dyDescent="0.3">
      <c r="A9" s="102" t="s">
        <v>630</v>
      </c>
      <c r="B9" s="85">
        <f>SUM(B6:B8)</f>
        <v>9482.4000000000015</v>
      </c>
      <c r="C9" s="160"/>
      <c r="D9" s="160"/>
      <c r="E9" s="160"/>
      <c r="F9" s="160"/>
    </row>
  </sheetData>
  <mergeCells count="5">
    <mergeCell ref="A1:F1"/>
    <mergeCell ref="C5:F9"/>
    <mergeCell ref="B2:C2"/>
    <mergeCell ref="B3:C3"/>
    <mergeCell ref="A4:F4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3" sqref="B3:G3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5546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70"/>
      <c r="K1" s="70"/>
    </row>
    <row r="2" spans="1:11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50.4" customHeight="1" x14ac:dyDescent="0.3">
      <c r="A3" s="97">
        <v>1</v>
      </c>
      <c r="B3" s="134" t="s">
        <v>645</v>
      </c>
      <c r="C3" s="135"/>
      <c r="D3" s="135"/>
      <c r="E3" s="135"/>
      <c r="F3" s="135"/>
      <c r="G3" s="136"/>
      <c r="H3" s="140" t="s">
        <v>646</v>
      </c>
      <c r="I3" s="141"/>
      <c r="J3" s="97" t="s">
        <v>20</v>
      </c>
      <c r="K3" s="72">
        <f>C32+G36+K29</f>
        <v>1235.2999999999997</v>
      </c>
    </row>
    <row r="4" spans="1:11" ht="15.6" x14ac:dyDescent="0.3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</row>
    <row r="5" spans="1:11" ht="46.8" x14ac:dyDescent="0.3">
      <c r="A5" s="69" t="s">
        <v>647</v>
      </c>
      <c r="B5" s="69" t="s">
        <v>627</v>
      </c>
      <c r="C5" s="69" t="s">
        <v>629</v>
      </c>
      <c r="D5" s="160"/>
      <c r="E5" s="69" t="s">
        <v>647</v>
      </c>
      <c r="F5" s="69" t="s">
        <v>627</v>
      </c>
      <c r="G5" s="69" t="s">
        <v>629</v>
      </c>
      <c r="H5" s="160"/>
      <c r="I5" s="69" t="s">
        <v>647</v>
      </c>
      <c r="J5" s="69" t="s">
        <v>627</v>
      </c>
      <c r="K5" s="69" t="s">
        <v>629</v>
      </c>
    </row>
    <row r="6" spans="1:11" ht="15.6" customHeight="1" x14ac:dyDescent="0.3">
      <c r="A6" s="64">
        <v>1</v>
      </c>
      <c r="B6" s="64" t="s">
        <v>648</v>
      </c>
      <c r="C6" s="64">
        <v>25.1</v>
      </c>
      <c r="D6" s="160"/>
      <c r="E6" s="64">
        <v>27</v>
      </c>
      <c r="F6" s="64" t="s">
        <v>560</v>
      </c>
      <c r="G6" s="64">
        <v>13.4</v>
      </c>
      <c r="H6" s="160"/>
      <c r="I6" s="64">
        <v>57</v>
      </c>
      <c r="J6" s="64" t="s">
        <v>572</v>
      </c>
      <c r="K6" s="64">
        <v>13.4</v>
      </c>
    </row>
    <row r="7" spans="1:11" ht="15.6" customHeight="1" x14ac:dyDescent="0.3">
      <c r="A7" s="54">
        <v>2</v>
      </c>
      <c r="B7" s="54" t="s">
        <v>649</v>
      </c>
      <c r="C7" s="54">
        <v>12.5</v>
      </c>
      <c r="D7" s="160"/>
      <c r="E7" s="54">
        <v>28</v>
      </c>
      <c r="F7" s="54" t="s">
        <v>561</v>
      </c>
      <c r="G7" s="54">
        <v>10.26</v>
      </c>
      <c r="H7" s="160"/>
      <c r="I7" s="54">
        <v>58</v>
      </c>
      <c r="J7" s="54" t="s">
        <v>573</v>
      </c>
      <c r="K7" s="54">
        <v>10.1</v>
      </c>
    </row>
    <row r="8" spans="1:11" ht="15.6" customHeight="1" x14ac:dyDescent="0.3">
      <c r="A8" s="64">
        <v>3</v>
      </c>
      <c r="B8" s="64" t="s">
        <v>650</v>
      </c>
      <c r="C8" s="64">
        <v>5.4</v>
      </c>
      <c r="D8" s="160"/>
      <c r="E8" s="64">
        <v>29</v>
      </c>
      <c r="F8" s="64" t="s">
        <v>521</v>
      </c>
      <c r="G8" s="64">
        <v>23.4</v>
      </c>
      <c r="H8" s="160"/>
      <c r="I8" s="64">
        <v>59</v>
      </c>
      <c r="J8" s="64" t="s">
        <v>540</v>
      </c>
      <c r="K8" s="64">
        <v>4.55</v>
      </c>
    </row>
    <row r="9" spans="1:11" ht="15.6" customHeight="1" x14ac:dyDescent="0.3">
      <c r="A9" s="54">
        <v>4</v>
      </c>
      <c r="B9" s="54" t="s">
        <v>651</v>
      </c>
      <c r="C9" s="54">
        <v>21</v>
      </c>
      <c r="D9" s="160"/>
      <c r="E9" s="54">
        <v>30</v>
      </c>
      <c r="F9" s="54" t="s">
        <v>522</v>
      </c>
      <c r="G9" s="54">
        <v>4.67</v>
      </c>
      <c r="H9" s="160"/>
      <c r="I9" s="54">
        <v>60</v>
      </c>
      <c r="J9" s="54" t="s">
        <v>541</v>
      </c>
      <c r="K9" s="54">
        <v>23.1</v>
      </c>
    </row>
    <row r="10" spans="1:11" ht="15.6" customHeight="1" x14ac:dyDescent="0.3">
      <c r="A10" s="64">
        <v>5</v>
      </c>
      <c r="B10" s="64" t="s">
        <v>652</v>
      </c>
      <c r="C10" s="64">
        <v>5.8</v>
      </c>
      <c r="D10" s="160"/>
      <c r="E10" s="64">
        <v>31</v>
      </c>
      <c r="F10" s="64" t="s">
        <v>523</v>
      </c>
      <c r="G10" s="64">
        <v>19.239999999999998</v>
      </c>
      <c r="H10" s="160"/>
      <c r="I10" s="64">
        <v>61</v>
      </c>
      <c r="J10" s="64" t="s">
        <v>542</v>
      </c>
      <c r="K10" s="64">
        <v>19.260000000000002</v>
      </c>
    </row>
    <row r="11" spans="1:11" ht="15.6" customHeight="1" x14ac:dyDescent="0.3">
      <c r="A11" s="54">
        <v>6</v>
      </c>
      <c r="B11" s="54" t="s">
        <v>653</v>
      </c>
      <c r="C11" s="54">
        <v>32.200000000000003</v>
      </c>
      <c r="D11" s="160"/>
      <c r="E11" s="54">
        <v>32</v>
      </c>
      <c r="F11" s="54" t="s">
        <v>562</v>
      </c>
      <c r="G11" s="54">
        <v>19.829999999999998</v>
      </c>
      <c r="H11" s="160"/>
      <c r="I11" s="54">
        <v>62</v>
      </c>
      <c r="J11" s="54" t="s">
        <v>574</v>
      </c>
      <c r="K11" s="54">
        <v>19.829999999999998</v>
      </c>
    </row>
    <row r="12" spans="1:11" ht="15.6" customHeight="1" x14ac:dyDescent="0.3">
      <c r="A12" s="64">
        <v>7</v>
      </c>
      <c r="B12" s="64" t="s">
        <v>654</v>
      </c>
      <c r="C12" s="64">
        <v>12.2</v>
      </c>
      <c r="D12" s="160"/>
      <c r="E12" s="64">
        <v>33</v>
      </c>
      <c r="F12" s="64" t="s">
        <v>524</v>
      </c>
      <c r="G12" s="64">
        <v>10.25</v>
      </c>
      <c r="H12" s="160"/>
      <c r="I12" s="64">
        <v>63</v>
      </c>
      <c r="J12" s="64" t="s">
        <v>543</v>
      </c>
      <c r="K12" s="64">
        <v>10.25</v>
      </c>
    </row>
    <row r="13" spans="1:11" ht="15.6" customHeight="1" x14ac:dyDescent="0.3">
      <c r="A13" s="54">
        <v>8</v>
      </c>
      <c r="B13" s="54" t="s">
        <v>655</v>
      </c>
      <c r="C13" s="54">
        <v>7.5</v>
      </c>
      <c r="D13" s="160"/>
      <c r="E13" s="54">
        <v>34</v>
      </c>
      <c r="F13" s="54" t="s">
        <v>525</v>
      </c>
      <c r="G13" s="54">
        <v>5.44</v>
      </c>
      <c r="H13" s="160"/>
      <c r="I13" s="54">
        <v>64</v>
      </c>
      <c r="J13" s="54" t="s">
        <v>544</v>
      </c>
      <c r="K13" s="54">
        <v>5.48</v>
      </c>
    </row>
    <row r="14" spans="1:11" ht="15.6" customHeight="1" x14ac:dyDescent="0.3">
      <c r="A14" s="64">
        <v>9</v>
      </c>
      <c r="B14" s="64" t="s">
        <v>656</v>
      </c>
      <c r="C14" s="64">
        <v>8.1999999999999993</v>
      </c>
      <c r="D14" s="160"/>
      <c r="E14" s="64">
        <v>35</v>
      </c>
      <c r="F14" s="64" t="s">
        <v>537</v>
      </c>
      <c r="G14" s="64">
        <v>4.55</v>
      </c>
      <c r="H14" s="160"/>
      <c r="I14" s="64">
        <v>65</v>
      </c>
      <c r="J14" s="64" t="s">
        <v>547</v>
      </c>
      <c r="K14" s="64">
        <v>4.38</v>
      </c>
    </row>
    <row r="15" spans="1:11" ht="15.6" customHeight="1" x14ac:dyDescent="0.3">
      <c r="A15" s="54">
        <v>10</v>
      </c>
      <c r="B15" s="54" t="s">
        <v>657</v>
      </c>
      <c r="C15" s="54">
        <v>8.9</v>
      </c>
      <c r="D15" s="160"/>
      <c r="E15" s="54">
        <v>36</v>
      </c>
      <c r="F15" s="54" t="s">
        <v>571</v>
      </c>
      <c r="G15" s="54">
        <v>15.17</v>
      </c>
      <c r="H15" s="160"/>
      <c r="I15" s="54">
        <v>66</v>
      </c>
      <c r="J15" s="54" t="s">
        <v>582</v>
      </c>
      <c r="K15" s="54">
        <v>15.17</v>
      </c>
    </row>
    <row r="16" spans="1:11" ht="15.6" customHeight="1" x14ac:dyDescent="0.3">
      <c r="A16" s="64">
        <v>11</v>
      </c>
      <c r="B16" s="64" t="s">
        <v>658</v>
      </c>
      <c r="C16" s="64">
        <v>15.2</v>
      </c>
      <c r="D16" s="160"/>
      <c r="E16" s="64">
        <v>37</v>
      </c>
      <c r="F16" s="64" t="s">
        <v>563</v>
      </c>
      <c r="G16" s="64">
        <v>10.79</v>
      </c>
      <c r="H16" s="160"/>
      <c r="I16" s="64">
        <v>67</v>
      </c>
      <c r="J16" s="64" t="s">
        <v>575</v>
      </c>
      <c r="K16" s="64">
        <v>10.4</v>
      </c>
    </row>
    <row r="17" spans="1:11" ht="15.6" customHeight="1" x14ac:dyDescent="0.3">
      <c r="A17" s="54">
        <v>12</v>
      </c>
      <c r="B17" s="54" t="s">
        <v>659</v>
      </c>
      <c r="C17" s="54">
        <v>14</v>
      </c>
      <c r="D17" s="160"/>
      <c r="E17" s="54">
        <v>38</v>
      </c>
      <c r="F17" s="54" t="s">
        <v>564</v>
      </c>
      <c r="G17" s="54">
        <v>10.34</v>
      </c>
      <c r="H17" s="160"/>
      <c r="I17" s="54">
        <v>68</v>
      </c>
      <c r="J17" s="54" t="s">
        <v>576</v>
      </c>
      <c r="K17" s="54">
        <v>10.72</v>
      </c>
    </row>
    <row r="18" spans="1:11" ht="15.6" customHeight="1" x14ac:dyDescent="0.3">
      <c r="A18" s="64">
        <v>13</v>
      </c>
      <c r="B18" s="64" t="s">
        <v>660</v>
      </c>
      <c r="C18" s="64">
        <v>12.1</v>
      </c>
      <c r="D18" s="160"/>
      <c r="E18" s="64">
        <v>39</v>
      </c>
      <c r="F18" s="64" t="s">
        <v>531</v>
      </c>
      <c r="G18" s="64">
        <v>7.99</v>
      </c>
      <c r="H18" s="160"/>
      <c r="I18" s="64">
        <v>69</v>
      </c>
      <c r="J18" s="54" t="s">
        <v>545</v>
      </c>
      <c r="K18" s="64">
        <v>7.99</v>
      </c>
    </row>
    <row r="19" spans="1:11" ht="15.6" customHeight="1" x14ac:dyDescent="0.3">
      <c r="A19" s="54">
        <v>14</v>
      </c>
      <c r="B19" s="54" t="s">
        <v>661</v>
      </c>
      <c r="C19" s="54">
        <v>15.28</v>
      </c>
      <c r="D19" s="160"/>
      <c r="E19" s="54">
        <v>40</v>
      </c>
      <c r="F19" s="54" t="s">
        <v>532</v>
      </c>
      <c r="G19" s="54">
        <v>7.6</v>
      </c>
      <c r="H19" s="160"/>
      <c r="I19" s="54">
        <v>70</v>
      </c>
      <c r="J19" s="54" t="s">
        <v>546</v>
      </c>
      <c r="K19" s="54">
        <v>7.48</v>
      </c>
    </row>
    <row r="20" spans="1:11" ht="15.6" customHeight="1" x14ac:dyDescent="0.3">
      <c r="A20" s="64">
        <v>15</v>
      </c>
      <c r="B20" s="64" t="s">
        <v>662</v>
      </c>
      <c r="C20" s="64">
        <v>8.1999999999999993</v>
      </c>
      <c r="D20" s="160"/>
      <c r="E20" s="64">
        <v>41</v>
      </c>
      <c r="F20" s="64" t="s">
        <v>565</v>
      </c>
      <c r="G20" s="64">
        <v>10.37</v>
      </c>
      <c r="H20" s="160"/>
      <c r="I20" s="64">
        <v>71</v>
      </c>
      <c r="J20" s="64" t="s">
        <v>577</v>
      </c>
      <c r="K20" s="64">
        <v>9.18</v>
      </c>
    </row>
    <row r="21" spans="1:11" ht="15.6" customHeight="1" x14ac:dyDescent="0.3">
      <c r="A21" s="54">
        <v>16</v>
      </c>
      <c r="B21" s="54" t="s">
        <v>663</v>
      </c>
      <c r="C21" s="54">
        <v>7.7</v>
      </c>
      <c r="D21" s="160"/>
      <c r="E21" s="54">
        <v>42</v>
      </c>
      <c r="F21" s="54" t="s">
        <v>566</v>
      </c>
      <c r="G21" s="54">
        <v>16.13</v>
      </c>
      <c r="H21" s="160"/>
      <c r="I21" s="54">
        <v>72</v>
      </c>
      <c r="J21" s="54" t="s">
        <v>578</v>
      </c>
      <c r="K21" s="54">
        <v>16.13</v>
      </c>
    </row>
    <row r="22" spans="1:11" ht="15.6" customHeight="1" x14ac:dyDescent="0.3">
      <c r="A22" s="64">
        <v>17</v>
      </c>
      <c r="B22" s="64" t="s">
        <v>664</v>
      </c>
      <c r="C22" s="64">
        <v>14.6</v>
      </c>
      <c r="D22" s="160"/>
      <c r="E22" s="64">
        <v>43</v>
      </c>
      <c r="F22" s="64" t="s">
        <v>533</v>
      </c>
      <c r="G22" s="64">
        <v>22.18</v>
      </c>
      <c r="H22" s="160"/>
      <c r="I22" s="64">
        <v>73</v>
      </c>
      <c r="J22" s="64" t="s">
        <v>548</v>
      </c>
      <c r="K22" s="64">
        <v>22.18</v>
      </c>
    </row>
    <row r="23" spans="1:11" ht="15.6" customHeight="1" x14ac:dyDescent="0.3">
      <c r="A23" s="54">
        <v>18</v>
      </c>
      <c r="B23" s="54" t="s">
        <v>665</v>
      </c>
      <c r="C23" s="54">
        <v>12.7</v>
      </c>
      <c r="D23" s="160"/>
      <c r="E23" s="54">
        <v>44</v>
      </c>
      <c r="F23" s="54" t="s">
        <v>534</v>
      </c>
      <c r="G23" s="54">
        <v>4.37</v>
      </c>
      <c r="H23" s="160"/>
      <c r="I23" s="54">
        <v>74</v>
      </c>
      <c r="J23" s="64" t="s">
        <v>549</v>
      </c>
      <c r="K23" s="54">
        <v>25.38</v>
      </c>
    </row>
    <row r="24" spans="1:11" ht="15.6" customHeight="1" x14ac:dyDescent="0.3">
      <c r="A24" s="64">
        <v>19</v>
      </c>
      <c r="B24" s="64" t="s">
        <v>666</v>
      </c>
      <c r="C24" s="64">
        <v>37</v>
      </c>
      <c r="D24" s="160"/>
      <c r="E24" s="64">
        <v>45</v>
      </c>
      <c r="F24" s="64" t="s">
        <v>535</v>
      </c>
      <c r="G24" s="64">
        <v>5.64</v>
      </c>
      <c r="H24" s="160"/>
      <c r="I24" s="64">
        <v>75</v>
      </c>
      <c r="J24" s="64" t="s">
        <v>550</v>
      </c>
      <c r="K24" s="64">
        <v>4.37</v>
      </c>
    </row>
    <row r="25" spans="1:11" ht="15.6" customHeight="1" x14ac:dyDescent="0.3">
      <c r="A25" s="54">
        <v>20</v>
      </c>
      <c r="B25" s="54" t="s">
        <v>667</v>
      </c>
      <c r="C25" s="54">
        <v>7.4</v>
      </c>
      <c r="D25" s="160"/>
      <c r="E25" s="54">
        <v>46</v>
      </c>
      <c r="F25" s="54" t="s">
        <v>536</v>
      </c>
      <c r="G25" s="54">
        <v>25.37</v>
      </c>
      <c r="H25" s="160"/>
      <c r="I25" s="54">
        <v>76</v>
      </c>
      <c r="J25" s="64" t="s">
        <v>551</v>
      </c>
      <c r="K25" s="54">
        <v>5.64</v>
      </c>
    </row>
    <row r="26" spans="1:11" ht="15.6" customHeight="1" x14ac:dyDescent="0.3">
      <c r="A26" s="64">
        <v>21</v>
      </c>
      <c r="B26" s="64" t="s">
        <v>668</v>
      </c>
      <c r="C26" s="64">
        <v>117.2</v>
      </c>
      <c r="D26" s="160"/>
      <c r="E26" s="64">
        <v>47</v>
      </c>
      <c r="F26" s="64" t="s">
        <v>535</v>
      </c>
      <c r="G26" s="64">
        <v>5.64</v>
      </c>
      <c r="H26" s="160"/>
      <c r="I26" s="64">
        <v>77</v>
      </c>
      <c r="J26" s="64" t="s">
        <v>579</v>
      </c>
      <c r="K26" s="64">
        <v>9.07</v>
      </c>
    </row>
    <row r="27" spans="1:11" ht="15.6" customHeight="1" x14ac:dyDescent="0.3">
      <c r="A27" s="54">
        <v>22</v>
      </c>
      <c r="B27" s="54" t="s">
        <v>669</v>
      </c>
      <c r="C27" s="54">
        <v>20.7</v>
      </c>
      <c r="D27" s="160"/>
      <c r="E27" s="54">
        <v>48</v>
      </c>
      <c r="F27" s="54" t="s">
        <v>536</v>
      </c>
      <c r="G27" s="54">
        <v>25.37</v>
      </c>
      <c r="H27" s="160"/>
      <c r="I27" s="54">
        <v>78</v>
      </c>
      <c r="J27" s="64" t="s">
        <v>580</v>
      </c>
      <c r="K27" s="54">
        <v>15.38</v>
      </c>
    </row>
    <row r="28" spans="1:11" ht="15.6" customHeight="1" x14ac:dyDescent="0.3">
      <c r="A28" s="64">
        <v>23</v>
      </c>
      <c r="B28" s="64" t="s">
        <v>670</v>
      </c>
      <c r="C28" s="64">
        <v>37.4</v>
      </c>
      <c r="D28" s="160"/>
      <c r="E28" s="64">
        <v>49</v>
      </c>
      <c r="F28" s="64" t="s">
        <v>567</v>
      </c>
      <c r="G28" s="64">
        <v>9.07</v>
      </c>
      <c r="H28" s="160"/>
      <c r="I28" s="64">
        <v>79</v>
      </c>
      <c r="J28" s="64" t="s">
        <v>581</v>
      </c>
      <c r="K28" s="64">
        <v>11.03</v>
      </c>
    </row>
    <row r="29" spans="1:11" ht="15.6" customHeight="1" x14ac:dyDescent="0.3">
      <c r="A29" s="54">
        <v>24</v>
      </c>
      <c r="B29" s="54" t="s">
        <v>671</v>
      </c>
      <c r="C29" s="54">
        <v>13.1</v>
      </c>
      <c r="D29" s="160"/>
      <c r="E29" s="54">
        <v>50</v>
      </c>
      <c r="F29" s="54" t="s">
        <v>526</v>
      </c>
      <c r="G29" s="54">
        <v>16.559999999999999</v>
      </c>
      <c r="H29" s="160"/>
      <c r="J29" s="51" t="s">
        <v>630</v>
      </c>
      <c r="K29" s="85">
        <f>SUM(K6:K28)</f>
        <v>280.46999999999997</v>
      </c>
    </row>
    <row r="30" spans="1:11" ht="15.6" customHeight="1" x14ac:dyDescent="0.3">
      <c r="A30" s="64">
        <v>25</v>
      </c>
      <c r="B30" s="64" t="s">
        <v>672</v>
      </c>
      <c r="C30" s="64">
        <v>16.899999999999999</v>
      </c>
      <c r="D30" s="160"/>
      <c r="E30" s="64">
        <v>51</v>
      </c>
      <c r="F30" s="64" t="s">
        <v>527</v>
      </c>
      <c r="G30" s="64">
        <v>8.1199999999999992</v>
      </c>
      <c r="H30" s="160"/>
      <c r="I30" s="160"/>
      <c r="J30" s="160"/>
      <c r="K30" s="160"/>
    </row>
    <row r="31" spans="1:11" ht="15.6" customHeight="1" x14ac:dyDescent="0.3">
      <c r="A31" s="54">
        <v>26</v>
      </c>
      <c r="B31" s="54" t="s">
        <v>673</v>
      </c>
      <c r="C31" s="54">
        <v>104</v>
      </c>
      <c r="D31" s="160"/>
      <c r="E31" s="54">
        <v>52</v>
      </c>
      <c r="F31" s="54" t="s">
        <v>530</v>
      </c>
      <c r="G31" s="54">
        <v>8.89</v>
      </c>
      <c r="H31" s="160"/>
      <c r="I31" s="160"/>
      <c r="J31" s="160"/>
      <c r="K31" s="160"/>
    </row>
    <row r="32" spans="1:11" ht="14.4" customHeight="1" x14ac:dyDescent="0.3">
      <c r="B32" s="51" t="s">
        <v>630</v>
      </c>
      <c r="C32" s="85">
        <f>SUM(C6:C31)</f>
        <v>592.27999999999986</v>
      </c>
      <c r="D32" s="160"/>
      <c r="E32" s="64">
        <v>53</v>
      </c>
      <c r="F32" s="64" t="s">
        <v>456</v>
      </c>
      <c r="G32" s="64">
        <v>9.69</v>
      </c>
      <c r="H32" s="160"/>
      <c r="I32" s="160"/>
      <c r="J32" s="160"/>
      <c r="K32" s="160"/>
    </row>
    <row r="33" spans="1:11" x14ac:dyDescent="0.3">
      <c r="A33" s="128"/>
      <c r="B33" s="128"/>
      <c r="C33" s="128"/>
      <c r="D33" s="160"/>
      <c r="E33" s="54">
        <v>54</v>
      </c>
      <c r="F33" s="54" t="s">
        <v>538</v>
      </c>
      <c r="G33" s="54">
        <v>4.1900000000000004</v>
      </c>
      <c r="H33" s="160"/>
      <c r="I33" s="160"/>
      <c r="J33" s="160"/>
      <c r="K33" s="160"/>
    </row>
    <row r="34" spans="1:11" x14ac:dyDescent="0.3">
      <c r="A34" s="128"/>
      <c r="B34" s="128"/>
      <c r="C34" s="128"/>
      <c r="D34" s="160"/>
      <c r="E34" s="64">
        <v>55</v>
      </c>
      <c r="F34" s="64" t="s">
        <v>528</v>
      </c>
      <c r="G34" s="64">
        <v>19.78</v>
      </c>
      <c r="H34" s="160"/>
      <c r="I34" s="160"/>
      <c r="J34" s="160"/>
      <c r="K34" s="160"/>
    </row>
    <row r="35" spans="1:11" x14ac:dyDescent="0.3">
      <c r="A35" s="128"/>
      <c r="B35" s="128"/>
      <c r="C35" s="128"/>
      <c r="D35" s="160"/>
      <c r="E35" s="54">
        <v>56</v>
      </c>
      <c r="F35" s="54" t="s">
        <v>529</v>
      </c>
      <c r="G35" s="54">
        <v>8.25</v>
      </c>
      <c r="H35" s="160"/>
      <c r="I35" s="160"/>
      <c r="J35" s="160"/>
      <c r="K35" s="160"/>
    </row>
    <row r="36" spans="1:11" x14ac:dyDescent="0.3">
      <c r="A36" s="128"/>
      <c r="B36" s="128"/>
      <c r="C36" s="128"/>
      <c r="D36" s="160"/>
      <c r="F36" s="51" t="s">
        <v>630</v>
      </c>
      <c r="G36" s="85">
        <f>SUM(G6:G35)</f>
        <v>362.54999999999995</v>
      </c>
      <c r="H36" s="160"/>
      <c r="I36" s="160"/>
      <c r="J36" s="160"/>
      <c r="K36" s="160"/>
    </row>
  </sheetData>
  <mergeCells count="10">
    <mergeCell ref="H2:I2"/>
    <mergeCell ref="B3:G3"/>
    <mergeCell ref="B2:G2"/>
    <mergeCell ref="A1:I1"/>
    <mergeCell ref="H5:H36"/>
    <mergeCell ref="D5:D36"/>
    <mergeCell ref="A33:C36"/>
    <mergeCell ref="I30:K36"/>
    <mergeCell ref="A4:K4"/>
    <mergeCell ref="H3:I3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85" zoomScaleNormal="85" workbookViewId="0">
      <selection activeCell="F17" sqref="F17"/>
    </sheetView>
  </sheetViews>
  <sheetFormatPr defaultRowHeight="14.4" x14ac:dyDescent="0.3"/>
  <cols>
    <col min="1" max="1" width="7.21875" customWidth="1"/>
    <col min="2" max="2" width="7.88671875" customWidth="1"/>
    <col min="3" max="3" width="10.6640625" customWidth="1"/>
    <col min="4" max="4" width="9.77734375" customWidth="1"/>
    <col min="5" max="5" width="7.109375" customWidth="1"/>
    <col min="6" max="6" width="21.44140625" customWidth="1"/>
    <col min="7" max="7" width="8.21875" customWidth="1"/>
    <col min="8" max="8" width="9.88671875" customWidth="1"/>
  </cols>
  <sheetData>
    <row r="1" spans="1:8" ht="15.6" x14ac:dyDescent="0.3">
      <c r="A1" s="130" t="s">
        <v>625</v>
      </c>
      <c r="B1" s="130"/>
      <c r="C1" s="130"/>
      <c r="D1" s="130"/>
      <c r="E1" s="130"/>
      <c r="F1" s="130"/>
      <c r="G1" s="70"/>
      <c r="H1" s="70"/>
    </row>
    <row r="2" spans="1:8" ht="31.2" x14ac:dyDescent="0.3">
      <c r="A2" s="66" t="s">
        <v>626</v>
      </c>
      <c r="B2" s="162" t="s">
        <v>2</v>
      </c>
      <c r="C2" s="162"/>
      <c r="D2" s="162"/>
      <c r="E2" s="164" t="s">
        <v>631</v>
      </c>
      <c r="F2" s="164"/>
      <c r="G2" s="67" t="s">
        <v>5</v>
      </c>
      <c r="H2" s="71" t="s">
        <v>591</v>
      </c>
    </row>
    <row r="3" spans="1:8" ht="32.4" customHeight="1" x14ac:dyDescent="0.3">
      <c r="A3" s="79">
        <v>1</v>
      </c>
      <c r="B3" s="163" t="s">
        <v>188</v>
      </c>
      <c r="C3" s="163"/>
      <c r="D3" s="163"/>
      <c r="E3" s="165" t="s">
        <v>192</v>
      </c>
      <c r="F3" s="165"/>
      <c r="G3" s="79" t="s">
        <v>20</v>
      </c>
      <c r="H3" s="72">
        <f>E13</f>
        <v>23.9025</v>
      </c>
    </row>
    <row r="4" spans="1:8" ht="15.6" x14ac:dyDescent="0.3">
      <c r="A4" s="160"/>
      <c r="B4" s="160"/>
      <c r="C4" s="160"/>
      <c r="D4" s="160"/>
      <c r="E4" s="160"/>
      <c r="F4" s="160"/>
      <c r="G4" s="160"/>
      <c r="H4" s="160"/>
    </row>
    <row r="5" spans="1:8" ht="31.2" x14ac:dyDescent="0.3">
      <c r="A5" s="69" t="s">
        <v>627</v>
      </c>
      <c r="B5" s="69" t="s">
        <v>628</v>
      </c>
      <c r="C5" s="69" t="s">
        <v>629</v>
      </c>
      <c r="D5" s="69" t="s">
        <v>640</v>
      </c>
      <c r="E5" s="69" t="s">
        <v>641</v>
      </c>
      <c r="F5" s="128"/>
      <c r="G5" s="128"/>
      <c r="H5" s="128"/>
    </row>
    <row r="6" spans="1:8" x14ac:dyDescent="0.3">
      <c r="A6" s="84" t="s">
        <v>557</v>
      </c>
      <c r="B6" s="84" t="s">
        <v>558</v>
      </c>
      <c r="C6" s="91">
        <v>18.5</v>
      </c>
      <c r="D6" s="92">
        <v>0.375</v>
      </c>
      <c r="E6" s="91">
        <f>C6*D6</f>
        <v>6.9375</v>
      </c>
      <c r="F6" s="128"/>
      <c r="G6" s="128"/>
      <c r="H6" s="128"/>
    </row>
    <row r="7" spans="1:8" x14ac:dyDescent="0.3">
      <c r="A7" s="83" t="s">
        <v>556</v>
      </c>
      <c r="B7" s="83" t="s">
        <v>515</v>
      </c>
      <c r="C7" s="90">
        <v>16</v>
      </c>
      <c r="D7" s="94">
        <v>0.61499999999999999</v>
      </c>
      <c r="E7" s="90">
        <f>C7*D7</f>
        <v>9.84</v>
      </c>
      <c r="F7" s="128"/>
      <c r="G7" s="128"/>
      <c r="H7" s="128"/>
    </row>
    <row r="8" spans="1:8" x14ac:dyDescent="0.3">
      <c r="A8" s="84" t="s">
        <v>469</v>
      </c>
      <c r="B8" s="84" t="s">
        <v>514</v>
      </c>
      <c r="C8" s="91">
        <v>9.5</v>
      </c>
      <c r="D8" s="92">
        <v>0.15</v>
      </c>
      <c r="E8" s="91">
        <f t="shared" ref="E8:E11" si="0">C8*D8</f>
        <v>1.425</v>
      </c>
      <c r="F8" s="128"/>
      <c r="G8" s="128"/>
      <c r="H8" s="128"/>
    </row>
    <row r="9" spans="1:8" x14ac:dyDescent="0.3">
      <c r="A9" s="83" t="s">
        <v>469</v>
      </c>
      <c r="B9" s="83" t="s">
        <v>514</v>
      </c>
      <c r="C9" s="90">
        <v>9.3000000000000007</v>
      </c>
      <c r="D9" s="94">
        <v>0.15</v>
      </c>
      <c r="E9" s="90">
        <f t="shared" si="0"/>
        <v>1.395</v>
      </c>
      <c r="F9" s="128"/>
      <c r="G9" s="128"/>
      <c r="H9" s="128"/>
    </row>
    <row r="10" spans="1:8" x14ac:dyDescent="0.3">
      <c r="A10" s="84" t="s">
        <v>498</v>
      </c>
      <c r="B10" s="84" t="s">
        <v>514</v>
      </c>
      <c r="C10" s="91">
        <v>10.3</v>
      </c>
      <c r="D10" s="92">
        <v>0.15</v>
      </c>
      <c r="E10" s="91">
        <f t="shared" si="0"/>
        <v>1.5450000000000002</v>
      </c>
      <c r="F10" s="128"/>
      <c r="G10" s="128"/>
      <c r="H10" s="128"/>
    </row>
    <row r="11" spans="1:8" x14ac:dyDescent="0.3">
      <c r="A11" s="83" t="s">
        <v>504</v>
      </c>
      <c r="B11" s="83" t="s">
        <v>514</v>
      </c>
      <c r="C11" s="90">
        <v>9.1999999999999993</v>
      </c>
      <c r="D11" s="94">
        <v>0.15</v>
      </c>
      <c r="E11" s="90">
        <f t="shared" si="0"/>
        <v>1.38</v>
      </c>
      <c r="F11" s="128"/>
      <c r="G11" s="128"/>
      <c r="H11" s="128"/>
    </row>
    <row r="12" spans="1:8" x14ac:dyDescent="0.3">
      <c r="A12" s="84" t="s">
        <v>507</v>
      </c>
      <c r="B12" s="84" t="s">
        <v>514</v>
      </c>
      <c r="C12" s="91">
        <v>9.1999999999999993</v>
      </c>
      <c r="D12" s="92">
        <v>0.15</v>
      </c>
      <c r="E12" s="91">
        <f t="shared" ref="E12" si="1">C12*D12</f>
        <v>1.38</v>
      </c>
      <c r="F12" s="128"/>
      <c r="G12" s="128"/>
      <c r="H12" s="128"/>
    </row>
    <row r="13" spans="1:8" x14ac:dyDescent="0.3">
      <c r="A13" s="161"/>
      <c r="B13" s="161"/>
      <c r="C13" s="161"/>
      <c r="D13" t="s">
        <v>642</v>
      </c>
      <c r="E13" s="93">
        <f>SUM(E6:E12)</f>
        <v>23.9025</v>
      </c>
      <c r="F13" s="128"/>
      <c r="G13" s="128"/>
      <c r="H13" s="128"/>
    </row>
  </sheetData>
  <mergeCells count="8">
    <mergeCell ref="A1:F1"/>
    <mergeCell ref="F5:H13"/>
    <mergeCell ref="A13:C13"/>
    <mergeCell ref="A4:H4"/>
    <mergeCell ref="B2:D2"/>
    <mergeCell ref="B3:D3"/>
    <mergeCell ref="E2:F2"/>
    <mergeCell ref="E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workbookViewId="0">
      <selection sqref="A1:I1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88671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70"/>
      <c r="K1" s="70"/>
    </row>
    <row r="2" spans="1:11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50.4" customHeight="1" x14ac:dyDescent="0.3">
      <c r="A3" s="89">
        <v>1</v>
      </c>
      <c r="B3" s="134" t="s">
        <v>413</v>
      </c>
      <c r="C3" s="135"/>
      <c r="D3" s="135"/>
      <c r="E3" s="135"/>
      <c r="F3" s="135"/>
      <c r="G3" s="136"/>
      <c r="H3" s="166" t="s">
        <v>644</v>
      </c>
      <c r="I3" s="167"/>
      <c r="J3" s="89" t="s">
        <v>20</v>
      </c>
      <c r="K3" s="72">
        <f>C28</f>
        <v>330.99999999999994</v>
      </c>
    </row>
    <row r="4" spans="1:11" ht="50.4" customHeight="1" x14ac:dyDescent="0.3">
      <c r="A4" s="89">
        <v>2</v>
      </c>
      <c r="B4" s="134" t="s">
        <v>387</v>
      </c>
      <c r="C4" s="135"/>
      <c r="D4" s="135"/>
      <c r="E4" s="135"/>
      <c r="F4" s="135"/>
      <c r="G4" s="136"/>
      <c r="H4" s="166" t="s">
        <v>643</v>
      </c>
      <c r="I4" s="167"/>
      <c r="J4" s="89" t="s">
        <v>20</v>
      </c>
      <c r="K4" s="72">
        <f>G12</f>
        <v>25.7</v>
      </c>
    </row>
    <row r="5" spans="1:11" ht="15.6" x14ac:dyDescent="0.3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ht="46.8" x14ac:dyDescent="0.3">
      <c r="A6" s="69" t="s">
        <v>627</v>
      </c>
      <c r="B6" s="69" t="s">
        <v>628</v>
      </c>
      <c r="C6" s="69" t="s">
        <v>629</v>
      </c>
      <c r="D6" s="81"/>
      <c r="E6" s="69" t="s">
        <v>627</v>
      </c>
      <c r="F6" s="69" t="s">
        <v>628</v>
      </c>
      <c r="G6" s="69" t="s">
        <v>629</v>
      </c>
      <c r="H6" s="95"/>
      <c r="I6" s="95"/>
      <c r="J6" s="95"/>
      <c r="K6" s="95"/>
    </row>
    <row r="7" spans="1:11" ht="15.6" customHeight="1" x14ac:dyDescent="0.3">
      <c r="A7" s="64" t="s">
        <v>560</v>
      </c>
      <c r="B7" s="64" t="s">
        <v>592</v>
      </c>
      <c r="C7" s="64">
        <v>17.3</v>
      </c>
      <c r="D7" s="81"/>
      <c r="E7" s="84" t="s">
        <v>522</v>
      </c>
      <c r="F7" s="64" t="s">
        <v>594</v>
      </c>
      <c r="G7" s="84">
        <v>4.8</v>
      </c>
      <c r="H7" s="95"/>
      <c r="I7" s="95"/>
      <c r="J7" s="95"/>
      <c r="K7" s="95"/>
    </row>
    <row r="8" spans="1:11" ht="15.6" customHeight="1" x14ac:dyDescent="0.3">
      <c r="A8" s="54" t="s">
        <v>561</v>
      </c>
      <c r="B8" s="54" t="s">
        <v>592</v>
      </c>
      <c r="C8" s="54">
        <v>10.5</v>
      </c>
      <c r="D8" s="81"/>
      <c r="E8" s="83" t="s">
        <v>532</v>
      </c>
      <c r="F8" s="54" t="s">
        <v>594</v>
      </c>
      <c r="G8" s="83">
        <v>7.5</v>
      </c>
      <c r="H8" s="95"/>
      <c r="I8" s="95"/>
      <c r="J8" s="95"/>
      <c r="K8" s="95"/>
    </row>
    <row r="9" spans="1:11" ht="15.6" customHeight="1" x14ac:dyDescent="0.3">
      <c r="A9" s="64" t="s">
        <v>521</v>
      </c>
      <c r="B9" s="64" t="s">
        <v>592</v>
      </c>
      <c r="C9" s="64">
        <v>22.3</v>
      </c>
      <c r="D9" s="81"/>
      <c r="E9" s="84" t="s">
        <v>534</v>
      </c>
      <c r="F9" s="64" t="s">
        <v>594</v>
      </c>
      <c r="G9" s="84">
        <v>4.5</v>
      </c>
      <c r="H9" s="95"/>
      <c r="I9" s="95"/>
      <c r="J9" s="95"/>
      <c r="K9" s="95"/>
    </row>
    <row r="10" spans="1:11" ht="15.6" customHeight="1" x14ac:dyDescent="0.3">
      <c r="A10" s="54" t="s">
        <v>523</v>
      </c>
      <c r="B10" s="54" t="s">
        <v>592</v>
      </c>
      <c r="C10" s="54">
        <v>19</v>
      </c>
      <c r="D10" s="81"/>
      <c r="E10" s="83" t="s">
        <v>537</v>
      </c>
      <c r="F10" s="54" t="s">
        <v>594</v>
      </c>
      <c r="G10" s="83">
        <v>4.5999999999999996</v>
      </c>
      <c r="H10" s="95"/>
      <c r="I10" s="95"/>
      <c r="J10" s="95"/>
      <c r="K10" s="95"/>
    </row>
    <row r="11" spans="1:11" ht="15.6" customHeight="1" x14ac:dyDescent="0.3">
      <c r="A11" s="64" t="s">
        <v>562</v>
      </c>
      <c r="B11" s="64" t="s">
        <v>592</v>
      </c>
      <c r="C11" s="64">
        <v>30.2</v>
      </c>
      <c r="D11" s="81"/>
      <c r="E11" s="84" t="s">
        <v>538</v>
      </c>
      <c r="F11" s="64" t="s">
        <v>594</v>
      </c>
      <c r="G11" s="84">
        <v>4.3</v>
      </c>
      <c r="H11" s="95"/>
      <c r="I11" s="95"/>
      <c r="J11" s="95"/>
      <c r="K11" s="95"/>
    </row>
    <row r="12" spans="1:11" ht="15.6" customHeight="1" x14ac:dyDescent="0.3">
      <c r="A12" s="54" t="s">
        <v>524</v>
      </c>
      <c r="B12" s="54" t="s">
        <v>592</v>
      </c>
      <c r="C12" s="54">
        <v>10.1</v>
      </c>
      <c r="D12" s="81"/>
      <c r="E12" s="81"/>
      <c r="F12" s="81" t="s">
        <v>630</v>
      </c>
      <c r="G12" s="81">
        <f>SUM(G7:G11)</f>
        <v>25.7</v>
      </c>
      <c r="H12" s="95"/>
      <c r="I12" s="95"/>
      <c r="J12" s="95"/>
      <c r="K12" s="95"/>
    </row>
    <row r="13" spans="1:11" ht="15.6" customHeight="1" x14ac:dyDescent="0.3">
      <c r="A13" s="64" t="s">
        <v>525</v>
      </c>
      <c r="B13" s="64" t="s">
        <v>592</v>
      </c>
      <c r="C13" s="64">
        <v>5.6</v>
      </c>
      <c r="D13" s="81"/>
      <c r="E13" s="81"/>
      <c r="F13" s="81"/>
      <c r="G13" s="81"/>
      <c r="H13" s="95"/>
      <c r="I13" s="95"/>
      <c r="J13" s="95"/>
      <c r="K13" s="95"/>
    </row>
    <row r="14" spans="1:11" ht="15.6" customHeight="1" x14ac:dyDescent="0.3">
      <c r="A14" s="54" t="s">
        <v>453</v>
      </c>
      <c r="B14" s="54" t="s">
        <v>592</v>
      </c>
      <c r="C14" s="54">
        <v>3.1</v>
      </c>
      <c r="D14" s="81"/>
      <c r="E14" s="81"/>
      <c r="F14" s="81"/>
      <c r="G14" s="81"/>
      <c r="H14" s="95"/>
      <c r="I14" s="95"/>
      <c r="J14" s="95"/>
      <c r="K14" s="95"/>
    </row>
    <row r="15" spans="1:11" ht="15.6" customHeight="1" x14ac:dyDescent="0.3">
      <c r="A15" s="64" t="s">
        <v>563</v>
      </c>
      <c r="B15" s="64" t="s">
        <v>592</v>
      </c>
      <c r="C15" s="64">
        <v>15.8</v>
      </c>
      <c r="D15" s="81"/>
      <c r="E15" s="81"/>
      <c r="F15" s="81"/>
      <c r="G15" s="81"/>
      <c r="H15" s="95"/>
      <c r="I15" s="95"/>
      <c r="J15" s="95"/>
      <c r="K15" s="95"/>
    </row>
    <row r="16" spans="1:11" ht="15.6" customHeight="1" x14ac:dyDescent="0.3">
      <c r="A16" s="54" t="s">
        <v>564</v>
      </c>
      <c r="B16" s="54" t="s">
        <v>592</v>
      </c>
      <c r="C16" s="54">
        <v>15.8</v>
      </c>
      <c r="D16" s="81"/>
      <c r="E16" s="81"/>
      <c r="F16" s="81"/>
      <c r="G16" s="81"/>
      <c r="H16" s="95"/>
      <c r="I16" s="95"/>
      <c r="J16" s="95"/>
      <c r="K16" s="95"/>
    </row>
    <row r="17" spans="1:11" ht="15.6" customHeight="1" x14ac:dyDescent="0.3">
      <c r="A17" s="64" t="s">
        <v>516</v>
      </c>
      <c r="B17" s="64" t="s">
        <v>592</v>
      </c>
      <c r="C17" s="64">
        <v>33.1</v>
      </c>
      <c r="D17" s="81"/>
      <c r="E17" s="81"/>
      <c r="F17" s="81"/>
      <c r="G17" s="81"/>
      <c r="H17" s="95"/>
      <c r="I17" s="95"/>
      <c r="J17" s="95"/>
      <c r="K17" s="95"/>
    </row>
    <row r="18" spans="1:11" ht="15.6" customHeight="1" x14ac:dyDescent="0.3">
      <c r="A18" s="54" t="s">
        <v>531</v>
      </c>
      <c r="B18" s="54" t="s">
        <v>592</v>
      </c>
      <c r="C18" s="54">
        <v>8.1999999999999993</v>
      </c>
      <c r="D18" s="81"/>
      <c r="E18" s="81"/>
      <c r="F18" s="81"/>
      <c r="G18" s="81"/>
      <c r="H18" s="95"/>
      <c r="I18" s="95"/>
      <c r="J18" s="95"/>
      <c r="K18" s="95"/>
    </row>
    <row r="19" spans="1:11" ht="15.6" customHeight="1" x14ac:dyDescent="0.3">
      <c r="A19" s="64" t="s">
        <v>565</v>
      </c>
      <c r="B19" s="64" t="s">
        <v>592</v>
      </c>
      <c r="C19" s="64">
        <v>10.9</v>
      </c>
      <c r="D19" s="81"/>
      <c r="E19" s="81"/>
      <c r="F19" s="81"/>
      <c r="G19" s="81"/>
      <c r="H19" s="95"/>
      <c r="I19" s="95"/>
      <c r="J19" s="95"/>
      <c r="K19" s="95"/>
    </row>
    <row r="20" spans="1:11" ht="15.6" customHeight="1" x14ac:dyDescent="0.3">
      <c r="A20" s="54" t="s">
        <v>566</v>
      </c>
      <c r="B20" s="54" t="s">
        <v>592</v>
      </c>
      <c r="C20" s="54">
        <v>21.1</v>
      </c>
      <c r="D20" s="81"/>
      <c r="E20" s="81"/>
      <c r="F20" s="81"/>
      <c r="G20" s="81"/>
      <c r="H20" s="95"/>
      <c r="I20" s="95"/>
      <c r="J20" s="95"/>
      <c r="K20" s="95"/>
    </row>
    <row r="21" spans="1:11" ht="15.6" customHeight="1" x14ac:dyDescent="0.3">
      <c r="A21" s="64" t="s">
        <v>533</v>
      </c>
      <c r="B21" s="64" t="s">
        <v>592</v>
      </c>
      <c r="C21" s="64">
        <v>21.2</v>
      </c>
      <c r="D21" s="81"/>
      <c r="E21" s="81"/>
      <c r="F21" s="81"/>
      <c r="G21" s="81"/>
      <c r="H21" s="95"/>
      <c r="I21" s="95"/>
      <c r="J21" s="95"/>
      <c r="K21" s="95"/>
    </row>
    <row r="22" spans="1:11" ht="15.6" customHeight="1" x14ac:dyDescent="0.3">
      <c r="A22" s="64" t="s">
        <v>535</v>
      </c>
      <c r="B22" s="64" t="s">
        <v>592</v>
      </c>
      <c r="C22" s="64">
        <v>5.6</v>
      </c>
      <c r="D22" s="81"/>
      <c r="E22" s="81"/>
      <c r="F22" s="81"/>
      <c r="G22" s="81"/>
      <c r="H22" s="95"/>
      <c r="I22" s="95"/>
      <c r="J22" s="95"/>
      <c r="K22" s="95"/>
    </row>
    <row r="23" spans="1:11" ht="15.6" customHeight="1" x14ac:dyDescent="0.3">
      <c r="A23" s="54" t="s">
        <v>536</v>
      </c>
      <c r="B23" s="54" t="s">
        <v>592</v>
      </c>
      <c r="C23" s="54">
        <v>25.4</v>
      </c>
      <c r="D23" s="81"/>
      <c r="E23" s="81"/>
      <c r="F23" s="81"/>
      <c r="G23" s="81"/>
      <c r="H23" s="95"/>
      <c r="I23" s="95"/>
      <c r="J23" s="95"/>
      <c r="K23" s="95"/>
    </row>
    <row r="24" spans="1:11" ht="15.6" customHeight="1" x14ac:dyDescent="0.3">
      <c r="A24" s="64" t="s">
        <v>567</v>
      </c>
      <c r="B24" s="64" t="s">
        <v>592</v>
      </c>
      <c r="C24" s="64">
        <v>10.5</v>
      </c>
      <c r="D24" s="81"/>
      <c r="E24" s="81"/>
      <c r="F24" s="81"/>
      <c r="G24" s="81"/>
      <c r="H24" s="95"/>
      <c r="I24" s="95"/>
      <c r="J24" s="95"/>
      <c r="K24" s="95"/>
    </row>
    <row r="25" spans="1:11" ht="15.6" customHeight="1" x14ac:dyDescent="0.3">
      <c r="A25" s="54" t="s">
        <v>568</v>
      </c>
      <c r="B25" s="54" t="s">
        <v>592</v>
      </c>
      <c r="C25" s="54">
        <v>19.100000000000001</v>
      </c>
      <c r="D25" s="81"/>
      <c r="E25" s="81"/>
      <c r="F25" s="81"/>
      <c r="G25" s="81"/>
      <c r="H25" s="95"/>
      <c r="I25" s="95"/>
      <c r="J25" s="95"/>
      <c r="K25" s="95"/>
    </row>
    <row r="26" spans="1:11" ht="15.6" customHeight="1" x14ac:dyDescent="0.3">
      <c r="A26" s="64" t="s">
        <v>570</v>
      </c>
      <c r="B26" s="64" t="s">
        <v>592</v>
      </c>
      <c r="C26" s="64">
        <v>10.5</v>
      </c>
      <c r="D26" s="81"/>
      <c r="E26" s="81"/>
      <c r="F26" s="81"/>
      <c r="G26" s="81"/>
      <c r="H26" s="95"/>
      <c r="I26" s="95"/>
      <c r="J26" s="95"/>
      <c r="K26" s="95"/>
    </row>
    <row r="27" spans="1:11" ht="15.6" customHeight="1" x14ac:dyDescent="0.3">
      <c r="A27" s="64" t="s">
        <v>571</v>
      </c>
      <c r="B27" s="64" t="s">
        <v>592</v>
      </c>
      <c r="C27" s="64">
        <v>15.7</v>
      </c>
      <c r="D27" s="81"/>
      <c r="E27" s="81"/>
      <c r="F27" s="81"/>
      <c r="G27" s="81"/>
      <c r="H27" s="95"/>
      <c r="I27" s="95"/>
      <c r="J27" s="95"/>
      <c r="K27" s="95"/>
    </row>
    <row r="28" spans="1:11" ht="14.4" customHeight="1" x14ac:dyDescent="0.3">
      <c r="B28" s="51" t="s">
        <v>630</v>
      </c>
      <c r="C28" s="85">
        <f>SUM(C7:C27)</f>
        <v>330.99999999999994</v>
      </c>
      <c r="D28" s="81"/>
      <c r="E28" s="81"/>
      <c r="F28" s="81"/>
      <c r="G28" s="81"/>
      <c r="H28" s="95"/>
      <c r="I28" s="95"/>
      <c r="J28" s="95"/>
      <c r="K28" s="95"/>
    </row>
    <row r="31" spans="1:11" ht="15.6" x14ac:dyDescent="0.3">
      <c r="A31" s="130" t="s">
        <v>625</v>
      </c>
      <c r="B31" s="130"/>
      <c r="C31" s="130"/>
      <c r="D31" s="130"/>
      <c r="E31" s="130"/>
      <c r="F31" s="130"/>
      <c r="G31" s="130"/>
      <c r="H31" s="130"/>
      <c r="I31" s="130"/>
      <c r="J31" s="70"/>
      <c r="K31" s="70"/>
    </row>
    <row r="32" spans="1:11" ht="31.2" x14ac:dyDescent="0.3">
      <c r="A32" s="66" t="s">
        <v>626</v>
      </c>
      <c r="B32" s="131" t="s">
        <v>2</v>
      </c>
      <c r="C32" s="132"/>
      <c r="D32" s="132"/>
      <c r="E32" s="132"/>
      <c r="F32" s="132"/>
      <c r="G32" s="133"/>
      <c r="H32" s="138" t="s">
        <v>631</v>
      </c>
      <c r="I32" s="139"/>
      <c r="J32" s="67" t="s">
        <v>5</v>
      </c>
      <c r="K32" s="71" t="s">
        <v>591</v>
      </c>
    </row>
    <row r="33" spans="1:11" ht="15.6" x14ac:dyDescent="0.3">
      <c r="A33" s="89">
        <v>1</v>
      </c>
      <c r="B33" s="134" t="s">
        <v>413</v>
      </c>
      <c r="C33" s="135"/>
      <c r="D33" s="135"/>
      <c r="E33" s="135"/>
      <c r="F33" s="135"/>
      <c r="G33" s="136"/>
      <c r="H33" s="166" t="s">
        <v>632</v>
      </c>
      <c r="I33" s="167"/>
      <c r="J33" s="89" t="s">
        <v>20</v>
      </c>
      <c r="K33" s="72">
        <f>C60</f>
        <v>339.1</v>
      </c>
    </row>
    <row r="34" spans="1:11" ht="15.6" x14ac:dyDescent="0.3">
      <c r="A34" s="89">
        <v>2</v>
      </c>
      <c r="B34" s="134" t="s">
        <v>387</v>
      </c>
      <c r="C34" s="135"/>
      <c r="D34" s="135"/>
      <c r="E34" s="135"/>
      <c r="F34" s="135"/>
      <c r="G34" s="136"/>
      <c r="H34" s="166" t="s">
        <v>633</v>
      </c>
      <c r="I34" s="167"/>
      <c r="J34" s="89" t="s">
        <v>20</v>
      </c>
      <c r="K34" s="72">
        <f>G44</f>
        <v>54</v>
      </c>
    </row>
    <row r="35" spans="1:11" ht="15.6" x14ac:dyDescent="0.3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</row>
    <row r="36" spans="1:11" ht="46.8" x14ac:dyDescent="0.3">
      <c r="A36" s="69" t="s">
        <v>627</v>
      </c>
      <c r="B36" s="69" t="s">
        <v>628</v>
      </c>
      <c r="C36" s="69" t="s">
        <v>629</v>
      </c>
      <c r="D36" s="81"/>
      <c r="E36" s="69" t="s">
        <v>627</v>
      </c>
      <c r="F36" s="69" t="s">
        <v>628</v>
      </c>
      <c r="G36" s="69" t="s">
        <v>629</v>
      </c>
      <c r="H36" s="95"/>
      <c r="I36" s="95"/>
      <c r="J36" s="95"/>
      <c r="K36" s="95"/>
    </row>
    <row r="37" spans="1:11" ht="15.6" x14ac:dyDescent="0.3">
      <c r="A37" s="64" t="s">
        <v>572</v>
      </c>
      <c r="B37" s="64" t="s">
        <v>592</v>
      </c>
      <c r="C37" s="64">
        <v>13.2</v>
      </c>
      <c r="D37" s="81"/>
      <c r="E37" s="84" t="s">
        <v>540</v>
      </c>
      <c r="F37" s="64" t="s">
        <v>594</v>
      </c>
      <c r="G37" s="84">
        <v>4.8</v>
      </c>
      <c r="H37" s="95"/>
      <c r="I37" s="95"/>
      <c r="J37" s="95"/>
      <c r="K37" s="95"/>
    </row>
    <row r="38" spans="1:11" ht="15.6" x14ac:dyDescent="0.3">
      <c r="A38" s="54" t="s">
        <v>573</v>
      </c>
      <c r="B38" s="54" t="s">
        <v>592</v>
      </c>
      <c r="C38" s="54">
        <v>9.6</v>
      </c>
      <c r="D38" s="81"/>
      <c r="E38" s="83" t="s">
        <v>546</v>
      </c>
      <c r="F38" s="54" t="s">
        <v>594</v>
      </c>
      <c r="G38" s="83">
        <v>7.5</v>
      </c>
      <c r="H38" s="95"/>
      <c r="I38" s="95"/>
      <c r="J38" s="95"/>
      <c r="K38" s="95"/>
    </row>
    <row r="39" spans="1:11" ht="15.6" x14ac:dyDescent="0.3">
      <c r="A39" s="64" t="s">
        <v>541</v>
      </c>
      <c r="B39" s="64" t="s">
        <v>592</v>
      </c>
      <c r="C39" s="64">
        <v>21.9</v>
      </c>
      <c r="D39" s="81"/>
      <c r="E39" s="84" t="s">
        <v>547</v>
      </c>
      <c r="F39" s="64" t="s">
        <v>594</v>
      </c>
      <c r="G39" s="84">
        <v>4.5</v>
      </c>
      <c r="H39" s="95"/>
      <c r="I39" s="95"/>
      <c r="J39" s="95"/>
      <c r="K39" s="95"/>
    </row>
    <row r="40" spans="1:11" ht="15.6" x14ac:dyDescent="0.3">
      <c r="A40" s="54" t="s">
        <v>542</v>
      </c>
      <c r="B40" s="54" t="s">
        <v>592</v>
      </c>
      <c r="C40" s="54">
        <v>19.600000000000001</v>
      </c>
      <c r="D40" s="81"/>
      <c r="E40" s="83" t="s">
        <v>550</v>
      </c>
      <c r="F40" s="54" t="s">
        <v>594</v>
      </c>
      <c r="G40" s="83">
        <v>4.5</v>
      </c>
      <c r="H40" s="95"/>
      <c r="I40" s="95"/>
      <c r="J40" s="95"/>
      <c r="K40" s="95"/>
    </row>
    <row r="41" spans="1:11" ht="15.6" x14ac:dyDescent="0.3">
      <c r="A41" s="64" t="s">
        <v>574</v>
      </c>
      <c r="B41" s="64" t="s">
        <v>592</v>
      </c>
      <c r="C41" s="64">
        <v>19.7</v>
      </c>
      <c r="D41" s="81"/>
      <c r="E41" s="84" t="s">
        <v>508</v>
      </c>
      <c r="F41" s="64" t="s">
        <v>594</v>
      </c>
      <c r="G41" s="84">
        <v>7.7</v>
      </c>
      <c r="H41" s="95"/>
      <c r="I41" s="95"/>
      <c r="J41" s="95"/>
      <c r="K41" s="95"/>
    </row>
    <row r="42" spans="1:11" ht="15.6" x14ac:dyDescent="0.3">
      <c r="A42" s="54" t="s">
        <v>543</v>
      </c>
      <c r="B42" s="54" t="s">
        <v>592</v>
      </c>
      <c r="C42" s="54">
        <v>10.5</v>
      </c>
      <c r="D42" s="81"/>
      <c r="E42" s="83" t="s">
        <v>509</v>
      </c>
      <c r="F42" s="54" t="s">
        <v>594</v>
      </c>
      <c r="G42" s="83">
        <v>13</v>
      </c>
      <c r="H42" s="95"/>
      <c r="I42" s="95"/>
      <c r="J42" s="95"/>
      <c r="K42" s="95"/>
    </row>
    <row r="43" spans="1:11" ht="15.6" x14ac:dyDescent="0.3">
      <c r="A43" s="64" t="s">
        <v>544</v>
      </c>
      <c r="B43" s="64" t="s">
        <v>592</v>
      </c>
      <c r="C43" s="64">
        <v>5.6</v>
      </c>
      <c r="D43" s="81"/>
      <c r="E43" s="83" t="s">
        <v>510</v>
      </c>
      <c r="F43" s="54" t="s">
        <v>594</v>
      </c>
      <c r="G43" s="83">
        <v>12</v>
      </c>
      <c r="H43" s="95"/>
      <c r="I43" s="95"/>
      <c r="J43" s="95"/>
      <c r="K43" s="95"/>
    </row>
    <row r="44" spans="1:11" ht="15.6" x14ac:dyDescent="0.3">
      <c r="A44" s="54" t="s">
        <v>575</v>
      </c>
      <c r="B44" s="54" t="s">
        <v>592</v>
      </c>
      <c r="C44" s="54">
        <v>10.199999999999999</v>
      </c>
      <c r="D44" s="81"/>
      <c r="E44" s="81"/>
      <c r="F44" s="81" t="s">
        <v>630</v>
      </c>
      <c r="G44" s="81">
        <f>SUM(G37:G43)</f>
        <v>54</v>
      </c>
      <c r="H44" s="95"/>
      <c r="I44" s="95"/>
      <c r="J44" s="95"/>
      <c r="K44" s="95"/>
    </row>
    <row r="45" spans="1:11" ht="15.6" x14ac:dyDescent="0.3">
      <c r="A45" s="64" t="s">
        <v>576</v>
      </c>
      <c r="B45" s="64" t="s">
        <v>592</v>
      </c>
      <c r="C45" s="64">
        <v>10.6</v>
      </c>
      <c r="D45" s="81"/>
      <c r="E45" s="81"/>
      <c r="F45" s="81"/>
      <c r="G45" s="81"/>
      <c r="H45" s="95"/>
      <c r="I45" s="95"/>
      <c r="J45" s="95"/>
      <c r="K45" s="95"/>
    </row>
    <row r="46" spans="1:11" ht="15.6" x14ac:dyDescent="0.3">
      <c r="A46" s="54" t="s">
        <v>545</v>
      </c>
      <c r="B46" s="54" t="s">
        <v>592</v>
      </c>
      <c r="C46" s="54">
        <v>8.1999999999999993</v>
      </c>
      <c r="D46" s="81"/>
      <c r="E46" s="81"/>
      <c r="F46" s="81"/>
      <c r="G46" s="81"/>
      <c r="H46" s="95"/>
      <c r="I46" s="95"/>
      <c r="J46" s="95"/>
      <c r="K46" s="95"/>
    </row>
    <row r="47" spans="1:11" ht="15.6" x14ac:dyDescent="0.3">
      <c r="A47" s="64" t="s">
        <v>577</v>
      </c>
      <c r="B47" s="64" t="s">
        <v>592</v>
      </c>
      <c r="C47" s="64">
        <v>9.8000000000000007</v>
      </c>
      <c r="D47" s="81"/>
      <c r="E47" s="81"/>
      <c r="F47" s="81"/>
      <c r="G47" s="81"/>
      <c r="H47" s="95"/>
      <c r="I47" s="95"/>
      <c r="J47" s="95"/>
      <c r="K47" s="95"/>
    </row>
    <row r="48" spans="1:11" ht="15.6" x14ac:dyDescent="0.3">
      <c r="A48" s="54" t="s">
        <v>578</v>
      </c>
      <c r="B48" s="54" t="s">
        <v>592</v>
      </c>
      <c r="C48" s="54">
        <v>15.9</v>
      </c>
      <c r="D48" s="81"/>
      <c r="E48" s="81"/>
      <c r="F48" s="81"/>
      <c r="G48" s="81"/>
      <c r="H48" s="95"/>
      <c r="I48" s="95"/>
      <c r="J48" s="95"/>
      <c r="K48" s="95"/>
    </row>
    <row r="49" spans="1:11" ht="15.6" x14ac:dyDescent="0.3">
      <c r="A49" s="64" t="s">
        <v>548</v>
      </c>
      <c r="B49" s="64" t="s">
        <v>592</v>
      </c>
      <c r="C49" s="64">
        <v>22.2</v>
      </c>
      <c r="D49" s="81"/>
      <c r="E49" s="81"/>
      <c r="F49" s="81"/>
      <c r="G49" s="81"/>
      <c r="H49" s="95"/>
      <c r="I49" s="95"/>
      <c r="J49" s="95"/>
      <c r="K49" s="95"/>
    </row>
    <row r="50" spans="1:11" ht="15.6" x14ac:dyDescent="0.3">
      <c r="A50" s="54" t="s">
        <v>549</v>
      </c>
      <c r="B50" s="54" t="s">
        <v>592</v>
      </c>
      <c r="C50" s="54">
        <v>25.3</v>
      </c>
      <c r="D50" s="81"/>
      <c r="E50" s="81"/>
      <c r="F50" s="81"/>
      <c r="G50" s="81"/>
      <c r="H50" s="95"/>
      <c r="I50" s="95"/>
      <c r="J50" s="95"/>
      <c r="K50" s="95"/>
    </row>
    <row r="51" spans="1:11" ht="15.6" x14ac:dyDescent="0.3">
      <c r="A51" s="64" t="s">
        <v>551</v>
      </c>
      <c r="B51" s="64" t="s">
        <v>592</v>
      </c>
      <c r="C51" s="64">
        <v>5.8</v>
      </c>
      <c r="D51" s="81"/>
      <c r="E51" s="81"/>
      <c r="F51" s="81"/>
      <c r="G51" s="81"/>
      <c r="H51" s="95"/>
      <c r="I51" s="95"/>
      <c r="J51" s="95"/>
      <c r="K51" s="95"/>
    </row>
    <row r="52" spans="1:11" ht="15.6" x14ac:dyDescent="0.3">
      <c r="A52" s="64" t="s">
        <v>579</v>
      </c>
      <c r="B52" s="64" t="s">
        <v>592</v>
      </c>
      <c r="C52" s="64">
        <v>9.6</v>
      </c>
      <c r="D52" s="81"/>
      <c r="E52" s="81"/>
      <c r="F52" s="81"/>
      <c r="G52" s="81"/>
      <c r="H52" s="95"/>
      <c r="I52" s="95"/>
      <c r="J52" s="95"/>
      <c r="K52" s="95"/>
    </row>
    <row r="53" spans="1:11" ht="15.6" x14ac:dyDescent="0.3">
      <c r="A53" s="54" t="s">
        <v>580</v>
      </c>
      <c r="B53" s="54" t="s">
        <v>592</v>
      </c>
      <c r="C53" s="54">
        <v>15.6</v>
      </c>
      <c r="D53" s="81"/>
      <c r="E53" s="81"/>
      <c r="F53" s="81"/>
      <c r="G53" s="81"/>
      <c r="H53" s="95"/>
      <c r="I53" s="95"/>
      <c r="J53" s="95"/>
      <c r="K53" s="95"/>
    </row>
    <row r="54" spans="1:11" ht="15.6" x14ac:dyDescent="0.3">
      <c r="A54" s="64" t="s">
        <v>581</v>
      </c>
      <c r="B54" s="64" t="s">
        <v>592</v>
      </c>
      <c r="C54" s="64">
        <v>11.1</v>
      </c>
      <c r="D54" s="81"/>
      <c r="E54" s="81"/>
      <c r="F54" s="81"/>
      <c r="G54" s="81"/>
      <c r="H54" s="95"/>
      <c r="I54" s="95"/>
      <c r="J54" s="95"/>
      <c r="K54" s="95"/>
    </row>
    <row r="55" spans="1:11" ht="15.6" x14ac:dyDescent="0.3">
      <c r="A55" s="54" t="s">
        <v>552</v>
      </c>
      <c r="B55" s="54" t="s">
        <v>592</v>
      </c>
      <c r="C55" s="54">
        <v>14.7</v>
      </c>
      <c r="D55" s="81"/>
      <c r="E55" s="81"/>
      <c r="F55" s="81"/>
      <c r="G55" s="81"/>
      <c r="H55" s="95"/>
      <c r="I55" s="95"/>
      <c r="J55" s="95"/>
      <c r="K55" s="95"/>
    </row>
    <row r="56" spans="1:11" ht="15.6" x14ac:dyDescent="0.3">
      <c r="A56" s="64" t="s">
        <v>553</v>
      </c>
      <c r="B56" s="64" t="s">
        <v>592</v>
      </c>
      <c r="C56" s="64">
        <v>8.9</v>
      </c>
      <c r="D56" s="81"/>
      <c r="E56" s="81"/>
      <c r="F56" s="81"/>
      <c r="G56" s="81"/>
      <c r="H56" s="95"/>
      <c r="I56" s="95"/>
      <c r="J56" s="95"/>
      <c r="K56" s="95"/>
    </row>
    <row r="57" spans="1:11" ht="15.6" x14ac:dyDescent="0.3">
      <c r="A57" s="54" t="s">
        <v>520</v>
      </c>
      <c r="B57" s="54" t="s">
        <v>592</v>
      </c>
      <c r="C57" s="54">
        <v>39.6</v>
      </c>
      <c r="D57" s="81"/>
      <c r="E57" s="81"/>
      <c r="F57" s="81"/>
      <c r="G57" s="81"/>
      <c r="H57" s="95"/>
      <c r="I57" s="95"/>
      <c r="J57" s="95"/>
      <c r="K57" s="95"/>
    </row>
    <row r="58" spans="1:11" ht="15.6" x14ac:dyDescent="0.3">
      <c r="A58" s="64" t="s">
        <v>554</v>
      </c>
      <c r="B58" s="64" t="s">
        <v>592</v>
      </c>
      <c r="C58" s="64">
        <v>15.8</v>
      </c>
      <c r="D58" s="81"/>
      <c r="E58" s="81"/>
      <c r="F58" s="81"/>
      <c r="G58" s="81"/>
      <c r="H58" s="95"/>
      <c r="I58" s="95"/>
      <c r="J58" s="95"/>
      <c r="K58" s="95"/>
    </row>
    <row r="59" spans="1:11" ht="15.6" x14ac:dyDescent="0.3">
      <c r="A59" s="64" t="s">
        <v>582</v>
      </c>
      <c r="B59" s="64" t="s">
        <v>592</v>
      </c>
      <c r="C59" s="64">
        <v>15.7</v>
      </c>
      <c r="D59" s="81"/>
      <c r="E59" s="81"/>
      <c r="F59" s="81"/>
      <c r="G59" s="81"/>
      <c r="H59" s="95"/>
      <c r="I59" s="95"/>
      <c r="J59" s="95"/>
      <c r="K59" s="95"/>
    </row>
    <row r="60" spans="1:11" ht="15.6" x14ac:dyDescent="0.3">
      <c r="B60" s="51" t="s">
        <v>630</v>
      </c>
      <c r="C60" s="85">
        <f>SUM(C37:C59)</f>
        <v>339.1</v>
      </c>
      <c r="D60" s="81"/>
      <c r="E60" s="81"/>
      <c r="F60" s="81"/>
      <c r="G60" s="81"/>
      <c r="H60" s="95"/>
      <c r="I60" s="95"/>
      <c r="J60" s="95"/>
      <c r="K60" s="95"/>
    </row>
  </sheetData>
  <mergeCells count="14">
    <mergeCell ref="B34:G34"/>
    <mergeCell ref="H34:I34"/>
    <mergeCell ref="A1:I1"/>
    <mergeCell ref="B2:G2"/>
    <mergeCell ref="H2:I2"/>
    <mergeCell ref="B3:G3"/>
    <mergeCell ref="H3:I3"/>
    <mergeCell ref="B4:G4"/>
    <mergeCell ref="H4:I4"/>
    <mergeCell ref="A31:I31"/>
    <mergeCell ref="B32:G32"/>
    <mergeCell ref="H32:I32"/>
    <mergeCell ref="B33:G33"/>
    <mergeCell ref="H33:I33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opLeftCell="A3" workbookViewId="0">
      <selection activeCell="G7" sqref="G7"/>
    </sheetView>
  </sheetViews>
  <sheetFormatPr defaultRowHeight="14.4" x14ac:dyDescent="0.3"/>
  <sheetData>
    <row r="1" spans="1:11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70"/>
      <c r="K1" s="70"/>
    </row>
    <row r="2" spans="1:11" ht="15.6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15.6" x14ac:dyDescent="0.3">
      <c r="A3" s="89">
        <v>1</v>
      </c>
      <c r="B3" s="134" t="s">
        <v>27</v>
      </c>
      <c r="C3" s="135"/>
      <c r="D3" s="135"/>
      <c r="E3" s="135"/>
      <c r="F3" s="135"/>
      <c r="G3" s="136"/>
      <c r="H3" s="168" t="s">
        <v>19</v>
      </c>
      <c r="I3" s="167"/>
      <c r="J3" s="89" t="s">
        <v>20</v>
      </c>
      <c r="K3" s="72">
        <f>G10+C41</f>
        <v>4271.5000000000009</v>
      </c>
    </row>
    <row r="4" spans="1:11" ht="15.6" x14ac:dyDescent="0.3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</row>
    <row r="5" spans="1:11" ht="46.8" x14ac:dyDescent="0.3">
      <c r="A5" s="69" t="s">
        <v>627</v>
      </c>
      <c r="B5" s="69" t="s">
        <v>628</v>
      </c>
      <c r="C5" s="69" t="s">
        <v>629</v>
      </c>
      <c r="D5" s="81"/>
      <c r="E5" s="69" t="s">
        <v>627</v>
      </c>
      <c r="F5" s="69" t="s">
        <v>628</v>
      </c>
      <c r="G5" s="69" t="s">
        <v>629</v>
      </c>
      <c r="H5" s="95"/>
      <c r="I5" s="95"/>
      <c r="J5" s="95"/>
      <c r="K5" s="95"/>
    </row>
    <row r="6" spans="1:11" ht="14.4" customHeight="1" x14ac:dyDescent="0.3">
      <c r="A6" s="64" t="s">
        <v>442</v>
      </c>
      <c r="B6" s="64" t="s">
        <v>440</v>
      </c>
      <c r="C6" s="64">
        <v>80.599999999999994</v>
      </c>
      <c r="D6" s="81"/>
      <c r="E6" s="64" t="s">
        <v>557</v>
      </c>
      <c r="F6" s="64" t="s">
        <v>558</v>
      </c>
      <c r="G6" s="64">
        <v>24.5</v>
      </c>
      <c r="H6" s="95"/>
      <c r="I6" s="95"/>
      <c r="J6" s="95"/>
      <c r="K6" s="95"/>
    </row>
    <row r="7" spans="1:11" ht="14.4" customHeight="1" x14ac:dyDescent="0.3">
      <c r="A7" s="54" t="s">
        <v>443</v>
      </c>
      <c r="B7" s="54" t="s">
        <v>440</v>
      </c>
      <c r="C7" s="54">
        <v>64.8</v>
      </c>
      <c r="D7" s="81"/>
      <c r="E7" s="54" t="s">
        <v>517</v>
      </c>
      <c r="F7" s="54" t="s">
        <v>512</v>
      </c>
      <c r="G7" s="54">
        <v>543.1</v>
      </c>
      <c r="H7" s="95"/>
      <c r="I7" s="95"/>
      <c r="J7" s="95"/>
      <c r="K7" s="95"/>
    </row>
    <row r="8" spans="1:11" ht="14.4" customHeight="1" x14ac:dyDescent="0.3">
      <c r="A8" s="64" t="s">
        <v>444</v>
      </c>
      <c r="B8" s="64" t="s">
        <v>440</v>
      </c>
      <c r="C8" s="64">
        <v>218.7</v>
      </c>
      <c r="D8" s="81"/>
      <c r="E8" s="64" t="s">
        <v>518</v>
      </c>
      <c r="F8" s="64" t="s">
        <v>512</v>
      </c>
      <c r="G8" s="64">
        <v>66.2</v>
      </c>
      <c r="H8" s="95"/>
      <c r="I8" s="95"/>
      <c r="J8" s="95"/>
      <c r="K8" s="95"/>
    </row>
    <row r="9" spans="1:11" ht="14.4" customHeight="1" x14ac:dyDescent="0.3">
      <c r="A9" s="54" t="s">
        <v>445</v>
      </c>
      <c r="B9" s="54" t="s">
        <v>440</v>
      </c>
      <c r="C9" s="54">
        <v>45.7</v>
      </c>
      <c r="D9" s="81"/>
      <c r="E9" s="64" t="s">
        <v>556</v>
      </c>
      <c r="F9" s="64" t="s">
        <v>515</v>
      </c>
      <c r="G9" s="64">
        <v>20.3</v>
      </c>
      <c r="H9" s="95"/>
      <c r="I9" s="95"/>
      <c r="J9" s="95"/>
      <c r="K9" s="95"/>
    </row>
    <row r="10" spans="1:11" ht="14.4" customHeight="1" x14ac:dyDescent="0.3">
      <c r="A10" s="64" t="s">
        <v>446</v>
      </c>
      <c r="B10" s="64" t="s">
        <v>440</v>
      </c>
      <c r="C10" s="64">
        <v>18.899999999999999</v>
      </c>
      <c r="D10" s="81"/>
      <c r="F10" s="51" t="s">
        <v>630</v>
      </c>
      <c r="G10">
        <f>SUM(G6:G9)</f>
        <v>654.1</v>
      </c>
      <c r="H10" s="95"/>
      <c r="I10" s="95"/>
      <c r="J10" s="95"/>
      <c r="K10" s="95"/>
    </row>
    <row r="11" spans="1:11" ht="14.4" customHeight="1" x14ac:dyDescent="0.3">
      <c r="A11" s="54" t="s">
        <v>447</v>
      </c>
      <c r="B11" s="54" t="s">
        <v>440</v>
      </c>
      <c r="C11" s="54">
        <v>63.3</v>
      </c>
      <c r="D11" s="81"/>
      <c r="E11" s="81"/>
      <c r="F11" s="81"/>
      <c r="G11" s="81"/>
      <c r="H11" s="81"/>
      <c r="I11" s="81"/>
      <c r="J11" s="81"/>
      <c r="K11" s="81"/>
    </row>
    <row r="12" spans="1:11" ht="14.4" customHeight="1" x14ac:dyDescent="0.3">
      <c r="A12" s="64" t="s">
        <v>448</v>
      </c>
      <c r="B12" s="64" t="s">
        <v>440</v>
      </c>
      <c r="C12" s="64">
        <v>64.3</v>
      </c>
      <c r="D12" s="81"/>
      <c r="E12" s="81"/>
      <c r="F12" s="81"/>
      <c r="G12" s="81"/>
      <c r="H12" s="81"/>
      <c r="I12" s="81"/>
      <c r="J12" s="81"/>
      <c r="K12" s="81"/>
    </row>
    <row r="13" spans="1:11" ht="14.4" customHeight="1" x14ac:dyDescent="0.3">
      <c r="A13" s="54" t="s">
        <v>449</v>
      </c>
      <c r="B13" s="54" t="s">
        <v>440</v>
      </c>
      <c r="C13" s="54">
        <v>64.900000000000006</v>
      </c>
      <c r="D13" s="81"/>
      <c r="E13" s="81"/>
      <c r="F13" s="81"/>
      <c r="G13" s="81"/>
      <c r="H13" s="81"/>
      <c r="I13" s="81"/>
      <c r="J13" s="81"/>
      <c r="K13" s="81"/>
    </row>
    <row r="14" spans="1:11" ht="14.4" customHeight="1" x14ac:dyDescent="0.3">
      <c r="A14" s="64" t="s">
        <v>450</v>
      </c>
      <c r="B14" s="64" t="s">
        <v>440</v>
      </c>
      <c r="C14" s="64">
        <v>63.5</v>
      </c>
      <c r="D14" s="81"/>
      <c r="E14" s="81"/>
      <c r="F14" s="81"/>
      <c r="G14" s="81"/>
      <c r="H14" s="81"/>
      <c r="I14" s="81"/>
      <c r="J14" s="81"/>
      <c r="K14" s="81"/>
    </row>
    <row r="15" spans="1:11" ht="14.4" customHeight="1" x14ac:dyDescent="0.3">
      <c r="A15" s="54" t="s">
        <v>451</v>
      </c>
      <c r="B15" s="54" t="s">
        <v>440</v>
      </c>
      <c r="C15" s="54">
        <v>64</v>
      </c>
      <c r="D15" s="81"/>
      <c r="E15" s="81"/>
      <c r="F15" s="81"/>
      <c r="G15" s="81"/>
      <c r="H15" s="81"/>
      <c r="I15" s="81"/>
      <c r="J15" s="81"/>
      <c r="K15" s="81"/>
    </row>
    <row r="16" spans="1:11" ht="14.4" customHeight="1" x14ac:dyDescent="0.3">
      <c r="A16" s="64" t="s">
        <v>452</v>
      </c>
      <c r="B16" s="64" t="s">
        <v>440</v>
      </c>
      <c r="C16" s="64">
        <v>237</v>
      </c>
      <c r="D16" s="81"/>
      <c r="E16" s="81"/>
      <c r="F16" s="81"/>
      <c r="G16" s="81"/>
      <c r="H16" s="81"/>
      <c r="I16" s="81"/>
      <c r="J16" s="81"/>
      <c r="K16" s="81"/>
    </row>
    <row r="17" spans="1:11" ht="14.4" customHeight="1" x14ac:dyDescent="0.3">
      <c r="A17" s="54" t="s">
        <v>453</v>
      </c>
      <c r="B17" s="54" t="s">
        <v>440</v>
      </c>
      <c r="C17" s="54">
        <v>478.6</v>
      </c>
      <c r="D17" s="81"/>
      <c r="E17" s="81"/>
      <c r="F17" s="81"/>
      <c r="G17" s="81"/>
      <c r="H17" s="81"/>
      <c r="I17" s="81"/>
      <c r="J17" s="81"/>
      <c r="K17" s="81"/>
    </row>
    <row r="18" spans="1:11" ht="14.4" customHeight="1" x14ac:dyDescent="0.3">
      <c r="A18" s="64" t="s">
        <v>454</v>
      </c>
      <c r="B18" s="64" t="s">
        <v>440</v>
      </c>
      <c r="C18" s="64">
        <v>28.5</v>
      </c>
      <c r="D18" s="81"/>
      <c r="E18" s="81"/>
      <c r="F18" s="81"/>
      <c r="G18" s="81"/>
      <c r="H18" s="81"/>
      <c r="I18" s="81"/>
      <c r="J18" s="81"/>
      <c r="K18" s="81"/>
    </row>
    <row r="19" spans="1:11" ht="14.4" customHeight="1" x14ac:dyDescent="0.3">
      <c r="A19" s="54" t="s">
        <v>455</v>
      </c>
      <c r="B19" s="54" t="s">
        <v>440</v>
      </c>
      <c r="C19" s="54">
        <v>42.7</v>
      </c>
      <c r="D19" s="81"/>
      <c r="E19" s="81"/>
      <c r="F19" s="81"/>
      <c r="G19" s="81"/>
      <c r="H19" s="81"/>
      <c r="I19" s="81"/>
      <c r="J19" s="81"/>
      <c r="K19" s="81"/>
    </row>
    <row r="20" spans="1:11" ht="14.4" customHeight="1" x14ac:dyDescent="0.3">
      <c r="A20" s="64" t="s">
        <v>530</v>
      </c>
      <c r="B20" s="64" t="s">
        <v>440</v>
      </c>
      <c r="C20" s="64">
        <v>12.6</v>
      </c>
      <c r="D20" s="81"/>
      <c r="E20" s="81"/>
      <c r="F20" s="81"/>
      <c r="G20" s="81"/>
      <c r="H20" s="81"/>
      <c r="I20" s="81"/>
      <c r="J20" s="81"/>
      <c r="K20" s="81"/>
    </row>
    <row r="21" spans="1:11" ht="14.4" customHeight="1" x14ac:dyDescent="0.3">
      <c r="A21" s="64" t="s">
        <v>456</v>
      </c>
      <c r="B21" s="64" t="s">
        <v>440</v>
      </c>
      <c r="C21" s="64">
        <v>10.199999999999999</v>
      </c>
      <c r="D21" s="81"/>
      <c r="E21" s="81"/>
      <c r="F21" s="81"/>
      <c r="G21" s="81"/>
      <c r="H21" s="81"/>
      <c r="I21" s="81"/>
      <c r="J21" s="81"/>
      <c r="K21" s="81"/>
    </row>
    <row r="22" spans="1:11" ht="14.4" customHeight="1" x14ac:dyDescent="0.3">
      <c r="A22" s="54" t="s">
        <v>457</v>
      </c>
      <c r="B22" s="54" t="s">
        <v>440</v>
      </c>
      <c r="C22" s="54">
        <v>89</v>
      </c>
      <c r="D22" s="81"/>
      <c r="E22" s="81"/>
      <c r="F22" s="81"/>
      <c r="G22" s="81"/>
      <c r="H22" s="81"/>
      <c r="I22" s="81"/>
      <c r="J22" s="81"/>
      <c r="K22" s="81"/>
    </row>
    <row r="23" spans="1:11" ht="14.4" customHeight="1" x14ac:dyDescent="0.3">
      <c r="A23" s="64" t="s">
        <v>458</v>
      </c>
      <c r="B23" s="64" t="s">
        <v>440</v>
      </c>
      <c r="C23" s="64">
        <v>62.5</v>
      </c>
      <c r="D23" s="81"/>
      <c r="E23" s="81"/>
      <c r="F23" s="81"/>
      <c r="G23" s="81"/>
      <c r="H23" s="81"/>
      <c r="I23" s="81"/>
      <c r="J23" s="81"/>
      <c r="K23" s="81"/>
    </row>
    <row r="24" spans="1:11" ht="14.4" customHeight="1" x14ac:dyDescent="0.3">
      <c r="A24" s="54" t="s">
        <v>459</v>
      </c>
      <c r="B24" s="54" t="s">
        <v>440</v>
      </c>
      <c r="C24" s="54">
        <v>64.5</v>
      </c>
      <c r="D24" s="81"/>
      <c r="E24" s="81"/>
      <c r="F24" s="81"/>
      <c r="G24" s="81"/>
      <c r="H24" s="81"/>
      <c r="I24" s="81"/>
      <c r="J24" s="81"/>
      <c r="K24" s="81"/>
    </row>
    <row r="25" spans="1:11" ht="14.4" customHeight="1" x14ac:dyDescent="0.3">
      <c r="A25" s="64" t="s">
        <v>460</v>
      </c>
      <c r="B25" s="64" t="s">
        <v>440</v>
      </c>
      <c r="C25" s="64">
        <v>64.2</v>
      </c>
      <c r="D25" s="81"/>
      <c r="E25" s="81"/>
      <c r="F25" s="81"/>
      <c r="G25" s="81"/>
      <c r="H25" s="81"/>
      <c r="I25" s="81"/>
      <c r="J25" s="81"/>
      <c r="K25" s="81"/>
    </row>
    <row r="26" spans="1:11" ht="14.4" customHeight="1" x14ac:dyDescent="0.3">
      <c r="A26" s="54" t="s">
        <v>461</v>
      </c>
      <c r="B26" s="54" t="s">
        <v>440</v>
      </c>
      <c r="C26" s="54">
        <v>100.5</v>
      </c>
      <c r="D26" s="81"/>
      <c r="E26" s="81"/>
      <c r="F26" s="81"/>
      <c r="G26" s="81"/>
      <c r="H26" s="81"/>
      <c r="I26" s="81"/>
      <c r="J26" s="81"/>
      <c r="K26" s="81"/>
    </row>
    <row r="27" spans="1:11" ht="14.4" customHeight="1" x14ac:dyDescent="0.3">
      <c r="A27" s="64" t="s">
        <v>462</v>
      </c>
      <c r="B27" s="64" t="s">
        <v>440</v>
      </c>
      <c r="C27" s="64">
        <v>218.3</v>
      </c>
      <c r="D27" s="81"/>
      <c r="E27" s="81"/>
      <c r="F27" s="81"/>
      <c r="G27" s="81"/>
      <c r="H27" s="81"/>
      <c r="I27" s="81"/>
      <c r="J27" s="81"/>
      <c r="K27" s="81"/>
    </row>
    <row r="28" spans="1:11" ht="14.4" customHeight="1" x14ac:dyDescent="0.3">
      <c r="A28" s="54" t="s">
        <v>463</v>
      </c>
      <c r="B28" s="54" t="s">
        <v>440</v>
      </c>
      <c r="C28" s="54">
        <v>162.9</v>
      </c>
      <c r="D28" s="81"/>
      <c r="E28" s="81"/>
      <c r="F28" s="81"/>
      <c r="G28" s="81"/>
      <c r="H28" s="81"/>
      <c r="I28" s="81"/>
      <c r="J28" s="81"/>
      <c r="K28" s="81"/>
    </row>
    <row r="29" spans="1:11" ht="14.4" customHeight="1" x14ac:dyDescent="0.3">
      <c r="A29" s="64" t="s">
        <v>464</v>
      </c>
      <c r="B29" s="64" t="s">
        <v>440</v>
      </c>
      <c r="C29" s="65">
        <v>41.9</v>
      </c>
      <c r="D29" s="81"/>
      <c r="E29" s="81"/>
      <c r="F29" s="81"/>
      <c r="G29" s="81"/>
      <c r="H29" s="81"/>
      <c r="I29" s="81"/>
      <c r="J29" s="81"/>
      <c r="K29" s="81"/>
    </row>
    <row r="30" spans="1:11" ht="14.4" customHeight="1" x14ac:dyDescent="0.3">
      <c r="A30" s="54" t="s">
        <v>465</v>
      </c>
      <c r="B30" s="54" t="s">
        <v>440</v>
      </c>
      <c r="C30" s="54">
        <v>171.9</v>
      </c>
      <c r="D30" s="81"/>
      <c r="E30" s="81"/>
      <c r="F30" s="81"/>
      <c r="G30" s="81"/>
      <c r="H30" s="81"/>
      <c r="I30" s="81"/>
      <c r="J30" s="81"/>
      <c r="K30" s="81"/>
    </row>
    <row r="31" spans="1:11" ht="14.4" customHeight="1" x14ac:dyDescent="0.3">
      <c r="A31" s="64" t="s">
        <v>466</v>
      </c>
      <c r="B31" s="64" t="s">
        <v>440</v>
      </c>
      <c r="C31" s="64">
        <v>130.5</v>
      </c>
      <c r="D31" s="81"/>
      <c r="E31" s="81"/>
      <c r="F31" s="81"/>
      <c r="G31" s="81"/>
      <c r="H31" s="81"/>
      <c r="I31" s="81"/>
      <c r="J31" s="81"/>
      <c r="K31" s="81"/>
    </row>
    <row r="32" spans="1:11" ht="14.4" customHeight="1" x14ac:dyDescent="0.3">
      <c r="A32" s="54" t="s">
        <v>467</v>
      </c>
      <c r="B32" s="54" t="s">
        <v>440</v>
      </c>
      <c r="C32" s="54">
        <v>38.5</v>
      </c>
      <c r="D32" s="81"/>
      <c r="E32" s="81"/>
      <c r="F32" s="81"/>
      <c r="G32" s="81"/>
      <c r="H32" s="81"/>
      <c r="I32" s="81"/>
      <c r="J32" s="81"/>
      <c r="K32" s="81"/>
    </row>
    <row r="33" spans="1:11" ht="14.4" customHeight="1" x14ac:dyDescent="0.3">
      <c r="A33" s="64" t="s">
        <v>468</v>
      </c>
      <c r="B33" s="64" t="s">
        <v>440</v>
      </c>
      <c r="C33" s="64">
        <v>34.700000000000003</v>
      </c>
      <c r="D33" s="81"/>
      <c r="E33" s="81"/>
      <c r="F33" s="81"/>
      <c r="G33" s="81"/>
      <c r="H33" s="81"/>
      <c r="I33" s="81"/>
      <c r="J33" s="81"/>
      <c r="K33" s="81"/>
    </row>
    <row r="34" spans="1:11" ht="14.4" customHeight="1" x14ac:dyDescent="0.3">
      <c r="A34" s="54" t="s">
        <v>469</v>
      </c>
      <c r="B34" s="54" t="s">
        <v>440</v>
      </c>
      <c r="C34" s="54">
        <v>168.9</v>
      </c>
      <c r="D34" s="81"/>
      <c r="E34" s="81"/>
      <c r="F34" s="81"/>
      <c r="G34" s="81"/>
      <c r="H34" s="81"/>
      <c r="I34" s="81"/>
      <c r="J34" s="81"/>
      <c r="K34" s="81"/>
    </row>
    <row r="35" spans="1:11" ht="14.4" customHeight="1" x14ac:dyDescent="0.3">
      <c r="A35" s="64" t="s">
        <v>470</v>
      </c>
      <c r="B35" s="64" t="s">
        <v>440</v>
      </c>
      <c r="C35" s="64">
        <v>216</v>
      </c>
      <c r="D35" s="81"/>
      <c r="E35" s="81"/>
      <c r="F35" s="81"/>
      <c r="G35" s="81"/>
      <c r="H35" s="81"/>
      <c r="I35" s="81"/>
      <c r="J35" s="81"/>
      <c r="K35" s="81"/>
    </row>
    <row r="36" spans="1:11" ht="14.4" customHeight="1" x14ac:dyDescent="0.3">
      <c r="A36" s="54" t="s">
        <v>471</v>
      </c>
      <c r="B36" s="54" t="s">
        <v>440</v>
      </c>
      <c r="C36" s="54">
        <v>66.3</v>
      </c>
      <c r="D36" s="81"/>
      <c r="E36" s="81"/>
      <c r="F36" s="81"/>
      <c r="G36" s="81"/>
      <c r="H36" s="81"/>
      <c r="I36" s="81"/>
      <c r="J36" s="81"/>
      <c r="K36" s="81"/>
    </row>
    <row r="37" spans="1:11" ht="14.4" customHeight="1" x14ac:dyDescent="0.3">
      <c r="A37" s="64" t="s">
        <v>472</v>
      </c>
      <c r="B37" s="64" t="s">
        <v>440</v>
      </c>
      <c r="C37" s="64">
        <v>93.1</v>
      </c>
      <c r="D37" s="81"/>
      <c r="E37" s="81"/>
      <c r="F37" s="81"/>
      <c r="G37" s="81"/>
      <c r="H37" s="81"/>
      <c r="I37" s="81"/>
      <c r="J37" s="81"/>
      <c r="K37" s="81"/>
    </row>
    <row r="38" spans="1:11" ht="14.4" customHeight="1" x14ac:dyDescent="0.3">
      <c r="A38" s="54" t="s">
        <v>473</v>
      </c>
      <c r="B38" s="54" t="s">
        <v>440</v>
      </c>
      <c r="C38" s="54">
        <v>91.8</v>
      </c>
      <c r="D38" s="81"/>
      <c r="E38" s="81"/>
      <c r="F38" s="81"/>
      <c r="G38" s="81"/>
      <c r="H38" s="81"/>
      <c r="I38" s="81"/>
      <c r="J38" s="81"/>
      <c r="K38" s="81"/>
    </row>
    <row r="39" spans="1:11" ht="14.4" customHeight="1" x14ac:dyDescent="0.3">
      <c r="A39" s="64" t="s">
        <v>474</v>
      </c>
      <c r="B39" s="64" t="s">
        <v>440</v>
      </c>
      <c r="C39" s="64">
        <v>114</v>
      </c>
      <c r="D39" s="81"/>
      <c r="E39" s="81"/>
      <c r="F39" s="81"/>
      <c r="G39" s="81"/>
      <c r="H39" s="81"/>
      <c r="I39" s="81"/>
      <c r="J39" s="81"/>
      <c r="K39" s="81"/>
    </row>
    <row r="40" spans="1:11" ht="14.4" customHeight="1" x14ac:dyDescent="0.3">
      <c r="A40" s="54" t="s">
        <v>475</v>
      </c>
      <c r="B40" s="54" t="s">
        <v>440</v>
      </c>
      <c r="C40" s="54">
        <v>129.6</v>
      </c>
      <c r="D40" s="81"/>
      <c r="E40" s="81"/>
      <c r="F40" s="81"/>
      <c r="G40" s="81"/>
      <c r="H40" s="81"/>
      <c r="I40" s="81"/>
      <c r="J40" s="81"/>
      <c r="K40" s="81"/>
    </row>
    <row r="41" spans="1:11" ht="14.4" customHeight="1" x14ac:dyDescent="0.3">
      <c r="B41" s="51" t="s">
        <v>630</v>
      </c>
      <c r="C41">
        <f>SUM(C6:C40)</f>
        <v>3617.4000000000005</v>
      </c>
      <c r="D41" s="81"/>
      <c r="E41" s="81"/>
      <c r="F41" s="81"/>
      <c r="G41" s="81"/>
      <c r="H41" s="81"/>
      <c r="I41" s="81"/>
      <c r="J41" s="81"/>
      <c r="K41" s="81"/>
    </row>
    <row r="43" spans="1:11" ht="15.6" x14ac:dyDescent="0.3">
      <c r="A43" s="158" t="s">
        <v>625</v>
      </c>
      <c r="B43" s="159"/>
      <c r="C43" s="159"/>
      <c r="D43" s="159"/>
      <c r="E43" s="159"/>
      <c r="F43" s="159"/>
      <c r="G43" s="159"/>
      <c r="H43" s="159"/>
      <c r="I43" s="159"/>
      <c r="J43" s="159"/>
      <c r="K43" s="159"/>
    </row>
    <row r="44" spans="1:11" ht="15.6" x14ac:dyDescent="0.3">
      <c r="A44" s="66" t="s">
        <v>626</v>
      </c>
      <c r="B44" s="131" t="s">
        <v>2</v>
      </c>
      <c r="C44" s="132"/>
      <c r="D44" s="132"/>
      <c r="E44" s="132"/>
      <c r="F44" s="132"/>
      <c r="G44" s="133"/>
      <c r="H44" s="138" t="s">
        <v>631</v>
      </c>
      <c r="I44" s="139"/>
      <c r="J44" s="67" t="s">
        <v>5</v>
      </c>
      <c r="K44" s="71" t="s">
        <v>591</v>
      </c>
    </row>
    <row r="45" spans="1:11" ht="15.6" x14ac:dyDescent="0.3">
      <c r="A45" s="89">
        <v>1</v>
      </c>
      <c r="B45" s="134" t="s">
        <v>27</v>
      </c>
      <c r="C45" s="135"/>
      <c r="D45" s="135"/>
      <c r="E45" s="135"/>
      <c r="F45" s="135"/>
      <c r="G45" s="136"/>
      <c r="H45" s="168" t="s">
        <v>28</v>
      </c>
      <c r="I45" s="167"/>
      <c r="J45" s="89" t="s">
        <v>20</v>
      </c>
      <c r="K45" s="72">
        <f>C65+G66</f>
        <v>3659.1000000000004</v>
      </c>
    </row>
    <row r="46" spans="1:11" ht="15.6" x14ac:dyDescent="0.3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</row>
    <row r="47" spans="1:11" ht="46.8" x14ac:dyDescent="0.3">
      <c r="A47" s="69" t="s">
        <v>627</v>
      </c>
      <c r="B47" s="69" t="s">
        <v>628</v>
      </c>
      <c r="C47" s="69" t="s">
        <v>629</v>
      </c>
      <c r="D47" s="81"/>
      <c r="E47" s="69" t="s">
        <v>627</v>
      </c>
      <c r="F47" s="69" t="s">
        <v>628</v>
      </c>
      <c r="G47" s="69" t="s">
        <v>629</v>
      </c>
      <c r="H47" s="96"/>
      <c r="I47" s="96"/>
      <c r="J47" s="96"/>
      <c r="K47" s="96"/>
    </row>
    <row r="48" spans="1:11" ht="15.6" x14ac:dyDescent="0.3">
      <c r="A48" s="76" t="s">
        <v>476</v>
      </c>
      <c r="B48" s="76" t="s">
        <v>440</v>
      </c>
      <c r="C48" s="76">
        <v>82.2</v>
      </c>
      <c r="D48" s="81"/>
      <c r="E48" s="77" t="s">
        <v>493</v>
      </c>
      <c r="F48" s="77" t="s">
        <v>440</v>
      </c>
      <c r="G48" s="77">
        <v>64.5</v>
      </c>
      <c r="H48" s="96"/>
      <c r="I48" s="96"/>
      <c r="J48" s="96"/>
      <c r="K48" s="96"/>
    </row>
    <row r="49" spans="1:11" ht="15.6" x14ac:dyDescent="0.3">
      <c r="A49" s="77" t="s">
        <v>477</v>
      </c>
      <c r="B49" s="77" t="s">
        <v>440</v>
      </c>
      <c r="C49" s="77">
        <v>63.6</v>
      </c>
      <c r="D49" s="81"/>
      <c r="E49" s="76" t="s">
        <v>494</v>
      </c>
      <c r="F49" s="76" t="s">
        <v>440</v>
      </c>
      <c r="G49" s="76">
        <v>64.400000000000006</v>
      </c>
      <c r="H49" s="96"/>
      <c r="I49" s="96"/>
      <c r="J49" s="96"/>
      <c r="K49" s="96"/>
    </row>
    <row r="50" spans="1:11" ht="15.6" x14ac:dyDescent="0.3">
      <c r="A50" s="76" t="s">
        <v>478</v>
      </c>
      <c r="B50" s="76" t="s">
        <v>440</v>
      </c>
      <c r="C50" s="76">
        <v>85.1</v>
      </c>
      <c r="D50" s="81"/>
      <c r="E50" s="77" t="s">
        <v>495</v>
      </c>
      <c r="F50" s="77" t="s">
        <v>440</v>
      </c>
      <c r="G50" s="77">
        <v>63.6</v>
      </c>
      <c r="H50" s="96"/>
      <c r="I50" s="96"/>
      <c r="J50" s="96"/>
      <c r="K50" s="96"/>
    </row>
    <row r="51" spans="1:11" ht="15.6" x14ac:dyDescent="0.3">
      <c r="A51" s="77" t="s">
        <v>479</v>
      </c>
      <c r="B51" s="77" t="s">
        <v>440</v>
      </c>
      <c r="C51" s="77">
        <v>96.7</v>
      </c>
      <c r="D51" s="81"/>
      <c r="E51" s="76" t="s">
        <v>496</v>
      </c>
      <c r="F51" s="76" t="s">
        <v>440</v>
      </c>
      <c r="G51" s="76">
        <v>63</v>
      </c>
      <c r="H51" s="96"/>
      <c r="I51" s="96"/>
      <c r="J51" s="96"/>
      <c r="K51" s="96"/>
    </row>
    <row r="52" spans="1:11" ht="15.6" x14ac:dyDescent="0.3">
      <c r="A52" s="76" t="s">
        <v>480</v>
      </c>
      <c r="B52" s="76" t="s">
        <v>440</v>
      </c>
      <c r="C52" s="76">
        <v>19</v>
      </c>
      <c r="D52" s="81"/>
      <c r="E52" s="77" t="s">
        <v>497</v>
      </c>
      <c r="F52" s="77" t="s">
        <v>440</v>
      </c>
      <c r="G52" s="77">
        <v>118.8</v>
      </c>
      <c r="H52" s="96"/>
      <c r="I52" s="96"/>
      <c r="J52" s="96"/>
      <c r="K52" s="96"/>
    </row>
    <row r="53" spans="1:11" ht="15.6" x14ac:dyDescent="0.3">
      <c r="A53" s="77" t="s">
        <v>481</v>
      </c>
      <c r="B53" s="77" t="s">
        <v>440</v>
      </c>
      <c r="C53" s="77">
        <v>103.5</v>
      </c>
      <c r="D53" s="81"/>
      <c r="E53" s="76" t="s">
        <v>498</v>
      </c>
      <c r="F53" s="76" t="s">
        <v>440</v>
      </c>
      <c r="G53" s="78">
        <v>198.2</v>
      </c>
      <c r="H53" s="96"/>
      <c r="I53" s="96"/>
      <c r="J53" s="96"/>
      <c r="K53" s="96"/>
    </row>
    <row r="54" spans="1:11" ht="15.6" x14ac:dyDescent="0.3">
      <c r="A54" s="76" t="s">
        <v>482</v>
      </c>
      <c r="B54" s="76" t="s">
        <v>440</v>
      </c>
      <c r="C54" s="76">
        <v>90.3</v>
      </c>
      <c r="D54" s="81"/>
      <c r="E54" s="77" t="s">
        <v>499</v>
      </c>
      <c r="F54" s="77" t="s">
        <v>440</v>
      </c>
      <c r="G54" s="77">
        <v>20.6</v>
      </c>
      <c r="H54" s="96"/>
      <c r="I54" s="96"/>
      <c r="J54" s="96"/>
      <c r="K54" s="96"/>
    </row>
    <row r="55" spans="1:11" ht="15.6" x14ac:dyDescent="0.3">
      <c r="A55" s="77" t="s">
        <v>483</v>
      </c>
      <c r="B55" s="77" t="s">
        <v>440</v>
      </c>
      <c r="C55" s="77">
        <v>237</v>
      </c>
      <c r="D55" s="81"/>
      <c r="E55" s="76" t="s">
        <v>500</v>
      </c>
      <c r="F55" s="76" t="s">
        <v>440</v>
      </c>
      <c r="G55" s="76">
        <v>122.4</v>
      </c>
      <c r="H55" s="96"/>
      <c r="I55" s="96"/>
      <c r="J55" s="96"/>
      <c r="K55" s="96"/>
    </row>
    <row r="56" spans="1:11" ht="15.6" x14ac:dyDescent="0.3">
      <c r="A56" s="76" t="s">
        <v>484</v>
      </c>
      <c r="B56" s="76" t="s">
        <v>440</v>
      </c>
      <c r="C56" s="76">
        <v>63.3</v>
      </c>
      <c r="D56" s="81"/>
      <c r="E56" s="77" t="s">
        <v>501</v>
      </c>
      <c r="F56" s="77" t="s">
        <v>440</v>
      </c>
      <c r="G56" s="77">
        <v>167.2</v>
      </c>
      <c r="H56" s="96"/>
      <c r="I56" s="96"/>
      <c r="J56" s="96"/>
      <c r="K56" s="96"/>
    </row>
    <row r="57" spans="1:11" ht="15.6" x14ac:dyDescent="0.3">
      <c r="A57" s="77" t="s">
        <v>485</v>
      </c>
      <c r="B57" s="77" t="s">
        <v>440</v>
      </c>
      <c r="C57" s="77">
        <v>64</v>
      </c>
      <c r="D57" s="81"/>
      <c r="E57" s="76" t="s">
        <v>502</v>
      </c>
      <c r="F57" s="76" t="s">
        <v>440</v>
      </c>
      <c r="G57" s="76">
        <v>96.8</v>
      </c>
      <c r="H57" s="96"/>
      <c r="I57" s="96"/>
      <c r="J57" s="96"/>
      <c r="K57" s="96"/>
    </row>
    <row r="58" spans="1:11" ht="15.6" x14ac:dyDescent="0.3">
      <c r="A58" s="76" t="s">
        <v>486</v>
      </c>
      <c r="B58" s="76" t="s">
        <v>440</v>
      </c>
      <c r="C58" s="76">
        <v>319.7</v>
      </c>
      <c r="D58" s="81"/>
      <c r="E58" s="77" t="s">
        <v>503</v>
      </c>
      <c r="F58" s="77" t="s">
        <v>440</v>
      </c>
      <c r="G58" s="77">
        <v>54.7</v>
      </c>
      <c r="H58" s="96"/>
      <c r="I58" s="96"/>
      <c r="J58" s="96"/>
      <c r="K58" s="96"/>
    </row>
    <row r="59" spans="1:11" ht="15.6" x14ac:dyDescent="0.3">
      <c r="A59" s="77" t="s">
        <v>487</v>
      </c>
      <c r="B59" s="77" t="s">
        <v>440</v>
      </c>
      <c r="C59" s="77">
        <v>24.7</v>
      </c>
      <c r="D59" s="81"/>
      <c r="E59" s="76" t="s">
        <v>504</v>
      </c>
      <c r="F59" s="76" t="s">
        <v>440</v>
      </c>
      <c r="G59" s="76">
        <v>147.1</v>
      </c>
      <c r="H59" s="96"/>
      <c r="I59" s="96"/>
      <c r="J59" s="96"/>
      <c r="K59" s="96"/>
    </row>
    <row r="60" spans="1:11" ht="15.6" x14ac:dyDescent="0.3">
      <c r="A60" s="76" t="s">
        <v>488</v>
      </c>
      <c r="B60" s="76" t="s">
        <v>440</v>
      </c>
      <c r="C60" s="76">
        <v>75.8</v>
      </c>
      <c r="D60" s="81"/>
      <c r="E60" s="77" t="s">
        <v>505</v>
      </c>
      <c r="F60" s="77" t="s">
        <v>440</v>
      </c>
      <c r="G60" s="77">
        <v>200.8</v>
      </c>
      <c r="H60" s="96"/>
      <c r="I60" s="96"/>
      <c r="J60" s="96"/>
      <c r="K60" s="96"/>
    </row>
    <row r="61" spans="1:11" ht="15.6" x14ac:dyDescent="0.3">
      <c r="A61" s="77" t="s">
        <v>489</v>
      </c>
      <c r="B61" s="77" t="s">
        <v>440</v>
      </c>
      <c r="C61" s="77">
        <v>189.7</v>
      </c>
      <c r="D61" s="81"/>
      <c r="E61" s="76" t="s">
        <v>519</v>
      </c>
      <c r="F61" s="76" t="s">
        <v>440</v>
      </c>
      <c r="G61" s="76">
        <v>202.4</v>
      </c>
      <c r="H61" s="96"/>
      <c r="I61" s="96"/>
      <c r="J61" s="96"/>
      <c r="K61" s="96"/>
    </row>
    <row r="62" spans="1:11" ht="15.6" x14ac:dyDescent="0.3">
      <c r="A62" s="76" t="s">
        <v>490</v>
      </c>
      <c r="B62" s="76" t="s">
        <v>440</v>
      </c>
      <c r="C62" s="76">
        <v>90.9</v>
      </c>
      <c r="D62" s="81"/>
      <c r="E62" s="77" t="s">
        <v>506</v>
      </c>
      <c r="F62" s="77" t="s">
        <v>440</v>
      </c>
      <c r="G62" s="77">
        <v>90.4</v>
      </c>
      <c r="H62" s="96"/>
      <c r="I62" s="96"/>
      <c r="J62" s="96"/>
      <c r="K62" s="96"/>
    </row>
    <row r="63" spans="1:11" ht="15.6" x14ac:dyDescent="0.3">
      <c r="A63" s="77" t="s">
        <v>491</v>
      </c>
      <c r="B63" s="77" t="s">
        <v>440</v>
      </c>
      <c r="C63" s="77">
        <v>63.8</v>
      </c>
      <c r="D63" s="81"/>
      <c r="E63" s="76" t="s">
        <v>507</v>
      </c>
      <c r="F63" s="76" t="s">
        <v>440</v>
      </c>
      <c r="G63" s="76">
        <v>76.7</v>
      </c>
      <c r="H63" s="96"/>
      <c r="I63" s="96"/>
      <c r="J63" s="96"/>
      <c r="K63" s="96"/>
    </row>
    <row r="64" spans="1:11" ht="15.6" x14ac:dyDescent="0.3">
      <c r="A64" s="76" t="s">
        <v>492</v>
      </c>
      <c r="B64" s="76" t="s">
        <v>440</v>
      </c>
      <c r="C64" s="76">
        <v>63.9</v>
      </c>
      <c r="D64" s="81"/>
      <c r="E64" s="77" t="s">
        <v>511</v>
      </c>
      <c r="F64" s="77" t="s">
        <v>440</v>
      </c>
      <c r="G64" s="77">
        <v>72.900000000000006</v>
      </c>
      <c r="H64" s="96"/>
      <c r="I64" s="96"/>
      <c r="J64" s="96"/>
      <c r="K64" s="96"/>
    </row>
    <row r="65" spans="1:11" ht="15.6" x14ac:dyDescent="0.3">
      <c r="A65" s="75"/>
      <c r="B65" s="75" t="s">
        <v>630</v>
      </c>
      <c r="C65" s="75">
        <f>SUM(C48:C64)</f>
        <v>1733.2</v>
      </c>
      <c r="D65" s="81"/>
      <c r="E65" s="76" t="s">
        <v>441</v>
      </c>
      <c r="F65" s="76" t="s">
        <v>440</v>
      </c>
      <c r="G65" s="76">
        <v>101.4</v>
      </c>
      <c r="H65" s="96"/>
      <c r="I65" s="96"/>
      <c r="J65" s="96"/>
      <c r="K65" s="96"/>
    </row>
    <row r="66" spans="1:11" ht="15.6" x14ac:dyDescent="0.3">
      <c r="A66" s="96"/>
      <c r="B66" s="96"/>
      <c r="C66" s="96"/>
      <c r="D66" s="81"/>
      <c r="E66" s="75"/>
      <c r="F66" s="75" t="s">
        <v>630</v>
      </c>
      <c r="G66" s="75">
        <f>SUM(G48:G65)</f>
        <v>1925.9000000000003</v>
      </c>
      <c r="H66" s="96"/>
      <c r="I66" s="96"/>
      <c r="J66" s="96"/>
      <c r="K66" s="96"/>
    </row>
  </sheetData>
  <mergeCells count="10">
    <mergeCell ref="B45:G45"/>
    <mergeCell ref="H45:I45"/>
    <mergeCell ref="A43:K43"/>
    <mergeCell ref="B44:G44"/>
    <mergeCell ref="H44:I44"/>
    <mergeCell ref="A1:I1"/>
    <mergeCell ref="B2:G2"/>
    <mergeCell ref="H2:I2"/>
    <mergeCell ref="B3:G3"/>
    <mergeCell ref="H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sqref="A1:I1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88671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70"/>
      <c r="K1" s="70"/>
    </row>
    <row r="2" spans="1:11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50.4" customHeight="1" x14ac:dyDescent="0.3">
      <c r="A3" s="89">
        <v>1</v>
      </c>
      <c r="B3" s="134" t="s">
        <v>159</v>
      </c>
      <c r="C3" s="135"/>
      <c r="D3" s="135"/>
      <c r="E3" s="135"/>
      <c r="F3" s="135"/>
      <c r="G3" s="136"/>
      <c r="H3" s="140" t="s">
        <v>636</v>
      </c>
      <c r="I3" s="169"/>
      <c r="J3" s="89" t="s">
        <v>20</v>
      </c>
      <c r="K3" s="72">
        <f>C26</f>
        <v>218</v>
      </c>
    </row>
    <row r="4" spans="1:11" ht="50.4" customHeight="1" x14ac:dyDescent="0.3">
      <c r="A4" s="89">
        <v>2</v>
      </c>
      <c r="B4" s="134" t="s">
        <v>175</v>
      </c>
      <c r="C4" s="135"/>
      <c r="D4" s="135"/>
      <c r="E4" s="135"/>
      <c r="F4" s="135"/>
      <c r="G4" s="136"/>
      <c r="H4" s="140" t="s">
        <v>623</v>
      </c>
      <c r="I4" s="169"/>
      <c r="J4" s="89" t="s">
        <v>20</v>
      </c>
      <c r="K4" s="72">
        <f>G10</f>
        <v>630.40000000000009</v>
      </c>
    </row>
    <row r="5" spans="1:11" ht="15.6" x14ac:dyDescent="0.3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ht="46.8" x14ac:dyDescent="0.3">
      <c r="A6" s="69" t="s">
        <v>627</v>
      </c>
      <c r="B6" s="69" t="s">
        <v>628</v>
      </c>
      <c r="C6" s="69" t="s">
        <v>629</v>
      </c>
      <c r="D6" s="81"/>
      <c r="E6" s="69" t="s">
        <v>627</v>
      </c>
      <c r="F6" s="69" t="s">
        <v>628</v>
      </c>
      <c r="G6" s="69" t="s">
        <v>629</v>
      </c>
      <c r="H6" s="95"/>
      <c r="I6" s="95"/>
      <c r="J6" s="95"/>
      <c r="K6" s="95"/>
    </row>
    <row r="7" spans="1:11" ht="15.6" customHeight="1" x14ac:dyDescent="0.3">
      <c r="A7" s="64" t="s">
        <v>521</v>
      </c>
      <c r="B7" s="64" t="s">
        <v>513</v>
      </c>
      <c r="C7" s="64">
        <v>23.5</v>
      </c>
      <c r="D7" s="81"/>
      <c r="E7" s="84" t="s">
        <v>516</v>
      </c>
      <c r="F7" s="64" t="s">
        <v>512</v>
      </c>
      <c r="G7" s="84">
        <v>32.1</v>
      </c>
      <c r="H7" s="95"/>
      <c r="I7" s="95"/>
      <c r="J7" s="95"/>
      <c r="K7" s="95"/>
    </row>
    <row r="8" spans="1:11" ht="15.6" customHeight="1" x14ac:dyDescent="0.3">
      <c r="A8" s="54" t="s">
        <v>522</v>
      </c>
      <c r="B8" s="54" t="s">
        <v>513</v>
      </c>
      <c r="C8" s="54">
        <v>4.8</v>
      </c>
      <c r="D8" s="81"/>
      <c r="E8" s="83" t="s">
        <v>517</v>
      </c>
      <c r="F8" s="54" t="s">
        <v>512</v>
      </c>
      <c r="G8" s="83">
        <v>535.1</v>
      </c>
      <c r="H8" s="95"/>
      <c r="I8" s="95"/>
      <c r="J8" s="95"/>
      <c r="K8" s="95"/>
    </row>
    <row r="9" spans="1:11" ht="15.6" customHeight="1" x14ac:dyDescent="0.3">
      <c r="A9" s="64" t="s">
        <v>523</v>
      </c>
      <c r="B9" s="64" t="s">
        <v>513</v>
      </c>
      <c r="C9" s="64">
        <v>19.5</v>
      </c>
      <c r="D9" s="81"/>
      <c r="E9" s="84" t="s">
        <v>518</v>
      </c>
      <c r="F9" s="64" t="s">
        <v>512</v>
      </c>
      <c r="G9" s="84">
        <v>63.2</v>
      </c>
      <c r="H9" s="95"/>
      <c r="I9" s="95"/>
      <c r="J9" s="95"/>
      <c r="K9" s="95"/>
    </row>
    <row r="10" spans="1:11" ht="15.6" customHeight="1" x14ac:dyDescent="0.3">
      <c r="A10" s="54" t="s">
        <v>524</v>
      </c>
      <c r="B10" s="54" t="s">
        <v>513</v>
      </c>
      <c r="C10" s="54">
        <v>10.3</v>
      </c>
      <c r="D10" s="81"/>
      <c r="E10" s="81"/>
      <c r="F10" s="81" t="s">
        <v>630</v>
      </c>
      <c r="G10" s="81">
        <f>SUM(G7:G9)</f>
        <v>630.40000000000009</v>
      </c>
      <c r="H10" s="95"/>
      <c r="I10" s="95"/>
      <c r="J10" s="95"/>
      <c r="K10" s="95"/>
    </row>
    <row r="11" spans="1:11" ht="15.6" customHeight="1" x14ac:dyDescent="0.3">
      <c r="A11" s="64" t="s">
        <v>525</v>
      </c>
      <c r="B11" s="64" t="s">
        <v>513</v>
      </c>
      <c r="C11" s="64">
        <v>5.6</v>
      </c>
      <c r="D11" s="81"/>
      <c r="E11" s="81"/>
      <c r="F11" s="81"/>
      <c r="G11" s="81"/>
      <c r="H11" s="95"/>
      <c r="I11" s="95"/>
      <c r="J11" s="95"/>
      <c r="K11" s="95"/>
    </row>
    <row r="12" spans="1:11" ht="15.6" customHeight="1" x14ac:dyDescent="0.3">
      <c r="A12" s="54" t="s">
        <v>526</v>
      </c>
      <c r="B12" s="54" t="s">
        <v>513</v>
      </c>
      <c r="C12" s="54">
        <v>16.600000000000001</v>
      </c>
      <c r="D12" s="81"/>
      <c r="E12" s="81"/>
      <c r="F12" s="81"/>
      <c r="G12" s="81"/>
      <c r="H12" s="95"/>
      <c r="I12" s="95"/>
      <c r="J12" s="95"/>
      <c r="K12" s="95"/>
    </row>
    <row r="13" spans="1:11" ht="15.6" customHeight="1" x14ac:dyDescent="0.3">
      <c r="A13" s="64" t="s">
        <v>527</v>
      </c>
      <c r="B13" s="64" t="s">
        <v>513</v>
      </c>
      <c r="C13" s="64">
        <v>8.1999999999999993</v>
      </c>
      <c r="D13" s="81"/>
      <c r="E13" s="81"/>
      <c r="F13" s="81"/>
      <c r="G13" s="81"/>
      <c r="H13" s="95"/>
      <c r="I13" s="95"/>
      <c r="J13" s="95"/>
      <c r="K13" s="95"/>
    </row>
    <row r="14" spans="1:11" ht="15.6" customHeight="1" x14ac:dyDescent="0.3">
      <c r="A14" s="54" t="s">
        <v>528</v>
      </c>
      <c r="B14" s="54" t="s">
        <v>513</v>
      </c>
      <c r="C14" s="54">
        <v>19.8</v>
      </c>
      <c r="D14" s="81"/>
      <c r="E14" s="81"/>
      <c r="F14" s="81"/>
      <c r="G14" s="81"/>
      <c r="H14" s="95"/>
      <c r="I14" s="95"/>
      <c r="J14" s="95"/>
      <c r="K14" s="95"/>
    </row>
    <row r="15" spans="1:11" ht="15.6" customHeight="1" x14ac:dyDescent="0.3">
      <c r="A15" s="64" t="s">
        <v>529</v>
      </c>
      <c r="B15" s="64" t="s">
        <v>513</v>
      </c>
      <c r="C15" s="64">
        <v>8.3000000000000007</v>
      </c>
      <c r="D15" s="81"/>
      <c r="E15" s="81"/>
      <c r="F15" s="81"/>
      <c r="G15" s="81"/>
      <c r="H15" s="95"/>
      <c r="I15" s="95"/>
      <c r="J15" s="95"/>
      <c r="K15" s="95"/>
    </row>
    <row r="16" spans="1:11" ht="15.6" customHeight="1" x14ac:dyDescent="0.3">
      <c r="A16" s="54" t="s">
        <v>530</v>
      </c>
      <c r="B16" s="54" t="s">
        <v>513</v>
      </c>
      <c r="C16" s="54">
        <v>8.9</v>
      </c>
      <c r="D16" s="81"/>
      <c r="E16" s="81"/>
      <c r="F16" s="81"/>
      <c r="G16" s="81"/>
      <c r="H16" s="95"/>
      <c r="I16" s="95"/>
      <c r="J16" s="95"/>
      <c r="K16" s="95"/>
    </row>
    <row r="17" spans="1:11" ht="15.6" customHeight="1" x14ac:dyDescent="0.3">
      <c r="A17" s="64" t="s">
        <v>456</v>
      </c>
      <c r="B17" s="64" t="s">
        <v>513</v>
      </c>
      <c r="C17" s="64">
        <v>9.8000000000000007</v>
      </c>
      <c r="D17" s="81"/>
      <c r="E17" s="81"/>
      <c r="F17" s="81"/>
      <c r="G17" s="81"/>
      <c r="H17" s="95"/>
      <c r="I17" s="95"/>
      <c r="J17" s="95"/>
      <c r="K17" s="95"/>
    </row>
    <row r="18" spans="1:11" ht="15.6" customHeight="1" x14ac:dyDescent="0.3">
      <c r="A18" s="54" t="s">
        <v>531</v>
      </c>
      <c r="B18" s="54" t="s">
        <v>513</v>
      </c>
      <c r="C18" s="54">
        <v>8.1999999999999993</v>
      </c>
      <c r="D18" s="81"/>
      <c r="E18" s="81"/>
      <c r="F18" s="81"/>
      <c r="G18" s="81"/>
      <c r="H18" s="95"/>
      <c r="I18" s="95"/>
      <c r="J18" s="95"/>
      <c r="K18" s="95"/>
    </row>
    <row r="19" spans="1:11" ht="15.6" customHeight="1" x14ac:dyDescent="0.3">
      <c r="A19" s="64" t="s">
        <v>532</v>
      </c>
      <c r="B19" s="64" t="s">
        <v>513</v>
      </c>
      <c r="C19" s="64">
        <v>7.6</v>
      </c>
      <c r="D19" s="81"/>
      <c r="E19" s="81"/>
      <c r="F19" s="81"/>
      <c r="G19" s="81"/>
      <c r="H19" s="95"/>
      <c r="I19" s="95"/>
      <c r="J19" s="95"/>
      <c r="K19" s="95"/>
    </row>
    <row r="20" spans="1:11" ht="15.6" customHeight="1" x14ac:dyDescent="0.3">
      <c r="A20" s="54" t="s">
        <v>533</v>
      </c>
      <c r="B20" s="54" t="s">
        <v>513</v>
      </c>
      <c r="C20" s="54">
        <v>22.2</v>
      </c>
      <c r="D20" s="81"/>
      <c r="E20" s="81"/>
      <c r="F20" s="81"/>
      <c r="G20" s="81"/>
      <c r="H20" s="95"/>
      <c r="I20" s="95"/>
      <c r="J20" s="95"/>
      <c r="K20" s="95"/>
    </row>
    <row r="21" spans="1:11" ht="15.6" customHeight="1" x14ac:dyDescent="0.3">
      <c r="A21" s="64" t="s">
        <v>534</v>
      </c>
      <c r="B21" s="64" t="s">
        <v>513</v>
      </c>
      <c r="C21" s="64">
        <v>4.5</v>
      </c>
      <c r="D21" s="81"/>
      <c r="E21" s="81"/>
      <c r="F21" s="81"/>
      <c r="G21" s="81"/>
      <c r="H21" s="95"/>
      <c r="I21" s="95"/>
      <c r="J21" s="95"/>
      <c r="K21" s="95"/>
    </row>
    <row r="22" spans="1:11" ht="15.6" customHeight="1" x14ac:dyDescent="0.3">
      <c r="A22" s="64" t="s">
        <v>535</v>
      </c>
      <c r="B22" s="64" t="s">
        <v>513</v>
      </c>
      <c r="C22" s="64">
        <v>5.8</v>
      </c>
      <c r="D22" s="81"/>
      <c r="E22" s="81"/>
      <c r="F22" s="81"/>
      <c r="G22" s="81"/>
      <c r="H22" s="95"/>
      <c r="I22" s="95"/>
      <c r="J22" s="95"/>
      <c r="K22" s="95"/>
    </row>
    <row r="23" spans="1:11" ht="15.6" customHeight="1" x14ac:dyDescent="0.3">
      <c r="A23" s="54" t="s">
        <v>536</v>
      </c>
      <c r="B23" s="54" t="s">
        <v>513</v>
      </c>
      <c r="C23" s="54">
        <v>25.4</v>
      </c>
      <c r="D23" s="81"/>
      <c r="E23" s="81"/>
      <c r="F23" s="81"/>
      <c r="G23" s="81"/>
      <c r="H23" s="95"/>
      <c r="I23" s="95"/>
      <c r="J23" s="95"/>
      <c r="K23" s="95"/>
    </row>
    <row r="24" spans="1:11" ht="15.6" customHeight="1" x14ac:dyDescent="0.3">
      <c r="A24" s="64" t="s">
        <v>537</v>
      </c>
      <c r="B24" s="64" t="s">
        <v>513</v>
      </c>
      <c r="C24" s="64">
        <v>4.7</v>
      </c>
      <c r="D24" s="81"/>
      <c r="E24" s="81"/>
      <c r="F24" s="81"/>
      <c r="G24" s="81"/>
      <c r="H24" s="95"/>
      <c r="I24" s="95"/>
      <c r="J24" s="95"/>
      <c r="K24" s="95"/>
    </row>
    <row r="25" spans="1:11" ht="15.6" customHeight="1" x14ac:dyDescent="0.3">
      <c r="A25" s="54" t="s">
        <v>538</v>
      </c>
      <c r="B25" s="54" t="s">
        <v>513</v>
      </c>
      <c r="C25" s="54">
        <v>4.3</v>
      </c>
      <c r="D25" s="81"/>
      <c r="E25" s="81"/>
      <c r="F25" s="81"/>
      <c r="G25" s="81"/>
      <c r="H25" s="95"/>
      <c r="I25" s="95"/>
      <c r="J25" s="95"/>
      <c r="K25" s="95"/>
    </row>
    <row r="26" spans="1:11" ht="14.4" customHeight="1" x14ac:dyDescent="0.3">
      <c r="B26" s="51" t="s">
        <v>630</v>
      </c>
      <c r="C26" s="85">
        <f>SUM(C7:C25)</f>
        <v>218</v>
      </c>
      <c r="D26" s="81"/>
      <c r="E26" s="81"/>
      <c r="F26" s="81"/>
      <c r="G26" s="81"/>
      <c r="H26" s="95"/>
      <c r="I26" s="95"/>
      <c r="J26" s="95"/>
      <c r="K26" s="95"/>
    </row>
    <row r="28" spans="1:11" ht="15.6" x14ac:dyDescent="0.3">
      <c r="A28" s="130" t="s">
        <v>625</v>
      </c>
      <c r="B28" s="130"/>
      <c r="C28" s="130"/>
      <c r="D28" s="130"/>
      <c r="E28" s="130"/>
      <c r="F28" s="130"/>
      <c r="G28" s="130"/>
      <c r="H28" s="130"/>
      <c r="I28" s="130"/>
      <c r="J28" s="70"/>
      <c r="K28" s="70"/>
    </row>
    <row r="29" spans="1:11" ht="31.2" x14ac:dyDescent="0.3">
      <c r="A29" s="66" t="s">
        <v>626</v>
      </c>
      <c r="B29" s="131" t="s">
        <v>2</v>
      </c>
      <c r="C29" s="132"/>
      <c r="D29" s="132"/>
      <c r="E29" s="132"/>
      <c r="F29" s="132"/>
      <c r="G29" s="133"/>
      <c r="H29" s="138" t="s">
        <v>631</v>
      </c>
      <c r="I29" s="139"/>
      <c r="J29" s="67" t="s">
        <v>5</v>
      </c>
      <c r="K29" s="71" t="s">
        <v>591</v>
      </c>
    </row>
    <row r="30" spans="1:11" ht="15.6" x14ac:dyDescent="0.3">
      <c r="A30" s="89">
        <v>1</v>
      </c>
      <c r="B30" s="134" t="s">
        <v>159</v>
      </c>
      <c r="C30" s="135"/>
      <c r="D30" s="135"/>
      <c r="E30" s="135"/>
      <c r="F30" s="135"/>
      <c r="G30" s="136"/>
      <c r="H30" s="140" t="s">
        <v>637</v>
      </c>
      <c r="I30" s="169"/>
      <c r="J30" s="89" t="s">
        <v>20</v>
      </c>
      <c r="K30" s="72">
        <f>C50</f>
        <v>182.1</v>
      </c>
    </row>
    <row r="31" spans="1:11" ht="15.6" x14ac:dyDescent="0.3">
      <c r="A31" s="89">
        <v>2</v>
      </c>
      <c r="B31" s="134" t="s">
        <v>175</v>
      </c>
      <c r="C31" s="135"/>
      <c r="D31" s="135"/>
      <c r="E31" s="135"/>
      <c r="F31" s="135"/>
      <c r="G31" s="136"/>
      <c r="H31" s="140" t="s">
        <v>622</v>
      </c>
      <c r="I31" s="169"/>
      <c r="J31" s="89" t="s">
        <v>20</v>
      </c>
      <c r="K31" s="72">
        <f>G36</f>
        <v>242.3</v>
      </c>
    </row>
    <row r="32" spans="1:11" ht="15.6" x14ac:dyDescent="0.3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</row>
    <row r="33" spans="1:11" ht="46.8" x14ac:dyDescent="0.3">
      <c r="A33" s="69" t="s">
        <v>627</v>
      </c>
      <c r="B33" s="69" t="s">
        <v>628</v>
      </c>
      <c r="C33" s="69" t="s">
        <v>629</v>
      </c>
      <c r="D33" s="81"/>
      <c r="E33" s="69" t="s">
        <v>627</v>
      </c>
      <c r="F33" s="69" t="s">
        <v>628</v>
      </c>
      <c r="G33" s="69" t="s">
        <v>629</v>
      </c>
      <c r="H33" s="95"/>
      <c r="I33" s="95"/>
      <c r="J33" s="95"/>
      <c r="K33" s="95"/>
    </row>
    <row r="34" spans="1:11" ht="15.6" x14ac:dyDescent="0.3">
      <c r="A34" s="64" t="s">
        <v>540</v>
      </c>
      <c r="B34" s="64" t="s">
        <v>513</v>
      </c>
      <c r="C34" s="64">
        <v>4.8</v>
      </c>
      <c r="D34" s="81"/>
      <c r="E34" s="84" t="s">
        <v>519</v>
      </c>
      <c r="F34" s="64" t="s">
        <v>512</v>
      </c>
      <c r="G34" s="84">
        <v>202.4</v>
      </c>
      <c r="H34" s="95"/>
      <c r="I34" s="95"/>
      <c r="J34" s="95"/>
      <c r="K34" s="95"/>
    </row>
    <row r="35" spans="1:11" ht="15.6" x14ac:dyDescent="0.3">
      <c r="A35" s="54" t="s">
        <v>541</v>
      </c>
      <c r="B35" s="54" t="s">
        <v>513</v>
      </c>
      <c r="C35" s="54">
        <v>23.6</v>
      </c>
      <c r="D35" s="81"/>
      <c r="E35" s="83" t="s">
        <v>520</v>
      </c>
      <c r="F35" s="54" t="s">
        <v>512</v>
      </c>
      <c r="G35" s="83">
        <v>39.9</v>
      </c>
      <c r="H35" s="95"/>
      <c r="I35" s="95"/>
      <c r="J35" s="95"/>
      <c r="K35" s="95"/>
    </row>
    <row r="36" spans="1:11" ht="15.6" x14ac:dyDescent="0.3">
      <c r="A36" s="64" t="s">
        <v>542</v>
      </c>
      <c r="B36" s="64" t="s">
        <v>513</v>
      </c>
      <c r="C36" s="64">
        <v>19.600000000000001</v>
      </c>
      <c r="D36" s="81"/>
      <c r="E36" s="81"/>
      <c r="F36" s="81" t="s">
        <v>630</v>
      </c>
      <c r="G36" s="81">
        <f>SUM(G34:G35)</f>
        <v>242.3</v>
      </c>
      <c r="H36" s="95"/>
      <c r="I36" s="95"/>
      <c r="J36" s="95"/>
      <c r="K36" s="95"/>
    </row>
    <row r="37" spans="1:11" ht="15.6" x14ac:dyDescent="0.3">
      <c r="A37" s="54" t="s">
        <v>543</v>
      </c>
      <c r="B37" s="54" t="s">
        <v>513</v>
      </c>
      <c r="C37" s="54">
        <v>10.5</v>
      </c>
      <c r="D37" s="81"/>
      <c r="E37" s="81"/>
      <c r="F37" s="81"/>
      <c r="G37" s="81"/>
      <c r="H37" s="95"/>
      <c r="I37" s="95"/>
      <c r="J37" s="95"/>
      <c r="K37" s="95"/>
    </row>
    <row r="38" spans="1:11" ht="15.6" x14ac:dyDescent="0.3">
      <c r="A38" s="64" t="s">
        <v>544</v>
      </c>
      <c r="B38" s="64" t="s">
        <v>513</v>
      </c>
      <c r="C38" s="64">
        <v>5.6</v>
      </c>
      <c r="D38" s="81"/>
      <c r="E38" s="81"/>
      <c r="F38" s="81"/>
      <c r="G38" s="81"/>
      <c r="H38" s="95"/>
      <c r="I38" s="95"/>
      <c r="J38" s="95"/>
      <c r="K38" s="95"/>
    </row>
    <row r="39" spans="1:11" ht="15.6" x14ac:dyDescent="0.3">
      <c r="A39" s="54" t="s">
        <v>545</v>
      </c>
      <c r="B39" s="54" t="s">
        <v>513</v>
      </c>
      <c r="C39" s="54">
        <v>8.1999999999999993</v>
      </c>
      <c r="D39" s="81"/>
      <c r="E39" s="81"/>
      <c r="F39" s="81"/>
      <c r="G39" s="81"/>
      <c r="H39" s="95"/>
      <c r="I39" s="95"/>
      <c r="J39" s="95"/>
      <c r="K39" s="95"/>
    </row>
    <row r="40" spans="1:11" ht="15.6" x14ac:dyDescent="0.3">
      <c r="A40" s="64" t="s">
        <v>546</v>
      </c>
      <c r="B40" s="64" t="s">
        <v>513</v>
      </c>
      <c r="C40" s="64">
        <v>7.6</v>
      </c>
      <c r="D40" s="81"/>
      <c r="E40" s="81"/>
      <c r="F40" s="81"/>
      <c r="G40" s="81"/>
      <c r="H40" s="95"/>
      <c r="I40" s="95"/>
      <c r="J40" s="95"/>
      <c r="K40" s="95"/>
    </row>
    <row r="41" spans="1:11" ht="15.6" x14ac:dyDescent="0.3">
      <c r="A41" s="54" t="s">
        <v>547</v>
      </c>
      <c r="B41" s="54" t="s">
        <v>513</v>
      </c>
      <c r="C41" s="54">
        <v>4.5</v>
      </c>
      <c r="D41" s="81"/>
      <c r="E41" s="81"/>
      <c r="F41" s="81"/>
      <c r="G41" s="81"/>
      <c r="H41" s="95"/>
      <c r="I41" s="95"/>
      <c r="J41" s="95"/>
      <c r="K41" s="95"/>
    </row>
    <row r="42" spans="1:11" ht="15.6" x14ac:dyDescent="0.3">
      <c r="A42" s="64" t="s">
        <v>548</v>
      </c>
      <c r="B42" s="64" t="s">
        <v>513</v>
      </c>
      <c r="C42" s="64">
        <v>22.4</v>
      </c>
      <c r="D42" s="81"/>
      <c r="E42" s="81"/>
      <c r="F42" s="81"/>
      <c r="G42" s="81"/>
      <c r="H42" s="95"/>
      <c r="I42" s="95"/>
      <c r="J42" s="95"/>
      <c r="K42" s="95"/>
    </row>
    <row r="43" spans="1:11" ht="15.6" x14ac:dyDescent="0.3">
      <c r="A43" s="54" t="s">
        <v>549</v>
      </c>
      <c r="B43" s="54" t="s">
        <v>513</v>
      </c>
      <c r="C43" s="54">
        <v>22.4</v>
      </c>
      <c r="D43" s="81"/>
      <c r="E43" s="81"/>
      <c r="F43" s="81"/>
      <c r="G43" s="81"/>
      <c r="H43" s="95"/>
      <c r="I43" s="95"/>
      <c r="J43" s="95"/>
      <c r="K43" s="95"/>
    </row>
    <row r="44" spans="1:11" ht="15.6" x14ac:dyDescent="0.3">
      <c r="A44" s="64" t="s">
        <v>550</v>
      </c>
      <c r="B44" s="64" t="s">
        <v>513</v>
      </c>
      <c r="C44" s="64">
        <v>4.5</v>
      </c>
      <c r="D44" s="81"/>
      <c r="E44" s="81"/>
      <c r="F44" s="81"/>
      <c r="G44" s="81"/>
      <c r="H44" s="95"/>
      <c r="I44" s="95"/>
      <c r="J44" s="95"/>
      <c r="K44" s="95"/>
    </row>
    <row r="45" spans="1:11" ht="15.6" x14ac:dyDescent="0.3">
      <c r="A45" s="54" t="s">
        <v>551</v>
      </c>
      <c r="B45" s="54" t="s">
        <v>513</v>
      </c>
      <c r="C45" s="54">
        <v>5.8</v>
      </c>
      <c r="D45" s="81"/>
      <c r="E45" s="81"/>
      <c r="F45" s="81"/>
      <c r="G45" s="81"/>
      <c r="H45" s="95"/>
      <c r="I45" s="95"/>
      <c r="J45" s="95"/>
      <c r="K45" s="95"/>
    </row>
    <row r="46" spans="1:11" ht="15.6" x14ac:dyDescent="0.3">
      <c r="A46" s="64" t="s">
        <v>552</v>
      </c>
      <c r="B46" s="64" t="s">
        <v>513</v>
      </c>
      <c r="C46" s="64">
        <v>14.7</v>
      </c>
      <c r="D46" s="81"/>
      <c r="E46" s="81"/>
      <c r="F46" s="81"/>
      <c r="G46" s="81"/>
      <c r="H46" s="95"/>
      <c r="I46" s="95"/>
      <c r="J46" s="95"/>
      <c r="K46" s="95"/>
    </row>
    <row r="47" spans="1:11" ht="15.6" x14ac:dyDescent="0.3">
      <c r="A47" s="54" t="s">
        <v>553</v>
      </c>
      <c r="B47" s="54" t="s">
        <v>513</v>
      </c>
      <c r="C47" s="54">
        <v>8.9</v>
      </c>
      <c r="D47" s="81"/>
      <c r="E47" s="81"/>
      <c r="F47" s="81"/>
      <c r="G47" s="81"/>
      <c r="H47" s="95"/>
      <c r="I47" s="95"/>
      <c r="J47" s="95"/>
      <c r="K47" s="95"/>
    </row>
    <row r="48" spans="1:11" ht="15.6" x14ac:dyDescent="0.3">
      <c r="A48" s="64" t="s">
        <v>554</v>
      </c>
      <c r="B48" s="64" t="s">
        <v>513</v>
      </c>
      <c r="C48" s="64">
        <v>15.8</v>
      </c>
      <c r="D48" s="81"/>
      <c r="E48" s="81"/>
      <c r="F48" s="81"/>
      <c r="G48" s="81"/>
      <c r="H48" s="95"/>
      <c r="I48" s="95"/>
      <c r="J48" s="95"/>
      <c r="K48" s="95"/>
    </row>
    <row r="49" spans="1:11" ht="15.6" x14ac:dyDescent="0.3">
      <c r="A49" s="64" t="s">
        <v>555</v>
      </c>
      <c r="B49" s="64" t="s">
        <v>513</v>
      </c>
      <c r="C49" s="64">
        <v>3.2</v>
      </c>
      <c r="D49" s="81"/>
      <c r="E49" s="81"/>
      <c r="F49" s="81"/>
      <c r="G49" s="81"/>
      <c r="H49" s="95"/>
      <c r="I49" s="95"/>
      <c r="J49" s="95"/>
      <c r="K49" s="95"/>
    </row>
    <row r="50" spans="1:11" ht="15.6" x14ac:dyDescent="0.3">
      <c r="B50" s="51" t="s">
        <v>630</v>
      </c>
      <c r="C50" s="85">
        <f>SUM(C34:C49)</f>
        <v>182.1</v>
      </c>
      <c r="D50" s="81"/>
      <c r="E50" s="81"/>
      <c r="F50" s="81"/>
      <c r="G50" s="81"/>
      <c r="H50" s="95"/>
      <c r="I50" s="95"/>
      <c r="J50" s="95"/>
      <c r="K50" s="95"/>
    </row>
  </sheetData>
  <mergeCells count="14">
    <mergeCell ref="B31:G31"/>
    <mergeCell ref="H31:I31"/>
    <mergeCell ref="A1:I1"/>
    <mergeCell ref="B2:G2"/>
    <mergeCell ref="H2:I2"/>
    <mergeCell ref="B3:G3"/>
    <mergeCell ref="H3:I3"/>
    <mergeCell ref="B4:G4"/>
    <mergeCell ref="H4:I4"/>
    <mergeCell ref="A28:I28"/>
    <mergeCell ref="B29:G29"/>
    <mergeCell ref="H29:I29"/>
    <mergeCell ref="B30:G30"/>
    <mergeCell ref="H30:I30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272"/>
  <sheetViews>
    <sheetView topLeftCell="B136" zoomScale="55" zoomScaleNormal="55" workbookViewId="0">
      <selection activeCell="N272" sqref="N272"/>
    </sheetView>
  </sheetViews>
  <sheetFormatPr defaultRowHeight="14.4" x14ac:dyDescent="0.3"/>
  <cols>
    <col min="1" max="1" width="20" hidden="1" customWidth="1"/>
    <col min="2" max="2" width="21.77734375" bestFit="1" customWidth="1"/>
    <col min="3" max="3" width="55.6640625" customWidth="1"/>
    <col min="4" max="4" width="39.44140625" hidden="1" customWidth="1"/>
    <col min="5" max="5" width="38" customWidth="1"/>
    <col min="6" max="6" width="16.44140625" customWidth="1"/>
    <col min="7" max="7" width="17.77734375" hidden="1" customWidth="1"/>
    <col min="8" max="8" width="16" hidden="1" customWidth="1"/>
    <col min="9" max="9" width="18.88671875" customWidth="1"/>
    <col min="10" max="10" width="13.109375" customWidth="1"/>
  </cols>
  <sheetData>
    <row r="1" spans="1:20" ht="40.799999999999997" customHeight="1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589</v>
      </c>
      <c r="K1" s="6" t="s">
        <v>585</v>
      </c>
      <c r="L1" s="1" t="s">
        <v>586</v>
      </c>
      <c r="M1" s="1" t="s">
        <v>587</v>
      </c>
      <c r="N1" s="1" t="s">
        <v>588</v>
      </c>
      <c r="O1" s="6" t="s">
        <v>638</v>
      </c>
      <c r="P1" s="1" t="s">
        <v>639</v>
      </c>
      <c r="Q1" s="6" t="s">
        <v>438</v>
      </c>
      <c r="R1" s="6" t="s">
        <v>590</v>
      </c>
      <c r="S1" s="86" t="s">
        <v>634</v>
      </c>
      <c r="T1" s="87" t="s">
        <v>635</v>
      </c>
    </row>
    <row r="2" spans="1:20" ht="16.95" customHeight="1" x14ac:dyDescent="0.3">
      <c r="A2" s="2" t="s">
        <v>9</v>
      </c>
      <c r="B2" s="7" t="s">
        <v>10</v>
      </c>
      <c r="C2" s="9" t="s">
        <v>11</v>
      </c>
      <c r="D2" s="9"/>
      <c r="E2" s="9"/>
      <c r="F2" s="9"/>
      <c r="G2" s="9"/>
      <c r="H2" s="9"/>
      <c r="I2" s="28"/>
      <c r="J2" s="44"/>
      <c r="K2" s="31"/>
      <c r="L2" s="10"/>
      <c r="M2" s="10"/>
      <c r="N2" s="10"/>
      <c r="O2" s="10"/>
      <c r="P2" s="10"/>
      <c r="Q2" s="10"/>
      <c r="R2" s="48"/>
      <c r="S2" s="48"/>
      <c r="T2" s="48"/>
    </row>
    <row r="3" spans="1:20" ht="16.95" customHeight="1" x14ac:dyDescent="0.3">
      <c r="A3" s="2" t="s">
        <v>12</v>
      </c>
      <c r="B3" s="7" t="s">
        <v>13</v>
      </c>
      <c r="C3" s="9" t="s">
        <v>14</v>
      </c>
      <c r="D3" s="9"/>
      <c r="E3" s="9"/>
      <c r="F3" s="9"/>
      <c r="G3" s="9"/>
      <c r="H3" s="9"/>
      <c r="I3" s="28"/>
      <c r="J3" s="45"/>
      <c r="K3" s="31"/>
      <c r="L3" s="10"/>
      <c r="M3" s="10"/>
      <c r="N3" s="10"/>
      <c r="O3" s="10"/>
      <c r="P3" s="10"/>
      <c r="Q3" s="10"/>
      <c r="R3" s="10"/>
      <c r="S3" s="10"/>
      <c r="T3" s="10"/>
    </row>
    <row r="4" spans="1:20" ht="54.6" thickBot="1" x14ac:dyDescent="0.35">
      <c r="A4" s="2" t="s">
        <v>15</v>
      </c>
      <c r="B4" s="7" t="s">
        <v>16</v>
      </c>
      <c r="C4" s="11" t="s">
        <v>17</v>
      </c>
      <c r="D4" s="12" t="s">
        <v>18</v>
      </c>
      <c r="E4" s="12" t="s">
        <v>19</v>
      </c>
      <c r="F4" s="12" t="s">
        <v>20</v>
      </c>
      <c r="G4" s="13">
        <v>1</v>
      </c>
      <c r="H4" s="13"/>
      <c r="I4" s="29">
        <v>0</v>
      </c>
      <c r="J4" s="46"/>
      <c r="K4" s="31"/>
      <c r="L4" s="10"/>
      <c r="M4" s="10"/>
      <c r="N4" s="10"/>
      <c r="O4" s="10"/>
      <c r="P4" s="10"/>
      <c r="Q4" s="10"/>
      <c r="R4" s="10"/>
      <c r="S4" s="10"/>
      <c r="T4" s="10"/>
    </row>
    <row r="5" spans="1:20" ht="36" x14ac:dyDescent="0.3">
      <c r="A5" s="2" t="s">
        <v>21</v>
      </c>
      <c r="B5" s="7"/>
      <c r="C5" s="14" t="s">
        <v>22</v>
      </c>
      <c r="D5" s="12"/>
      <c r="E5" s="12"/>
      <c r="F5" s="15" t="s">
        <v>23</v>
      </c>
      <c r="G5" s="16">
        <v>1.6</v>
      </c>
      <c r="H5" s="17"/>
      <c r="I5" s="17">
        <v>0</v>
      </c>
      <c r="J5" s="36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36.6" thickBot="1" x14ac:dyDescent="0.35">
      <c r="A6" s="2" t="s">
        <v>24</v>
      </c>
      <c r="B6" s="7"/>
      <c r="C6" s="18" t="s">
        <v>25</v>
      </c>
      <c r="D6" s="12"/>
      <c r="E6" s="12"/>
      <c r="F6" s="15" t="s">
        <v>23</v>
      </c>
      <c r="G6" s="16">
        <v>0.255</v>
      </c>
      <c r="H6" s="17"/>
      <c r="I6" s="17">
        <v>0</v>
      </c>
      <c r="J6" s="32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54.6" thickBot="1" x14ac:dyDescent="0.35">
      <c r="A7" s="2" t="s">
        <v>26</v>
      </c>
      <c r="B7" s="7" t="s">
        <v>16</v>
      </c>
      <c r="C7" s="11" t="s">
        <v>27</v>
      </c>
      <c r="D7" s="12" t="s">
        <v>18</v>
      </c>
      <c r="E7" s="12" t="s">
        <v>28</v>
      </c>
      <c r="F7" s="12" t="s">
        <v>20</v>
      </c>
      <c r="G7" s="13">
        <v>1</v>
      </c>
      <c r="H7" s="13"/>
      <c r="I7" s="29">
        <v>0</v>
      </c>
      <c r="J7" s="47"/>
      <c r="K7" s="31"/>
      <c r="L7" s="10"/>
      <c r="M7" s="10"/>
      <c r="N7" s="10"/>
      <c r="O7" s="10"/>
      <c r="P7" s="10"/>
      <c r="Q7" s="10"/>
      <c r="R7" s="10"/>
      <c r="S7" s="10"/>
      <c r="T7" s="10"/>
    </row>
    <row r="8" spans="1:20" ht="36" x14ac:dyDescent="0.3">
      <c r="A8" s="2" t="s">
        <v>29</v>
      </c>
      <c r="B8" s="7"/>
      <c r="C8" s="18" t="s">
        <v>25</v>
      </c>
      <c r="D8" s="12"/>
      <c r="E8" s="12"/>
      <c r="F8" s="15" t="s">
        <v>23</v>
      </c>
      <c r="G8" s="16">
        <v>0.255</v>
      </c>
      <c r="H8" s="17"/>
      <c r="I8" s="17">
        <v>0</v>
      </c>
      <c r="J8" s="36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18" x14ac:dyDescent="0.3">
      <c r="A9" s="2" t="s">
        <v>30</v>
      </c>
      <c r="B9" s="7"/>
      <c r="C9" s="18" t="s">
        <v>31</v>
      </c>
      <c r="D9" s="12"/>
      <c r="E9" s="12"/>
      <c r="F9" s="15" t="s">
        <v>32</v>
      </c>
      <c r="G9" s="16">
        <v>1</v>
      </c>
      <c r="H9" s="17"/>
      <c r="I9" s="17">
        <v>0</v>
      </c>
      <c r="J9" s="17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36.6" thickBot="1" x14ac:dyDescent="0.35">
      <c r="A10" s="2" t="s">
        <v>33</v>
      </c>
      <c r="B10" s="7"/>
      <c r="C10" s="14" t="s">
        <v>22</v>
      </c>
      <c r="D10" s="12"/>
      <c r="E10" s="12"/>
      <c r="F10" s="15" t="s">
        <v>23</v>
      </c>
      <c r="G10" s="16">
        <v>1.6</v>
      </c>
      <c r="H10" s="17"/>
      <c r="I10" s="17">
        <v>0</v>
      </c>
      <c r="J10" s="32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54.6" thickBot="1" x14ac:dyDescent="0.35">
      <c r="A11" s="2" t="s">
        <v>34</v>
      </c>
      <c r="B11" s="7" t="s">
        <v>16</v>
      </c>
      <c r="C11" s="19" t="s">
        <v>27</v>
      </c>
      <c r="D11" s="20" t="s">
        <v>18</v>
      </c>
      <c r="E11" s="20" t="s">
        <v>19</v>
      </c>
      <c r="F11" s="20" t="s">
        <v>20</v>
      </c>
      <c r="G11" s="21">
        <v>1</v>
      </c>
      <c r="H11" s="21"/>
      <c r="I11" s="59">
        <v>4263.2</v>
      </c>
      <c r="J11" s="47">
        <f>Таблица1[[#This Row],[Общее кол-во]]- SUM(Таблица1[[#This Row],[1.1-Пл]:[5.2-Нал]])</f>
        <v>3453</v>
      </c>
      <c r="K11" s="31"/>
      <c r="L11" s="10"/>
      <c r="M11" s="10"/>
      <c r="N11" s="10"/>
      <c r="O11" s="10"/>
      <c r="P11" s="10"/>
      <c r="Q11" s="80">
        <f>'5.1'!K3</f>
        <v>810.2</v>
      </c>
      <c r="R11" s="10"/>
      <c r="S11" s="10"/>
      <c r="T11" s="10"/>
    </row>
    <row r="12" spans="1:20" ht="36" x14ac:dyDescent="0.3">
      <c r="A12" s="2" t="s">
        <v>35</v>
      </c>
      <c r="B12" s="7"/>
      <c r="C12" s="22" t="s">
        <v>22</v>
      </c>
      <c r="D12" s="20"/>
      <c r="E12" s="20"/>
      <c r="F12" s="23" t="s">
        <v>23</v>
      </c>
      <c r="G12" s="24">
        <v>1.6</v>
      </c>
      <c r="H12" s="25"/>
      <c r="I12" s="25">
        <v>68211.199999999997</v>
      </c>
      <c r="J12" s="37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36.6" thickBot="1" x14ac:dyDescent="0.35">
      <c r="A13" s="2" t="s">
        <v>36</v>
      </c>
      <c r="B13" s="7"/>
      <c r="C13" s="26" t="s">
        <v>25</v>
      </c>
      <c r="D13" s="20"/>
      <c r="E13" s="20"/>
      <c r="F13" s="23" t="s">
        <v>23</v>
      </c>
      <c r="G13" s="24">
        <v>0.255</v>
      </c>
      <c r="H13" s="25"/>
      <c r="I13" s="25">
        <v>1087.116</v>
      </c>
      <c r="J13" s="33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54.6" thickBot="1" x14ac:dyDescent="0.35">
      <c r="A14" s="2" t="s">
        <v>37</v>
      </c>
      <c r="B14" s="7" t="s">
        <v>16</v>
      </c>
      <c r="C14" s="19" t="s">
        <v>27</v>
      </c>
      <c r="D14" s="20" t="s">
        <v>18</v>
      </c>
      <c r="E14" s="20" t="s">
        <v>28</v>
      </c>
      <c r="F14" s="20" t="s">
        <v>20</v>
      </c>
      <c r="G14" s="21">
        <v>1</v>
      </c>
      <c r="H14" s="21"/>
      <c r="I14" s="59">
        <v>3740.2</v>
      </c>
      <c r="J14" s="47">
        <f>Таблица1[[#This Row],[Общее кол-во]]- SUM(Таблица1[[#This Row],[1.1-Пл]:[5.2-Нал]])</f>
        <v>2840.7</v>
      </c>
      <c r="K14" s="31"/>
      <c r="L14" s="10"/>
      <c r="M14" s="10"/>
      <c r="N14" s="10"/>
      <c r="O14" s="10"/>
      <c r="P14" s="10"/>
      <c r="Q14" s="10"/>
      <c r="R14" s="80">
        <f>'5.2'!K3</f>
        <v>899.49999999999989</v>
      </c>
      <c r="S14" s="10"/>
      <c r="T14" s="10"/>
    </row>
    <row r="15" spans="1:20" ht="36" x14ac:dyDescent="0.3">
      <c r="A15" s="2" t="s">
        <v>38</v>
      </c>
      <c r="B15" s="7"/>
      <c r="C15" s="26" t="s">
        <v>25</v>
      </c>
      <c r="D15" s="20"/>
      <c r="E15" s="20"/>
      <c r="F15" s="23" t="s">
        <v>23</v>
      </c>
      <c r="G15" s="24">
        <v>0.255</v>
      </c>
      <c r="H15" s="25"/>
      <c r="I15" s="25">
        <v>953.75099999999998</v>
      </c>
      <c r="J15" s="37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36.6" thickBot="1" x14ac:dyDescent="0.35">
      <c r="A16" s="2" t="s">
        <v>39</v>
      </c>
      <c r="B16" s="7"/>
      <c r="C16" s="22" t="s">
        <v>22</v>
      </c>
      <c r="D16" s="20"/>
      <c r="E16" s="20"/>
      <c r="F16" s="23" t="s">
        <v>23</v>
      </c>
      <c r="G16" s="24">
        <v>1.6</v>
      </c>
      <c r="H16" s="25"/>
      <c r="I16" s="25">
        <v>59843.199999999997</v>
      </c>
      <c r="J16" s="33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54.6" thickBot="1" x14ac:dyDescent="0.35">
      <c r="A17" s="2" t="s">
        <v>40</v>
      </c>
      <c r="B17" s="7" t="s">
        <v>41</v>
      </c>
      <c r="C17" s="11" t="s">
        <v>42</v>
      </c>
      <c r="D17" s="12"/>
      <c r="E17" s="12" t="s">
        <v>43</v>
      </c>
      <c r="F17" s="12" t="s">
        <v>44</v>
      </c>
      <c r="G17" s="13">
        <v>1</v>
      </c>
      <c r="H17" s="13"/>
      <c r="I17" s="29">
        <v>0</v>
      </c>
      <c r="J17" s="47"/>
      <c r="K17" s="31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8.600000000000001" thickBot="1" x14ac:dyDescent="0.35">
      <c r="A18" s="2" t="s">
        <v>45</v>
      </c>
      <c r="B18" s="7"/>
      <c r="C18" s="18" t="s">
        <v>46</v>
      </c>
      <c r="D18" s="12"/>
      <c r="E18" s="12"/>
      <c r="F18" s="15" t="s">
        <v>23</v>
      </c>
      <c r="G18" s="16">
        <v>1700</v>
      </c>
      <c r="H18" s="17"/>
      <c r="I18" s="17">
        <v>0</v>
      </c>
      <c r="J18" s="38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54.6" thickBot="1" x14ac:dyDescent="0.35">
      <c r="A19" s="2" t="s">
        <v>47</v>
      </c>
      <c r="B19" s="7" t="s">
        <v>41</v>
      </c>
      <c r="C19" s="19" t="s">
        <v>42</v>
      </c>
      <c r="D19" s="20"/>
      <c r="E19" s="20" t="s">
        <v>43</v>
      </c>
      <c r="F19" s="20" t="s">
        <v>44</v>
      </c>
      <c r="G19" s="21">
        <v>1</v>
      </c>
      <c r="H19" s="21"/>
      <c r="I19" s="30">
        <v>2.88</v>
      </c>
      <c r="J19" s="47"/>
      <c r="K19" s="31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8.600000000000001" thickBot="1" x14ac:dyDescent="0.35">
      <c r="A20" s="2" t="s">
        <v>48</v>
      </c>
      <c r="B20" s="7"/>
      <c r="C20" s="26" t="s">
        <v>46</v>
      </c>
      <c r="D20" s="20"/>
      <c r="E20" s="20"/>
      <c r="F20" s="23" t="s">
        <v>23</v>
      </c>
      <c r="G20" s="24">
        <v>1700</v>
      </c>
      <c r="H20" s="25"/>
      <c r="I20" s="25">
        <v>4896</v>
      </c>
      <c r="J20" s="39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54.6" thickBot="1" x14ac:dyDescent="0.35">
      <c r="A21" s="2" t="s">
        <v>49</v>
      </c>
      <c r="B21" s="7" t="s">
        <v>50</v>
      </c>
      <c r="C21" s="11" t="s">
        <v>51</v>
      </c>
      <c r="D21" s="12"/>
      <c r="E21" s="12" t="s">
        <v>52</v>
      </c>
      <c r="F21" s="12" t="s">
        <v>20</v>
      </c>
      <c r="G21" s="13">
        <v>1</v>
      </c>
      <c r="H21" s="13"/>
      <c r="I21" s="29">
        <v>0</v>
      </c>
      <c r="J21" s="47"/>
      <c r="K21" s="31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8" x14ac:dyDescent="0.3">
      <c r="A22" s="2" t="s">
        <v>53</v>
      </c>
      <c r="B22" s="7"/>
      <c r="C22" s="18" t="s">
        <v>54</v>
      </c>
      <c r="D22" s="12"/>
      <c r="E22" s="12"/>
      <c r="F22" s="15" t="s">
        <v>55</v>
      </c>
      <c r="G22" s="16">
        <v>8</v>
      </c>
      <c r="H22" s="17"/>
      <c r="I22" s="17">
        <v>0</v>
      </c>
      <c r="J22" s="36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8" x14ac:dyDescent="0.3">
      <c r="A23" s="2" t="s">
        <v>56</v>
      </c>
      <c r="B23" s="7"/>
      <c r="C23" s="18" t="s">
        <v>57</v>
      </c>
      <c r="D23" s="12"/>
      <c r="E23" s="12"/>
      <c r="F23" s="15" t="s">
        <v>23</v>
      </c>
      <c r="G23" s="16">
        <v>1E-3</v>
      </c>
      <c r="H23" s="17"/>
      <c r="I23" s="17">
        <v>0</v>
      </c>
      <c r="J23" s="17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8" x14ac:dyDescent="0.3">
      <c r="A24" s="2" t="s">
        <v>58</v>
      </c>
      <c r="B24" s="7"/>
      <c r="C24" s="18" t="s">
        <v>59</v>
      </c>
      <c r="D24" s="12"/>
      <c r="E24" s="12"/>
      <c r="F24" s="15" t="s">
        <v>20</v>
      </c>
      <c r="G24" s="16">
        <v>1.1000000000000001</v>
      </c>
      <c r="H24" s="17"/>
      <c r="I24" s="17">
        <v>0</v>
      </c>
      <c r="J24" s="17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8" x14ac:dyDescent="0.3">
      <c r="A25" s="2" t="s">
        <v>60</v>
      </c>
      <c r="B25" s="7"/>
      <c r="C25" s="18" t="s">
        <v>61</v>
      </c>
      <c r="D25" s="12"/>
      <c r="E25" s="12"/>
      <c r="F25" s="15" t="s">
        <v>23</v>
      </c>
      <c r="G25" s="16">
        <v>0.32</v>
      </c>
      <c r="H25" s="17"/>
      <c r="I25" s="17">
        <v>0</v>
      </c>
      <c r="J25" s="17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18" x14ac:dyDescent="0.3">
      <c r="A26" s="2" t="s">
        <v>62</v>
      </c>
      <c r="B26" s="7"/>
      <c r="C26" s="18" t="s">
        <v>63</v>
      </c>
      <c r="D26" s="12"/>
      <c r="E26" s="12"/>
      <c r="F26" s="15" t="s">
        <v>44</v>
      </c>
      <c r="G26" s="16">
        <v>1E-3</v>
      </c>
      <c r="H26" s="17"/>
      <c r="I26" s="17">
        <v>0</v>
      </c>
      <c r="J26" s="17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8" x14ac:dyDescent="0.3">
      <c r="A27" s="2" t="s">
        <v>64</v>
      </c>
      <c r="B27" s="7"/>
      <c r="C27" s="18" t="s">
        <v>31</v>
      </c>
      <c r="D27" s="12"/>
      <c r="E27" s="12"/>
      <c r="F27" s="15" t="s">
        <v>32</v>
      </c>
      <c r="G27" s="16">
        <v>1</v>
      </c>
      <c r="H27" s="17"/>
      <c r="I27" s="17">
        <v>0</v>
      </c>
      <c r="J27" s="17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36.6" thickBot="1" x14ac:dyDescent="0.35">
      <c r="A28" s="2" t="s">
        <v>65</v>
      </c>
      <c r="B28" s="7"/>
      <c r="C28" s="18" t="s">
        <v>25</v>
      </c>
      <c r="D28" s="12"/>
      <c r="E28" s="12"/>
      <c r="F28" s="15" t="s">
        <v>23</v>
      </c>
      <c r="G28" s="16">
        <v>0.2</v>
      </c>
      <c r="H28" s="16"/>
      <c r="I28" s="16">
        <v>0</v>
      </c>
      <c r="J28" s="34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36.6" thickBot="1" x14ac:dyDescent="0.35">
      <c r="A29" s="2" t="s">
        <v>66</v>
      </c>
      <c r="B29" s="7" t="s">
        <v>50</v>
      </c>
      <c r="C29" s="11" t="s">
        <v>51</v>
      </c>
      <c r="D29" s="12"/>
      <c r="E29" s="12" t="s">
        <v>67</v>
      </c>
      <c r="F29" s="12" t="s">
        <v>20</v>
      </c>
      <c r="G29" s="13">
        <v>1</v>
      </c>
      <c r="H29" s="13"/>
      <c r="I29" s="29">
        <v>0</v>
      </c>
      <c r="J29" s="47"/>
      <c r="K29" s="31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36" x14ac:dyDescent="0.3">
      <c r="A30" s="2" t="s">
        <v>68</v>
      </c>
      <c r="B30" s="7"/>
      <c r="C30" s="18" t="s">
        <v>25</v>
      </c>
      <c r="D30" s="12"/>
      <c r="E30" s="12"/>
      <c r="F30" s="15" t="s">
        <v>23</v>
      </c>
      <c r="G30" s="16">
        <v>0.2</v>
      </c>
      <c r="H30" s="16"/>
      <c r="I30" s="16">
        <v>0</v>
      </c>
      <c r="J30" s="4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18" x14ac:dyDescent="0.3">
      <c r="A31" s="2" t="s">
        <v>69</v>
      </c>
      <c r="B31" s="7"/>
      <c r="C31" s="18" t="s">
        <v>31</v>
      </c>
      <c r="D31" s="12"/>
      <c r="E31" s="12"/>
      <c r="F31" s="15" t="s">
        <v>32</v>
      </c>
      <c r="G31" s="16">
        <v>1</v>
      </c>
      <c r="H31" s="17"/>
      <c r="I31" s="17">
        <v>0</v>
      </c>
      <c r="J31" s="17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18" x14ac:dyDescent="0.3">
      <c r="A32" s="2" t="s">
        <v>70</v>
      </c>
      <c r="B32" s="7"/>
      <c r="C32" s="18" t="s">
        <v>63</v>
      </c>
      <c r="D32" s="12"/>
      <c r="E32" s="12"/>
      <c r="F32" s="15" t="s">
        <v>44</v>
      </c>
      <c r="G32" s="16">
        <v>1E-3</v>
      </c>
      <c r="H32" s="17"/>
      <c r="I32" s="17">
        <v>0</v>
      </c>
      <c r="J32" s="17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18" x14ac:dyDescent="0.3">
      <c r="A33" s="2" t="s">
        <v>71</v>
      </c>
      <c r="B33" s="7"/>
      <c r="C33" s="18" t="s">
        <v>61</v>
      </c>
      <c r="D33" s="12"/>
      <c r="E33" s="12"/>
      <c r="F33" s="15" t="s">
        <v>23</v>
      </c>
      <c r="G33" s="16">
        <v>0.32</v>
      </c>
      <c r="H33" s="17"/>
      <c r="I33" s="17">
        <v>0</v>
      </c>
      <c r="J33" s="17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18" x14ac:dyDescent="0.3">
      <c r="A34" s="2" t="s">
        <v>72</v>
      </c>
      <c r="B34" s="7"/>
      <c r="C34" s="18" t="s">
        <v>59</v>
      </c>
      <c r="D34" s="12"/>
      <c r="E34" s="12"/>
      <c r="F34" s="15" t="s">
        <v>20</v>
      </c>
      <c r="G34" s="16">
        <v>1.1000000000000001</v>
      </c>
      <c r="H34" s="17"/>
      <c r="I34" s="17">
        <v>0</v>
      </c>
      <c r="J34" s="17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18" x14ac:dyDescent="0.3">
      <c r="A35" s="2" t="s">
        <v>73</v>
      </c>
      <c r="B35" s="7"/>
      <c r="C35" s="18" t="s">
        <v>57</v>
      </c>
      <c r="D35" s="12"/>
      <c r="E35" s="12"/>
      <c r="F35" s="15" t="s">
        <v>23</v>
      </c>
      <c r="G35" s="16">
        <v>1E-3</v>
      </c>
      <c r="H35" s="17"/>
      <c r="I35" s="17">
        <v>0</v>
      </c>
      <c r="J35" s="17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8.600000000000001" thickBot="1" x14ac:dyDescent="0.35">
      <c r="A36" s="2" t="s">
        <v>74</v>
      </c>
      <c r="B36" s="7"/>
      <c r="C36" s="18" t="s">
        <v>54</v>
      </c>
      <c r="D36" s="12"/>
      <c r="E36" s="12"/>
      <c r="F36" s="15" t="s">
        <v>55</v>
      </c>
      <c r="G36" s="16">
        <v>8</v>
      </c>
      <c r="H36" s="17"/>
      <c r="I36" s="17">
        <v>0</v>
      </c>
      <c r="J36" s="32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36.6" thickBot="1" x14ac:dyDescent="0.35">
      <c r="A37" s="2" t="s">
        <v>75</v>
      </c>
      <c r="B37" s="7" t="s">
        <v>50</v>
      </c>
      <c r="C37" s="11" t="s">
        <v>76</v>
      </c>
      <c r="D37" s="12"/>
      <c r="E37" s="12" t="s">
        <v>77</v>
      </c>
      <c r="F37" s="12" t="s">
        <v>20</v>
      </c>
      <c r="G37" s="13">
        <v>1</v>
      </c>
      <c r="H37" s="13"/>
      <c r="I37" s="29">
        <v>0</v>
      </c>
      <c r="J37" s="47"/>
      <c r="K37" s="31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8" x14ac:dyDescent="0.3">
      <c r="A38" s="2" t="s">
        <v>78</v>
      </c>
      <c r="B38" s="7"/>
      <c r="C38" s="18" t="s">
        <v>54</v>
      </c>
      <c r="D38" s="12"/>
      <c r="E38" s="12"/>
      <c r="F38" s="15" t="s">
        <v>55</v>
      </c>
      <c r="G38" s="16">
        <v>8</v>
      </c>
      <c r="H38" s="17"/>
      <c r="I38" s="17">
        <v>0</v>
      </c>
      <c r="J38" s="36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18" x14ac:dyDescent="0.3">
      <c r="A39" s="2" t="s">
        <v>79</v>
      </c>
      <c r="B39" s="7"/>
      <c r="C39" s="18" t="s">
        <v>80</v>
      </c>
      <c r="D39" s="12"/>
      <c r="E39" s="12"/>
      <c r="F39" s="15" t="s">
        <v>23</v>
      </c>
      <c r="G39" s="16">
        <v>1.8</v>
      </c>
      <c r="H39" s="17"/>
      <c r="I39" s="17">
        <v>0</v>
      </c>
      <c r="J39" s="17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8" x14ac:dyDescent="0.3">
      <c r="A40" s="2" t="s">
        <v>81</v>
      </c>
      <c r="B40" s="7"/>
      <c r="C40" s="18" t="s">
        <v>59</v>
      </c>
      <c r="D40" s="12"/>
      <c r="E40" s="12"/>
      <c r="F40" s="15" t="s">
        <v>20</v>
      </c>
      <c r="G40" s="16">
        <v>1.1000000000000001</v>
      </c>
      <c r="H40" s="17"/>
      <c r="I40" s="17">
        <v>0</v>
      </c>
      <c r="J40" s="17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18" x14ac:dyDescent="0.3">
      <c r="A41" s="2" t="s">
        <v>82</v>
      </c>
      <c r="B41" s="7"/>
      <c r="C41" s="18" t="s">
        <v>31</v>
      </c>
      <c r="D41" s="12"/>
      <c r="E41" s="12"/>
      <c r="F41" s="15" t="s">
        <v>32</v>
      </c>
      <c r="G41" s="16">
        <v>1</v>
      </c>
      <c r="H41" s="17"/>
      <c r="I41" s="17">
        <v>0</v>
      </c>
      <c r="J41" s="17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36.6" thickBot="1" x14ac:dyDescent="0.35">
      <c r="A42" s="2" t="s">
        <v>83</v>
      </c>
      <c r="B42" s="7"/>
      <c r="C42" s="18" t="s">
        <v>25</v>
      </c>
      <c r="D42" s="12"/>
      <c r="E42" s="12"/>
      <c r="F42" s="15" t="s">
        <v>23</v>
      </c>
      <c r="G42" s="16">
        <v>0.2</v>
      </c>
      <c r="H42" s="16"/>
      <c r="I42" s="16">
        <v>0</v>
      </c>
      <c r="J42" s="34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36.6" thickBot="1" x14ac:dyDescent="0.35">
      <c r="A43" s="2" t="s">
        <v>84</v>
      </c>
      <c r="B43" s="7" t="s">
        <v>50</v>
      </c>
      <c r="C43" s="11" t="s">
        <v>76</v>
      </c>
      <c r="D43" s="12"/>
      <c r="E43" s="12" t="s">
        <v>85</v>
      </c>
      <c r="F43" s="12" t="s">
        <v>20</v>
      </c>
      <c r="G43" s="13">
        <v>1</v>
      </c>
      <c r="H43" s="13"/>
      <c r="I43" s="29">
        <v>0</v>
      </c>
      <c r="J43" s="47"/>
      <c r="K43" s="31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36" x14ac:dyDescent="0.3">
      <c r="A44" s="2" t="s">
        <v>86</v>
      </c>
      <c r="B44" s="7"/>
      <c r="C44" s="18" t="s">
        <v>25</v>
      </c>
      <c r="D44" s="12"/>
      <c r="E44" s="12"/>
      <c r="F44" s="15" t="s">
        <v>23</v>
      </c>
      <c r="G44" s="16">
        <v>0.2</v>
      </c>
      <c r="H44" s="16"/>
      <c r="I44" s="16">
        <v>0</v>
      </c>
      <c r="J44" s="4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8" x14ac:dyDescent="0.3">
      <c r="A45" s="2" t="s">
        <v>87</v>
      </c>
      <c r="B45" s="7"/>
      <c r="C45" s="18" t="s">
        <v>31</v>
      </c>
      <c r="D45" s="12"/>
      <c r="E45" s="12"/>
      <c r="F45" s="15" t="s">
        <v>32</v>
      </c>
      <c r="G45" s="16">
        <v>1</v>
      </c>
      <c r="H45" s="17"/>
      <c r="I45" s="17">
        <v>0</v>
      </c>
      <c r="J45" s="17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18" x14ac:dyDescent="0.3">
      <c r="A46" s="2" t="s">
        <v>88</v>
      </c>
      <c r="B46" s="7"/>
      <c r="C46" s="18" t="s">
        <v>59</v>
      </c>
      <c r="D46" s="12"/>
      <c r="E46" s="12"/>
      <c r="F46" s="15" t="s">
        <v>20</v>
      </c>
      <c r="G46" s="16">
        <v>1.1000000000000001</v>
      </c>
      <c r="H46" s="17"/>
      <c r="I46" s="17">
        <v>0</v>
      </c>
      <c r="J46" s="17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18" x14ac:dyDescent="0.3">
      <c r="A47" s="2" t="s">
        <v>89</v>
      </c>
      <c r="B47" s="7"/>
      <c r="C47" s="18" t="s">
        <v>80</v>
      </c>
      <c r="D47" s="12"/>
      <c r="E47" s="12"/>
      <c r="F47" s="15" t="s">
        <v>23</v>
      </c>
      <c r="G47" s="16">
        <v>1.8</v>
      </c>
      <c r="H47" s="17"/>
      <c r="I47" s="17">
        <v>0</v>
      </c>
      <c r="J47" s="17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18.600000000000001" thickBot="1" x14ac:dyDescent="0.35">
      <c r="A48" s="2" t="s">
        <v>90</v>
      </c>
      <c r="B48" s="7"/>
      <c r="C48" s="18" t="s">
        <v>54</v>
      </c>
      <c r="D48" s="12"/>
      <c r="E48" s="12"/>
      <c r="F48" s="15" t="s">
        <v>55</v>
      </c>
      <c r="G48" s="16">
        <v>8</v>
      </c>
      <c r="H48" s="17"/>
      <c r="I48" s="17">
        <v>0</v>
      </c>
      <c r="J48" s="32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36.6" thickBot="1" x14ac:dyDescent="0.35">
      <c r="A49" s="2" t="s">
        <v>91</v>
      </c>
      <c r="B49" s="7" t="s">
        <v>50</v>
      </c>
      <c r="C49" s="11" t="s">
        <v>76</v>
      </c>
      <c r="D49" s="12"/>
      <c r="E49" s="12" t="s">
        <v>92</v>
      </c>
      <c r="F49" s="12" t="s">
        <v>20</v>
      </c>
      <c r="G49" s="13">
        <v>1</v>
      </c>
      <c r="H49" s="13"/>
      <c r="I49" s="29">
        <v>0</v>
      </c>
      <c r="J49" s="47"/>
      <c r="K49" s="31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18" x14ac:dyDescent="0.3">
      <c r="A50" s="2" t="s">
        <v>93</v>
      </c>
      <c r="B50" s="7"/>
      <c r="C50" s="18" t="s">
        <v>54</v>
      </c>
      <c r="D50" s="12"/>
      <c r="E50" s="12"/>
      <c r="F50" s="15" t="s">
        <v>55</v>
      </c>
      <c r="G50" s="16">
        <v>8</v>
      </c>
      <c r="H50" s="17"/>
      <c r="I50" s="17">
        <v>0</v>
      </c>
      <c r="J50" s="36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8" x14ac:dyDescent="0.3">
      <c r="A51" s="2" t="s">
        <v>94</v>
      </c>
      <c r="B51" s="7"/>
      <c r="C51" s="18" t="s">
        <v>80</v>
      </c>
      <c r="D51" s="12"/>
      <c r="E51" s="12"/>
      <c r="F51" s="15" t="s">
        <v>23</v>
      </c>
      <c r="G51" s="16">
        <v>1.8</v>
      </c>
      <c r="H51" s="17"/>
      <c r="I51" s="17">
        <v>0</v>
      </c>
      <c r="J51" s="17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18" x14ac:dyDescent="0.3">
      <c r="A52" s="2" t="s">
        <v>95</v>
      </c>
      <c r="B52" s="7"/>
      <c r="C52" s="18" t="s">
        <v>59</v>
      </c>
      <c r="D52" s="12"/>
      <c r="E52" s="12"/>
      <c r="F52" s="15" t="s">
        <v>20</v>
      </c>
      <c r="G52" s="16">
        <v>1.1000000000000001</v>
      </c>
      <c r="H52" s="17"/>
      <c r="I52" s="17">
        <v>0</v>
      </c>
      <c r="J52" s="17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18" x14ac:dyDescent="0.3">
      <c r="A53" s="2" t="s">
        <v>96</v>
      </c>
      <c r="B53" s="7"/>
      <c r="C53" s="18" t="s">
        <v>31</v>
      </c>
      <c r="D53" s="12"/>
      <c r="E53" s="12"/>
      <c r="F53" s="15" t="s">
        <v>32</v>
      </c>
      <c r="G53" s="16">
        <v>1</v>
      </c>
      <c r="H53" s="17"/>
      <c r="I53" s="17">
        <v>0</v>
      </c>
      <c r="J53" s="17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36.6" thickBot="1" x14ac:dyDescent="0.35">
      <c r="A54" s="2" t="s">
        <v>97</v>
      </c>
      <c r="B54" s="7"/>
      <c r="C54" s="18" t="s">
        <v>25</v>
      </c>
      <c r="D54" s="12"/>
      <c r="E54" s="12"/>
      <c r="F54" s="15" t="s">
        <v>23</v>
      </c>
      <c r="G54" s="16">
        <v>0.2</v>
      </c>
      <c r="H54" s="16"/>
      <c r="I54" s="16">
        <v>0</v>
      </c>
      <c r="J54" s="34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36.6" thickBot="1" x14ac:dyDescent="0.35">
      <c r="A55" s="2" t="s">
        <v>98</v>
      </c>
      <c r="B55" s="7" t="s">
        <v>50</v>
      </c>
      <c r="C55" s="19" t="s">
        <v>76</v>
      </c>
      <c r="D55" s="20"/>
      <c r="E55" s="20" t="s">
        <v>77</v>
      </c>
      <c r="F55" s="20" t="s">
        <v>20</v>
      </c>
      <c r="G55" s="21">
        <v>1</v>
      </c>
      <c r="H55" s="21"/>
      <c r="I55" s="60">
        <v>239.9</v>
      </c>
      <c r="J55" s="47">
        <f>Таблица1[[#This Row],[Общее кол-во]]- SUM(Таблица1[[#This Row],[1.1-Пл]:[5.1-Нал]])</f>
        <v>1.0999999999999943</v>
      </c>
      <c r="K55" s="31"/>
      <c r="L55" s="10">
        <v>238.8</v>
      </c>
      <c r="M55" s="10"/>
      <c r="N55" s="10"/>
      <c r="O55" s="10"/>
      <c r="P55" s="10"/>
      <c r="Q55" s="10"/>
      <c r="R55" s="10"/>
      <c r="S55" s="10"/>
      <c r="T55" s="10"/>
    </row>
    <row r="56" spans="1:20" ht="36" x14ac:dyDescent="0.3">
      <c r="A56" s="2" t="s">
        <v>99</v>
      </c>
      <c r="B56" s="7"/>
      <c r="C56" s="26" t="s">
        <v>25</v>
      </c>
      <c r="D56" s="20"/>
      <c r="E56" s="20"/>
      <c r="F56" s="23" t="s">
        <v>23</v>
      </c>
      <c r="G56" s="24">
        <v>0.2</v>
      </c>
      <c r="H56" s="24"/>
      <c r="I56" s="24">
        <v>47.98</v>
      </c>
      <c r="J56" s="41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8" x14ac:dyDescent="0.3">
      <c r="A57" s="2" t="s">
        <v>100</v>
      </c>
      <c r="B57" s="7"/>
      <c r="C57" s="26" t="s">
        <v>31</v>
      </c>
      <c r="D57" s="20"/>
      <c r="E57" s="20"/>
      <c r="F57" s="23" t="s">
        <v>32</v>
      </c>
      <c r="G57" s="24">
        <v>1</v>
      </c>
      <c r="H57" s="25"/>
      <c r="I57" s="25">
        <v>94</v>
      </c>
      <c r="J57" s="25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18" x14ac:dyDescent="0.3">
      <c r="A58" s="2" t="s">
        <v>101</v>
      </c>
      <c r="B58" s="7"/>
      <c r="C58" s="26" t="s">
        <v>59</v>
      </c>
      <c r="D58" s="20"/>
      <c r="E58" s="20"/>
      <c r="F58" s="23" t="s">
        <v>20</v>
      </c>
      <c r="G58" s="24">
        <v>1.1000000000000001</v>
      </c>
      <c r="H58" s="25"/>
      <c r="I58" s="25">
        <v>263.89</v>
      </c>
      <c r="J58" s="25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8" x14ac:dyDescent="0.3">
      <c r="A59" s="2" t="s">
        <v>102</v>
      </c>
      <c r="B59" s="7"/>
      <c r="C59" s="26" t="s">
        <v>80</v>
      </c>
      <c r="D59" s="20"/>
      <c r="E59" s="20"/>
      <c r="F59" s="23" t="s">
        <v>23</v>
      </c>
      <c r="G59" s="24">
        <v>1.8</v>
      </c>
      <c r="H59" s="25"/>
      <c r="I59" s="25">
        <v>25909.200000000001</v>
      </c>
      <c r="J59" s="25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8.600000000000001" thickBot="1" x14ac:dyDescent="0.35">
      <c r="A60" s="2" t="s">
        <v>103</v>
      </c>
      <c r="B60" s="7"/>
      <c r="C60" s="26" t="s">
        <v>54</v>
      </c>
      <c r="D60" s="20"/>
      <c r="E60" s="20"/>
      <c r="F60" s="23" t="s">
        <v>55</v>
      </c>
      <c r="G60" s="24">
        <v>8</v>
      </c>
      <c r="H60" s="25"/>
      <c r="I60" s="25">
        <v>1919.2</v>
      </c>
      <c r="J60" s="33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36.6" thickBot="1" x14ac:dyDescent="0.35">
      <c r="A61" s="2" t="s">
        <v>104</v>
      </c>
      <c r="B61" s="7" t="s">
        <v>50</v>
      </c>
      <c r="C61" s="19" t="s">
        <v>76</v>
      </c>
      <c r="D61" s="20"/>
      <c r="E61" s="20" t="s">
        <v>85</v>
      </c>
      <c r="F61" s="20" t="s">
        <v>20</v>
      </c>
      <c r="G61" s="21">
        <v>1</v>
      </c>
      <c r="H61" s="21"/>
      <c r="I61" s="60">
        <v>631.29999999999995</v>
      </c>
      <c r="J61" s="47">
        <f>Таблица1[[#This Row],[Общее кол-во]]- SUM(Таблица1[[#This Row],[1.1-Пл]:[5.1-Нал]])</f>
        <v>-7.8000000000000682</v>
      </c>
      <c r="K61" s="31"/>
      <c r="L61" s="10"/>
      <c r="M61" s="10">
        <v>639.1</v>
      </c>
      <c r="N61" s="10"/>
      <c r="O61" s="10"/>
      <c r="P61" s="10"/>
      <c r="Q61" s="10"/>
      <c r="R61" s="10"/>
      <c r="S61" s="10"/>
      <c r="T61" s="10"/>
    </row>
    <row r="62" spans="1:20" ht="18" x14ac:dyDescent="0.3">
      <c r="A62" s="2" t="s">
        <v>105</v>
      </c>
      <c r="B62" s="7"/>
      <c r="C62" s="26" t="s">
        <v>54</v>
      </c>
      <c r="D62" s="20"/>
      <c r="E62" s="20"/>
      <c r="F62" s="23" t="s">
        <v>55</v>
      </c>
      <c r="G62" s="24">
        <v>8</v>
      </c>
      <c r="H62" s="25"/>
      <c r="I62" s="25">
        <v>5050.3999999999996</v>
      </c>
      <c r="J62" s="37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18" x14ac:dyDescent="0.3">
      <c r="A63" s="2" t="s">
        <v>106</v>
      </c>
      <c r="B63" s="7"/>
      <c r="C63" s="26" t="s">
        <v>80</v>
      </c>
      <c r="D63" s="20"/>
      <c r="E63" s="20"/>
      <c r="F63" s="23" t="s">
        <v>23</v>
      </c>
      <c r="G63" s="24">
        <v>1.8</v>
      </c>
      <c r="H63" s="25"/>
      <c r="I63" s="25">
        <v>68180.399999999994</v>
      </c>
      <c r="J63" s="25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18" x14ac:dyDescent="0.3">
      <c r="A64" s="2" t="s">
        <v>107</v>
      </c>
      <c r="B64" s="7"/>
      <c r="C64" s="26" t="s">
        <v>59</v>
      </c>
      <c r="D64" s="20"/>
      <c r="E64" s="20"/>
      <c r="F64" s="23" t="s">
        <v>20</v>
      </c>
      <c r="G64" s="24">
        <v>1.1000000000000001</v>
      </c>
      <c r="H64" s="25"/>
      <c r="I64" s="25">
        <v>694.43</v>
      </c>
      <c r="J64" s="25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18" x14ac:dyDescent="0.3">
      <c r="A65" s="2" t="s">
        <v>108</v>
      </c>
      <c r="B65" s="7"/>
      <c r="C65" s="26" t="s">
        <v>31</v>
      </c>
      <c r="D65" s="20"/>
      <c r="E65" s="20"/>
      <c r="F65" s="23" t="s">
        <v>32</v>
      </c>
      <c r="G65" s="24">
        <v>1</v>
      </c>
      <c r="H65" s="25"/>
      <c r="I65" s="25">
        <v>277</v>
      </c>
      <c r="J65" s="25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36.6" thickBot="1" x14ac:dyDescent="0.35">
      <c r="A66" s="2" t="s">
        <v>109</v>
      </c>
      <c r="B66" s="7"/>
      <c r="C66" s="26" t="s">
        <v>25</v>
      </c>
      <c r="D66" s="20"/>
      <c r="E66" s="20"/>
      <c r="F66" s="23" t="s">
        <v>23</v>
      </c>
      <c r="G66" s="24">
        <v>0.2</v>
      </c>
      <c r="H66" s="24"/>
      <c r="I66" s="24">
        <v>126.26</v>
      </c>
      <c r="J66" s="35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36.6" thickBot="1" x14ac:dyDescent="0.35">
      <c r="A67" s="2" t="s">
        <v>110</v>
      </c>
      <c r="B67" s="7" t="s">
        <v>50</v>
      </c>
      <c r="C67" s="19" t="s">
        <v>76</v>
      </c>
      <c r="D67" s="20"/>
      <c r="E67" s="20" t="s">
        <v>92</v>
      </c>
      <c r="F67" s="20" t="s">
        <v>20</v>
      </c>
      <c r="G67" s="21">
        <v>1</v>
      </c>
      <c r="H67" s="21"/>
      <c r="I67" s="60">
        <v>34.5</v>
      </c>
      <c r="J67" s="47">
        <f>Таблица1[[#This Row],[Общее кол-во]]- SUM(Таблица1[[#This Row],[1.1-Пл]:[5.1-Нал]])</f>
        <v>0</v>
      </c>
      <c r="K67" s="31"/>
      <c r="L67" s="10"/>
      <c r="M67" s="10">
        <v>34.5</v>
      </c>
      <c r="N67" s="10"/>
      <c r="O67" s="10"/>
      <c r="P67" s="10"/>
      <c r="Q67" s="10"/>
      <c r="R67" s="10"/>
      <c r="S67" s="10"/>
      <c r="T67" s="10"/>
    </row>
    <row r="68" spans="1:20" ht="36" x14ac:dyDescent="0.3">
      <c r="A68" s="2" t="s">
        <v>111</v>
      </c>
      <c r="B68" s="7"/>
      <c r="C68" s="26" t="s">
        <v>25</v>
      </c>
      <c r="D68" s="20"/>
      <c r="E68" s="20"/>
      <c r="F68" s="23" t="s">
        <v>23</v>
      </c>
      <c r="G68" s="24">
        <v>0.2</v>
      </c>
      <c r="H68" s="24"/>
      <c r="I68" s="24">
        <v>6.9</v>
      </c>
      <c r="J68" s="41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18" x14ac:dyDescent="0.3">
      <c r="A69" s="2" t="s">
        <v>112</v>
      </c>
      <c r="B69" s="7"/>
      <c r="C69" s="26" t="s">
        <v>31</v>
      </c>
      <c r="D69" s="20"/>
      <c r="E69" s="20"/>
      <c r="F69" s="23" t="s">
        <v>32</v>
      </c>
      <c r="G69" s="24">
        <v>1</v>
      </c>
      <c r="H69" s="25"/>
      <c r="I69" s="25">
        <v>15.519</v>
      </c>
      <c r="J69" s="25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18" x14ac:dyDescent="0.3">
      <c r="A70" s="2" t="s">
        <v>113</v>
      </c>
      <c r="B70" s="7"/>
      <c r="C70" s="26" t="s">
        <v>59</v>
      </c>
      <c r="D70" s="20"/>
      <c r="E70" s="20"/>
      <c r="F70" s="23" t="s">
        <v>20</v>
      </c>
      <c r="G70" s="24">
        <v>1.1000000000000001</v>
      </c>
      <c r="H70" s="25"/>
      <c r="I70" s="25">
        <v>37.950000000000003</v>
      </c>
      <c r="J70" s="25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18" x14ac:dyDescent="0.3">
      <c r="A71" s="2" t="s">
        <v>114</v>
      </c>
      <c r="B71" s="7"/>
      <c r="C71" s="26" t="s">
        <v>80</v>
      </c>
      <c r="D71" s="20"/>
      <c r="E71" s="20"/>
      <c r="F71" s="23" t="s">
        <v>23</v>
      </c>
      <c r="G71" s="24">
        <v>1.8</v>
      </c>
      <c r="H71" s="25"/>
      <c r="I71" s="25">
        <v>3105</v>
      </c>
      <c r="J71" s="25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ht="18.600000000000001" thickBot="1" x14ac:dyDescent="0.35">
      <c r="A72" s="2" t="s">
        <v>115</v>
      </c>
      <c r="B72" s="7"/>
      <c r="C72" s="26" t="s">
        <v>54</v>
      </c>
      <c r="D72" s="20"/>
      <c r="E72" s="20"/>
      <c r="F72" s="23" t="s">
        <v>55</v>
      </c>
      <c r="G72" s="24">
        <v>8</v>
      </c>
      <c r="H72" s="25"/>
      <c r="I72" s="25">
        <v>276</v>
      </c>
      <c r="J72" s="33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ht="36.6" thickBot="1" x14ac:dyDescent="0.35">
      <c r="A73" s="2" t="s">
        <v>116</v>
      </c>
      <c r="B73" s="7" t="s">
        <v>117</v>
      </c>
      <c r="C73" s="11" t="s">
        <v>118</v>
      </c>
      <c r="D73" s="12"/>
      <c r="E73" s="12" t="s">
        <v>119</v>
      </c>
      <c r="F73" s="12" t="s">
        <v>20</v>
      </c>
      <c r="G73" s="13">
        <v>1</v>
      </c>
      <c r="H73" s="13"/>
      <c r="I73" s="29">
        <v>0</v>
      </c>
      <c r="J73" s="47"/>
      <c r="K73" s="31"/>
      <c r="L73" s="10"/>
      <c r="M73" s="10"/>
      <c r="N73" s="10"/>
      <c r="O73" s="10"/>
      <c r="P73" s="10"/>
      <c r="Q73" s="10"/>
      <c r="R73" s="10"/>
      <c r="S73" s="10"/>
      <c r="T73" s="10"/>
    </row>
    <row r="74" spans="1:20" ht="18" x14ac:dyDescent="0.3">
      <c r="A74" s="2" t="s">
        <v>120</v>
      </c>
      <c r="B74" s="7"/>
      <c r="C74" s="18" t="s">
        <v>54</v>
      </c>
      <c r="D74" s="12"/>
      <c r="E74" s="12"/>
      <c r="F74" s="15" t="s">
        <v>55</v>
      </c>
      <c r="G74" s="16">
        <v>8</v>
      </c>
      <c r="H74" s="17"/>
      <c r="I74" s="17">
        <v>0</v>
      </c>
      <c r="J74" s="36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ht="18" x14ac:dyDescent="0.3">
      <c r="A75" s="2" t="s">
        <v>121</v>
      </c>
      <c r="B75" s="7"/>
      <c r="C75" s="18" t="s">
        <v>57</v>
      </c>
      <c r="D75" s="12"/>
      <c r="E75" s="12"/>
      <c r="F75" s="15" t="s">
        <v>23</v>
      </c>
      <c r="G75" s="16">
        <v>1E-3</v>
      </c>
      <c r="H75" s="17"/>
      <c r="I75" s="17">
        <v>0</v>
      </c>
      <c r="J75" s="17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ht="18" x14ac:dyDescent="0.3">
      <c r="A76" s="2" t="s">
        <v>122</v>
      </c>
      <c r="B76" s="7"/>
      <c r="C76" s="18" t="s">
        <v>59</v>
      </c>
      <c r="D76" s="12"/>
      <c r="E76" s="12"/>
      <c r="F76" s="15" t="s">
        <v>20</v>
      </c>
      <c r="G76" s="16">
        <v>1.1000000000000001</v>
      </c>
      <c r="H76" s="17"/>
      <c r="I76" s="17">
        <v>0</v>
      </c>
      <c r="J76" s="17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ht="18" x14ac:dyDescent="0.3">
      <c r="A77" s="2" t="s">
        <v>123</v>
      </c>
      <c r="B77" s="7"/>
      <c r="C77" s="18" t="s">
        <v>61</v>
      </c>
      <c r="D77" s="12"/>
      <c r="E77" s="12"/>
      <c r="F77" s="15" t="s">
        <v>23</v>
      </c>
      <c r="G77" s="16">
        <v>0.32</v>
      </c>
      <c r="H77" s="17"/>
      <c r="I77" s="17">
        <v>0</v>
      </c>
      <c r="J77" s="17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ht="18" x14ac:dyDescent="0.3">
      <c r="A78" s="2" t="s">
        <v>124</v>
      </c>
      <c r="B78" s="7"/>
      <c r="C78" s="18" t="s">
        <v>63</v>
      </c>
      <c r="D78" s="12"/>
      <c r="E78" s="12"/>
      <c r="F78" s="15" t="s">
        <v>44</v>
      </c>
      <c r="G78" s="16">
        <v>1E-3</v>
      </c>
      <c r="H78" s="17"/>
      <c r="I78" s="17">
        <v>0</v>
      </c>
      <c r="J78" s="17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ht="18" x14ac:dyDescent="0.3">
      <c r="A79" s="2" t="s">
        <v>125</v>
      </c>
      <c r="B79" s="7"/>
      <c r="C79" s="18" t="s">
        <v>31</v>
      </c>
      <c r="D79" s="12"/>
      <c r="E79" s="12"/>
      <c r="F79" s="15" t="s">
        <v>32</v>
      </c>
      <c r="G79" s="16">
        <v>1</v>
      </c>
      <c r="H79" s="17"/>
      <c r="I79" s="17">
        <v>0</v>
      </c>
      <c r="J79" s="17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ht="36.6" thickBot="1" x14ac:dyDescent="0.35">
      <c r="A80" s="2" t="s">
        <v>126</v>
      </c>
      <c r="B80" s="7"/>
      <c r="C80" s="18" t="s">
        <v>25</v>
      </c>
      <c r="D80" s="12"/>
      <c r="E80" s="12"/>
      <c r="F80" s="15" t="s">
        <v>23</v>
      </c>
      <c r="G80" s="16">
        <v>0.2</v>
      </c>
      <c r="H80" s="16"/>
      <c r="I80" s="16">
        <v>0</v>
      </c>
      <c r="J80" s="34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ht="36.6" thickBot="1" x14ac:dyDescent="0.35">
      <c r="A81" s="2" t="s">
        <v>127</v>
      </c>
      <c r="B81" s="7" t="s">
        <v>117</v>
      </c>
      <c r="C81" s="11" t="s">
        <v>128</v>
      </c>
      <c r="D81" s="12"/>
      <c r="E81" s="12" t="s">
        <v>129</v>
      </c>
      <c r="F81" s="12" t="s">
        <v>20</v>
      </c>
      <c r="G81" s="13">
        <v>1</v>
      </c>
      <c r="H81" s="13"/>
      <c r="I81" s="29">
        <v>0</v>
      </c>
      <c r="J81" s="47"/>
      <c r="K81" s="31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36" x14ac:dyDescent="0.3">
      <c r="A82" s="2" t="s">
        <v>130</v>
      </c>
      <c r="B82" s="7"/>
      <c r="C82" s="18" t="s">
        <v>25</v>
      </c>
      <c r="D82" s="12"/>
      <c r="E82" s="12"/>
      <c r="F82" s="15" t="s">
        <v>23</v>
      </c>
      <c r="G82" s="16">
        <v>0.2</v>
      </c>
      <c r="H82" s="16"/>
      <c r="I82" s="16">
        <v>0</v>
      </c>
      <c r="J82" s="4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ht="18" x14ac:dyDescent="0.3">
      <c r="A83" s="2" t="s">
        <v>131</v>
      </c>
      <c r="B83" s="7"/>
      <c r="C83" s="18" t="s">
        <v>31</v>
      </c>
      <c r="D83" s="12"/>
      <c r="E83" s="12"/>
      <c r="F83" s="15" t="s">
        <v>32</v>
      </c>
      <c r="G83" s="16">
        <v>1</v>
      </c>
      <c r="H83" s="17"/>
      <c r="I83" s="17">
        <v>0</v>
      </c>
      <c r="J83" s="17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ht="18" x14ac:dyDescent="0.3">
      <c r="A84" s="2" t="s">
        <v>132</v>
      </c>
      <c r="B84" s="7"/>
      <c r="C84" s="18" t="s">
        <v>59</v>
      </c>
      <c r="D84" s="12"/>
      <c r="E84" s="12"/>
      <c r="F84" s="15" t="s">
        <v>20</v>
      </c>
      <c r="G84" s="16">
        <v>1.1000000000000001</v>
      </c>
      <c r="H84" s="17"/>
      <c r="I84" s="17">
        <v>0</v>
      </c>
      <c r="J84" s="17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ht="18" x14ac:dyDescent="0.3">
      <c r="A85" s="2" t="s">
        <v>133</v>
      </c>
      <c r="B85" s="7"/>
      <c r="C85" s="18" t="s">
        <v>80</v>
      </c>
      <c r="D85" s="12"/>
      <c r="E85" s="12"/>
      <c r="F85" s="15" t="s">
        <v>23</v>
      </c>
      <c r="G85" s="16">
        <v>1.8</v>
      </c>
      <c r="H85" s="17"/>
      <c r="I85" s="17">
        <v>0</v>
      </c>
      <c r="J85" s="17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18.600000000000001" thickBot="1" x14ac:dyDescent="0.35">
      <c r="A86" s="2" t="s">
        <v>134</v>
      </c>
      <c r="B86" s="7"/>
      <c r="C86" s="18" t="s">
        <v>54</v>
      </c>
      <c r="D86" s="12"/>
      <c r="E86" s="12"/>
      <c r="F86" s="15" t="s">
        <v>55</v>
      </c>
      <c r="G86" s="16">
        <v>8</v>
      </c>
      <c r="H86" s="17"/>
      <c r="I86" s="17">
        <v>0</v>
      </c>
      <c r="J86" s="32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ht="36.6" thickBot="1" x14ac:dyDescent="0.35">
      <c r="A87" s="2" t="s">
        <v>135</v>
      </c>
      <c r="B87" s="7" t="s">
        <v>117</v>
      </c>
      <c r="C87" s="11" t="s">
        <v>128</v>
      </c>
      <c r="D87" s="12"/>
      <c r="E87" s="12" t="s">
        <v>136</v>
      </c>
      <c r="F87" s="12" t="s">
        <v>20</v>
      </c>
      <c r="G87" s="13">
        <v>1</v>
      </c>
      <c r="H87" s="13"/>
      <c r="I87" s="29">
        <v>0</v>
      </c>
      <c r="J87" s="47"/>
      <c r="K87" s="31"/>
      <c r="L87" s="10"/>
      <c r="M87" s="10"/>
      <c r="N87" s="10"/>
      <c r="O87" s="10"/>
      <c r="P87" s="10"/>
      <c r="Q87" s="10"/>
      <c r="R87" s="10"/>
      <c r="S87" s="10"/>
      <c r="T87" s="10"/>
    </row>
    <row r="88" spans="1:20" ht="18" x14ac:dyDescent="0.3">
      <c r="A88" s="2" t="s">
        <v>137</v>
      </c>
      <c r="B88" s="7"/>
      <c r="C88" s="18" t="s">
        <v>54</v>
      </c>
      <c r="D88" s="12"/>
      <c r="E88" s="12"/>
      <c r="F88" s="15" t="s">
        <v>55</v>
      </c>
      <c r="G88" s="16">
        <v>8</v>
      </c>
      <c r="H88" s="17"/>
      <c r="I88" s="17">
        <v>0</v>
      </c>
      <c r="J88" s="36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ht="18" x14ac:dyDescent="0.3">
      <c r="A89" s="2" t="s">
        <v>138</v>
      </c>
      <c r="B89" s="7"/>
      <c r="C89" s="18" t="s">
        <v>80</v>
      </c>
      <c r="D89" s="12"/>
      <c r="E89" s="12"/>
      <c r="F89" s="15" t="s">
        <v>23</v>
      </c>
      <c r="G89" s="16">
        <v>1.8</v>
      </c>
      <c r="H89" s="17"/>
      <c r="I89" s="17">
        <v>0</v>
      </c>
      <c r="J89" s="17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18" x14ac:dyDescent="0.3">
      <c r="A90" s="2" t="s">
        <v>139</v>
      </c>
      <c r="B90" s="7"/>
      <c r="C90" s="18" t="s">
        <v>59</v>
      </c>
      <c r="D90" s="12"/>
      <c r="E90" s="12"/>
      <c r="F90" s="15" t="s">
        <v>20</v>
      </c>
      <c r="G90" s="16">
        <v>1.1000000000000001</v>
      </c>
      <c r="H90" s="17"/>
      <c r="I90" s="17">
        <v>0</v>
      </c>
      <c r="J90" s="17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ht="18" x14ac:dyDescent="0.3">
      <c r="A91" s="2" t="s">
        <v>140</v>
      </c>
      <c r="B91" s="7"/>
      <c r="C91" s="18" t="s">
        <v>31</v>
      </c>
      <c r="D91" s="12"/>
      <c r="E91" s="12"/>
      <c r="F91" s="15" t="s">
        <v>32</v>
      </c>
      <c r="G91" s="16">
        <v>1</v>
      </c>
      <c r="H91" s="17"/>
      <c r="I91" s="17">
        <v>0</v>
      </c>
      <c r="J91" s="17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ht="36.6" thickBot="1" x14ac:dyDescent="0.35">
      <c r="A92" s="2" t="s">
        <v>141</v>
      </c>
      <c r="B92" s="7"/>
      <c r="C92" s="18" t="s">
        <v>25</v>
      </c>
      <c r="D92" s="12"/>
      <c r="E92" s="12"/>
      <c r="F92" s="15" t="s">
        <v>23</v>
      </c>
      <c r="G92" s="16">
        <v>0.2</v>
      </c>
      <c r="H92" s="16"/>
      <c r="I92" s="16">
        <v>0</v>
      </c>
      <c r="J92" s="34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ht="36.6" thickBot="1" x14ac:dyDescent="0.35">
      <c r="A93" s="2" t="s">
        <v>142</v>
      </c>
      <c r="B93" s="7" t="s">
        <v>117</v>
      </c>
      <c r="C93" s="19" t="s">
        <v>128</v>
      </c>
      <c r="D93" s="20"/>
      <c r="E93" s="20" t="s">
        <v>129</v>
      </c>
      <c r="F93" s="20" t="s">
        <v>20</v>
      </c>
      <c r="G93" s="21">
        <v>1</v>
      </c>
      <c r="H93" s="21"/>
      <c r="I93" s="60">
        <v>3586.9</v>
      </c>
      <c r="J93" s="47">
        <f>Таблица1[[#This Row],[Общее кол-во]]- SUM(Таблица1[[#This Row],[1.1-Пл]:[5.1-Нал]])</f>
        <v>-292.73</v>
      </c>
      <c r="K93" s="31"/>
      <c r="L93" s="10">
        <v>3879.63</v>
      </c>
      <c r="M93" s="10"/>
      <c r="N93" s="10"/>
      <c r="O93" s="10"/>
      <c r="P93" s="10"/>
      <c r="Q93" s="10"/>
      <c r="R93" s="10"/>
      <c r="S93" s="10"/>
      <c r="T93" s="10"/>
    </row>
    <row r="94" spans="1:20" ht="36" x14ac:dyDescent="0.3">
      <c r="A94" s="2" t="s">
        <v>143</v>
      </c>
      <c r="B94" s="7"/>
      <c r="C94" s="26" t="s">
        <v>25</v>
      </c>
      <c r="D94" s="20"/>
      <c r="E94" s="20"/>
      <c r="F94" s="23" t="s">
        <v>23</v>
      </c>
      <c r="G94" s="24">
        <v>0.2</v>
      </c>
      <c r="H94" s="24"/>
      <c r="I94" s="24">
        <v>717.38</v>
      </c>
      <c r="J94" s="41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ht="18" x14ac:dyDescent="0.3">
      <c r="A95" s="2" t="s">
        <v>144</v>
      </c>
      <c r="B95" s="7"/>
      <c r="C95" s="26" t="s">
        <v>31</v>
      </c>
      <c r="D95" s="20"/>
      <c r="E95" s="20"/>
      <c r="F95" s="23" t="s">
        <v>32</v>
      </c>
      <c r="G95" s="24">
        <v>1</v>
      </c>
      <c r="H95" s="25"/>
      <c r="I95" s="25">
        <v>1876</v>
      </c>
      <c r="J95" s="25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ht="18" x14ac:dyDescent="0.3">
      <c r="A96" s="2" t="s">
        <v>145</v>
      </c>
      <c r="B96" s="7"/>
      <c r="C96" s="26" t="s">
        <v>59</v>
      </c>
      <c r="D96" s="20"/>
      <c r="E96" s="20"/>
      <c r="F96" s="23" t="s">
        <v>20</v>
      </c>
      <c r="G96" s="24">
        <v>1.1000000000000001</v>
      </c>
      <c r="H96" s="25"/>
      <c r="I96" s="25">
        <v>3945.59</v>
      </c>
      <c r="J96" s="25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ht="18" x14ac:dyDescent="0.3">
      <c r="A97" s="2" t="s">
        <v>146</v>
      </c>
      <c r="B97" s="7"/>
      <c r="C97" s="26" t="s">
        <v>80</v>
      </c>
      <c r="D97" s="20"/>
      <c r="E97" s="20"/>
      <c r="F97" s="23" t="s">
        <v>23</v>
      </c>
      <c r="G97" s="24">
        <v>1.8</v>
      </c>
      <c r="H97" s="25"/>
      <c r="I97" s="25">
        <v>419667.3</v>
      </c>
      <c r="J97" s="25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ht="18.600000000000001" thickBot="1" x14ac:dyDescent="0.35">
      <c r="A98" s="2" t="s">
        <v>147</v>
      </c>
      <c r="B98" s="7"/>
      <c r="C98" s="26" t="s">
        <v>54</v>
      </c>
      <c r="D98" s="20"/>
      <c r="E98" s="20"/>
      <c r="F98" s="23" t="s">
        <v>55</v>
      </c>
      <c r="G98" s="24">
        <v>8</v>
      </c>
      <c r="H98" s="25"/>
      <c r="I98" s="25">
        <v>28695.200000000001</v>
      </c>
      <c r="J98" s="33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ht="36.6" thickBot="1" x14ac:dyDescent="0.35">
      <c r="A99" s="2" t="s">
        <v>148</v>
      </c>
      <c r="B99" s="7" t="s">
        <v>117</v>
      </c>
      <c r="C99" s="19" t="s">
        <v>128</v>
      </c>
      <c r="D99" s="20"/>
      <c r="E99" s="20" t="s">
        <v>136</v>
      </c>
      <c r="F99" s="61" t="s">
        <v>20</v>
      </c>
      <c r="G99" s="21">
        <v>1</v>
      </c>
      <c r="H99" s="21"/>
      <c r="I99" s="60">
        <v>4266.7</v>
      </c>
      <c r="J99" s="47">
        <f>Таблица1[[#This Row],[Общее кол-во]]- SUM(Таблица1[[#This Row],[1.1-Пл]:[5.1-Нал]])</f>
        <v>293.15000000000009</v>
      </c>
      <c r="K99" s="31">
        <v>627.35</v>
      </c>
      <c r="L99" s="10"/>
      <c r="M99" s="10">
        <v>3346.2</v>
      </c>
      <c r="N99" s="10"/>
      <c r="O99" s="10"/>
      <c r="P99" s="10"/>
      <c r="Q99" s="10"/>
      <c r="R99" s="10"/>
      <c r="S99" s="10"/>
      <c r="T99" s="10"/>
    </row>
    <row r="100" spans="1:20" ht="18" x14ac:dyDescent="0.3">
      <c r="A100" s="2" t="s">
        <v>149</v>
      </c>
      <c r="B100" s="7"/>
      <c r="C100" s="26" t="s">
        <v>54</v>
      </c>
      <c r="D100" s="20"/>
      <c r="E100" s="20"/>
      <c r="F100" s="23" t="s">
        <v>55</v>
      </c>
      <c r="G100" s="24">
        <v>8</v>
      </c>
      <c r="H100" s="25"/>
      <c r="I100" s="25">
        <v>34133.599999999999</v>
      </c>
      <c r="J100" s="37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ht="18" x14ac:dyDescent="0.3">
      <c r="A101" s="2" t="s">
        <v>150</v>
      </c>
      <c r="B101" s="7"/>
      <c r="C101" s="26" t="s">
        <v>80</v>
      </c>
      <c r="D101" s="20"/>
      <c r="E101" s="20"/>
      <c r="F101" s="23" t="s">
        <v>23</v>
      </c>
      <c r="G101" s="24">
        <v>1.8</v>
      </c>
      <c r="H101" s="25"/>
      <c r="I101" s="25">
        <v>499203.9</v>
      </c>
      <c r="J101" s="25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ht="18" x14ac:dyDescent="0.3">
      <c r="A102" s="2" t="s">
        <v>151</v>
      </c>
      <c r="B102" s="7"/>
      <c r="C102" s="26" t="s">
        <v>59</v>
      </c>
      <c r="D102" s="20"/>
      <c r="E102" s="20"/>
      <c r="F102" s="23" t="s">
        <v>20</v>
      </c>
      <c r="G102" s="24">
        <v>1.1000000000000001</v>
      </c>
      <c r="H102" s="25"/>
      <c r="I102" s="25">
        <v>4693.37</v>
      </c>
      <c r="J102" s="25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ht="18" x14ac:dyDescent="0.3">
      <c r="A103" s="2" t="s">
        <v>152</v>
      </c>
      <c r="B103" s="7"/>
      <c r="C103" s="26" t="s">
        <v>31</v>
      </c>
      <c r="D103" s="20"/>
      <c r="E103" s="20"/>
      <c r="F103" s="23" t="s">
        <v>32</v>
      </c>
      <c r="G103" s="24">
        <v>1</v>
      </c>
      <c r="H103" s="25"/>
      <c r="I103" s="25">
        <v>1872</v>
      </c>
      <c r="J103" s="25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ht="36.6" thickBot="1" x14ac:dyDescent="0.35">
      <c r="A104" s="2" t="s">
        <v>153</v>
      </c>
      <c r="B104" s="7"/>
      <c r="C104" s="26" t="s">
        <v>25</v>
      </c>
      <c r="D104" s="20"/>
      <c r="E104" s="20"/>
      <c r="F104" s="23" t="s">
        <v>23</v>
      </c>
      <c r="G104" s="24">
        <v>0.2</v>
      </c>
      <c r="H104" s="24"/>
      <c r="I104" s="24">
        <v>853.34</v>
      </c>
      <c r="J104" s="35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ht="16.95" customHeight="1" thickBot="1" x14ac:dyDescent="0.35">
      <c r="A105" s="2" t="s">
        <v>154</v>
      </c>
      <c r="B105" s="7" t="s">
        <v>155</v>
      </c>
      <c r="C105" s="9" t="s">
        <v>156</v>
      </c>
      <c r="D105" s="9"/>
      <c r="E105" s="9"/>
      <c r="F105" s="9"/>
      <c r="G105" s="9"/>
      <c r="H105" s="9"/>
      <c r="I105" s="28"/>
      <c r="J105" s="47"/>
      <c r="K105" s="31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54.6" thickBot="1" x14ac:dyDescent="0.35">
      <c r="A106" s="2" t="s">
        <v>157</v>
      </c>
      <c r="B106" s="7" t="s">
        <v>158</v>
      </c>
      <c r="C106" s="11" t="s">
        <v>159</v>
      </c>
      <c r="D106" s="12"/>
      <c r="E106" s="12" t="s">
        <v>19</v>
      </c>
      <c r="F106" s="12" t="s">
        <v>20</v>
      </c>
      <c r="G106" s="13">
        <v>1</v>
      </c>
      <c r="H106" s="13"/>
      <c r="I106" s="29">
        <v>0</v>
      </c>
      <c r="J106" s="46"/>
      <c r="K106" s="31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ht="18" x14ac:dyDescent="0.3">
      <c r="A107" s="2" t="s">
        <v>160</v>
      </c>
      <c r="B107" s="7"/>
      <c r="C107" s="18" t="s">
        <v>161</v>
      </c>
      <c r="D107" s="12"/>
      <c r="E107" s="12"/>
      <c r="F107" s="15" t="s">
        <v>23</v>
      </c>
      <c r="G107" s="16">
        <v>0.25</v>
      </c>
      <c r="H107" s="16"/>
      <c r="I107" s="16">
        <v>0</v>
      </c>
      <c r="J107" s="4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ht="36.6" thickBot="1" x14ac:dyDescent="0.35">
      <c r="A108" s="2" t="s">
        <v>162</v>
      </c>
      <c r="B108" s="7"/>
      <c r="C108" s="18" t="s">
        <v>163</v>
      </c>
      <c r="D108" s="12"/>
      <c r="E108" s="12"/>
      <c r="F108" s="15" t="s">
        <v>23</v>
      </c>
      <c r="G108" s="16">
        <v>2.5</v>
      </c>
      <c r="H108" s="16"/>
      <c r="I108" s="16">
        <v>0</v>
      </c>
      <c r="J108" s="34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ht="54.6" thickBot="1" x14ac:dyDescent="0.35">
      <c r="A109" s="2" t="s">
        <v>164</v>
      </c>
      <c r="B109" s="7" t="s">
        <v>158</v>
      </c>
      <c r="C109" s="11" t="s">
        <v>159</v>
      </c>
      <c r="D109" s="12"/>
      <c r="E109" s="12" t="s">
        <v>28</v>
      </c>
      <c r="F109" s="12" t="s">
        <v>20</v>
      </c>
      <c r="G109" s="13">
        <v>1</v>
      </c>
      <c r="H109" s="13"/>
      <c r="I109" s="29">
        <v>0</v>
      </c>
      <c r="J109" s="47"/>
      <c r="K109" s="31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ht="36" x14ac:dyDescent="0.3">
      <c r="A110" s="2" t="s">
        <v>165</v>
      </c>
      <c r="B110" s="7"/>
      <c r="C110" s="18" t="s">
        <v>163</v>
      </c>
      <c r="D110" s="12"/>
      <c r="E110" s="12"/>
      <c r="F110" s="15" t="s">
        <v>23</v>
      </c>
      <c r="G110" s="16">
        <v>2.5</v>
      </c>
      <c r="H110" s="16"/>
      <c r="I110" s="16">
        <v>0</v>
      </c>
      <c r="J110" s="4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ht="18.600000000000001" thickBot="1" x14ac:dyDescent="0.35">
      <c r="A111" s="2" t="s">
        <v>166</v>
      </c>
      <c r="B111" s="7"/>
      <c r="C111" s="18" t="s">
        <v>161</v>
      </c>
      <c r="D111" s="12"/>
      <c r="E111" s="12"/>
      <c r="F111" s="15" t="s">
        <v>23</v>
      </c>
      <c r="G111" s="16">
        <v>0.25</v>
      </c>
      <c r="H111" s="16"/>
      <c r="I111" s="16">
        <v>0</v>
      </c>
      <c r="J111" s="34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ht="54.6" thickBot="1" x14ac:dyDescent="0.35">
      <c r="A112" s="2" t="s">
        <v>167</v>
      </c>
      <c r="B112" s="7" t="s">
        <v>158</v>
      </c>
      <c r="C112" s="19" t="s">
        <v>159</v>
      </c>
      <c r="D112" s="20"/>
      <c r="E112" s="20" t="s">
        <v>19</v>
      </c>
      <c r="F112" s="20" t="s">
        <v>20</v>
      </c>
      <c r="G112" s="21">
        <v>1</v>
      </c>
      <c r="H112" s="21"/>
      <c r="I112" s="59">
        <v>236.7</v>
      </c>
      <c r="J112" s="47">
        <f>Таблица1[[#This Row],[Общее кол-во]]- SUM(Таблица1[[#This Row],[1.1-Пл]:[5.1-Нал]])</f>
        <v>152.5</v>
      </c>
      <c r="K112" s="31"/>
      <c r="L112" s="10"/>
      <c r="M112" s="10"/>
      <c r="N112" s="10"/>
      <c r="O112" s="80">
        <f>'4.1'!K3</f>
        <v>84.199999999999989</v>
      </c>
      <c r="P112" s="10"/>
      <c r="Q112" s="10"/>
      <c r="R112" s="10"/>
      <c r="S112" s="10"/>
      <c r="T112" s="10"/>
    </row>
    <row r="113" spans="1:20" ht="18" x14ac:dyDescent="0.3">
      <c r="A113" s="2" t="s">
        <v>168</v>
      </c>
      <c r="B113" s="7"/>
      <c r="C113" s="26" t="s">
        <v>161</v>
      </c>
      <c r="D113" s="20"/>
      <c r="E113" s="20"/>
      <c r="F113" s="23" t="s">
        <v>23</v>
      </c>
      <c r="G113" s="24">
        <v>0.25</v>
      </c>
      <c r="H113" s="24"/>
      <c r="I113" s="24">
        <v>59.174999999999997</v>
      </c>
      <c r="J113" s="41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36.6" thickBot="1" x14ac:dyDescent="0.35">
      <c r="A114" s="2" t="s">
        <v>169</v>
      </c>
      <c r="B114" s="7"/>
      <c r="C114" s="26" t="s">
        <v>163</v>
      </c>
      <c r="D114" s="20"/>
      <c r="E114" s="20"/>
      <c r="F114" s="23" t="s">
        <v>23</v>
      </c>
      <c r="G114" s="24">
        <v>2.5</v>
      </c>
      <c r="H114" s="24"/>
      <c r="I114" s="24">
        <v>591.75</v>
      </c>
      <c r="J114" s="35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ht="54.6" thickBot="1" x14ac:dyDescent="0.35">
      <c r="A115" s="2" t="s">
        <v>170</v>
      </c>
      <c r="B115" s="7" t="s">
        <v>158</v>
      </c>
      <c r="C115" s="19" t="s">
        <v>159</v>
      </c>
      <c r="D115" s="20"/>
      <c r="E115" s="20" t="s">
        <v>28</v>
      </c>
      <c r="F115" s="20" t="s">
        <v>20</v>
      </c>
      <c r="G115" s="21">
        <v>1</v>
      </c>
      <c r="H115" s="21"/>
      <c r="I115" s="59">
        <v>150.6</v>
      </c>
      <c r="J115" s="47">
        <f>Таблица1[[#This Row],[Общее кол-во]]- SUM(Таблица1[[#This Row],[1.1-Пл]:[5.1-Нал]])</f>
        <v>66.2</v>
      </c>
      <c r="K115" s="31"/>
      <c r="L115" s="10"/>
      <c r="M115" s="10"/>
      <c r="N115" s="10"/>
      <c r="O115" s="10"/>
      <c r="P115" s="80">
        <f>'4.2'!K3</f>
        <v>84.399999999999991</v>
      </c>
      <c r="Q115" s="10"/>
      <c r="R115" s="10"/>
      <c r="S115" s="10"/>
      <c r="T115" s="10"/>
    </row>
    <row r="116" spans="1:20" ht="36" x14ac:dyDescent="0.3">
      <c r="A116" s="2" t="s">
        <v>171</v>
      </c>
      <c r="B116" s="7"/>
      <c r="C116" s="26" t="s">
        <v>163</v>
      </c>
      <c r="D116" s="20"/>
      <c r="E116" s="20"/>
      <c r="F116" s="23" t="s">
        <v>23</v>
      </c>
      <c r="G116" s="24">
        <v>2.5</v>
      </c>
      <c r="H116" s="24"/>
      <c r="I116" s="24">
        <v>376.5</v>
      </c>
      <c r="J116" s="41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ht="18.600000000000001" thickBot="1" x14ac:dyDescent="0.35">
      <c r="A117" s="2" t="s">
        <v>172</v>
      </c>
      <c r="B117" s="7"/>
      <c r="C117" s="26" t="s">
        <v>161</v>
      </c>
      <c r="D117" s="20"/>
      <c r="E117" s="20"/>
      <c r="F117" s="23" t="s">
        <v>23</v>
      </c>
      <c r="G117" s="24">
        <v>0.25</v>
      </c>
      <c r="H117" s="24"/>
      <c r="I117" s="24">
        <v>37.65</v>
      </c>
      <c r="J117" s="35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ht="36.6" thickBot="1" x14ac:dyDescent="0.35">
      <c r="A118" s="2" t="s">
        <v>173</v>
      </c>
      <c r="B118" s="7" t="s">
        <v>174</v>
      </c>
      <c r="C118" s="11" t="s">
        <v>175</v>
      </c>
      <c r="D118" s="12"/>
      <c r="E118" s="12" t="s">
        <v>19</v>
      </c>
      <c r="F118" s="12" t="s">
        <v>20</v>
      </c>
      <c r="G118" s="13">
        <v>1</v>
      </c>
      <c r="H118" s="13"/>
      <c r="I118" s="29">
        <v>0</v>
      </c>
      <c r="J118" s="47"/>
      <c r="K118" s="31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ht="18.600000000000001" thickBot="1" x14ac:dyDescent="0.35">
      <c r="A119" s="2" t="s">
        <v>176</v>
      </c>
      <c r="B119" s="7"/>
      <c r="C119" s="18" t="s">
        <v>177</v>
      </c>
      <c r="D119" s="12"/>
      <c r="E119" s="12" t="s">
        <v>178</v>
      </c>
      <c r="F119" s="15" t="s">
        <v>20</v>
      </c>
      <c r="G119" s="16">
        <v>1.03</v>
      </c>
      <c r="H119" s="16"/>
      <c r="I119" s="16">
        <v>0</v>
      </c>
      <c r="J119" s="42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ht="36.6" thickBot="1" x14ac:dyDescent="0.35">
      <c r="A120" s="2" t="s">
        <v>179</v>
      </c>
      <c r="B120" s="7" t="s">
        <v>174</v>
      </c>
      <c r="C120" s="11" t="s">
        <v>175</v>
      </c>
      <c r="D120" s="12"/>
      <c r="E120" s="12" t="s">
        <v>28</v>
      </c>
      <c r="F120" s="12" t="s">
        <v>20</v>
      </c>
      <c r="G120" s="13">
        <v>1</v>
      </c>
      <c r="H120" s="13"/>
      <c r="I120" s="29">
        <v>0</v>
      </c>
      <c r="J120" s="47"/>
      <c r="K120" s="31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ht="18.600000000000001" thickBot="1" x14ac:dyDescent="0.35">
      <c r="A121" s="2" t="s">
        <v>180</v>
      </c>
      <c r="B121" s="7"/>
      <c r="C121" s="18" t="s">
        <v>177</v>
      </c>
      <c r="D121" s="12"/>
      <c r="E121" s="12" t="s">
        <v>181</v>
      </c>
      <c r="F121" s="15" t="s">
        <v>20</v>
      </c>
      <c r="G121" s="16">
        <v>1.03</v>
      </c>
      <c r="H121" s="16"/>
      <c r="I121" s="16">
        <v>0</v>
      </c>
      <c r="J121" s="42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ht="36.6" thickBot="1" x14ac:dyDescent="0.35">
      <c r="A122" s="2" t="s">
        <v>182</v>
      </c>
      <c r="B122" s="7" t="s">
        <v>174</v>
      </c>
      <c r="C122" s="19" t="s">
        <v>175</v>
      </c>
      <c r="D122" s="20"/>
      <c r="E122" s="20" t="s">
        <v>623</v>
      </c>
      <c r="F122" s="20" t="s">
        <v>20</v>
      </c>
      <c r="G122" s="21">
        <v>1</v>
      </c>
      <c r="H122" s="21"/>
      <c r="I122" s="59">
        <v>631.29999999999995</v>
      </c>
      <c r="J122" s="47">
        <f>Таблица1[[#This Row],[Общее кол-во]]- SUM(Таблица1[[#This Row],[1.1-Пл]:[5.1-Нал]])</f>
        <v>631.29999999999995</v>
      </c>
      <c r="K122" s="31"/>
      <c r="L122" s="10"/>
      <c r="M122" s="10"/>
      <c r="N122" s="10"/>
      <c r="O122" s="80"/>
      <c r="P122" s="10"/>
      <c r="Q122" s="10"/>
      <c r="R122" s="10"/>
      <c r="S122" s="10"/>
      <c r="T122" s="10"/>
    </row>
    <row r="123" spans="1:20" ht="18.600000000000001" thickBot="1" x14ac:dyDescent="0.35">
      <c r="A123" s="2" t="s">
        <v>183</v>
      </c>
      <c r="B123" s="7"/>
      <c r="C123" s="26" t="s">
        <v>177</v>
      </c>
      <c r="D123" s="20"/>
      <c r="E123" s="20" t="s">
        <v>178</v>
      </c>
      <c r="F123" s="23" t="s">
        <v>20</v>
      </c>
      <c r="G123" s="24">
        <v>1.03</v>
      </c>
      <c r="H123" s="24"/>
      <c r="I123" s="24">
        <v>650.23900000000003</v>
      </c>
      <c r="J123" s="43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ht="36.6" thickBot="1" x14ac:dyDescent="0.35">
      <c r="A124" s="2" t="s">
        <v>184</v>
      </c>
      <c r="B124" s="7" t="s">
        <v>174</v>
      </c>
      <c r="C124" s="19" t="s">
        <v>175</v>
      </c>
      <c r="D124" s="20"/>
      <c r="E124" s="20" t="s">
        <v>622</v>
      </c>
      <c r="F124" s="20" t="s">
        <v>20</v>
      </c>
      <c r="G124" s="21">
        <v>1</v>
      </c>
      <c r="H124" s="21"/>
      <c r="I124" s="59">
        <v>248.8</v>
      </c>
      <c r="J124" s="47">
        <f>Таблица1[[#This Row],[Общее кол-во]]- SUM(Таблица1[[#This Row],[1.1-Пл]:[5.1-Нал]])</f>
        <v>248.8</v>
      </c>
      <c r="K124" s="31"/>
      <c r="L124" s="10"/>
      <c r="M124" s="10"/>
      <c r="N124" s="10"/>
      <c r="O124" s="10"/>
      <c r="P124" s="80"/>
      <c r="Q124" s="10"/>
      <c r="R124" s="10"/>
      <c r="S124" s="10"/>
      <c r="T124" s="10"/>
    </row>
    <row r="125" spans="1:20" ht="18.600000000000001" thickBot="1" x14ac:dyDescent="0.35">
      <c r="A125" s="2" t="s">
        <v>185</v>
      </c>
      <c r="B125" s="7"/>
      <c r="C125" s="26" t="s">
        <v>177</v>
      </c>
      <c r="D125" s="20"/>
      <c r="E125" s="20" t="s">
        <v>178</v>
      </c>
      <c r="F125" s="23" t="s">
        <v>20</v>
      </c>
      <c r="G125" s="24">
        <v>1.03</v>
      </c>
      <c r="H125" s="24"/>
      <c r="I125" s="24">
        <v>256.26400000000001</v>
      </c>
      <c r="J125" s="43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ht="18.600000000000001" thickBot="1" x14ac:dyDescent="0.35">
      <c r="A126" s="2" t="s">
        <v>186</v>
      </c>
      <c r="B126" s="7" t="s">
        <v>187</v>
      </c>
      <c r="C126" s="11" t="s">
        <v>188</v>
      </c>
      <c r="D126" s="12"/>
      <c r="E126" s="12" t="s">
        <v>19</v>
      </c>
      <c r="F126" s="12" t="s">
        <v>44</v>
      </c>
      <c r="G126" s="13">
        <v>1</v>
      </c>
      <c r="H126" s="13"/>
      <c r="I126" s="29">
        <v>0</v>
      </c>
      <c r="J126" s="47"/>
      <c r="K126" s="31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ht="18.600000000000001" thickBot="1" x14ac:dyDescent="0.35">
      <c r="A127" s="2" t="s">
        <v>189</v>
      </c>
      <c r="B127" s="7"/>
      <c r="C127" s="18" t="s">
        <v>190</v>
      </c>
      <c r="D127" s="12"/>
      <c r="E127" s="12"/>
      <c r="F127" s="15" t="s">
        <v>44</v>
      </c>
      <c r="G127" s="16">
        <v>1.02</v>
      </c>
      <c r="H127" s="16"/>
      <c r="I127" s="16">
        <v>0</v>
      </c>
      <c r="J127" s="42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ht="36.6" thickBot="1" x14ac:dyDescent="0.35">
      <c r="A128" s="2" t="s">
        <v>191</v>
      </c>
      <c r="B128" s="7" t="s">
        <v>187</v>
      </c>
      <c r="C128" s="11" t="s">
        <v>188</v>
      </c>
      <c r="D128" s="12"/>
      <c r="E128" s="12" t="s">
        <v>192</v>
      </c>
      <c r="F128" s="12" t="s">
        <v>44</v>
      </c>
      <c r="G128" s="13">
        <v>1</v>
      </c>
      <c r="H128" s="13"/>
      <c r="I128" s="29">
        <v>0</v>
      </c>
      <c r="J128" s="47"/>
      <c r="K128" s="31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ht="18.600000000000001" thickBot="1" x14ac:dyDescent="0.35">
      <c r="A129" s="2" t="s">
        <v>193</v>
      </c>
      <c r="B129" s="7"/>
      <c r="C129" s="18" t="s">
        <v>190</v>
      </c>
      <c r="D129" s="12"/>
      <c r="E129" s="12"/>
      <c r="F129" s="15" t="s">
        <v>44</v>
      </c>
      <c r="G129" s="16">
        <v>1.02</v>
      </c>
      <c r="H129" s="16"/>
      <c r="I129" s="16">
        <v>0</v>
      </c>
      <c r="J129" s="42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ht="36.6" thickBot="1" x14ac:dyDescent="0.35">
      <c r="A130" s="2" t="s">
        <v>194</v>
      </c>
      <c r="B130" s="7" t="s">
        <v>187</v>
      </c>
      <c r="C130" s="19" t="s">
        <v>188</v>
      </c>
      <c r="D130" s="20"/>
      <c r="E130" s="20" t="s">
        <v>192</v>
      </c>
      <c r="F130" s="20" t="s">
        <v>44</v>
      </c>
      <c r="G130" s="21">
        <v>1</v>
      </c>
      <c r="H130" s="21"/>
      <c r="I130" s="30">
        <v>23.917999999999999</v>
      </c>
      <c r="J130" s="47"/>
      <c r="K130" s="31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ht="18.600000000000001" thickBot="1" x14ac:dyDescent="0.35">
      <c r="A131" s="2" t="s">
        <v>195</v>
      </c>
      <c r="B131" s="7"/>
      <c r="C131" s="26" t="s">
        <v>190</v>
      </c>
      <c r="D131" s="20"/>
      <c r="E131" s="20"/>
      <c r="F131" s="23" t="s">
        <v>44</v>
      </c>
      <c r="G131" s="24">
        <v>1.02</v>
      </c>
      <c r="H131" s="24"/>
      <c r="I131" s="24">
        <v>24.396000000000001</v>
      </c>
      <c r="J131" s="43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ht="18.600000000000001" thickBot="1" x14ac:dyDescent="0.35">
      <c r="A132" s="2" t="s">
        <v>196</v>
      </c>
      <c r="B132" s="7" t="s">
        <v>197</v>
      </c>
      <c r="C132" s="19" t="s">
        <v>198</v>
      </c>
      <c r="D132" s="20"/>
      <c r="E132" s="20" t="s">
        <v>199</v>
      </c>
      <c r="F132" s="20" t="s">
        <v>32</v>
      </c>
      <c r="G132" s="21">
        <v>1</v>
      </c>
      <c r="H132" s="21"/>
      <c r="I132" s="30">
        <v>59.5</v>
      </c>
      <c r="J132" s="47"/>
      <c r="K132" s="31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ht="90.6" thickBot="1" x14ac:dyDescent="0.35">
      <c r="A133" s="2" t="s">
        <v>200</v>
      </c>
      <c r="B133" s="7"/>
      <c r="C133" s="26" t="s">
        <v>201</v>
      </c>
      <c r="D133" s="20"/>
      <c r="E133" s="20" t="s">
        <v>202</v>
      </c>
      <c r="F133" s="23" t="s">
        <v>32</v>
      </c>
      <c r="G133" s="24">
        <v>1</v>
      </c>
      <c r="H133" s="25"/>
      <c r="I133" s="25">
        <v>59.5</v>
      </c>
      <c r="J133" s="39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18.600000000000001" thickBot="1" x14ac:dyDescent="0.35">
      <c r="A134" s="2" t="s">
        <v>203</v>
      </c>
      <c r="B134" s="7" t="s">
        <v>197</v>
      </c>
      <c r="C134" s="19" t="s">
        <v>198</v>
      </c>
      <c r="D134" s="20"/>
      <c r="E134" s="20" t="s">
        <v>204</v>
      </c>
      <c r="F134" s="20" t="s">
        <v>32</v>
      </c>
      <c r="G134" s="21">
        <v>1</v>
      </c>
      <c r="H134" s="21"/>
      <c r="I134" s="30">
        <v>2.6</v>
      </c>
      <c r="J134" s="47"/>
      <c r="K134" s="31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ht="90.6" thickBot="1" x14ac:dyDescent="0.35">
      <c r="A135" s="2" t="s">
        <v>205</v>
      </c>
      <c r="B135" s="7"/>
      <c r="C135" s="26" t="s">
        <v>201</v>
      </c>
      <c r="D135" s="20"/>
      <c r="E135" s="20" t="s">
        <v>206</v>
      </c>
      <c r="F135" s="23" t="s">
        <v>32</v>
      </c>
      <c r="G135" s="24">
        <v>1</v>
      </c>
      <c r="H135" s="25"/>
      <c r="I135" s="25">
        <v>2.6</v>
      </c>
      <c r="J135" s="39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ht="36.6" thickBot="1" x14ac:dyDescent="0.35">
      <c r="A136" s="2" t="s">
        <v>207</v>
      </c>
      <c r="B136" s="7" t="s">
        <v>197</v>
      </c>
      <c r="C136" s="19" t="s">
        <v>198</v>
      </c>
      <c r="D136" s="20"/>
      <c r="E136" s="20" t="s">
        <v>208</v>
      </c>
      <c r="F136" s="20" t="s">
        <v>32</v>
      </c>
      <c r="G136" s="21">
        <v>1</v>
      </c>
      <c r="H136" s="21"/>
      <c r="I136" s="30">
        <v>58.8</v>
      </c>
      <c r="J136" s="47"/>
      <c r="K136" s="31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ht="90.6" thickBot="1" x14ac:dyDescent="0.35">
      <c r="A137" s="2" t="s">
        <v>209</v>
      </c>
      <c r="B137" s="7"/>
      <c r="C137" s="26" t="s">
        <v>201</v>
      </c>
      <c r="D137" s="20"/>
      <c r="E137" s="20" t="s">
        <v>210</v>
      </c>
      <c r="F137" s="23" t="s">
        <v>32</v>
      </c>
      <c r="G137" s="24">
        <v>1</v>
      </c>
      <c r="H137" s="25"/>
      <c r="I137" s="25">
        <v>58.8</v>
      </c>
      <c r="J137" s="39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ht="36.6" thickBot="1" x14ac:dyDescent="0.35">
      <c r="A138" s="2" t="s">
        <v>211</v>
      </c>
      <c r="B138" s="7" t="s">
        <v>197</v>
      </c>
      <c r="C138" s="19" t="s">
        <v>198</v>
      </c>
      <c r="D138" s="20"/>
      <c r="E138" s="20" t="s">
        <v>212</v>
      </c>
      <c r="F138" s="20" t="s">
        <v>32</v>
      </c>
      <c r="G138" s="21">
        <v>1</v>
      </c>
      <c r="H138" s="21"/>
      <c r="I138" s="30">
        <v>22.1</v>
      </c>
      <c r="J138" s="47"/>
      <c r="K138" s="31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ht="90.6" thickBot="1" x14ac:dyDescent="0.35">
      <c r="A139" s="2" t="s">
        <v>213</v>
      </c>
      <c r="B139" s="7"/>
      <c r="C139" s="26" t="s">
        <v>201</v>
      </c>
      <c r="D139" s="20"/>
      <c r="E139" s="20" t="s">
        <v>214</v>
      </c>
      <c r="F139" s="23" t="s">
        <v>32</v>
      </c>
      <c r="G139" s="24">
        <v>1</v>
      </c>
      <c r="H139" s="25"/>
      <c r="I139" s="25">
        <v>22.1</v>
      </c>
      <c r="J139" s="39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ht="18.600000000000001" thickBot="1" x14ac:dyDescent="0.35">
      <c r="A140" s="2" t="s">
        <v>215</v>
      </c>
      <c r="B140" s="7" t="s">
        <v>197</v>
      </c>
      <c r="C140" s="19" t="s">
        <v>198</v>
      </c>
      <c r="D140" s="20"/>
      <c r="E140" s="20" t="s">
        <v>216</v>
      </c>
      <c r="F140" s="20" t="s">
        <v>32</v>
      </c>
      <c r="G140" s="21">
        <v>1</v>
      </c>
      <c r="H140" s="21"/>
      <c r="I140" s="30">
        <v>130</v>
      </c>
      <c r="J140" s="47"/>
      <c r="K140" s="31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ht="54.6" thickBot="1" x14ac:dyDescent="0.35">
      <c r="A141" s="2" t="s">
        <v>217</v>
      </c>
      <c r="B141" s="7"/>
      <c r="C141" s="26" t="s">
        <v>201</v>
      </c>
      <c r="D141" s="20"/>
      <c r="E141" s="20" t="s">
        <v>218</v>
      </c>
      <c r="F141" s="23" t="s">
        <v>32</v>
      </c>
      <c r="G141" s="24">
        <v>1</v>
      </c>
      <c r="H141" s="25"/>
      <c r="I141" s="25">
        <v>130</v>
      </c>
      <c r="J141" s="39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18.600000000000001" thickBot="1" x14ac:dyDescent="0.35">
      <c r="A142" s="2" t="s">
        <v>219</v>
      </c>
      <c r="B142" s="7" t="s">
        <v>197</v>
      </c>
      <c r="C142" s="19" t="s">
        <v>198</v>
      </c>
      <c r="D142" s="20"/>
      <c r="E142" s="20" t="s">
        <v>220</v>
      </c>
      <c r="F142" s="20" t="s">
        <v>32</v>
      </c>
      <c r="G142" s="21">
        <v>1</v>
      </c>
      <c r="H142" s="21"/>
      <c r="I142" s="30">
        <v>55.8</v>
      </c>
      <c r="J142" s="47"/>
      <c r="K142" s="31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72.599999999999994" thickBot="1" x14ac:dyDescent="0.35">
      <c r="A143" s="2" t="s">
        <v>221</v>
      </c>
      <c r="B143" s="7"/>
      <c r="C143" s="26" t="s">
        <v>201</v>
      </c>
      <c r="D143" s="20"/>
      <c r="E143" s="20" t="s">
        <v>222</v>
      </c>
      <c r="F143" s="23" t="s">
        <v>32</v>
      </c>
      <c r="G143" s="24">
        <v>1</v>
      </c>
      <c r="H143" s="25"/>
      <c r="I143" s="25">
        <v>55.8</v>
      </c>
      <c r="J143" s="39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16.95" customHeight="1" thickBot="1" x14ac:dyDescent="0.35">
      <c r="A144" s="2" t="s">
        <v>223</v>
      </c>
      <c r="B144" s="7" t="s">
        <v>224</v>
      </c>
      <c r="C144" s="9" t="s">
        <v>225</v>
      </c>
      <c r="D144" s="9"/>
      <c r="E144" s="9"/>
      <c r="F144" s="9"/>
      <c r="G144" s="9"/>
      <c r="H144" s="9"/>
      <c r="I144" s="28"/>
      <c r="J144" s="47"/>
      <c r="K144" s="31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ht="54.6" thickBot="1" x14ac:dyDescent="0.35">
      <c r="A145" s="2" t="s">
        <v>226</v>
      </c>
      <c r="B145" s="7" t="s">
        <v>227</v>
      </c>
      <c r="C145" s="11" t="s">
        <v>228</v>
      </c>
      <c r="D145" s="12"/>
      <c r="E145" s="12" t="s">
        <v>229</v>
      </c>
      <c r="F145" s="12" t="s">
        <v>20</v>
      </c>
      <c r="G145" s="13">
        <v>1</v>
      </c>
      <c r="H145" s="13"/>
      <c r="I145" s="29">
        <v>0</v>
      </c>
      <c r="J145" s="46"/>
      <c r="K145" s="31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ht="54" x14ac:dyDescent="0.3">
      <c r="A146" s="2" t="s">
        <v>230</v>
      </c>
      <c r="B146" s="7"/>
      <c r="C146" s="14" t="s">
        <v>231</v>
      </c>
      <c r="D146" s="12"/>
      <c r="E146" s="12" t="s">
        <v>232</v>
      </c>
      <c r="F146" s="15" t="s">
        <v>23</v>
      </c>
      <c r="G146" s="16">
        <v>1.2</v>
      </c>
      <c r="H146" s="17"/>
      <c r="I146" s="17">
        <v>0</v>
      </c>
      <c r="J146" s="36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ht="72" x14ac:dyDescent="0.3">
      <c r="A147" s="2" t="s">
        <v>233</v>
      </c>
      <c r="B147" s="7"/>
      <c r="C147" s="18" t="s">
        <v>234</v>
      </c>
      <c r="D147" s="12"/>
      <c r="E147" s="12" t="s">
        <v>235</v>
      </c>
      <c r="F147" s="15" t="s">
        <v>20</v>
      </c>
      <c r="G147" s="16">
        <v>1.07</v>
      </c>
      <c r="H147" s="17"/>
      <c r="I147" s="17">
        <v>0</v>
      </c>
      <c r="J147" s="17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ht="72" x14ac:dyDescent="0.3">
      <c r="A148" s="2" t="s">
        <v>236</v>
      </c>
      <c r="B148" s="7"/>
      <c r="C148" s="18" t="s">
        <v>237</v>
      </c>
      <c r="D148" s="12"/>
      <c r="E148" s="12" t="s">
        <v>238</v>
      </c>
      <c r="F148" s="15" t="s">
        <v>20</v>
      </c>
      <c r="G148" s="16">
        <v>1.07</v>
      </c>
      <c r="H148" s="17"/>
      <c r="I148" s="17">
        <v>0</v>
      </c>
      <c r="J148" s="17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ht="36" x14ac:dyDescent="0.3">
      <c r="A149" s="2" t="s">
        <v>239</v>
      </c>
      <c r="B149" s="7"/>
      <c r="C149" s="18" t="s">
        <v>240</v>
      </c>
      <c r="D149" s="12"/>
      <c r="E149" s="12"/>
      <c r="F149" s="15" t="s">
        <v>23</v>
      </c>
      <c r="G149" s="16">
        <v>0.25</v>
      </c>
      <c r="H149" s="17"/>
      <c r="I149" s="17">
        <v>0</v>
      </c>
      <c r="J149" s="17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ht="36.6" thickBot="1" x14ac:dyDescent="0.35">
      <c r="A150" s="2" t="s">
        <v>241</v>
      </c>
      <c r="B150" s="7"/>
      <c r="C150" s="18" t="s">
        <v>242</v>
      </c>
      <c r="D150" s="12"/>
      <c r="E150" s="12"/>
      <c r="F150" s="15" t="s">
        <v>23</v>
      </c>
      <c r="G150" s="16">
        <v>0.15</v>
      </c>
      <c r="H150" s="16"/>
      <c r="I150" s="16">
        <v>0</v>
      </c>
      <c r="J150" s="34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ht="18.600000000000001" thickBot="1" x14ac:dyDescent="0.35">
      <c r="A151" s="2" t="s">
        <v>243</v>
      </c>
      <c r="B151" s="7" t="s">
        <v>244</v>
      </c>
      <c r="C151" s="11" t="s">
        <v>245</v>
      </c>
      <c r="D151" s="12" t="s">
        <v>246</v>
      </c>
      <c r="E151" s="12" t="s">
        <v>19</v>
      </c>
      <c r="F151" s="12" t="s">
        <v>20</v>
      </c>
      <c r="G151" s="13">
        <v>1</v>
      </c>
      <c r="H151" s="13"/>
      <c r="I151" s="29">
        <v>0</v>
      </c>
      <c r="J151" s="47"/>
      <c r="K151" s="31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ht="54" x14ac:dyDescent="0.3">
      <c r="A152" s="2" t="s">
        <v>247</v>
      </c>
      <c r="B152" s="7"/>
      <c r="C152" s="18" t="s">
        <v>248</v>
      </c>
      <c r="D152" s="12"/>
      <c r="E152" s="12" t="s">
        <v>249</v>
      </c>
      <c r="F152" s="15" t="s">
        <v>23</v>
      </c>
      <c r="G152" s="16">
        <v>0.3</v>
      </c>
      <c r="H152" s="16"/>
      <c r="I152" s="16">
        <v>0</v>
      </c>
      <c r="J152" s="4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ht="36" x14ac:dyDescent="0.3">
      <c r="A153" s="2" t="s">
        <v>250</v>
      </c>
      <c r="B153" s="7"/>
      <c r="C153" s="18" t="s">
        <v>251</v>
      </c>
      <c r="D153" s="12"/>
      <c r="E153" s="12" t="s">
        <v>252</v>
      </c>
      <c r="F153" s="15" t="s">
        <v>23</v>
      </c>
      <c r="G153" s="16">
        <v>0.15</v>
      </c>
      <c r="H153" s="16"/>
      <c r="I153" s="16">
        <v>0</v>
      </c>
      <c r="J153" s="16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ht="72" x14ac:dyDescent="0.3">
      <c r="A154" s="2" t="s">
        <v>253</v>
      </c>
      <c r="B154" s="7"/>
      <c r="C154" s="14" t="s">
        <v>254</v>
      </c>
      <c r="D154" s="12"/>
      <c r="E154" s="12"/>
      <c r="F154" s="15" t="s">
        <v>32</v>
      </c>
      <c r="G154" s="16">
        <v>1</v>
      </c>
      <c r="H154" s="17"/>
      <c r="I154" s="17">
        <v>0</v>
      </c>
      <c r="J154" s="17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ht="54.6" thickBot="1" x14ac:dyDescent="0.35">
      <c r="A155" s="2" t="s">
        <v>255</v>
      </c>
      <c r="B155" s="7"/>
      <c r="C155" s="14" t="s">
        <v>256</v>
      </c>
      <c r="D155" s="12"/>
      <c r="E155" s="12"/>
      <c r="F155" s="15" t="s">
        <v>20</v>
      </c>
      <c r="G155" s="16">
        <v>1.1000000000000001</v>
      </c>
      <c r="H155" s="17"/>
      <c r="I155" s="17">
        <v>0</v>
      </c>
      <c r="J155" s="32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ht="18.600000000000001" thickBot="1" x14ac:dyDescent="0.35">
      <c r="A156" s="2" t="s">
        <v>257</v>
      </c>
      <c r="B156" s="7" t="s">
        <v>244</v>
      </c>
      <c r="C156" s="11" t="s">
        <v>245</v>
      </c>
      <c r="D156" s="12" t="s">
        <v>246</v>
      </c>
      <c r="E156" s="62" t="s">
        <v>624</v>
      </c>
      <c r="F156" s="12" t="s">
        <v>20</v>
      </c>
      <c r="G156" s="13">
        <v>1</v>
      </c>
      <c r="H156" s="13"/>
      <c r="I156" s="29">
        <v>543.1</v>
      </c>
      <c r="J156" s="47"/>
      <c r="K156" s="31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ht="54" x14ac:dyDescent="0.3">
      <c r="A157" s="2" t="s">
        <v>258</v>
      </c>
      <c r="B157" s="7"/>
      <c r="C157" s="14" t="s">
        <v>256</v>
      </c>
      <c r="D157" s="12"/>
      <c r="E157" s="12"/>
      <c r="F157" s="15" t="s">
        <v>20</v>
      </c>
      <c r="G157" s="16">
        <v>1.1000000000000001</v>
      </c>
      <c r="H157" s="17"/>
      <c r="I157" s="17">
        <v>597.41</v>
      </c>
      <c r="J157" s="36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ht="72" x14ac:dyDescent="0.3">
      <c r="A158" s="2" t="s">
        <v>259</v>
      </c>
      <c r="B158" s="7"/>
      <c r="C158" s="14" t="s">
        <v>254</v>
      </c>
      <c r="D158" s="12"/>
      <c r="E158" s="12"/>
      <c r="F158" s="15" t="s">
        <v>32</v>
      </c>
      <c r="G158" s="16">
        <v>1</v>
      </c>
      <c r="H158" s="17"/>
      <c r="I158" s="17">
        <v>253</v>
      </c>
      <c r="J158" s="17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ht="36" x14ac:dyDescent="0.3">
      <c r="A159" s="2" t="s">
        <v>260</v>
      </c>
      <c r="B159" s="7"/>
      <c r="C159" s="18" t="s">
        <v>251</v>
      </c>
      <c r="D159" s="12"/>
      <c r="E159" s="12" t="s">
        <v>261</v>
      </c>
      <c r="F159" s="15" t="s">
        <v>23</v>
      </c>
      <c r="G159" s="16">
        <v>0.15</v>
      </c>
      <c r="H159" s="16"/>
      <c r="I159" s="16">
        <v>81.465000000000003</v>
      </c>
      <c r="J159" s="16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ht="54.6" thickBot="1" x14ac:dyDescent="0.35">
      <c r="A160" s="2" t="s">
        <v>262</v>
      </c>
      <c r="B160" s="7"/>
      <c r="C160" s="18" t="s">
        <v>248</v>
      </c>
      <c r="D160" s="12"/>
      <c r="E160" s="12" t="s">
        <v>249</v>
      </c>
      <c r="F160" s="15" t="s">
        <v>23</v>
      </c>
      <c r="G160" s="16">
        <v>0.3</v>
      </c>
      <c r="H160" s="16"/>
      <c r="I160" s="16">
        <v>162.93</v>
      </c>
      <c r="J160" s="34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ht="18.600000000000001" thickBot="1" x14ac:dyDescent="0.35">
      <c r="A161" s="2" t="s">
        <v>263</v>
      </c>
      <c r="B161" s="7" t="s">
        <v>264</v>
      </c>
      <c r="C161" s="11" t="s">
        <v>265</v>
      </c>
      <c r="D161" s="12"/>
      <c r="E161" s="12" t="s">
        <v>266</v>
      </c>
      <c r="F161" s="12" t="s">
        <v>32</v>
      </c>
      <c r="G161" s="13">
        <v>1</v>
      </c>
      <c r="H161" s="13"/>
      <c r="I161" s="29">
        <v>0</v>
      </c>
      <c r="J161" s="47"/>
      <c r="K161" s="31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ht="36" x14ac:dyDescent="0.3">
      <c r="A162" s="2" t="s">
        <v>267</v>
      </c>
      <c r="B162" s="7"/>
      <c r="C162" s="18" t="s">
        <v>268</v>
      </c>
      <c r="D162" s="12"/>
      <c r="E162" s="12"/>
      <c r="F162" s="15" t="s">
        <v>32</v>
      </c>
      <c r="G162" s="16">
        <v>1.05</v>
      </c>
      <c r="H162" s="17"/>
      <c r="I162" s="17">
        <v>0</v>
      </c>
      <c r="J162" s="36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ht="54.6" thickBot="1" x14ac:dyDescent="0.35">
      <c r="A163" s="2" t="s">
        <v>269</v>
      </c>
      <c r="B163" s="7"/>
      <c r="C163" s="18" t="s">
        <v>270</v>
      </c>
      <c r="D163" s="12"/>
      <c r="E163" s="12" t="s">
        <v>271</v>
      </c>
      <c r="F163" s="15" t="s">
        <v>55</v>
      </c>
      <c r="G163" s="27">
        <v>0.09</v>
      </c>
      <c r="H163" s="16"/>
      <c r="I163" s="16">
        <v>0</v>
      </c>
      <c r="J163" s="34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ht="18.600000000000001" thickBot="1" x14ac:dyDescent="0.35">
      <c r="A164" s="2" t="s">
        <v>272</v>
      </c>
      <c r="B164" s="7" t="s">
        <v>264</v>
      </c>
      <c r="C164" s="11" t="s">
        <v>265</v>
      </c>
      <c r="D164" s="12"/>
      <c r="E164" s="12" t="s">
        <v>273</v>
      </c>
      <c r="F164" s="12" t="s">
        <v>32</v>
      </c>
      <c r="G164" s="13">
        <v>1</v>
      </c>
      <c r="H164" s="13"/>
      <c r="I164" s="29">
        <v>0</v>
      </c>
      <c r="J164" s="47"/>
      <c r="K164" s="31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ht="54" x14ac:dyDescent="0.3">
      <c r="A165" s="2" t="s">
        <v>274</v>
      </c>
      <c r="B165" s="7"/>
      <c r="C165" s="18" t="s">
        <v>270</v>
      </c>
      <c r="D165" s="12"/>
      <c r="E165" s="12" t="s">
        <v>271</v>
      </c>
      <c r="F165" s="15" t="s">
        <v>55</v>
      </c>
      <c r="G165" s="27">
        <v>0.09</v>
      </c>
      <c r="H165" s="16"/>
      <c r="I165" s="16">
        <v>0</v>
      </c>
      <c r="J165" s="4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ht="54" x14ac:dyDescent="0.3">
      <c r="A166" s="2" t="s">
        <v>275</v>
      </c>
      <c r="B166" s="7"/>
      <c r="C166" s="14" t="s">
        <v>268</v>
      </c>
      <c r="D166" s="12"/>
      <c r="E166" s="12" t="s">
        <v>276</v>
      </c>
      <c r="F166" s="15" t="s">
        <v>32</v>
      </c>
      <c r="G166" s="16">
        <v>1.05</v>
      </c>
      <c r="H166" s="17"/>
      <c r="I166" s="17">
        <v>0</v>
      </c>
      <c r="J166" s="17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ht="54.6" thickBot="1" x14ac:dyDescent="0.35">
      <c r="A167" s="2" t="s">
        <v>277</v>
      </c>
      <c r="B167" s="7"/>
      <c r="C167" s="14" t="s">
        <v>278</v>
      </c>
      <c r="D167" s="12"/>
      <c r="E167" s="12" t="s">
        <v>279</v>
      </c>
      <c r="F167" s="15" t="s">
        <v>32</v>
      </c>
      <c r="G167" s="16">
        <v>1.1000000000000001</v>
      </c>
      <c r="H167" s="17"/>
      <c r="I167" s="17">
        <v>0</v>
      </c>
      <c r="J167" s="32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ht="18.600000000000001" thickBot="1" x14ac:dyDescent="0.35">
      <c r="A168" s="2" t="s">
        <v>280</v>
      </c>
      <c r="B168" s="7" t="s">
        <v>264</v>
      </c>
      <c r="C168" s="11" t="s">
        <v>265</v>
      </c>
      <c r="D168" s="12"/>
      <c r="E168" s="12" t="s">
        <v>281</v>
      </c>
      <c r="F168" s="12" t="s">
        <v>32</v>
      </c>
      <c r="G168" s="13">
        <v>1</v>
      </c>
      <c r="H168" s="13"/>
      <c r="I168" s="29">
        <v>99.2</v>
      </c>
      <c r="J168" s="47"/>
      <c r="K168" s="31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ht="54" x14ac:dyDescent="0.3">
      <c r="A169" s="2" t="s">
        <v>282</v>
      </c>
      <c r="B169" s="7"/>
      <c r="C169" s="14" t="s">
        <v>278</v>
      </c>
      <c r="D169" s="12"/>
      <c r="E169" s="12" t="s">
        <v>279</v>
      </c>
      <c r="F169" s="15" t="s">
        <v>32</v>
      </c>
      <c r="G169" s="16">
        <v>1.1000000000000001</v>
      </c>
      <c r="H169" s="17"/>
      <c r="I169" s="17">
        <v>109.12</v>
      </c>
      <c r="J169" s="36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ht="54.6" thickBot="1" x14ac:dyDescent="0.35">
      <c r="A170" s="2" t="s">
        <v>283</v>
      </c>
      <c r="B170" s="7"/>
      <c r="C170" s="18" t="s">
        <v>270</v>
      </c>
      <c r="D170" s="12"/>
      <c r="E170" s="12" t="s">
        <v>271</v>
      </c>
      <c r="F170" s="15" t="s">
        <v>55</v>
      </c>
      <c r="G170" s="27">
        <v>0.09</v>
      </c>
      <c r="H170" s="16"/>
      <c r="I170" s="16">
        <v>8.9280000000000008</v>
      </c>
      <c r="J170" s="34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8.600000000000001" thickBot="1" x14ac:dyDescent="0.35">
      <c r="A171" s="2" t="s">
        <v>284</v>
      </c>
      <c r="B171" s="7" t="s">
        <v>264</v>
      </c>
      <c r="C171" s="11" t="s">
        <v>265</v>
      </c>
      <c r="D171" s="12"/>
      <c r="E171" s="12" t="s">
        <v>285</v>
      </c>
      <c r="F171" s="12" t="s">
        <v>32</v>
      </c>
      <c r="G171" s="13">
        <v>1</v>
      </c>
      <c r="H171" s="13"/>
      <c r="I171" s="29">
        <v>96</v>
      </c>
      <c r="J171" s="47"/>
      <c r="K171" s="31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54" x14ac:dyDescent="0.3">
      <c r="A172" s="2" t="s">
        <v>286</v>
      </c>
      <c r="B172" s="7"/>
      <c r="C172" s="18" t="s">
        <v>270</v>
      </c>
      <c r="D172" s="12"/>
      <c r="E172" s="12" t="s">
        <v>271</v>
      </c>
      <c r="F172" s="15" t="s">
        <v>55</v>
      </c>
      <c r="G172" s="27">
        <v>0.09</v>
      </c>
      <c r="H172" s="16"/>
      <c r="I172" s="16">
        <v>8.64</v>
      </c>
      <c r="J172" s="4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ht="54.6" thickBot="1" x14ac:dyDescent="0.35">
      <c r="A173" s="2" t="s">
        <v>287</v>
      </c>
      <c r="B173" s="7"/>
      <c r="C173" s="14" t="s">
        <v>268</v>
      </c>
      <c r="D173" s="12"/>
      <c r="E173" s="12" t="s">
        <v>276</v>
      </c>
      <c r="F173" s="15" t="s">
        <v>32</v>
      </c>
      <c r="G173" s="16">
        <v>1.05</v>
      </c>
      <c r="H173" s="17"/>
      <c r="I173" s="17">
        <v>100.8</v>
      </c>
      <c r="J173" s="32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ht="54.6" thickBot="1" x14ac:dyDescent="0.35">
      <c r="A174" s="2" t="s">
        <v>288</v>
      </c>
      <c r="B174" s="7" t="s">
        <v>289</v>
      </c>
      <c r="C174" s="11" t="s">
        <v>290</v>
      </c>
      <c r="D174" s="12"/>
      <c r="E174" s="12" t="s">
        <v>291</v>
      </c>
      <c r="F174" s="12" t="s">
        <v>32</v>
      </c>
      <c r="G174" s="13">
        <v>1</v>
      </c>
      <c r="H174" s="13"/>
      <c r="I174" s="29">
        <v>0</v>
      </c>
      <c r="J174" s="47"/>
      <c r="K174" s="31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ht="72" x14ac:dyDescent="0.3">
      <c r="A175" s="2" t="s">
        <v>292</v>
      </c>
      <c r="B175" s="7"/>
      <c r="C175" s="14" t="s">
        <v>293</v>
      </c>
      <c r="D175" s="12"/>
      <c r="E175" s="12" t="s">
        <v>294</v>
      </c>
      <c r="F175" s="15" t="s">
        <v>20</v>
      </c>
      <c r="G175" s="16">
        <v>0.11</v>
      </c>
      <c r="H175" s="16"/>
      <c r="I175" s="16">
        <v>0</v>
      </c>
      <c r="J175" s="4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18" x14ac:dyDescent="0.3">
      <c r="A176" s="2" t="s">
        <v>295</v>
      </c>
      <c r="B176" s="7"/>
      <c r="C176" s="18" t="s">
        <v>240</v>
      </c>
      <c r="D176" s="12"/>
      <c r="E176" s="12"/>
      <c r="F176" s="15" t="s">
        <v>23</v>
      </c>
      <c r="G176" s="16">
        <v>0.04</v>
      </c>
      <c r="H176" s="16"/>
      <c r="I176" s="16">
        <v>0</v>
      </c>
      <c r="J176" s="16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ht="36.6" thickBot="1" x14ac:dyDescent="0.35">
      <c r="A177" s="2" t="s">
        <v>296</v>
      </c>
      <c r="B177" s="7"/>
      <c r="C177" s="18" t="s">
        <v>242</v>
      </c>
      <c r="D177" s="12"/>
      <c r="E177" s="12"/>
      <c r="F177" s="15" t="s">
        <v>23</v>
      </c>
      <c r="G177" s="16">
        <v>1.4999999999999999E-2</v>
      </c>
      <c r="H177" s="16"/>
      <c r="I177" s="16">
        <v>0</v>
      </c>
      <c r="J177" s="34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ht="36.6" thickBot="1" x14ac:dyDescent="0.35">
      <c r="A178" s="2" t="s">
        <v>297</v>
      </c>
      <c r="B178" s="7" t="s">
        <v>298</v>
      </c>
      <c r="C178" s="11" t="s">
        <v>299</v>
      </c>
      <c r="D178" s="12"/>
      <c r="E178" s="12" t="s">
        <v>300</v>
      </c>
      <c r="F178" s="12" t="s">
        <v>32</v>
      </c>
      <c r="G178" s="13">
        <v>1</v>
      </c>
      <c r="H178" s="13"/>
      <c r="I178" s="29">
        <v>0</v>
      </c>
      <c r="J178" s="47"/>
      <c r="K178" s="31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ht="54" x14ac:dyDescent="0.3">
      <c r="A179" s="2" t="s">
        <v>301</v>
      </c>
      <c r="B179" s="7"/>
      <c r="C179" s="18" t="s">
        <v>302</v>
      </c>
      <c r="D179" s="12"/>
      <c r="E179" s="12" t="s">
        <v>303</v>
      </c>
      <c r="F179" s="15" t="s">
        <v>32</v>
      </c>
      <c r="G179" s="16">
        <v>1</v>
      </c>
      <c r="H179" s="17"/>
      <c r="I179" s="17">
        <v>0</v>
      </c>
      <c r="J179" s="36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54.6" thickBot="1" x14ac:dyDescent="0.35">
      <c r="A180" s="2" t="s">
        <v>304</v>
      </c>
      <c r="B180" s="7"/>
      <c r="C180" s="18" t="s">
        <v>270</v>
      </c>
      <c r="D180" s="12"/>
      <c r="E180" s="12" t="s">
        <v>271</v>
      </c>
      <c r="F180" s="15" t="s">
        <v>55</v>
      </c>
      <c r="G180" s="16">
        <v>0.09</v>
      </c>
      <c r="H180" s="17"/>
      <c r="I180" s="17">
        <v>0</v>
      </c>
      <c r="J180" s="32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36.6" thickBot="1" x14ac:dyDescent="0.35">
      <c r="A181" s="2" t="s">
        <v>305</v>
      </c>
      <c r="B181" s="7" t="s">
        <v>306</v>
      </c>
      <c r="C181" s="11" t="s">
        <v>307</v>
      </c>
      <c r="D181" s="12"/>
      <c r="E181" s="12" t="s">
        <v>19</v>
      </c>
      <c r="F181" s="12" t="s">
        <v>20</v>
      </c>
      <c r="G181" s="13">
        <v>1</v>
      </c>
      <c r="H181" s="13"/>
      <c r="I181" s="29">
        <v>0</v>
      </c>
      <c r="J181" s="47"/>
      <c r="K181" s="31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ht="90" x14ac:dyDescent="0.3">
      <c r="A182" s="2" t="s">
        <v>308</v>
      </c>
      <c r="B182" s="7"/>
      <c r="C182" s="18" t="s">
        <v>309</v>
      </c>
      <c r="D182" s="12"/>
      <c r="E182" s="12" t="s">
        <v>310</v>
      </c>
      <c r="F182" s="15" t="s">
        <v>55</v>
      </c>
      <c r="G182" s="16">
        <v>1</v>
      </c>
      <c r="H182" s="17"/>
      <c r="I182" s="17">
        <v>0</v>
      </c>
      <c r="J182" s="36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ht="90.6" thickBot="1" x14ac:dyDescent="0.35">
      <c r="A183" s="2" t="s">
        <v>311</v>
      </c>
      <c r="B183" s="7"/>
      <c r="C183" s="18" t="s">
        <v>312</v>
      </c>
      <c r="D183" s="12"/>
      <c r="E183" s="12" t="s">
        <v>313</v>
      </c>
      <c r="F183" s="15" t="s">
        <v>20</v>
      </c>
      <c r="G183" s="16">
        <v>1.03</v>
      </c>
      <c r="H183" s="17"/>
      <c r="I183" s="17">
        <v>0</v>
      </c>
      <c r="J183" s="32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ht="36.6" thickBot="1" x14ac:dyDescent="0.35">
      <c r="A184" s="2" t="s">
        <v>314</v>
      </c>
      <c r="B184" s="7" t="s">
        <v>306</v>
      </c>
      <c r="C184" s="11" t="s">
        <v>307</v>
      </c>
      <c r="D184" s="12"/>
      <c r="E184" s="12" t="s">
        <v>28</v>
      </c>
      <c r="F184" s="12" t="s">
        <v>20</v>
      </c>
      <c r="G184" s="13">
        <v>1</v>
      </c>
      <c r="H184" s="13"/>
      <c r="I184" s="29">
        <v>0</v>
      </c>
      <c r="J184" s="47"/>
      <c r="K184" s="31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ht="90" x14ac:dyDescent="0.3">
      <c r="A185" s="2" t="s">
        <v>315</v>
      </c>
      <c r="B185" s="7"/>
      <c r="C185" s="18" t="s">
        <v>312</v>
      </c>
      <c r="D185" s="12"/>
      <c r="E185" s="12" t="s">
        <v>316</v>
      </c>
      <c r="F185" s="15" t="s">
        <v>20</v>
      </c>
      <c r="G185" s="16">
        <v>1.03</v>
      </c>
      <c r="H185" s="17"/>
      <c r="I185" s="17">
        <v>0</v>
      </c>
      <c r="J185" s="36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90.6" thickBot="1" x14ac:dyDescent="0.35">
      <c r="A186" s="2" t="s">
        <v>317</v>
      </c>
      <c r="B186" s="7"/>
      <c r="C186" s="18" t="s">
        <v>309</v>
      </c>
      <c r="D186" s="12"/>
      <c r="E186" s="12" t="s">
        <v>310</v>
      </c>
      <c r="F186" s="15" t="s">
        <v>55</v>
      </c>
      <c r="G186" s="16">
        <v>1</v>
      </c>
      <c r="H186" s="17"/>
      <c r="I186" s="17">
        <v>0</v>
      </c>
      <c r="J186" s="32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36.6" thickBot="1" x14ac:dyDescent="0.35">
      <c r="A187" s="2" t="s">
        <v>318</v>
      </c>
      <c r="B187" s="7" t="s">
        <v>306</v>
      </c>
      <c r="C187" s="19" t="s">
        <v>307</v>
      </c>
      <c r="D187" s="20"/>
      <c r="E187" s="20" t="s">
        <v>28</v>
      </c>
      <c r="F187" s="20" t="s">
        <v>20</v>
      </c>
      <c r="G187" s="21">
        <v>1</v>
      </c>
      <c r="H187" s="21"/>
      <c r="I187" s="30">
        <v>3665.1</v>
      </c>
      <c r="J187" s="47"/>
      <c r="K187" s="31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ht="36" x14ac:dyDescent="0.3">
      <c r="A188" s="2" t="s">
        <v>319</v>
      </c>
      <c r="B188" s="7"/>
      <c r="C188" s="26" t="s">
        <v>251</v>
      </c>
      <c r="D188" s="20"/>
      <c r="E188" s="20"/>
      <c r="F188" s="23" t="s">
        <v>23</v>
      </c>
      <c r="G188" s="24">
        <v>0.15</v>
      </c>
      <c r="H188" s="24"/>
      <c r="I188" s="24">
        <v>549.76499999999999</v>
      </c>
      <c r="J188" s="41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ht="90" x14ac:dyDescent="0.3">
      <c r="A189" s="2" t="s">
        <v>320</v>
      </c>
      <c r="B189" s="7"/>
      <c r="C189" s="26" t="s">
        <v>309</v>
      </c>
      <c r="D189" s="20"/>
      <c r="E189" s="20" t="s">
        <v>310</v>
      </c>
      <c r="F189" s="23" t="s">
        <v>55</v>
      </c>
      <c r="G189" s="24">
        <v>1</v>
      </c>
      <c r="H189" s="25"/>
      <c r="I189" s="25">
        <v>433</v>
      </c>
      <c r="J189" s="25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ht="90.6" thickBot="1" x14ac:dyDescent="0.35">
      <c r="A190" s="2" t="s">
        <v>321</v>
      </c>
      <c r="B190" s="7"/>
      <c r="C190" s="63" t="s">
        <v>312</v>
      </c>
      <c r="D190" s="20"/>
      <c r="E190" s="61" t="s">
        <v>316</v>
      </c>
      <c r="F190" s="23" t="s">
        <v>20</v>
      </c>
      <c r="G190" s="24">
        <v>1.03</v>
      </c>
      <c r="H190" s="25"/>
      <c r="I190" s="25">
        <v>3775.0529999999999</v>
      </c>
      <c r="J190" s="33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36.6" thickBot="1" x14ac:dyDescent="0.35">
      <c r="A191" s="2" t="s">
        <v>322</v>
      </c>
      <c r="B191" s="7" t="s">
        <v>306</v>
      </c>
      <c r="C191" s="19" t="s">
        <v>307</v>
      </c>
      <c r="D191" s="20"/>
      <c r="E191" s="20" t="s">
        <v>19</v>
      </c>
      <c r="F191" s="20" t="s">
        <v>20</v>
      </c>
      <c r="G191" s="21">
        <v>1</v>
      </c>
      <c r="H191" s="21"/>
      <c r="I191" s="30">
        <v>3723.5</v>
      </c>
      <c r="J191" s="47"/>
      <c r="K191" s="31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ht="90" x14ac:dyDescent="0.3">
      <c r="A192" s="2" t="s">
        <v>323</v>
      </c>
      <c r="B192" s="7"/>
      <c r="C192" s="26" t="s">
        <v>312</v>
      </c>
      <c r="D192" s="20"/>
      <c r="E192" s="20" t="s">
        <v>316</v>
      </c>
      <c r="F192" s="23" t="s">
        <v>20</v>
      </c>
      <c r="G192" s="24">
        <v>1.03</v>
      </c>
      <c r="H192" s="25"/>
      <c r="I192" s="25">
        <v>3835.2049999999999</v>
      </c>
      <c r="J192" s="37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ht="90" x14ac:dyDescent="0.3">
      <c r="A193" s="2" t="s">
        <v>324</v>
      </c>
      <c r="B193" s="7"/>
      <c r="C193" s="26" t="s">
        <v>309</v>
      </c>
      <c r="D193" s="20"/>
      <c r="E193" s="20" t="s">
        <v>310</v>
      </c>
      <c r="F193" s="23" t="s">
        <v>55</v>
      </c>
      <c r="G193" s="24">
        <v>1</v>
      </c>
      <c r="H193" s="25"/>
      <c r="I193" s="25">
        <v>440</v>
      </c>
      <c r="J193" s="25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ht="36.6" thickBot="1" x14ac:dyDescent="0.35">
      <c r="A194" s="2" t="s">
        <v>325</v>
      </c>
      <c r="B194" s="7"/>
      <c r="C194" s="26" t="s">
        <v>251</v>
      </c>
      <c r="D194" s="20"/>
      <c r="E194" s="20"/>
      <c r="F194" s="23" t="s">
        <v>23</v>
      </c>
      <c r="G194" s="24">
        <v>0.15</v>
      </c>
      <c r="H194" s="24"/>
      <c r="I194" s="24">
        <v>558.52499999999998</v>
      </c>
      <c r="J194" s="35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ht="36.6" thickBot="1" x14ac:dyDescent="0.35">
      <c r="A195" s="2" t="s">
        <v>326</v>
      </c>
      <c r="B195" s="7" t="s">
        <v>327</v>
      </c>
      <c r="C195" s="11" t="s">
        <v>328</v>
      </c>
      <c r="D195" s="12"/>
      <c r="E195" s="12" t="s">
        <v>329</v>
      </c>
      <c r="F195" s="12" t="s">
        <v>32</v>
      </c>
      <c r="G195" s="13">
        <v>1</v>
      </c>
      <c r="H195" s="13"/>
      <c r="I195" s="29">
        <v>0</v>
      </c>
      <c r="J195" s="47"/>
      <c r="K195" s="31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ht="72.599999999999994" thickBot="1" x14ac:dyDescent="0.35">
      <c r="A196" s="2" t="s">
        <v>330</v>
      </c>
      <c r="B196" s="7"/>
      <c r="C196" s="18" t="s">
        <v>331</v>
      </c>
      <c r="D196" s="12"/>
      <c r="E196" s="12"/>
      <c r="F196" s="15" t="s">
        <v>32</v>
      </c>
      <c r="G196" s="16">
        <v>1.1000000000000001</v>
      </c>
      <c r="H196" s="17"/>
      <c r="I196" s="17">
        <v>0</v>
      </c>
      <c r="J196" s="38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ht="36.6" thickBot="1" x14ac:dyDescent="0.35">
      <c r="A197" s="2" t="s">
        <v>332</v>
      </c>
      <c r="B197" s="7" t="s">
        <v>327</v>
      </c>
      <c r="C197" s="11" t="s">
        <v>328</v>
      </c>
      <c r="D197" s="12"/>
      <c r="E197" s="12" t="s">
        <v>300</v>
      </c>
      <c r="F197" s="12" t="s">
        <v>32</v>
      </c>
      <c r="G197" s="13">
        <v>1</v>
      </c>
      <c r="H197" s="13"/>
      <c r="I197" s="29">
        <v>0</v>
      </c>
      <c r="J197" s="47"/>
      <c r="K197" s="31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ht="72.599999999999994" thickBot="1" x14ac:dyDescent="0.35">
      <c r="A198" s="2" t="s">
        <v>333</v>
      </c>
      <c r="B198" s="7"/>
      <c r="C198" s="18" t="s">
        <v>331</v>
      </c>
      <c r="D198" s="12"/>
      <c r="E198" s="12"/>
      <c r="F198" s="15" t="s">
        <v>32</v>
      </c>
      <c r="G198" s="16">
        <v>1.1000000000000001</v>
      </c>
      <c r="H198" s="17"/>
      <c r="I198" s="17">
        <v>0</v>
      </c>
      <c r="J198" s="38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36.6" thickBot="1" x14ac:dyDescent="0.35">
      <c r="A199" s="2" t="s">
        <v>334</v>
      </c>
      <c r="B199" s="7" t="s">
        <v>327</v>
      </c>
      <c r="C199" s="19" t="s">
        <v>328</v>
      </c>
      <c r="D199" s="20"/>
      <c r="E199" s="20" t="s">
        <v>329</v>
      </c>
      <c r="F199" s="20" t="s">
        <v>32</v>
      </c>
      <c r="G199" s="21">
        <v>1</v>
      </c>
      <c r="H199" s="21"/>
      <c r="I199" s="30">
        <v>1624.5</v>
      </c>
      <c r="J199" s="47"/>
      <c r="K199" s="31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72.599999999999994" thickBot="1" x14ac:dyDescent="0.35">
      <c r="A200" s="2" t="s">
        <v>335</v>
      </c>
      <c r="B200" s="7"/>
      <c r="C200" s="26" t="s">
        <v>331</v>
      </c>
      <c r="D200" s="20"/>
      <c r="E200" s="20"/>
      <c r="F200" s="23" t="s">
        <v>32</v>
      </c>
      <c r="G200" s="24">
        <v>1.1000000000000001</v>
      </c>
      <c r="H200" s="25"/>
      <c r="I200" s="25">
        <v>1786.95</v>
      </c>
      <c r="J200" s="39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ht="36.6" thickBot="1" x14ac:dyDescent="0.35">
      <c r="A201" s="2" t="s">
        <v>336</v>
      </c>
      <c r="B201" s="7" t="s">
        <v>327</v>
      </c>
      <c r="C201" s="19" t="s">
        <v>328</v>
      </c>
      <c r="D201" s="20"/>
      <c r="E201" s="20" t="s">
        <v>300</v>
      </c>
      <c r="F201" s="20" t="s">
        <v>32</v>
      </c>
      <c r="G201" s="21">
        <v>1</v>
      </c>
      <c r="H201" s="21"/>
      <c r="I201" s="30">
        <v>1764.7</v>
      </c>
      <c r="J201" s="47"/>
      <c r="K201" s="31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72.599999999999994" thickBot="1" x14ac:dyDescent="0.35">
      <c r="A202" s="2" t="s">
        <v>337</v>
      </c>
      <c r="B202" s="7"/>
      <c r="C202" s="26" t="s">
        <v>331</v>
      </c>
      <c r="D202" s="20"/>
      <c r="E202" s="20"/>
      <c r="F202" s="23" t="s">
        <v>32</v>
      </c>
      <c r="G202" s="24">
        <v>1.1000000000000001</v>
      </c>
      <c r="H202" s="25"/>
      <c r="I202" s="25">
        <v>1941.17</v>
      </c>
      <c r="J202" s="39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36.6" thickBot="1" x14ac:dyDescent="0.35">
      <c r="A203" s="2" t="s">
        <v>338</v>
      </c>
      <c r="B203" s="7" t="s">
        <v>339</v>
      </c>
      <c r="C203" s="11" t="s">
        <v>340</v>
      </c>
      <c r="D203" s="12"/>
      <c r="E203" s="12" t="s">
        <v>28</v>
      </c>
      <c r="F203" s="12" t="s">
        <v>32</v>
      </c>
      <c r="G203" s="13">
        <v>1</v>
      </c>
      <c r="H203" s="13"/>
      <c r="I203" s="29">
        <v>0</v>
      </c>
      <c r="J203" s="47"/>
      <c r="K203" s="31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54" x14ac:dyDescent="0.3">
      <c r="A204" s="2" t="s">
        <v>341</v>
      </c>
      <c r="B204" s="7"/>
      <c r="C204" s="14" t="s">
        <v>342</v>
      </c>
      <c r="D204" s="12"/>
      <c r="E204" s="12" t="s">
        <v>232</v>
      </c>
      <c r="F204" s="15" t="s">
        <v>23</v>
      </c>
      <c r="G204" s="16">
        <v>0.7</v>
      </c>
      <c r="H204" s="17"/>
      <c r="I204" s="17">
        <v>0</v>
      </c>
      <c r="J204" s="36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ht="72" x14ac:dyDescent="0.3">
      <c r="A205" s="2" t="s">
        <v>343</v>
      </c>
      <c r="B205" s="7"/>
      <c r="C205" s="18" t="s">
        <v>344</v>
      </c>
      <c r="D205" s="12"/>
      <c r="E205" s="12" t="s">
        <v>345</v>
      </c>
      <c r="F205" s="15" t="s">
        <v>55</v>
      </c>
      <c r="G205" s="16">
        <v>1.84</v>
      </c>
      <c r="H205" s="17"/>
      <c r="I205" s="17">
        <v>0</v>
      </c>
      <c r="J205" s="17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54" x14ac:dyDescent="0.3">
      <c r="A206" s="2" t="s">
        <v>346</v>
      </c>
      <c r="B206" s="7"/>
      <c r="C206" s="18" t="s">
        <v>347</v>
      </c>
      <c r="D206" s="12"/>
      <c r="E206" s="12" t="s">
        <v>348</v>
      </c>
      <c r="F206" s="15" t="s">
        <v>23</v>
      </c>
      <c r="G206" s="16">
        <v>0.04</v>
      </c>
      <c r="H206" s="16"/>
      <c r="I206" s="16">
        <v>0</v>
      </c>
      <c r="J206" s="16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ht="36.6" thickBot="1" x14ac:dyDescent="0.35">
      <c r="A207" s="2" t="s">
        <v>349</v>
      </c>
      <c r="B207" s="7"/>
      <c r="C207" s="18" t="s">
        <v>242</v>
      </c>
      <c r="D207" s="12"/>
      <c r="E207" s="12"/>
      <c r="F207" s="15" t="s">
        <v>23</v>
      </c>
      <c r="G207" s="16">
        <v>1.4999999999999999E-2</v>
      </c>
      <c r="H207" s="16"/>
      <c r="I207" s="16">
        <v>0</v>
      </c>
      <c r="J207" s="34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ht="36.6" thickBot="1" x14ac:dyDescent="0.35">
      <c r="A208" s="2" t="s">
        <v>350</v>
      </c>
      <c r="B208" s="7" t="s">
        <v>339</v>
      </c>
      <c r="C208" s="11" t="s">
        <v>340</v>
      </c>
      <c r="D208" s="12"/>
      <c r="E208" s="12" t="s">
        <v>28</v>
      </c>
      <c r="F208" s="12" t="s">
        <v>32</v>
      </c>
      <c r="G208" s="13">
        <v>1</v>
      </c>
      <c r="H208" s="13"/>
      <c r="I208" s="29">
        <v>0</v>
      </c>
      <c r="J208" s="47"/>
      <c r="K208" s="31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36" x14ac:dyDescent="0.3">
      <c r="A209" s="2" t="s">
        <v>351</v>
      </c>
      <c r="B209" s="7"/>
      <c r="C209" s="18" t="s">
        <v>242</v>
      </c>
      <c r="D209" s="12"/>
      <c r="E209" s="12"/>
      <c r="F209" s="15" t="s">
        <v>23</v>
      </c>
      <c r="G209" s="16">
        <v>1.4999999999999999E-2</v>
      </c>
      <c r="H209" s="16"/>
      <c r="I209" s="16">
        <v>0</v>
      </c>
      <c r="J209" s="4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ht="18" x14ac:dyDescent="0.3">
      <c r="A210" s="2" t="s">
        <v>352</v>
      </c>
      <c r="B210" s="7"/>
      <c r="C210" s="18" t="s">
        <v>347</v>
      </c>
      <c r="D210" s="12"/>
      <c r="E210" s="12"/>
      <c r="F210" s="15" t="s">
        <v>23</v>
      </c>
      <c r="G210" s="16">
        <v>0.04</v>
      </c>
      <c r="H210" s="16"/>
      <c r="I210" s="16">
        <v>0</v>
      </c>
      <c r="J210" s="16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ht="72" x14ac:dyDescent="0.3">
      <c r="A211" s="2" t="s">
        <v>353</v>
      </c>
      <c r="B211" s="7"/>
      <c r="C211" s="14" t="s">
        <v>354</v>
      </c>
      <c r="D211" s="12"/>
      <c r="E211" s="12" t="s">
        <v>355</v>
      </c>
      <c r="F211" s="15" t="s">
        <v>20</v>
      </c>
      <c r="G211" s="16">
        <v>0.11</v>
      </c>
      <c r="H211" s="16"/>
      <c r="I211" s="16">
        <v>0</v>
      </c>
      <c r="J211" s="16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ht="54.6" thickBot="1" x14ac:dyDescent="0.35">
      <c r="A212" s="2" t="s">
        <v>356</v>
      </c>
      <c r="B212" s="7"/>
      <c r="C212" s="14" t="s">
        <v>342</v>
      </c>
      <c r="D212" s="12"/>
      <c r="E212" s="12" t="s">
        <v>232</v>
      </c>
      <c r="F212" s="15" t="s">
        <v>23</v>
      </c>
      <c r="G212" s="16">
        <v>0.7</v>
      </c>
      <c r="H212" s="17"/>
      <c r="I212" s="17">
        <v>0</v>
      </c>
      <c r="J212" s="32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ht="36.6" thickBot="1" x14ac:dyDescent="0.35">
      <c r="A213" s="2" t="s">
        <v>357</v>
      </c>
      <c r="B213" s="7" t="s">
        <v>339</v>
      </c>
      <c r="C213" s="11" t="s">
        <v>340</v>
      </c>
      <c r="D213" s="12"/>
      <c r="E213" s="12" t="s">
        <v>291</v>
      </c>
      <c r="F213" s="12" t="s">
        <v>32</v>
      </c>
      <c r="G213" s="13">
        <v>1</v>
      </c>
      <c r="H213" s="13"/>
      <c r="I213" s="29">
        <v>0</v>
      </c>
      <c r="J213" s="47"/>
      <c r="K213" s="31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ht="72" x14ac:dyDescent="0.3">
      <c r="A214" s="2" t="s">
        <v>358</v>
      </c>
      <c r="B214" s="7"/>
      <c r="C214" s="14" t="s">
        <v>342</v>
      </c>
      <c r="D214" s="12"/>
      <c r="E214" s="12" t="s">
        <v>359</v>
      </c>
      <c r="F214" s="15" t="s">
        <v>23</v>
      </c>
      <c r="G214" s="16">
        <v>0.7</v>
      </c>
      <c r="H214" s="17"/>
      <c r="I214" s="17">
        <v>0</v>
      </c>
      <c r="J214" s="36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ht="54" x14ac:dyDescent="0.3">
      <c r="A215" s="2" t="s">
        <v>360</v>
      </c>
      <c r="B215" s="7"/>
      <c r="C215" s="18" t="s">
        <v>344</v>
      </c>
      <c r="D215" s="12"/>
      <c r="E215" s="12" t="s">
        <v>361</v>
      </c>
      <c r="F215" s="15" t="s">
        <v>55</v>
      </c>
      <c r="G215" s="16">
        <v>1.84</v>
      </c>
      <c r="H215" s="17"/>
      <c r="I215" s="17">
        <v>0</v>
      </c>
      <c r="J215" s="17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54" x14ac:dyDescent="0.3">
      <c r="A216" s="2" t="s">
        <v>362</v>
      </c>
      <c r="B216" s="7"/>
      <c r="C216" s="18" t="s">
        <v>347</v>
      </c>
      <c r="D216" s="12"/>
      <c r="E216" s="12" t="s">
        <v>363</v>
      </c>
      <c r="F216" s="15" t="s">
        <v>23</v>
      </c>
      <c r="G216" s="16">
        <v>0.04</v>
      </c>
      <c r="H216" s="16"/>
      <c r="I216" s="16">
        <v>0</v>
      </c>
      <c r="J216" s="16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36.6" thickBot="1" x14ac:dyDescent="0.35">
      <c r="A217" s="2" t="s">
        <v>364</v>
      </c>
      <c r="B217" s="7"/>
      <c r="C217" s="18" t="s">
        <v>242</v>
      </c>
      <c r="D217" s="12"/>
      <c r="E217" s="12"/>
      <c r="F217" s="15" t="s">
        <v>23</v>
      </c>
      <c r="G217" s="16">
        <v>1.4999999999999999E-2</v>
      </c>
      <c r="H217" s="16"/>
      <c r="I217" s="16">
        <v>0</v>
      </c>
      <c r="J217" s="34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ht="36.6" thickBot="1" x14ac:dyDescent="0.35">
      <c r="A218" s="2" t="s">
        <v>365</v>
      </c>
      <c r="B218" s="7" t="s">
        <v>339</v>
      </c>
      <c r="C218" s="11" t="s">
        <v>340</v>
      </c>
      <c r="D218" s="12"/>
      <c r="E218" s="12" t="s">
        <v>366</v>
      </c>
      <c r="F218" s="12" t="s">
        <v>32</v>
      </c>
      <c r="G218" s="13">
        <v>1</v>
      </c>
      <c r="H218" s="13"/>
      <c r="I218" s="29">
        <v>106.3</v>
      </c>
      <c r="J218" s="47"/>
      <c r="K218" s="31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ht="36" x14ac:dyDescent="0.3">
      <c r="A219" s="2" t="s">
        <v>367</v>
      </c>
      <c r="B219" s="7"/>
      <c r="C219" s="18" t="s">
        <v>242</v>
      </c>
      <c r="D219" s="12"/>
      <c r="E219" s="12"/>
      <c r="F219" s="15" t="s">
        <v>23</v>
      </c>
      <c r="G219" s="16">
        <v>1.4999999999999999E-2</v>
      </c>
      <c r="H219" s="16"/>
      <c r="I219" s="16">
        <v>1.595</v>
      </c>
      <c r="J219" s="4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36" x14ac:dyDescent="0.3">
      <c r="A220" s="2" t="s">
        <v>368</v>
      </c>
      <c r="B220" s="7"/>
      <c r="C220" s="18" t="s">
        <v>347</v>
      </c>
      <c r="D220" s="12"/>
      <c r="E220" s="12" t="s">
        <v>369</v>
      </c>
      <c r="F220" s="15" t="s">
        <v>23</v>
      </c>
      <c r="G220" s="16">
        <v>0.04</v>
      </c>
      <c r="H220" s="16"/>
      <c r="I220" s="16">
        <v>4.2519999999999998</v>
      </c>
      <c r="J220" s="16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54" x14ac:dyDescent="0.3">
      <c r="A221" s="2" t="s">
        <v>370</v>
      </c>
      <c r="B221" s="7"/>
      <c r="C221" s="18" t="s">
        <v>344</v>
      </c>
      <c r="D221" s="12"/>
      <c r="E221" s="12" t="s">
        <v>361</v>
      </c>
      <c r="F221" s="15" t="s">
        <v>55</v>
      </c>
      <c r="G221" s="16">
        <v>1.84</v>
      </c>
      <c r="H221" s="17"/>
      <c r="I221" s="17">
        <v>195.59200000000001</v>
      </c>
      <c r="J221" s="17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36.6" thickBot="1" x14ac:dyDescent="0.35">
      <c r="A222" s="2" t="s">
        <v>371</v>
      </c>
      <c r="B222" s="7"/>
      <c r="C222" s="14" t="s">
        <v>342</v>
      </c>
      <c r="D222" s="12"/>
      <c r="E222" s="12"/>
      <c r="F222" s="15" t="s">
        <v>23</v>
      </c>
      <c r="G222" s="16">
        <v>0.7</v>
      </c>
      <c r="H222" s="17"/>
      <c r="I222" s="17">
        <v>74.41</v>
      </c>
      <c r="J222" s="32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ht="36.6" thickBot="1" x14ac:dyDescent="0.35">
      <c r="A223" s="2" t="s">
        <v>372</v>
      </c>
      <c r="B223" s="7" t="s">
        <v>339</v>
      </c>
      <c r="C223" s="11" t="s">
        <v>340</v>
      </c>
      <c r="D223" s="12"/>
      <c r="E223" s="12" t="s">
        <v>373</v>
      </c>
      <c r="F223" s="12" t="s">
        <v>32</v>
      </c>
      <c r="G223" s="13">
        <v>1</v>
      </c>
      <c r="H223" s="13"/>
      <c r="I223" s="29">
        <v>34.5</v>
      </c>
      <c r="J223" s="47"/>
      <c r="K223" s="31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ht="36" x14ac:dyDescent="0.3">
      <c r="A224" s="2" t="s">
        <v>374</v>
      </c>
      <c r="B224" s="7"/>
      <c r="C224" s="14" t="s">
        <v>342</v>
      </c>
      <c r="D224" s="12"/>
      <c r="E224" s="12"/>
      <c r="F224" s="15" t="s">
        <v>23</v>
      </c>
      <c r="G224" s="16">
        <v>0.7</v>
      </c>
      <c r="H224" s="17"/>
      <c r="I224" s="17">
        <v>24.15</v>
      </c>
      <c r="J224" s="36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ht="54" x14ac:dyDescent="0.3">
      <c r="A225" s="2" t="s">
        <v>375</v>
      </c>
      <c r="B225" s="7"/>
      <c r="C225" s="14" t="s">
        <v>354</v>
      </c>
      <c r="D225" s="12"/>
      <c r="E225" s="12" t="s">
        <v>376</v>
      </c>
      <c r="F225" s="15" t="s">
        <v>20</v>
      </c>
      <c r="G225" s="16">
        <v>0.11</v>
      </c>
      <c r="H225" s="16"/>
      <c r="I225" s="16">
        <v>3.7949999999999999</v>
      </c>
      <c r="J225" s="16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18" x14ac:dyDescent="0.3">
      <c r="A226" s="2" t="s">
        <v>377</v>
      </c>
      <c r="B226" s="7"/>
      <c r="C226" s="18" t="s">
        <v>347</v>
      </c>
      <c r="D226" s="12"/>
      <c r="E226" s="12"/>
      <c r="F226" s="15" t="s">
        <v>23</v>
      </c>
      <c r="G226" s="16">
        <v>0.04</v>
      </c>
      <c r="H226" s="16"/>
      <c r="I226" s="16">
        <v>1.38</v>
      </c>
      <c r="J226" s="16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ht="36.6" thickBot="1" x14ac:dyDescent="0.35">
      <c r="A227" s="2" t="s">
        <v>378</v>
      </c>
      <c r="B227" s="7"/>
      <c r="C227" s="18" t="s">
        <v>242</v>
      </c>
      <c r="D227" s="12"/>
      <c r="E227" s="12"/>
      <c r="F227" s="15" t="s">
        <v>23</v>
      </c>
      <c r="G227" s="16">
        <v>1.4999999999999999E-2</v>
      </c>
      <c r="H227" s="16"/>
      <c r="I227" s="16">
        <v>0.51800000000000002</v>
      </c>
      <c r="J227" s="34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ht="36.6" thickBot="1" x14ac:dyDescent="0.35">
      <c r="A228" s="2" t="s">
        <v>379</v>
      </c>
      <c r="B228" s="7" t="s">
        <v>339</v>
      </c>
      <c r="C228" s="11" t="s">
        <v>340</v>
      </c>
      <c r="D228" s="12"/>
      <c r="E228" s="12" t="s">
        <v>291</v>
      </c>
      <c r="F228" s="12" t="s">
        <v>32</v>
      </c>
      <c r="G228" s="13">
        <v>1</v>
      </c>
      <c r="H228" s="13"/>
      <c r="I228" s="29">
        <v>268.2</v>
      </c>
      <c r="J228" s="47"/>
      <c r="K228" s="31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ht="36" x14ac:dyDescent="0.3">
      <c r="A229" s="2" t="s">
        <v>380</v>
      </c>
      <c r="B229" s="7"/>
      <c r="C229" s="18" t="s">
        <v>242</v>
      </c>
      <c r="D229" s="12"/>
      <c r="E229" s="12"/>
      <c r="F229" s="15" t="s">
        <v>23</v>
      </c>
      <c r="G229" s="16">
        <v>1.4999999999999999E-2</v>
      </c>
      <c r="H229" s="16"/>
      <c r="I229" s="16">
        <v>4.0229999999999997</v>
      </c>
      <c r="J229" s="4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ht="36" x14ac:dyDescent="0.3">
      <c r="A230" s="2" t="s">
        <v>381</v>
      </c>
      <c r="B230" s="7"/>
      <c r="C230" s="18" t="s">
        <v>347</v>
      </c>
      <c r="D230" s="12"/>
      <c r="E230" s="12" t="s">
        <v>382</v>
      </c>
      <c r="F230" s="15" t="s">
        <v>23</v>
      </c>
      <c r="G230" s="16">
        <v>0.04</v>
      </c>
      <c r="H230" s="16"/>
      <c r="I230" s="16">
        <v>10.728</v>
      </c>
      <c r="J230" s="16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ht="54" x14ac:dyDescent="0.3">
      <c r="A231" s="2" t="s">
        <v>383</v>
      </c>
      <c r="B231" s="7"/>
      <c r="C231" s="18" t="s">
        <v>344</v>
      </c>
      <c r="D231" s="12"/>
      <c r="E231" s="12" t="s">
        <v>361</v>
      </c>
      <c r="F231" s="15" t="s">
        <v>55</v>
      </c>
      <c r="G231" s="16">
        <v>1.84</v>
      </c>
      <c r="H231" s="17"/>
      <c r="I231" s="17">
        <v>493.488</v>
      </c>
      <c r="J231" s="17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ht="36.6" thickBot="1" x14ac:dyDescent="0.35">
      <c r="A232" s="2" t="s">
        <v>384</v>
      </c>
      <c r="B232" s="7"/>
      <c r="C232" s="14" t="s">
        <v>342</v>
      </c>
      <c r="D232" s="12"/>
      <c r="E232" s="12"/>
      <c r="F232" s="15" t="s">
        <v>23</v>
      </c>
      <c r="G232" s="16">
        <v>0.7</v>
      </c>
      <c r="H232" s="17"/>
      <c r="I232" s="17">
        <v>187.74</v>
      </c>
      <c r="J232" s="32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54.6" thickBot="1" x14ac:dyDescent="0.35">
      <c r="A233" s="2" t="s">
        <v>385</v>
      </c>
      <c r="B233" s="7" t="s">
        <v>386</v>
      </c>
      <c r="C233" s="11" t="s">
        <v>387</v>
      </c>
      <c r="D233" s="12"/>
      <c r="E233" s="12" t="s">
        <v>388</v>
      </c>
      <c r="F233" s="12" t="s">
        <v>20</v>
      </c>
      <c r="G233" s="13">
        <v>1</v>
      </c>
      <c r="H233" s="13"/>
      <c r="I233" s="29">
        <v>0</v>
      </c>
      <c r="J233" s="47"/>
      <c r="K233" s="31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ht="54" x14ac:dyDescent="0.3">
      <c r="A234" s="2" t="s">
        <v>389</v>
      </c>
      <c r="B234" s="7"/>
      <c r="C234" s="14" t="s">
        <v>231</v>
      </c>
      <c r="D234" s="12"/>
      <c r="E234" s="12" t="s">
        <v>232</v>
      </c>
      <c r="F234" s="15" t="s">
        <v>23</v>
      </c>
      <c r="G234" s="16">
        <v>7</v>
      </c>
      <c r="H234" s="16"/>
      <c r="I234" s="16">
        <v>0</v>
      </c>
      <c r="J234" s="4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ht="36" x14ac:dyDescent="0.3">
      <c r="A235" s="2" t="s">
        <v>390</v>
      </c>
      <c r="B235" s="7"/>
      <c r="C235" s="18" t="s">
        <v>242</v>
      </c>
      <c r="D235" s="12"/>
      <c r="E235" s="12"/>
      <c r="F235" s="15" t="s">
        <v>23</v>
      </c>
      <c r="G235" s="16">
        <v>0.15</v>
      </c>
      <c r="H235" s="16"/>
      <c r="I235" s="16">
        <v>0</v>
      </c>
      <c r="J235" s="16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54" x14ac:dyDescent="0.3">
      <c r="A236" s="2" t="s">
        <v>391</v>
      </c>
      <c r="B236" s="7"/>
      <c r="C236" s="14" t="s">
        <v>354</v>
      </c>
      <c r="D236" s="12"/>
      <c r="E236" s="12" t="s">
        <v>392</v>
      </c>
      <c r="F236" s="15" t="s">
        <v>20</v>
      </c>
      <c r="G236" s="16">
        <v>1.07</v>
      </c>
      <c r="H236" s="17"/>
      <c r="I236" s="17">
        <v>0</v>
      </c>
      <c r="J236" s="17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ht="18.600000000000001" thickBot="1" x14ac:dyDescent="0.35">
      <c r="A237" s="2" t="s">
        <v>393</v>
      </c>
      <c r="B237" s="7"/>
      <c r="C237" s="18" t="s">
        <v>347</v>
      </c>
      <c r="D237" s="12"/>
      <c r="E237" s="12"/>
      <c r="F237" s="15" t="s">
        <v>23</v>
      </c>
      <c r="G237" s="16">
        <v>0.25</v>
      </c>
      <c r="H237" s="17"/>
      <c r="I237" s="17">
        <v>0</v>
      </c>
      <c r="J237" s="32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ht="54.6" thickBot="1" x14ac:dyDescent="0.35">
      <c r="A238" s="2" t="s">
        <v>394</v>
      </c>
      <c r="B238" s="7" t="s">
        <v>386</v>
      </c>
      <c r="C238" s="11" t="s">
        <v>387</v>
      </c>
      <c r="D238" s="12"/>
      <c r="E238" s="12" t="s">
        <v>395</v>
      </c>
      <c r="F238" s="12" t="s">
        <v>20</v>
      </c>
      <c r="G238" s="13">
        <v>1</v>
      </c>
      <c r="H238" s="13"/>
      <c r="I238" s="29">
        <v>0</v>
      </c>
      <c r="J238" s="47"/>
      <c r="K238" s="31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ht="18" x14ac:dyDescent="0.3">
      <c r="A239" s="2" t="s">
        <v>396</v>
      </c>
      <c r="B239" s="7"/>
      <c r="C239" s="18" t="s">
        <v>347</v>
      </c>
      <c r="D239" s="12"/>
      <c r="E239" s="12"/>
      <c r="F239" s="15" t="s">
        <v>23</v>
      </c>
      <c r="G239" s="16">
        <v>0.25</v>
      </c>
      <c r="H239" s="17"/>
      <c r="I239" s="17">
        <v>0</v>
      </c>
      <c r="J239" s="36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ht="36" x14ac:dyDescent="0.3">
      <c r="A240" s="2" t="s">
        <v>397</v>
      </c>
      <c r="B240" s="7"/>
      <c r="C240" s="14" t="s">
        <v>354</v>
      </c>
      <c r="D240" s="12"/>
      <c r="E240" s="12" t="s">
        <v>398</v>
      </c>
      <c r="F240" s="15" t="s">
        <v>20</v>
      </c>
      <c r="G240" s="16">
        <v>1.07</v>
      </c>
      <c r="H240" s="17"/>
      <c r="I240" s="17">
        <v>0</v>
      </c>
      <c r="J240" s="17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36" x14ac:dyDescent="0.3">
      <c r="A241" s="2" t="s">
        <v>399</v>
      </c>
      <c r="B241" s="7"/>
      <c r="C241" s="18" t="s">
        <v>242</v>
      </c>
      <c r="D241" s="12"/>
      <c r="E241" s="12"/>
      <c r="F241" s="15" t="s">
        <v>23</v>
      </c>
      <c r="G241" s="16">
        <v>0.15</v>
      </c>
      <c r="H241" s="16"/>
      <c r="I241" s="16">
        <v>0</v>
      </c>
      <c r="J241" s="16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ht="54.6" thickBot="1" x14ac:dyDescent="0.35">
      <c r="A242" s="2" t="s">
        <v>400</v>
      </c>
      <c r="B242" s="7"/>
      <c r="C242" s="14" t="s">
        <v>231</v>
      </c>
      <c r="D242" s="12"/>
      <c r="E242" s="12" t="s">
        <v>232</v>
      </c>
      <c r="F242" s="15" t="s">
        <v>23</v>
      </c>
      <c r="G242" s="16">
        <v>7</v>
      </c>
      <c r="H242" s="16"/>
      <c r="I242" s="16">
        <v>0</v>
      </c>
      <c r="J242" s="34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ht="54.6" thickBot="1" x14ac:dyDescent="0.35">
      <c r="A243" s="2" t="s">
        <v>401</v>
      </c>
      <c r="B243" s="7" t="s">
        <v>386</v>
      </c>
      <c r="C243" s="56" t="s">
        <v>387</v>
      </c>
      <c r="D243" s="12"/>
      <c r="E243" s="57" t="s">
        <v>388</v>
      </c>
      <c r="F243" s="57" t="s">
        <v>20</v>
      </c>
      <c r="G243" s="13">
        <v>1</v>
      </c>
      <c r="H243" s="13"/>
      <c r="I243" s="58">
        <v>25.81</v>
      </c>
      <c r="J243" s="47">
        <f>Таблица1[[#This Row],[Общее кол-во]]- SUM(Таблица1[[#This Row],[1.1-Пл]:[6.2-Пл]])</f>
        <v>8.91</v>
      </c>
      <c r="K243" s="31"/>
      <c r="L243" s="10"/>
      <c r="M243" s="10"/>
      <c r="N243" s="10"/>
      <c r="O243" s="10"/>
      <c r="P243" s="10"/>
      <c r="Q243" s="10"/>
      <c r="R243" s="10"/>
      <c r="S243" s="80">
        <f>'6.1'!K4</f>
        <v>16.899999999999999</v>
      </c>
      <c r="T243" s="10"/>
    </row>
    <row r="244" spans="1:20" ht="36" x14ac:dyDescent="0.3">
      <c r="A244" s="2" t="s">
        <v>402</v>
      </c>
      <c r="B244" s="7"/>
      <c r="C244" s="14" t="s">
        <v>231</v>
      </c>
      <c r="D244" s="12"/>
      <c r="E244" s="12"/>
      <c r="F244" s="15" t="s">
        <v>23</v>
      </c>
      <c r="G244" s="16">
        <v>7</v>
      </c>
      <c r="H244" s="16"/>
      <c r="I244" s="16">
        <v>180.67</v>
      </c>
      <c r="J244" s="4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36" x14ac:dyDescent="0.3">
      <c r="A245" s="2" t="s">
        <v>403</v>
      </c>
      <c r="B245" s="7"/>
      <c r="C245" s="18" t="s">
        <v>242</v>
      </c>
      <c r="D245" s="12"/>
      <c r="E245" s="12"/>
      <c r="F245" s="15" t="s">
        <v>23</v>
      </c>
      <c r="G245" s="16">
        <v>0.15</v>
      </c>
      <c r="H245" s="16"/>
      <c r="I245" s="16">
        <v>3.8719999999999999</v>
      </c>
      <c r="J245" s="16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54" x14ac:dyDescent="0.3">
      <c r="A246" s="2" t="s">
        <v>404</v>
      </c>
      <c r="B246" s="7"/>
      <c r="C246" s="14" t="s">
        <v>354</v>
      </c>
      <c r="D246" s="12"/>
      <c r="E246" s="12" t="s">
        <v>392</v>
      </c>
      <c r="F246" s="15" t="s">
        <v>20</v>
      </c>
      <c r="G246" s="16">
        <v>1.07</v>
      </c>
      <c r="H246" s="17"/>
      <c r="I246" s="17">
        <v>27.617000000000001</v>
      </c>
      <c r="J246" s="17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ht="18.600000000000001" thickBot="1" x14ac:dyDescent="0.35">
      <c r="A247" s="2" t="s">
        <v>405</v>
      </c>
      <c r="B247" s="7"/>
      <c r="C247" s="18" t="s">
        <v>347</v>
      </c>
      <c r="D247" s="12"/>
      <c r="E247" s="12"/>
      <c r="F247" s="15" t="s">
        <v>23</v>
      </c>
      <c r="G247" s="16">
        <v>0.25</v>
      </c>
      <c r="H247" s="17"/>
      <c r="I247" s="17">
        <v>6.4530000000000003</v>
      </c>
      <c r="J247" s="32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ht="54.6" thickBot="1" x14ac:dyDescent="0.35">
      <c r="A248" s="2" t="s">
        <v>406</v>
      </c>
      <c r="B248" s="7" t="s">
        <v>386</v>
      </c>
      <c r="C248" s="56" t="s">
        <v>387</v>
      </c>
      <c r="D248" s="12"/>
      <c r="E248" s="57" t="s">
        <v>395</v>
      </c>
      <c r="F248" s="57" t="s">
        <v>20</v>
      </c>
      <c r="G248" s="13">
        <v>1</v>
      </c>
      <c r="H248" s="13"/>
      <c r="I248" s="58">
        <v>54.1</v>
      </c>
      <c r="J248" s="47">
        <f>Таблица1[[#This Row],[Общее кол-во]]- SUM(Таблица1[[#This Row],[1.1-Пл]:[6.2-Пл]])</f>
        <v>37.299999999999997</v>
      </c>
      <c r="K248" s="31"/>
      <c r="L248" s="10"/>
      <c r="M248" s="10"/>
      <c r="N248" s="10"/>
      <c r="O248" s="10"/>
      <c r="P248" s="10"/>
      <c r="Q248" s="10"/>
      <c r="R248" s="10"/>
      <c r="S248" s="10"/>
      <c r="T248" s="80">
        <f>'6.2'!K4</f>
        <v>16.8</v>
      </c>
    </row>
    <row r="249" spans="1:20" ht="18" x14ac:dyDescent="0.3">
      <c r="A249" s="2" t="s">
        <v>407</v>
      </c>
      <c r="B249" s="7"/>
      <c r="C249" s="18" t="s">
        <v>347</v>
      </c>
      <c r="D249" s="12"/>
      <c r="E249" s="12"/>
      <c r="F249" s="15" t="s">
        <v>23</v>
      </c>
      <c r="G249" s="16">
        <v>0.25</v>
      </c>
      <c r="H249" s="17"/>
      <c r="I249" s="17">
        <v>13.525</v>
      </c>
      <c r="J249" s="36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ht="36" x14ac:dyDescent="0.3">
      <c r="A250" s="2" t="s">
        <v>408</v>
      </c>
      <c r="B250" s="7"/>
      <c r="C250" s="14" t="s">
        <v>354</v>
      </c>
      <c r="D250" s="12"/>
      <c r="E250" s="12" t="s">
        <v>398</v>
      </c>
      <c r="F250" s="15" t="s">
        <v>20</v>
      </c>
      <c r="G250" s="16">
        <v>1.07</v>
      </c>
      <c r="H250" s="17"/>
      <c r="I250" s="17">
        <v>57.887</v>
      </c>
      <c r="J250" s="17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ht="36" x14ac:dyDescent="0.3">
      <c r="A251" s="2" t="s">
        <v>409</v>
      </c>
      <c r="B251" s="7"/>
      <c r="C251" s="18" t="s">
        <v>242</v>
      </c>
      <c r="D251" s="12"/>
      <c r="E251" s="12"/>
      <c r="F251" s="15" t="s">
        <v>23</v>
      </c>
      <c r="G251" s="16">
        <v>0.15</v>
      </c>
      <c r="H251" s="16"/>
      <c r="I251" s="16">
        <v>8.1150000000000002</v>
      </c>
      <c r="J251" s="16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36.6" thickBot="1" x14ac:dyDescent="0.35">
      <c r="A252" s="2" t="s">
        <v>410</v>
      </c>
      <c r="B252" s="7"/>
      <c r="C252" s="14" t="s">
        <v>231</v>
      </c>
      <c r="D252" s="12"/>
      <c r="E252" s="12"/>
      <c r="F252" s="15" t="s">
        <v>23</v>
      </c>
      <c r="G252" s="16">
        <v>7</v>
      </c>
      <c r="H252" s="16"/>
      <c r="I252" s="16">
        <v>378.7</v>
      </c>
      <c r="J252" s="34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ht="54.6" thickBot="1" x14ac:dyDescent="0.35">
      <c r="A253" s="2" t="s">
        <v>411</v>
      </c>
      <c r="B253" s="7" t="s">
        <v>412</v>
      </c>
      <c r="C253" s="11" t="s">
        <v>413</v>
      </c>
      <c r="D253" s="12"/>
      <c r="E253" s="12" t="s">
        <v>414</v>
      </c>
      <c r="F253" s="12" t="s">
        <v>20</v>
      </c>
      <c r="G253" s="13">
        <v>1</v>
      </c>
      <c r="H253" s="13"/>
      <c r="I253" s="29">
        <v>0</v>
      </c>
      <c r="J253" s="47"/>
      <c r="K253" s="31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ht="54" x14ac:dyDescent="0.3">
      <c r="A254" s="2" t="s">
        <v>415</v>
      </c>
      <c r="B254" s="7"/>
      <c r="C254" s="14" t="s">
        <v>416</v>
      </c>
      <c r="D254" s="12"/>
      <c r="E254" s="12" t="s">
        <v>232</v>
      </c>
      <c r="F254" s="15" t="s">
        <v>23</v>
      </c>
      <c r="G254" s="16">
        <v>1.2</v>
      </c>
      <c r="H254" s="17"/>
      <c r="I254" s="17">
        <v>0</v>
      </c>
      <c r="J254" s="36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ht="36" x14ac:dyDescent="0.3">
      <c r="A255" s="2" t="s">
        <v>417</v>
      </c>
      <c r="B255" s="7"/>
      <c r="C255" s="18" t="s">
        <v>242</v>
      </c>
      <c r="D255" s="12"/>
      <c r="E255" s="12"/>
      <c r="F255" s="15" t="s">
        <v>23</v>
      </c>
      <c r="G255" s="16">
        <v>0.15</v>
      </c>
      <c r="H255" s="16"/>
      <c r="I255" s="16">
        <v>0</v>
      </c>
      <c r="J255" s="16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ht="54" x14ac:dyDescent="0.3">
      <c r="A256" s="2" t="s">
        <v>418</v>
      </c>
      <c r="B256" s="7"/>
      <c r="C256" s="18" t="s">
        <v>419</v>
      </c>
      <c r="D256" s="12"/>
      <c r="E256" s="12" t="s">
        <v>420</v>
      </c>
      <c r="F256" s="15" t="s">
        <v>20</v>
      </c>
      <c r="G256" s="16">
        <v>1.2</v>
      </c>
      <c r="H256" s="17"/>
      <c r="I256" s="17">
        <v>0</v>
      </c>
      <c r="J256" s="17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ht="18.600000000000001" thickBot="1" x14ac:dyDescent="0.35">
      <c r="A257" s="2" t="s">
        <v>421</v>
      </c>
      <c r="B257" s="7"/>
      <c r="C257" s="18" t="s">
        <v>240</v>
      </c>
      <c r="D257" s="12"/>
      <c r="E257" s="12"/>
      <c r="F257" s="15" t="s">
        <v>23</v>
      </c>
      <c r="G257" s="16">
        <v>0.25</v>
      </c>
      <c r="H257" s="17"/>
      <c r="I257" s="17">
        <v>0</v>
      </c>
      <c r="J257" s="32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ht="54.6" thickBot="1" x14ac:dyDescent="0.35">
      <c r="A258" s="2" t="s">
        <v>422</v>
      </c>
      <c r="B258" s="7" t="s">
        <v>412</v>
      </c>
      <c r="C258" s="11" t="s">
        <v>413</v>
      </c>
      <c r="D258" s="12"/>
      <c r="E258" s="12" t="s">
        <v>423</v>
      </c>
      <c r="F258" s="12" t="s">
        <v>20</v>
      </c>
      <c r="G258" s="13">
        <v>1</v>
      </c>
      <c r="H258" s="13"/>
      <c r="I258" s="29">
        <v>0</v>
      </c>
      <c r="J258" s="47"/>
      <c r="K258" s="31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8" x14ac:dyDescent="0.3">
      <c r="A259" s="2" t="s">
        <v>424</v>
      </c>
      <c r="B259" s="7"/>
      <c r="C259" s="18" t="s">
        <v>240</v>
      </c>
      <c r="D259" s="12"/>
      <c r="E259" s="12"/>
      <c r="F259" s="15" t="s">
        <v>23</v>
      </c>
      <c r="G259" s="16">
        <v>0.25</v>
      </c>
      <c r="H259" s="17"/>
      <c r="I259" s="17">
        <v>0</v>
      </c>
      <c r="J259" s="36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54" x14ac:dyDescent="0.3">
      <c r="A260" s="2" t="s">
        <v>425</v>
      </c>
      <c r="B260" s="7"/>
      <c r="C260" s="18" t="s">
        <v>419</v>
      </c>
      <c r="D260" s="12"/>
      <c r="E260" s="12" t="s">
        <v>420</v>
      </c>
      <c r="F260" s="15" t="s">
        <v>20</v>
      </c>
      <c r="G260" s="16">
        <v>1.2</v>
      </c>
      <c r="H260" s="17"/>
      <c r="I260" s="17">
        <v>0</v>
      </c>
      <c r="J260" s="17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ht="36" x14ac:dyDescent="0.3">
      <c r="A261" s="2" t="s">
        <v>426</v>
      </c>
      <c r="B261" s="7"/>
      <c r="C261" s="18" t="s">
        <v>242</v>
      </c>
      <c r="D261" s="12"/>
      <c r="E261" s="12"/>
      <c r="F261" s="15" t="s">
        <v>23</v>
      </c>
      <c r="G261" s="16">
        <v>0.15</v>
      </c>
      <c r="H261" s="16"/>
      <c r="I261" s="16">
        <v>0</v>
      </c>
      <c r="J261" s="16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ht="54.6" thickBot="1" x14ac:dyDescent="0.35">
      <c r="A262" s="2" t="s">
        <v>427</v>
      </c>
      <c r="B262" s="7"/>
      <c r="C262" s="14" t="s">
        <v>416</v>
      </c>
      <c r="D262" s="12"/>
      <c r="E262" s="12" t="s">
        <v>232</v>
      </c>
      <c r="F262" s="15" t="s">
        <v>23</v>
      </c>
      <c r="G262" s="16">
        <v>1.2</v>
      </c>
      <c r="H262" s="17"/>
      <c r="I262" s="17">
        <v>0</v>
      </c>
      <c r="J262" s="32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54.6" thickBot="1" x14ac:dyDescent="0.35">
      <c r="A263" s="2" t="s">
        <v>428</v>
      </c>
      <c r="B263" s="7" t="s">
        <v>412</v>
      </c>
      <c r="C263" s="56" t="s">
        <v>413</v>
      </c>
      <c r="D263" s="12"/>
      <c r="E263" s="57" t="s">
        <v>414</v>
      </c>
      <c r="F263" s="57" t="s">
        <v>20</v>
      </c>
      <c r="G263" s="13">
        <v>1</v>
      </c>
      <c r="H263" s="13"/>
      <c r="I263" s="58">
        <v>331.7</v>
      </c>
      <c r="J263" s="47">
        <f>Таблица1[[#This Row],[Общее кол-во]]- SUM(Таблица1[[#This Row],[1.1-Пл]:[6.2-Пл]])</f>
        <v>240.29999999999998</v>
      </c>
      <c r="K263" s="31"/>
      <c r="L263" s="10"/>
      <c r="M263" s="10"/>
      <c r="N263" s="10"/>
      <c r="O263" s="10"/>
      <c r="P263" s="10"/>
      <c r="Q263" s="10"/>
      <c r="R263" s="10"/>
      <c r="S263" s="80">
        <f>'6.1'!K3</f>
        <v>91.4</v>
      </c>
      <c r="T263" s="10"/>
    </row>
    <row r="264" spans="1:20" ht="36" x14ac:dyDescent="0.3">
      <c r="A264" s="2" t="s">
        <v>429</v>
      </c>
      <c r="B264" s="7"/>
      <c r="C264" s="14" t="s">
        <v>416</v>
      </c>
      <c r="D264" s="12"/>
      <c r="E264" s="12"/>
      <c r="F264" s="15" t="s">
        <v>23</v>
      </c>
      <c r="G264" s="16">
        <v>1.2</v>
      </c>
      <c r="H264" s="17"/>
      <c r="I264" s="17">
        <v>1990.2</v>
      </c>
      <c r="J264" s="36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ht="36" x14ac:dyDescent="0.3">
      <c r="A265" s="2" t="s">
        <v>430</v>
      </c>
      <c r="B265" s="7"/>
      <c r="C265" s="18" t="s">
        <v>242</v>
      </c>
      <c r="D265" s="12"/>
      <c r="E265" s="12"/>
      <c r="F265" s="15" t="s">
        <v>23</v>
      </c>
      <c r="G265" s="16">
        <v>0.15</v>
      </c>
      <c r="H265" s="16"/>
      <c r="I265" s="16">
        <v>49.755000000000003</v>
      </c>
      <c r="J265" s="16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ht="54" x14ac:dyDescent="0.3">
      <c r="A266" s="2" t="s">
        <v>431</v>
      </c>
      <c r="B266" s="7"/>
      <c r="C266" s="18" t="s">
        <v>419</v>
      </c>
      <c r="D266" s="12"/>
      <c r="E266" s="12" t="s">
        <v>420</v>
      </c>
      <c r="F266" s="15" t="s">
        <v>20</v>
      </c>
      <c r="G266" s="16">
        <v>1.2</v>
      </c>
      <c r="H266" s="17"/>
      <c r="I266" s="17">
        <v>398.04</v>
      </c>
      <c r="J266" s="17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ht="18.600000000000001" thickBot="1" x14ac:dyDescent="0.35">
      <c r="A267" s="2" t="s">
        <v>432</v>
      </c>
      <c r="B267" s="7"/>
      <c r="C267" s="18" t="s">
        <v>240</v>
      </c>
      <c r="D267" s="12"/>
      <c r="E267" s="12"/>
      <c r="F267" s="15" t="s">
        <v>23</v>
      </c>
      <c r="G267" s="16">
        <v>0.25</v>
      </c>
      <c r="H267" s="17"/>
      <c r="I267" s="17">
        <v>82.924999999999997</v>
      </c>
      <c r="J267" s="32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ht="54.6" thickBot="1" x14ac:dyDescent="0.35">
      <c r="A268" s="2" t="s">
        <v>433</v>
      </c>
      <c r="B268" s="7" t="s">
        <v>412</v>
      </c>
      <c r="C268" s="56" t="s">
        <v>413</v>
      </c>
      <c r="D268" s="12"/>
      <c r="E268" s="57" t="s">
        <v>423</v>
      </c>
      <c r="F268" s="57" t="s">
        <v>20</v>
      </c>
      <c r="G268" s="13">
        <v>1</v>
      </c>
      <c r="H268" s="13"/>
      <c r="I268" s="58">
        <v>339.3</v>
      </c>
      <c r="J268" s="47">
        <f>Таблица1[[#This Row],[Общее кол-во]]- SUM(Таблица1[[#This Row],[1.1-Пл]:[6.2-Пл]])</f>
        <v>248.2</v>
      </c>
      <c r="K268" s="31"/>
      <c r="L268" s="10"/>
      <c r="M268" s="10"/>
      <c r="N268" s="10"/>
      <c r="O268" s="10"/>
      <c r="P268" s="10"/>
      <c r="Q268" s="10"/>
      <c r="R268" s="10"/>
      <c r="S268" s="10"/>
      <c r="T268" s="80">
        <f>'6.2'!K3</f>
        <v>91.100000000000009</v>
      </c>
    </row>
    <row r="269" spans="1:20" ht="18" x14ac:dyDescent="0.3">
      <c r="A269" s="2" t="s">
        <v>434</v>
      </c>
      <c r="B269" s="7"/>
      <c r="C269" s="18" t="s">
        <v>240</v>
      </c>
      <c r="D269" s="12"/>
      <c r="E269" s="12"/>
      <c r="F269" s="15" t="s">
        <v>23</v>
      </c>
      <c r="G269" s="16">
        <v>0.25</v>
      </c>
      <c r="H269" s="17"/>
      <c r="I269" s="17">
        <v>84.825000000000003</v>
      </c>
      <c r="J269" s="36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54" x14ac:dyDescent="0.3">
      <c r="A270" s="2" t="s">
        <v>435</v>
      </c>
      <c r="B270" s="7"/>
      <c r="C270" s="18" t="s">
        <v>419</v>
      </c>
      <c r="D270" s="12"/>
      <c r="E270" s="12" t="s">
        <v>420</v>
      </c>
      <c r="F270" s="15" t="s">
        <v>20</v>
      </c>
      <c r="G270" s="16">
        <v>1.2</v>
      </c>
      <c r="H270" s="17"/>
      <c r="I270" s="17">
        <v>407.16</v>
      </c>
      <c r="J270" s="17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36" x14ac:dyDescent="0.3">
      <c r="A271" s="2" t="s">
        <v>436</v>
      </c>
      <c r="B271" s="7"/>
      <c r="C271" s="18" t="s">
        <v>242</v>
      </c>
      <c r="D271" s="12"/>
      <c r="E271" s="12"/>
      <c r="F271" s="15" t="s">
        <v>23</v>
      </c>
      <c r="G271" s="16">
        <v>0.15</v>
      </c>
      <c r="H271" s="16"/>
      <c r="I271" s="16">
        <v>50.895000000000003</v>
      </c>
      <c r="J271" s="16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36" x14ac:dyDescent="0.3">
      <c r="A272" s="5" t="s">
        <v>437</v>
      </c>
      <c r="B272" s="8"/>
      <c r="C272" s="14" t="s">
        <v>416</v>
      </c>
      <c r="D272" s="12"/>
      <c r="E272" s="12"/>
      <c r="F272" s="15" t="s">
        <v>23</v>
      </c>
      <c r="G272" s="16">
        <v>1.2</v>
      </c>
      <c r="H272" s="17"/>
      <c r="I272" s="17">
        <v>2035.8</v>
      </c>
      <c r="J272" s="17"/>
      <c r="K272" s="10"/>
      <c r="L272" s="10"/>
      <c r="M272" s="10"/>
      <c r="N272" s="10"/>
      <c r="O272" s="10"/>
      <c r="P272" s="10"/>
      <c r="Q272" s="10"/>
      <c r="R272" s="49"/>
      <c r="S272" s="49"/>
      <c r="T272" s="49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1"/>
  <sheetViews>
    <sheetView workbookViewId="0">
      <selection activeCell="A8" sqref="A8:F145"/>
    </sheetView>
  </sheetViews>
  <sheetFormatPr defaultRowHeight="14.4" x14ac:dyDescent="0.3"/>
  <cols>
    <col min="1" max="1" width="7.33203125" customWidth="1"/>
    <col min="2" max="2" width="10.88671875" customWidth="1"/>
    <col min="3" max="3" width="8" customWidth="1"/>
    <col min="4" max="4" width="9.21875" customWidth="1"/>
    <col min="5" max="5" width="8.21875" customWidth="1"/>
    <col min="6" max="6" width="8.88671875" customWidth="1"/>
  </cols>
  <sheetData>
    <row r="1" spans="1:7" x14ac:dyDescent="0.3">
      <c r="A1" s="51" t="s">
        <v>605</v>
      </c>
      <c r="B1" s="51" t="s">
        <v>583</v>
      </c>
      <c r="C1" s="51" t="s">
        <v>604</v>
      </c>
      <c r="D1" t="s">
        <v>584</v>
      </c>
      <c r="E1" s="51" t="s">
        <v>593</v>
      </c>
      <c r="F1" s="51" t="s">
        <v>591</v>
      </c>
      <c r="G1" s="51"/>
    </row>
    <row r="2" spans="1:7" ht="14.4" hidden="1" customHeight="1" x14ac:dyDescent="0.3">
      <c r="A2" s="10">
        <v>2</v>
      </c>
      <c r="B2" s="53" t="s">
        <v>606</v>
      </c>
      <c r="C2" s="10" t="s">
        <v>440</v>
      </c>
      <c r="D2" s="10" t="s">
        <v>442</v>
      </c>
      <c r="E2" s="53" t="s">
        <v>595</v>
      </c>
      <c r="F2" s="10">
        <v>80.599999999999994</v>
      </c>
    </row>
    <row r="3" spans="1:7" ht="14.4" hidden="1" customHeight="1" x14ac:dyDescent="0.3">
      <c r="A3" s="10">
        <v>2</v>
      </c>
      <c r="B3" s="53" t="s">
        <v>606</v>
      </c>
      <c r="C3" s="10" t="s">
        <v>440</v>
      </c>
      <c r="D3" s="10" t="s">
        <v>443</v>
      </c>
      <c r="E3" s="53" t="s">
        <v>595</v>
      </c>
      <c r="F3" s="10">
        <v>64.8</v>
      </c>
    </row>
    <row r="4" spans="1:7" ht="14.4" hidden="1" customHeight="1" x14ac:dyDescent="0.3">
      <c r="A4" s="10">
        <v>2</v>
      </c>
      <c r="B4" s="53" t="s">
        <v>607</v>
      </c>
      <c r="C4" s="10" t="s">
        <v>440</v>
      </c>
      <c r="D4" s="10" t="s">
        <v>444</v>
      </c>
      <c r="E4" s="53" t="s">
        <v>595</v>
      </c>
      <c r="F4" s="10">
        <v>218.7</v>
      </c>
    </row>
    <row r="5" spans="1:7" ht="14.4" hidden="1" customHeight="1" x14ac:dyDescent="0.3">
      <c r="A5" s="10">
        <v>2</v>
      </c>
      <c r="B5" s="53" t="s">
        <v>606</v>
      </c>
      <c r="C5" s="10" t="s">
        <v>440</v>
      </c>
      <c r="D5" s="10" t="s">
        <v>445</v>
      </c>
      <c r="E5" s="53" t="s">
        <v>595</v>
      </c>
      <c r="F5" s="10">
        <v>45.7</v>
      </c>
    </row>
    <row r="6" spans="1:7" ht="14.4" hidden="1" customHeight="1" x14ac:dyDescent="0.3">
      <c r="A6" s="10">
        <v>2</v>
      </c>
      <c r="B6" s="53" t="s">
        <v>606</v>
      </c>
      <c r="C6" s="10" t="s">
        <v>440</v>
      </c>
      <c r="D6" s="10" t="s">
        <v>446</v>
      </c>
      <c r="E6" s="53" t="s">
        <v>595</v>
      </c>
      <c r="F6" s="10">
        <v>18.899999999999999</v>
      </c>
    </row>
    <row r="7" spans="1:7" ht="14.4" hidden="1" customHeight="1" x14ac:dyDescent="0.3">
      <c r="A7" s="10">
        <v>2</v>
      </c>
      <c r="B7" s="53" t="s">
        <v>619</v>
      </c>
      <c r="C7" s="10" t="s">
        <v>439</v>
      </c>
      <c r="D7" s="10" t="s">
        <v>559</v>
      </c>
      <c r="E7" s="10"/>
      <c r="F7" s="10"/>
    </row>
    <row r="8" spans="1:7" ht="14.4" customHeight="1" x14ac:dyDescent="0.3">
      <c r="A8" s="10">
        <v>2</v>
      </c>
      <c r="B8" s="53" t="s">
        <v>617</v>
      </c>
      <c r="C8" s="10" t="s">
        <v>558</v>
      </c>
      <c r="D8" s="10" t="s">
        <v>557</v>
      </c>
      <c r="E8" s="53" t="s">
        <v>595</v>
      </c>
      <c r="F8" s="10">
        <f>23.7</f>
        <v>23.7</v>
      </c>
    </row>
    <row r="9" spans="1:7" ht="14.4" customHeight="1" x14ac:dyDescent="0.3">
      <c r="A9" s="10">
        <v>2</v>
      </c>
      <c r="B9" s="53" t="s">
        <v>617</v>
      </c>
      <c r="C9" s="10" t="s">
        <v>558</v>
      </c>
      <c r="D9" s="10" t="s">
        <v>557</v>
      </c>
      <c r="E9" s="53" t="s">
        <v>600</v>
      </c>
      <c r="F9" s="10">
        <v>0.8</v>
      </c>
    </row>
    <row r="10" spans="1:7" ht="14.4" hidden="1" customHeight="1" x14ac:dyDescent="0.3">
      <c r="A10" s="10">
        <v>2</v>
      </c>
      <c r="B10" s="53" t="s">
        <v>608</v>
      </c>
      <c r="C10" s="10" t="s">
        <v>439</v>
      </c>
      <c r="D10" s="10" t="s">
        <v>560</v>
      </c>
      <c r="E10" s="53" t="s">
        <v>592</v>
      </c>
      <c r="F10" s="10">
        <v>17.600000000000001</v>
      </c>
    </row>
    <row r="11" spans="1:7" ht="14.4" hidden="1" customHeight="1" x14ac:dyDescent="0.3">
      <c r="A11" s="10">
        <v>2</v>
      </c>
      <c r="B11" s="53" t="s">
        <v>608</v>
      </c>
      <c r="C11" s="10" t="s">
        <v>439</v>
      </c>
      <c r="D11" s="10" t="s">
        <v>560</v>
      </c>
      <c r="E11" s="53" t="s">
        <v>599</v>
      </c>
      <c r="F11" s="10">
        <v>25.1</v>
      </c>
    </row>
    <row r="12" spans="1:7" ht="14.4" hidden="1" customHeight="1" x14ac:dyDescent="0.3">
      <c r="A12" s="10">
        <v>2</v>
      </c>
      <c r="B12" s="53" t="s">
        <v>608</v>
      </c>
      <c r="C12" s="10" t="s">
        <v>439</v>
      </c>
      <c r="D12" s="10" t="s">
        <v>560</v>
      </c>
      <c r="E12" s="53" t="s">
        <v>600</v>
      </c>
      <c r="F12" s="10">
        <v>6.5</v>
      </c>
    </row>
    <row r="13" spans="1:7" ht="14.4" hidden="1" customHeight="1" x14ac:dyDescent="0.3">
      <c r="A13" s="10">
        <v>2</v>
      </c>
      <c r="B13" s="53" t="s">
        <v>609</v>
      </c>
      <c r="C13" s="10" t="s">
        <v>439</v>
      </c>
      <c r="D13" s="10" t="s">
        <v>561</v>
      </c>
      <c r="E13" s="53" t="s">
        <v>592</v>
      </c>
      <c r="F13" s="10">
        <v>10.5</v>
      </c>
    </row>
    <row r="14" spans="1:7" ht="14.4" hidden="1" customHeight="1" x14ac:dyDescent="0.3">
      <c r="A14" s="10">
        <v>2</v>
      </c>
      <c r="B14" s="53" t="s">
        <v>611</v>
      </c>
      <c r="C14" s="10" t="s">
        <v>513</v>
      </c>
      <c r="D14" s="10" t="s">
        <v>521</v>
      </c>
      <c r="E14" s="53" t="s">
        <v>592</v>
      </c>
      <c r="F14" s="53">
        <v>23.5</v>
      </c>
    </row>
    <row r="15" spans="1:7" ht="14.4" hidden="1" customHeight="1" x14ac:dyDescent="0.3">
      <c r="A15" s="10">
        <v>2</v>
      </c>
      <c r="B15" s="53" t="s">
        <v>610</v>
      </c>
      <c r="C15" s="10" t="s">
        <v>513</v>
      </c>
      <c r="D15" s="10" t="s">
        <v>522</v>
      </c>
      <c r="E15" s="53" t="s">
        <v>594</v>
      </c>
      <c r="F15" s="53">
        <v>4.8</v>
      </c>
    </row>
    <row r="16" spans="1:7" ht="14.4" hidden="1" customHeight="1" x14ac:dyDescent="0.3">
      <c r="A16" s="10">
        <v>2</v>
      </c>
      <c r="B16" s="53" t="s">
        <v>606</v>
      </c>
      <c r="C16" s="10" t="s">
        <v>440</v>
      </c>
      <c r="D16" s="10" t="s">
        <v>447</v>
      </c>
      <c r="E16" s="53" t="s">
        <v>595</v>
      </c>
      <c r="F16" s="53">
        <v>63.3</v>
      </c>
    </row>
    <row r="17" spans="1:6" ht="14.4" hidden="1" customHeight="1" x14ac:dyDescent="0.3">
      <c r="A17" s="10">
        <v>2</v>
      </c>
      <c r="B17" s="53" t="s">
        <v>606</v>
      </c>
      <c r="C17" s="10" t="s">
        <v>440</v>
      </c>
      <c r="D17" s="10" t="s">
        <v>448</v>
      </c>
      <c r="E17" s="53" t="s">
        <v>595</v>
      </c>
      <c r="F17" s="53">
        <v>64.3</v>
      </c>
    </row>
    <row r="18" spans="1:6" ht="14.4" hidden="1" customHeight="1" x14ac:dyDescent="0.3">
      <c r="A18" s="10">
        <v>2</v>
      </c>
      <c r="B18" s="53" t="s">
        <v>606</v>
      </c>
      <c r="C18" s="10" t="s">
        <v>440</v>
      </c>
      <c r="D18" s="10" t="s">
        <v>449</v>
      </c>
      <c r="E18" s="53" t="s">
        <v>595</v>
      </c>
      <c r="F18" s="53">
        <v>64.900000000000006</v>
      </c>
    </row>
    <row r="19" spans="1:6" ht="14.4" hidden="1" customHeight="1" x14ac:dyDescent="0.3">
      <c r="A19" s="10">
        <v>2</v>
      </c>
      <c r="B19" s="53" t="s">
        <v>606</v>
      </c>
      <c r="C19" s="10" t="s">
        <v>440</v>
      </c>
      <c r="D19" s="10" t="s">
        <v>450</v>
      </c>
      <c r="E19" s="53" t="s">
        <v>595</v>
      </c>
      <c r="F19" s="53">
        <v>63.5</v>
      </c>
    </row>
    <row r="20" spans="1:6" ht="14.4" hidden="1" customHeight="1" x14ac:dyDescent="0.3">
      <c r="A20" s="10">
        <v>2</v>
      </c>
      <c r="B20" s="53" t="s">
        <v>606</v>
      </c>
      <c r="C20" s="10" t="s">
        <v>440</v>
      </c>
      <c r="D20" s="10" t="s">
        <v>451</v>
      </c>
      <c r="E20" s="53" t="s">
        <v>595</v>
      </c>
      <c r="F20" s="53">
        <v>64</v>
      </c>
    </row>
    <row r="21" spans="1:6" ht="14.4" hidden="1" customHeight="1" x14ac:dyDescent="0.3">
      <c r="A21" s="10">
        <v>2</v>
      </c>
      <c r="B21" s="53" t="s">
        <v>607</v>
      </c>
      <c r="C21" s="10" t="s">
        <v>440</v>
      </c>
      <c r="D21" s="10" t="s">
        <v>452</v>
      </c>
      <c r="E21" s="53" t="s">
        <v>595</v>
      </c>
      <c r="F21" s="53">
        <v>237</v>
      </c>
    </row>
    <row r="22" spans="1:6" ht="14.4" hidden="1" customHeight="1" x14ac:dyDescent="0.3">
      <c r="A22" s="10">
        <v>2</v>
      </c>
      <c r="B22" s="53" t="s">
        <v>611</v>
      </c>
      <c r="C22" s="10" t="s">
        <v>513</v>
      </c>
      <c r="D22" s="10" t="s">
        <v>523</v>
      </c>
      <c r="E22" s="53" t="s">
        <v>592</v>
      </c>
      <c r="F22" s="53">
        <v>19.5</v>
      </c>
    </row>
    <row r="23" spans="1:6" ht="14.4" hidden="1" customHeight="1" x14ac:dyDescent="0.3">
      <c r="A23" s="10">
        <v>2</v>
      </c>
      <c r="B23" s="53" t="s">
        <v>608</v>
      </c>
      <c r="C23" s="10" t="s">
        <v>439</v>
      </c>
      <c r="D23" s="10" t="s">
        <v>562</v>
      </c>
      <c r="E23" s="53" t="s">
        <v>592</v>
      </c>
      <c r="F23" s="53">
        <v>30.2</v>
      </c>
    </row>
    <row r="24" spans="1:6" ht="14.4" hidden="1" customHeight="1" x14ac:dyDescent="0.3">
      <c r="A24" s="10">
        <v>2</v>
      </c>
      <c r="B24" s="53" t="s">
        <v>608</v>
      </c>
      <c r="C24" s="10" t="s">
        <v>439</v>
      </c>
      <c r="D24" s="10" t="s">
        <v>562</v>
      </c>
      <c r="E24" s="53" t="s">
        <v>599</v>
      </c>
      <c r="F24" s="53">
        <v>12.7</v>
      </c>
    </row>
    <row r="25" spans="1:6" ht="14.4" hidden="1" customHeight="1" x14ac:dyDescent="0.3">
      <c r="A25" s="10">
        <v>2</v>
      </c>
      <c r="B25" s="53" t="s">
        <v>608</v>
      </c>
      <c r="C25" s="10" t="s">
        <v>439</v>
      </c>
      <c r="D25" s="10" t="s">
        <v>562</v>
      </c>
      <c r="E25" s="53" t="s">
        <v>600</v>
      </c>
      <c r="F25" s="53">
        <v>6.5</v>
      </c>
    </row>
    <row r="26" spans="1:6" ht="14.4" hidden="1" customHeight="1" x14ac:dyDescent="0.3">
      <c r="A26" s="10">
        <v>2</v>
      </c>
      <c r="B26" s="53" t="s">
        <v>611</v>
      </c>
      <c r="C26" s="10" t="s">
        <v>513</v>
      </c>
      <c r="D26" s="10" t="s">
        <v>524</v>
      </c>
      <c r="E26" s="53" t="s">
        <v>592</v>
      </c>
      <c r="F26" s="53">
        <v>10.3</v>
      </c>
    </row>
    <row r="27" spans="1:6" ht="14.4" hidden="1" customHeight="1" x14ac:dyDescent="0.3">
      <c r="A27" s="10">
        <v>2</v>
      </c>
      <c r="B27" s="53" t="s">
        <v>611</v>
      </c>
      <c r="C27" s="10" t="s">
        <v>513</v>
      </c>
      <c r="D27" s="10" t="s">
        <v>525</v>
      </c>
      <c r="E27" s="53" t="s">
        <v>592</v>
      </c>
      <c r="F27" s="53">
        <v>5.6</v>
      </c>
    </row>
    <row r="28" spans="1:6" ht="14.4" hidden="1" customHeight="1" x14ac:dyDescent="0.3">
      <c r="A28" s="10">
        <v>2</v>
      </c>
      <c r="B28" s="53" t="s">
        <v>613</v>
      </c>
      <c r="C28" s="10" t="s">
        <v>440</v>
      </c>
      <c r="D28" s="10" t="s">
        <v>453</v>
      </c>
      <c r="E28" s="53" t="s">
        <v>595</v>
      </c>
      <c r="F28" s="53">
        <v>478.6</v>
      </c>
    </row>
    <row r="29" spans="1:6" ht="14.4" hidden="1" customHeight="1" x14ac:dyDescent="0.3">
      <c r="A29" s="10">
        <v>2</v>
      </c>
      <c r="B29" s="53" t="s">
        <v>613</v>
      </c>
      <c r="C29" s="10" t="s">
        <v>440</v>
      </c>
      <c r="D29" s="10" t="s">
        <v>453</v>
      </c>
      <c r="E29" s="53" t="s">
        <v>592</v>
      </c>
      <c r="F29" s="53">
        <v>3.1</v>
      </c>
    </row>
    <row r="30" spans="1:6" ht="14.4" hidden="1" customHeight="1" x14ac:dyDescent="0.3">
      <c r="A30" s="10">
        <v>2</v>
      </c>
      <c r="B30" s="53" t="s">
        <v>613</v>
      </c>
      <c r="C30" s="10" t="s">
        <v>439</v>
      </c>
      <c r="D30" s="10" t="s">
        <v>453</v>
      </c>
      <c r="E30" s="53" t="s">
        <v>599</v>
      </c>
      <c r="F30" s="53">
        <v>14.6</v>
      </c>
    </row>
    <row r="31" spans="1:6" ht="14.4" hidden="1" customHeight="1" x14ac:dyDescent="0.3">
      <c r="A31" s="10">
        <v>2</v>
      </c>
      <c r="B31" s="53" t="s">
        <v>608</v>
      </c>
      <c r="C31" s="10" t="s">
        <v>439</v>
      </c>
      <c r="D31" s="10" t="s">
        <v>563</v>
      </c>
      <c r="E31" s="53" t="s">
        <v>592</v>
      </c>
      <c r="F31" s="53">
        <v>15.8</v>
      </c>
    </row>
    <row r="32" spans="1:6" ht="14.4" hidden="1" customHeight="1" x14ac:dyDescent="0.3">
      <c r="A32" s="10">
        <v>2</v>
      </c>
      <c r="B32" s="53" t="s">
        <v>608</v>
      </c>
      <c r="C32" s="10" t="s">
        <v>439</v>
      </c>
      <c r="D32" s="10" t="s">
        <v>563</v>
      </c>
      <c r="E32" s="53" t="s">
        <v>599</v>
      </c>
      <c r="F32" s="53">
        <v>13</v>
      </c>
    </row>
    <row r="33" spans="1:6" ht="14.4" hidden="1" customHeight="1" x14ac:dyDescent="0.3">
      <c r="A33" s="10">
        <v>2</v>
      </c>
      <c r="B33" s="53" t="s">
        <v>608</v>
      </c>
      <c r="C33" s="10" t="s">
        <v>439</v>
      </c>
      <c r="D33" s="10" t="s">
        <v>563</v>
      </c>
      <c r="E33" s="53" t="s">
        <v>600</v>
      </c>
      <c r="F33" s="53">
        <v>3.2</v>
      </c>
    </row>
    <row r="34" spans="1:6" ht="14.4" hidden="1" customHeight="1" x14ac:dyDescent="0.3">
      <c r="A34" s="10">
        <v>2</v>
      </c>
      <c r="B34" s="53" t="s">
        <v>608</v>
      </c>
      <c r="C34" s="10" t="s">
        <v>439</v>
      </c>
      <c r="D34" s="10" t="s">
        <v>564</v>
      </c>
      <c r="E34" s="53" t="s">
        <v>592</v>
      </c>
      <c r="F34" s="53">
        <v>15.8</v>
      </c>
    </row>
    <row r="35" spans="1:6" ht="14.4" hidden="1" customHeight="1" x14ac:dyDescent="0.3">
      <c r="A35" s="10">
        <v>2</v>
      </c>
      <c r="B35" s="53" t="s">
        <v>608</v>
      </c>
      <c r="C35" s="10" t="s">
        <v>439</v>
      </c>
      <c r="D35" s="10" t="s">
        <v>564</v>
      </c>
      <c r="E35" s="53" t="s">
        <v>599</v>
      </c>
      <c r="F35" s="53">
        <v>12.6</v>
      </c>
    </row>
    <row r="36" spans="1:6" ht="14.4" hidden="1" customHeight="1" x14ac:dyDescent="0.3">
      <c r="A36" s="10">
        <v>2</v>
      </c>
      <c r="B36" s="53" t="s">
        <v>608</v>
      </c>
      <c r="C36" s="10" t="s">
        <v>439</v>
      </c>
      <c r="D36" s="10" t="s">
        <v>564</v>
      </c>
      <c r="E36" s="53" t="s">
        <v>600</v>
      </c>
      <c r="F36" s="53">
        <v>6.5</v>
      </c>
    </row>
    <row r="37" spans="1:6" ht="14.4" hidden="1" customHeight="1" x14ac:dyDescent="0.3">
      <c r="A37" s="10">
        <v>2</v>
      </c>
      <c r="B37" s="53" t="s">
        <v>607</v>
      </c>
      <c r="C37" s="10" t="s">
        <v>440</v>
      </c>
      <c r="D37" s="10" t="s">
        <v>454</v>
      </c>
      <c r="E37" s="53" t="s">
        <v>595</v>
      </c>
      <c r="F37" s="53">
        <v>28.5</v>
      </c>
    </row>
    <row r="38" spans="1:6" ht="14.4" hidden="1" customHeight="1" x14ac:dyDescent="0.3">
      <c r="A38" s="10">
        <v>2</v>
      </c>
      <c r="B38" s="53" t="s">
        <v>611</v>
      </c>
      <c r="C38" s="10" t="s">
        <v>513</v>
      </c>
      <c r="D38" s="10" t="s">
        <v>526</v>
      </c>
      <c r="E38" s="53" t="s">
        <v>597</v>
      </c>
      <c r="F38" s="53">
        <f>16.6</f>
        <v>16.600000000000001</v>
      </c>
    </row>
    <row r="39" spans="1:6" ht="14.4" hidden="1" customHeight="1" x14ac:dyDescent="0.3">
      <c r="A39" s="10">
        <v>2</v>
      </c>
      <c r="B39" s="53" t="s">
        <v>611</v>
      </c>
      <c r="C39" s="10" t="s">
        <v>513</v>
      </c>
      <c r="D39" s="10" t="s">
        <v>527</v>
      </c>
      <c r="E39" s="53" t="s">
        <v>597</v>
      </c>
      <c r="F39" s="53">
        <v>8.1999999999999993</v>
      </c>
    </row>
    <row r="40" spans="1:6" ht="14.4" hidden="1" customHeight="1" x14ac:dyDescent="0.3">
      <c r="A40" s="10">
        <v>2</v>
      </c>
      <c r="B40" s="53" t="s">
        <v>611</v>
      </c>
      <c r="C40" s="10" t="s">
        <v>513</v>
      </c>
      <c r="D40" s="10" t="s">
        <v>528</v>
      </c>
      <c r="E40" s="53" t="s">
        <v>597</v>
      </c>
      <c r="F40" s="53">
        <v>19.8</v>
      </c>
    </row>
    <row r="41" spans="1:6" ht="14.4" hidden="1" customHeight="1" x14ac:dyDescent="0.3">
      <c r="A41" s="10">
        <v>2</v>
      </c>
      <c r="B41" s="53" t="s">
        <v>611</v>
      </c>
      <c r="C41" s="10" t="s">
        <v>513</v>
      </c>
      <c r="D41" s="10" t="s">
        <v>529</v>
      </c>
      <c r="E41" s="53" t="s">
        <v>597</v>
      </c>
      <c r="F41" s="53">
        <v>8.3000000000000007</v>
      </c>
    </row>
    <row r="42" spans="1:6" ht="14.4" hidden="1" customHeight="1" x14ac:dyDescent="0.3">
      <c r="A42" s="10">
        <v>2</v>
      </c>
      <c r="B42" s="53" t="s">
        <v>607</v>
      </c>
      <c r="C42" s="10" t="s">
        <v>440</v>
      </c>
      <c r="D42" s="10" t="s">
        <v>455</v>
      </c>
      <c r="E42" s="53" t="s">
        <v>595</v>
      </c>
      <c r="F42" s="53">
        <v>42.7</v>
      </c>
    </row>
    <row r="43" spans="1:6" ht="14.4" hidden="1" customHeight="1" x14ac:dyDescent="0.3">
      <c r="A43" s="10">
        <v>2</v>
      </c>
      <c r="B43" s="53" t="s">
        <v>607</v>
      </c>
      <c r="C43" s="10" t="s">
        <v>440</v>
      </c>
      <c r="D43" s="10" t="s">
        <v>530</v>
      </c>
      <c r="E43" s="53" t="s">
        <v>595</v>
      </c>
      <c r="F43" s="53">
        <v>12.6</v>
      </c>
    </row>
    <row r="44" spans="1:6" ht="14.4" hidden="1" customHeight="1" x14ac:dyDescent="0.3">
      <c r="A44" s="10">
        <v>2</v>
      </c>
      <c r="B44" s="53" t="s">
        <v>611</v>
      </c>
      <c r="C44" s="10" t="s">
        <v>513</v>
      </c>
      <c r="D44" s="10" t="s">
        <v>530</v>
      </c>
      <c r="E44" s="53" t="s">
        <v>597</v>
      </c>
      <c r="F44" s="53">
        <v>8.9</v>
      </c>
    </row>
    <row r="45" spans="1:6" ht="14.4" hidden="1" customHeight="1" x14ac:dyDescent="0.3">
      <c r="A45" s="10">
        <v>2</v>
      </c>
      <c r="B45" s="53" t="s">
        <v>607</v>
      </c>
      <c r="C45" s="10" t="s">
        <v>440</v>
      </c>
      <c r="D45" s="10" t="s">
        <v>456</v>
      </c>
      <c r="E45" s="53" t="s">
        <v>595</v>
      </c>
      <c r="F45" s="53">
        <f>20-F46</f>
        <v>10.199999999999999</v>
      </c>
    </row>
    <row r="46" spans="1:6" ht="14.4" hidden="1" customHeight="1" x14ac:dyDescent="0.3">
      <c r="A46" s="10">
        <v>2</v>
      </c>
      <c r="B46" s="53" t="s">
        <v>611</v>
      </c>
      <c r="C46" s="10" t="s">
        <v>513</v>
      </c>
      <c r="D46" s="10" t="s">
        <v>456</v>
      </c>
      <c r="E46" s="53" t="s">
        <v>597</v>
      </c>
      <c r="F46" s="53">
        <v>9.8000000000000007</v>
      </c>
    </row>
    <row r="47" spans="1:6" ht="14.4" hidden="1" customHeight="1" x14ac:dyDescent="0.3">
      <c r="A47" s="10">
        <v>2</v>
      </c>
      <c r="B47" s="53" t="s">
        <v>617</v>
      </c>
      <c r="C47" s="10" t="s">
        <v>512</v>
      </c>
      <c r="D47" s="10" t="s">
        <v>516</v>
      </c>
      <c r="E47" s="53" t="s">
        <v>592</v>
      </c>
      <c r="F47" s="53">
        <v>33.1</v>
      </c>
    </row>
    <row r="48" spans="1:6" ht="14.4" hidden="1" customHeight="1" x14ac:dyDescent="0.3">
      <c r="A48" s="10">
        <v>2</v>
      </c>
      <c r="B48" s="53" t="s">
        <v>611</v>
      </c>
      <c r="C48" s="10" t="s">
        <v>513</v>
      </c>
      <c r="D48" s="10" t="s">
        <v>531</v>
      </c>
      <c r="E48" s="53" t="s">
        <v>592</v>
      </c>
      <c r="F48" s="53">
        <v>8.1999999999999993</v>
      </c>
    </row>
    <row r="49" spans="1:7" ht="14.4" hidden="1" customHeight="1" x14ac:dyDescent="0.3">
      <c r="A49" s="10">
        <v>2</v>
      </c>
      <c r="B49" s="53" t="s">
        <v>610</v>
      </c>
      <c r="C49" s="10" t="s">
        <v>513</v>
      </c>
      <c r="D49" s="10" t="s">
        <v>532</v>
      </c>
      <c r="E49" s="53" t="s">
        <v>594</v>
      </c>
      <c r="F49" s="53">
        <v>7.6</v>
      </c>
    </row>
    <row r="50" spans="1:7" ht="14.4" hidden="1" customHeight="1" x14ac:dyDescent="0.3">
      <c r="A50" s="10">
        <v>2</v>
      </c>
      <c r="B50" s="53" t="s">
        <v>606</v>
      </c>
      <c r="C50" s="10" t="s">
        <v>440</v>
      </c>
      <c r="D50" s="10" t="s">
        <v>457</v>
      </c>
      <c r="E50" s="53" t="s">
        <v>595</v>
      </c>
      <c r="F50" s="53">
        <v>89</v>
      </c>
    </row>
    <row r="51" spans="1:7" ht="14.4" hidden="1" customHeight="1" x14ac:dyDescent="0.3">
      <c r="A51" s="10">
        <v>2</v>
      </c>
      <c r="B51" s="53" t="s">
        <v>618</v>
      </c>
      <c r="C51" s="10" t="s">
        <v>512</v>
      </c>
      <c r="D51" s="10" t="s">
        <v>517</v>
      </c>
      <c r="E51" s="53" t="s">
        <v>598</v>
      </c>
      <c r="F51" s="53">
        <v>543.1</v>
      </c>
    </row>
    <row r="52" spans="1:7" ht="14.4" hidden="1" customHeight="1" x14ac:dyDescent="0.3">
      <c r="A52" s="10">
        <v>2</v>
      </c>
      <c r="B52" s="53" t="s">
        <v>606</v>
      </c>
      <c r="C52" s="10" t="s">
        <v>512</v>
      </c>
      <c r="D52" s="10" t="s">
        <v>518</v>
      </c>
      <c r="E52" s="53" t="s">
        <v>595</v>
      </c>
      <c r="F52" s="53">
        <v>66.2</v>
      </c>
    </row>
    <row r="53" spans="1:7" ht="14.4" hidden="1" customHeight="1" x14ac:dyDescent="0.3">
      <c r="A53" s="10">
        <v>2</v>
      </c>
      <c r="B53" s="53" t="s">
        <v>606</v>
      </c>
      <c r="C53" s="10" t="s">
        <v>440</v>
      </c>
      <c r="D53" s="10" t="s">
        <v>458</v>
      </c>
      <c r="E53" s="53" t="s">
        <v>595</v>
      </c>
      <c r="F53" s="53">
        <v>62.5</v>
      </c>
    </row>
    <row r="54" spans="1:7" ht="14.4" hidden="1" customHeight="1" x14ac:dyDescent="0.3">
      <c r="A54" s="10">
        <v>2</v>
      </c>
      <c r="B54" s="53" t="s">
        <v>606</v>
      </c>
      <c r="C54" s="10" t="s">
        <v>440</v>
      </c>
      <c r="D54" s="10" t="s">
        <v>459</v>
      </c>
      <c r="E54" s="53" t="s">
        <v>595</v>
      </c>
      <c r="F54" s="53">
        <v>64.5</v>
      </c>
    </row>
    <row r="55" spans="1:7" ht="14.4" hidden="1" customHeight="1" x14ac:dyDescent="0.3">
      <c r="A55" s="10">
        <v>2</v>
      </c>
      <c r="B55" s="53" t="s">
        <v>606</v>
      </c>
      <c r="C55" s="10" t="s">
        <v>440</v>
      </c>
      <c r="D55" s="10" t="s">
        <v>460</v>
      </c>
      <c r="E55" s="53" t="s">
        <v>595</v>
      </c>
      <c r="F55" s="53">
        <v>64.2</v>
      </c>
    </row>
    <row r="56" spans="1:7" ht="14.4" hidden="1" customHeight="1" x14ac:dyDescent="0.3">
      <c r="A56" s="10">
        <v>2</v>
      </c>
      <c r="B56" s="53" t="s">
        <v>607</v>
      </c>
      <c r="C56" s="10" t="s">
        <v>440</v>
      </c>
      <c r="D56" s="10" t="s">
        <v>461</v>
      </c>
      <c r="E56" s="53" t="s">
        <v>595</v>
      </c>
      <c r="F56" s="53">
        <v>100.5</v>
      </c>
    </row>
    <row r="57" spans="1:7" ht="14.4" hidden="1" customHeight="1" x14ac:dyDescent="0.3">
      <c r="A57" s="10">
        <v>2</v>
      </c>
      <c r="B57" s="53" t="s">
        <v>609</v>
      </c>
      <c r="C57" s="10" t="s">
        <v>439</v>
      </c>
      <c r="D57" s="10" t="s">
        <v>565</v>
      </c>
      <c r="E57" s="53" t="s">
        <v>592</v>
      </c>
      <c r="F57" s="53">
        <v>10.9</v>
      </c>
    </row>
    <row r="58" spans="1:7" ht="14.4" hidden="1" customHeight="1" x14ac:dyDescent="0.3">
      <c r="A58" s="10">
        <v>2</v>
      </c>
      <c r="B58" s="53" t="s">
        <v>608</v>
      </c>
      <c r="C58" s="10" t="s">
        <v>439</v>
      </c>
      <c r="D58" s="10" t="s">
        <v>566</v>
      </c>
      <c r="E58" s="53" t="s">
        <v>592</v>
      </c>
      <c r="F58" s="53">
        <v>21.1</v>
      </c>
    </row>
    <row r="59" spans="1:7" ht="14.4" hidden="1" customHeight="1" x14ac:dyDescent="0.3">
      <c r="A59" s="10">
        <v>2</v>
      </c>
      <c r="B59" s="53" t="s">
        <v>608</v>
      </c>
      <c r="C59" s="10" t="s">
        <v>439</v>
      </c>
      <c r="D59" s="10" t="s">
        <v>566</v>
      </c>
      <c r="E59" s="53" t="s">
        <v>599</v>
      </c>
      <c r="F59" s="53">
        <v>12.6</v>
      </c>
    </row>
    <row r="60" spans="1:7" ht="14.4" hidden="1" customHeight="1" x14ac:dyDescent="0.3">
      <c r="A60" s="10">
        <v>2</v>
      </c>
      <c r="B60" s="53" t="s">
        <v>608</v>
      </c>
      <c r="C60" s="10" t="s">
        <v>439</v>
      </c>
      <c r="D60" s="10" t="s">
        <v>566</v>
      </c>
      <c r="E60" s="53" t="s">
        <v>600</v>
      </c>
      <c r="F60" s="53">
        <v>6.5</v>
      </c>
    </row>
    <row r="61" spans="1:7" ht="14.4" hidden="1" customHeight="1" x14ac:dyDescent="0.3">
      <c r="A61" s="10">
        <v>2</v>
      </c>
      <c r="B61" s="53" t="s">
        <v>606</v>
      </c>
      <c r="C61" s="10" t="s">
        <v>440</v>
      </c>
      <c r="D61" s="10" t="s">
        <v>462</v>
      </c>
      <c r="E61" s="53" t="s">
        <v>595</v>
      </c>
      <c r="F61" s="53">
        <v>218.3</v>
      </c>
      <c r="G61" s="50"/>
    </row>
    <row r="62" spans="1:7" ht="14.4" customHeight="1" x14ac:dyDescent="0.3">
      <c r="A62" s="10">
        <v>2</v>
      </c>
      <c r="B62" s="53" t="s">
        <v>606</v>
      </c>
      <c r="C62" s="10" t="s">
        <v>514</v>
      </c>
      <c r="D62" s="10" t="s">
        <v>462</v>
      </c>
      <c r="E62" s="53" t="s">
        <v>595</v>
      </c>
      <c r="F62" s="53">
        <v>0</v>
      </c>
    </row>
    <row r="63" spans="1:7" ht="14.4" hidden="1" customHeight="1" x14ac:dyDescent="0.3">
      <c r="A63" s="10">
        <v>2</v>
      </c>
      <c r="B63" s="53" t="s">
        <v>607</v>
      </c>
      <c r="C63" s="10" t="s">
        <v>440</v>
      </c>
      <c r="D63" s="10" t="s">
        <v>463</v>
      </c>
      <c r="E63" s="53" t="s">
        <v>595</v>
      </c>
      <c r="F63" s="53">
        <v>162.9</v>
      </c>
    </row>
    <row r="64" spans="1:7" ht="14.4" hidden="1" customHeight="1" x14ac:dyDescent="0.3">
      <c r="A64" s="10">
        <v>2</v>
      </c>
      <c r="B64" s="53" t="s">
        <v>606</v>
      </c>
      <c r="C64" s="10" t="s">
        <v>440</v>
      </c>
      <c r="D64" s="10" t="s">
        <v>464</v>
      </c>
      <c r="E64" s="53" t="s">
        <v>595</v>
      </c>
      <c r="F64" s="53">
        <v>41.9</v>
      </c>
    </row>
    <row r="65" spans="1:7" ht="14.4" hidden="1" customHeight="1" x14ac:dyDescent="0.3">
      <c r="A65" s="10">
        <v>2</v>
      </c>
      <c r="B65" s="53" t="s">
        <v>606</v>
      </c>
      <c r="C65" s="10" t="s">
        <v>440</v>
      </c>
      <c r="D65" s="10" t="s">
        <v>465</v>
      </c>
      <c r="E65" s="53" t="s">
        <v>595</v>
      </c>
      <c r="F65" s="53">
        <v>171.9</v>
      </c>
    </row>
    <row r="66" spans="1:7" ht="14.4" hidden="1" customHeight="1" x14ac:dyDescent="0.3">
      <c r="A66" s="10">
        <v>2</v>
      </c>
      <c r="B66" s="53" t="s">
        <v>607</v>
      </c>
      <c r="C66" s="10" t="s">
        <v>440</v>
      </c>
      <c r="D66" s="10" t="s">
        <v>466</v>
      </c>
      <c r="E66" s="53" t="s">
        <v>595</v>
      </c>
      <c r="F66" s="53">
        <v>130.5</v>
      </c>
    </row>
    <row r="67" spans="1:7" ht="14.4" hidden="1" customHeight="1" x14ac:dyDescent="0.3">
      <c r="A67" s="10">
        <v>2</v>
      </c>
      <c r="B67" s="53" t="s">
        <v>606</v>
      </c>
      <c r="C67" s="10" t="s">
        <v>440</v>
      </c>
      <c r="D67" s="10" t="s">
        <v>467</v>
      </c>
      <c r="E67" s="53" t="s">
        <v>595</v>
      </c>
      <c r="F67" s="53">
        <v>38.5</v>
      </c>
    </row>
    <row r="68" spans="1:7" ht="14.4" hidden="1" customHeight="1" x14ac:dyDescent="0.3">
      <c r="A68" s="10">
        <v>2</v>
      </c>
      <c r="B68" s="53" t="s">
        <v>611</v>
      </c>
      <c r="C68" s="10" t="s">
        <v>513</v>
      </c>
      <c r="D68" s="10" t="s">
        <v>533</v>
      </c>
      <c r="E68" s="53" t="s">
        <v>592</v>
      </c>
      <c r="F68" s="53">
        <v>22.2</v>
      </c>
    </row>
    <row r="69" spans="1:7" ht="14.4" hidden="1" customHeight="1" x14ac:dyDescent="0.3">
      <c r="A69" s="10">
        <v>2</v>
      </c>
      <c r="B69" s="53" t="s">
        <v>610</v>
      </c>
      <c r="C69" s="10" t="s">
        <v>513</v>
      </c>
      <c r="D69" s="10" t="s">
        <v>534</v>
      </c>
      <c r="E69" s="53" t="s">
        <v>594</v>
      </c>
      <c r="F69" s="53">
        <v>4.5</v>
      </c>
    </row>
    <row r="70" spans="1:7" ht="14.4" hidden="1" customHeight="1" x14ac:dyDescent="0.3">
      <c r="A70" s="10">
        <v>2</v>
      </c>
      <c r="B70" s="53" t="s">
        <v>611</v>
      </c>
      <c r="C70" s="10" t="s">
        <v>513</v>
      </c>
      <c r="D70" s="10" t="s">
        <v>535</v>
      </c>
      <c r="E70" s="53" t="s">
        <v>592</v>
      </c>
      <c r="F70" s="53">
        <v>5.8</v>
      </c>
    </row>
    <row r="71" spans="1:7" ht="14.4" hidden="1" customHeight="1" x14ac:dyDescent="0.3">
      <c r="A71" s="10">
        <v>2</v>
      </c>
      <c r="B71" s="53" t="s">
        <v>611</v>
      </c>
      <c r="C71" s="10" t="s">
        <v>513</v>
      </c>
      <c r="D71" s="10" t="s">
        <v>536</v>
      </c>
      <c r="E71" s="53" t="s">
        <v>592</v>
      </c>
      <c r="F71" s="53">
        <v>25.4</v>
      </c>
    </row>
    <row r="72" spans="1:7" ht="14.4" hidden="1" customHeight="1" x14ac:dyDescent="0.3">
      <c r="A72" s="10">
        <v>2</v>
      </c>
      <c r="B72" s="53" t="s">
        <v>609</v>
      </c>
      <c r="C72" s="10" t="s">
        <v>439</v>
      </c>
      <c r="D72" s="10" t="s">
        <v>567</v>
      </c>
      <c r="E72" s="53" t="s">
        <v>592</v>
      </c>
      <c r="F72" s="53">
        <v>10.5</v>
      </c>
    </row>
    <row r="73" spans="1:7" ht="14.4" hidden="1" customHeight="1" x14ac:dyDescent="0.3">
      <c r="A73" s="10">
        <v>2</v>
      </c>
      <c r="B73" s="53" t="s">
        <v>608</v>
      </c>
      <c r="C73" s="10" t="s">
        <v>439</v>
      </c>
      <c r="D73" s="10" t="s">
        <v>568</v>
      </c>
      <c r="E73" s="53" t="s">
        <v>592</v>
      </c>
      <c r="F73" s="53">
        <v>20.3</v>
      </c>
    </row>
    <row r="74" spans="1:7" ht="14.4" hidden="1" customHeight="1" x14ac:dyDescent="0.3">
      <c r="A74" s="10">
        <v>2</v>
      </c>
      <c r="B74" s="53" t="s">
        <v>608</v>
      </c>
      <c r="C74" s="10" t="s">
        <v>439</v>
      </c>
      <c r="D74" s="10" t="s">
        <v>568</v>
      </c>
      <c r="E74" s="53" t="s">
        <v>599</v>
      </c>
      <c r="F74" s="53">
        <v>12.6</v>
      </c>
    </row>
    <row r="75" spans="1:7" ht="14.4" hidden="1" customHeight="1" x14ac:dyDescent="0.3">
      <c r="A75" s="10">
        <v>2</v>
      </c>
      <c r="B75" s="53" t="s">
        <v>608</v>
      </c>
      <c r="C75" s="10" t="s">
        <v>439</v>
      </c>
      <c r="D75" s="10" t="s">
        <v>568</v>
      </c>
      <c r="E75" s="53" t="s">
        <v>600</v>
      </c>
      <c r="F75" s="53">
        <v>6.6</v>
      </c>
    </row>
    <row r="76" spans="1:7" ht="14.4" customHeight="1" x14ac:dyDescent="0.3">
      <c r="A76" s="10">
        <v>2</v>
      </c>
      <c r="B76" s="53" t="s">
        <v>617</v>
      </c>
      <c r="C76" s="10" t="s">
        <v>515</v>
      </c>
      <c r="D76" s="10" t="s">
        <v>556</v>
      </c>
      <c r="E76" s="53" t="s">
        <v>595</v>
      </c>
      <c r="F76" s="53">
        <v>20.3</v>
      </c>
    </row>
    <row r="77" spans="1:7" ht="14.4" hidden="1" customHeight="1" x14ac:dyDescent="0.3">
      <c r="A77" s="10">
        <v>2</v>
      </c>
      <c r="B77" s="53" t="s">
        <v>619</v>
      </c>
      <c r="C77" s="10" t="s">
        <v>439</v>
      </c>
      <c r="D77" s="10" t="s">
        <v>569</v>
      </c>
      <c r="E77" s="53" t="s">
        <v>596</v>
      </c>
      <c r="F77" s="53" t="s">
        <v>596</v>
      </c>
      <c r="G77" s="51"/>
    </row>
    <row r="78" spans="1:7" ht="14.4" hidden="1" customHeight="1" x14ac:dyDescent="0.3">
      <c r="A78" s="10">
        <v>2</v>
      </c>
      <c r="B78" s="53" t="s">
        <v>610</v>
      </c>
      <c r="C78" s="10" t="s">
        <v>513</v>
      </c>
      <c r="D78" s="10" t="s">
        <v>537</v>
      </c>
      <c r="E78" s="53" t="s">
        <v>594</v>
      </c>
      <c r="F78" s="53">
        <v>4.7</v>
      </c>
    </row>
    <row r="79" spans="1:7" ht="14.4" hidden="1" customHeight="1" x14ac:dyDescent="0.3">
      <c r="A79" s="10">
        <v>2</v>
      </c>
      <c r="B79" s="53" t="s">
        <v>606</v>
      </c>
      <c r="C79" s="10" t="s">
        <v>440</v>
      </c>
      <c r="D79" s="10" t="s">
        <v>468</v>
      </c>
      <c r="E79" s="53" t="s">
        <v>595</v>
      </c>
      <c r="F79" s="53">
        <v>34.700000000000003</v>
      </c>
    </row>
    <row r="80" spans="1:7" ht="14.4" hidden="1" customHeight="1" x14ac:dyDescent="0.3">
      <c r="A80" s="10">
        <v>2</v>
      </c>
      <c r="B80" s="53" t="s">
        <v>606</v>
      </c>
      <c r="C80" s="10" t="s">
        <v>440</v>
      </c>
      <c r="D80" s="10" t="s">
        <v>469</v>
      </c>
      <c r="E80" s="53" t="s">
        <v>595</v>
      </c>
      <c r="F80" s="53">
        <v>168.9</v>
      </c>
    </row>
    <row r="81" spans="1:7" ht="14.4" customHeight="1" x14ac:dyDescent="0.3">
      <c r="A81" s="10">
        <v>2</v>
      </c>
      <c r="B81" s="53" t="s">
        <v>616</v>
      </c>
      <c r="C81" s="10" t="s">
        <v>514</v>
      </c>
      <c r="D81" s="10" t="s">
        <v>469</v>
      </c>
      <c r="E81" s="53" t="s">
        <v>595</v>
      </c>
      <c r="F81" s="53" t="s">
        <v>596</v>
      </c>
      <c r="G81" s="51"/>
    </row>
    <row r="82" spans="1:7" ht="14.4" hidden="1" customHeight="1" x14ac:dyDescent="0.3">
      <c r="A82" s="10">
        <v>2</v>
      </c>
      <c r="B82" s="53" t="s">
        <v>607</v>
      </c>
      <c r="C82" s="10" t="s">
        <v>440</v>
      </c>
      <c r="D82" s="10" t="s">
        <v>470</v>
      </c>
      <c r="E82" s="53" t="s">
        <v>595</v>
      </c>
      <c r="F82" s="53">
        <v>216</v>
      </c>
    </row>
    <row r="83" spans="1:7" ht="14.4" hidden="1" customHeight="1" x14ac:dyDescent="0.3">
      <c r="A83" s="10">
        <v>2</v>
      </c>
      <c r="B83" s="53" t="s">
        <v>608</v>
      </c>
      <c r="C83" s="10" t="s">
        <v>439</v>
      </c>
      <c r="D83" s="10" t="s">
        <v>570</v>
      </c>
      <c r="E83" s="53" t="s">
        <v>592</v>
      </c>
      <c r="F83" s="53">
        <v>10.9</v>
      </c>
    </row>
    <row r="84" spans="1:7" ht="14.4" hidden="1" customHeight="1" x14ac:dyDescent="0.3">
      <c r="A84" s="10">
        <v>2</v>
      </c>
      <c r="B84" s="53" t="s">
        <v>608</v>
      </c>
      <c r="C84" s="10" t="s">
        <v>439</v>
      </c>
      <c r="D84" s="10" t="s">
        <v>570</v>
      </c>
      <c r="E84" s="53" t="s">
        <v>600</v>
      </c>
      <c r="F84" s="53">
        <v>6.5</v>
      </c>
    </row>
    <row r="85" spans="1:7" ht="14.4" hidden="1" customHeight="1" x14ac:dyDescent="0.3">
      <c r="A85" s="10">
        <v>2</v>
      </c>
      <c r="B85" s="53" t="s">
        <v>606</v>
      </c>
      <c r="C85" s="10" t="s">
        <v>440</v>
      </c>
      <c r="D85" s="10" t="s">
        <v>471</v>
      </c>
      <c r="E85" s="53" t="s">
        <v>595</v>
      </c>
      <c r="F85" s="53">
        <v>66.3</v>
      </c>
    </row>
    <row r="86" spans="1:7" ht="14.4" hidden="1" customHeight="1" x14ac:dyDescent="0.3">
      <c r="A86" s="10">
        <v>2</v>
      </c>
      <c r="B86" s="53" t="s">
        <v>610</v>
      </c>
      <c r="C86" s="10" t="s">
        <v>513</v>
      </c>
      <c r="D86" s="10" t="s">
        <v>538</v>
      </c>
      <c r="E86" s="53" t="s">
        <v>594</v>
      </c>
      <c r="F86" s="53">
        <v>4.3</v>
      </c>
    </row>
    <row r="87" spans="1:7" ht="14.4" hidden="1" customHeight="1" x14ac:dyDescent="0.3">
      <c r="A87" s="10">
        <v>2</v>
      </c>
      <c r="B87" s="53" t="s">
        <v>606</v>
      </c>
      <c r="C87" s="10" t="s">
        <v>440</v>
      </c>
      <c r="D87" s="10" t="s">
        <v>472</v>
      </c>
      <c r="E87" s="53" t="s">
        <v>595</v>
      </c>
      <c r="F87" s="10">
        <v>93.1</v>
      </c>
    </row>
    <row r="88" spans="1:7" ht="14.4" hidden="1" customHeight="1" x14ac:dyDescent="0.3">
      <c r="A88" s="10">
        <v>2</v>
      </c>
      <c r="B88" s="53" t="s">
        <v>607</v>
      </c>
      <c r="C88" s="10" t="s">
        <v>440</v>
      </c>
      <c r="D88" s="10" t="s">
        <v>473</v>
      </c>
      <c r="E88" s="53" t="s">
        <v>595</v>
      </c>
      <c r="F88" s="10">
        <v>91.8</v>
      </c>
    </row>
    <row r="89" spans="1:7" ht="14.4" hidden="1" customHeight="1" x14ac:dyDescent="0.3">
      <c r="A89" s="10">
        <v>2</v>
      </c>
      <c r="B89" s="53" t="s">
        <v>614</v>
      </c>
      <c r="C89" s="10" t="s">
        <v>440</v>
      </c>
      <c r="D89" s="10" t="s">
        <v>474</v>
      </c>
      <c r="E89" s="53" t="s">
        <v>595</v>
      </c>
      <c r="F89" s="10">
        <v>114</v>
      </c>
    </row>
    <row r="90" spans="1:7" ht="14.4" hidden="1" customHeight="1" x14ac:dyDescent="0.3">
      <c r="A90" s="10">
        <v>2</v>
      </c>
      <c r="B90" s="53" t="s">
        <v>611</v>
      </c>
      <c r="C90" s="10" t="s">
        <v>513</v>
      </c>
      <c r="D90" s="10" t="s">
        <v>539</v>
      </c>
      <c r="E90" s="53" t="s">
        <v>592</v>
      </c>
      <c r="F90" s="53">
        <v>0</v>
      </c>
      <c r="G90" s="51"/>
    </row>
    <row r="91" spans="1:7" ht="14.4" hidden="1" customHeight="1" x14ac:dyDescent="0.3">
      <c r="A91" s="10">
        <v>2</v>
      </c>
      <c r="B91" s="53" t="s">
        <v>612</v>
      </c>
      <c r="C91" s="10" t="s">
        <v>439</v>
      </c>
      <c r="D91" s="10" t="s">
        <v>571</v>
      </c>
      <c r="E91" s="53" t="s">
        <v>592</v>
      </c>
      <c r="F91" s="10">
        <v>15.7</v>
      </c>
    </row>
    <row r="92" spans="1:7" ht="14.4" hidden="1" customHeight="1" x14ac:dyDescent="0.3">
      <c r="A92" s="10">
        <v>2</v>
      </c>
      <c r="B92" s="53" t="s">
        <v>607</v>
      </c>
      <c r="C92" s="10" t="s">
        <v>440</v>
      </c>
      <c r="D92" s="10" t="s">
        <v>475</v>
      </c>
      <c r="E92" s="53" t="s">
        <v>595</v>
      </c>
      <c r="F92" s="10">
        <v>129.6</v>
      </c>
    </row>
    <row r="93" spans="1:7" ht="14.4" hidden="1" customHeight="1" x14ac:dyDescent="0.3">
      <c r="A93" s="10">
        <v>3</v>
      </c>
      <c r="B93" s="53" t="s">
        <v>606</v>
      </c>
      <c r="C93" s="10" t="s">
        <v>440</v>
      </c>
      <c r="D93" s="10" t="s">
        <v>476</v>
      </c>
      <c r="E93" s="53" t="s">
        <v>595</v>
      </c>
      <c r="F93" s="10">
        <v>82.2</v>
      </c>
    </row>
    <row r="94" spans="1:7" ht="14.4" hidden="1" customHeight="1" x14ac:dyDescent="0.3">
      <c r="A94" s="10">
        <v>3</v>
      </c>
      <c r="B94" s="53" t="s">
        <v>606</v>
      </c>
      <c r="C94" s="10" t="s">
        <v>440</v>
      </c>
      <c r="D94" s="10" t="s">
        <v>477</v>
      </c>
      <c r="E94" s="53" t="s">
        <v>595</v>
      </c>
      <c r="F94">
        <v>63.6</v>
      </c>
    </row>
    <row r="95" spans="1:7" ht="14.4" hidden="1" customHeight="1" x14ac:dyDescent="0.3">
      <c r="A95" s="10">
        <v>3</v>
      </c>
      <c r="B95" s="53" t="s">
        <v>606</v>
      </c>
      <c r="C95" s="10" t="s">
        <v>440</v>
      </c>
      <c r="D95" s="10" t="s">
        <v>478</v>
      </c>
      <c r="E95" s="53" t="s">
        <v>595</v>
      </c>
      <c r="F95">
        <v>85.1</v>
      </c>
    </row>
    <row r="96" spans="1:7" ht="14.4" hidden="1" customHeight="1" x14ac:dyDescent="0.3">
      <c r="A96" s="10">
        <v>3</v>
      </c>
      <c r="B96" s="53" t="s">
        <v>607</v>
      </c>
      <c r="C96" s="10" t="s">
        <v>440</v>
      </c>
      <c r="D96" s="10" t="s">
        <v>479</v>
      </c>
      <c r="E96" s="53" t="s">
        <v>595</v>
      </c>
      <c r="F96" s="10">
        <v>96.7</v>
      </c>
    </row>
    <row r="97" spans="1:6" ht="14.4" hidden="1" customHeight="1" x14ac:dyDescent="0.3">
      <c r="A97" s="10">
        <v>3</v>
      </c>
      <c r="B97" s="53" t="s">
        <v>606</v>
      </c>
      <c r="C97" s="10" t="s">
        <v>440</v>
      </c>
      <c r="D97" s="10" t="s">
        <v>480</v>
      </c>
      <c r="E97" s="53" t="s">
        <v>595</v>
      </c>
      <c r="F97" s="10">
        <v>19</v>
      </c>
    </row>
    <row r="98" spans="1:6" ht="14.4" hidden="1" customHeight="1" x14ac:dyDescent="0.3">
      <c r="A98" s="10">
        <v>3</v>
      </c>
      <c r="B98" s="53" t="s">
        <v>608</v>
      </c>
      <c r="C98" s="10" t="s">
        <v>439</v>
      </c>
      <c r="D98" s="10" t="s">
        <v>572</v>
      </c>
      <c r="E98" s="53" t="s">
        <v>592</v>
      </c>
      <c r="F98" s="10">
        <v>13.2</v>
      </c>
    </row>
    <row r="99" spans="1:6" ht="14.4" hidden="1" customHeight="1" x14ac:dyDescent="0.3">
      <c r="A99" s="10">
        <v>3</v>
      </c>
      <c r="B99" s="53" t="s">
        <v>609</v>
      </c>
      <c r="C99" s="10" t="s">
        <v>439</v>
      </c>
      <c r="D99" s="10" t="s">
        <v>573</v>
      </c>
      <c r="E99" s="53" t="s">
        <v>592</v>
      </c>
      <c r="F99" s="10">
        <v>9.6</v>
      </c>
    </row>
    <row r="100" spans="1:6" hidden="1" x14ac:dyDescent="0.3">
      <c r="A100" s="10">
        <v>3</v>
      </c>
      <c r="B100" s="53" t="s">
        <v>610</v>
      </c>
      <c r="C100" s="10" t="s">
        <v>513</v>
      </c>
      <c r="D100" s="10" t="s">
        <v>540</v>
      </c>
      <c r="E100" s="53" t="s">
        <v>594</v>
      </c>
      <c r="F100" s="88">
        <v>4.8</v>
      </c>
    </row>
    <row r="101" spans="1:6" ht="14.4" hidden="1" customHeight="1" x14ac:dyDescent="0.3">
      <c r="A101" s="10">
        <v>3</v>
      </c>
      <c r="B101" s="53" t="s">
        <v>611</v>
      </c>
      <c r="C101" s="10" t="s">
        <v>513</v>
      </c>
      <c r="D101" s="54" t="s">
        <v>541</v>
      </c>
      <c r="E101" s="53" t="s">
        <v>592</v>
      </c>
      <c r="F101" s="88">
        <v>23.6</v>
      </c>
    </row>
    <row r="102" spans="1:6" ht="14.4" hidden="1" customHeight="1" x14ac:dyDescent="0.3">
      <c r="A102" s="10">
        <v>3</v>
      </c>
      <c r="B102" s="53" t="s">
        <v>606</v>
      </c>
      <c r="C102" s="10" t="s">
        <v>440</v>
      </c>
      <c r="D102" s="10" t="s">
        <v>481</v>
      </c>
      <c r="E102" s="53" t="s">
        <v>595</v>
      </c>
      <c r="F102" s="10">
        <v>103.5</v>
      </c>
    </row>
    <row r="103" spans="1:6" ht="14.4" hidden="1" customHeight="1" x14ac:dyDescent="0.3">
      <c r="A103" s="10">
        <v>3</v>
      </c>
      <c r="B103" s="53" t="s">
        <v>606</v>
      </c>
      <c r="C103" s="10" t="s">
        <v>440</v>
      </c>
      <c r="D103" s="10" t="s">
        <v>482</v>
      </c>
      <c r="E103" s="53" t="s">
        <v>595</v>
      </c>
      <c r="F103" s="10">
        <v>90.3</v>
      </c>
    </row>
    <row r="104" spans="1:6" ht="14.4" hidden="1" customHeight="1" x14ac:dyDescent="0.3">
      <c r="A104" s="10">
        <v>3</v>
      </c>
      <c r="B104" s="53" t="s">
        <v>607</v>
      </c>
      <c r="C104" s="10" t="s">
        <v>440</v>
      </c>
      <c r="D104" s="10" t="s">
        <v>483</v>
      </c>
      <c r="E104" s="53" t="s">
        <v>595</v>
      </c>
      <c r="F104" s="10">
        <v>237</v>
      </c>
    </row>
    <row r="105" spans="1:6" ht="14.4" hidden="1" customHeight="1" x14ac:dyDescent="0.3">
      <c r="A105" s="10">
        <v>3</v>
      </c>
      <c r="B105" s="53" t="s">
        <v>606</v>
      </c>
      <c r="C105" s="10" t="s">
        <v>440</v>
      </c>
      <c r="D105" s="10" t="s">
        <v>484</v>
      </c>
      <c r="E105" s="53" t="s">
        <v>595</v>
      </c>
      <c r="F105" s="10">
        <v>63.3</v>
      </c>
    </row>
    <row r="106" spans="1:6" ht="14.4" hidden="1" customHeight="1" x14ac:dyDescent="0.3">
      <c r="A106" s="10">
        <v>3</v>
      </c>
      <c r="B106" s="53" t="s">
        <v>606</v>
      </c>
      <c r="C106" s="10" t="s">
        <v>440</v>
      </c>
      <c r="D106" s="10" t="s">
        <v>485</v>
      </c>
      <c r="E106" s="53" t="s">
        <v>595</v>
      </c>
      <c r="F106" s="10">
        <v>64</v>
      </c>
    </row>
    <row r="107" spans="1:6" ht="14.4" hidden="1" customHeight="1" x14ac:dyDescent="0.3">
      <c r="A107" s="10">
        <v>3</v>
      </c>
      <c r="B107" s="53" t="s">
        <v>611</v>
      </c>
      <c r="C107" s="10" t="s">
        <v>513</v>
      </c>
      <c r="D107" s="54" t="s">
        <v>542</v>
      </c>
      <c r="E107" s="53" t="s">
        <v>592</v>
      </c>
      <c r="F107" s="88">
        <v>19.600000000000001</v>
      </c>
    </row>
    <row r="108" spans="1:6" ht="14.4" hidden="1" customHeight="1" x14ac:dyDescent="0.3">
      <c r="A108" s="10">
        <v>3</v>
      </c>
      <c r="B108" s="53" t="s">
        <v>608</v>
      </c>
      <c r="C108" s="10" t="s">
        <v>439</v>
      </c>
      <c r="D108" s="10" t="s">
        <v>574</v>
      </c>
      <c r="E108" s="53" t="s">
        <v>592</v>
      </c>
      <c r="F108" s="10">
        <v>19.7</v>
      </c>
    </row>
    <row r="109" spans="1:6" ht="14.4" hidden="1" customHeight="1" x14ac:dyDescent="0.3">
      <c r="A109" s="10">
        <v>3</v>
      </c>
      <c r="B109" s="53" t="s">
        <v>611</v>
      </c>
      <c r="C109" s="10" t="s">
        <v>513</v>
      </c>
      <c r="D109" s="54" t="s">
        <v>543</v>
      </c>
      <c r="E109" s="53" t="s">
        <v>592</v>
      </c>
      <c r="F109" s="88">
        <v>10.5</v>
      </c>
    </row>
    <row r="110" spans="1:6" ht="14.4" hidden="1" customHeight="1" x14ac:dyDescent="0.3">
      <c r="A110" s="10">
        <v>3</v>
      </c>
      <c r="B110" s="53" t="s">
        <v>611</v>
      </c>
      <c r="C110" s="10" t="s">
        <v>513</v>
      </c>
      <c r="D110" s="54" t="s">
        <v>544</v>
      </c>
      <c r="E110" s="53" t="s">
        <v>592</v>
      </c>
      <c r="F110" s="88">
        <v>5.6</v>
      </c>
    </row>
    <row r="111" spans="1:6" ht="14.4" hidden="1" customHeight="1" x14ac:dyDescent="0.3">
      <c r="A111" s="10">
        <v>3</v>
      </c>
      <c r="B111" s="53" t="s">
        <v>613</v>
      </c>
      <c r="C111" s="10" t="s">
        <v>440</v>
      </c>
      <c r="D111" s="10" t="s">
        <v>486</v>
      </c>
      <c r="E111" s="53" t="s">
        <v>595</v>
      </c>
      <c r="F111" s="10">
        <v>319.7</v>
      </c>
    </row>
    <row r="112" spans="1:6" ht="14.4" hidden="1" customHeight="1" x14ac:dyDescent="0.3">
      <c r="A112" s="10">
        <v>3</v>
      </c>
      <c r="B112" s="53" t="s">
        <v>608</v>
      </c>
      <c r="C112" s="10" t="s">
        <v>439</v>
      </c>
      <c r="D112" s="10" t="s">
        <v>575</v>
      </c>
      <c r="E112" s="53" t="s">
        <v>592</v>
      </c>
      <c r="F112" s="10">
        <v>10.199999999999999</v>
      </c>
    </row>
    <row r="113" spans="1:6" ht="14.4" hidden="1" customHeight="1" x14ac:dyDescent="0.3">
      <c r="A113" s="10">
        <v>3</v>
      </c>
      <c r="B113" s="53" t="s">
        <v>606</v>
      </c>
      <c r="C113" s="10" t="s">
        <v>440</v>
      </c>
      <c r="D113" s="10" t="s">
        <v>487</v>
      </c>
      <c r="E113" s="53" t="s">
        <v>595</v>
      </c>
      <c r="F113" s="10">
        <v>24.7</v>
      </c>
    </row>
    <row r="114" spans="1:6" ht="14.4" hidden="1" customHeight="1" x14ac:dyDescent="0.3">
      <c r="A114" s="10">
        <v>3</v>
      </c>
      <c r="B114" s="53" t="s">
        <v>606</v>
      </c>
      <c r="C114" s="10" t="s">
        <v>440</v>
      </c>
      <c r="D114" s="10" t="s">
        <v>488</v>
      </c>
      <c r="E114" s="53" t="s">
        <v>595</v>
      </c>
      <c r="F114" s="10">
        <v>75.8</v>
      </c>
    </row>
    <row r="115" spans="1:6" ht="14.4" hidden="1" customHeight="1" x14ac:dyDescent="0.3">
      <c r="A115" s="10">
        <v>3</v>
      </c>
      <c r="B115" s="53" t="s">
        <v>607</v>
      </c>
      <c r="C115" s="10" t="s">
        <v>440</v>
      </c>
      <c r="D115" s="10" t="s">
        <v>489</v>
      </c>
      <c r="E115" s="53" t="s">
        <v>595</v>
      </c>
      <c r="F115" s="10">
        <v>189.7</v>
      </c>
    </row>
    <row r="116" spans="1:6" ht="14.4" hidden="1" customHeight="1" x14ac:dyDescent="0.3">
      <c r="A116" s="10">
        <v>3</v>
      </c>
      <c r="B116" s="53" t="s">
        <v>608</v>
      </c>
      <c r="C116" s="10" t="s">
        <v>439</v>
      </c>
      <c r="D116" s="10" t="s">
        <v>576</v>
      </c>
      <c r="E116" s="53" t="s">
        <v>592</v>
      </c>
      <c r="F116" s="10">
        <v>10.6</v>
      </c>
    </row>
    <row r="117" spans="1:6" ht="14.4" hidden="1" customHeight="1" x14ac:dyDescent="0.3">
      <c r="A117" s="10">
        <v>3</v>
      </c>
      <c r="B117" s="53" t="s">
        <v>611</v>
      </c>
      <c r="C117" s="10" t="s">
        <v>513</v>
      </c>
      <c r="D117" s="54" t="s">
        <v>545</v>
      </c>
      <c r="E117" s="53" t="s">
        <v>592</v>
      </c>
      <c r="F117" s="88">
        <v>8.1999999999999993</v>
      </c>
    </row>
    <row r="118" spans="1:6" hidden="1" x14ac:dyDescent="0.3">
      <c r="A118" s="10">
        <v>3</v>
      </c>
      <c r="B118" s="53" t="s">
        <v>610</v>
      </c>
      <c r="C118" s="10" t="s">
        <v>513</v>
      </c>
      <c r="D118" s="10" t="s">
        <v>546</v>
      </c>
      <c r="E118" s="53" t="s">
        <v>594</v>
      </c>
      <c r="F118" s="88">
        <v>7.6</v>
      </c>
    </row>
    <row r="119" spans="1:6" ht="14.4" hidden="1" customHeight="1" x14ac:dyDescent="0.3">
      <c r="A119" s="10">
        <v>3</v>
      </c>
      <c r="B119" s="53" t="s">
        <v>606</v>
      </c>
      <c r="C119" s="10" t="s">
        <v>440</v>
      </c>
      <c r="D119" s="10" t="s">
        <v>490</v>
      </c>
      <c r="E119" s="53" t="s">
        <v>595</v>
      </c>
      <c r="F119" s="10">
        <v>90.9</v>
      </c>
    </row>
    <row r="120" spans="1:6" ht="14.4" hidden="1" customHeight="1" x14ac:dyDescent="0.3">
      <c r="A120" s="10">
        <v>3</v>
      </c>
      <c r="B120" s="53" t="s">
        <v>606</v>
      </c>
      <c r="C120" s="10" t="s">
        <v>440</v>
      </c>
      <c r="D120" s="10" t="s">
        <v>491</v>
      </c>
      <c r="E120" s="53" t="s">
        <v>595</v>
      </c>
      <c r="F120" s="10">
        <v>63.8</v>
      </c>
    </row>
    <row r="121" spans="1:6" hidden="1" x14ac:dyDescent="0.3">
      <c r="A121" s="10">
        <v>3</v>
      </c>
      <c r="B121" s="53" t="s">
        <v>610</v>
      </c>
      <c r="C121" s="10" t="s">
        <v>513</v>
      </c>
      <c r="D121" s="10" t="s">
        <v>547</v>
      </c>
      <c r="E121" s="53" t="s">
        <v>594</v>
      </c>
      <c r="F121" s="88">
        <v>4.5</v>
      </c>
    </row>
    <row r="122" spans="1:6" ht="14.4" hidden="1" customHeight="1" x14ac:dyDescent="0.3">
      <c r="A122" s="10">
        <v>3</v>
      </c>
      <c r="B122" s="53" t="s">
        <v>606</v>
      </c>
      <c r="C122" s="10" t="s">
        <v>440</v>
      </c>
      <c r="D122" s="10" t="s">
        <v>492</v>
      </c>
      <c r="E122" s="53" t="s">
        <v>595</v>
      </c>
      <c r="F122" s="10">
        <v>63.9</v>
      </c>
    </row>
    <row r="123" spans="1:6" ht="14.4" hidden="1" customHeight="1" x14ac:dyDescent="0.3">
      <c r="A123" s="10">
        <v>3</v>
      </c>
      <c r="B123" s="53" t="s">
        <v>606</v>
      </c>
      <c r="C123" s="10" t="s">
        <v>440</v>
      </c>
      <c r="D123" s="10" t="s">
        <v>493</v>
      </c>
      <c r="E123" s="53" t="s">
        <v>595</v>
      </c>
      <c r="F123" s="10">
        <v>64.5</v>
      </c>
    </row>
    <row r="124" spans="1:6" ht="14.4" hidden="1" customHeight="1" x14ac:dyDescent="0.3">
      <c r="A124" s="10">
        <v>3</v>
      </c>
      <c r="B124" s="53" t="s">
        <v>606</v>
      </c>
      <c r="C124" s="10" t="s">
        <v>440</v>
      </c>
      <c r="D124" s="10" t="s">
        <v>494</v>
      </c>
      <c r="E124" s="53" t="s">
        <v>595</v>
      </c>
      <c r="F124" s="10">
        <v>64.400000000000006</v>
      </c>
    </row>
    <row r="125" spans="1:6" ht="14.4" hidden="1" customHeight="1" x14ac:dyDescent="0.3">
      <c r="A125" s="10">
        <v>3</v>
      </c>
      <c r="B125" s="53" t="s">
        <v>609</v>
      </c>
      <c r="C125" s="10" t="s">
        <v>439</v>
      </c>
      <c r="D125" s="10" t="s">
        <v>577</v>
      </c>
      <c r="E125" s="53" t="s">
        <v>592</v>
      </c>
      <c r="F125" s="10">
        <v>9.8000000000000007</v>
      </c>
    </row>
    <row r="126" spans="1:6" ht="14.4" hidden="1" customHeight="1" x14ac:dyDescent="0.3">
      <c r="A126" s="10">
        <v>3</v>
      </c>
      <c r="B126" s="53" t="s">
        <v>608</v>
      </c>
      <c r="C126" s="10" t="s">
        <v>439</v>
      </c>
      <c r="D126" s="10" t="s">
        <v>578</v>
      </c>
      <c r="E126" s="53" t="s">
        <v>592</v>
      </c>
      <c r="F126" s="10">
        <v>15.9</v>
      </c>
    </row>
    <row r="127" spans="1:6" ht="14.4" hidden="1" customHeight="1" x14ac:dyDescent="0.3">
      <c r="A127" s="10">
        <v>3</v>
      </c>
      <c r="B127" s="53" t="s">
        <v>608</v>
      </c>
      <c r="C127" s="10" t="s">
        <v>439</v>
      </c>
      <c r="D127" s="10" t="s">
        <v>578</v>
      </c>
      <c r="E127" s="53" t="s">
        <v>599</v>
      </c>
      <c r="F127" s="10">
        <v>0.5</v>
      </c>
    </row>
    <row r="128" spans="1:6" ht="14.4" hidden="1" customHeight="1" x14ac:dyDescent="0.3">
      <c r="A128" s="10">
        <v>3</v>
      </c>
      <c r="B128" s="53" t="s">
        <v>606</v>
      </c>
      <c r="C128" s="10" t="s">
        <v>440</v>
      </c>
      <c r="D128" s="10" t="s">
        <v>495</v>
      </c>
      <c r="E128" s="53" t="s">
        <v>595</v>
      </c>
      <c r="F128" s="10">
        <v>63.6</v>
      </c>
    </row>
    <row r="129" spans="1:6" ht="14.4" hidden="1" customHeight="1" x14ac:dyDescent="0.3">
      <c r="A129" s="10">
        <v>3</v>
      </c>
      <c r="B129" s="53" t="s">
        <v>606</v>
      </c>
      <c r="C129" s="10" t="s">
        <v>440</v>
      </c>
      <c r="D129" s="10" t="s">
        <v>496</v>
      </c>
      <c r="E129" s="53" t="s">
        <v>595</v>
      </c>
      <c r="F129" s="10">
        <v>63</v>
      </c>
    </row>
    <row r="130" spans="1:6" ht="14.4" hidden="1" customHeight="1" x14ac:dyDescent="0.3">
      <c r="A130" s="10">
        <v>3</v>
      </c>
      <c r="B130" s="53" t="s">
        <v>607</v>
      </c>
      <c r="C130" s="10" t="s">
        <v>440</v>
      </c>
      <c r="D130" s="10" t="s">
        <v>497</v>
      </c>
      <c r="E130" s="53" t="s">
        <v>595</v>
      </c>
      <c r="F130" s="10">
        <v>118.8</v>
      </c>
    </row>
    <row r="131" spans="1:6" ht="14.4" hidden="1" customHeight="1" x14ac:dyDescent="0.3">
      <c r="A131" s="10">
        <v>3</v>
      </c>
      <c r="B131" s="53" t="s">
        <v>606</v>
      </c>
      <c r="C131" s="10" t="s">
        <v>440</v>
      </c>
      <c r="D131" s="10" t="s">
        <v>498</v>
      </c>
      <c r="E131" s="53" t="s">
        <v>595</v>
      </c>
      <c r="F131" s="10">
        <v>198.2</v>
      </c>
    </row>
    <row r="132" spans="1:6" ht="14.4" customHeight="1" x14ac:dyDescent="0.3">
      <c r="A132" s="10">
        <v>3</v>
      </c>
      <c r="B132" s="53" t="s">
        <v>616</v>
      </c>
      <c r="C132" s="10" t="s">
        <v>514</v>
      </c>
      <c r="D132" s="10" t="s">
        <v>498</v>
      </c>
      <c r="E132" s="53"/>
      <c r="F132" s="10"/>
    </row>
    <row r="133" spans="1:6" ht="14.4" hidden="1" customHeight="1" x14ac:dyDescent="0.3">
      <c r="A133" s="10">
        <v>3</v>
      </c>
      <c r="B133" s="53" t="s">
        <v>606</v>
      </c>
      <c r="C133" s="10" t="s">
        <v>440</v>
      </c>
      <c r="D133" s="10" t="s">
        <v>499</v>
      </c>
      <c r="E133" s="53" t="s">
        <v>595</v>
      </c>
      <c r="F133" s="10">
        <v>20.6</v>
      </c>
    </row>
    <row r="134" spans="1:6" ht="14.4" hidden="1" customHeight="1" x14ac:dyDescent="0.3">
      <c r="A134" s="10">
        <v>3</v>
      </c>
      <c r="B134" s="53" t="s">
        <v>606</v>
      </c>
      <c r="C134" s="10" t="s">
        <v>440</v>
      </c>
      <c r="D134" s="10" t="s">
        <v>500</v>
      </c>
      <c r="E134" s="53" t="s">
        <v>595</v>
      </c>
      <c r="F134" s="10">
        <v>122.4</v>
      </c>
    </row>
    <row r="135" spans="1:6" ht="14.4" hidden="1" customHeight="1" x14ac:dyDescent="0.3">
      <c r="A135" s="10">
        <v>3</v>
      </c>
      <c r="B135" s="53" t="s">
        <v>607</v>
      </c>
      <c r="C135" s="10" t="s">
        <v>440</v>
      </c>
      <c r="D135" s="10" t="s">
        <v>501</v>
      </c>
      <c r="E135" s="53" t="s">
        <v>595</v>
      </c>
      <c r="F135" s="10">
        <v>167.2</v>
      </c>
    </row>
    <row r="136" spans="1:6" ht="14.4" hidden="1" customHeight="1" x14ac:dyDescent="0.3">
      <c r="A136" s="10">
        <v>3</v>
      </c>
      <c r="B136" s="53" t="s">
        <v>611</v>
      </c>
      <c r="C136" s="10" t="s">
        <v>513</v>
      </c>
      <c r="D136" s="54" t="s">
        <v>548</v>
      </c>
      <c r="E136" s="53" t="s">
        <v>592</v>
      </c>
      <c r="F136" s="88">
        <v>22.4</v>
      </c>
    </row>
    <row r="137" spans="1:6" ht="14.4" hidden="1" customHeight="1" x14ac:dyDescent="0.3">
      <c r="A137" s="10">
        <v>3</v>
      </c>
      <c r="B137" s="53" t="s">
        <v>611</v>
      </c>
      <c r="C137" s="10" t="s">
        <v>513</v>
      </c>
      <c r="D137" s="54" t="s">
        <v>549</v>
      </c>
      <c r="E137" s="53" t="s">
        <v>592</v>
      </c>
      <c r="F137" s="88">
        <v>25.6</v>
      </c>
    </row>
    <row r="138" spans="1:6" hidden="1" x14ac:dyDescent="0.3">
      <c r="A138" s="10">
        <v>3</v>
      </c>
      <c r="B138" s="53" t="s">
        <v>610</v>
      </c>
      <c r="C138" s="10" t="s">
        <v>513</v>
      </c>
      <c r="D138" s="54" t="s">
        <v>550</v>
      </c>
      <c r="E138" s="53" t="s">
        <v>594</v>
      </c>
      <c r="F138" s="88">
        <v>4.5</v>
      </c>
    </row>
    <row r="139" spans="1:6" ht="14.4" hidden="1" customHeight="1" x14ac:dyDescent="0.3">
      <c r="A139" s="10">
        <v>3</v>
      </c>
      <c r="B139" s="53" t="s">
        <v>611</v>
      </c>
      <c r="C139" s="10" t="s">
        <v>513</v>
      </c>
      <c r="D139" s="54" t="s">
        <v>551</v>
      </c>
      <c r="E139" s="53" t="s">
        <v>592</v>
      </c>
      <c r="F139" s="88">
        <v>5.8</v>
      </c>
    </row>
    <row r="140" spans="1:6" ht="14.4" hidden="1" customHeight="1" x14ac:dyDescent="0.3">
      <c r="A140" s="10">
        <v>3</v>
      </c>
      <c r="B140" s="53" t="s">
        <v>609</v>
      </c>
      <c r="C140" s="10" t="s">
        <v>439</v>
      </c>
      <c r="D140" s="10" t="s">
        <v>579</v>
      </c>
      <c r="E140" s="53" t="s">
        <v>592</v>
      </c>
      <c r="F140" s="10">
        <v>9.6</v>
      </c>
    </row>
    <row r="141" spans="1:6" ht="14.4" hidden="1" customHeight="1" x14ac:dyDescent="0.3">
      <c r="A141" s="10">
        <v>3</v>
      </c>
      <c r="B141" s="53" t="s">
        <v>608</v>
      </c>
      <c r="C141" s="10" t="s">
        <v>439</v>
      </c>
      <c r="D141" s="10" t="s">
        <v>580</v>
      </c>
      <c r="E141" s="53" t="s">
        <v>592</v>
      </c>
      <c r="F141" s="10">
        <v>15.6</v>
      </c>
    </row>
    <row r="142" spans="1:6" ht="14.4" hidden="1" customHeight="1" x14ac:dyDescent="0.3">
      <c r="A142" s="10">
        <v>3</v>
      </c>
      <c r="B142" s="53" t="s">
        <v>614</v>
      </c>
      <c r="C142" s="10" t="s">
        <v>440</v>
      </c>
      <c r="D142" s="10" t="s">
        <v>502</v>
      </c>
      <c r="E142" s="53" t="s">
        <v>595</v>
      </c>
      <c r="F142" s="10">
        <v>96.8</v>
      </c>
    </row>
    <row r="143" spans="1:6" ht="14.4" hidden="1" customHeight="1" x14ac:dyDescent="0.3">
      <c r="A143" s="10">
        <v>3</v>
      </c>
      <c r="B143" s="53" t="s">
        <v>606</v>
      </c>
      <c r="C143" s="10" t="s">
        <v>440</v>
      </c>
      <c r="D143" s="10" t="s">
        <v>503</v>
      </c>
      <c r="E143" s="53" t="s">
        <v>595</v>
      </c>
      <c r="F143" s="10">
        <v>54.7</v>
      </c>
    </row>
    <row r="144" spans="1:6" ht="14.4" hidden="1" customHeight="1" x14ac:dyDescent="0.3">
      <c r="A144" s="10">
        <v>3</v>
      </c>
      <c r="B144" s="53" t="s">
        <v>606</v>
      </c>
      <c r="C144" s="10" t="s">
        <v>440</v>
      </c>
      <c r="D144" s="10" t="s">
        <v>504</v>
      </c>
      <c r="E144" s="53" t="s">
        <v>595</v>
      </c>
      <c r="F144" s="10">
        <v>147.1</v>
      </c>
    </row>
    <row r="145" spans="1:6" ht="14.4" customHeight="1" x14ac:dyDescent="0.3">
      <c r="A145" s="10">
        <v>3</v>
      </c>
      <c r="B145" s="53" t="s">
        <v>616</v>
      </c>
      <c r="C145" s="10" t="s">
        <v>514</v>
      </c>
      <c r="D145" s="10" t="s">
        <v>504</v>
      </c>
      <c r="E145" s="10"/>
      <c r="F145" s="10"/>
    </row>
    <row r="146" spans="1:6" ht="14.4" hidden="1" customHeight="1" x14ac:dyDescent="0.3">
      <c r="A146" s="10">
        <v>3</v>
      </c>
      <c r="B146" s="53" t="s">
        <v>607</v>
      </c>
      <c r="C146" s="10" t="s">
        <v>440</v>
      </c>
      <c r="D146" s="10" t="s">
        <v>505</v>
      </c>
      <c r="E146" s="53" t="s">
        <v>595</v>
      </c>
      <c r="F146" s="10">
        <v>200.8</v>
      </c>
    </row>
    <row r="147" spans="1:6" ht="14.4" hidden="1" customHeight="1" x14ac:dyDescent="0.3">
      <c r="A147" s="10">
        <v>3</v>
      </c>
      <c r="B147" s="53" t="s">
        <v>608</v>
      </c>
      <c r="C147" s="10" t="s">
        <v>439</v>
      </c>
      <c r="D147" s="10" t="s">
        <v>581</v>
      </c>
      <c r="E147" s="53" t="s">
        <v>592</v>
      </c>
      <c r="F147" s="10">
        <v>11.1</v>
      </c>
    </row>
    <row r="148" spans="1:6" ht="14.4" hidden="1" customHeight="1" x14ac:dyDescent="0.3">
      <c r="A148" s="10">
        <v>3</v>
      </c>
      <c r="B148" s="53" t="s">
        <v>606</v>
      </c>
      <c r="C148" s="10" t="s">
        <v>440</v>
      </c>
      <c r="D148" s="10" t="s">
        <v>519</v>
      </c>
      <c r="E148" s="53" t="s">
        <v>595</v>
      </c>
      <c r="F148" s="10">
        <v>202.4</v>
      </c>
    </row>
    <row r="149" spans="1:6" ht="14.4" hidden="1" customHeight="1" x14ac:dyDescent="0.3">
      <c r="A149" s="10">
        <v>3</v>
      </c>
      <c r="B149" s="53" t="s">
        <v>606</v>
      </c>
      <c r="C149" s="10" t="s">
        <v>440</v>
      </c>
      <c r="D149" s="10" t="s">
        <v>506</v>
      </c>
      <c r="E149" s="53" t="s">
        <v>595</v>
      </c>
      <c r="F149" s="10">
        <v>90.4</v>
      </c>
    </row>
    <row r="150" spans="1:6" ht="14.4" hidden="1" customHeight="1" x14ac:dyDescent="0.3">
      <c r="A150" s="10">
        <v>3</v>
      </c>
      <c r="B150" s="53" t="s">
        <v>611</v>
      </c>
      <c r="C150" s="10" t="s">
        <v>513</v>
      </c>
      <c r="D150" s="54" t="s">
        <v>552</v>
      </c>
      <c r="E150" s="53" t="s">
        <v>592</v>
      </c>
      <c r="F150" s="88">
        <v>14.7</v>
      </c>
    </row>
    <row r="151" spans="1:6" ht="14.4" hidden="1" customHeight="1" x14ac:dyDescent="0.3">
      <c r="A151" s="10">
        <v>3</v>
      </c>
      <c r="B151" s="53" t="s">
        <v>611</v>
      </c>
      <c r="C151" s="10" t="s">
        <v>513</v>
      </c>
      <c r="D151" s="54" t="s">
        <v>553</v>
      </c>
      <c r="E151" s="53" t="s">
        <v>592</v>
      </c>
      <c r="F151" s="88">
        <v>8.9</v>
      </c>
    </row>
    <row r="152" spans="1:6" ht="14.4" hidden="1" customHeight="1" x14ac:dyDescent="0.3">
      <c r="A152" s="10">
        <v>3</v>
      </c>
      <c r="B152" s="53" t="s">
        <v>606</v>
      </c>
      <c r="C152" s="10" t="s">
        <v>440</v>
      </c>
      <c r="D152" s="10" t="s">
        <v>507</v>
      </c>
      <c r="E152" s="53" t="s">
        <v>595</v>
      </c>
      <c r="F152" s="10">
        <v>76.7</v>
      </c>
    </row>
    <row r="153" spans="1:6" ht="14.4" hidden="1" customHeight="1" x14ac:dyDescent="0.3">
      <c r="A153" s="10">
        <v>3</v>
      </c>
      <c r="B153" s="53" t="s">
        <v>617</v>
      </c>
      <c r="C153" s="10" t="s">
        <v>512</v>
      </c>
      <c r="D153" s="10" t="s">
        <v>520</v>
      </c>
      <c r="E153" s="53" t="s">
        <v>592</v>
      </c>
      <c r="F153" s="10">
        <v>39.9</v>
      </c>
    </row>
    <row r="154" spans="1:6" hidden="1" x14ac:dyDescent="0.3">
      <c r="A154" s="10">
        <v>3</v>
      </c>
      <c r="B154" s="53" t="s">
        <v>617</v>
      </c>
      <c r="C154" s="10" t="s">
        <v>440</v>
      </c>
      <c r="D154" s="10" t="s">
        <v>508</v>
      </c>
      <c r="E154" s="53" t="s">
        <v>594</v>
      </c>
      <c r="F154" s="10">
        <v>7.7</v>
      </c>
    </row>
    <row r="155" spans="1:6" hidden="1" x14ac:dyDescent="0.3">
      <c r="A155" s="10">
        <v>3</v>
      </c>
      <c r="B155" s="53" t="s">
        <v>617</v>
      </c>
      <c r="C155" s="10" t="s">
        <v>440</v>
      </c>
      <c r="D155" s="10" t="s">
        <v>509</v>
      </c>
      <c r="E155" s="53" t="s">
        <v>594</v>
      </c>
      <c r="F155" s="10">
        <v>13</v>
      </c>
    </row>
    <row r="156" spans="1:6" hidden="1" x14ac:dyDescent="0.3">
      <c r="A156" s="10">
        <v>3</v>
      </c>
      <c r="B156" s="53" t="s">
        <v>617</v>
      </c>
      <c r="C156" s="10" t="s">
        <v>440</v>
      </c>
      <c r="D156" s="10" t="s">
        <v>510</v>
      </c>
      <c r="E156" s="53" t="s">
        <v>594</v>
      </c>
      <c r="F156" s="10">
        <v>12</v>
      </c>
    </row>
    <row r="157" spans="1:6" ht="14.4" hidden="1" customHeight="1" x14ac:dyDescent="0.3">
      <c r="A157" s="10">
        <v>3</v>
      </c>
      <c r="B157" s="53" t="s">
        <v>615</v>
      </c>
      <c r="C157" s="10" t="s">
        <v>440</v>
      </c>
      <c r="D157" s="10" t="s">
        <v>511</v>
      </c>
      <c r="E157" s="53" t="s">
        <v>595</v>
      </c>
      <c r="F157" s="10">
        <v>72.900000000000006</v>
      </c>
    </row>
    <row r="158" spans="1:6" ht="14.4" hidden="1" customHeight="1" x14ac:dyDescent="0.3">
      <c r="A158" s="10">
        <v>3</v>
      </c>
      <c r="B158" s="53" t="s">
        <v>611</v>
      </c>
      <c r="C158" s="10" t="s">
        <v>513</v>
      </c>
      <c r="D158" s="54" t="s">
        <v>554</v>
      </c>
      <c r="E158" s="53" t="s">
        <v>592</v>
      </c>
      <c r="F158" s="88">
        <v>15.8</v>
      </c>
    </row>
    <row r="159" spans="1:6" ht="14.4" hidden="1" customHeight="1" x14ac:dyDescent="0.3">
      <c r="A159" s="10">
        <v>3</v>
      </c>
      <c r="B159" s="53" t="s">
        <v>611</v>
      </c>
      <c r="C159" s="10" t="s">
        <v>513</v>
      </c>
      <c r="D159" s="54" t="s">
        <v>555</v>
      </c>
      <c r="E159" s="53" t="s">
        <v>592</v>
      </c>
      <c r="F159" s="53">
        <v>0</v>
      </c>
    </row>
    <row r="160" spans="1:6" ht="14.4" hidden="1" customHeight="1" x14ac:dyDescent="0.3">
      <c r="A160" s="10">
        <v>3</v>
      </c>
      <c r="B160" s="53" t="s">
        <v>607</v>
      </c>
      <c r="C160" s="10" t="s">
        <v>440</v>
      </c>
      <c r="D160" s="10" t="s">
        <v>441</v>
      </c>
      <c r="E160" s="53" t="s">
        <v>595</v>
      </c>
      <c r="F160" s="10">
        <v>101.4</v>
      </c>
    </row>
    <row r="161" spans="1:6" ht="14.4" hidden="1" customHeight="1" x14ac:dyDescent="0.3">
      <c r="A161" s="10">
        <v>3</v>
      </c>
      <c r="B161" s="53" t="s">
        <v>612</v>
      </c>
      <c r="C161" s="10" t="s">
        <v>439</v>
      </c>
      <c r="D161" s="10" t="s">
        <v>582</v>
      </c>
      <c r="E161" s="53" t="s">
        <v>592</v>
      </c>
      <c r="F161" s="10">
        <v>15.7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B74" sqref="B74"/>
    </sheetView>
  </sheetViews>
  <sheetFormatPr defaultRowHeight="14.4" x14ac:dyDescent="0.3"/>
  <cols>
    <col min="4" max="4" width="9.6640625" customWidth="1"/>
  </cols>
  <sheetData>
    <row r="1" spans="1:6" x14ac:dyDescent="0.3">
      <c r="A1" s="73" t="s">
        <v>605</v>
      </c>
      <c r="B1" s="73" t="s">
        <v>583</v>
      </c>
      <c r="C1" s="73" t="s">
        <v>604</v>
      </c>
      <c r="D1" s="73" t="s">
        <v>584</v>
      </c>
      <c r="E1" s="73" t="s">
        <v>593</v>
      </c>
      <c r="F1" s="73" t="s">
        <v>591</v>
      </c>
    </row>
    <row r="2" spans="1:6" hidden="1" x14ac:dyDescent="0.3">
      <c r="A2" s="64">
        <v>2</v>
      </c>
      <c r="B2" s="64" t="s">
        <v>606</v>
      </c>
      <c r="C2" s="64" t="s">
        <v>440</v>
      </c>
      <c r="D2" s="64" t="s">
        <v>442</v>
      </c>
      <c r="E2" s="64" t="s">
        <v>595</v>
      </c>
      <c r="F2" s="64">
        <v>80.599999999999994</v>
      </c>
    </row>
    <row r="3" spans="1:6" hidden="1" x14ac:dyDescent="0.3">
      <c r="A3" s="54">
        <v>2</v>
      </c>
      <c r="B3" s="54" t="s">
        <v>606</v>
      </c>
      <c r="C3" s="54" t="s">
        <v>440</v>
      </c>
      <c r="D3" s="54" t="s">
        <v>443</v>
      </c>
      <c r="E3" s="54" t="s">
        <v>595</v>
      </c>
      <c r="F3" s="54">
        <v>64.8</v>
      </c>
    </row>
    <row r="4" spans="1:6" hidden="1" x14ac:dyDescent="0.3">
      <c r="A4" s="64">
        <v>2</v>
      </c>
      <c r="B4" s="64" t="s">
        <v>607</v>
      </c>
      <c r="C4" s="64" t="s">
        <v>440</v>
      </c>
      <c r="D4" s="64" t="s">
        <v>444</v>
      </c>
      <c r="E4" s="64" t="s">
        <v>595</v>
      </c>
      <c r="F4" s="64">
        <v>218.7</v>
      </c>
    </row>
    <row r="5" spans="1:6" hidden="1" x14ac:dyDescent="0.3">
      <c r="A5" s="54">
        <v>2</v>
      </c>
      <c r="B5" s="54" t="s">
        <v>606</v>
      </c>
      <c r="C5" s="54" t="s">
        <v>440</v>
      </c>
      <c r="D5" s="54" t="s">
        <v>445</v>
      </c>
      <c r="E5" s="54" t="s">
        <v>595</v>
      </c>
      <c r="F5" s="54">
        <v>45.7</v>
      </c>
    </row>
    <row r="6" spans="1:6" hidden="1" x14ac:dyDescent="0.3">
      <c r="A6" s="64">
        <v>2</v>
      </c>
      <c r="B6" s="64" t="s">
        <v>606</v>
      </c>
      <c r="C6" s="64" t="s">
        <v>440</v>
      </c>
      <c r="D6" s="64" t="s">
        <v>446</v>
      </c>
      <c r="E6" s="64" t="s">
        <v>595</v>
      </c>
      <c r="F6" s="64">
        <v>18.899999999999999</v>
      </c>
    </row>
    <row r="7" spans="1:6" x14ac:dyDescent="0.3">
      <c r="A7" s="54">
        <v>2</v>
      </c>
      <c r="B7" s="54" t="s">
        <v>617</v>
      </c>
      <c r="C7" s="54" t="s">
        <v>558</v>
      </c>
      <c r="D7" s="54" t="s">
        <v>557</v>
      </c>
      <c r="E7" s="54" t="s">
        <v>595</v>
      </c>
      <c r="F7" s="54">
        <v>24.5</v>
      </c>
    </row>
    <row r="8" spans="1:6" hidden="1" x14ac:dyDescent="0.3">
      <c r="A8" s="64">
        <v>2</v>
      </c>
      <c r="B8" s="64" t="s">
        <v>606</v>
      </c>
      <c r="C8" s="64" t="s">
        <v>440</v>
      </c>
      <c r="D8" s="64" t="s">
        <v>447</v>
      </c>
      <c r="E8" s="64" t="s">
        <v>595</v>
      </c>
      <c r="F8" s="64">
        <v>63.3</v>
      </c>
    </row>
    <row r="9" spans="1:6" hidden="1" x14ac:dyDescent="0.3">
      <c r="A9" s="54">
        <v>2</v>
      </c>
      <c r="B9" s="54" t="s">
        <v>606</v>
      </c>
      <c r="C9" s="54" t="s">
        <v>440</v>
      </c>
      <c r="D9" s="54" t="s">
        <v>448</v>
      </c>
      <c r="E9" s="54" t="s">
        <v>595</v>
      </c>
      <c r="F9" s="54">
        <v>64.3</v>
      </c>
    </row>
    <row r="10" spans="1:6" hidden="1" x14ac:dyDescent="0.3">
      <c r="A10" s="64">
        <v>2</v>
      </c>
      <c r="B10" s="64" t="s">
        <v>606</v>
      </c>
      <c r="C10" s="64" t="s">
        <v>440</v>
      </c>
      <c r="D10" s="64" t="s">
        <v>449</v>
      </c>
      <c r="E10" s="64" t="s">
        <v>595</v>
      </c>
      <c r="F10" s="64">
        <v>64.900000000000006</v>
      </c>
    </row>
    <row r="11" spans="1:6" hidden="1" x14ac:dyDescent="0.3">
      <c r="A11" s="54">
        <v>2</v>
      </c>
      <c r="B11" s="54" t="s">
        <v>606</v>
      </c>
      <c r="C11" s="54" t="s">
        <v>440</v>
      </c>
      <c r="D11" s="54" t="s">
        <v>450</v>
      </c>
      <c r="E11" s="54" t="s">
        <v>595</v>
      </c>
      <c r="F11" s="54">
        <v>63.5</v>
      </c>
    </row>
    <row r="12" spans="1:6" hidden="1" x14ac:dyDescent="0.3">
      <c r="A12" s="64">
        <v>2</v>
      </c>
      <c r="B12" s="64" t="s">
        <v>606</v>
      </c>
      <c r="C12" s="64" t="s">
        <v>440</v>
      </c>
      <c r="D12" s="64" t="s">
        <v>451</v>
      </c>
      <c r="E12" s="64" t="s">
        <v>595</v>
      </c>
      <c r="F12" s="64">
        <v>64</v>
      </c>
    </row>
    <row r="13" spans="1:6" hidden="1" x14ac:dyDescent="0.3">
      <c r="A13" s="54">
        <v>2</v>
      </c>
      <c r="B13" s="54" t="s">
        <v>607</v>
      </c>
      <c r="C13" s="54" t="s">
        <v>440</v>
      </c>
      <c r="D13" s="54" t="s">
        <v>452</v>
      </c>
      <c r="E13" s="54" t="s">
        <v>595</v>
      </c>
      <c r="F13" s="54">
        <v>237</v>
      </c>
    </row>
    <row r="14" spans="1:6" hidden="1" x14ac:dyDescent="0.3">
      <c r="A14" s="64">
        <v>2</v>
      </c>
      <c r="B14" s="64" t="s">
        <v>613</v>
      </c>
      <c r="C14" s="64" t="s">
        <v>440</v>
      </c>
      <c r="D14" s="64" t="s">
        <v>453</v>
      </c>
      <c r="E14" s="64" t="s">
        <v>595</v>
      </c>
      <c r="F14" s="64">
        <v>478.6</v>
      </c>
    </row>
    <row r="15" spans="1:6" hidden="1" x14ac:dyDescent="0.3">
      <c r="A15" s="54">
        <v>2</v>
      </c>
      <c r="B15" s="54" t="s">
        <v>607</v>
      </c>
      <c r="C15" s="54" t="s">
        <v>440</v>
      </c>
      <c r="D15" s="54" t="s">
        <v>454</v>
      </c>
      <c r="E15" s="54" t="s">
        <v>595</v>
      </c>
      <c r="F15" s="54">
        <v>28.5</v>
      </c>
    </row>
    <row r="16" spans="1:6" hidden="1" x14ac:dyDescent="0.3">
      <c r="A16" s="64">
        <v>2</v>
      </c>
      <c r="B16" s="64" t="s">
        <v>607</v>
      </c>
      <c r="C16" s="64" t="s">
        <v>440</v>
      </c>
      <c r="D16" s="64" t="s">
        <v>455</v>
      </c>
      <c r="E16" s="64" t="s">
        <v>595</v>
      </c>
      <c r="F16" s="64">
        <v>42.7</v>
      </c>
    </row>
    <row r="17" spans="1:6" hidden="1" x14ac:dyDescent="0.3">
      <c r="A17" s="54">
        <v>2</v>
      </c>
      <c r="B17" s="54" t="s">
        <v>607</v>
      </c>
      <c r="C17" s="54" t="s">
        <v>440</v>
      </c>
      <c r="D17" s="54" t="s">
        <v>456</v>
      </c>
      <c r="E17" s="54" t="s">
        <v>595</v>
      </c>
      <c r="F17" s="54">
        <v>10.199999999999999</v>
      </c>
    </row>
    <row r="18" spans="1:6" hidden="1" x14ac:dyDescent="0.3">
      <c r="A18" s="64">
        <v>2</v>
      </c>
      <c r="B18" s="64" t="s">
        <v>606</v>
      </c>
      <c r="C18" s="64" t="s">
        <v>440</v>
      </c>
      <c r="D18" s="64" t="s">
        <v>457</v>
      </c>
      <c r="E18" s="64" t="s">
        <v>595</v>
      </c>
      <c r="F18" s="64">
        <v>89</v>
      </c>
    </row>
    <row r="19" spans="1:6" x14ac:dyDescent="0.3">
      <c r="A19" s="54">
        <v>2</v>
      </c>
      <c r="B19" s="54" t="s">
        <v>618</v>
      </c>
      <c r="C19" s="54" t="s">
        <v>512</v>
      </c>
      <c r="D19" s="54" t="s">
        <v>517</v>
      </c>
      <c r="E19" s="54" t="s">
        <v>598</v>
      </c>
      <c r="F19" s="54">
        <v>543.1</v>
      </c>
    </row>
    <row r="20" spans="1:6" x14ac:dyDescent="0.3">
      <c r="A20" s="64">
        <v>2</v>
      </c>
      <c r="B20" s="64" t="s">
        <v>606</v>
      </c>
      <c r="C20" s="64" t="s">
        <v>512</v>
      </c>
      <c r="D20" s="64" t="s">
        <v>518</v>
      </c>
      <c r="E20" s="64" t="s">
        <v>595</v>
      </c>
      <c r="F20" s="64">
        <v>66.2</v>
      </c>
    </row>
    <row r="21" spans="1:6" hidden="1" x14ac:dyDescent="0.3">
      <c r="A21" s="54">
        <v>2</v>
      </c>
      <c r="B21" s="54" t="s">
        <v>606</v>
      </c>
      <c r="C21" s="54" t="s">
        <v>440</v>
      </c>
      <c r="D21" s="54" t="s">
        <v>458</v>
      </c>
      <c r="E21" s="54" t="s">
        <v>595</v>
      </c>
      <c r="F21" s="54">
        <v>62.5</v>
      </c>
    </row>
    <row r="22" spans="1:6" hidden="1" x14ac:dyDescent="0.3">
      <c r="A22" s="64">
        <v>2</v>
      </c>
      <c r="B22" s="64" t="s">
        <v>606</v>
      </c>
      <c r="C22" s="64" t="s">
        <v>440</v>
      </c>
      <c r="D22" s="64" t="s">
        <v>459</v>
      </c>
      <c r="E22" s="64" t="s">
        <v>595</v>
      </c>
      <c r="F22" s="64">
        <v>64.5</v>
      </c>
    </row>
    <row r="23" spans="1:6" hidden="1" x14ac:dyDescent="0.3">
      <c r="A23" s="54">
        <v>2</v>
      </c>
      <c r="B23" s="54" t="s">
        <v>606</v>
      </c>
      <c r="C23" s="54" t="s">
        <v>440</v>
      </c>
      <c r="D23" s="54" t="s">
        <v>460</v>
      </c>
      <c r="E23" s="54" t="s">
        <v>595</v>
      </c>
      <c r="F23" s="54">
        <v>64.2</v>
      </c>
    </row>
    <row r="24" spans="1:6" hidden="1" x14ac:dyDescent="0.3">
      <c r="A24" s="64">
        <v>2</v>
      </c>
      <c r="B24" s="64" t="s">
        <v>607</v>
      </c>
      <c r="C24" s="64" t="s">
        <v>440</v>
      </c>
      <c r="D24" s="64" t="s">
        <v>461</v>
      </c>
      <c r="E24" s="64" t="s">
        <v>595</v>
      </c>
      <c r="F24" s="64">
        <v>100.5</v>
      </c>
    </row>
    <row r="25" spans="1:6" hidden="1" x14ac:dyDescent="0.3">
      <c r="A25" s="54">
        <v>2</v>
      </c>
      <c r="B25" s="54" t="s">
        <v>606</v>
      </c>
      <c r="C25" s="54" t="s">
        <v>440</v>
      </c>
      <c r="D25" s="54" t="s">
        <v>462</v>
      </c>
      <c r="E25" s="54" t="s">
        <v>595</v>
      </c>
      <c r="F25" s="52">
        <v>218.3</v>
      </c>
    </row>
    <row r="26" spans="1:6" x14ac:dyDescent="0.3">
      <c r="A26" s="64">
        <v>2</v>
      </c>
      <c r="B26" s="64" t="s">
        <v>606</v>
      </c>
      <c r="C26" s="64" t="s">
        <v>514</v>
      </c>
      <c r="D26" s="64" t="s">
        <v>462</v>
      </c>
      <c r="E26" s="64" t="s">
        <v>595</v>
      </c>
      <c r="F26" s="64">
        <v>0</v>
      </c>
    </row>
    <row r="27" spans="1:6" hidden="1" x14ac:dyDescent="0.3">
      <c r="A27" s="54">
        <v>2</v>
      </c>
      <c r="B27" s="54" t="s">
        <v>607</v>
      </c>
      <c r="C27" s="54" t="s">
        <v>440</v>
      </c>
      <c r="D27" s="54" t="s">
        <v>463</v>
      </c>
      <c r="E27" s="54" t="s">
        <v>595</v>
      </c>
      <c r="F27" s="54">
        <v>162.9</v>
      </c>
    </row>
    <row r="28" spans="1:6" hidden="1" x14ac:dyDescent="0.3">
      <c r="A28" s="64">
        <v>2</v>
      </c>
      <c r="B28" s="64" t="s">
        <v>606</v>
      </c>
      <c r="C28" s="64" t="s">
        <v>440</v>
      </c>
      <c r="D28" s="64" t="s">
        <v>464</v>
      </c>
      <c r="E28" s="64" t="s">
        <v>595</v>
      </c>
      <c r="F28" s="64">
        <v>41.9</v>
      </c>
    </row>
    <row r="29" spans="1:6" hidden="1" x14ac:dyDescent="0.3">
      <c r="A29" s="54">
        <v>2</v>
      </c>
      <c r="B29" s="54" t="s">
        <v>606</v>
      </c>
      <c r="C29" s="54" t="s">
        <v>440</v>
      </c>
      <c r="D29" s="54" t="s">
        <v>465</v>
      </c>
      <c r="E29" s="54" t="s">
        <v>595</v>
      </c>
      <c r="F29" s="54">
        <v>171.9</v>
      </c>
    </row>
    <row r="30" spans="1:6" hidden="1" x14ac:dyDescent="0.3">
      <c r="A30" s="64">
        <v>2</v>
      </c>
      <c r="B30" s="64" t="s">
        <v>607</v>
      </c>
      <c r="C30" s="64" t="s">
        <v>440</v>
      </c>
      <c r="D30" s="64" t="s">
        <v>466</v>
      </c>
      <c r="E30" s="64" t="s">
        <v>595</v>
      </c>
      <c r="F30" s="64">
        <v>130.5</v>
      </c>
    </row>
    <row r="31" spans="1:6" hidden="1" x14ac:dyDescent="0.3">
      <c r="A31" s="54">
        <v>2</v>
      </c>
      <c r="B31" s="54" t="s">
        <v>606</v>
      </c>
      <c r="C31" s="54" t="s">
        <v>440</v>
      </c>
      <c r="D31" s="54" t="s">
        <v>467</v>
      </c>
      <c r="E31" s="54" t="s">
        <v>595</v>
      </c>
      <c r="F31" s="54">
        <v>38.5</v>
      </c>
    </row>
    <row r="32" spans="1:6" x14ac:dyDescent="0.3">
      <c r="A32" s="64">
        <v>2</v>
      </c>
      <c r="B32" s="64" t="s">
        <v>617</v>
      </c>
      <c r="C32" s="64" t="s">
        <v>515</v>
      </c>
      <c r="D32" s="64" t="s">
        <v>556</v>
      </c>
      <c r="E32" s="64" t="s">
        <v>595</v>
      </c>
      <c r="F32" s="64">
        <v>20.3</v>
      </c>
    </row>
    <row r="33" spans="1:6" hidden="1" x14ac:dyDescent="0.3">
      <c r="A33" s="54">
        <v>2</v>
      </c>
      <c r="B33" s="54" t="s">
        <v>606</v>
      </c>
      <c r="C33" s="54" t="s">
        <v>440</v>
      </c>
      <c r="D33" s="54" t="s">
        <v>468</v>
      </c>
      <c r="E33" s="54" t="s">
        <v>595</v>
      </c>
      <c r="F33" s="54">
        <v>34.700000000000003</v>
      </c>
    </row>
    <row r="34" spans="1:6" hidden="1" x14ac:dyDescent="0.3">
      <c r="A34" s="64">
        <v>2</v>
      </c>
      <c r="B34" s="64" t="s">
        <v>606</v>
      </c>
      <c r="C34" s="64" t="s">
        <v>440</v>
      </c>
      <c r="D34" s="64" t="s">
        <v>469</v>
      </c>
      <c r="E34" s="64" t="s">
        <v>595</v>
      </c>
      <c r="F34" s="64">
        <v>168.9</v>
      </c>
    </row>
    <row r="35" spans="1:6" x14ac:dyDescent="0.3">
      <c r="A35" s="54">
        <v>2</v>
      </c>
      <c r="B35" s="54" t="s">
        <v>616</v>
      </c>
      <c r="C35" s="54" t="s">
        <v>514</v>
      </c>
      <c r="D35" s="54" t="s">
        <v>469</v>
      </c>
      <c r="E35" s="54" t="s">
        <v>595</v>
      </c>
      <c r="F35" s="54" t="s">
        <v>596</v>
      </c>
    </row>
    <row r="36" spans="1:6" hidden="1" x14ac:dyDescent="0.3">
      <c r="A36" s="64">
        <v>2</v>
      </c>
      <c r="B36" s="64" t="s">
        <v>607</v>
      </c>
      <c r="C36" s="64" t="s">
        <v>440</v>
      </c>
      <c r="D36" s="64" t="s">
        <v>470</v>
      </c>
      <c r="E36" s="64" t="s">
        <v>595</v>
      </c>
      <c r="F36" s="64">
        <v>216</v>
      </c>
    </row>
    <row r="37" spans="1:6" hidden="1" x14ac:dyDescent="0.3">
      <c r="A37" s="54">
        <v>2</v>
      </c>
      <c r="B37" s="54" t="s">
        <v>606</v>
      </c>
      <c r="C37" s="54" t="s">
        <v>440</v>
      </c>
      <c r="D37" s="54" t="s">
        <v>471</v>
      </c>
      <c r="E37" s="54" t="s">
        <v>595</v>
      </c>
      <c r="F37" s="54">
        <v>66.3</v>
      </c>
    </row>
    <row r="38" spans="1:6" hidden="1" x14ac:dyDescent="0.3">
      <c r="A38" s="64">
        <v>2</v>
      </c>
      <c r="B38" s="64" t="s">
        <v>606</v>
      </c>
      <c r="C38" s="64" t="s">
        <v>440</v>
      </c>
      <c r="D38" s="64" t="s">
        <v>472</v>
      </c>
      <c r="E38" s="64" t="s">
        <v>595</v>
      </c>
      <c r="F38" s="64">
        <v>93.1</v>
      </c>
    </row>
    <row r="39" spans="1:6" hidden="1" x14ac:dyDescent="0.3">
      <c r="A39" s="54">
        <v>2</v>
      </c>
      <c r="B39" s="54" t="s">
        <v>607</v>
      </c>
      <c r="C39" s="54" t="s">
        <v>440</v>
      </c>
      <c r="D39" s="54" t="s">
        <v>473</v>
      </c>
      <c r="E39" s="54" t="s">
        <v>595</v>
      </c>
      <c r="F39" s="54">
        <v>91.8</v>
      </c>
    </row>
    <row r="40" spans="1:6" hidden="1" x14ac:dyDescent="0.3">
      <c r="A40" s="64">
        <v>2</v>
      </c>
      <c r="B40" s="64" t="s">
        <v>614</v>
      </c>
      <c r="C40" s="64" t="s">
        <v>440</v>
      </c>
      <c r="D40" s="64" t="s">
        <v>474</v>
      </c>
      <c r="E40" s="64" t="s">
        <v>595</v>
      </c>
      <c r="F40" s="64">
        <v>114</v>
      </c>
    </row>
    <row r="41" spans="1:6" hidden="1" x14ac:dyDescent="0.3">
      <c r="A41" s="74">
        <v>2</v>
      </c>
      <c r="B41" s="74" t="s">
        <v>607</v>
      </c>
      <c r="C41" s="74" t="s">
        <v>440</v>
      </c>
      <c r="D41" s="74" t="s">
        <v>475</v>
      </c>
      <c r="E41" s="74" t="s">
        <v>595</v>
      </c>
      <c r="F41" s="74">
        <v>129.6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7"/>
  <sheetViews>
    <sheetView workbookViewId="0"/>
  </sheetViews>
  <sheetFormatPr defaultRowHeight="14.4" x14ac:dyDescent="0.3"/>
  <sheetData>
    <row r="1" spans="2:7" x14ac:dyDescent="0.3">
      <c r="B1" t="s">
        <v>439</v>
      </c>
      <c r="C1">
        <v>323.39999999999998</v>
      </c>
    </row>
    <row r="2" spans="2:7" x14ac:dyDescent="0.3">
      <c r="B2" t="s">
        <v>440</v>
      </c>
      <c r="C2">
        <v>7057</v>
      </c>
    </row>
    <row r="3" spans="2:7" x14ac:dyDescent="0.3">
      <c r="B3" t="s">
        <v>512</v>
      </c>
      <c r="C3">
        <v>689.5</v>
      </c>
    </row>
    <row r="4" spans="2:7" x14ac:dyDescent="0.3">
      <c r="B4" t="s">
        <v>513</v>
      </c>
      <c r="C4">
        <v>413.5</v>
      </c>
    </row>
    <row r="5" spans="2:7" x14ac:dyDescent="0.3">
      <c r="B5" t="s">
        <v>514</v>
      </c>
      <c r="C5">
        <v>58.9</v>
      </c>
    </row>
    <row r="6" spans="2:7" x14ac:dyDescent="0.3">
      <c r="B6" t="s">
        <v>515</v>
      </c>
      <c r="C6">
        <v>16</v>
      </c>
    </row>
    <row r="7" spans="2:7" x14ac:dyDescent="0.3">
      <c r="B7" t="s">
        <v>558</v>
      </c>
      <c r="C7">
        <v>18.5</v>
      </c>
    </row>
    <row r="8" spans="2:7" x14ac:dyDescent="0.3">
      <c r="D8" s="55"/>
      <c r="E8" s="55"/>
      <c r="F8" s="55" t="s">
        <v>602</v>
      </c>
      <c r="G8" t="s">
        <v>603</v>
      </c>
    </row>
    <row r="9" spans="2:7" x14ac:dyDescent="0.3">
      <c r="D9" s="55" t="s">
        <v>439</v>
      </c>
      <c r="E9" s="55" t="s">
        <v>592</v>
      </c>
      <c r="F9" s="55">
        <v>331.7</v>
      </c>
      <c r="G9" s="55">
        <v>339.3</v>
      </c>
    </row>
    <row r="10" spans="2:7" x14ac:dyDescent="0.3">
      <c r="D10" s="55" t="s">
        <v>513</v>
      </c>
      <c r="E10" s="55" t="s">
        <v>599</v>
      </c>
      <c r="F10" s="55">
        <v>109.2</v>
      </c>
      <c r="G10">
        <v>0.9</v>
      </c>
    </row>
    <row r="11" spans="2:7" x14ac:dyDescent="0.3">
      <c r="D11" s="55" t="s">
        <v>620</v>
      </c>
      <c r="E11" s="55" t="s">
        <v>600</v>
      </c>
      <c r="F11" s="55">
        <v>36.799999999999997</v>
      </c>
      <c r="G11">
        <v>0</v>
      </c>
    </row>
    <row r="12" spans="2:7" x14ac:dyDescent="0.3">
      <c r="D12" s="50" t="s">
        <v>621</v>
      </c>
      <c r="E12" s="50" t="s">
        <v>601</v>
      </c>
      <c r="F12" s="50">
        <v>12.9</v>
      </c>
      <c r="G12">
        <v>0</v>
      </c>
    </row>
    <row r="13" spans="2:7" x14ac:dyDescent="0.3">
      <c r="E13" s="55" t="s">
        <v>594</v>
      </c>
      <c r="F13" s="82">
        <v>25.8</v>
      </c>
      <c r="G13" s="55">
        <v>54.1</v>
      </c>
    </row>
    <row r="14" spans="2:7" x14ac:dyDescent="0.3">
      <c r="E14" s="55" t="s">
        <v>597</v>
      </c>
      <c r="F14" s="82">
        <v>72.900000000000006</v>
      </c>
      <c r="G14" s="55">
        <v>0</v>
      </c>
    </row>
    <row r="15" spans="2:7" x14ac:dyDescent="0.3">
      <c r="E15" s="55" t="s">
        <v>595</v>
      </c>
      <c r="F15" s="82">
        <v>3723.5</v>
      </c>
      <c r="G15" s="55">
        <v>3665.1</v>
      </c>
    </row>
    <row r="16" spans="2:7" x14ac:dyDescent="0.3">
      <c r="E16" s="55" t="s">
        <v>598</v>
      </c>
      <c r="F16" s="82">
        <v>543.1</v>
      </c>
      <c r="G16" s="55">
        <v>0</v>
      </c>
    </row>
    <row r="17" spans="5:7" x14ac:dyDescent="0.3">
      <c r="E17" s="55"/>
      <c r="F17" s="55"/>
      <c r="G17" s="55"/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M3" sqref="M3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88671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70"/>
      <c r="K1" s="70"/>
    </row>
    <row r="2" spans="1:11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50.4" customHeight="1" x14ac:dyDescent="0.3">
      <c r="A3" s="68">
        <v>1</v>
      </c>
      <c r="B3" s="134" t="s">
        <v>27</v>
      </c>
      <c r="C3" s="135"/>
      <c r="D3" s="135"/>
      <c r="E3" s="135"/>
      <c r="F3" s="135"/>
      <c r="G3" s="136"/>
      <c r="H3" s="168" t="s">
        <v>19</v>
      </c>
      <c r="I3" s="167"/>
      <c r="J3" s="68" t="s">
        <v>20</v>
      </c>
      <c r="K3" s="72">
        <f>C18</f>
        <v>810.2</v>
      </c>
    </row>
    <row r="4" spans="1:11" ht="46.8" x14ac:dyDescent="0.3">
      <c r="A4" s="69" t="s">
        <v>627</v>
      </c>
      <c r="B4" s="69" t="s">
        <v>628</v>
      </c>
      <c r="C4" s="69" t="s">
        <v>629</v>
      </c>
      <c r="D4" s="137"/>
      <c r="E4" s="137"/>
      <c r="F4" s="137"/>
      <c r="G4" s="137"/>
      <c r="H4" s="137"/>
      <c r="I4" s="137"/>
      <c r="J4" s="137"/>
      <c r="K4" s="137"/>
    </row>
    <row r="5" spans="1:11" ht="15.6" customHeight="1" x14ac:dyDescent="0.3">
      <c r="A5" s="64" t="s">
        <v>442</v>
      </c>
      <c r="B5" s="64" t="s">
        <v>440</v>
      </c>
      <c r="C5" s="64">
        <v>80.599999999999994</v>
      </c>
      <c r="D5" s="160"/>
      <c r="E5" s="160"/>
      <c r="F5" s="160"/>
      <c r="G5" s="160"/>
      <c r="H5" s="160"/>
      <c r="I5" s="160"/>
      <c r="J5" s="160"/>
      <c r="K5" s="160"/>
    </row>
    <row r="6" spans="1:11" ht="15.6" customHeight="1" x14ac:dyDescent="0.3">
      <c r="A6" s="54" t="s">
        <v>443</v>
      </c>
      <c r="B6" s="54" t="s">
        <v>440</v>
      </c>
      <c r="C6" s="54">
        <v>64.8</v>
      </c>
      <c r="D6" s="160"/>
      <c r="E6" s="160"/>
      <c r="F6" s="160"/>
      <c r="G6" s="160"/>
      <c r="H6" s="160"/>
      <c r="I6" s="160"/>
      <c r="J6" s="160"/>
      <c r="K6" s="160"/>
    </row>
    <row r="7" spans="1:11" ht="15.6" customHeight="1" x14ac:dyDescent="0.3">
      <c r="A7" s="54" t="s">
        <v>445</v>
      </c>
      <c r="B7" s="54" t="s">
        <v>440</v>
      </c>
      <c r="C7" s="54">
        <v>45.7</v>
      </c>
      <c r="D7" s="160"/>
      <c r="E7" s="160"/>
      <c r="F7" s="160"/>
      <c r="G7" s="160"/>
      <c r="H7" s="160"/>
      <c r="I7" s="160"/>
      <c r="J7" s="160"/>
      <c r="K7" s="160"/>
    </row>
    <row r="8" spans="1:11" ht="15.6" customHeight="1" x14ac:dyDescent="0.3">
      <c r="A8" s="64" t="s">
        <v>446</v>
      </c>
      <c r="B8" s="64" t="s">
        <v>440</v>
      </c>
      <c r="C8" s="64">
        <v>18.899999999999999</v>
      </c>
      <c r="D8" s="160"/>
      <c r="E8" s="160"/>
      <c r="F8" s="160"/>
      <c r="G8" s="160"/>
      <c r="H8" s="160"/>
      <c r="I8" s="160"/>
      <c r="J8" s="160"/>
      <c r="K8" s="160"/>
    </row>
    <row r="9" spans="1:11" ht="15.6" customHeight="1" x14ac:dyDescent="0.3">
      <c r="A9" s="54" t="s">
        <v>447</v>
      </c>
      <c r="B9" s="54" t="s">
        <v>440</v>
      </c>
      <c r="C9" s="54">
        <v>63.3</v>
      </c>
      <c r="D9" s="160"/>
      <c r="E9" s="160"/>
      <c r="F9" s="160"/>
      <c r="G9" s="160"/>
      <c r="H9" s="160"/>
      <c r="I9" s="160"/>
      <c r="J9" s="160"/>
      <c r="K9" s="160"/>
    </row>
    <row r="10" spans="1:11" ht="15.6" customHeight="1" x14ac:dyDescent="0.3">
      <c r="A10" s="64" t="s">
        <v>448</v>
      </c>
      <c r="B10" s="64" t="s">
        <v>440</v>
      </c>
      <c r="C10" s="64">
        <v>64.3</v>
      </c>
      <c r="D10" s="160"/>
      <c r="E10" s="160"/>
      <c r="F10" s="160"/>
      <c r="G10" s="160"/>
      <c r="H10" s="160"/>
      <c r="I10" s="160"/>
      <c r="J10" s="160"/>
      <c r="K10" s="160"/>
    </row>
    <row r="11" spans="1:11" ht="15.6" customHeight="1" x14ac:dyDescent="0.3">
      <c r="A11" s="54" t="s">
        <v>449</v>
      </c>
      <c r="B11" s="54" t="s">
        <v>440</v>
      </c>
      <c r="C11" s="54">
        <v>64.900000000000006</v>
      </c>
      <c r="D11" s="160"/>
      <c r="E11" s="160"/>
      <c r="F11" s="160"/>
      <c r="G11" s="160"/>
      <c r="H11" s="160"/>
      <c r="I11" s="160"/>
      <c r="J11" s="160"/>
      <c r="K11" s="160"/>
    </row>
    <row r="12" spans="1:11" ht="15.6" customHeight="1" x14ac:dyDescent="0.3">
      <c r="A12" s="64" t="s">
        <v>450</v>
      </c>
      <c r="B12" s="64" t="s">
        <v>440</v>
      </c>
      <c r="C12" s="64">
        <v>63.5</v>
      </c>
      <c r="D12" s="160"/>
      <c r="E12" s="160"/>
      <c r="F12" s="160"/>
      <c r="G12" s="160"/>
      <c r="H12" s="160"/>
      <c r="I12" s="160"/>
      <c r="J12" s="160"/>
      <c r="K12" s="160"/>
    </row>
    <row r="13" spans="1:11" ht="15.6" customHeight="1" x14ac:dyDescent="0.3">
      <c r="A13" s="54" t="s">
        <v>451</v>
      </c>
      <c r="B13" s="54" t="s">
        <v>440</v>
      </c>
      <c r="C13" s="54">
        <v>64</v>
      </c>
      <c r="D13" s="160"/>
      <c r="E13" s="160"/>
      <c r="F13" s="160"/>
      <c r="G13" s="160"/>
      <c r="H13" s="160"/>
      <c r="I13" s="160"/>
      <c r="J13" s="160"/>
      <c r="K13" s="160"/>
    </row>
    <row r="14" spans="1:11" ht="15.6" customHeight="1" x14ac:dyDescent="0.3">
      <c r="A14" s="54" t="s">
        <v>457</v>
      </c>
      <c r="B14" s="54" t="s">
        <v>440</v>
      </c>
      <c r="C14" s="54">
        <v>89</v>
      </c>
      <c r="D14" s="160"/>
      <c r="E14" s="160"/>
      <c r="F14" s="160"/>
      <c r="G14" s="160"/>
      <c r="H14" s="160"/>
      <c r="I14" s="160"/>
      <c r="J14" s="160"/>
      <c r="K14" s="160"/>
    </row>
    <row r="15" spans="1:11" ht="15.6" customHeight="1" x14ac:dyDescent="0.3">
      <c r="A15" s="64" t="s">
        <v>458</v>
      </c>
      <c r="B15" s="64" t="s">
        <v>440</v>
      </c>
      <c r="C15" s="64">
        <v>62.5</v>
      </c>
      <c r="D15" s="160"/>
      <c r="E15" s="160"/>
      <c r="F15" s="160"/>
      <c r="G15" s="160"/>
      <c r="H15" s="160"/>
      <c r="I15" s="160"/>
      <c r="J15" s="160"/>
      <c r="K15" s="160"/>
    </row>
    <row r="16" spans="1:11" ht="15.6" customHeight="1" x14ac:dyDescent="0.3">
      <c r="A16" s="54" t="s">
        <v>459</v>
      </c>
      <c r="B16" s="54" t="s">
        <v>440</v>
      </c>
      <c r="C16" s="54">
        <v>64.5</v>
      </c>
      <c r="D16" s="160"/>
      <c r="E16" s="160"/>
      <c r="F16" s="160"/>
      <c r="G16" s="160"/>
      <c r="H16" s="160"/>
      <c r="I16" s="160"/>
      <c r="J16" s="160"/>
      <c r="K16" s="160"/>
    </row>
    <row r="17" spans="1:11" ht="15.6" customHeight="1" x14ac:dyDescent="0.3">
      <c r="A17" s="64" t="s">
        <v>460</v>
      </c>
      <c r="B17" s="64" t="s">
        <v>440</v>
      </c>
      <c r="C17" s="64">
        <v>64.2</v>
      </c>
      <c r="D17" s="160"/>
      <c r="E17" s="160"/>
      <c r="F17" s="160"/>
      <c r="G17" s="160"/>
      <c r="H17" s="160"/>
      <c r="I17" s="160"/>
      <c r="J17" s="160"/>
      <c r="K17" s="160"/>
    </row>
    <row r="18" spans="1:11" ht="15.6" customHeight="1" x14ac:dyDescent="0.3">
      <c r="B18" s="51" t="s">
        <v>630</v>
      </c>
      <c r="C18">
        <f>SUM(C5:C17)</f>
        <v>810.2</v>
      </c>
      <c r="D18" s="160"/>
      <c r="E18" s="160"/>
      <c r="F18" s="160"/>
      <c r="G18" s="160"/>
      <c r="H18" s="160"/>
      <c r="I18" s="160"/>
      <c r="J18" s="160"/>
      <c r="K18" s="160"/>
    </row>
  </sheetData>
  <mergeCells count="6">
    <mergeCell ref="D4:K18"/>
    <mergeCell ref="A1:I1"/>
    <mergeCell ref="H2:I2"/>
    <mergeCell ref="H3:I3"/>
    <mergeCell ref="B2:G2"/>
    <mergeCell ref="B3:G3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M15" sqref="M15"/>
    </sheetView>
  </sheetViews>
  <sheetFormatPr defaultRowHeight="15.6" x14ac:dyDescent="0.3"/>
  <cols>
    <col min="1" max="1" width="7.21875" style="75" customWidth="1"/>
    <col min="2" max="2" width="7.88671875" style="75" customWidth="1"/>
    <col min="3" max="3" width="9.88671875" style="75" customWidth="1"/>
    <col min="4" max="4" width="4.109375" style="75" customWidth="1"/>
    <col min="5" max="5" width="7.109375" style="75" customWidth="1"/>
    <col min="6" max="6" width="7.6640625" style="75" customWidth="1"/>
    <col min="7" max="7" width="9.88671875" style="75" customWidth="1"/>
    <col min="8" max="8" width="5.33203125" style="75" customWidth="1"/>
    <col min="9" max="9" width="7.88671875" style="75" customWidth="1"/>
    <col min="10" max="10" width="8.21875" style="75" customWidth="1"/>
    <col min="11" max="11" width="9.88671875" style="75" customWidth="1"/>
    <col min="12" max="16384" width="8.88671875" style="75"/>
  </cols>
  <sheetData>
    <row r="1" spans="1:11" x14ac:dyDescent="0.3">
      <c r="A1" s="158" t="s">
        <v>625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11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50.4" customHeight="1" x14ac:dyDescent="0.3">
      <c r="A3" s="68">
        <v>1</v>
      </c>
      <c r="B3" s="134" t="s">
        <v>27</v>
      </c>
      <c r="C3" s="135"/>
      <c r="D3" s="135"/>
      <c r="E3" s="135"/>
      <c r="F3" s="135"/>
      <c r="G3" s="136"/>
      <c r="H3" s="168" t="s">
        <v>28</v>
      </c>
      <c r="I3" s="167"/>
      <c r="J3" s="68" t="s">
        <v>20</v>
      </c>
      <c r="K3" s="72">
        <f>C17</f>
        <v>899.49999999999989</v>
      </c>
    </row>
    <row r="4" spans="1:11" ht="46.8" x14ac:dyDescent="0.3">
      <c r="A4" s="69" t="s">
        <v>627</v>
      </c>
      <c r="B4" s="69" t="s">
        <v>628</v>
      </c>
      <c r="C4" s="69" t="s">
        <v>629</v>
      </c>
      <c r="D4" s="137"/>
      <c r="E4" s="137"/>
      <c r="F4" s="137"/>
      <c r="G4" s="137"/>
      <c r="H4" s="137"/>
      <c r="I4" s="137"/>
      <c r="J4" s="137"/>
      <c r="K4" s="137"/>
    </row>
    <row r="5" spans="1:11" ht="15.6" customHeight="1" x14ac:dyDescent="0.3">
      <c r="A5" s="76" t="s">
        <v>476</v>
      </c>
      <c r="B5" s="76" t="s">
        <v>440</v>
      </c>
      <c r="C5" s="76">
        <v>82.2</v>
      </c>
      <c r="D5" s="160"/>
      <c r="E5" s="160"/>
      <c r="F5" s="160"/>
      <c r="G5" s="160"/>
      <c r="H5" s="160"/>
      <c r="I5" s="160"/>
      <c r="J5" s="160"/>
      <c r="K5" s="160"/>
    </row>
    <row r="6" spans="1:11" ht="15.6" customHeight="1" x14ac:dyDescent="0.3">
      <c r="A6" s="77" t="s">
        <v>477</v>
      </c>
      <c r="B6" s="77" t="s">
        <v>440</v>
      </c>
      <c r="C6" s="77">
        <v>63.6</v>
      </c>
      <c r="D6" s="160"/>
      <c r="E6" s="160"/>
      <c r="F6" s="160"/>
      <c r="G6" s="160"/>
      <c r="H6" s="160"/>
      <c r="I6" s="160"/>
      <c r="J6" s="160"/>
      <c r="K6" s="160"/>
    </row>
    <row r="7" spans="1:11" ht="15.6" customHeight="1" x14ac:dyDescent="0.3">
      <c r="A7" s="76" t="s">
        <v>478</v>
      </c>
      <c r="B7" s="76" t="s">
        <v>440</v>
      </c>
      <c r="C7" s="76">
        <v>85.1</v>
      </c>
      <c r="D7" s="160"/>
      <c r="E7" s="160"/>
      <c r="F7" s="160"/>
      <c r="G7" s="160"/>
      <c r="H7" s="160"/>
      <c r="I7" s="160"/>
      <c r="J7" s="160"/>
      <c r="K7" s="160"/>
    </row>
    <row r="8" spans="1:11" ht="15.6" customHeight="1" x14ac:dyDescent="0.3">
      <c r="A8" s="77" t="s">
        <v>481</v>
      </c>
      <c r="B8" s="77" t="s">
        <v>440</v>
      </c>
      <c r="C8" s="77">
        <v>103.5</v>
      </c>
      <c r="D8" s="160"/>
      <c r="E8" s="160"/>
      <c r="F8" s="160"/>
      <c r="G8" s="160"/>
      <c r="H8" s="160"/>
      <c r="I8" s="160"/>
      <c r="J8" s="160"/>
      <c r="K8" s="160"/>
    </row>
    <row r="9" spans="1:11" ht="15.6" customHeight="1" x14ac:dyDescent="0.3">
      <c r="A9" s="76" t="s">
        <v>482</v>
      </c>
      <c r="B9" s="76" t="s">
        <v>440</v>
      </c>
      <c r="C9" s="76">
        <v>90.3</v>
      </c>
      <c r="D9" s="160"/>
      <c r="E9" s="160"/>
      <c r="F9" s="160"/>
      <c r="G9" s="160"/>
      <c r="H9" s="160"/>
      <c r="I9" s="160"/>
      <c r="J9" s="160"/>
      <c r="K9" s="160"/>
    </row>
    <row r="10" spans="1:11" ht="15.6" customHeight="1" x14ac:dyDescent="0.3">
      <c r="A10" s="76" t="s">
        <v>484</v>
      </c>
      <c r="B10" s="76" t="s">
        <v>440</v>
      </c>
      <c r="C10" s="76">
        <v>63.3</v>
      </c>
      <c r="D10" s="160"/>
      <c r="E10" s="160"/>
      <c r="F10" s="160"/>
      <c r="G10" s="160"/>
      <c r="H10" s="160"/>
      <c r="I10" s="160"/>
      <c r="J10" s="160"/>
      <c r="K10" s="160"/>
    </row>
    <row r="11" spans="1:11" ht="15.6" customHeight="1" x14ac:dyDescent="0.3">
      <c r="A11" s="77" t="s">
        <v>485</v>
      </c>
      <c r="B11" s="77" t="s">
        <v>440</v>
      </c>
      <c r="C11" s="77">
        <v>64</v>
      </c>
      <c r="D11" s="160"/>
      <c r="E11" s="160"/>
      <c r="F11" s="160"/>
      <c r="G11" s="160"/>
      <c r="H11" s="160"/>
      <c r="I11" s="160"/>
      <c r="J11" s="160"/>
      <c r="K11" s="160"/>
    </row>
    <row r="12" spans="1:11" ht="15.6" customHeight="1" x14ac:dyDescent="0.3">
      <c r="A12" s="76" t="s">
        <v>490</v>
      </c>
      <c r="B12" s="76" t="s">
        <v>440</v>
      </c>
      <c r="C12" s="76">
        <v>90.9</v>
      </c>
      <c r="D12" s="160"/>
      <c r="E12" s="160"/>
      <c r="F12" s="160"/>
      <c r="G12" s="160"/>
      <c r="H12" s="160"/>
      <c r="I12" s="160"/>
      <c r="J12" s="160"/>
      <c r="K12" s="160"/>
    </row>
    <row r="13" spans="1:11" ht="15.6" customHeight="1" x14ac:dyDescent="0.3">
      <c r="A13" s="77" t="s">
        <v>491</v>
      </c>
      <c r="B13" s="77" t="s">
        <v>440</v>
      </c>
      <c r="C13" s="77">
        <v>63.8</v>
      </c>
      <c r="D13" s="160"/>
      <c r="E13" s="160"/>
      <c r="F13" s="160"/>
      <c r="G13" s="160"/>
      <c r="H13" s="160"/>
      <c r="I13" s="160"/>
      <c r="J13" s="160"/>
      <c r="K13" s="160"/>
    </row>
    <row r="14" spans="1:11" ht="15.6" customHeight="1" x14ac:dyDescent="0.3">
      <c r="A14" s="76" t="s">
        <v>492</v>
      </c>
      <c r="B14" s="76" t="s">
        <v>440</v>
      </c>
      <c r="C14" s="76">
        <v>63.9</v>
      </c>
      <c r="D14" s="160"/>
      <c r="E14" s="160"/>
      <c r="F14" s="160"/>
      <c r="G14" s="160"/>
      <c r="H14" s="160"/>
      <c r="I14" s="160"/>
      <c r="J14" s="160"/>
      <c r="K14" s="160"/>
    </row>
    <row r="15" spans="1:11" ht="15.6" customHeight="1" x14ac:dyDescent="0.3">
      <c r="A15" s="77" t="s">
        <v>493</v>
      </c>
      <c r="B15" s="77" t="s">
        <v>440</v>
      </c>
      <c r="C15" s="77">
        <v>64.5</v>
      </c>
      <c r="D15" s="160"/>
      <c r="E15" s="160"/>
      <c r="F15" s="160"/>
      <c r="G15" s="160"/>
      <c r="H15" s="160"/>
      <c r="I15" s="160"/>
      <c r="J15" s="160"/>
      <c r="K15" s="160"/>
    </row>
    <row r="16" spans="1:11" ht="15.6" customHeight="1" x14ac:dyDescent="0.3">
      <c r="A16" s="76" t="s">
        <v>494</v>
      </c>
      <c r="B16" s="76" t="s">
        <v>440</v>
      </c>
      <c r="C16" s="76">
        <v>64.400000000000006</v>
      </c>
      <c r="D16" s="160"/>
      <c r="E16" s="160"/>
      <c r="F16" s="160"/>
      <c r="G16" s="160"/>
      <c r="H16" s="160"/>
      <c r="I16" s="160"/>
      <c r="J16" s="160"/>
      <c r="K16" s="160"/>
    </row>
    <row r="17" spans="2:11" ht="15.6" customHeight="1" x14ac:dyDescent="0.3">
      <c r="B17" s="75" t="s">
        <v>630</v>
      </c>
      <c r="C17" s="75">
        <f>SUM(C5:C16)</f>
        <v>899.49999999999989</v>
      </c>
      <c r="D17" s="160"/>
      <c r="E17" s="160"/>
      <c r="F17" s="160"/>
      <c r="G17" s="160"/>
      <c r="H17" s="160"/>
      <c r="I17" s="160"/>
      <c r="J17" s="160"/>
      <c r="K17" s="160"/>
    </row>
  </sheetData>
  <mergeCells count="6">
    <mergeCell ref="D4:K17"/>
    <mergeCell ref="A1:K1"/>
    <mergeCell ref="B2:G2"/>
    <mergeCell ref="H2:I2"/>
    <mergeCell ref="B3:G3"/>
    <mergeCell ref="H3:I3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70" zoomScaleNormal="70" workbookViewId="0">
      <selection activeCell="H6" sqref="H6:K14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88671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70"/>
      <c r="K1" s="70"/>
    </row>
    <row r="2" spans="1:11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50.4" customHeight="1" x14ac:dyDescent="0.3">
      <c r="A3" s="89">
        <v>1</v>
      </c>
      <c r="B3" s="134" t="s">
        <v>413</v>
      </c>
      <c r="C3" s="135"/>
      <c r="D3" s="135"/>
      <c r="E3" s="135"/>
      <c r="F3" s="135"/>
      <c r="G3" s="136"/>
      <c r="H3" s="166" t="s">
        <v>644</v>
      </c>
      <c r="I3" s="167"/>
      <c r="J3" s="89" t="s">
        <v>20</v>
      </c>
      <c r="K3" s="72">
        <f>C14</f>
        <v>91.4</v>
      </c>
    </row>
    <row r="4" spans="1:11" ht="50.4" customHeight="1" x14ac:dyDescent="0.3">
      <c r="A4" s="89">
        <v>2</v>
      </c>
      <c r="B4" s="134" t="s">
        <v>387</v>
      </c>
      <c r="C4" s="135"/>
      <c r="D4" s="135"/>
      <c r="E4" s="135"/>
      <c r="F4" s="135"/>
      <c r="G4" s="136"/>
      <c r="H4" s="166" t="s">
        <v>643</v>
      </c>
      <c r="I4" s="167"/>
      <c r="J4" s="89" t="s">
        <v>20</v>
      </c>
      <c r="K4" s="72">
        <f>G10</f>
        <v>16.899999999999999</v>
      </c>
    </row>
    <row r="5" spans="1:11" ht="15.6" x14ac:dyDescent="0.3">
      <c r="A5" s="137"/>
      <c r="B5" s="137"/>
      <c r="C5" s="137"/>
      <c r="D5" s="137"/>
      <c r="E5" s="137"/>
      <c r="F5" s="137"/>
      <c r="G5" s="137"/>
      <c r="H5" s="137"/>
      <c r="I5" s="137"/>
      <c r="J5" s="137"/>
      <c r="K5" s="137"/>
    </row>
    <row r="6" spans="1:11" ht="46.8" x14ac:dyDescent="0.3">
      <c r="A6" s="69" t="s">
        <v>627</v>
      </c>
      <c r="B6" s="69" t="s">
        <v>628</v>
      </c>
      <c r="C6" s="69" t="s">
        <v>629</v>
      </c>
      <c r="D6" s="160"/>
      <c r="E6" s="69" t="s">
        <v>627</v>
      </c>
      <c r="F6" s="69" t="s">
        <v>628</v>
      </c>
      <c r="G6" s="69" t="s">
        <v>629</v>
      </c>
      <c r="H6" s="128"/>
      <c r="I6" s="128"/>
      <c r="J6" s="128"/>
      <c r="K6" s="128"/>
    </row>
    <row r="7" spans="1:11" ht="15.6" customHeight="1" x14ac:dyDescent="0.3">
      <c r="A7" s="54" t="s">
        <v>561</v>
      </c>
      <c r="B7" s="54" t="s">
        <v>592</v>
      </c>
      <c r="C7" s="54">
        <v>10.5</v>
      </c>
      <c r="D7" s="160"/>
      <c r="E7" s="64" t="s">
        <v>522</v>
      </c>
      <c r="F7" s="64" t="s">
        <v>594</v>
      </c>
      <c r="G7" s="84">
        <v>4.8</v>
      </c>
      <c r="H7" s="128"/>
      <c r="I7" s="128"/>
      <c r="J7" s="128"/>
      <c r="K7" s="128"/>
    </row>
    <row r="8" spans="1:11" ht="15.6" customHeight="1" x14ac:dyDescent="0.3">
      <c r="A8" s="64" t="s">
        <v>521</v>
      </c>
      <c r="B8" s="64" t="s">
        <v>592</v>
      </c>
      <c r="C8" s="64">
        <v>22.3</v>
      </c>
      <c r="D8" s="160"/>
      <c r="E8" s="54" t="s">
        <v>532</v>
      </c>
      <c r="F8" s="54" t="s">
        <v>594</v>
      </c>
      <c r="G8" s="83">
        <v>7.5</v>
      </c>
      <c r="H8" s="128"/>
      <c r="I8" s="128"/>
      <c r="J8" s="128"/>
      <c r="K8" s="128"/>
    </row>
    <row r="9" spans="1:11" ht="15.6" customHeight="1" x14ac:dyDescent="0.3">
      <c r="A9" s="54" t="s">
        <v>523</v>
      </c>
      <c r="B9" s="54" t="s">
        <v>592</v>
      </c>
      <c r="C9" s="54">
        <v>19</v>
      </c>
      <c r="D9" s="160"/>
      <c r="E9" s="54" t="s">
        <v>537</v>
      </c>
      <c r="F9" s="54" t="s">
        <v>594</v>
      </c>
      <c r="G9" s="83">
        <v>4.5999999999999996</v>
      </c>
      <c r="H9" s="128"/>
      <c r="I9" s="128"/>
      <c r="J9" s="128"/>
      <c r="K9" s="128"/>
    </row>
    <row r="10" spans="1:11" ht="15.6" customHeight="1" x14ac:dyDescent="0.3">
      <c r="A10" s="54" t="s">
        <v>524</v>
      </c>
      <c r="B10" s="54" t="s">
        <v>592</v>
      </c>
      <c r="C10" s="54">
        <v>10.1</v>
      </c>
      <c r="D10" s="160"/>
      <c r="E10" s="81"/>
      <c r="F10" s="81" t="s">
        <v>630</v>
      </c>
      <c r="G10" s="81">
        <f>SUM(G7:G9)</f>
        <v>16.899999999999999</v>
      </c>
      <c r="H10" s="128"/>
      <c r="I10" s="128"/>
      <c r="J10" s="128"/>
      <c r="K10" s="128"/>
    </row>
    <row r="11" spans="1:11" ht="15.6" customHeight="1" x14ac:dyDescent="0.3">
      <c r="A11" s="64" t="s">
        <v>525</v>
      </c>
      <c r="B11" s="64" t="s">
        <v>592</v>
      </c>
      <c r="C11" s="64">
        <v>5.6</v>
      </c>
      <c r="D11" s="160"/>
      <c r="E11" s="160"/>
      <c r="F11" s="160"/>
      <c r="G11" s="160"/>
      <c r="H11" s="128"/>
      <c r="I11" s="128"/>
      <c r="J11" s="128"/>
      <c r="K11" s="128"/>
    </row>
    <row r="12" spans="1:11" ht="15.6" customHeight="1" x14ac:dyDescent="0.3">
      <c r="A12" s="54" t="s">
        <v>531</v>
      </c>
      <c r="B12" s="54" t="s">
        <v>592</v>
      </c>
      <c r="C12" s="54">
        <v>8.1999999999999993</v>
      </c>
      <c r="D12" s="160"/>
      <c r="E12" s="160"/>
      <c r="F12" s="160"/>
      <c r="G12" s="160"/>
      <c r="H12" s="128"/>
      <c r="I12" s="128"/>
      <c r="J12" s="128"/>
      <c r="K12" s="128"/>
    </row>
    <row r="13" spans="1:11" ht="15.6" customHeight="1" x14ac:dyDescent="0.3">
      <c r="A13" s="64" t="s">
        <v>571</v>
      </c>
      <c r="B13" s="64" t="s">
        <v>592</v>
      </c>
      <c r="C13" s="64">
        <v>15.7</v>
      </c>
      <c r="D13" s="160"/>
      <c r="E13" s="160"/>
      <c r="F13" s="160"/>
      <c r="G13" s="160"/>
      <c r="H13" s="128"/>
      <c r="I13" s="128"/>
      <c r="J13" s="128"/>
      <c r="K13" s="128"/>
    </row>
    <row r="14" spans="1:11" ht="15.6" customHeight="1" x14ac:dyDescent="0.3">
      <c r="B14" s="51" t="s">
        <v>630</v>
      </c>
      <c r="C14" s="85">
        <f>SUM(C7:C13)</f>
        <v>91.4</v>
      </c>
      <c r="D14" s="160"/>
      <c r="E14" s="160"/>
      <c r="F14" s="160"/>
      <c r="G14" s="160"/>
      <c r="H14" s="128"/>
      <c r="I14" s="128"/>
      <c r="J14" s="128"/>
      <c r="K14" s="128"/>
    </row>
  </sheetData>
  <mergeCells count="11">
    <mergeCell ref="A1:I1"/>
    <mergeCell ref="B2:G2"/>
    <mergeCell ref="H2:I2"/>
    <mergeCell ref="B3:G3"/>
    <mergeCell ref="H3:I3"/>
    <mergeCell ref="H6:K14"/>
    <mergeCell ref="E11:G14"/>
    <mergeCell ref="D6:D14"/>
    <mergeCell ref="A5:K5"/>
    <mergeCell ref="B4:G4"/>
    <mergeCell ref="H4:I4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70" zoomScaleNormal="70" workbookViewId="0">
      <selection activeCell="A15" sqref="A15:XFD43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88671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70"/>
      <c r="K1" s="70"/>
    </row>
    <row r="2" spans="1:11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50.4" customHeight="1" x14ac:dyDescent="0.3">
      <c r="A3" s="79">
        <v>1</v>
      </c>
      <c r="B3" s="134" t="s">
        <v>413</v>
      </c>
      <c r="C3" s="135"/>
      <c r="D3" s="135"/>
      <c r="E3" s="135"/>
      <c r="F3" s="135"/>
      <c r="G3" s="136"/>
      <c r="H3" s="166" t="s">
        <v>632</v>
      </c>
      <c r="I3" s="167"/>
      <c r="J3" s="79" t="s">
        <v>20</v>
      </c>
      <c r="K3" s="72">
        <f>C14</f>
        <v>91.100000000000009</v>
      </c>
    </row>
    <row r="4" spans="1:11" ht="50.4" customHeight="1" x14ac:dyDescent="0.3">
      <c r="A4" s="79">
        <v>2</v>
      </c>
      <c r="B4" s="134" t="s">
        <v>387</v>
      </c>
      <c r="C4" s="135"/>
      <c r="D4" s="135"/>
      <c r="E4" s="135"/>
      <c r="F4" s="135"/>
      <c r="G4" s="136"/>
      <c r="H4" s="166" t="s">
        <v>633</v>
      </c>
      <c r="I4" s="167"/>
      <c r="J4" s="79" t="s">
        <v>20</v>
      </c>
      <c r="K4" s="72">
        <f>G10</f>
        <v>16.8</v>
      </c>
    </row>
    <row r="5" spans="1:11" ht="15.6" x14ac:dyDescent="0.3">
      <c r="A5" s="137"/>
      <c r="B5" s="137"/>
      <c r="C5" s="137"/>
      <c r="D5" s="137"/>
      <c r="E5" s="137"/>
      <c r="F5" s="137"/>
      <c r="G5" s="137"/>
      <c r="H5" s="137"/>
      <c r="I5" s="137"/>
      <c r="J5" s="137"/>
      <c r="K5" s="137"/>
    </row>
    <row r="6" spans="1:11" ht="46.8" x14ac:dyDescent="0.3">
      <c r="A6" s="69" t="s">
        <v>627</v>
      </c>
      <c r="B6" s="69" t="s">
        <v>628</v>
      </c>
      <c r="C6" s="69" t="s">
        <v>629</v>
      </c>
      <c r="D6" s="160"/>
      <c r="E6" s="69" t="s">
        <v>627</v>
      </c>
      <c r="F6" s="69" t="s">
        <v>628</v>
      </c>
      <c r="G6" s="69" t="s">
        <v>629</v>
      </c>
      <c r="H6" s="128"/>
      <c r="I6" s="128"/>
      <c r="J6" s="128"/>
      <c r="K6" s="128"/>
    </row>
    <row r="7" spans="1:11" ht="15.6" customHeight="1" x14ac:dyDescent="0.3">
      <c r="A7" s="54" t="s">
        <v>573</v>
      </c>
      <c r="B7" s="54" t="s">
        <v>592</v>
      </c>
      <c r="C7" s="54">
        <v>9.6</v>
      </c>
      <c r="D7" s="160"/>
      <c r="E7" s="64" t="s">
        <v>540</v>
      </c>
      <c r="F7" s="64" t="s">
        <v>594</v>
      </c>
      <c r="G7" s="84">
        <v>4.8</v>
      </c>
      <c r="H7" s="128"/>
      <c r="I7" s="128"/>
      <c r="J7" s="128"/>
      <c r="K7" s="128"/>
    </row>
    <row r="8" spans="1:11" ht="15.6" customHeight="1" x14ac:dyDescent="0.3">
      <c r="A8" s="64" t="s">
        <v>541</v>
      </c>
      <c r="B8" s="64" t="s">
        <v>592</v>
      </c>
      <c r="C8" s="64">
        <v>21.9</v>
      </c>
      <c r="D8" s="160"/>
      <c r="E8" s="54" t="s">
        <v>546</v>
      </c>
      <c r="F8" s="54" t="s">
        <v>594</v>
      </c>
      <c r="G8" s="83">
        <v>7.5</v>
      </c>
      <c r="H8" s="128"/>
      <c r="I8" s="128"/>
      <c r="J8" s="128"/>
      <c r="K8" s="128"/>
    </row>
    <row r="9" spans="1:11" ht="15.6" customHeight="1" x14ac:dyDescent="0.3">
      <c r="A9" s="54" t="s">
        <v>542</v>
      </c>
      <c r="B9" s="54" t="s">
        <v>592</v>
      </c>
      <c r="C9" s="54">
        <v>19.600000000000001</v>
      </c>
      <c r="D9" s="160"/>
      <c r="E9" s="64" t="s">
        <v>547</v>
      </c>
      <c r="F9" s="64" t="s">
        <v>594</v>
      </c>
      <c r="G9" s="84">
        <v>4.5</v>
      </c>
      <c r="H9" s="128"/>
      <c r="I9" s="128"/>
      <c r="J9" s="128"/>
      <c r="K9" s="128"/>
    </row>
    <row r="10" spans="1:11" ht="15.6" customHeight="1" x14ac:dyDescent="0.3">
      <c r="A10" s="54" t="s">
        <v>543</v>
      </c>
      <c r="B10" s="54" t="s">
        <v>592</v>
      </c>
      <c r="C10" s="54">
        <v>10.5</v>
      </c>
      <c r="D10" s="160"/>
      <c r="E10" s="81"/>
      <c r="F10" s="81" t="s">
        <v>630</v>
      </c>
      <c r="G10" s="81">
        <f>SUM(G7:G9)</f>
        <v>16.8</v>
      </c>
      <c r="H10" s="128"/>
      <c r="I10" s="128"/>
      <c r="J10" s="128"/>
      <c r="K10" s="128"/>
    </row>
    <row r="11" spans="1:11" ht="15.6" customHeight="1" x14ac:dyDescent="0.3">
      <c r="A11" s="64" t="s">
        <v>544</v>
      </c>
      <c r="B11" s="64" t="s">
        <v>592</v>
      </c>
      <c r="C11" s="64">
        <v>5.6</v>
      </c>
      <c r="D11" s="160"/>
      <c r="E11" s="160"/>
      <c r="F11" s="160"/>
      <c r="G11" s="160"/>
      <c r="H11" s="128"/>
      <c r="I11" s="128"/>
      <c r="J11" s="128"/>
      <c r="K11" s="128"/>
    </row>
    <row r="12" spans="1:11" ht="15.6" customHeight="1" x14ac:dyDescent="0.3">
      <c r="A12" s="54" t="s">
        <v>545</v>
      </c>
      <c r="B12" s="54" t="s">
        <v>592</v>
      </c>
      <c r="C12" s="54">
        <v>8.1999999999999993</v>
      </c>
      <c r="D12" s="160"/>
      <c r="E12" s="160"/>
      <c r="F12" s="160"/>
      <c r="G12" s="160"/>
      <c r="H12" s="128"/>
      <c r="I12" s="128"/>
      <c r="J12" s="128"/>
      <c r="K12" s="128"/>
    </row>
    <row r="13" spans="1:11" ht="15.6" customHeight="1" x14ac:dyDescent="0.3">
      <c r="A13" s="64" t="s">
        <v>582</v>
      </c>
      <c r="B13" s="64" t="s">
        <v>592</v>
      </c>
      <c r="C13" s="64">
        <v>15.7</v>
      </c>
      <c r="D13" s="160"/>
      <c r="E13" s="160"/>
      <c r="F13" s="160"/>
      <c r="G13" s="160"/>
      <c r="H13" s="128"/>
      <c r="I13" s="128"/>
      <c r="J13" s="128"/>
      <c r="K13" s="128"/>
    </row>
    <row r="14" spans="1:11" ht="15.6" customHeight="1" x14ac:dyDescent="0.3">
      <c r="B14" s="51" t="s">
        <v>630</v>
      </c>
      <c r="C14" s="85">
        <f>SUM(C7:C13)</f>
        <v>91.100000000000009</v>
      </c>
      <c r="D14" s="160"/>
      <c r="E14" s="160"/>
      <c r="F14" s="160"/>
      <c r="G14" s="160"/>
      <c r="H14" s="128"/>
      <c r="I14" s="128"/>
      <c r="J14" s="128"/>
      <c r="K14" s="128"/>
    </row>
  </sheetData>
  <mergeCells count="11">
    <mergeCell ref="A1:I1"/>
    <mergeCell ref="B2:G2"/>
    <mergeCell ref="H2:I2"/>
    <mergeCell ref="B3:G3"/>
    <mergeCell ref="H3:I3"/>
    <mergeCell ref="B4:G4"/>
    <mergeCell ref="H4:I4"/>
    <mergeCell ref="E11:G14"/>
    <mergeCell ref="H6:K14"/>
    <mergeCell ref="A5:K5"/>
    <mergeCell ref="D6:D14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B7" sqref="B7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88671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70"/>
      <c r="K1" s="70"/>
    </row>
    <row r="2" spans="1:11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50.4" customHeight="1" x14ac:dyDescent="0.3">
      <c r="A3" s="79">
        <v>1</v>
      </c>
      <c r="B3" s="134" t="s">
        <v>159</v>
      </c>
      <c r="C3" s="135"/>
      <c r="D3" s="135"/>
      <c r="E3" s="135"/>
      <c r="F3" s="135"/>
      <c r="G3" s="136"/>
      <c r="H3" s="140" t="s">
        <v>636</v>
      </c>
      <c r="I3" s="169"/>
      <c r="J3" s="79" t="s">
        <v>20</v>
      </c>
      <c r="K3" s="72">
        <f>C13</f>
        <v>84.199999999999989</v>
      </c>
    </row>
    <row r="4" spans="1:11" ht="46.8" x14ac:dyDescent="0.3">
      <c r="A4" s="69" t="s">
        <v>627</v>
      </c>
      <c r="B4" s="69" t="s">
        <v>628</v>
      </c>
      <c r="C4" s="69" t="s">
        <v>629</v>
      </c>
      <c r="D4" s="137"/>
      <c r="E4" s="137"/>
      <c r="F4" s="137"/>
      <c r="G4" s="137"/>
      <c r="H4" s="137"/>
      <c r="I4" s="137"/>
      <c r="J4" s="137"/>
      <c r="K4" s="137"/>
    </row>
    <row r="5" spans="1:11" ht="15.6" customHeight="1" x14ac:dyDescent="0.3">
      <c r="A5" s="64" t="s">
        <v>521</v>
      </c>
      <c r="B5" s="64" t="s">
        <v>513</v>
      </c>
      <c r="C5" s="64">
        <v>23.5</v>
      </c>
      <c r="D5" s="160"/>
      <c r="E5" s="160"/>
      <c r="F5" s="160"/>
      <c r="G5" s="160"/>
      <c r="H5" s="160"/>
      <c r="I5" s="160"/>
      <c r="J5" s="160"/>
      <c r="K5" s="160"/>
    </row>
    <row r="6" spans="1:11" ht="15.6" customHeight="1" x14ac:dyDescent="0.3">
      <c r="A6" s="54" t="s">
        <v>522</v>
      </c>
      <c r="B6" s="54" t="s">
        <v>513</v>
      </c>
      <c r="C6" s="54">
        <v>4.8</v>
      </c>
      <c r="D6" s="160"/>
      <c r="E6" s="160"/>
      <c r="F6" s="160"/>
      <c r="G6" s="160"/>
      <c r="H6" s="160"/>
      <c r="I6" s="160"/>
      <c r="J6" s="160"/>
      <c r="K6" s="160"/>
    </row>
    <row r="7" spans="1:11" ht="15.6" customHeight="1" x14ac:dyDescent="0.3">
      <c r="A7" s="64" t="s">
        <v>523</v>
      </c>
      <c r="B7" s="64" t="s">
        <v>513</v>
      </c>
      <c r="C7" s="64">
        <v>19.5</v>
      </c>
      <c r="D7" s="160"/>
      <c r="E7" s="160"/>
      <c r="F7" s="160"/>
      <c r="G7" s="160"/>
      <c r="H7" s="160"/>
      <c r="I7" s="160"/>
      <c r="J7" s="160"/>
      <c r="K7" s="160"/>
    </row>
    <row r="8" spans="1:11" ht="15.6" customHeight="1" x14ac:dyDescent="0.3">
      <c r="A8" s="54" t="s">
        <v>524</v>
      </c>
      <c r="B8" s="54" t="s">
        <v>513</v>
      </c>
      <c r="C8" s="54">
        <v>10.3</v>
      </c>
      <c r="D8" s="160"/>
      <c r="E8" s="160"/>
      <c r="F8" s="160"/>
      <c r="G8" s="160"/>
      <c r="H8" s="160"/>
      <c r="I8" s="160"/>
      <c r="J8" s="160"/>
      <c r="K8" s="160"/>
    </row>
    <row r="9" spans="1:11" ht="15.6" customHeight="1" x14ac:dyDescent="0.3">
      <c r="A9" s="64" t="s">
        <v>525</v>
      </c>
      <c r="B9" s="64" t="s">
        <v>513</v>
      </c>
      <c r="C9" s="64">
        <v>5.6</v>
      </c>
      <c r="D9" s="160"/>
      <c r="E9" s="160"/>
      <c r="F9" s="160"/>
      <c r="G9" s="160"/>
      <c r="H9" s="160"/>
      <c r="I9" s="160"/>
      <c r="J9" s="160"/>
      <c r="K9" s="160"/>
    </row>
    <row r="10" spans="1:11" ht="15.6" customHeight="1" x14ac:dyDescent="0.3">
      <c r="A10" s="54" t="s">
        <v>531</v>
      </c>
      <c r="B10" s="54" t="s">
        <v>513</v>
      </c>
      <c r="C10" s="54">
        <v>8.1999999999999993</v>
      </c>
      <c r="D10" s="160"/>
      <c r="E10" s="160"/>
      <c r="F10" s="160"/>
      <c r="G10" s="160"/>
      <c r="H10" s="160"/>
      <c r="I10" s="160"/>
      <c r="J10" s="160"/>
      <c r="K10" s="160"/>
    </row>
    <row r="11" spans="1:11" ht="15.6" customHeight="1" x14ac:dyDescent="0.3">
      <c r="A11" s="64" t="s">
        <v>532</v>
      </c>
      <c r="B11" s="64" t="s">
        <v>513</v>
      </c>
      <c r="C11" s="64">
        <v>7.6</v>
      </c>
      <c r="D11" s="160"/>
      <c r="E11" s="160"/>
      <c r="F11" s="160"/>
      <c r="G11" s="160"/>
      <c r="H11" s="160"/>
      <c r="I11" s="160"/>
      <c r="J11" s="160"/>
      <c r="K11" s="160"/>
    </row>
    <row r="12" spans="1:11" ht="15.6" customHeight="1" x14ac:dyDescent="0.3">
      <c r="A12" s="64" t="s">
        <v>537</v>
      </c>
      <c r="B12" s="64" t="s">
        <v>513</v>
      </c>
      <c r="C12" s="64">
        <v>4.7</v>
      </c>
      <c r="D12" s="160"/>
      <c r="E12" s="160"/>
      <c r="F12" s="160"/>
      <c r="G12" s="160"/>
      <c r="H12" s="160"/>
      <c r="I12" s="160"/>
      <c r="J12" s="160"/>
      <c r="K12" s="160"/>
    </row>
    <row r="13" spans="1:11" ht="15.6" customHeight="1" x14ac:dyDescent="0.3">
      <c r="B13" s="51" t="s">
        <v>630</v>
      </c>
      <c r="C13" s="85">
        <f>SUM(C5:C12)</f>
        <v>84.199999999999989</v>
      </c>
      <c r="D13" s="160"/>
      <c r="E13" s="160"/>
      <c r="F13" s="160"/>
      <c r="G13" s="160"/>
      <c r="H13" s="160"/>
      <c r="I13" s="160"/>
      <c r="J13" s="160"/>
      <c r="K13" s="160"/>
    </row>
  </sheetData>
  <mergeCells count="6">
    <mergeCell ref="D4:K13"/>
    <mergeCell ref="A1:I1"/>
    <mergeCell ref="B2:G2"/>
    <mergeCell ref="H2:I2"/>
    <mergeCell ref="B3:G3"/>
    <mergeCell ref="H3:I3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B13" sqref="B13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88671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130" t="s">
        <v>625</v>
      </c>
      <c r="B1" s="130"/>
      <c r="C1" s="130"/>
      <c r="D1" s="130"/>
      <c r="E1" s="130"/>
      <c r="F1" s="130"/>
      <c r="G1" s="130"/>
      <c r="H1" s="130"/>
      <c r="I1" s="130"/>
      <c r="J1" s="70"/>
      <c r="K1" s="70"/>
    </row>
    <row r="2" spans="1:11" ht="31.2" x14ac:dyDescent="0.3">
      <c r="A2" s="66" t="s">
        <v>626</v>
      </c>
      <c r="B2" s="131" t="s">
        <v>2</v>
      </c>
      <c r="C2" s="132"/>
      <c r="D2" s="132"/>
      <c r="E2" s="132"/>
      <c r="F2" s="132"/>
      <c r="G2" s="133"/>
      <c r="H2" s="138" t="s">
        <v>631</v>
      </c>
      <c r="I2" s="139"/>
      <c r="J2" s="67" t="s">
        <v>5</v>
      </c>
      <c r="K2" s="71" t="s">
        <v>591</v>
      </c>
    </row>
    <row r="3" spans="1:11" ht="50.4" customHeight="1" x14ac:dyDescent="0.3">
      <c r="A3" s="79">
        <v>1</v>
      </c>
      <c r="B3" s="134" t="s">
        <v>159</v>
      </c>
      <c r="C3" s="135"/>
      <c r="D3" s="135"/>
      <c r="E3" s="135"/>
      <c r="F3" s="135"/>
      <c r="G3" s="136"/>
      <c r="H3" s="140" t="s">
        <v>637</v>
      </c>
      <c r="I3" s="169"/>
      <c r="J3" s="79" t="s">
        <v>20</v>
      </c>
      <c r="K3" s="72">
        <f>C13</f>
        <v>84.399999999999991</v>
      </c>
    </row>
    <row r="4" spans="1:11" ht="46.8" x14ac:dyDescent="0.3">
      <c r="A4" s="69" t="s">
        <v>627</v>
      </c>
      <c r="B4" s="69" t="s">
        <v>628</v>
      </c>
      <c r="C4" s="69" t="s">
        <v>629</v>
      </c>
      <c r="D4" s="137"/>
      <c r="E4" s="137"/>
      <c r="F4" s="137"/>
      <c r="G4" s="137"/>
      <c r="H4" s="137"/>
      <c r="I4" s="137"/>
      <c r="J4" s="137"/>
      <c r="K4" s="137"/>
    </row>
    <row r="5" spans="1:11" ht="15.6" customHeight="1" x14ac:dyDescent="0.3">
      <c r="A5" s="64" t="s">
        <v>540</v>
      </c>
      <c r="B5" s="64" t="s">
        <v>513</v>
      </c>
      <c r="C5" s="64">
        <v>4.8</v>
      </c>
      <c r="D5" s="160"/>
      <c r="E5" s="160"/>
      <c r="F5" s="160"/>
      <c r="G5" s="160"/>
      <c r="H5" s="160"/>
      <c r="I5" s="160"/>
      <c r="J5" s="160"/>
      <c r="K5" s="160"/>
    </row>
    <row r="6" spans="1:11" ht="15.6" customHeight="1" x14ac:dyDescent="0.3">
      <c r="A6" s="54" t="s">
        <v>541</v>
      </c>
      <c r="B6" s="54" t="s">
        <v>513</v>
      </c>
      <c r="C6" s="54">
        <v>23.6</v>
      </c>
      <c r="D6" s="160"/>
      <c r="E6" s="160"/>
      <c r="F6" s="160"/>
      <c r="G6" s="160"/>
      <c r="H6" s="160"/>
      <c r="I6" s="160"/>
      <c r="J6" s="160"/>
      <c r="K6" s="160"/>
    </row>
    <row r="7" spans="1:11" ht="15.6" customHeight="1" x14ac:dyDescent="0.3">
      <c r="A7" s="64" t="s">
        <v>542</v>
      </c>
      <c r="B7" s="64" t="s">
        <v>513</v>
      </c>
      <c r="C7" s="64">
        <v>19.600000000000001</v>
      </c>
      <c r="D7" s="160"/>
      <c r="E7" s="160"/>
      <c r="F7" s="160"/>
      <c r="G7" s="160"/>
      <c r="H7" s="160"/>
      <c r="I7" s="160"/>
      <c r="J7" s="160"/>
      <c r="K7" s="160"/>
    </row>
    <row r="8" spans="1:11" ht="15.6" customHeight="1" x14ac:dyDescent="0.3">
      <c r="A8" s="54" t="s">
        <v>543</v>
      </c>
      <c r="B8" s="54" t="s">
        <v>513</v>
      </c>
      <c r="C8" s="54">
        <v>10.5</v>
      </c>
      <c r="D8" s="160"/>
      <c r="E8" s="160"/>
      <c r="F8" s="160"/>
      <c r="G8" s="160"/>
      <c r="H8" s="160"/>
      <c r="I8" s="160"/>
      <c r="J8" s="160"/>
      <c r="K8" s="160"/>
    </row>
    <row r="9" spans="1:11" ht="15.6" customHeight="1" x14ac:dyDescent="0.3">
      <c r="A9" s="64" t="s">
        <v>544</v>
      </c>
      <c r="B9" s="64" t="s">
        <v>513</v>
      </c>
      <c r="C9" s="64">
        <v>5.6</v>
      </c>
      <c r="D9" s="160"/>
      <c r="E9" s="160"/>
      <c r="F9" s="160"/>
      <c r="G9" s="160"/>
      <c r="H9" s="160"/>
      <c r="I9" s="160"/>
      <c r="J9" s="160"/>
      <c r="K9" s="160"/>
    </row>
    <row r="10" spans="1:11" ht="15.6" customHeight="1" x14ac:dyDescent="0.3">
      <c r="A10" s="54" t="s">
        <v>545</v>
      </c>
      <c r="B10" s="54" t="s">
        <v>513</v>
      </c>
      <c r="C10" s="54">
        <v>8.1999999999999993</v>
      </c>
      <c r="D10" s="160"/>
      <c r="E10" s="160"/>
      <c r="F10" s="160"/>
      <c r="G10" s="160"/>
      <c r="H10" s="160"/>
      <c r="I10" s="160"/>
      <c r="J10" s="160"/>
      <c r="K10" s="160"/>
    </row>
    <row r="11" spans="1:11" ht="15.6" customHeight="1" x14ac:dyDescent="0.3">
      <c r="A11" s="64" t="s">
        <v>546</v>
      </c>
      <c r="B11" s="64" t="s">
        <v>513</v>
      </c>
      <c r="C11" s="64">
        <v>7.6</v>
      </c>
      <c r="D11" s="160"/>
      <c r="E11" s="160"/>
      <c r="F11" s="160"/>
      <c r="G11" s="160"/>
      <c r="H11" s="160"/>
      <c r="I11" s="160"/>
      <c r="J11" s="160"/>
      <c r="K11" s="160"/>
    </row>
    <row r="12" spans="1:11" ht="15.6" customHeight="1" x14ac:dyDescent="0.3">
      <c r="A12" s="54" t="s">
        <v>547</v>
      </c>
      <c r="B12" s="54" t="s">
        <v>513</v>
      </c>
      <c r="C12" s="54">
        <v>4.5</v>
      </c>
      <c r="D12" s="160"/>
      <c r="E12" s="160"/>
      <c r="F12" s="160"/>
      <c r="G12" s="160"/>
      <c r="H12" s="160"/>
      <c r="I12" s="160"/>
      <c r="J12" s="160"/>
      <c r="K12" s="160"/>
    </row>
    <row r="13" spans="1:11" ht="15.6" customHeight="1" x14ac:dyDescent="0.3">
      <c r="B13" s="51" t="s">
        <v>630</v>
      </c>
      <c r="C13" s="85">
        <f>SUM(C5:C12)</f>
        <v>84.399999999999991</v>
      </c>
      <c r="D13" s="160"/>
      <c r="E13" s="160"/>
      <c r="F13" s="160"/>
      <c r="G13" s="160"/>
      <c r="H13" s="160"/>
      <c r="I13" s="160"/>
      <c r="J13" s="160"/>
      <c r="K13" s="160"/>
    </row>
  </sheetData>
  <mergeCells count="6">
    <mergeCell ref="D4:K13"/>
    <mergeCell ref="A1:I1"/>
    <mergeCell ref="B2:G2"/>
    <mergeCell ref="H2:I2"/>
    <mergeCell ref="B3:G3"/>
    <mergeCell ref="H3:I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9.7оргПлт</vt:lpstr>
      <vt:lpstr>9.5Мср</vt:lpstr>
      <vt:lpstr>9.4орг</vt:lpstr>
      <vt:lpstr>9.2плтк</vt:lpstr>
      <vt:lpstr>9.1шлфк</vt:lpstr>
      <vt:lpstr>8.1_орг</vt:lpstr>
      <vt:lpstr>7-Кер</vt:lpstr>
      <vt:lpstr>6.3_ост</vt:lpstr>
      <vt:lpstr>5.3_нал_пл</vt:lpstr>
      <vt:lpstr>4.3_ост</vt:lpstr>
      <vt:lpstr>КП</vt:lpstr>
      <vt:lpstr>Пом</vt:lpstr>
      <vt:lpstr>Лист2</vt:lpstr>
      <vt:lpstr>Типы</vt:lpstr>
      <vt:lpstr>5.1</vt:lpstr>
      <vt:lpstr>5.2</vt:lpstr>
      <vt:lpstr>6.1</vt:lpstr>
      <vt:lpstr>6.2</vt:lpstr>
      <vt:lpstr>4.1</vt:lpstr>
      <vt:lpstr>4.2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2026-03-12T14:33:45Z</dcterms:created>
  <dcterms:modified xsi:type="dcterms:W3CDTF">2026-09-07T08:48:07Z</dcterms:modified>
  <cp:category/>
</cp:coreProperties>
</file>