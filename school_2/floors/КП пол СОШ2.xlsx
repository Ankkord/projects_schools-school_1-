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/>
  </bookViews>
  <sheets>
    <sheet name="9.1шлфк" sheetId="21" r:id="rId1"/>
    <sheet name="8.1_орг" sheetId="20" r:id="rId2"/>
    <sheet name="7-Кер" sheetId="15" r:id="rId3"/>
    <sheet name="6.3_ост" sheetId="17" r:id="rId4"/>
    <sheet name="5.3_нал_пл" sheetId="16" r:id="rId5"/>
    <sheet name="4.3_ост" sheetId="18" r:id="rId6"/>
    <sheet name="КП" sheetId="3" r:id="rId7"/>
    <sheet name="Пом" sheetId="4" r:id="rId8"/>
    <sheet name="Лист2" sheetId="7" r:id="rId9"/>
    <sheet name="Типы" sheetId="5" r:id="rId10"/>
    <sheet name="5.1" sheetId="6" r:id="rId11"/>
    <sheet name="5.2" sheetId="8" r:id="rId12"/>
    <sheet name="6.1" sheetId="10" r:id="rId13"/>
    <sheet name="6.2" sheetId="11" r:id="rId14"/>
    <sheet name="4.1" sheetId="13" r:id="rId15"/>
    <sheet name="4.2" sheetId="14" r:id="rId16"/>
  </sheets>
  <calcPr calcId="15251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21" l="1"/>
  <c r="F3" i="21" s="1"/>
  <c r="G36" i="20" l="1"/>
  <c r="K29" i="20" l="1"/>
  <c r="K3" i="20" l="1"/>
  <c r="C32" i="20"/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<sst xmlns="http://schemas.openxmlformats.org/spreadsheetml/2006/main" count="2676" uniqueCount="677">
  <si>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</si>
  <si>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</si>
  <si>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</si>
  <si>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</si>
  <si>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</si>
  <si>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</si>
  <si>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</si>
  <si>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</si>
  <si>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</si>
  <si>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</si>
  <si>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</si>
  <si>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</si>
  <si>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</si>
  <si>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</si>
  <si>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</si>
  <si>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</si>
  <si>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</si>
  <si>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</si>
  <si>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</si>
  <si>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</si>
  <si>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</si>
  <si>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</si>
  <si>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</si>
  <si>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</si>
  <si>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</si>
  <si>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</si>
  <si>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</si>
  <si>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</si>
  <si>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</si>
  <si>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</si>
  <si>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</si>
  <si>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</si>
  <si>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</si>
  <si>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</si>
  <si>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</si>
  <si>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</si>
  <si>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</si>
  <si>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</si>
  <si>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</si>
  <si>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</si>
  <si>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</si>
  <si>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</si>
  <si>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</si>
  <si>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</si>
  <si>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</si>
  <si>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</si>
  <si>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</si>
  <si>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</si>
  <si>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</si>
  <si>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</si>
  <si>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</si>
  <si>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</si>
  <si>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</si>
  <si>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</si>
  <si>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</si>
  <si>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</si>
  <si>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</si>
  <si>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</si>
  <si>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</si>
  <si>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</si>
  <si>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</si>
  <si>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</si>
  <si>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</si>
  <si>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</si>
  <si>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</si>
  <si>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</si>
  <si>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</si>
  <si>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</si>
  <si>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</si>
  <si>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</si>
  <si>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</si>
  <si>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</si>
  <si>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</si>
  <si>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</si>
  <si>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</si>
  <si>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</si>
  <si>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</si>
  <si>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</si>
  <si>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</si>
  <si>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</si>
  <si>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</si>
  <si>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</si>
  <si>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</si>
  <si>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</si>
  <si>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</si>
  <si>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</si>
  <si>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</si>
  <si>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</si>
  <si>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</si>
  <si>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</si>
  <si>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</si>
  <si>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</si>
  <si>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</si>
  <si>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</si>
  <si>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</si>
  <si>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</si>
  <si>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</si>
  <si>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</si>
  <si>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</si>
  <si>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</si>
  <si>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</si>
  <si>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</si>
  <si>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</si>
  <si>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</si>
  <si>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</si>
  <si>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</si>
  <si>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</si>
  <si>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</si>
  <si>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</si>
  <si>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</si>
  <si>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</si>
  <si>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</si>
  <si>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</si>
  <si>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</si>
  <si>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</si>
  <si>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</si>
  <si>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</si>
  <si>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</si>
  <si>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</si>
  <si>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</si>
  <si>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</si>
  <si>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</si>
  <si>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</si>
  <si>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</si>
  <si>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</si>
  <si>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</si>
  <si>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</si>
  <si>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</si>
  <si>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</si>
  <si>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</si>
  <si>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</si>
  <si>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</si>
  <si>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</si>
  <si>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</si>
  <si>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</si>
  <si>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</si>
  <si>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</si>
  <si>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</si>
  <si>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</si>
  <si>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</si>
  <si>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</si>
  <si>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</si>
  <si>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</si>
  <si>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</si>
  <si>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</si>
  <si>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</si>
  <si>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</si>
  <si>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</si>
  <si>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</si>
  <si>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</si>
  <si>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</si>
  <si>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</si>
  <si>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</si>
  <si>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</si>
  <si>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</si>
  <si>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</si>
  <si>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</si>
  <si>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</si>
  <si>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</si>
  <si>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</si>
  <si>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</si>
  <si>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</si>
  <si>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</si>
  <si>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</si>
  <si>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</si>
  <si>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</si>
  <si>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</si>
  <si>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</si>
  <si>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</si>
  <si>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</si>
  <si>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</si>
  <si>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</si>
  <si>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</si>
  <si>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</si>
  <si>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</si>
  <si>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</si>
  <si>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</si>
  <si>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</si>
  <si>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</si>
  <si>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</si>
  <si>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</si>
  <si>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</si>
  <si>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</si>
  <si>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</si>
  <si>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</si>
  <si>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</si>
  <si>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</si>
  <si>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</si>
  <si>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</si>
  <si>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</si>
  <si>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</si>
  <si>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</si>
  <si>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</si>
  <si>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</si>
  <si>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</si>
  <si>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</si>
  <si>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</si>
  <si>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</si>
  <si>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</si>
  <si>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</si>
  <si>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</si>
  <si>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</si>
  <si>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</si>
  <si>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</si>
  <si>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</si>
  <si>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</si>
  <si>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</si>
  <si>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</si>
  <si>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</si>
  <si>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</si>
  <si>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</si>
  <si>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</si>
  <si>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</si>
  <si>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</si>
  <si>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</si>
  <si>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</si>
  <si>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</si>
  <si>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</si>
  <si>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</si>
  <si>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</si>
  <si>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</si>
  <si>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</si>
  <si>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</si>
  <si>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</si>
  <si>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</si>
  <si>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</si>
  <si>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</si>
  <si>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</si>
  <si>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</si>
  <si>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</si>
  <si>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</si>
  <si>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</si>
  <si>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</si>
  <si>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</si>
  <si>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</si>
  <si>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</si>
  <si>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</si>
  <si>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</si>
  <si>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</si>
  <si>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</si>
  <si>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</si>
  <si>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</si>
  <si>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</si>
  <si>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</si>
  <si>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</si>
  <si>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</si>
  <si>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</si>
  <si>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</si>
  <si>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</si>
  <si>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</si>
  <si>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</si>
  <si>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</si>
  <si>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</si>
  <si>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</si>
  <si>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</si>
  <si>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</si>
  <si>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</si>
  <si>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</si>
  <si>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</si>
  <si>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</si>
  <si>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</si>
  <si>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</si>
  <si>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</si>
  <si>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</si>
  <si>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</si>
  <si>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</si>
  <si>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</si>
  <si>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</si>
  <si>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</si>
  <si>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</si>
  <si>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</si>
  <si>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</si>
  <si>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</si>
  <si>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</si>
  <si>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</si>
  <si>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</si>
  <si>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</si>
  <si>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</si>
  <si>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</si>
  <si>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</si>
  <si>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</si>
  <si>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</si>
  <si>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</si>
  <si>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</si>
  <si>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</si>
  <si>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</si>
  <si>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</si>
  <si>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</si>
  <si>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</si>
  <si>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</si>
  <si>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</si>
  <si>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</si>
  <si>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</si>
  <si>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</si>
  <si>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</si>
  <si>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</si>
  <si>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</si>
  <si>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</si>
  <si>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</si>
  <si>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</si>
  <si>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</si>
  <si>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</si>
  <si>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</si>
  <si>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</si>
  <si>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</si>
  <si>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</si>
  <si>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</si>
  <si>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</si>
  <si>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</si>
  <si>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</si>
  <si>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</si>
  <si>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</si>
  <si>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</si>
  <si>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</si>
  <si>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</si>
  <si>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</si>
  <si>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</si>
  <si>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</si>
  <si>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</si>
  <si>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</si>
  <si>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</si>
  <si>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</si>
  <si>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</si>
  <si>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</si>
  <si>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</si>
  <si>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</si>
  <si>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</si>
  <si>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</si>
  <si>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</si>
  <si>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</si>
  <si>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</si>
  <si>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</si>
  <si>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</si>
  <si>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</si>
  <si>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</si>
  <si>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</si>
  <si>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</si>
  <si>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</si>
  <si>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</si>
  <si>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</si>
  <si>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</si>
  <si>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</si>
  <si>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</si>
  <si>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</si>
  <si>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</si>
  <si>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</si>
  <si>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</si>
  <si>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</si>
  <si>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</si>
  <si>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</si>
  <si>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</si>
  <si>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</si>
  <si>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</si>
  <si>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</si>
  <si>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</si>
  <si>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</si>
  <si>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</si>
  <si>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</si>
  <si>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</si>
  <si>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</si>
  <si>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</si>
  <si>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</si>
  <si>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</si>
  <si>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</si>
  <si>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</si>
  <si>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</si>
  <si>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</si>
  <si>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</si>
  <si>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</si>
  <si>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</si>
  <si>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</si>
  <si>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</si>
  <si>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</si>
  <si>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</si>
  <si>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</si>
  <si>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</si>
  <si>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</si>
  <si>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</si>
  <si>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</si>
  <si>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</si>
  <si>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</si>
  <si>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</si>
  <si>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</si>
  <si>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</si>
  <si>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</si>
  <si>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</si>
  <si>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</si>
  <si>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</si>
  <si>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</si>
  <si>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</si>
  <si>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</si>
  <si>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</si>
  <si>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</si>
  <si>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</si>
  <si>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</si>
  <si>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</si>
  <si>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</si>
  <si>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</si>
  <si>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</si>
  <si>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</si>
  <si>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</si>
  <si>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</si>
  <si>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</si>
  <si>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</si>
  <si>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</si>
  <si>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</si>
  <si>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</si>
  <si>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</si>
  <si>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</si>
  <si>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</si>
  <si>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</si>
  <si>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</si>
  <si>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</si>
  <si>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</si>
  <si>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</si>
  <si>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</si>
  <si>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</si>
  <si>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</si>
  <si>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</si>
  <si>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</si>
  <si>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</si>
  <si>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</si>
  <si>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</si>
  <si>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</si>
  <si>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</si>
  <si>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</si>
  <si>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</si>
  <si>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</si>
  <si>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</si>
  <si>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</si>
  <si>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</si>
  <si>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</si>
  <si>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</si>
  <si>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</si>
  <si>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</si>
  <si>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</si>
  <si>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</si>
  <si>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</si>
  <si>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</si>
  <si>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</si>
  <si>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</si>
  <si>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</si>
  <si>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</si>
  <si>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</si>
  <si>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</si>
  <si>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</si>
  <si>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</si>
  <si>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</si>
  <si>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</si>
  <si>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</si>
  <si>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</si>
  <si>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</si>
  <si>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</si>
  <si>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</si>
  <si>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</si>
  <si>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</si>
  <si>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</si>
  <si>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</si>
  <si>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</si>
  <si>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</si>
  <si>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</si>
  <si>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</si>
  <si>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</si>
  <si>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</si>
  <si>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</si>
  <si>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</si>
  <si>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</si>
  <si>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</si>
  <si>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</si>
  <si>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</si>
  <si>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</si>
  <si>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</si>
  <si>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</si>
  <si>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</si>
  <si>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</si>
  <si>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</si>
  <si>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</si>
  <si>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</si>
  <si>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</si>
  <si>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</si>
  <si>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</si>
  <si>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</si>
  <si>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</si>
  <si>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</si>
  <si>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</si>
  <si>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</si>
  <si>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</si>
  <si>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</si>
  <si>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</si>
  <si>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</si>
  <si>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</si>
  <si>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</si>
  <si>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</si>
  <si>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</si>
  <si>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</si>
  <si>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</si>
  <si>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</si>
  <si>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</si>
  <si>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</si>
  <si>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</si>
  <si>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</si>
  <si>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</si>
  <si>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</si>
  <si>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</si>
  <si>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</si>
  <si>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</si>
  <si>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</si>
  <si>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</si>
  <si>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</si>
  <si>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</si>
  <si>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</si>
  <si>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</si>
  <si>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</si>
  <si>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</si>
  <si>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</si>
  <si>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</si>
  <si>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</si>
  <si>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</si>
  <si>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</si>
  <si>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</si>
  <si>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</si>
  <si>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</si>
  <si>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</si>
  <si>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</si>
  <si>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</si>
  <si>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</si>
  <si>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</si>
  <si>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</si>
  <si>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</si>
  <si>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</si>
  <si>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</si>
  <si>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</si>
  <si>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</si>
  <si>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</si>
  <si>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</si>
  <si>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</si>
  <si>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</si>
  <si>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</si>
  <si>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</si>
  <si>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</si>
  <si>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</si>
  <si>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</si>
  <si>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</si>
  <si>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</si>
  <si>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</si>
  <si>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</si>
  <si>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</si>
  <si>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</si>
  <si>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</si>
  <si>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</si>
  <si>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</si>
  <si>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</si>
  <si>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</si>
  <si>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</si>
  <si>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</si>
  <si>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</si>
  <si>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</si>
  <si>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</si>
  <si>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</si>
  <si>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</si>
  <si>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</si>
  <si>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</si>
  <si>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</si>
  <si>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</si>
  <si>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</si>
  <si>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</si>
  <si>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</si>
  <si>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</si>
  <si>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</si>
  <si>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</si>
  <si>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</si>
  <si>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</si>
  <si>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</si>
  <si>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</si>
  <si>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</si>
  <si>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</si>
  <si>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</si>
  <si>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</si>
  <si>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</si>
  <si>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</si>
  <si>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</si>
  <si>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</si>
  <si>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</si>
  <si>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</si>
  <si>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</si>
  <si>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</si>
  <si>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</si>
  <si>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</si>
  <si>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</si>
  <si>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</si>
  <si>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</si>
  <si>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</si>
  <si>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</si>
  <si>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</si>
  <si>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</si>
  <si>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</si>
  <si>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</si>
  <si>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</si>
  <si>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</si>
  <si>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</si>
  <si>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</si>
  <si>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</si>
  <si>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</si>
  <si>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</si>
  <si>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</si>
  <si>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</si>
  <si>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</si>
  <si>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</si>
  <si>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</si>
  <si>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</si>
  <si>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</si>
  <si>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</si>
  <si>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</si>
  <si>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</si>
  <si>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</si>
  <si>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</si>
  <si>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</si>
  <si>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</si>
  <si>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</si>
  <si>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</si>
  <si>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</si>
  <si>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</si>
  <si>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</si>
  <si>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</si>
  <si>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</si>
  <si>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</si>
  <si>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</si>
  <si>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</si>
  <si>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</si>
  <si>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</si>
  <si>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</si>
  <si>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</si>
  <si>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</si>
  <si>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</si>
  <si>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</si>
  <si>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</si>
  <si>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</si>
  <si>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</si>
  <si>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</si>
  <si>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</si>
  <si>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</si>
  <si>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</si>
  <si>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</si>
  <si>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</si>
  <si>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</si>
  <si>
    <t>Защитные мероприятия по защите пола от повреждений</t>
  </si>
  <si>
    <t>1, 2, 3 этаж.
Оргалит</t>
  </si>
  <si>
    <t>№ 
п. п.</t>
  </si>
  <si>
    <t>1.052</t>
  </si>
  <si>
    <t>1.012</t>
  </si>
  <si>
    <t>1.014</t>
  </si>
  <si>
    <t>1.013</t>
  </si>
  <si>
    <t>1.025</t>
  </si>
  <si>
    <t>1.026</t>
  </si>
  <si>
    <t>1.031</t>
  </si>
  <si>
    <t>1.033</t>
  </si>
  <si>
    <t>1.018</t>
  </si>
  <si>
    <t>1.019</t>
  </si>
  <si>
    <t>1.020</t>
  </si>
  <si>
    <t>1.021</t>
  </si>
  <si>
    <t>1.035</t>
  </si>
  <si>
    <t>1.036</t>
  </si>
  <si>
    <t>1.037</t>
  </si>
  <si>
    <t>1.038</t>
  </si>
  <si>
    <t>1.040</t>
  </si>
  <si>
    <t>1.041</t>
  </si>
  <si>
    <t>1.042</t>
  </si>
  <si>
    <t>1.089</t>
  </si>
  <si>
    <t>1.103</t>
  </si>
  <si>
    <t>1.106</t>
  </si>
  <si>
    <t>1.107</t>
  </si>
  <si>
    <t>1.108</t>
  </si>
  <si>
    <t>1.109</t>
  </si>
  <si>
    <t>1.046</t>
  </si>
  <si>
    <t>№ 
этажа</t>
  </si>
  <si>
    <t>1, 2, 3 этаж.</t>
  </si>
  <si>
    <t>Площадь шлифования бетонных поверхностей пола 1, 2 и 3-го (снятие наплывов и швов, снятие цементного молочка)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</si>
</sst>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28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31">
    <xf numFmtId="0" fontId="0" fillId="0" borderId="0" xfId="0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/>
    </xf>
    <xf numFmtId="16" fontId="2" fillId="0" borderId="3" xfId="0" applyNumberFormat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righ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164" fontId="3" fillId="3" borderId="8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right" vertical="center" wrapText="1"/>
    </xf>
    <xf numFmtId="0" fontId="3" fillId="3" borderId="8" xfId="0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right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164" fontId="3" fillId="0" borderId="10" xfId="0" applyNumberFormat="1" applyFont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5" fillId="0" borderId="12" xfId="0" applyNumberFormat="1" applyFont="1" applyBorder="1" applyAlignment="1">
      <alignment horizontal="center" vertical="center"/>
    </xf>
    <xf numFmtId="164" fontId="5" fillId="3" borderId="12" xfId="0" applyNumberFormat="1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3" borderId="12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3" borderId="14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left" vertical="center"/>
    </xf>
    <xf numFmtId="0" fontId="1" fillId="5" borderId="16" xfId="0" applyFont="1" applyFill="1" applyBorder="1" applyAlignment="1">
      <alignment horizontal="left" vertical="center"/>
    </xf>
    <xf numFmtId="164" fontId="3" fillId="5" borderId="17" xfId="0" applyNumberFormat="1" applyFont="1" applyFill="1" applyBorder="1" applyAlignment="1">
      <alignment horizontal="center" vertical="center" wrapText="1"/>
    </xf>
    <xf numFmtId="164" fontId="3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7" fillId="0" borderId="0" xfId="0" applyFont="1"/>
    <xf numFmtId="0" fontId="8" fillId="0" borderId="0" xfId="0" applyFont="1"/>
    <xf numFmtId="0" fontId="7" fillId="0" borderId="8" xfId="0" applyFont="1" applyBorder="1"/>
    <xf numFmtId="0" fontId="8" fillId="0" borderId="8" xfId="0" applyFont="1" applyBorder="1"/>
    <xf numFmtId="0" fontId="9" fillId="0" borderId="8" xfId="0" applyFont="1" applyBorder="1"/>
    <xf numFmtId="0" fontId="10" fillId="0" borderId="0" xfId="0" applyFont="1"/>
    <xf numFmtId="0" fontId="11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164" fontId="11" fillId="3" borderId="10" xfId="0" applyNumberFormat="1" applyFont="1" applyFill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right" vertical="center" wrapText="1"/>
    </xf>
    <xf numFmtId="0" fontId="9" fillId="6" borderId="8" xfId="0" applyFont="1" applyFill="1" applyBorder="1"/>
    <xf numFmtId="0" fontId="7" fillId="6" borderId="8" xfId="0" applyFont="1" applyFill="1" applyBorder="1"/>
    <xf numFmtId="49" fontId="17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43" fontId="17" fillId="0" borderId="0" xfId="1" applyFont="1" applyAlignment="1"/>
    <xf numFmtId="2" fontId="17" fillId="0" borderId="8" xfId="0" applyNumberFormat="1" applyFont="1" applyBorder="1" applyAlignment="1">
      <alignment vertical="center"/>
    </xf>
    <xf numFmtId="2" fontId="17" fillId="0" borderId="8" xfId="1" applyNumberFormat="1" applyFont="1" applyBorder="1" applyAlignment="1">
      <alignment vertical="center"/>
    </xf>
    <xf numFmtId="0" fontId="16" fillId="0" borderId="19" xfId="0" applyFont="1" applyBorder="1"/>
    <xf numFmtId="0" fontId="9" fillId="0" borderId="12" xfId="0" applyFont="1" applyBorder="1"/>
    <xf numFmtId="0" fontId="20" fillId="0" borderId="0" xfId="0" applyFont="1"/>
    <xf numFmtId="0" fontId="21" fillId="6" borderId="8" xfId="0" applyFont="1" applyFill="1" applyBorder="1"/>
    <xf numFmtId="0" fontId="21" fillId="0" borderId="8" xfId="0" applyFont="1" applyBorder="1"/>
    <xf numFmtId="0" fontId="22" fillId="6" borderId="8" xfId="0" applyFont="1" applyFill="1" applyBorder="1"/>
    <xf numFmtId="0" fontId="17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7" fillId="0" borderId="0" xfId="0" applyFont="1" applyAlignment="1"/>
    <xf numFmtId="0" fontId="23" fillId="0" borderId="0" xfId="0" applyFont="1"/>
    <xf numFmtId="0" fontId="24" fillId="0" borderId="8" xfId="0" applyFont="1" applyBorder="1"/>
    <xf numFmtId="0" fontId="24" fillId="6" borderId="8" xfId="0" applyFont="1" applyFill="1" applyBorder="1"/>
    <xf numFmtId="166" fontId="0" fillId="0" borderId="0" xfId="0" applyNumberFormat="1"/>
    <xf numFmtId="16" fontId="25" fillId="0" borderId="3" xfId="0" applyNumberFormat="1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0" fontId="26" fillId="0" borderId="8" xfId="0" applyFont="1" applyBorder="1"/>
    <xf numFmtId="0" fontId="17" fillId="0" borderId="8" xfId="0" applyFont="1" applyBorder="1" applyAlignment="1">
      <alignment horizontal="center" vertical="center"/>
    </xf>
    <xf numFmtId="2" fontId="24" fillId="0" borderId="8" xfId="0" applyNumberFormat="1" applyFont="1" applyBorder="1"/>
    <xf numFmtId="2" fontId="24" fillId="6" borderId="8" xfId="0" applyNumberFormat="1" applyFont="1" applyFill="1" applyBorder="1"/>
    <xf numFmtId="167" fontId="24" fillId="6" borderId="8" xfId="0" applyNumberFormat="1" applyFont="1" applyFill="1" applyBorder="1"/>
    <xf numFmtId="2" fontId="24" fillId="6" borderId="14" xfId="0" applyNumberFormat="1" applyFont="1" applyFill="1" applyBorder="1"/>
    <xf numFmtId="167" fontId="24" fillId="0" borderId="8" xfId="0" applyNumberFormat="1" applyFont="1" applyBorder="1"/>
    <xf numFmtId="0" fontId="0" fillId="0" borderId="0" xfId="0" applyAlignment="1"/>
    <xf numFmtId="0" fontId="20" fillId="0" borderId="0" xfId="0" applyFont="1" applyAlignment="1"/>
    <xf numFmtId="0" fontId="17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2" fontId="17" fillId="0" borderId="10" xfId="0" applyNumberFormat="1" applyFont="1" applyBorder="1" applyAlignment="1">
      <alignment horizontal="center" vertical="center"/>
    </xf>
    <xf numFmtId="165" fontId="27" fillId="0" borderId="10" xfId="1" applyNumberFormat="1" applyFont="1" applyBorder="1" applyAlignment="1">
      <alignment horizontal="center" vertical="center" wrapText="1"/>
    </xf>
    <xf numFmtId="2" fontId="17" fillId="0" borderId="8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166" fontId="9" fillId="6" borderId="8" xfId="0" applyNumberFormat="1" applyFont="1" applyFill="1" applyBorder="1"/>
    <xf numFmtId="166" fontId="9" fillId="0" borderId="8" xfId="0" applyNumberFormat="1" applyFont="1" applyBorder="1"/>
    <xf numFmtId="166" fontId="17" fillId="0" borderId="8" xfId="1" applyNumberFormat="1" applyFont="1" applyBorder="1" applyAlignment="1">
      <alignment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8" fillId="0" borderId="1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0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vertical="center" wrapText="1"/>
    </xf>
    <xf numFmtId="0" fontId="17" fillId="0" borderId="23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center" vertical="center"/>
    </xf>
    <xf numFmtId="0" fontId="18" fillId="0" borderId="20" xfId="0" applyFont="1" applyFill="1" applyBorder="1" applyAlignment="1">
      <alignment vertical="center" wrapText="1"/>
    </xf>
    <xf numFmtId="0" fontId="18" fillId="0" borderId="20" xfId="0" applyFont="1" applyBorder="1" applyAlignment="1">
      <alignment vertical="center"/>
    </xf>
    <xf numFmtId="0" fontId="17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27" fillId="0" borderId="10" xfId="1" applyNumberFormat="1" applyFont="1" applyBorder="1" applyAlignment="1">
      <alignment horizontal="center" vertical="center" wrapText="1"/>
    </xf>
    <xf numFmtId="165" fontId="27" fillId="0" borderId="11" xfId="1" applyNumberFormat="1" applyFont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Fill="1" applyBorder="1" applyAlignment="1">
      <alignment horizontal="left" vertical="center" wrapText="1"/>
    </xf>
    <xf numFmtId="2" fontId="17" fillId="0" borderId="8" xfId="0" applyNumberFormat="1" applyFont="1" applyBorder="1" applyAlignment="1">
      <alignment horizontal="center" vertical="center"/>
    </xf>
    <xf numFmtId="165" fontId="27" fillId="0" borderId="8" xfId="1" applyNumberFormat="1" applyFont="1" applyBorder="1" applyAlignment="1">
      <alignment horizontal="left" vertical="center" wrapText="1"/>
    </xf>
    <xf numFmtId="165" fontId="17" fillId="0" borderId="10" xfId="1" applyNumberFormat="1" applyFont="1" applyBorder="1" applyAlignment="1">
      <alignment horizontal="center" vertical="center" wrapText="1"/>
    </xf>
    <xf numFmtId="165" fontId="17" fillId="0" borderId="11" xfId="1" applyNumberFormat="1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/>
    </xf>
    <xf numFmtId="165" fontId="27" fillId="0" borderId="11" xfId="1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H13" sqref="H13"/>
    </sheetView>
  </sheetViews>
  <sheetFormatPr defaultRowHeight="14.4" x14ac:dyDescent="0.3"/>
  <cols>
    <col min="1" max="1" width="7.21875" customWidth="1"/>
    <col min="2" max="2" width="12.21875" customWidth="1"/>
    <col min="3" max="3" width="23.77734375" customWidth="1"/>
    <col min="4" max="4" width="13.77734375" customWidth="1"/>
    <col min="5" max="5" width="10.6640625" customWidth="1"/>
    <col min="6" max="6" width="11.33203125" customWidth="1"/>
  </cols>
  <sheetData>
    <row r="1" spans="1:6" ht="15.6" x14ac:dyDescent="0.3">
      <c r="A1" s="106" t="s">
        <v>625</v>
      </c>
      <c r="B1" s="107"/>
      <c r="C1" s="107"/>
      <c r="D1" s="107"/>
      <c r="E1" s="107"/>
      <c r="F1" s="107"/>
    </row>
    <row r="2" spans="1:6" ht="18.600000000000001" customHeight="1" x14ac:dyDescent="0.3">
      <c r="A2" s="66" t="s">
        <v>626</v>
      </c>
      <c r="B2" s="109" t="s">
        <v>2</v>
      </c>
      <c r="C2" s="110"/>
      <c r="D2" s="99" t="s">
        <v>631</v>
      </c>
      <c r="E2" s="67" t="s">
        <v>5</v>
      </c>
      <c r="F2" s="101" t="s">
        <v>591</v>
      </c>
    </row>
    <row r="3" spans="1:6" ht="69" customHeight="1" x14ac:dyDescent="0.3">
      <c r="A3" s="98">
        <v>1</v>
      </c>
      <c r="B3" s="111" t="s">
        <v>676</v>
      </c>
      <c r="C3" s="112"/>
      <c r="D3" s="100" t="s">
        <v>675</v>
      </c>
      <c r="E3" s="98" t="s">
        <v>20</v>
      </c>
      <c r="F3" s="105">
        <f>B9</f>
        <v>9401.7000000000007</v>
      </c>
    </row>
    <row r="4" spans="1:6" ht="11.4" customHeight="1" x14ac:dyDescent="0.3">
      <c r="A4" s="113"/>
      <c r="B4" s="113"/>
      <c r="C4" s="113"/>
      <c r="D4" s="113"/>
      <c r="E4" s="113"/>
      <c r="F4" s="113"/>
    </row>
    <row r="5" spans="1:6" ht="31.8" customHeight="1" x14ac:dyDescent="0.3">
      <c r="A5" s="69" t="s">
        <v>674</v>
      </c>
      <c r="B5" s="69" t="s">
        <v>629</v>
      </c>
      <c r="C5" s="108"/>
      <c r="D5" s="108"/>
      <c r="E5" s="108"/>
      <c r="F5" s="108"/>
    </row>
    <row r="6" spans="1:6" ht="15.6" customHeight="1" x14ac:dyDescent="0.3">
      <c r="A6" s="64">
        <v>1</v>
      </c>
      <c r="B6" s="103">
        <v>1581.9</v>
      </c>
      <c r="C6" s="108"/>
      <c r="D6" s="108"/>
      <c r="E6" s="108"/>
      <c r="F6" s="108"/>
    </row>
    <row r="7" spans="1:6" ht="15.6" customHeight="1" x14ac:dyDescent="0.3">
      <c r="A7" s="54">
        <v>2</v>
      </c>
      <c r="B7" s="104">
        <v>4239.5</v>
      </c>
      <c r="C7" s="108"/>
      <c r="D7" s="108"/>
      <c r="E7" s="108"/>
      <c r="F7" s="108"/>
    </row>
    <row r="8" spans="1:6" ht="15.6" customHeight="1" x14ac:dyDescent="0.3">
      <c r="A8" s="64">
        <v>3</v>
      </c>
      <c r="B8" s="103">
        <v>3580.3</v>
      </c>
      <c r="C8" s="108"/>
      <c r="D8" s="108"/>
      <c r="E8" s="108"/>
      <c r="F8" s="108"/>
    </row>
    <row r="9" spans="1:6" ht="14.4" customHeight="1" x14ac:dyDescent="0.3">
      <c r="A9" s="102" t="s">
        <v>630</v>
      </c>
      <c r="B9" s="85">
        <f>SUM(B6:B8)</f>
        <v>9401.7000000000007</v>
      </c>
      <c r="C9" s="108"/>
      <c r="D9" s="108"/>
      <c r="E9" s="108"/>
      <c r="F9" s="108"/>
    </row>
  </sheetData>
  <mergeCells count="5">
    <mergeCell ref="A1:F1"/>
    <mergeCell ref="C5:F9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>
      <selection activeCell="I30" sqref="I30:K36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97">
        <v>1</v>
      </c>
      <c r="B3" s="111" t="s">
        <v>645</v>
      </c>
      <c r="C3" s="116"/>
      <c r="D3" s="116"/>
      <c r="E3" s="116"/>
      <c r="F3" s="116"/>
      <c r="G3" s="112"/>
      <c r="H3" s="120" t="s">
        <v>646</v>
      </c>
      <c r="I3" s="121"/>
      <c r="J3" s="97" t="s">
        <v>20</v>
      </c>
      <c r="K3" s="72">
        <f>C32+G36+K29</f>
        <v>1235.2999999999997</v>
      </c>
    </row>
    <row r="4" spans="1:11" ht="15.6" x14ac:dyDescent="0.3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</row>
    <row r="5" spans="1:11" ht="46.8" x14ac:dyDescent="0.3">
      <c r="A5" s="69" t="s">
        <v>647</v>
      </c>
      <c r="B5" s="69" t="s">
        <v>627</v>
      </c>
      <c r="C5" s="69" t="s">
        <v>629</v>
      </c>
      <c r="D5" s="108"/>
      <c r="E5" s="69" t="s">
        <v>647</v>
      </c>
      <c r="F5" s="69" t="s">
        <v>627</v>
      </c>
      <c r="G5" s="69" t="s">
        <v>629</v>
      </c>
      <c r="H5" s="108"/>
      <c r="I5" s="69" t="s">
        <v>647</v>
      </c>
      <c r="J5" s="69" t="s">
        <v>627</v>
      </c>
      <c r="K5" s="69" t="s">
        <v>629</v>
      </c>
    </row>
    <row r="6" spans="1:11" ht="15.6" customHeight="1" x14ac:dyDescent="0.3">
      <c r="A6" s="64">
        <v>1</v>
      </c>
      <c r="B6" s="64" t="s">
        <v>648</v>
      </c>
      <c r="C6" s="64">
        <v>25.1</v>
      </c>
      <c r="D6" s="108"/>
      <c r="E6" s="64">
        <v>27</v>
      </c>
      <c r="F6" s="64" t="s">
        <v>560</v>
      </c>
      <c r="G6" s="64">
        <v>13.4</v>
      </c>
      <c r="H6" s="108"/>
      <c r="I6" s="64">
        <v>57</v>
      </c>
      <c r="J6" s="64" t="s">
        <v>572</v>
      </c>
      <c r="K6" s="64">
        <v>13.4</v>
      </c>
    </row>
    <row r="7" spans="1:11" ht="15.6" customHeight="1" x14ac:dyDescent="0.3">
      <c r="A7" s="54">
        <v>2</v>
      </c>
      <c r="B7" s="54" t="s">
        <v>649</v>
      </c>
      <c r="C7" s="54">
        <v>12.5</v>
      </c>
      <c r="D7" s="108"/>
      <c r="E7" s="54">
        <v>28</v>
      </c>
      <c r="F7" s="54" t="s">
        <v>561</v>
      </c>
      <c r="G7" s="54">
        <v>10.26</v>
      </c>
      <c r="H7" s="108"/>
      <c r="I7" s="54">
        <v>58</v>
      </c>
      <c r="J7" s="54" t="s">
        <v>573</v>
      </c>
      <c r="K7" s="54">
        <v>10.1</v>
      </c>
    </row>
    <row r="8" spans="1:11" ht="15.6" customHeight="1" x14ac:dyDescent="0.3">
      <c r="A8" s="64">
        <v>3</v>
      </c>
      <c r="B8" s="64" t="s">
        <v>650</v>
      </c>
      <c r="C8" s="64">
        <v>5.4</v>
      </c>
      <c r="D8" s="108"/>
      <c r="E8" s="64">
        <v>29</v>
      </c>
      <c r="F8" s="64" t="s">
        <v>521</v>
      </c>
      <c r="G8" s="64">
        <v>23.4</v>
      </c>
      <c r="H8" s="108"/>
      <c r="I8" s="64">
        <v>59</v>
      </c>
      <c r="J8" s="64" t="s">
        <v>540</v>
      </c>
      <c r="K8" s="64">
        <v>4.55</v>
      </c>
    </row>
    <row r="9" spans="1:11" ht="15.6" customHeight="1" x14ac:dyDescent="0.3">
      <c r="A9" s="54">
        <v>4</v>
      </c>
      <c r="B9" s="54" t="s">
        <v>651</v>
      </c>
      <c r="C9" s="54">
        <v>21</v>
      </c>
      <c r="D9" s="108"/>
      <c r="E9" s="54">
        <v>30</v>
      </c>
      <c r="F9" s="54" t="s">
        <v>522</v>
      </c>
      <c r="G9" s="54">
        <v>4.67</v>
      </c>
      <c r="H9" s="108"/>
      <c r="I9" s="54">
        <v>60</v>
      </c>
      <c r="J9" s="54" t="s">
        <v>541</v>
      </c>
      <c r="K9" s="54">
        <v>23.1</v>
      </c>
    </row>
    <row r="10" spans="1:11" ht="15.6" customHeight="1" x14ac:dyDescent="0.3">
      <c r="A10" s="64">
        <v>5</v>
      </c>
      <c r="B10" s="64" t="s">
        <v>652</v>
      </c>
      <c r="C10" s="64">
        <v>5.8</v>
      </c>
      <c r="D10" s="108"/>
      <c r="E10" s="64">
        <v>31</v>
      </c>
      <c r="F10" s="64" t="s">
        <v>523</v>
      </c>
      <c r="G10" s="64">
        <v>19.239999999999998</v>
      </c>
      <c r="H10" s="108"/>
      <c r="I10" s="64">
        <v>61</v>
      </c>
      <c r="J10" s="64" t="s">
        <v>542</v>
      </c>
      <c r="K10" s="64">
        <v>19.260000000000002</v>
      </c>
    </row>
    <row r="11" spans="1:11" ht="15.6" customHeight="1" x14ac:dyDescent="0.3">
      <c r="A11" s="54">
        <v>6</v>
      </c>
      <c r="B11" s="54" t="s">
        <v>653</v>
      </c>
      <c r="C11" s="54">
        <v>32.200000000000003</v>
      </c>
      <c r="D11" s="108"/>
      <c r="E11" s="54">
        <v>32</v>
      </c>
      <c r="F11" s="54" t="s">
        <v>562</v>
      </c>
      <c r="G11" s="54">
        <v>19.829999999999998</v>
      </c>
      <c r="H11" s="108"/>
      <c r="I11" s="54">
        <v>62</v>
      </c>
      <c r="J11" s="54" t="s">
        <v>574</v>
      </c>
      <c r="K11" s="54">
        <v>19.829999999999998</v>
      </c>
    </row>
    <row r="12" spans="1:11" ht="15.6" customHeight="1" x14ac:dyDescent="0.3">
      <c r="A12" s="64">
        <v>7</v>
      </c>
      <c r="B12" s="64" t="s">
        <v>654</v>
      </c>
      <c r="C12" s="64">
        <v>12.2</v>
      </c>
      <c r="D12" s="108"/>
      <c r="E12" s="64">
        <v>33</v>
      </c>
      <c r="F12" s="64" t="s">
        <v>524</v>
      </c>
      <c r="G12" s="64">
        <v>10.25</v>
      </c>
      <c r="H12" s="108"/>
      <c r="I12" s="64">
        <v>63</v>
      </c>
      <c r="J12" s="64" t="s">
        <v>543</v>
      </c>
      <c r="K12" s="64">
        <v>10.25</v>
      </c>
    </row>
    <row r="13" spans="1:11" ht="15.6" customHeight="1" x14ac:dyDescent="0.3">
      <c r="A13" s="54">
        <v>8</v>
      </c>
      <c r="B13" s="54" t="s">
        <v>655</v>
      </c>
      <c r="C13" s="54">
        <v>7.5</v>
      </c>
      <c r="D13" s="108"/>
      <c r="E13" s="54">
        <v>34</v>
      </c>
      <c r="F13" s="54" t="s">
        <v>525</v>
      </c>
      <c r="G13" s="54">
        <v>5.44</v>
      </c>
      <c r="H13" s="108"/>
      <c r="I13" s="54">
        <v>64</v>
      </c>
      <c r="J13" s="54" t="s">
        <v>544</v>
      </c>
      <c r="K13" s="54">
        <v>5.48</v>
      </c>
    </row>
    <row r="14" spans="1:11" ht="15.6" customHeight="1" x14ac:dyDescent="0.3">
      <c r="A14" s="64">
        <v>9</v>
      </c>
      <c r="B14" s="64" t="s">
        <v>656</v>
      </c>
      <c r="C14" s="64">
        <v>8.1999999999999993</v>
      </c>
      <c r="D14" s="108"/>
      <c r="E14" s="64">
        <v>35</v>
      </c>
      <c r="F14" s="64" t="s">
        <v>537</v>
      </c>
      <c r="G14" s="64">
        <v>4.55</v>
      </c>
      <c r="H14" s="108"/>
      <c r="I14" s="64">
        <v>65</v>
      </c>
      <c r="J14" s="64" t="s">
        <v>547</v>
      </c>
      <c r="K14" s="64">
        <v>4.38</v>
      </c>
    </row>
    <row r="15" spans="1:11" ht="15.6" customHeight="1" x14ac:dyDescent="0.3">
      <c r="A15" s="54">
        <v>10</v>
      </c>
      <c r="B15" s="54" t="s">
        <v>657</v>
      </c>
      <c r="C15" s="54">
        <v>8.9</v>
      </c>
      <c r="D15" s="108"/>
      <c r="E15" s="54">
        <v>36</v>
      </c>
      <c r="F15" s="54" t="s">
        <v>571</v>
      </c>
      <c r="G15" s="54">
        <v>15.17</v>
      </c>
      <c r="H15" s="108"/>
      <c r="I15" s="54">
        <v>66</v>
      </c>
      <c r="J15" s="54" t="s">
        <v>582</v>
      </c>
      <c r="K15" s="54">
        <v>15.17</v>
      </c>
    </row>
    <row r="16" spans="1:11" ht="15.6" customHeight="1" x14ac:dyDescent="0.3">
      <c r="A16" s="64">
        <v>11</v>
      </c>
      <c r="B16" s="64" t="s">
        <v>658</v>
      </c>
      <c r="C16" s="64">
        <v>15.2</v>
      </c>
      <c r="D16" s="108"/>
      <c r="E16" s="64">
        <v>37</v>
      </c>
      <c r="F16" s="64" t="s">
        <v>563</v>
      </c>
      <c r="G16" s="64">
        <v>10.79</v>
      </c>
      <c r="H16" s="108"/>
      <c r="I16" s="64">
        <v>67</v>
      </c>
      <c r="J16" s="64" t="s">
        <v>575</v>
      </c>
      <c r="K16" s="64">
        <v>10.4</v>
      </c>
    </row>
    <row r="17" spans="1:11" ht="15.6" customHeight="1" x14ac:dyDescent="0.3">
      <c r="A17" s="54">
        <v>12</v>
      </c>
      <c r="B17" s="54" t="s">
        <v>659</v>
      </c>
      <c r="C17" s="54">
        <v>14</v>
      </c>
      <c r="D17" s="108"/>
      <c r="E17" s="54">
        <v>38</v>
      </c>
      <c r="F17" s="54" t="s">
        <v>564</v>
      </c>
      <c r="G17" s="54">
        <v>10.34</v>
      </c>
      <c r="H17" s="108"/>
      <c r="I17" s="54">
        <v>68</v>
      </c>
      <c r="J17" s="54" t="s">
        <v>576</v>
      </c>
      <c r="K17" s="54">
        <v>10.72</v>
      </c>
    </row>
    <row r="18" spans="1:11" ht="15.6" customHeight="1" x14ac:dyDescent="0.3">
      <c r="A18" s="64">
        <v>13</v>
      </c>
      <c r="B18" s="64" t="s">
        <v>660</v>
      </c>
      <c r="C18" s="64">
        <v>12.1</v>
      </c>
      <c r="D18" s="108"/>
      <c r="E18" s="64">
        <v>39</v>
      </c>
      <c r="F18" s="64" t="s">
        <v>531</v>
      </c>
      <c r="G18" s="64">
        <v>7.99</v>
      </c>
      <c r="H18" s="108"/>
      <c r="I18" s="64">
        <v>69</v>
      </c>
      <c r="J18" s="54" t="s">
        <v>545</v>
      </c>
      <c r="K18" s="64">
        <v>7.99</v>
      </c>
    </row>
    <row r="19" spans="1:11" ht="15.6" customHeight="1" x14ac:dyDescent="0.3">
      <c r="A19" s="54">
        <v>14</v>
      </c>
      <c r="B19" s="54" t="s">
        <v>661</v>
      </c>
      <c r="C19" s="54">
        <v>15.28</v>
      </c>
      <c r="D19" s="108"/>
      <c r="E19" s="54">
        <v>40</v>
      </c>
      <c r="F19" s="54" t="s">
        <v>532</v>
      </c>
      <c r="G19" s="54">
        <v>7.6</v>
      </c>
      <c r="H19" s="108"/>
      <c r="I19" s="54">
        <v>70</v>
      </c>
      <c r="J19" s="54" t="s">
        <v>546</v>
      </c>
      <c r="K19" s="54">
        <v>7.48</v>
      </c>
    </row>
    <row r="20" spans="1:11" ht="15.6" customHeight="1" x14ac:dyDescent="0.3">
      <c r="A20" s="64">
        <v>15</v>
      </c>
      <c r="B20" s="64" t="s">
        <v>662</v>
      </c>
      <c r="C20" s="64">
        <v>8.1999999999999993</v>
      </c>
      <c r="D20" s="108"/>
      <c r="E20" s="64">
        <v>41</v>
      </c>
      <c r="F20" s="64" t="s">
        <v>565</v>
      </c>
      <c r="G20" s="64">
        <v>10.37</v>
      </c>
      <c r="H20" s="108"/>
      <c r="I20" s="64">
        <v>71</v>
      </c>
      <c r="J20" s="64" t="s">
        <v>577</v>
      </c>
      <c r="K20" s="64">
        <v>9.18</v>
      </c>
    </row>
    <row r="21" spans="1:11" ht="15.6" customHeight="1" x14ac:dyDescent="0.3">
      <c r="A21" s="54">
        <v>16</v>
      </c>
      <c r="B21" s="54" t="s">
        <v>663</v>
      </c>
      <c r="C21" s="54">
        <v>7.7</v>
      </c>
      <c r="D21" s="108"/>
      <c r="E21" s="54">
        <v>42</v>
      </c>
      <c r="F21" s="54" t="s">
        <v>566</v>
      </c>
      <c r="G21" s="54">
        <v>16.13</v>
      </c>
      <c r="H21" s="108"/>
      <c r="I21" s="54">
        <v>72</v>
      </c>
      <c r="J21" s="54" t="s">
        <v>578</v>
      </c>
      <c r="K21" s="54">
        <v>16.13</v>
      </c>
    </row>
    <row r="22" spans="1:11" ht="15.6" customHeight="1" x14ac:dyDescent="0.3">
      <c r="A22" s="64">
        <v>17</v>
      </c>
      <c r="B22" s="64" t="s">
        <v>664</v>
      </c>
      <c r="C22" s="64">
        <v>14.6</v>
      </c>
      <c r="D22" s="108"/>
      <c r="E22" s="64">
        <v>43</v>
      </c>
      <c r="F22" s="64" t="s">
        <v>533</v>
      </c>
      <c r="G22" s="64">
        <v>22.18</v>
      </c>
      <c r="H22" s="108"/>
      <c r="I22" s="64">
        <v>73</v>
      </c>
      <c r="J22" s="64" t="s">
        <v>548</v>
      </c>
      <c r="K22" s="64">
        <v>22.18</v>
      </c>
    </row>
    <row r="23" spans="1:11" ht="15.6" customHeight="1" x14ac:dyDescent="0.3">
      <c r="A23" s="54">
        <v>18</v>
      </c>
      <c r="B23" s="54" t="s">
        <v>665</v>
      </c>
      <c r="C23" s="54">
        <v>12.7</v>
      </c>
      <c r="D23" s="108"/>
      <c r="E23" s="54">
        <v>44</v>
      </c>
      <c r="F23" s="54" t="s">
        <v>534</v>
      </c>
      <c r="G23" s="54">
        <v>4.37</v>
      </c>
      <c r="H23" s="108"/>
      <c r="I23" s="54">
        <v>74</v>
      </c>
      <c r="J23" s="64" t="s">
        <v>549</v>
      </c>
      <c r="K23" s="54">
        <v>25.38</v>
      </c>
    </row>
    <row r="24" spans="1:11" ht="15.6" customHeight="1" x14ac:dyDescent="0.3">
      <c r="A24" s="64">
        <v>19</v>
      </c>
      <c r="B24" s="64" t="s">
        <v>666</v>
      </c>
      <c r="C24" s="64">
        <v>37</v>
      </c>
      <c r="D24" s="108"/>
      <c r="E24" s="64">
        <v>45</v>
      </c>
      <c r="F24" s="64" t="s">
        <v>535</v>
      </c>
      <c r="G24" s="64">
        <v>5.64</v>
      </c>
      <c r="H24" s="108"/>
      <c r="I24" s="64">
        <v>75</v>
      </c>
      <c r="J24" s="64" t="s">
        <v>550</v>
      </c>
      <c r="K24" s="64">
        <v>4.37</v>
      </c>
    </row>
    <row r="25" spans="1:11" ht="15.6" customHeight="1" x14ac:dyDescent="0.3">
      <c r="A25" s="54">
        <v>20</v>
      </c>
      <c r="B25" s="54" t="s">
        <v>667</v>
      </c>
      <c r="C25" s="54">
        <v>7.4</v>
      </c>
      <c r="D25" s="108"/>
      <c r="E25" s="54">
        <v>46</v>
      </c>
      <c r="F25" s="54" t="s">
        <v>536</v>
      </c>
      <c r="G25" s="54">
        <v>25.37</v>
      </c>
      <c r="H25" s="108"/>
      <c r="I25" s="54">
        <v>76</v>
      </c>
      <c r="J25" s="64" t="s">
        <v>551</v>
      </c>
      <c r="K25" s="54">
        <v>5.64</v>
      </c>
    </row>
    <row r="26" spans="1:11" ht="15.6" customHeight="1" x14ac:dyDescent="0.3">
      <c r="A26" s="64">
        <v>21</v>
      </c>
      <c r="B26" s="64" t="s">
        <v>668</v>
      </c>
      <c r="C26" s="64">
        <v>117.2</v>
      </c>
      <c r="D26" s="108"/>
      <c r="E26" s="64">
        <v>47</v>
      </c>
      <c r="F26" s="64" t="s">
        <v>535</v>
      </c>
      <c r="G26" s="64">
        <v>5.64</v>
      </c>
      <c r="H26" s="108"/>
      <c r="I26" s="64">
        <v>77</v>
      </c>
      <c r="J26" s="64" t="s">
        <v>579</v>
      </c>
      <c r="K26" s="64">
        <v>9.07</v>
      </c>
    </row>
    <row r="27" spans="1:11" ht="15.6" customHeight="1" x14ac:dyDescent="0.3">
      <c r="A27" s="54">
        <v>22</v>
      </c>
      <c r="B27" s="54" t="s">
        <v>669</v>
      </c>
      <c r="C27" s="54">
        <v>20.7</v>
      </c>
      <c r="D27" s="108"/>
      <c r="E27" s="54">
        <v>48</v>
      </c>
      <c r="F27" s="54" t="s">
        <v>536</v>
      </c>
      <c r="G27" s="54">
        <v>25.37</v>
      </c>
      <c r="H27" s="108"/>
      <c r="I27" s="54">
        <v>78</v>
      </c>
      <c r="J27" s="64" t="s">
        <v>580</v>
      </c>
      <c r="K27" s="54">
        <v>15.38</v>
      </c>
    </row>
    <row r="28" spans="1:11" ht="15.6" customHeight="1" x14ac:dyDescent="0.3">
      <c r="A28" s="64">
        <v>23</v>
      </c>
      <c r="B28" s="64" t="s">
        <v>670</v>
      </c>
      <c r="C28" s="64">
        <v>37.4</v>
      </c>
      <c r="D28" s="108"/>
      <c r="E28" s="64">
        <v>49</v>
      </c>
      <c r="F28" s="64" t="s">
        <v>567</v>
      </c>
      <c r="G28" s="64">
        <v>9.07</v>
      </c>
      <c r="H28" s="108"/>
      <c r="I28" s="64">
        <v>79</v>
      </c>
      <c r="J28" s="64" t="s">
        <v>581</v>
      </c>
      <c r="K28" s="64">
        <v>11.03</v>
      </c>
    </row>
    <row r="29" spans="1:11" ht="15.6" customHeight="1" x14ac:dyDescent="0.3">
      <c r="A29" s="54">
        <v>24</v>
      </c>
      <c r="B29" s="54" t="s">
        <v>671</v>
      </c>
      <c r="C29" s="54">
        <v>13.1</v>
      </c>
      <c r="D29" s="108"/>
      <c r="E29" s="54">
        <v>50</v>
      </c>
      <c r="F29" s="54" t="s">
        <v>526</v>
      </c>
      <c r="G29" s="54">
        <v>16.559999999999999</v>
      </c>
      <c r="H29" s="108"/>
      <c r="J29" s="51" t="s">
        <v>630</v>
      </c>
      <c r="K29" s="85">
        <f>SUM(K6:K28)</f>
        <v>280.46999999999997</v>
      </c>
    </row>
    <row r="30" spans="1:11" ht="15.6" customHeight="1" x14ac:dyDescent="0.3">
      <c r="A30" s="64">
        <v>25</v>
      </c>
      <c r="B30" s="64" t="s">
        <v>672</v>
      </c>
      <c r="C30" s="64">
        <v>16.899999999999999</v>
      </c>
      <c r="D30" s="108"/>
      <c r="E30" s="64">
        <v>51</v>
      </c>
      <c r="F30" s="64" t="s">
        <v>527</v>
      </c>
      <c r="G30" s="64">
        <v>8.1199999999999992</v>
      </c>
      <c r="H30" s="108"/>
      <c r="I30" s="108"/>
      <c r="J30" s="108"/>
      <c r="K30" s="108"/>
    </row>
    <row r="31" spans="1:11" ht="15.6" customHeight="1" x14ac:dyDescent="0.3">
      <c r="A31" s="54">
        <v>26</v>
      </c>
      <c r="B31" s="54" t="s">
        <v>673</v>
      </c>
      <c r="C31" s="54">
        <v>104</v>
      </c>
      <c r="D31" s="108"/>
      <c r="E31" s="54">
        <v>52</v>
      </c>
      <c r="F31" s="54" t="s">
        <v>530</v>
      </c>
      <c r="G31" s="54">
        <v>8.89</v>
      </c>
      <c r="H31" s="108"/>
      <c r="I31" s="108"/>
      <c r="J31" s="108"/>
      <c r="K31" s="108"/>
    </row>
    <row r="32" spans="1:11" ht="14.4" customHeight="1" x14ac:dyDescent="0.3">
      <c r="B32" s="51" t="s">
        <v>630</v>
      </c>
      <c r="C32" s="85">
        <f>SUM(C6:C31)</f>
        <v>592.27999999999986</v>
      </c>
      <c r="D32" s="108"/>
      <c r="E32" s="64">
        <v>53</v>
      </c>
      <c r="F32" s="64" t="s">
        <v>456</v>
      </c>
      <c r="G32" s="64">
        <v>9.69</v>
      </c>
      <c r="H32" s="108"/>
      <c r="I32" s="108"/>
      <c r="J32" s="108"/>
      <c r="K32" s="108"/>
    </row>
    <row r="33" spans="1:11" x14ac:dyDescent="0.3">
      <c r="A33" s="119"/>
      <c r="B33" s="119"/>
      <c r="C33" s="119"/>
      <c r="D33" s="108"/>
      <c r="E33" s="54">
        <v>54</v>
      </c>
      <c r="F33" s="54" t="s">
        <v>538</v>
      </c>
      <c r="G33" s="54">
        <v>4.1900000000000004</v>
      </c>
      <c r="H33" s="108"/>
      <c r="I33" s="108"/>
      <c r="J33" s="108"/>
      <c r="K33" s="108"/>
    </row>
    <row r="34" spans="1:11" x14ac:dyDescent="0.3">
      <c r="A34" s="119"/>
      <c r="B34" s="119"/>
      <c r="C34" s="119"/>
      <c r="D34" s="108"/>
      <c r="E34" s="64">
        <v>55</v>
      </c>
      <c r="F34" s="64" t="s">
        <v>528</v>
      </c>
      <c r="G34" s="64">
        <v>19.78</v>
      </c>
      <c r="H34" s="108"/>
      <c r="I34" s="108"/>
      <c r="J34" s="108"/>
      <c r="K34" s="108"/>
    </row>
    <row r="35" spans="1:11" x14ac:dyDescent="0.3">
      <c r="A35" s="119"/>
      <c r="B35" s="119"/>
      <c r="C35" s="119"/>
      <c r="D35" s="108"/>
      <c r="E35" s="54">
        <v>56</v>
      </c>
      <c r="F35" s="54" t="s">
        <v>529</v>
      </c>
      <c r="G35" s="54">
        <v>8.25</v>
      </c>
      <c r="H35" s="108"/>
      <c r="I35" s="108"/>
      <c r="J35" s="108"/>
      <c r="K35" s="108"/>
    </row>
    <row r="36" spans="1:11" x14ac:dyDescent="0.3">
      <c r="A36" s="119"/>
      <c r="B36" s="119"/>
      <c r="C36" s="119"/>
      <c r="D36" s="108"/>
      <c r="F36" s="51" t="s">
        <v>630</v>
      </c>
      <c r="G36" s="85">
        <f>SUM(G6:G35)</f>
        <v>362.54999999999995</v>
      </c>
      <c r="H36" s="108"/>
      <c r="I36" s="108"/>
      <c r="J36" s="108"/>
      <c r="K36" s="108"/>
    </row>
  </sheetData>
  <mergeCells count="10">
    <mergeCell ref="H2:I2"/>
    <mergeCell ref="B3:G3"/>
    <mergeCell ref="B2:G2"/>
    <mergeCell ref="A1:I1"/>
    <mergeCell ref="H5:H36"/>
    <mergeCell ref="D5:D36"/>
    <mergeCell ref="A33:C36"/>
    <mergeCell ref="I30:K36"/>
    <mergeCell ref="A4:K4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118" t="s">
        <v>625</v>
      </c>
      <c r="B1" s="118"/>
      <c r="C1" s="118"/>
      <c r="D1" s="118"/>
      <c r="E1" s="118"/>
      <c r="F1" s="118"/>
      <c r="G1" s="70"/>
      <c r="H1" s="70"/>
    </row>
    <row r="2" spans="1:8" ht="31.2" x14ac:dyDescent="0.3">
      <c r="A2" s="66" t="s">
        <v>626</v>
      </c>
      <c r="B2" s="123" t="s">
        <v>2</v>
      </c>
      <c r="C2" s="123"/>
      <c r="D2" s="123"/>
      <c r="E2" s="125" t="s">
        <v>631</v>
      </c>
      <c r="F2" s="125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24" t="s">
        <v>188</v>
      </c>
      <c r="C3" s="124"/>
      <c r="D3" s="124"/>
      <c r="E3" s="126" t="s">
        <v>192</v>
      </c>
      <c r="F3" s="126"/>
      <c r="G3" s="79" t="s">
        <v>20</v>
      </c>
      <c r="H3" s="72">
        <f>E13</f>
        <v>23.9025</v>
      </c>
    </row>
    <row r="4" spans="1:8" ht="15.6" x14ac:dyDescent="0.3">
      <c r="A4" s="108"/>
      <c r="B4" s="108"/>
      <c r="C4" s="108"/>
      <c r="D4" s="108"/>
      <c r="E4" s="108"/>
      <c r="F4" s="108"/>
      <c r="G4" s="108"/>
      <c r="H4" s="108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19"/>
      <c r="G5" s="119"/>
      <c r="H5" s="119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19"/>
      <c r="G6" s="119"/>
      <c r="H6" s="119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19"/>
      <c r="G7" s="119"/>
      <c r="H7" s="119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19"/>
      <c r="G8" s="119"/>
      <c r="H8" s="119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19"/>
      <c r="G9" s="119"/>
      <c r="H9" s="119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19"/>
      <c r="G10" s="119"/>
      <c r="H10" s="119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19"/>
      <c r="G11" s="119"/>
      <c r="H11" s="119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19"/>
      <c r="G12" s="119"/>
      <c r="H12" s="119"/>
    </row>
    <row r="13" spans="1:8" x14ac:dyDescent="0.3">
      <c r="A13" s="122"/>
      <c r="B13" s="122"/>
      <c r="C13" s="122"/>
      <c r="D13" t="s">
        <v>642</v>
      </c>
      <c r="E13" s="93">
        <f>SUM(E6:E12)</f>
        <v>23.9025</v>
      </c>
      <c r="F13" s="119"/>
      <c r="G13" s="119"/>
      <c r="H13" s="119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413</v>
      </c>
      <c r="C3" s="116"/>
      <c r="D3" s="116"/>
      <c r="E3" s="116"/>
      <c r="F3" s="116"/>
      <c r="G3" s="112"/>
      <c r="H3" s="127" t="s">
        <v>644</v>
      </c>
      <c r="I3" s="128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11" t="s">
        <v>387</v>
      </c>
      <c r="C4" s="116"/>
      <c r="D4" s="116"/>
      <c r="E4" s="116"/>
      <c r="F4" s="116"/>
      <c r="G4" s="112"/>
      <c r="H4" s="127" t="s">
        <v>643</v>
      </c>
      <c r="I4" s="128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118" t="s">
        <v>625</v>
      </c>
      <c r="B31" s="118"/>
      <c r="C31" s="118"/>
      <c r="D31" s="118"/>
      <c r="E31" s="118"/>
      <c r="F31" s="118"/>
      <c r="G31" s="118"/>
      <c r="H31" s="118"/>
      <c r="I31" s="118"/>
      <c r="J31" s="70"/>
      <c r="K31" s="70"/>
    </row>
    <row r="32" spans="1:11" ht="31.2" x14ac:dyDescent="0.3">
      <c r="A32" s="66" t="s">
        <v>626</v>
      </c>
      <c r="B32" s="109" t="s">
        <v>2</v>
      </c>
      <c r="C32" s="117"/>
      <c r="D32" s="117"/>
      <c r="E32" s="117"/>
      <c r="F32" s="117"/>
      <c r="G32" s="110"/>
      <c r="H32" s="114" t="s">
        <v>631</v>
      </c>
      <c r="I32" s="115"/>
      <c r="J32" s="67" t="s">
        <v>5</v>
      </c>
      <c r="K32" s="71" t="s">
        <v>591</v>
      </c>
    </row>
    <row r="33" spans="1:11" ht="15.6" x14ac:dyDescent="0.3">
      <c r="A33" s="89">
        <v>1</v>
      </c>
      <c r="B33" s="111" t="s">
        <v>413</v>
      </c>
      <c r="C33" s="116"/>
      <c r="D33" s="116"/>
      <c r="E33" s="116"/>
      <c r="F33" s="116"/>
      <c r="G33" s="112"/>
      <c r="H33" s="127" t="s">
        <v>632</v>
      </c>
      <c r="I33" s="128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11" t="s">
        <v>387</v>
      </c>
      <c r="C34" s="116"/>
      <c r="D34" s="116"/>
      <c r="E34" s="116"/>
      <c r="F34" s="116"/>
      <c r="G34" s="112"/>
      <c r="H34" s="127" t="s">
        <v>633</v>
      </c>
      <c r="I34" s="128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15.6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15.6" x14ac:dyDescent="0.3">
      <c r="A3" s="89">
        <v>1</v>
      </c>
      <c r="B3" s="111" t="s">
        <v>27</v>
      </c>
      <c r="C3" s="116"/>
      <c r="D3" s="116"/>
      <c r="E3" s="116"/>
      <c r="F3" s="116"/>
      <c r="G3" s="112"/>
      <c r="H3" s="129" t="s">
        <v>19</v>
      </c>
      <c r="I3" s="128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06" t="s">
        <v>625</v>
      </c>
      <c r="B43" s="107"/>
      <c r="C43" s="107"/>
      <c r="D43" s="107"/>
      <c r="E43" s="107"/>
      <c r="F43" s="107"/>
      <c r="G43" s="107"/>
      <c r="H43" s="107"/>
      <c r="I43" s="107"/>
      <c r="J43" s="107"/>
      <c r="K43" s="107"/>
    </row>
    <row r="44" spans="1:11" ht="15.6" x14ac:dyDescent="0.3">
      <c r="A44" s="66" t="s">
        <v>626</v>
      </c>
      <c r="B44" s="109" t="s">
        <v>2</v>
      </c>
      <c r="C44" s="117"/>
      <c r="D44" s="117"/>
      <c r="E44" s="117"/>
      <c r="F44" s="117"/>
      <c r="G44" s="110"/>
      <c r="H44" s="114" t="s">
        <v>631</v>
      </c>
      <c r="I44" s="115"/>
      <c r="J44" s="67" t="s">
        <v>5</v>
      </c>
      <c r="K44" s="71" t="s">
        <v>591</v>
      </c>
    </row>
    <row r="45" spans="1:11" ht="15.6" x14ac:dyDescent="0.3">
      <c r="A45" s="89">
        <v>1</v>
      </c>
      <c r="B45" s="111" t="s">
        <v>27</v>
      </c>
      <c r="C45" s="116"/>
      <c r="D45" s="116"/>
      <c r="E45" s="116"/>
      <c r="F45" s="116"/>
      <c r="G45" s="112"/>
      <c r="H45" s="129" t="s">
        <v>28</v>
      </c>
      <c r="I45" s="128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A1:I1"/>
    <mergeCell ref="B2:G2"/>
    <mergeCell ref="H2:I2"/>
    <mergeCell ref="B3:G3"/>
    <mergeCell ref="H3:I3"/>
    <mergeCell ref="B45:G45"/>
    <mergeCell ref="H45:I45"/>
    <mergeCell ref="A43:K43"/>
    <mergeCell ref="B44:G44"/>
    <mergeCell ref="H44:I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159</v>
      </c>
      <c r="C3" s="116"/>
      <c r="D3" s="116"/>
      <c r="E3" s="116"/>
      <c r="F3" s="116"/>
      <c r="G3" s="112"/>
      <c r="H3" s="120" t="s">
        <v>636</v>
      </c>
      <c r="I3" s="130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11" t="s">
        <v>175</v>
      </c>
      <c r="C4" s="116"/>
      <c r="D4" s="116"/>
      <c r="E4" s="116"/>
      <c r="F4" s="116"/>
      <c r="G4" s="112"/>
      <c r="H4" s="120" t="s">
        <v>623</v>
      </c>
      <c r="I4" s="130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118" t="s">
        <v>625</v>
      </c>
      <c r="B28" s="118"/>
      <c r="C28" s="118"/>
      <c r="D28" s="118"/>
      <c r="E28" s="118"/>
      <c r="F28" s="118"/>
      <c r="G28" s="118"/>
      <c r="H28" s="118"/>
      <c r="I28" s="118"/>
      <c r="J28" s="70"/>
      <c r="K28" s="70"/>
    </row>
    <row r="29" spans="1:11" ht="31.2" x14ac:dyDescent="0.3">
      <c r="A29" s="66" t="s">
        <v>626</v>
      </c>
      <c r="B29" s="109" t="s">
        <v>2</v>
      </c>
      <c r="C29" s="117"/>
      <c r="D29" s="117"/>
      <c r="E29" s="117"/>
      <c r="F29" s="117"/>
      <c r="G29" s="110"/>
      <c r="H29" s="114" t="s">
        <v>631</v>
      </c>
      <c r="I29" s="115"/>
      <c r="J29" s="67" t="s">
        <v>5</v>
      </c>
      <c r="K29" s="71" t="s">
        <v>591</v>
      </c>
    </row>
    <row r="30" spans="1:11" ht="15.6" x14ac:dyDescent="0.3">
      <c r="A30" s="89">
        <v>1</v>
      </c>
      <c r="B30" s="111" t="s">
        <v>159</v>
      </c>
      <c r="C30" s="116"/>
      <c r="D30" s="116"/>
      <c r="E30" s="116"/>
      <c r="F30" s="116"/>
      <c r="G30" s="112"/>
      <c r="H30" s="120" t="s">
        <v>637</v>
      </c>
      <c r="I30" s="130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11" t="s">
        <v>175</v>
      </c>
      <c r="C31" s="116"/>
      <c r="D31" s="116"/>
      <c r="E31" s="116"/>
      <c r="F31" s="116"/>
      <c r="G31" s="112"/>
      <c r="H31" s="120" t="s">
        <v>622</v>
      </c>
      <c r="I31" s="130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36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54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54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54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54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11" t="s">
        <v>27</v>
      </c>
      <c r="C3" s="116"/>
      <c r="D3" s="116"/>
      <c r="E3" s="116"/>
      <c r="F3" s="116"/>
      <c r="G3" s="112"/>
      <c r="H3" s="129" t="s">
        <v>19</v>
      </c>
      <c r="I3" s="128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108"/>
      <c r="E13" s="108"/>
      <c r="F13" s="108"/>
      <c r="G13" s="108"/>
      <c r="H13" s="108"/>
      <c r="I13" s="108"/>
      <c r="J13" s="108"/>
      <c r="K13" s="108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108"/>
      <c r="E14" s="108"/>
      <c r="F14" s="108"/>
      <c r="G14" s="108"/>
      <c r="H14" s="108"/>
      <c r="I14" s="108"/>
      <c r="J14" s="108"/>
      <c r="K14" s="108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108"/>
      <c r="E15" s="108"/>
      <c r="F15" s="108"/>
      <c r="G15" s="108"/>
      <c r="H15" s="108"/>
      <c r="I15" s="108"/>
      <c r="J15" s="108"/>
      <c r="K15" s="108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108"/>
      <c r="E16" s="108"/>
      <c r="F16" s="108"/>
      <c r="G16" s="108"/>
      <c r="H16" s="108"/>
      <c r="I16" s="108"/>
      <c r="J16" s="108"/>
      <c r="K16" s="108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108"/>
      <c r="E17" s="108"/>
      <c r="F17" s="108"/>
      <c r="G17" s="108"/>
      <c r="H17" s="108"/>
      <c r="I17" s="108"/>
      <c r="J17" s="108"/>
      <c r="K17" s="108"/>
    </row>
    <row r="18" spans="1:11" ht="15.6" customHeight="1" x14ac:dyDescent="0.3">
      <c r="B18" s="51" t="s">
        <v>630</v>
      </c>
      <c r="C18">
        <f>SUM(C5:C17)</f>
        <v>810.2</v>
      </c>
      <c r="D18" s="108"/>
      <c r="E18" s="108"/>
      <c r="F18" s="108"/>
      <c r="G18" s="108"/>
      <c r="H18" s="108"/>
      <c r="I18" s="108"/>
      <c r="J18" s="108"/>
      <c r="K18" s="108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06" t="s">
        <v>625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11" t="s">
        <v>27</v>
      </c>
      <c r="C3" s="116"/>
      <c r="D3" s="116"/>
      <c r="E3" s="116"/>
      <c r="F3" s="116"/>
      <c r="G3" s="112"/>
      <c r="H3" s="129" t="s">
        <v>28</v>
      </c>
      <c r="I3" s="128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108"/>
      <c r="E13" s="108"/>
      <c r="F13" s="108"/>
      <c r="G13" s="108"/>
      <c r="H13" s="108"/>
      <c r="I13" s="108"/>
      <c r="J13" s="108"/>
      <c r="K13" s="108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108"/>
      <c r="E14" s="108"/>
      <c r="F14" s="108"/>
      <c r="G14" s="108"/>
      <c r="H14" s="108"/>
      <c r="I14" s="108"/>
      <c r="J14" s="108"/>
      <c r="K14" s="108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108"/>
      <c r="E15" s="108"/>
      <c r="F15" s="108"/>
      <c r="G15" s="108"/>
      <c r="H15" s="108"/>
      <c r="I15" s="108"/>
      <c r="J15" s="108"/>
      <c r="K15" s="108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108"/>
      <c r="E16" s="108"/>
      <c r="F16" s="108"/>
      <c r="G16" s="108"/>
      <c r="H16" s="108"/>
      <c r="I16" s="108"/>
      <c r="J16" s="108"/>
      <c r="K16" s="108"/>
    </row>
    <row r="17" spans="2:11" ht="15.6" customHeight="1" x14ac:dyDescent="0.3">
      <c r="B17" s="75" t="s">
        <v>630</v>
      </c>
      <c r="C17" s="75">
        <f>SUM(C5:C16)</f>
        <v>899.49999999999989</v>
      </c>
      <c r="D17" s="108"/>
      <c r="E17" s="108"/>
      <c r="F17" s="108"/>
      <c r="G17" s="108"/>
      <c r="H17" s="108"/>
      <c r="I17" s="108"/>
      <c r="J17" s="108"/>
      <c r="K17" s="108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413</v>
      </c>
      <c r="C3" s="116"/>
      <c r="D3" s="116"/>
      <c r="E3" s="116"/>
      <c r="F3" s="116"/>
      <c r="G3" s="112"/>
      <c r="H3" s="127" t="s">
        <v>644</v>
      </c>
      <c r="I3" s="128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11" t="s">
        <v>387</v>
      </c>
      <c r="C4" s="116"/>
      <c r="D4" s="116"/>
      <c r="E4" s="116"/>
      <c r="F4" s="116"/>
      <c r="G4" s="112"/>
      <c r="H4" s="127" t="s">
        <v>643</v>
      </c>
      <c r="I4" s="128"/>
      <c r="J4" s="89" t="s">
        <v>20</v>
      </c>
      <c r="K4" s="72">
        <f>G10</f>
        <v>16.899999999999999</v>
      </c>
    </row>
    <row r="5" spans="1:11" ht="15.6" x14ac:dyDescent="0.3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</row>
    <row r="6" spans="1:11" ht="46.8" x14ac:dyDescent="0.3">
      <c r="A6" s="69" t="s">
        <v>627</v>
      </c>
      <c r="B6" s="69" t="s">
        <v>628</v>
      </c>
      <c r="C6" s="69" t="s">
        <v>629</v>
      </c>
      <c r="D6" s="108"/>
      <c r="E6" s="69" t="s">
        <v>627</v>
      </c>
      <c r="F6" s="69" t="s">
        <v>628</v>
      </c>
      <c r="G6" s="69" t="s">
        <v>629</v>
      </c>
      <c r="H6" s="119"/>
      <c r="I6" s="119"/>
      <c r="J6" s="119"/>
      <c r="K6" s="119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108"/>
      <c r="E7" s="64" t="s">
        <v>522</v>
      </c>
      <c r="F7" s="64" t="s">
        <v>594</v>
      </c>
      <c r="G7" s="84">
        <v>4.8</v>
      </c>
      <c r="H7" s="119"/>
      <c r="I7" s="119"/>
      <c r="J7" s="119"/>
      <c r="K7" s="119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108"/>
      <c r="E8" s="54" t="s">
        <v>532</v>
      </c>
      <c r="F8" s="54" t="s">
        <v>594</v>
      </c>
      <c r="G8" s="83">
        <v>7.5</v>
      </c>
      <c r="H8" s="119"/>
      <c r="I8" s="119"/>
      <c r="J8" s="119"/>
      <c r="K8" s="119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108"/>
      <c r="E9" s="54" t="s">
        <v>537</v>
      </c>
      <c r="F9" s="54" t="s">
        <v>594</v>
      </c>
      <c r="G9" s="83">
        <v>4.5999999999999996</v>
      </c>
      <c r="H9" s="119"/>
      <c r="I9" s="119"/>
      <c r="J9" s="119"/>
      <c r="K9" s="119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108"/>
      <c r="E10" s="81"/>
      <c r="F10" s="81" t="s">
        <v>630</v>
      </c>
      <c r="G10" s="81">
        <f>SUM(G7:G9)</f>
        <v>16.899999999999999</v>
      </c>
      <c r="H10" s="119"/>
      <c r="I10" s="119"/>
      <c r="J10" s="119"/>
      <c r="K10" s="119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108"/>
      <c r="E11" s="108"/>
      <c r="F11" s="108"/>
      <c r="G11" s="108"/>
      <c r="H11" s="119"/>
      <c r="I11" s="119"/>
      <c r="J11" s="119"/>
      <c r="K11" s="119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108"/>
      <c r="E12" s="108"/>
      <c r="F12" s="108"/>
      <c r="G12" s="108"/>
      <c r="H12" s="119"/>
      <c r="I12" s="119"/>
      <c r="J12" s="119"/>
      <c r="K12" s="119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108"/>
      <c r="E13" s="108"/>
      <c r="F13" s="108"/>
      <c r="G13" s="108"/>
      <c r="H13" s="119"/>
      <c r="I13" s="119"/>
      <c r="J13" s="119"/>
      <c r="K13" s="119"/>
    </row>
    <row r="14" spans="1:11" ht="15.6" customHeight="1" x14ac:dyDescent="0.3">
      <c r="B14" s="51" t="s">
        <v>630</v>
      </c>
      <c r="C14" s="85">
        <f>SUM(C7:C13)</f>
        <v>91.4</v>
      </c>
      <c r="D14" s="108"/>
      <c r="E14" s="108"/>
      <c r="F14" s="108"/>
      <c r="G14" s="108"/>
      <c r="H14" s="119"/>
      <c r="I14" s="119"/>
      <c r="J14" s="119"/>
      <c r="K14" s="119"/>
    </row>
  </sheetData>
  <mergeCells count="11">
    <mergeCell ref="H6:K14"/>
    <mergeCell ref="E11:G14"/>
    <mergeCell ref="D6:D14"/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413</v>
      </c>
      <c r="C3" s="116"/>
      <c r="D3" s="116"/>
      <c r="E3" s="116"/>
      <c r="F3" s="116"/>
      <c r="G3" s="112"/>
      <c r="H3" s="127" t="s">
        <v>632</v>
      </c>
      <c r="I3" s="128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11" t="s">
        <v>387</v>
      </c>
      <c r="C4" s="116"/>
      <c r="D4" s="116"/>
      <c r="E4" s="116"/>
      <c r="F4" s="116"/>
      <c r="G4" s="112"/>
      <c r="H4" s="127" t="s">
        <v>633</v>
      </c>
      <c r="I4" s="128"/>
      <c r="J4" s="79" t="s">
        <v>20</v>
      </c>
      <c r="K4" s="72">
        <f>G10</f>
        <v>16.8</v>
      </c>
    </row>
    <row r="5" spans="1:11" ht="15.6" x14ac:dyDescent="0.3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</row>
    <row r="6" spans="1:11" ht="46.8" x14ac:dyDescent="0.3">
      <c r="A6" s="69" t="s">
        <v>627</v>
      </c>
      <c r="B6" s="69" t="s">
        <v>628</v>
      </c>
      <c r="C6" s="69" t="s">
        <v>629</v>
      </c>
      <c r="D6" s="108"/>
      <c r="E6" s="69" t="s">
        <v>627</v>
      </c>
      <c r="F6" s="69" t="s">
        <v>628</v>
      </c>
      <c r="G6" s="69" t="s">
        <v>629</v>
      </c>
      <c r="H6" s="119"/>
      <c r="I6" s="119"/>
      <c r="J6" s="119"/>
      <c r="K6" s="119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108"/>
      <c r="E7" s="64" t="s">
        <v>540</v>
      </c>
      <c r="F7" s="64" t="s">
        <v>594</v>
      </c>
      <c r="G7" s="84">
        <v>4.8</v>
      </c>
      <c r="H7" s="119"/>
      <c r="I7" s="119"/>
      <c r="J7" s="119"/>
      <c r="K7" s="119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108"/>
      <c r="E8" s="54" t="s">
        <v>546</v>
      </c>
      <c r="F8" s="54" t="s">
        <v>594</v>
      </c>
      <c r="G8" s="83">
        <v>7.5</v>
      </c>
      <c r="H8" s="119"/>
      <c r="I8" s="119"/>
      <c r="J8" s="119"/>
      <c r="K8" s="119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108"/>
      <c r="E9" s="64" t="s">
        <v>547</v>
      </c>
      <c r="F9" s="64" t="s">
        <v>594</v>
      </c>
      <c r="G9" s="84">
        <v>4.5</v>
      </c>
      <c r="H9" s="119"/>
      <c r="I9" s="119"/>
      <c r="J9" s="119"/>
      <c r="K9" s="119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108"/>
      <c r="E10" s="81"/>
      <c r="F10" s="81" t="s">
        <v>630</v>
      </c>
      <c r="G10" s="81">
        <f>SUM(G7:G9)</f>
        <v>16.8</v>
      </c>
      <c r="H10" s="119"/>
      <c r="I10" s="119"/>
      <c r="J10" s="119"/>
      <c r="K10" s="119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108"/>
      <c r="E11" s="108"/>
      <c r="F11" s="108"/>
      <c r="G11" s="108"/>
      <c r="H11" s="119"/>
      <c r="I11" s="119"/>
      <c r="J11" s="119"/>
      <c r="K11" s="119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108"/>
      <c r="E12" s="108"/>
      <c r="F12" s="108"/>
      <c r="G12" s="108"/>
      <c r="H12" s="119"/>
      <c r="I12" s="119"/>
      <c r="J12" s="119"/>
      <c r="K12" s="119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108"/>
      <c r="E13" s="108"/>
      <c r="F13" s="108"/>
      <c r="G13" s="108"/>
      <c r="H13" s="119"/>
      <c r="I13" s="119"/>
      <c r="J13" s="119"/>
      <c r="K13" s="119"/>
    </row>
    <row r="14" spans="1:11" ht="15.6" customHeight="1" x14ac:dyDescent="0.3">
      <c r="B14" s="51" t="s">
        <v>630</v>
      </c>
      <c r="C14" s="85">
        <f>SUM(C7:C13)</f>
        <v>91.100000000000009</v>
      </c>
      <c r="D14" s="108"/>
      <c r="E14" s="108"/>
      <c r="F14" s="108"/>
      <c r="G14" s="108"/>
      <c r="H14" s="119"/>
      <c r="I14" s="119"/>
      <c r="J14" s="119"/>
      <c r="K14" s="119"/>
    </row>
  </sheetData>
  <mergeCells count="11">
    <mergeCell ref="B4:G4"/>
    <mergeCell ref="H4:I4"/>
    <mergeCell ref="E11:G14"/>
    <mergeCell ref="H6:K14"/>
    <mergeCell ref="A5:K5"/>
    <mergeCell ref="D6:D1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159</v>
      </c>
      <c r="C3" s="116"/>
      <c r="D3" s="116"/>
      <c r="E3" s="116"/>
      <c r="F3" s="116"/>
      <c r="G3" s="112"/>
      <c r="H3" s="120" t="s">
        <v>636</v>
      </c>
      <c r="I3" s="130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B13" s="51" t="s">
        <v>630</v>
      </c>
      <c r="C13" s="85">
        <f>SUM(C5:C12)</f>
        <v>84.199999999999989</v>
      </c>
      <c r="D13" s="108"/>
      <c r="E13" s="108"/>
      <c r="F13" s="108"/>
      <c r="G13" s="108"/>
      <c r="H13" s="108"/>
      <c r="I13" s="108"/>
      <c r="J13" s="108"/>
      <c r="K13" s="10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159</v>
      </c>
      <c r="C3" s="116"/>
      <c r="D3" s="116"/>
      <c r="E3" s="116"/>
      <c r="F3" s="116"/>
      <c r="G3" s="112"/>
      <c r="H3" s="120" t="s">
        <v>637</v>
      </c>
      <c r="I3" s="130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B13" s="51" t="s">
        <v>630</v>
      </c>
      <c r="C13" s="85">
        <f>SUM(C5:C12)</f>
        <v>84.399999999999991</v>
      </c>
      <c r="D13" s="108"/>
      <c r="E13" s="108"/>
      <c r="F13" s="108"/>
      <c r="G13" s="108"/>
      <c r="H13" s="108"/>
      <c r="I13" s="108"/>
      <c r="J13" s="108"/>
      <c r="K13" s="10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9.1шлфк</vt:lpstr>
      <vt:lpstr>8.1_орг</vt:lpstr>
      <vt:lpstr>7-Кер</vt:lpstr>
      <vt:lpstr>6.3_ост</vt:lpstr>
      <vt:lpstr>5.3_нал_пл</vt:lpstr>
      <vt:lpstr>4.3_ост</vt:lpstr>
      <vt:lpstr>КП</vt:lpstr>
      <vt:lpstr>Пом</vt:lpstr>
      <vt:lpstr>Лист2</vt:lpstr>
      <vt:lpstr>Типы</vt:lpstr>
      <vt:lpstr>5.1</vt:lpstr>
      <vt:lpstr>5.2</vt:lpstr>
      <vt:lpstr>6.1</vt:lpstr>
      <vt:lpstr>6.2</vt:lpstr>
      <vt:lpstr>4.1</vt:lpstr>
      <vt:lpstr>4.2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2026-05-15T08:52:37Z</dcterms:modified>
  <cp:category/>
</cp:coreProperties>
</file>