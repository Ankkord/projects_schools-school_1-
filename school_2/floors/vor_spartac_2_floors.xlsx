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cuments\schools\school_2\floors\"/>
    </mc:Choice>
  </mc:AlternateContent>
  <bookViews>
    <workbookView xWindow="0" yWindow="0" windowWidth="0" windowHeight="0" tabRatio="858" firstSheet="1" activeTab="21"/>
  </bookViews>
  <sheets>
    <sheet name="7 с" sheetId="1" r:id="rId1"/>
    <sheet name="спец7с" sheetId="2" r:id="rId2"/>
    <sheet name="Вор" sheetId="3" r:id="rId3"/>
    <sheet name="спец6с" sheetId="4" r:id="rId4"/>
    <sheet name="спец5с" sheetId="5" r:id="rId5"/>
    <sheet name="спец4с" sheetId="6" r:id="rId6"/>
    <sheet name="спец4с (2)" sheetId="7" r:id="rId7"/>
    <sheet name="Вор3э" sheetId="16" r:id="rId8"/>
    <sheet name="7сэ3" sheetId="9" r:id="rId9"/>
    <sheet name="6с3э" sheetId="10" r:id="rId10"/>
    <sheet name="4с3э" sheetId="12" r:id="rId11"/>
    <sheet name="3с3э" sheetId="13" r:id="rId12"/>
    <sheet name="2с3э" sheetId="14" r:id="rId13"/>
    <sheet name="1с3" sheetId="15" r:id="rId14"/>
    <sheet name="спец" sheetId="8" r:id="rId15"/>
    <sheet name="1с" sheetId="18" r:id="rId16"/>
    <sheet name="2с" sheetId="19" r:id="rId17"/>
    <sheet name="3с" sheetId="20" r:id="rId18"/>
    <sheet name="4_5с" sheetId="22" r:id="rId19"/>
    <sheet name="6с" sheetId="23" r:id="rId20"/>
    <sheet name="Вор2э" sheetId="24" r:id="rId21"/>
    <sheet name="общий" sheetId="25" r:id="rId22"/>
  </sheets>
  <calcPr calcId="152511"/>
</workbook>
</file>

<file path=xl/calcChain.xml><?xml version="1.0" encoding="utf-8"?>
<calcChain xmlns="http://schemas.openxmlformats.org/spreadsheetml/2006/main">
  <c r="E3" i="24" l="1"/>
  <c r="C16" i="18" l="1"/>
  <c r="C14" i="18"/>
  <c r="C18" i="23"/>
  <c r="C16" i="23"/>
  <c r="C15" i="22" l="1"/>
  <c r="E9" i="24" s="1"/>
  <c r="C11" i="22"/>
  <c r="C19" i="20"/>
  <c r="C14" i="19"/>
  <c r="E11" i="24" l="1"/>
  <c r="E14" i="24"/>
  <c r="E10" i="24"/>
  <c r="E12" i="24"/>
  <c r="E13" i="24"/>
  <c r="E5" i="24"/>
  <c r="E6" i="24"/>
  <c r="E7" i="24"/>
  <c r="E8" i="24"/>
  <c r="E4" i="24"/>
  <c r="C16" i="9"/>
  <c r="E9" i="16" s="1"/>
  <c r="E10" i="16" l="1"/>
  <c r="E13" i="16"/>
  <c r="E12" i="16"/>
  <c r="E14" i="16"/>
  <c r="C13" i="9"/>
  <c r="C16" i="10"/>
  <c r="C15" i="12"/>
  <c r="C13" i="13"/>
  <c r="C14" i="14"/>
  <c r="C11" i="15"/>
  <c r="E3" i="16" l="1"/>
  <c r="G12" i="1"/>
  <c r="C99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2" i="8"/>
  <c r="E8" i="16" l="1"/>
  <c r="E5" i="16"/>
  <c r="E6" i="16"/>
  <c r="E7" i="16"/>
  <c r="E4" i="16"/>
  <c r="C13" i="7"/>
  <c r="C16" i="6"/>
  <c r="C6" i="5"/>
  <c r="C12" i="4" l="1"/>
  <c r="E8" i="3"/>
  <c r="E7" i="3"/>
  <c r="E6" i="3"/>
  <c r="E4" i="3"/>
  <c r="F5" i="1" l="1"/>
  <c r="F9" i="1"/>
  <c r="F8" i="1" l="1"/>
  <c r="F7" i="1"/>
  <c r="I9" i="1" l="1"/>
  <c r="I8" i="1"/>
  <c r="I7" i="1"/>
  <c r="I5" i="1"/>
  <c r="I6" i="1"/>
  <c r="C10" i="2" l="1"/>
</calcChain>
</file>

<file path=xl/sharedStrings.xml><?xml version="1.0" encoding="utf-8"?>
<sst xmlns="http://schemas.openxmlformats.org/spreadsheetml/2006/main" count="410" uniqueCount="151">
  <si>
    <t>№ п.п.</t>
  </si>
  <si>
    <t>Наименование</t>
  </si>
  <si>
    <t>Ед. изм.</t>
  </si>
  <si>
    <t>Коэф. расхода</t>
  </si>
  <si>
    <t>Объем</t>
  </si>
  <si>
    <t>м²</t>
  </si>
  <si>
    <t>кг</t>
  </si>
  <si>
    <t>пог. м</t>
  </si>
  <si>
    <t>1.2</t>
  </si>
  <si>
    <t>1.3</t>
  </si>
  <si>
    <t>Помещения:</t>
  </si>
  <si>
    <t>Спецификация выполненных работ</t>
  </si>
  <si>
    <t>Объем, м²</t>
  </si>
  <si>
    <t>2.058</t>
  </si>
  <si>
    <t>2.060</t>
  </si>
  <si>
    <t>2.061</t>
  </si>
  <si>
    <t>2.062</t>
  </si>
  <si>
    <t>2.064</t>
  </si>
  <si>
    <t>2.066</t>
  </si>
  <si>
    <t>сумма:</t>
  </si>
  <si>
    <t>Устройство стяжки СКБ / армированная сеткой от 61мм до 80мм</t>
  </si>
  <si>
    <t>Фиксатор арматуры Звездочка_/15/4-16</t>
  </si>
  <si>
    <t>Сетка эл/св_/100*100*5</t>
  </si>
  <si>
    <t>Лента кромочная демпферная_/8*100мм/20м</t>
  </si>
  <si>
    <t>Грунтовка универсальный ЛАСТИМИН_ / УНКОНТ ЛЮКС LP51 А</t>
  </si>
  <si>
    <t>шт</t>
  </si>
  <si>
    <t>1.4</t>
  </si>
  <si>
    <t>1.5</t>
  </si>
  <si>
    <t>Ведомость работ и используемых материалов</t>
  </si>
  <si>
    <t>2.063</t>
  </si>
  <si>
    <t>Смесь цементно-песчаная сухая_/М150</t>
  </si>
  <si>
    <t>м2</t>
  </si>
  <si>
    <t>3.038</t>
  </si>
  <si>
    <t>3.039</t>
  </si>
  <si>
    <t>3.040</t>
  </si>
  <si>
    <t>3.041</t>
  </si>
  <si>
    <t>3.042</t>
  </si>
  <si>
    <t>3.043</t>
  </si>
  <si>
    <t>3.044</t>
  </si>
  <si>
    <t>3.045</t>
  </si>
  <si>
    <t>3.046</t>
  </si>
  <si>
    <t>2.048</t>
  </si>
  <si>
    <t>2.049</t>
  </si>
  <si>
    <t>2.050</t>
  </si>
  <si>
    <t>2.051</t>
  </si>
  <si>
    <t>2.052</t>
  </si>
  <si>
    <t>2.053</t>
  </si>
  <si>
    <t>2.054-2.069</t>
  </si>
  <si>
    <t>2.055</t>
  </si>
  <si>
    <t>2.056</t>
  </si>
  <si>
    <t>Объем. м²</t>
  </si>
  <si>
    <t>2.045</t>
  </si>
  <si>
    <t>2.046</t>
  </si>
  <si>
    <t>2.047</t>
  </si>
  <si>
    <t>2.036</t>
  </si>
  <si>
    <t>2.038</t>
  </si>
  <si>
    <t>2.039</t>
  </si>
  <si>
    <t>2.040</t>
  </si>
  <si>
    <t>2.041</t>
  </si>
  <si>
    <t>2.042</t>
  </si>
  <si>
    <t>2.043</t>
  </si>
  <si>
    <t>2.071</t>
  </si>
  <si>
    <t>3.001</t>
  </si>
  <si>
    <t>3.002</t>
  </si>
  <si>
    <t>3.003</t>
  </si>
  <si>
    <t>3.004</t>
  </si>
  <si>
    <t>3.005</t>
  </si>
  <si>
    <t>3.006</t>
  </si>
  <si>
    <t>3.007</t>
  </si>
  <si>
    <t>3.008</t>
  </si>
  <si>
    <t>3.009</t>
  </si>
  <si>
    <t>3.010</t>
  </si>
  <si>
    <t>3.011</t>
  </si>
  <si>
    <t>3.012</t>
  </si>
  <si>
    <t>3.013</t>
  </si>
  <si>
    <t>3.014</t>
  </si>
  <si>
    <t>3.015</t>
  </si>
  <si>
    <t>3.016</t>
  </si>
  <si>
    <t>3.017</t>
  </si>
  <si>
    <t>3.018</t>
  </si>
  <si>
    <t>3.019</t>
  </si>
  <si>
    <t>3.020</t>
  </si>
  <si>
    <t>3.021</t>
  </si>
  <si>
    <t>3.022</t>
  </si>
  <si>
    <t>3.023</t>
  </si>
  <si>
    <t>3.024</t>
  </si>
  <si>
    <t>3.025</t>
  </si>
  <si>
    <t>3.026</t>
  </si>
  <si>
    <t>3.027</t>
  </si>
  <si>
    <t>3.028</t>
  </si>
  <si>
    <t>3.029</t>
  </si>
  <si>
    <t>3.030</t>
  </si>
  <si>
    <t>3.031</t>
  </si>
  <si>
    <t>3.032</t>
  </si>
  <si>
    <t>3.033</t>
  </si>
  <si>
    <t>3.034</t>
  </si>
  <si>
    <t>3.035</t>
  </si>
  <si>
    <t>3.036</t>
  </si>
  <si>
    <t>3.037</t>
  </si>
  <si>
    <t>3.047</t>
  </si>
  <si>
    <t>3.048</t>
  </si>
  <si>
    <t>3.049</t>
  </si>
  <si>
    <t>3.050</t>
  </si>
  <si>
    <t>3.051</t>
  </si>
  <si>
    <t>3.052</t>
  </si>
  <si>
    <t>3.053</t>
  </si>
  <si>
    <t>3.054</t>
  </si>
  <si>
    <t>3.055</t>
  </si>
  <si>
    <t>3.057</t>
  </si>
  <si>
    <t>3.058</t>
  </si>
  <si>
    <t>3.059</t>
  </si>
  <si>
    <t>3.060</t>
  </si>
  <si>
    <t>3.061</t>
  </si>
  <si>
    <t>3.062</t>
  </si>
  <si>
    <t>3.063</t>
  </si>
  <si>
    <t>3.064</t>
  </si>
  <si>
    <t>3.065</t>
  </si>
  <si>
    <t>3.066</t>
  </si>
  <si>
    <t>3.067</t>
  </si>
  <si>
    <t>Спецификация выполненных работ (7 секция)</t>
  </si>
  <si>
    <t>Спецификация выполненных работ (6 секция)</t>
  </si>
  <si>
    <t>Спецификация выполненных работ (5, 4 секция)</t>
  </si>
  <si>
    <t>Спецификация выполненных работ (3 секция)</t>
  </si>
  <si>
    <t>Спецификация выполненных работ (2 секция)</t>
  </si>
  <si>
    <t>Спецификация выполненных работ (1 секция)</t>
  </si>
  <si>
    <t>а</t>
  </si>
  <si>
    <t>ТИП 14</t>
  </si>
  <si>
    <t>2</t>
  </si>
  <si>
    <t>2.1</t>
  </si>
  <si>
    <t>2.2</t>
  </si>
  <si>
    <t>2.3</t>
  </si>
  <si>
    <t>2.4</t>
  </si>
  <si>
    <t>2.5</t>
  </si>
  <si>
    <t>Устройство стяжки СКБ / армированная сеткой от 61мм до 80мм
3 этаж. Стяжка толщиной 65 мм. Тип: П-12, П-13, П-15, П-16.</t>
  </si>
  <si>
    <t>Устройство стяжки СКБ / армированная сеткой от 41 мм до 60 мм
3 этаж. Стяжка толщиной 60 мм. Тип: П-14</t>
  </si>
  <si>
    <t>2.070</t>
  </si>
  <si>
    <t>Спецификация выполненных работ (4, 5 секция)</t>
  </si>
  <si>
    <t>Устройство стяжки СКБ / армированная сеткой от 61мм до 80мм
2 этаж. Стяжка толщиной 65 мм. Тип: П-12, П-13, П-15, П-16.</t>
  </si>
  <si>
    <t>Устройство стяжки СКБ / армированная сеткой от 41 мм до 60 мм
2 этаж. Стяжка толщиной 60 мм. П-14</t>
  </si>
  <si>
    <t>3</t>
  </si>
  <si>
    <t>3.1</t>
  </si>
  <si>
    <t>3.2</t>
  </si>
  <si>
    <t>3.3</t>
  </si>
  <si>
    <t>3.4</t>
  </si>
  <si>
    <t>3.5</t>
  </si>
  <si>
    <t>Устройство стяжки СКБ / армированная сеткой от 41 мм до 60 мм
2 этаж. Стяжка толщиной 50 мм. Тип: П18, П-18.1</t>
  </si>
  <si>
    <t>2.057</t>
  </si>
  <si>
    <t>ТИП 18</t>
  </si>
  <si>
    <t>ТИП 18.1</t>
  </si>
  <si>
    <t>2.065</t>
  </si>
  <si>
    <t>2.020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</si>
</sst>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F9FAFB"/>
      <name val="Consolas"/>
      <family val="3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8" fillId="0" borderId="0"/>
  </cellStyleXfs>
  <cellXfs count="70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indent="2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2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2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2"/>
    </xf>
    <xf numFmtId="2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49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right" vertical="center"/>
    </xf>
    <xf numFmtId="2" fontId="2" fillId="0" borderId="1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2" fontId="0" fillId="0" borderId="0" xfId="0" applyNumberFormat="1"/>
    <xf numFmtId="49" fontId="3" fillId="2" borderId="5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49" fontId="3" fillId="0" borderId="5" xfId="0" applyNumberFormat="1" applyFont="1" applyFill="1" applyBorder="1" applyAlignment="1">
      <alignment horizontal="right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5" xfId="0" applyNumberFormat="1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64" fontId="7" fillId="0" borderId="0" xfId="0" applyNumberFormat="1" applyFont="1"/>
    <xf numFmtId="165" fontId="2" fillId="0" borderId="2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 3" xfId="2"/>
    <cellStyle name="Обычный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I12"/>
  <sheetViews>
    <sheetView zoomScale="130" zoomScaleNormal="130" workbookViewId="0">
      <selection activeCell="G13" sqref="G13"/>
    </sheetView>
  </sheetViews>
  <sheetFormatPr defaultRowHeight="14.4" x14ac:dyDescent="0.3"/>
  <cols>
    <col min="2" max="2" width="7.5546875" customWidth="1"/>
    <col min="3" max="3" width="54.88671875" customWidth="1"/>
    <col min="4" max="4" width="9.109375" customWidth="1"/>
    <col min="5" max="5" width="14.5546875" customWidth="1"/>
    <col min="6" max="6" width="8.88671875" customWidth="1"/>
  </cols>
  <sheetData>
    <row r="1" spans="2:9" ht="15" thickBot="1" x14ac:dyDescent="0.35"/>
    <row r="2" spans="2:9" x14ac:dyDescent="0.3">
      <c r="B2" s="1"/>
      <c r="C2" s="31" t="s">
        <v>28</v>
      </c>
      <c r="D2" s="2"/>
      <c r="E2" s="2"/>
      <c r="F2" s="3"/>
    </row>
    <row r="3" spans="2:9" ht="15" thickBot="1" x14ac:dyDescent="0.35">
      <c r="B3" s="21" t="s">
        <v>0</v>
      </c>
      <c r="C3" s="22" t="s">
        <v>1</v>
      </c>
      <c r="D3" s="23" t="s">
        <v>2</v>
      </c>
      <c r="E3" s="23" t="s">
        <v>3</v>
      </c>
      <c r="F3" s="24" t="s">
        <v>4</v>
      </c>
    </row>
    <row r="4" spans="2:9" ht="26.4" x14ac:dyDescent="0.3">
      <c r="B4" s="16">
        <v>1</v>
      </c>
      <c r="C4" s="17" t="s">
        <v>20</v>
      </c>
      <c r="D4" s="18" t="s">
        <v>5</v>
      </c>
      <c r="E4" s="19">
        <v>1</v>
      </c>
      <c r="F4" s="20">
        <v>627.35</v>
      </c>
      <c r="H4" s="19">
        <v>1</v>
      </c>
      <c r="I4" s="20">
        <v>3730.5</v>
      </c>
    </row>
    <row r="5" spans="2:9" x14ac:dyDescent="0.3">
      <c r="B5" s="4">
        <v>1.1000000000000001</v>
      </c>
      <c r="C5" s="9" t="s">
        <v>24</v>
      </c>
      <c r="D5" s="29" t="s">
        <v>6</v>
      </c>
      <c r="E5" s="8">
        <v>0.2</v>
      </c>
      <c r="F5" s="33">
        <f>F$4*E5</f>
        <v>125.47000000000001</v>
      </c>
      <c r="H5" s="6">
        <v>8</v>
      </c>
      <c r="I5" s="7">
        <f>I$4*H5</f>
        <v>29844</v>
      </c>
    </row>
    <row r="6" spans="2:9" x14ac:dyDescent="0.3">
      <c r="B6" s="32" t="s">
        <v>8</v>
      </c>
      <c r="C6" s="15" t="s">
        <v>23</v>
      </c>
      <c r="D6" s="5" t="s">
        <v>7</v>
      </c>
      <c r="E6" s="6">
        <v>1</v>
      </c>
      <c r="F6" s="33">
        <v>269.12</v>
      </c>
      <c r="H6" s="6">
        <v>1E-3</v>
      </c>
      <c r="I6" s="30">
        <f>I4*$E6*0.065*1000</f>
        <v>242482.50000000003</v>
      </c>
    </row>
    <row r="7" spans="2:9" x14ac:dyDescent="0.3">
      <c r="B7" s="32" t="s">
        <v>9</v>
      </c>
      <c r="C7" s="15" t="s">
        <v>22</v>
      </c>
      <c r="D7" s="5" t="s">
        <v>31</v>
      </c>
      <c r="E7" s="6">
        <v>1.1000000000000001</v>
      </c>
      <c r="F7" s="33">
        <f>F$4*E7</f>
        <v>690.08500000000004</v>
      </c>
      <c r="H7" s="6">
        <v>1.1000000000000001</v>
      </c>
      <c r="I7" s="7">
        <f>I$4*H7</f>
        <v>4103.55</v>
      </c>
    </row>
    <row r="8" spans="2:9" x14ac:dyDescent="0.3">
      <c r="B8" s="32" t="s">
        <v>26</v>
      </c>
      <c r="C8" s="15" t="s">
        <v>30</v>
      </c>
      <c r="D8" s="5" t="s">
        <v>6</v>
      </c>
      <c r="E8" s="6">
        <v>1.8</v>
      </c>
      <c r="F8" s="33">
        <f>F$4*E$8*0.065*1000</f>
        <v>73399.95</v>
      </c>
      <c r="H8" s="6">
        <v>0.32</v>
      </c>
      <c r="I8" s="30">
        <f>I$4*H$8*0.065*1000</f>
        <v>77594.400000000009</v>
      </c>
    </row>
    <row r="9" spans="2:9" x14ac:dyDescent="0.3">
      <c r="B9" s="32" t="s">
        <v>27</v>
      </c>
      <c r="C9" s="15" t="s">
        <v>21</v>
      </c>
      <c r="D9" s="5" t="s">
        <v>25</v>
      </c>
      <c r="E9" s="6">
        <v>8</v>
      </c>
      <c r="F9" s="41">
        <f>ROUNDUP(F$4*E9, 0)</f>
        <v>5019</v>
      </c>
      <c r="H9" s="6">
        <v>1E-3</v>
      </c>
      <c r="I9" s="30">
        <f>I4*$H9*0.065*1000</f>
        <v>242.48250000000002</v>
      </c>
    </row>
    <row r="10" spans="2:9" x14ac:dyDescent="0.3">
      <c r="B10" s="25"/>
      <c r="C10" s="26"/>
      <c r="D10" s="27"/>
      <c r="E10" s="28"/>
      <c r="F10" s="27"/>
    </row>
    <row r="12" spans="2:9" x14ac:dyDescent="0.3">
      <c r="G12">
        <f>F4/F6</f>
        <v>2.3311162306777646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E10"/>
  <sheetViews>
    <sheetView zoomScale="175" zoomScaleNormal="175" workbookViewId="0">
      <selection activeCell="H18" sqref="H18"/>
    </sheetView>
  </sheetViews>
  <sheetFormatPr defaultColWidth="9.109375" defaultRowHeight="13.2" x14ac:dyDescent="0.3"/>
  <cols>
    <col min="1" max="1" width="9.109375" style="12"/>
    <col min="2" max="2" width="13.6640625" style="12" customWidth="1"/>
    <col min="3" max="16384" width="9.109375" style="12"/>
  </cols>
  <sheetData>
    <row r="1" spans="1:5" ht="15" customHeight="1" x14ac:dyDescent="0.3">
      <c r="A1" s="64" t="s">
        <v>11</v>
      </c>
      <c r="B1" s="65"/>
      <c r="C1" s="66"/>
    </row>
    <row r="2" spans="1:5" x14ac:dyDescent="0.3">
      <c r="A2" s="10" t="s">
        <v>0</v>
      </c>
      <c r="B2" s="11" t="s">
        <v>10</v>
      </c>
      <c r="C2" s="14" t="s">
        <v>12</v>
      </c>
    </row>
    <row r="3" spans="1:5" x14ac:dyDescent="0.3">
      <c r="A3" s="10">
        <v>1</v>
      </c>
      <c r="B3" s="13" t="s">
        <v>13</v>
      </c>
      <c r="C3" s="7">
        <v>35.82</v>
      </c>
    </row>
    <row r="4" spans="1:5" x14ac:dyDescent="0.3">
      <c r="A4" s="10">
        <v>2</v>
      </c>
      <c r="B4" s="13" t="s">
        <v>14</v>
      </c>
      <c r="C4" s="7">
        <v>35.08</v>
      </c>
    </row>
    <row r="5" spans="1:5" x14ac:dyDescent="0.3">
      <c r="A5" s="10">
        <v>3</v>
      </c>
      <c r="B5" s="13" t="s">
        <v>15</v>
      </c>
      <c r="C5" s="7">
        <v>169.95</v>
      </c>
    </row>
    <row r="6" spans="1:5" x14ac:dyDescent="0.3">
      <c r="A6" s="10">
        <v>4</v>
      </c>
      <c r="B6" s="13" t="s">
        <v>16</v>
      </c>
      <c r="C6" s="7">
        <v>217.09</v>
      </c>
    </row>
    <row r="7" spans="1:5" x14ac:dyDescent="0.3">
      <c r="A7" s="10">
        <v>5</v>
      </c>
      <c r="B7" s="13" t="s">
        <v>29</v>
      </c>
      <c r="C7" s="7">
        <v>10.88</v>
      </c>
    </row>
    <row r="8" spans="1:5" x14ac:dyDescent="0.3">
      <c r="A8" s="10">
        <v>6</v>
      </c>
      <c r="B8" s="13" t="s">
        <v>17</v>
      </c>
      <c r="C8" s="7">
        <v>65.19</v>
      </c>
    </row>
    <row r="9" spans="1:5" ht="13.8" thickBot="1" x14ac:dyDescent="0.35">
      <c r="A9" s="35">
        <v>7</v>
      </c>
      <c r="B9" s="36" t="s">
        <v>18</v>
      </c>
      <c r="C9" s="37">
        <v>93.34</v>
      </c>
    </row>
    <row r="10" spans="1:5" ht="13.8" thickBot="1" x14ac:dyDescent="0.35">
      <c r="A10" s="38"/>
      <c r="B10" s="39" t="s">
        <v>19</v>
      </c>
      <c r="C10" s="40">
        <f>SUM(C3:C9)</f>
        <v>627.35</v>
      </c>
      <c r="E10" s="34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E8"/>
  <sheetViews>
    <sheetView workbookViewId="0">
      <selection activeCell="H18" sqref="H18"/>
    </sheetView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x14ac:dyDescent="0.3">
      <c r="A1" s="1"/>
      <c r="B1" s="31" t="s">
        <v>28</v>
      </c>
      <c r="C1" s="2"/>
      <c r="D1" s="2"/>
      <c r="E1" s="3"/>
    </row>
    <row r="2" spans="1:5" ht="15" thickBot="1" x14ac:dyDescent="0.35">
      <c r="A2" s="21" t="s">
        <v>0</v>
      </c>
      <c r="B2" s="22" t="s">
        <v>1</v>
      </c>
      <c r="C2" s="23" t="s">
        <v>2</v>
      </c>
      <c r="D2" s="23" t="s">
        <v>3</v>
      </c>
      <c r="E2" s="24" t="s">
        <v>4</v>
      </c>
    </row>
    <row r="3" spans="1:5" ht="26.4" x14ac:dyDescent="0.3">
      <c r="A3" s="16">
        <v>1</v>
      </c>
      <c r="B3" s="17" t="s">
        <v>20</v>
      </c>
      <c r="C3" s="18" t="s">
        <v>5</v>
      </c>
      <c r="D3" s="19">
        <v>1</v>
      </c>
      <c r="E3" s="20">
        <v>0</v>
      </c>
    </row>
    <row r="4" spans="1:5" x14ac:dyDescent="0.3">
      <c r="A4" s="4">
        <v>1.1000000000000001</v>
      </c>
      <c r="B4" s="9" t="s">
        <v>24</v>
      </c>
      <c r="C4" s="29" t="s">
        <v>6</v>
      </c>
      <c r="D4" s="8">
        <v>0.2</v>
      </c>
      <c r="E4" s="33">
        <f>E$3*D4</f>
        <v>0</v>
      </c>
    </row>
    <row r="5" spans="1:5" x14ac:dyDescent="0.3">
      <c r="A5" s="32" t="s">
        <v>8</v>
      </c>
      <c r="B5" s="15" t="s">
        <v>23</v>
      </c>
      <c r="C5" s="5" t="s">
        <v>7</v>
      </c>
      <c r="D5" s="6">
        <v>1</v>
      </c>
      <c r="E5" s="33">
        <v>0</v>
      </c>
    </row>
    <row r="6" spans="1:5" x14ac:dyDescent="0.3">
      <c r="A6" s="32" t="s">
        <v>9</v>
      </c>
      <c r="B6" s="15" t="s">
        <v>22</v>
      </c>
      <c r="C6" s="5" t="s">
        <v>31</v>
      </c>
      <c r="D6" s="6">
        <v>1.1000000000000001</v>
      </c>
      <c r="E6" s="33">
        <f>E$3*D6</f>
        <v>0</v>
      </c>
    </row>
    <row r="7" spans="1:5" x14ac:dyDescent="0.3">
      <c r="A7" s="32" t="s">
        <v>26</v>
      </c>
      <c r="B7" s="15" t="s">
        <v>30</v>
      </c>
      <c r="C7" s="5" t="s">
        <v>6</v>
      </c>
      <c r="D7" s="6">
        <v>1.8</v>
      </c>
      <c r="E7" s="33">
        <f>E$3*D$7*0.065*1000</f>
        <v>0</v>
      </c>
    </row>
    <row r="8" spans="1:5" x14ac:dyDescent="0.3">
      <c r="A8" s="32" t="s">
        <v>27</v>
      </c>
      <c r="B8" s="15" t="s">
        <v>21</v>
      </c>
      <c r="C8" s="5" t="s">
        <v>25</v>
      </c>
      <c r="D8" s="6">
        <v>8</v>
      </c>
      <c r="E8" s="41">
        <f>ROUNDUP(E$3*D8, 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12"/>
  <sheetViews>
    <sheetView workbookViewId="0">
      <selection activeCell="H18" sqref="H18"/>
    </sheetView>
  </sheetViews>
  <sheetFormatPr defaultRowHeight="14.4" x14ac:dyDescent="0.3"/>
  <sheetData>
    <row r="1" spans="1:4" x14ac:dyDescent="0.3">
      <c r="A1" s="64" t="s">
        <v>11</v>
      </c>
      <c r="B1" s="65"/>
      <c r="C1" s="66"/>
    </row>
    <row r="2" spans="1:4" x14ac:dyDescent="0.3">
      <c r="A2" s="10" t="s">
        <v>0</v>
      </c>
      <c r="B2" s="11" t="s">
        <v>10</v>
      </c>
      <c r="C2" s="14" t="s">
        <v>50</v>
      </c>
    </row>
    <row r="3" spans="1:4" x14ac:dyDescent="0.3">
      <c r="A3" s="10">
        <v>1</v>
      </c>
      <c r="B3" s="13" t="s">
        <v>41</v>
      </c>
      <c r="C3" s="7">
        <v>171.6</v>
      </c>
      <c r="D3" s="42"/>
    </row>
    <row r="4" spans="1:4" x14ac:dyDescent="0.3">
      <c r="A4" s="10">
        <v>2</v>
      </c>
      <c r="B4" s="13" t="s">
        <v>42</v>
      </c>
      <c r="C4" s="7">
        <v>128.30000000000001</v>
      </c>
    </row>
    <row r="5" spans="1:4" x14ac:dyDescent="0.3">
      <c r="A5" s="10">
        <v>3</v>
      </c>
      <c r="B5" s="13" t="s">
        <v>43</v>
      </c>
      <c r="C5" s="7">
        <v>38.4</v>
      </c>
    </row>
    <row r="6" spans="1:4" x14ac:dyDescent="0.3">
      <c r="A6" s="10">
        <v>4</v>
      </c>
      <c r="B6" s="13" t="s">
        <v>44</v>
      </c>
      <c r="C6" s="7">
        <v>22.2</v>
      </c>
    </row>
    <row r="7" spans="1:4" x14ac:dyDescent="0.3">
      <c r="A7" s="10">
        <v>5</v>
      </c>
      <c r="B7" s="13" t="s">
        <v>45</v>
      </c>
      <c r="C7" s="7">
        <v>4.4000000000000004</v>
      </c>
    </row>
    <row r="8" spans="1:4" x14ac:dyDescent="0.3">
      <c r="A8" s="10">
        <v>6</v>
      </c>
      <c r="B8" s="13" t="s">
        <v>46</v>
      </c>
      <c r="C8" s="7">
        <v>5.6</v>
      </c>
    </row>
    <row r="9" spans="1:4" x14ac:dyDescent="0.3">
      <c r="A9" s="35">
        <v>7</v>
      </c>
      <c r="B9" s="13" t="s">
        <v>47</v>
      </c>
      <c r="C9" s="37">
        <v>22.1</v>
      </c>
    </row>
    <row r="10" spans="1:4" x14ac:dyDescent="0.3">
      <c r="A10" s="35">
        <v>8</v>
      </c>
      <c r="B10" s="13" t="s">
        <v>48</v>
      </c>
      <c r="C10" s="37">
        <v>10.3</v>
      </c>
    </row>
    <row r="11" spans="1:4" ht="15" thickBot="1" x14ac:dyDescent="0.35">
      <c r="A11" s="35">
        <v>9</v>
      </c>
      <c r="B11" s="36" t="s">
        <v>49</v>
      </c>
      <c r="C11" s="37">
        <v>15.38</v>
      </c>
    </row>
    <row r="12" spans="1:4" ht="15" thickBot="1" x14ac:dyDescent="0.35">
      <c r="A12" s="38"/>
      <c r="B12" s="39" t="s">
        <v>19</v>
      </c>
      <c r="C12" s="40">
        <f>SUM(C3:C11)</f>
        <v>418.28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C6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s="64" t="s">
        <v>11</v>
      </c>
      <c r="B1" s="65"/>
      <c r="C1" s="66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 t="s">
        <v>51</v>
      </c>
      <c r="C3" s="7">
        <v>216.5</v>
      </c>
    </row>
    <row r="4" spans="1:3" x14ac:dyDescent="0.3">
      <c r="A4" s="43">
        <v>2</v>
      </c>
      <c r="B4" s="13" t="s">
        <v>52</v>
      </c>
      <c r="C4" s="7">
        <v>163.30000000000001</v>
      </c>
    </row>
    <row r="5" spans="1:3" ht="15" thickBot="1" x14ac:dyDescent="0.35">
      <c r="A5" s="43">
        <v>3</v>
      </c>
      <c r="B5" s="13" t="s">
        <v>53</v>
      </c>
      <c r="C5" s="7">
        <v>41.9</v>
      </c>
    </row>
    <row r="6" spans="1:3" ht="15" thickBot="1" x14ac:dyDescent="0.35">
      <c r="A6" s="38"/>
      <c r="B6" s="39" t="s">
        <v>19</v>
      </c>
      <c r="C6" s="40">
        <f>SUM(C3:C5)</f>
        <v>421.7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C16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s="64" t="s">
        <v>11</v>
      </c>
      <c r="B1" s="65"/>
      <c r="C1" s="66"/>
    </row>
    <row r="2" spans="1:3" x14ac:dyDescent="0.3">
      <c r="A2" s="10" t="s">
        <v>0</v>
      </c>
      <c r="B2" s="11" t="s">
        <v>10</v>
      </c>
      <c r="C2" s="14" t="s">
        <v>12</v>
      </c>
    </row>
    <row r="3" spans="1:3" x14ac:dyDescent="0.3">
      <c r="A3" s="10">
        <v>1</v>
      </c>
      <c r="B3" s="13" t="s">
        <v>32</v>
      </c>
      <c r="C3" s="7"/>
    </row>
    <row r="4" spans="1:3" x14ac:dyDescent="0.3">
      <c r="A4" s="10">
        <v>2</v>
      </c>
      <c r="B4" s="13" t="s">
        <v>33</v>
      </c>
      <c r="C4" s="7"/>
    </row>
    <row r="5" spans="1:3" x14ac:dyDescent="0.3">
      <c r="A5" s="10">
        <v>3</v>
      </c>
      <c r="B5" s="13" t="s">
        <v>34</v>
      </c>
      <c r="C5" s="7"/>
    </row>
    <row r="6" spans="1:3" x14ac:dyDescent="0.3">
      <c r="A6" s="10">
        <v>4</v>
      </c>
      <c r="B6" s="13" t="s">
        <v>35</v>
      </c>
      <c r="C6" s="7"/>
    </row>
    <row r="7" spans="1:3" x14ac:dyDescent="0.3">
      <c r="A7" s="10">
        <v>5</v>
      </c>
      <c r="B7" s="13" t="s">
        <v>36</v>
      </c>
      <c r="C7" s="7"/>
    </row>
    <row r="8" spans="1:3" x14ac:dyDescent="0.3">
      <c r="A8" s="10">
        <v>6</v>
      </c>
      <c r="B8" s="13" t="s">
        <v>37</v>
      </c>
      <c r="C8" s="7"/>
    </row>
    <row r="9" spans="1:3" x14ac:dyDescent="0.3">
      <c r="A9" s="35">
        <v>7</v>
      </c>
      <c r="B9" s="36" t="s">
        <v>38</v>
      </c>
      <c r="C9" s="37"/>
    </row>
    <row r="10" spans="1:3" x14ac:dyDescent="0.3">
      <c r="A10" s="35">
        <v>8</v>
      </c>
      <c r="B10" s="36" t="s">
        <v>39</v>
      </c>
      <c r="C10" s="37"/>
    </row>
    <row r="11" spans="1:3" x14ac:dyDescent="0.3">
      <c r="A11" s="35"/>
      <c r="B11" s="36"/>
      <c r="C11" s="37"/>
    </row>
    <row r="12" spans="1:3" x14ac:dyDescent="0.3">
      <c r="A12" s="35"/>
      <c r="B12" s="36"/>
      <c r="C12" s="37"/>
    </row>
    <row r="13" spans="1:3" x14ac:dyDescent="0.3">
      <c r="A13" s="35"/>
      <c r="B13" s="36"/>
      <c r="C13" s="37"/>
    </row>
    <row r="14" spans="1:3" x14ac:dyDescent="0.3">
      <c r="A14" s="35"/>
      <c r="B14" s="36"/>
      <c r="C14" s="37"/>
    </row>
    <row r="15" spans="1:3" ht="15" thickBot="1" x14ac:dyDescent="0.35">
      <c r="A15" s="35">
        <v>9</v>
      </c>
      <c r="B15" s="36" t="s">
        <v>40</v>
      </c>
      <c r="C15" s="37"/>
    </row>
    <row r="16" spans="1:3" ht="15" thickBot="1" x14ac:dyDescent="0.35">
      <c r="A16" s="38"/>
      <c r="B16" s="39" t="s">
        <v>19</v>
      </c>
      <c r="C16" s="40">
        <f>SUM(C3:C15)</f>
        <v>0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C13"/>
  <sheetViews>
    <sheetView topLeftCell="A2" workbookViewId="0">
      <selection activeCell="C13" sqref="C13"/>
    </sheetView>
  </sheetViews>
  <sheetFormatPr defaultRowHeight="14.4" x14ac:dyDescent="0.3"/>
  <sheetData>
    <row r="1" spans="1:3" x14ac:dyDescent="0.3">
      <c r="A1" s="64" t="s">
        <v>11</v>
      </c>
      <c r="B1" s="65"/>
      <c r="C1" s="66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 t="s">
        <v>54</v>
      </c>
      <c r="C3" s="7">
        <v>88.5</v>
      </c>
    </row>
    <row r="4" spans="1:3" x14ac:dyDescent="0.3">
      <c r="A4" s="43">
        <v>2</v>
      </c>
      <c r="B4" s="13" t="s">
        <v>55</v>
      </c>
      <c r="C4" s="7">
        <v>65.400000000000006</v>
      </c>
    </row>
    <row r="5" spans="1:3" x14ac:dyDescent="0.3">
      <c r="A5" s="43">
        <v>3</v>
      </c>
      <c r="B5" s="13" t="s">
        <v>56</v>
      </c>
      <c r="C5" s="7">
        <v>62.3</v>
      </c>
    </row>
    <row r="6" spans="1:3" x14ac:dyDescent="0.3">
      <c r="A6" s="43">
        <v>4</v>
      </c>
      <c r="B6" s="13" t="s">
        <v>57</v>
      </c>
      <c r="C6" s="7">
        <v>64.400000000000006</v>
      </c>
    </row>
    <row r="7" spans="1:3" x14ac:dyDescent="0.3">
      <c r="A7" s="43">
        <v>5</v>
      </c>
      <c r="B7" s="13" t="s">
        <v>58</v>
      </c>
      <c r="C7" s="7">
        <v>64.099999999999994</v>
      </c>
    </row>
    <row r="8" spans="1:3" x14ac:dyDescent="0.3">
      <c r="A8" s="43">
        <v>6</v>
      </c>
      <c r="B8" s="13" t="s">
        <v>59</v>
      </c>
      <c r="C8" s="7">
        <v>103.1</v>
      </c>
    </row>
    <row r="9" spans="1:3" x14ac:dyDescent="0.3">
      <c r="A9" s="43">
        <v>7</v>
      </c>
      <c r="B9" s="13" t="s">
        <v>60</v>
      </c>
      <c r="C9" s="37">
        <v>10.4</v>
      </c>
    </row>
    <row r="10" spans="1:3" x14ac:dyDescent="0.3">
      <c r="A10" s="43">
        <v>8</v>
      </c>
      <c r="B10" s="13" t="s">
        <v>52</v>
      </c>
      <c r="C10" s="37">
        <v>163.30000000000001</v>
      </c>
    </row>
    <row r="11" spans="1:3" x14ac:dyDescent="0.3">
      <c r="A11" s="43">
        <v>9</v>
      </c>
      <c r="B11" s="13" t="s">
        <v>61</v>
      </c>
      <c r="C11" s="37">
        <v>128.9</v>
      </c>
    </row>
    <row r="12" spans="1:3" ht="15" thickBot="1" x14ac:dyDescent="0.35">
      <c r="A12" s="35">
        <v>10</v>
      </c>
      <c r="B12" s="36" t="s">
        <v>48</v>
      </c>
      <c r="C12" s="37">
        <v>15.47</v>
      </c>
    </row>
    <row r="13" spans="1:3" ht="15" thickBot="1" x14ac:dyDescent="0.35">
      <c r="A13" s="38"/>
      <c r="B13" s="39" t="s">
        <v>19</v>
      </c>
      <c r="C13" s="40">
        <f>SUM(C3:C12)</f>
        <v>765.87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4"/>
  <sheetViews>
    <sheetView workbookViewId="0">
      <selection activeCell="E3" sqref="E3"/>
    </sheetView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x14ac:dyDescent="0.3">
      <c r="A1" s="1"/>
      <c r="B1" s="31" t="s">
        <v>28</v>
      </c>
      <c r="C1" s="2"/>
      <c r="D1" s="2"/>
      <c r="E1" s="3"/>
    </row>
    <row r="2" spans="1:5" ht="15" thickBot="1" x14ac:dyDescent="0.35">
      <c r="A2" s="21" t="s">
        <v>0</v>
      </c>
      <c r="B2" s="22" t="s">
        <v>1</v>
      </c>
      <c r="C2" s="23" t="s">
        <v>2</v>
      </c>
      <c r="D2" s="23" t="s">
        <v>3</v>
      </c>
      <c r="E2" s="24" t="s">
        <v>4</v>
      </c>
    </row>
    <row r="3" spans="1:5" ht="39.6" x14ac:dyDescent="0.3">
      <c r="A3" s="16">
        <v>1</v>
      </c>
      <c r="B3" s="17" t="s">
        <v>133</v>
      </c>
      <c r="C3" s="18" t="s">
        <v>5</v>
      </c>
      <c r="D3" s="19">
        <v>1</v>
      </c>
      <c r="E3" s="20">
        <f>'7сэ3'!C13+'6с3э'!C16+'4с3э'!C15+'3с3э'!C13+'2с3э'!C14+'1с3'!C11</f>
        <v>3879.63</v>
      </c>
    </row>
    <row r="4" spans="1:5" x14ac:dyDescent="0.3">
      <c r="A4" s="4">
        <v>1.1000000000000001</v>
      </c>
      <c r="B4" s="9" t="s">
        <v>24</v>
      </c>
      <c r="C4" s="29" t="s">
        <v>6</v>
      </c>
      <c r="D4" s="8">
        <v>0.2</v>
      </c>
      <c r="E4" s="33">
        <f>E$3*D4</f>
        <v>775.92600000000004</v>
      </c>
    </row>
    <row r="5" spans="1:5" x14ac:dyDescent="0.3">
      <c r="A5" s="32" t="s">
        <v>8</v>
      </c>
      <c r="B5" s="15" t="s">
        <v>23</v>
      </c>
      <c r="C5" s="5" t="s">
        <v>7</v>
      </c>
      <c r="D5" s="6">
        <v>1</v>
      </c>
      <c r="E5" s="33">
        <f>E3/2.33</f>
        <v>1665.0772532188842</v>
      </c>
    </row>
    <row r="6" spans="1:5" x14ac:dyDescent="0.3">
      <c r="A6" s="32" t="s">
        <v>9</v>
      </c>
      <c r="B6" s="15" t="s">
        <v>22</v>
      </c>
      <c r="C6" s="5" t="s">
        <v>31</v>
      </c>
      <c r="D6" s="6">
        <v>1.1000000000000001</v>
      </c>
      <c r="E6" s="33">
        <f>E$3*D6</f>
        <v>4267.5930000000008</v>
      </c>
    </row>
    <row r="7" spans="1:5" x14ac:dyDescent="0.3">
      <c r="A7" s="32" t="s">
        <v>26</v>
      </c>
      <c r="B7" s="15" t="s">
        <v>30</v>
      </c>
      <c r="C7" s="5" t="s">
        <v>6</v>
      </c>
      <c r="D7" s="6">
        <v>1.8</v>
      </c>
      <c r="E7" s="33">
        <f>E$3*D$7*0.065*1000</f>
        <v>453916.71000000008</v>
      </c>
    </row>
    <row r="8" spans="1:5" ht="15" thickBot="1" x14ac:dyDescent="0.35">
      <c r="A8" s="32" t="s">
        <v>27</v>
      </c>
      <c r="B8" s="15" t="s">
        <v>21</v>
      </c>
      <c r="C8" s="5" t="s">
        <v>25</v>
      </c>
      <c r="D8" s="6">
        <v>8</v>
      </c>
      <c r="E8" s="41">
        <f>ROUNDUP(E$3*D8, 0)</f>
        <v>31038</v>
      </c>
    </row>
    <row r="9" spans="1:5" ht="27.75" customHeight="1" x14ac:dyDescent="0.3">
      <c r="A9" s="16" t="s">
        <v>127</v>
      </c>
      <c r="B9" s="17" t="s">
        <v>134</v>
      </c>
      <c r="C9" s="18" t="s">
        <v>5</v>
      </c>
      <c r="D9" s="19">
        <v>1</v>
      </c>
      <c r="E9" s="20">
        <f>'7сэ3'!C16</f>
        <v>238.8</v>
      </c>
    </row>
    <row r="10" spans="1:5" x14ac:dyDescent="0.3">
      <c r="A10" s="4" t="s">
        <v>128</v>
      </c>
      <c r="B10" s="9" t="s">
        <v>24</v>
      </c>
      <c r="C10" s="29" t="s">
        <v>6</v>
      </c>
      <c r="D10" s="8">
        <v>0.2</v>
      </c>
      <c r="E10" s="33">
        <f>E$9*D10</f>
        <v>47.760000000000005</v>
      </c>
    </row>
    <row r="11" spans="1:5" x14ac:dyDescent="0.3">
      <c r="A11" s="4" t="s">
        <v>129</v>
      </c>
      <c r="B11" s="15" t="s">
        <v>23</v>
      </c>
      <c r="C11" s="5" t="s">
        <v>7</v>
      </c>
      <c r="D11" s="6">
        <v>1</v>
      </c>
      <c r="E11" s="33">
        <v>94</v>
      </c>
    </row>
    <row r="12" spans="1:5" x14ac:dyDescent="0.3">
      <c r="A12" s="4" t="s">
        <v>130</v>
      </c>
      <c r="B12" s="15" t="s">
        <v>22</v>
      </c>
      <c r="C12" s="5" t="s">
        <v>31</v>
      </c>
      <c r="D12" s="6">
        <v>1.1000000000000001</v>
      </c>
      <c r="E12" s="33">
        <f t="shared" ref="E12:E14" si="0">E$9*D12</f>
        <v>262.68</v>
      </c>
    </row>
    <row r="13" spans="1:5" x14ac:dyDescent="0.3">
      <c r="A13" s="4" t="s">
        <v>131</v>
      </c>
      <c r="B13" s="15" t="s">
        <v>30</v>
      </c>
      <c r="C13" s="5" t="s">
        <v>6</v>
      </c>
      <c r="D13" s="6">
        <v>1.8</v>
      </c>
      <c r="E13" s="33">
        <f>E$9*D13*60</f>
        <v>25790.400000000001</v>
      </c>
    </row>
    <row r="14" spans="1:5" x14ac:dyDescent="0.3">
      <c r="A14" s="4" t="s">
        <v>132</v>
      </c>
      <c r="B14" s="15" t="s">
        <v>21</v>
      </c>
      <c r="C14" s="5" t="s">
        <v>25</v>
      </c>
      <c r="D14" s="6">
        <v>8</v>
      </c>
      <c r="E14" s="33">
        <f t="shared" si="0"/>
        <v>1910.4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6"/>
  <sheetViews>
    <sheetView workbookViewId="0">
      <selection activeCell="M11" sqref="M11"/>
    </sheetView>
  </sheetViews>
  <sheetFormatPr defaultRowHeight="14.4" x14ac:dyDescent="0.3"/>
  <sheetData>
    <row r="1" spans="1:3" ht="25.5" customHeight="1" x14ac:dyDescent="0.3">
      <c r="A1" s="67" t="s">
        <v>119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 t="s">
        <v>101</v>
      </c>
      <c r="C3" s="56">
        <v>38.9</v>
      </c>
    </row>
    <row r="4" spans="1:3" x14ac:dyDescent="0.3">
      <c r="A4" s="43">
        <v>2</v>
      </c>
      <c r="B4" s="13" t="s">
        <v>102</v>
      </c>
      <c r="C4" s="55">
        <v>155.4</v>
      </c>
    </row>
    <row r="5" spans="1:3" x14ac:dyDescent="0.3">
      <c r="A5" s="43">
        <v>3</v>
      </c>
      <c r="B5" s="13" t="s">
        <v>103</v>
      </c>
      <c r="C5" s="55">
        <v>197.29999999999998</v>
      </c>
    </row>
    <row r="6" spans="1:3" x14ac:dyDescent="0.3">
      <c r="A6" s="43">
        <v>4</v>
      </c>
      <c r="B6" s="13" t="s">
        <v>104</v>
      </c>
      <c r="C6" s="55">
        <v>9.129999999999999</v>
      </c>
    </row>
    <row r="7" spans="1:3" x14ac:dyDescent="0.3">
      <c r="A7" s="43">
        <v>5</v>
      </c>
      <c r="B7" s="13" t="s">
        <v>106</v>
      </c>
      <c r="C7" s="55">
        <v>89.4</v>
      </c>
    </row>
    <row r="8" spans="1:3" x14ac:dyDescent="0.3">
      <c r="A8" s="43">
        <v>6</v>
      </c>
      <c r="B8" s="13" t="s">
        <v>66</v>
      </c>
      <c r="C8" s="30">
        <v>18.2</v>
      </c>
    </row>
    <row r="9" spans="1:3" x14ac:dyDescent="0.3">
      <c r="A9" s="43">
        <v>7</v>
      </c>
      <c r="B9" s="13" t="s">
        <v>109</v>
      </c>
      <c r="C9" s="55">
        <v>75</v>
      </c>
    </row>
    <row r="10" spans="1:3" x14ac:dyDescent="0.3">
      <c r="A10" s="43">
        <v>8</v>
      </c>
      <c r="B10" s="13" t="s">
        <v>111</v>
      </c>
      <c r="C10" s="55">
        <v>5.6</v>
      </c>
    </row>
    <row r="11" spans="1:3" x14ac:dyDescent="0.3">
      <c r="A11" s="43">
        <v>9</v>
      </c>
      <c r="B11" s="13" t="s">
        <v>112</v>
      </c>
      <c r="C11" s="55">
        <v>11.200000000000001</v>
      </c>
    </row>
    <row r="12" spans="1:3" ht="15" thickBot="1" x14ac:dyDescent="0.35">
      <c r="A12" s="43">
        <v>10</v>
      </c>
      <c r="B12" s="13" t="s">
        <v>113</v>
      </c>
      <c r="C12" s="55">
        <v>11.4</v>
      </c>
    </row>
    <row r="13" spans="1:3" ht="15" thickBot="1" x14ac:dyDescent="0.35">
      <c r="A13" s="38"/>
      <c r="B13" s="39" t="s">
        <v>19</v>
      </c>
      <c r="C13" s="57">
        <f>SUM(C3:C12)</f>
        <v>611.53</v>
      </c>
    </row>
    <row r="14" spans="1:3" x14ac:dyDescent="0.3">
      <c r="A14" s="43">
        <v>1</v>
      </c>
      <c r="B14" s="52" t="s">
        <v>105</v>
      </c>
      <c r="C14" s="58">
        <v>200</v>
      </c>
    </row>
    <row r="15" spans="1:3" x14ac:dyDescent="0.3">
      <c r="A15" s="43">
        <v>2</v>
      </c>
      <c r="B15" s="52" t="s">
        <v>110</v>
      </c>
      <c r="C15" s="58">
        <v>38.799999999999997</v>
      </c>
    </row>
    <row r="16" spans="1:3" x14ac:dyDescent="0.3">
      <c r="A16" s="53" t="s">
        <v>126</v>
      </c>
      <c r="B16" s="54" t="s">
        <v>19</v>
      </c>
      <c r="C16" s="58">
        <f>SUM(C14:C15)</f>
        <v>238.8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6"/>
  <sheetViews>
    <sheetView workbookViewId="0">
      <selection activeCell="C16" sqref="A1:C16"/>
    </sheetView>
  </sheetViews>
  <sheetFormatPr defaultRowHeight="14.4" x14ac:dyDescent="0.3"/>
  <sheetData>
    <row r="1" spans="1:3" ht="25.5" customHeight="1" x14ac:dyDescent="0.3">
      <c r="A1" s="67" t="s">
        <v>120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 t="s">
        <v>97</v>
      </c>
      <c r="C3" s="30">
        <v>61.4</v>
      </c>
    </row>
    <row r="4" spans="1:3" x14ac:dyDescent="0.3">
      <c r="A4" s="43">
        <v>2</v>
      </c>
      <c r="B4" s="13" t="s">
        <v>98</v>
      </c>
      <c r="C4" s="30">
        <v>115.30000000000001</v>
      </c>
    </row>
    <row r="5" spans="1:3" x14ac:dyDescent="0.3">
      <c r="A5" s="43">
        <v>3</v>
      </c>
      <c r="B5" s="13" t="s">
        <v>32</v>
      </c>
      <c r="C5" s="30">
        <v>195.6</v>
      </c>
    </row>
    <row r="6" spans="1:3" x14ac:dyDescent="0.3">
      <c r="A6" s="43">
        <v>4</v>
      </c>
      <c r="B6" s="13" t="s">
        <v>33</v>
      </c>
      <c r="C6" s="30">
        <v>20.399999999999999</v>
      </c>
    </row>
    <row r="7" spans="1:3" x14ac:dyDescent="0.3">
      <c r="A7" s="43">
        <v>5</v>
      </c>
      <c r="B7" s="13" t="s">
        <v>34</v>
      </c>
      <c r="C7" s="30">
        <v>118.9</v>
      </c>
    </row>
    <row r="8" spans="1:3" x14ac:dyDescent="0.3">
      <c r="A8" s="43">
        <v>6</v>
      </c>
      <c r="B8" s="13" t="s">
        <v>35</v>
      </c>
      <c r="C8" s="30">
        <v>164.3</v>
      </c>
    </row>
    <row r="9" spans="1:3" x14ac:dyDescent="0.3">
      <c r="A9" s="43">
        <v>7</v>
      </c>
      <c r="B9" s="13" t="s">
        <v>36</v>
      </c>
      <c r="C9" s="30">
        <v>20.2</v>
      </c>
    </row>
    <row r="10" spans="1:3" x14ac:dyDescent="0.3">
      <c r="A10" s="43">
        <v>8</v>
      </c>
      <c r="B10" s="13" t="s">
        <v>37</v>
      </c>
      <c r="C10" s="30">
        <v>21.400000000000002</v>
      </c>
    </row>
    <row r="11" spans="1:3" x14ac:dyDescent="0.3">
      <c r="A11" s="43">
        <v>9</v>
      </c>
      <c r="B11" s="13" t="s">
        <v>38</v>
      </c>
      <c r="C11" s="30">
        <v>4.4000000000000004</v>
      </c>
    </row>
    <row r="12" spans="1:3" x14ac:dyDescent="0.3">
      <c r="A12" s="43">
        <v>10</v>
      </c>
      <c r="B12" s="13" t="s">
        <v>39</v>
      </c>
      <c r="C12" s="30">
        <v>5.6</v>
      </c>
    </row>
    <row r="13" spans="1:3" x14ac:dyDescent="0.3">
      <c r="A13" s="43">
        <v>11</v>
      </c>
      <c r="B13" s="13" t="s">
        <v>40</v>
      </c>
      <c r="C13" s="30">
        <v>9.1</v>
      </c>
    </row>
    <row r="14" spans="1:3" x14ac:dyDescent="0.3">
      <c r="A14" s="43">
        <v>12</v>
      </c>
      <c r="B14" s="13" t="s">
        <v>99</v>
      </c>
      <c r="C14" s="56">
        <v>15.4</v>
      </c>
    </row>
    <row r="15" spans="1:3" ht="15" thickBot="1" x14ac:dyDescent="0.35">
      <c r="A15" s="43">
        <v>13</v>
      </c>
      <c r="B15" s="13" t="s">
        <v>116</v>
      </c>
      <c r="C15" s="55">
        <v>3.2</v>
      </c>
    </row>
    <row r="16" spans="1:3" ht="15" thickBot="1" x14ac:dyDescent="0.35">
      <c r="A16" s="38"/>
      <c r="B16" s="39" t="s">
        <v>19</v>
      </c>
      <c r="C16" s="57">
        <f>SUM(C3:C15)</f>
        <v>755.20000000000016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5"/>
  <sheetViews>
    <sheetView workbookViewId="0">
      <selection activeCell="C3" sqref="C3:C14"/>
    </sheetView>
  </sheetViews>
  <sheetFormatPr defaultRowHeight="14.4" x14ac:dyDescent="0.3"/>
  <sheetData>
    <row r="1" spans="1:3" ht="25.5" customHeight="1" x14ac:dyDescent="0.3">
      <c r="A1" s="67" t="s">
        <v>121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 t="s">
        <v>88</v>
      </c>
      <c r="C3" s="30">
        <v>88.3</v>
      </c>
    </row>
    <row r="4" spans="1:3" x14ac:dyDescent="0.3">
      <c r="A4" s="43">
        <v>2</v>
      </c>
      <c r="B4" s="13" t="s">
        <v>89</v>
      </c>
      <c r="C4" s="30">
        <v>62.3</v>
      </c>
    </row>
    <row r="5" spans="1:3" x14ac:dyDescent="0.3">
      <c r="A5" s="43">
        <v>3</v>
      </c>
      <c r="B5" s="13" t="s">
        <v>91</v>
      </c>
      <c r="C5" s="30">
        <v>61.9</v>
      </c>
    </row>
    <row r="6" spans="1:3" x14ac:dyDescent="0.3">
      <c r="A6" s="43">
        <v>4</v>
      </c>
      <c r="B6" s="13" t="s">
        <v>92</v>
      </c>
      <c r="C6" s="30">
        <v>62.2</v>
      </c>
    </row>
    <row r="7" spans="1:3" x14ac:dyDescent="0.3">
      <c r="A7" s="43">
        <v>5</v>
      </c>
      <c r="B7" s="13" t="s">
        <v>93</v>
      </c>
      <c r="C7" s="30">
        <v>64.099999999999994</v>
      </c>
    </row>
    <row r="8" spans="1:3" x14ac:dyDescent="0.3">
      <c r="A8" s="43">
        <v>6</v>
      </c>
      <c r="B8" s="13" t="s">
        <v>94</v>
      </c>
      <c r="C8" s="30">
        <v>9.1999999999999993</v>
      </c>
    </row>
    <row r="9" spans="1:3" x14ac:dyDescent="0.3">
      <c r="A9" s="43">
        <v>7</v>
      </c>
      <c r="B9" s="13" t="s">
        <v>95</v>
      </c>
      <c r="C9" s="30">
        <v>16.100000000000001</v>
      </c>
    </row>
    <row r="10" spans="1:3" x14ac:dyDescent="0.3">
      <c r="A10" s="43">
        <v>8</v>
      </c>
      <c r="B10" s="13" t="s">
        <v>96</v>
      </c>
      <c r="C10" s="30">
        <v>62.199999999999996</v>
      </c>
    </row>
    <row r="11" spans="1:3" x14ac:dyDescent="0.3">
      <c r="A11" s="43">
        <v>9</v>
      </c>
      <c r="B11" s="13" t="s">
        <v>107</v>
      </c>
      <c r="C11" s="55">
        <v>14.5</v>
      </c>
    </row>
    <row r="12" spans="1:3" x14ac:dyDescent="0.3">
      <c r="A12" s="43">
        <v>10</v>
      </c>
      <c r="B12" s="13" t="s">
        <v>108</v>
      </c>
      <c r="C12" s="55">
        <v>8.6</v>
      </c>
    </row>
    <row r="13" spans="1:3" x14ac:dyDescent="0.3">
      <c r="A13" s="43">
        <v>11</v>
      </c>
      <c r="B13" s="13" t="s">
        <v>115</v>
      </c>
      <c r="C13" s="55">
        <v>13.9</v>
      </c>
    </row>
    <row r="14" spans="1:3" ht="15" thickBot="1" x14ac:dyDescent="0.35">
      <c r="A14" s="43">
        <v>12</v>
      </c>
      <c r="B14" s="13" t="s">
        <v>117</v>
      </c>
      <c r="C14" s="55">
        <v>99.9</v>
      </c>
    </row>
    <row r="15" spans="1:3" ht="15" thickBot="1" x14ac:dyDescent="0.35">
      <c r="A15" s="38"/>
      <c r="B15" s="39" t="s">
        <v>19</v>
      </c>
      <c r="C15" s="40">
        <f>SUM(C3:C14)</f>
        <v>563.19999999999993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3"/>
  <sheetViews>
    <sheetView workbookViewId="0">
      <selection activeCell="C13" sqref="C13"/>
    </sheetView>
  </sheetViews>
  <sheetFormatPr defaultRowHeight="14.4" x14ac:dyDescent="0.3"/>
  <sheetData>
    <row r="1" spans="1:3" ht="25.5" customHeight="1" x14ac:dyDescent="0.3">
      <c r="A1" s="67" t="s">
        <v>122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 t="s">
        <v>80</v>
      </c>
      <c r="C3" s="30">
        <v>319.5</v>
      </c>
    </row>
    <row r="4" spans="1:3" x14ac:dyDescent="0.3">
      <c r="A4" s="43">
        <v>2</v>
      </c>
      <c r="B4" s="13" t="s">
        <v>81</v>
      </c>
      <c r="C4" s="7">
        <v>9.98</v>
      </c>
    </row>
    <row r="5" spans="1:3" x14ac:dyDescent="0.3">
      <c r="A5" s="43">
        <v>3</v>
      </c>
      <c r="B5" s="13" t="s">
        <v>82</v>
      </c>
      <c r="C5" s="30">
        <v>24.7</v>
      </c>
    </row>
    <row r="6" spans="1:3" x14ac:dyDescent="0.3">
      <c r="A6" s="43">
        <v>4</v>
      </c>
      <c r="B6" s="13" t="s">
        <v>83</v>
      </c>
      <c r="C6" s="30">
        <v>73.800000000000011</v>
      </c>
    </row>
    <row r="7" spans="1:3" x14ac:dyDescent="0.3">
      <c r="A7" s="43">
        <v>5</v>
      </c>
      <c r="B7" s="13" t="s">
        <v>84</v>
      </c>
      <c r="C7" s="30">
        <v>187.2</v>
      </c>
    </row>
    <row r="8" spans="1:3" x14ac:dyDescent="0.3">
      <c r="A8" s="43">
        <v>6</v>
      </c>
      <c r="B8" s="13" t="s">
        <v>85</v>
      </c>
      <c r="C8" s="30">
        <v>10.3</v>
      </c>
    </row>
    <row r="9" spans="1:3" x14ac:dyDescent="0.3">
      <c r="A9" s="43">
        <v>7</v>
      </c>
      <c r="B9" s="13" t="s">
        <v>86</v>
      </c>
      <c r="C9" s="30">
        <v>8.1</v>
      </c>
    </row>
    <row r="10" spans="1:3" x14ac:dyDescent="0.3">
      <c r="A10" s="43">
        <v>8</v>
      </c>
      <c r="B10" s="13" t="s">
        <v>87</v>
      </c>
      <c r="C10" s="30">
        <v>7.5</v>
      </c>
    </row>
    <row r="11" spans="1:3" x14ac:dyDescent="0.3">
      <c r="A11" s="43">
        <v>9</v>
      </c>
      <c r="B11" s="13" t="s">
        <v>100</v>
      </c>
      <c r="C11" s="56">
        <v>93.2</v>
      </c>
    </row>
    <row r="12" spans="1:3" ht="15" thickBot="1" x14ac:dyDescent="0.35">
      <c r="A12" s="43">
        <v>10</v>
      </c>
      <c r="B12" s="13" t="s">
        <v>114</v>
      </c>
      <c r="C12" s="55">
        <v>71.599999999999994</v>
      </c>
    </row>
    <row r="13" spans="1:3" ht="15" thickBot="1" x14ac:dyDescent="0.35">
      <c r="A13" s="38"/>
      <c r="B13" s="39" t="s">
        <v>19</v>
      </c>
      <c r="C13" s="40">
        <f>SUM(C3:C12)</f>
        <v>805.88000000000011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4"/>
  <sheetViews>
    <sheetView workbookViewId="0">
      <selection activeCell="C14" sqref="C14"/>
    </sheetView>
  </sheetViews>
  <sheetFormatPr defaultRowHeight="14.4" x14ac:dyDescent="0.3"/>
  <sheetData>
    <row r="1" spans="1:3" ht="25.5" customHeight="1" x14ac:dyDescent="0.3">
      <c r="A1" s="67" t="s">
        <v>123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 t="s">
        <v>71</v>
      </c>
      <c r="C3" s="30">
        <v>101.39999999999999</v>
      </c>
    </row>
    <row r="4" spans="1:3" x14ac:dyDescent="0.3">
      <c r="A4" s="43">
        <v>2</v>
      </c>
      <c r="B4" s="13" t="s">
        <v>72</v>
      </c>
      <c r="C4" s="30">
        <v>88.5</v>
      </c>
    </row>
    <row r="5" spans="1:3" x14ac:dyDescent="0.3">
      <c r="A5" s="43">
        <v>3</v>
      </c>
      <c r="B5" s="13" t="s">
        <v>73</v>
      </c>
      <c r="C5" s="30">
        <v>235.6</v>
      </c>
    </row>
    <row r="6" spans="1:3" x14ac:dyDescent="0.3">
      <c r="A6" s="43">
        <v>4</v>
      </c>
      <c r="B6" s="13" t="s">
        <v>74</v>
      </c>
      <c r="C6" s="30">
        <v>62.5</v>
      </c>
    </row>
    <row r="7" spans="1:3" x14ac:dyDescent="0.3">
      <c r="A7" s="43">
        <v>5</v>
      </c>
      <c r="B7" s="13" t="s">
        <v>75</v>
      </c>
      <c r="C7" s="30">
        <v>62.300000000000004</v>
      </c>
    </row>
    <row r="8" spans="1:3" x14ac:dyDescent="0.3">
      <c r="A8" s="43">
        <v>6</v>
      </c>
      <c r="B8" s="13" t="s">
        <v>76</v>
      </c>
      <c r="C8" s="30">
        <v>19.3</v>
      </c>
    </row>
    <row r="9" spans="1:3" x14ac:dyDescent="0.3">
      <c r="A9" s="43">
        <v>7</v>
      </c>
      <c r="B9" s="13" t="s">
        <v>77</v>
      </c>
      <c r="C9" s="30">
        <v>18.220000000000002</v>
      </c>
    </row>
    <row r="10" spans="1:3" x14ac:dyDescent="0.3">
      <c r="A10" s="43">
        <v>8</v>
      </c>
      <c r="B10" s="13" t="s">
        <v>78</v>
      </c>
      <c r="C10" s="30">
        <v>10.3</v>
      </c>
    </row>
    <row r="11" spans="1:3" x14ac:dyDescent="0.3">
      <c r="A11" s="43">
        <v>9</v>
      </c>
      <c r="B11" s="13" t="s">
        <v>79</v>
      </c>
      <c r="C11" s="30">
        <v>5.5</v>
      </c>
    </row>
    <row r="12" spans="1:3" x14ac:dyDescent="0.3">
      <c r="A12" s="43">
        <v>10</v>
      </c>
      <c r="B12" s="13" t="s">
        <v>90</v>
      </c>
      <c r="C12" s="30">
        <v>4.4000000000000004</v>
      </c>
    </row>
    <row r="13" spans="1:3" ht="15" thickBot="1" x14ac:dyDescent="0.35">
      <c r="A13" s="43">
        <v>11</v>
      </c>
      <c r="B13" s="13" t="s">
        <v>118</v>
      </c>
      <c r="C13" s="55">
        <v>15.5</v>
      </c>
    </row>
    <row r="14" spans="1:3" ht="15" thickBot="1" x14ac:dyDescent="0.35">
      <c r="A14" s="38"/>
      <c r="B14" s="39" t="s">
        <v>19</v>
      </c>
      <c r="C14" s="57">
        <f>SUM(C3:C13)</f>
        <v>623.51999999999987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1"/>
  <sheetViews>
    <sheetView workbookViewId="0">
      <selection activeCell="C11" sqref="A1:C11"/>
    </sheetView>
  </sheetViews>
  <sheetFormatPr defaultRowHeight="14.4" x14ac:dyDescent="0.3"/>
  <sheetData>
    <row r="1" spans="1:3" ht="25.5" customHeight="1" x14ac:dyDescent="0.3">
      <c r="A1" s="67" t="s">
        <v>124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 t="s">
        <v>62</v>
      </c>
      <c r="C3" s="41">
        <v>80</v>
      </c>
    </row>
    <row r="4" spans="1:3" x14ac:dyDescent="0.3">
      <c r="A4" s="43">
        <v>2</v>
      </c>
      <c r="B4" s="13" t="s">
        <v>63</v>
      </c>
      <c r="C4" s="30">
        <v>62.599999999999994</v>
      </c>
    </row>
    <row r="5" spans="1:3" x14ac:dyDescent="0.3">
      <c r="A5" s="43">
        <v>3</v>
      </c>
      <c r="B5" s="13" t="s">
        <v>64</v>
      </c>
      <c r="C5" s="30">
        <v>83.3</v>
      </c>
    </row>
    <row r="6" spans="1:3" x14ac:dyDescent="0.3">
      <c r="A6" s="43">
        <v>4</v>
      </c>
      <c r="B6" s="13" t="s">
        <v>65</v>
      </c>
      <c r="C6" s="30">
        <v>244.20000000000002</v>
      </c>
    </row>
    <row r="7" spans="1:3" x14ac:dyDescent="0.3">
      <c r="A7" s="43">
        <v>5</v>
      </c>
      <c r="B7" s="13" t="s">
        <v>67</v>
      </c>
      <c r="C7" s="30">
        <v>13</v>
      </c>
    </row>
    <row r="8" spans="1:3" x14ac:dyDescent="0.3">
      <c r="A8" s="43">
        <v>6</v>
      </c>
      <c r="B8" s="13" t="s">
        <v>68</v>
      </c>
      <c r="C8" s="30">
        <v>9.1</v>
      </c>
    </row>
    <row r="9" spans="1:3" x14ac:dyDescent="0.3">
      <c r="A9" s="43">
        <v>7</v>
      </c>
      <c r="B9" s="13" t="s">
        <v>69</v>
      </c>
      <c r="C9" s="30">
        <v>4.7</v>
      </c>
    </row>
    <row r="10" spans="1:3" ht="15" thickBot="1" x14ac:dyDescent="0.35">
      <c r="A10" s="43">
        <v>8</v>
      </c>
      <c r="B10" s="13" t="s">
        <v>70</v>
      </c>
      <c r="C10" s="30">
        <v>23.4</v>
      </c>
    </row>
    <row r="11" spans="1:3" ht="15" thickBot="1" x14ac:dyDescent="0.35">
      <c r="A11" s="38"/>
      <c r="B11" s="39" t="s">
        <v>19</v>
      </c>
      <c r="C11" s="59">
        <f>SUM(C3:C10)</f>
        <v>520.30000000000007</v>
      </c>
    </row>
    <row r="21" spans="11:11" x14ac:dyDescent="0.3">
      <c r="K21" t="s">
        <v>125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115"/>
  <sheetViews>
    <sheetView topLeftCell="A46" zoomScale="115" zoomScaleNormal="115" workbookViewId="0">
      <selection activeCell="B106" sqref="B106:C115"/>
    </sheetView>
  </sheetViews>
  <sheetFormatPr defaultRowHeight="14.4" x14ac:dyDescent="0.3"/>
  <sheetData>
    <row r="1" spans="1:4" x14ac:dyDescent="0.3">
      <c r="A1" s="10" t="s">
        <v>0</v>
      </c>
      <c r="B1" s="11" t="s">
        <v>10</v>
      </c>
      <c r="C1" s="14" t="s">
        <v>50</v>
      </c>
    </row>
    <row r="2" spans="1:4" x14ac:dyDescent="0.3">
      <c r="A2" s="43">
        <v>1</v>
      </c>
      <c r="B2" s="13" t="s">
        <v>62</v>
      </c>
      <c r="C2" s="7">
        <v>80.3</v>
      </c>
      <c r="D2" s="47">
        <f ca="1">C2-RANDBETWEEN(0, 10)/10</f>
        <v>79.7</v>
      </c>
    </row>
    <row r="3" spans="1:4" x14ac:dyDescent="0.3">
      <c r="A3" s="43"/>
      <c r="B3" s="13" t="s">
        <v>63</v>
      </c>
      <c r="C3" s="7">
        <v>63.3</v>
      </c>
      <c r="D3" s="47">
        <f t="shared" ref="D3:D66" ca="1" si="0">C3-RANDBETWEEN(0, 10)/10</f>
        <v>62.4</v>
      </c>
    </row>
    <row r="4" spans="1:4" x14ac:dyDescent="0.3">
      <c r="A4" s="43"/>
      <c r="B4" s="13" t="s">
        <v>64</v>
      </c>
      <c r="C4" s="7">
        <v>84.7</v>
      </c>
      <c r="D4" s="47">
        <f t="shared" ca="1" si="0"/>
        <v>84.7</v>
      </c>
    </row>
    <row r="5" spans="1:4" x14ac:dyDescent="0.3">
      <c r="A5" s="43"/>
      <c r="B5" s="13" t="s">
        <v>65</v>
      </c>
      <c r="C5" s="7">
        <v>244.9</v>
      </c>
      <c r="D5" s="47">
        <f t="shared" ca="1" si="0"/>
        <v>244.8</v>
      </c>
    </row>
    <row r="6" spans="1:4" x14ac:dyDescent="0.3">
      <c r="A6" s="43"/>
      <c r="B6" s="13" t="s">
        <v>66</v>
      </c>
      <c r="C6" s="7">
        <v>18.399999999999999</v>
      </c>
      <c r="D6" s="47">
        <f t="shared" ca="1" si="0"/>
        <v>17.7</v>
      </c>
    </row>
    <row r="7" spans="1:4" x14ac:dyDescent="0.3">
      <c r="A7" s="43"/>
      <c r="B7" s="48" t="s">
        <v>67</v>
      </c>
      <c r="C7" s="49">
        <v>10</v>
      </c>
      <c r="D7" s="47">
        <f t="shared" ca="1" si="0"/>
        <v>9.9</v>
      </c>
    </row>
    <row r="8" spans="1:4" x14ac:dyDescent="0.3">
      <c r="A8" s="43"/>
      <c r="B8" s="13" t="s">
        <v>68</v>
      </c>
      <c r="C8" s="7">
        <v>9.1</v>
      </c>
      <c r="D8" s="47">
        <f t="shared" ca="1" si="0"/>
        <v>8.6</v>
      </c>
    </row>
    <row r="9" spans="1:4" x14ac:dyDescent="0.3">
      <c r="A9" s="43"/>
      <c r="B9" s="13" t="s">
        <v>69</v>
      </c>
      <c r="C9" s="7">
        <v>4.7</v>
      </c>
      <c r="D9" s="47">
        <f t="shared" ca="1" si="0"/>
        <v>3.7</v>
      </c>
    </row>
    <row r="10" spans="1:4" x14ac:dyDescent="0.3">
      <c r="A10" s="43"/>
      <c r="B10" s="13" t="s">
        <v>70</v>
      </c>
      <c r="C10" s="7">
        <v>23.5</v>
      </c>
      <c r="D10" s="47">
        <f t="shared" ca="1" si="0"/>
        <v>22.6</v>
      </c>
    </row>
    <row r="11" spans="1:4" x14ac:dyDescent="0.3">
      <c r="A11" s="43"/>
      <c r="B11" s="13" t="s">
        <v>71</v>
      </c>
      <c r="C11" s="7">
        <v>103.1</v>
      </c>
      <c r="D11" s="47">
        <f t="shared" ca="1" si="0"/>
        <v>102.8</v>
      </c>
    </row>
    <row r="12" spans="1:4" x14ac:dyDescent="0.3">
      <c r="A12" s="43"/>
      <c r="B12" s="13" t="s">
        <v>72</v>
      </c>
      <c r="C12" s="7">
        <v>89.8</v>
      </c>
      <c r="D12" s="47">
        <f t="shared" ca="1" si="0"/>
        <v>89.399999999999991</v>
      </c>
    </row>
    <row r="13" spans="1:4" x14ac:dyDescent="0.3">
      <c r="A13" s="43"/>
      <c r="B13" s="13" t="s">
        <v>73</v>
      </c>
      <c r="C13" s="7">
        <v>235.7</v>
      </c>
      <c r="D13" s="47">
        <f t="shared" ca="1" si="0"/>
        <v>234.7</v>
      </c>
    </row>
    <row r="14" spans="1:4" x14ac:dyDescent="0.3">
      <c r="A14" s="43"/>
      <c r="B14" s="13" t="s">
        <v>74</v>
      </c>
      <c r="C14" s="7">
        <v>63</v>
      </c>
      <c r="D14" s="47">
        <f t="shared" ca="1" si="0"/>
        <v>62.2</v>
      </c>
    </row>
    <row r="15" spans="1:4" x14ac:dyDescent="0.3">
      <c r="A15" s="43"/>
      <c r="B15" s="13" t="s">
        <v>75</v>
      </c>
      <c r="C15" s="7">
        <v>63.6</v>
      </c>
      <c r="D15" s="47">
        <f t="shared" ca="1" si="0"/>
        <v>62.6</v>
      </c>
    </row>
    <row r="16" spans="1:4" x14ac:dyDescent="0.3">
      <c r="A16" s="43"/>
      <c r="B16" s="13" t="s">
        <v>76</v>
      </c>
      <c r="C16" s="7">
        <v>19.600000000000001</v>
      </c>
      <c r="D16" s="47">
        <f t="shared" ca="1" si="0"/>
        <v>18.900000000000002</v>
      </c>
    </row>
    <row r="17" spans="1:4" x14ac:dyDescent="0.3">
      <c r="A17" s="43"/>
      <c r="B17" s="48" t="s">
        <v>77</v>
      </c>
      <c r="C17" s="49">
        <v>10</v>
      </c>
      <c r="D17" s="47">
        <f t="shared" ca="1" si="0"/>
        <v>9</v>
      </c>
    </row>
    <row r="18" spans="1:4" x14ac:dyDescent="0.3">
      <c r="A18" s="43"/>
      <c r="B18" s="13" t="s">
        <v>78</v>
      </c>
      <c r="C18" s="7">
        <v>10.3</v>
      </c>
      <c r="D18" s="47">
        <f t="shared" ca="1" si="0"/>
        <v>9.7000000000000011</v>
      </c>
    </row>
    <row r="19" spans="1:4" x14ac:dyDescent="0.3">
      <c r="A19" s="43"/>
      <c r="B19" s="13" t="s">
        <v>79</v>
      </c>
      <c r="C19" s="7">
        <v>5.5</v>
      </c>
      <c r="D19" s="47">
        <f t="shared" ca="1" si="0"/>
        <v>5.0999999999999996</v>
      </c>
    </row>
    <row r="20" spans="1:4" x14ac:dyDescent="0.3">
      <c r="A20" s="43"/>
      <c r="B20" s="13" t="s">
        <v>80</v>
      </c>
      <c r="C20" s="7">
        <v>320.39999999999998</v>
      </c>
      <c r="D20" s="47">
        <f t="shared" ca="1" si="0"/>
        <v>319.39999999999998</v>
      </c>
    </row>
    <row r="21" spans="1:4" x14ac:dyDescent="0.3">
      <c r="A21" s="43"/>
      <c r="B21" s="13" t="s">
        <v>81</v>
      </c>
      <c r="C21" s="7">
        <v>28.5</v>
      </c>
      <c r="D21" s="47">
        <f t="shared" ca="1" si="0"/>
        <v>27.7</v>
      </c>
    </row>
    <row r="22" spans="1:4" x14ac:dyDescent="0.3">
      <c r="A22" s="43"/>
      <c r="B22" s="13" t="s">
        <v>82</v>
      </c>
      <c r="C22" s="7">
        <v>24.7</v>
      </c>
      <c r="D22" s="47">
        <f t="shared" ca="1" si="0"/>
        <v>24.099999999999998</v>
      </c>
    </row>
    <row r="23" spans="1:4" x14ac:dyDescent="0.3">
      <c r="A23" s="43"/>
      <c r="B23" s="13" t="s">
        <v>83</v>
      </c>
      <c r="C23" s="7">
        <v>75.400000000000006</v>
      </c>
      <c r="D23" s="47">
        <f t="shared" ca="1" si="0"/>
        <v>74.5</v>
      </c>
    </row>
    <row r="24" spans="1:4" x14ac:dyDescent="0.3">
      <c r="A24" s="43"/>
      <c r="B24" s="13" t="s">
        <v>84</v>
      </c>
      <c r="C24" s="7">
        <v>188.6</v>
      </c>
      <c r="D24" s="47">
        <f t="shared" ca="1" si="0"/>
        <v>188.29999999999998</v>
      </c>
    </row>
    <row r="25" spans="1:4" x14ac:dyDescent="0.3">
      <c r="A25" s="43"/>
      <c r="B25" s="48" t="s">
        <v>85</v>
      </c>
      <c r="C25" s="49">
        <v>10</v>
      </c>
      <c r="D25" s="47">
        <f t="shared" ca="1" si="0"/>
        <v>9.1999999999999993</v>
      </c>
    </row>
    <row r="26" spans="1:4" x14ac:dyDescent="0.3">
      <c r="A26" s="43"/>
      <c r="B26" s="13" t="s">
        <v>86</v>
      </c>
      <c r="C26" s="7">
        <v>8.1</v>
      </c>
      <c r="D26" s="47">
        <f t="shared" ca="1" si="0"/>
        <v>7.5</v>
      </c>
    </row>
    <row r="27" spans="1:4" x14ac:dyDescent="0.3">
      <c r="A27" s="43"/>
      <c r="B27" s="13" t="s">
        <v>87</v>
      </c>
      <c r="C27" s="7">
        <v>7.5</v>
      </c>
      <c r="D27" s="47">
        <f t="shared" ca="1" si="0"/>
        <v>7.3</v>
      </c>
    </row>
    <row r="28" spans="1:4" x14ac:dyDescent="0.3">
      <c r="A28" s="43"/>
      <c r="B28" s="13" t="s">
        <v>88</v>
      </c>
      <c r="C28" s="7">
        <v>90.2</v>
      </c>
      <c r="D28" s="47">
        <f t="shared" ca="1" si="0"/>
        <v>89.3</v>
      </c>
    </row>
    <row r="29" spans="1:4" x14ac:dyDescent="0.3">
      <c r="A29" s="43"/>
      <c r="B29" s="13" t="s">
        <v>89</v>
      </c>
      <c r="C29" s="7">
        <v>63.5</v>
      </c>
      <c r="D29" s="47">
        <f t="shared" ca="1" si="0"/>
        <v>62.7</v>
      </c>
    </row>
    <row r="30" spans="1:4" x14ac:dyDescent="0.3">
      <c r="A30" s="43"/>
      <c r="B30" s="13" t="s">
        <v>90</v>
      </c>
      <c r="C30" s="7">
        <v>4.4000000000000004</v>
      </c>
      <c r="D30" s="47">
        <f t="shared" ca="1" si="0"/>
        <v>3.5000000000000004</v>
      </c>
    </row>
    <row r="31" spans="1:4" x14ac:dyDescent="0.3">
      <c r="A31" s="43"/>
      <c r="B31" s="13" t="s">
        <v>91</v>
      </c>
      <c r="C31" s="7">
        <v>63.9</v>
      </c>
      <c r="D31" s="47">
        <f t="shared" ca="1" si="0"/>
        <v>63.4</v>
      </c>
    </row>
    <row r="32" spans="1:4" x14ac:dyDescent="0.3">
      <c r="A32" s="43"/>
      <c r="B32" s="13" t="s">
        <v>92</v>
      </c>
      <c r="C32" s="7">
        <v>64.2</v>
      </c>
      <c r="D32" s="47">
        <f t="shared" ca="1" si="0"/>
        <v>63.900000000000006</v>
      </c>
    </row>
    <row r="33" spans="1:4" x14ac:dyDescent="0.3">
      <c r="A33" s="43"/>
      <c r="B33" s="13" t="s">
        <v>93</v>
      </c>
      <c r="C33" s="7">
        <v>64.099999999999994</v>
      </c>
      <c r="D33" s="47">
        <f t="shared" ca="1" si="0"/>
        <v>63.499999999999993</v>
      </c>
    </row>
    <row r="34" spans="1:4" x14ac:dyDescent="0.3">
      <c r="A34" s="43"/>
      <c r="B34" s="13" t="s">
        <v>94</v>
      </c>
      <c r="C34" s="7">
        <v>9.1999999999999993</v>
      </c>
      <c r="D34" s="47">
        <f t="shared" ca="1" si="0"/>
        <v>9.1999999999999993</v>
      </c>
    </row>
    <row r="35" spans="1:4" x14ac:dyDescent="0.3">
      <c r="A35" s="43"/>
      <c r="B35" s="48" t="s">
        <v>95</v>
      </c>
      <c r="C35" s="49">
        <v>10</v>
      </c>
      <c r="D35" s="47">
        <f t="shared" ca="1" si="0"/>
        <v>9.6</v>
      </c>
    </row>
    <row r="36" spans="1:4" x14ac:dyDescent="0.3">
      <c r="A36" s="43"/>
      <c r="B36" s="13" t="s">
        <v>96</v>
      </c>
      <c r="C36" s="7">
        <v>63.3</v>
      </c>
      <c r="D36" s="47">
        <f t="shared" ca="1" si="0"/>
        <v>62.9</v>
      </c>
    </row>
    <row r="37" spans="1:4" x14ac:dyDescent="0.3">
      <c r="A37" s="43"/>
      <c r="B37" s="13" t="s">
        <v>97</v>
      </c>
      <c r="C37" s="7">
        <v>62.6</v>
      </c>
      <c r="D37" s="47">
        <f t="shared" ca="1" si="0"/>
        <v>61.7</v>
      </c>
    </row>
    <row r="38" spans="1:4" x14ac:dyDescent="0.3">
      <c r="A38" s="43"/>
      <c r="B38" s="13" t="s">
        <v>98</v>
      </c>
      <c r="C38" s="7">
        <v>116.4</v>
      </c>
      <c r="D38" s="47">
        <f t="shared" ca="1" si="0"/>
        <v>116.10000000000001</v>
      </c>
    </row>
    <row r="39" spans="1:4" x14ac:dyDescent="0.3">
      <c r="A39" s="43"/>
      <c r="B39" s="13" t="s">
        <v>32</v>
      </c>
      <c r="C39" s="7">
        <v>197.4</v>
      </c>
      <c r="D39" s="47">
        <f t="shared" ca="1" si="0"/>
        <v>197.4</v>
      </c>
    </row>
    <row r="40" spans="1:4" x14ac:dyDescent="0.3">
      <c r="A40" s="43"/>
      <c r="B40" s="13" t="s">
        <v>33</v>
      </c>
      <c r="C40" s="7">
        <v>20.399999999999999</v>
      </c>
      <c r="D40" s="47">
        <f t="shared" ca="1" si="0"/>
        <v>19.899999999999999</v>
      </c>
    </row>
    <row r="41" spans="1:4" x14ac:dyDescent="0.3">
      <c r="A41" s="43"/>
      <c r="B41" s="13" t="s">
        <v>34</v>
      </c>
      <c r="C41" s="7">
        <v>120.7</v>
      </c>
      <c r="D41" s="47">
        <f t="shared" ca="1" si="0"/>
        <v>119.8</v>
      </c>
    </row>
    <row r="42" spans="1:4" x14ac:dyDescent="0.3">
      <c r="A42" s="43"/>
      <c r="B42" s="13" t="s">
        <v>35</v>
      </c>
      <c r="C42" s="7">
        <v>165.8</v>
      </c>
      <c r="D42" s="47">
        <f t="shared" ca="1" si="0"/>
        <v>164.8</v>
      </c>
    </row>
    <row r="43" spans="1:4" x14ac:dyDescent="0.3">
      <c r="A43" s="43"/>
      <c r="B43" s="13" t="s">
        <v>36</v>
      </c>
      <c r="C43" s="7">
        <v>22.2</v>
      </c>
      <c r="D43" s="47">
        <f t="shared" ca="1" si="0"/>
        <v>22</v>
      </c>
    </row>
    <row r="44" spans="1:4" x14ac:dyDescent="0.3">
      <c r="A44" s="43"/>
      <c r="B44" s="13" t="s">
        <v>37</v>
      </c>
      <c r="C44" s="7">
        <v>22.1</v>
      </c>
      <c r="D44" s="47">
        <f t="shared" ca="1" si="0"/>
        <v>22</v>
      </c>
    </row>
    <row r="45" spans="1:4" x14ac:dyDescent="0.3">
      <c r="A45" s="43"/>
      <c r="B45" s="13" t="s">
        <v>38</v>
      </c>
      <c r="C45" s="7">
        <v>4.4000000000000004</v>
      </c>
      <c r="D45" s="47">
        <f t="shared" ca="1" si="0"/>
        <v>3.9000000000000004</v>
      </c>
    </row>
    <row r="46" spans="1:4" x14ac:dyDescent="0.3">
      <c r="A46" s="43"/>
      <c r="B46" s="13" t="s">
        <v>39</v>
      </c>
      <c r="C46" s="7">
        <v>5.6</v>
      </c>
      <c r="D46" s="47">
        <f t="shared" ca="1" si="0"/>
        <v>5.0999999999999996</v>
      </c>
    </row>
    <row r="47" spans="1:4" x14ac:dyDescent="0.3">
      <c r="A47" s="43"/>
      <c r="B47" s="13" t="s">
        <v>40</v>
      </c>
      <c r="C47" s="7">
        <v>9.1</v>
      </c>
      <c r="D47" s="47">
        <f t="shared" ca="1" si="0"/>
        <v>8.7999999999999989</v>
      </c>
    </row>
    <row r="48" spans="1:4" x14ac:dyDescent="0.3">
      <c r="A48" s="43"/>
      <c r="B48" s="48" t="s">
        <v>99</v>
      </c>
      <c r="C48" s="50">
        <v>10</v>
      </c>
      <c r="D48" s="47">
        <f t="shared" ca="1" si="0"/>
        <v>9.4</v>
      </c>
    </row>
    <row r="49" spans="1:4" x14ac:dyDescent="0.3">
      <c r="A49" s="43"/>
      <c r="B49" s="13" t="s">
        <v>100</v>
      </c>
      <c r="C49" s="37">
        <v>94</v>
      </c>
      <c r="D49" s="47">
        <f t="shared" ca="1" si="0"/>
        <v>93.4</v>
      </c>
    </row>
    <row r="50" spans="1:4" x14ac:dyDescent="0.3">
      <c r="A50" s="43"/>
      <c r="B50" s="13" t="s">
        <v>101</v>
      </c>
      <c r="C50" s="37">
        <v>40.799999999999997</v>
      </c>
      <c r="D50" s="47">
        <f t="shared" ca="1" si="0"/>
        <v>40.4</v>
      </c>
    </row>
    <row r="51" spans="1:4" x14ac:dyDescent="0.3">
      <c r="A51" s="43"/>
      <c r="B51" s="13" t="s">
        <v>102</v>
      </c>
      <c r="C51" s="5">
        <v>156.4</v>
      </c>
      <c r="D51" s="47">
        <f t="shared" ca="1" si="0"/>
        <v>155.6</v>
      </c>
    </row>
    <row r="52" spans="1:4" x14ac:dyDescent="0.3">
      <c r="A52" s="43"/>
      <c r="B52" s="13" t="s">
        <v>103</v>
      </c>
      <c r="C52" s="5">
        <v>198.1</v>
      </c>
      <c r="D52" s="47">
        <f t="shared" ca="1" si="0"/>
        <v>197.4</v>
      </c>
    </row>
    <row r="53" spans="1:4" x14ac:dyDescent="0.3">
      <c r="A53" s="43"/>
      <c r="B53" s="48" t="s">
        <v>104</v>
      </c>
      <c r="C53" s="51">
        <v>10</v>
      </c>
      <c r="D53" s="47">
        <f t="shared" ca="1" si="0"/>
        <v>9.9</v>
      </c>
    </row>
    <row r="54" spans="1:4" x14ac:dyDescent="0.3">
      <c r="A54" s="43"/>
      <c r="B54" s="13" t="s">
        <v>105</v>
      </c>
      <c r="C54" s="5">
        <v>200.9</v>
      </c>
      <c r="D54" s="47">
        <f t="shared" ca="1" si="0"/>
        <v>200.1</v>
      </c>
    </row>
    <row r="55" spans="1:4" x14ac:dyDescent="0.3">
      <c r="A55" s="43"/>
      <c r="B55" s="13" t="s">
        <v>106</v>
      </c>
      <c r="C55" s="5">
        <v>90</v>
      </c>
      <c r="D55" s="47">
        <f t="shared" ca="1" si="0"/>
        <v>89.4</v>
      </c>
    </row>
    <row r="56" spans="1:4" x14ac:dyDescent="0.3">
      <c r="A56" s="43"/>
      <c r="B56" s="13" t="s">
        <v>107</v>
      </c>
      <c r="C56" s="5">
        <v>14.5</v>
      </c>
      <c r="D56" s="47">
        <f t="shared" ca="1" si="0"/>
        <v>14.4</v>
      </c>
    </row>
    <row r="57" spans="1:4" x14ac:dyDescent="0.3">
      <c r="A57" s="43"/>
      <c r="B57" s="13" t="s">
        <v>108</v>
      </c>
      <c r="C57" s="5">
        <v>8.6</v>
      </c>
      <c r="D57" s="47">
        <f t="shared" ca="1" si="0"/>
        <v>8.6</v>
      </c>
    </row>
    <row r="58" spans="1:4" x14ac:dyDescent="0.3">
      <c r="A58" s="43"/>
      <c r="B58" s="13" t="s">
        <v>109</v>
      </c>
      <c r="C58" s="5">
        <v>76.5</v>
      </c>
      <c r="D58" s="47">
        <f t="shared" ca="1" si="0"/>
        <v>76</v>
      </c>
    </row>
    <row r="59" spans="1:4" x14ac:dyDescent="0.3">
      <c r="A59" s="43"/>
      <c r="B59" s="13" t="s">
        <v>110</v>
      </c>
      <c r="C59" s="5">
        <v>39</v>
      </c>
      <c r="D59" s="47">
        <f t="shared" ca="1" si="0"/>
        <v>38</v>
      </c>
    </row>
    <row r="60" spans="1:4" x14ac:dyDescent="0.3">
      <c r="A60" s="43"/>
      <c r="B60" s="13" t="s">
        <v>111</v>
      </c>
      <c r="C60" s="5">
        <v>7.6</v>
      </c>
      <c r="D60" s="47">
        <f t="shared" ca="1" si="0"/>
        <v>7.5</v>
      </c>
    </row>
    <row r="61" spans="1:4" x14ac:dyDescent="0.3">
      <c r="A61" s="43"/>
      <c r="B61" s="13" t="s">
        <v>112</v>
      </c>
      <c r="C61" s="5">
        <v>12.8</v>
      </c>
      <c r="D61" s="47">
        <f t="shared" ca="1" si="0"/>
        <v>12</v>
      </c>
    </row>
    <row r="62" spans="1:4" x14ac:dyDescent="0.3">
      <c r="A62" s="43"/>
      <c r="B62" s="13" t="s">
        <v>113</v>
      </c>
      <c r="C62" s="5">
        <v>11.8</v>
      </c>
      <c r="D62" s="47">
        <f t="shared" ca="1" si="0"/>
        <v>11</v>
      </c>
    </row>
    <row r="63" spans="1:4" x14ac:dyDescent="0.3">
      <c r="A63" s="43"/>
      <c r="B63" s="13" t="s">
        <v>114</v>
      </c>
      <c r="C63" s="5">
        <v>72.8</v>
      </c>
      <c r="D63" s="47">
        <f t="shared" ca="1" si="0"/>
        <v>72.3</v>
      </c>
    </row>
    <row r="64" spans="1:4" x14ac:dyDescent="0.3">
      <c r="A64" s="43"/>
      <c r="B64" s="13" t="s">
        <v>115</v>
      </c>
      <c r="C64" s="5">
        <v>15.6</v>
      </c>
      <c r="D64" s="47">
        <f t="shared" ca="1" si="0"/>
        <v>15.6</v>
      </c>
    </row>
    <row r="65" spans="1:4" x14ac:dyDescent="0.3">
      <c r="A65" s="43"/>
      <c r="B65" s="13" t="s">
        <v>116</v>
      </c>
      <c r="C65" s="5">
        <v>3.2</v>
      </c>
      <c r="D65" s="47">
        <f t="shared" ca="1" si="0"/>
        <v>2.5</v>
      </c>
    </row>
    <row r="66" spans="1:4" x14ac:dyDescent="0.3">
      <c r="A66" s="43"/>
      <c r="B66" s="13" t="s">
        <v>117</v>
      </c>
      <c r="C66" s="5">
        <v>101.7</v>
      </c>
      <c r="D66" s="47">
        <f t="shared" ca="1" si="0"/>
        <v>101.7</v>
      </c>
    </row>
    <row r="67" spans="1:4" x14ac:dyDescent="0.3">
      <c r="A67" s="43"/>
      <c r="B67" s="13" t="s">
        <v>118</v>
      </c>
      <c r="C67" s="5">
        <v>15.5</v>
      </c>
      <c r="D67" s="47">
        <f t="shared" ref="D67" ca="1" si="1">C67-RANDBETWEEN(0, 10)/10</f>
        <v>14.9</v>
      </c>
    </row>
    <row r="68" spans="1:4" x14ac:dyDescent="0.3">
      <c r="A68" s="44"/>
      <c r="B68" s="45"/>
      <c r="C68" s="46"/>
    </row>
    <row r="69" spans="1:4" x14ac:dyDescent="0.3">
      <c r="A69" s="44"/>
      <c r="B69" s="45"/>
      <c r="C69" s="46"/>
    </row>
    <row r="70" spans="1:4" x14ac:dyDescent="0.3">
      <c r="A70" s="44"/>
      <c r="B70" s="45"/>
      <c r="C70" s="46"/>
    </row>
    <row r="71" spans="1:4" x14ac:dyDescent="0.3">
      <c r="A71" s="44"/>
      <c r="B71" s="45"/>
      <c r="C71" s="46"/>
    </row>
    <row r="72" spans="1:4" x14ac:dyDescent="0.3">
      <c r="A72" s="44"/>
      <c r="B72" s="45"/>
      <c r="C72" s="46"/>
    </row>
    <row r="73" spans="1:4" x14ac:dyDescent="0.3">
      <c r="A73" s="44"/>
      <c r="B73" s="45"/>
      <c r="C73" s="46"/>
    </row>
    <row r="74" spans="1:4" x14ac:dyDescent="0.3">
      <c r="A74" s="44"/>
      <c r="B74" s="45"/>
      <c r="C74" s="46"/>
    </row>
    <row r="75" spans="1:4" x14ac:dyDescent="0.3">
      <c r="A75" s="44"/>
      <c r="B75" s="45"/>
      <c r="C75" s="46"/>
    </row>
    <row r="76" spans="1:4" x14ac:dyDescent="0.3">
      <c r="A76" s="44"/>
      <c r="B76" s="45"/>
      <c r="C76" s="46"/>
    </row>
    <row r="77" spans="1:4" x14ac:dyDescent="0.3">
      <c r="A77" s="44"/>
      <c r="B77" s="45"/>
      <c r="C77" s="46"/>
    </row>
    <row r="78" spans="1:4" x14ac:dyDescent="0.3">
      <c r="A78" s="44"/>
      <c r="B78" s="45"/>
      <c r="C78" s="46"/>
    </row>
    <row r="79" spans="1:4" x14ac:dyDescent="0.3">
      <c r="A79" s="44"/>
      <c r="B79" s="45"/>
      <c r="C79" s="46"/>
    </row>
    <row r="80" spans="1:4" x14ac:dyDescent="0.3">
      <c r="A80" s="44"/>
      <c r="B80" s="45"/>
      <c r="C80" s="46"/>
    </row>
    <row r="81" spans="1:3" x14ac:dyDescent="0.3">
      <c r="A81" s="44"/>
      <c r="B81" s="45"/>
      <c r="C81" s="46"/>
    </row>
    <row r="82" spans="1:3" x14ac:dyDescent="0.3">
      <c r="A82" s="44"/>
      <c r="B82" s="45"/>
      <c r="C82" s="46"/>
    </row>
    <row r="83" spans="1:3" x14ac:dyDescent="0.3">
      <c r="A83" s="44"/>
      <c r="B83" s="45"/>
      <c r="C83" s="46"/>
    </row>
    <row r="84" spans="1:3" x14ac:dyDescent="0.3">
      <c r="A84" s="44"/>
      <c r="B84" s="45"/>
      <c r="C84" s="46"/>
    </row>
    <row r="85" spans="1:3" x14ac:dyDescent="0.3">
      <c r="A85" s="44"/>
      <c r="B85" s="45"/>
      <c r="C85" s="46"/>
    </row>
    <row r="86" spans="1:3" x14ac:dyDescent="0.3">
      <c r="A86" s="44"/>
      <c r="B86" s="45"/>
      <c r="C86" s="46"/>
    </row>
    <row r="87" spans="1:3" x14ac:dyDescent="0.3">
      <c r="A87" s="44"/>
      <c r="B87" s="45"/>
      <c r="C87" s="46"/>
    </row>
    <row r="88" spans="1:3" x14ac:dyDescent="0.3">
      <c r="A88" s="44"/>
      <c r="B88" s="45"/>
      <c r="C88" s="46"/>
    </row>
    <row r="89" spans="1:3" x14ac:dyDescent="0.3">
      <c r="A89" s="44"/>
      <c r="B89" s="45"/>
      <c r="C89" s="46"/>
    </row>
    <row r="90" spans="1:3" x14ac:dyDescent="0.3">
      <c r="A90" s="44"/>
      <c r="B90" s="45"/>
      <c r="C90" s="46"/>
    </row>
    <row r="91" spans="1:3" x14ac:dyDescent="0.3">
      <c r="A91" s="44"/>
      <c r="B91" s="45"/>
      <c r="C91" s="46"/>
    </row>
    <row r="92" spans="1:3" x14ac:dyDescent="0.3">
      <c r="A92" s="44"/>
      <c r="B92" s="45"/>
      <c r="C92" s="46"/>
    </row>
    <row r="93" spans="1:3" x14ac:dyDescent="0.3">
      <c r="A93" s="44"/>
      <c r="B93" s="45"/>
      <c r="C93" s="46"/>
    </row>
    <row r="94" spans="1:3" x14ac:dyDescent="0.3">
      <c r="A94" s="44"/>
      <c r="B94" s="45"/>
      <c r="C94" s="46"/>
    </row>
    <row r="95" spans="1:3" x14ac:dyDescent="0.3">
      <c r="A95" s="44"/>
      <c r="B95" s="45"/>
      <c r="C95" s="46"/>
    </row>
    <row r="96" spans="1:3" x14ac:dyDescent="0.3">
      <c r="A96" s="44"/>
      <c r="B96" s="45"/>
      <c r="C96" s="46"/>
    </row>
    <row r="97" spans="1:3" x14ac:dyDescent="0.3">
      <c r="A97" s="44"/>
      <c r="B97" s="45"/>
      <c r="C97" s="46"/>
    </row>
    <row r="98" spans="1:3" ht="15" thickBot="1" x14ac:dyDescent="0.35">
      <c r="A98" s="44"/>
      <c r="B98" s="45"/>
      <c r="C98" s="46"/>
    </row>
    <row r="99" spans="1:3" ht="15" thickBot="1" x14ac:dyDescent="0.35">
      <c r="A99" s="38"/>
      <c r="B99" s="39" t="s">
        <v>19</v>
      </c>
      <c r="C99" s="40">
        <f>SUM(C2:C98)</f>
        <v>4162</v>
      </c>
    </row>
    <row r="106" spans="1:3" x14ac:dyDescent="0.3">
      <c r="B106" s="60">
        <v>2.0469999999999899</v>
      </c>
      <c r="C106" s="30">
        <v>41.1</v>
      </c>
    </row>
    <row r="107" spans="1:3" x14ac:dyDescent="0.3">
      <c r="B107" s="60">
        <v>2.0479999999999898</v>
      </c>
      <c r="C107" s="30">
        <v>171.2</v>
      </c>
    </row>
    <row r="108" spans="1:3" x14ac:dyDescent="0.3">
      <c r="B108" s="60">
        <v>2.0489999999999902</v>
      </c>
      <c r="C108" s="30">
        <v>127.60000000000001</v>
      </c>
    </row>
    <row r="109" spans="1:3" x14ac:dyDescent="0.3">
      <c r="B109" s="60">
        <v>2.0499999999999901</v>
      </c>
      <c r="C109" s="30">
        <v>38.199999999999996</v>
      </c>
    </row>
    <row r="110" spans="1:3" x14ac:dyDescent="0.3">
      <c r="B110" s="60">
        <v>2.0509999999999899</v>
      </c>
      <c r="C110" s="30">
        <v>21.9</v>
      </c>
    </row>
    <row r="111" spans="1:3" x14ac:dyDescent="0.3">
      <c r="B111" s="60">
        <v>2.0519999999999898</v>
      </c>
      <c r="C111" s="30">
        <v>3.4000000000000004</v>
      </c>
    </row>
    <row r="112" spans="1:3" x14ac:dyDescent="0.3">
      <c r="B112" s="60">
        <v>2.0529999999999902</v>
      </c>
      <c r="C112" s="30">
        <v>4.8</v>
      </c>
    </row>
    <row r="113" spans="2:3" x14ac:dyDescent="0.3">
      <c r="B113" s="60">
        <v>2.0539999999999901</v>
      </c>
      <c r="C113" s="30">
        <v>21.200000000000003</v>
      </c>
    </row>
    <row r="114" spans="2:3" x14ac:dyDescent="0.3">
      <c r="B114" s="60">
        <v>2.0549999999999899</v>
      </c>
      <c r="C114" s="30">
        <v>10.100000000000001</v>
      </c>
    </row>
    <row r="115" spans="2:3" x14ac:dyDescent="0.3">
      <c r="B115" s="60">
        <v>2.0559999999999898</v>
      </c>
      <c r="C115" s="30">
        <v>15.4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D19" sqref="D19"/>
    </sheetView>
  </sheetViews>
  <sheetFormatPr defaultRowHeight="14.4" x14ac:dyDescent="0.3"/>
  <sheetData>
    <row r="1" spans="1:3" ht="28.5" customHeight="1" x14ac:dyDescent="0.3">
      <c r="A1" s="67" t="s">
        <v>124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>
        <v>2.0009999999999999</v>
      </c>
      <c r="C3" s="30">
        <v>79.899999999999991</v>
      </c>
    </row>
    <row r="4" spans="1:3" x14ac:dyDescent="0.3">
      <c r="A4" s="43">
        <v>2</v>
      </c>
      <c r="B4" s="13">
        <v>2.0019999999999998</v>
      </c>
      <c r="C4" s="30">
        <v>64.3</v>
      </c>
    </row>
    <row r="5" spans="1:3" x14ac:dyDescent="0.3">
      <c r="A5" s="43">
        <v>3</v>
      </c>
      <c r="B5" s="13">
        <v>2.0030000000000001</v>
      </c>
      <c r="C5" s="30">
        <v>217.29999999999998</v>
      </c>
    </row>
    <row r="6" spans="1:3" x14ac:dyDescent="0.3">
      <c r="A6" s="43">
        <v>4</v>
      </c>
      <c r="B6" s="13">
        <v>2.004</v>
      </c>
      <c r="C6" s="30">
        <v>44.8</v>
      </c>
    </row>
    <row r="7" spans="1:3" x14ac:dyDescent="0.3">
      <c r="A7" s="43">
        <v>5</v>
      </c>
      <c r="B7" s="13">
        <v>2.0049999999999999</v>
      </c>
      <c r="C7" s="30">
        <v>23.5</v>
      </c>
    </row>
    <row r="8" spans="1:3" x14ac:dyDescent="0.3">
      <c r="A8" s="43">
        <v>6</v>
      </c>
      <c r="B8" s="13">
        <v>2.0059999999999998</v>
      </c>
      <c r="C8" s="30">
        <v>4.7</v>
      </c>
    </row>
    <row r="9" spans="1:3" x14ac:dyDescent="0.3">
      <c r="A9" s="43">
        <v>7</v>
      </c>
      <c r="B9" s="13">
        <v>2.008</v>
      </c>
      <c r="C9" s="30">
        <v>11.7</v>
      </c>
    </row>
    <row r="10" spans="1:3" x14ac:dyDescent="0.3">
      <c r="A10" s="43">
        <v>8</v>
      </c>
      <c r="B10" s="13">
        <v>2.0089999999999999</v>
      </c>
      <c r="C10" s="30">
        <v>10.200000000000001</v>
      </c>
    </row>
    <row r="11" spans="1:3" x14ac:dyDescent="0.3">
      <c r="A11" s="43">
        <v>9</v>
      </c>
      <c r="B11" s="13">
        <v>2.0099999999999998</v>
      </c>
      <c r="C11" s="30">
        <v>22.5</v>
      </c>
    </row>
    <row r="12" spans="1:3" x14ac:dyDescent="0.3">
      <c r="A12" s="43">
        <v>10</v>
      </c>
      <c r="B12" s="13">
        <v>2.0110000000000001</v>
      </c>
      <c r="C12" s="30">
        <v>4.4000000000000004</v>
      </c>
    </row>
    <row r="13" spans="1:3" ht="15" thickBot="1" x14ac:dyDescent="0.35">
      <c r="A13" s="43">
        <v>11</v>
      </c>
      <c r="B13" s="13">
        <v>2.012</v>
      </c>
      <c r="C13" s="56">
        <v>62.7</v>
      </c>
    </row>
    <row r="14" spans="1:3" ht="15" thickBot="1" x14ac:dyDescent="0.35">
      <c r="A14" s="38"/>
      <c r="B14" s="39" t="s">
        <v>19</v>
      </c>
      <c r="C14" s="57">
        <f>SUM(C3:C13)</f>
        <v>546</v>
      </c>
    </row>
    <row r="15" spans="1:3" ht="15" thickBot="1" x14ac:dyDescent="0.35">
      <c r="A15" s="43">
        <v>1</v>
      </c>
      <c r="B15" s="13">
        <v>2.0070000000000001</v>
      </c>
      <c r="C15" s="30">
        <v>18.5</v>
      </c>
    </row>
    <row r="16" spans="1:3" ht="15" thickBot="1" x14ac:dyDescent="0.35">
      <c r="A16" s="38" t="s">
        <v>148</v>
      </c>
      <c r="B16" s="39" t="s">
        <v>19</v>
      </c>
      <c r="C16" s="57">
        <f>C15</f>
        <v>18.5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B11" sqref="B11"/>
    </sheetView>
  </sheetViews>
  <sheetFormatPr defaultRowHeight="14.4" x14ac:dyDescent="0.3"/>
  <sheetData>
    <row r="1" spans="1:3" ht="28.5" customHeight="1" x14ac:dyDescent="0.3">
      <c r="A1" s="67" t="s">
        <v>123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>
        <v>2.0129999999999999</v>
      </c>
      <c r="C3" s="30">
        <v>63.400000000000006</v>
      </c>
    </row>
    <row r="4" spans="1:3" x14ac:dyDescent="0.3">
      <c r="A4" s="43">
        <v>2</v>
      </c>
      <c r="B4" s="13">
        <v>2.0139999999999998</v>
      </c>
      <c r="C4" s="30">
        <v>63.8</v>
      </c>
    </row>
    <row r="5" spans="1:3" x14ac:dyDescent="0.3">
      <c r="A5" s="43">
        <v>3</v>
      </c>
      <c r="B5" s="13">
        <v>2.0150000000000001</v>
      </c>
      <c r="C5" s="30">
        <v>63.1</v>
      </c>
    </row>
    <row r="6" spans="1:3" x14ac:dyDescent="0.3">
      <c r="A6" s="43">
        <v>4</v>
      </c>
      <c r="B6" s="13">
        <v>2.016</v>
      </c>
      <c r="C6" s="30">
        <v>63.6</v>
      </c>
    </row>
    <row r="7" spans="1:3" x14ac:dyDescent="0.3">
      <c r="A7" s="43">
        <v>5</v>
      </c>
      <c r="B7" s="13">
        <v>2.0169999999999999</v>
      </c>
      <c r="C7" s="30">
        <v>237.3</v>
      </c>
    </row>
    <row r="8" spans="1:3" x14ac:dyDescent="0.3">
      <c r="A8" s="43">
        <v>6</v>
      </c>
      <c r="B8" s="13">
        <v>2.0179999999999998</v>
      </c>
      <c r="C8" s="30">
        <v>18.700000000000003</v>
      </c>
    </row>
    <row r="9" spans="1:3" x14ac:dyDescent="0.3">
      <c r="A9" s="43">
        <v>7</v>
      </c>
      <c r="B9" s="13">
        <v>2.0190000000000001</v>
      </c>
      <c r="C9" s="30">
        <v>18.8</v>
      </c>
    </row>
    <row r="10" spans="1:3" x14ac:dyDescent="0.3">
      <c r="A10" s="43">
        <v>8</v>
      </c>
      <c r="B10" s="13" t="s">
        <v>150</v>
      </c>
      <c r="C10" s="30">
        <v>9.5</v>
      </c>
    </row>
    <row r="11" spans="1:3" x14ac:dyDescent="0.3">
      <c r="A11" s="43">
        <v>9</v>
      </c>
      <c r="B11" s="13">
        <v>2.0209999999999999</v>
      </c>
      <c r="C11" s="30">
        <v>5</v>
      </c>
    </row>
    <row r="12" spans="1:3" x14ac:dyDescent="0.3">
      <c r="A12" s="43">
        <v>10</v>
      </c>
      <c r="B12" s="13">
        <v>2.0589999999999899</v>
      </c>
      <c r="C12" s="30">
        <v>3.5999999999999996</v>
      </c>
    </row>
    <row r="13" spans="1:3" ht="15" thickBot="1" x14ac:dyDescent="0.35">
      <c r="A13" s="43">
        <v>11</v>
      </c>
      <c r="B13" s="13" t="s">
        <v>135</v>
      </c>
      <c r="C13" s="30">
        <v>14.2</v>
      </c>
    </row>
    <row r="14" spans="1:3" ht="15" thickBot="1" x14ac:dyDescent="0.35">
      <c r="A14" s="38"/>
      <c r="B14" s="39" t="s">
        <v>19</v>
      </c>
      <c r="C14" s="57">
        <f>SUM(C3:C13)</f>
        <v>561.00000000000011</v>
      </c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C19" sqref="C19"/>
    </sheetView>
  </sheetViews>
  <sheetFormatPr defaultRowHeight="14.4" x14ac:dyDescent="0.3"/>
  <sheetData>
    <row r="1" spans="1:3" ht="28.5" customHeight="1" x14ac:dyDescent="0.3">
      <c r="A1" s="67" t="s">
        <v>122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>
        <v>2.0219999999999998</v>
      </c>
      <c r="C3" s="30">
        <v>475.6</v>
      </c>
    </row>
    <row r="4" spans="1:3" x14ac:dyDescent="0.3">
      <c r="A4" s="43">
        <v>2</v>
      </c>
      <c r="B4" s="13">
        <v>2.0230000000000001</v>
      </c>
      <c r="C4" s="30">
        <v>10.4</v>
      </c>
    </row>
    <row r="5" spans="1:3" x14ac:dyDescent="0.3">
      <c r="A5" s="43">
        <v>3</v>
      </c>
      <c r="B5" s="13">
        <v>2.024</v>
      </c>
      <c r="C5" s="30">
        <v>10.3</v>
      </c>
    </row>
    <row r="6" spans="1:3" x14ac:dyDescent="0.3">
      <c r="A6" s="43">
        <v>4</v>
      </c>
      <c r="B6" s="13">
        <v>2.0249999999999999</v>
      </c>
      <c r="C6" s="30">
        <v>27.5</v>
      </c>
    </row>
    <row r="7" spans="1:3" x14ac:dyDescent="0.3">
      <c r="A7" s="43">
        <v>5</v>
      </c>
      <c r="B7" s="13">
        <v>2.0259999999999998</v>
      </c>
      <c r="C7" s="30">
        <v>15.8</v>
      </c>
    </row>
    <row r="8" spans="1:3" x14ac:dyDescent="0.3">
      <c r="A8" s="43">
        <v>6</v>
      </c>
      <c r="B8" s="13">
        <v>2.0270000000000001</v>
      </c>
      <c r="C8" s="30">
        <v>7.3</v>
      </c>
    </row>
    <row r="9" spans="1:3" x14ac:dyDescent="0.3">
      <c r="A9" s="43">
        <v>7</v>
      </c>
      <c r="B9" s="13">
        <v>2.028</v>
      </c>
      <c r="C9" s="30">
        <v>19.400000000000002</v>
      </c>
    </row>
    <row r="10" spans="1:3" x14ac:dyDescent="0.3">
      <c r="A10" s="43">
        <v>8</v>
      </c>
      <c r="B10" s="13">
        <v>2.0289999999999999</v>
      </c>
      <c r="C10" s="30">
        <v>7.6</v>
      </c>
    </row>
    <row r="11" spans="1:3" x14ac:dyDescent="0.3">
      <c r="A11" s="43">
        <v>9</v>
      </c>
      <c r="B11" s="13">
        <v>2.0299999999999998</v>
      </c>
      <c r="C11" s="30">
        <v>31.1</v>
      </c>
    </row>
    <row r="12" spans="1:3" x14ac:dyDescent="0.3">
      <c r="A12" s="43">
        <v>10</v>
      </c>
      <c r="B12" s="13">
        <v>2.0310000000000001</v>
      </c>
      <c r="C12" s="30">
        <v>21.1</v>
      </c>
    </row>
    <row r="13" spans="1:3" x14ac:dyDescent="0.3">
      <c r="A13" s="43">
        <v>11</v>
      </c>
      <c r="B13" s="13">
        <v>2.032</v>
      </c>
      <c r="C13" s="30">
        <v>19.8</v>
      </c>
    </row>
    <row r="14" spans="1:3" x14ac:dyDescent="0.3">
      <c r="A14" s="43">
        <v>12</v>
      </c>
      <c r="B14" s="13">
        <v>2.0339999999999998</v>
      </c>
      <c r="C14" s="61">
        <v>7.8</v>
      </c>
    </row>
    <row r="15" spans="1:3" x14ac:dyDescent="0.3">
      <c r="A15" s="43">
        <v>13</v>
      </c>
      <c r="B15" s="13">
        <v>2.0350000000000001</v>
      </c>
      <c r="C15" s="61">
        <v>7.4</v>
      </c>
    </row>
    <row r="16" spans="1:3" x14ac:dyDescent="0.3">
      <c r="A16" s="43">
        <v>14</v>
      </c>
      <c r="B16" s="13" t="s">
        <v>149</v>
      </c>
      <c r="C16" s="61">
        <v>3.9</v>
      </c>
    </row>
    <row r="17" spans="1:3" x14ac:dyDescent="0.3">
      <c r="A17" s="43">
        <v>15</v>
      </c>
      <c r="B17" s="13">
        <v>2.06699999999999</v>
      </c>
      <c r="C17" s="61">
        <v>90.1</v>
      </c>
    </row>
    <row r="18" spans="1:3" ht="15" thickBot="1" x14ac:dyDescent="0.35">
      <c r="A18" s="43">
        <v>16</v>
      </c>
      <c r="B18" s="13">
        <v>2.0679999999999898</v>
      </c>
      <c r="C18" s="55">
        <v>112.5</v>
      </c>
    </row>
    <row r="19" spans="1:3" ht="15" thickBot="1" x14ac:dyDescent="0.35">
      <c r="A19" s="38"/>
      <c r="B19" s="39" t="s">
        <v>19</v>
      </c>
      <c r="C19" s="57">
        <f>SUM(C3:C18)</f>
        <v>867.5999999999998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5" sqref="C15"/>
    </sheetView>
  </sheetViews>
  <sheetFormatPr defaultRowHeight="14.4" x14ac:dyDescent="0.3"/>
  <sheetData>
    <row r="1" spans="1:3" ht="28.5" customHeight="1" x14ac:dyDescent="0.3">
      <c r="A1" s="67" t="s">
        <v>136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>
        <v>2.036</v>
      </c>
      <c r="C3" s="30">
        <v>88</v>
      </c>
    </row>
    <row r="4" spans="1:3" x14ac:dyDescent="0.3">
      <c r="A4" s="43">
        <v>2</v>
      </c>
      <c r="B4" s="13">
        <v>2.0390000000000001</v>
      </c>
      <c r="C4" s="30">
        <v>62.099999999999994</v>
      </c>
    </row>
    <row r="5" spans="1:3" x14ac:dyDescent="0.3">
      <c r="A5" s="43">
        <v>3</v>
      </c>
      <c r="B5" s="13">
        <v>2.04</v>
      </c>
      <c r="C5" s="30">
        <v>63.900000000000006</v>
      </c>
    </row>
    <row r="6" spans="1:3" x14ac:dyDescent="0.3">
      <c r="A6" s="43">
        <v>4</v>
      </c>
      <c r="B6" s="13">
        <v>2.0409999999999999</v>
      </c>
      <c r="C6" s="30">
        <v>63.599999999999994</v>
      </c>
    </row>
    <row r="7" spans="1:3" x14ac:dyDescent="0.3">
      <c r="A7" s="43">
        <v>5</v>
      </c>
      <c r="B7" s="13">
        <v>2.0419999999999998</v>
      </c>
      <c r="C7" s="30">
        <v>102.89999999999999</v>
      </c>
    </row>
    <row r="8" spans="1:3" x14ac:dyDescent="0.3">
      <c r="A8" s="43">
        <v>6</v>
      </c>
      <c r="B8" s="13">
        <v>2.0430000000000001</v>
      </c>
      <c r="C8" s="30">
        <v>10.3</v>
      </c>
    </row>
    <row r="9" spans="1:3" x14ac:dyDescent="0.3">
      <c r="A9" s="43">
        <v>7</v>
      </c>
      <c r="B9" s="13">
        <v>2.044</v>
      </c>
      <c r="C9" s="30">
        <v>16.100000000000001</v>
      </c>
    </row>
    <row r="10" spans="1:3" ht="15" thickBot="1" x14ac:dyDescent="0.35">
      <c r="A10" s="43">
        <v>8</v>
      </c>
      <c r="B10" s="13">
        <v>2.0710000000000002</v>
      </c>
      <c r="C10" s="30">
        <v>128.5</v>
      </c>
    </row>
    <row r="11" spans="1:3" ht="15" thickBot="1" x14ac:dyDescent="0.35">
      <c r="A11" s="38"/>
      <c r="B11" s="39" t="s">
        <v>19</v>
      </c>
      <c r="C11" s="57">
        <f>SUM(C3:C10)</f>
        <v>535.40000000000009</v>
      </c>
    </row>
    <row r="12" spans="1:3" x14ac:dyDescent="0.3">
      <c r="A12" s="43">
        <v>1</v>
      </c>
      <c r="B12" s="13">
        <v>2.0329999999999999</v>
      </c>
      <c r="C12" s="56">
        <v>32.6</v>
      </c>
    </row>
    <row r="13" spans="1:3" x14ac:dyDescent="0.3">
      <c r="A13" s="43">
        <v>2</v>
      </c>
      <c r="B13" s="13">
        <v>2.0369999999999999</v>
      </c>
      <c r="C13" s="56">
        <v>541.20000000000005</v>
      </c>
    </row>
    <row r="14" spans="1:3" ht="15" thickBot="1" x14ac:dyDescent="0.35">
      <c r="A14" s="43">
        <v>3</v>
      </c>
      <c r="B14" s="13">
        <v>2.0379999999999998</v>
      </c>
      <c r="C14" s="56">
        <v>65.300000000000011</v>
      </c>
    </row>
    <row r="15" spans="1:3" ht="15" thickBot="1" x14ac:dyDescent="0.35">
      <c r="A15" s="38" t="s">
        <v>126</v>
      </c>
      <c r="B15" s="39" t="s">
        <v>19</v>
      </c>
      <c r="C15" s="57">
        <f>SUM(C12:C14)</f>
        <v>639.10000000000014</v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F9" sqref="F9"/>
    </sheetView>
  </sheetViews>
  <sheetFormatPr defaultRowHeight="14.4" x14ac:dyDescent="0.3"/>
  <sheetData>
    <row r="1" spans="1:3" ht="28.5" customHeight="1" x14ac:dyDescent="0.3">
      <c r="A1" s="67" t="s">
        <v>120</v>
      </c>
      <c r="B1" s="68"/>
      <c r="C1" s="69"/>
    </row>
    <row r="2" spans="1:3" x14ac:dyDescent="0.3">
      <c r="A2" s="10" t="s">
        <v>0</v>
      </c>
      <c r="B2" s="11" t="s">
        <v>10</v>
      </c>
      <c r="C2" s="14" t="s">
        <v>50</v>
      </c>
    </row>
    <row r="3" spans="1:3" x14ac:dyDescent="0.3">
      <c r="A3" s="43">
        <v>1</v>
      </c>
      <c r="B3" s="13">
        <v>2.0449999999999999</v>
      </c>
      <c r="C3" s="30">
        <v>215.6</v>
      </c>
    </row>
    <row r="4" spans="1:3" x14ac:dyDescent="0.3">
      <c r="A4" s="43">
        <v>2</v>
      </c>
      <c r="B4" s="13">
        <v>2.04599999999999</v>
      </c>
      <c r="C4" s="30">
        <v>163.20000000000002</v>
      </c>
    </row>
    <row r="5" spans="1:3" x14ac:dyDescent="0.3">
      <c r="A5" s="43">
        <v>3</v>
      </c>
      <c r="B5" s="13">
        <v>2.0469999999999899</v>
      </c>
      <c r="C5" s="30">
        <v>41.1</v>
      </c>
    </row>
    <row r="6" spans="1:3" x14ac:dyDescent="0.3">
      <c r="A6" s="43">
        <v>4</v>
      </c>
      <c r="B6" s="13">
        <v>2.0479999999999898</v>
      </c>
      <c r="C6" s="30">
        <v>171.2</v>
      </c>
    </row>
    <row r="7" spans="1:3" x14ac:dyDescent="0.3">
      <c r="A7" s="43">
        <v>5</v>
      </c>
      <c r="B7" s="13">
        <v>2.0489999999999902</v>
      </c>
      <c r="C7" s="30">
        <v>127.60000000000001</v>
      </c>
    </row>
    <row r="8" spans="1:3" x14ac:dyDescent="0.3">
      <c r="A8" s="43">
        <v>6</v>
      </c>
      <c r="B8" s="13" t="s">
        <v>43</v>
      </c>
      <c r="C8" s="30">
        <v>38.199999999999996</v>
      </c>
    </row>
    <row r="9" spans="1:3" x14ac:dyDescent="0.3">
      <c r="A9" s="43">
        <v>7</v>
      </c>
      <c r="B9" s="13">
        <v>2.0509999999999899</v>
      </c>
      <c r="C9" s="30">
        <v>21.9</v>
      </c>
    </row>
    <row r="10" spans="1:3" x14ac:dyDescent="0.3">
      <c r="A10" s="43">
        <v>8</v>
      </c>
      <c r="B10" s="13">
        <v>2.0519999999999898</v>
      </c>
      <c r="C10" s="30">
        <v>3.4000000000000004</v>
      </c>
    </row>
    <row r="11" spans="1:3" x14ac:dyDescent="0.3">
      <c r="A11" s="43">
        <v>9</v>
      </c>
      <c r="B11" s="13">
        <v>2.0529999999999902</v>
      </c>
      <c r="C11" s="30">
        <v>4.8</v>
      </c>
    </row>
    <row r="12" spans="1:3" x14ac:dyDescent="0.3">
      <c r="A12" s="43">
        <v>10</v>
      </c>
      <c r="B12" s="13">
        <v>2.0539999999999901</v>
      </c>
      <c r="C12" s="30">
        <v>21.200000000000003</v>
      </c>
    </row>
    <row r="13" spans="1:3" x14ac:dyDescent="0.3">
      <c r="A13" s="43">
        <v>11</v>
      </c>
      <c r="B13" s="13">
        <v>2.0549999999999899</v>
      </c>
      <c r="C13" s="30">
        <v>10.100000000000001</v>
      </c>
    </row>
    <row r="14" spans="1:3" x14ac:dyDescent="0.3">
      <c r="A14" s="43">
        <v>12</v>
      </c>
      <c r="B14" s="13">
        <v>2.0559999999999898</v>
      </c>
      <c r="C14" s="30">
        <v>15.4</v>
      </c>
    </row>
    <row r="15" spans="1:3" ht="15" thickBot="1" x14ac:dyDescent="0.35">
      <c r="A15" s="43">
        <v>13</v>
      </c>
      <c r="B15" s="13">
        <v>2.0689999999999902</v>
      </c>
      <c r="C15" s="30">
        <v>2.5</v>
      </c>
    </row>
    <row r="16" spans="1:3" ht="15" thickBot="1" x14ac:dyDescent="0.35">
      <c r="A16" s="38"/>
      <c r="B16" s="39" t="s">
        <v>19</v>
      </c>
      <c r="C16" s="57">
        <f>SUM(C3:C15)</f>
        <v>836.2</v>
      </c>
    </row>
    <row r="17" spans="1:3" ht="15" thickBot="1" x14ac:dyDescent="0.35">
      <c r="A17" s="62">
        <v>1</v>
      </c>
      <c r="B17" s="45" t="s">
        <v>146</v>
      </c>
      <c r="C17" s="63">
        <v>16</v>
      </c>
    </row>
    <row r="18" spans="1:3" ht="15" thickBot="1" x14ac:dyDescent="0.35">
      <c r="A18" s="38" t="s">
        <v>147</v>
      </c>
      <c r="B18" s="39" t="s">
        <v>19</v>
      </c>
      <c r="C18" s="57">
        <f>C17</f>
        <v>16</v>
      </c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0"/>
  <sheetViews>
    <sheetView workbookViewId="0">
      <selection activeCell="E3" sqref="E3"/>
    </sheetView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x14ac:dyDescent="0.3">
      <c r="A1" s="1"/>
      <c r="B1" s="31" t="s">
        <v>28</v>
      </c>
      <c r="C1" s="2"/>
      <c r="D1" s="2"/>
      <c r="E1" s="3"/>
    </row>
    <row r="2" spans="1:5" ht="15" thickBot="1" x14ac:dyDescent="0.35">
      <c r="A2" s="21" t="s">
        <v>0</v>
      </c>
      <c r="B2" s="22" t="s">
        <v>1</v>
      </c>
      <c r="C2" s="23" t="s">
        <v>2</v>
      </c>
      <c r="D2" s="23" t="s">
        <v>3</v>
      </c>
      <c r="E2" s="24" t="s">
        <v>4</v>
      </c>
    </row>
    <row r="3" spans="1:5" ht="39.6" x14ac:dyDescent="0.3">
      <c r="A3" s="16">
        <v>1</v>
      </c>
      <c r="B3" s="17" t="s">
        <v>137</v>
      </c>
      <c r="C3" s="18" t="s">
        <v>5</v>
      </c>
      <c r="D3" s="19">
        <v>1</v>
      </c>
      <c r="E3" s="20">
        <f>'1с'!C14+'2с'!C14+'3с'!C19+'4_5с'!C11+'6с'!C16</f>
        <v>3346.2</v>
      </c>
    </row>
    <row r="4" spans="1:5" x14ac:dyDescent="0.3">
      <c r="A4" s="4">
        <v>1.1000000000000001</v>
      </c>
      <c r="B4" s="9" t="s">
        <v>24</v>
      </c>
      <c r="C4" s="29" t="s">
        <v>6</v>
      </c>
      <c r="D4" s="8">
        <v>0.2</v>
      </c>
      <c r="E4" s="33">
        <f>E$3*D4</f>
        <v>669.24</v>
      </c>
    </row>
    <row r="5" spans="1:5" x14ac:dyDescent="0.3">
      <c r="A5" s="32" t="s">
        <v>8</v>
      </c>
      <c r="B5" s="15" t="s">
        <v>23</v>
      </c>
      <c r="C5" s="5" t="s">
        <v>7</v>
      </c>
      <c r="D5" s="6">
        <v>1</v>
      </c>
      <c r="E5" s="33">
        <f>E3/2.33</f>
        <v>1436.137339055794</v>
      </c>
    </row>
    <row r="6" spans="1:5" x14ac:dyDescent="0.3">
      <c r="A6" s="32" t="s">
        <v>9</v>
      </c>
      <c r="B6" s="15" t="s">
        <v>22</v>
      </c>
      <c r="C6" s="5" t="s">
        <v>31</v>
      </c>
      <c r="D6" s="6">
        <v>1.1000000000000001</v>
      </c>
      <c r="E6" s="33">
        <f>E$3*D6</f>
        <v>3680.82</v>
      </c>
    </row>
    <row r="7" spans="1:5" x14ac:dyDescent="0.3">
      <c r="A7" s="32" t="s">
        <v>26</v>
      </c>
      <c r="B7" s="15" t="s">
        <v>30</v>
      </c>
      <c r="C7" s="5" t="s">
        <v>6</v>
      </c>
      <c r="D7" s="6">
        <v>1.8</v>
      </c>
      <c r="E7" s="33">
        <f>E$3*D$7*0.065*1000</f>
        <v>391505.4</v>
      </c>
    </row>
    <row r="8" spans="1:5" ht="15" thickBot="1" x14ac:dyDescent="0.35">
      <c r="A8" s="32" t="s">
        <v>27</v>
      </c>
      <c r="B8" s="15" t="s">
        <v>21</v>
      </c>
      <c r="C8" s="5" t="s">
        <v>25</v>
      </c>
      <c r="D8" s="6">
        <v>8</v>
      </c>
      <c r="E8" s="41">
        <f>ROUNDUP(E$3*D8, 0)</f>
        <v>26770</v>
      </c>
    </row>
    <row r="9" spans="1:5" ht="39.6" x14ac:dyDescent="0.3">
      <c r="A9" s="16" t="s">
        <v>127</v>
      </c>
      <c r="B9" s="17" t="s">
        <v>138</v>
      </c>
      <c r="C9" s="18" t="s">
        <v>5</v>
      </c>
      <c r="D9" s="19">
        <v>1</v>
      </c>
      <c r="E9" s="20">
        <f>'4_5с'!C15</f>
        <v>639.10000000000014</v>
      </c>
    </row>
    <row r="10" spans="1:5" x14ac:dyDescent="0.3">
      <c r="A10" s="4" t="s">
        <v>128</v>
      </c>
      <c r="B10" s="9" t="s">
        <v>24</v>
      </c>
      <c r="C10" s="29" t="s">
        <v>6</v>
      </c>
      <c r="D10" s="8">
        <v>0.2</v>
      </c>
      <c r="E10" s="33">
        <f>E$9*D10</f>
        <v>127.82000000000004</v>
      </c>
    </row>
    <row r="11" spans="1:5" x14ac:dyDescent="0.3">
      <c r="A11" s="4" t="s">
        <v>129</v>
      </c>
      <c r="B11" s="15" t="s">
        <v>23</v>
      </c>
      <c r="C11" s="5" t="s">
        <v>7</v>
      </c>
      <c r="D11" s="6">
        <v>1</v>
      </c>
      <c r="E11" s="33">
        <f>E9/2.33</f>
        <v>274.29184549356228</v>
      </c>
    </row>
    <row r="12" spans="1:5" x14ac:dyDescent="0.3">
      <c r="A12" s="4" t="s">
        <v>130</v>
      </c>
      <c r="B12" s="15" t="s">
        <v>22</v>
      </c>
      <c r="C12" s="5" t="s">
        <v>31</v>
      </c>
      <c r="D12" s="6">
        <v>1.1000000000000001</v>
      </c>
      <c r="E12" s="33">
        <f t="shared" ref="E12" si="0">E$9*D12</f>
        <v>703.01000000000022</v>
      </c>
    </row>
    <row r="13" spans="1:5" x14ac:dyDescent="0.3">
      <c r="A13" s="4" t="s">
        <v>131</v>
      </c>
      <c r="B13" s="15" t="s">
        <v>30</v>
      </c>
      <c r="C13" s="5" t="s">
        <v>6</v>
      </c>
      <c r="D13" s="6">
        <v>1.8</v>
      </c>
      <c r="E13" s="33">
        <f>E$9*D13*60</f>
        <v>69022.800000000017</v>
      </c>
    </row>
    <row r="14" spans="1:5" ht="15" thickBot="1" x14ac:dyDescent="0.35">
      <c r="A14" s="4" t="s">
        <v>132</v>
      </c>
      <c r="B14" s="15" t="s">
        <v>21</v>
      </c>
      <c r="C14" s="5" t="s">
        <v>25</v>
      </c>
      <c r="D14" s="6">
        <v>8</v>
      </c>
      <c r="E14" s="33">
        <f>ROUNDUP(E$9*D14, 0)</f>
        <v>5113</v>
      </c>
    </row>
    <row r="15" spans="1:5" ht="39.6" x14ac:dyDescent="0.3">
      <c r="A15" s="16" t="s">
        <v>139</v>
      </c>
      <c r="B15" s="17" t="s">
        <v>145</v>
      </c>
      <c r="C15" s="18" t="s">
        <v>5</v>
      </c>
      <c r="D15" s="19">
        <v>1</v>
      </c>
      <c r="E15" s="20">
        <v>34.5</v>
      </c>
    </row>
    <row r="16" spans="1:5" x14ac:dyDescent="0.3">
      <c r="A16" s="4" t="s">
        <v>140</v>
      </c>
      <c r="B16" s="9" t="s">
        <v>24</v>
      </c>
      <c r="C16" s="29" t="s">
        <v>6</v>
      </c>
      <c r="D16" s="8">
        <v>0.2</v>
      </c>
      <c r="E16" s="33">
        <v>6.9</v>
      </c>
    </row>
    <row r="17" spans="1:5" x14ac:dyDescent="0.3">
      <c r="A17" s="4" t="s">
        <v>141</v>
      </c>
      <c r="B17" s="15" t="s">
        <v>23</v>
      </c>
      <c r="C17" s="5" t="s">
        <v>7</v>
      </c>
      <c r="D17" s="6">
        <v>1</v>
      </c>
      <c r="E17" s="33">
        <v>15.519</v>
      </c>
    </row>
    <row r="18" spans="1:5" x14ac:dyDescent="0.3">
      <c r="A18" s="4" t="s">
        <v>142</v>
      </c>
      <c r="B18" s="15" t="s">
        <v>22</v>
      </c>
      <c r="C18" s="5" t="s">
        <v>31</v>
      </c>
      <c r="D18" s="6">
        <v>1.1000000000000001</v>
      </c>
      <c r="E18" s="33">
        <v>37.950000000000003</v>
      </c>
    </row>
    <row r="19" spans="1:5" x14ac:dyDescent="0.3">
      <c r="A19" s="4" t="s">
        <v>143</v>
      </c>
      <c r="B19" s="15" t="s">
        <v>30</v>
      </c>
      <c r="C19" s="5" t="s">
        <v>6</v>
      </c>
      <c r="D19" s="6">
        <v>1.8</v>
      </c>
      <c r="E19" s="33">
        <v>3105</v>
      </c>
    </row>
    <row r="20" spans="1:5" x14ac:dyDescent="0.3">
      <c r="A20" s="4" t="s">
        <v>144</v>
      </c>
      <c r="B20" s="15" t="s">
        <v>21</v>
      </c>
      <c r="C20" s="5" t="s">
        <v>25</v>
      </c>
      <c r="D20" s="6">
        <v>8</v>
      </c>
      <c r="E20" s="33">
        <v>276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7 с</vt:lpstr>
      <vt:lpstr>спец7с</vt:lpstr>
      <vt:lpstr>Вор</vt:lpstr>
      <vt:lpstr>спец6с</vt:lpstr>
      <vt:lpstr>спец5с</vt:lpstr>
      <vt:lpstr>спец4с</vt:lpstr>
      <vt:lpstr>спец4с (2)</vt:lpstr>
      <vt:lpstr>Вор3э</vt:lpstr>
      <vt:lpstr>7сэ3</vt:lpstr>
      <vt:lpstr>6с3э</vt:lpstr>
      <vt:lpstr>4с3э</vt:lpstr>
      <vt:lpstr>3с3э</vt:lpstr>
      <vt:lpstr>2с3э</vt:lpstr>
      <vt:lpstr>1с3</vt:lpstr>
      <vt:lpstr>спец</vt:lpstr>
      <vt:lpstr>1с</vt:lpstr>
      <vt:lpstr>2с</vt:lpstr>
      <vt:lpstr>3с</vt:lpstr>
      <vt:lpstr>4_5с</vt:lpstr>
      <vt:lpstr>6с</vt:lpstr>
      <vt:lpstr>Вор2э</vt:lpstr>
      <vt:lpstr>общий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Linux</cp:lastModifiedBy>
  <dcterms:created xsi:type="dcterms:W3CDTF">2025-09-20T10:19:57Z</dcterms:created>
  <dcterms:modified xsi:type="dcterms:W3CDTF">2026-03-20T07:41:47Z</dcterms:modified>
</cp:coreProperties>
</file>