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резка" sheetId="3" r:id="rId1"/>
    <sheet name="Дем бет" sheetId="4" r:id="rId2"/>
    <sheet name="Монтаж бет" sheetId="5" r:id="rId3"/>
  </sheets>
  <calcPr calcId="152511"/>
</workbook>
</file>

<file path=xl/calcChain.xml><?xml version="1.0" encoding="utf-8"?>
<calcChain xmlns="http://schemas.openxmlformats.org/spreadsheetml/2006/main">
  <c r="C12" i="4" l="1"/>
  <c r="C13" i="5"/>
  <c r="F4" i="5" s="1"/>
  <c r="D12" i="5"/>
  <c r="D11" i="5"/>
  <c r="D11" i="4"/>
  <c r="D10" i="4"/>
  <c r="D10" i="5"/>
  <c r="D9" i="5"/>
  <c r="D9" i="4"/>
  <c r="D8" i="4"/>
  <c r="C12" i="3" l="1"/>
  <c r="F3" i="3" s="1"/>
  <c r="D7" i="4"/>
  <c r="D8" i="5"/>
  <c r="D13" i="5" l="1"/>
  <c r="F3" i="5" s="1"/>
  <c r="D12" i="4"/>
  <c r="F3" i="4" s="1"/>
</calcChain>
</file>

<file path=xl/sharedStrings.xml><?xml version="1.0" encoding="utf-8"?>
<sst xmlns="http://schemas.openxmlformats.org/spreadsheetml/2006/main" count="55" uniqueCount="25">
  <si>
    <t>Спецификация выполненных работ</t>
  </si>
  <si>
    <t>№ п.п.</t>
  </si>
  <si>
    <t>Наименование</t>
  </si>
  <si>
    <t>Ед. изм.</t>
  </si>
  <si>
    <t>Объем</t>
  </si>
  <si>
    <t>м3</t>
  </si>
  <si>
    <t>Тип</t>
  </si>
  <si>
    <t>Объем, м2</t>
  </si>
  <si>
    <t>Объем, м3</t>
  </si>
  <si>
    <t>Итог:</t>
  </si>
  <si>
    <t>Демонтаж бетона с сохранением арматуры</t>
  </si>
  <si>
    <t>пог. м.</t>
  </si>
  <si>
    <t>Лестницы</t>
  </si>
  <si>
    <t>Объем, п.м.</t>
  </si>
  <si>
    <t>ЛК-1</t>
  </si>
  <si>
    <t>ЛК-2</t>
  </si>
  <si>
    <t>ЛК-3</t>
  </si>
  <si>
    <t>ЛК-4</t>
  </si>
  <si>
    <t>ЛК-5</t>
  </si>
  <si>
    <t>Армировка сеткой 50х50 яч.</t>
  </si>
  <si>
    <t>м2</t>
  </si>
  <si>
    <t xml:space="preserve">Алмазная резка железобетонный конструкций </t>
  </si>
  <si>
    <t>Устройство монолитных
лестничных маршей (Монтаж
ступеней ремонтным
составом RC45) / ср. тольщина 30 мм</t>
  </si>
  <si>
    <t>Лестницы (ср. тольщина 30 мм)</t>
  </si>
  <si>
    <t>Лестницы, демонтаж тольщина слоя 30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</si>
</sst>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name val="XO Thames"/>
      <family val="1"/>
      <charset val="204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name val="ГОСТ тип А"/>
      <family val="2"/>
      <charset val="204"/>
    </font>
    <font>
      <sz val="12"/>
      <name val="ГОСТ тип А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Fill="0" applyBorder="0"/>
  </cellStyleXfs>
  <cellXfs count="22">
    <xf numFmtId="0" fontId="0" fillId="0" borderId="0" xfId="0"/>
    <xf numFmtId="0" fontId="1" fillId="0" borderId="0" xfId="1" applyNumberFormat="1" applyFont="1"/>
    <xf numFmtId="0" fontId="2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vertical="top"/>
    </xf>
    <xf numFmtId="0" fontId="3" fillId="0" borderId="1" xfId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 wrapText="1"/>
    </xf>
    <xf numFmtId="4" fontId="6" fillId="0" borderId="9" xfId="1" applyNumberFormat="1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wrapText="1"/>
    </xf>
    <xf numFmtId="4" fontId="6" fillId="2" borderId="9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0" xfId="1" applyNumberFormat="1" applyFont="1" applyAlignment="1">
      <alignment horizontal="center"/>
    </xf>
    <xf numFmtId="0" fontId="2" fillId="0" borderId="2" xfId="1" applyFont="1" applyFill="1" applyBorder="1" applyAlignment="1">
      <alignment horizontal="left" vertical="top" wrapText="1"/>
    </xf>
    <xf numFmtId="0" fontId="2" fillId="0" borderId="3" xfId="1" applyFont="1" applyFill="1" applyBorder="1" applyAlignment="1">
      <alignment horizontal="left" vertical="top" wrapText="1"/>
    </xf>
    <xf numFmtId="0" fontId="2" fillId="0" borderId="4" xfId="1" applyFont="1" applyFill="1" applyBorder="1" applyAlignment="1">
      <alignment horizontal="center" vertical="center" wrapText="1"/>
    </xf>
    <xf numFmtId="0" fontId="1" fillId="0" borderId="0" xfId="1" applyNumberFormat="1" applyFont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2"/>
    </sheetView>
  </sheetViews>
  <sheetFormatPr defaultRowHeight="15" x14ac:dyDescent="0.25"/>
  <cols>
    <col min="1" max="2" width="8.88671875" style="1"/>
    <col min="3" max="3" width="11.5546875" style="1" customWidth="1"/>
    <col min="4" max="4" width="11.44140625" style="1" customWidth="1"/>
    <col min="5" max="16384" width="8.88671875" style="1"/>
  </cols>
  <sheetData>
    <row r="1" spans="1:6" ht="18" customHeight="1" x14ac:dyDescent="0.25">
      <c r="A1" s="16" t="s">
        <v>0</v>
      </c>
      <c r="B1" s="16"/>
      <c r="C1" s="16"/>
      <c r="D1" s="16"/>
      <c r="E1" s="16"/>
      <c r="F1" s="16"/>
    </row>
    <row r="2" spans="1:6" ht="18" customHeight="1" x14ac:dyDescent="0.25">
      <c r="A2" s="15" t="s">
        <v>1</v>
      </c>
      <c r="B2" s="16" t="s">
        <v>2</v>
      </c>
      <c r="C2" s="16"/>
      <c r="D2" s="16"/>
      <c r="E2" s="3" t="s">
        <v>3</v>
      </c>
      <c r="F2" s="3" t="s">
        <v>4</v>
      </c>
    </row>
    <row r="3" spans="1:6" ht="32.4" customHeight="1" x14ac:dyDescent="0.25">
      <c r="A3" s="2">
        <v>1</v>
      </c>
      <c r="B3" s="18" t="s">
        <v>21</v>
      </c>
      <c r="C3" s="19"/>
      <c r="D3" s="19"/>
      <c r="E3" s="4" t="s">
        <v>11</v>
      </c>
      <c r="F3" s="5">
        <f>C12</f>
        <v>161.20000000000002</v>
      </c>
    </row>
    <row r="4" spans="1:6" ht="9" customHeight="1" x14ac:dyDescent="0.25">
      <c r="A4" s="20"/>
      <c r="B4" s="20"/>
      <c r="C4" s="20"/>
      <c r="D4" s="20"/>
      <c r="E4" s="20"/>
      <c r="F4" s="20"/>
    </row>
    <row r="5" spans="1:6" ht="15.6" x14ac:dyDescent="0.25">
      <c r="A5" s="16" t="s">
        <v>12</v>
      </c>
      <c r="B5" s="16"/>
      <c r="C5" s="16"/>
      <c r="D5" s="17"/>
      <c r="E5" s="17"/>
      <c r="F5" s="17"/>
    </row>
    <row r="6" spans="1:6" ht="15.6" x14ac:dyDescent="0.25">
      <c r="A6" s="6" t="s">
        <v>1</v>
      </c>
      <c r="B6" s="7" t="s">
        <v>6</v>
      </c>
      <c r="C6" s="8" t="s">
        <v>13</v>
      </c>
      <c r="D6" s="17"/>
      <c r="E6" s="17"/>
      <c r="F6" s="17"/>
    </row>
    <row r="7" spans="1:6" ht="15.6" x14ac:dyDescent="0.25">
      <c r="A7" s="9">
        <v>1</v>
      </c>
      <c r="B7" s="10" t="s">
        <v>14</v>
      </c>
      <c r="C7" s="11">
        <v>29.45</v>
      </c>
      <c r="D7" s="17"/>
      <c r="E7" s="17"/>
      <c r="F7" s="17"/>
    </row>
    <row r="8" spans="1:6" ht="15.6" x14ac:dyDescent="0.25">
      <c r="A8" s="12">
        <v>2</v>
      </c>
      <c r="B8" s="13" t="s">
        <v>15</v>
      </c>
      <c r="C8" s="14">
        <v>31</v>
      </c>
      <c r="D8" s="17"/>
      <c r="E8" s="17"/>
      <c r="F8" s="17"/>
    </row>
    <row r="9" spans="1:6" ht="15.6" x14ac:dyDescent="0.25">
      <c r="A9" s="9">
        <v>3</v>
      </c>
      <c r="B9" s="10" t="s">
        <v>16</v>
      </c>
      <c r="C9" s="11">
        <v>29.45</v>
      </c>
      <c r="D9" s="17"/>
      <c r="E9" s="17"/>
      <c r="F9" s="17"/>
    </row>
    <row r="10" spans="1:6" ht="15.6" x14ac:dyDescent="0.25">
      <c r="A10" s="12">
        <v>4</v>
      </c>
      <c r="B10" s="13" t="s">
        <v>17</v>
      </c>
      <c r="C10" s="14">
        <v>40.300000000000004</v>
      </c>
      <c r="D10" s="17"/>
      <c r="E10" s="17"/>
      <c r="F10" s="17"/>
    </row>
    <row r="11" spans="1:6" ht="15.6" x14ac:dyDescent="0.25">
      <c r="A11" s="9">
        <v>5</v>
      </c>
      <c r="B11" s="10" t="s">
        <v>18</v>
      </c>
      <c r="C11" s="11">
        <v>31</v>
      </c>
      <c r="D11" s="17"/>
      <c r="E11" s="17"/>
      <c r="F11" s="17"/>
    </row>
    <row r="12" spans="1:6" ht="15.6" x14ac:dyDescent="0.25">
      <c r="B12" s="10" t="s">
        <v>9</v>
      </c>
      <c r="C12" s="11">
        <f>SUM(C7:C11)</f>
        <v>161.20000000000002</v>
      </c>
      <c r="D12" s="17"/>
      <c r="E12" s="17"/>
      <c r="F12" s="17"/>
    </row>
  </sheetData>
  <mergeCells count="6">
    <mergeCell ref="A5:C5"/>
    <mergeCell ref="D5:F12"/>
    <mergeCell ref="A1:F1"/>
    <mergeCell ref="B2:D2"/>
    <mergeCell ref="B3:D3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2"/>
    </sheetView>
  </sheetViews>
  <sheetFormatPr defaultRowHeight="15" x14ac:dyDescent="0.25"/>
  <cols>
    <col min="1" max="2" width="8.88671875" style="1"/>
    <col min="3" max="3" width="13" style="1" customWidth="1"/>
    <col min="4" max="4" width="11" style="1" bestFit="1" customWidth="1"/>
    <col min="5" max="212" width="8.88671875" style="1"/>
    <col min="213" max="213" width="7.77734375" style="1" customWidth="1"/>
    <col min="214" max="16384" width="8.88671875" style="1"/>
  </cols>
  <sheetData>
    <row r="1" spans="1:6" ht="18" customHeight="1" x14ac:dyDescent="0.25">
      <c r="A1" s="16" t="s">
        <v>0</v>
      </c>
      <c r="B1" s="16"/>
      <c r="C1" s="16"/>
      <c r="D1" s="16"/>
      <c r="E1" s="16"/>
      <c r="F1" s="16"/>
    </row>
    <row r="2" spans="1:6" ht="18" customHeight="1" x14ac:dyDescent="0.25">
      <c r="A2" s="15" t="s">
        <v>1</v>
      </c>
      <c r="B2" s="16" t="s">
        <v>2</v>
      </c>
      <c r="C2" s="16"/>
      <c r="D2" s="16"/>
      <c r="E2" s="3" t="s">
        <v>3</v>
      </c>
      <c r="F2" s="3" t="s">
        <v>4</v>
      </c>
    </row>
    <row r="3" spans="1:6" ht="33.6" customHeight="1" x14ac:dyDescent="0.25">
      <c r="A3" s="2">
        <v>1</v>
      </c>
      <c r="B3" s="18" t="s">
        <v>10</v>
      </c>
      <c r="C3" s="19"/>
      <c r="D3" s="19"/>
      <c r="E3" s="4" t="s">
        <v>5</v>
      </c>
      <c r="F3" s="5">
        <f>D12</f>
        <v>2.0119500000000001</v>
      </c>
    </row>
    <row r="4" spans="1:6" ht="11.4" customHeight="1" x14ac:dyDescent="0.25">
      <c r="A4" s="20"/>
      <c r="B4" s="20"/>
      <c r="C4" s="20"/>
      <c r="D4" s="20"/>
      <c r="E4" s="20"/>
      <c r="F4" s="20"/>
    </row>
    <row r="5" spans="1:6" ht="15.6" x14ac:dyDescent="0.25">
      <c r="A5" s="16" t="s">
        <v>24</v>
      </c>
      <c r="B5" s="16"/>
      <c r="C5" s="16"/>
      <c r="D5" s="16"/>
      <c r="E5" s="17"/>
      <c r="F5" s="17"/>
    </row>
    <row r="6" spans="1:6" ht="15.6" x14ac:dyDescent="0.25">
      <c r="A6" s="6" t="s">
        <v>1</v>
      </c>
      <c r="B6" s="7" t="s">
        <v>6</v>
      </c>
      <c r="C6" s="8" t="s">
        <v>7</v>
      </c>
      <c r="D6" s="8" t="s">
        <v>8</v>
      </c>
      <c r="E6" s="17"/>
      <c r="F6" s="17"/>
    </row>
    <row r="7" spans="1:6" ht="15.6" x14ac:dyDescent="0.25">
      <c r="A7" s="9">
        <v>1</v>
      </c>
      <c r="B7" s="10" t="s">
        <v>14</v>
      </c>
      <c r="C7" s="11">
        <v>13.26</v>
      </c>
      <c r="D7" s="11">
        <f>C7*0.03</f>
        <v>0.39779999999999999</v>
      </c>
      <c r="E7" s="17"/>
      <c r="F7" s="17"/>
    </row>
    <row r="8" spans="1:6" ht="15.6" x14ac:dyDescent="0.25">
      <c r="A8" s="12">
        <v>2</v>
      </c>
      <c r="B8" s="13" t="s">
        <v>15</v>
      </c>
      <c r="C8" s="14">
        <v>14.055</v>
      </c>
      <c r="D8" s="14">
        <f>C8*0.03</f>
        <v>0.42164999999999997</v>
      </c>
      <c r="E8" s="17"/>
      <c r="F8" s="17"/>
    </row>
    <row r="9" spans="1:6" ht="15.6" x14ac:dyDescent="0.25">
      <c r="A9" s="9">
        <v>3</v>
      </c>
      <c r="B9" s="10" t="s">
        <v>16</v>
      </c>
      <c r="C9" s="11">
        <v>7.6650000000000009</v>
      </c>
      <c r="D9" s="11">
        <f>C9*0.03</f>
        <v>0.22995000000000002</v>
      </c>
      <c r="E9" s="17"/>
      <c r="F9" s="17"/>
    </row>
    <row r="10" spans="1:6" ht="15.6" x14ac:dyDescent="0.25">
      <c r="A10" s="12">
        <v>4</v>
      </c>
      <c r="B10" s="13" t="s">
        <v>17</v>
      </c>
      <c r="C10" s="14">
        <v>18.134999999999998</v>
      </c>
      <c r="D10" s="14">
        <f>C10*0.03</f>
        <v>0.54404999999999992</v>
      </c>
      <c r="E10" s="17"/>
      <c r="F10" s="17"/>
    </row>
    <row r="11" spans="1:6" ht="15.6" x14ac:dyDescent="0.25">
      <c r="A11" s="9">
        <v>5</v>
      </c>
      <c r="B11" s="10" t="s">
        <v>18</v>
      </c>
      <c r="C11" s="11">
        <v>13.950000000000001</v>
      </c>
      <c r="D11" s="11">
        <f>C11*0.03</f>
        <v>0.41850000000000004</v>
      </c>
      <c r="E11" s="17"/>
      <c r="F11" s="17"/>
    </row>
    <row r="12" spans="1:6" ht="15.6" x14ac:dyDescent="0.25">
      <c r="B12" s="10" t="s">
        <v>9</v>
      </c>
      <c r="C12" s="11">
        <f>SUM(C7:C11)</f>
        <v>67.064999999999998</v>
      </c>
      <c r="D12" s="11">
        <f>SUM(D7:D11)</f>
        <v>2.0119500000000001</v>
      </c>
      <c r="E12" s="17"/>
      <c r="F12" s="17"/>
    </row>
  </sheetData>
  <mergeCells count="6">
    <mergeCell ref="A5:D5"/>
    <mergeCell ref="E5:F12"/>
    <mergeCell ref="A1:F1"/>
    <mergeCell ref="B2:D2"/>
    <mergeCell ref="B3:D3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16" sqref="D16"/>
    </sheetView>
  </sheetViews>
  <sheetFormatPr defaultRowHeight="15" x14ac:dyDescent="0.25"/>
  <cols>
    <col min="1" max="2" width="8.88671875" style="1"/>
    <col min="3" max="3" width="13" style="1" customWidth="1"/>
    <col min="4" max="4" width="15.109375" style="1" customWidth="1"/>
    <col min="5" max="5" width="7.77734375" style="21" bestFit="1" customWidth="1"/>
    <col min="6" max="16384" width="8.88671875" style="1"/>
  </cols>
  <sheetData>
    <row r="1" spans="1:6" ht="18" customHeight="1" x14ac:dyDescent="0.25">
      <c r="A1" s="16" t="s">
        <v>0</v>
      </c>
      <c r="B1" s="16"/>
      <c r="C1" s="16"/>
      <c r="D1" s="16"/>
      <c r="E1" s="16"/>
      <c r="F1" s="16"/>
    </row>
    <row r="2" spans="1:6" ht="18" customHeight="1" x14ac:dyDescent="0.25">
      <c r="A2" s="15" t="s">
        <v>1</v>
      </c>
      <c r="B2" s="16" t="s">
        <v>2</v>
      </c>
      <c r="C2" s="16"/>
      <c r="D2" s="16"/>
      <c r="E2" s="4" t="s">
        <v>3</v>
      </c>
      <c r="F2" s="3" t="s">
        <v>4</v>
      </c>
    </row>
    <row r="3" spans="1:6" ht="69.599999999999994" customHeight="1" x14ac:dyDescent="0.25">
      <c r="A3" s="2">
        <v>1</v>
      </c>
      <c r="B3" s="18" t="s">
        <v>22</v>
      </c>
      <c r="C3" s="19"/>
      <c r="D3" s="19"/>
      <c r="E3" s="4" t="s">
        <v>5</v>
      </c>
      <c r="F3" s="5">
        <f>D13</f>
        <v>2.4714</v>
      </c>
    </row>
    <row r="4" spans="1:6" ht="23.4" customHeight="1" x14ac:dyDescent="0.25">
      <c r="A4" s="2">
        <v>2</v>
      </c>
      <c r="B4" s="18" t="s">
        <v>19</v>
      </c>
      <c r="C4" s="19"/>
      <c r="D4" s="19"/>
      <c r="E4" s="4" t="s">
        <v>20</v>
      </c>
      <c r="F4" s="5">
        <f>C13</f>
        <v>82.38000000000001</v>
      </c>
    </row>
    <row r="5" spans="1:6" ht="11.4" customHeight="1" x14ac:dyDescent="0.25">
      <c r="A5" s="20"/>
      <c r="B5" s="20"/>
      <c r="C5" s="20"/>
      <c r="D5" s="20"/>
      <c r="E5" s="20"/>
      <c r="F5" s="20"/>
    </row>
    <row r="6" spans="1:6" ht="15.6" x14ac:dyDescent="0.25">
      <c r="A6" s="16" t="s">
        <v>23</v>
      </c>
      <c r="B6" s="16"/>
      <c r="C6" s="16"/>
      <c r="D6" s="16"/>
      <c r="E6" s="17"/>
      <c r="F6" s="17"/>
    </row>
    <row r="7" spans="1:6" ht="15.6" x14ac:dyDescent="0.25">
      <c r="A7" s="6" t="s">
        <v>1</v>
      </c>
      <c r="B7" s="7" t="s">
        <v>6</v>
      </c>
      <c r="C7" s="8" t="s">
        <v>7</v>
      </c>
      <c r="D7" s="8" t="s">
        <v>8</v>
      </c>
      <c r="E7" s="17"/>
      <c r="F7" s="17"/>
    </row>
    <row r="8" spans="1:6" ht="15.6" x14ac:dyDescent="0.25">
      <c r="A8" s="9">
        <v>1</v>
      </c>
      <c r="B8" s="10" t="s">
        <v>14</v>
      </c>
      <c r="C8" s="11">
        <v>21.6</v>
      </c>
      <c r="D8" s="11">
        <f>C8*0.03</f>
        <v>0.64800000000000002</v>
      </c>
      <c r="E8" s="17"/>
      <c r="F8" s="17"/>
    </row>
    <row r="9" spans="1:6" ht="15.6" x14ac:dyDescent="0.25">
      <c r="A9" s="12">
        <v>2</v>
      </c>
      <c r="B9" s="13" t="s">
        <v>15</v>
      </c>
      <c r="C9" s="14">
        <v>14.055</v>
      </c>
      <c r="D9" s="14">
        <f>C9*0.03</f>
        <v>0.42164999999999997</v>
      </c>
      <c r="E9" s="17"/>
      <c r="F9" s="17"/>
    </row>
    <row r="10" spans="1:6" ht="15.6" x14ac:dyDescent="0.25">
      <c r="A10" s="9">
        <v>3</v>
      </c>
      <c r="B10" s="10" t="s">
        <v>16</v>
      </c>
      <c r="C10" s="11">
        <v>14.64</v>
      </c>
      <c r="D10" s="11">
        <f>C10*0.03</f>
        <v>0.43919999999999998</v>
      </c>
      <c r="E10" s="17"/>
      <c r="F10" s="17"/>
    </row>
    <row r="11" spans="1:6" ht="15.6" x14ac:dyDescent="0.25">
      <c r="A11" s="12">
        <v>2</v>
      </c>
      <c r="B11" s="13" t="s">
        <v>17</v>
      </c>
      <c r="C11" s="14">
        <v>18.134999999999998</v>
      </c>
      <c r="D11" s="14">
        <f>C11*0.03</f>
        <v>0.54404999999999992</v>
      </c>
      <c r="E11" s="17"/>
      <c r="F11" s="17"/>
    </row>
    <row r="12" spans="1:6" ht="15.6" x14ac:dyDescent="0.25">
      <c r="A12" s="9">
        <v>3</v>
      </c>
      <c r="B12" s="10" t="s">
        <v>18</v>
      </c>
      <c r="C12" s="11">
        <v>13.950000000000001</v>
      </c>
      <c r="D12" s="11">
        <f>C12*0.03</f>
        <v>0.41850000000000004</v>
      </c>
      <c r="E12" s="17"/>
      <c r="F12" s="17"/>
    </row>
    <row r="13" spans="1:6" ht="15.6" x14ac:dyDescent="0.25">
      <c r="B13" s="10" t="s">
        <v>9</v>
      </c>
      <c r="C13" s="11">
        <f>SUM(C8:C12)</f>
        <v>82.38000000000001</v>
      </c>
      <c r="D13" s="11">
        <f>SUM(D8:D12)</f>
        <v>2.4714</v>
      </c>
      <c r="E13" s="17"/>
      <c r="F13" s="17"/>
    </row>
  </sheetData>
  <mergeCells count="7">
    <mergeCell ref="A6:D6"/>
    <mergeCell ref="E6:F13"/>
    <mergeCell ref="B4:D4"/>
    <mergeCell ref="A1:F1"/>
    <mergeCell ref="B2:D2"/>
    <mergeCell ref="B3:D3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резка</vt:lpstr>
      <vt:lpstr>Дем бет</vt:lpstr>
      <vt:lpstr>Монтаж бет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2026-09-11T13:07:16Z</dcterms:modified>
</cp:coreProperties>
</file>