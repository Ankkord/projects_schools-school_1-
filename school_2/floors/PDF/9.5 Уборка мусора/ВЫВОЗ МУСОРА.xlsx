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8" windowWidth="14808" windowHeight="8016"/>
  </bookViews>
  <sheets>
    <sheet name="МУСОР" sheetId="3" r:id="rId1"/>
  </sheets>
  <calcPr calcId="152511"/>
</workbook>
</file>

<file path=xl/calcChain.xml><?xml version="1.0" encoding="utf-8"?>
<calcChain xmlns="http://schemas.openxmlformats.org/spreadsheetml/2006/main">
  <c r="S7" i="3" l="1"/>
  <c r="N7" i="3"/>
  <c r="T7" i="3" s="1"/>
  <c r="S6" i="3"/>
  <c r="N6" i="3"/>
  <c r="L6" i="3"/>
  <c r="J6" i="3"/>
  <c r="H6" i="3"/>
  <c r="T6" i="3" s="1"/>
  <c r="S5" i="3"/>
  <c r="R5" i="3"/>
  <c r="P5" i="3"/>
  <c r="N5" i="3"/>
  <c r="L5" i="3"/>
  <c r="J5" i="3"/>
  <c r="H5" i="3"/>
  <c r="F5" i="3"/>
  <c r="D5" i="3"/>
  <c r="S8" i="3" l="1"/>
  <c r="T5" i="3"/>
  <c r="T8" i="3" s="1"/>
</calcChain>
</file>

<file path=xl/sharedStrings.xml><?xml version="1.0" encoding="utf-8"?>
<sst xmlns="http://schemas.openxmlformats.org/spreadsheetml/2006/main" count="32" uniqueCount="16">
  <si>
    <t>ЯНВАРЬ 2026 ГОДА.</t>
  </si>
  <si>
    <t>ОБЪЁМ</t>
  </si>
  <si>
    <t>Талоны/м3</t>
  </si>
  <si>
    <t>штук</t>
  </si>
  <si>
    <t>м3</t>
  </si>
  <si>
    <t>8 м3</t>
  </si>
  <si>
    <t>ФЕВРАЛЬ 2026 ГОДА.</t>
  </si>
  <si>
    <t>МАРТ 2026 ГОДА.</t>
  </si>
  <si>
    <t>20 м3</t>
  </si>
  <si>
    <t>АПРЕЛЬ 2026 ГОДА.</t>
  </si>
  <si>
    <t>МАЙ 2026 ГОДА.</t>
  </si>
  <si>
    <t>ИЮНЬ 2026 ГОДА.</t>
  </si>
  <si>
    <t>ИЮЛЬ 2026 ГОДА.</t>
  </si>
  <si>
    <t>АВГУСТ 2026 ГОДА.</t>
  </si>
  <si>
    <t>ИТОГО</t>
  </si>
  <si>
    <t xml:space="preserve">ВСЕГО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</si>
</sst>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b/>
      <sz val="18"/>
      <color theme="1"/>
      <name val="Calibri"/>
      <family val="2"/>
      <charset val="204"/>
      <scheme val="minor"/>
    </font>
    <font>
      <sz val="20"/>
      <color theme="1"/>
      <name val="Calibri"/>
      <family val="2"/>
      <scheme val="minor"/>
    </font>
    <font>
      <sz val="16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CCFF33"/>
        <bgColor indexed="64"/>
      </patternFill>
    </fill>
  </fills>
  <borders count="25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95">
    <xf numFmtId="0" fontId="0" fillId="0" borderId="0" xfId="0"/>
    <xf numFmtId="0" fontId="1" fillId="0" borderId="9" xfId="0" applyFont="1" applyBorder="1" applyAlignment="1">
      <alignment horizontal="center" vertical="center"/>
    </xf>
    <xf numFmtId="0" fontId="0" fillId="0" borderId="9" xfId="0" applyBorder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/>
    <xf numFmtId="0" fontId="0" fillId="2" borderId="7" xfId="0" applyFill="1" applyBorder="1"/>
    <xf numFmtId="0" fontId="0" fillId="3" borderId="1" xfId="0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0" fontId="0" fillId="3" borderId="6" xfId="0" applyFill="1" applyBorder="1"/>
    <xf numFmtId="0" fontId="0" fillId="3" borderId="7" xfId="0" applyFill="1" applyBorder="1"/>
    <xf numFmtId="0" fontId="0" fillId="4" borderId="1" xfId="0" applyFill="1" applyBorder="1" applyAlignment="1">
      <alignment horizontal="center" vertical="center"/>
    </xf>
    <xf numFmtId="0" fontId="0" fillId="4" borderId="2" xfId="0" applyFill="1" applyBorder="1" applyAlignment="1">
      <alignment horizontal="center" vertical="center"/>
    </xf>
    <xf numFmtId="0" fontId="0" fillId="4" borderId="4" xfId="0" applyFill="1" applyBorder="1" applyAlignment="1">
      <alignment horizontal="center" vertical="center"/>
    </xf>
    <xf numFmtId="0" fontId="0" fillId="4" borderId="5" xfId="0" applyFill="1" applyBorder="1" applyAlignment="1">
      <alignment horizontal="center" vertical="center"/>
    </xf>
    <xf numFmtId="0" fontId="0" fillId="4" borderId="6" xfId="0" applyFill="1" applyBorder="1"/>
    <xf numFmtId="0" fontId="0" fillId="4" borderId="7" xfId="0" applyFill="1" applyBorder="1"/>
    <xf numFmtId="0" fontId="0" fillId="5" borderId="1" xfId="0" applyFill="1" applyBorder="1" applyAlignment="1">
      <alignment horizontal="center" vertical="center"/>
    </xf>
    <xf numFmtId="0" fontId="0" fillId="5" borderId="2" xfId="0" applyFill="1" applyBorder="1" applyAlignment="1">
      <alignment horizontal="center" vertical="center"/>
    </xf>
    <xf numFmtId="0" fontId="0" fillId="5" borderId="4" xfId="0" applyFill="1" applyBorder="1" applyAlignment="1">
      <alignment horizontal="center" vertical="center"/>
    </xf>
    <xf numFmtId="0" fontId="0" fillId="5" borderId="5" xfId="0" applyFill="1" applyBorder="1" applyAlignment="1">
      <alignment horizontal="center" vertical="center"/>
    </xf>
    <xf numFmtId="0" fontId="0" fillId="5" borderId="6" xfId="0" applyFill="1" applyBorder="1" applyAlignment="1">
      <alignment horizontal="center" vertical="center"/>
    </xf>
    <xf numFmtId="0" fontId="0" fillId="5" borderId="13" xfId="0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6" borderId="2" xfId="0" applyFill="1" applyBorder="1" applyAlignment="1">
      <alignment horizontal="center" vertical="center"/>
    </xf>
    <xf numFmtId="0" fontId="0" fillId="6" borderId="4" xfId="0" applyFill="1" applyBorder="1" applyAlignment="1">
      <alignment horizontal="center" vertical="center"/>
    </xf>
    <xf numFmtId="0" fontId="0" fillId="6" borderId="5" xfId="0" applyFill="1" applyBorder="1" applyAlignment="1">
      <alignment horizontal="center" vertical="center"/>
    </xf>
    <xf numFmtId="0" fontId="0" fillId="6" borderId="13" xfId="0" applyFill="1" applyBorder="1" applyAlignment="1">
      <alignment horizontal="center" vertical="center"/>
    </xf>
    <xf numFmtId="0" fontId="0" fillId="6" borderId="6" xfId="0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0" fillId="7" borderId="2" xfId="0" applyFill="1" applyBorder="1" applyAlignment="1">
      <alignment horizontal="center" vertical="center"/>
    </xf>
    <xf numFmtId="0" fontId="0" fillId="7" borderId="4" xfId="0" applyFill="1" applyBorder="1" applyAlignment="1">
      <alignment horizontal="center" vertical="center"/>
    </xf>
    <xf numFmtId="0" fontId="0" fillId="7" borderId="5" xfId="0" applyFill="1" applyBorder="1" applyAlignment="1">
      <alignment horizontal="center" vertical="center"/>
    </xf>
    <xf numFmtId="0" fontId="0" fillId="7" borderId="6" xfId="0" applyFill="1" applyBorder="1" applyAlignment="1">
      <alignment horizontal="center" vertical="center"/>
    </xf>
    <xf numFmtId="0" fontId="0" fillId="7" borderId="13" xfId="0" applyFill="1" applyBorder="1" applyAlignment="1">
      <alignment horizontal="center" vertical="center"/>
    </xf>
    <xf numFmtId="0" fontId="0" fillId="8" borderId="1" xfId="0" applyFill="1" applyBorder="1" applyAlignment="1">
      <alignment horizontal="center" vertical="center"/>
    </xf>
    <xf numFmtId="0" fontId="0" fillId="8" borderId="2" xfId="0" applyFill="1" applyBorder="1" applyAlignment="1">
      <alignment horizontal="center" vertical="center"/>
    </xf>
    <xf numFmtId="0" fontId="0" fillId="8" borderId="4" xfId="0" applyFill="1" applyBorder="1" applyAlignment="1">
      <alignment horizontal="center" vertical="center"/>
    </xf>
    <xf numFmtId="0" fontId="0" fillId="8" borderId="5" xfId="0" applyFill="1" applyBorder="1" applyAlignment="1">
      <alignment horizontal="center" vertical="center"/>
    </xf>
    <xf numFmtId="0" fontId="0" fillId="8" borderId="6" xfId="0" applyFill="1" applyBorder="1" applyAlignment="1">
      <alignment horizontal="center" vertical="center"/>
    </xf>
    <xf numFmtId="0" fontId="0" fillId="8" borderId="13" xfId="0" applyFill="1" applyBorder="1" applyAlignment="1">
      <alignment horizontal="center" vertical="center"/>
    </xf>
    <xf numFmtId="0" fontId="0" fillId="9" borderId="1" xfId="0" applyFill="1" applyBorder="1" applyAlignment="1">
      <alignment horizontal="center" vertical="center"/>
    </xf>
    <xf numFmtId="0" fontId="0" fillId="9" borderId="4" xfId="0" applyFill="1" applyBorder="1" applyAlignment="1">
      <alignment horizontal="center" vertical="center"/>
    </xf>
    <xf numFmtId="0" fontId="0" fillId="9" borderId="6" xfId="0" applyFill="1" applyBorder="1"/>
    <xf numFmtId="0" fontId="0" fillId="0" borderId="14" xfId="0" applyBorder="1"/>
    <xf numFmtId="0" fontId="0" fillId="9" borderId="3" xfId="0" applyFill="1" applyBorder="1" applyAlignment="1">
      <alignment horizontal="center" vertical="center"/>
    </xf>
    <xf numFmtId="0" fontId="0" fillId="9" borderId="15" xfId="0" applyFill="1" applyBorder="1" applyAlignment="1">
      <alignment horizontal="center" vertical="center"/>
    </xf>
    <xf numFmtId="0" fontId="0" fillId="9" borderId="14" xfId="0" applyFill="1" applyBorder="1"/>
    <xf numFmtId="0" fontId="0" fillId="10" borderId="1" xfId="0" applyFill="1" applyBorder="1" applyAlignment="1">
      <alignment horizontal="center" vertical="center"/>
    </xf>
    <xf numFmtId="0" fontId="0" fillId="10" borderId="2" xfId="0" applyFill="1" applyBorder="1" applyAlignment="1">
      <alignment horizontal="center" vertical="center"/>
    </xf>
    <xf numFmtId="0" fontId="4" fillId="0" borderId="10" xfId="0" applyFont="1" applyBorder="1"/>
    <xf numFmtId="0" fontId="4" fillId="0" borderId="11" xfId="0" applyFont="1" applyBorder="1"/>
    <xf numFmtId="0" fontId="3" fillId="10" borderId="19" xfId="0" applyFont="1" applyFill="1" applyBorder="1" applyAlignment="1">
      <alignment horizontal="center" vertical="center"/>
    </xf>
    <xf numFmtId="0" fontId="3" fillId="10" borderId="20" xfId="0" applyFont="1" applyFill="1" applyBorder="1" applyAlignment="1">
      <alignment horizontal="center" vertical="center"/>
    </xf>
    <xf numFmtId="0" fontId="0" fillId="2" borderId="21" xfId="0" applyFill="1" applyBorder="1"/>
    <xf numFmtId="0" fontId="0" fillId="2" borderId="22" xfId="0" applyFill="1" applyBorder="1"/>
    <xf numFmtId="0" fontId="0" fillId="4" borderId="21" xfId="0" applyFill="1" applyBorder="1"/>
    <xf numFmtId="0" fontId="0" fillId="4" borderId="22" xfId="0" applyFill="1" applyBorder="1"/>
    <xf numFmtId="0" fontId="0" fillId="5" borderId="21" xfId="0" applyFill="1" applyBorder="1"/>
    <xf numFmtId="0" fontId="0" fillId="5" borderId="22" xfId="0" applyFill="1" applyBorder="1"/>
    <xf numFmtId="0" fontId="0" fillId="6" borderId="21" xfId="0" applyFill="1" applyBorder="1"/>
    <xf numFmtId="0" fontId="0" fillId="6" borderId="22" xfId="0" applyFill="1" applyBorder="1"/>
    <xf numFmtId="0" fontId="0" fillId="7" borderId="21" xfId="0" applyFill="1" applyBorder="1"/>
    <xf numFmtId="0" fontId="0" fillId="7" borderId="22" xfId="0" applyFill="1" applyBorder="1"/>
    <xf numFmtId="0" fontId="0" fillId="8" borderId="21" xfId="0" applyFill="1" applyBorder="1" applyAlignment="1">
      <alignment horizontal="center" vertical="center"/>
    </xf>
    <xf numFmtId="0" fontId="0" fillId="8" borderId="23" xfId="0" applyFill="1" applyBorder="1" applyAlignment="1">
      <alignment horizontal="center" vertical="center"/>
    </xf>
    <xf numFmtId="0" fontId="0" fillId="3" borderId="21" xfId="0" applyFill="1" applyBorder="1"/>
    <xf numFmtId="0" fontId="0" fillId="3" borderId="22" xfId="0" applyFill="1" applyBorder="1"/>
    <xf numFmtId="0" fontId="0" fillId="9" borderId="21" xfId="0" applyFill="1" applyBorder="1"/>
    <xf numFmtId="0" fontId="0" fillId="9" borderId="24" xfId="0" applyFill="1" applyBorder="1"/>
    <xf numFmtId="0" fontId="3" fillId="0" borderId="16" xfId="0" applyFont="1" applyBorder="1" applyAlignment="1">
      <alignment horizontal="right" vertical="center"/>
    </xf>
    <xf numFmtId="0" fontId="3" fillId="0" borderId="17" xfId="0" applyFont="1" applyBorder="1" applyAlignment="1">
      <alignment horizontal="right" vertical="center"/>
    </xf>
    <xf numFmtId="0" fontId="3" fillId="0" borderId="18" xfId="0" applyFont="1" applyBorder="1" applyAlignment="1">
      <alignment horizontal="right" vertical="center"/>
    </xf>
    <xf numFmtId="0" fontId="1" fillId="3" borderId="9" xfId="0" applyFont="1" applyFill="1" applyBorder="1" applyAlignment="1">
      <alignment horizontal="center" vertical="center"/>
    </xf>
    <xf numFmtId="0" fontId="1" fillId="3" borderId="8" xfId="0" applyFont="1" applyFill="1" applyBorder="1" applyAlignment="1">
      <alignment horizontal="center" vertical="center"/>
    </xf>
    <xf numFmtId="0" fontId="1" fillId="9" borderId="9" xfId="0" applyFont="1" applyFill="1" applyBorder="1" applyAlignment="1">
      <alignment horizontal="center" vertical="center"/>
    </xf>
    <xf numFmtId="0" fontId="1" fillId="9" borderId="12" xfId="0" applyFont="1" applyFill="1" applyBorder="1" applyAlignment="1">
      <alignment horizontal="center" vertical="center"/>
    </xf>
    <xf numFmtId="0" fontId="2" fillId="10" borderId="9" xfId="0" applyFont="1" applyFill="1" applyBorder="1" applyAlignment="1">
      <alignment horizontal="center" vertical="center"/>
    </xf>
    <xf numFmtId="0" fontId="2" fillId="10" borderId="8" xfId="0" applyFont="1" applyFill="1" applyBorder="1" applyAlignment="1">
      <alignment horizontal="center" vertical="center"/>
    </xf>
    <xf numFmtId="0" fontId="1" fillId="2" borderId="9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1" fillId="4" borderId="9" xfId="0" applyFont="1" applyFill="1" applyBorder="1" applyAlignment="1">
      <alignment horizontal="center" vertical="center"/>
    </xf>
    <xf numFmtId="0" fontId="1" fillId="4" borderId="8" xfId="0" applyFont="1" applyFill="1" applyBorder="1" applyAlignment="1">
      <alignment horizontal="center" vertical="center"/>
    </xf>
    <xf numFmtId="0" fontId="1" fillId="5" borderId="9" xfId="0" applyFont="1" applyFill="1" applyBorder="1" applyAlignment="1">
      <alignment horizontal="center" vertical="center"/>
    </xf>
    <xf numFmtId="0" fontId="1" fillId="5" borderId="8" xfId="0" applyFont="1" applyFill="1" applyBorder="1" applyAlignment="1">
      <alignment horizontal="center" vertical="center"/>
    </xf>
    <xf numFmtId="17" fontId="1" fillId="6" borderId="9" xfId="0" applyNumberFormat="1" applyFont="1" applyFill="1" applyBorder="1" applyAlignment="1">
      <alignment horizontal="center" vertical="center"/>
    </xf>
    <xf numFmtId="0" fontId="1" fillId="6" borderId="8" xfId="0" applyFont="1" applyFill="1" applyBorder="1" applyAlignment="1">
      <alignment horizontal="center" vertical="center"/>
    </xf>
    <xf numFmtId="0" fontId="1" fillId="7" borderId="9" xfId="0" applyFont="1" applyFill="1" applyBorder="1" applyAlignment="1">
      <alignment horizontal="center" vertical="center"/>
    </xf>
    <xf numFmtId="0" fontId="1" fillId="7" borderId="8" xfId="0" applyFont="1" applyFill="1" applyBorder="1" applyAlignment="1">
      <alignment horizontal="center" vertical="center"/>
    </xf>
    <xf numFmtId="0" fontId="1" fillId="8" borderId="9" xfId="0" applyFont="1" applyFill="1" applyBorder="1" applyAlignment="1">
      <alignment horizontal="center" vertical="center"/>
    </xf>
    <xf numFmtId="0" fontId="1" fillId="8" borderId="8" xfId="0" applyFont="1" applyFill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Medium9"/>
  <colors>
    <mruColors>
      <color rgb="FFCCFF33"/>
      <color rgb="FFCCFFCC"/>
      <color rgb="FFCCFFFF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2:T8"/>
  <sheetViews>
    <sheetView tabSelected="1" view="pageBreakPreview" zoomScale="82" zoomScaleNormal="100" zoomScaleSheetLayoutView="82" workbookViewId="0">
      <selection activeCell="C22" sqref="C22"/>
    </sheetView>
  </sheetViews>
  <sheetFormatPr defaultRowHeight="14.4" x14ac:dyDescent="0.3"/>
  <cols>
    <col min="2" max="2" width="21.109375" customWidth="1"/>
    <col min="3" max="3" width="11.88671875" customWidth="1"/>
    <col min="4" max="5" width="11" customWidth="1"/>
    <col min="6" max="6" width="11.6640625" customWidth="1"/>
    <col min="7" max="7" width="10.5546875" customWidth="1"/>
    <col min="8" max="8" width="10.109375" customWidth="1"/>
    <col min="9" max="9" width="10.44140625" customWidth="1"/>
    <col min="10" max="10" width="11.6640625" customWidth="1"/>
    <col min="11" max="17" width="12.77734375" customWidth="1"/>
    <col min="18" max="18" width="11.6640625" customWidth="1"/>
    <col min="19" max="20" width="12.77734375" customWidth="1"/>
  </cols>
  <sheetData>
    <row r="2" spans="1:20" ht="15" thickBot="1" x14ac:dyDescent="0.35"/>
    <row r="3" spans="1:20" ht="43.8" customHeight="1" thickBot="1" x14ac:dyDescent="0.35">
      <c r="B3" s="1" t="s">
        <v>1</v>
      </c>
      <c r="C3" s="83" t="s">
        <v>0</v>
      </c>
      <c r="D3" s="84"/>
      <c r="E3" s="85" t="s">
        <v>6</v>
      </c>
      <c r="F3" s="86"/>
      <c r="G3" s="87" t="s">
        <v>7</v>
      </c>
      <c r="H3" s="88"/>
      <c r="I3" s="89" t="s">
        <v>9</v>
      </c>
      <c r="J3" s="90"/>
      <c r="K3" s="91" t="s">
        <v>10</v>
      </c>
      <c r="L3" s="92"/>
      <c r="M3" s="93" t="s">
        <v>11</v>
      </c>
      <c r="N3" s="94"/>
      <c r="O3" s="77" t="s">
        <v>12</v>
      </c>
      <c r="P3" s="78"/>
      <c r="Q3" s="79" t="s">
        <v>13</v>
      </c>
      <c r="R3" s="80"/>
      <c r="S3" s="81" t="s">
        <v>14</v>
      </c>
      <c r="T3" s="82"/>
    </row>
    <row r="4" spans="1:20" ht="19.95" customHeight="1" thickBot="1" x14ac:dyDescent="0.35">
      <c r="B4" s="2" t="s">
        <v>2</v>
      </c>
      <c r="C4" s="3" t="s">
        <v>3</v>
      </c>
      <c r="D4" s="4" t="s">
        <v>4</v>
      </c>
      <c r="E4" s="15" t="s">
        <v>3</v>
      </c>
      <c r="F4" s="16" t="s">
        <v>4</v>
      </c>
      <c r="G4" s="21" t="s">
        <v>3</v>
      </c>
      <c r="H4" s="22" t="s">
        <v>4</v>
      </c>
      <c r="I4" s="27" t="s">
        <v>3</v>
      </c>
      <c r="J4" s="28" t="s">
        <v>4</v>
      </c>
      <c r="K4" s="33" t="s">
        <v>3</v>
      </c>
      <c r="L4" s="34" t="s">
        <v>4</v>
      </c>
      <c r="M4" s="39" t="s">
        <v>3</v>
      </c>
      <c r="N4" s="40" t="s">
        <v>4</v>
      </c>
      <c r="O4" s="9" t="s">
        <v>3</v>
      </c>
      <c r="P4" s="10" t="s">
        <v>4</v>
      </c>
      <c r="Q4" s="45" t="s">
        <v>3</v>
      </c>
      <c r="R4" s="49" t="s">
        <v>4</v>
      </c>
      <c r="S4" s="52" t="s">
        <v>3</v>
      </c>
      <c r="T4" s="53" t="s">
        <v>4</v>
      </c>
    </row>
    <row r="5" spans="1:20" ht="19.95" customHeight="1" thickBot="1" x14ac:dyDescent="0.45">
      <c r="B5" s="54" t="s">
        <v>5</v>
      </c>
      <c r="C5" s="5">
        <v>2</v>
      </c>
      <c r="D5" s="6">
        <f>C5*8</f>
        <v>16</v>
      </c>
      <c r="E5" s="17">
        <v>3</v>
      </c>
      <c r="F5" s="18">
        <f>E5*8</f>
        <v>24</v>
      </c>
      <c r="G5" s="23">
        <v>11</v>
      </c>
      <c r="H5" s="24">
        <f>G5*8</f>
        <v>88</v>
      </c>
      <c r="I5" s="29">
        <v>13</v>
      </c>
      <c r="J5" s="30">
        <f>I5*8</f>
        <v>104</v>
      </c>
      <c r="K5" s="35">
        <v>7</v>
      </c>
      <c r="L5" s="36">
        <f>K5*8</f>
        <v>56</v>
      </c>
      <c r="M5" s="41">
        <v>5</v>
      </c>
      <c r="N5" s="42">
        <f>M5*8</f>
        <v>40</v>
      </c>
      <c r="O5" s="11">
        <v>13</v>
      </c>
      <c r="P5" s="12">
        <f>O5*8</f>
        <v>104</v>
      </c>
      <c r="Q5" s="46">
        <v>9</v>
      </c>
      <c r="R5" s="50">
        <f>Q5*8</f>
        <v>72</v>
      </c>
      <c r="S5" s="52">
        <f t="shared" ref="S5:T7" si="0">C5+E5+G5+I5+K5+M5+O5+Q5</f>
        <v>63</v>
      </c>
      <c r="T5" s="53">
        <f t="shared" si="0"/>
        <v>504</v>
      </c>
    </row>
    <row r="6" spans="1:20" ht="19.95" customHeight="1" thickBot="1" x14ac:dyDescent="0.45">
      <c r="B6" s="55" t="s">
        <v>8</v>
      </c>
      <c r="C6" s="7"/>
      <c r="D6" s="8"/>
      <c r="E6" s="19"/>
      <c r="F6" s="20"/>
      <c r="G6" s="25">
        <v>3</v>
      </c>
      <c r="H6" s="26">
        <f>G6*20</f>
        <v>60</v>
      </c>
      <c r="I6" s="32">
        <v>7</v>
      </c>
      <c r="J6" s="31">
        <f>I6*20</f>
        <v>140</v>
      </c>
      <c r="K6" s="37">
        <v>5</v>
      </c>
      <c r="L6" s="38">
        <f>K6*20</f>
        <v>100</v>
      </c>
      <c r="M6" s="43">
        <v>4</v>
      </c>
      <c r="N6" s="44">
        <f>M6*20</f>
        <v>80</v>
      </c>
      <c r="O6" s="13"/>
      <c r="P6" s="14"/>
      <c r="Q6" s="47"/>
      <c r="R6" s="51"/>
      <c r="S6" s="52">
        <f t="shared" si="0"/>
        <v>19</v>
      </c>
      <c r="T6" s="53">
        <f t="shared" si="0"/>
        <v>380</v>
      </c>
    </row>
    <row r="7" spans="1:20" ht="21.6" customHeight="1" thickBot="1" x14ac:dyDescent="0.35">
      <c r="B7" s="74" t="s">
        <v>15</v>
      </c>
      <c r="C7" s="58"/>
      <c r="D7" s="59"/>
      <c r="E7" s="60"/>
      <c r="F7" s="61"/>
      <c r="G7" s="62"/>
      <c r="H7" s="63"/>
      <c r="I7" s="64"/>
      <c r="J7" s="65"/>
      <c r="K7" s="66"/>
      <c r="L7" s="67"/>
      <c r="M7" s="68"/>
      <c r="N7" s="69">
        <f>M7*16</f>
        <v>0</v>
      </c>
      <c r="O7" s="70"/>
      <c r="P7" s="71"/>
      <c r="Q7" s="72"/>
      <c r="R7" s="73"/>
      <c r="S7" s="52">
        <f t="shared" si="0"/>
        <v>0</v>
      </c>
      <c r="T7" s="53">
        <f t="shared" si="0"/>
        <v>0</v>
      </c>
    </row>
    <row r="8" spans="1:20" ht="38.4" customHeight="1" thickBot="1" x14ac:dyDescent="0.35">
      <c r="A8" s="48"/>
      <c r="C8" s="75"/>
      <c r="D8" s="75"/>
      <c r="E8" s="75"/>
      <c r="F8" s="75"/>
      <c r="G8" s="75"/>
      <c r="H8" s="75"/>
      <c r="I8" s="75"/>
      <c r="J8" s="75"/>
      <c r="K8" s="75"/>
      <c r="L8" s="75"/>
      <c r="M8" s="75"/>
      <c r="N8" s="75"/>
      <c r="O8" s="75"/>
      <c r="P8" s="75"/>
      <c r="Q8" s="75"/>
      <c r="R8" s="76"/>
      <c r="S8" s="56">
        <f>SUM(S5:S7)</f>
        <v>82</v>
      </c>
      <c r="T8" s="57">
        <f>SUM(T5:T7)</f>
        <v>884</v>
      </c>
    </row>
  </sheetData>
  <mergeCells count="9">
    <mergeCell ref="O3:P3"/>
    <mergeCell ref="Q3:R3"/>
    <mergeCell ref="S3:T3"/>
    <mergeCell ref="C3:D3"/>
    <mergeCell ref="E3:F3"/>
    <mergeCell ref="G3:H3"/>
    <mergeCell ref="I3:J3"/>
    <mergeCell ref="K3:L3"/>
    <mergeCell ref="M3:N3"/>
  </mergeCells>
  <pageMargins left="0.7" right="0.7" top="0.75" bottom="0.75" header="0.3" footer="0.3"/>
  <pageSetup paperSize="9" scale="35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МУСОР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2026-09-04T07:30:04Z</dcterms:modified>
</cp:coreProperties>
</file>