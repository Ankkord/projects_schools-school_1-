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СОШ2 Волоколамское ш., 71.15\Исполнительная документация\Откосы\"/>
    </mc:Choice>
  </mc:AlternateContent>
  <xr:revisionPtr revIDLastSave="0" documentId="13_ncr:1_{FC9ECFD3-B010-4EAD-8902-65C99D973161}" xr6:coauthVersionLast="47" xr6:coauthVersionMax="47" xr10:uidLastSave="{00000000-0000-0000-0000-000000000000}"/>
  <bookViews>
    <workbookView xWindow="-38520" yWindow="-120" windowWidth="38640" windowHeight="21240" xr2:uid="{00000000-000D-0000-FFFF-FFFF00000000}"/>
  </bookViews>
  <sheets>
    <sheet name="Откосы 2 и 3 эт. СОШ2" sheetId="1" r:id="rId1"/>
    <sheet name="2эт." sheetId="2" r:id="rId2"/>
    <sheet name="3эт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D9" i="3"/>
  <c r="D10" i="3"/>
  <c r="D11" i="3"/>
  <c r="D12" i="3"/>
  <c r="F12" i="3"/>
  <c r="H12" i="3" s="1"/>
  <c r="I12" i="3" s="1"/>
  <c r="F11" i="3"/>
  <c r="H11" i="3" s="1"/>
  <c r="F10" i="3"/>
  <c r="H10" i="3" s="1"/>
  <c r="F9" i="3"/>
  <c r="H9" i="3" s="1"/>
  <c r="F8" i="3"/>
  <c r="H8" i="3" s="1"/>
  <c r="F7" i="3"/>
  <c r="H7" i="3" s="1"/>
  <c r="F6" i="3"/>
  <c r="H6" i="3" s="1"/>
  <c r="D6" i="3"/>
  <c r="F5" i="3"/>
  <c r="H5" i="3" s="1"/>
  <c r="C5" i="3"/>
  <c r="D5" i="3" s="1"/>
  <c r="F4" i="3"/>
  <c r="H4" i="3" s="1"/>
  <c r="C4" i="3"/>
  <c r="D4" i="3"/>
  <c r="F3" i="3"/>
  <c r="H3" i="3" s="1"/>
  <c r="C3" i="3"/>
  <c r="D3" i="3" s="1"/>
  <c r="F2" i="3"/>
  <c r="H2" i="3" s="1"/>
  <c r="C2" i="3"/>
  <c r="D2" i="3"/>
  <c r="F12" i="2"/>
  <c r="H12" i="2" s="1"/>
  <c r="D12" i="2"/>
  <c r="F11" i="2"/>
  <c r="H11" i="2" s="1"/>
  <c r="C11" i="2"/>
  <c r="D11" i="2" s="1"/>
  <c r="F10" i="2"/>
  <c r="H10" i="2" s="1"/>
  <c r="C10" i="2"/>
  <c r="D10" i="2" s="1"/>
  <c r="F9" i="2"/>
  <c r="H9" i="2" s="1"/>
  <c r="C9" i="2"/>
  <c r="D9" i="2" s="1"/>
  <c r="F8" i="2"/>
  <c r="H8" i="2" s="1"/>
  <c r="I8" i="2" s="1"/>
  <c r="D8" i="2"/>
  <c r="F7" i="2"/>
  <c r="H7" i="2" s="1"/>
  <c r="D7" i="2"/>
  <c r="F6" i="2"/>
  <c r="H6" i="2" s="1"/>
  <c r="C6" i="2"/>
  <c r="D6" i="2" s="1"/>
  <c r="F5" i="2"/>
  <c r="H5" i="2" s="1"/>
  <c r="C5" i="2"/>
  <c r="D5" i="2" s="1"/>
  <c r="F4" i="2"/>
  <c r="H4" i="2" s="1"/>
  <c r="C4" i="2"/>
  <c r="D4" i="2" s="1"/>
  <c r="F3" i="2"/>
  <c r="H3" i="2" s="1"/>
  <c r="C3" i="2"/>
  <c r="D3" i="2" s="1"/>
  <c r="F2" i="2"/>
  <c r="H2" i="2" s="1"/>
  <c r="C2" i="2"/>
  <c r="D2" i="2" s="1"/>
  <c r="E8" i="1"/>
  <c r="E7" i="1"/>
  <c r="G7" i="1"/>
  <c r="I7" i="1" s="1"/>
  <c r="J7" i="1" s="1"/>
  <c r="G12" i="1"/>
  <c r="I12" i="1" s="1"/>
  <c r="J12" i="1" s="1"/>
  <c r="G11" i="1"/>
  <c r="I11" i="1" s="1"/>
  <c r="J11" i="1" s="1"/>
  <c r="G10" i="1"/>
  <c r="I10" i="1" s="1"/>
  <c r="G9" i="1"/>
  <c r="I9" i="1" s="1"/>
  <c r="G8" i="1"/>
  <c r="I8" i="1" s="1"/>
  <c r="J8" i="1" s="1"/>
  <c r="G6" i="1"/>
  <c r="I6" i="1" s="1"/>
  <c r="G5" i="1"/>
  <c r="I5" i="1" s="1"/>
  <c r="G4" i="1"/>
  <c r="I4" i="1" s="1"/>
  <c r="G3" i="1"/>
  <c r="I3" i="1" s="1"/>
  <c r="G2" i="1"/>
  <c r="I2" i="1" s="1"/>
  <c r="D3" i="1"/>
  <c r="E12" i="1"/>
  <c r="C11" i="1"/>
  <c r="E11" i="1" s="1"/>
  <c r="C3" i="1"/>
  <c r="D2" i="1"/>
  <c r="C2" i="1"/>
  <c r="D4" i="1"/>
  <c r="C4" i="1"/>
  <c r="D5" i="1"/>
  <c r="C5" i="1"/>
  <c r="C10" i="1"/>
  <c r="E10" i="1" s="1"/>
  <c r="C6" i="1"/>
  <c r="E6" i="1" s="1"/>
  <c r="C9" i="1"/>
  <c r="E9" i="1" s="1"/>
  <c r="I6" i="3" l="1"/>
  <c r="I7" i="3"/>
  <c r="I8" i="3"/>
  <c r="I11" i="3"/>
  <c r="I3" i="3"/>
  <c r="I6" i="2"/>
  <c r="I5" i="2"/>
  <c r="I12" i="2"/>
  <c r="I7" i="2"/>
  <c r="I3" i="2"/>
  <c r="I2" i="3"/>
  <c r="I9" i="3"/>
  <c r="I10" i="3"/>
  <c r="I4" i="3"/>
  <c r="I5" i="3"/>
  <c r="I9" i="2"/>
  <c r="I11" i="2"/>
  <c r="I2" i="2"/>
  <c r="I10" i="2"/>
  <c r="I4" i="2"/>
  <c r="J6" i="1"/>
  <c r="J9" i="1"/>
  <c r="J10" i="1"/>
  <c r="E2" i="1"/>
  <c r="J2" i="1" s="1"/>
  <c r="E3" i="1"/>
  <c r="J3" i="1" s="1"/>
  <c r="E5" i="1"/>
  <c r="J5" i="1" s="1"/>
  <c r="E4" i="1"/>
  <c r="J4" i="1" s="1"/>
  <c r="I13" i="3" l="1"/>
  <c r="I13" i="2"/>
  <c r="J13" i="1"/>
</calcChain>
</file>

<file path=xl/sharedStrings.xml><?xml version="1.0" encoding="utf-8"?>
<sst xmlns="http://schemas.openxmlformats.org/spreadsheetml/2006/main" count="130" uniqueCount="34">
  <si>
    <t>ВН-1</t>
  </si>
  <si>
    <t>ВН-7</t>
  </si>
  <si>
    <t>ВН-10</t>
  </si>
  <si>
    <t>ВН-6</t>
  </si>
  <si>
    <t>ВН-12</t>
  </si>
  <si>
    <t>ВН-8, 8.1</t>
  </si>
  <si>
    <t>ВН-2</t>
  </si>
  <si>
    <t>ВН-3, 3.1, 13</t>
  </si>
  <si>
    <t>Всего, шт.</t>
  </si>
  <si>
    <t>ИТОГО, м2</t>
  </si>
  <si>
    <t>1х2,7</t>
  </si>
  <si>
    <t>1,8х2,7</t>
  </si>
  <si>
    <t>7,8х2,7</t>
  </si>
  <si>
    <t>4,8х2,7</t>
  </si>
  <si>
    <t>4,65х2,7</t>
  </si>
  <si>
    <t>1,8х6,9</t>
  </si>
  <si>
    <t>9,5х6,9</t>
  </si>
  <si>
    <t>13,7х6,9</t>
  </si>
  <si>
    <t>1,7х6,9</t>
  </si>
  <si>
    <t>1,8х1,5</t>
  </si>
  <si>
    <t>Размер (ШхВ), м</t>
  </si>
  <si>
    <t>2 эт., шт.</t>
  </si>
  <si>
    <t>3 эт., шт.</t>
  </si>
  <si>
    <t>ВН-4, 4.1, 4.2, 4.3</t>
  </si>
  <si>
    <t>Марка окна</t>
  </si>
  <si>
    <t>Наличие подоконика</t>
  </si>
  <si>
    <t>да</t>
  </si>
  <si>
    <t>нет</t>
  </si>
  <si>
    <t>Периметр откоса, м.п.</t>
  </si>
  <si>
    <t>Глубина откоса, м.</t>
  </si>
  <si>
    <t>Площадь одного откоса, м2</t>
  </si>
  <si>
    <t>Общая площадь откосов, м2</t>
  </si>
  <si>
    <t>ВН-5.1</t>
  </si>
  <si>
    <t>ВН-5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</si>
</sst>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"/>
  <sheetViews>
    <sheetView tabSelected="1" zoomScale="85" zoomScaleNormal="85" workbookViewId="0">
      <selection sqref="A1:XFD1048576"/>
    </sheetView>
  </sheetViews>
  <sheetFormatPr defaultRowHeight="21" x14ac:dyDescent="0.3"/>
  <cols>
    <col min="1" max="1" width="25.33203125" style="22" customWidth="1"/>
    <col min="2" max="2" width="14.6640625" style="5" customWidth="1"/>
    <col min="3" max="4" width="9.109375" style="5" customWidth="1"/>
    <col min="5" max="5" width="14.44140625" style="5" customWidth="1"/>
    <col min="6" max="6" width="17.88671875" style="5" customWidth="1"/>
    <col min="7" max="7" width="18.109375" style="7" customWidth="1"/>
    <col min="8" max="8" width="14.6640625" style="5" customWidth="1"/>
    <col min="9" max="9" width="16.88671875" style="5" customWidth="1"/>
    <col min="10" max="10" width="19" style="5" customWidth="1"/>
    <col min="11" max="16384" width="8.88671875" style="5"/>
  </cols>
  <sheetData>
    <row r="1" spans="1:10" s="6" customFormat="1" ht="52.2" x14ac:dyDescent="0.3">
      <c r="A1" s="8" t="s">
        <v>24</v>
      </c>
      <c r="B1" s="9" t="s">
        <v>20</v>
      </c>
      <c r="C1" s="9" t="s">
        <v>21</v>
      </c>
      <c r="D1" s="9" t="s">
        <v>22</v>
      </c>
      <c r="E1" s="9" t="s">
        <v>8</v>
      </c>
      <c r="F1" s="9" t="s">
        <v>25</v>
      </c>
      <c r="G1" s="9" t="s">
        <v>28</v>
      </c>
      <c r="H1" s="9" t="s">
        <v>29</v>
      </c>
      <c r="I1" s="9" t="s">
        <v>30</v>
      </c>
      <c r="J1" s="10" t="s">
        <v>31</v>
      </c>
    </row>
    <row r="2" spans="1:10" x14ac:dyDescent="0.3">
      <c r="A2" s="18" t="s">
        <v>0</v>
      </c>
      <c r="B2" s="1" t="s">
        <v>10</v>
      </c>
      <c r="C2" s="1">
        <f>3+1+1+4+1</f>
        <v>10</v>
      </c>
      <c r="D2" s="1">
        <f>3+1+1+4+1</f>
        <v>10</v>
      </c>
      <c r="E2" s="1">
        <f>SUM(C2:D2)</f>
        <v>20</v>
      </c>
      <c r="F2" s="1" t="s">
        <v>26</v>
      </c>
      <c r="G2" s="1">
        <f>1+2*2.7</f>
        <v>6.4</v>
      </c>
      <c r="H2" s="1">
        <v>0.3</v>
      </c>
      <c r="I2" s="1">
        <f>G2*H2</f>
        <v>1.92</v>
      </c>
      <c r="J2" s="11">
        <f>I2*E2</f>
        <v>38.4</v>
      </c>
    </row>
    <row r="3" spans="1:10" x14ac:dyDescent="0.3">
      <c r="A3" s="18" t="s">
        <v>23</v>
      </c>
      <c r="B3" s="1" t="s">
        <v>11</v>
      </c>
      <c r="C3" s="1">
        <f>18+4+12+20+15+11+11+5</f>
        <v>96</v>
      </c>
      <c r="D3" s="1">
        <f>18+4+10+20+15+13+11+5+8</f>
        <v>104</v>
      </c>
      <c r="E3" s="1">
        <f t="shared" ref="E3:E12" si="0">SUM(C3:D3)</f>
        <v>200</v>
      </c>
      <c r="F3" s="1" t="s">
        <v>26</v>
      </c>
      <c r="G3" s="1">
        <f>1.8+2*2.7</f>
        <v>7.2</v>
      </c>
      <c r="H3" s="1">
        <v>0.3</v>
      </c>
      <c r="I3" s="1">
        <f t="shared" ref="I3:I12" si="1">G3*H3</f>
        <v>2.16</v>
      </c>
      <c r="J3" s="11">
        <f t="shared" ref="J3:J12" si="2">I3*E3</f>
        <v>432</v>
      </c>
    </row>
    <row r="4" spans="1:10" x14ac:dyDescent="0.3">
      <c r="A4" s="18" t="s">
        <v>5</v>
      </c>
      <c r="B4" s="1" t="s">
        <v>12</v>
      </c>
      <c r="C4" s="1">
        <f>1+2</f>
        <v>3</v>
      </c>
      <c r="D4" s="1">
        <f>1+1</f>
        <v>2</v>
      </c>
      <c r="E4" s="1">
        <f t="shared" si="0"/>
        <v>5</v>
      </c>
      <c r="F4" s="1" t="s">
        <v>26</v>
      </c>
      <c r="G4" s="1">
        <f>7.8+2*2.7</f>
        <v>13.2</v>
      </c>
      <c r="H4" s="1">
        <v>0.3</v>
      </c>
      <c r="I4" s="1">
        <f t="shared" si="1"/>
        <v>3.9599999999999995</v>
      </c>
      <c r="J4" s="11">
        <f t="shared" si="2"/>
        <v>19.799999999999997</v>
      </c>
    </row>
    <row r="5" spans="1:10" x14ac:dyDescent="0.3">
      <c r="A5" s="18" t="s">
        <v>1</v>
      </c>
      <c r="B5" s="1" t="s">
        <v>13</v>
      </c>
      <c r="C5" s="1">
        <f>1+2+2</f>
        <v>5</v>
      </c>
      <c r="D5" s="1">
        <f>1+1+3+2</f>
        <v>7</v>
      </c>
      <c r="E5" s="1">
        <f t="shared" si="0"/>
        <v>12</v>
      </c>
      <c r="F5" s="1" t="s">
        <v>26</v>
      </c>
      <c r="G5" s="1">
        <f>4.8+2*2.7</f>
        <v>10.199999999999999</v>
      </c>
      <c r="H5" s="1">
        <v>0.3</v>
      </c>
      <c r="I5" s="1">
        <f t="shared" si="1"/>
        <v>3.0599999999999996</v>
      </c>
      <c r="J5" s="11">
        <f t="shared" si="2"/>
        <v>36.72</v>
      </c>
    </row>
    <row r="6" spans="1:10" x14ac:dyDescent="0.3">
      <c r="A6" s="18" t="s">
        <v>3</v>
      </c>
      <c r="B6" s="1" t="s">
        <v>14</v>
      </c>
      <c r="C6" s="1">
        <f>1</f>
        <v>1</v>
      </c>
      <c r="D6" s="1"/>
      <c r="E6" s="1">
        <f t="shared" si="0"/>
        <v>1</v>
      </c>
      <c r="F6" s="1" t="s">
        <v>26</v>
      </c>
      <c r="G6" s="1">
        <f>4.65+2*2.7</f>
        <v>10.050000000000001</v>
      </c>
      <c r="H6" s="1">
        <v>0.3</v>
      </c>
      <c r="I6" s="1">
        <f t="shared" si="1"/>
        <v>3.0150000000000001</v>
      </c>
      <c r="J6" s="11">
        <f t="shared" si="2"/>
        <v>3.0150000000000001</v>
      </c>
    </row>
    <row r="7" spans="1:10" x14ac:dyDescent="0.3">
      <c r="A7" s="18" t="s">
        <v>32</v>
      </c>
      <c r="B7" s="1" t="s">
        <v>15</v>
      </c>
      <c r="C7" s="24">
        <v>7</v>
      </c>
      <c r="D7" s="24"/>
      <c r="E7" s="1">
        <f>C7</f>
        <v>7</v>
      </c>
      <c r="F7" s="1" t="s">
        <v>27</v>
      </c>
      <c r="G7" s="1">
        <f>(1.8+6.9)*2</f>
        <v>17.400000000000002</v>
      </c>
      <c r="H7" s="1">
        <v>0.3</v>
      </c>
      <c r="I7" s="1">
        <f t="shared" si="1"/>
        <v>5.2200000000000006</v>
      </c>
      <c r="J7" s="11">
        <f t="shared" si="2"/>
        <v>36.540000000000006</v>
      </c>
    </row>
    <row r="8" spans="1:10" x14ac:dyDescent="0.3">
      <c r="A8" s="18" t="s">
        <v>33</v>
      </c>
      <c r="B8" s="1" t="s">
        <v>15</v>
      </c>
      <c r="C8" s="24">
        <v>4</v>
      </c>
      <c r="D8" s="24"/>
      <c r="E8" s="1">
        <f t="shared" ref="E8:E9" si="3">C8</f>
        <v>4</v>
      </c>
      <c r="F8" s="1" t="s">
        <v>26</v>
      </c>
      <c r="G8" s="1">
        <f>1.8+2*6.9</f>
        <v>15.600000000000001</v>
      </c>
      <c r="H8" s="1">
        <v>0.3</v>
      </c>
      <c r="I8" s="1">
        <f t="shared" si="1"/>
        <v>4.6800000000000006</v>
      </c>
      <c r="J8" s="11">
        <f t="shared" si="2"/>
        <v>18.720000000000002</v>
      </c>
    </row>
    <row r="9" spans="1:10" x14ac:dyDescent="0.3">
      <c r="A9" s="18" t="s">
        <v>2</v>
      </c>
      <c r="B9" s="1" t="s">
        <v>16</v>
      </c>
      <c r="C9" s="24">
        <f>1</f>
        <v>1</v>
      </c>
      <c r="D9" s="24"/>
      <c r="E9" s="1">
        <f t="shared" si="3"/>
        <v>1</v>
      </c>
      <c r="F9" s="1" t="s">
        <v>26</v>
      </c>
      <c r="G9" s="1">
        <f>9.5+2*6.9</f>
        <v>23.3</v>
      </c>
      <c r="H9" s="1">
        <v>0.3</v>
      </c>
      <c r="I9" s="1">
        <f t="shared" si="1"/>
        <v>6.99</v>
      </c>
      <c r="J9" s="11">
        <f t="shared" si="2"/>
        <v>6.99</v>
      </c>
    </row>
    <row r="10" spans="1:10" x14ac:dyDescent="0.3">
      <c r="A10" s="18" t="s">
        <v>4</v>
      </c>
      <c r="B10" s="1" t="s">
        <v>17</v>
      </c>
      <c r="C10" s="24">
        <f>1</f>
        <v>1</v>
      </c>
      <c r="D10" s="24"/>
      <c r="E10" s="1">
        <f t="shared" si="0"/>
        <v>1</v>
      </c>
      <c r="F10" s="1" t="s">
        <v>26</v>
      </c>
      <c r="G10" s="1">
        <f>13.7+2*6.9</f>
        <v>27.5</v>
      </c>
      <c r="H10" s="1">
        <v>0.3</v>
      </c>
      <c r="I10" s="1">
        <f t="shared" si="1"/>
        <v>8.25</v>
      </c>
      <c r="J10" s="11">
        <f t="shared" si="2"/>
        <v>8.25</v>
      </c>
    </row>
    <row r="11" spans="1:10" s="7" customFormat="1" x14ac:dyDescent="0.3">
      <c r="A11" s="19" t="s">
        <v>6</v>
      </c>
      <c r="B11" s="3" t="s">
        <v>18</v>
      </c>
      <c r="C11" s="23">
        <f>10</f>
        <v>10</v>
      </c>
      <c r="D11" s="23"/>
      <c r="E11" s="3">
        <f>C11</f>
        <v>10</v>
      </c>
      <c r="F11" s="1" t="s">
        <v>26</v>
      </c>
      <c r="G11" s="3">
        <f>1.7+2*6.9</f>
        <v>15.5</v>
      </c>
      <c r="H11" s="1">
        <v>0.3</v>
      </c>
      <c r="I11" s="1">
        <f t="shared" si="1"/>
        <v>4.6499999999999995</v>
      </c>
      <c r="J11" s="11">
        <f t="shared" si="2"/>
        <v>46.499999999999993</v>
      </c>
    </row>
    <row r="12" spans="1:10" ht="21.6" thickBot="1" x14ac:dyDescent="0.35">
      <c r="A12" s="20" t="s">
        <v>7</v>
      </c>
      <c r="B12" s="12" t="s">
        <v>19</v>
      </c>
      <c r="C12" s="12">
        <v>8</v>
      </c>
      <c r="D12" s="12"/>
      <c r="E12" s="12">
        <f t="shared" si="0"/>
        <v>8</v>
      </c>
      <c r="F12" s="12" t="s">
        <v>27</v>
      </c>
      <c r="G12" s="12">
        <f>(1.8+1.5)*2</f>
        <v>6.6</v>
      </c>
      <c r="H12" s="12">
        <v>0.3</v>
      </c>
      <c r="I12" s="12">
        <f t="shared" si="1"/>
        <v>1.9799999999999998</v>
      </c>
      <c r="J12" s="13">
        <f t="shared" si="2"/>
        <v>15.839999999999998</v>
      </c>
    </row>
    <row r="13" spans="1:10" ht="21.6" thickBot="1" x14ac:dyDescent="0.35">
      <c r="A13" s="21" t="s">
        <v>9</v>
      </c>
      <c r="B13" s="14"/>
      <c r="C13" s="14"/>
      <c r="D13" s="14"/>
      <c r="E13" s="14"/>
      <c r="F13" s="14"/>
      <c r="G13" s="15"/>
      <c r="H13" s="16"/>
      <c r="I13" s="16"/>
      <c r="J13" s="17">
        <f>SUM(J2:J12)</f>
        <v>662.77499999999998</v>
      </c>
    </row>
  </sheetData>
  <mergeCells count="5">
    <mergeCell ref="C11:D11"/>
    <mergeCell ref="C8:D8"/>
    <mergeCell ref="C9:D9"/>
    <mergeCell ref="C10:D10"/>
    <mergeCell ref="C7:D7"/>
  </mergeCells>
  <phoneticPr fontId="1" type="noConversion"/>
  <pageMargins left="0.7" right="0.7" top="0.75" bottom="0.75" header="0.3" footer="0.3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05A3-2BA1-4D4D-AA9F-960180369882}">
  <dimension ref="A1:I13"/>
  <sheetViews>
    <sheetView workbookViewId="0">
      <selection activeCell="I14" sqref="I14"/>
    </sheetView>
  </sheetViews>
  <sheetFormatPr defaultRowHeight="21" x14ac:dyDescent="0.3"/>
  <cols>
    <col min="1" max="1" width="25.33203125" style="22" customWidth="1"/>
    <col min="2" max="2" width="14.6640625" style="5" customWidth="1"/>
    <col min="3" max="3" width="9.109375" style="5" customWidth="1"/>
    <col min="4" max="4" width="14.44140625" style="5" customWidth="1"/>
    <col min="5" max="5" width="17.88671875" style="5" customWidth="1"/>
    <col min="6" max="6" width="18.109375" style="7" customWidth="1"/>
    <col min="7" max="7" width="14.6640625" style="5" customWidth="1"/>
    <col min="8" max="8" width="16.88671875" style="5" customWidth="1"/>
    <col min="9" max="9" width="19" style="5" customWidth="1"/>
    <col min="10" max="16384" width="8.88671875" style="5"/>
  </cols>
  <sheetData>
    <row r="1" spans="1:9" s="6" customFormat="1" ht="52.2" x14ac:dyDescent="0.3">
      <c r="A1" s="8" t="s">
        <v>24</v>
      </c>
      <c r="B1" s="9" t="s">
        <v>20</v>
      </c>
      <c r="C1" s="9" t="s">
        <v>21</v>
      </c>
      <c r="D1" s="9" t="s">
        <v>8</v>
      </c>
      <c r="E1" s="9" t="s">
        <v>25</v>
      </c>
      <c r="F1" s="9" t="s">
        <v>28</v>
      </c>
      <c r="G1" s="9" t="s">
        <v>29</v>
      </c>
      <c r="H1" s="9" t="s">
        <v>30</v>
      </c>
      <c r="I1" s="10" t="s">
        <v>31</v>
      </c>
    </row>
    <row r="2" spans="1:9" x14ac:dyDescent="0.3">
      <c r="A2" s="18" t="s">
        <v>0</v>
      </c>
      <c r="B2" s="2" t="s">
        <v>10</v>
      </c>
      <c r="C2" s="2">
        <f>3+1+1+4+1</f>
        <v>10</v>
      </c>
      <c r="D2" s="2">
        <f>SUM(C2:C2)</f>
        <v>10</v>
      </c>
      <c r="E2" s="2" t="s">
        <v>26</v>
      </c>
      <c r="F2" s="2">
        <f>1+2*2.7</f>
        <v>6.4</v>
      </c>
      <c r="G2" s="2">
        <v>0.3</v>
      </c>
      <c r="H2" s="2">
        <f>F2*G2</f>
        <v>1.92</v>
      </c>
      <c r="I2" s="11">
        <f>H2*D2</f>
        <v>19.2</v>
      </c>
    </row>
    <row r="3" spans="1:9" x14ac:dyDescent="0.3">
      <c r="A3" s="18" t="s">
        <v>23</v>
      </c>
      <c r="B3" s="2" t="s">
        <v>11</v>
      </c>
      <c r="C3" s="2">
        <f>18+4+12+20+15+11+11+5</f>
        <v>96</v>
      </c>
      <c r="D3" s="2">
        <f>SUM(C3:C3)</f>
        <v>96</v>
      </c>
      <c r="E3" s="2" t="s">
        <v>26</v>
      </c>
      <c r="F3" s="2">
        <f>1.8+2*2.7</f>
        <v>7.2</v>
      </c>
      <c r="G3" s="2">
        <v>0.3</v>
      </c>
      <c r="H3" s="2">
        <f t="shared" ref="H3:H12" si="0">F3*G3</f>
        <v>2.16</v>
      </c>
      <c r="I3" s="11">
        <f t="shared" ref="I3:I12" si="1">H3*D3</f>
        <v>207.36</v>
      </c>
    </row>
    <row r="4" spans="1:9" x14ac:dyDescent="0.3">
      <c r="A4" s="18" t="s">
        <v>5</v>
      </c>
      <c r="B4" s="2" t="s">
        <v>12</v>
      </c>
      <c r="C4" s="2">
        <f>1+2</f>
        <v>3</v>
      </c>
      <c r="D4" s="2">
        <f>SUM(C4:C4)</f>
        <v>3</v>
      </c>
      <c r="E4" s="2" t="s">
        <v>26</v>
      </c>
      <c r="F4" s="2">
        <f>7.8+2*2.7</f>
        <v>13.2</v>
      </c>
      <c r="G4" s="2">
        <v>0.3</v>
      </c>
      <c r="H4" s="2">
        <f t="shared" si="0"/>
        <v>3.9599999999999995</v>
      </c>
      <c r="I4" s="11">
        <f t="shared" si="1"/>
        <v>11.879999999999999</v>
      </c>
    </row>
    <row r="5" spans="1:9" x14ac:dyDescent="0.3">
      <c r="A5" s="18" t="s">
        <v>1</v>
      </c>
      <c r="B5" s="2" t="s">
        <v>13</v>
      </c>
      <c r="C5" s="2">
        <f>1+2+2</f>
        <v>5</v>
      </c>
      <c r="D5" s="2">
        <f>SUM(C5:C5)</f>
        <v>5</v>
      </c>
      <c r="E5" s="2" t="s">
        <v>26</v>
      </c>
      <c r="F5" s="2">
        <f>4.8+2*2.7</f>
        <v>10.199999999999999</v>
      </c>
      <c r="G5" s="2">
        <v>0.3</v>
      </c>
      <c r="H5" s="2">
        <f t="shared" si="0"/>
        <v>3.0599999999999996</v>
      </c>
      <c r="I5" s="11">
        <f t="shared" si="1"/>
        <v>15.299999999999997</v>
      </c>
    </row>
    <row r="6" spans="1:9" x14ac:dyDescent="0.3">
      <c r="A6" s="18" t="s">
        <v>3</v>
      </c>
      <c r="B6" s="2" t="s">
        <v>14</v>
      </c>
      <c r="C6" s="2">
        <f>1</f>
        <v>1</v>
      </c>
      <c r="D6" s="2">
        <f>SUM(C6:C6)</f>
        <v>1</v>
      </c>
      <c r="E6" s="2" t="s">
        <v>26</v>
      </c>
      <c r="F6" s="2">
        <f>4.65+2*2.7</f>
        <v>10.050000000000001</v>
      </c>
      <c r="G6" s="2">
        <v>0.3</v>
      </c>
      <c r="H6" s="2">
        <f t="shared" si="0"/>
        <v>3.0150000000000001</v>
      </c>
      <c r="I6" s="11">
        <f t="shared" si="1"/>
        <v>3.0150000000000001</v>
      </c>
    </row>
    <row r="7" spans="1:9" x14ac:dyDescent="0.3">
      <c r="A7" s="18" t="s">
        <v>32</v>
      </c>
      <c r="B7" s="2" t="s">
        <v>15</v>
      </c>
      <c r="C7" s="2">
        <v>7</v>
      </c>
      <c r="D7" s="2">
        <f>C7</f>
        <v>7</v>
      </c>
      <c r="E7" s="2" t="s">
        <v>27</v>
      </c>
      <c r="F7" s="2">
        <f>(1.8+6.9)*2</f>
        <v>17.400000000000002</v>
      </c>
      <c r="G7" s="2">
        <v>0.3</v>
      </c>
      <c r="H7" s="2">
        <f t="shared" si="0"/>
        <v>5.2200000000000006</v>
      </c>
      <c r="I7" s="11">
        <f t="shared" si="1"/>
        <v>36.540000000000006</v>
      </c>
    </row>
    <row r="8" spans="1:9" x14ac:dyDescent="0.3">
      <c r="A8" s="18" t="s">
        <v>33</v>
      </c>
      <c r="B8" s="2" t="s">
        <v>15</v>
      </c>
      <c r="C8" s="2">
        <v>4</v>
      </c>
      <c r="D8" s="2">
        <f t="shared" ref="D8:D9" si="2">C8</f>
        <v>4</v>
      </c>
      <c r="E8" s="2" t="s">
        <v>26</v>
      </c>
      <c r="F8" s="2">
        <f>1.8+2*6.9</f>
        <v>15.600000000000001</v>
      </c>
      <c r="G8" s="2">
        <v>0.3</v>
      </c>
      <c r="H8" s="2">
        <f t="shared" si="0"/>
        <v>4.6800000000000006</v>
      </c>
      <c r="I8" s="11">
        <f t="shared" si="1"/>
        <v>18.720000000000002</v>
      </c>
    </row>
    <row r="9" spans="1:9" x14ac:dyDescent="0.3">
      <c r="A9" s="18" t="s">
        <v>2</v>
      </c>
      <c r="B9" s="2" t="s">
        <v>16</v>
      </c>
      <c r="C9" s="2">
        <f>1</f>
        <v>1</v>
      </c>
      <c r="D9" s="2">
        <f t="shared" si="2"/>
        <v>1</v>
      </c>
      <c r="E9" s="2" t="s">
        <v>26</v>
      </c>
      <c r="F9" s="2">
        <f>9.5+2*6.9</f>
        <v>23.3</v>
      </c>
      <c r="G9" s="2">
        <v>0.3</v>
      </c>
      <c r="H9" s="2">
        <f t="shared" si="0"/>
        <v>6.99</v>
      </c>
      <c r="I9" s="11">
        <f t="shared" si="1"/>
        <v>6.99</v>
      </c>
    </row>
    <row r="10" spans="1:9" x14ac:dyDescent="0.3">
      <c r="A10" s="18" t="s">
        <v>4</v>
      </c>
      <c r="B10" s="2" t="s">
        <v>17</v>
      </c>
      <c r="C10" s="2">
        <f>1</f>
        <v>1</v>
      </c>
      <c r="D10" s="2">
        <f>SUM(C10:C10)</f>
        <v>1</v>
      </c>
      <c r="E10" s="2" t="s">
        <v>26</v>
      </c>
      <c r="F10" s="2">
        <f>13.7+2*6.9</f>
        <v>27.5</v>
      </c>
      <c r="G10" s="2">
        <v>0.3</v>
      </c>
      <c r="H10" s="2">
        <f t="shared" si="0"/>
        <v>8.25</v>
      </c>
      <c r="I10" s="11">
        <f t="shared" si="1"/>
        <v>8.25</v>
      </c>
    </row>
    <row r="11" spans="1:9" s="7" customFormat="1" x14ac:dyDescent="0.3">
      <c r="A11" s="19" t="s">
        <v>6</v>
      </c>
      <c r="B11" s="4" t="s">
        <v>18</v>
      </c>
      <c r="C11" s="4">
        <f>10</f>
        <v>10</v>
      </c>
      <c r="D11" s="4">
        <f>C11</f>
        <v>10</v>
      </c>
      <c r="E11" s="2" t="s">
        <v>26</v>
      </c>
      <c r="F11" s="4">
        <f>1.7+2*6.9</f>
        <v>15.5</v>
      </c>
      <c r="G11" s="2">
        <v>0.3</v>
      </c>
      <c r="H11" s="2">
        <f t="shared" si="0"/>
        <v>4.6499999999999995</v>
      </c>
      <c r="I11" s="11">
        <f t="shared" si="1"/>
        <v>46.499999999999993</v>
      </c>
    </row>
    <row r="12" spans="1:9" ht="21.6" thickBot="1" x14ac:dyDescent="0.35">
      <c r="A12" s="20" t="s">
        <v>7</v>
      </c>
      <c r="B12" s="12" t="s">
        <v>19</v>
      </c>
      <c r="C12" s="12">
        <v>8</v>
      </c>
      <c r="D12" s="12">
        <f>SUM(C12:C12)</f>
        <v>8</v>
      </c>
      <c r="E12" s="12" t="s">
        <v>27</v>
      </c>
      <c r="F12" s="12">
        <f>(1.8+1.5)*2</f>
        <v>6.6</v>
      </c>
      <c r="G12" s="12">
        <v>0.3</v>
      </c>
      <c r="H12" s="12">
        <f t="shared" si="0"/>
        <v>1.9799999999999998</v>
      </c>
      <c r="I12" s="13">
        <f t="shared" si="1"/>
        <v>15.839999999999998</v>
      </c>
    </row>
    <row r="13" spans="1:9" ht="21.6" thickBot="1" x14ac:dyDescent="0.35">
      <c r="A13" s="21" t="s">
        <v>9</v>
      </c>
      <c r="B13" s="14"/>
      <c r="C13" s="14"/>
      <c r="D13" s="14"/>
      <c r="E13" s="14"/>
      <c r="F13" s="15"/>
      <c r="G13" s="16"/>
      <c r="H13" s="16"/>
      <c r="I13" s="17">
        <f>SUM(I2:I12)</f>
        <v>389.59500000000003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6ED5-0419-4E42-825C-AF7E4A246885}">
  <dimension ref="A1:I13"/>
  <sheetViews>
    <sheetView workbookViewId="0">
      <selection activeCell="I17" sqref="I17"/>
    </sheetView>
  </sheetViews>
  <sheetFormatPr defaultRowHeight="21" x14ac:dyDescent="0.3"/>
  <cols>
    <col min="1" max="1" width="25.33203125" style="22" customWidth="1"/>
    <col min="2" max="2" width="14.6640625" style="5" customWidth="1"/>
    <col min="3" max="3" width="9.109375" style="5" customWidth="1"/>
    <col min="4" max="4" width="14.44140625" style="5" customWidth="1"/>
    <col min="5" max="5" width="17.88671875" style="5" customWidth="1"/>
    <col min="6" max="6" width="18.109375" style="7" customWidth="1"/>
    <col min="7" max="7" width="14.6640625" style="5" customWidth="1"/>
    <col min="8" max="8" width="16.88671875" style="5" customWidth="1"/>
    <col min="9" max="9" width="19" style="5" customWidth="1"/>
    <col min="10" max="16384" width="8.88671875" style="5"/>
  </cols>
  <sheetData>
    <row r="1" spans="1:9" s="6" customFormat="1" ht="52.2" x14ac:dyDescent="0.3">
      <c r="A1" s="8" t="s">
        <v>24</v>
      </c>
      <c r="B1" s="9" t="s">
        <v>20</v>
      </c>
      <c r="C1" s="9" t="s">
        <v>22</v>
      </c>
      <c r="D1" s="9" t="s">
        <v>8</v>
      </c>
      <c r="E1" s="9" t="s">
        <v>25</v>
      </c>
      <c r="F1" s="9" t="s">
        <v>28</v>
      </c>
      <c r="G1" s="9" t="s">
        <v>29</v>
      </c>
      <c r="H1" s="9" t="s">
        <v>30</v>
      </c>
      <c r="I1" s="10" t="s">
        <v>31</v>
      </c>
    </row>
    <row r="2" spans="1:9" x14ac:dyDescent="0.3">
      <c r="A2" s="18" t="s">
        <v>0</v>
      </c>
      <c r="B2" s="2" t="s">
        <v>10</v>
      </c>
      <c r="C2" s="2">
        <f>3+1+1+4+1</f>
        <v>10</v>
      </c>
      <c r="D2" s="2">
        <f>SUM(C2:C2)</f>
        <v>10</v>
      </c>
      <c r="E2" s="2" t="s">
        <v>26</v>
      </c>
      <c r="F2" s="2">
        <f>1+2*2.7</f>
        <v>6.4</v>
      </c>
      <c r="G2" s="2">
        <v>0.3</v>
      </c>
      <c r="H2" s="2">
        <f>F2*G2</f>
        <v>1.92</v>
      </c>
      <c r="I2" s="11">
        <f>H2*D2</f>
        <v>19.2</v>
      </c>
    </row>
    <row r="3" spans="1:9" x14ac:dyDescent="0.3">
      <c r="A3" s="18" t="s">
        <v>23</v>
      </c>
      <c r="B3" s="2" t="s">
        <v>11</v>
      </c>
      <c r="C3" s="2">
        <f>18+4+10+20+15+13+11+5+8</f>
        <v>104</v>
      </c>
      <c r="D3" s="2">
        <f>SUM(C3:C3)</f>
        <v>104</v>
      </c>
      <c r="E3" s="2" t="s">
        <v>26</v>
      </c>
      <c r="F3" s="2">
        <f>1.8+2*2.7</f>
        <v>7.2</v>
      </c>
      <c r="G3" s="2">
        <v>0.3</v>
      </c>
      <c r="H3" s="2">
        <f t="shared" ref="H3:H12" si="0">F3*G3</f>
        <v>2.16</v>
      </c>
      <c r="I3" s="11">
        <f t="shared" ref="I3:I12" si="1">H3*D3</f>
        <v>224.64000000000001</v>
      </c>
    </row>
    <row r="4" spans="1:9" x14ac:dyDescent="0.3">
      <c r="A4" s="18" t="s">
        <v>5</v>
      </c>
      <c r="B4" s="2" t="s">
        <v>12</v>
      </c>
      <c r="C4" s="2">
        <f>1+1</f>
        <v>2</v>
      </c>
      <c r="D4" s="2">
        <f>SUM(C4:C4)</f>
        <v>2</v>
      </c>
      <c r="E4" s="2" t="s">
        <v>26</v>
      </c>
      <c r="F4" s="2">
        <f>7.8+2*2.7</f>
        <v>13.2</v>
      </c>
      <c r="G4" s="2">
        <v>0.3</v>
      </c>
      <c r="H4" s="2">
        <f t="shared" si="0"/>
        <v>3.9599999999999995</v>
      </c>
      <c r="I4" s="11">
        <f t="shared" si="1"/>
        <v>7.919999999999999</v>
      </c>
    </row>
    <row r="5" spans="1:9" x14ac:dyDescent="0.3">
      <c r="A5" s="18" t="s">
        <v>1</v>
      </c>
      <c r="B5" s="2" t="s">
        <v>13</v>
      </c>
      <c r="C5" s="2">
        <f>1+1+3+2</f>
        <v>7</v>
      </c>
      <c r="D5" s="2">
        <f>SUM(C5:C5)</f>
        <v>7</v>
      </c>
      <c r="E5" s="2" t="s">
        <v>26</v>
      </c>
      <c r="F5" s="2">
        <f>4.8+2*2.7</f>
        <v>10.199999999999999</v>
      </c>
      <c r="G5" s="2">
        <v>0.3</v>
      </c>
      <c r="H5" s="2">
        <f t="shared" si="0"/>
        <v>3.0599999999999996</v>
      </c>
      <c r="I5" s="11">
        <f t="shared" si="1"/>
        <v>21.419999999999998</v>
      </c>
    </row>
    <row r="6" spans="1:9" x14ac:dyDescent="0.3">
      <c r="A6" s="18" t="s">
        <v>3</v>
      </c>
      <c r="B6" s="2" t="s">
        <v>14</v>
      </c>
      <c r="C6" s="2"/>
      <c r="D6" s="2">
        <f>SUM(C6:C6)</f>
        <v>0</v>
      </c>
      <c r="E6" s="2" t="s">
        <v>26</v>
      </c>
      <c r="F6" s="2">
        <f>4.65+2*2.7</f>
        <v>10.050000000000001</v>
      </c>
      <c r="G6" s="2">
        <v>0.3</v>
      </c>
      <c r="H6" s="2">
        <f t="shared" si="0"/>
        <v>3.0150000000000001</v>
      </c>
      <c r="I6" s="11">
        <f t="shared" si="1"/>
        <v>0</v>
      </c>
    </row>
    <row r="7" spans="1:9" x14ac:dyDescent="0.3">
      <c r="A7" s="18" t="s">
        <v>32</v>
      </c>
      <c r="B7" s="2" t="s">
        <v>15</v>
      </c>
      <c r="C7" s="25"/>
      <c r="D7" s="2">
        <f t="shared" ref="D7:D12" si="2">SUM(C7:C7)</f>
        <v>0</v>
      </c>
      <c r="E7" s="2" t="s">
        <v>27</v>
      </c>
      <c r="F7" s="2">
        <f>(1.8+6.9)*2</f>
        <v>17.400000000000002</v>
      </c>
      <c r="G7" s="2">
        <v>0.3</v>
      </c>
      <c r="H7" s="2">
        <f t="shared" si="0"/>
        <v>5.2200000000000006</v>
      </c>
      <c r="I7" s="11">
        <f t="shared" si="1"/>
        <v>0</v>
      </c>
    </row>
    <row r="8" spans="1:9" x14ac:dyDescent="0.3">
      <c r="A8" s="18" t="s">
        <v>33</v>
      </c>
      <c r="B8" s="2" t="s">
        <v>15</v>
      </c>
      <c r="C8" s="25"/>
      <c r="D8" s="2">
        <f t="shared" si="2"/>
        <v>0</v>
      </c>
      <c r="E8" s="2" t="s">
        <v>26</v>
      </c>
      <c r="F8" s="2">
        <f>1.8+2*6.9</f>
        <v>15.600000000000001</v>
      </c>
      <c r="G8" s="2">
        <v>0.3</v>
      </c>
      <c r="H8" s="2">
        <f t="shared" si="0"/>
        <v>4.6800000000000006</v>
      </c>
      <c r="I8" s="11">
        <f t="shared" si="1"/>
        <v>0</v>
      </c>
    </row>
    <row r="9" spans="1:9" x14ac:dyDescent="0.3">
      <c r="A9" s="18" t="s">
        <v>2</v>
      </c>
      <c r="B9" s="2" t="s">
        <v>16</v>
      </c>
      <c r="C9" s="25"/>
      <c r="D9" s="2">
        <f t="shared" si="2"/>
        <v>0</v>
      </c>
      <c r="E9" s="2" t="s">
        <v>26</v>
      </c>
      <c r="F9" s="2">
        <f>9.5+2*6.9</f>
        <v>23.3</v>
      </c>
      <c r="G9" s="2">
        <v>0.3</v>
      </c>
      <c r="H9" s="2">
        <f t="shared" si="0"/>
        <v>6.99</v>
      </c>
      <c r="I9" s="11">
        <f t="shared" si="1"/>
        <v>0</v>
      </c>
    </row>
    <row r="10" spans="1:9" x14ac:dyDescent="0.3">
      <c r="A10" s="18" t="s">
        <v>4</v>
      </c>
      <c r="B10" s="2" t="s">
        <v>17</v>
      </c>
      <c r="C10" s="25"/>
      <c r="D10" s="2">
        <f t="shared" si="2"/>
        <v>0</v>
      </c>
      <c r="E10" s="2" t="s">
        <v>26</v>
      </c>
      <c r="F10" s="2">
        <f>13.7+2*6.9</f>
        <v>27.5</v>
      </c>
      <c r="G10" s="2">
        <v>0.3</v>
      </c>
      <c r="H10" s="2">
        <f t="shared" si="0"/>
        <v>8.25</v>
      </c>
      <c r="I10" s="11">
        <f t="shared" si="1"/>
        <v>0</v>
      </c>
    </row>
    <row r="11" spans="1:9" s="7" customFormat="1" x14ac:dyDescent="0.3">
      <c r="A11" s="19" t="s">
        <v>6</v>
      </c>
      <c r="B11" s="4" t="s">
        <v>18</v>
      </c>
      <c r="C11" s="26"/>
      <c r="D11" s="2">
        <f t="shared" si="2"/>
        <v>0</v>
      </c>
      <c r="E11" s="2" t="s">
        <v>26</v>
      </c>
      <c r="F11" s="4">
        <f>1.7+2*6.9</f>
        <v>15.5</v>
      </c>
      <c r="G11" s="2">
        <v>0.3</v>
      </c>
      <c r="H11" s="2">
        <f t="shared" si="0"/>
        <v>4.6499999999999995</v>
      </c>
      <c r="I11" s="11">
        <f t="shared" si="1"/>
        <v>0</v>
      </c>
    </row>
    <row r="12" spans="1:9" ht="21.6" thickBot="1" x14ac:dyDescent="0.35">
      <c r="A12" s="20" t="s">
        <v>7</v>
      </c>
      <c r="B12" s="12" t="s">
        <v>19</v>
      </c>
      <c r="C12" s="12"/>
      <c r="D12" s="2">
        <f t="shared" si="2"/>
        <v>0</v>
      </c>
      <c r="E12" s="12" t="s">
        <v>27</v>
      </c>
      <c r="F12" s="12">
        <f>(1.8+1.5)*2</f>
        <v>6.6</v>
      </c>
      <c r="G12" s="12">
        <v>0.3</v>
      </c>
      <c r="H12" s="12">
        <f t="shared" si="0"/>
        <v>1.9799999999999998</v>
      </c>
      <c r="I12" s="13">
        <f t="shared" si="1"/>
        <v>0</v>
      </c>
    </row>
    <row r="13" spans="1:9" ht="21.6" thickBot="1" x14ac:dyDescent="0.35">
      <c r="A13" s="21" t="s">
        <v>9</v>
      </c>
      <c r="B13" s="14"/>
      <c r="C13" s="14"/>
      <c r="D13" s="14"/>
      <c r="E13" s="14"/>
      <c r="F13" s="15"/>
      <c r="G13" s="16"/>
      <c r="H13" s="16"/>
      <c r="I13" s="17">
        <f>SUM(I2:I12)</f>
        <v>273.18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Откосы 2 и 3 эт. СОШ2</vt:lpstr>
      <vt:lpstr>2эт.</vt:lpstr>
      <vt:lpstr>3эт.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МФ-СТРОЙ</dc:creator>
  <cp:lastModifiedBy>МФ-СТРОЙ</cp:lastModifiedBy>
  <cp:lastPrinted>2025-10-10T10:52:54Z</cp:lastPrinted>
  <dcterms:created xsi:type="dcterms:W3CDTF">2015-06-05T18:19:34Z</dcterms:created>
  <dcterms:modified xsi:type="dcterms:W3CDTF">2025-11-10T09:45:28Z</dcterms:modified>
</cp:coreProperties>
</file>