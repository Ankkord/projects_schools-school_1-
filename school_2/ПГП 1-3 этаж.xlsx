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nux\Documents\schools\school_2\"/>
    </mc:Choice>
  </mc:AlternateContent>
  <bookViews>
    <workbookView xWindow="0" yWindow="0" windowWidth="19920" windowHeight="7044"/>
  </bookViews>
  <sheets>
    <sheet name="1 Этаж" sheetId="3" r:id="rId1"/>
    <sheet name="2 этаж" sheetId="2" r:id="rId2"/>
    <sheet name="3 этаж" sheetId="1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5" i="3" l="1"/>
  <c r="C65" i="3"/>
  <c r="D64" i="3" l="1"/>
  <c r="C64" i="3"/>
</calcChain>
</file>

<file path=xl/comments1.xml><?xml version="1.0" encoding="utf-8"?>
<comments xmlns="http://schemas.openxmlformats.org/spreadsheetml/2006/main">
  <authors>
    <author>МФ</author>
  </authors>
  <commentList>
    <comment ref="F1" authorId="0" shapeId="0">
      <text>
        <r>
          <rPr>
            <b/>
            <sz val="9"/>
            <color indexed="81"/>
            <rFont val="Tahoma"/>
            <charset val="1"/>
          </rPr>
          <t>МФ:</t>
        </r>
        <r>
          <rPr>
            <sz val="9"/>
            <color indexed="81"/>
            <rFont val="Tahoma"/>
            <charset val="1"/>
          </rPr>
          <t xml:space="preserve">
штукатурка цементная по металл сетке</t>
        </r>
      </text>
    </comment>
  </commentList>
</comments>
</file>

<file path=xl/sharedStrings.xml><?xml version="1.0" encoding="utf-8"?>
<sst xmlns="http://schemas.openxmlformats.org/spreadsheetml/2006/main" count="323" uniqueCount="131">
  <si>
    <t>№</t>
  </si>
  <si>
    <t xml:space="preserve">Учебный кабинет </t>
  </si>
  <si>
    <t>Шахматный кружок</t>
  </si>
  <si>
    <t>Рекреация начальных классов (с коридором)</t>
  </si>
  <si>
    <t>Лаборантская</t>
  </si>
  <si>
    <t>Лестничная клетка</t>
  </si>
  <si>
    <t>Лифтовый холл. Зона безопасности МГН</t>
  </si>
  <si>
    <t>Помещение уборочного инвентаря</t>
  </si>
  <si>
    <t>Санузел для девочек</t>
  </si>
  <si>
    <t>Лабораторно-исследовательский комплекс для изучения естествознания</t>
  </si>
  <si>
    <t>Кабинет иностранного языка с возможностью деления трансформируемой перегородкой на два помещения</t>
  </si>
  <si>
    <t>Учебный кабинет (2-4 классы)</t>
  </si>
  <si>
    <t>Санузел для мальчиков</t>
  </si>
  <si>
    <t>Туалет для МГН ( для детей)</t>
  </si>
  <si>
    <t>Санузел персонала, комната личной гигиены</t>
  </si>
  <si>
    <t>Многофункциональный информационный библиотечный центр с зонами для индивидуальных и групповых занятий, медиатеки, хранения ( закрытый фонд и выдачи книг</t>
  </si>
  <si>
    <t>Учебный кабинет для изучения естествознания (биология) с фронтальной формой обучения</t>
  </si>
  <si>
    <t>Рекреация с коридором</t>
  </si>
  <si>
    <t>Учебный кабинет универсального назначения (10-11 классы)</t>
  </si>
  <si>
    <t>Учебный кабинет универсального назначения ( 5-9 классы)</t>
  </si>
  <si>
    <t>Коридор</t>
  </si>
  <si>
    <t>Специализированный учебный кабинет естествознания (тип А: физика+химия+биология) с зонами</t>
  </si>
  <si>
    <t>Лаборантская ( тип А)</t>
  </si>
  <si>
    <t>Кабинет информатики с возможностью деления трансформируемой перегородкой на два помещения</t>
  </si>
  <si>
    <t>Санузел для мальчиков основной и средней школы</t>
  </si>
  <si>
    <t>Санузел для девочек основной и средней школы</t>
  </si>
  <si>
    <t>Кабинет с рабочим пространством для учителей</t>
  </si>
  <si>
    <t>Медицинский лабороторно-исследовательский комплекс с возможностью деления трансформируемыми перегородками на зоны</t>
  </si>
  <si>
    <t xml:space="preserve">IT-полигон с возможностью деления трансформируемыми перегородками на зоны </t>
  </si>
  <si>
    <t>Мастерская акварельной живописи и рисунка c кладовой</t>
  </si>
  <si>
    <t>Санузел для девочек основной и старшей школы</t>
  </si>
  <si>
    <t>Комната личной гигиены для девочек</t>
  </si>
  <si>
    <t>Учебный кабинет для изучения естествознания (физика) с фронтальной формой обучения</t>
  </si>
  <si>
    <t>Помещение обработки материалов</t>
  </si>
  <si>
    <t>Помещение для установки технологического оборудования</t>
  </si>
  <si>
    <t>Помещение хранения оборудования и расходных материалов</t>
  </si>
  <si>
    <t>Кладовая</t>
  </si>
  <si>
    <t>Книгохранилище</t>
  </si>
  <si>
    <t>Зона безопасности МГН</t>
  </si>
  <si>
    <t>м2</t>
  </si>
  <si>
    <t>Итог:</t>
  </si>
  <si>
    <t>ПГП-1100,8 м2</t>
  </si>
  <si>
    <t>ПГП</t>
  </si>
  <si>
    <t>Штукатурка</t>
  </si>
  <si>
    <t>Универсальное помещение с возможностью проведения занятий во внеурочное время, в том числе для групп продленного дня</t>
  </si>
  <si>
    <t>Технический центр</t>
  </si>
  <si>
    <t>Верхние ряды актового зала</t>
  </si>
  <si>
    <t>Административный кабинет</t>
  </si>
  <si>
    <t>Рекреация начальных классов (с коридором</t>
  </si>
  <si>
    <t>Раздевальная</t>
  </si>
  <si>
    <t>Душевая</t>
  </si>
  <si>
    <t>Туалет</t>
  </si>
  <si>
    <t>Комната инструктора (с душем и туалетом)</t>
  </si>
  <si>
    <t>Раздевальная МГН ( с душем и туалетом)</t>
  </si>
  <si>
    <t>Инвентарная (снарядная)</t>
  </si>
  <si>
    <t>Универсальный трансформируемый спортивный зал 18x30 м с разделительным занавесом на электрическом приводе</t>
  </si>
  <si>
    <t>Кабинет музыки и пения</t>
  </si>
  <si>
    <t>Специализированный учебный кабинет естествознания (тип В: экология+география+ОБЖ) с зонами</t>
  </si>
  <si>
    <t>Инженерный лабороторно-исследовательский комплекс с возможностью деления трансформируемыми перегородками на зоны</t>
  </si>
  <si>
    <t>Верхние ряды многофункционального пространства</t>
  </si>
  <si>
    <t>Академический лабораторно-исследовательский комплекс с возможностью деления трансформируемыми перегородками на зоны</t>
  </si>
  <si>
    <t>Лекционная аудитория</t>
  </si>
  <si>
    <t>Наименование помещения</t>
  </si>
  <si>
    <t>Тамбур ( начальная школа)</t>
  </si>
  <si>
    <t>Вестибюль</t>
  </si>
  <si>
    <t>Туалет для МГН (для посетителей)</t>
  </si>
  <si>
    <t>Артистическая</t>
  </si>
  <si>
    <t>Кладовая артистического инвентаря</t>
  </si>
  <si>
    <t>Актовый зал на 200 мест ( с эстрадой в уровне пола)</t>
  </si>
  <si>
    <t>Студия драмкружка</t>
  </si>
  <si>
    <t>Гардероб для обучающихся (начальная школа)</t>
  </si>
  <si>
    <t>Учебный кабинет (1-е классы)</t>
  </si>
  <si>
    <t>Лифтовой холл</t>
  </si>
  <si>
    <t>Игровая комната с трансформируемой перегородкой</t>
  </si>
  <si>
    <t>Тамбур</t>
  </si>
  <si>
    <t>Универсальный трансформируемый спортивный зал 15x24 м с разделительным занавесом на электрическом приводе</t>
  </si>
  <si>
    <t>Кабинет врача</t>
  </si>
  <si>
    <t>Прививочный кабинет</t>
  </si>
  <si>
    <t>Процедурный кабинет</t>
  </si>
  <si>
    <t>Коридор медблока</t>
  </si>
  <si>
    <t>Туалет медлока</t>
  </si>
  <si>
    <t>Помещение для приготовления дезинфицирующих растворов и хранения уборочного инвентаря, предназначенных для помещений медицинского назначения</t>
  </si>
  <si>
    <t>Горячий цех</t>
  </si>
  <si>
    <t>Умывальная начальной школы</t>
  </si>
  <si>
    <t>Обеденный зал на 425 мест</t>
  </si>
  <si>
    <t>Кабинет для индивидуальных занятий, в т.ч. с педагогом-психологом</t>
  </si>
  <si>
    <t>Пост охраны ( входная группа начальной школы)</t>
  </si>
  <si>
    <t>Умывальная основной и средней школы</t>
  </si>
  <si>
    <t>Робо-класс с возможностью деления трансформируемыми перегородками на зоны</t>
  </si>
  <si>
    <t>Гардероб для обучающихся (основная школа)</t>
  </si>
  <si>
    <t xml:space="preserve">Учебный кабинет для изучения естествознания (химия) с фронтальной формой обучения </t>
  </si>
  <si>
    <t xml:space="preserve">Лаборантская </t>
  </si>
  <si>
    <t>Комната охраны с диспетчерским пунктом</t>
  </si>
  <si>
    <t>Вестибюль с рекреацией</t>
  </si>
  <si>
    <t>Тамбур ( основная средняя школа)</t>
  </si>
  <si>
    <t>Гардероб для обучающихся (средняя школа)</t>
  </si>
  <si>
    <t>Гардеробная комната для учителей</t>
  </si>
  <si>
    <t>Электрощитовая</t>
  </si>
  <si>
    <t>Кабинет для индивидуальных занятий, в т.ч. с педагогом-логопедом</t>
  </si>
  <si>
    <t>Инвентарная</t>
  </si>
  <si>
    <t>Загрузочный цех</t>
  </si>
  <si>
    <t>Помещение временного хранения отходов</t>
  </si>
  <si>
    <t>Моечная оборотной тары</t>
  </si>
  <si>
    <t>Кладовая овощей</t>
  </si>
  <si>
    <t>Цех первичной обработки овощей</t>
  </si>
  <si>
    <t>Цех вторичной обработки овощей</t>
  </si>
  <si>
    <t>Мясо-рыбный цех</t>
  </si>
  <si>
    <t>Кладовая сухих продуктов</t>
  </si>
  <si>
    <t>Помещение с холодильным оборудованием</t>
  </si>
  <si>
    <t>Гардероб для женщин</t>
  </si>
  <si>
    <t>Гардероб для мужчин</t>
  </si>
  <si>
    <t>Санузел персонала</t>
  </si>
  <si>
    <t>Помещение персонала</t>
  </si>
  <si>
    <t>Моечная столовой посуды</t>
  </si>
  <si>
    <t>Сервизная</t>
  </si>
  <si>
    <t>Моечная кухонной посуды</t>
  </si>
  <si>
    <t>Холодный цех</t>
  </si>
  <si>
    <t>Помещение прототипирования</t>
  </si>
  <si>
    <t xml:space="preserve">Итог: </t>
  </si>
  <si>
    <t>ПГП-</t>
  </si>
  <si>
    <t xml:space="preserve">ПГП влагостойкий </t>
  </si>
  <si>
    <t>Пеноблок- ?</t>
  </si>
  <si>
    <t>ПГП влагостойкий- с</t>
  </si>
  <si>
    <t>Пеноблок</t>
  </si>
  <si>
    <t>ПГП влагостойкий</t>
  </si>
  <si>
    <t>Шпаклевка 9.03</t>
  </si>
  <si>
    <t>Штукатурка по пеноблоку</t>
  </si>
  <si>
    <t>Плитка стеновая</t>
  </si>
  <si>
    <t>Плитка напольная + гидроизоляция</t>
  </si>
  <si>
    <t>м3</t>
  </si>
  <si>
    <t>Т-Гр 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</si>
</sst>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2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2" fontId="0" fillId="5" borderId="1" xfId="0" applyNumberFormat="1" applyFill="1" applyBorder="1"/>
    <xf numFmtId="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5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4" borderId="0" xfId="0" applyFill="1" applyBorder="1"/>
    <xf numFmtId="3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1" xfId="0" applyFont="1" applyBorder="1"/>
    <xf numFmtId="0" fontId="0" fillId="5" borderId="5" xfId="0" applyFill="1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3" borderId="1" xfId="0" applyFont="1" applyFill="1" applyBorder="1"/>
    <xf numFmtId="0" fontId="5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0" borderId="0" xfId="0" applyFont="1"/>
    <xf numFmtId="0" fontId="5" fillId="4" borderId="0" xfId="0" applyFont="1" applyFill="1"/>
    <xf numFmtId="0" fontId="6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8"/>
  <sheetViews>
    <sheetView tabSelected="1" topLeftCell="B55" zoomScale="70" zoomScaleNormal="70" workbookViewId="0">
      <selection activeCell="C64" sqref="C64"/>
    </sheetView>
  </sheetViews>
  <sheetFormatPr defaultRowHeight="14.4" x14ac:dyDescent="0.3"/>
  <cols>
    <col min="1" max="1" width="8.88671875" style="12"/>
    <col min="2" max="2" width="37.44140625" style="11" customWidth="1"/>
    <col min="3" max="3" width="7.44140625" customWidth="1"/>
    <col min="4" max="4" width="6.6640625" style="16" customWidth="1"/>
    <col min="5" max="5" width="11.33203125" bestFit="1" customWidth="1"/>
    <col min="6" max="10" width="10.88671875" customWidth="1"/>
    <col min="11" max="11" width="8.88671875" style="12"/>
    <col min="12" max="12" width="44.44140625" style="11" customWidth="1"/>
    <col min="14" max="14" width="8.88671875" style="16"/>
    <col min="16" max="17" width="11.33203125" customWidth="1"/>
  </cols>
  <sheetData>
    <row r="1" spans="1:19" x14ac:dyDescent="0.3">
      <c r="A1" s="2" t="s">
        <v>0</v>
      </c>
      <c r="B1" s="2" t="s">
        <v>62</v>
      </c>
      <c r="C1" s="2" t="s">
        <v>39</v>
      </c>
      <c r="D1" s="14" t="s">
        <v>39</v>
      </c>
      <c r="E1" s="6" t="s">
        <v>42</v>
      </c>
      <c r="F1" s="6" t="s">
        <v>43</v>
      </c>
      <c r="G1" s="8" t="s">
        <v>123</v>
      </c>
      <c r="H1" s="6"/>
      <c r="I1" s="6"/>
      <c r="J1" s="6"/>
      <c r="K1" s="2" t="s">
        <v>0</v>
      </c>
      <c r="L1" s="2" t="s">
        <v>62</v>
      </c>
      <c r="M1" s="2" t="s">
        <v>39</v>
      </c>
      <c r="N1" s="14" t="s">
        <v>39</v>
      </c>
      <c r="O1" s="6" t="s">
        <v>42</v>
      </c>
      <c r="P1" s="6" t="s">
        <v>43</v>
      </c>
      <c r="Q1" s="6"/>
      <c r="R1" s="2"/>
      <c r="S1" s="13"/>
    </row>
    <row r="2" spans="1:19" x14ac:dyDescent="0.3">
      <c r="A2" s="2">
        <v>1001</v>
      </c>
      <c r="B2" s="9" t="s">
        <v>63</v>
      </c>
      <c r="C2" s="1"/>
      <c r="D2" s="15"/>
      <c r="E2" s="1"/>
      <c r="F2" s="1"/>
      <c r="G2" s="1"/>
      <c r="H2" s="1"/>
      <c r="I2" s="1"/>
      <c r="J2" s="1"/>
      <c r="K2" s="2">
        <v>1057</v>
      </c>
      <c r="L2" s="9" t="s">
        <v>5</v>
      </c>
      <c r="M2" s="1"/>
      <c r="N2" s="15"/>
      <c r="O2" s="1"/>
      <c r="P2" s="1"/>
      <c r="Q2" s="1"/>
      <c r="R2" s="1"/>
      <c r="S2" s="13"/>
    </row>
    <row r="3" spans="1:19" ht="28.8" x14ac:dyDescent="0.3">
      <c r="A3" s="2">
        <v>1002</v>
      </c>
      <c r="B3" s="9" t="s">
        <v>64</v>
      </c>
      <c r="C3" s="1"/>
      <c r="D3" s="15">
        <v>2.7</v>
      </c>
      <c r="E3" s="1"/>
      <c r="F3" s="1"/>
      <c r="G3" s="1"/>
      <c r="H3" s="1"/>
      <c r="I3" s="1"/>
      <c r="J3" s="1"/>
      <c r="K3" s="2">
        <v>1058</v>
      </c>
      <c r="L3" s="9" t="s">
        <v>19</v>
      </c>
      <c r="M3" s="1"/>
      <c r="N3" s="15">
        <v>17</v>
      </c>
      <c r="O3" s="1">
        <v>6.2</v>
      </c>
      <c r="P3" s="1"/>
      <c r="Q3" s="1"/>
      <c r="R3" s="1"/>
      <c r="S3" s="13"/>
    </row>
    <row r="4" spans="1:19" ht="28.8" x14ac:dyDescent="0.3">
      <c r="A4" s="2">
        <v>1003</v>
      </c>
      <c r="B4" s="9" t="s">
        <v>65</v>
      </c>
      <c r="C4" s="1"/>
      <c r="D4" s="15">
        <v>28.4</v>
      </c>
      <c r="E4" s="1"/>
      <c r="F4" s="1"/>
      <c r="G4" s="1"/>
      <c r="H4" s="1"/>
      <c r="I4" s="1"/>
      <c r="J4" s="1"/>
      <c r="K4" s="2">
        <v>1059</v>
      </c>
      <c r="L4" s="9" t="s">
        <v>19</v>
      </c>
      <c r="M4" s="1"/>
      <c r="N4" s="15">
        <v>17</v>
      </c>
      <c r="O4" s="1"/>
      <c r="P4" s="1"/>
      <c r="Q4" s="1"/>
      <c r="R4" s="1"/>
      <c r="S4" s="13"/>
    </row>
    <row r="5" spans="1:19" x14ac:dyDescent="0.3">
      <c r="A5" s="2">
        <v>1004</v>
      </c>
      <c r="B5" s="9" t="s">
        <v>66</v>
      </c>
      <c r="C5" s="1"/>
      <c r="D5" s="15"/>
      <c r="E5" s="1"/>
      <c r="F5" s="1"/>
      <c r="G5" s="1"/>
      <c r="H5" s="1"/>
      <c r="I5" s="1"/>
      <c r="J5" s="1"/>
      <c r="K5" s="2">
        <v>1060</v>
      </c>
      <c r="L5" s="9" t="s">
        <v>87</v>
      </c>
      <c r="M5" s="1"/>
      <c r="N5" s="15"/>
      <c r="O5" s="1"/>
      <c r="P5" s="1"/>
      <c r="Q5" s="1"/>
      <c r="R5" s="1"/>
      <c r="S5" s="13"/>
    </row>
    <row r="6" spans="1:19" ht="28.8" x14ac:dyDescent="0.3">
      <c r="A6" s="2">
        <v>1005</v>
      </c>
      <c r="B6" s="9" t="s">
        <v>67</v>
      </c>
      <c r="C6" s="1"/>
      <c r="D6" s="15"/>
      <c r="E6" s="1">
        <v>31</v>
      </c>
      <c r="F6" s="1"/>
      <c r="G6" s="1"/>
      <c r="H6" s="1"/>
      <c r="I6" s="1"/>
      <c r="J6" s="1"/>
      <c r="K6" s="2">
        <v>1061</v>
      </c>
      <c r="L6" s="9" t="s">
        <v>88</v>
      </c>
      <c r="M6" s="1"/>
      <c r="N6" s="15">
        <v>41</v>
      </c>
      <c r="O6" s="1">
        <v>7</v>
      </c>
      <c r="P6" s="1"/>
      <c r="Q6" s="1"/>
      <c r="R6" s="1"/>
      <c r="S6" s="13"/>
    </row>
    <row r="7" spans="1:19" x14ac:dyDescent="0.3">
      <c r="A7" s="2">
        <v>1006</v>
      </c>
      <c r="B7" s="9" t="s">
        <v>66</v>
      </c>
      <c r="C7" s="1"/>
      <c r="D7" s="15"/>
      <c r="E7" s="33"/>
      <c r="F7" s="1"/>
      <c r="G7" s="1"/>
      <c r="H7" s="1"/>
      <c r="I7" s="1"/>
      <c r="J7" s="1"/>
      <c r="K7" s="2">
        <v>1062</v>
      </c>
      <c r="L7" s="9" t="s">
        <v>20</v>
      </c>
      <c r="M7" s="1"/>
      <c r="N7" s="15"/>
      <c r="O7" s="1"/>
      <c r="P7" s="1"/>
      <c r="Q7" s="1"/>
      <c r="R7" s="1"/>
      <c r="S7" s="13"/>
    </row>
    <row r="8" spans="1:19" ht="28.8" x14ac:dyDescent="0.3">
      <c r="A8" s="2">
        <v>1007</v>
      </c>
      <c r="B8" s="9" t="s">
        <v>68</v>
      </c>
      <c r="C8" s="1"/>
      <c r="D8" s="15"/>
      <c r="E8" s="1"/>
      <c r="F8" s="1"/>
      <c r="G8" s="1"/>
      <c r="H8" s="1"/>
      <c r="I8" s="1"/>
      <c r="J8" s="1"/>
      <c r="K8" s="2">
        <v>1063</v>
      </c>
      <c r="L8" s="9" t="s">
        <v>24</v>
      </c>
      <c r="M8" s="1"/>
      <c r="N8" s="15">
        <v>30</v>
      </c>
      <c r="O8" s="1"/>
      <c r="P8" s="1"/>
      <c r="Q8" s="1"/>
      <c r="R8" s="1"/>
      <c r="S8" s="13"/>
    </row>
    <row r="9" spans="1:19" ht="28.8" x14ac:dyDescent="0.3">
      <c r="A9" s="2">
        <v>1008</v>
      </c>
      <c r="B9" s="9" t="s">
        <v>69</v>
      </c>
      <c r="C9" s="1"/>
      <c r="D9" s="15"/>
      <c r="E9" s="1"/>
      <c r="F9" s="1"/>
      <c r="G9" s="1"/>
      <c r="H9" s="1"/>
      <c r="I9" s="1"/>
      <c r="J9" s="1"/>
      <c r="K9" s="2">
        <v>1064</v>
      </c>
      <c r="L9" s="9" t="s">
        <v>24</v>
      </c>
      <c r="M9" s="1"/>
      <c r="N9" s="15">
        <v>16</v>
      </c>
      <c r="O9" s="1"/>
      <c r="P9" s="1"/>
      <c r="Q9" s="1"/>
      <c r="R9" s="1"/>
      <c r="S9" s="13"/>
    </row>
    <row r="10" spans="1:19" ht="28.8" x14ac:dyDescent="0.3">
      <c r="A10" s="2">
        <v>1009</v>
      </c>
      <c r="B10" s="9" t="s">
        <v>70</v>
      </c>
      <c r="C10" s="1"/>
      <c r="D10" s="15"/>
      <c r="E10" s="1">
        <v>8</v>
      </c>
      <c r="F10" s="1"/>
      <c r="G10" s="1"/>
      <c r="H10" s="1"/>
      <c r="I10" s="1"/>
      <c r="J10" s="1"/>
      <c r="K10" s="2">
        <v>1065</v>
      </c>
      <c r="L10" s="9" t="s">
        <v>7</v>
      </c>
      <c r="M10" s="1"/>
      <c r="N10" s="15">
        <v>8.5</v>
      </c>
      <c r="O10" s="1"/>
      <c r="P10" s="1"/>
      <c r="Q10" s="1"/>
      <c r="R10" s="1"/>
      <c r="S10" s="13"/>
    </row>
    <row r="11" spans="1:19" x14ac:dyDescent="0.3">
      <c r="A11" s="19">
        <v>1010</v>
      </c>
      <c r="B11" s="20" t="s">
        <v>71</v>
      </c>
      <c r="C11" s="1"/>
      <c r="D11" s="22">
        <v>6.4</v>
      </c>
      <c r="E11" s="21">
        <v>10.8</v>
      </c>
      <c r="F11" s="1"/>
      <c r="G11" s="1"/>
      <c r="H11" s="1"/>
      <c r="I11" s="1"/>
      <c r="J11" s="1"/>
      <c r="K11" s="2">
        <v>1066</v>
      </c>
      <c r="L11" s="9" t="s">
        <v>13</v>
      </c>
      <c r="M11" s="1"/>
      <c r="N11" s="15">
        <v>19</v>
      </c>
      <c r="O11" s="1"/>
      <c r="P11" s="1"/>
      <c r="Q11" s="1"/>
      <c r="R11" s="1"/>
      <c r="S11" s="13"/>
    </row>
    <row r="12" spans="1:19" x14ac:dyDescent="0.3">
      <c r="A12" s="2">
        <v>1011</v>
      </c>
      <c r="B12" s="9" t="s">
        <v>5</v>
      </c>
      <c r="C12" s="1"/>
      <c r="D12" s="15"/>
      <c r="E12" s="1"/>
      <c r="F12" s="1"/>
      <c r="G12" s="1"/>
      <c r="H12" s="1"/>
      <c r="I12" s="1"/>
      <c r="J12" s="1"/>
      <c r="K12" s="2">
        <v>1067</v>
      </c>
      <c r="L12" s="9" t="s">
        <v>72</v>
      </c>
      <c r="M12" s="1"/>
      <c r="N12" s="15"/>
      <c r="O12" s="1"/>
      <c r="P12" s="1"/>
      <c r="Q12" s="1"/>
      <c r="R12" s="1"/>
      <c r="S12" s="13"/>
    </row>
    <row r="13" spans="1:19" x14ac:dyDescent="0.3">
      <c r="A13" s="2">
        <v>1012</v>
      </c>
      <c r="B13" s="9" t="s">
        <v>72</v>
      </c>
      <c r="C13" s="1"/>
      <c r="D13" s="15"/>
      <c r="E13" s="1"/>
      <c r="F13" s="1"/>
      <c r="G13" s="1"/>
      <c r="H13" s="1"/>
      <c r="I13" s="1"/>
      <c r="J13" s="1"/>
      <c r="K13" s="2">
        <v>1068</v>
      </c>
      <c r="L13" s="9" t="s">
        <v>5</v>
      </c>
      <c r="M13" s="1"/>
      <c r="N13" s="15"/>
      <c r="O13" s="1"/>
      <c r="P13" s="1"/>
      <c r="Q13" s="1"/>
      <c r="R13" s="1"/>
      <c r="S13" s="13"/>
    </row>
    <row r="14" spans="1:19" x14ac:dyDescent="0.3">
      <c r="A14" s="2">
        <v>1013</v>
      </c>
      <c r="B14" s="9" t="s">
        <v>8</v>
      </c>
      <c r="C14" s="1"/>
      <c r="D14" s="15">
        <v>14.3</v>
      </c>
      <c r="E14" s="1"/>
      <c r="F14" s="1"/>
      <c r="G14" s="1"/>
      <c r="H14" s="1"/>
      <c r="I14" s="1"/>
      <c r="J14" s="1"/>
      <c r="K14" s="2">
        <v>1069</v>
      </c>
      <c r="L14" s="9" t="s">
        <v>89</v>
      </c>
      <c r="M14" s="1"/>
      <c r="N14" s="15">
        <v>21</v>
      </c>
      <c r="O14" s="1"/>
      <c r="P14" s="1"/>
      <c r="Q14" s="1"/>
      <c r="R14" s="1"/>
      <c r="S14" s="13"/>
    </row>
    <row r="15" spans="1:19" ht="28.8" x14ac:dyDescent="0.3">
      <c r="A15" s="2">
        <v>1014</v>
      </c>
      <c r="B15" s="9" t="s">
        <v>7</v>
      </c>
      <c r="C15" s="1"/>
      <c r="D15" s="15">
        <v>27</v>
      </c>
      <c r="E15" s="1"/>
      <c r="F15" s="1"/>
      <c r="G15" s="1"/>
      <c r="H15" s="1"/>
      <c r="I15" s="1"/>
      <c r="J15" s="1"/>
      <c r="K15" s="2"/>
      <c r="L15" s="9" t="s">
        <v>90</v>
      </c>
      <c r="M15" s="1"/>
      <c r="N15" s="15">
        <v>36</v>
      </c>
      <c r="O15" s="1"/>
      <c r="P15" s="1"/>
      <c r="Q15" s="1"/>
      <c r="R15" s="1"/>
      <c r="S15" s="13"/>
    </row>
    <row r="16" spans="1:19" ht="28.8" x14ac:dyDescent="0.3">
      <c r="A16" s="2">
        <v>1015</v>
      </c>
      <c r="B16" s="9" t="s">
        <v>73</v>
      </c>
      <c r="C16" s="1"/>
      <c r="D16" s="15">
        <v>16</v>
      </c>
      <c r="E16" s="1">
        <v>14</v>
      </c>
      <c r="F16" s="1"/>
      <c r="G16" s="1"/>
      <c r="H16" s="1"/>
      <c r="I16" s="1"/>
      <c r="J16" s="1"/>
      <c r="K16" s="2">
        <v>1071</v>
      </c>
      <c r="L16" s="9" t="s">
        <v>91</v>
      </c>
      <c r="M16" s="1"/>
      <c r="N16" s="15"/>
      <c r="O16" s="1"/>
      <c r="P16" s="1"/>
      <c r="Q16" s="1"/>
      <c r="R16" s="1"/>
      <c r="S16" s="13"/>
    </row>
    <row r="17" spans="1:19" x14ac:dyDescent="0.3">
      <c r="A17" s="2">
        <v>1016</v>
      </c>
      <c r="B17" s="9" t="s">
        <v>74</v>
      </c>
      <c r="C17" s="1"/>
      <c r="D17" s="15"/>
      <c r="E17" s="1"/>
      <c r="F17" s="1"/>
      <c r="G17" s="1"/>
      <c r="H17" s="1"/>
      <c r="I17" s="1"/>
      <c r="J17" s="1"/>
      <c r="K17" s="2">
        <v>1072</v>
      </c>
      <c r="L17" s="9" t="s">
        <v>92</v>
      </c>
      <c r="M17" s="1"/>
      <c r="N17" s="15">
        <v>2.2999999999999998</v>
      </c>
      <c r="O17" s="1">
        <v>4</v>
      </c>
      <c r="P17" s="1"/>
      <c r="Q17" s="1"/>
      <c r="R17" s="1"/>
      <c r="S17" s="13"/>
    </row>
    <row r="18" spans="1:19" x14ac:dyDescent="0.3">
      <c r="A18" s="2">
        <v>1017</v>
      </c>
      <c r="B18" s="9" t="s">
        <v>49</v>
      </c>
      <c r="C18" s="1"/>
      <c r="D18" s="15"/>
      <c r="E18" s="1">
        <v>8.5</v>
      </c>
      <c r="F18" s="1"/>
      <c r="G18" s="1"/>
      <c r="H18" s="1"/>
      <c r="I18" s="1"/>
      <c r="J18" s="1"/>
      <c r="K18" s="2">
        <v>1073</v>
      </c>
      <c r="L18" s="9" t="s">
        <v>93</v>
      </c>
      <c r="M18" s="1"/>
      <c r="N18" s="15"/>
      <c r="O18" s="1"/>
      <c r="P18" s="1"/>
      <c r="Q18" s="1"/>
      <c r="R18" s="1"/>
      <c r="S18" s="13"/>
    </row>
    <row r="19" spans="1:19" x14ac:dyDescent="0.3">
      <c r="A19" s="2">
        <v>1018</v>
      </c>
      <c r="B19" s="9" t="s">
        <v>51</v>
      </c>
      <c r="C19" s="1"/>
      <c r="D19" s="15"/>
      <c r="E19" s="1"/>
      <c r="F19" s="1"/>
      <c r="G19" s="1"/>
      <c r="H19" s="1"/>
      <c r="I19" s="1"/>
      <c r="J19" s="1"/>
      <c r="K19" s="2">
        <v>1074</v>
      </c>
      <c r="L19" s="9" t="s">
        <v>94</v>
      </c>
      <c r="M19" s="1"/>
      <c r="N19" s="15"/>
      <c r="O19" s="1"/>
      <c r="P19" s="1"/>
      <c r="Q19" s="1"/>
      <c r="R19" s="1"/>
      <c r="S19" s="13"/>
    </row>
    <row r="20" spans="1:19" x14ac:dyDescent="0.3">
      <c r="A20" s="2">
        <v>1019</v>
      </c>
      <c r="B20" s="9" t="s">
        <v>51</v>
      </c>
      <c r="C20" s="1"/>
      <c r="D20" s="15">
        <v>27</v>
      </c>
      <c r="E20" s="1"/>
      <c r="F20" s="1"/>
      <c r="G20" s="1"/>
      <c r="H20" s="1"/>
      <c r="I20" s="1"/>
      <c r="J20" s="1"/>
      <c r="K20" s="2">
        <v>1075</v>
      </c>
      <c r="L20" s="9" t="s">
        <v>66</v>
      </c>
      <c r="M20" s="1"/>
      <c r="N20" s="15"/>
      <c r="O20" s="1"/>
      <c r="P20" s="1"/>
      <c r="Q20" s="1"/>
      <c r="R20" s="1"/>
      <c r="S20" s="13"/>
    </row>
    <row r="21" spans="1:19" x14ac:dyDescent="0.3">
      <c r="A21" s="2">
        <v>1020</v>
      </c>
      <c r="B21" s="9" t="s">
        <v>50</v>
      </c>
      <c r="C21" s="1"/>
      <c r="D21" s="15"/>
      <c r="E21" s="1"/>
      <c r="F21" s="1"/>
      <c r="G21" s="1"/>
      <c r="H21" s="1"/>
      <c r="I21" s="1"/>
      <c r="J21" s="1"/>
      <c r="K21" s="2">
        <v>1076</v>
      </c>
      <c r="L21" s="9" t="s">
        <v>66</v>
      </c>
      <c r="M21" s="1"/>
      <c r="N21" s="15">
        <v>25</v>
      </c>
      <c r="O21" s="1"/>
      <c r="P21" s="1"/>
      <c r="Q21" s="1"/>
      <c r="R21" s="1"/>
      <c r="S21" s="13"/>
    </row>
    <row r="22" spans="1:19" x14ac:dyDescent="0.3">
      <c r="A22" s="2">
        <v>1021</v>
      </c>
      <c r="B22" s="9" t="s">
        <v>50</v>
      </c>
      <c r="C22" s="1"/>
      <c r="D22" s="15"/>
      <c r="E22" s="1"/>
      <c r="F22" s="1"/>
      <c r="G22" s="1"/>
      <c r="H22" s="1"/>
      <c r="I22" s="1"/>
      <c r="J22" s="1"/>
      <c r="K22" s="2">
        <v>1077</v>
      </c>
      <c r="L22" s="9" t="s">
        <v>67</v>
      </c>
      <c r="M22" s="1"/>
      <c r="N22" s="15">
        <v>20</v>
      </c>
      <c r="O22" s="1"/>
      <c r="P22" s="1"/>
      <c r="Q22" s="1"/>
      <c r="R22" s="1"/>
      <c r="S22" s="13"/>
    </row>
    <row r="23" spans="1:19" x14ac:dyDescent="0.3">
      <c r="A23" s="2">
        <v>1022</v>
      </c>
      <c r="B23" s="9" t="s">
        <v>49</v>
      </c>
      <c r="C23" s="1"/>
      <c r="D23" s="15">
        <v>41</v>
      </c>
      <c r="E23" s="1"/>
      <c r="F23" s="1"/>
      <c r="G23" s="1"/>
      <c r="H23" s="1"/>
      <c r="I23" s="1"/>
      <c r="J23" s="1"/>
      <c r="K23" s="2">
        <v>1078</v>
      </c>
      <c r="L23" s="9" t="s">
        <v>95</v>
      </c>
      <c r="M23" s="1"/>
      <c r="N23" s="15">
        <v>13.2</v>
      </c>
      <c r="O23" s="1">
        <v>45</v>
      </c>
      <c r="P23" s="1"/>
      <c r="Q23" s="1"/>
      <c r="R23" s="1"/>
      <c r="S23" s="13"/>
    </row>
    <row r="24" spans="1:19" ht="28.8" x14ac:dyDescent="0.3">
      <c r="A24" s="2">
        <v>1023</v>
      </c>
      <c r="B24" s="9" t="s">
        <v>3</v>
      </c>
      <c r="C24" s="1"/>
      <c r="D24" s="15"/>
      <c r="E24" s="1"/>
      <c r="F24" s="1"/>
      <c r="G24" s="1"/>
      <c r="H24" s="1"/>
      <c r="I24" s="1"/>
      <c r="J24" s="1"/>
      <c r="K24" s="2">
        <v>1079</v>
      </c>
      <c r="L24" s="9" t="s">
        <v>96</v>
      </c>
      <c r="M24" s="1"/>
      <c r="N24" s="15">
        <v>3</v>
      </c>
      <c r="O24" s="1"/>
      <c r="P24" s="1"/>
      <c r="Q24" s="1"/>
      <c r="R24" s="1"/>
      <c r="S24" s="13"/>
    </row>
    <row r="25" spans="1:19" x14ac:dyDescent="0.3">
      <c r="A25" s="2">
        <v>1024</v>
      </c>
      <c r="B25" s="9" t="s">
        <v>49</v>
      </c>
      <c r="C25" s="1"/>
      <c r="D25" s="15"/>
      <c r="E25" s="1"/>
      <c r="F25" s="1"/>
      <c r="G25" s="1"/>
      <c r="H25" s="1"/>
      <c r="I25" s="1"/>
      <c r="J25" s="1"/>
      <c r="K25" s="2">
        <v>1080</v>
      </c>
      <c r="L25" s="9" t="s">
        <v>5</v>
      </c>
      <c r="M25" s="1"/>
      <c r="N25" s="15"/>
      <c r="O25" s="1"/>
      <c r="P25" s="1"/>
      <c r="Q25" s="1"/>
      <c r="R25" s="1"/>
      <c r="S25" s="13"/>
    </row>
    <row r="26" spans="1:19" x14ac:dyDescent="0.3">
      <c r="A26" s="2">
        <v>1025</v>
      </c>
      <c r="B26" s="9" t="s">
        <v>7</v>
      </c>
      <c r="C26" s="1"/>
      <c r="D26" s="15">
        <v>13</v>
      </c>
      <c r="E26" s="1"/>
      <c r="F26" s="1"/>
      <c r="G26" s="1"/>
      <c r="H26" s="1"/>
      <c r="I26" s="1"/>
      <c r="J26" s="1"/>
      <c r="K26" s="2">
        <v>1081</v>
      </c>
      <c r="L26" s="9" t="s">
        <v>14</v>
      </c>
      <c r="M26" s="1"/>
      <c r="N26" s="15">
        <v>27</v>
      </c>
      <c r="O26" s="1"/>
      <c r="P26" s="1"/>
      <c r="Q26" s="1"/>
      <c r="R26" s="1"/>
      <c r="S26" s="13"/>
    </row>
    <row r="27" spans="1:19" x14ac:dyDescent="0.3">
      <c r="A27" s="2">
        <v>1026</v>
      </c>
      <c r="B27" s="9" t="s">
        <v>53</v>
      </c>
      <c r="C27" s="1"/>
      <c r="D27" s="15"/>
      <c r="E27" s="1"/>
      <c r="F27" s="1"/>
      <c r="G27" s="1"/>
      <c r="H27" s="1"/>
      <c r="I27" s="1"/>
      <c r="J27" s="1"/>
      <c r="K27" s="2">
        <v>1082</v>
      </c>
      <c r="L27" s="9" t="s">
        <v>7</v>
      </c>
      <c r="M27" s="1"/>
      <c r="N27" s="15">
        <v>17</v>
      </c>
      <c r="O27" s="1"/>
      <c r="P27" s="1"/>
      <c r="Q27" s="1"/>
      <c r="R27" s="1"/>
      <c r="S27" s="13"/>
    </row>
    <row r="28" spans="1:19" x14ac:dyDescent="0.3">
      <c r="A28" s="2">
        <v>1027</v>
      </c>
      <c r="B28" s="9" t="s">
        <v>49</v>
      </c>
      <c r="C28" s="1"/>
      <c r="D28" s="15">
        <v>18</v>
      </c>
      <c r="E28" s="1"/>
      <c r="F28" s="1"/>
      <c r="G28" s="1"/>
      <c r="H28" s="1"/>
      <c r="I28" s="1"/>
      <c r="J28" s="1"/>
      <c r="K28" s="2">
        <v>1083</v>
      </c>
      <c r="L28" s="9" t="s">
        <v>65</v>
      </c>
      <c r="M28" s="1"/>
      <c r="N28" s="15"/>
      <c r="O28" s="1"/>
      <c r="P28" s="1"/>
      <c r="Q28" s="1"/>
      <c r="R28" s="1"/>
      <c r="S28" s="13"/>
    </row>
    <row r="29" spans="1:19" x14ac:dyDescent="0.3">
      <c r="A29" s="2">
        <v>1028</v>
      </c>
      <c r="B29" s="9" t="s">
        <v>71</v>
      </c>
      <c r="C29" s="1"/>
      <c r="D29" s="15">
        <v>7</v>
      </c>
      <c r="E29" s="1">
        <v>3</v>
      </c>
      <c r="F29" s="1"/>
      <c r="G29" s="1"/>
      <c r="H29" s="1"/>
      <c r="I29" s="1"/>
      <c r="J29" s="1"/>
      <c r="K29" s="2">
        <v>1084</v>
      </c>
      <c r="L29" s="9" t="s">
        <v>47</v>
      </c>
      <c r="M29" s="1"/>
      <c r="N29" s="17">
        <v>4.8</v>
      </c>
      <c r="O29" s="1">
        <v>3.3</v>
      </c>
      <c r="P29" s="1"/>
      <c r="Q29" s="1"/>
      <c r="R29" s="1"/>
      <c r="S29" s="13"/>
    </row>
    <row r="30" spans="1:19" x14ac:dyDescent="0.3">
      <c r="A30" s="2">
        <v>1029</v>
      </c>
      <c r="B30" s="10" t="s">
        <v>71</v>
      </c>
      <c r="C30" s="1"/>
      <c r="D30" s="15">
        <v>4</v>
      </c>
      <c r="E30" s="1">
        <v>20</v>
      </c>
      <c r="F30" s="1"/>
      <c r="G30" s="1"/>
      <c r="H30" s="1"/>
      <c r="I30" s="1"/>
      <c r="J30" s="1"/>
      <c r="K30" s="2">
        <v>1085</v>
      </c>
      <c r="L30" s="9" t="s">
        <v>20</v>
      </c>
      <c r="M30" s="1"/>
      <c r="N30" s="15"/>
      <c r="O30" s="1"/>
      <c r="P30" s="1"/>
      <c r="Q30" s="1"/>
      <c r="R30" s="1"/>
      <c r="S30" s="13"/>
    </row>
    <row r="31" spans="1:19" ht="57.6" x14ac:dyDescent="0.3">
      <c r="A31" s="2">
        <v>1030</v>
      </c>
      <c r="B31" s="9" t="s">
        <v>75</v>
      </c>
      <c r="C31" s="1"/>
      <c r="D31" s="15"/>
      <c r="E31" s="1"/>
      <c r="F31" s="1"/>
      <c r="G31" s="1"/>
      <c r="H31" s="1"/>
      <c r="I31" s="1"/>
      <c r="J31" s="1"/>
      <c r="K31" s="2">
        <v>1086</v>
      </c>
      <c r="L31" s="9" t="s">
        <v>97</v>
      </c>
      <c r="M31" s="1"/>
      <c r="N31" s="15"/>
      <c r="O31" s="1"/>
      <c r="P31" s="1"/>
      <c r="Q31" s="1"/>
      <c r="R31" s="1"/>
      <c r="S31" s="13"/>
    </row>
    <row r="32" spans="1:19" ht="28.8" x14ac:dyDescent="0.3">
      <c r="A32" s="2">
        <v>1031</v>
      </c>
      <c r="B32" s="9" t="s">
        <v>52</v>
      </c>
      <c r="C32" s="1"/>
      <c r="D32" s="15">
        <v>16.7</v>
      </c>
      <c r="E32" s="1"/>
      <c r="F32" s="1"/>
      <c r="G32" s="1"/>
      <c r="H32" s="1"/>
      <c r="I32" s="1"/>
      <c r="J32" s="1"/>
      <c r="K32" s="2">
        <v>1087</v>
      </c>
      <c r="L32" s="9" t="s">
        <v>98</v>
      </c>
      <c r="M32" s="1"/>
      <c r="N32" s="22">
        <v>6.2</v>
      </c>
      <c r="O32" s="1">
        <v>5.8</v>
      </c>
      <c r="P32" s="1"/>
      <c r="Q32" s="1"/>
      <c r="R32" s="1"/>
      <c r="S32" s="13"/>
    </row>
    <row r="33" spans="1:19" x14ac:dyDescent="0.3">
      <c r="A33" s="2">
        <v>1032</v>
      </c>
      <c r="B33" s="9" t="s">
        <v>54</v>
      </c>
      <c r="C33" s="1"/>
      <c r="D33" s="15"/>
      <c r="E33" s="1"/>
      <c r="F33" s="1"/>
      <c r="G33" s="1"/>
      <c r="H33" s="1"/>
      <c r="I33" s="1"/>
      <c r="J33" s="1"/>
      <c r="K33" s="19">
        <v>1088</v>
      </c>
      <c r="L33" s="20" t="s">
        <v>99</v>
      </c>
      <c r="M33" s="1"/>
      <c r="N33" s="15"/>
      <c r="O33" s="1"/>
      <c r="P33" s="1"/>
      <c r="Q33" s="1"/>
      <c r="R33" s="1"/>
      <c r="S33" s="13"/>
    </row>
    <row r="34" spans="1:19" x14ac:dyDescent="0.3">
      <c r="A34" s="2">
        <v>1033</v>
      </c>
      <c r="B34" s="9" t="s">
        <v>7</v>
      </c>
      <c r="C34" s="1"/>
      <c r="D34" s="15">
        <v>16</v>
      </c>
      <c r="E34" s="1"/>
      <c r="F34" s="1"/>
      <c r="G34" s="1"/>
      <c r="H34" s="1"/>
      <c r="I34" s="1"/>
      <c r="J34" s="1"/>
      <c r="K34" s="2">
        <v>1089</v>
      </c>
      <c r="L34" s="9" t="s">
        <v>100</v>
      </c>
      <c r="M34" s="1"/>
      <c r="N34" s="15"/>
      <c r="O34" s="1"/>
      <c r="P34" s="1">
        <v>24.5</v>
      </c>
      <c r="Q34" s="1"/>
      <c r="R34" s="1"/>
      <c r="S34" s="13"/>
    </row>
    <row r="35" spans="1:19" x14ac:dyDescent="0.3">
      <c r="A35" s="2">
        <v>1034</v>
      </c>
      <c r="B35" s="9" t="s">
        <v>74</v>
      </c>
      <c r="C35" s="1"/>
      <c r="D35" s="15"/>
      <c r="E35" s="1"/>
      <c r="F35" s="1"/>
      <c r="G35" s="1"/>
      <c r="H35" s="1"/>
      <c r="I35" s="1"/>
      <c r="J35" s="1"/>
      <c r="K35" s="2">
        <v>1090</v>
      </c>
      <c r="L35" s="9" t="s">
        <v>74</v>
      </c>
      <c r="M35" s="1"/>
      <c r="N35" s="15"/>
      <c r="O35" s="1"/>
      <c r="P35" s="1">
        <v>30</v>
      </c>
      <c r="Q35" s="1"/>
      <c r="R35" s="1"/>
      <c r="S35" s="13"/>
    </row>
    <row r="36" spans="1:19" x14ac:dyDescent="0.3">
      <c r="A36" s="2">
        <v>1035</v>
      </c>
      <c r="B36" s="9" t="s">
        <v>12</v>
      </c>
      <c r="C36" s="1"/>
      <c r="D36" s="15">
        <v>35</v>
      </c>
      <c r="E36" s="1"/>
      <c r="F36" s="1"/>
      <c r="G36" s="1"/>
      <c r="H36" s="1"/>
      <c r="I36" s="1"/>
      <c r="J36" s="1"/>
      <c r="K36" s="2">
        <v>1091</v>
      </c>
      <c r="L36" s="9" t="s">
        <v>101</v>
      </c>
      <c r="M36" s="1"/>
      <c r="N36" s="15"/>
      <c r="O36" s="1"/>
      <c r="P36" s="1"/>
      <c r="Q36" s="1"/>
      <c r="R36" s="1"/>
      <c r="S36" s="13"/>
    </row>
    <row r="37" spans="1:19" x14ac:dyDescent="0.3">
      <c r="A37" s="2">
        <v>1036</v>
      </c>
      <c r="B37" s="9" t="s">
        <v>5</v>
      </c>
      <c r="C37" s="1"/>
      <c r="D37" s="15"/>
      <c r="E37" s="1"/>
      <c r="F37" s="1"/>
      <c r="G37" s="1"/>
      <c r="H37" s="1"/>
      <c r="I37" s="1"/>
      <c r="J37" s="1"/>
      <c r="K37" s="2">
        <v>1092</v>
      </c>
      <c r="L37" s="9" t="s">
        <v>102</v>
      </c>
      <c r="M37" s="1"/>
      <c r="N37" s="15"/>
      <c r="O37" s="1"/>
      <c r="P37" s="1"/>
      <c r="Q37" s="1"/>
      <c r="R37" s="1"/>
      <c r="S37" s="13"/>
    </row>
    <row r="38" spans="1:19" x14ac:dyDescent="0.3">
      <c r="A38" s="2">
        <v>1037</v>
      </c>
      <c r="B38" s="9" t="s">
        <v>13</v>
      </c>
      <c r="C38" s="1"/>
      <c r="D38" s="15">
        <v>23</v>
      </c>
      <c r="E38" s="1"/>
      <c r="F38" s="1"/>
      <c r="G38" s="1"/>
      <c r="H38" s="1"/>
      <c r="I38" s="1"/>
      <c r="J38" s="1"/>
      <c r="K38" s="2">
        <v>1093</v>
      </c>
      <c r="L38" s="9" t="s">
        <v>103</v>
      </c>
      <c r="M38" s="1"/>
      <c r="N38" s="15"/>
      <c r="O38" s="1"/>
      <c r="P38" s="1"/>
      <c r="Q38" s="1"/>
      <c r="R38" s="18"/>
      <c r="S38" s="13"/>
    </row>
    <row r="39" spans="1:19" ht="28.8" x14ac:dyDescent="0.3">
      <c r="A39" s="2">
        <v>1038</v>
      </c>
      <c r="B39" s="9" t="s">
        <v>14</v>
      </c>
      <c r="C39" s="1"/>
      <c r="D39" s="15">
        <v>22</v>
      </c>
      <c r="E39" s="1"/>
      <c r="F39" s="1"/>
      <c r="G39" s="1"/>
      <c r="H39" s="1"/>
      <c r="I39" s="1"/>
      <c r="J39" s="1"/>
      <c r="K39" s="2">
        <v>1094</v>
      </c>
      <c r="L39" s="9" t="s">
        <v>104</v>
      </c>
      <c r="M39" s="1"/>
      <c r="N39" s="15"/>
      <c r="O39" s="1"/>
      <c r="P39" s="1"/>
      <c r="Q39" s="1"/>
      <c r="R39" s="1"/>
      <c r="S39" s="13"/>
    </row>
    <row r="40" spans="1:19" x14ac:dyDescent="0.3">
      <c r="A40" s="2">
        <v>1039</v>
      </c>
      <c r="B40" s="9" t="s">
        <v>76</v>
      </c>
      <c r="C40" s="1"/>
      <c r="D40" s="15"/>
      <c r="E40" s="1"/>
      <c r="F40" s="1"/>
      <c r="G40" s="1"/>
      <c r="H40" s="1"/>
      <c r="I40" s="1"/>
      <c r="J40" s="1"/>
      <c r="K40" s="2">
        <v>1095</v>
      </c>
      <c r="L40" s="9" t="s">
        <v>105</v>
      </c>
      <c r="M40" s="1"/>
      <c r="N40" s="15"/>
      <c r="O40" s="1"/>
      <c r="P40" s="1"/>
      <c r="Q40" s="1"/>
      <c r="R40" s="1"/>
      <c r="S40" s="13"/>
    </row>
    <row r="41" spans="1:19" x14ac:dyDescent="0.3">
      <c r="A41" s="2">
        <v>1040</v>
      </c>
      <c r="B41" s="9" t="s">
        <v>77</v>
      </c>
      <c r="C41" s="1"/>
      <c r="D41" s="15"/>
      <c r="E41" s="1"/>
      <c r="F41" s="1"/>
      <c r="G41" s="1"/>
      <c r="H41" s="1"/>
      <c r="I41" s="1"/>
      <c r="J41" s="1"/>
      <c r="K41" s="2">
        <v>1096</v>
      </c>
      <c r="L41" s="9" t="s">
        <v>106</v>
      </c>
      <c r="M41" s="1"/>
      <c r="N41" s="15">
        <v>26</v>
      </c>
      <c r="O41" s="1"/>
      <c r="P41" s="1"/>
      <c r="Q41" s="1"/>
      <c r="R41" s="1"/>
      <c r="S41" s="13"/>
    </row>
    <row r="42" spans="1:19" x14ac:dyDescent="0.3">
      <c r="A42" s="2">
        <v>1041</v>
      </c>
      <c r="B42" s="9" t="s">
        <v>78</v>
      </c>
      <c r="C42" s="1"/>
      <c r="D42" s="15"/>
      <c r="E42" s="1"/>
      <c r="F42" s="1"/>
      <c r="G42" s="1"/>
      <c r="H42" s="1"/>
      <c r="I42" s="1"/>
      <c r="J42" s="1"/>
      <c r="K42" s="2">
        <v>1097</v>
      </c>
      <c r="L42" s="9" t="s">
        <v>107</v>
      </c>
      <c r="M42" s="1"/>
      <c r="N42" s="15"/>
      <c r="O42" s="1"/>
      <c r="P42" s="1"/>
      <c r="Q42" s="1"/>
      <c r="R42" s="1"/>
      <c r="S42" s="13"/>
    </row>
    <row r="43" spans="1:19" x14ac:dyDescent="0.3">
      <c r="A43" s="2">
        <v>1042</v>
      </c>
      <c r="B43" s="9" t="s">
        <v>79</v>
      </c>
      <c r="C43" s="1"/>
      <c r="D43" s="15"/>
      <c r="E43" s="1"/>
      <c r="F43" s="1"/>
      <c r="G43" s="1"/>
      <c r="H43" s="1"/>
      <c r="I43" s="1"/>
      <c r="J43" s="1"/>
      <c r="K43" s="2">
        <v>1098</v>
      </c>
      <c r="L43" s="9" t="s">
        <v>108</v>
      </c>
      <c r="M43" s="1"/>
      <c r="N43" s="15">
        <v>22.7</v>
      </c>
      <c r="O43" s="1"/>
      <c r="P43" s="1"/>
      <c r="Q43" s="1"/>
      <c r="R43" s="1"/>
      <c r="S43" s="13"/>
    </row>
    <row r="44" spans="1:19" x14ac:dyDescent="0.3">
      <c r="A44" s="2">
        <v>1043</v>
      </c>
      <c r="B44" s="9" t="s">
        <v>80</v>
      </c>
      <c r="C44" s="1"/>
      <c r="D44" s="15">
        <v>14</v>
      </c>
      <c r="E44" s="1"/>
      <c r="F44" s="1"/>
      <c r="G44" s="1"/>
      <c r="H44" s="1"/>
      <c r="I44" s="1"/>
      <c r="J44" s="1"/>
      <c r="K44" s="2">
        <v>1099</v>
      </c>
      <c r="L44" s="9" t="s">
        <v>50</v>
      </c>
      <c r="M44" s="1"/>
      <c r="N44" s="15"/>
      <c r="O44" s="1"/>
      <c r="P44" s="1"/>
      <c r="Q44" s="1"/>
      <c r="R44" s="1"/>
      <c r="S44" s="13"/>
    </row>
    <row r="45" spans="1:19" ht="72" x14ac:dyDescent="0.3">
      <c r="A45" s="2">
        <v>1044</v>
      </c>
      <c r="B45" s="9" t="s">
        <v>81</v>
      </c>
      <c r="C45" s="1"/>
      <c r="D45" s="15"/>
      <c r="E45" s="1"/>
      <c r="F45" s="1"/>
      <c r="G45" s="1"/>
      <c r="H45" s="1"/>
      <c r="I45" s="1"/>
      <c r="J45" s="1"/>
      <c r="K45" s="2">
        <v>1100</v>
      </c>
      <c r="L45" s="9" t="s">
        <v>50</v>
      </c>
      <c r="M45" s="1"/>
      <c r="N45" s="15">
        <v>5.2</v>
      </c>
      <c r="O45" s="1"/>
      <c r="P45" s="1">
        <v>5.2</v>
      </c>
      <c r="Q45" s="1"/>
      <c r="R45" s="1"/>
      <c r="S45" s="13"/>
    </row>
    <row r="46" spans="1:19" x14ac:dyDescent="0.3">
      <c r="A46" s="2">
        <v>1045</v>
      </c>
      <c r="B46" s="9" t="s">
        <v>5</v>
      </c>
      <c r="C46" s="1"/>
      <c r="D46" s="15"/>
      <c r="E46" s="1"/>
      <c r="F46" s="1"/>
      <c r="G46" s="1"/>
      <c r="H46" s="1"/>
      <c r="I46" s="1"/>
      <c r="J46" s="1"/>
      <c r="K46" s="2">
        <v>1101</v>
      </c>
      <c r="L46" s="9" t="s">
        <v>109</v>
      </c>
      <c r="M46" s="1"/>
      <c r="N46" s="15">
        <v>9</v>
      </c>
      <c r="O46" s="23"/>
      <c r="P46" s="23">
        <v>9</v>
      </c>
      <c r="Q46" s="23"/>
      <c r="R46" s="23"/>
      <c r="S46" s="24"/>
    </row>
    <row r="47" spans="1:19" x14ac:dyDescent="0.3">
      <c r="A47" s="2">
        <v>1046</v>
      </c>
      <c r="B47" s="9" t="s">
        <v>82</v>
      </c>
      <c r="C47" s="1"/>
      <c r="D47" s="15">
        <v>7</v>
      </c>
      <c r="E47" s="1"/>
      <c r="F47" s="1">
        <v>23</v>
      </c>
      <c r="G47" s="1">
        <v>1.4</v>
      </c>
      <c r="H47" s="1"/>
      <c r="I47" s="1"/>
      <c r="J47" s="1"/>
      <c r="K47" s="2">
        <v>1102</v>
      </c>
      <c r="L47" s="9" t="s">
        <v>110</v>
      </c>
      <c r="M47" s="1"/>
      <c r="N47" s="34">
        <v>9</v>
      </c>
      <c r="O47" s="1"/>
      <c r="P47" s="1">
        <v>9</v>
      </c>
      <c r="Q47" s="1"/>
      <c r="R47" s="1"/>
      <c r="S47" s="1"/>
    </row>
    <row r="48" spans="1:19" x14ac:dyDescent="0.3">
      <c r="A48" s="2">
        <v>1047</v>
      </c>
      <c r="B48" s="9" t="s">
        <v>83</v>
      </c>
      <c r="C48" s="1"/>
      <c r="D48" s="15"/>
      <c r="E48" s="1"/>
      <c r="F48" s="1"/>
      <c r="G48" s="1"/>
      <c r="H48" s="1"/>
      <c r="I48" s="1"/>
      <c r="J48" s="1"/>
      <c r="K48" s="2">
        <v>1103</v>
      </c>
      <c r="L48" s="9" t="s">
        <v>20</v>
      </c>
      <c r="M48" s="1"/>
      <c r="N48" s="34"/>
      <c r="O48" s="1"/>
      <c r="P48" s="1"/>
      <c r="Q48" s="1"/>
      <c r="R48" s="1"/>
      <c r="S48" s="1"/>
    </row>
    <row r="49" spans="1:19" x14ac:dyDescent="0.3">
      <c r="A49" s="2">
        <v>1048</v>
      </c>
      <c r="B49" s="9" t="s">
        <v>5</v>
      </c>
      <c r="C49" s="1"/>
      <c r="D49" s="15"/>
      <c r="E49" s="1"/>
      <c r="F49" s="1"/>
      <c r="G49" s="1"/>
      <c r="H49" s="1"/>
      <c r="I49" s="1"/>
      <c r="J49" s="1"/>
      <c r="K49" s="2">
        <v>1104</v>
      </c>
      <c r="L49" s="9" t="s">
        <v>111</v>
      </c>
      <c r="M49" s="1"/>
      <c r="N49" s="34">
        <v>18</v>
      </c>
      <c r="O49" s="1"/>
      <c r="P49" s="1">
        <v>18</v>
      </c>
      <c r="Q49" s="1"/>
      <c r="R49" s="1"/>
      <c r="S49" s="1"/>
    </row>
    <row r="50" spans="1:19" x14ac:dyDescent="0.3">
      <c r="A50" s="2">
        <v>1049</v>
      </c>
      <c r="B50" s="9" t="s">
        <v>84</v>
      </c>
      <c r="C50" s="1"/>
      <c r="D50" s="15">
        <v>90</v>
      </c>
      <c r="E50" s="1">
        <v>46</v>
      </c>
      <c r="F50" s="1"/>
      <c r="G50" s="1"/>
      <c r="H50" s="1"/>
      <c r="I50" s="1"/>
      <c r="J50" s="1"/>
      <c r="K50" s="2">
        <v>1105</v>
      </c>
      <c r="L50" s="9" t="s">
        <v>7</v>
      </c>
      <c r="M50" s="1"/>
      <c r="N50" s="34">
        <v>8</v>
      </c>
      <c r="O50" s="1"/>
      <c r="P50" s="1">
        <v>8</v>
      </c>
      <c r="Q50" s="1"/>
      <c r="R50" s="1"/>
      <c r="S50" s="1"/>
    </row>
    <row r="51" spans="1:19" x14ac:dyDescent="0.3">
      <c r="A51" s="2">
        <v>1050</v>
      </c>
      <c r="B51" s="9" t="s">
        <v>20</v>
      </c>
      <c r="C51" s="1"/>
      <c r="D51" s="15"/>
      <c r="E51" s="1"/>
      <c r="F51" s="1"/>
      <c r="G51" s="1"/>
      <c r="H51" s="1"/>
      <c r="I51" s="1"/>
      <c r="J51" s="1"/>
      <c r="K51" s="2">
        <v>1106</v>
      </c>
      <c r="L51" s="9" t="s">
        <v>112</v>
      </c>
      <c r="M51" s="1"/>
      <c r="N51" s="34"/>
      <c r="O51" s="33">
        <v>11.4</v>
      </c>
      <c r="P51" s="33">
        <v>11.4</v>
      </c>
      <c r="Q51" s="1"/>
      <c r="R51" s="1"/>
      <c r="S51" s="1"/>
    </row>
    <row r="52" spans="1:19" ht="28.8" x14ac:dyDescent="0.3">
      <c r="A52" s="2">
        <v>1051</v>
      </c>
      <c r="B52" s="9" t="s">
        <v>85</v>
      </c>
      <c r="C52" s="1"/>
      <c r="D52" s="15">
        <v>10.3</v>
      </c>
      <c r="E52" s="1"/>
      <c r="F52" s="1"/>
      <c r="G52" s="1"/>
      <c r="H52" s="1"/>
      <c r="I52" s="1"/>
      <c r="J52" s="1"/>
      <c r="K52" s="2">
        <v>1107</v>
      </c>
      <c r="L52" s="9" t="s">
        <v>113</v>
      </c>
      <c r="M52" s="1"/>
      <c r="N52" s="34"/>
      <c r="O52" s="1"/>
      <c r="P52" s="1">
        <v>5.7</v>
      </c>
      <c r="Q52" s="1"/>
      <c r="R52" s="1"/>
      <c r="S52" s="1"/>
    </row>
    <row r="53" spans="1:19" ht="28.8" x14ac:dyDescent="0.3">
      <c r="A53" s="2">
        <v>1052</v>
      </c>
      <c r="B53" s="9" t="s">
        <v>86</v>
      </c>
      <c r="C53" s="1"/>
      <c r="D53" s="15"/>
      <c r="E53" s="1"/>
      <c r="F53" s="1"/>
      <c r="G53" s="1"/>
      <c r="H53" s="1"/>
      <c r="I53" s="1"/>
      <c r="J53" s="1"/>
      <c r="K53" s="2">
        <v>1108</v>
      </c>
      <c r="L53" s="9" t="s">
        <v>114</v>
      </c>
      <c r="M53" s="1"/>
      <c r="N53" s="34"/>
      <c r="O53" s="1"/>
      <c r="P53" s="1"/>
      <c r="Q53" s="1"/>
      <c r="R53" s="1"/>
      <c r="S53" s="1"/>
    </row>
    <row r="54" spans="1:19" ht="28.8" x14ac:dyDescent="0.3">
      <c r="A54" s="2">
        <v>1053</v>
      </c>
      <c r="B54" s="9" t="s">
        <v>19</v>
      </c>
      <c r="C54" s="1"/>
      <c r="D54" s="15">
        <v>6.4</v>
      </c>
      <c r="E54" s="1">
        <v>3.9</v>
      </c>
      <c r="F54" s="1"/>
      <c r="G54" s="1"/>
      <c r="H54" s="1"/>
      <c r="I54" s="1"/>
      <c r="J54" s="1"/>
      <c r="K54" s="2">
        <v>1109</v>
      </c>
      <c r="L54" s="9" t="s">
        <v>115</v>
      </c>
      <c r="M54" s="1"/>
      <c r="N54" s="34">
        <v>9</v>
      </c>
      <c r="O54" s="1"/>
      <c r="P54" s="1">
        <v>9</v>
      </c>
      <c r="Q54" s="1"/>
      <c r="R54" s="1"/>
      <c r="S54" s="1"/>
    </row>
    <row r="55" spans="1:19" ht="28.8" x14ac:dyDescent="0.3">
      <c r="A55" s="2">
        <v>1054</v>
      </c>
      <c r="B55" s="9" t="s">
        <v>19</v>
      </c>
      <c r="C55" s="1"/>
      <c r="D55" s="15">
        <v>30</v>
      </c>
      <c r="E55" s="1">
        <v>2.7</v>
      </c>
      <c r="F55" s="1"/>
      <c r="G55" s="1"/>
      <c r="H55" s="1"/>
      <c r="I55" s="1"/>
      <c r="J55" s="1"/>
      <c r="K55" s="2">
        <v>1110</v>
      </c>
      <c r="L55" s="9" t="s">
        <v>116</v>
      </c>
      <c r="M55" s="1"/>
      <c r="N55" s="34"/>
      <c r="O55" s="1"/>
      <c r="P55" s="1"/>
      <c r="Q55" s="1"/>
      <c r="R55" s="1"/>
      <c r="S55" s="1"/>
    </row>
    <row r="56" spans="1:19" ht="28.8" x14ac:dyDescent="0.3">
      <c r="A56" s="2">
        <v>1055</v>
      </c>
      <c r="B56" s="9" t="s">
        <v>17</v>
      </c>
      <c r="C56" s="1"/>
      <c r="D56" s="15"/>
      <c r="E56" s="1">
        <v>11.8</v>
      </c>
      <c r="F56" s="1"/>
      <c r="G56" s="1"/>
      <c r="H56" s="1"/>
      <c r="I56" s="1"/>
      <c r="J56" s="1"/>
      <c r="K56" s="2">
        <v>1111</v>
      </c>
      <c r="L56" s="9" t="s">
        <v>35</v>
      </c>
      <c r="M56" s="1"/>
      <c r="N56" s="34"/>
      <c r="O56" s="1"/>
      <c r="P56" s="1"/>
      <c r="Q56" s="1"/>
      <c r="R56" s="1"/>
      <c r="S56" s="1"/>
    </row>
    <row r="57" spans="1:19" x14ac:dyDescent="0.3">
      <c r="A57" s="2">
        <v>1056</v>
      </c>
      <c r="B57" s="9" t="s">
        <v>72</v>
      </c>
      <c r="C57" s="1"/>
      <c r="D57" s="15"/>
      <c r="E57" s="1"/>
      <c r="F57" s="1"/>
      <c r="G57" s="1"/>
      <c r="H57" s="1"/>
      <c r="I57" s="1"/>
      <c r="J57" s="1"/>
      <c r="K57" s="2">
        <v>1112</v>
      </c>
      <c r="L57" s="9" t="s">
        <v>117</v>
      </c>
      <c r="M57" s="1">
        <v>8</v>
      </c>
      <c r="N57" s="34">
        <v>7.2</v>
      </c>
      <c r="O57" s="1"/>
      <c r="P57" s="1"/>
      <c r="Q57" s="1"/>
      <c r="R57" s="1"/>
      <c r="S57" s="1"/>
    </row>
    <row r="58" spans="1:19" x14ac:dyDescent="0.3">
      <c r="A58" s="2">
        <v>1057</v>
      </c>
      <c r="B58" s="9" t="s">
        <v>5</v>
      </c>
      <c r="C58" s="1"/>
      <c r="D58" s="15"/>
      <c r="E58" s="1"/>
      <c r="F58" s="1"/>
      <c r="G58" s="13"/>
      <c r="H58" s="13"/>
      <c r="I58" s="13"/>
      <c r="J58" s="13"/>
      <c r="K58" s="28">
        <v>1113</v>
      </c>
      <c r="L58" s="9" t="s">
        <v>31</v>
      </c>
      <c r="M58" s="1"/>
      <c r="N58" s="34"/>
      <c r="O58" s="1"/>
      <c r="P58" s="1"/>
      <c r="Q58" s="1"/>
      <c r="R58" s="1"/>
      <c r="S58" s="1"/>
    </row>
    <row r="59" spans="1:19" x14ac:dyDescent="0.3">
      <c r="A59" s="25"/>
      <c r="B59" s="25"/>
      <c r="C59" s="25"/>
      <c r="D59" s="25"/>
      <c r="E59" s="46" t="s">
        <v>130</v>
      </c>
      <c r="F59" s="25" t="s">
        <v>129</v>
      </c>
      <c r="G59" s="25"/>
      <c r="H59" s="25"/>
      <c r="I59" s="25"/>
      <c r="J59" s="25"/>
      <c r="K59" s="25"/>
      <c r="L59" s="26"/>
      <c r="M59" s="27"/>
      <c r="N59" s="29"/>
      <c r="O59" s="1"/>
      <c r="P59" s="1"/>
      <c r="Q59" s="1"/>
      <c r="R59" s="1"/>
      <c r="S59" s="1"/>
    </row>
    <row r="60" spans="1:19" x14ac:dyDescent="0.3">
      <c r="A60" s="2" t="s">
        <v>118</v>
      </c>
      <c r="B60" s="1" t="s">
        <v>42</v>
      </c>
      <c r="C60" s="2">
        <v>250</v>
      </c>
      <c r="D60" s="2" t="s">
        <v>39</v>
      </c>
      <c r="E60" s="25">
        <v>322</v>
      </c>
      <c r="F60" s="25"/>
      <c r="G60" s="25"/>
      <c r="H60" s="25"/>
      <c r="I60" s="25"/>
      <c r="J60" s="25"/>
      <c r="K60" s="25"/>
      <c r="L60" s="25"/>
      <c r="M60" s="25"/>
      <c r="N60" s="25"/>
      <c r="O60" s="27"/>
      <c r="P60" s="27"/>
      <c r="Q60" s="27"/>
      <c r="R60" s="27"/>
      <c r="S60" s="27"/>
    </row>
    <row r="61" spans="1:19" x14ac:dyDescent="0.3">
      <c r="A61" s="2"/>
      <c r="B61" s="5" t="s">
        <v>124</v>
      </c>
      <c r="C61" s="4">
        <v>913</v>
      </c>
      <c r="D61" s="2" t="s">
        <v>39</v>
      </c>
      <c r="E61" s="25">
        <v>811</v>
      </c>
      <c r="F61" s="25"/>
      <c r="G61" s="25"/>
      <c r="H61" s="25"/>
      <c r="I61" s="25"/>
      <c r="J61" s="25"/>
      <c r="K61" s="25"/>
      <c r="L61" s="25"/>
      <c r="M61" s="25"/>
      <c r="N61" s="25"/>
      <c r="O61" s="27"/>
      <c r="P61" s="27"/>
      <c r="Q61" s="27"/>
      <c r="R61" s="27"/>
      <c r="S61" s="27"/>
    </row>
    <row r="62" spans="1:19" x14ac:dyDescent="0.3">
      <c r="A62" s="2"/>
      <c r="B62" s="1" t="s">
        <v>121</v>
      </c>
      <c r="C62" s="1">
        <v>1.4</v>
      </c>
      <c r="D62" s="2" t="s">
        <v>129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7"/>
      <c r="P62" s="27"/>
      <c r="Q62" s="27"/>
      <c r="R62" s="27"/>
      <c r="S62" s="27"/>
    </row>
    <row r="63" spans="1:19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7"/>
      <c r="P63" s="27"/>
      <c r="Q63" s="27"/>
      <c r="R63" s="27"/>
      <c r="S63" s="27"/>
    </row>
    <row r="64" spans="1:19" x14ac:dyDescent="0.3">
      <c r="A64" s="25"/>
      <c r="B64" s="25"/>
      <c r="C64" s="25">
        <f>SUM(D2:D58)+SUM(N2:N58)</f>
        <v>913.3</v>
      </c>
      <c r="D64" s="25">
        <f>SUM(E2:E58)+SUM(O2:O58)</f>
        <v>242.40000000000003</v>
      </c>
      <c r="E64" s="25" t="s">
        <v>39</v>
      </c>
      <c r="F64" s="25"/>
      <c r="G64" s="25"/>
      <c r="H64" s="25"/>
      <c r="I64" s="25"/>
      <c r="J64" s="25"/>
      <c r="K64" s="25"/>
      <c r="L64" s="25"/>
      <c r="M64" s="25"/>
      <c r="N64" s="25"/>
      <c r="O64" s="27"/>
      <c r="P64" s="27"/>
      <c r="Q64" s="27"/>
      <c r="R64" s="27"/>
      <c r="S64" s="27"/>
    </row>
    <row r="65" spans="1:19" x14ac:dyDescent="0.3">
      <c r="A65" s="25"/>
      <c r="B65" s="25"/>
      <c r="C65" s="25">
        <f>C64*0.2</f>
        <v>182.66</v>
      </c>
      <c r="D65" s="25">
        <f>D64*0.2</f>
        <v>48.480000000000011</v>
      </c>
      <c r="E65" s="25" t="s">
        <v>129</v>
      </c>
      <c r="F65" s="25"/>
      <c r="G65" s="25"/>
      <c r="H65" s="25"/>
      <c r="I65" s="25"/>
      <c r="J65" s="25"/>
      <c r="K65" s="25"/>
      <c r="L65" s="25"/>
      <c r="M65" s="25"/>
      <c r="N65" s="25"/>
      <c r="O65" s="27"/>
      <c r="P65" s="27"/>
      <c r="Q65" s="27"/>
      <c r="R65" s="27"/>
      <c r="S65" s="27"/>
    </row>
    <row r="66" spans="1:19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7"/>
      <c r="P66" s="27"/>
      <c r="Q66" s="27"/>
      <c r="R66" s="27"/>
      <c r="S66" s="27"/>
    </row>
    <row r="67" spans="1:19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7"/>
      <c r="P67" s="27"/>
      <c r="Q67" s="27"/>
      <c r="R67" s="27"/>
      <c r="S67" s="27"/>
    </row>
    <row r="68" spans="1:19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7"/>
      <c r="P68" s="27"/>
      <c r="Q68" s="27"/>
      <c r="R68" s="27"/>
      <c r="S68" s="27"/>
    </row>
    <row r="69" spans="1:19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7"/>
      <c r="P69" s="27"/>
      <c r="Q69" s="27"/>
      <c r="R69" s="27"/>
      <c r="S69" s="27"/>
    </row>
    <row r="70" spans="1:19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7"/>
      <c r="P70" s="27"/>
      <c r="Q70" s="27"/>
      <c r="R70" s="27"/>
      <c r="S70" s="27"/>
    </row>
    <row r="71" spans="1:19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7"/>
      <c r="P71" s="27"/>
      <c r="Q71" s="27"/>
      <c r="R71" s="27"/>
      <c r="S71" s="27"/>
    </row>
    <row r="72" spans="1:19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7"/>
      <c r="P72" s="27"/>
      <c r="Q72" s="27"/>
      <c r="R72" s="27"/>
      <c r="S72" s="27"/>
    </row>
    <row r="73" spans="1:19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9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spans="1:19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spans="1:19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spans="1:19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spans="1:19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spans="1:19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spans="1:19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spans="1:14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spans="1:14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spans="1:14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spans="1:14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spans="1:14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spans="1:14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spans="1:14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</row>
    <row r="88" spans="1:14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</row>
    <row r="89" spans="1:14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spans="1:14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spans="1:14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spans="1:14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</row>
    <row r="93" spans="1:14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</row>
    <row r="94" spans="1:14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spans="1:14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spans="1:14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spans="1:14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</row>
    <row r="98" spans="1:14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</row>
    <row r="99" spans="1:14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</row>
    <row r="100" spans="1:14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</row>
    <row r="101" spans="1:14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</row>
    <row r="102" spans="1:14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spans="1:14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</row>
    <row r="104" spans="1:14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N104" s="7"/>
    </row>
    <row r="105" spans="1:14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N105" s="7"/>
    </row>
    <row r="106" spans="1:14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N106" s="7"/>
    </row>
    <row r="107" spans="1:14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N107" s="7"/>
    </row>
    <row r="108" spans="1:14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N108" s="7"/>
    </row>
    <row r="109" spans="1:14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N109" s="7"/>
    </row>
    <row r="110" spans="1:14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N110" s="7"/>
    </row>
    <row r="111" spans="1:14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N111" s="7"/>
    </row>
    <row r="112" spans="1:14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N112" s="7"/>
    </row>
    <row r="113" spans="1:14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N113" s="7"/>
    </row>
    <row r="114" spans="1:14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N114" s="7"/>
    </row>
    <row r="115" spans="1:14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N115" s="7"/>
    </row>
    <row r="116" spans="1:14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N116" s="7"/>
    </row>
    <row r="117" spans="1:14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N117" s="7"/>
    </row>
    <row r="118" spans="1:14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N118" s="7"/>
    </row>
    <row r="119" spans="1:14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N119" s="7"/>
    </row>
    <row r="120" spans="1:14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N120" s="7"/>
    </row>
    <row r="121" spans="1:14" x14ac:dyDescent="0.3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N121" s="7"/>
    </row>
    <row r="122" spans="1:14" x14ac:dyDescent="0.3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N122" s="7"/>
    </row>
    <row r="123" spans="1:14" x14ac:dyDescent="0.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N123" s="7"/>
    </row>
    <row r="124" spans="1:14" x14ac:dyDescent="0.3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N124" s="7"/>
    </row>
    <row r="125" spans="1:14" x14ac:dyDescent="0.3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N125" s="7"/>
    </row>
    <row r="126" spans="1:14" x14ac:dyDescent="0.3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N126" s="7"/>
    </row>
    <row r="127" spans="1:14" x14ac:dyDescent="0.3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N127" s="7"/>
    </row>
    <row r="128" spans="1:14" x14ac:dyDescent="0.3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N128" s="7"/>
    </row>
    <row r="129" spans="1:14" x14ac:dyDescent="0.3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N129" s="7"/>
    </row>
    <row r="130" spans="1:14" x14ac:dyDescent="0.3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N130" s="7"/>
    </row>
    <row r="131" spans="1:14" x14ac:dyDescent="0.3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N131" s="7"/>
    </row>
    <row r="132" spans="1:14" x14ac:dyDescent="0.3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N132" s="7"/>
    </row>
    <row r="133" spans="1:14" x14ac:dyDescent="0.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N133" s="7"/>
    </row>
    <row r="134" spans="1:14" x14ac:dyDescent="0.3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N134" s="7"/>
    </row>
    <row r="135" spans="1:14" x14ac:dyDescent="0.3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N135" s="7"/>
    </row>
    <row r="136" spans="1:14" x14ac:dyDescent="0.3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N136" s="7"/>
    </row>
    <row r="137" spans="1:14" x14ac:dyDescent="0.3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N137" s="7"/>
    </row>
    <row r="138" spans="1:14" x14ac:dyDescent="0.3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N138" s="7"/>
    </row>
    <row r="139" spans="1:14" x14ac:dyDescent="0.3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N139" s="7"/>
    </row>
    <row r="140" spans="1:14" x14ac:dyDescent="0.3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N140" s="7"/>
    </row>
    <row r="141" spans="1:14" x14ac:dyDescent="0.3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N141" s="7"/>
    </row>
    <row r="142" spans="1:14" x14ac:dyDescent="0.3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N142" s="7"/>
    </row>
    <row r="143" spans="1:14" x14ac:dyDescent="0.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N143" s="7"/>
    </row>
    <row r="144" spans="1:14" x14ac:dyDescent="0.3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N144" s="7"/>
    </row>
    <row r="145" spans="1:14" x14ac:dyDescent="0.3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N145" s="7"/>
    </row>
    <row r="146" spans="1:14" x14ac:dyDescent="0.3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N146" s="7"/>
    </row>
    <row r="147" spans="1:14" x14ac:dyDescent="0.3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N147" s="7"/>
    </row>
    <row r="148" spans="1:14" x14ac:dyDescent="0.3">
      <c r="A148" s="25"/>
      <c r="B148" s="25"/>
      <c r="C148" s="25"/>
      <c r="D148" s="25"/>
      <c r="E148" s="25"/>
      <c r="F148" s="25"/>
      <c r="G148" s="25"/>
      <c r="H148" s="25"/>
      <c r="I148" s="25"/>
      <c r="J148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22" zoomScale="85" zoomScaleNormal="85" workbookViewId="0">
      <selection activeCell="E39" sqref="E39"/>
    </sheetView>
  </sheetViews>
  <sheetFormatPr defaultRowHeight="14.4" x14ac:dyDescent="0.3"/>
  <cols>
    <col min="2" max="2" width="43.109375" customWidth="1"/>
    <col min="5" max="5" width="11.5546875" style="7" bestFit="1" customWidth="1"/>
    <col min="6" max="6" width="16.6640625" style="7" customWidth="1"/>
    <col min="7" max="7" width="10.44140625" style="7" customWidth="1"/>
    <col min="9" max="9" width="37" customWidth="1"/>
    <col min="13" max="13" width="11.44140625" customWidth="1"/>
    <col min="14" max="14" width="10.5546875" customWidth="1"/>
  </cols>
  <sheetData>
    <row r="1" spans="1:15" x14ac:dyDescent="0.3">
      <c r="A1" s="2" t="s">
        <v>0</v>
      </c>
      <c r="B1" s="2"/>
      <c r="C1" s="2" t="s">
        <v>39</v>
      </c>
      <c r="D1" s="4" t="s">
        <v>39</v>
      </c>
      <c r="E1" s="6" t="s">
        <v>42</v>
      </c>
      <c r="F1" s="6" t="s">
        <v>43</v>
      </c>
      <c r="G1" s="6" t="s">
        <v>123</v>
      </c>
      <c r="H1" s="2" t="s">
        <v>0</v>
      </c>
      <c r="I1" s="1"/>
      <c r="J1" s="2" t="s">
        <v>39</v>
      </c>
      <c r="K1" s="4" t="s">
        <v>39</v>
      </c>
      <c r="L1" s="6" t="s">
        <v>42</v>
      </c>
      <c r="M1" s="6" t="s">
        <v>43</v>
      </c>
      <c r="N1" s="6" t="s">
        <v>123</v>
      </c>
      <c r="O1" s="1"/>
    </row>
    <row r="2" spans="1:15" ht="59.4" customHeight="1" x14ac:dyDescent="0.3">
      <c r="A2" s="2">
        <v>2001</v>
      </c>
      <c r="B2" s="3" t="s">
        <v>44</v>
      </c>
      <c r="C2" s="2"/>
      <c r="D2" s="4"/>
      <c r="E2" s="2">
        <v>21</v>
      </c>
      <c r="F2" s="6"/>
      <c r="G2" s="6"/>
      <c r="H2" s="2">
        <v>2038</v>
      </c>
      <c r="I2" s="3" t="s">
        <v>56</v>
      </c>
      <c r="J2" s="2"/>
      <c r="K2" s="5"/>
      <c r="L2" s="1">
        <v>4.7</v>
      </c>
      <c r="M2" s="1"/>
      <c r="N2" s="1"/>
      <c r="O2" s="1"/>
    </row>
    <row r="3" spans="1:15" ht="43.2" x14ac:dyDescent="0.3">
      <c r="A3" s="2">
        <v>2002</v>
      </c>
      <c r="B3" s="3" t="s">
        <v>44</v>
      </c>
      <c r="C3" s="2"/>
      <c r="D3" s="4"/>
      <c r="E3" s="2">
        <v>19.600000000000001</v>
      </c>
      <c r="F3" s="6"/>
      <c r="G3" s="6"/>
      <c r="H3" s="2">
        <v>2039</v>
      </c>
      <c r="I3" s="3" t="s">
        <v>19</v>
      </c>
      <c r="J3" s="2"/>
      <c r="K3" s="5"/>
      <c r="L3" s="1">
        <v>19.2</v>
      </c>
      <c r="M3" s="1"/>
      <c r="N3" s="1"/>
      <c r="O3" s="1"/>
    </row>
    <row r="4" spans="1:15" ht="28.8" x14ac:dyDescent="0.3">
      <c r="A4" s="2">
        <v>2003</v>
      </c>
      <c r="B4" s="2" t="s">
        <v>3</v>
      </c>
      <c r="C4" s="2"/>
      <c r="D4" s="4"/>
      <c r="E4" s="6">
        <v>13</v>
      </c>
      <c r="F4" s="6"/>
      <c r="G4" s="6"/>
      <c r="H4" s="2">
        <v>2040</v>
      </c>
      <c r="I4" s="3" t="s">
        <v>19</v>
      </c>
      <c r="J4" s="2"/>
      <c r="K4" s="5"/>
      <c r="L4" s="1">
        <v>16</v>
      </c>
      <c r="M4" s="1"/>
      <c r="N4" s="1"/>
      <c r="O4" s="1"/>
    </row>
    <row r="5" spans="1:15" ht="28.8" customHeight="1" x14ac:dyDescent="0.3">
      <c r="A5" s="2">
        <v>2004</v>
      </c>
      <c r="B5" s="3" t="s">
        <v>26</v>
      </c>
      <c r="C5" s="2"/>
      <c r="D5" s="4"/>
      <c r="E5" s="6">
        <v>4.3</v>
      </c>
      <c r="F5" s="6"/>
      <c r="G5" s="6"/>
      <c r="H5" s="2">
        <v>2041</v>
      </c>
      <c r="I5" s="3" t="s">
        <v>19</v>
      </c>
      <c r="J5" s="2"/>
      <c r="K5" s="5"/>
      <c r="L5" s="1">
        <v>19.399999999999999</v>
      </c>
      <c r="M5" s="1"/>
      <c r="N5" s="1"/>
      <c r="O5" s="1"/>
    </row>
    <row r="6" spans="1:15" x14ac:dyDescent="0.3">
      <c r="A6" s="2">
        <v>2005</v>
      </c>
      <c r="B6" s="2" t="s">
        <v>47</v>
      </c>
      <c r="C6" s="2"/>
      <c r="D6" s="4"/>
      <c r="E6" s="6">
        <v>16.350000000000001</v>
      </c>
      <c r="F6" s="6"/>
      <c r="G6" s="6"/>
      <c r="H6" s="2">
        <v>2042</v>
      </c>
      <c r="I6" s="3" t="s">
        <v>17</v>
      </c>
      <c r="J6" s="2"/>
      <c r="K6" s="4"/>
      <c r="L6" s="1"/>
      <c r="M6" s="1"/>
      <c r="N6" s="1"/>
      <c r="O6" s="1"/>
    </row>
    <row r="7" spans="1:15" x14ac:dyDescent="0.3">
      <c r="A7" s="2">
        <v>2006</v>
      </c>
      <c r="B7" s="2" t="s">
        <v>46</v>
      </c>
      <c r="C7" s="2"/>
      <c r="D7" s="4"/>
      <c r="E7" s="6"/>
      <c r="F7" s="6"/>
      <c r="G7" s="6"/>
      <c r="H7" s="2">
        <v>2043</v>
      </c>
      <c r="I7" s="3" t="s">
        <v>6</v>
      </c>
      <c r="J7" s="2"/>
      <c r="K7" s="5"/>
      <c r="L7" s="1"/>
      <c r="M7" s="1"/>
      <c r="N7" s="1"/>
      <c r="O7" s="1"/>
    </row>
    <row r="8" spans="1:15" x14ac:dyDescent="0.3">
      <c r="A8" s="2">
        <v>2007</v>
      </c>
      <c r="B8" s="2" t="s">
        <v>45</v>
      </c>
      <c r="C8" s="2"/>
      <c r="D8" s="4"/>
      <c r="E8" s="6">
        <v>30</v>
      </c>
      <c r="F8" s="6"/>
      <c r="G8" s="6"/>
      <c r="H8" s="2">
        <v>2044</v>
      </c>
      <c r="I8" s="2" t="s">
        <v>5</v>
      </c>
      <c r="J8" s="2"/>
      <c r="K8" s="4"/>
      <c r="L8" s="1"/>
      <c r="M8" s="1"/>
      <c r="N8" s="1"/>
      <c r="O8" s="1"/>
    </row>
    <row r="9" spans="1:15" ht="52.8" customHeight="1" x14ac:dyDescent="0.3">
      <c r="A9" s="2">
        <v>2008</v>
      </c>
      <c r="B9" s="2" t="s">
        <v>5</v>
      </c>
      <c r="C9" s="2"/>
      <c r="D9" s="4"/>
      <c r="E9" s="6"/>
      <c r="F9" s="6"/>
      <c r="G9" s="6"/>
      <c r="H9" s="2">
        <v>2045</v>
      </c>
      <c r="I9" s="3" t="s">
        <v>57</v>
      </c>
      <c r="J9" s="2"/>
      <c r="K9" s="4"/>
      <c r="L9" s="1">
        <v>88.8</v>
      </c>
      <c r="M9" s="1"/>
      <c r="N9" s="1"/>
      <c r="O9" s="1"/>
    </row>
    <row r="10" spans="1:15" x14ac:dyDescent="0.3">
      <c r="A10" s="2">
        <v>2009</v>
      </c>
      <c r="B10" s="2" t="s">
        <v>6</v>
      </c>
      <c r="C10" s="2"/>
      <c r="D10" s="4"/>
      <c r="E10" s="6">
        <v>12.3</v>
      </c>
      <c r="F10" s="6"/>
      <c r="G10" s="6"/>
      <c r="H10" s="2">
        <v>2046</v>
      </c>
      <c r="I10" s="2" t="s">
        <v>20</v>
      </c>
      <c r="J10" s="2"/>
      <c r="K10" s="5"/>
      <c r="L10" s="1">
        <v>12.4</v>
      </c>
      <c r="M10" s="1"/>
      <c r="N10" s="1"/>
      <c r="O10" s="1"/>
    </row>
    <row r="11" spans="1:15" x14ac:dyDescent="0.3">
      <c r="A11" s="2">
        <v>2010</v>
      </c>
      <c r="B11" s="3" t="s">
        <v>8</v>
      </c>
      <c r="C11" s="2"/>
      <c r="D11" s="4">
        <v>16</v>
      </c>
      <c r="E11" s="6"/>
      <c r="F11" s="6"/>
      <c r="G11" s="6"/>
      <c r="H11" s="2">
        <v>2047</v>
      </c>
      <c r="I11" s="2" t="s">
        <v>5</v>
      </c>
      <c r="J11" s="2"/>
      <c r="K11" s="5"/>
      <c r="L11" s="1"/>
      <c r="M11" s="1"/>
      <c r="N11" s="1"/>
      <c r="O11" s="1"/>
    </row>
    <row r="12" spans="1:15" ht="72" x14ac:dyDescent="0.3">
      <c r="A12" s="2">
        <v>2011</v>
      </c>
      <c r="B12" s="3" t="s">
        <v>7</v>
      </c>
      <c r="C12" s="2"/>
      <c r="D12" s="4">
        <v>30</v>
      </c>
      <c r="E12" s="6"/>
      <c r="F12" s="6"/>
      <c r="G12" s="6"/>
      <c r="H12" s="2">
        <v>2048</v>
      </c>
      <c r="I12" s="3" t="s">
        <v>58</v>
      </c>
      <c r="J12" s="2"/>
      <c r="K12" s="5"/>
      <c r="L12" s="2">
        <v>64</v>
      </c>
      <c r="M12" s="2"/>
      <c r="N12" s="1"/>
      <c r="O12" s="1"/>
    </row>
    <row r="13" spans="1:15" x14ac:dyDescent="0.3">
      <c r="A13" s="2">
        <v>2012</v>
      </c>
      <c r="B13" s="2" t="s">
        <v>11</v>
      </c>
      <c r="C13" s="2"/>
      <c r="D13" s="4"/>
      <c r="E13" s="6">
        <v>20</v>
      </c>
      <c r="F13" s="6"/>
      <c r="G13" s="6"/>
      <c r="H13" s="2">
        <v>2049</v>
      </c>
      <c r="I13" s="2" t="s">
        <v>20</v>
      </c>
      <c r="J13" s="2"/>
      <c r="K13" s="5"/>
      <c r="L13" s="2">
        <v>14</v>
      </c>
      <c r="M13" s="2"/>
      <c r="N13" s="1"/>
      <c r="O13" s="1"/>
    </row>
    <row r="14" spans="1:15" x14ac:dyDescent="0.3">
      <c r="A14" s="2">
        <v>2013</v>
      </c>
      <c r="B14" s="2" t="s">
        <v>11</v>
      </c>
      <c r="C14" s="2"/>
      <c r="D14" s="4"/>
      <c r="E14" s="6">
        <v>13</v>
      </c>
      <c r="F14" s="6"/>
      <c r="G14" s="6"/>
      <c r="H14" s="2">
        <v>2050</v>
      </c>
      <c r="I14" s="3" t="s">
        <v>4</v>
      </c>
      <c r="J14" s="2"/>
      <c r="K14" s="5"/>
      <c r="L14" s="2">
        <v>16</v>
      </c>
      <c r="M14" s="2"/>
      <c r="N14" s="1"/>
      <c r="O14" s="1"/>
    </row>
    <row r="15" spans="1:15" ht="28.8" x14ac:dyDescent="0.3">
      <c r="A15" s="2">
        <v>2014</v>
      </c>
      <c r="B15" s="2" t="s">
        <v>11</v>
      </c>
      <c r="C15" s="2"/>
      <c r="D15" s="4"/>
      <c r="E15" s="6">
        <v>14</v>
      </c>
      <c r="F15" s="6"/>
      <c r="G15" s="6"/>
      <c r="H15" s="2">
        <v>2051</v>
      </c>
      <c r="I15" s="3" t="s">
        <v>24</v>
      </c>
      <c r="J15" s="2"/>
      <c r="K15" s="5"/>
      <c r="L15" s="2">
        <v>48</v>
      </c>
      <c r="M15" s="2"/>
      <c r="N15" s="1"/>
      <c r="O15" s="1"/>
    </row>
    <row r="16" spans="1:15" x14ac:dyDescent="0.3">
      <c r="A16" s="2">
        <v>2015</v>
      </c>
      <c r="B16" s="2" t="s">
        <v>11</v>
      </c>
      <c r="C16" s="2"/>
      <c r="D16" s="4"/>
      <c r="E16" s="2">
        <v>11.4</v>
      </c>
      <c r="F16" s="6"/>
      <c r="G16" s="6"/>
      <c r="H16" s="2">
        <v>2052</v>
      </c>
      <c r="I16" s="2" t="s">
        <v>7</v>
      </c>
      <c r="J16" s="2"/>
      <c r="K16" s="5">
        <v>12.4</v>
      </c>
      <c r="L16" s="2"/>
      <c r="M16" s="2"/>
      <c r="N16" s="1"/>
      <c r="O16" s="1"/>
    </row>
    <row r="17" spans="1:15" x14ac:dyDescent="0.3">
      <c r="A17" s="2">
        <v>2016</v>
      </c>
      <c r="B17" s="2" t="s">
        <v>11</v>
      </c>
      <c r="C17" s="2"/>
      <c r="D17" s="4"/>
      <c r="E17" s="2">
        <v>16</v>
      </c>
      <c r="F17" s="6"/>
      <c r="G17" s="6"/>
      <c r="H17" s="2">
        <v>2053</v>
      </c>
      <c r="I17" s="3" t="s">
        <v>13</v>
      </c>
      <c r="J17" s="2"/>
      <c r="K17" s="5">
        <v>18</v>
      </c>
      <c r="L17" s="2"/>
      <c r="M17" s="2"/>
      <c r="N17" s="1"/>
      <c r="O17" s="1"/>
    </row>
    <row r="18" spans="1:15" ht="28.8" x14ac:dyDescent="0.3">
      <c r="A18" s="2">
        <v>2017</v>
      </c>
      <c r="B18" s="2" t="s">
        <v>48</v>
      </c>
      <c r="C18" s="2"/>
      <c r="D18" s="4"/>
      <c r="E18" s="2">
        <v>26.1</v>
      </c>
      <c r="F18" s="6"/>
      <c r="G18" s="6"/>
      <c r="H18" s="2">
        <v>2054</v>
      </c>
      <c r="I18" s="3" t="s">
        <v>25</v>
      </c>
      <c r="J18" s="2"/>
      <c r="K18" s="5"/>
      <c r="L18" s="2"/>
      <c r="M18" s="2"/>
      <c r="N18" s="1"/>
      <c r="O18" s="1"/>
    </row>
    <row r="19" spans="1:15" x14ac:dyDescent="0.3">
      <c r="A19" s="2">
        <v>2018</v>
      </c>
      <c r="B19" s="19" t="s">
        <v>12</v>
      </c>
      <c r="C19" s="2"/>
      <c r="D19" s="31">
        <v>10.6</v>
      </c>
      <c r="E19" s="32">
        <v>48</v>
      </c>
      <c r="F19" s="6"/>
      <c r="G19" s="6"/>
      <c r="H19" s="2">
        <v>2055</v>
      </c>
      <c r="I19" s="3" t="s">
        <v>6</v>
      </c>
      <c r="J19" s="2"/>
      <c r="K19" s="5">
        <v>12.4</v>
      </c>
      <c r="L19" s="2"/>
      <c r="M19" s="2"/>
      <c r="N19" s="1"/>
      <c r="O19" s="1"/>
    </row>
    <row r="20" spans="1:15" x14ac:dyDescent="0.3">
      <c r="A20" s="2">
        <v>2019</v>
      </c>
      <c r="B20" s="8" t="s">
        <v>5</v>
      </c>
      <c r="C20" s="2"/>
      <c r="D20" s="4"/>
      <c r="E20" s="6"/>
      <c r="F20" s="6"/>
      <c r="G20" s="6"/>
      <c r="H20" s="2">
        <v>2056</v>
      </c>
      <c r="I20" s="2" t="s">
        <v>5</v>
      </c>
      <c r="J20" s="2"/>
      <c r="K20" s="5"/>
      <c r="L20" s="2"/>
      <c r="M20" s="2"/>
      <c r="N20" s="1"/>
      <c r="O20" s="1"/>
    </row>
    <row r="21" spans="1:15" x14ac:dyDescent="0.3">
      <c r="A21" s="2">
        <v>2020</v>
      </c>
      <c r="B21" s="2" t="s">
        <v>13</v>
      </c>
      <c r="C21" s="2"/>
      <c r="D21" s="4">
        <v>21.8</v>
      </c>
      <c r="E21" s="6"/>
      <c r="F21" s="6"/>
      <c r="G21" s="6"/>
      <c r="H21" s="2">
        <v>2057</v>
      </c>
      <c r="I21" s="3" t="s">
        <v>45</v>
      </c>
      <c r="J21" s="2"/>
      <c r="K21" s="5"/>
      <c r="L21" s="2"/>
      <c r="M21" s="2"/>
      <c r="N21" s="1"/>
      <c r="O21" s="1"/>
    </row>
    <row r="22" spans="1:15" ht="28.8" x14ac:dyDescent="0.3">
      <c r="A22" s="2">
        <v>2021</v>
      </c>
      <c r="B22" s="2" t="s">
        <v>14</v>
      </c>
      <c r="C22" s="2"/>
      <c r="D22" s="4">
        <v>18</v>
      </c>
      <c r="E22" s="6"/>
      <c r="F22" s="6"/>
      <c r="G22" s="6"/>
      <c r="H22" s="2">
        <v>2058</v>
      </c>
      <c r="I22" s="3" t="s">
        <v>59</v>
      </c>
      <c r="J22" s="2"/>
      <c r="K22" s="5"/>
      <c r="L22" s="2"/>
      <c r="M22" s="2"/>
      <c r="N22" s="1"/>
      <c r="O22" s="1"/>
    </row>
    <row r="23" spans="1:15" ht="72" x14ac:dyDescent="0.3">
      <c r="A23" s="2">
        <v>2022</v>
      </c>
      <c r="B23" s="3" t="s">
        <v>15</v>
      </c>
      <c r="C23" s="2"/>
      <c r="D23" s="4"/>
      <c r="E23" s="2">
        <v>103.5</v>
      </c>
      <c r="F23" s="6"/>
      <c r="G23" s="6"/>
      <c r="H23" s="2">
        <v>2059</v>
      </c>
      <c r="I23" s="2" t="s">
        <v>7</v>
      </c>
      <c r="J23" s="2"/>
      <c r="K23" s="5"/>
      <c r="L23" s="2">
        <v>20.68</v>
      </c>
      <c r="M23" s="2"/>
      <c r="N23" s="1"/>
      <c r="O23" s="1"/>
    </row>
    <row r="24" spans="1:15" x14ac:dyDescent="0.3">
      <c r="A24" s="2">
        <v>2023</v>
      </c>
      <c r="B24" s="2" t="s">
        <v>5</v>
      </c>
      <c r="C24" s="2"/>
      <c r="D24" s="4"/>
      <c r="E24" s="6"/>
      <c r="F24" s="6"/>
      <c r="G24" s="6"/>
      <c r="H24" s="2">
        <v>2060</v>
      </c>
      <c r="I24" s="3" t="s">
        <v>4</v>
      </c>
      <c r="J24" s="2"/>
      <c r="K24" s="5"/>
      <c r="L24" s="2">
        <v>31.2</v>
      </c>
      <c r="M24" s="2"/>
      <c r="N24" s="1"/>
      <c r="O24" s="1"/>
    </row>
    <row r="25" spans="1:15" ht="72" x14ac:dyDescent="0.3">
      <c r="A25" s="2">
        <v>2024</v>
      </c>
      <c r="B25" s="2" t="s">
        <v>5</v>
      </c>
      <c r="C25" s="2"/>
      <c r="D25" s="4"/>
      <c r="E25" s="6"/>
      <c r="F25" s="6"/>
      <c r="G25" s="6"/>
      <c r="H25" s="2">
        <v>2061</v>
      </c>
      <c r="I25" s="3" t="s">
        <v>60</v>
      </c>
      <c r="J25" s="2"/>
      <c r="K25" s="5">
        <v>57.8</v>
      </c>
      <c r="L25" s="2"/>
      <c r="M25" s="2"/>
      <c r="N25" s="1"/>
      <c r="O25" s="1"/>
    </row>
    <row r="26" spans="1:15" x14ac:dyDescent="0.3">
      <c r="A26" s="2">
        <v>2025</v>
      </c>
      <c r="B26" s="2" t="s">
        <v>49</v>
      </c>
      <c r="C26" s="2"/>
      <c r="D26" s="4">
        <v>5.7</v>
      </c>
      <c r="E26" s="6"/>
      <c r="F26" s="6"/>
      <c r="G26" s="6"/>
      <c r="H26" s="2">
        <v>2062</v>
      </c>
      <c r="I26" s="2" t="s">
        <v>17</v>
      </c>
      <c r="J26" s="2"/>
      <c r="K26" s="5"/>
      <c r="L26" s="1">
        <v>67</v>
      </c>
      <c r="M26" s="1"/>
      <c r="N26" s="1"/>
      <c r="O26" s="1"/>
    </row>
    <row r="27" spans="1:15" x14ac:dyDescent="0.3">
      <c r="A27" s="2">
        <v>2026</v>
      </c>
      <c r="B27" s="2" t="s">
        <v>50</v>
      </c>
      <c r="C27" s="2"/>
      <c r="D27" s="4"/>
      <c r="E27" s="6"/>
      <c r="F27" s="6"/>
      <c r="G27" s="6"/>
      <c r="H27" s="2">
        <v>2063</v>
      </c>
      <c r="I27" s="2" t="s">
        <v>5</v>
      </c>
      <c r="J27" s="2"/>
      <c r="K27" s="5"/>
      <c r="L27" s="1"/>
      <c r="M27" s="1"/>
      <c r="N27" s="1"/>
      <c r="O27" s="1"/>
    </row>
    <row r="28" spans="1:15" ht="28.8" x14ac:dyDescent="0.3">
      <c r="A28" s="2">
        <v>2027</v>
      </c>
      <c r="B28" s="3" t="s">
        <v>51</v>
      </c>
      <c r="C28" s="2"/>
      <c r="D28" s="4">
        <v>20</v>
      </c>
      <c r="E28" s="6"/>
      <c r="F28" s="6"/>
      <c r="G28" s="6"/>
      <c r="H28" s="2">
        <v>2064</v>
      </c>
      <c r="I28" s="3" t="s">
        <v>19</v>
      </c>
      <c r="J28" s="2"/>
      <c r="K28" s="4"/>
      <c r="L28" s="1">
        <v>25</v>
      </c>
      <c r="M28" s="1"/>
      <c r="N28" s="1"/>
      <c r="O28" s="1"/>
    </row>
    <row r="29" spans="1:15" x14ac:dyDescent="0.3">
      <c r="A29" s="2">
        <v>2028</v>
      </c>
      <c r="B29" s="2" t="s">
        <v>50</v>
      </c>
      <c r="C29" s="2"/>
      <c r="D29" s="4">
        <v>22</v>
      </c>
      <c r="E29" s="6"/>
      <c r="F29" s="6"/>
      <c r="G29" s="6"/>
      <c r="H29" s="2">
        <v>2065</v>
      </c>
      <c r="I29" s="2" t="s">
        <v>7</v>
      </c>
      <c r="J29" s="2"/>
      <c r="K29" s="5">
        <v>7.5</v>
      </c>
      <c r="L29" s="1"/>
      <c r="M29" s="1"/>
      <c r="N29" s="1"/>
      <c r="O29" s="1"/>
    </row>
    <row r="30" spans="1:15" x14ac:dyDescent="0.3">
      <c r="A30" s="2">
        <v>2029</v>
      </c>
      <c r="B30" s="3" t="s">
        <v>51</v>
      </c>
      <c r="C30" s="2"/>
      <c r="D30" s="4">
        <v>13.6</v>
      </c>
      <c r="E30" s="6"/>
      <c r="F30" s="6"/>
      <c r="G30" s="6"/>
      <c r="H30" s="2">
        <v>2066</v>
      </c>
      <c r="I30" s="2" t="s">
        <v>61</v>
      </c>
      <c r="J30" s="2"/>
      <c r="K30" s="5"/>
      <c r="L30" s="1">
        <v>23.1</v>
      </c>
      <c r="M30" s="1"/>
      <c r="N30" s="1"/>
      <c r="O30" s="1"/>
    </row>
    <row r="31" spans="1:15" x14ac:dyDescent="0.3">
      <c r="A31" s="2">
        <v>2030</v>
      </c>
      <c r="B31" s="3" t="s">
        <v>49</v>
      </c>
      <c r="C31" s="2"/>
      <c r="D31" s="4"/>
      <c r="E31" s="6">
        <v>9.3000000000000007</v>
      </c>
      <c r="F31" s="6"/>
      <c r="G31" s="6"/>
      <c r="H31" s="2">
        <v>2067</v>
      </c>
      <c r="I31" s="2" t="s">
        <v>20</v>
      </c>
      <c r="J31" s="19"/>
      <c r="K31" s="5"/>
      <c r="L31" s="1">
        <v>61.3</v>
      </c>
      <c r="M31" s="1"/>
      <c r="N31" s="1"/>
      <c r="O31" s="1"/>
    </row>
    <row r="32" spans="1:15" x14ac:dyDescent="0.3">
      <c r="A32" s="2">
        <v>2031</v>
      </c>
      <c r="B32" s="3" t="s">
        <v>52</v>
      </c>
      <c r="C32" s="2"/>
      <c r="D32" s="4">
        <v>20.8</v>
      </c>
      <c r="E32" s="6"/>
      <c r="F32" s="6"/>
      <c r="G32" s="6"/>
      <c r="H32" s="2">
        <v>2068</v>
      </c>
      <c r="I32" s="2" t="s">
        <v>37</v>
      </c>
      <c r="J32" s="1"/>
      <c r="K32" s="5"/>
      <c r="L32" s="1">
        <v>68</v>
      </c>
      <c r="M32" s="1"/>
      <c r="N32" s="1"/>
      <c r="O32" s="1"/>
    </row>
    <row r="33" spans="1:15" x14ac:dyDescent="0.3">
      <c r="A33" s="2">
        <v>2032</v>
      </c>
      <c r="B33" s="3" t="s">
        <v>53</v>
      </c>
      <c r="C33" s="2"/>
      <c r="D33" s="4">
        <v>21</v>
      </c>
      <c r="E33" s="6"/>
      <c r="F33" s="6"/>
      <c r="G33" s="6"/>
      <c r="H33" s="2">
        <v>2069</v>
      </c>
      <c r="I33" s="2" t="s">
        <v>31</v>
      </c>
      <c r="J33" s="1"/>
      <c r="K33" s="5"/>
      <c r="L33" s="1"/>
      <c r="M33" s="1"/>
      <c r="N33" s="1"/>
      <c r="O33" s="1"/>
    </row>
    <row r="34" spans="1:15" x14ac:dyDescent="0.3">
      <c r="A34" s="2">
        <v>2033</v>
      </c>
      <c r="B34" s="2" t="s">
        <v>54</v>
      </c>
      <c r="C34" s="2"/>
      <c r="D34" s="4"/>
      <c r="E34" s="2">
        <v>18.7</v>
      </c>
      <c r="F34" s="6"/>
      <c r="G34" s="6"/>
      <c r="H34" s="2">
        <v>2070</v>
      </c>
      <c r="I34" s="2" t="s">
        <v>38</v>
      </c>
      <c r="J34" s="1"/>
      <c r="K34" s="5">
        <v>8.8000000000000007</v>
      </c>
      <c r="L34" s="2"/>
      <c r="M34" s="1"/>
      <c r="N34" s="1"/>
      <c r="O34" s="1"/>
    </row>
    <row r="35" spans="1:15" x14ac:dyDescent="0.3">
      <c r="A35" s="2">
        <v>2034</v>
      </c>
      <c r="B35" s="2" t="s">
        <v>14</v>
      </c>
      <c r="C35" s="2"/>
      <c r="D35" s="4">
        <v>23</v>
      </c>
      <c r="E35" s="6"/>
      <c r="F35" s="6"/>
      <c r="G35" s="6"/>
      <c r="H35" s="2">
        <v>2071</v>
      </c>
      <c r="I35" s="2" t="s">
        <v>20</v>
      </c>
      <c r="J35" s="1"/>
      <c r="K35" s="5"/>
      <c r="L35" s="1">
        <v>23.4</v>
      </c>
      <c r="M35" s="1"/>
      <c r="N35" s="1"/>
      <c r="O35" s="1"/>
    </row>
    <row r="36" spans="1:15" x14ac:dyDescent="0.3">
      <c r="A36" s="2">
        <v>2035</v>
      </c>
      <c r="B36" s="3" t="s">
        <v>7</v>
      </c>
      <c r="C36" s="2"/>
      <c r="D36" s="4">
        <v>8</v>
      </c>
      <c r="E36" s="6"/>
      <c r="F36" s="6"/>
      <c r="G36" s="6"/>
      <c r="H36" s="2"/>
      <c r="I36" s="2"/>
      <c r="J36" s="1"/>
      <c r="K36" s="5"/>
      <c r="L36" s="1"/>
      <c r="M36" s="1"/>
      <c r="N36" s="1"/>
      <c r="O36" s="1"/>
    </row>
    <row r="37" spans="1:15" ht="43.2" x14ac:dyDescent="0.3">
      <c r="A37" s="2">
        <v>2036</v>
      </c>
      <c r="B37" s="3" t="s">
        <v>10</v>
      </c>
      <c r="C37" s="2"/>
      <c r="D37" s="4"/>
      <c r="E37" s="6">
        <v>18.7</v>
      </c>
      <c r="F37" s="6"/>
      <c r="G37" s="6"/>
      <c r="H37" s="2"/>
      <c r="I37" s="2"/>
      <c r="J37" s="1"/>
      <c r="K37" s="5"/>
      <c r="L37" s="1"/>
      <c r="M37" s="1"/>
      <c r="N37" s="1"/>
      <c r="O37" s="1"/>
    </row>
    <row r="38" spans="1:15" ht="43.2" x14ac:dyDescent="0.3">
      <c r="A38" s="2">
        <v>2037</v>
      </c>
      <c r="B38" s="3" t="s">
        <v>55</v>
      </c>
      <c r="C38" s="2"/>
      <c r="D38" s="4"/>
      <c r="E38" s="6"/>
      <c r="F38" s="6"/>
      <c r="G38" s="6"/>
      <c r="H38" s="2"/>
      <c r="I38" s="2"/>
      <c r="J38" s="1"/>
      <c r="K38" s="5"/>
      <c r="L38" s="1"/>
      <c r="M38" s="1"/>
      <c r="N38" s="1"/>
      <c r="O38" s="1"/>
    </row>
    <row r="39" spans="1:15" x14ac:dyDescent="0.3">
      <c r="E39" s="46" t="s">
        <v>130</v>
      </c>
    </row>
    <row r="40" spans="1:15" x14ac:dyDescent="0.3">
      <c r="A40" s="1" t="s">
        <v>40</v>
      </c>
      <c r="B40" s="1" t="s">
        <v>119</v>
      </c>
      <c r="C40" s="30">
        <v>1037</v>
      </c>
      <c r="D40" s="2" t="s">
        <v>39</v>
      </c>
      <c r="E40" s="7">
        <v>710</v>
      </c>
    </row>
    <row r="41" spans="1:15" x14ac:dyDescent="0.3">
      <c r="A41" s="1"/>
      <c r="B41" s="5" t="s">
        <v>120</v>
      </c>
      <c r="C41" s="4">
        <v>346</v>
      </c>
      <c r="D41" s="2" t="s">
        <v>39</v>
      </c>
      <c r="E41" s="7">
        <v>509</v>
      </c>
    </row>
    <row r="42" spans="1:15" x14ac:dyDescent="0.3">
      <c r="A42" s="1"/>
      <c r="B42" s="1" t="s">
        <v>123</v>
      </c>
      <c r="C42" s="2">
        <v>3.6</v>
      </c>
      <c r="D42" s="2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5"/>
  <sheetViews>
    <sheetView topLeftCell="A21" zoomScale="70" zoomScaleNormal="70" workbookViewId="0">
      <selection activeCell="G43" sqref="G43"/>
    </sheetView>
  </sheetViews>
  <sheetFormatPr defaultRowHeight="14.4" x14ac:dyDescent="0.3"/>
  <cols>
    <col min="2" max="2" width="43.109375" customWidth="1"/>
    <col min="3" max="3" width="8.44140625" customWidth="1"/>
    <col min="4" max="4" width="5.6640625" customWidth="1"/>
    <col min="5" max="5" width="11.5546875" style="7" bestFit="1" customWidth="1"/>
    <col min="6" max="7" width="12.6640625" style="7" customWidth="1"/>
    <col min="8" max="9" width="15.21875" style="7" customWidth="1"/>
    <col min="10" max="11" width="10.33203125" style="7" customWidth="1"/>
    <col min="13" max="13" width="37" customWidth="1"/>
    <col min="19" max="19" width="12.5546875" customWidth="1"/>
    <col min="20" max="20" width="15.44140625" customWidth="1"/>
    <col min="21" max="22" width="10.33203125" style="7" customWidth="1"/>
  </cols>
  <sheetData>
    <row r="1" spans="1:23" ht="78" x14ac:dyDescent="0.3">
      <c r="A1" s="35" t="s">
        <v>0</v>
      </c>
      <c r="B1" s="35"/>
      <c r="C1" s="35" t="s">
        <v>39</v>
      </c>
      <c r="D1" s="36" t="s">
        <v>39</v>
      </c>
      <c r="E1" s="37" t="s">
        <v>42</v>
      </c>
      <c r="F1" s="38" t="s">
        <v>126</v>
      </c>
      <c r="G1" s="38" t="s">
        <v>123</v>
      </c>
      <c r="H1" s="37" t="s">
        <v>43</v>
      </c>
      <c r="I1" s="37" t="s">
        <v>125</v>
      </c>
      <c r="J1" s="38" t="s">
        <v>128</v>
      </c>
      <c r="K1" s="38" t="s">
        <v>127</v>
      </c>
      <c r="L1" s="35" t="s">
        <v>0</v>
      </c>
      <c r="M1" s="39"/>
      <c r="N1" s="35" t="s">
        <v>39</v>
      </c>
      <c r="O1" s="36" t="s">
        <v>39</v>
      </c>
      <c r="P1" s="37" t="s">
        <v>42</v>
      </c>
      <c r="Q1" s="38" t="s">
        <v>126</v>
      </c>
      <c r="R1" s="38" t="s">
        <v>123</v>
      </c>
      <c r="S1" s="37" t="s">
        <v>43</v>
      </c>
      <c r="T1" s="37" t="s">
        <v>125</v>
      </c>
      <c r="U1" s="38" t="s">
        <v>128</v>
      </c>
      <c r="V1" s="38" t="s">
        <v>127</v>
      </c>
      <c r="W1" s="39"/>
    </row>
    <row r="2" spans="1:23" ht="46.8" x14ac:dyDescent="0.3">
      <c r="A2" s="35">
        <v>3001</v>
      </c>
      <c r="B2" s="35" t="s">
        <v>1</v>
      </c>
      <c r="C2" s="35">
        <v>21.3</v>
      </c>
      <c r="D2" s="36"/>
      <c r="E2" s="37">
        <v>25.4</v>
      </c>
      <c r="F2" s="37"/>
      <c r="G2" s="37"/>
      <c r="H2" s="37">
        <v>23.1</v>
      </c>
      <c r="I2" s="37">
        <v>23.1</v>
      </c>
      <c r="J2" s="37"/>
      <c r="K2" s="37"/>
      <c r="L2" s="35">
        <v>3038</v>
      </c>
      <c r="M2" s="40" t="s">
        <v>21</v>
      </c>
      <c r="N2" s="35">
        <v>104</v>
      </c>
      <c r="O2" s="41"/>
      <c r="P2" s="39"/>
      <c r="Q2" s="39"/>
      <c r="R2" s="39"/>
      <c r="S2" s="39"/>
      <c r="T2" s="39"/>
      <c r="U2" s="37"/>
      <c r="V2" s="37"/>
      <c r="W2" s="39"/>
    </row>
    <row r="3" spans="1:23" ht="15.6" x14ac:dyDescent="0.3">
      <c r="A3" s="35">
        <v>3002</v>
      </c>
      <c r="B3" s="35" t="s">
        <v>1</v>
      </c>
      <c r="C3" s="35">
        <v>20.100000000000001</v>
      </c>
      <c r="D3" s="36"/>
      <c r="E3" s="37">
        <v>21.6</v>
      </c>
      <c r="F3" s="37"/>
      <c r="G3" s="37">
        <v>0.2</v>
      </c>
      <c r="H3" s="37">
        <v>21.6</v>
      </c>
      <c r="I3" s="37">
        <v>21.6</v>
      </c>
      <c r="J3" s="37"/>
      <c r="K3" s="37"/>
      <c r="L3" s="35">
        <v>3039</v>
      </c>
      <c r="M3" s="35" t="s">
        <v>22</v>
      </c>
      <c r="N3" s="35">
        <v>8.6999999999999993</v>
      </c>
      <c r="O3" s="41"/>
      <c r="P3" s="39"/>
      <c r="Q3" s="39"/>
      <c r="R3" s="39"/>
      <c r="S3" s="39"/>
      <c r="T3" s="39"/>
      <c r="U3" s="37"/>
      <c r="V3" s="37"/>
      <c r="W3" s="39"/>
    </row>
    <row r="4" spans="1:23" ht="62.4" x14ac:dyDescent="0.3">
      <c r="A4" s="35">
        <v>3003</v>
      </c>
      <c r="B4" s="35" t="s">
        <v>2</v>
      </c>
      <c r="C4" s="35">
        <v>55.4</v>
      </c>
      <c r="D4" s="36"/>
      <c r="E4" s="37">
        <v>60</v>
      </c>
      <c r="F4" s="37"/>
      <c r="G4" s="37"/>
      <c r="H4" s="37">
        <v>56.5</v>
      </c>
      <c r="I4" s="37">
        <v>56.5</v>
      </c>
      <c r="J4" s="37"/>
      <c r="K4" s="37"/>
      <c r="L4" s="35">
        <v>3040</v>
      </c>
      <c r="M4" s="40" t="s">
        <v>23</v>
      </c>
      <c r="N4" s="35">
        <v>30</v>
      </c>
      <c r="O4" s="41"/>
      <c r="P4" s="39"/>
      <c r="Q4" s="39"/>
      <c r="R4" s="39"/>
      <c r="S4" s="39"/>
      <c r="T4" s="39"/>
      <c r="U4" s="37"/>
      <c r="V4" s="37"/>
      <c r="W4" s="39"/>
    </row>
    <row r="5" spans="1:23" ht="28.8" customHeight="1" x14ac:dyDescent="0.3">
      <c r="A5" s="35">
        <v>3004</v>
      </c>
      <c r="B5" s="40" t="s">
        <v>3</v>
      </c>
      <c r="C5" s="35">
        <v>22.1</v>
      </c>
      <c r="D5" s="36"/>
      <c r="E5" s="37">
        <v>22.6</v>
      </c>
      <c r="F5" s="37">
        <v>28.8</v>
      </c>
      <c r="G5" s="37">
        <v>2</v>
      </c>
      <c r="H5" s="37">
        <v>18.7</v>
      </c>
      <c r="I5" s="37">
        <v>18.7</v>
      </c>
      <c r="J5" s="37"/>
      <c r="K5" s="37"/>
      <c r="L5" s="35">
        <v>3041</v>
      </c>
      <c r="M5" s="35" t="s">
        <v>20</v>
      </c>
      <c r="N5" s="35">
        <v>9.8000000000000007</v>
      </c>
      <c r="O5" s="41"/>
      <c r="P5" s="39"/>
      <c r="Q5" s="39"/>
      <c r="R5" s="39"/>
      <c r="S5" s="39"/>
      <c r="T5" s="39"/>
      <c r="U5" s="37"/>
      <c r="V5" s="37"/>
      <c r="W5" s="39"/>
    </row>
    <row r="6" spans="1:23" ht="31.2" x14ac:dyDescent="0.3">
      <c r="A6" s="35">
        <v>3005</v>
      </c>
      <c r="B6" s="35" t="s">
        <v>4</v>
      </c>
      <c r="C6" s="35">
        <v>6.6</v>
      </c>
      <c r="D6" s="36"/>
      <c r="E6" s="37"/>
      <c r="F6" s="37"/>
      <c r="G6" s="37"/>
      <c r="H6" s="37"/>
      <c r="I6" s="37"/>
      <c r="J6" s="37"/>
      <c r="K6" s="37"/>
      <c r="L6" s="35">
        <v>3042</v>
      </c>
      <c r="M6" s="40" t="s">
        <v>24</v>
      </c>
      <c r="N6" s="35"/>
      <c r="O6" s="36">
        <v>47.1</v>
      </c>
      <c r="P6" s="39"/>
      <c r="Q6" s="39"/>
      <c r="R6" s="39"/>
      <c r="S6" s="39"/>
      <c r="T6" s="39"/>
      <c r="U6" s="37"/>
      <c r="V6" s="37"/>
      <c r="W6" s="39"/>
    </row>
    <row r="7" spans="1:23" ht="31.2" x14ac:dyDescent="0.3">
      <c r="A7" s="35">
        <v>3006</v>
      </c>
      <c r="B7" s="35" t="s">
        <v>5</v>
      </c>
      <c r="C7" s="35"/>
      <c r="D7" s="36"/>
      <c r="E7" s="37"/>
      <c r="F7" s="37"/>
      <c r="G7" s="37"/>
      <c r="H7" s="37"/>
      <c r="I7" s="37"/>
      <c r="J7" s="37"/>
      <c r="K7" s="37"/>
      <c r="L7" s="35">
        <v>3043</v>
      </c>
      <c r="M7" s="40" t="s">
        <v>25</v>
      </c>
      <c r="N7" s="35"/>
      <c r="O7" s="41"/>
      <c r="P7" s="39"/>
      <c r="Q7" s="39"/>
      <c r="R7" s="39"/>
      <c r="S7" s="39"/>
      <c r="T7" s="39"/>
      <c r="U7" s="37"/>
      <c r="V7" s="37"/>
      <c r="W7" s="39"/>
    </row>
    <row r="8" spans="1:23" ht="15.6" x14ac:dyDescent="0.3">
      <c r="A8" s="35">
        <v>3007</v>
      </c>
      <c r="B8" s="35" t="s">
        <v>6</v>
      </c>
      <c r="C8" s="35">
        <v>17.100000000000001</v>
      </c>
      <c r="D8" s="36"/>
      <c r="E8" s="37">
        <v>16.600000000000001</v>
      </c>
      <c r="F8" s="37"/>
      <c r="G8" s="37"/>
      <c r="H8" s="42">
        <v>16.600000000000001</v>
      </c>
      <c r="I8" s="37">
        <v>16.600000000000001</v>
      </c>
      <c r="J8" s="37"/>
      <c r="K8" s="37"/>
      <c r="L8" s="35">
        <v>3044</v>
      </c>
      <c r="M8" s="35" t="s">
        <v>7</v>
      </c>
      <c r="N8" s="35"/>
      <c r="O8" s="36">
        <v>102</v>
      </c>
      <c r="P8" s="39"/>
      <c r="Q8" s="39"/>
      <c r="R8" s="39"/>
      <c r="S8" s="39"/>
      <c r="T8" s="39"/>
      <c r="U8" s="37"/>
      <c r="V8" s="37"/>
      <c r="W8" s="39"/>
    </row>
    <row r="9" spans="1:23" ht="15.6" x14ac:dyDescent="0.3">
      <c r="A9" s="35">
        <v>3008</v>
      </c>
      <c r="B9" s="35" t="s">
        <v>7</v>
      </c>
      <c r="C9" s="35"/>
      <c r="D9" s="36">
        <v>31.4</v>
      </c>
      <c r="E9" s="37">
        <v>32.6</v>
      </c>
      <c r="F9" s="37"/>
      <c r="G9" s="37"/>
      <c r="H9" s="42">
        <v>31.4</v>
      </c>
      <c r="I9" s="37"/>
      <c r="J9" s="37"/>
      <c r="K9" s="37"/>
      <c r="L9" s="35">
        <v>3045</v>
      </c>
      <c r="M9" s="35" t="s">
        <v>13</v>
      </c>
      <c r="N9" s="35">
        <v>10.199999999999999</v>
      </c>
      <c r="O9" s="36">
        <v>10.199999999999999</v>
      </c>
      <c r="P9" s="39"/>
      <c r="Q9" s="39"/>
      <c r="R9" s="39"/>
      <c r="S9" s="39"/>
      <c r="T9" s="39"/>
      <c r="U9" s="37"/>
      <c r="V9" s="37"/>
      <c r="W9" s="39"/>
    </row>
    <row r="10" spans="1:23" ht="15.6" x14ac:dyDescent="0.3">
      <c r="A10" s="35">
        <v>3009</v>
      </c>
      <c r="B10" s="35" t="s">
        <v>8</v>
      </c>
      <c r="C10" s="35"/>
      <c r="D10" s="36">
        <v>16.100000000000001</v>
      </c>
      <c r="E10" s="37">
        <v>16.100000000000001</v>
      </c>
      <c r="F10" s="37"/>
      <c r="G10" s="37"/>
      <c r="H10" s="42">
        <v>16.100000000000001</v>
      </c>
      <c r="I10" s="37"/>
      <c r="J10" s="37"/>
      <c r="K10" s="37"/>
      <c r="L10" s="35">
        <v>3046</v>
      </c>
      <c r="M10" s="35" t="s">
        <v>6</v>
      </c>
      <c r="N10" s="35">
        <v>16.7</v>
      </c>
      <c r="O10" s="41"/>
      <c r="P10" s="39"/>
      <c r="Q10" s="39"/>
      <c r="R10" s="39"/>
      <c r="S10" s="39"/>
      <c r="T10" s="39"/>
      <c r="U10" s="37"/>
      <c r="V10" s="37"/>
      <c r="W10" s="39"/>
    </row>
    <row r="11" spans="1:23" ht="31.2" x14ac:dyDescent="0.3">
      <c r="A11" s="35">
        <v>3010</v>
      </c>
      <c r="B11" s="40" t="s">
        <v>9</v>
      </c>
      <c r="C11" s="35">
        <v>15.5</v>
      </c>
      <c r="D11" s="36"/>
      <c r="E11" s="37">
        <v>21</v>
      </c>
      <c r="F11" s="37"/>
      <c r="G11" s="37"/>
      <c r="H11" s="37">
        <v>50.4</v>
      </c>
      <c r="I11" s="37">
        <v>50.4</v>
      </c>
      <c r="J11" s="37"/>
      <c r="K11" s="37"/>
      <c r="L11" s="35">
        <v>3047</v>
      </c>
      <c r="M11" s="35" t="s">
        <v>5</v>
      </c>
      <c r="N11" s="35"/>
      <c r="O11" s="41"/>
      <c r="P11" s="39"/>
      <c r="Q11" s="39"/>
      <c r="R11" s="39"/>
      <c r="S11" s="39"/>
      <c r="T11" s="39"/>
      <c r="U11" s="37"/>
      <c r="V11" s="37"/>
      <c r="W11" s="39"/>
    </row>
    <row r="12" spans="1:23" ht="62.4" x14ac:dyDescent="0.3">
      <c r="A12" s="35">
        <v>3011</v>
      </c>
      <c r="B12" s="40" t="s">
        <v>10</v>
      </c>
      <c r="C12" s="35">
        <v>29.1</v>
      </c>
      <c r="D12" s="36"/>
      <c r="E12" s="37">
        <v>34.1</v>
      </c>
      <c r="F12" s="37"/>
      <c r="G12" s="37"/>
      <c r="H12" s="37">
        <v>34.1</v>
      </c>
      <c r="I12" s="37">
        <v>34.1</v>
      </c>
      <c r="J12" s="37"/>
      <c r="K12" s="37"/>
      <c r="L12" s="35">
        <v>3048</v>
      </c>
      <c r="M12" s="40" t="s">
        <v>26</v>
      </c>
      <c r="N12" s="35">
        <v>47.5</v>
      </c>
      <c r="O12" s="41"/>
      <c r="P12" s="39"/>
      <c r="Q12" s="39"/>
      <c r="R12" s="39"/>
      <c r="S12" s="39"/>
      <c r="T12" s="39"/>
      <c r="U12" s="37"/>
      <c r="V12" s="37"/>
      <c r="W12" s="39"/>
    </row>
    <row r="13" spans="1:23" ht="15.6" x14ac:dyDescent="0.3">
      <c r="A13" s="35">
        <v>3012</v>
      </c>
      <c r="B13" s="35" t="s">
        <v>3</v>
      </c>
      <c r="C13" s="35">
        <v>45</v>
      </c>
      <c r="D13" s="36"/>
      <c r="E13" s="37">
        <v>48</v>
      </c>
      <c r="F13" s="37"/>
      <c r="G13" s="37"/>
      <c r="H13" s="37">
        <v>48</v>
      </c>
      <c r="I13" s="37"/>
      <c r="J13" s="37"/>
      <c r="K13" s="37"/>
      <c r="L13" s="35">
        <v>3049</v>
      </c>
      <c r="M13" s="35" t="s">
        <v>4</v>
      </c>
      <c r="N13" s="35">
        <v>32.6</v>
      </c>
      <c r="O13" s="41"/>
      <c r="P13" s="39"/>
      <c r="Q13" s="39"/>
      <c r="R13" s="39"/>
      <c r="S13" s="39"/>
      <c r="T13" s="39"/>
      <c r="U13" s="37"/>
      <c r="V13" s="37"/>
      <c r="W13" s="39"/>
    </row>
    <row r="14" spans="1:23" ht="78" x14ac:dyDescent="0.3">
      <c r="A14" s="35">
        <v>3013</v>
      </c>
      <c r="B14" s="35" t="s">
        <v>11</v>
      </c>
      <c r="C14" s="35">
        <v>2.2999999999999998</v>
      </c>
      <c r="D14" s="36"/>
      <c r="E14" s="37">
        <v>2.2999999999999998</v>
      </c>
      <c r="F14" s="37"/>
      <c r="G14" s="37"/>
      <c r="H14" s="37">
        <v>28.2</v>
      </c>
      <c r="I14" s="37">
        <v>28.2</v>
      </c>
      <c r="J14" s="37"/>
      <c r="K14" s="37"/>
      <c r="L14" s="35">
        <v>3050</v>
      </c>
      <c r="M14" s="40" t="s">
        <v>27</v>
      </c>
      <c r="N14" s="35">
        <v>34.200000000000003</v>
      </c>
      <c r="O14" s="41"/>
      <c r="P14" s="39"/>
      <c r="Q14" s="39"/>
      <c r="R14" s="39">
        <v>0.61</v>
      </c>
      <c r="S14" s="39"/>
      <c r="T14" s="39"/>
      <c r="U14" s="37"/>
      <c r="V14" s="37"/>
      <c r="W14" s="39"/>
    </row>
    <row r="15" spans="1:23" ht="15.6" x14ac:dyDescent="0.3">
      <c r="A15" s="35">
        <v>3014</v>
      </c>
      <c r="B15" s="35" t="s">
        <v>11</v>
      </c>
      <c r="C15" s="35">
        <v>12.8</v>
      </c>
      <c r="D15" s="36"/>
      <c r="E15" s="37">
        <v>15.3</v>
      </c>
      <c r="F15" s="37"/>
      <c r="G15" s="37"/>
      <c r="H15" s="37">
        <v>15.3</v>
      </c>
      <c r="I15" s="37">
        <v>15.3</v>
      </c>
      <c r="J15" s="37"/>
      <c r="K15" s="37"/>
      <c r="L15" s="35">
        <v>3051</v>
      </c>
      <c r="M15" s="35" t="s">
        <v>17</v>
      </c>
      <c r="N15" s="35">
        <v>78.3</v>
      </c>
      <c r="O15" s="41"/>
      <c r="P15" s="39"/>
      <c r="Q15" s="39"/>
      <c r="R15" s="39"/>
      <c r="S15" s="39"/>
      <c r="T15" s="39"/>
      <c r="U15" s="37"/>
      <c r="V15" s="37"/>
      <c r="W15" s="39"/>
    </row>
    <row r="16" spans="1:23" ht="15.6" x14ac:dyDescent="0.3">
      <c r="A16" s="35">
        <v>3015</v>
      </c>
      <c r="B16" s="35" t="s">
        <v>12</v>
      </c>
      <c r="C16" s="35"/>
      <c r="D16" s="36">
        <v>46.5</v>
      </c>
      <c r="E16" s="37">
        <v>46.9</v>
      </c>
      <c r="F16" s="37"/>
      <c r="G16" s="37"/>
      <c r="H16" s="42">
        <v>46.9</v>
      </c>
      <c r="I16" s="37"/>
      <c r="J16" s="37"/>
      <c r="K16" s="37"/>
      <c r="L16" s="35">
        <v>3052</v>
      </c>
      <c r="M16" s="35" t="s">
        <v>5</v>
      </c>
      <c r="N16" s="35"/>
      <c r="O16" s="41"/>
      <c r="P16" s="39"/>
      <c r="Q16" s="39"/>
      <c r="R16" s="39"/>
      <c r="S16" s="39"/>
      <c r="T16" s="39"/>
      <c r="U16" s="37"/>
      <c r="V16" s="37"/>
      <c r="W16" s="39"/>
    </row>
    <row r="17" spans="1:23" ht="46.8" x14ac:dyDescent="0.3">
      <c r="A17" s="35">
        <v>3016</v>
      </c>
      <c r="B17" s="35" t="s">
        <v>5</v>
      </c>
      <c r="C17" s="35"/>
      <c r="D17" s="36"/>
      <c r="E17" s="37"/>
      <c r="F17" s="37"/>
      <c r="G17" s="37"/>
      <c r="H17" s="37"/>
      <c r="I17" s="37"/>
      <c r="J17" s="37"/>
      <c r="K17" s="37"/>
      <c r="L17" s="35">
        <v>3053</v>
      </c>
      <c r="M17" s="40" t="s">
        <v>28</v>
      </c>
      <c r="N17" s="35">
        <v>19</v>
      </c>
      <c r="O17" s="41"/>
      <c r="P17" s="39"/>
      <c r="Q17" s="39"/>
      <c r="R17" s="39"/>
      <c r="S17" s="39"/>
      <c r="T17" s="39"/>
      <c r="U17" s="37"/>
      <c r="V17" s="37"/>
      <c r="W17" s="39"/>
    </row>
    <row r="18" spans="1:23" ht="31.2" x14ac:dyDescent="0.3">
      <c r="A18" s="35">
        <v>3017</v>
      </c>
      <c r="B18" s="35" t="s">
        <v>13</v>
      </c>
      <c r="C18" s="35"/>
      <c r="D18" s="36">
        <v>12.4</v>
      </c>
      <c r="E18" s="37"/>
      <c r="F18" s="37"/>
      <c r="G18" s="37"/>
      <c r="H18" s="42">
        <v>12.4</v>
      </c>
      <c r="I18" s="37"/>
      <c r="J18" s="37"/>
      <c r="K18" s="37"/>
      <c r="L18" s="35">
        <v>3054</v>
      </c>
      <c r="M18" s="40" t="s">
        <v>29</v>
      </c>
      <c r="N18" s="35">
        <v>31.1</v>
      </c>
      <c r="O18" s="41"/>
      <c r="P18" s="39"/>
      <c r="Q18" s="39"/>
      <c r="R18" s="39"/>
      <c r="S18" s="39"/>
      <c r="T18" s="39"/>
      <c r="U18" s="37"/>
      <c r="V18" s="37"/>
      <c r="W18" s="39"/>
    </row>
    <row r="19" spans="1:23" ht="31.2" x14ac:dyDescent="0.3">
      <c r="A19" s="35">
        <v>3018</v>
      </c>
      <c r="B19" s="35" t="s">
        <v>14</v>
      </c>
      <c r="C19" s="35"/>
      <c r="D19" s="36">
        <v>17.8</v>
      </c>
      <c r="E19" s="37"/>
      <c r="F19" s="37"/>
      <c r="G19" s="37"/>
      <c r="H19" s="42">
        <v>17.8</v>
      </c>
      <c r="I19" s="37"/>
      <c r="J19" s="37"/>
      <c r="K19" s="37"/>
      <c r="L19" s="35">
        <v>3055</v>
      </c>
      <c r="M19" s="40" t="s">
        <v>30</v>
      </c>
      <c r="N19" s="35">
        <v>15.2</v>
      </c>
      <c r="O19" s="41"/>
      <c r="P19" s="39"/>
      <c r="Q19" s="39"/>
      <c r="R19" s="39"/>
      <c r="S19" s="39"/>
      <c r="T19" s="39"/>
      <c r="U19" s="37"/>
      <c r="V19" s="37"/>
      <c r="W19" s="39"/>
    </row>
    <row r="20" spans="1:23" ht="78" x14ac:dyDescent="0.3">
      <c r="A20" s="35">
        <v>3019</v>
      </c>
      <c r="B20" s="43" t="s">
        <v>15</v>
      </c>
      <c r="C20" s="35">
        <v>107</v>
      </c>
      <c r="D20" s="36"/>
      <c r="E20" s="37">
        <v>162</v>
      </c>
      <c r="F20" s="37"/>
      <c r="G20" s="37">
        <v>1.76</v>
      </c>
      <c r="H20" s="37"/>
      <c r="I20" s="37"/>
      <c r="J20" s="37"/>
      <c r="K20" s="37"/>
      <c r="L20" s="35">
        <v>3056</v>
      </c>
      <c r="M20" s="35"/>
      <c r="N20" s="35"/>
      <c r="O20" s="41"/>
      <c r="P20" s="39"/>
      <c r="Q20" s="39"/>
      <c r="R20" s="39"/>
      <c r="S20" s="39"/>
      <c r="T20" s="39"/>
      <c r="U20" s="37"/>
      <c r="V20" s="37"/>
      <c r="W20" s="39"/>
    </row>
    <row r="21" spans="1:23" ht="31.2" x14ac:dyDescent="0.3">
      <c r="A21" s="35">
        <v>3020</v>
      </c>
      <c r="B21" s="35" t="s">
        <v>5</v>
      </c>
      <c r="C21" s="35"/>
      <c r="D21" s="36"/>
      <c r="E21" s="37"/>
      <c r="F21" s="37"/>
      <c r="G21" s="37"/>
      <c r="H21" s="37"/>
      <c r="I21" s="37"/>
      <c r="J21" s="37"/>
      <c r="K21" s="37"/>
      <c r="L21" s="35">
        <v>3057</v>
      </c>
      <c r="M21" s="40" t="s">
        <v>31</v>
      </c>
      <c r="N21" s="35"/>
      <c r="O21" s="41"/>
      <c r="P21" s="39"/>
      <c r="Q21" s="39"/>
      <c r="R21" s="39"/>
      <c r="S21" s="39"/>
      <c r="T21" s="39"/>
      <c r="U21" s="37"/>
      <c r="V21" s="37"/>
      <c r="W21" s="39"/>
    </row>
    <row r="22" spans="1:23" ht="46.8" x14ac:dyDescent="0.3">
      <c r="A22" s="35">
        <v>3021</v>
      </c>
      <c r="B22" s="35" t="s">
        <v>4</v>
      </c>
      <c r="C22" s="35">
        <v>6.6</v>
      </c>
      <c r="D22" s="36"/>
      <c r="E22" s="37"/>
      <c r="F22" s="37"/>
      <c r="G22" s="37"/>
      <c r="H22" s="37"/>
      <c r="I22" s="37"/>
      <c r="J22" s="37"/>
      <c r="K22" s="37"/>
      <c r="L22" s="35">
        <v>3058</v>
      </c>
      <c r="M22" s="40" t="s">
        <v>32</v>
      </c>
      <c r="N22" s="35">
        <v>32.6</v>
      </c>
      <c r="O22" s="41"/>
      <c r="P22" s="39"/>
      <c r="Q22" s="39"/>
      <c r="R22" s="39"/>
      <c r="S22" s="39"/>
      <c r="T22" s="39"/>
      <c r="U22" s="37"/>
      <c r="V22" s="37"/>
      <c r="W22" s="39"/>
    </row>
    <row r="23" spans="1:23" ht="46.8" x14ac:dyDescent="0.3">
      <c r="A23" s="35">
        <v>3022</v>
      </c>
      <c r="B23" s="40" t="s">
        <v>16</v>
      </c>
      <c r="C23" s="35">
        <v>7.3</v>
      </c>
      <c r="D23" s="36"/>
      <c r="E23" s="37">
        <v>9.6</v>
      </c>
      <c r="F23" s="37"/>
      <c r="G23" s="37"/>
      <c r="H23" s="37"/>
      <c r="I23" s="37"/>
      <c r="J23" s="37"/>
      <c r="K23" s="37"/>
      <c r="L23" s="35">
        <v>3059</v>
      </c>
      <c r="M23" s="35" t="s">
        <v>33</v>
      </c>
      <c r="N23" s="35">
        <v>10</v>
      </c>
      <c r="O23" s="41"/>
      <c r="P23" s="39"/>
      <c r="Q23" s="39"/>
      <c r="R23" s="39">
        <v>1.1200000000000001</v>
      </c>
      <c r="S23" s="39"/>
      <c r="T23" s="39"/>
      <c r="U23" s="37"/>
      <c r="V23" s="37"/>
      <c r="W23" s="39"/>
    </row>
    <row r="24" spans="1:23" ht="31.2" x14ac:dyDescent="0.3">
      <c r="A24" s="35">
        <v>3023</v>
      </c>
      <c r="B24" s="35" t="s">
        <v>17</v>
      </c>
      <c r="C24" s="35">
        <v>68</v>
      </c>
      <c r="D24" s="36"/>
      <c r="E24" s="37">
        <v>65.599999999999994</v>
      </c>
      <c r="F24" s="37"/>
      <c r="G24" s="37"/>
      <c r="H24" s="37"/>
      <c r="I24" s="37"/>
      <c r="J24" s="37"/>
      <c r="K24" s="37"/>
      <c r="L24" s="35">
        <v>3060</v>
      </c>
      <c r="M24" s="40" t="s">
        <v>34</v>
      </c>
      <c r="N24" s="35">
        <v>4.9000000000000004</v>
      </c>
      <c r="O24" s="41"/>
      <c r="P24" s="39"/>
      <c r="Q24" s="39"/>
      <c r="R24" s="39"/>
      <c r="S24" s="39"/>
      <c r="T24" s="39"/>
      <c r="U24" s="37"/>
      <c r="V24" s="37"/>
      <c r="W24" s="39"/>
    </row>
    <row r="25" spans="1:23" ht="31.2" x14ac:dyDescent="0.3">
      <c r="A25" s="35">
        <v>3024</v>
      </c>
      <c r="B25" s="35" t="s">
        <v>5</v>
      </c>
      <c r="C25" s="35"/>
      <c r="D25" s="36"/>
      <c r="E25" s="37"/>
      <c r="F25" s="37"/>
      <c r="G25" s="37"/>
      <c r="H25" s="37"/>
      <c r="I25" s="37"/>
      <c r="J25" s="37"/>
      <c r="K25" s="37"/>
      <c r="L25" s="35">
        <v>3061</v>
      </c>
      <c r="M25" s="40" t="s">
        <v>35</v>
      </c>
      <c r="N25" s="35"/>
      <c r="O25" s="41"/>
      <c r="P25" s="39"/>
      <c r="Q25" s="39"/>
      <c r="R25" s="39"/>
      <c r="S25" s="39"/>
      <c r="T25" s="39"/>
      <c r="U25" s="37"/>
      <c r="V25" s="37"/>
      <c r="W25" s="39"/>
    </row>
    <row r="26" spans="1:23" ht="15.6" x14ac:dyDescent="0.3">
      <c r="A26" s="35">
        <v>3025</v>
      </c>
      <c r="B26" s="35" t="s">
        <v>14</v>
      </c>
      <c r="C26" s="35"/>
      <c r="D26" s="36"/>
      <c r="E26" s="37"/>
      <c r="F26" s="37"/>
      <c r="G26" s="37"/>
      <c r="H26" s="37"/>
      <c r="I26" s="37"/>
      <c r="J26" s="37"/>
      <c r="K26" s="37"/>
      <c r="L26" s="35">
        <v>3062</v>
      </c>
      <c r="M26" s="35" t="s">
        <v>36</v>
      </c>
      <c r="N26" s="35"/>
      <c r="O26" s="41"/>
      <c r="P26" s="39"/>
      <c r="Q26" s="39"/>
      <c r="R26" s="39"/>
      <c r="S26" s="39"/>
      <c r="T26" s="39"/>
      <c r="U26" s="37"/>
      <c r="V26" s="37"/>
      <c r="W26" s="39"/>
    </row>
    <row r="27" spans="1:23" ht="15.6" x14ac:dyDescent="0.3">
      <c r="A27" s="35">
        <v>3026</v>
      </c>
      <c r="B27" s="35" t="s">
        <v>7</v>
      </c>
      <c r="C27" s="35"/>
      <c r="D27" s="36"/>
      <c r="E27" s="37"/>
      <c r="F27" s="37"/>
      <c r="G27" s="37"/>
      <c r="H27" s="37"/>
      <c r="I27" s="37"/>
      <c r="J27" s="37"/>
      <c r="K27" s="37"/>
      <c r="L27" s="35">
        <v>3063</v>
      </c>
      <c r="M27" s="35" t="s">
        <v>37</v>
      </c>
      <c r="N27" s="35">
        <v>28.8</v>
      </c>
      <c r="O27" s="41"/>
      <c r="P27" s="39">
        <v>10.1</v>
      </c>
      <c r="Q27" s="39"/>
      <c r="R27" s="39">
        <v>0.42</v>
      </c>
      <c r="S27" s="39"/>
      <c r="T27" s="39"/>
      <c r="U27" s="37"/>
      <c r="V27" s="37"/>
      <c r="W27" s="39"/>
    </row>
    <row r="28" spans="1:23" ht="62.4" x14ac:dyDescent="0.3">
      <c r="A28" s="35">
        <v>3027</v>
      </c>
      <c r="B28" s="40" t="s">
        <v>10</v>
      </c>
      <c r="C28" s="35">
        <v>21.3</v>
      </c>
      <c r="D28" s="36"/>
      <c r="E28" s="37"/>
      <c r="F28" s="37"/>
      <c r="G28" s="37"/>
      <c r="H28" s="37"/>
      <c r="I28" s="37"/>
      <c r="J28" s="37"/>
      <c r="K28" s="37"/>
      <c r="L28" s="35">
        <v>3064</v>
      </c>
      <c r="M28" s="40" t="s">
        <v>24</v>
      </c>
      <c r="N28" s="35"/>
      <c r="O28" s="36">
        <v>22.8</v>
      </c>
      <c r="P28" s="39"/>
      <c r="Q28" s="39"/>
      <c r="R28" s="39"/>
      <c r="S28" s="39"/>
      <c r="T28" s="39"/>
      <c r="U28" s="37"/>
      <c r="V28" s="37"/>
      <c r="W28" s="39"/>
    </row>
    <row r="29" spans="1:23" ht="31.2" x14ac:dyDescent="0.3">
      <c r="A29" s="35">
        <v>3028</v>
      </c>
      <c r="B29" s="40" t="s">
        <v>18</v>
      </c>
      <c r="C29" s="35">
        <v>5</v>
      </c>
      <c r="D29" s="36"/>
      <c r="E29" s="37"/>
      <c r="F29" s="37"/>
      <c r="G29" s="37"/>
      <c r="H29" s="37"/>
      <c r="I29" s="37"/>
      <c r="J29" s="37"/>
      <c r="K29" s="37"/>
      <c r="L29" s="35">
        <v>3065</v>
      </c>
      <c r="M29" s="35" t="s">
        <v>31</v>
      </c>
      <c r="N29" s="35"/>
      <c r="O29" s="41"/>
      <c r="P29" s="39"/>
      <c r="Q29" s="39"/>
      <c r="R29" s="39"/>
      <c r="S29" s="39"/>
      <c r="T29" s="39"/>
      <c r="U29" s="37"/>
      <c r="V29" s="37"/>
      <c r="W29" s="39"/>
    </row>
    <row r="30" spans="1:23" ht="15.6" x14ac:dyDescent="0.3">
      <c r="A30" s="35">
        <v>3029</v>
      </c>
      <c r="B30" s="35" t="s">
        <v>7</v>
      </c>
      <c r="C30" s="35"/>
      <c r="D30" s="36">
        <v>20</v>
      </c>
      <c r="E30" s="37"/>
      <c r="F30" s="37"/>
      <c r="G30" s="37"/>
      <c r="H30" s="37"/>
      <c r="I30" s="37"/>
      <c r="J30" s="37"/>
      <c r="K30" s="37"/>
      <c r="L30" s="35">
        <v>3066</v>
      </c>
      <c r="M30" s="35" t="s">
        <v>17</v>
      </c>
      <c r="N30" s="35">
        <v>9.1</v>
      </c>
      <c r="O30" s="41"/>
      <c r="P30" s="39"/>
      <c r="Q30" s="39"/>
      <c r="R30" s="39">
        <v>0.8</v>
      </c>
      <c r="S30" s="39"/>
      <c r="T30" s="39"/>
      <c r="U30" s="37"/>
      <c r="V30" s="37"/>
      <c r="W30" s="39"/>
    </row>
    <row r="31" spans="1:23" ht="31.2" x14ac:dyDescent="0.3">
      <c r="A31" s="35">
        <v>3030</v>
      </c>
      <c r="B31" s="40" t="s">
        <v>18</v>
      </c>
      <c r="C31" s="35">
        <v>17</v>
      </c>
      <c r="D31" s="36"/>
      <c r="E31" s="37"/>
      <c r="F31" s="37"/>
      <c r="G31" s="37"/>
      <c r="H31" s="37"/>
      <c r="I31" s="37"/>
      <c r="J31" s="37"/>
      <c r="K31" s="37"/>
      <c r="L31" s="35">
        <v>3067</v>
      </c>
      <c r="M31" s="35" t="s">
        <v>38</v>
      </c>
      <c r="N31" s="35">
        <v>8.3000000000000007</v>
      </c>
      <c r="O31" s="41"/>
      <c r="P31" s="39">
        <v>8.17</v>
      </c>
      <c r="Q31" s="39"/>
      <c r="R31" s="39"/>
      <c r="S31" s="39">
        <v>8.17</v>
      </c>
      <c r="T31" s="39"/>
      <c r="U31" s="37"/>
      <c r="V31" s="37"/>
      <c r="W31" s="39"/>
    </row>
    <row r="32" spans="1:23" ht="31.2" x14ac:dyDescent="0.3">
      <c r="A32" s="35">
        <v>3031</v>
      </c>
      <c r="B32" s="40" t="s">
        <v>18</v>
      </c>
      <c r="C32" s="35">
        <v>15.1</v>
      </c>
      <c r="D32" s="36"/>
      <c r="E32" s="37"/>
      <c r="F32" s="37"/>
      <c r="G32" s="37"/>
      <c r="H32" s="37"/>
      <c r="I32" s="37"/>
      <c r="J32" s="37"/>
      <c r="K32" s="37"/>
      <c r="L32" s="35"/>
      <c r="M32" s="35"/>
      <c r="N32" s="39"/>
      <c r="O32" s="41"/>
      <c r="P32" s="39"/>
      <c r="Q32" s="39"/>
      <c r="R32" s="39"/>
      <c r="S32" s="39"/>
      <c r="T32" s="39"/>
      <c r="U32" s="37"/>
      <c r="V32" s="37"/>
      <c r="W32" s="39"/>
    </row>
    <row r="33" spans="1:23" ht="31.2" x14ac:dyDescent="0.3">
      <c r="A33" s="35">
        <v>3032</v>
      </c>
      <c r="B33" s="40" t="s">
        <v>18</v>
      </c>
      <c r="C33" s="35">
        <v>19.399999999999999</v>
      </c>
      <c r="D33" s="36"/>
      <c r="E33" s="37"/>
      <c r="F33" s="37"/>
      <c r="G33" s="37"/>
      <c r="H33" s="37"/>
      <c r="I33" s="37"/>
      <c r="J33" s="37"/>
      <c r="K33" s="37"/>
      <c r="L33" s="35"/>
      <c r="M33" s="35"/>
      <c r="N33" s="39"/>
      <c r="O33" s="41"/>
      <c r="P33" s="39"/>
      <c r="Q33" s="39"/>
      <c r="R33" s="39"/>
      <c r="S33" s="39"/>
      <c r="T33" s="39"/>
      <c r="U33" s="37"/>
      <c r="V33" s="37"/>
      <c r="W33" s="39"/>
    </row>
    <row r="34" spans="1:23" ht="15.6" x14ac:dyDescent="0.3">
      <c r="A34" s="35">
        <v>3033</v>
      </c>
      <c r="B34" s="35" t="s">
        <v>6</v>
      </c>
      <c r="C34" s="35">
        <v>17.100000000000001</v>
      </c>
      <c r="D34" s="36"/>
      <c r="E34" s="37"/>
      <c r="F34" s="37"/>
      <c r="G34" s="37"/>
      <c r="H34" s="37"/>
      <c r="I34" s="37"/>
      <c r="J34" s="37"/>
      <c r="K34" s="37"/>
      <c r="L34" s="35"/>
      <c r="M34" s="35"/>
      <c r="N34" s="39"/>
      <c r="O34" s="41"/>
      <c r="P34" s="39"/>
      <c r="Q34" s="39"/>
      <c r="R34" s="39"/>
      <c r="S34" s="39"/>
      <c r="T34" s="39"/>
      <c r="U34" s="37"/>
      <c r="V34" s="37"/>
      <c r="W34" s="39"/>
    </row>
    <row r="35" spans="1:23" ht="15.6" x14ac:dyDescent="0.3">
      <c r="A35" s="35">
        <v>3034</v>
      </c>
      <c r="B35" s="35" t="s">
        <v>5</v>
      </c>
      <c r="C35" s="35"/>
      <c r="D35" s="36"/>
      <c r="E35" s="37"/>
      <c r="F35" s="37"/>
      <c r="G35" s="37"/>
      <c r="H35" s="37"/>
      <c r="I35" s="37"/>
      <c r="J35" s="37"/>
      <c r="K35" s="37"/>
      <c r="L35" s="35"/>
      <c r="M35" s="35"/>
      <c r="N35" s="39"/>
      <c r="O35" s="41"/>
      <c r="P35" s="39"/>
      <c r="Q35" s="39"/>
      <c r="R35" s="39"/>
      <c r="S35" s="39"/>
      <c r="T35" s="39"/>
      <c r="U35" s="37"/>
      <c r="V35" s="37"/>
      <c r="W35" s="39"/>
    </row>
    <row r="36" spans="1:23" ht="31.2" x14ac:dyDescent="0.3">
      <c r="A36" s="35">
        <v>3035</v>
      </c>
      <c r="B36" s="40" t="s">
        <v>18</v>
      </c>
      <c r="C36" s="35">
        <v>14.7</v>
      </c>
      <c r="D36" s="36"/>
      <c r="E36" s="37"/>
      <c r="F36" s="37"/>
      <c r="G36" s="37"/>
      <c r="H36" s="37"/>
      <c r="I36" s="37"/>
      <c r="J36" s="37"/>
      <c r="K36" s="37"/>
      <c r="L36" s="35"/>
      <c r="M36" s="35"/>
      <c r="N36" s="39"/>
      <c r="O36" s="41"/>
      <c r="P36" s="39"/>
      <c r="Q36" s="39"/>
      <c r="R36" s="39"/>
      <c r="S36" s="39"/>
      <c r="T36" s="39"/>
      <c r="U36" s="37"/>
      <c r="V36" s="37"/>
      <c r="W36" s="39"/>
    </row>
    <row r="37" spans="1:23" ht="31.2" x14ac:dyDescent="0.3">
      <c r="A37" s="35">
        <v>3036</v>
      </c>
      <c r="B37" s="40" t="s">
        <v>19</v>
      </c>
      <c r="C37" s="35">
        <v>24</v>
      </c>
      <c r="D37" s="36"/>
      <c r="E37" s="37"/>
      <c r="F37" s="37"/>
      <c r="G37" s="37"/>
      <c r="H37" s="37"/>
      <c r="I37" s="37"/>
      <c r="J37" s="37"/>
      <c r="K37" s="37"/>
      <c r="L37" s="35"/>
      <c r="M37" s="35"/>
      <c r="N37" s="39"/>
      <c r="O37" s="41"/>
      <c r="P37" s="39"/>
      <c r="Q37" s="39"/>
      <c r="R37" s="39"/>
      <c r="S37" s="39"/>
      <c r="T37" s="39"/>
      <c r="U37" s="37"/>
      <c r="V37" s="37"/>
      <c r="W37" s="39"/>
    </row>
    <row r="38" spans="1:23" ht="15.6" x14ac:dyDescent="0.3">
      <c r="A38" s="35">
        <v>3037</v>
      </c>
      <c r="B38" s="35" t="s">
        <v>20</v>
      </c>
      <c r="C38" s="35"/>
      <c r="D38" s="36"/>
      <c r="E38" s="37"/>
      <c r="F38" s="37"/>
      <c r="G38" s="39">
        <v>0.8</v>
      </c>
      <c r="H38" s="37"/>
      <c r="I38" s="37"/>
      <c r="J38" s="37"/>
      <c r="K38" s="37"/>
      <c r="L38" s="35"/>
      <c r="M38" s="35"/>
      <c r="N38" s="39"/>
      <c r="O38" s="41"/>
      <c r="P38" s="39"/>
      <c r="Q38" s="39"/>
      <c r="R38" s="39"/>
      <c r="S38" s="39"/>
      <c r="T38" s="39"/>
      <c r="U38" s="37"/>
      <c r="V38" s="37"/>
      <c r="W38" s="39"/>
    </row>
    <row r="39" spans="1:23" ht="15.6" x14ac:dyDescent="0.3">
      <c r="A39" s="44"/>
      <c r="B39" s="44"/>
      <c r="C39" s="44"/>
      <c r="D39" s="44"/>
      <c r="E39" s="46" t="s">
        <v>130</v>
      </c>
      <c r="F39" s="45"/>
      <c r="G39" s="45"/>
      <c r="H39" s="45"/>
      <c r="I39" s="45"/>
      <c r="J39" s="45"/>
      <c r="K39" s="45"/>
      <c r="L39" s="44"/>
      <c r="M39" s="44"/>
      <c r="N39" s="44"/>
      <c r="O39" s="44"/>
      <c r="P39" s="44"/>
      <c r="Q39" s="44"/>
      <c r="R39" s="44"/>
      <c r="S39" s="44"/>
      <c r="T39" s="44"/>
      <c r="U39" s="45"/>
      <c r="V39" s="45"/>
      <c r="W39" s="44"/>
    </row>
    <row r="40" spans="1:23" ht="15.6" x14ac:dyDescent="0.3">
      <c r="A40" s="39" t="s">
        <v>40</v>
      </c>
      <c r="B40" s="39" t="s">
        <v>41</v>
      </c>
      <c r="C40" s="35">
        <v>1100.8</v>
      </c>
      <c r="D40" s="35" t="s">
        <v>39</v>
      </c>
      <c r="E40" s="45">
        <v>998</v>
      </c>
      <c r="F40" s="45"/>
      <c r="G40" s="45"/>
      <c r="H40" s="45"/>
      <c r="I40" s="45"/>
      <c r="J40" s="45"/>
      <c r="K40" s="45"/>
      <c r="L40" s="44"/>
      <c r="M40" s="44"/>
      <c r="N40" s="44"/>
      <c r="O40" s="44"/>
      <c r="P40" s="44"/>
      <c r="Q40" s="44"/>
      <c r="R40" s="44"/>
      <c r="S40" s="44"/>
      <c r="T40" s="44"/>
      <c r="U40" s="45"/>
      <c r="V40" s="45"/>
      <c r="W40" s="44"/>
    </row>
    <row r="41" spans="1:23" ht="15.6" x14ac:dyDescent="0.3">
      <c r="A41" s="39"/>
      <c r="B41" s="41" t="s">
        <v>122</v>
      </c>
      <c r="C41" s="36">
        <v>326</v>
      </c>
      <c r="D41" s="35" t="s">
        <v>39</v>
      </c>
      <c r="E41" s="45">
        <v>394</v>
      </c>
      <c r="F41" s="45"/>
      <c r="G41" s="45"/>
      <c r="H41" s="45"/>
      <c r="I41" s="45"/>
      <c r="J41" s="45"/>
      <c r="K41" s="45"/>
      <c r="L41" s="44"/>
      <c r="M41" s="44"/>
      <c r="N41" s="44"/>
      <c r="O41" s="44"/>
      <c r="P41" s="44"/>
      <c r="Q41" s="44"/>
      <c r="R41" s="44"/>
      <c r="S41" s="44"/>
      <c r="T41" s="44"/>
      <c r="U41" s="45"/>
      <c r="V41" s="45"/>
      <c r="W41" s="44"/>
    </row>
    <row r="42" spans="1:23" ht="15.6" x14ac:dyDescent="0.3">
      <c r="A42" s="39"/>
      <c r="B42" s="39" t="s">
        <v>123</v>
      </c>
      <c r="C42" s="35">
        <v>7.7</v>
      </c>
      <c r="D42" s="35" t="s">
        <v>129</v>
      </c>
      <c r="E42" s="45"/>
      <c r="F42" s="45"/>
      <c r="G42" s="45"/>
      <c r="H42" s="45"/>
      <c r="I42" s="45"/>
      <c r="J42" s="45"/>
      <c r="K42" s="45"/>
      <c r="L42" s="44"/>
      <c r="M42" s="44"/>
      <c r="N42" s="44"/>
      <c r="O42" s="44"/>
      <c r="P42" s="44"/>
      <c r="Q42" s="44"/>
      <c r="R42" s="44"/>
      <c r="S42" s="44"/>
      <c r="T42" s="44"/>
      <c r="U42" s="45"/>
      <c r="V42" s="45"/>
      <c r="W42" s="44"/>
    </row>
    <row r="43" spans="1:23" ht="15.6" x14ac:dyDescent="0.3">
      <c r="A43" s="44"/>
      <c r="B43" s="44"/>
      <c r="C43" s="44"/>
      <c r="D43" s="44"/>
      <c r="E43" s="45"/>
      <c r="F43" s="45"/>
      <c r="G43" s="45"/>
      <c r="H43" s="45"/>
      <c r="I43" s="45"/>
      <c r="J43" s="45"/>
      <c r="K43" s="45"/>
      <c r="L43" s="44"/>
      <c r="M43" s="44"/>
      <c r="N43" s="44"/>
      <c r="O43" s="44"/>
      <c r="P43" s="44"/>
      <c r="Q43" s="44"/>
      <c r="R43" s="44"/>
      <c r="S43" s="44"/>
      <c r="T43" s="44"/>
      <c r="U43" s="45"/>
      <c r="V43" s="45"/>
      <c r="W43" s="44"/>
    </row>
    <row r="44" spans="1:23" ht="15.6" x14ac:dyDescent="0.3">
      <c r="A44" s="44"/>
      <c r="B44" s="44"/>
      <c r="C44" s="44"/>
      <c r="D44" s="44"/>
      <c r="E44" s="45"/>
      <c r="F44" s="45"/>
      <c r="G44" s="45"/>
      <c r="H44" s="45"/>
      <c r="I44" s="45"/>
      <c r="J44" s="45"/>
      <c r="K44" s="45"/>
      <c r="L44" s="44"/>
      <c r="M44" s="44"/>
      <c r="N44" s="44"/>
      <c r="O44" s="44"/>
      <c r="P44" s="44"/>
      <c r="Q44" s="44"/>
      <c r="R44" s="44"/>
      <c r="S44" s="44"/>
      <c r="T44" s="44"/>
      <c r="U44" s="45"/>
      <c r="V44" s="45"/>
      <c r="W44" s="44"/>
    </row>
    <row r="45" spans="1:23" ht="15.6" x14ac:dyDescent="0.3">
      <c r="A45" s="44"/>
      <c r="B45" s="44"/>
      <c r="C45" s="44"/>
      <c r="D45" s="44"/>
      <c r="E45" s="45"/>
      <c r="F45" s="45"/>
      <c r="G45" s="45"/>
      <c r="H45" s="45"/>
      <c r="I45" s="45"/>
      <c r="J45" s="45"/>
      <c r="K45" s="45"/>
      <c r="L45" s="44"/>
      <c r="M45" s="44"/>
      <c r="N45" s="44"/>
      <c r="O45" s="44"/>
      <c r="P45" s="44"/>
      <c r="Q45" s="44"/>
      <c r="R45" s="44"/>
      <c r="S45" s="44"/>
      <c r="T45" s="44"/>
      <c r="U45" s="45"/>
      <c r="V45" s="45"/>
      <c r="W45" s="4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Этаж</vt:lpstr>
      <vt:lpstr>2 этаж</vt:lpstr>
      <vt:lpstr>3 этаж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МФ</dc:creator>
  <cp:lastModifiedBy>Linux</cp:lastModifiedBy>
  <dcterms:created xsi:type="dcterms:W3CDTF">2026-01-27T13:46:38Z</dcterms:created>
  <dcterms:modified xsi:type="dcterms:W3CDTF">2026-05-07T08:57:37Z</dcterms:modified>
</cp:coreProperties>
</file>